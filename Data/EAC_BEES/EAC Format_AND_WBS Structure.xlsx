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30128282_adani_com/Documents/"/>
    </mc:Choice>
  </mc:AlternateContent>
  <xr:revisionPtr revIDLastSave="0" documentId="8_{51C8D9F4-FF08-4213-981F-A6C68FD032B4}" xr6:coauthVersionLast="47" xr6:coauthVersionMax="47" xr10:uidLastSave="{00000000-0000-0000-0000-000000000000}"/>
  <bookViews>
    <workbookView xWindow="-120" yWindow="-120" windowWidth="20730" windowHeight="11040" firstSheet="5" activeTab="6" xr2:uid="{7F57CCAA-D7EF-4B6D-86B8-67E3E70B8381}"/>
    <workbookView xWindow="-120" yWindow="-120" windowWidth="20730" windowHeight="11040" firstSheet="2" activeTab="6" xr2:uid="{9531D464-FEEE-4CAC-BA79-D791C5C9B37D}"/>
  </bookViews>
  <sheets>
    <sheet name="Budgeted_01jun" sheetId="2" r:id="rId1"/>
    <sheet name="Actual_30 jun" sheetId="3" r:id="rId2"/>
    <sheet name="Commited_30 Jun" sheetId="4" r:id="rId3"/>
    <sheet name="PSS 12_CAPEX " sheetId="7" state="hidden" r:id="rId4"/>
    <sheet name="PSS 10_CAPEX" sheetId="5" state="hidden" r:id="rId5"/>
    <sheet name="SAP Working" sheetId="1" r:id="rId6"/>
    <sheet name="PSS 09_EAC_WBS Mapped" sheetId="6" r:id="rId7"/>
    <sheet name="WBS Structure Baseline PSS09" sheetId="22" r:id="rId8"/>
    <sheet name="PSS 09_CAPEX" sheetId="8" state="hidden" r:id="rId9"/>
    <sheet name="PSS 08_CAPEX" sheetId="9" state="hidden" r:id="rId10"/>
    <sheet name="PSS 05_CAPEX" sheetId="10" state="hidden" r:id="rId11"/>
  </sheets>
  <definedNames>
    <definedName name="_xlnm._FilterDatabase" localSheetId="1" hidden="1">'Actual_30 jun'!$A$1:$AE$3609</definedName>
    <definedName name="_xlnm._FilterDatabase" localSheetId="0" hidden="1">Budgeted_01jun!$A$1:$AC$2352</definedName>
    <definedName name="_xlnm._FilterDatabase" localSheetId="2" hidden="1">'Commited_30 Jun'!$A$1:$AW$1802</definedName>
    <definedName name="_xlnm._FilterDatabase" localSheetId="7" hidden="1">'WBS Structure Baseline PSS09'!$A$11:$N$100</definedName>
    <definedName name="_xlnm.Print_Area" localSheetId="6">'PSS 09_EAC_WBS Mapped'!$A$1:$M$89</definedName>
  </definedNames>
  <calcPr calcId="191028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  <c r="F13" i="6"/>
  <c r="J88" i="6"/>
  <c r="J86" i="6"/>
  <c r="J84" i="6"/>
  <c r="K83" i="6"/>
  <c r="J79" i="6"/>
  <c r="J83" i="6"/>
  <c r="J81" i="6"/>
  <c r="K79" i="6" s="1"/>
  <c r="J82" i="6"/>
  <c r="K82" i="6" s="1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H79" i="6"/>
  <c r="G79" i="6"/>
  <c r="J78" i="6"/>
  <c r="J77" i="6"/>
  <c r="J55" i="6" s="1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I55" i="6"/>
  <c r="H55" i="6"/>
  <c r="F55" i="6"/>
  <c r="G26" i="6"/>
  <c r="H26" i="6"/>
  <c r="I26" i="6"/>
  <c r="J26" i="6"/>
  <c r="J23" i="6"/>
  <c r="J13" i="6"/>
  <c r="I11" i="6"/>
  <c r="F54" i="6"/>
  <c r="F88" i="6" s="1"/>
  <c r="G55" i="6"/>
  <c r="F79" i="6"/>
  <c r="H83" i="6"/>
  <c r="H82" i="6"/>
  <c r="H81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G83" i="6"/>
  <c r="G82" i="6"/>
  <c r="G81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F26" i="6"/>
  <c r="K81" i="6" l="1"/>
  <c r="G84" i="6" l="1"/>
  <c r="H84" i="6"/>
  <c r="K84" i="6"/>
  <c r="G86" i="6"/>
  <c r="H86" i="6"/>
  <c r="K82" i="1"/>
  <c r="G41" i="6"/>
  <c r="H41" i="6"/>
  <c r="K41" i="6"/>
  <c r="C17" i="22"/>
  <c r="C18" i="22" s="1"/>
  <c r="C19" i="22" s="1"/>
  <c r="C20" i="22" s="1"/>
  <c r="C21" i="22" s="1"/>
  <c r="C22" i="22" s="1"/>
  <c r="C23" i="22" s="1"/>
  <c r="C24" i="22" s="1"/>
  <c r="M1" i="6"/>
  <c r="F7" i="6"/>
  <c r="J44" i="6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469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2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C28" i="22" l="1"/>
  <c r="C29" i="22" s="1"/>
  <c r="C30" i="22" s="1"/>
  <c r="C31" i="22" s="1"/>
  <c r="C32" i="22" s="1"/>
  <c r="C33" i="22" s="1"/>
  <c r="C34" i="22" s="1"/>
  <c r="C35" i="22" s="1"/>
  <c r="C36" i="22" s="1"/>
  <c r="C37" i="22" s="1"/>
  <c r="C38" i="22" s="1"/>
  <c r="C39" i="22" s="1"/>
  <c r="C40" i="22" s="1"/>
  <c r="C41" i="22" s="1"/>
  <c r="C42" i="22" s="1"/>
  <c r="C43" i="22" s="1"/>
  <c r="C44" i="22" s="1"/>
  <c r="C45" i="22" s="1"/>
  <c r="C46" i="22" s="1"/>
  <c r="C47" i="22" s="1"/>
  <c r="C48" i="22" s="1"/>
  <c r="C49" i="22" s="1"/>
  <c r="C50" i="22" s="1"/>
  <c r="C51" i="22" s="1"/>
  <c r="C52" i="22" s="1"/>
  <c r="C53" i="22" s="1"/>
  <c r="C54" i="22" s="1"/>
  <c r="C55" i="22" s="1"/>
  <c r="C56" i="22" s="1"/>
  <c r="C57" i="22" s="1"/>
  <c r="C58" i="22" s="1"/>
  <c r="C59" i="22" s="1"/>
  <c r="C60" i="22" s="1"/>
  <c r="C61" i="22" s="1"/>
  <c r="C62" i="22" s="1"/>
  <c r="C63" i="22" s="1"/>
  <c r="C64" i="22" s="1"/>
  <c r="C65" i="22" s="1"/>
  <c r="C66" i="22" s="1"/>
  <c r="C67" i="22" s="1"/>
  <c r="C68" i="22" s="1"/>
  <c r="C69" i="22" s="1"/>
  <c r="C70" i="22" s="1"/>
  <c r="C71" i="22" s="1"/>
  <c r="C72" i="22" s="1"/>
  <c r="C73" i="22" s="1"/>
  <c r="C74" i="22" s="1"/>
  <c r="C75" i="22" s="1"/>
  <c r="C76" i="22" s="1"/>
  <c r="C77" i="22" s="1"/>
  <c r="C78" i="22" s="1"/>
  <c r="C79" i="22" s="1"/>
  <c r="C80" i="22" s="1"/>
  <c r="C81" i="22" s="1"/>
  <c r="C82" i="22" s="1"/>
  <c r="C83" i="22" s="1"/>
  <c r="C84" i="22" s="1"/>
  <c r="C85" i="22" s="1"/>
  <c r="C86" i="22" s="1"/>
  <c r="C87" i="22" s="1"/>
  <c r="C88" i="22" s="1"/>
  <c r="C89" i="22" s="1"/>
  <c r="C90" i="22" s="1"/>
  <c r="C91" i="22" s="1"/>
  <c r="C92" i="22" s="1"/>
  <c r="C93" i="22" s="1"/>
  <c r="C94" i="22" s="1"/>
  <c r="C95" i="22" s="1"/>
  <c r="C96" i="22" s="1"/>
  <c r="C97" i="22" s="1"/>
  <c r="C98" i="22" s="1"/>
  <c r="C99" i="22" s="1"/>
  <c r="C100" i="22" s="1"/>
  <c r="C25" i="22"/>
  <c r="C26" i="22" s="1"/>
  <c r="C27" i="22" s="1"/>
  <c r="J48" i="6"/>
  <c r="J42" i="6"/>
  <c r="K28" i="6" l="1"/>
  <c r="F21" i="6" l="1"/>
  <c r="Q5" i="1" l="1"/>
  <c r="AJ81" i="1" l="1"/>
  <c r="AI81" i="1"/>
  <c r="AH81" i="1"/>
  <c r="V81" i="1"/>
  <c r="P81" i="1"/>
  <c r="P56" i="1"/>
  <c r="AI74" i="1" a="1"/>
  <c r="AH74" i="1" a="1"/>
  <c r="AB74" i="1" a="1"/>
  <c r="V74" i="1" a="1"/>
  <c r="AD6" i="1" l="1"/>
  <c r="AD7" i="1"/>
  <c r="AD9" i="1"/>
  <c r="AD10" i="1"/>
  <c r="AD12" i="1"/>
  <c r="AD13" i="1"/>
  <c r="AD14" i="1"/>
  <c r="AD16" i="1"/>
  <c r="AD17" i="1"/>
  <c r="AD18" i="1"/>
  <c r="AD20" i="1"/>
  <c r="AD21" i="1"/>
  <c r="AD22" i="1"/>
  <c r="AD23" i="1"/>
  <c r="AD24" i="1"/>
  <c r="AD25" i="1"/>
  <c r="AD27" i="1"/>
  <c r="AD28" i="1"/>
  <c r="AD29" i="1"/>
  <c r="AD30" i="1"/>
  <c r="AD33" i="1"/>
  <c r="AD34" i="1"/>
  <c r="AD36" i="1"/>
  <c r="AD37" i="1"/>
  <c r="AD38" i="1"/>
  <c r="AD40" i="1"/>
  <c r="AD41" i="1"/>
  <c r="AD43" i="1"/>
  <c r="AD44" i="1"/>
  <c r="AD46" i="1"/>
  <c r="AD47" i="1"/>
  <c r="AD48" i="1"/>
  <c r="AD49" i="1"/>
  <c r="AD50" i="1"/>
  <c r="AD52" i="1"/>
  <c r="AD53" i="1"/>
  <c r="AD54" i="1"/>
  <c r="AD55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5" i="1"/>
  <c r="AD76" i="1"/>
  <c r="AD77" i="1"/>
  <c r="AD78" i="1"/>
  <c r="AD79" i="1"/>
  <c r="AD80" i="1"/>
  <c r="AD82" i="1"/>
  <c r="AD83" i="1"/>
  <c r="AD84" i="1"/>
  <c r="AD85" i="1"/>
  <c r="AD86" i="1"/>
  <c r="AD87" i="1"/>
  <c r="AD88" i="1"/>
  <c r="AD89" i="1"/>
  <c r="L89" i="1" s="1"/>
  <c r="AD90" i="1"/>
  <c r="AD91" i="1"/>
  <c r="AD92" i="1"/>
  <c r="AD93" i="1"/>
  <c r="AD5" i="1"/>
  <c r="X6" i="1"/>
  <c r="X7" i="1"/>
  <c r="X8" i="1"/>
  <c r="X9" i="1"/>
  <c r="X10" i="1"/>
  <c r="X11" i="1"/>
  <c r="X12" i="1"/>
  <c r="X13" i="1"/>
  <c r="X14" i="1"/>
  <c r="X16" i="1"/>
  <c r="X17" i="1"/>
  <c r="X18" i="1"/>
  <c r="X20" i="1"/>
  <c r="X21" i="1"/>
  <c r="X22" i="1"/>
  <c r="X23" i="1"/>
  <c r="X24" i="1"/>
  <c r="X25" i="1"/>
  <c r="X26" i="1"/>
  <c r="X27" i="1"/>
  <c r="X28" i="1"/>
  <c r="X29" i="1"/>
  <c r="X30" i="1"/>
  <c r="X33" i="1"/>
  <c r="X34" i="1"/>
  <c r="X36" i="1"/>
  <c r="X37" i="1"/>
  <c r="X38" i="1"/>
  <c r="X40" i="1"/>
  <c r="X41" i="1"/>
  <c r="X43" i="1"/>
  <c r="X44" i="1"/>
  <c r="X46" i="1"/>
  <c r="X47" i="1"/>
  <c r="X48" i="1"/>
  <c r="X49" i="1"/>
  <c r="X50" i="1"/>
  <c r="X51" i="1"/>
  <c r="X52" i="1"/>
  <c r="X53" i="1"/>
  <c r="X54" i="1"/>
  <c r="X55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5" i="1"/>
  <c r="X76" i="1"/>
  <c r="X77" i="1"/>
  <c r="X78" i="1"/>
  <c r="X79" i="1"/>
  <c r="X80" i="1"/>
  <c r="X82" i="1"/>
  <c r="X83" i="1"/>
  <c r="X84" i="1"/>
  <c r="X85" i="1"/>
  <c r="X86" i="1"/>
  <c r="X87" i="1"/>
  <c r="X88" i="1"/>
  <c r="X89" i="1"/>
  <c r="X90" i="1"/>
  <c r="X91" i="1"/>
  <c r="X92" i="1"/>
  <c r="X93" i="1"/>
  <c r="X5" i="1"/>
  <c r="R7" i="1"/>
  <c r="R9" i="1"/>
  <c r="R10" i="1"/>
  <c r="R12" i="1"/>
  <c r="R13" i="1"/>
  <c r="R14" i="1"/>
  <c r="R16" i="1"/>
  <c r="R17" i="1"/>
  <c r="R18" i="1"/>
  <c r="R20" i="1"/>
  <c r="R21" i="1"/>
  <c r="R22" i="1"/>
  <c r="R23" i="1"/>
  <c r="R24" i="1"/>
  <c r="R25" i="1"/>
  <c r="R27" i="1"/>
  <c r="R28" i="1"/>
  <c r="R29" i="1"/>
  <c r="R30" i="1"/>
  <c r="R33" i="1"/>
  <c r="R34" i="1"/>
  <c r="R36" i="1"/>
  <c r="R37" i="1"/>
  <c r="R38" i="1"/>
  <c r="R40" i="1"/>
  <c r="R41" i="1"/>
  <c r="R43" i="1"/>
  <c r="R44" i="1"/>
  <c r="R46" i="1"/>
  <c r="R47" i="1"/>
  <c r="R48" i="1"/>
  <c r="R49" i="1"/>
  <c r="R50" i="1"/>
  <c r="R52" i="1"/>
  <c r="R53" i="1"/>
  <c r="R54" i="1"/>
  <c r="R55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5" i="1"/>
  <c r="R76" i="1"/>
  <c r="R77" i="1"/>
  <c r="R78" i="1"/>
  <c r="R79" i="1"/>
  <c r="R80" i="1"/>
  <c r="R82" i="1"/>
  <c r="R83" i="1"/>
  <c r="R84" i="1"/>
  <c r="R85" i="1"/>
  <c r="R86" i="1"/>
  <c r="R87" i="1"/>
  <c r="R88" i="1"/>
  <c r="R89" i="1"/>
  <c r="R90" i="1"/>
  <c r="R91" i="1"/>
  <c r="R92" i="1"/>
  <c r="R93" i="1"/>
  <c r="R5" i="1"/>
  <c r="AE6" i="1"/>
  <c r="AE7" i="1"/>
  <c r="AE9" i="1"/>
  <c r="AE10" i="1"/>
  <c r="AE12" i="1"/>
  <c r="AE13" i="1"/>
  <c r="AE14" i="1"/>
  <c r="AE16" i="1"/>
  <c r="AE17" i="1"/>
  <c r="AE18" i="1"/>
  <c r="AE20" i="1"/>
  <c r="AE21" i="1"/>
  <c r="AE22" i="1"/>
  <c r="AE23" i="1"/>
  <c r="AE24" i="1"/>
  <c r="AE25" i="1"/>
  <c r="AE27" i="1"/>
  <c r="AE28" i="1"/>
  <c r="AE29" i="1"/>
  <c r="AE30" i="1"/>
  <c r="AE33" i="1"/>
  <c r="AE34" i="1"/>
  <c r="AE36" i="1"/>
  <c r="AE37" i="1"/>
  <c r="AE38" i="1"/>
  <c r="AE40" i="1"/>
  <c r="AE41" i="1"/>
  <c r="AE43" i="1"/>
  <c r="AE44" i="1"/>
  <c r="AE46" i="1"/>
  <c r="AE47" i="1"/>
  <c r="AE48" i="1"/>
  <c r="AE49" i="1"/>
  <c r="AE50" i="1"/>
  <c r="AE52" i="1"/>
  <c r="AE53" i="1"/>
  <c r="AE54" i="1"/>
  <c r="AE55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5" i="1"/>
  <c r="AE76" i="1"/>
  <c r="AE77" i="1"/>
  <c r="AE78" i="1"/>
  <c r="AE79" i="1"/>
  <c r="AE80" i="1"/>
  <c r="AE82" i="1"/>
  <c r="AE83" i="1"/>
  <c r="AE84" i="1"/>
  <c r="AE85" i="1"/>
  <c r="AE86" i="1"/>
  <c r="AE87" i="1"/>
  <c r="AE88" i="1"/>
  <c r="AE89" i="1"/>
  <c r="M89" i="1" s="1"/>
  <c r="AE90" i="1"/>
  <c r="AE91" i="1"/>
  <c r="AE92" i="1"/>
  <c r="AE93" i="1"/>
  <c r="AE5" i="1"/>
  <c r="Y6" i="1"/>
  <c r="Y7" i="1"/>
  <c r="Y8" i="1"/>
  <c r="Y9" i="1"/>
  <c r="Y10" i="1"/>
  <c r="Y11" i="1"/>
  <c r="Y12" i="1"/>
  <c r="Y13" i="1"/>
  <c r="Y14" i="1"/>
  <c r="Y16" i="1"/>
  <c r="Y17" i="1"/>
  <c r="Y18" i="1"/>
  <c r="Y20" i="1"/>
  <c r="Y21" i="1"/>
  <c r="Y22" i="1"/>
  <c r="Y23" i="1"/>
  <c r="Y24" i="1"/>
  <c r="Y25" i="1"/>
  <c r="Y26" i="1"/>
  <c r="Y27" i="1"/>
  <c r="Y28" i="1"/>
  <c r="Y29" i="1"/>
  <c r="Y30" i="1"/>
  <c r="Y33" i="1"/>
  <c r="Y34" i="1"/>
  <c r="Y36" i="1"/>
  <c r="Y37" i="1"/>
  <c r="Y38" i="1"/>
  <c r="Y40" i="1"/>
  <c r="Y41" i="1"/>
  <c r="Y43" i="1"/>
  <c r="Y44" i="1"/>
  <c r="Y46" i="1"/>
  <c r="Y47" i="1"/>
  <c r="Y48" i="1"/>
  <c r="Y49" i="1"/>
  <c r="Y50" i="1"/>
  <c r="Y51" i="1"/>
  <c r="Y52" i="1"/>
  <c r="Y53" i="1"/>
  <c r="Y54" i="1"/>
  <c r="Y55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5" i="1"/>
  <c r="Y76" i="1"/>
  <c r="Y77" i="1"/>
  <c r="Y78" i="1"/>
  <c r="Y79" i="1"/>
  <c r="Y80" i="1"/>
  <c r="Y82" i="1"/>
  <c r="Y83" i="1"/>
  <c r="Y84" i="1"/>
  <c r="Y85" i="1"/>
  <c r="Y86" i="1"/>
  <c r="Y87" i="1"/>
  <c r="Y88" i="1"/>
  <c r="Y89" i="1"/>
  <c r="Y90" i="1"/>
  <c r="Y91" i="1"/>
  <c r="Y92" i="1"/>
  <c r="Y93" i="1"/>
  <c r="Y5" i="1"/>
  <c r="S92" i="1"/>
  <c r="S93" i="1"/>
  <c r="S6" i="1"/>
  <c r="S7" i="1"/>
  <c r="S9" i="1"/>
  <c r="S10" i="1"/>
  <c r="S12" i="1"/>
  <c r="S13" i="1"/>
  <c r="S14" i="1"/>
  <c r="S16" i="1"/>
  <c r="S17" i="1"/>
  <c r="S18" i="1"/>
  <c r="S20" i="1"/>
  <c r="S21" i="1"/>
  <c r="S22" i="1"/>
  <c r="S23" i="1"/>
  <c r="S24" i="1"/>
  <c r="S25" i="1"/>
  <c r="S27" i="1"/>
  <c r="S28" i="1"/>
  <c r="S29" i="1"/>
  <c r="S30" i="1"/>
  <c r="S33" i="1"/>
  <c r="S34" i="1"/>
  <c r="S36" i="1"/>
  <c r="S37" i="1"/>
  <c r="S38" i="1"/>
  <c r="S40" i="1"/>
  <c r="S41" i="1"/>
  <c r="S43" i="1"/>
  <c r="S44" i="1"/>
  <c r="S46" i="1"/>
  <c r="S47" i="1"/>
  <c r="S48" i="1"/>
  <c r="S49" i="1"/>
  <c r="S50" i="1"/>
  <c r="S52" i="1"/>
  <c r="S53" i="1"/>
  <c r="S54" i="1"/>
  <c r="S55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5" i="1"/>
  <c r="S76" i="1"/>
  <c r="S77" i="1"/>
  <c r="S78" i="1"/>
  <c r="S79" i="1"/>
  <c r="S80" i="1"/>
  <c r="S82" i="1"/>
  <c r="S83" i="1"/>
  <c r="S84" i="1"/>
  <c r="S85" i="1"/>
  <c r="S86" i="1"/>
  <c r="S87" i="1"/>
  <c r="S88" i="1"/>
  <c r="S89" i="1"/>
  <c r="S90" i="1"/>
  <c r="S91" i="1"/>
  <c r="S5" i="1"/>
  <c r="M91" i="1" l="1"/>
  <c r="Y39" i="1"/>
  <c r="AD45" i="1"/>
  <c r="S11" i="1"/>
  <c r="Y35" i="1"/>
  <c r="Y45" i="1"/>
  <c r="Y42" i="1"/>
  <c r="AE8" i="1"/>
  <c r="AE35" i="1"/>
  <c r="Y74" i="1"/>
  <c r="Y56" i="1" s="1"/>
  <c r="AE74" i="1"/>
  <c r="AE56" i="1" s="1"/>
  <c r="AE15" i="1"/>
  <c r="Y15" i="1"/>
  <c r="AE26" i="1"/>
  <c r="AE11" i="1"/>
  <c r="AE45" i="1"/>
  <c r="AE42" i="1"/>
  <c r="S15" i="1"/>
  <c r="S45" i="1"/>
  <c r="S26" i="1"/>
  <c r="S39" i="1"/>
  <c r="Y81" i="1"/>
  <c r="AE81" i="1"/>
  <c r="AE39" i="1"/>
  <c r="S74" i="1"/>
  <c r="S56" i="1" s="1"/>
  <c r="S8" i="1"/>
  <c r="S51" i="1"/>
  <c r="S35" i="1"/>
  <c r="S19" i="1"/>
  <c r="AE51" i="1"/>
  <c r="AE19" i="1"/>
  <c r="S42" i="1"/>
  <c r="S81" i="1"/>
  <c r="Y19" i="1"/>
  <c r="X39" i="1"/>
  <c r="R26" i="1"/>
  <c r="R11" i="1"/>
  <c r="X15" i="1"/>
  <c r="AD35" i="1"/>
  <c r="X19" i="1"/>
  <c r="AD51" i="1"/>
  <c r="X35" i="1"/>
  <c r="AD42" i="1"/>
  <c r="X42" i="1"/>
  <c r="AD8" i="1"/>
  <c r="X45" i="1"/>
  <c r="AD74" i="1"/>
  <c r="AD56" i="1" s="1"/>
  <c r="AD15" i="1"/>
  <c r="X74" i="1"/>
  <c r="L91" i="1"/>
  <c r="R51" i="1"/>
  <c r="R35" i="1"/>
  <c r="R19" i="1"/>
  <c r="AD26" i="1"/>
  <c r="AD11" i="1"/>
  <c r="R74" i="1"/>
  <c r="R56" i="1" s="1"/>
  <c r="R15" i="1"/>
  <c r="X56" i="1"/>
  <c r="R45" i="1"/>
  <c r="X81" i="1"/>
  <c r="AD81" i="1"/>
  <c r="AD39" i="1"/>
  <c r="R42" i="1"/>
  <c r="AD19" i="1"/>
  <c r="R8" i="1"/>
  <c r="R81" i="1"/>
  <c r="R39" i="1"/>
  <c r="S32" i="1" l="1"/>
  <c r="S31" i="1" s="1"/>
  <c r="Y32" i="1"/>
  <c r="Y31" i="1" s="1"/>
  <c r="AE32" i="1"/>
  <c r="AE31" i="1" s="1"/>
  <c r="R32" i="1"/>
  <c r="R31" i="1" s="1"/>
  <c r="X32" i="1"/>
  <c r="X31" i="1" s="1"/>
  <c r="AD32" i="1"/>
  <c r="AD31" i="1" s="1"/>
  <c r="K48" i="6" l="1"/>
  <c r="F11" i="6" l="1"/>
  <c r="H40" i="6" l="1"/>
  <c r="H39" i="6"/>
  <c r="H38" i="6"/>
  <c r="H36" i="6"/>
  <c r="H35" i="6"/>
  <c r="H34" i="6"/>
  <c r="H33" i="6"/>
  <c r="H32" i="6"/>
  <c r="H31" i="6"/>
  <c r="H30" i="6"/>
  <c r="H29" i="6"/>
  <c r="G40" i="6"/>
  <c r="G39" i="6"/>
  <c r="G38" i="6"/>
  <c r="G36" i="6"/>
  <c r="G35" i="6"/>
  <c r="G34" i="6"/>
  <c r="G33" i="6"/>
  <c r="G32" i="6"/>
  <c r="G31" i="6"/>
  <c r="G30" i="6"/>
  <c r="G29" i="6"/>
  <c r="K31" i="6" l="1"/>
  <c r="K37" i="6"/>
  <c r="K34" i="6"/>
  <c r="K30" i="6"/>
  <c r="K33" i="6"/>
  <c r="K29" i="6"/>
  <c r="K35" i="6"/>
  <c r="K39" i="6"/>
  <c r="K44" i="6"/>
  <c r="K32" i="6"/>
  <c r="K38" i="6"/>
  <c r="K40" i="6"/>
  <c r="K36" i="6"/>
  <c r="K42" i="6"/>
  <c r="N7" i="1" l="1"/>
  <c r="O7" i="1" s="1"/>
  <c r="AC13" i="1"/>
  <c r="M55" i="1" l="1"/>
  <c r="M83" i="1"/>
  <c r="L27" i="1"/>
  <c r="L28" i="1"/>
  <c r="L29" i="1"/>
  <c r="L30" i="1"/>
  <c r="L53" i="1"/>
  <c r="L54" i="1"/>
  <c r="L55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6" i="1"/>
  <c r="L77" i="1"/>
  <c r="L78" i="1"/>
  <c r="L79" i="1"/>
  <c r="L80" i="1"/>
  <c r="L83" i="1"/>
  <c r="L84" i="1"/>
  <c r="L85" i="1"/>
  <c r="L86" i="1"/>
  <c r="L87" i="1"/>
  <c r="L88" i="1"/>
  <c r="AC91" i="1"/>
  <c r="AC90" i="1"/>
  <c r="AC89" i="1"/>
  <c r="K89" i="1" s="1"/>
  <c r="AC88" i="1"/>
  <c r="K88" i="1" s="1"/>
  <c r="AC87" i="1"/>
  <c r="K87" i="1" s="1"/>
  <c r="AC86" i="1"/>
  <c r="K86" i="1" s="1"/>
  <c r="AC85" i="1"/>
  <c r="K85" i="1" s="1"/>
  <c r="AC84" i="1"/>
  <c r="K84" i="1" s="1"/>
  <c r="AC83" i="1"/>
  <c r="K83" i="1" s="1"/>
  <c r="AC82" i="1"/>
  <c r="AC81" i="1" s="1"/>
  <c r="AC80" i="1"/>
  <c r="K80" i="1" s="1"/>
  <c r="AC79" i="1"/>
  <c r="K79" i="1" s="1"/>
  <c r="AC78" i="1"/>
  <c r="K78" i="1" s="1"/>
  <c r="AC77" i="1"/>
  <c r="K77" i="1" s="1"/>
  <c r="AC76" i="1"/>
  <c r="K76" i="1" s="1"/>
  <c r="AC75" i="1"/>
  <c r="AC74" i="1" s="1"/>
  <c r="AC73" i="1"/>
  <c r="K73" i="1" s="1"/>
  <c r="AC72" i="1"/>
  <c r="K72" i="1" s="1"/>
  <c r="AC71" i="1"/>
  <c r="K71" i="1" s="1"/>
  <c r="AC70" i="1"/>
  <c r="K70" i="1" s="1"/>
  <c r="AC69" i="1"/>
  <c r="K69" i="1" s="1"/>
  <c r="AC68" i="1"/>
  <c r="K68" i="1" s="1"/>
  <c r="AC67" i="1"/>
  <c r="K67" i="1" s="1"/>
  <c r="AC66" i="1"/>
  <c r="K66" i="1" s="1"/>
  <c r="AC65" i="1"/>
  <c r="K65" i="1" s="1"/>
  <c r="AC64" i="1"/>
  <c r="K64" i="1" s="1"/>
  <c r="AC63" i="1"/>
  <c r="K63" i="1" s="1"/>
  <c r="AC62" i="1"/>
  <c r="K62" i="1" s="1"/>
  <c r="AC61" i="1"/>
  <c r="K61" i="1" s="1"/>
  <c r="AC60" i="1"/>
  <c r="K60" i="1" s="1"/>
  <c r="AC59" i="1"/>
  <c r="K59" i="1" s="1"/>
  <c r="AC58" i="1"/>
  <c r="K58" i="1" s="1"/>
  <c r="AC57" i="1"/>
  <c r="AC55" i="1"/>
  <c r="K55" i="1" s="1"/>
  <c r="AC54" i="1"/>
  <c r="K54" i="1" s="1"/>
  <c r="AC53" i="1"/>
  <c r="K53" i="1" s="1"/>
  <c r="AC52" i="1"/>
  <c r="AC50" i="1"/>
  <c r="AC49" i="1"/>
  <c r="AC48" i="1"/>
  <c r="AC47" i="1"/>
  <c r="AC46" i="1"/>
  <c r="AC44" i="1"/>
  <c r="AC43" i="1"/>
  <c r="AC41" i="1"/>
  <c r="AC40" i="1"/>
  <c r="AC38" i="1"/>
  <c r="AC37" i="1"/>
  <c r="AC36" i="1"/>
  <c r="AC34" i="1"/>
  <c r="AC33" i="1"/>
  <c r="AC30" i="1"/>
  <c r="K30" i="1" s="1"/>
  <c r="AC29" i="1"/>
  <c r="K29" i="1" s="1"/>
  <c r="AC28" i="1"/>
  <c r="K28" i="1" s="1"/>
  <c r="AC27" i="1"/>
  <c r="K27" i="1" s="1"/>
  <c r="AC25" i="1"/>
  <c r="AC24" i="1"/>
  <c r="AC23" i="1"/>
  <c r="AC22" i="1"/>
  <c r="AC21" i="1"/>
  <c r="AC20" i="1"/>
  <c r="AC18" i="1"/>
  <c r="AC17" i="1"/>
  <c r="AC16" i="1"/>
  <c r="AC14" i="1"/>
  <c r="AC12" i="1"/>
  <c r="AC11" i="1" s="1"/>
  <c r="AC10" i="1"/>
  <c r="AC9" i="1"/>
  <c r="AC7" i="1"/>
  <c r="AC6" i="1"/>
  <c r="AC5" i="1"/>
  <c r="M17" i="1"/>
  <c r="M18" i="1"/>
  <c r="M33" i="1"/>
  <c r="M41" i="1"/>
  <c r="M44" i="1"/>
  <c r="L14" i="1"/>
  <c r="G12" i="6" s="1"/>
  <c r="L16" i="1"/>
  <c r="L17" i="1"/>
  <c r="L18" i="1"/>
  <c r="L33" i="1"/>
  <c r="L34" i="1"/>
  <c r="L37" i="1"/>
  <c r="L38" i="1"/>
  <c r="L41" i="1"/>
  <c r="L44" i="1"/>
  <c r="L47" i="1"/>
  <c r="L48" i="1"/>
  <c r="L49" i="1"/>
  <c r="L50" i="1"/>
  <c r="W5" i="1"/>
  <c r="W6" i="1"/>
  <c r="W7" i="1"/>
  <c r="W9" i="1"/>
  <c r="W10" i="1"/>
  <c r="W12" i="1"/>
  <c r="W13" i="1"/>
  <c r="W14" i="1"/>
  <c r="W16" i="1"/>
  <c r="K16" i="1" s="1"/>
  <c r="W17" i="1"/>
  <c r="K17" i="1" s="1"/>
  <c r="W18" i="1"/>
  <c r="K18" i="1" s="1"/>
  <c r="W20" i="1"/>
  <c r="W21" i="1"/>
  <c r="W22" i="1"/>
  <c r="W23" i="1"/>
  <c r="W24" i="1"/>
  <c r="W25" i="1"/>
  <c r="W27" i="1"/>
  <c r="W28" i="1"/>
  <c r="W29" i="1"/>
  <c r="W30" i="1"/>
  <c r="W33" i="1"/>
  <c r="K33" i="1" s="1"/>
  <c r="W34" i="1"/>
  <c r="K34" i="1" s="1"/>
  <c r="W36" i="1"/>
  <c r="W37" i="1"/>
  <c r="K37" i="1" s="1"/>
  <c r="W38" i="1"/>
  <c r="K38" i="1" s="1"/>
  <c r="W40" i="1"/>
  <c r="W41" i="1"/>
  <c r="K41" i="1" s="1"/>
  <c r="W43" i="1"/>
  <c r="W44" i="1"/>
  <c r="K44" i="1" s="1"/>
  <c r="W46" i="1"/>
  <c r="W47" i="1"/>
  <c r="K47" i="1" s="1"/>
  <c r="W48" i="1"/>
  <c r="K48" i="1" s="1"/>
  <c r="W49" i="1"/>
  <c r="K49" i="1" s="1"/>
  <c r="W50" i="1"/>
  <c r="K50" i="1" s="1"/>
  <c r="W52" i="1"/>
  <c r="W53" i="1"/>
  <c r="W54" i="1"/>
  <c r="W55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5" i="1"/>
  <c r="W76" i="1"/>
  <c r="W77" i="1"/>
  <c r="W78" i="1"/>
  <c r="W79" i="1"/>
  <c r="W80" i="1"/>
  <c r="W82" i="1"/>
  <c r="W83" i="1"/>
  <c r="W84" i="1"/>
  <c r="W85" i="1"/>
  <c r="W86" i="1"/>
  <c r="W87" i="1"/>
  <c r="W88" i="1"/>
  <c r="W89" i="1"/>
  <c r="W90" i="1"/>
  <c r="W91" i="1"/>
  <c r="M6" i="1"/>
  <c r="M90" i="1"/>
  <c r="H42" i="6" s="1"/>
  <c r="L5" i="1"/>
  <c r="L6" i="1"/>
  <c r="L9" i="1"/>
  <c r="L10" i="1"/>
  <c r="L12" i="1"/>
  <c r="L13" i="1"/>
  <c r="L90" i="1"/>
  <c r="G42" i="6" s="1"/>
  <c r="Q91" i="1"/>
  <c r="Q90" i="1"/>
  <c r="K90" i="1" s="1"/>
  <c r="Q89" i="1"/>
  <c r="Q88" i="1"/>
  <c r="Q87" i="1"/>
  <c r="Q86" i="1"/>
  <c r="Q85" i="1"/>
  <c r="Q84" i="1"/>
  <c r="Q83" i="1"/>
  <c r="Q82" i="1"/>
  <c r="Q80" i="1"/>
  <c r="Q79" i="1"/>
  <c r="Q78" i="1"/>
  <c r="Q77" i="1"/>
  <c r="Q76" i="1"/>
  <c r="Q75" i="1"/>
  <c r="Q74" i="1" s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 s="1"/>
  <c r="Q55" i="1"/>
  <c r="Q54" i="1"/>
  <c r="Q53" i="1"/>
  <c r="Q52" i="1"/>
  <c r="Q50" i="1"/>
  <c r="Q49" i="1"/>
  <c r="Q48" i="1"/>
  <c r="Q47" i="1"/>
  <c r="Q46" i="1"/>
  <c r="Q44" i="1"/>
  <c r="Q43" i="1"/>
  <c r="Q41" i="1"/>
  <c r="Q40" i="1"/>
  <c r="Q38" i="1"/>
  <c r="Q37" i="1"/>
  <c r="Q36" i="1"/>
  <c r="Q34" i="1"/>
  <c r="Q33" i="1"/>
  <c r="Q30" i="1"/>
  <c r="Q29" i="1"/>
  <c r="Q28" i="1"/>
  <c r="Q27" i="1"/>
  <c r="Q25" i="1"/>
  <c r="Q24" i="1"/>
  <c r="Q23" i="1"/>
  <c r="Q22" i="1"/>
  <c r="Q21" i="1"/>
  <c r="Q20" i="1"/>
  <c r="Q18" i="1"/>
  <c r="Q17" i="1"/>
  <c r="Q16" i="1"/>
  <c r="Q14" i="1"/>
  <c r="Q13" i="1"/>
  <c r="K13" i="1" s="1"/>
  <c r="Q12" i="1"/>
  <c r="K12" i="1" s="1"/>
  <c r="Q10" i="1"/>
  <c r="K10" i="1" s="1"/>
  <c r="Q9" i="1"/>
  <c r="K9" i="1" s="1"/>
  <c r="Q7" i="1"/>
  <c r="Q6" i="1"/>
  <c r="D8" i="1"/>
  <c r="D9" i="1" s="1"/>
  <c r="D10" i="1" s="1"/>
  <c r="D11" i="1" s="1"/>
  <c r="D12" i="1" s="1"/>
  <c r="D13" i="1" s="1"/>
  <c r="D14" i="1" s="1"/>
  <c r="D15" i="1" s="1"/>
  <c r="W56" i="1" l="1"/>
  <c r="W81" i="1"/>
  <c r="K57" i="1"/>
  <c r="AC56" i="1"/>
  <c r="W74" i="1"/>
  <c r="Q81" i="1"/>
  <c r="K6" i="1"/>
  <c r="Q4" i="1"/>
  <c r="K4" i="1" s="1"/>
  <c r="Z6" i="1"/>
  <c r="AA6" i="1" s="1"/>
  <c r="M16" i="1"/>
  <c r="N16" i="1" s="1"/>
  <c r="O16" i="1" s="1"/>
  <c r="M15" i="1"/>
  <c r="H23" i="6" s="1"/>
  <c r="Z30" i="1"/>
  <c r="AA30" i="1" s="1"/>
  <c r="K25" i="1"/>
  <c r="AC4" i="1"/>
  <c r="AC39" i="1"/>
  <c r="K22" i="1"/>
  <c r="K23" i="1"/>
  <c r="K24" i="1"/>
  <c r="Q26" i="1"/>
  <c r="T48" i="1"/>
  <c r="U48" i="1" s="1"/>
  <c r="AF18" i="1"/>
  <c r="AG18" i="1" s="1"/>
  <c r="T78" i="1"/>
  <c r="U78" i="1" s="1"/>
  <c r="Y4" i="1"/>
  <c r="Q39" i="1"/>
  <c r="AC19" i="1"/>
  <c r="Q15" i="1"/>
  <c r="Q45" i="1"/>
  <c r="AC8" i="1"/>
  <c r="AC15" i="1"/>
  <c r="AC45" i="1"/>
  <c r="W8" i="1"/>
  <c r="W4" i="1"/>
  <c r="W26" i="1"/>
  <c r="W19" i="1"/>
  <c r="Q8" i="1"/>
  <c r="K8" i="1" s="1"/>
  <c r="W11" i="1"/>
  <c r="K14" i="1"/>
  <c r="Z43" i="1"/>
  <c r="AA43" i="1" s="1"/>
  <c r="Z53" i="1"/>
  <c r="AA53" i="1" s="1"/>
  <c r="Z5" i="1"/>
  <c r="AA5" i="1" s="1"/>
  <c r="T83" i="1"/>
  <c r="U83" i="1" s="1"/>
  <c r="M11" i="1"/>
  <c r="H9" i="6" s="1"/>
  <c r="M8" i="1"/>
  <c r="H7" i="6" s="1"/>
  <c r="M26" i="1"/>
  <c r="H44" i="6" s="1"/>
  <c r="T49" i="1"/>
  <c r="U49" i="1" s="1"/>
  <c r="Z85" i="1"/>
  <c r="AA85" i="1" s="1"/>
  <c r="T85" i="1"/>
  <c r="U85" i="1" s="1"/>
  <c r="T71" i="1"/>
  <c r="U71" i="1" s="1"/>
  <c r="T44" i="1"/>
  <c r="U44" i="1" s="1"/>
  <c r="L21" i="1"/>
  <c r="G15" i="6" s="1"/>
  <c r="L22" i="1"/>
  <c r="G17" i="6" s="1"/>
  <c r="Z12" i="1"/>
  <c r="AA12" i="1" s="1"/>
  <c r="L25" i="1"/>
  <c r="X4" i="1"/>
  <c r="Z10" i="1"/>
  <c r="AA10" i="1" s="1"/>
  <c r="AF38" i="1"/>
  <c r="AG38" i="1" s="1"/>
  <c r="AF22" i="1"/>
  <c r="AG22" i="1" s="1"/>
  <c r="AF6" i="1"/>
  <c r="AG6" i="1" s="1"/>
  <c r="T7" i="1"/>
  <c r="U7" i="1" s="1"/>
  <c r="Z68" i="1"/>
  <c r="AA68" i="1" s="1"/>
  <c r="N33" i="1"/>
  <c r="O33" i="1" s="1"/>
  <c r="Z66" i="1"/>
  <c r="AA66" i="1" s="1"/>
  <c r="T18" i="1"/>
  <c r="U18" i="1" s="1"/>
  <c r="T90" i="1"/>
  <c r="U90" i="1" s="1"/>
  <c r="Z91" i="1"/>
  <c r="AA91" i="1" s="1"/>
  <c r="N18" i="1"/>
  <c r="O18" i="1" s="1"/>
  <c r="Z69" i="1"/>
  <c r="AA69" i="1" s="1"/>
  <c r="Z40" i="1"/>
  <c r="AA40" i="1" s="1"/>
  <c r="N55" i="1"/>
  <c r="O55" i="1" s="1"/>
  <c r="AF23" i="1"/>
  <c r="AG23" i="1" s="1"/>
  <c r="AF7" i="1"/>
  <c r="AG7" i="1" s="1"/>
  <c r="T86" i="1"/>
  <c r="U86" i="1" s="1"/>
  <c r="T72" i="1"/>
  <c r="U72" i="1" s="1"/>
  <c r="T60" i="1"/>
  <c r="U60" i="1" s="1"/>
  <c r="T46" i="1"/>
  <c r="T28" i="1"/>
  <c r="U28" i="1" s="1"/>
  <c r="Z90" i="1"/>
  <c r="AA90" i="1" s="1"/>
  <c r="Z77" i="1"/>
  <c r="AA77" i="1" s="1"/>
  <c r="Z64" i="1"/>
  <c r="AA64" i="1" s="1"/>
  <c r="Z78" i="1"/>
  <c r="AA78" i="1" s="1"/>
  <c r="AF34" i="1"/>
  <c r="AG34" i="1" s="1"/>
  <c r="T59" i="1"/>
  <c r="U59" i="1" s="1"/>
  <c r="AF48" i="1"/>
  <c r="AG48" i="1" s="1"/>
  <c r="AF16" i="1"/>
  <c r="L8" i="1"/>
  <c r="G7" i="6" s="1"/>
  <c r="Z29" i="1"/>
  <c r="AA29" i="1" s="1"/>
  <c r="AF47" i="1"/>
  <c r="AG47" i="1" s="1"/>
  <c r="AF14" i="1"/>
  <c r="AG14" i="1" s="1"/>
  <c r="T69" i="1"/>
  <c r="U69" i="1" s="1"/>
  <c r="T57" i="1"/>
  <c r="Z87" i="1"/>
  <c r="AA87" i="1" s="1"/>
  <c r="Z28" i="1"/>
  <c r="AA28" i="1" s="1"/>
  <c r="Z13" i="1"/>
  <c r="AA13" i="1" s="1"/>
  <c r="T61" i="1"/>
  <c r="U61" i="1" s="1"/>
  <c r="L20" i="1"/>
  <c r="G14" i="6" s="1"/>
  <c r="T68" i="1"/>
  <c r="U68" i="1" s="1"/>
  <c r="T55" i="1"/>
  <c r="U55" i="1" s="1"/>
  <c r="Z86" i="1"/>
  <c r="AA86" i="1" s="1"/>
  <c r="Z72" i="1"/>
  <c r="AA72" i="1" s="1"/>
  <c r="Z60" i="1"/>
  <c r="AA60" i="1" s="1"/>
  <c r="N44" i="1"/>
  <c r="O44" i="1" s="1"/>
  <c r="Z27" i="1"/>
  <c r="AA27" i="1" s="1"/>
  <c r="Z71" i="1"/>
  <c r="AA71" i="1" s="1"/>
  <c r="Z59" i="1"/>
  <c r="AA59" i="1" s="1"/>
  <c r="Z25" i="1"/>
  <c r="AA25" i="1" s="1"/>
  <c r="AF25" i="1"/>
  <c r="AG25" i="1" s="1"/>
  <c r="Z20" i="1"/>
  <c r="AA20" i="1" s="1"/>
  <c r="T87" i="1"/>
  <c r="U87" i="1" s="1"/>
  <c r="T47" i="1"/>
  <c r="U47" i="1" s="1"/>
  <c r="T29" i="1"/>
  <c r="U29" i="1" s="1"/>
  <c r="Z65" i="1"/>
  <c r="AA65" i="1" s="1"/>
  <c r="T80" i="1"/>
  <c r="U80" i="1" s="1"/>
  <c r="T67" i="1"/>
  <c r="U67" i="1" s="1"/>
  <c r="T54" i="1"/>
  <c r="U54" i="1" s="1"/>
  <c r="T38" i="1"/>
  <c r="U38" i="1" s="1"/>
  <c r="N6" i="1"/>
  <c r="T79" i="1"/>
  <c r="U79" i="1" s="1"/>
  <c r="T66" i="1"/>
  <c r="U66" i="1" s="1"/>
  <c r="T53" i="1"/>
  <c r="U53" i="1" s="1"/>
  <c r="T37" i="1"/>
  <c r="U37" i="1" s="1"/>
  <c r="Z84" i="1"/>
  <c r="AA84" i="1" s="1"/>
  <c r="Z70" i="1"/>
  <c r="AA70" i="1" s="1"/>
  <c r="Z58" i="1"/>
  <c r="AA58" i="1" s="1"/>
  <c r="AD4" i="1"/>
  <c r="N83" i="1"/>
  <c r="O83" i="1" s="1"/>
  <c r="AF41" i="1"/>
  <c r="AG41" i="1" s="1"/>
  <c r="AF24" i="1"/>
  <c r="AG24" i="1" s="1"/>
  <c r="AF9" i="1"/>
  <c r="AF69" i="1"/>
  <c r="AG69" i="1" s="1"/>
  <c r="M69" i="1"/>
  <c r="N69" i="1" s="1"/>
  <c r="O69" i="1" s="1"/>
  <c r="T21" i="1"/>
  <c r="U21" i="1" s="1"/>
  <c r="M21" i="1"/>
  <c r="H15" i="6" s="1"/>
  <c r="T5" i="1"/>
  <c r="M5" i="1"/>
  <c r="N5" i="1" s="1"/>
  <c r="M43" i="1"/>
  <c r="AF80" i="1"/>
  <c r="AG80" i="1" s="1"/>
  <c r="M80" i="1"/>
  <c r="N80" i="1" s="1"/>
  <c r="O80" i="1" s="1"/>
  <c r="AF67" i="1"/>
  <c r="AG67" i="1" s="1"/>
  <c r="M67" i="1"/>
  <c r="N67" i="1" s="1"/>
  <c r="O67" i="1" s="1"/>
  <c r="AF54" i="1"/>
  <c r="AG54" i="1" s="1"/>
  <c r="M54" i="1"/>
  <c r="N54" i="1" s="1"/>
  <c r="O54" i="1" s="1"/>
  <c r="R4" i="1"/>
  <c r="L4" i="1" s="1"/>
  <c r="G5" i="6" s="1"/>
  <c r="Q11" i="1"/>
  <c r="K11" i="1" s="1"/>
  <c r="M46" i="1"/>
  <c r="M45" i="1"/>
  <c r="T65" i="1"/>
  <c r="U65" i="1" s="1"/>
  <c r="T52" i="1"/>
  <c r="T36" i="1"/>
  <c r="M20" i="1"/>
  <c r="H14" i="6" s="1"/>
  <c r="Z83" i="1"/>
  <c r="AA83" i="1" s="1"/>
  <c r="N41" i="1"/>
  <c r="O41" i="1" s="1"/>
  <c r="Z24" i="1"/>
  <c r="AA24" i="1" s="1"/>
  <c r="Z9" i="1"/>
  <c r="AA9" i="1" s="1"/>
  <c r="Z33" i="1"/>
  <c r="K75" i="1"/>
  <c r="K74" i="1" s="1"/>
  <c r="AF79" i="1"/>
  <c r="AG79" i="1" s="1"/>
  <c r="M79" i="1"/>
  <c r="N79" i="1" s="1"/>
  <c r="O79" i="1" s="1"/>
  <c r="AF66" i="1"/>
  <c r="AG66" i="1" s="1"/>
  <c r="M66" i="1"/>
  <c r="N66" i="1" s="1"/>
  <c r="O66" i="1" s="1"/>
  <c r="AF53" i="1"/>
  <c r="AG53" i="1" s="1"/>
  <c r="M53" i="1"/>
  <c r="N53" i="1" s="1"/>
  <c r="O53" i="1" s="1"/>
  <c r="AF37" i="1"/>
  <c r="AG37" i="1" s="1"/>
  <c r="AF21" i="1"/>
  <c r="AG21" i="1" s="1"/>
  <c r="AF5" i="1"/>
  <c r="AG5" i="1" s="1"/>
  <c r="S4" i="1"/>
  <c r="M4" i="1" s="1"/>
  <c r="H5" i="6" s="1"/>
  <c r="L11" i="1"/>
  <c r="AF57" i="1"/>
  <c r="M57" i="1"/>
  <c r="T64" i="1"/>
  <c r="U64" i="1" s="1"/>
  <c r="L36" i="1"/>
  <c r="L35" i="1"/>
  <c r="Z82" i="1"/>
  <c r="Z55" i="1"/>
  <c r="AA55" i="1" s="1"/>
  <c r="M40" i="1"/>
  <c r="M39" i="1"/>
  <c r="Z23" i="1"/>
  <c r="AA23" i="1" s="1"/>
  <c r="Z7" i="1"/>
  <c r="AA7" i="1" s="1"/>
  <c r="L75" i="1"/>
  <c r="L74" i="1" s="1"/>
  <c r="AF91" i="1"/>
  <c r="AG91" i="1" s="1"/>
  <c r="AF78" i="1"/>
  <c r="AG78" i="1" s="1"/>
  <c r="M78" i="1"/>
  <c r="N78" i="1" s="1"/>
  <c r="O78" i="1" s="1"/>
  <c r="AF65" i="1"/>
  <c r="AG65" i="1" s="1"/>
  <c r="M65" i="1"/>
  <c r="N65" i="1" s="1"/>
  <c r="O65" i="1" s="1"/>
  <c r="AF52" i="1"/>
  <c r="M52" i="1"/>
  <c r="AF36" i="1"/>
  <c r="AF20" i="1"/>
  <c r="T23" i="1"/>
  <c r="U23" i="1" s="1"/>
  <c r="M23" i="1"/>
  <c r="H21" i="6" s="1"/>
  <c r="T77" i="1"/>
  <c r="U77" i="1" s="1"/>
  <c r="T34" i="1"/>
  <c r="U34" i="1" s="1"/>
  <c r="K20" i="1"/>
  <c r="Q35" i="1"/>
  <c r="Q51" i="1"/>
  <c r="K91" i="1"/>
  <c r="T89" i="1"/>
  <c r="U89" i="1" s="1"/>
  <c r="T76" i="1"/>
  <c r="U76" i="1" s="1"/>
  <c r="T63" i="1"/>
  <c r="U63" i="1" s="1"/>
  <c r="T17" i="1"/>
  <c r="U17" i="1" s="1"/>
  <c r="T43" i="1"/>
  <c r="Z80" i="1"/>
  <c r="AA80" i="1" s="1"/>
  <c r="Z67" i="1"/>
  <c r="AA67" i="1" s="1"/>
  <c r="Z54" i="1"/>
  <c r="AA54" i="1" s="1"/>
  <c r="Z38" i="1"/>
  <c r="AA38" i="1" s="1"/>
  <c r="M38" i="1"/>
  <c r="N38" i="1" s="1"/>
  <c r="O38" i="1" s="1"/>
  <c r="Z22" i="1"/>
  <c r="AA22" i="1" s="1"/>
  <c r="AF90" i="1"/>
  <c r="AG90" i="1" s="1"/>
  <c r="AF77" i="1"/>
  <c r="AG77" i="1" s="1"/>
  <c r="M77" i="1"/>
  <c r="N77" i="1" s="1"/>
  <c r="O77" i="1" s="1"/>
  <c r="AF64" i="1"/>
  <c r="AG64" i="1" s="1"/>
  <c r="M64" i="1"/>
  <c r="N64" i="1" s="1"/>
  <c r="O64" i="1" s="1"/>
  <c r="AF50" i="1"/>
  <c r="AG50" i="1" s="1"/>
  <c r="AF83" i="1"/>
  <c r="AG83" i="1" s="1"/>
  <c r="W15" i="1"/>
  <c r="K15" i="1" s="1"/>
  <c r="AF82" i="1"/>
  <c r="M82" i="1"/>
  <c r="N90" i="1"/>
  <c r="O90" i="1" s="1"/>
  <c r="T50" i="1"/>
  <c r="U50" i="1" s="1"/>
  <c r="K5" i="1"/>
  <c r="K21" i="1"/>
  <c r="T88" i="1"/>
  <c r="U88" i="1" s="1"/>
  <c r="T75" i="1"/>
  <c r="T62" i="1"/>
  <c r="U62" i="1" s="1"/>
  <c r="T30" i="1"/>
  <c r="U30" i="1" s="1"/>
  <c r="T16" i="1"/>
  <c r="T33" i="1"/>
  <c r="K46" i="1"/>
  <c r="W45" i="1"/>
  <c r="K45" i="1" s="1"/>
  <c r="Z79" i="1"/>
  <c r="AA79" i="1" s="1"/>
  <c r="Z37" i="1"/>
  <c r="AA37" i="1" s="1"/>
  <c r="M37" i="1"/>
  <c r="N37" i="1" s="1"/>
  <c r="O37" i="1" s="1"/>
  <c r="Z21" i="1"/>
  <c r="AA21" i="1" s="1"/>
  <c r="AC35" i="1"/>
  <c r="K52" i="1"/>
  <c r="K51" i="1" s="1"/>
  <c r="AC51" i="1"/>
  <c r="AF89" i="1"/>
  <c r="AG89" i="1" s="1"/>
  <c r="AF76" i="1"/>
  <c r="AG76" i="1" s="1"/>
  <c r="M76" i="1"/>
  <c r="N76" i="1" s="1"/>
  <c r="O76" i="1" s="1"/>
  <c r="AF63" i="1"/>
  <c r="AG63" i="1" s="1"/>
  <c r="M63" i="1"/>
  <c r="N63" i="1" s="1"/>
  <c r="O63" i="1" s="1"/>
  <c r="AF49" i="1"/>
  <c r="AG49" i="1" s="1"/>
  <c r="AF33" i="1"/>
  <c r="AF17" i="1"/>
  <c r="AG17" i="1" s="1"/>
  <c r="L15" i="1"/>
  <c r="T82" i="1"/>
  <c r="L52" i="1"/>
  <c r="L51" i="1" s="1"/>
  <c r="G48" i="6" s="1"/>
  <c r="Z36" i="1"/>
  <c r="AA36" i="1" s="1"/>
  <c r="M36" i="1"/>
  <c r="M35" i="1"/>
  <c r="AF88" i="1"/>
  <c r="AG88" i="1" s="1"/>
  <c r="M88" i="1"/>
  <c r="N88" i="1" s="1"/>
  <c r="O88" i="1" s="1"/>
  <c r="AF75" i="1"/>
  <c r="M75" i="1"/>
  <c r="AF62" i="1"/>
  <c r="AG62" i="1" s="1"/>
  <c r="M62" i="1"/>
  <c r="N62" i="1" s="1"/>
  <c r="O62" i="1" s="1"/>
  <c r="AF30" i="1"/>
  <c r="AG30" i="1" s="1"/>
  <c r="M30" i="1"/>
  <c r="N30" i="1" s="1"/>
  <c r="O30" i="1" s="1"/>
  <c r="AC26" i="1"/>
  <c r="K26" i="1" s="1"/>
  <c r="Z41" i="1"/>
  <c r="AA41" i="1" s="1"/>
  <c r="T73" i="1"/>
  <c r="U73" i="1" s="1"/>
  <c r="Z57" i="1"/>
  <c r="T13" i="1"/>
  <c r="U13" i="1" s="1"/>
  <c r="M13" i="1"/>
  <c r="N13" i="1" s="1"/>
  <c r="O13" i="1" s="1"/>
  <c r="Z50" i="1"/>
  <c r="AA50" i="1" s="1"/>
  <c r="M50" i="1"/>
  <c r="N50" i="1" s="1"/>
  <c r="O50" i="1" s="1"/>
  <c r="Z34" i="1"/>
  <c r="AA34" i="1" s="1"/>
  <c r="M34" i="1"/>
  <c r="N34" i="1" s="1"/>
  <c r="O34" i="1" s="1"/>
  <c r="AF87" i="1"/>
  <c r="AG87" i="1" s="1"/>
  <c r="M87" i="1"/>
  <c r="N87" i="1" s="1"/>
  <c r="O87" i="1" s="1"/>
  <c r="AF73" i="1"/>
  <c r="AG73" i="1" s="1"/>
  <c r="M73" i="1"/>
  <c r="N73" i="1" s="1"/>
  <c r="O73" i="1" s="1"/>
  <c r="AF61" i="1"/>
  <c r="AG61" i="1" s="1"/>
  <c r="M61" i="1"/>
  <c r="N61" i="1" s="1"/>
  <c r="O61" i="1" s="1"/>
  <c r="AF29" i="1"/>
  <c r="AG29" i="1" s="1"/>
  <c r="M29" i="1"/>
  <c r="N29" i="1" s="1"/>
  <c r="O29" i="1" s="1"/>
  <c r="AF55" i="1"/>
  <c r="AG55" i="1" s="1"/>
  <c r="L26" i="1"/>
  <c r="T40" i="1"/>
  <c r="T22" i="1"/>
  <c r="U22" i="1" s="1"/>
  <c r="M22" i="1"/>
  <c r="H17" i="6" s="1"/>
  <c r="W51" i="1"/>
  <c r="L40" i="1"/>
  <c r="L39" i="1"/>
  <c r="AF40" i="1"/>
  <c r="L24" i="1"/>
  <c r="G19" i="6" s="1"/>
  <c r="K43" i="1"/>
  <c r="W42" i="1"/>
  <c r="L23" i="1"/>
  <c r="G21" i="6" s="1"/>
  <c r="T27" i="1"/>
  <c r="T12" i="1"/>
  <c r="M12" i="1"/>
  <c r="N12" i="1" s="1"/>
  <c r="O12" i="1" s="1"/>
  <c r="L46" i="1"/>
  <c r="L45" i="1"/>
  <c r="Z89" i="1"/>
  <c r="AA89" i="1" s="1"/>
  <c r="Z76" i="1"/>
  <c r="AA76" i="1" s="1"/>
  <c r="Z63" i="1"/>
  <c r="AA63" i="1" s="1"/>
  <c r="Z49" i="1"/>
  <c r="AA49" i="1" s="1"/>
  <c r="M49" i="1"/>
  <c r="N49" i="1" s="1"/>
  <c r="O49" i="1" s="1"/>
  <c r="N17" i="1"/>
  <c r="O17" i="1" s="1"/>
  <c r="Z52" i="1"/>
  <c r="AA52" i="1" s="1"/>
  <c r="Z18" i="1"/>
  <c r="AA18" i="1" s="1"/>
  <c r="K81" i="1"/>
  <c r="L57" i="1"/>
  <c r="AF86" i="1"/>
  <c r="AG86" i="1" s="1"/>
  <c r="M86" i="1"/>
  <c r="N86" i="1" s="1"/>
  <c r="O86" i="1" s="1"/>
  <c r="AF72" i="1"/>
  <c r="AG72" i="1" s="1"/>
  <c r="M72" i="1"/>
  <c r="N72" i="1" s="1"/>
  <c r="O72" i="1" s="1"/>
  <c r="AF60" i="1"/>
  <c r="AG60" i="1" s="1"/>
  <c r="M60" i="1"/>
  <c r="N60" i="1" s="1"/>
  <c r="O60" i="1" s="1"/>
  <c r="AF46" i="1"/>
  <c r="AG46" i="1" s="1"/>
  <c r="AF28" i="1"/>
  <c r="AG28" i="1" s="1"/>
  <c r="M28" i="1"/>
  <c r="N28" i="1" s="1"/>
  <c r="O28" i="1" s="1"/>
  <c r="AF13" i="1"/>
  <c r="AG13" i="1" s="1"/>
  <c r="AF68" i="1"/>
  <c r="AG68" i="1" s="1"/>
  <c r="M68" i="1"/>
  <c r="N68" i="1" s="1"/>
  <c r="O68" i="1" s="1"/>
  <c r="T14" i="1"/>
  <c r="U14" i="1" s="1"/>
  <c r="M14" i="1"/>
  <c r="T20" i="1"/>
  <c r="Q42" i="1"/>
  <c r="T84" i="1"/>
  <c r="U84" i="1" s="1"/>
  <c r="T70" i="1"/>
  <c r="U70" i="1" s="1"/>
  <c r="T58" i="1"/>
  <c r="U58" i="1" s="1"/>
  <c r="T25" i="1"/>
  <c r="U25" i="1" s="1"/>
  <c r="M25" i="1"/>
  <c r="T10" i="1"/>
  <c r="U10" i="1" s="1"/>
  <c r="M10" i="1"/>
  <c r="N10" i="1" s="1"/>
  <c r="O10" i="1" s="1"/>
  <c r="T6" i="1"/>
  <c r="U6" i="1" s="1"/>
  <c r="K40" i="1"/>
  <c r="W39" i="1"/>
  <c r="K39" i="1" s="1"/>
  <c r="Z88" i="1"/>
  <c r="AA88" i="1" s="1"/>
  <c r="Z75" i="1"/>
  <c r="Z62" i="1"/>
  <c r="AA62" i="1" s="1"/>
  <c r="Z48" i="1"/>
  <c r="AA48" i="1" s="1"/>
  <c r="M48" i="1"/>
  <c r="N48" i="1" s="1"/>
  <c r="O48" i="1" s="1"/>
  <c r="Z46" i="1"/>
  <c r="Z17" i="1"/>
  <c r="AA17" i="1" s="1"/>
  <c r="L82" i="1"/>
  <c r="L81" i="1" s="1"/>
  <c r="AF85" i="1"/>
  <c r="AG85" i="1" s="1"/>
  <c r="M85" i="1"/>
  <c r="N85" i="1" s="1"/>
  <c r="O85" i="1" s="1"/>
  <c r="AF71" i="1"/>
  <c r="AG71" i="1" s="1"/>
  <c r="M71" i="1"/>
  <c r="N71" i="1" s="1"/>
  <c r="O71" i="1" s="1"/>
  <c r="AF59" i="1"/>
  <c r="AG59" i="1" s="1"/>
  <c r="M59" i="1"/>
  <c r="N59" i="1" s="1"/>
  <c r="O59" i="1" s="1"/>
  <c r="AF44" i="1"/>
  <c r="AG44" i="1" s="1"/>
  <c r="AF27" i="1"/>
  <c r="M27" i="1"/>
  <c r="N27" i="1" s="1"/>
  <c r="O27" i="1" s="1"/>
  <c r="AF12" i="1"/>
  <c r="K36" i="1"/>
  <c r="W35" i="1"/>
  <c r="K35" i="1" s="1"/>
  <c r="T41" i="1"/>
  <c r="U41" i="1" s="1"/>
  <c r="T24" i="1"/>
  <c r="U24" i="1" s="1"/>
  <c r="M24" i="1"/>
  <c r="H19" i="6" s="1"/>
  <c r="T9" i="1"/>
  <c r="M9" i="1"/>
  <c r="N9" i="1" s="1"/>
  <c r="O9" i="1" s="1"/>
  <c r="T91" i="1"/>
  <c r="U91" i="1" s="1"/>
  <c r="L43" i="1"/>
  <c r="Z73" i="1"/>
  <c r="AA73" i="1" s="1"/>
  <c r="Z61" i="1"/>
  <c r="AA61" i="1" s="1"/>
  <c r="Z47" i="1"/>
  <c r="AA47" i="1" s="1"/>
  <c r="M47" i="1"/>
  <c r="N47" i="1" s="1"/>
  <c r="O47" i="1" s="1"/>
  <c r="Z14" i="1"/>
  <c r="AA14" i="1" s="1"/>
  <c r="Z44" i="1"/>
  <c r="AA44" i="1" s="1"/>
  <c r="Z16" i="1"/>
  <c r="AA16" i="1" s="1"/>
  <c r="AC42" i="1"/>
  <c r="AF84" i="1"/>
  <c r="AG84" i="1" s="1"/>
  <c r="M84" i="1"/>
  <c r="N84" i="1" s="1"/>
  <c r="O84" i="1" s="1"/>
  <c r="AF70" i="1"/>
  <c r="AG70" i="1" s="1"/>
  <c r="M70" i="1"/>
  <c r="N70" i="1" s="1"/>
  <c r="O70" i="1" s="1"/>
  <c r="AF58" i="1"/>
  <c r="AG58" i="1" s="1"/>
  <c r="M58" i="1"/>
  <c r="N58" i="1" s="1"/>
  <c r="O58" i="1" s="1"/>
  <c r="AF43" i="1"/>
  <c r="AF10" i="1"/>
  <c r="AG10" i="1" s="1"/>
  <c r="AE4" i="1"/>
  <c r="Q19" i="1"/>
  <c r="D19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16" i="1"/>
  <c r="D17" i="1" s="1"/>
  <c r="D18" i="1" s="1"/>
  <c r="G13" i="6" l="1"/>
  <c r="J5" i="6"/>
  <c r="J7" i="6"/>
  <c r="K56" i="1"/>
  <c r="O6" i="1"/>
  <c r="M51" i="1"/>
  <c r="H48" i="6" s="1"/>
  <c r="H12" i="6"/>
  <c r="J12" i="6" s="1"/>
  <c r="J14" i="6"/>
  <c r="J17" i="6"/>
  <c r="J15" i="6"/>
  <c r="T42" i="1"/>
  <c r="M81" i="1"/>
  <c r="M74" i="1"/>
  <c r="M56" i="1" s="1"/>
  <c r="T26" i="1"/>
  <c r="T74" i="1"/>
  <c r="T56" i="1" s="1"/>
  <c r="T51" i="1"/>
  <c r="AG57" i="1"/>
  <c r="AG16" i="1"/>
  <c r="AG15" i="1" s="1"/>
  <c r="AF15" i="1"/>
  <c r="AG33" i="1"/>
  <c r="AG75" i="1"/>
  <c r="AG74" i="1" s="1"/>
  <c r="AF74" i="1"/>
  <c r="AF56" i="1" s="1"/>
  <c r="AG20" i="1"/>
  <c r="AG19" i="1" s="1"/>
  <c r="AF19" i="1"/>
  <c r="AA33" i="1"/>
  <c r="AA75" i="1"/>
  <c r="AA74" i="1" s="1" a="1"/>
  <c r="Z74" i="1"/>
  <c r="Z56" i="1" s="1"/>
  <c r="AG36" i="1"/>
  <c r="AG35" i="1" s="1"/>
  <c r="AF35" i="1"/>
  <c r="AG27" i="1"/>
  <c r="AG26" i="1" s="1"/>
  <c r="AF26" i="1"/>
  <c r="AA57" i="1"/>
  <c r="AG82" i="1"/>
  <c r="AG81" i="1" s="1"/>
  <c r="AF81" i="1"/>
  <c r="AG9" i="1"/>
  <c r="AG8" i="1" s="1"/>
  <c r="AF8" i="1"/>
  <c r="AG40" i="1"/>
  <c r="AG39" i="1" s="1"/>
  <c r="AF39" i="1"/>
  <c r="AG52" i="1"/>
  <c r="AG51" i="1" s="1"/>
  <c r="AF51" i="1"/>
  <c r="Z81" i="1"/>
  <c r="T15" i="1"/>
  <c r="AG12" i="1"/>
  <c r="AG11" i="1" s="1"/>
  <c r="AF11" i="1"/>
  <c r="L56" i="1"/>
  <c r="T81" i="1"/>
  <c r="T35" i="1"/>
  <c r="T39" i="1"/>
  <c r="T19" i="1"/>
  <c r="T8" i="1"/>
  <c r="U46" i="1"/>
  <c r="U45" i="1" s="1"/>
  <c r="T45" i="1"/>
  <c r="U57" i="1"/>
  <c r="H11" i="6"/>
  <c r="L19" i="1"/>
  <c r="K19" i="1"/>
  <c r="Q32" i="1"/>
  <c r="Q31" i="1" s="1"/>
  <c r="W32" i="1"/>
  <c r="W31" i="1" s="1"/>
  <c r="M19" i="1"/>
  <c r="AA35" i="1"/>
  <c r="AA4" i="1"/>
  <c r="N89" i="1"/>
  <c r="O89" i="1" s="1"/>
  <c r="AA11" i="1"/>
  <c r="N21" i="1"/>
  <c r="O21" i="1" s="1"/>
  <c r="N22" i="1"/>
  <c r="O22" i="1" s="1"/>
  <c r="N25" i="1"/>
  <c r="O25" i="1" s="1"/>
  <c r="N91" i="1"/>
  <c r="O91" i="1" s="1"/>
  <c r="N23" i="1"/>
  <c r="O23" i="1" s="1"/>
  <c r="AA39" i="1"/>
  <c r="AA8" i="1"/>
  <c r="N14" i="1"/>
  <c r="O14" i="1" s="1"/>
  <c r="AA26" i="1"/>
  <c r="Z4" i="1"/>
  <c r="Z26" i="1"/>
  <c r="Z11" i="1"/>
  <c r="Z51" i="1"/>
  <c r="N24" i="1"/>
  <c r="O24" i="1" s="1"/>
  <c r="N4" i="1"/>
  <c r="O4" i="1" s="1"/>
  <c r="N43" i="1"/>
  <c r="O43" i="1" s="1"/>
  <c r="O5" i="1"/>
  <c r="N35" i="1"/>
  <c r="O35" i="1" s="1"/>
  <c r="AA15" i="1"/>
  <c r="Z45" i="1"/>
  <c r="N15" i="1"/>
  <c r="O15" i="1" s="1"/>
  <c r="G23" i="6"/>
  <c r="N36" i="1"/>
  <c r="O36" i="1" s="1"/>
  <c r="Z19" i="1"/>
  <c r="AA19" i="1"/>
  <c r="Z8" i="1"/>
  <c r="AF4" i="1"/>
  <c r="AF42" i="1"/>
  <c r="N26" i="1"/>
  <c r="O26" i="1" s="1"/>
  <c r="G44" i="6"/>
  <c r="N20" i="1"/>
  <c r="O20" i="1" s="1"/>
  <c r="N8" i="1"/>
  <c r="O8" i="1" s="1"/>
  <c r="Z39" i="1"/>
  <c r="N11" i="1"/>
  <c r="O11" i="1" s="1"/>
  <c r="G9" i="6"/>
  <c r="AG45" i="1"/>
  <c r="U43" i="1"/>
  <c r="U42" i="1" s="1"/>
  <c r="AA46" i="1"/>
  <c r="AA45" i="1" s="1"/>
  <c r="AG4" i="1"/>
  <c r="N82" i="1"/>
  <c r="U16" i="1"/>
  <c r="U15" i="1" s="1"/>
  <c r="Z15" i="1"/>
  <c r="AG43" i="1"/>
  <c r="AG42" i="1" s="1"/>
  <c r="M42" i="1"/>
  <c r="U5" i="1"/>
  <c r="U4" i="1" s="1"/>
  <c r="T4" i="1"/>
  <c r="K42" i="1"/>
  <c r="AC32" i="1"/>
  <c r="AC31" i="1" s="1"/>
  <c r="U36" i="1"/>
  <c r="U35" i="1" s="1"/>
  <c r="U20" i="1"/>
  <c r="U19" i="1" s="1"/>
  <c r="U75" i="1"/>
  <c r="U74" i="1" s="1" a="1"/>
  <c r="Z35" i="1"/>
  <c r="N39" i="1"/>
  <c r="O39" i="1" s="1"/>
  <c r="AA82" i="1"/>
  <c r="AA81" i="1" s="1"/>
  <c r="U27" i="1"/>
  <c r="U26" i="1" s="1"/>
  <c r="N45" i="1"/>
  <c r="O45" i="1" s="1"/>
  <c r="U9" i="1"/>
  <c r="U8" i="1" s="1"/>
  <c r="AA51" i="1"/>
  <c r="U52" i="1"/>
  <c r="U51" i="1" s="1"/>
  <c r="Z42" i="1"/>
  <c r="AF45" i="1"/>
  <c r="AA42" i="1"/>
  <c r="N75" i="1"/>
  <c r="N52" i="1"/>
  <c r="L42" i="1"/>
  <c r="U12" i="1"/>
  <c r="U11" i="1" s="1"/>
  <c r="T11" i="1"/>
  <c r="U82" i="1"/>
  <c r="U81" i="1" s="1"/>
  <c r="N40" i="1"/>
  <c r="O40" i="1" s="1"/>
  <c r="N57" i="1"/>
  <c r="U40" i="1"/>
  <c r="U39" i="1" s="1"/>
  <c r="U33" i="1"/>
  <c r="N46" i="1"/>
  <c r="O46" i="1" s="1"/>
  <c r="J9" i="6" l="1"/>
  <c r="K5" i="6"/>
  <c r="K7" i="6"/>
  <c r="K23" i="6"/>
  <c r="U32" i="1"/>
  <c r="U31" i="1" s="1"/>
  <c r="T32" i="1"/>
  <c r="T31" i="1" s="1"/>
  <c r="K14" i="6"/>
  <c r="AF32" i="1"/>
  <c r="AF31" i="1" s="1"/>
  <c r="Z32" i="1"/>
  <c r="Z31" i="1" s="1"/>
  <c r="AA32" i="1"/>
  <c r="AA31" i="1" s="1"/>
  <c r="O82" i="1"/>
  <c r="O81" i="1" s="1"/>
  <c r="N81" i="1"/>
  <c r="O57" i="1"/>
  <c r="AG32" i="1"/>
  <c r="AG31" i="1" s="1"/>
  <c r="O52" i="1"/>
  <c r="O51" i="1" s="1"/>
  <c r="N51" i="1"/>
  <c r="O75" i="1"/>
  <c r="O74" i="1" s="1" a="1"/>
  <c r="N74" i="1"/>
  <c r="N56" i="1" s="1"/>
  <c r="AG56" i="1"/>
  <c r="N19" i="1"/>
  <c r="O19" i="1" s="1"/>
  <c r="N42" i="1"/>
  <c r="O42" i="1" s="1"/>
  <c r="G11" i="6"/>
  <c r="L32" i="1"/>
  <c r="M32" i="1"/>
  <c r="K32" i="1"/>
  <c r="K31" i="1" s="1"/>
  <c r="J11" i="6" l="1"/>
  <c r="K11" i="6" s="1"/>
  <c r="K9" i="6"/>
  <c r="L31" i="1"/>
  <c r="G28" i="6"/>
  <c r="G37" i="6"/>
  <c r="H28" i="6"/>
  <c r="H37" i="6"/>
  <c r="M31" i="1"/>
  <c r="N32" i="1"/>
  <c r="O32" i="1" s="1"/>
  <c r="K26" i="6" l="1"/>
  <c r="K15" i="6"/>
  <c r="N31" i="1"/>
  <c r="O31" i="1" s="1"/>
  <c r="H52" i="6" l="1"/>
  <c r="H54" i="6" s="1"/>
  <c r="H88" i="6" l="1"/>
  <c r="G52" i="6" l="1"/>
  <c r="G54" i="6" l="1"/>
  <c r="G88" i="6" l="1"/>
  <c r="AI74" i="1" l="1"/>
  <c r="AI56" i="1" s="1"/>
  <c r="AH74" i="1"/>
  <c r="AH56" i="1" s="1"/>
  <c r="AB74" i="1"/>
  <c r="AB56" i="1" s="1"/>
  <c r="AA74" i="1"/>
  <c r="AA56" i="1" s="1"/>
  <c r="V74" i="1"/>
  <c r="V56" i="1" s="1"/>
  <c r="U74" i="1"/>
  <c r="U56" i="1" s="1"/>
  <c r="O74" i="1"/>
  <c r="O56" i="1" s="1"/>
  <c r="K12" i="6" l="1"/>
  <c r="K17" i="6" l="1"/>
  <c r="J19" i="6" l="1"/>
  <c r="K19" i="6" l="1"/>
  <c r="J21" i="6"/>
  <c r="J52" i="6" l="1"/>
  <c r="K21" i="6"/>
  <c r="K13" i="6" l="1"/>
  <c r="K52" i="6" s="1"/>
  <c r="K54" i="6" s="1"/>
  <c r="K88" i="6" s="1"/>
  <c r="J5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<sst xmlns="http://schemas.openxmlformats.org/spreadsheetml/2006/main" count="73011" uniqueCount="2313">
  <si>
    <t>Company Code</t>
  </si>
  <si>
    <t>Reference document category</t>
  </si>
  <si>
    <t>Document Date</t>
  </si>
  <si>
    <t>Object</t>
  </si>
  <si>
    <t>CO object name</t>
  </si>
  <si>
    <t>Reference item</t>
  </si>
  <si>
    <t>Name</t>
  </si>
  <si>
    <t>WBS Element</t>
  </si>
  <si>
    <t>Ref Document Number</t>
  </si>
  <si>
    <t>Plan/COCurrency</t>
  </si>
  <si>
    <t>Quantity/plan</t>
  </si>
  <si>
    <t>Val/COArea Crcy</t>
  </si>
  <si>
    <t>Total Quantity</t>
  </si>
  <si>
    <t>Transaction Currency</t>
  </si>
  <si>
    <t>Value TranCurr</t>
  </si>
  <si>
    <t>Unit of Measure</t>
  </si>
  <si>
    <t>Cost element descr.</t>
  </si>
  <si>
    <t>Deletion Indicator</t>
  </si>
  <si>
    <t>Supplier</t>
  </si>
  <si>
    <t>User Name</t>
  </si>
  <si>
    <t>Acct assgnmnt number</t>
  </si>
  <si>
    <t>Business Transaction</t>
  </si>
  <si>
    <t>Cost element</t>
  </si>
  <si>
    <t>Cost element name</t>
  </si>
  <si>
    <t>Debit date</t>
  </si>
  <si>
    <t>Dr/Cr indicator</t>
  </si>
  <si>
    <t>Exchange Rate</t>
  </si>
  <si>
    <t>Fiscal Year</t>
  </si>
  <si>
    <t>Ledger</t>
  </si>
  <si>
    <t>Material</t>
  </si>
  <si>
    <t>Material Description</t>
  </si>
  <si>
    <t>Period</t>
  </si>
  <si>
    <t>Project Definition</t>
  </si>
  <si>
    <t>Deadline item</t>
  </si>
  <si>
    <t>Material Group</t>
  </si>
  <si>
    <t>Object Currency</t>
  </si>
  <si>
    <t>Object type</t>
  </si>
  <si>
    <t>Plan Val. RCrcy</t>
  </si>
  <si>
    <t>Plan/ObjectCur.</t>
  </si>
  <si>
    <t>Plan/TC</t>
  </si>
  <si>
    <t>Reference doc. type</t>
  </si>
  <si>
    <t>Report currency</t>
  </si>
  <si>
    <t>Val.in rep.cur.</t>
  </si>
  <si>
    <t>Value in Obj. Crcy</t>
  </si>
  <si>
    <t>Value Type</t>
  </si>
  <si>
    <t>Version</t>
  </si>
  <si>
    <t>Trading partner</t>
  </si>
  <si>
    <t>6210</t>
  </si>
  <si>
    <t>H-63A1-08-01-06-02</t>
  </si>
  <si>
    <t>Structure of SGR</t>
  </si>
  <si>
    <t>STEEL STRUCTURE</t>
  </si>
  <si>
    <t>INR</t>
  </si>
  <si>
    <t>MT</t>
  </si>
  <si>
    <t>Stock of Project Material-Domestic</t>
  </si>
  <si>
    <t/>
  </si>
  <si>
    <t>INOV10908</t>
  </si>
  <si>
    <t>1</t>
  </si>
  <si>
    <t>12211000</t>
  </si>
  <si>
    <t>Stk of Prj Mat-Dom</t>
  </si>
  <si>
    <t>D</t>
  </si>
  <si>
    <t>1.00000</t>
  </si>
  <si>
    <t>2025</t>
  </si>
  <si>
    <t>0</t>
  </si>
  <si>
    <t>9922030783</t>
  </si>
  <si>
    <t>10</t>
  </si>
  <si>
    <t>H-63A1</t>
  </si>
  <si>
    <t>6889</t>
  </si>
  <si>
    <t>WBS element</t>
  </si>
  <si>
    <t>WBS</t>
  </si>
  <si>
    <t>21</t>
  </si>
  <si>
    <t>M2</t>
  </si>
  <si>
    <t>8080</t>
  </si>
  <si>
    <t>6787</t>
  </si>
  <si>
    <t>EA</t>
  </si>
  <si>
    <t>9922</t>
  </si>
  <si>
    <t>M</t>
  </si>
  <si>
    <t>7471</t>
  </si>
  <si>
    <t>H-63A1-08-01-03-02</t>
  </si>
  <si>
    <t>Structure of PCS</t>
  </si>
  <si>
    <t>MS STEEL/GALVENIZED STRUCTURE</t>
  </si>
  <si>
    <t>30133704</t>
  </si>
  <si>
    <t>9922219693</t>
  </si>
  <si>
    <t>H-63WG-08-01-02</t>
  </si>
  <si>
    <t>Transformer</t>
  </si>
  <si>
    <t>OIL STORAGE TANK</t>
  </si>
  <si>
    <t>30151450</t>
  </si>
  <si>
    <t>2026</t>
  </si>
  <si>
    <t>9922139723</t>
  </si>
  <si>
    <t>9</t>
  </si>
  <si>
    <t>H-63WG</t>
  </si>
  <si>
    <t>6190</t>
  </si>
  <si>
    <t>H-63WF-08-01-02</t>
  </si>
  <si>
    <t>FOUNDATION ITEMS</t>
  </si>
  <si>
    <t>QUCO10224</t>
  </si>
  <si>
    <t>9922390669</t>
  </si>
  <si>
    <t>H-63WF</t>
  </si>
  <si>
    <t>H-63WG-08-01-05-02</t>
  </si>
  <si>
    <t>Structure of MCR</t>
  </si>
  <si>
    <t>11</t>
  </si>
  <si>
    <t>SECONDARY,MEMBERS,AS,PER,SPEC</t>
  </si>
  <si>
    <t>9922290768</t>
  </si>
  <si>
    <t>PREFABRICATED STRUCTURE</t>
  </si>
  <si>
    <t>9922540112</t>
  </si>
  <si>
    <t>8186</t>
  </si>
  <si>
    <t>BOLT,ANCHOR F/STEEL STRUCTURES</t>
  </si>
  <si>
    <t>9922031243</t>
  </si>
  <si>
    <t>7843</t>
  </si>
  <si>
    <t>PIPE HANDRAILS,MS</t>
  </si>
  <si>
    <t>9922540605</t>
  </si>
  <si>
    <t>H-63WG-08-01-06-02</t>
  </si>
  <si>
    <t>H-63WG-08-01-03-02</t>
  </si>
  <si>
    <t>H-63WD-08-01-05-02</t>
  </si>
  <si>
    <t>H-63WD</t>
  </si>
  <si>
    <t>5110</t>
  </si>
  <si>
    <t>H-5XWF-04</t>
  </si>
  <si>
    <t>TRANSFORMER,CONVERTER DUTY,18/20MVA</t>
  </si>
  <si>
    <t>6542020464</t>
  </si>
  <si>
    <t>H-5XWF</t>
  </si>
  <si>
    <t>6542</t>
  </si>
  <si>
    <t>NITROGEN BASED FIRE FIGHTING SYSTEM</t>
  </si>
  <si>
    <t>9922210993</t>
  </si>
  <si>
    <t>9630</t>
  </si>
  <si>
    <t>H-51X9-06-04</t>
  </si>
  <si>
    <t>Electrical Erection</t>
  </si>
  <si>
    <t>CABLE CLAMP</t>
  </si>
  <si>
    <t>6964901143</t>
  </si>
  <si>
    <t>H-51X9</t>
  </si>
  <si>
    <t>6964</t>
  </si>
  <si>
    <t>6781</t>
  </si>
  <si>
    <t>H-5XA1-06-04</t>
  </si>
  <si>
    <t>H-5XA1</t>
  </si>
  <si>
    <t>H-5XA2-06-04</t>
  </si>
  <si>
    <t>H-5XA2</t>
  </si>
  <si>
    <t>H-5XWD-06-04</t>
  </si>
  <si>
    <t>H-5XWD</t>
  </si>
  <si>
    <t>H-5XWF-06-04</t>
  </si>
  <si>
    <t>H-5XWG-06-04</t>
  </si>
  <si>
    <t>H-5XWG</t>
  </si>
  <si>
    <t>H-6074-10-01</t>
  </si>
  <si>
    <t>Construction Power</t>
  </si>
  <si>
    <t>DIESEL</t>
  </si>
  <si>
    <t>L</t>
  </si>
  <si>
    <t>9922070283</t>
  </si>
  <si>
    <t>H-6074</t>
  </si>
  <si>
    <t>8705</t>
  </si>
  <si>
    <t>H-51N3-10-03</t>
  </si>
  <si>
    <t>Site Office &amp; Store Setup</t>
  </si>
  <si>
    <t>2</t>
  </si>
  <si>
    <t>H-51N3</t>
  </si>
  <si>
    <t>7969</t>
  </si>
  <si>
    <t>H-6497-10-03</t>
  </si>
  <si>
    <t>SLEEPER,PINE WOOD,300X250X2440MM</t>
  </si>
  <si>
    <t>9384850008</t>
  </si>
  <si>
    <t>H-6497</t>
  </si>
  <si>
    <t>9384</t>
  </si>
  <si>
    <t>H-51N2-10-03</t>
  </si>
  <si>
    <t>H-51N2</t>
  </si>
  <si>
    <t>H-6074-10-03</t>
  </si>
  <si>
    <t>H-63A1-04</t>
  </si>
  <si>
    <t>AU</t>
  </si>
  <si>
    <t>Services for Projects</t>
  </si>
  <si>
    <t>53010350</t>
  </si>
  <si>
    <t>Services for Project</t>
  </si>
  <si>
    <t>6590</t>
  </si>
  <si>
    <t>H-63A2-08-01-02</t>
  </si>
  <si>
    <t>30106153</t>
  </si>
  <si>
    <t>12</t>
  </si>
  <si>
    <t>H-63A2</t>
  </si>
  <si>
    <t>H-63X9-08-03</t>
  </si>
  <si>
    <t>H-63X9</t>
  </si>
  <si>
    <t>H-63A2-08-01-04</t>
  </si>
  <si>
    <t>H-63A2-08-01-05-01</t>
  </si>
  <si>
    <t>Civil of MCR</t>
  </si>
  <si>
    <t>H-63A2-08-01-06-01</t>
  </si>
  <si>
    <t>Civil of SGR</t>
  </si>
  <si>
    <t>H-63A2-08-05</t>
  </si>
  <si>
    <t>H-63A2-08-01-05-02</t>
  </si>
  <si>
    <t>H-63A2-08-01-06-02</t>
  </si>
  <si>
    <t>H-63A2-08-01-03-02</t>
  </si>
  <si>
    <t>H-63X9-08-01-03-02</t>
  </si>
  <si>
    <t>H-63A1-08-01-02</t>
  </si>
  <si>
    <t>H-63A1-08-01-03-01</t>
  </si>
  <si>
    <t>Civil of PCS</t>
  </si>
  <si>
    <t>H-63X9-08-01-05-02</t>
  </si>
  <si>
    <t>H-63X9-08-01-06-02</t>
  </si>
  <si>
    <t>H-63A1-08-01-04</t>
  </si>
  <si>
    <t>H-63A1-08-03</t>
  </si>
  <si>
    <t>H-63A1-08-05</t>
  </si>
  <si>
    <t>H-63A1-08-01-05-02</t>
  </si>
  <si>
    <t>3</t>
  </si>
  <si>
    <t>H-6074-07-01</t>
  </si>
  <si>
    <t>Engineering Consultancy</t>
  </si>
  <si>
    <t>H-6764-07-01</t>
  </si>
  <si>
    <t>H-6764</t>
  </si>
  <si>
    <t>H-51N2-07-01</t>
  </si>
  <si>
    <t>H-51N3-07-02</t>
  </si>
  <si>
    <t>Grid Modelling</t>
  </si>
  <si>
    <t>H-51N2-10-01</t>
  </si>
  <si>
    <t>H-6764-10-01</t>
  </si>
  <si>
    <t>H-63A2-08-01-01</t>
  </si>
  <si>
    <t>Battery container</t>
  </si>
  <si>
    <t>H-63A2-08-01-03-01</t>
  </si>
  <si>
    <t>H-63A1-08-01-01</t>
  </si>
  <si>
    <t>H-63A1-08-01-06-01</t>
  </si>
  <si>
    <t>H-63X9-08-01-01</t>
  </si>
  <si>
    <t>H-63X9-08-01-02</t>
  </si>
  <si>
    <t>H-63X9-08-01-03-01</t>
  </si>
  <si>
    <t>H-63X9-08-01-06-01</t>
  </si>
  <si>
    <t>H-63WF-08-03</t>
  </si>
  <si>
    <t>H-63WD-08-02-02</t>
  </si>
  <si>
    <t>Earth work</t>
  </si>
  <si>
    <t>H-63WD-08-03</t>
  </si>
  <si>
    <t>H-63WD-08-01-02</t>
  </si>
  <si>
    <t>QUCO10624</t>
  </si>
  <si>
    <t>6</t>
  </si>
  <si>
    <t>H-63WG-08-01-01</t>
  </si>
  <si>
    <t>H-63WG-08-01-03-01</t>
  </si>
  <si>
    <t>H-63WG-08-01-06-01</t>
  </si>
  <si>
    <t>H-63WF-08-01-01</t>
  </si>
  <si>
    <t>H-63WF-08-01-03-01</t>
  </si>
  <si>
    <t>H-63WF-08-01-06-01</t>
  </si>
  <si>
    <t>H-63WD-08-01-01</t>
  </si>
  <si>
    <t>H-63WD-08-01-03-01</t>
  </si>
  <si>
    <t>H-63WD-08-01-06-01</t>
  </si>
  <si>
    <t>H-63WD-08-01-04</t>
  </si>
  <si>
    <t>H-63WD-08-01-05-01</t>
  </si>
  <si>
    <t>Testing, Inspection &amp; Survey Fees</t>
  </si>
  <si>
    <t>53010000</t>
  </si>
  <si>
    <t>Tst, Insp &amp; Srvy Fee</t>
  </si>
  <si>
    <t>H-63WF-08-01-05-01</t>
  </si>
  <si>
    <t>H-63WG-08-01-05-01</t>
  </si>
  <si>
    <t>H-63WF-04</t>
  </si>
  <si>
    <t>QUCO10359</t>
  </si>
  <si>
    <t>H-63WF-05-03</t>
  </si>
  <si>
    <t>H-63WF-06-01</t>
  </si>
  <si>
    <t>7</t>
  </si>
  <si>
    <t>H-63WF-06-04</t>
  </si>
  <si>
    <t>H-63WF-06-05</t>
  </si>
  <si>
    <t>H-63WF-06-02</t>
  </si>
  <si>
    <t>H-51N3-07-01</t>
  </si>
  <si>
    <t>H-63WG-05-03</t>
  </si>
  <si>
    <t>H-63WG-04</t>
  </si>
  <si>
    <t>H-63WG-06-04</t>
  </si>
  <si>
    <t>H-63WG-06-02</t>
  </si>
  <si>
    <t>H-63WG-06-01</t>
  </si>
  <si>
    <t>H-63WG-06-05</t>
  </si>
  <si>
    <t>H-63WD-04</t>
  </si>
  <si>
    <t>H-63WD-06-01</t>
  </si>
  <si>
    <t>4</t>
  </si>
  <si>
    <t>H-63WD-05-03</t>
  </si>
  <si>
    <t>8</t>
  </si>
  <si>
    <t>H-63WD-06-02</t>
  </si>
  <si>
    <t>H-63WD-06-04</t>
  </si>
  <si>
    <t>H-63WD-06-05</t>
  </si>
  <si>
    <t>H-63A1-05-03</t>
  </si>
  <si>
    <t>H-63A1-06-01</t>
  </si>
  <si>
    <t>H-63A1-06-04</t>
  </si>
  <si>
    <t>H-63A1-06-05</t>
  </si>
  <si>
    <t>H-63A1-06-02</t>
  </si>
  <si>
    <t>H-63A2-04</t>
  </si>
  <si>
    <t>H-63A2-06-01</t>
  </si>
  <si>
    <t>H-63A2-05-03</t>
  </si>
  <si>
    <t>H-63A2-06-02</t>
  </si>
  <si>
    <t>H-63A2-06-04</t>
  </si>
  <si>
    <t>H-63A2-06-05</t>
  </si>
  <si>
    <t>H-63X9-04</t>
  </si>
  <si>
    <t>H-63X9-06-01</t>
  </si>
  <si>
    <t>H-63X9-05-03</t>
  </si>
  <si>
    <t>H-63X9-06-02</t>
  </si>
  <si>
    <t>H-63X9-06-04</t>
  </si>
  <si>
    <t>H-63X9-06-05</t>
  </si>
  <si>
    <t>H-51I4-10-10</t>
  </si>
  <si>
    <t>Manpower &amp; Equipment Hiring</t>
  </si>
  <si>
    <t>QUCO10262</t>
  </si>
  <si>
    <t>H-51I4</t>
  </si>
  <si>
    <t>H-51N3-10-10</t>
  </si>
  <si>
    <t>H-6074-10-10</t>
  </si>
  <si>
    <t>RCSL10061</t>
  </si>
  <si>
    <t>H-6764-10-10</t>
  </si>
  <si>
    <t>H-63X9-05-02</t>
  </si>
  <si>
    <t>30151022</t>
  </si>
  <si>
    <t>H-6497-10-10</t>
  </si>
  <si>
    <t>30074569</t>
  </si>
  <si>
    <t>H-6764-10-03</t>
  </si>
  <si>
    <t>H-51I4-10-03</t>
  </si>
  <si>
    <t>H-63A1-05-01</t>
  </si>
  <si>
    <t>USD</t>
  </si>
  <si>
    <t>H-51N2-10-10</t>
  </si>
  <si>
    <t>H-63A1-05-02</t>
  </si>
  <si>
    <t>H-63A2-05-02</t>
  </si>
  <si>
    <t>H-63A1-06-06</t>
  </si>
  <si>
    <t>Fire Alarm system</t>
  </si>
  <si>
    <t>FIRE ALARM CONTROL PANEL</t>
  </si>
  <si>
    <t>6781251453</t>
  </si>
  <si>
    <t>6002</t>
  </si>
  <si>
    <t>REPEATER PANEL,PN:MOF709601001</t>
  </si>
  <si>
    <t>9699900026</t>
  </si>
  <si>
    <t>SMOKE DETECTOR,SERIES:65,APOLLO</t>
  </si>
  <si>
    <t>9661230511</t>
  </si>
  <si>
    <t>9699</t>
  </si>
  <si>
    <t>MANUAL CALL POINTS</t>
  </si>
  <si>
    <t>7138491203</t>
  </si>
  <si>
    <t>MANUAL CALL POINT MDL:BF-502</t>
  </si>
  <si>
    <t>6787914283</t>
  </si>
  <si>
    <t>MODULE,230V,MM:JAV016,JVS</t>
  </si>
  <si>
    <t>1376250021</t>
  </si>
  <si>
    <t>1399</t>
  </si>
  <si>
    <t>MODULE,DUAL RELAY CONN,PN:88167</t>
  </si>
  <si>
    <t>1399010225</t>
  </si>
  <si>
    <t>MODULE,PN:RPS-1000,APLX</t>
  </si>
  <si>
    <t>1813258353</t>
  </si>
  <si>
    <t>3005</t>
  </si>
  <si>
    <t>ELECTRONIC HOOTER</t>
  </si>
  <si>
    <t>9922356553</t>
  </si>
  <si>
    <t>ENGINE PANEL HOOTER-24V DC</t>
  </si>
  <si>
    <t>9922542413</t>
  </si>
  <si>
    <t>CABLE,1.1KV,2CX1.5MM2,CU,HR-PVC,YY,FRLS</t>
  </si>
  <si>
    <t>6843020046</t>
  </si>
  <si>
    <t>6877</t>
  </si>
  <si>
    <t>FLEXIBLE CABLE,2CX1.5MM2</t>
  </si>
  <si>
    <t>6843902383</t>
  </si>
  <si>
    <t>CABLE,POWER,YWY,1.1KV,3CX2.5MM2,PVC,ST2</t>
  </si>
  <si>
    <t>6843140098</t>
  </si>
  <si>
    <t>EARTHING CABLE</t>
  </si>
  <si>
    <t>9922218403</t>
  </si>
  <si>
    <t>6843</t>
  </si>
  <si>
    <t>CABLE,UTP,CAT6-A,ARMOURED CABLE</t>
  </si>
  <si>
    <t>7153121653</t>
  </si>
  <si>
    <t>7153</t>
  </si>
  <si>
    <t>PVC CONDUIT PIPE 25MM</t>
  </si>
  <si>
    <t>7471011353</t>
  </si>
  <si>
    <t>INSULATION,SHEET,9MM,NBR,W/PROT COATING</t>
  </si>
  <si>
    <t>2940055823</t>
  </si>
  <si>
    <t>2940</t>
  </si>
  <si>
    <t>CONDUIT,GI</t>
  </si>
  <si>
    <t>LOT</t>
  </si>
  <si>
    <t>9922058703</t>
  </si>
  <si>
    <t>TERMINATIONS,CABLE GLANDS &amp; LUGS</t>
  </si>
  <si>
    <t>9922410873</t>
  </si>
  <si>
    <t>GLAND,CABLE</t>
  </si>
  <si>
    <t>9922133293</t>
  </si>
  <si>
    <t>INSTALLATION ACCESSORIES</t>
  </si>
  <si>
    <t>SET</t>
  </si>
  <si>
    <t>7782990368</t>
  </si>
  <si>
    <t>7787</t>
  </si>
  <si>
    <t>LOCAL AREA FIRE ALARM PANEL</t>
  </si>
  <si>
    <t>9630300093</t>
  </si>
  <si>
    <t>H-63X9-06-06</t>
  </si>
  <si>
    <t>H-63WG-06-06</t>
  </si>
  <si>
    <t>H-63A2-06-06</t>
  </si>
  <si>
    <t>H-63WF-06-06</t>
  </si>
  <si>
    <t>H-63WD-06-06</t>
  </si>
  <si>
    <t>H-51X9-03-01</t>
  </si>
  <si>
    <t>EMS Supply</t>
  </si>
  <si>
    <t>ENERGY MANAGEMENT SYSTEM</t>
  </si>
  <si>
    <t>133634</t>
  </si>
  <si>
    <t>RMBE</t>
  </si>
  <si>
    <t>9922310642</t>
  </si>
  <si>
    <t>P</t>
  </si>
  <si>
    <t>22</t>
  </si>
  <si>
    <t>H-5XA1-03-01</t>
  </si>
  <si>
    <t>123467</t>
  </si>
  <si>
    <t>H-5XA2-04</t>
  </si>
  <si>
    <t>232077</t>
  </si>
  <si>
    <t>AUTO10039</t>
  </si>
  <si>
    <t>H-5XA2-13</t>
  </si>
  <si>
    <t>O&amp;M Spares</t>
  </si>
  <si>
    <t>WF-BATCH</t>
  </si>
  <si>
    <t>NEEC211121</t>
  </si>
  <si>
    <t>BUSHING,ELECTRICAL,ABB SWEDEN,400V,40A</t>
  </si>
  <si>
    <t>6542300273</t>
  </si>
  <si>
    <t>LV BUSHINGS WITH METAL PARTS</t>
  </si>
  <si>
    <t>9922153193</t>
  </si>
  <si>
    <t>6791</t>
  </si>
  <si>
    <t>INDICATOR,TEMP,PN:6005AHX,SCIECONT</t>
  </si>
  <si>
    <t>5999979843</t>
  </si>
  <si>
    <t>WINDING TEMPERATURE INDICATOR</t>
  </si>
  <si>
    <t>5999977643</t>
  </si>
  <si>
    <t>VALVE SET</t>
  </si>
  <si>
    <t>9922435153</t>
  </si>
  <si>
    <t>DIAL TYPE THERMOMETER</t>
  </si>
  <si>
    <t>5999977633</t>
  </si>
  <si>
    <t>6789</t>
  </si>
  <si>
    <t>GAUGE,MAGNETIC OIL LEVEL</t>
  </si>
  <si>
    <t>NO</t>
  </si>
  <si>
    <t>9922130013</t>
  </si>
  <si>
    <t>SILICA GEL BREATHER</t>
  </si>
  <si>
    <t>9922035603</t>
  </si>
  <si>
    <t>GASKET SET,PN:02937594,JLG</t>
  </si>
  <si>
    <t>1104080066</t>
  </si>
  <si>
    <t>1104</t>
  </si>
  <si>
    <t>BUCHHOLZ RELAY</t>
  </si>
  <si>
    <t>9922035623</t>
  </si>
  <si>
    <t>FUSE,EM:ALG-125:UC1,NANIWA</t>
  </si>
  <si>
    <t>1299951040</t>
  </si>
  <si>
    <t>1299</t>
  </si>
  <si>
    <t>CONTACTOR,PN:CS94107,L&amp;T</t>
  </si>
  <si>
    <t>1714010239</t>
  </si>
  <si>
    <t>1707</t>
  </si>
  <si>
    <t>VALVE,PRESSURE RELIEF</t>
  </si>
  <si>
    <t>9922435543</t>
  </si>
  <si>
    <t>SWITCH,SEL,CONTROL,XB5AD,3POS,STAY PUT</t>
  </si>
  <si>
    <t>3042012063</t>
  </si>
  <si>
    <t>9675</t>
  </si>
  <si>
    <t>SELECTOR SWITCH</t>
  </si>
  <si>
    <t>9922090353</t>
  </si>
  <si>
    <t>6779</t>
  </si>
  <si>
    <t>CT FOR WINDING TEMPERATURE</t>
  </si>
  <si>
    <t>9922514803</t>
  </si>
  <si>
    <t>1807</t>
  </si>
  <si>
    <t>BUSHING,125CT51073</t>
  </si>
  <si>
    <t>2220097326</t>
  </si>
  <si>
    <t>2220</t>
  </si>
  <si>
    <t>RADIATOR,PN:4058422,TIL</t>
  </si>
  <si>
    <t>1254180001</t>
  </si>
  <si>
    <t>OIL,INSULATING,12KV,0.89,22 CST (20 C )</t>
  </si>
  <si>
    <t>9922151403</t>
  </si>
  <si>
    <t>CONNECTING BUS BAR</t>
  </si>
  <si>
    <t>1908904566</t>
  </si>
  <si>
    <t>1908</t>
  </si>
  <si>
    <t>1908904548</t>
  </si>
  <si>
    <t>CYLINDER,PN:340303850,ELGI</t>
  </si>
  <si>
    <t>1513992673</t>
  </si>
  <si>
    <t>1532</t>
  </si>
  <si>
    <t>DETECTOR,FIRE,PN:FS4101A,CTR MFR</t>
  </si>
  <si>
    <t>9630300005</t>
  </si>
  <si>
    <t>REGULATOR,PN:35315795,IR</t>
  </si>
  <si>
    <t>1502100016</t>
  </si>
  <si>
    <t>BOARD,SGNL,PN:H-BTSD21,HANAEVER</t>
  </si>
  <si>
    <t>6002407513</t>
  </si>
  <si>
    <t>H-5XA1-04</t>
  </si>
  <si>
    <t>254968</t>
  </si>
  <si>
    <t>H-5XA1-13</t>
  </si>
  <si>
    <t>H-5XA2-03-01</t>
  </si>
  <si>
    <t>106177</t>
  </si>
  <si>
    <t>H-5XA1-06-03</t>
  </si>
  <si>
    <t>CABLE,ELE ARM,19/33KV,AL,XLPE,3C,400MM2</t>
  </si>
  <si>
    <t>109921</t>
  </si>
  <si>
    <t>6843021383</t>
  </si>
  <si>
    <t>H-51X9-06-03</t>
  </si>
  <si>
    <t>H-51X9-04</t>
  </si>
  <si>
    <t>H-51X9-06-01</t>
  </si>
  <si>
    <t>PANEL,HT,TYPE:OUTDOOR,33KV,1250A,25KA</t>
  </si>
  <si>
    <t>121597</t>
  </si>
  <si>
    <t>6781438053</t>
  </si>
  <si>
    <t>BUS EARTHING TRUCK,33KV</t>
  </si>
  <si>
    <t>6795577253</t>
  </si>
  <si>
    <t>CABLE EARTHING TRUCK,33KV</t>
  </si>
  <si>
    <t>6795577263</t>
  </si>
  <si>
    <t>6795</t>
  </si>
  <si>
    <t>PUSH BUTTON,STATION</t>
  </si>
  <si>
    <t>6792080023</t>
  </si>
  <si>
    <t>6055</t>
  </si>
  <si>
    <t>BREAKER,VCB,33KV,1250A,3P,31.5KA</t>
  </si>
  <si>
    <t>6718203283</t>
  </si>
  <si>
    <t>6794</t>
  </si>
  <si>
    <t>SPOUT,CIRCUIT,1250A,PN:MVIF00073-01</t>
  </si>
  <si>
    <t>6794770317</t>
  </si>
  <si>
    <t>SPRING CHARGING MOTOR FOR HT SWITCH GEAR</t>
  </si>
  <si>
    <t>9922252283</t>
  </si>
  <si>
    <t>6603</t>
  </si>
  <si>
    <t>AUX.CONTACT SET</t>
  </si>
  <si>
    <t>9922252303</t>
  </si>
  <si>
    <t>LIMIT SWITCH FOR HT SWITCH GEAR</t>
  </si>
  <si>
    <t>9922252313</t>
  </si>
  <si>
    <t>FIXED CONTACT F/BREAKER</t>
  </si>
  <si>
    <t>9922113573</t>
  </si>
  <si>
    <t>MOVING CONTACT F/CITCUIT BREAKER</t>
  </si>
  <si>
    <t>9922256213</t>
  </si>
  <si>
    <t>CLOSING COIL OF EACH TYPE</t>
  </si>
  <si>
    <t>9922302763</t>
  </si>
  <si>
    <t>TRIPPING COIL OF EACH TYPE</t>
  </si>
  <si>
    <t>9922302773</t>
  </si>
  <si>
    <t>BUSBAR SUPPORTING INSULATOR</t>
  </si>
  <si>
    <t>6795151603</t>
  </si>
  <si>
    <t>CURRENT TRANSFORMER</t>
  </si>
  <si>
    <t>9911052223</t>
  </si>
  <si>
    <t>9911</t>
  </si>
  <si>
    <t>POTENTIAL TRANSFORMER</t>
  </si>
  <si>
    <t>9922302803</t>
  </si>
  <si>
    <t>VOLTMETER</t>
  </si>
  <si>
    <t>9922430713</t>
  </si>
  <si>
    <t>MULTIFUNCTION METER</t>
  </si>
  <si>
    <t>9922255193</t>
  </si>
  <si>
    <t>ABT METERING SYSTEM</t>
  </si>
  <si>
    <t>9911011843</t>
  </si>
  <si>
    <t>NUMERICAL RELAY EACH TYPE</t>
  </si>
  <si>
    <t>9922152923</t>
  </si>
  <si>
    <t>ASSY/PARTS,AUX RELAY</t>
  </si>
  <si>
    <t>1707021058</t>
  </si>
  <si>
    <t>AUXILIARY CONTACTOR AC-OPERATED,230V</t>
  </si>
  <si>
    <t>9922542723</t>
  </si>
  <si>
    <t>SWITCH,CONTROL,TY:TNC</t>
  </si>
  <si>
    <t>9922379573</t>
  </si>
  <si>
    <t>LOCAL/REMOTE SELECTOR SWITCH</t>
  </si>
  <si>
    <t>6794972989</t>
  </si>
  <si>
    <t>FUSE OF EACH TYPE&amp;RATING</t>
  </si>
  <si>
    <t>9922113093</t>
  </si>
  <si>
    <t>INDICATING LAMPS</t>
  </si>
  <si>
    <t>9911170183</t>
  </si>
  <si>
    <t>CONTROL TERMINAL BLOCKS</t>
  </si>
  <si>
    <t>9911052083</t>
  </si>
  <si>
    <t>BREAKER,MCB,6A,2P</t>
  </si>
  <si>
    <t>6794660133</t>
  </si>
  <si>
    <t>SURGE ARRESTERS WITH SURGE COUNTER</t>
  </si>
  <si>
    <t>9922218663</t>
  </si>
  <si>
    <t>MULTI PIN PLUG (INTERNAL CONTROL WIRE CO</t>
  </si>
  <si>
    <t>9911250263</t>
  </si>
  <si>
    <t>SPACE HEATER</t>
  </si>
  <si>
    <t>6795210261</t>
  </si>
  <si>
    <t>CLAMP METER (DIGITAL)</t>
  </si>
  <si>
    <t>6048973213</t>
  </si>
  <si>
    <t>MEGGER</t>
  </si>
  <si>
    <t>9911250223</t>
  </si>
  <si>
    <t>265201</t>
  </si>
  <si>
    <t>BOLT,ANCHOR,F/MPH</t>
  </si>
  <si>
    <t>9922257663</t>
  </si>
  <si>
    <t>GALVALUME CLADDING SHEET,TCT,0.5MM</t>
  </si>
  <si>
    <t>8067051323</t>
  </si>
  <si>
    <t>H-5XA1-06-01</t>
  </si>
  <si>
    <t>H-5XA2-06-01</t>
  </si>
  <si>
    <t>POWER DISTRIBUTION BOARD</t>
  </si>
  <si>
    <t>105854</t>
  </si>
  <si>
    <t>9922318303</t>
  </si>
  <si>
    <t>105608</t>
  </si>
  <si>
    <t>H-5XWG-06-01</t>
  </si>
  <si>
    <t>H-5XWD-06-01</t>
  </si>
  <si>
    <t>H-5XWF-06-01</t>
  </si>
  <si>
    <t>H-5XWD-06-05</t>
  </si>
  <si>
    <t>OPTICAL FIBRE CABLE</t>
  </si>
  <si>
    <t>9911350077</t>
  </si>
  <si>
    <t>H-5XWF-06-05</t>
  </si>
  <si>
    <t>H-5XWG-06-05</t>
  </si>
  <si>
    <t>H-5XWD-03-01</t>
  </si>
  <si>
    <t>H-5XWF-03-01</t>
  </si>
  <si>
    <t>H-5XWG-03-01</t>
  </si>
  <si>
    <t>H-51X9-06-05</t>
  </si>
  <si>
    <t>CABLE,ARM FIRE,1.1KV,CU,PVC,12C,1.5MM2</t>
  </si>
  <si>
    <t>102229</t>
  </si>
  <si>
    <t>6843070053</t>
  </si>
  <si>
    <t>CABLE,ARM,650/1100V,CU,XLPE,6C,2.5MM2</t>
  </si>
  <si>
    <t>6843080464</t>
  </si>
  <si>
    <t>CABLE,ELEC,ARMRD,1.1KV,CU,PVC,2C,2.5MM2</t>
  </si>
  <si>
    <t>6843030733</t>
  </si>
  <si>
    <t>CABLE,ELE ARM,1.1KV,CU,PVC,4P,0.5MM2</t>
  </si>
  <si>
    <t>6843030303</t>
  </si>
  <si>
    <t>CABLE,ELE ARM,CU,PVC,6C,1.5MM2</t>
  </si>
  <si>
    <t>6843121153</t>
  </si>
  <si>
    <t>CABLE,PN:RS485,AB</t>
  </si>
  <si>
    <t>6002493093</t>
  </si>
  <si>
    <t>H-5XWF-06-03</t>
  </si>
  <si>
    <t>CABLE,ARM,XLPE,AL,33KV,3CX400SQMM</t>
  </si>
  <si>
    <t>6843020079</t>
  </si>
  <si>
    <t>H-5XWD-06-03</t>
  </si>
  <si>
    <t>H-5XA1-06-05</t>
  </si>
  <si>
    <t>H-5XA2-06-05</t>
  </si>
  <si>
    <t>30131930</t>
  </si>
  <si>
    <t>H-5XWD-04</t>
  </si>
  <si>
    <t>H-5XWD-13</t>
  </si>
  <si>
    <t>H-5XWG-04</t>
  </si>
  <si>
    <t>SUB-STATION,COMPACT</t>
  </si>
  <si>
    <t>273230</t>
  </si>
  <si>
    <t>QUCO10283</t>
  </si>
  <si>
    <t>9911373543</t>
  </si>
  <si>
    <t>5</t>
  </si>
  <si>
    <t>H-5XWG-13</t>
  </si>
  <si>
    <t>H-5XWF-06-02</t>
  </si>
  <si>
    <t>PERFORATED PRECAST SQUARE COVER</t>
  </si>
  <si>
    <t>254711</t>
  </si>
  <si>
    <t>9922540001</t>
  </si>
  <si>
    <t>SUPPLY OF BEAM</t>
  </si>
  <si>
    <t>9911370443</t>
  </si>
  <si>
    <t>7890</t>
  </si>
  <si>
    <t>265604</t>
  </si>
  <si>
    <t>30146385</t>
  </si>
  <si>
    <t>58C0</t>
  </si>
  <si>
    <t>254496</t>
  </si>
  <si>
    <t>H-5XA1-06-02</t>
  </si>
  <si>
    <t>CABLE,ELE,ARMRD,3.3KV,AL,XLPE,1C,400MM2</t>
  </si>
  <si>
    <t>6843021273</t>
  </si>
  <si>
    <t>CABLE,1.1KV,3.5CX300MM2,AL,XLPE,A2XFY</t>
  </si>
  <si>
    <t>6843021663</t>
  </si>
  <si>
    <t>H-5XA2-06-02</t>
  </si>
  <si>
    <t>H-5XWD-06-02</t>
  </si>
  <si>
    <t>FLEXIBLE COPPER CABLE 1CX70SQMM</t>
  </si>
  <si>
    <t>111618</t>
  </si>
  <si>
    <t>6843160093</t>
  </si>
  <si>
    <t>58P0</t>
  </si>
  <si>
    <t>HARDWARE</t>
  </si>
  <si>
    <t>9922310697</t>
  </si>
  <si>
    <t>PIPE PVC 32MM</t>
  </si>
  <si>
    <t>7471011713</t>
  </si>
  <si>
    <t>AIR CONDITIONER,SPLIT,1.5 T,INDR,5 STAR</t>
  </si>
  <si>
    <t>2940051753</t>
  </si>
  <si>
    <t>FIRE EXTINGUISHER-6 KG. CAPACITY</t>
  </si>
  <si>
    <t>8003011273</t>
  </si>
  <si>
    <t>8003</t>
  </si>
  <si>
    <t>WIRE,ELE,CU,1CX4MM2</t>
  </si>
  <si>
    <t>6801730523</t>
  </si>
  <si>
    <t>WIRE,CU FLEXIBLE PVC 2.5MM2</t>
  </si>
  <si>
    <t>6843907255</t>
  </si>
  <si>
    <t>WIRE,ELE,CU,1CX1.5MM2</t>
  </si>
  <si>
    <t>6801730533</t>
  </si>
  <si>
    <t>CNDT ELEC,PVC,CONDUIT,BLK,1.5MM,25MM,M</t>
  </si>
  <si>
    <t>7004040143</t>
  </si>
  <si>
    <t>SWITCHBOARD,SURFACE,8MOD</t>
  </si>
  <si>
    <t>6781243603</t>
  </si>
  <si>
    <t>BOARD,SWITCH,BOX SURFACE,5A,240VAC</t>
  </si>
  <si>
    <t>6781243593</t>
  </si>
  <si>
    <t>SWITCH BOARD W/15A SWITCH &amp; 5/15A SOCKET</t>
  </si>
  <si>
    <t>6795544503</t>
  </si>
  <si>
    <t>GLAND,CABLE,DOUBLE COMP,12MM</t>
  </si>
  <si>
    <t>6877160135</t>
  </si>
  <si>
    <t>LUG,RING,BI-METAL,M12,55MM</t>
  </si>
  <si>
    <t>6877200236</t>
  </si>
  <si>
    <t>CABLE,GLAND,3.5CX300MM2,AL XLPE</t>
  </si>
  <si>
    <t>6877150713</t>
  </si>
  <si>
    <t>CABLE GLAND,BI-MET LUG,SOCKET,3.5CX50MM2</t>
  </si>
  <si>
    <t>6877160753</t>
  </si>
  <si>
    <t>LUG,CABLE,RING,BI-METALLIC,300MM2,M16</t>
  </si>
  <si>
    <t>6877200231</t>
  </si>
  <si>
    <t>END TERMINATION,LT CABLE,3CX2.5</t>
  </si>
  <si>
    <t>6843902183</t>
  </si>
  <si>
    <t>KIT,CABLE JOINT,ST,CU,1.1KV,5CX2.5 SQMM</t>
  </si>
  <si>
    <t>6877510157</t>
  </si>
  <si>
    <t>1.1KV CABLE TERMINATION FOR 7CX2.5 PVC</t>
  </si>
  <si>
    <t>9922217253</t>
  </si>
  <si>
    <t>1.1KV CABLE TERMINATION FOR 4CX6 SQ.MM</t>
  </si>
  <si>
    <t>9922217283</t>
  </si>
  <si>
    <t>LUG CBL,CU,70MM2</t>
  </si>
  <si>
    <t>6878900543</t>
  </si>
  <si>
    <t>GLAND CABLE,DBL,FLMPRF,BRSS,18.5-20MM</t>
  </si>
  <si>
    <t>6877150893</t>
  </si>
  <si>
    <t>GLAND,CABLE,SW19,M16X1.5</t>
  </si>
  <si>
    <t>6521110454</t>
  </si>
  <si>
    <t>6523</t>
  </si>
  <si>
    <t>CABLE GLAND BRASS WITH NICKEL PLATED</t>
  </si>
  <si>
    <t>9922535393</t>
  </si>
  <si>
    <t>GLAND,CABLE,PN:53113530,LAPP</t>
  </si>
  <si>
    <t>6877151633</t>
  </si>
  <si>
    <t>GLAND CABLE,DBL,BRS,12.5-16MM</t>
  </si>
  <si>
    <t>6877150483</t>
  </si>
  <si>
    <t>GLAND,CABLE,F/EARTH CABLE</t>
  </si>
  <si>
    <t>9922510107</t>
  </si>
  <si>
    <t>CABLE GLAND,BRASS,F/LT CABLES</t>
  </si>
  <si>
    <t>9922054223</t>
  </si>
  <si>
    <t>GLAND CABLE,DBL,BRS,8-12MM</t>
  </si>
  <si>
    <t>6877150493</t>
  </si>
  <si>
    <t>CABLE GLAND,DOUBLE,MM:CBW01,COMET</t>
  </si>
  <si>
    <t>6877151473</t>
  </si>
  <si>
    <t>9922330013</t>
  </si>
  <si>
    <t>LUG,EARTHING,GALVANISED STEEL</t>
  </si>
  <si>
    <t>6877200125</t>
  </si>
  <si>
    <t>LUG,CABLE,TUBULAR,CU,6MM2,F/EARTHING</t>
  </si>
  <si>
    <t>6877200028</t>
  </si>
  <si>
    <t>JNT/TERM KIT,ST,1.1KV,AR-XLPE,3.5CX50MM2</t>
  </si>
  <si>
    <t>6877170283</t>
  </si>
  <si>
    <t>LIGHTING POLE,PN:BSGPE09,BAJAJ</t>
  </si>
  <si>
    <t>6964210683</t>
  </si>
  <si>
    <t>SAFETY EQUIPMENTS</t>
  </si>
  <si>
    <t>9922373103</t>
  </si>
  <si>
    <t>227140</t>
  </si>
  <si>
    <t>30144257</t>
  </si>
  <si>
    <t>SEALING KIT,HT CABLE,PN:7000031487</t>
  </si>
  <si>
    <t>6877170061</t>
  </si>
  <si>
    <t>FAN,SWEEP CEILING,1200MM</t>
  </si>
  <si>
    <t>9922112803</t>
  </si>
  <si>
    <t>234734</t>
  </si>
  <si>
    <t>H-63WD-08-01-06-02</t>
  </si>
  <si>
    <t>H-63WD-08-01-03-02</t>
  </si>
  <si>
    <t>H-63WF-08-01-05-02</t>
  </si>
  <si>
    <t>H-63WF-08-01-06-02</t>
  </si>
  <si>
    <t>H-63WF-08-01-03-02</t>
  </si>
  <si>
    <t>254275</t>
  </si>
  <si>
    <t>LIGHTING MAST HEIGHT 20 MTR</t>
  </si>
  <si>
    <t>6964020093</t>
  </si>
  <si>
    <t>PIPE,RCC,NP3,300MM</t>
  </si>
  <si>
    <t>7482120653</t>
  </si>
  <si>
    <t>198963</t>
  </si>
  <si>
    <t>H-51N2-07-04</t>
  </si>
  <si>
    <t>228025</t>
  </si>
  <si>
    <t>30182985</t>
  </si>
  <si>
    <t>H-6074-07-04</t>
  </si>
  <si>
    <t>H-51I4-07-04</t>
  </si>
  <si>
    <t>H-51N3-07-04</t>
  </si>
  <si>
    <t>H-6497-07-04</t>
  </si>
  <si>
    <t>H-6764-07-04</t>
  </si>
  <si>
    <t>SPECIAL TOOL&amp;TACKLE</t>
  </si>
  <si>
    <t>9922399993</t>
  </si>
  <si>
    <t>8395</t>
  </si>
  <si>
    <t>H-51X9-02-01</t>
  </si>
  <si>
    <t>PCS Supply</t>
  </si>
  <si>
    <t>POWER CONDITIONING SYSTEM</t>
  </si>
  <si>
    <t>310141</t>
  </si>
  <si>
    <t>90.37020</t>
  </si>
  <si>
    <t>9922270895</t>
  </si>
  <si>
    <t>H-5XA2-02-01</t>
  </si>
  <si>
    <t>90.38830</t>
  </si>
  <si>
    <t>H-5XA1-02-01</t>
  </si>
  <si>
    <t>306819</t>
  </si>
  <si>
    <t>H-5XWG-02-01</t>
  </si>
  <si>
    <t>H-5XWF-02-01</t>
  </si>
  <si>
    <t>H-5XWD-02-01</t>
  </si>
  <si>
    <t>H-5XWF-01-01</t>
  </si>
  <si>
    <t>BESS Containers</t>
  </si>
  <si>
    <t>CONTAINERIZED BESS SOLUTION</t>
  </si>
  <si>
    <t>9922270892</t>
  </si>
  <si>
    <t>H-51X9-01-01</t>
  </si>
  <si>
    <t>309733</t>
  </si>
  <si>
    <t>90.39570</t>
  </si>
  <si>
    <t>H-5XA1-01-01</t>
  </si>
  <si>
    <t>309851</t>
  </si>
  <si>
    <t>90.40060</t>
  </si>
  <si>
    <t>H-5XA2-01-01</t>
  </si>
  <si>
    <t>H-63A2-05-01</t>
  </si>
  <si>
    <t>93.44040</t>
  </si>
  <si>
    <t>H-5XWG-01-01</t>
  </si>
  <si>
    <t>H-5XWD-01-01</t>
  </si>
  <si>
    <t>135641</t>
  </si>
  <si>
    <t>58Q0</t>
  </si>
  <si>
    <t>H-63A1-08-01-05-01</t>
  </si>
  <si>
    <t>H-51I4-07-02</t>
  </si>
  <si>
    <t>180260</t>
  </si>
  <si>
    <t>H-6497-07-02</t>
  </si>
  <si>
    <t>H-51N2-07-02</t>
  </si>
  <si>
    <t>270319</t>
  </si>
  <si>
    <t>30134222</t>
  </si>
  <si>
    <t>H-63X9-08-01-05-01</t>
  </si>
  <si>
    <t>285131</t>
  </si>
  <si>
    <t>H-63X9-08-01-04</t>
  </si>
  <si>
    <t>H-63X9-08-05</t>
  </si>
  <si>
    <t>H-63WG-08-01-04</t>
  </si>
  <si>
    <t>H-63WG-08-05</t>
  </si>
  <si>
    <t>H-63WF-08-05</t>
  </si>
  <si>
    <t>H-63WF-08-01-04</t>
  </si>
  <si>
    <t>H-63A2-08-03</t>
  </si>
  <si>
    <t>237013</t>
  </si>
  <si>
    <t>H-63WG-08-03</t>
  </si>
  <si>
    <t>168415</t>
  </si>
  <si>
    <t>258799</t>
  </si>
  <si>
    <t>H-6497-07-01</t>
  </si>
  <si>
    <t>H-51I4-07-01</t>
  </si>
  <si>
    <t>215788</t>
  </si>
  <si>
    <t>100808</t>
  </si>
  <si>
    <t>H-63X9-06-03</t>
  </si>
  <si>
    <t>H-63A1-06-03</t>
  </si>
  <si>
    <t>H-63A2-06-03</t>
  </si>
  <si>
    <t>H-63WD-06-03</t>
  </si>
  <si>
    <t>H-63WD-08-05</t>
  </si>
  <si>
    <t>264124</t>
  </si>
  <si>
    <t>256640</t>
  </si>
  <si>
    <t>H-63WF-06-03</t>
  </si>
  <si>
    <t>H-63WG-06-03</t>
  </si>
  <si>
    <t>H-6074-07-02</t>
  </si>
  <si>
    <t>H-6764-07-02</t>
  </si>
  <si>
    <t>H-51I4-10-02</t>
  </si>
  <si>
    <t>Area Lighting</t>
  </si>
  <si>
    <t>H-63X9-05-01</t>
  </si>
  <si>
    <t>207677</t>
  </si>
  <si>
    <t>H-51N3-10-02</t>
  </si>
  <si>
    <t>H-6497-10-02</t>
  </si>
  <si>
    <t>H-51N2-10-02</t>
  </si>
  <si>
    <t>H-6764-10-02</t>
  </si>
  <si>
    <t>H-6074-10-02</t>
  </si>
  <si>
    <t>INOV10544</t>
  </si>
  <si>
    <t>155134</t>
  </si>
  <si>
    <t>2700</t>
  </si>
  <si>
    <t>QUCO10092</t>
  </si>
  <si>
    <t>H-6074-12</t>
  </si>
  <si>
    <t>PMC Fee</t>
  </si>
  <si>
    <t>404953</t>
  </si>
  <si>
    <t>5900</t>
  </si>
  <si>
    <t>H-6497-12</t>
  </si>
  <si>
    <t>H-6764-12</t>
  </si>
  <si>
    <t>190190</t>
  </si>
  <si>
    <t>H-51I4-12</t>
  </si>
  <si>
    <t>H-51N3-12</t>
  </si>
  <si>
    <t>H-51N2-12</t>
  </si>
  <si>
    <t>H-6497-10-01</t>
  </si>
  <si>
    <t>H-51N3-10-01</t>
  </si>
  <si>
    <t>H-51I4-10-01</t>
  </si>
  <si>
    <t>H-51I4-10-14</t>
  </si>
  <si>
    <t>Geo Tech Charges</t>
  </si>
  <si>
    <t>H-51N3-10-14</t>
  </si>
  <si>
    <t>H-6497-10-14</t>
  </si>
  <si>
    <t>259381</t>
  </si>
  <si>
    <t>H-6074-10-18-03</t>
  </si>
  <si>
    <t>227930</t>
  </si>
  <si>
    <t>H-6764-10-18-03</t>
  </si>
  <si>
    <t>H-51N2-10-18-03</t>
  </si>
  <si>
    <t>H-6497-10-18-03</t>
  </si>
  <si>
    <t>H-51I4-10-18-03</t>
  </si>
  <si>
    <t>H-51N3-10-18-03</t>
  </si>
  <si>
    <t>H-6074-09-02</t>
  </si>
  <si>
    <t>ISA Charges</t>
  </si>
  <si>
    <t>ISA</t>
  </si>
  <si>
    <t>187429</t>
  </si>
  <si>
    <t>H-6764-09-02</t>
  </si>
  <si>
    <t>H-51N2-09-02</t>
  </si>
  <si>
    <t>H-6764-09-03</t>
  </si>
  <si>
    <t>ESIA Charges</t>
  </si>
  <si>
    <t>219017</t>
  </si>
  <si>
    <t>H-6074-09-03</t>
  </si>
  <si>
    <t>H-51N2-09-03</t>
  </si>
  <si>
    <t>H-6074-10-09</t>
  </si>
  <si>
    <t>IT Infrastructure</t>
  </si>
  <si>
    <t>101352</t>
  </si>
  <si>
    <t>93.83510</t>
  </si>
  <si>
    <t>221380</t>
  </si>
  <si>
    <t>Document Number</t>
  </si>
  <si>
    <t>Posting Date</t>
  </si>
  <si>
    <t>Created on</t>
  </si>
  <si>
    <t>Item</t>
  </si>
  <si>
    <t>Purchase order text</t>
  </si>
  <si>
    <t>Cost Element</t>
  </si>
  <si>
    <t>Var.val.in rep.cur.</t>
  </si>
  <si>
    <t>Total quantity</t>
  </si>
  <si>
    <t>Posted unit of meas.</t>
  </si>
  <si>
    <t>Document type</t>
  </si>
  <si>
    <t>CO area currency</t>
  </si>
  <si>
    <t>Purchasing Document</t>
  </si>
  <si>
    <t>Document Header Text</t>
  </si>
  <si>
    <t>Offsetting acct no.</t>
  </si>
  <si>
    <t>Name of offsetting account</t>
  </si>
  <si>
    <t>Plant</t>
  </si>
  <si>
    <t>H-51I4-09-01</t>
  </si>
  <si>
    <t>Land Lease Charges</t>
  </si>
  <si>
    <t>H-51N3-09-01</t>
  </si>
  <si>
    <t>51N2</t>
  </si>
  <si>
    <t>6074</t>
  </si>
  <si>
    <t>6764</t>
  </si>
  <si>
    <t>6211</t>
  </si>
  <si>
    <t>H-5XA2-06-03</t>
  </si>
  <si>
    <t>51XA</t>
  </si>
  <si>
    <t>H-51N2-09-01</t>
  </si>
  <si>
    <t>51X9</t>
  </si>
  <si>
    <t>H-51X9-06-02</t>
  </si>
  <si>
    <t>Professional &amp; Consultancy Fees</t>
  </si>
  <si>
    <t>H-5XA2-11-02</t>
  </si>
  <si>
    <t>Finance Cost - Outside</t>
  </si>
  <si>
    <t>H-51X9-11-02</t>
  </si>
  <si>
    <t>H-6497-09-01</t>
  </si>
  <si>
    <t>125284</t>
  </si>
  <si>
    <t>H-5XWG-06-02</t>
  </si>
  <si>
    <t>51WG</t>
  </si>
  <si>
    <t>H-5XWG-06-03</t>
  </si>
  <si>
    <t>51WD</t>
  </si>
  <si>
    <t>H-5XWG-15</t>
  </si>
  <si>
    <t>H-6764-15</t>
  </si>
  <si>
    <t>H-63X9-15</t>
  </si>
  <si>
    <t>H-6497-15</t>
  </si>
  <si>
    <t>H-51I4-15</t>
  </si>
  <si>
    <t>H-63A1-15</t>
  </si>
  <si>
    <t>H-63A2-15</t>
  </si>
  <si>
    <t>H-6074-15</t>
  </si>
  <si>
    <t>H-51N2-15</t>
  </si>
  <si>
    <t>H-63WD-15</t>
  </si>
  <si>
    <t>H-5XA1-15</t>
  </si>
  <si>
    <t>H-5XA2-15</t>
  </si>
  <si>
    <t>H-51X9-15</t>
  </si>
  <si>
    <t>H-6764-09-01</t>
  </si>
  <si>
    <t>H-6764-10-12</t>
  </si>
  <si>
    <t>H-6764-11-03</t>
  </si>
  <si>
    <t>IDC - Group</t>
  </si>
  <si>
    <t>H-6764-16</t>
  </si>
  <si>
    <t>H-6074-09-01</t>
  </si>
  <si>
    <t>H-6074-16</t>
  </si>
  <si>
    <t>H-5XA2-11-04</t>
  </si>
  <si>
    <t>IDC - Outside</t>
  </si>
  <si>
    <t>H-5XA1-11-04</t>
  </si>
  <si>
    <t>H-5XWG-11-02</t>
  </si>
  <si>
    <t>H-5XA1-11-02</t>
  </si>
  <si>
    <t>H-5XWD-11-02</t>
  </si>
  <si>
    <t>H-51X9-11-04</t>
  </si>
  <si>
    <t>H-6764-11-02</t>
  </si>
  <si>
    <t>H-6764-11-07</t>
  </si>
  <si>
    <t>Interest Income - Outside</t>
  </si>
  <si>
    <t>H-51X9-16</t>
  </si>
  <si>
    <t>51WF</t>
  </si>
  <si>
    <t>Object number</t>
  </si>
  <si>
    <t>Total budget in report currency</t>
  </si>
  <si>
    <t>H-51I4-07</t>
  </si>
  <si>
    <t>H-51I4-09</t>
  </si>
  <si>
    <t>Land Cost</t>
  </si>
  <si>
    <t>H-51I4-10</t>
  </si>
  <si>
    <t>Pre-operative Expenses</t>
  </si>
  <si>
    <t>H-51I4-10-08</t>
  </si>
  <si>
    <t>Security</t>
  </si>
  <si>
    <t>H-51I4-10-09</t>
  </si>
  <si>
    <t>H-51I4-10-18</t>
  </si>
  <si>
    <t>Statutory Charges</t>
  </si>
  <si>
    <t>H-51N2-07</t>
  </si>
  <si>
    <t>H-51N2-09</t>
  </si>
  <si>
    <t>H-51N2-10</t>
  </si>
  <si>
    <t>H-51N2-10-08</t>
  </si>
  <si>
    <t>H-51N2-10-09</t>
  </si>
  <si>
    <t>H-51N2-10-18</t>
  </si>
  <si>
    <t>H-51N3-07</t>
  </si>
  <si>
    <t>H-51N3-09</t>
  </si>
  <si>
    <t>H-51N3-10</t>
  </si>
  <si>
    <t>H-51N3-10-08</t>
  </si>
  <si>
    <t>H-51N3-10-09</t>
  </si>
  <si>
    <t>H-51N3-10-18</t>
  </si>
  <si>
    <t>WBS H-51X9</t>
  </si>
  <si>
    <t>H-51X9-01</t>
  </si>
  <si>
    <t>WBS H-51X9-01</t>
  </si>
  <si>
    <t>BESS Package</t>
  </si>
  <si>
    <t>WBS H-51X9-01-01</t>
  </si>
  <si>
    <t>H-51X9-02</t>
  </si>
  <si>
    <t>WBS H-51X9-02</t>
  </si>
  <si>
    <t>PCS Package</t>
  </si>
  <si>
    <t>WBS H-51X9-02-01</t>
  </si>
  <si>
    <t>H-51X9-03</t>
  </si>
  <si>
    <t>WBS H-51X9-03</t>
  </si>
  <si>
    <t>EMS Package</t>
  </si>
  <si>
    <t>WBS H-51X9-03-01</t>
  </si>
  <si>
    <t>WBS H-51X9-04</t>
  </si>
  <si>
    <t>H-51X9-06</t>
  </si>
  <si>
    <t>WBS H-51X9-06</t>
  </si>
  <si>
    <t>BOS Electrical Package</t>
  </si>
  <si>
    <t>WBS H-51X9-06-01</t>
  </si>
  <si>
    <t>WBS H-51X9-06-02</t>
  </si>
  <si>
    <t>WBS H-51X9-06-03</t>
  </si>
  <si>
    <t>WBS H-51X9-06-04</t>
  </si>
  <si>
    <t>WBS H-51X9-06-05</t>
  </si>
  <si>
    <t>H-51X9-06-06</t>
  </si>
  <si>
    <t>WBS H-51X9-06-06</t>
  </si>
  <si>
    <t>H-51X9-11</t>
  </si>
  <si>
    <t>WBS H-51X9-11</t>
  </si>
  <si>
    <t>Finance &amp; IDC</t>
  </si>
  <si>
    <t>WBS H-51X9-11-02</t>
  </si>
  <si>
    <t>WBS H-51X9-11-04</t>
  </si>
  <si>
    <t>WBS H-51X9-15</t>
  </si>
  <si>
    <t>WBS H-5XA1</t>
  </si>
  <si>
    <t>H-5XA1-01</t>
  </si>
  <si>
    <t>WBS H-5XA1-01</t>
  </si>
  <si>
    <t>WBS H-5XA1-01-01</t>
  </si>
  <si>
    <t>H-5XA1-02</t>
  </si>
  <si>
    <t>WBS H-5XA1-02</t>
  </si>
  <si>
    <t>WBS H-5XA1-02-01</t>
  </si>
  <si>
    <t>H-5XA1-03</t>
  </si>
  <si>
    <t>WBS H-5XA1-03</t>
  </si>
  <si>
    <t>WBS H-5XA1-03-01</t>
  </si>
  <si>
    <t>WBS H-5XA1-04</t>
  </si>
  <si>
    <t>H-5XA1-06</t>
  </si>
  <si>
    <t>WBS H-5XA1-06</t>
  </si>
  <si>
    <t>WBS H-5XA1-06-01</t>
  </si>
  <si>
    <t>WBS H-5XA1-06-02</t>
  </si>
  <si>
    <t>WBS H-5XA1-06-03</t>
  </si>
  <si>
    <t>WBS H-5XA1-06-04</t>
  </si>
  <si>
    <t>WBS H-5XA1-06-05</t>
  </si>
  <si>
    <t>H-5XA1-06-06</t>
  </si>
  <si>
    <t>WBS H-5XA1-06-06</t>
  </si>
  <si>
    <t>H-5XA1-11</t>
  </si>
  <si>
    <t>WBS H-5XA1-11</t>
  </si>
  <si>
    <t>WBS H-5XA1-11-02</t>
  </si>
  <si>
    <t>WBS H-5XA1-13</t>
  </si>
  <si>
    <t>WBS H-5XA1-15</t>
  </si>
  <si>
    <t>WBS H-5XA2</t>
  </si>
  <si>
    <t>H-5XA2-01</t>
  </si>
  <si>
    <t>WBS H-5XA2-01</t>
  </si>
  <si>
    <t>WBS H-5XA2-01-01</t>
  </si>
  <si>
    <t>H-5XA2-02</t>
  </si>
  <si>
    <t>WBS H-5XA2-02</t>
  </si>
  <si>
    <t>WBS H-5XA2-02-01</t>
  </si>
  <si>
    <t>H-5XA2-03</t>
  </si>
  <si>
    <t>WBS H-5XA2-03</t>
  </si>
  <si>
    <t>WBS H-5XA2-03-01</t>
  </si>
  <si>
    <t>WBS H-5XA2-04</t>
  </si>
  <si>
    <t>H-5XA2-06</t>
  </si>
  <si>
    <t>WBS H-5XA2-06</t>
  </si>
  <si>
    <t>WBS H-5XA2-06-01</t>
  </si>
  <si>
    <t>WBS H-5XA2-06-02</t>
  </si>
  <si>
    <t>WBS H-5XA2-06-03</t>
  </si>
  <si>
    <t>WBS H-5XA2-06-04</t>
  </si>
  <si>
    <t>WBS H-5XA2-06-05</t>
  </si>
  <si>
    <t>H-5XA2-06-06</t>
  </si>
  <si>
    <t>WBS H-5XA2-06-06</t>
  </si>
  <si>
    <t>H-5XA2-11</t>
  </si>
  <si>
    <t>WBS H-5XA2-11</t>
  </si>
  <si>
    <t>WBS H-5XA2-11-02</t>
  </si>
  <si>
    <t>WBS H-5XA2-13</t>
  </si>
  <si>
    <t>WBS H-5XA2-15</t>
  </si>
  <si>
    <t>H-5XWD-01</t>
  </si>
  <si>
    <t>H-5XWD-02</t>
  </si>
  <si>
    <t>H-5XWD-03</t>
  </si>
  <si>
    <t>H-5XWD-06</t>
  </si>
  <si>
    <t>H-5XWD-11</t>
  </si>
  <si>
    <t>H-5XWF-01</t>
  </si>
  <si>
    <t>H-5XWF-02</t>
  </si>
  <si>
    <t>H-5XWF-03</t>
  </si>
  <si>
    <t>H-5XWF-06</t>
  </si>
  <si>
    <t>H-5XWG-01</t>
  </si>
  <si>
    <t>H-5XWG-02</t>
  </si>
  <si>
    <t>H-5XWG-03</t>
  </si>
  <si>
    <t>H-5XWG-06</t>
  </si>
  <si>
    <t>H-5XWG-11</t>
  </si>
  <si>
    <t>WBS H-6074</t>
  </si>
  <si>
    <t>H-6074-07</t>
  </si>
  <si>
    <t>WBS H-6074-07</t>
  </si>
  <si>
    <t>WBS H-6074-07-01</t>
  </si>
  <si>
    <t>WBS H-6074-07-02</t>
  </si>
  <si>
    <t>WBS H-6074-07-04</t>
  </si>
  <si>
    <t>H-6074-09</t>
  </si>
  <si>
    <t>WBS H-6074-09</t>
  </si>
  <si>
    <t>WBS H-6074-09-01</t>
  </si>
  <si>
    <t>WBS H-6074-09-02</t>
  </si>
  <si>
    <t>WBS H-6074-09-03</t>
  </si>
  <si>
    <t>H-6074-09-04</t>
  </si>
  <si>
    <t>WBS H-6074-09-04</t>
  </si>
  <si>
    <t>Other Statutory Charges</t>
  </si>
  <si>
    <t>H-6074-10</t>
  </si>
  <si>
    <t>WBS H-6074-10</t>
  </si>
  <si>
    <t>WBS H-6074-10-01</t>
  </si>
  <si>
    <t>WBS H-6074-10-02</t>
  </si>
  <si>
    <t>WBS H-6074-10-03</t>
  </si>
  <si>
    <t>H-6074-10-08</t>
  </si>
  <si>
    <t>WBS H-6074-10-08</t>
  </si>
  <si>
    <t>WBS H-6074-10-09</t>
  </si>
  <si>
    <t>WBS H-6074-10-10</t>
  </si>
  <si>
    <t>H-6074-10-18</t>
  </si>
  <si>
    <t>WBS H-6074-10-18</t>
  </si>
  <si>
    <t>WBS H-6074-10-18-03</t>
  </si>
  <si>
    <t>WBS H-6074-12</t>
  </si>
  <si>
    <t>WBS H-6074-15</t>
  </si>
  <si>
    <t>WBS H-6074-16</t>
  </si>
  <si>
    <t>H-6074-17</t>
  </si>
  <si>
    <t>WBS H-6074-17</t>
  </si>
  <si>
    <t>WBS H-63A1</t>
  </si>
  <si>
    <t>WBS H-63A1-04</t>
  </si>
  <si>
    <t>H-63A1-05</t>
  </si>
  <si>
    <t>WBS H-63A1-05</t>
  </si>
  <si>
    <t>WBS H-63A1-05-01</t>
  </si>
  <si>
    <t>WBS H-63A1-05-02</t>
  </si>
  <si>
    <t>WBS H-63A1-05-03</t>
  </si>
  <si>
    <t>H-63A1-06</t>
  </si>
  <si>
    <t>WBS H-63A1-06</t>
  </si>
  <si>
    <t>WBS H-63A1-06-01</t>
  </si>
  <si>
    <t>WBS H-63A1-06-02</t>
  </si>
  <si>
    <t>WBS H-63A1-06-03</t>
  </si>
  <si>
    <t>WBS H-63A1-06-04</t>
  </si>
  <si>
    <t>WBS H-63A1-06-05</t>
  </si>
  <si>
    <t>WBS H-63A1-06-06</t>
  </si>
  <si>
    <t>H-63A1-08</t>
  </si>
  <si>
    <t>WBS H-63A1-08</t>
  </si>
  <si>
    <t>Civil Work</t>
  </si>
  <si>
    <t>H-63A1-08-01</t>
  </si>
  <si>
    <t>WBS H-63A1-08-01</t>
  </si>
  <si>
    <t>Equipment Foundation</t>
  </si>
  <si>
    <t>WBS H-63A1-08-01-01</t>
  </si>
  <si>
    <t>WBS H-63A1-08-01-02</t>
  </si>
  <si>
    <t>H-63A1-08-01-03</t>
  </si>
  <si>
    <t>WBS H-63A1-08-01-03</t>
  </si>
  <si>
    <t>PCS &amp; Panel Foundation</t>
  </si>
  <si>
    <t>WBS H-63A1-08-01-03-01</t>
  </si>
  <si>
    <t>WBS H-63A1-08-01-03-02</t>
  </si>
  <si>
    <t>WBS H-63A1-08-01-04</t>
  </si>
  <si>
    <t>H-63A1-08-01-05</t>
  </si>
  <si>
    <t>WBS H-63A1-08-01-05</t>
  </si>
  <si>
    <t>Control Room</t>
  </si>
  <si>
    <t>WBS H-63A1-08-01-05-01</t>
  </si>
  <si>
    <t>WBS H-63A1-08-01-05-02</t>
  </si>
  <si>
    <t>H-63A1-08-01-06</t>
  </si>
  <si>
    <t>WBS H-63A1-08-01-06</t>
  </si>
  <si>
    <t>WBS H-63A1-08-01-06-01</t>
  </si>
  <si>
    <t>WBS H-63A1-08-01-06-02</t>
  </si>
  <si>
    <t>H-63A1-08-02</t>
  </si>
  <si>
    <t>WBS H-63A1-08-02</t>
  </si>
  <si>
    <t>H-63A1-08-02-01</t>
  </si>
  <si>
    <t>WBS H-63A1-08-02-01</t>
  </si>
  <si>
    <t>Bund</t>
  </si>
  <si>
    <t>H-63A1-08-02-02</t>
  </si>
  <si>
    <t>WBS H-63A1-08-02-02</t>
  </si>
  <si>
    <t>WBS H-63A1-08-03</t>
  </si>
  <si>
    <t>WBS H-63A1-08-05</t>
  </si>
  <si>
    <t>WBS H-63A1-15</t>
  </si>
  <si>
    <t>WBS H-63A2</t>
  </si>
  <si>
    <t>H-63A2-01</t>
  </si>
  <si>
    <t>WBS H-63A2-01</t>
  </si>
  <si>
    <t>H-63A2-01-01</t>
  </si>
  <si>
    <t>WBS H-63A2-01-01</t>
  </si>
  <si>
    <t>WBS H-63A2-04</t>
  </si>
  <si>
    <t>H-63A2-05</t>
  </si>
  <si>
    <t>WBS H-63A2-05</t>
  </si>
  <si>
    <t>WBS H-63A2-05-01</t>
  </si>
  <si>
    <t>WBS H-63A2-05-02</t>
  </si>
  <si>
    <t>WBS H-63A2-05-03</t>
  </si>
  <si>
    <t>H-63A2-06</t>
  </si>
  <si>
    <t>WBS H-63A2-06</t>
  </si>
  <si>
    <t>WBS H-63A2-06-01</t>
  </si>
  <si>
    <t>WBS H-63A2-06-02</t>
  </si>
  <si>
    <t>WBS H-63A2-06-03</t>
  </si>
  <si>
    <t>WBS H-63A2-06-04</t>
  </si>
  <si>
    <t>WBS H-63A2-06-05</t>
  </si>
  <si>
    <t>WBS H-63A2-06-06</t>
  </si>
  <si>
    <t>H-63A2-08</t>
  </si>
  <si>
    <t>WBS H-63A2-08</t>
  </si>
  <si>
    <t>H-63A2-08-01</t>
  </si>
  <si>
    <t>WBS H-63A2-08-01</t>
  </si>
  <si>
    <t>WBS H-63A2-08-01-01</t>
  </si>
  <si>
    <t>WBS H-63A2-08-01-02</t>
  </si>
  <si>
    <t>H-63A2-08-01-03</t>
  </si>
  <si>
    <t>WBS H-63A2-08-01-03</t>
  </si>
  <si>
    <t>WBS H-63A2-08-01-03-01</t>
  </si>
  <si>
    <t>WBS H-63A2-08-01-03-02</t>
  </si>
  <si>
    <t>WBS H-63A2-08-01-04</t>
  </si>
  <si>
    <t>H-63A2-08-01-05</t>
  </si>
  <si>
    <t>WBS H-63A2-08-01-05</t>
  </si>
  <si>
    <t>WBS H-63A2-08-01-05-01</t>
  </si>
  <si>
    <t>WBS H-63A2-08-01-05-02</t>
  </si>
  <si>
    <t>H-63A2-08-01-06</t>
  </si>
  <si>
    <t>WBS H-63A2-08-01-06</t>
  </si>
  <si>
    <t>WBS H-63A2-08-01-06-01</t>
  </si>
  <si>
    <t>WBS H-63A2-08-01-06-02</t>
  </si>
  <si>
    <t>H-63A2-08-02</t>
  </si>
  <si>
    <t>WBS H-63A2-08-02</t>
  </si>
  <si>
    <t>H-63A2-08-02-01</t>
  </si>
  <si>
    <t>WBS H-63A2-08-02-01</t>
  </si>
  <si>
    <t>H-63A2-08-02-02</t>
  </si>
  <si>
    <t>WBS H-63A2-08-02-02</t>
  </si>
  <si>
    <t>WBS H-63A2-08-03</t>
  </si>
  <si>
    <t>WBS H-63A2-08-05</t>
  </si>
  <si>
    <t>WBS H-63A2-15</t>
  </si>
  <si>
    <t>H-63WD-05</t>
  </si>
  <si>
    <t>H-63WD-06</t>
  </si>
  <si>
    <t>H-63WD-08</t>
  </si>
  <si>
    <t>H-63WD-08-01</t>
  </si>
  <si>
    <t>H-63WD-08-01-03</t>
  </si>
  <si>
    <t>H-63WD-08-01-05</t>
  </si>
  <si>
    <t>H-63WD-08-01-06</t>
  </si>
  <si>
    <t>H-63WD-08-02</t>
  </si>
  <si>
    <t>H-63WF-05</t>
  </si>
  <si>
    <t>H-63WF-06</t>
  </si>
  <si>
    <t>H-63WF-08</t>
  </si>
  <si>
    <t>H-63WF-08-01</t>
  </si>
  <si>
    <t>H-63WF-08-01-03</t>
  </si>
  <si>
    <t>H-63WF-08-01-05</t>
  </si>
  <si>
    <t>H-63WF-08-01-06</t>
  </si>
  <si>
    <t>H-63WF-08-02</t>
  </si>
  <si>
    <t>H-63WF-08-02-02</t>
  </si>
  <si>
    <t>H-63WG-05</t>
  </si>
  <si>
    <t>H-63WG-06</t>
  </si>
  <si>
    <t>H-63WG-08</t>
  </si>
  <si>
    <t>H-63WG-08-01</t>
  </si>
  <si>
    <t>H-63WG-08-01-03</t>
  </si>
  <si>
    <t>H-63WG-08-01-05</t>
  </si>
  <si>
    <t>H-63WG-08-01-06</t>
  </si>
  <si>
    <t>H-63WG-08-02</t>
  </si>
  <si>
    <t>H-63WG-08-02-02</t>
  </si>
  <si>
    <t>WBS H-63X9</t>
  </si>
  <si>
    <t>WBS H-63X9-04</t>
  </si>
  <si>
    <t>H-63X9-05</t>
  </si>
  <si>
    <t>WBS H-63X9-05</t>
  </si>
  <si>
    <t>WBS H-63X9-05-01</t>
  </si>
  <si>
    <t>WBS H-63X9-05-02</t>
  </si>
  <si>
    <t>WBS H-63X9-05-03</t>
  </si>
  <si>
    <t>H-63X9-06</t>
  </si>
  <si>
    <t>WBS H-63X9-06</t>
  </si>
  <si>
    <t>WBS H-63X9-06-01</t>
  </si>
  <si>
    <t>WBS H-63X9-06-02</t>
  </si>
  <si>
    <t>WBS H-63X9-06-03</t>
  </si>
  <si>
    <t>WBS H-63X9-06-04</t>
  </si>
  <si>
    <t>WBS H-63X9-06-05</t>
  </si>
  <si>
    <t>WBS H-63X9-06-06</t>
  </si>
  <si>
    <t>H-63X9-08</t>
  </si>
  <si>
    <t>WBS H-63X9-08</t>
  </si>
  <si>
    <t>H-63X9-08-01</t>
  </si>
  <si>
    <t>WBS H-63X9-08-01</t>
  </si>
  <si>
    <t>WBS H-63X9-08-01-01</t>
  </si>
  <si>
    <t>WBS H-63X9-08-01-02</t>
  </si>
  <si>
    <t>H-63X9-08-01-03</t>
  </si>
  <si>
    <t>WBS H-63X9-08-01-03</t>
  </si>
  <si>
    <t>WBS H-63X9-08-01-03-01</t>
  </si>
  <si>
    <t>WBS H-63X9-08-01-03-02</t>
  </si>
  <si>
    <t>WBS H-63X9-08-01-04</t>
  </si>
  <si>
    <t>H-63X9-08-01-05</t>
  </si>
  <si>
    <t>WBS H-63X9-08-01-05</t>
  </si>
  <si>
    <t>WBS H-63X9-08-01-05-01</t>
  </si>
  <si>
    <t>WBS H-63X9-08-01-05-02</t>
  </si>
  <si>
    <t>H-63X9-08-01-06</t>
  </si>
  <si>
    <t>WBS H-63X9-08-01-06</t>
  </si>
  <si>
    <t>WBS H-63X9-08-01-06-01</t>
  </si>
  <si>
    <t>WBS H-63X9-08-01-06-02</t>
  </si>
  <si>
    <t>H-63X9-08-02</t>
  </si>
  <si>
    <t>WBS H-63X9-08-02</t>
  </si>
  <si>
    <t>H-63X9-08-02-01</t>
  </si>
  <si>
    <t>WBS H-63X9-08-02-01</t>
  </si>
  <si>
    <t>H-63X9-08-02-02</t>
  </si>
  <si>
    <t>WBS H-63X9-08-02-02</t>
  </si>
  <si>
    <t>WBS H-63X9-08-03</t>
  </si>
  <si>
    <t>H-63X9-08-04</t>
  </si>
  <si>
    <t>WBS H-63X9-08-04</t>
  </si>
  <si>
    <t>WBS H-63X9-08-05</t>
  </si>
  <si>
    <t>WBS H-63X9-15</t>
  </si>
  <si>
    <t>H-6497-07</t>
  </si>
  <si>
    <t>H-6497-09</t>
  </si>
  <si>
    <t>H-6497-10</t>
  </si>
  <si>
    <t>H-6497-10-08</t>
  </si>
  <si>
    <t>H-6497-10-09</t>
  </si>
  <si>
    <t>H-6497-10-18</t>
  </si>
  <si>
    <t>WBS H-6764</t>
  </si>
  <si>
    <t>H-6764-07</t>
  </si>
  <si>
    <t>WBS H-6764-07</t>
  </si>
  <si>
    <t>WBS H-6764-07-01</t>
  </si>
  <si>
    <t>WBS H-6764-07-02</t>
  </si>
  <si>
    <t>WBS H-6764-07-04</t>
  </si>
  <si>
    <t>H-6764-09</t>
  </si>
  <si>
    <t>WBS H-6764-09</t>
  </si>
  <si>
    <t>WBS H-6764-09-01</t>
  </si>
  <si>
    <t>WBS H-6764-09-02</t>
  </si>
  <si>
    <t>WBS H-6764-09-03</t>
  </si>
  <si>
    <t>H-6764-10</t>
  </si>
  <si>
    <t>WBS H-6764-10</t>
  </si>
  <si>
    <t>WBS H-6764-10-01</t>
  </si>
  <si>
    <t>WBS H-6764-10-02</t>
  </si>
  <si>
    <t>WBS H-6764-10-03</t>
  </si>
  <si>
    <t>H-6764-10-08</t>
  </si>
  <si>
    <t>WBS H-6764-10-08</t>
  </si>
  <si>
    <t>H-6764-10-09</t>
  </si>
  <si>
    <t>WBS H-6764-10-09</t>
  </si>
  <si>
    <t>WBS H-6764-10-10</t>
  </si>
  <si>
    <t>WBS H-6764-10-12</t>
  </si>
  <si>
    <t>H-6764-10-18</t>
  </si>
  <si>
    <t>WBS H-6764-10-18</t>
  </si>
  <si>
    <t>WBS H-6764-10-18-03</t>
  </si>
  <si>
    <t>H-6764-11</t>
  </si>
  <si>
    <t>WBS H-6764-11</t>
  </si>
  <si>
    <t>WBS H-6764-11-02</t>
  </si>
  <si>
    <t>WBS H-6764-11-03</t>
  </si>
  <si>
    <t>WBS H-6764-12</t>
  </si>
  <si>
    <t>WBS H-6764-15</t>
  </si>
  <si>
    <t>WBS H-6764-16</t>
  </si>
  <si>
    <t>H-6764-17</t>
  </si>
  <si>
    <t>WBS H-6764-17</t>
  </si>
  <si>
    <t>Sr No</t>
  </si>
  <si>
    <t>Level</t>
  </si>
  <si>
    <t>Description</t>
  </si>
  <si>
    <t>AGEL</t>
  </si>
  <si>
    <t>AGE6L</t>
  </si>
  <si>
    <t>SPV</t>
  </si>
  <si>
    <t>Project Name</t>
  </si>
  <si>
    <t>AGE27BL-Khavda-BESS-PSS-11- 1080 MW/ 2167 MWH</t>
  </si>
  <si>
    <t>Over All</t>
  </si>
  <si>
    <t>AG6L</t>
  </si>
  <si>
    <t>Khavda- PSS 11</t>
  </si>
  <si>
    <t>AGE27BL</t>
  </si>
  <si>
    <t xml:space="preserve">Total SAP Budget </t>
  </si>
  <si>
    <t>Total Actual</t>
  </si>
  <si>
    <t xml:space="preserve">Total Commitement </t>
  </si>
  <si>
    <t>Total Assigned</t>
  </si>
  <si>
    <t>Total Available</t>
  </si>
  <si>
    <t xml:space="preserve">SAP Budget </t>
  </si>
  <si>
    <t xml:space="preserve"> Actual</t>
  </si>
  <si>
    <t xml:space="preserve">Commitement </t>
  </si>
  <si>
    <t>Assigned</t>
  </si>
  <si>
    <t>Available</t>
  </si>
  <si>
    <t>H-63A1-01</t>
  </si>
  <si>
    <t>H-6074-01</t>
  </si>
  <si>
    <t>H-5XA1*</t>
  </si>
  <si>
    <t>H-63A1-01-01</t>
  </si>
  <si>
    <t>H-6074-01-01</t>
  </si>
  <si>
    <t>H-63A1*</t>
  </si>
  <si>
    <t>BESS CNT. Logistics</t>
  </si>
  <si>
    <t>H-5XA1-01-02</t>
  </si>
  <si>
    <t>H-63A1-01-02</t>
  </si>
  <si>
    <t>H-6074-01-02</t>
  </si>
  <si>
    <t>H-6074*</t>
  </si>
  <si>
    <t>Commissioning Support</t>
  </si>
  <si>
    <t>H-5XA1-01-03</t>
  </si>
  <si>
    <t>H-63A1-01-03</t>
  </si>
  <si>
    <t>H-6074-01-03</t>
  </si>
  <si>
    <t>H-5XA2*</t>
  </si>
  <si>
    <t>H-63A1-02</t>
  </si>
  <si>
    <t>H-6074-02</t>
  </si>
  <si>
    <t>H-63A2*</t>
  </si>
  <si>
    <t>H-63A1-02-01</t>
  </si>
  <si>
    <t>H-6074-02-01</t>
  </si>
  <si>
    <t>H-6764*</t>
  </si>
  <si>
    <t>PCS Cnt. Logistics</t>
  </si>
  <si>
    <t>H-5XA1-02-02</t>
  </si>
  <si>
    <t>H-63A1-02-02</t>
  </si>
  <si>
    <t>H-6074-02-02</t>
  </si>
  <si>
    <t>H-51X9*</t>
  </si>
  <si>
    <t>H-63A1-03</t>
  </si>
  <si>
    <t>H-6074-03</t>
  </si>
  <si>
    <t>H-63X9*</t>
  </si>
  <si>
    <t>H-63A1-03-01</t>
  </si>
  <si>
    <t>H-6074-03-01</t>
  </si>
  <si>
    <t>H-51N2*</t>
  </si>
  <si>
    <t>EMS Logistics</t>
  </si>
  <si>
    <t>H-5XA1-03-02</t>
  </si>
  <si>
    <t>H-63A1-03-02</t>
  </si>
  <si>
    <t>H-6074-03-02</t>
  </si>
  <si>
    <t>H-5XWG*</t>
  </si>
  <si>
    <t>IDT Transformer Supply</t>
  </si>
  <si>
    <t>H-6074-04</t>
  </si>
  <si>
    <t>H-63WG*</t>
  </si>
  <si>
    <t>Installation, Integration &amp; Commissioning DC Side</t>
  </si>
  <si>
    <t>H-5XA1-05</t>
  </si>
  <si>
    <t>H-6074-05</t>
  </si>
  <si>
    <t>H-6497*</t>
  </si>
  <si>
    <t xml:space="preserve">Installation Manpower </t>
  </si>
  <si>
    <t>H-5XA1-05-01</t>
  </si>
  <si>
    <t>H-6074-05-01</t>
  </si>
  <si>
    <t>H-5XWD*</t>
  </si>
  <si>
    <t xml:space="preserve">Installation Machinery </t>
  </si>
  <si>
    <t>H-5XA1-05-02</t>
  </si>
  <si>
    <t>H-6074-05-02</t>
  </si>
  <si>
    <t>H-63WD*</t>
  </si>
  <si>
    <t xml:space="preserve">Installation Consultancy </t>
  </si>
  <si>
    <t>H-5XA1-05-03</t>
  </si>
  <si>
    <t>H-6074-05-03</t>
  </si>
  <si>
    <t>H-51I4*</t>
  </si>
  <si>
    <t>H-6074-06</t>
  </si>
  <si>
    <t>H-5XWF*</t>
  </si>
  <si>
    <t>HT Panel Supply</t>
  </si>
  <si>
    <t>H-6074-06-01</t>
  </si>
  <si>
    <t>H-63WF*</t>
  </si>
  <si>
    <t>DC Cable &amp; LT Cable Supply</t>
  </si>
  <si>
    <t>H-6074-06-02</t>
  </si>
  <si>
    <t>H-51N3*</t>
  </si>
  <si>
    <t>HT Cable Supply</t>
  </si>
  <si>
    <t>H-6074-06-03</t>
  </si>
  <si>
    <t>H-6074-06-04</t>
  </si>
  <si>
    <t>SCADA &amp; FO Cable Supply</t>
  </si>
  <si>
    <t>H-6074-06-05</t>
  </si>
  <si>
    <t xml:space="preserve">Underground Cable Work </t>
  </si>
  <si>
    <t>H-6074-06-06</t>
  </si>
  <si>
    <t xml:space="preserve">Consultency Service </t>
  </si>
  <si>
    <t>H-5XA1-07</t>
  </si>
  <si>
    <t>H-63A1-07</t>
  </si>
  <si>
    <t>H-5XA1-07-01</t>
  </si>
  <si>
    <t>H-63A1-07-01</t>
  </si>
  <si>
    <t>H-5XA1-07-02</t>
  </si>
  <si>
    <t>H-63A1-07-02</t>
  </si>
  <si>
    <t>PIR Consultancy charges</t>
  </si>
  <si>
    <t>H-5XA1-07-03</t>
  </si>
  <si>
    <t>H-63A1-07-03</t>
  </si>
  <si>
    <t>H-6074-07-03</t>
  </si>
  <si>
    <t xml:space="preserve">Misc Consultency </t>
  </si>
  <si>
    <t>H-5XA1-07-04</t>
  </si>
  <si>
    <t>H-63A1-07-04</t>
  </si>
  <si>
    <t>H-5XA1-08</t>
  </si>
  <si>
    <t>H-6074-08</t>
  </si>
  <si>
    <t>H-5XA1-08-01</t>
  </si>
  <si>
    <t>H-6074-08-01</t>
  </si>
  <si>
    <t>H-5XA1-08-01-01</t>
  </si>
  <si>
    <t>H-6074-08-01-01</t>
  </si>
  <si>
    <t>H-5XA1-08-01-02</t>
  </si>
  <si>
    <t>H-6074-08-01-02</t>
  </si>
  <si>
    <t>H-5XA1-08-01-03</t>
  </si>
  <si>
    <t>H-6074-08-01-03</t>
  </si>
  <si>
    <t>H-5XA1-08-01-03-01</t>
  </si>
  <si>
    <t>H-6074-08-01-03-01</t>
  </si>
  <si>
    <t>H-5XA1-08-01-03-02</t>
  </si>
  <si>
    <t>H-6074-08-01-03-02</t>
  </si>
  <si>
    <t xml:space="preserve">CSS </t>
  </si>
  <si>
    <t>H-5XA1-08-01-04</t>
  </si>
  <si>
    <t>H-6074-08-01-04</t>
  </si>
  <si>
    <t>H-5XA1-08-01-05</t>
  </si>
  <si>
    <t>H-6074-08-01-05</t>
  </si>
  <si>
    <t>H-5XA1-08-01-05-01</t>
  </si>
  <si>
    <t>H-6074-08-01-05-01</t>
  </si>
  <si>
    <t>H-5XA1-08-01-05-02</t>
  </si>
  <si>
    <t>H-6074-08-01-05-02</t>
  </si>
  <si>
    <t xml:space="preserve">SGR Panel </t>
  </si>
  <si>
    <t>H-5XA1-08-01-06</t>
  </si>
  <si>
    <t>H-6074-08-01-06</t>
  </si>
  <si>
    <t>H-5XA1-08-01-06-01</t>
  </si>
  <si>
    <t>H-6074-08-01-06-01</t>
  </si>
  <si>
    <t>H-5XA1-08-01-06-02</t>
  </si>
  <si>
    <t>H-6074-08-01-06-02</t>
  </si>
  <si>
    <t xml:space="preserve">  Drainage System</t>
  </si>
  <si>
    <t>H-5XA1-08-02</t>
  </si>
  <si>
    <t>H-6074-08-02</t>
  </si>
  <si>
    <t xml:space="preserve">Bund </t>
  </si>
  <si>
    <t>H-5XA1-08-02-01</t>
  </si>
  <si>
    <t>H-6074-08-02-01</t>
  </si>
  <si>
    <t>H-5XA1-08-02-02</t>
  </si>
  <si>
    <t>H-6074-08-02-02</t>
  </si>
  <si>
    <t xml:space="preserve">  Roads</t>
  </si>
  <si>
    <t>H-5XA1-08-03</t>
  </si>
  <si>
    <t>H-6074-08-03</t>
  </si>
  <si>
    <t xml:space="preserve">  Area Grading</t>
  </si>
  <si>
    <t>H-5XA1-08-04</t>
  </si>
  <si>
    <t>H-63A1-08-04</t>
  </si>
  <si>
    <t>H-6074-08-04</t>
  </si>
  <si>
    <t xml:space="preserve">  Boundry wall and Fencing</t>
  </si>
  <si>
    <t>H-5XA1-08-05</t>
  </si>
  <si>
    <t>H-6074-08-05</t>
  </si>
  <si>
    <t>H-5XA1-09</t>
  </si>
  <si>
    <t>H-63A1-09</t>
  </si>
  <si>
    <t>H-5XA1-09-01</t>
  </si>
  <si>
    <t>H-63A1-09-01</t>
  </si>
  <si>
    <t>H-5XA1-09-02</t>
  </si>
  <si>
    <t>H-63A1-09-02</t>
  </si>
  <si>
    <t>H-5XA1-09-03</t>
  </si>
  <si>
    <t>H-63A1-09-03</t>
  </si>
  <si>
    <t>H-5XA1-09-04</t>
  </si>
  <si>
    <t>H-63A1-09-04</t>
  </si>
  <si>
    <t>H-5XA1-10</t>
  </si>
  <si>
    <t>H-63A1-10</t>
  </si>
  <si>
    <t>H-5XA1-10-01</t>
  </si>
  <si>
    <t>H-63A1-10-01</t>
  </si>
  <si>
    <t>H-5XA1-10-02</t>
  </si>
  <si>
    <t>H-63A1-10-02</t>
  </si>
  <si>
    <t>H-5XA1-10-03</t>
  </si>
  <si>
    <t>H-63A1-10-03</t>
  </si>
  <si>
    <t>Guest house / Office set up</t>
  </si>
  <si>
    <t>H-5XA1-10-04</t>
  </si>
  <si>
    <t>H-63A1-10-04</t>
  </si>
  <si>
    <t>H-6074-10-04</t>
  </si>
  <si>
    <t>Administration and Office Expenses</t>
  </si>
  <si>
    <t>H-5XA1-10-05</t>
  </si>
  <si>
    <t>H-63A1-10-05</t>
  </si>
  <si>
    <t>H-6074-10-05</t>
  </si>
  <si>
    <t>Vehicle Running</t>
  </si>
  <si>
    <t>H-5XA1-10-06</t>
  </si>
  <si>
    <t>H-63A1-10-06</t>
  </si>
  <si>
    <t>H-6074-10-06</t>
  </si>
  <si>
    <t>HSE</t>
  </si>
  <si>
    <t>H-5XA1-10-07</t>
  </si>
  <si>
    <t>H-63A1-10-07</t>
  </si>
  <si>
    <t>H-6074-10-07</t>
  </si>
  <si>
    <t>H-5XA1-10-08</t>
  </si>
  <si>
    <t>H-63A1-10-08</t>
  </si>
  <si>
    <t>H-5XA1-10-09</t>
  </si>
  <si>
    <t>H-63A1-10-09</t>
  </si>
  <si>
    <t>H-5XA1-10-10</t>
  </si>
  <si>
    <t>H-63A1-10-10</t>
  </si>
  <si>
    <t>H-5XA1-10-11</t>
  </si>
  <si>
    <t>H-63A1-10-11</t>
  </si>
  <si>
    <t>H-6074-10-11</t>
  </si>
  <si>
    <t>Rates &amp; Taxes</t>
  </si>
  <si>
    <t>H-5XA1-10-12</t>
  </si>
  <si>
    <t>H-63A1-10-12</t>
  </si>
  <si>
    <t>H-6074-10-12</t>
  </si>
  <si>
    <t>Quality Charges</t>
  </si>
  <si>
    <t>H-5XA1-10-13</t>
  </si>
  <si>
    <t>H-63A1-10-13</t>
  </si>
  <si>
    <t>H-6074-10-13</t>
  </si>
  <si>
    <t>H-5XA1-10-14</t>
  </si>
  <si>
    <t>H-63A1-10-14</t>
  </si>
  <si>
    <t>H-6074-10-14</t>
  </si>
  <si>
    <t>Commissioning Manpower</t>
  </si>
  <si>
    <t>H-5XA1-10-15</t>
  </si>
  <si>
    <t>H-63A1-10-15</t>
  </si>
  <si>
    <t>H-6074-10-15</t>
  </si>
  <si>
    <t>Insurance</t>
  </si>
  <si>
    <t>H-5XA1-10-16</t>
  </si>
  <si>
    <t>H-63A1-10-16</t>
  </si>
  <si>
    <t>H-6074-10-16</t>
  </si>
  <si>
    <t>Corporate Allocation</t>
  </si>
  <si>
    <t>H-5XA1-10-17</t>
  </si>
  <si>
    <t>H-63A1-10-17</t>
  </si>
  <si>
    <t>H-6074-10-17</t>
  </si>
  <si>
    <t>H-5XA1-10-18</t>
  </si>
  <si>
    <t>H-63A1-10-18</t>
  </si>
  <si>
    <t xml:space="preserve">RLDC Regsitartion Fees </t>
  </si>
  <si>
    <t>H-5XA1-10-18-01</t>
  </si>
  <si>
    <t>H-63A1-10-18-01</t>
  </si>
  <si>
    <t>H-6074-10-18-01</t>
  </si>
  <si>
    <t>GNA Charges</t>
  </si>
  <si>
    <t>H-5XA1-10-18-02</t>
  </si>
  <si>
    <t>H-63A1-10-18-02</t>
  </si>
  <si>
    <t>H-6074-10-18-02</t>
  </si>
  <si>
    <t>Misc Charges (GEDA MOOWER)</t>
  </si>
  <si>
    <t>H-5XA1-10-18-03</t>
  </si>
  <si>
    <t>H-63A1-10-18-03</t>
  </si>
  <si>
    <t>BOCW &amp; CLRA</t>
  </si>
  <si>
    <t>H-5XA1-10-18-04</t>
  </si>
  <si>
    <t>H-63A1-10-18-04</t>
  </si>
  <si>
    <t>H-6074-10-18-04</t>
  </si>
  <si>
    <t>Bid &amp; Success Fee</t>
  </si>
  <si>
    <t>H-5XA1-10-19</t>
  </si>
  <si>
    <t>H-63A1-10-19</t>
  </si>
  <si>
    <t>H-6074-10-19</t>
  </si>
  <si>
    <t>Depreciation</t>
  </si>
  <si>
    <t>H-5XA1-10-20</t>
  </si>
  <si>
    <t>H-63A1-10-20</t>
  </si>
  <si>
    <t>H-6074-10-20</t>
  </si>
  <si>
    <t>H-63A1-11</t>
  </si>
  <si>
    <t>H-6074-11</t>
  </si>
  <si>
    <t>Finance Cost - Group</t>
  </si>
  <si>
    <t>H-5XA1-11-01</t>
  </si>
  <si>
    <t>H-63A1-11-01</t>
  </si>
  <si>
    <t>H-6074-11-01</t>
  </si>
  <si>
    <t>H-63A1-11-02</t>
  </si>
  <si>
    <t>H-6074-11-02</t>
  </si>
  <si>
    <t>H-5XA1-11-03</t>
  </si>
  <si>
    <t>H-63A1-11-03</t>
  </si>
  <si>
    <t>H-6074-11-03</t>
  </si>
  <si>
    <t>H-63A1-11-04</t>
  </si>
  <si>
    <t>H-6074-11-04</t>
  </si>
  <si>
    <t>Income from Mutual Fund</t>
  </si>
  <si>
    <t>H-5XA1-11-05</t>
  </si>
  <si>
    <t>H-63A1-11-05</t>
  </si>
  <si>
    <t>H-6074-11-05</t>
  </si>
  <si>
    <t>Pre-Payment</t>
  </si>
  <si>
    <t>H-5XA1-11-06</t>
  </si>
  <si>
    <t>H-63A1-11-06</t>
  </si>
  <si>
    <t>H-6074-11-06</t>
  </si>
  <si>
    <t>H-5XA1-11-07</t>
  </si>
  <si>
    <t>H-63A1-11-07</t>
  </si>
  <si>
    <t>H-6074-11-07</t>
  </si>
  <si>
    <t>H-5XA1-12</t>
  </si>
  <si>
    <t>H-63A1-12</t>
  </si>
  <si>
    <t>H-63A1-13</t>
  </si>
  <si>
    <t>H-6074-13</t>
  </si>
  <si>
    <t>Contingency</t>
  </si>
  <si>
    <t>H-5XA1-14</t>
  </si>
  <si>
    <t>H-63A1-14</t>
  </si>
  <si>
    <t>H-6074-14</t>
  </si>
  <si>
    <t>H-6764-01</t>
  </si>
  <si>
    <t>H-6764-01-01</t>
  </si>
  <si>
    <t>H-5XA2-01-02</t>
  </si>
  <si>
    <t>H-6764-02</t>
  </si>
  <si>
    <t>H-6764-02-01</t>
  </si>
  <si>
    <t>H-5XA2-02-02</t>
  </si>
  <si>
    <t>H-6764-03</t>
  </si>
  <si>
    <t>H-6764-03-01</t>
  </si>
  <si>
    <t>H-6764-05</t>
  </si>
  <si>
    <t>H-6764-05-01</t>
  </si>
  <si>
    <t>H-6764-10-16</t>
  </si>
  <si>
    <t>H-6764-10-17</t>
  </si>
  <si>
    <t>H-6764-10-20</t>
  </si>
  <si>
    <t>H-51X9-01-02</t>
  </si>
  <si>
    <t>H-51X9-02-02</t>
  </si>
  <si>
    <t>H-51N2-10-16</t>
  </si>
  <si>
    <t>H-51N2-10-17</t>
  </si>
  <si>
    <t>H-5XWG-01-02</t>
  </si>
  <si>
    <t>H-5XWG-02-02</t>
  </si>
  <si>
    <t>H-63WG-05-01</t>
  </si>
  <si>
    <t>H-63WG-05-02</t>
  </si>
  <si>
    <t>H-6497-10-16</t>
  </si>
  <si>
    <t>H-6497-10-17</t>
  </si>
  <si>
    <t>H-5XWG-11-04</t>
  </si>
  <si>
    <t>H-5XWD-01-02</t>
  </si>
  <si>
    <t>H-5XWD-02-02</t>
  </si>
  <si>
    <t>H-51I4-10-17</t>
  </si>
  <si>
    <t>H-5XWF-01-02</t>
  </si>
  <si>
    <t>H-5XWF-02-02</t>
  </si>
  <si>
    <t>H-63WF-05-02</t>
  </si>
  <si>
    <t>H-51N3-10-17</t>
  </si>
  <si>
    <t>H-51N3-10-18-01</t>
  </si>
  <si>
    <t>H-5XWF-11-04</t>
  </si>
  <si>
    <t xml:space="preserve">Sr 
No </t>
  </si>
  <si>
    <t>Details Included in TPC</t>
  </si>
  <si>
    <t xml:space="preserve">Responsible Team </t>
  </si>
  <si>
    <t>Battery Containers (2 Hour system)</t>
  </si>
  <si>
    <t>PCS (2 Hour system)</t>
  </si>
  <si>
    <t xml:space="preserve">Logistics 
Order Currency 
Mandatorty spares
BCD &amp; Fwd rate </t>
  </si>
  <si>
    <t xml:space="preserve">TC team </t>
  </si>
  <si>
    <t>EMS (2 Hour system)</t>
  </si>
  <si>
    <t xml:space="preserve">Mandatorty spares
Logic/ Arcitecture scope
FIT/FAT Requirement 
</t>
  </si>
  <si>
    <t xml:space="preserve">TC team/ Technology Team </t>
  </si>
  <si>
    <t xml:space="preserve">Battery + PCS + EMS </t>
  </si>
  <si>
    <t>Transformer &amp; NIFPS</t>
  </si>
  <si>
    <t xml:space="preserve">Capacity 
Nos.
Initial estimates 
Type test charges if required </t>
  </si>
  <si>
    <t>Engg/TC Team</t>
  </si>
  <si>
    <t>BOS Elec</t>
  </si>
  <si>
    <t xml:space="preserve">Basic Layout and Cable lengths from Engg to get initial estimates from TC team </t>
  </si>
  <si>
    <t xml:space="preserve">HT Panel </t>
  </si>
  <si>
    <t xml:space="preserve">Nos and Capacity 
ABT &amp; CT meter requirements </t>
  </si>
  <si>
    <t>&gt; 0.75 Lac/MWh
&gt;Increase in cost since one spare feeder considered in each panel to cater to future augmentation/ re-powering</t>
  </si>
  <si>
    <t xml:space="preserve">DC LT Cable </t>
  </si>
  <si>
    <t>Length &amp; type</t>
  </si>
  <si>
    <t xml:space="preserve">HT Cable </t>
  </si>
  <si>
    <t xml:space="preserve">Scada Cable &amp; FO </t>
  </si>
  <si>
    <t>BoQ and Components considerations from Engg.</t>
  </si>
  <si>
    <t xml:space="preserve">Installation and Comissioning </t>
  </si>
  <si>
    <t>Based on FY 25-26 Requirements the estimates to be made</t>
  </si>
  <si>
    <t>BOP Civil</t>
  </si>
  <si>
    <t>BOT</t>
  </si>
  <si>
    <t>Aux. Trafo</t>
  </si>
  <si>
    <t>Nifps</t>
  </si>
  <si>
    <t>Cable rack support</t>
  </si>
  <si>
    <t>7.10</t>
  </si>
  <si>
    <t>Earthen Drain</t>
  </si>
  <si>
    <t xml:space="preserve">Security Container </t>
  </si>
  <si>
    <t>Road Works</t>
  </si>
  <si>
    <t>Fencing Works</t>
  </si>
  <si>
    <t xml:space="preserve">Spares </t>
  </si>
  <si>
    <t xml:space="preserve">Trafo CSS Cables ACDC
Battery PCS EMS </t>
  </si>
  <si>
    <t>Consultancy Charges</t>
  </si>
  <si>
    <t>ISA Contract and Per MW Value</t>
  </si>
  <si>
    <t>BD</t>
  </si>
  <si>
    <t>Taxes &amp; Duties</t>
  </si>
  <si>
    <t>&gt; 18% GST on Sr. No. 1 to 10</t>
  </si>
  <si>
    <t>A. Total Hard Cost</t>
  </si>
  <si>
    <t xml:space="preserve">Pre Ops </t>
  </si>
  <si>
    <t>Site Wise/ Projects Wise requirements of below:</t>
  </si>
  <si>
    <t>Salary (including Corporate Charge)</t>
  </si>
  <si>
    <t>Financing &amp; IDC</t>
  </si>
  <si>
    <t>Financing</t>
  </si>
  <si>
    <t>IDC</t>
  </si>
  <si>
    <t xml:space="preserve">Financing Charges </t>
  </si>
  <si>
    <t>PMC Fees</t>
  </si>
  <si>
    <t>As per the RPT approval (12.5 % of Hard Cost)</t>
  </si>
  <si>
    <t>Finance/ TC</t>
  </si>
  <si>
    <t xml:space="preserve">As per Finance </t>
  </si>
  <si>
    <t>B. Total Cost</t>
  </si>
  <si>
    <t>PSS-12: 960 MW/ 1926 MWH (Installed DC)/ 865 MWH (Dispatchable AC)</t>
  </si>
  <si>
    <t>PSS-10: 600 MW/ 1204 MWH (Installed DC)/ 1073 MWH (Dispatchable AC)</t>
  </si>
  <si>
    <t>ACDC/ Electrical Erection</t>
  </si>
  <si>
    <t>Capex NFA Summary</t>
  </si>
  <si>
    <t xml:space="preserve">Description
</t>
  </si>
  <si>
    <t>Proposed Capex Cost for PSS-12</t>
  </si>
  <si>
    <t>Remarks 
(All costs provided below are on basis of MWH dispatchable AC)</t>
  </si>
  <si>
    <t>DC Installed MW</t>
  </si>
  <si>
    <t>DC Dispatchable MW</t>
  </si>
  <si>
    <t>AC Dispatachble MWH</t>
  </si>
  <si>
    <t>DC Installed MWH</t>
  </si>
  <si>
    <t>(INR-Cr)
Individual Basic Value</t>
  </si>
  <si>
    <t>Rs. Lacs/ MWH</t>
  </si>
  <si>
    <t>USD/kWh</t>
  </si>
  <si>
    <t>Total Capacity 960 MW/1926MWh- 384 Nos of Container
&gt; Basic Cost USD 55/KWh (Present regulation of 9% Export VAT refund in China to BESS OEMs is expected to be withdrawn from 01-Jan-2026. This could result in corresponding increase in BESS prices).
&gt; Logistics Cost: USD 0.95/kWh
&gt; BCD Cost @ 8.25% as per PIR
&gt;Oversizing considerd is 1.11X as against 1.14X considered for Projects in FY25-26
&gt;Forex as on 30-May-2025: 85.7; Forex as on 04-Nov-25: 88.64 (assumption: further 1.5% depreciation considered by the time of balance payments)
&gt; Forex rate of 91.29 considered for PSS-12Capex estimates</t>
  </si>
  <si>
    <t>Total 384 Nos of PCS
&gt;Basic Cost USD 32,000/Number
&gt; Logistics Cost: USD 240/Number
&gt; BCD Cost @ 8.25%
&gt;Forex as on 30-May-2025: 85.7; Forex as on 04-Nov-25: 88.64 (assumption: further 1.5% depreciation considered by the time of balance payments)
&gt; Forex rate of 91.29 considered for PSS-11 Capex estimates</t>
  </si>
  <si>
    <t>&gt; EMS: USD 1.25/kWh
&gt; Cost of Battery Operating Servers, Data Twin-Edge servers and Servers for Arbitrage Analytics considered</t>
  </si>
  <si>
    <t>&gt; 69.7 Lac / MWh</t>
  </si>
  <si>
    <t>&gt; Trafo (18/20MVA ONAN/ONAF) 48 Nos. @ Rs. 2.02 Cr/Nos.
&gt; Additional 1 Nos Trafo considered in Spare cost (Refer Sr. No. 8)</t>
  </si>
  <si>
    <t>&gt;7.27 Lac/MWh</t>
  </si>
  <si>
    <t>&gt;3.05 Lac/MWh 
&gt;Increase in cost since Armoured &amp; watertight cables are being considered.</t>
  </si>
  <si>
    <t>&gt;0.92 Lac/MWh
&gt;HT Cable length has increased in  view of 3 land parcels and increased price of HT Cables</t>
  </si>
  <si>
    <t>&gt;0.14 Lac/MWh
&gt; As per updated BoQ, spread over 2 land parcels</t>
  </si>
  <si>
    <t>&gt;2.40  Lac/MWh
&gt; Price reduction is on account of descoping of below items:
a. LT Panels: Rs 5.3 Cr
b. Cable Tray: Rs 1.4 Cr
&gt; Price increase on account of higher Rating of CSS (3.15 MVA as against 2.5 MVA presently used)
&gt; Cost of High Masts included</t>
  </si>
  <si>
    <t>&gt;0.94 Lac/Mwh 
&gt; he weighted average for Installation and Commissioning activities for Projects of FY 2025-26 is 2.3 USD per KWh [2.5 USD for PSS 5, 10 and 1,5 USD for PSS 8]. For PSS 11, we have considered 0.66 USD per KWh
&gt; Rs 5.1 Cr considerd as hiring cost of 3 nos. 160/180 T Crane for handling Battery Containers.</t>
  </si>
  <si>
    <t>&gt; 3.47 Lac/MWh 
&gt; Foundations of all structures considerd on DCIS Piling basis.</t>
  </si>
  <si>
    <t>Battery container
Precast</t>
  </si>
  <si>
    <t>Transformer
(Precast)</t>
  </si>
  <si>
    <t>BOT
(Precast)</t>
  </si>
  <si>
    <t>Nifps
(Precast)</t>
  </si>
  <si>
    <t>Cable rack support
(Precast)</t>
  </si>
  <si>
    <t>CSS FOUNDATION</t>
  </si>
  <si>
    <t>Security container</t>
  </si>
  <si>
    <t xml:space="preserve">Road &amp; Drain </t>
  </si>
  <si>
    <t xml:space="preserve">Fencing </t>
  </si>
  <si>
    <t>&gt;0.78 Lac/MWh
&gt; Includes OEM recommended Spares of BESS, PCS, EMS and other equipment
&gt; Complete set as a spare being ordered : Battery Container -  1, PCS - 4, Trafo - 1 and CSS - 2. 
&gt; In addition, Tools and Tackles + 1 Reach Stacker considered</t>
  </si>
  <si>
    <t>&gt;0.16 Lac/MWh 
&gt;Engineering Consultancy, Grid Study Consultancy, Consultancy for PIR</t>
  </si>
  <si>
    <t>PSS-11 (SRPL Park Land Area): 
&gt; Khavda RE Park ESIA charges (@19 lakhs/MW)
&gt; Khavda RE Park ISA charges (@0.07 lakh/MW)
&gt; Connectivity at 950 MW
Lease charges (annual) for PSS 12
Till 31st July 2026 - Rs 19250 + GST (per hectare)
After 1st Aug 2026 - Rs 21837 + GST (per hectare)
Total Area considered for PSS12: 62.61 Acres or 25.34 Hectare</t>
  </si>
  <si>
    <t>&gt; 116.1 Lacs/ Mwh</t>
  </si>
  <si>
    <t xml:space="preserve">Preops: Rs.2.54 Lakh/MWh </t>
  </si>
  <si>
    <t>&gt; 13.57 Lacs/ MWh
&gt; 12.5% PMC Fee on Hard Cost (Except Land Cost)
Basic Hard Cost (excl Land)*12.5% + 18% GST</t>
  </si>
  <si>
    <t>&gt; 4.05 Lacs/ MWh
&gt; 3% of the Over all Cost</t>
  </si>
  <si>
    <t>&gt; 139 Lacs/ MWh</t>
  </si>
  <si>
    <t xml:space="preserve">TPC (Total Proposed Cost) 
</t>
  </si>
  <si>
    <t>Proposed Capex Cost for PSS-10</t>
  </si>
  <si>
    <t>DC Installed
MW</t>
  </si>
  <si>
    <t>DC Installed
Cr/MW</t>
  </si>
  <si>
    <t>INR Cr/ MW</t>
  </si>
  <si>
    <t>Total Capacity 1204 MWh / 240 Nos of Containers
&gt; Basic Cost USD 55/KWh (Present regulation of 9% Export VAT refund in China to BESS OEMs is expected to be withdrawn from 01-Jan-2026. This could result in corresponding increase in BESS prices).
&gt; Logistics Cost: USD 0.95/kWh
&gt; BCD Cost @ 8.25% as per PIR
&gt;&gt;Oversizing considerd is 1.11X as against 1.14X considered for Projects in FY25-26
&gt;Forex as on 30-May-2025: 85.7; Forex as on 04-Nov-25: 88.64 (assumption: further 1.5% depreciation considered by the time of balance payments)
&gt; Forex rate of 91.29 considered for PSS-11 Capex estimates</t>
  </si>
  <si>
    <t>Total  240 Nos of PCS
&gt;Basic Cost USD 32,000/Number
&gt; Logistics Cost: USD 240/Number
&gt; BCD Cost @ 8.25%
&gt;Forex as on 30-May-2025: 85.7; Forex as on 04-Nov-25: 88.64 (assumption: further 1.5% depreciation considered by the time of balance payments)
&gt; Forex rate of 91.29 considered for PSS-11 Capex estimates</t>
  </si>
  <si>
    <t>&gt;69.7 Lac/MWh</t>
  </si>
  <si>
    <t>&gt; Trafo (18/20MVA ONAN/ONAF) 30 Nos. @ Rs. 2.02 Cr/Nos.</t>
  </si>
  <si>
    <t>&gt;8.14 Lac/MWH</t>
  </si>
  <si>
    <t>&gt; 0.76 Lac/MWh
&gt;Increase in cost since one spare feeder considered in each panel to cater to future augmentation/ re-powering</t>
  </si>
  <si>
    <t>&gt;3.06 Lac/MWh 
&gt;Increase in cost since Armoured &amp; watertight cables are being considered.</t>
  </si>
  <si>
    <t>&gt;1.48 Lac/MWh</t>
  </si>
  <si>
    <t>&gt;0.22 Lac/MWh</t>
  </si>
  <si>
    <t>&gt;2.61  Lac/MWh
&gt; Price reduction is on account of descoping of below items:
a. LT Panels: Rs 5.3 Cr
b. Cable Tray: Rs 1.4 Cr
&gt; Price increase on account of higher Rating of CSS (3.15 MVA as against 2.5 MVA presently used)
&gt; Cost of High Masts included</t>
  </si>
  <si>
    <t>&gt;0.92 Lac/Mwh 
&gt; Rs2.26 Cr considerd for hiring cost of 3 nos. 160/180 T Crane for handling Battery Containers.</t>
  </si>
  <si>
    <t>&gt; 3.51 Lac/MWh 
&gt; Foundations of all structures considerd on DCIS Piling basis.</t>
  </si>
  <si>
    <t>&gt;0.52 Lac/MWh
&gt; Includes OEM recommended Spares of BESS, PCS, EMS and other equipment
&gt; 1 spare Battery container, 4 PCS considered. 
&gt; Tools and Tackles + 1 Reach Stacker considered</t>
  </si>
  <si>
    <t>&gt;0.25 Lac/MWh 
&gt;Engineering Consultancy, Grid Study Consultancy, Consultancy for PIR</t>
  </si>
  <si>
    <t>PSS-10 (SRPL Park Land Area): 
&gt; Khavda RE Park ESIA charges (@19 lakhs/MW)
&gt; Khavda RE Park ISA charges (@0.07 lakh/MW)
&gt; Connectivity at 600 MW
Lease charges for PSS 10:
Till 31st July 2026 - Rs 19250 + GST (per hectare)
After 1st Aug 2026 - Rs 21837 + GST (per hectare)
Total Area considered for PSS10: 39.04 Acres or15.8 Hectare</t>
  </si>
  <si>
    <t>&gt; 117.47 Lacs/ Mwh</t>
  </si>
  <si>
    <t>Preops: Rs.2.64 Lakh/MWh.</t>
  </si>
  <si>
    <t>&gt; 13.72 Lacs/ MWh
&gt; 12.5% PMC Fee on Hard Cost (Except Land Cost)
Basic Hard Cost (excl Land)*12.5% + 18% GST</t>
  </si>
  <si>
    <t xml:space="preserve">&gt; 4.10 Lacs/ MWh
&gt; 3% of the Over all Cost </t>
  </si>
  <si>
    <t>&gt; 140.74 Lacs/ MWh</t>
  </si>
  <si>
    <t>PSS-09: 1080 MW/2436 MWH (Installed DC)/ 2208.5 MWH (Dispatchable AC)</t>
  </si>
  <si>
    <t>Proposed Capex Cost for PSS-09</t>
  </si>
  <si>
    <t>Total Capacity 2436.48 MWh / 432 Nos of Containers
&gt; Basic Cost USD 67/KWh (Present regulation of 9% Export VAT refund in China to BESS OEMs is expected to be withdrawn from 01-Jan-2026. This could result in corresponding increase in BESS prices).
&gt; Logistics Cost: USD 0.92/kWh
&gt; BCD Cost @ 8.25% as per PIR
&gt;&gt;Oversizing considerd is 1.11X as against 1.14X considered for Projects in FY25-26
&gt; Forex considered is 92.03 (Spot rate of 90 considered with 9 months forward rate)</t>
  </si>
  <si>
    <t>Total  432 Nos of PCS
&gt;Basic Cost USD 32,000/Number
&gt; Logistics Cost: USD 240/Number
&gt; BCD Cost @ 8.25%
&gt; Forex considered is 92.03 (Spot rate of 90 considered with 9 months forward rate)</t>
  </si>
  <si>
    <t>&gt;82.07 Lac/MWh</t>
  </si>
  <si>
    <t>&gt; Trafo (18/20MVA ONAN/ONAF) 54 Nos. @ Rs. 2.02 Cr/Nos.</t>
  </si>
  <si>
    <t>&gt;6.84 Lac/MWH</t>
  </si>
  <si>
    <t>&gt; 0.67 Lac/MWh
&gt;Increase in cost since one spare feeder considered in each panel to cater to future augmentation/ re-powering</t>
  </si>
  <si>
    <t>&gt;2.94 Lac/MWh 
&gt;Increase in cost since Armoured &amp; watertight cables are being considered.</t>
  </si>
  <si>
    <t>&gt;0.93  Lac/MWh</t>
  </si>
  <si>
    <t>&gt;0.18 Lac/MWh</t>
  </si>
  <si>
    <t>&gt;2.12  Lac/MWh
&gt; Price reduction is on account of descoping of below items:
a. LT Panels: Rs 5.3 Cr
b. Cable Tray: Rs 1.4 Cr
&gt; Price increase on account of higher Rating of CSS (3.15 MVA as against 2.5 MVA presently used)
&gt; Cost of High Masts included</t>
  </si>
  <si>
    <t>&gt; 3.58 Lac/MWh 
&gt; Foundations of all structures considerd on DCIS Piling basis.</t>
  </si>
  <si>
    <t>Gravel filling &amp; Paint Scheme</t>
  </si>
  <si>
    <t>&gt;0.56 Lac/MWh
&gt; Includes OEM recommended Spares of BESS, PCS, EMS and other equipment
&gt; 1 spare Battery container, 4 PCS considered. 
&gt; Tools and Tackles + 1 Reach Stacker considered</t>
  </si>
  <si>
    <t>&gt;0.12 Lac/MWh 
&gt;Engineering Consultancy, Grid Study Consultancy, Consultancy for PIR</t>
  </si>
  <si>
    <t>PSS-09 (SRPL Park Land Area): 
&gt; Khavda RE Park ESIA charges (@19 lakhs/MW)
&gt; Khavda RE Park ISA charges (@1.57 lakh/MW)
&gt; Connectivity at 955 MW
&gt;Khavda RE Park ISA charges (@20.5 lakhs/MW) - &gt; Connectivity at 55 MW
Lease charges for PSS 09:
Till 31st July 2026 - Rs 19250 + GST (per hectare)
After 1st Aug 2026 - Rs 21837 + GST (per hectare)
Total Area considered for PSS09: 70.72 Acres or 20.61 Hectare</t>
  </si>
  <si>
    <t>&gt; 127.97 Lacs/ Mwh</t>
  </si>
  <si>
    <t>Preops: Rs.2.20 Lakh/MWh.</t>
  </si>
  <si>
    <t>&gt; 15.27 Lacs/ MWh
&gt; 12.5% PMC Fee on Hard Cost (Except Land Cost)
Basic Hard Cost (excl Land)*12.5% + 18% GST</t>
  </si>
  <si>
    <t xml:space="preserve">&gt; 4.46 Lacs/ MWh
&gt; 3% of the Over all Cost </t>
  </si>
  <si>
    <t>&gt; 153.25 Lacs/ MWh</t>
  </si>
  <si>
    <t>PSS-08: 420 MW/843 MWH (Installed DC)/ 758 MWH (Dispatchable AC)</t>
  </si>
  <si>
    <t>Proposed Capex Cost for PSS-08</t>
  </si>
  <si>
    <t>Total Capacity 843 MWh / 168 Nos of Containers
&gt; Basic Cost USD 62.5/KWh (Present regulation of 9% Export VAT refund in China to BESS OEMs is expected to be withdrawn from 01-Jan-2026. This could result in corresponding increase in BESS prices).
&gt; Logistics Cost: USD 1.04/kWh
&gt; BCD Cost @ 8.25% as per PIR
&gt;&gt;Oversizing considerd is 1.11X 
&gt; Forex considered is 92.03 (Spot rate of 90 considered with 9 month forward rate)</t>
  </si>
  <si>
    <t>Total  168 Nos of PCS
&gt;Basic Cost USD 32,000/Number
&gt; Logistics Cost: USD 240/Number
&gt; BCD Cost @ 8.25%
&gt; Forex considered is 92.03 (Spot rate of 90 considered with 9 month forward rate)</t>
  </si>
  <si>
    <t>&gt;73.91 Lac/MWh</t>
  </si>
  <si>
    <t>&gt; Trafo (18/20MVA ONAN/ONAF) 21 Nos. @ Rs. 2.02 Cr/Nos.</t>
  </si>
  <si>
    <t>&gt;8.86 Lac/MWH</t>
  </si>
  <si>
    <t>&gt; 0.86 Lac/MWh
&gt;Increase in cost since one spare feeder considered in each panel to cater to future augmentation/ re-powering</t>
  </si>
  <si>
    <t>&gt;3.41 Lac/MWh 
&gt;Increase in cost since Armoured &amp; watertight cables are being considered.</t>
  </si>
  <si>
    <t>&gt;1.49 Lac/MWh</t>
  </si>
  <si>
    <t>&gt;0.53 Lac/MWh</t>
  </si>
  <si>
    <t>&gt;2.77 Lac/MWh
&gt; Price reduction is on account of descoping of below items:
a. LT Panels: Rs 5.3 Cr
b. Cable Tray: Rs 1.4 Cr
&gt; Price increase on account of higher Rating of CSS (3.15 MVA as against 2.5 MVA presently used)
&gt; Cost of High Masts included</t>
  </si>
  <si>
    <t>&gt; 4.57 Lac/MWh 
&gt; Foundations of all structures considerd on DCIS Piling basis.</t>
  </si>
  <si>
    <t>Gravel filling and Paint scheme</t>
  </si>
  <si>
    <t>&gt;0.62 Lac/MWh
&gt; Includes OEM recommended Spares of BESS, PCS, EMS and other equipment
&gt; 1 spare Battery container, 2 PCS considered. 
&gt; Tools and Tackles + 1 Reach Stacker considered</t>
  </si>
  <si>
    <t>&gt;0.36 Lac/MWh 
&gt;Engineering Consultancy, Grid Study Consultancy, Consultancy for PIR</t>
  </si>
  <si>
    <t>PSS-08 (AGEL Park Land Area): 
&gt; Khavda RE Park ISA charges (* @20.5 lakh/MW)
&gt; Connectivity at 390 MW
Lease charges for PSS 08:
Till 31st July 2026 - Rs 19250 + GST (per hectare)
After 1st Aug 2026 - Rs 21837 + GST (per hectare)
Total Area considered for PSS08: 31.3 Acres or 12.6 Hectare</t>
  </si>
  <si>
    <t>&gt; 125.21 Lacs/ Mwh</t>
  </si>
  <si>
    <t>Preops: Rs.3.09 Lakh/MWh.</t>
  </si>
  <si>
    <t>&gt; 15.36 Lacs/ MWh
&gt; 12.5% PMC Fee on Hard Cost (Except Land Cost)
Basic Hard Cost (excl Land)*12.5% + 18% GST</t>
  </si>
  <si>
    <t xml:space="preserve">&gt; 4.57 Lacs/ MWh
&gt; 3% of the Over all Cost </t>
  </si>
  <si>
    <t>&gt; 156.79 Lacs/ MWh</t>
  </si>
  <si>
    <t>PSS-05: 1120 MW/ 2528.64 MWH (Installed DC)/ 2285.63 MWH (Dispatchable AC)</t>
  </si>
  <si>
    <t>Proposed Capex Cost for PSS-05</t>
  </si>
  <si>
    <t>Proposed Capex Cost for PSS-11</t>
  </si>
  <si>
    <t>Total Capacity 2526.72 MWh / 448 Nos of Containers
&gt; Basic Cost USD 67/KWh (Present regulation of 9% Export VAT refund in China to BESS OEMs is expected to be withdrawn from 01-Jan-2026. This could result in corresponding increase in BESS prices).
&gt; Logistics Cost: USD 0.92/kWh
&gt; BCD Cost @ 8.25% as per PIR
&gt;&gt;Oversizing considerd is 1.11X 
&gt; Forex considered is 92.03 (Spot rate of 90 considered with 9 months forward rate)</t>
  </si>
  <si>
    <t>Total  448 Nos of PCS
&gt;Basic Cost USD 32,000/Number
&gt; Logistics Cost: USD 240/Number
&gt; BCD Cost @ 8.25%
&gt; Forex considered is 92.7 (Spot rate of 90 considered with one year forward rate)</t>
  </si>
  <si>
    <t>&gt;82.31 Lac/MWh</t>
  </si>
  <si>
    <t>&gt; Trafo (18/20MVA ONAN/ONAF) 56 Nos. @ Rs. 2.02 Cr/Nos.</t>
  </si>
  <si>
    <t>&gt;8.09 Lac/MWH</t>
  </si>
  <si>
    <t>&gt; 0.72 Lac/MWh
&gt;Increase in cost since one spare feeder considered in each panel to cater to future augmentation/ re-powering</t>
  </si>
  <si>
    <t>&gt;2.97 Lac/MWh 
&gt;Increase in cost since Armoured &amp; watertight cables are being considered.</t>
  </si>
  <si>
    <t>&gt;1.92 Lac/MWh</t>
  </si>
  <si>
    <t>&gt;2.31  Lac/MWh
&gt; Price reduction is on account of descoping of below items:
a. LT Panels: Rs 5.3 Cr
b. Cable Tray: Rs 1.4 Cr
&gt; Price increase on account of higher Rating of CSS (3.15 MVA as against 2.5 MVA presently used)
&gt; Cost of High Masts included</t>
  </si>
  <si>
    <t>&gt; 3.71 Lac/MWh 
&gt; Foundations of all structures considerd on DCIS Piling basis.</t>
  </si>
  <si>
    <t xml:space="preserve">Gravel Filling and New Paint Scheam </t>
  </si>
  <si>
    <t>&gt;0.54 Lac/MWh
&gt; Includes OEM recommended Spares of BESS, PCS, EMS and other equipment
&gt; 1 spare Battery container, 4 PCS considered. 
&gt; Tools and Tackles + 1 Reach Stacker considered</t>
  </si>
  <si>
    <t>PSS-05 (AGEL Park Land Area): 
&gt;AGEL  Khavda RE Park ISA charges ( @20.5 lakh/MW) for Connectivity at 900 MW
&gt; APL ISA Charges (@19 lakh/MW) and AGEL ISA charges (@1.5 lakh/MW) for connectivity at 150 MW 
Lease charges for PSS 05:
Till 31st July 2026 - Rs 19250 + GST (per hectare)
After 1st Aug 2026 - Rs 21837 + GST (per hectare)
Total Area considered for PSS05 : 68.81 Acres or 27.8 Hectare</t>
  </si>
  <si>
    <t>&gt; 129.90 Lacs/ Mwh</t>
  </si>
  <si>
    <t>Preops: Rs.2.24 Lakh/MWh.</t>
  </si>
  <si>
    <t>2.9 lac/MW</t>
  </si>
  <si>
    <t>4.9 lac/MW</t>
  </si>
  <si>
    <t>&gt; 15.52 Lacs/ MWh
&gt; 12.5% PMC Fee on Hard Cost (Except Land Cost)
Basic Hard Cost (excl Land)*12.5% + 18% GST</t>
  </si>
  <si>
    <t xml:space="preserve">&gt; 4.54 Lacs/ MWh
&gt; 3% of the Over all Cost </t>
  </si>
  <si>
    <t>&gt; 155.79 Lacs/ MWh</t>
  </si>
  <si>
    <t>IBMI200014</t>
  </si>
  <si>
    <t>Conveyance Expenses</t>
  </si>
  <si>
    <t>52003500</t>
  </si>
  <si>
    <t>30116909</t>
  </si>
  <si>
    <t>30183859</t>
  </si>
  <si>
    <t>30093605</t>
  </si>
  <si>
    <t>SET,DESIGN AND DOCUMENT,F/9P522</t>
  </si>
  <si>
    <t>263802</t>
  </si>
  <si>
    <t>9922542654</t>
  </si>
  <si>
    <t>DESIGNING OF APPLICATION LOGIC</t>
  </si>
  <si>
    <t>225758</t>
  </si>
  <si>
    <t>5153202233</t>
  </si>
  <si>
    <t>5141</t>
  </si>
  <si>
    <t>197504</t>
  </si>
  <si>
    <t>140850</t>
  </si>
  <si>
    <t>30120690</t>
  </si>
  <si>
    <t>30177721</t>
  </si>
  <si>
    <t>269013</t>
  </si>
  <si>
    <t>30015650</t>
  </si>
  <si>
    <t>H-63X9-08-06</t>
  </si>
  <si>
    <t>252503</t>
  </si>
  <si>
    <t>WBS H-5XA1-01-02</t>
  </si>
  <si>
    <t>WBS H-5XA1-02-02</t>
  </si>
  <si>
    <t>WBS H-5XA2-01-02</t>
  </si>
  <si>
    <t>WBS H-5XA2-11-04</t>
  </si>
  <si>
    <t>WBS H-6074-10-12</t>
  </si>
  <si>
    <t>WBS H-6074-10-13</t>
  </si>
  <si>
    <t>WBS H-6074-10-20</t>
  </si>
  <si>
    <t>WBS H-63X9-08-06</t>
  </si>
  <si>
    <t>WBS H-6764-10-20</t>
  </si>
  <si>
    <t>51I4</t>
  </si>
  <si>
    <t>6497</t>
  </si>
  <si>
    <t>51I1</t>
  </si>
  <si>
    <t>BOLT,ANCHOR,IS2062,E250-A,16MM</t>
  </si>
  <si>
    <t>8186120026</t>
  </si>
  <si>
    <t>H-51N3-15</t>
  </si>
  <si>
    <t>H-63WG-15</t>
  </si>
  <si>
    <t>PRIMARY,MEMBERS,AS,PER,SPEC</t>
  </si>
  <si>
    <t>9922290767</t>
  </si>
  <si>
    <t>WBS H-51I4</t>
  </si>
  <si>
    <t>WBS H-51I4-07</t>
  </si>
  <si>
    <t>WBS H-51I4-07-01</t>
  </si>
  <si>
    <t>WBS H-51I4-07-02</t>
  </si>
  <si>
    <t>WBS H-51I4-07-04</t>
  </si>
  <si>
    <t>WBS H-51I4-09</t>
  </si>
  <si>
    <t>WBS H-51I4-09-01</t>
  </si>
  <si>
    <t>WBS H-51I4-10</t>
  </si>
  <si>
    <t>WBS H-51I4-10-01</t>
  </si>
  <si>
    <t>WBS H-51I4-10-02</t>
  </si>
  <si>
    <t>WBS H-51I4-10-03</t>
  </si>
  <si>
    <t>WBS H-51I4-10-08</t>
  </si>
  <si>
    <t>WBS H-51I4-10-09</t>
  </si>
  <si>
    <t>WBS H-51I4-10-10</t>
  </si>
  <si>
    <t>WBS H-51I4-10-14</t>
  </si>
  <si>
    <t>WBS H-51I4-10-18</t>
  </si>
  <si>
    <t>WBS H-51I4-10-18-03</t>
  </si>
  <si>
    <t>WBS H-51I4-12</t>
  </si>
  <si>
    <t>WBS H-51I4-15</t>
  </si>
  <si>
    <t>WBS H-51N2</t>
  </si>
  <si>
    <t>WBS H-51N2-07</t>
  </si>
  <si>
    <t>WBS H-51N2-07-01</t>
  </si>
  <si>
    <t>WBS H-51N2-07-02</t>
  </si>
  <si>
    <t>WBS H-51N2-07-04</t>
  </si>
  <si>
    <t>WBS H-51N2-09</t>
  </si>
  <si>
    <t>WBS H-51N2-09-01</t>
  </si>
  <si>
    <t>WBS H-51N2-09-02</t>
  </si>
  <si>
    <t>WBS H-51N2-09-03</t>
  </si>
  <si>
    <t>WBS H-51N2-10</t>
  </si>
  <si>
    <t>WBS H-51N2-10-01</t>
  </si>
  <si>
    <t>WBS H-51N2-10-02</t>
  </si>
  <si>
    <t>WBS H-51N2-10-03</t>
  </si>
  <si>
    <t>WBS H-51N2-10-08</t>
  </si>
  <si>
    <t>WBS H-51N2-10-09</t>
  </si>
  <si>
    <t>WBS H-51N2-10-10</t>
  </si>
  <si>
    <t>WBS H-51N2-10-18</t>
  </si>
  <si>
    <t>WBS H-51N2-10-18-03</t>
  </si>
  <si>
    <t>WBS H-51N2-12</t>
  </si>
  <si>
    <t>WBS H-51N2-15</t>
  </si>
  <si>
    <t>WBS H-51N3</t>
  </si>
  <si>
    <t>WBS H-51N3-07</t>
  </si>
  <si>
    <t>WBS H-51N3-07-01</t>
  </si>
  <si>
    <t>WBS H-51N3-07-02</t>
  </si>
  <si>
    <t>WBS H-51N3-07-04</t>
  </si>
  <si>
    <t>WBS H-51N3-09</t>
  </si>
  <si>
    <t>WBS H-51N3-09-01</t>
  </si>
  <si>
    <t>WBS H-51N3-10</t>
  </si>
  <si>
    <t>WBS H-51N3-10-01</t>
  </si>
  <si>
    <t>WBS H-51N3-10-02</t>
  </si>
  <si>
    <t>WBS H-51N3-10-03</t>
  </si>
  <si>
    <t>WBS H-51N3-10-08</t>
  </si>
  <si>
    <t>WBS H-51N3-10-09</t>
  </si>
  <si>
    <t>WBS H-51N3-10-10</t>
  </si>
  <si>
    <t>WBS H-51N3-10-14</t>
  </si>
  <si>
    <t>WBS H-51N3-10-18</t>
  </si>
  <si>
    <t>WBS H-51N3-10-18-03</t>
  </si>
  <si>
    <t>WBS H-51N3-12</t>
  </si>
  <si>
    <t>WBS H-51N3-15</t>
  </si>
  <si>
    <t>WBS H-5XWD</t>
  </si>
  <si>
    <t>WBS H-5XWD-01</t>
  </si>
  <si>
    <t>WBS H-5XWD-01-01</t>
  </si>
  <si>
    <t>WBS H-5XWD-02</t>
  </si>
  <si>
    <t>WBS H-5XWD-02-01</t>
  </si>
  <si>
    <t>WBS H-5XWD-03</t>
  </si>
  <si>
    <t>WBS H-5XWD-03-01</t>
  </si>
  <si>
    <t>WBS H-5XWD-04</t>
  </si>
  <si>
    <t>WBS H-5XWD-06</t>
  </si>
  <si>
    <t>WBS H-5XWD-06-01</t>
  </si>
  <si>
    <t>WBS H-5XWD-06-02</t>
  </si>
  <si>
    <t>WBS H-5XWD-06-03</t>
  </si>
  <si>
    <t>WBS H-5XWD-06-04</t>
  </si>
  <si>
    <t>WBS H-5XWD-06-05</t>
  </si>
  <si>
    <t>WBS H-5XWD-11</t>
  </si>
  <si>
    <t>WBS H-5XWD-11-02</t>
  </si>
  <si>
    <t>WBS H-5XWD-13</t>
  </si>
  <si>
    <t>H-5XWD-15</t>
  </si>
  <si>
    <t>WBS H-5XWD-15</t>
  </si>
  <si>
    <t>WBS H-5XWF</t>
  </si>
  <si>
    <t>WBS H-5XWF-01</t>
  </si>
  <si>
    <t>WBS H-5XWF-01-01</t>
  </si>
  <si>
    <t>WBS H-5XWF-02</t>
  </si>
  <si>
    <t>WBS H-5XWF-02-01</t>
  </si>
  <si>
    <t>WBS H-5XWF-03</t>
  </si>
  <si>
    <t>WBS H-5XWF-03-01</t>
  </si>
  <si>
    <t>WBS H-5XWF-04</t>
  </si>
  <si>
    <t>WBS H-5XWF-06</t>
  </si>
  <si>
    <t>WBS H-5XWF-06-01</t>
  </si>
  <si>
    <t>WBS H-5XWF-06-02</t>
  </si>
  <si>
    <t>WBS H-5XWF-06-03</t>
  </si>
  <si>
    <t>WBS H-5XWF-06-04</t>
  </si>
  <si>
    <t>WBS H-5XWF-06-05</t>
  </si>
  <si>
    <t>WBS H-5XWG</t>
  </si>
  <si>
    <t>WBS H-5XWG-01</t>
  </si>
  <si>
    <t>WBS H-5XWG-01-01</t>
  </si>
  <si>
    <t>WBS H-5XWG-02</t>
  </si>
  <si>
    <t>WBS H-5XWG-02-01</t>
  </si>
  <si>
    <t>WBS H-5XWG-03</t>
  </si>
  <si>
    <t>WBS H-5XWG-03-01</t>
  </si>
  <si>
    <t>WBS H-5XWG-04</t>
  </si>
  <si>
    <t>WBS H-5XWG-06</t>
  </si>
  <si>
    <t>WBS H-5XWG-06-01</t>
  </si>
  <si>
    <t>WBS H-5XWG-06-02</t>
  </si>
  <si>
    <t>WBS H-5XWG-06-03</t>
  </si>
  <si>
    <t>WBS H-5XWG-06-04</t>
  </si>
  <si>
    <t>WBS H-5XWG-06-05</t>
  </si>
  <si>
    <t>WBS H-5XWG-11</t>
  </si>
  <si>
    <t>WBS H-5XWG-11-02</t>
  </si>
  <si>
    <t>WBS H-5XWG-13</t>
  </si>
  <si>
    <t>WBS H-5XWG-15</t>
  </si>
  <si>
    <t>WBS H-6074-01</t>
  </si>
  <si>
    <t>WBS H-6074-01-01</t>
  </si>
  <si>
    <t>WBS H-6074-02</t>
  </si>
  <si>
    <t>WBS H-6074-02-01</t>
  </si>
  <si>
    <t>WBS H-6074-04</t>
  </si>
  <si>
    <t>H-6074-18</t>
  </si>
  <si>
    <t>WBS H-6074-18</t>
  </si>
  <si>
    <t>H-6074-19</t>
  </si>
  <si>
    <t>WBS H-6074-19</t>
  </si>
  <si>
    <t>H-6074-20</t>
  </si>
  <si>
    <t>WBS H-6074-20</t>
  </si>
  <si>
    <t>H-6074-21</t>
  </si>
  <si>
    <t>WBS H-6074-21</t>
  </si>
  <si>
    <t>H-6074-22</t>
  </si>
  <si>
    <t>WBS H-6074-22</t>
  </si>
  <si>
    <t>H-6074-23</t>
  </si>
  <si>
    <t>WBS H-6074-23</t>
  </si>
  <si>
    <t>WBS H-63WD</t>
  </si>
  <si>
    <t>WBS H-63WD-04</t>
  </si>
  <si>
    <t>WBS H-63WD-05</t>
  </si>
  <si>
    <t>WBS H-63WD-05-03</t>
  </si>
  <si>
    <t>WBS H-63WD-06</t>
  </si>
  <si>
    <t>WBS H-63WD-06-01</t>
  </si>
  <si>
    <t>WBS H-63WD-06-02</t>
  </si>
  <si>
    <t>WBS H-63WD-06-03</t>
  </si>
  <si>
    <t>WBS H-63WD-06-04</t>
  </si>
  <si>
    <t>WBS H-63WD-06-05</t>
  </si>
  <si>
    <t>WBS H-63WD-06-06</t>
  </si>
  <si>
    <t>WBS H-63WD-08</t>
  </si>
  <si>
    <t>WBS H-63WD-08-01</t>
  </si>
  <si>
    <t>WBS H-63WD-08-01-01</t>
  </si>
  <si>
    <t>WBS H-63WD-08-01-02</t>
  </si>
  <si>
    <t>WBS H-63WD-08-01-03</t>
  </si>
  <si>
    <t>WBS H-63WD-08-01-03-01</t>
  </si>
  <si>
    <t>WBS H-63WD-08-01-03-02</t>
  </si>
  <si>
    <t>WBS H-63WD-08-01-04</t>
  </si>
  <si>
    <t>WBS H-63WD-08-01-05</t>
  </si>
  <si>
    <t>WBS H-63WD-08-01-05-01</t>
  </si>
  <si>
    <t>WBS H-63WD-08-01-05-02</t>
  </si>
  <si>
    <t>WBS H-63WD-08-01-06</t>
  </si>
  <si>
    <t>WBS H-63WD-08-01-06-01</t>
  </si>
  <si>
    <t>WBS H-63WD-08-01-06-02</t>
  </si>
  <si>
    <t>WBS H-63WD-08-02</t>
  </si>
  <si>
    <t>WBS H-63WD-08-02-02</t>
  </si>
  <si>
    <t>WBS H-63WD-08-03</t>
  </si>
  <si>
    <t>WBS H-63WD-08-05</t>
  </si>
  <si>
    <t>WBS H-63WD-15</t>
  </si>
  <si>
    <t>WBS H-63WF</t>
  </si>
  <si>
    <t>WBS H-63WF-04</t>
  </si>
  <si>
    <t>WBS H-63WF-05</t>
  </si>
  <si>
    <t>WBS H-63WF-05-03</t>
  </si>
  <si>
    <t>WBS H-63WF-06</t>
  </si>
  <si>
    <t>WBS H-63WF-06-01</t>
  </si>
  <si>
    <t>WBS H-63WF-06-02</t>
  </si>
  <si>
    <t>WBS H-63WF-06-03</t>
  </si>
  <si>
    <t>WBS H-63WF-06-04</t>
  </si>
  <si>
    <t>WBS H-63WF-06-05</t>
  </si>
  <si>
    <t>WBS H-63WF-06-06</t>
  </si>
  <si>
    <t>WBS H-63WF-08</t>
  </si>
  <si>
    <t>WBS H-63WF-08-01</t>
  </si>
  <si>
    <t>WBS H-63WF-08-01-01</t>
  </si>
  <si>
    <t>WBS H-63WF-08-01-02</t>
  </si>
  <si>
    <t>WBS H-63WF-08-01-03</t>
  </si>
  <si>
    <t>WBS H-63WF-08-01-03-01</t>
  </si>
  <si>
    <t>WBS H-63WF-08-01-03-02</t>
  </si>
  <si>
    <t>WBS H-63WF-08-01-04</t>
  </si>
  <si>
    <t>WBS H-63WF-08-01-05</t>
  </si>
  <si>
    <t>WBS H-63WF-08-01-05-01</t>
  </si>
  <si>
    <t>WBS H-63WF-08-01-05-02</t>
  </si>
  <si>
    <t>WBS H-63WF-08-01-06</t>
  </si>
  <si>
    <t>WBS H-63WF-08-01-06-01</t>
  </si>
  <si>
    <t>WBS H-63WF-08-01-06-02</t>
  </si>
  <si>
    <t>WBS H-63WF-08-02</t>
  </si>
  <si>
    <t>WBS H-63WF-08-02-02</t>
  </si>
  <si>
    <t>WBS H-63WF-08-03</t>
  </si>
  <si>
    <t>WBS H-63WF-08-05</t>
  </si>
  <si>
    <t>WBS H-63WG</t>
  </si>
  <si>
    <t>WBS H-63WG-04</t>
  </si>
  <si>
    <t>WBS H-63WG-05</t>
  </si>
  <si>
    <t>WBS H-63WG-05-01</t>
  </si>
  <si>
    <t>WBS H-63WG-05-03</t>
  </si>
  <si>
    <t>WBS H-63WG-06</t>
  </si>
  <si>
    <t>WBS H-63WG-06-01</t>
  </si>
  <si>
    <t>WBS H-63WG-06-02</t>
  </si>
  <si>
    <t>WBS H-63WG-06-03</t>
  </si>
  <si>
    <t>WBS H-63WG-06-04</t>
  </si>
  <si>
    <t>WBS H-63WG-06-05</t>
  </si>
  <si>
    <t>WBS H-63WG-06-06</t>
  </si>
  <si>
    <t>WBS H-63WG-08</t>
  </si>
  <si>
    <t>WBS H-63WG-08-01</t>
  </si>
  <si>
    <t>WBS H-63WG-08-01-01</t>
  </si>
  <si>
    <t>WBS H-63WG-08-01-02</t>
  </si>
  <si>
    <t>WBS H-63WG-08-01-03</t>
  </si>
  <si>
    <t>WBS H-63WG-08-01-03-01</t>
  </si>
  <si>
    <t>WBS H-63WG-08-01-03-02</t>
  </si>
  <si>
    <t>WBS H-63WG-08-01-04</t>
  </si>
  <si>
    <t>WBS H-63WG-08-01-05</t>
  </si>
  <si>
    <t>WBS H-63WG-08-01-05-01</t>
  </si>
  <si>
    <t>WBS H-63WG-08-01-05-02</t>
  </si>
  <si>
    <t>WBS H-63WG-08-01-06</t>
  </si>
  <si>
    <t>WBS H-63WG-08-01-06-01</t>
  </si>
  <si>
    <t>WBS H-63WG-08-01-06-02</t>
  </si>
  <si>
    <t>WBS H-63WG-08-02</t>
  </si>
  <si>
    <t>WBS H-63WG-08-02-02</t>
  </si>
  <si>
    <t>WBS H-63WG-08-03</t>
  </si>
  <si>
    <t>WBS H-63WG-08-05</t>
  </si>
  <si>
    <t>WBS H-63WG-15</t>
  </si>
  <si>
    <t>WBS H-6497</t>
  </si>
  <si>
    <t>WBS H-6497-07</t>
  </si>
  <si>
    <t>WBS H-6497-07-01</t>
  </si>
  <si>
    <t>WBS H-6497-07-02</t>
  </si>
  <si>
    <t>WBS H-6497-07-04</t>
  </si>
  <si>
    <t>WBS H-6497-09</t>
  </si>
  <si>
    <t>WBS H-6497-09-01</t>
  </si>
  <si>
    <t>WBS H-6497-10</t>
  </si>
  <si>
    <t>WBS H-6497-10-01</t>
  </si>
  <si>
    <t>WBS H-6497-10-02</t>
  </si>
  <si>
    <t>WBS H-6497-10-03</t>
  </si>
  <si>
    <t>WBS H-6497-10-08</t>
  </si>
  <si>
    <t>WBS H-6497-10-09</t>
  </si>
  <si>
    <t>WBS H-6497-10-10</t>
  </si>
  <si>
    <t>WBS H-6497-10-14</t>
  </si>
  <si>
    <t>WBS H-6497-10-18</t>
  </si>
  <si>
    <t>WBS H-6497-10-18-03</t>
  </si>
  <si>
    <t>WBS H-6497-12</t>
  </si>
  <si>
    <t>WBS H-6497-15</t>
  </si>
  <si>
    <t>WBS H-6764-01</t>
  </si>
  <si>
    <t>WBS H-6764-01-01</t>
  </si>
  <si>
    <t>WBS H-6764-02</t>
  </si>
  <si>
    <t>WBS H-6764-02-01</t>
  </si>
  <si>
    <t>WBS H-6764-03</t>
  </si>
  <si>
    <t>WBS H-6764-03-01</t>
  </si>
  <si>
    <t>WBS H-6764-05</t>
  </si>
  <si>
    <t>WBS H-6764-05-01</t>
  </si>
  <si>
    <t>H-6764-19</t>
  </si>
  <si>
    <t>WBS H-6764-19</t>
  </si>
  <si>
    <t>H-6764-20</t>
  </si>
  <si>
    <t>WBS H-6764-20</t>
  </si>
  <si>
    <t>H-6764-21</t>
  </si>
  <si>
    <t>WBS H-6764-21</t>
  </si>
  <si>
    <t>SHEETING F/ROOF&amp;SIDE</t>
  </si>
  <si>
    <t>2065606643</t>
  </si>
  <si>
    <t>Contractual Manpower-General &amp; Admin</t>
  </si>
  <si>
    <t>55008500</t>
  </si>
  <si>
    <t>Cont Mnpwr-Gen&amp;Admin</t>
  </si>
  <si>
    <t>PANEL,HT,OUTDOR,TYPE:B,33KV,630A,25KA,3P</t>
  </si>
  <si>
    <t>189888</t>
  </si>
  <si>
    <t>30103559</t>
  </si>
  <si>
    <t>6781438023</t>
  </si>
  <si>
    <t>BREAKER TROLLEY</t>
  </si>
  <si>
    <t>9911031273</t>
  </si>
  <si>
    <t>CHARGING SPRING OF EACH TYPE</t>
  </si>
  <si>
    <t>9922302723</t>
  </si>
  <si>
    <t>131600</t>
  </si>
  <si>
    <t>PRIMARY DISCONNECTOR FOR HT SWITCH GEAR</t>
  </si>
  <si>
    <t>9922252293</t>
  </si>
  <si>
    <t>30130485</t>
  </si>
  <si>
    <t>30064234</t>
  </si>
  <si>
    <t>121249</t>
  </si>
  <si>
    <t>1601</t>
  </si>
  <si>
    <t>K</t>
  </si>
  <si>
    <t>30184718</t>
  </si>
  <si>
    <t>30018638</t>
  </si>
  <si>
    <t>135108</t>
  </si>
  <si>
    <t>1572</t>
  </si>
  <si>
    <t>30213786</t>
  </si>
  <si>
    <t>271633</t>
  </si>
  <si>
    <t>89.87500</t>
  </si>
  <si>
    <t>307009</t>
  </si>
  <si>
    <t>309734</t>
  </si>
  <si>
    <t>90.12420</t>
  </si>
  <si>
    <t>94.08020</t>
  </si>
  <si>
    <t>94.29580</t>
  </si>
  <si>
    <t>30098134</t>
  </si>
  <si>
    <t>181374</t>
  </si>
  <si>
    <t>197072</t>
  </si>
  <si>
    <t>30150337</t>
  </si>
  <si>
    <t>252404</t>
  </si>
  <si>
    <t>264466</t>
  </si>
  <si>
    <t>PSS-11 (2 Hrs System)</t>
  </si>
  <si>
    <t>H-6764-18</t>
  </si>
  <si>
    <t>51WI</t>
  </si>
  <si>
    <t>MISCELLENOUS ITEM,F/ELECTRICAL</t>
  </si>
  <si>
    <t>9922255483</t>
  </si>
  <si>
    <t>H-6764-22</t>
  </si>
  <si>
    <t>51N1</t>
  </si>
  <si>
    <t>H-5XA1-16</t>
  </si>
  <si>
    <t>H-5XA2-16</t>
  </si>
  <si>
    <t>H-63A1-16</t>
  </si>
  <si>
    <t>H-63A2-16</t>
  </si>
  <si>
    <t>183854</t>
  </si>
  <si>
    <t>30173345</t>
  </si>
  <si>
    <t>30215701</t>
  </si>
  <si>
    <t>30061244</t>
  </si>
  <si>
    <t>30145579</t>
  </si>
  <si>
    <t>30094000</t>
  </si>
  <si>
    <t>30133002</t>
  </si>
  <si>
    <t>30063914</t>
  </si>
  <si>
    <t>30055054</t>
  </si>
  <si>
    <t>30182975</t>
  </si>
  <si>
    <t>106402</t>
  </si>
  <si>
    <t>30173695</t>
  </si>
  <si>
    <t>268037</t>
  </si>
  <si>
    <t>213331</t>
  </si>
  <si>
    <t>261630</t>
  </si>
  <si>
    <t>30109598</t>
  </si>
  <si>
    <t>736150</t>
  </si>
  <si>
    <t>30008149</t>
  </si>
  <si>
    <t>252873</t>
  </si>
  <si>
    <t>226350</t>
  </si>
  <si>
    <t xml:space="preserve">Profit Centers </t>
  </si>
  <si>
    <t xml:space="preserve">Name </t>
  </si>
  <si>
    <t>Plant Code</t>
  </si>
  <si>
    <t>Profit Center</t>
  </si>
  <si>
    <t>621OPGN1</t>
  </si>
  <si>
    <t>Cost Center</t>
  </si>
  <si>
    <t>Project Defination</t>
  </si>
  <si>
    <t>Adani Green Energy 27 A Limited (AGE27AL)</t>
  </si>
  <si>
    <t>51WGOPGN</t>
  </si>
  <si>
    <t>6497OPGN</t>
  </si>
  <si>
    <t>AGE27AL-Khavda-BESS-PSS-09-1006 MW/ 2209 MWH</t>
  </si>
  <si>
    <t>Khavda- PSS 09</t>
  </si>
  <si>
    <t>AGE27AL</t>
  </si>
  <si>
    <t>H-63WG-01</t>
  </si>
  <si>
    <t>H-6497-01</t>
  </si>
  <si>
    <t>H-63WG-01-01</t>
  </si>
  <si>
    <t>H-6497-01-01</t>
  </si>
  <si>
    <t>H-63WG-01-02</t>
  </si>
  <si>
    <t>H-6497-01-02</t>
  </si>
  <si>
    <t>H-5XWG-01-03</t>
  </si>
  <si>
    <t>H-63WG-01-03</t>
  </si>
  <si>
    <t>H-6497-01-03</t>
  </si>
  <si>
    <t>H-63WG-02</t>
  </si>
  <si>
    <t>H-6497-02</t>
  </si>
  <si>
    <t>H-63WG-02-01</t>
  </si>
  <si>
    <t>H-6497-02-01</t>
  </si>
  <si>
    <t>H-63WG-02-02</t>
  </si>
  <si>
    <t>H-6497-02-02</t>
  </si>
  <si>
    <t>H-63WG-03</t>
  </si>
  <si>
    <t>H-6497-03</t>
  </si>
  <si>
    <t>H-63WG-03-01</t>
  </si>
  <si>
    <t>H-6497-03-01</t>
  </si>
  <si>
    <t>H-5XWG-03-02</t>
  </si>
  <si>
    <t>H-63WG-03-02</t>
  </si>
  <si>
    <t>H-6497-03-02</t>
  </si>
  <si>
    <t>H-6497-04</t>
  </si>
  <si>
    <t>H-5XWG-05</t>
  </si>
  <si>
    <t>H-6497-05</t>
  </si>
  <si>
    <t>H-5XWG-05-01</t>
  </si>
  <si>
    <t>H-6497-05-01</t>
  </si>
  <si>
    <t>H-5XWG-05-02</t>
  </si>
  <si>
    <t>H-6497-05-02</t>
  </si>
  <si>
    <t>H-5XWG-05-03</t>
  </si>
  <si>
    <t>H-6497-05-03</t>
  </si>
  <si>
    <t>H-6497-06</t>
  </si>
  <si>
    <t>H-6497-06-01</t>
  </si>
  <si>
    <t>H-6497-06-02</t>
  </si>
  <si>
    <t>H-6497-06-03</t>
  </si>
  <si>
    <t>H-6497-06-04</t>
  </si>
  <si>
    <t>H-6497-06-05</t>
  </si>
  <si>
    <t>H-5XWG-06-06</t>
  </si>
  <si>
    <t>H-6497-06-06</t>
  </si>
  <si>
    <t>H-5XWG-07</t>
  </si>
  <si>
    <t>H-63WG-07</t>
  </si>
  <si>
    <t>H-5XWG-07-01</t>
  </si>
  <si>
    <t>H-63WG-07-01</t>
  </si>
  <si>
    <t>H-5XWG-07-02</t>
  </si>
  <si>
    <t>H-63WG-07-02</t>
  </si>
  <si>
    <t>H-5XWG-07-03</t>
  </si>
  <si>
    <t>H-63WG-07-03</t>
  </si>
  <si>
    <t>H-6497-07-03</t>
  </si>
  <si>
    <t>H-5XWG-07-04</t>
  </si>
  <si>
    <t>H-63WG-07-04</t>
  </si>
  <si>
    <t>H-5XWG-08</t>
  </si>
  <si>
    <t>H-6497-08</t>
  </si>
  <si>
    <t>H-5XWG-08-01</t>
  </si>
  <si>
    <t>H-6497-08-01</t>
  </si>
  <si>
    <t>H-5XWG-08-01-01</t>
  </si>
  <si>
    <t>H-6497-08-01-01</t>
  </si>
  <si>
    <t>H-5XWG-08-01-02</t>
  </si>
  <si>
    <t>H-6497-08-01-02</t>
  </si>
  <si>
    <t>H-5XWG-08-01-03</t>
  </si>
  <si>
    <t>H-6497-08-01-03</t>
  </si>
  <si>
    <t>H-5XWG-08-01-03-01</t>
  </si>
  <si>
    <t>H-6497-08-01-03-01</t>
  </si>
  <si>
    <t>H-5XWG-08-01-03-02</t>
  </si>
  <si>
    <t>H-6497-08-01-03-02</t>
  </si>
  <si>
    <t>H-5XWG-08-01-04</t>
  </si>
  <si>
    <t>H-6497-08-01-04</t>
  </si>
  <si>
    <t>H-5XWG-08-01-05</t>
  </si>
  <si>
    <t>H-6497-08-01-05</t>
  </si>
  <si>
    <t>H-5XWG-08-01-05-01</t>
  </si>
  <si>
    <t>H-6497-08-01-05-01</t>
  </si>
  <si>
    <t>H-5XWG-08-01-05-02</t>
  </si>
  <si>
    <t>H-6497-08-01-05-02</t>
  </si>
  <si>
    <t>H-5XWG-08-01-06</t>
  </si>
  <si>
    <t>H-6497-08-01-06</t>
  </si>
  <si>
    <t>H-5XWG-08-01-06-01</t>
  </si>
  <si>
    <t>H-6497-08-01-06-01</t>
  </si>
  <si>
    <t>H-5XWG-08-01-06-02</t>
  </si>
  <si>
    <t>H-6497-08-01-06-02</t>
  </si>
  <si>
    <t>H-5XWG-08-02</t>
  </si>
  <si>
    <t>H-6497-08-02</t>
  </si>
  <si>
    <t>H-5XWG-08-02-01</t>
  </si>
  <si>
    <t>H-63WG-08-02-01</t>
  </si>
  <si>
    <t>H-6497-08-02-01</t>
  </si>
  <si>
    <t>H-5XWG-08-02-02</t>
  </si>
  <si>
    <t>H-6497-08-02-02</t>
  </si>
  <si>
    <t>H-5XWG-08-03</t>
  </si>
  <si>
    <t>H-6497-08-03</t>
  </si>
  <si>
    <t>H-5XWG-08-04</t>
  </si>
  <si>
    <t>H-63WG-08-04</t>
  </si>
  <si>
    <t>H-6497-08-04</t>
  </si>
  <si>
    <t>H-5XWG-08-05</t>
  </si>
  <si>
    <t>H-6497-08-05</t>
  </si>
  <si>
    <t>H-5XWG-09</t>
  </si>
  <si>
    <t>H-63WG-09</t>
  </si>
  <si>
    <t>H-5XWG-09-01</t>
  </si>
  <si>
    <t>H-63WG-09-01</t>
  </si>
  <si>
    <t>H-5XWG-09-02</t>
  </si>
  <si>
    <t>H-63WG-09-02</t>
  </si>
  <si>
    <t>H-6497-09-02</t>
  </si>
  <si>
    <t>H-5XWG-09-03</t>
  </si>
  <si>
    <t>H-63WG-09-03</t>
  </si>
  <si>
    <t>H-6497-09-03</t>
  </si>
  <si>
    <t>H-5XWG-09-04</t>
  </si>
  <si>
    <t>H-63WG-09-04</t>
  </si>
  <si>
    <t>H-6497-09-04</t>
  </si>
  <si>
    <t>H-5XWG-10</t>
  </si>
  <si>
    <t>H-63WG-10</t>
  </si>
  <si>
    <t>H-5XWG-10-01</t>
  </si>
  <si>
    <t>H-63WG-10-01</t>
  </si>
  <si>
    <t>H-5XWG-10-02</t>
  </si>
  <si>
    <t>H-63WG-10-02</t>
  </si>
  <si>
    <t>H-5XWG-10-03</t>
  </si>
  <si>
    <t>H-63WG-10-03</t>
  </si>
  <si>
    <t>H-5XWG-10-04</t>
  </si>
  <si>
    <t>H-63WG-10-04</t>
  </si>
  <si>
    <t>H-6497-10-04</t>
  </si>
  <si>
    <t>H-5XWG-10-05</t>
  </si>
  <si>
    <t>H-63WG-10-05</t>
  </si>
  <si>
    <t>H-6497-10-05</t>
  </si>
  <si>
    <t>H-5XWG-10-06</t>
  </si>
  <si>
    <t>H-63WG-10-06</t>
  </si>
  <si>
    <t>H-6497-10-06</t>
  </si>
  <si>
    <t>H-5XWG-10-07</t>
  </si>
  <si>
    <t>H-63WG-10-07</t>
  </si>
  <si>
    <t>H-6497-10-07</t>
  </si>
  <si>
    <t>H-5XWG-10-08</t>
  </si>
  <si>
    <t>H-63WG-10-08</t>
  </si>
  <si>
    <t>H-5XWG-10-09</t>
  </si>
  <si>
    <t>H-63WG-10-09</t>
  </si>
  <si>
    <t>H-5XWG-10-10</t>
  </si>
  <si>
    <t>H-63WG-10-10</t>
  </si>
  <si>
    <t>H-5XWG-10-11</t>
  </si>
  <si>
    <t>H-63WG-10-11</t>
  </si>
  <si>
    <t>H-6497-10-11</t>
  </si>
  <si>
    <t>H-5XWG-10-12</t>
  </si>
  <si>
    <t>H-63WG-10-12</t>
  </si>
  <si>
    <t>H-6497-10-12</t>
  </si>
  <si>
    <t>H-5XWG-10-13</t>
  </si>
  <si>
    <t>H-63WG-10-13</t>
  </si>
  <si>
    <t>H-6497-10-13</t>
  </si>
  <si>
    <t>H-5XWG-10-14</t>
  </si>
  <si>
    <t>H-63WG-10-14</t>
  </si>
  <si>
    <t>H-5XWG-10-15</t>
  </si>
  <si>
    <t>H-63WG-10-15</t>
  </si>
  <si>
    <t>H-6497-10-15</t>
  </si>
  <si>
    <t>H-5XWG-10-16</t>
  </si>
  <si>
    <t>H-63WG-10-16</t>
  </si>
  <si>
    <t>H-5XWG-10-17</t>
  </si>
  <si>
    <t>H-63WG-10-17</t>
  </si>
  <si>
    <t>H-5XWG-10-18</t>
  </si>
  <si>
    <t>H-63WG-10-18</t>
  </si>
  <si>
    <t>H-5XWG-10-18-01</t>
  </si>
  <si>
    <t>H-63WG-10-18-01</t>
  </si>
  <si>
    <t>H-6497-10-18-01</t>
  </si>
  <si>
    <t>H-5XWG-10-18-02</t>
  </si>
  <si>
    <t>H-63WG-10-18-02</t>
  </si>
  <si>
    <t>H-6497-10-18-02</t>
  </si>
  <si>
    <t>H-5XWG-10-18-03</t>
  </si>
  <si>
    <t>H-63WG-10-18-03</t>
  </si>
  <si>
    <t>H-5XWG-10-18-04</t>
  </si>
  <si>
    <t>H-63WG-10-18-04</t>
  </si>
  <si>
    <t>H-6497-10-18-04</t>
  </si>
  <si>
    <t>H-5XWG-10-19</t>
  </si>
  <si>
    <t>H-63WG-10-19</t>
  </si>
  <si>
    <t>H-6497-10-19</t>
  </si>
  <si>
    <t>H-5XWG-10-20</t>
  </si>
  <si>
    <t>H-63WG-10-20</t>
  </si>
  <si>
    <t>H-6497-10-20</t>
  </si>
  <si>
    <t>H-63WG-11</t>
  </si>
  <si>
    <t>H-6497-11</t>
  </si>
  <si>
    <t>H-5XWG-11-01</t>
  </si>
  <si>
    <t>H-63WG-11-01</t>
  </si>
  <si>
    <t>H-6497-11-01</t>
  </si>
  <si>
    <t>H-63WG-11-02</t>
  </si>
  <si>
    <t>H-6497-11-02</t>
  </si>
  <si>
    <t>H-5XWG-11-03</t>
  </si>
  <si>
    <t>H-63WG-11-03</t>
  </si>
  <si>
    <t>H-6497-11-03</t>
  </si>
  <si>
    <t>H-63WG-11-04</t>
  </si>
  <si>
    <t>H-6497-11-04</t>
  </si>
  <si>
    <t>H-5XWG-11-05</t>
  </si>
  <si>
    <t>H-63WG-11-05</t>
  </si>
  <si>
    <t>H-6497-11-05</t>
  </si>
  <si>
    <t>H-5XWG-11-06</t>
  </si>
  <si>
    <t>H-63WG-11-06</t>
  </si>
  <si>
    <t>H-6497-11-06</t>
  </si>
  <si>
    <t>H-5XWG-11-07</t>
  </si>
  <si>
    <t>H-63WG-11-07</t>
  </si>
  <si>
    <t>H-6497-11-07</t>
  </si>
  <si>
    <t>H-5XWG-12</t>
  </si>
  <si>
    <t>H-63WG-12</t>
  </si>
  <si>
    <t>H-63WG-13</t>
  </si>
  <si>
    <t>H-6497-13</t>
  </si>
  <si>
    <t>H-5XWG-14</t>
  </si>
  <si>
    <t>H-63WG-14</t>
  </si>
  <si>
    <t>H-6497-14</t>
  </si>
  <si>
    <r>
      <t xml:space="preserve">Approved Capex </t>
    </r>
    <r>
      <rPr>
        <b/>
        <i/>
        <sz val="16"/>
        <color theme="1"/>
        <rFont val="Adani Regular"/>
      </rPr>
      <t xml:space="preserve">(INR Cr) </t>
    </r>
    <r>
      <rPr>
        <b/>
        <i/>
        <sz val="16"/>
        <color rgb="FFFF0000"/>
        <rFont val="Adani Regular"/>
      </rPr>
      <t xml:space="preserve">- </t>
    </r>
    <r>
      <rPr>
        <i/>
        <sz val="16"/>
        <color rgb="FFFF0000"/>
        <rFont val="Adani Regular"/>
      </rPr>
      <t>Non editable column</t>
    </r>
  </si>
  <si>
    <r>
      <t xml:space="preserve">Incurred </t>
    </r>
    <r>
      <rPr>
        <i/>
        <sz val="16"/>
        <color rgb="FFFF0000"/>
        <rFont val="Adani Regular"/>
      </rPr>
      <t>- Non editable column</t>
    </r>
  </si>
  <si>
    <r>
      <t xml:space="preserve">Commited </t>
    </r>
    <r>
      <rPr>
        <i/>
        <sz val="16"/>
        <color rgb="FFFF0000"/>
        <rFont val="Adani Regular"/>
      </rPr>
      <t>- Non editable column</t>
    </r>
  </si>
  <si>
    <r>
      <t xml:space="preserve">Balance To  completion </t>
    </r>
    <r>
      <rPr>
        <i/>
        <sz val="16"/>
        <color theme="1"/>
        <rFont val="Adani Regular"/>
      </rPr>
      <t xml:space="preserve">- </t>
    </r>
    <r>
      <rPr>
        <i/>
        <sz val="16"/>
        <color rgb="FFFF0000"/>
        <rFont val="Adani Regular"/>
      </rPr>
      <t>editable column</t>
    </r>
  </si>
  <si>
    <r>
      <t xml:space="preserve">EAC </t>
    </r>
    <r>
      <rPr>
        <i/>
        <sz val="16"/>
        <color rgb="FFFF0000"/>
        <rFont val="Adani Regular"/>
      </rPr>
      <t>- Non editable column</t>
    </r>
  </si>
  <si>
    <r>
      <t>Variance WRT Approved NFA</t>
    </r>
    <r>
      <rPr>
        <b/>
        <sz val="16"/>
        <color rgb="FFFF0000"/>
        <rFont val="Adani Regular"/>
      </rPr>
      <t xml:space="preserve"> - </t>
    </r>
    <r>
      <rPr>
        <i/>
        <sz val="16"/>
        <color rgb="FFFF0000"/>
        <rFont val="Adani Regular"/>
      </rPr>
      <t>Non editable column</t>
    </r>
  </si>
  <si>
    <r>
      <t xml:space="preserve">EAC Remarks </t>
    </r>
    <r>
      <rPr>
        <i/>
        <sz val="16"/>
        <color rgb="FFFF0000"/>
        <rFont val="Adani Regular"/>
      </rPr>
      <t>-editable column</t>
    </r>
  </si>
  <si>
    <t>WBS w.r.t Line Items</t>
  </si>
  <si>
    <r>
      <t xml:space="preserve">ACDC/ Electrical Erection  &amp; </t>
    </r>
    <r>
      <rPr>
        <sz val="16"/>
        <color rgb="FFFF0000"/>
        <rFont val="Adani Regular"/>
      </rPr>
      <t>Fire Alarm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</si>
</sst>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00"/>
    <numFmt numFmtId="165" formatCode="0.000"/>
    <numFmt numFmtId="166" formatCode="_(* #,##0_);_(* \(#,##0\);_(* &quot;-&quot;??_);_(@_)"/>
    <numFmt numFmtId="167" formatCode="0.0"/>
    <numFmt numFmtId="168" formatCode="0.0000"/>
    <numFmt numFmtId="169" formatCode="_(* #,##0.0_);_(* \(#,##0.0\);_(* &quot;-&quot;??_);_(@_)"/>
    <numFmt numFmtId="170" formatCode="_(* #,##0.000_);_(* \(#,##0.000\);_(* &quot;-&quot;??_);_(@_)"/>
    <numFmt numFmtId="171" formatCode="_(* #,##0.0000_);_(* \(#,##0.0000\);_(* &quot;-&quot;??_);_(@_)"/>
    <numFmt numFmtId="172" formatCode="[$-F800]dddd\,\ mmmm\ dd\,\ yyyy"/>
  </numFmts>
  <fonts count="56" x14ac:knownFonts="1">
    <font>
      <sz val="10"/>
      <color theme="1"/>
      <name val="Adani Regular"/>
      <family val="2"/>
    </font>
    <font>
      <sz val="10"/>
      <color theme="1"/>
      <name val="Adani Regular"/>
      <family val="2"/>
    </font>
    <font>
      <sz val="8"/>
      <color theme="1"/>
      <name val="Adani Regular"/>
      <family val="2"/>
    </font>
    <font>
      <b/>
      <sz val="8"/>
      <color theme="1"/>
      <name val="Adani Regular"/>
      <family val="2"/>
    </font>
    <font>
      <b/>
      <sz val="8"/>
      <color rgb="FF000000"/>
      <name val="Adani Regular"/>
      <family val="2"/>
    </font>
    <font>
      <sz val="8"/>
      <color rgb="FF000000"/>
      <name val="Adani Regular"/>
      <family val="2"/>
    </font>
    <font>
      <sz val="8"/>
      <color theme="1"/>
      <name val="Adani Regular"/>
    </font>
    <font>
      <b/>
      <sz val="8"/>
      <color theme="1"/>
      <name val="Adani Regular"/>
    </font>
    <font>
      <b/>
      <sz val="8"/>
      <color rgb="FF000000"/>
      <name val="Adani Regular"/>
    </font>
    <font>
      <sz val="8"/>
      <color rgb="FF000000"/>
      <name val="Adani Regular"/>
    </font>
    <font>
      <sz val="11"/>
      <color rgb="FF000000"/>
      <name val="Adani Regular"/>
    </font>
    <font>
      <sz val="10"/>
      <name val="Arial"/>
      <family val="2"/>
    </font>
    <font>
      <b/>
      <sz val="11"/>
      <color rgb="FF000000"/>
      <name val="Adani Regular"/>
    </font>
    <font>
      <b/>
      <sz val="48"/>
      <color theme="1"/>
      <name val="Adani Regular"/>
    </font>
    <font>
      <sz val="26"/>
      <color theme="1"/>
      <name val="Adani Regular"/>
    </font>
    <font>
      <b/>
      <sz val="26"/>
      <color theme="1"/>
      <name val="Adani Regular"/>
    </font>
    <font>
      <sz val="26"/>
      <name val="Adani Regular"/>
    </font>
    <font>
      <i/>
      <sz val="26"/>
      <color theme="1"/>
      <name val="Adani Regular"/>
    </font>
    <font>
      <i/>
      <sz val="26"/>
      <name val="Adani Regular"/>
    </font>
    <font>
      <sz val="11"/>
      <color theme="1"/>
      <name val="Aptos Narrow"/>
      <family val="2"/>
      <scheme val="minor"/>
    </font>
    <font>
      <b/>
      <sz val="26"/>
      <name val="Adani Regular"/>
    </font>
    <font>
      <b/>
      <i/>
      <sz val="26"/>
      <color theme="1"/>
      <name val="Adani Regular"/>
    </font>
    <font>
      <sz val="26"/>
      <color theme="1"/>
      <name val="Adani Regular"/>
      <family val="2"/>
    </font>
    <font>
      <sz val="18"/>
      <color theme="1"/>
      <name val="Adani Regular"/>
    </font>
    <font>
      <b/>
      <sz val="18"/>
      <color theme="1"/>
      <name val="Adani Regular"/>
    </font>
    <font>
      <sz val="28"/>
      <color theme="1"/>
      <name val="Adani Regular"/>
    </font>
    <font>
      <b/>
      <sz val="28"/>
      <color theme="1"/>
      <name val="Adani Regular"/>
    </font>
    <font>
      <b/>
      <sz val="24"/>
      <color theme="1"/>
      <name val="Adani Regular"/>
    </font>
    <font>
      <sz val="24"/>
      <color theme="1"/>
      <name val="Adani Regular"/>
    </font>
    <font>
      <sz val="18"/>
      <name val="Adani Regular"/>
    </font>
    <font>
      <b/>
      <i/>
      <sz val="18"/>
      <color theme="1"/>
      <name val="Adani Regular"/>
    </font>
    <font>
      <sz val="18"/>
      <color rgb="FF000000"/>
      <name val="Adani Regular"/>
    </font>
    <font>
      <b/>
      <i/>
      <sz val="18"/>
      <name val="Adani Regular"/>
    </font>
    <font>
      <sz val="18"/>
      <color theme="1"/>
      <name val="Adani Regular"/>
      <family val="2"/>
    </font>
    <font>
      <b/>
      <sz val="18"/>
      <name val="Adani Regular"/>
    </font>
    <font>
      <i/>
      <sz val="18"/>
      <name val="Adani Regular"/>
    </font>
    <font>
      <b/>
      <sz val="36"/>
      <color theme="1"/>
      <name val="Adani Regular"/>
    </font>
    <font>
      <sz val="36"/>
      <color theme="1"/>
      <name val="Adani Regular"/>
    </font>
    <font>
      <b/>
      <sz val="48"/>
      <color theme="1"/>
      <name val="Adani Regular"/>
      <family val="2"/>
    </font>
    <font>
      <b/>
      <sz val="36"/>
      <color theme="1"/>
      <name val="Adani Regular"/>
      <family val="2"/>
    </font>
    <font>
      <b/>
      <sz val="26"/>
      <color theme="1"/>
      <name val="Adani Regular"/>
      <family val="2"/>
    </font>
    <font>
      <sz val="26"/>
      <name val="Adani Regular"/>
      <family val="2"/>
    </font>
    <font>
      <sz val="8"/>
      <color rgb="FFFF0000"/>
      <name val="Adani Regular"/>
    </font>
    <font>
      <sz val="11"/>
      <color rgb="FFFF0000"/>
      <name val="Aptos Narrow"/>
      <family val="2"/>
      <scheme val="minor"/>
    </font>
    <font>
      <b/>
      <sz val="8"/>
      <color rgb="FFFF0000"/>
      <name val="Adani Regular"/>
    </font>
    <font>
      <b/>
      <sz val="16"/>
      <color theme="1"/>
      <name val="Adani Regular"/>
    </font>
    <font>
      <sz val="16"/>
      <color theme="1"/>
      <name val="Adani Regular"/>
    </font>
    <font>
      <b/>
      <i/>
      <sz val="16"/>
      <color theme="1"/>
      <name val="Adani Regular"/>
    </font>
    <font>
      <b/>
      <i/>
      <sz val="16"/>
      <color rgb="FFFF0000"/>
      <name val="Adani Regular"/>
    </font>
    <font>
      <i/>
      <sz val="16"/>
      <color rgb="FFFF0000"/>
      <name val="Adani Regular"/>
    </font>
    <font>
      <i/>
      <sz val="16"/>
      <color theme="1"/>
      <name val="Adani Regular"/>
    </font>
    <font>
      <b/>
      <sz val="16"/>
      <color rgb="FFFF0000"/>
      <name val="Adani Regular"/>
    </font>
    <font>
      <sz val="16"/>
      <color rgb="FF000000"/>
      <name val="Adani Regular"/>
    </font>
    <font>
      <b/>
      <sz val="16"/>
      <name val="Adani Regular"/>
    </font>
    <font>
      <sz val="16"/>
      <color rgb="FFFF0000"/>
      <name val="Adani Regular"/>
    </font>
    <font>
      <b/>
      <sz val="16"/>
      <color rgb="FF000000"/>
      <name val="Adani Regula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0" fontId="19" fillId="0" borderId="0"/>
  </cellStyleXfs>
  <cellXfs count="4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5" borderId="2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3" fillId="5" borderId="2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vertical="center"/>
    </xf>
    <xf numFmtId="49" fontId="2" fillId="6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12" fillId="10" borderId="6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6" borderId="6" xfId="0" applyFill="1" applyBorder="1"/>
    <xf numFmtId="0" fontId="0" fillId="11" borderId="6" xfId="0" applyFill="1" applyBorder="1"/>
    <xf numFmtId="0" fontId="0" fillId="6" borderId="1" xfId="0" applyFill="1" applyBorder="1"/>
    <xf numFmtId="0" fontId="0" fillId="11" borderId="1" xfId="0" applyFill="1" applyBorder="1"/>
    <xf numFmtId="0" fontId="0" fillId="6" borderId="7" xfId="0" applyFill="1" applyBorder="1"/>
    <xf numFmtId="0" fontId="0" fillId="11" borderId="7" xfId="0" applyFill="1" applyBorder="1"/>
    <xf numFmtId="0" fontId="14" fillId="0" borderId="0" xfId="0" applyFont="1"/>
    <xf numFmtId="2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2" fontId="14" fillId="13" borderId="1" xfId="0" applyNumberFormat="1" applyFont="1" applyFill="1" applyBorder="1" applyAlignment="1">
      <alignment horizontal="center" vertical="center" wrapText="1"/>
    </xf>
    <xf numFmtId="2" fontId="14" fillId="1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2" fontId="14" fillId="13" borderId="1" xfId="1" applyNumberFormat="1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6" fontId="14" fillId="0" borderId="0" xfId="1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2" fontId="14" fillId="13" borderId="1" xfId="1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 wrapText="1"/>
    </xf>
    <xf numFmtId="2" fontId="15" fillId="13" borderId="1" xfId="1" applyNumberFormat="1" applyFont="1" applyFill="1" applyBorder="1" applyAlignment="1">
      <alignment horizontal="center" vertical="center" wrapText="1"/>
    </xf>
    <xf numFmtId="2" fontId="15" fillId="13" borderId="1" xfId="1" applyNumberFormat="1" applyFont="1" applyFill="1" applyBorder="1" applyAlignment="1">
      <alignment horizontal="center" vertical="center"/>
    </xf>
    <xf numFmtId="43" fontId="14" fillId="0" borderId="0" xfId="0" applyNumberFormat="1" applyFont="1" applyAlignment="1">
      <alignment vertical="center"/>
    </xf>
    <xf numFmtId="0" fontId="14" fillId="0" borderId="10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right" vertical="center" indent="1"/>
    </xf>
    <xf numFmtId="43" fontId="14" fillId="0" borderId="1" xfId="1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 indent="1"/>
    </xf>
    <xf numFmtId="0" fontId="17" fillId="0" borderId="1" xfId="0" applyFont="1" applyBorder="1" applyAlignment="1">
      <alignment horizontal="right" vertical="center" wrapText="1" indent="1"/>
    </xf>
    <xf numFmtId="0" fontId="14" fillId="0" borderId="1" xfId="0" applyFont="1" applyBorder="1" applyAlignment="1">
      <alignment wrapText="1"/>
    </xf>
    <xf numFmtId="0" fontId="14" fillId="0" borderId="8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43" fontId="14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vertical="center" wrapText="1" indent="1"/>
    </xf>
    <xf numFmtId="0" fontId="14" fillId="0" borderId="1" xfId="0" quotePrefix="1" applyFont="1" applyBorder="1" applyAlignment="1">
      <alignment horizontal="center" vertical="center"/>
    </xf>
    <xf numFmtId="2" fontId="14" fillId="6" borderId="1" xfId="1" applyNumberFormat="1" applyFont="1" applyFill="1" applyBorder="1" applyAlignment="1">
      <alignment horizontal="center" vertical="center"/>
    </xf>
    <xf numFmtId="2" fontId="16" fillId="13" borderId="1" xfId="1" applyNumberFormat="1" applyFont="1" applyFill="1" applyBorder="1" applyAlignment="1">
      <alignment horizontal="center" vertical="center"/>
    </xf>
    <xf numFmtId="0" fontId="20" fillId="0" borderId="1" xfId="3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165" fontId="15" fillId="13" borderId="1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167" fontId="21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vertical="center"/>
    </xf>
    <xf numFmtId="168" fontId="14" fillId="13" borderId="1" xfId="1" applyNumberFormat="1" applyFont="1" applyFill="1" applyBorder="1" applyAlignment="1">
      <alignment horizontal="center" vertical="center"/>
    </xf>
    <xf numFmtId="168" fontId="14" fillId="0" borderId="0" xfId="0" applyNumberFormat="1" applyFont="1" applyAlignment="1">
      <alignment vertical="center"/>
    </xf>
    <xf numFmtId="165" fontId="15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65" fontId="23" fillId="0" borderId="0" xfId="0" applyNumberFormat="1" applyFont="1"/>
    <xf numFmtId="0" fontId="23" fillId="0" borderId="0" xfId="0" applyFont="1" applyAlignment="1">
      <alignment vertical="center"/>
    </xf>
    <xf numFmtId="0" fontId="23" fillId="13" borderId="1" xfId="0" applyFont="1" applyFill="1" applyBorder="1" applyAlignment="1">
      <alignment horizontal="center" vertical="center"/>
    </xf>
    <xf numFmtId="165" fontId="23" fillId="13" borderId="1" xfId="0" applyNumberFormat="1" applyFont="1" applyFill="1" applyBorder="1" applyAlignment="1">
      <alignment vertical="center"/>
    </xf>
    <xf numFmtId="0" fontId="23" fillId="13" borderId="1" xfId="0" applyFont="1" applyFill="1" applyBorder="1" applyAlignment="1">
      <alignment horizontal="center" vertical="center" wrapText="1"/>
    </xf>
    <xf numFmtId="165" fontId="23" fillId="13" borderId="1" xfId="0" applyNumberFormat="1" applyFont="1" applyFill="1" applyBorder="1" applyAlignment="1">
      <alignment horizontal="center" vertical="center"/>
    </xf>
    <xf numFmtId="167" fontId="23" fillId="13" borderId="1" xfId="0" applyNumberFormat="1" applyFont="1" applyFill="1" applyBorder="1" applyAlignment="1">
      <alignment horizontal="center" vertical="center"/>
    </xf>
    <xf numFmtId="165" fontId="23" fillId="13" borderId="1" xfId="0" applyNumberFormat="1" applyFont="1" applyFill="1" applyBorder="1" applyAlignment="1">
      <alignment horizontal="center" vertical="center" wrapText="1"/>
    </xf>
    <xf numFmtId="0" fontId="28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169" fontId="23" fillId="13" borderId="1" xfId="1" applyNumberFormat="1" applyFont="1" applyFill="1" applyBorder="1" applyAlignment="1">
      <alignment horizontal="center" vertical="center"/>
    </xf>
    <xf numFmtId="165" fontId="23" fillId="13" borderId="1" xfId="1" applyNumberFormat="1" applyFont="1" applyFill="1" applyBorder="1" applyAlignment="1">
      <alignment vertical="center"/>
    </xf>
    <xf numFmtId="43" fontId="23" fillId="13" borderId="1" xfId="1" applyFont="1" applyFill="1" applyBorder="1" applyAlignment="1">
      <alignment vertical="center"/>
    </xf>
    <xf numFmtId="166" fontId="23" fillId="0" borderId="0" xfId="1" applyNumberFormat="1" applyFont="1" applyAlignment="1">
      <alignment vertical="center"/>
    </xf>
    <xf numFmtId="2" fontId="25" fillId="0" borderId="0" xfId="0" applyNumberFormat="1" applyFont="1" applyAlignment="1">
      <alignment vertical="center"/>
    </xf>
    <xf numFmtId="2" fontId="28" fillId="0" borderId="0" xfId="0" applyNumberFormat="1" applyFont="1" applyAlignment="1">
      <alignment vertical="center"/>
    </xf>
    <xf numFmtId="43" fontId="23" fillId="13" borderId="1" xfId="1" applyFont="1" applyFill="1" applyBorder="1" applyAlignment="1">
      <alignment horizontal="center" vertical="center"/>
    </xf>
    <xf numFmtId="43" fontId="23" fillId="13" borderId="1" xfId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 wrapText="1"/>
    </xf>
    <xf numFmtId="43" fontId="24" fillId="13" borderId="1" xfId="1" applyFont="1" applyFill="1" applyBorder="1" applyAlignment="1">
      <alignment horizontal="center" vertical="center" wrapText="1"/>
    </xf>
    <xf numFmtId="165" fontId="24" fillId="13" borderId="1" xfId="1" applyNumberFormat="1" applyFont="1" applyFill="1" applyBorder="1" applyAlignment="1">
      <alignment vertical="center" wrapText="1"/>
    </xf>
    <xf numFmtId="43" fontId="23" fillId="0" borderId="0" xfId="0" applyNumberFormat="1" applyFont="1" applyAlignment="1">
      <alignment vertical="center"/>
    </xf>
    <xf numFmtId="43" fontId="29" fillId="13" borderId="1" xfId="1" applyFont="1" applyFill="1" applyBorder="1" applyAlignment="1">
      <alignment horizontal="center" vertical="center"/>
    </xf>
    <xf numFmtId="43" fontId="23" fillId="0" borderId="1" xfId="1" applyFont="1" applyBorder="1" applyAlignment="1">
      <alignment vertical="center" wrapText="1"/>
    </xf>
    <xf numFmtId="2" fontId="25" fillId="0" borderId="0" xfId="1" applyNumberFormat="1" applyFont="1" applyAlignment="1">
      <alignment vertical="center"/>
    </xf>
    <xf numFmtId="169" fontId="23" fillId="13" borderId="1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right" vertical="center" inden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right" vertical="center" indent="1"/>
    </xf>
    <xf numFmtId="2" fontId="23" fillId="0" borderId="0" xfId="0" applyNumberFormat="1" applyFont="1" applyAlignment="1">
      <alignment vertical="center"/>
    </xf>
    <xf numFmtId="0" fontId="30" fillId="0" borderId="1" xfId="0" applyFont="1" applyBorder="1" applyAlignment="1">
      <alignment horizontal="right" vertical="center" wrapText="1" indent="1"/>
    </xf>
    <xf numFmtId="0" fontId="23" fillId="0" borderId="8" xfId="0" applyFont="1" applyBorder="1" applyAlignment="1">
      <alignment vertical="center" wrapText="1"/>
    </xf>
    <xf numFmtId="2" fontId="25" fillId="0" borderId="0" xfId="0" applyNumberFormat="1" applyFont="1"/>
    <xf numFmtId="2" fontId="28" fillId="0" borderId="0" xfId="0" applyNumberFormat="1" applyFont="1"/>
    <xf numFmtId="0" fontId="29" fillId="0" borderId="1" xfId="0" applyFont="1" applyBorder="1" applyAlignment="1">
      <alignment vertical="center" wrapText="1"/>
    </xf>
    <xf numFmtId="43" fontId="23" fillId="0" borderId="0" xfId="0" applyNumberFormat="1" applyFont="1" applyAlignment="1">
      <alignment vertical="center" wrapText="1"/>
    </xf>
    <xf numFmtId="0" fontId="23" fillId="0" borderId="1" xfId="0" applyFont="1" applyBorder="1" applyAlignment="1">
      <alignment vertical="center" wrapText="1" indent="1"/>
    </xf>
    <xf numFmtId="169" fontId="23" fillId="12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quotePrefix="1" applyFont="1" applyBorder="1" applyAlignment="1">
      <alignment horizontal="center" vertical="center"/>
    </xf>
    <xf numFmtId="169" fontId="29" fillId="13" borderId="1" xfId="1" applyNumberFormat="1" applyFont="1" applyFill="1" applyBorder="1" applyAlignment="1">
      <alignment horizontal="center" vertical="center"/>
    </xf>
    <xf numFmtId="169" fontId="23" fillId="6" borderId="1" xfId="1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vertical="top" wrapText="1"/>
    </xf>
    <xf numFmtId="43" fontId="33" fillId="13" borderId="1" xfId="1" applyFont="1" applyFill="1" applyBorder="1" applyAlignment="1">
      <alignment horizontal="center" vertical="center"/>
    </xf>
    <xf numFmtId="43" fontId="24" fillId="13" borderId="1" xfId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2" fontId="26" fillId="0" borderId="0" xfId="0" applyNumberFormat="1" applyFont="1" applyAlignment="1">
      <alignment vertical="center"/>
    </xf>
    <xf numFmtId="2" fontId="27" fillId="0" borderId="0" xfId="0" applyNumberFormat="1" applyFont="1" applyAlignment="1">
      <alignment vertical="center"/>
    </xf>
    <xf numFmtId="168" fontId="25" fillId="0" borderId="0" xfId="0" applyNumberFormat="1" applyFont="1" applyAlignment="1">
      <alignment vertical="center"/>
    </xf>
    <xf numFmtId="167" fontId="30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horizontal="right" vertical="center" indent="1"/>
    </xf>
    <xf numFmtId="169" fontId="23" fillId="13" borderId="1" xfId="1" applyNumberFormat="1" applyFont="1" applyFill="1" applyBorder="1" applyAlignment="1">
      <alignment horizontal="center" vertical="center" wrapText="1"/>
    </xf>
    <xf numFmtId="170" fontId="23" fillId="13" borderId="1" xfId="1" applyNumberFormat="1" applyFont="1" applyFill="1" applyBorder="1" applyAlignment="1">
      <alignment horizontal="center" vertical="center" wrapText="1"/>
    </xf>
    <xf numFmtId="171" fontId="23" fillId="0" borderId="0" xfId="0" applyNumberFormat="1" applyFont="1"/>
    <xf numFmtId="165" fontId="24" fillId="13" borderId="1" xfId="1" applyNumberFormat="1" applyFont="1" applyFill="1" applyBorder="1" applyAlignment="1">
      <alignment vertical="center"/>
    </xf>
    <xf numFmtId="165" fontId="26" fillId="0" borderId="0" xfId="0" applyNumberFormat="1" applyFont="1" applyAlignment="1">
      <alignment vertical="center"/>
    </xf>
    <xf numFmtId="0" fontId="25" fillId="0" borderId="0" xfId="0" applyFont="1" applyAlignment="1">
      <alignment horizontal="center"/>
    </xf>
    <xf numFmtId="165" fontId="25" fillId="0" borderId="0" xfId="0" applyNumberFormat="1" applyFont="1" applyAlignment="1">
      <alignment horizontal="center"/>
    </xf>
    <xf numFmtId="0" fontId="37" fillId="0" borderId="0" xfId="0" applyFont="1" applyAlignment="1">
      <alignment vertical="center"/>
    </xf>
    <xf numFmtId="167" fontId="15" fillId="13" borderId="1" xfId="1" applyNumberFormat="1" applyFont="1" applyFill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3" fontId="14" fillId="0" borderId="0" xfId="1" applyFont="1" applyAlignment="1">
      <alignment vertical="center"/>
    </xf>
    <xf numFmtId="0" fontId="14" fillId="6" borderId="0" xfId="0" applyFont="1" applyFill="1" applyAlignment="1">
      <alignment vertical="center"/>
    </xf>
    <xf numFmtId="2" fontId="22" fillId="0" borderId="0" xfId="0" applyNumberFormat="1" applyFont="1" applyAlignment="1">
      <alignment horizontal="center" vertical="center"/>
    </xf>
    <xf numFmtId="170" fontId="15" fillId="0" borderId="0" xfId="0" applyNumberFormat="1" applyFont="1"/>
    <xf numFmtId="0" fontId="15" fillId="0" borderId="0" xfId="0" applyFont="1" applyAlignment="1">
      <alignment horizontal="center"/>
    </xf>
    <xf numFmtId="165" fontId="22" fillId="0" borderId="0" xfId="0" applyNumberFormat="1" applyFont="1" applyAlignment="1">
      <alignment horizontal="center" vertical="center"/>
    </xf>
    <xf numFmtId="165" fontId="22" fillId="13" borderId="1" xfId="0" applyNumberFormat="1" applyFont="1" applyFill="1" applyBorder="1" applyAlignment="1">
      <alignment horizontal="center" vertical="center" wrapText="1"/>
    </xf>
    <xf numFmtId="165" fontId="22" fillId="13" borderId="1" xfId="0" applyNumberFormat="1" applyFont="1" applyFill="1" applyBorder="1" applyAlignment="1">
      <alignment horizontal="center" vertical="center"/>
    </xf>
    <xf numFmtId="165" fontId="22" fillId="13" borderId="1" xfId="1" applyNumberFormat="1" applyFont="1" applyFill="1" applyBorder="1" applyAlignment="1">
      <alignment horizontal="center" vertical="center"/>
    </xf>
    <xf numFmtId="165" fontId="40" fillId="13" borderId="1" xfId="1" applyNumberFormat="1" applyFont="1" applyFill="1" applyBorder="1" applyAlignment="1">
      <alignment horizontal="center" vertical="center" wrapText="1"/>
    </xf>
    <xf numFmtId="165" fontId="22" fillId="6" borderId="1" xfId="1" applyNumberFormat="1" applyFont="1" applyFill="1" applyBorder="1" applyAlignment="1">
      <alignment horizontal="center" vertical="center"/>
    </xf>
    <xf numFmtId="165" fontId="40" fillId="13" borderId="1" xfId="1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center"/>
    </xf>
    <xf numFmtId="0" fontId="14" fillId="6" borderId="0" xfId="0" applyFont="1" applyFill="1"/>
    <xf numFmtId="2" fontId="22" fillId="13" borderId="1" xfId="0" applyNumberFormat="1" applyFont="1" applyFill="1" applyBorder="1" applyAlignment="1">
      <alignment horizontal="center" vertical="center" wrapText="1"/>
    </xf>
    <xf numFmtId="2" fontId="22" fillId="6" borderId="1" xfId="0" applyNumberFormat="1" applyFont="1" applyFill="1" applyBorder="1" applyAlignment="1">
      <alignment horizontal="center" vertical="center" wrapText="1"/>
    </xf>
    <xf numFmtId="2" fontId="22" fillId="13" borderId="1" xfId="0" applyNumberFormat="1" applyFont="1" applyFill="1" applyBorder="1" applyAlignment="1">
      <alignment horizontal="center" vertical="center"/>
    </xf>
    <xf numFmtId="2" fontId="22" fillId="6" borderId="1" xfId="0" applyNumberFormat="1" applyFont="1" applyFill="1" applyBorder="1" applyAlignment="1">
      <alignment horizontal="center" vertical="center"/>
    </xf>
    <xf numFmtId="2" fontId="22" fillId="13" borderId="1" xfId="1" applyNumberFormat="1" applyFont="1" applyFill="1" applyBorder="1" applyAlignment="1">
      <alignment horizontal="center" vertical="center"/>
    </xf>
    <xf numFmtId="2" fontId="22" fillId="6" borderId="1" xfId="1" applyNumberFormat="1" applyFont="1" applyFill="1" applyBorder="1" applyAlignment="1">
      <alignment horizontal="center" vertical="center"/>
    </xf>
    <xf numFmtId="2" fontId="22" fillId="13" borderId="1" xfId="1" applyNumberFormat="1" applyFont="1" applyFill="1" applyBorder="1" applyAlignment="1">
      <alignment horizontal="center" vertical="center" wrapText="1"/>
    </xf>
    <xf numFmtId="2" fontId="40" fillId="13" borderId="1" xfId="1" applyNumberFormat="1" applyFont="1" applyFill="1" applyBorder="1" applyAlignment="1">
      <alignment horizontal="center" vertical="center" wrapText="1"/>
    </xf>
    <xf numFmtId="2" fontId="40" fillId="6" borderId="1" xfId="1" applyNumberFormat="1" applyFont="1" applyFill="1" applyBorder="1" applyAlignment="1">
      <alignment horizontal="center" vertical="center"/>
    </xf>
    <xf numFmtId="2" fontId="40" fillId="13" borderId="1" xfId="1" applyNumberFormat="1" applyFont="1" applyFill="1" applyBorder="1" applyAlignment="1">
      <alignment horizontal="center" vertical="center"/>
    </xf>
    <xf numFmtId="2" fontId="41" fillId="13" borderId="1" xfId="1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167" fontId="16" fillId="13" borderId="1" xfId="1" applyNumberFormat="1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vertical="center" wrapText="1"/>
    </xf>
    <xf numFmtId="2" fontId="15" fillId="6" borderId="1" xfId="1" applyNumberFormat="1" applyFont="1" applyFill="1" applyBorder="1" applyAlignment="1">
      <alignment horizontal="center" vertical="center"/>
    </xf>
    <xf numFmtId="168" fontId="14" fillId="1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9" borderId="1" xfId="0" applyFill="1" applyBorder="1" applyAlignment="1">
      <alignment vertical="top"/>
    </xf>
    <xf numFmtId="14" fontId="0" fillId="9" borderId="1" xfId="0" applyNumberFormat="1" applyFill="1" applyBorder="1" applyAlignment="1">
      <alignment horizontal="right" vertical="top"/>
    </xf>
    <xf numFmtId="4" fontId="0" fillId="9" borderId="1" xfId="0" applyNumberFormat="1" applyFill="1" applyBorder="1" applyAlignment="1">
      <alignment horizontal="right" vertical="top"/>
    </xf>
    <xf numFmtId="3" fontId="0" fillId="9" borderId="1" xfId="0" applyNumberFormat="1" applyFill="1" applyBorder="1" applyAlignment="1">
      <alignment horizontal="right" vertical="top"/>
    </xf>
    <xf numFmtId="0" fontId="0" fillId="8" borderId="1" xfId="0" applyFill="1" applyBorder="1" applyAlignment="1">
      <alignment vertical="top"/>
    </xf>
    <xf numFmtId="14" fontId="0" fillId="8" borderId="1" xfId="0" applyNumberFormat="1" applyFill="1" applyBorder="1" applyAlignment="1">
      <alignment horizontal="right" vertical="top"/>
    </xf>
    <xf numFmtId="4" fontId="0" fillId="8" borderId="1" xfId="0" applyNumberFormat="1" applyFill="1" applyBorder="1" applyAlignment="1">
      <alignment horizontal="right" vertical="top"/>
    </xf>
    <xf numFmtId="3" fontId="0" fillId="8" borderId="1" xfId="0" applyNumberFormat="1" applyFill="1" applyBorder="1" applyAlignment="1">
      <alignment horizontal="right" vertical="top"/>
    </xf>
    <xf numFmtId="0" fontId="0" fillId="6" borderId="0" xfId="0" applyFill="1"/>
    <xf numFmtId="0" fontId="0" fillId="15" borderId="0" xfId="0" applyFill="1"/>
    <xf numFmtId="0" fontId="0" fillId="15" borderId="6" xfId="0" applyFill="1" applyBorder="1"/>
    <xf numFmtId="0" fontId="0" fillId="15" borderId="1" xfId="0" applyFill="1" applyBorder="1"/>
    <xf numFmtId="0" fontId="0" fillId="15" borderId="7" xfId="0" applyFill="1" applyBorder="1"/>
    <xf numFmtId="0" fontId="8" fillId="1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vertical="center"/>
    </xf>
    <xf numFmtId="49" fontId="7" fillId="4" borderId="2" xfId="0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5" borderId="2" xfId="0" applyNumberFormat="1" applyFont="1" applyFill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42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49" fontId="42" fillId="0" borderId="1" xfId="0" applyNumberFormat="1" applyFont="1" applyBorder="1" applyAlignment="1">
      <alignment vertical="center"/>
    </xf>
    <xf numFmtId="49" fontId="42" fillId="0" borderId="2" xfId="0" applyNumberFormat="1" applyFont="1" applyBorder="1" applyAlignment="1">
      <alignment vertical="center"/>
    </xf>
    <xf numFmtId="0" fontId="43" fillId="0" borderId="0" xfId="0" applyFont="1"/>
    <xf numFmtId="49" fontId="44" fillId="0" borderId="0" xfId="0" applyNumberFormat="1" applyFont="1" applyAlignment="1">
      <alignment vertical="center"/>
    </xf>
    <xf numFmtId="49" fontId="7" fillId="5" borderId="2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49" fontId="9" fillId="18" borderId="2" xfId="0" applyNumberFormat="1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vertical="center"/>
    </xf>
    <xf numFmtId="14" fontId="45" fillId="0" borderId="19" xfId="0" applyNumberFormat="1" applyFont="1" applyBorder="1"/>
    <xf numFmtId="172" fontId="45" fillId="0" borderId="19" xfId="0" applyNumberFormat="1" applyFont="1" applyBorder="1"/>
    <xf numFmtId="0" fontId="46" fillId="0" borderId="0" xfId="0" applyFont="1"/>
    <xf numFmtId="0" fontId="46" fillId="0" borderId="27" xfId="0" applyFont="1" applyBorder="1"/>
    <xf numFmtId="0" fontId="46" fillId="0" borderId="28" xfId="0" applyFont="1" applyBorder="1"/>
    <xf numFmtId="2" fontId="46" fillId="0" borderId="28" xfId="0" applyNumberFormat="1" applyFont="1" applyBorder="1" applyAlignment="1">
      <alignment horizontal="center" vertical="center"/>
    </xf>
    <xf numFmtId="2" fontId="45" fillId="16" borderId="28" xfId="0" applyNumberFormat="1" applyFont="1" applyFill="1" applyBorder="1" applyAlignment="1">
      <alignment horizontal="center" vertical="center"/>
    </xf>
    <xf numFmtId="0" fontId="46" fillId="0" borderId="20" xfId="0" applyFont="1" applyBorder="1"/>
    <xf numFmtId="0" fontId="46" fillId="0" borderId="0" xfId="0" applyFont="1" applyAlignment="1">
      <alignment vertical="center"/>
    </xf>
    <xf numFmtId="0" fontId="46" fillId="0" borderId="21" xfId="0" applyFont="1" applyBorder="1" applyAlignment="1">
      <alignment horizontal="center" vertical="center" wrapText="1"/>
    </xf>
    <xf numFmtId="2" fontId="46" fillId="0" borderId="0" xfId="0" applyNumberFormat="1" applyFont="1" applyAlignment="1">
      <alignment horizontal="center" vertical="center"/>
    </xf>
    <xf numFmtId="0" fontId="46" fillId="0" borderId="24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right" vertical="center"/>
    </xf>
    <xf numFmtId="0" fontId="50" fillId="0" borderId="13" xfId="0" applyFont="1" applyBorder="1" applyAlignment="1">
      <alignment horizontal="left" vertical="center" wrapText="1"/>
    </xf>
    <xf numFmtId="43" fontId="50" fillId="0" borderId="13" xfId="1" applyFont="1" applyFill="1" applyBorder="1" applyAlignment="1">
      <alignment vertical="center"/>
    </xf>
    <xf numFmtId="43" fontId="50" fillId="0" borderId="15" xfId="1" applyFont="1" applyFill="1" applyBorder="1" applyAlignment="1">
      <alignment vertical="center"/>
    </xf>
    <xf numFmtId="43" fontId="47" fillId="0" borderId="38" xfId="1" applyFont="1" applyFill="1" applyBorder="1" applyAlignment="1">
      <alignment vertical="center"/>
    </xf>
    <xf numFmtId="43" fontId="45" fillId="0" borderId="13" xfId="1" applyFont="1" applyFill="1" applyBorder="1" applyAlignment="1">
      <alignment vertical="center"/>
    </xf>
    <xf numFmtId="165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4" xfId="0" applyFont="1" applyBorder="1" applyAlignment="1">
      <alignment horizontal="center" vertical="center"/>
    </xf>
    <xf numFmtId="0" fontId="46" fillId="0" borderId="13" xfId="0" applyFont="1" applyBorder="1" applyAlignment="1">
      <alignment horizontal="left" vertical="center" wrapText="1"/>
    </xf>
    <xf numFmtId="43" fontId="46" fillId="0" borderId="15" xfId="1" applyFont="1" applyFill="1" applyBorder="1" applyAlignment="1">
      <alignment vertical="center"/>
    </xf>
    <xf numFmtId="43" fontId="45" fillId="0" borderId="38" xfId="1" applyFont="1" applyFill="1" applyBorder="1" applyAlignment="1">
      <alignment vertical="center"/>
    </xf>
    <xf numFmtId="165" fontId="46" fillId="0" borderId="0" xfId="0" applyNumberFormat="1" applyFont="1" applyAlignment="1">
      <alignment vertical="center"/>
    </xf>
    <xf numFmtId="43" fontId="46" fillId="0" borderId="13" xfId="1" applyFont="1" applyFill="1" applyBorder="1" applyAlignment="1">
      <alignment vertical="center"/>
    </xf>
    <xf numFmtId="0" fontId="50" fillId="0" borderId="14" xfId="0" applyFont="1" applyBorder="1" applyAlignment="1">
      <alignment vertical="center"/>
    </xf>
    <xf numFmtId="0" fontId="50" fillId="0" borderId="13" xfId="0" applyFont="1" applyBorder="1" applyAlignment="1">
      <alignment horizontal="left" vertical="center" indent="1"/>
    </xf>
    <xf numFmtId="0" fontId="50" fillId="0" borderId="0" xfId="0" applyFont="1"/>
    <xf numFmtId="0" fontId="50" fillId="0" borderId="14" xfId="0" applyFont="1" applyBorder="1" applyAlignment="1">
      <alignment horizontal="center" vertical="center"/>
    </xf>
    <xf numFmtId="0" fontId="50" fillId="0" borderId="13" xfId="0" applyFont="1" applyBorder="1" applyAlignment="1">
      <alignment horizontal="left" vertical="center" wrapText="1" indent="1"/>
    </xf>
    <xf numFmtId="0" fontId="50" fillId="0" borderId="14" xfId="0" quotePrefix="1" applyFont="1" applyBorder="1" applyAlignment="1">
      <alignment horizontal="center" vertical="center"/>
    </xf>
    <xf numFmtId="0" fontId="53" fillId="0" borderId="14" xfId="3" applyFont="1" applyBorder="1" applyAlignment="1">
      <alignment vertical="center"/>
    </xf>
    <xf numFmtId="0" fontId="53" fillId="0" borderId="13" xfId="3" applyFont="1" applyBorder="1" applyAlignment="1">
      <alignment horizontal="left" vertical="center" wrapText="1"/>
    </xf>
    <xf numFmtId="43" fontId="45" fillId="0" borderId="15" xfId="1" applyFont="1" applyFill="1" applyBorder="1" applyAlignment="1">
      <alignment vertical="center"/>
    </xf>
    <xf numFmtId="0" fontId="45" fillId="0" borderId="0" xfId="0" applyFont="1" applyAlignment="1">
      <alignment vertical="center"/>
    </xf>
    <xf numFmtId="43" fontId="46" fillId="0" borderId="13" xfId="1" applyFont="1" applyFill="1" applyBorder="1" applyAlignment="1">
      <alignment vertical="center" wrapText="1"/>
    </xf>
    <xf numFmtId="0" fontId="53" fillId="0" borderId="26" xfId="3" applyFont="1" applyBorder="1" applyAlignment="1">
      <alignment horizontal="left" vertical="center" wrapText="1"/>
    </xf>
    <xf numFmtId="43" fontId="45" fillId="0" borderId="16" xfId="1" applyFont="1" applyFill="1" applyBorder="1" applyAlignment="1">
      <alignment vertical="center"/>
    </xf>
    <xf numFmtId="166" fontId="45" fillId="0" borderId="16" xfId="1" applyNumberFormat="1" applyFont="1" applyFill="1" applyBorder="1" applyAlignment="1">
      <alignment vertical="center"/>
    </xf>
    <xf numFmtId="43" fontId="45" fillId="0" borderId="17" xfId="1" applyFont="1" applyFill="1" applyBorder="1" applyAlignment="1">
      <alignment vertical="center"/>
    </xf>
    <xf numFmtId="43" fontId="45" fillId="0" borderId="25" xfId="1" applyFont="1" applyFill="1" applyBorder="1" applyAlignment="1">
      <alignment vertical="center"/>
    </xf>
    <xf numFmtId="0" fontId="53" fillId="0" borderId="0" xfId="3" applyFont="1" applyAlignment="1">
      <alignment horizontal="left" vertical="center" wrapText="1"/>
    </xf>
    <xf numFmtId="43" fontId="45" fillId="0" borderId="0" xfId="1" applyFont="1" applyFill="1" applyBorder="1" applyAlignment="1">
      <alignment vertical="center"/>
    </xf>
    <xf numFmtId="166" fontId="45" fillId="0" borderId="0" xfId="1" applyNumberFormat="1" applyFont="1" applyFill="1" applyBorder="1" applyAlignment="1">
      <alignment vertical="center"/>
    </xf>
    <xf numFmtId="0" fontId="46" fillId="0" borderId="0" xfId="0" applyFont="1" applyAlignment="1">
      <alignment vertical="center" wrapText="1"/>
    </xf>
    <xf numFmtId="2" fontId="45" fillId="16" borderId="0" xfId="0" applyNumberFormat="1" applyFont="1" applyFill="1" applyAlignment="1">
      <alignment horizontal="center" vertical="center"/>
    </xf>
    <xf numFmtId="0" fontId="45" fillId="14" borderId="24" xfId="0" applyFont="1" applyFill="1" applyBorder="1" applyAlignment="1">
      <alignment horizontal="center" vertical="center" wrapText="1"/>
    </xf>
    <xf numFmtId="0" fontId="46" fillId="0" borderId="2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49" fontId="42" fillId="5" borderId="2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2"/>
    </xf>
    <xf numFmtId="0" fontId="46" fillId="0" borderId="13" xfId="0" applyFont="1" applyBorder="1" applyAlignment="1">
      <alignment vertical="center"/>
    </xf>
    <xf numFmtId="0" fontId="46" fillId="0" borderId="13" xfId="0" applyFont="1" applyBorder="1" applyAlignment="1">
      <alignment vertical="center" wrapText="1"/>
    </xf>
    <xf numFmtId="0" fontId="46" fillId="0" borderId="13" xfId="0" applyFont="1" applyBorder="1" applyAlignment="1">
      <alignment horizontal="left" vertical="center"/>
    </xf>
    <xf numFmtId="0" fontId="46" fillId="0" borderId="36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 wrapText="1"/>
    </xf>
    <xf numFmtId="0" fontId="46" fillId="0" borderId="24" xfId="0" applyFont="1" applyBorder="1" applyAlignment="1">
      <alignment horizontal="center" vertical="center" wrapText="1"/>
    </xf>
    <xf numFmtId="43" fontId="45" fillId="0" borderId="39" xfId="1" applyFont="1" applyFill="1" applyBorder="1" applyAlignment="1">
      <alignment vertical="center"/>
    </xf>
    <xf numFmtId="43" fontId="45" fillId="0" borderId="40" xfId="1" applyFont="1" applyFill="1" applyBorder="1" applyAlignment="1">
      <alignment vertical="center"/>
    </xf>
    <xf numFmtId="43" fontId="46" fillId="0" borderId="21" xfId="1" applyFont="1" applyBorder="1" applyAlignment="1">
      <alignment vertical="center" wrapText="1"/>
    </xf>
    <xf numFmtId="43" fontId="46" fillId="0" borderId="24" xfId="1" applyFont="1" applyBorder="1" applyAlignment="1">
      <alignment vertical="center" wrapText="1"/>
    </xf>
    <xf numFmtId="0" fontId="46" fillId="0" borderId="21" xfId="0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46" fillId="0" borderId="21" xfId="0" applyFont="1" applyBorder="1" applyAlignment="1">
      <alignment vertical="center" wrapText="1"/>
    </xf>
    <xf numFmtId="0" fontId="46" fillId="0" borderId="24" xfId="0" applyFont="1" applyBorder="1" applyAlignment="1">
      <alignment vertical="center" wrapText="1"/>
    </xf>
    <xf numFmtId="0" fontId="45" fillId="0" borderId="29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2" fontId="45" fillId="4" borderId="33" xfId="0" applyNumberFormat="1" applyFont="1" applyFill="1" applyBorder="1" applyAlignment="1">
      <alignment horizontal="center" vertical="center" wrapText="1"/>
    </xf>
    <xf numFmtId="2" fontId="45" fillId="4" borderId="35" xfId="0" applyNumberFormat="1" applyFont="1" applyFill="1" applyBorder="1" applyAlignment="1">
      <alignment horizontal="center" vertical="center" wrapText="1"/>
    </xf>
    <xf numFmtId="2" fontId="45" fillId="14" borderId="23" xfId="0" applyNumberFormat="1" applyFont="1" applyFill="1" applyBorder="1" applyAlignment="1">
      <alignment horizontal="center" vertical="center" wrapText="1"/>
    </xf>
    <xf numFmtId="2" fontId="45" fillId="14" borderId="24" xfId="0" applyNumberFormat="1" applyFont="1" applyFill="1" applyBorder="1" applyAlignment="1">
      <alignment horizontal="center" vertical="center" wrapText="1"/>
    </xf>
    <xf numFmtId="0" fontId="45" fillId="14" borderId="23" xfId="0" applyFont="1" applyFill="1" applyBorder="1" applyAlignment="1">
      <alignment vertical="center" wrapText="1"/>
    </xf>
    <xf numFmtId="0" fontId="45" fillId="14" borderId="24" xfId="0" applyFont="1" applyFill="1" applyBorder="1" applyAlignment="1">
      <alignment vertical="center" wrapText="1"/>
    </xf>
    <xf numFmtId="0" fontId="45" fillId="14" borderId="32" xfId="0" applyFont="1" applyFill="1" applyBorder="1" applyAlignment="1">
      <alignment vertical="center" wrapText="1"/>
    </xf>
    <xf numFmtId="0" fontId="45" fillId="14" borderId="34" xfId="0" applyFont="1" applyFill="1" applyBorder="1" applyAlignment="1">
      <alignment vertical="center" wrapText="1"/>
    </xf>
    <xf numFmtId="0" fontId="53" fillId="0" borderId="31" xfId="3" applyFont="1" applyBorder="1" applyAlignment="1">
      <alignment horizontal="left" vertical="center" wrapText="1"/>
    </xf>
    <xf numFmtId="0" fontId="53" fillId="0" borderId="26" xfId="3" applyFont="1" applyBorder="1" applyAlignment="1">
      <alignment horizontal="left" vertical="center" wrapText="1"/>
    </xf>
    <xf numFmtId="2" fontId="45" fillId="14" borderId="41" xfId="0" applyNumberFormat="1" applyFont="1" applyFill="1" applyBorder="1" applyAlignment="1">
      <alignment horizontal="center" vertical="center" wrapText="1"/>
    </xf>
    <xf numFmtId="2" fontId="45" fillId="14" borderId="40" xfId="0" applyNumberFormat="1" applyFont="1" applyFill="1" applyBorder="1" applyAlignment="1">
      <alignment horizontal="center" vertical="center" wrapText="1"/>
    </xf>
    <xf numFmtId="0" fontId="34" fillId="0" borderId="1" xfId="3" applyFont="1" applyBorder="1" applyAlignment="1">
      <alignment vertical="center" wrapText="1"/>
    </xf>
    <xf numFmtId="0" fontId="15" fillId="0" borderId="0" xfId="0" applyFont="1" applyAlignment="1">
      <alignment horizontal="center"/>
    </xf>
    <xf numFmtId="0" fontId="24" fillId="0" borderId="0" xfId="3" applyFont="1" applyAlignment="1">
      <alignment horizontal="left" vertical="top" wrapText="1"/>
    </xf>
    <xf numFmtId="0" fontId="24" fillId="0" borderId="1" xfId="0" applyFont="1" applyBorder="1" applyAlignment="1">
      <alignment vertical="center" wrapText="1"/>
    </xf>
    <xf numFmtId="0" fontId="24" fillId="13" borderId="9" xfId="0" applyFont="1" applyFill="1" applyBorder="1" applyAlignment="1">
      <alignment horizontal="center" vertical="center"/>
    </xf>
    <xf numFmtId="0" fontId="24" fillId="13" borderId="11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0" fillId="0" borderId="1" xfId="3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2" fontId="36" fillId="13" borderId="9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10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20" fillId="0" borderId="9" xfId="3" applyFont="1" applyBorder="1" applyAlignment="1">
      <alignment vertical="center" wrapText="1"/>
    </xf>
    <xf numFmtId="0" fontId="20" fillId="0" borderId="11" xfId="3" applyFont="1" applyBorder="1" applyAlignment="1">
      <alignment vertical="center" wrapText="1"/>
    </xf>
    <xf numFmtId="0" fontId="20" fillId="0" borderId="2" xfId="3" applyFont="1" applyBorder="1" applyAlignment="1">
      <alignment vertical="center" wrapText="1"/>
    </xf>
    <xf numFmtId="2" fontId="36" fillId="13" borderId="11" xfId="0" applyNumberFormat="1" applyFont="1" applyFill="1" applyBorder="1" applyAlignment="1">
      <alignment horizontal="center" vertical="center"/>
    </xf>
    <xf numFmtId="2" fontId="36" fillId="13" borderId="2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2" fontId="39" fillId="13" borderId="9" xfId="0" applyNumberFormat="1" applyFont="1" applyFill="1" applyBorder="1" applyAlignment="1">
      <alignment horizontal="center" vertical="center"/>
    </xf>
    <xf numFmtId="2" fontId="40" fillId="13" borderId="9" xfId="0" applyNumberFormat="1" applyFont="1" applyFill="1" applyBorder="1" applyAlignment="1">
      <alignment horizontal="center" vertical="center"/>
    </xf>
    <xf numFmtId="2" fontId="40" fillId="13" borderId="11" xfId="0" applyNumberFormat="1" applyFont="1" applyFill="1" applyBorder="1" applyAlignment="1">
      <alignment horizontal="center" vertical="center"/>
    </xf>
    <xf numFmtId="0" fontId="50" fillId="0" borderId="36" xfId="0" applyFont="1" applyBorder="1" applyAlignment="1">
      <alignment vertical="center"/>
    </xf>
    <xf numFmtId="0" fontId="50" fillId="0" borderId="21" xfId="0" applyFont="1" applyBorder="1" applyAlignment="1">
      <alignment horizontal="left" vertical="center" wrapText="1"/>
    </xf>
    <xf numFmtId="43" fontId="50" fillId="0" borderId="21" xfId="1" applyFont="1" applyFill="1" applyBorder="1" applyAlignment="1">
      <alignment vertical="center"/>
    </xf>
    <xf numFmtId="43" fontId="50" fillId="0" borderId="22" xfId="1" applyFont="1" applyFill="1" applyBorder="1" applyAlignment="1">
      <alignment vertical="center"/>
    </xf>
    <xf numFmtId="43" fontId="45" fillId="0" borderId="48" xfId="1" applyFont="1" applyFill="1" applyBorder="1" applyAlignment="1">
      <alignment vertical="center"/>
    </xf>
    <xf numFmtId="43" fontId="45" fillId="0" borderId="49" xfId="1" applyFont="1" applyFill="1" applyBorder="1" applyAlignment="1">
      <alignment vertical="center"/>
    </xf>
    <xf numFmtId="43" fontId="45" fillId="0" borderId="50" xfId="1" applyFont="1" applyFill="1" applyBorder="1" applyAlignment="1">
      <alignment vertical="center"/>
    </xf>
    <xf numFmtId="2" fontId="45" fillId="14" borderId="18" xfId="0" applyNumberFormat="1" applyFont="1" applyFill="1" applyBorder="1" applyAlignment="1">
      <alignment horizontal="center" vertical="center" wrapText="1"/>
    </xf>
    <xf numFmtId="2" fontId="45" fillId="14" borderId="37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43" fontId="46" fillId="0" borderId="1" xfId="1" applyFont="1" applyFill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0" fontId="46" fillId="11" borderId="21" xfId="0" applyFont="1" applyFill="1" applyBorder="1" applyAlignment="1">
      <alignment horizontal="center" vertical="center" wrapText="1"/>
    </xf>
    <xf numFmtId="43" fontId="46" fillId="11" borderId="21" xfId="1" applyFont="1" applyFill="1" applyBorder="1" applyAlignment="1">
      <alignment vertical="center" wrapText="1"/>
    </xf>
    <xf numFmtId="43" fontId="45" fillId="11" borderId="39" xfId="1" applyFont="1" applyFill="1" applyBorder="1" applyAlignment="1">
      <alignment vertical="center"/>
    </xf>
    <xf numFmtId="43" fontId="45" fillId="11" borderId="48" xfId="1" applyFont="1" applyFill="1" applyBorder="1" applyAlignment="1">
      <alignment vertical="center"/>
    </xf>
    <xf numFmtId="0" fontId="46" fillId="11" borderId="24" xfId="0" applyFont="1" applyFill="1" applyBorder="1" applyAlignment="1">
      <alignment horizontal="center" vertical="center" wrapText="1"/>
    </xf>
    <xf numFmtId="43" fontId="46" fillId="11" borderId="24" xfId="1" applyFont="1" applyFill="1" applyBorder="1" applyAlignment="1">
      <alignment vertical="center" wrapText="1"/>
    </xf>
    <xf numFmtId="43" fontId="45" fillId="11" borderId="40" xfId="1" applyFont="1" applyFill="1" applyBorder="1" applyAlignment="1">
      <alignment vertical="center"/>
    </xf>
    <xf numFmtId="43" fontId="45" fillId="11" borderId="49" xfId="1" applyFont="1" applyFill="1" applyBorder="1" applyAlignment="1">
      <alignment vertical="center"/>
    </xf>
    <xf numFmtId="0" fontId="46" fillId="11" borderId="1" xfId="0" applyFont="1" applyFill="1" applyBorder="1" applyAlignment="1">
      <alignment vertical="center" wrapText="1"/>
    </xf>
    <xf numFmtId="0" fontId="45" fillId="11" borderId="1" xfId="0" applyFont="1" applyFill="1" applyBorder="1" applyAlignment="1">
      <alignment vertical="center" wrapText="1"/>
    </xf>
    <xf numFmtId="43" fontId="45" fillId="11" borderId="38" xfId="1" applyFont="1" applyFill="1" applyBorder="1" applyAlignment="1">
      <alignment vertical="center"/>
    </xf>
    <xf numFmtId="43" fontId="45" fillId="11" borderId="50" xfId="1" applyFont="1" applyFill="1" applyBorder="1" applyAlignment="1">
      <alignment vertical="center"/>
    </xf>
    <xf numFmtId="43" fontId="45" fillId="11" borderId="39" xfId="1" applyFont="1" applyFill="1" applyBorder="1" applyAlignment="1">
      <alignment horizontal="center" vertical="center"/>
    </xf>
    <xf numFmtId="43" fontId="45" fillId="11" borderId="51" xfId="1" applyFont="1" applyFill="1" applyBorder="1" applyAlignment="1">
      <alignment horizontal="center" vertical="center"/>
    </xf>
    <xf numFmtId="43" fontId="45" fillId="11" borderId="45" xfId="1" applyFont="1" applyFill="1" applyBorder="1" applyAlignment="1">
      <alignment horizontal="center" vertical="center"/>
    </xf>
    <xf numFmtId="43" fontId="45" fillId="11" borderId="46" xfId="1" applyFont="1" applyFill="1" applyBorder="1" applyAlignment="1">
      <alignment horizontal="center" vertical="center"/>
    </xf>
    <xf numFmtId="43" fontId="45" fillId="11" borderId="40" xfId="1" applyFont="1" applyFill="1" applyBorder="1" applyAlignment="1">
      <alignment horizontal="center" vertical="center"/>
    </xf>
    <xf numFmtId="43" fontId="45" fillId="11" borderId="37" xfId="1" applyFont="1" applyFill="1" applyBorder="1" applyAlignment="1">
      <alignment horizontal="center" vertical="center"/>
    </xf>
    <xf numFmtId="0" fontId="45" fillId="11" borderId="21" xfId="0" applyFont="1" applyFill="1" applyBorder="1" applyAlignment="1">
      <alignment horizontal="center" vertical="center" wrapText="1"/>
    </xf>
    <xf numFmtId="0" fontId="45" fillId="11" borderId="28" xfId="0" applyFont="1" applyFill="1" applyBorder="1" applyAlignment="1">
      <alignment horizontal="center" vertical="center" wrapText="1"/>
    </xf>
    <xf numFmtId="0" fontId="45" fillId="11" borderId="24" xfId="0" applyFont="1" applyFill="1" applyBorder="1" applyAlignment="1">
      <alignment horizontal="center" vertical="center" wrapText="1"/>
    </xf>
    <xf numFmtId="0" fontId="45" fillId="11" borderId="36" xfId="0" applyFont="1" applyFill="1" applyBorder="1" applyAlignment="1">
      <alignment horizontal="center" vertical="center"/>
    </xf>
    <xf numFmtId="0" fontId="45" fillId="11" borderId="21" xfId="0" applyFont="1" applyFill="1" applyBorder="1" applyAlignment="1">
      <alignment horizontal="left" vertical="center" wrapText="1"/>
    </xf>
    <xf numFmtId="0" fontId="45" fillId="11" borderId="21" xfId="0" applyFont="1" applyFill="1" applyBorder="1" applyAlignment="1">
      <alignment horizontal="center" vertical="center" wrapText="1"/>
    </xf>
    <xf numFmtId="43" fontId="45" fillId="11" borderId="21" xfId="1" applyFont="1" applyFill="1" applyBorder="1" applyAlignment="1">
      <alignment vertical="center" wrapText="1"/>
    </xf>
    <xf numFmtId="0" fontId="55" fillId="11" borderId="1" xfId="0" applyFont="1" applyFill="1" applyBorder="1" applyAlignment="1">
      <alignment vertical="center" wrapText="1"/>
    </xf>
    <xf numFmtId="0" fontId="45" fillId="11" borderId="34" xfId="0" applyFont="1" applyFill="1" applyBorder="1" applyAlignment="1">
      <alignment horizontal="center" vertical="center"/>
    </xf>
    <xf numFmtId="0" fontId="45" fillId="11" borderId="24" xfId="0" applyFont="1" applyFill="1" applyBorder="1" applyAlignment="1">
      <alignment horizontal="left" vertical="center" wrapText="1"/>
    </xf>
    <xf numFmtId="0" fontId="45" fillId="11" borderId="24" xfId="0" applyFont="1" applyFill="1" applyBorder="1" applyAlignment="1">
      <alignment horizontal="center" vertical="center" wrapText="1"/>
    </xf>
    <xf numFmtId="43" fontId="45" fillId="11" borderId="24" xfId="1" applyFont="1" applyFill="1" applyBorder="1" applyAlignment="1">
      <alignment vertical="center" wrapText="1"/>
    </xf>
    <xf numFmtId="0" fontId="45" fillId="11" borderId="14" xfId="0" applyFont="1" applyFill="1" applyBorder="1" applyAlignment="1">
      <alignment horizontal="center" vertical="center"/>
    </xf>
    <xf numFmtId="0" fontId="45" fillId="11" borderId="13" xfId="0" applyFont="1" applyFill="1" applyBorder="1" applyAlignment="1">
      <alignment horizontal="left" vertical="center" wrapText="1"/>
    </xf>
    <xf numFmtId="0" fontId="45" fillId="11" borderId="13" xfId="0" applyFont="1" applyFill="1" applyBorder="1" applyAlignment="1">
      <alignment vertical="center" wrapText="1"/>
    </xf>
    <xf numFmtId="43" fontId="53" fillId="11" borderId="13" xfId="1" applyFont="1" applyFill="1" applyBorder="1" applyAlignment="1">
      <alignment vertical="center"/>
    </xf>
    <xf numFmtId="43" fontId="47" fillId="11" borderId="13" xfId="1" applyFont="1" applyFill="1" applyBorder="1" applyAlignment="1">
      <alignment vertical="center"/>
    </xf>
    <xf numFmtId="43" fontId="45" fillId="11" borderId="15" xfId="1" applyFont="1" applyFill="1" applyBorder="1" applyAlignment="1">
      <alignment vertical="center"/>
    </xf>
    <xf numFmtId="43" fontId="45" fillId="11" borderId="13" xfId="1" applyFont="1" applyFill="1" applyBorder="1" applyAlignment="1">
      <alignment vertical="center"/>
    </xf>
    <xf numFmtId="43" fontId="45" fillId="11" borderId="21" xfId="1" applyFont="1" applyFill="1" applyBorder="1" applyAlignment="1">
      <alignment horizontal="center" vertical="center" wrapText="1"/>
    </xf>
    <xf numFmtId="43" fontId="45" fillId="11" borderId="22" xfId="1" applyFont="1" applyFill="1" applyBorder="1" applyAlignment="1">
      <alignment horizontal="center" vertical="center" wrapText="1"/>
    </xf>
    <xf numFmtId="0" fontId="45" fillId="11" borderId="27" xfId="0" applyFont="1" applyFill="1" applyBorder="1" applyAlignment="1">
      <alignment horizontal="center" vertical="center"/>
    </xf>
    <xf numFmtId="43" fontId="45" fillId="11" borderId="28" xfId="1" applyFont="1" applyFill="1" applyBorder="1" applyAlignment="1">
      <alignment horizontal="center" vertical="center" wrapText="1"/>
    </xf>
    <xf numFmtId="43" fontId="45" fillId="11" borderId="47" xfId="1" applyFont="1" applyFill="1" applyBorder="1" applyAlignment="1">
      <alignment horizontal="center" vertical="center" wrapText="1"/>
    </xf>
    <xf numFmtId="0" fontId="45" fillId="11" borderId="28" xfId="0" applyFont="1" applyFill="1" applyBorder="1" applyAlignment="1">
      <alignment horizontal="left" vertical="center" wrapText="1"/>
    </xf>
    <xf numFmtId="0" fontId="45" fillId="11" borderId="28" xfId="0" applyFont="1" applyFill="1" applyBorder="1" applyAlignment="1">
      <alignment horizontal="center" vertical="center" wrapText="1"/>
    </xf>
    <xf numFmtId="43" fontId="45" fillId="11" borderId="24" xfId="1" applyFont="1" applyFill="1" applyBorder="1" applyAlignment="1">
      <alignment horizontal="center" vertical="center" wrapText="1"/>
    </xf>
    <xf numFmtId="43" fontId="45" fillId="11" borderId="35" xfId="1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vertical="center" wrapText="1"/>
    </xf>
    <xf numFmtId="43" fontId="45" fillId="11" borderId="52" xfId="1" applyFont="1" applyFill="1" applyBorder="1" applyAlignment="1">
      <alignment vertical="center"/>
    </xf>
    <xf numFmtId="43" fontId="45" fillId="11" borderId="45" xfId="1" applyFont="1" applyFill="1" applyBorder="1" applyAlignment="1">
      <alignment vertical="center"/>
    </xf>
    <xf numFmtId="43" fontId="45" fillId="11" borderId="52" xfId="1" applyFont="1" applyFill="1" applyBorder="1" applyAlignment="1">
      <alignment vertical="center"/>
    </xf>
    <xf numFmtId="43" fontId="45" fillId="11" borderId="28" xfId="1" applyFont="1" applyFill="1" applyBorder="1" applyAlignment="1">
      <alignment vertical="center" wrapText="1"/>
    </xf>
    <xf numFmtId="43" fontId="45" fillId="11" borderId="13" xfId="1" applyFont="1" applyFill="1" applyBorder="1" applyAlignment="1">
      <alignment vertical="center" wrapText="1"/>
    </xf>
    <xf numFmtId="43" fontId="45" fillId="11" borderId="22" xfId="1" applyFont="1" applyFill="1" applyBorder="1" applyAlignment="1">
      <alignment vertical="center" wrapText="1"/>
    </xf>
    <xf numFmtId="43" fontId="45" fillId="11" borderId="51" xfId="1" applyFont="1" applyFill="1" applyBorder="1" applyAlignment="1">
      <alignment vertical="center"/>
    </xf>
    <xf numFmtId="43" fontId="45" fillId="11" borderId="35" xfId="1" applyFont="1" applyFill="1" applyBorder="1" applyAlignment="1">
      <alignment vertical="center" wrapText="1"/>
    </xf>
    <xf numFmtId="43" fontId="45" fillId="11" borderId="37" xfId="1" applyFont="1" applyFill="1" applyBorder="1" applyAlignment="1">
      <alignment vertical="center"/>
    </xf>
    <xf numFmtId="0" fontId="46" fillId="11" borderId="21" xfId="0" applyFont="1" applyFill="1" applyBorder="1" applyAlignment="1">
      <alignment horizontal="left" vertical="center" wrapText="1"/>
    </xf>
    <xf numFmtId="43" fontId="46" fillId="11" borderId="22" xfId="1" applyFont="1" applyFill="1" applyBorder="1" applyAlignment="1">
      <alignment vertical="center" wrapText="1"/>
    </xf>
    <xf numFmtId="0" fontId="46" fillId="11" borderId="24" xfId="0" applyFont="1" applyFill="1" applyBorder="1" applyAlignment="1">
      <alignment horizontal="left" vertical="center" wrapText="1"/>
    </xf>
    <xf numFmtId="43" fontId="46" fillId="11" borderId="35" xfId="1" applyFont="1" applyFill="1" applyBorder="1" applyAlignment="1">
      <alignment vertical="center" wrapText="1"/>
    </xf>
    <xf numFmtId="43" fontId="46" fillId="11" borderId="1" xfId="0" applyNumberFormat="1" applyFont="1" applyFill="1" applyBorder="1" applyAlignment="1">
      <alignment vertical="center" wrapText="1"/>
    </xf>
    <xf numFmtId="0" fontId="45" fillId="2" borderId="42" xfId="0" applyFont="1" applyFill="1" applyBorder="1" applyAlignment="1">
      <alignment horizontal="center" vertical="center" wrapText="1"/>
    </xf>
    <xf numFmtId="0" fontId="45" fillId="2" borderId="43" xfId="0" applyFont="1" applyFill="1" applyBorder="1" applyAlignment="1">
      <alignment horizontal="center" vertical="center" wrapText="1"/>
    </xf>
    <xf numFmtId="0" fontId="45" fillId="2" borderId="44" xfId="0" applyFont="1" applyFill="1" applyBorder="1" applyAlignment="1">
      <alignment horizontal="center" vertical="center" wrapText="1"/>
    </xf>
    <xf numFmtId="0" fontId="45" fillId="6" borderId="24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2" xfId="2" xr:uid="{E1E67749-7FF3-474E-AE47-420E774AC438}"/>
    <cellStyle name="Normal 37 17" xfId="3" xr:uid="{7595AF09-57E9-41DF-A024-EAAF6B3305E1}"/>
  </cellStyles>
  <dxfs count="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28A5-1DDA-407E-A38C-E94DF129CFE5}">
  <dimension ref="A1:AC2668"/>
  <sheetViews>
    <sheetView topLeftCell="A17" workbookViewId="0">
      <selection activeCell="E10" sqref="E10"/>
    </sheetView>
    <sheetView workbookViewId="1"/>
  </sheetViews>
  <sheetFormatPr defaultRowHeight="13.5" outlineLevelRow="2" x14ac:dyDescent="0.25"/>
  <cols>
    <col min="1" max="2" width="10.109375" style="198" bestFit="1" customWidth="1"/>
    <col min="3" max="3" width="15.5546875" style="198" bestFit="1" customWidth="1"/>
    <col min="4" max="4" width="10.109375" style="198" bestFit="1" customWidth="1"/>
    <col min="5" max="5" width="13.21875" style="198" bestFit="1" customWidth="1"/>
    <col min="6" max="6" width="10.88671875" style="198" bestFit="1" customWidth="1"/>
    <col min="7" max="7" width="15.5546875" style="198" bestFit="1" customWidth="1"/>
    <col min="8" max="8" width="4.6640625" style="198" bestFit="1" customWidth="1"/>
    <col min="9" max="9" width="13.21875" style="198" bestFit="1" customWidth="1"/>
    <col min="10" max="10" width="10.109375" style="198" bestFit="1" customWidth="1"/>
    <col min="11" max="11" width="18.6640625" style="198" bestFit="1" customWidth="1"/>
    <col min="12" max="12" width="6.21875" style="198" bestFit="1" customWidth="1"/>
    <col min="13" max="13" width="10.109375" style="198" bestFit="1" customWidth="1"/>
    <col min="14" max="14" width="11.6640625" style="198" bestFit="1" customWidth="1"/>
    <col min="15" max="15" width="9.33203125" style="198" bestFit="1" customWidth="1"/>
    <col min="16" max="16" width="11.6640625" style="198" bestFit="1" customWidth="1"/>
    <col min="17" max="17" width="19.44140625" style="198" bestFit="1" customWidth="1"/>
    <col min="18" max="18" width="13.21875" style="198" bestFit="1" customWidth="1"/>
    <col min="19" max="19" width="32.6640625" style="198" bestFit="1" customWidth="1"/>
    <col min="20" max="20" width="10.109375" style="198" bestFit="1" customWidth="1"/>
    <col min="21" max="21" width="15.5546875" style="198" bestFit="1" customWidth="1"/>
    <col min="22" max="22" width="7" style="198" bestFit="1" customWidth="1"/>
    <col min="23" max="23" width="8.5546875" style="198" bestFit="1" customWidth="1"/>
    <col min="24" max="26" width="9.33203125" style="198" bestFit="1" customWidth="1"/>
    <col min="27" max="27" width="8.5546875" style="198" bestFit="1" customWidth="1"/>
    <col min="28" max="28" width="13.21875" style="198" bestFit="1" customWidth="1"/>
    <col min="29" max="29" width="12.44140625" style="198" bestFit="1" customWidth="1"/>
    <col min="30" max="16384" width="8.88671875" style="198"/>
  </cols>
  <sheetData>
    <row r="1" spans="1:29" ht="40.5" x14ac:dyDescent="0.25">
      <c r="A1" s="199" t="s">
        <v>811</v>
      </c>
      <c r="B1" s="199"/>
      <c r="C1" s="199"/>
      <c r="D1" s="199" t="s">
        <v>27</v>
      </c>
      <c r="E1" s="199" t="s">
        <v>14</v>
      </c>
      <c r="F1" s="200"/>
      <c r="G1" s="199"/>
      <c r="H1" s="200"/>
      <c r="I1" s="199"/>
      <c r="J1" s="199"/>
      <c r="K1" s="199" t="s">
        <v>879</v>
      </c>
      <c r="L1" s="200" t="s">
        <v>32</v>
      </c>
      <c r="M1" s="199"/>
      <c r="N1" s="200"/>
      <c r="O1" s="199"/>
      <c r="P1" s="199"/>
      <c r="Q1" s="199"/>
      <c r="R1" s="199" t="s">
        <v>11</v>
      </c>
      <c r="S1" s="199"/>
      <c r="T1" s="199"/>
      <c r="U1" s="199" t="s">
        <v>7</v>
      </c>
      <c r="V1" s="199"/>
      <c r="W1" s="200"/>
      <c r="X1" s="199"/>
      <c r="Y1" s="200"/>
      <c r="Z1" s="200"/>
      <c r="AA1" s="200" t="s">
        <v>41</v>
      </c>
      <c r="AB1" s="199" t="s">
        <v>42</v>
      </c>
      <c r="AC1" s="200" t="s">
        <v>880</v>
      </c>
    </row>
    <row r="2" spans="1:29" outlineLevel="2" x14ac:dyDescent="0.25">
      <c r="A2" s="201">
        <v>46008</v>
      </c>
      <c r="D2" s="198" t="s">
        <v>54</v>
      </c>
      <c r="E2" s="202">
        <v>7021000</v>
      </c>
      <c r="K2" s="198" t="s">
        <v>1776</v>
      </c>
      <c r="L2" s="198" t="s">
        <v>274</v>
      </c>
      <c r="P2" s="201"/>
      <c r="R2" s="202">
        <v>7021000</v>
      </c>
      <c r="U2" s="198" t="s">
        <v>274</v>
      </c>
      <c r="AA2" s="198" t="s">
        <v>51</v>
      </c>
      <c r="AB2" s="202">
        <v>7021000</v>
      </c>
      <c r="AC2" s="202">
        <v>7021000</v>
      </c>
    </row>
    <row r="3" spans="1:29" outlineLevel="2" x14ac:dyDescent="0.25">
      <c r="A3" s="201">
        <v>46021</v>
      </c>
      <c r="D3" s="198" t="s">
        <v>54</v>
      </c>
      <c r="E3" s="202">
        <v>-881000</v>
      </c>
      <c r="K3" s="198" t="s">
        <v>1776</v>
      </c>
      <c r="L3" s="198" t="s">
        <v>274</v>
      </c>
      <c r="P3" s="201"/>
      <c r="R3" s="202">
        <v>-881000</v>
      </c>
      <c r="U3" s="198" t="s">
        <v>274</v>
      </c>
      <c r="AA3" s="198" t="s">
        <v>51</v>
      </c>
      <c r="AB3" s="202">
        <v>-881000</v>
      </c>
      <c r="AC3" s="202">
        <v>-881000</v>
      </c>
    </row>
    <row r="4" spans="1:29" outlineLevel="2" x14ac:dyDescent="0.25">
      <c r="A4" s="201">
        <v>46022</v>
      </c>
      <c r="D4" s="198" t="s">
        <v>54</v>
      </c>
      <c r="E4" s="202">
        <v>437000</v>
      </c>
      <c r="K4" s="198" t="s">
        <v>1776</v>
      </c>
      <c r="L4" s="198" t="s">
        <v>274</v>
      </c>
      <c r="P4" s="201"/>
      <c r="R4" s="202">
        <v>437000</v>
      </c>
      <c r="U4" s="198" t="s">
        <v>274</v>
      </c>
      <c r="AA4" s="198" t="s">
        <v>51</v>
      </c>
      <c r="AB4" s="202">
        <v>437000</v>
      </c>
      <c r="AC4" s="202">
        <v>437000</v>
      </c>
    </row>
    <row r="5" spans="1:29" outlineLevel="2" x14ac:dyDescent="0.25">
      <c r="A5" s="201">
        <v>46022</v>
      </c>
      <c r="D5" s="198" t="s">
        <v>54</v>
      </c>
      <c r="E5" s="202">
        <v>200000</v>
      </c>
      <c r="K5" s="198" t="s">
        <v>1776</v>
      </c>
      <c r="L5" s="198" t="s">
        <v>274</v>
      </c>
      <c r="P5" s="201"/>
      <c r="R5" s="202">
        <v>200000</v>
      </c>
      <c r="U5" s="198" t="s">
        <v>274</v>
      </c>
      <c r="AA5" s="198" t="s">
        <v>51</v>
      </c>
      <c r="AB5" s="202">
        <v>200000</v>
      </c>
      <c r="AC5" s="202">
        <v>200000</v>
      </c>
    </row>
    <row r="6" spans="1:29" outlineLevel="2" x14ac:dyDescent="0.25">
      <c r="A6" s="201">
        <v>46023</v>
      </c>
      <c r="D6" s="198" t="s">
        <v>54</v>
      </c>
      <c r="E6" s="202">
        <v>4025000</v>
      </c>
      <c r="K6" s="198" t="s">
        <v>1776</v>
      </c>
      <c r="L6" s="198" t="s">
        <v>274</v>
      </c>
      <c r="P6" s="201"/>
      <c r="R6" s="202">
        <v>4025000</v>
      </c>
      <c r="U6" s="198" t="s">
        <v>274</v>
      </c>
      <c r="AA6" s="198" t="s">
        <v>51</v>
      </c>
      <c r="AB6" s="202">
        <v>4025000</v>
      </c>
      <c r="AC6" s="202">
        <v>4025000</v>
      </c>
    </row>
    <row r="7" spans="1:29" outlineLevel="2" x14ac:dyDescent="0.25">
      <c r="A7" s="201">
        <v>46023</v>
      </c>
      <c r="D7" s="198" t="s">
        <v>54</v>
      </c>
      <c r="E7" s="202">
        <v>12625000</v>
      </c>
      <c r="K7" s="198" t="s">
        <v>1776</v>
      </c>
      <c r="L7" s="198" t="s">
        <v>274</v>
      </c>
      <c r="P7" s="201"/>
      <c r="R7" s="202">
        <v>12625000</v>
      </c>
      <c r="U7" s="198" t="s">
        <v>274</v>
      </c>
      <c r="AA7" s="198" t="s">
        <v>51</v>
      </c>
      <c r="AB7" s="202">
        <v>12625000</v>
      </c>
      <c r="AC7" s="202">
        <v>12625000</v>
      </c>
    </row>
    <row r="8" spans="1:29" outlineLevel="2" x14ac:dyDescent="0.25">
      <c r="A8" s="201">
        <v>46024</v>
      </c>
      <c r="D8" s="198" t="s">
        <v>54</v>
      </c>
      <c r="E8" s="202">
        <v>14500</v>
      </c>
      <c r="K8" s="198" t="s">
        <v>1776</v>
      </c>
      <c r="L8" s="198" t="s">
        <v>274</v>
      </c>
      <c r="P8" s="201"/>
      <c r="R8" s="202">
        <v>14500</v>
      </c>
      <c r="U8" s="198" t="s">
        <v>274</v>
      </c>
      <c r="AA8" s="198" t="s">
        <v>51</v>
      </c>
      <c r="AB8" s="202">
        <v>14500</v>
      </c>
      <c r="AC8" s="202">
        <v>14500</v>
      </c>
    </row>
    <row r="9" spans="1:29" outlineLevel="2" x14ac:dyDescent="0.25">
      <c r="A9" s="201">
        <v>46029</v>
      </c>
      <c r="D9" s="198" t="s">
        <v>54</v>
      </c>
      <c r="E9" s="202">
        <v>3915000</v>
      </c>
      <c r="K9" s="198" t="s">
        <v>1776</v>
      </c>
      <c r="L9" s="198" t="s">
        <v>274</v>
      </c>
      <c r="P9" s="201"/>
      <c r="R9" s="202">
        <v>3915000</v>
      </c>
      <c r="U9" s="198" t="s">
        <v>274</v>
      </c>
      <c r="AA9" s="198" t="s">
        <v>51</v>
      </c>
      <c r="AB9" s="202">
        <v>3915000</v>
      </c>
      <c r="AC9" s="202">
        <v>3915000</v>
      </c>
    </row>
    <row r="10" spans="1:29" outlineLevel="2" x14ac:dyDescent="0.25">
      <c r="A10" s="201">
        <v>46031</v>
      </c>
      <c r="D10" s="198" t="s">
        <v>54</v>
      </c>
      <c r="E10" s="202">
        <v>2124000</v>
      </c>
      <c r="K10" s="198" t="s">
        <v>1776</v>
      </c>
      <c r="L10" s="198" t="s">
        <v>274</v>
      </c>
      <c r="P10" s="201"/>
      <c r="R10" s="202">
        <v>2124000</v>
      </c>
      <c r="U10" s="198" t="s">
        <v>274</v>
      </c>
      <c r="AA10" s="198" t="s">
        <v>51</v>
      </c>
      <c r="AB10" s="202">
        <v>2124000</v>
      </c>
      <c r="AC10" s="202">
        <v>2124000</v>
      </c>
    </row>
    <row r="11" spans="1:29" outlineLevel="2" x14ac:dyDescent="0.25">
      <c r="A11" s="201">
        <v>46045</v>
      </c>
      <c r="D11" s="198" t="s">
        <v>54</v>
      </c>
      <c r="E11" s="202">
        <v>100000</v>
      </c>
      <c r="K11" s="198" t="s">
        <v>1776</v>
      </c>
      <c r="L11" s="198" t="s">
        <v>274</v>
      </c>
      <c r="P11" s="201"/>
      <c r="R11" s="202">
        <v>100000</v>
      </c>
      <c r="U11" s="198" t="s">
        <v>274</v>
      </c>
      <c r="AA11" s="198" t="s">
        <v>51</v>
      </c>
      <c r="AB11" s="202">
        <v>100000</v>
      </c>
      <c r="AC11" s="202">
        <v>100000</v>
      </c>
    </row>
    <row r="12" spans="1:29" outlineLevel="2" x14ac:dyDescent="0.25">
      <c r="A12" s="201">
        <v>46056</v>
      </c>
      <c r="D12" s="198" t="s">
        <v>54</v>
      </c>
      <c r="E12" s="202">
        <v>800000</v>
      </c>
      <c r="K12" s="198" t="s">
        <v>1776</v>
      </c>
      <c r="L12" s="198" t="s">
        <v>274</v>
      </c>
      <c r="P12" s="201"/>
      <c r="R12" s="202">
        <v>800000</v>
      </c>
      <c r="U12" s="198" t="s">
        <v>274</v>
      </c>
      <c r="AA12" s="198" t="s">
        <v>51</v>
      </c>
      <c r="AB12" s="202">
        <v>800000</v>
      </c>
      <c r="AC12" s="202">
        <v>800000</v>
      </c>
    </row>
    <row r="13" spans="1:29" outlineLevel="2" x14ac:dyDescent="0.25">
      <c r="A13" s="201">
        <v>46058</v>
      </c>
      <c r="D13" s="198" t="s">
        <v>54</v>
      </c>
      <c r="E13" s="202">
        <v>408000</v>
      </c>
      <c r="K13" s="198" t="s">
        <v>1776</v>
      </c>
      <c r="L13" s="198" t="s">
        <v>274</v>
      </c>
      <c r="P13" s="201"/>
      <c r="R13" s="202">
        <v>408000</v>
      </c>
      <c r="U13" s="198" t="s">
        <v>274</v>
      </c>
      <c r="AA13" s="198" t="s">
        <v>51</v>
      </c>
      <c r="AB13" s="202">
        <v>408000</v>
      </c>
      <c r="AC13" s="202">
        <v>408000</v>
      </c>
    </row>
    <row r="14" spans="1:29" outlineLevel="2" x14ac:dyDescent="0.25">
      <c r="A14" s="201">
        <v>46058</v>
      </c>
      <c r="D14" s="198" t="s">
        <v>54</v>
      </c>
      <c r="E14" s="202">
        <v>490560</v>
      </c>
      <c r="K14" s="198" t="s">
        <v>1776</v>
      </c>
      <c r="L14" s="198" t="s">
        <v>274</v>
      </c>
      <c r="P14" s="201"/>
      <c r="R14" s="202">
        <v>490560</v>
      </c>
      <c r="U14" s="198" t="s">
        <v>274</v>
      </c>
      <c r="AA14" s="198" t="s">
        <v>51</v>
      </c>
      <c r="AB14" s="202">
        <v>490560</v>
      </c>
      <c r="AC14" s="202">
        <v>490560</v>
      </c>
    </row>
    <row r="15" spans="1:29" outlineLevel="2" x14ac:dyDescent="0.25">
      <c r="A15" s="201">
        <v>46058</v>
      </c>
      <c r="D15" s="198" t="s">
        <v>54</v>
      </c>
      <c r="E15" s="202">
        <v>964000</v>
      </c>
      <c r="K15" s="198" t="s">
        <v>1776</v>
      </c>
      <c r="L15" s="198" t="s">
        <v>274</v>
      </c>
      <c r="P15" s="201"/>
      <c r="R15" s="202">
        <v>964000</v>
      </c>
      <c r="U15" s="198" t="s">
        <v>274</v>
      </c>
      <c r="AA15" s="198" t="s">
        <v>51</v>
      </c>
      <c r="AB15" s="202">
        <v>964000</v>
      </c>
      <c r="AC15" s="202">
        <v>964000</v>
      </c>
    </row>
    <row r="16" spans="1:29" outlineLevel="2" x14ac:dyDescent="0.25">
      <c r="A16" s="201">
        <v>46060</v>
      </c>
      <c r="D16" s="198" t="s">
        <v>54</v>
      </c>
      <c r="E16" s="202">
        <v>613452</v>
      </c>
      <c r="K16" s="198" t="s">
        <v>1776</v>
      </c>
      <c r="L16" s="198" t="s">
        <v>274</v>
      </c>
      <c r="P16" s="201"/>
      <c r="R16" s="202">
        <v>613452</v>
      </c>
      <c r="U16" s="198" t="s">
        <v>274</v>
      </c>
      <c r="AA16" s="198" t="s">
        <v>51</v>
      </c>
      <c r="AB16" s="202">
        <v>613452</v>
      </c>
      <c r="AC16" s="202">
        <v>613452</v>
      </c>
    </row>
    <row r="17" spans="1:29" outlineLevel="2" x14ac:dyDescent="0.25">
      <c r="A17" s="201">
        <v>46064</v>
      </c>
      <c r="D17" s="198" t="s">
        <v>54</v>
      </c>
      <c r="E17" s="202">
        <v>750000</v>
      </c>
      <c r="K17" s="198" t="s">
        <v>1776</v>
      </c>
      <c r="L17" s="198" t="s">
        <v>274</v>
      </c>
      <c r="P17" s="201"/>
      <c r="R17" s="202">
        <v>750000</v>
      </c>
      <c r="U17" s="198" t="s">
        <v>274</v>
      </c>
      <c r="AA17" s="198" t="s">
        <v>51</v>
      </c>
      <c r="AB17" s="202">
        <v>750000</v>
      </c>
      <c r="AC17" s="202">
        <v>750000</v>
      </c>
    </row>
    <row r="18" spans="1:29" outlineLevel="2" x14ac:dyDescent="0.25">
      <c r="A18" s="201">
        <v>46064</v>
      </c>
      <c r="D18" s="198" t="s">
        <v>54</v>
      </c>
      <c r="E18" s="202">
        <v>-750000</v>
      </c>
      <c r="K18" s="198" t="s">
        <v>1776</v>
      </c>
      <c r="L18" s="198" t="s">
        <v>274</v>
      </c>
      <c r="P18" s="201"/>
      <c r="R18" s="202">
        <v>-750000</v>
      </c>
      <c r="U18" s="198" t="s">
        <v>274</v>
      </c>
      <c r="AA18" s="198" t="s">
        <v>51</v>
      </c>
      <c r="AB18" s="202">
        <v>-750000</v>
      </c>
      <c r="AC18" s="202">
        <v>-750000</v>
      </c>
    </row>
    <row r="19" spans="1:29" outlineLevel="2" x14ac:dyDescent="0.25">
      <c r="A19" s="201">
        <v>46066</v>
      </c>
      <c r="D19" s="198" t="s">
        <v>54</v>
      </c>
      <c r="E19" s="202">
        <v>262000</v>
      </c>
      <c r="K19" s="198" t="s">
        <v>1776</v>
      </c>
      <c r="L19" s="198" t="s">
        <v>274</v>
      </c>
      <c r="P19" s="201"/>
      <c r="R19" s="202">
        <v>262000</v>
      </c>
      <c r="U19" s="198" t="s">
        <v>274</v>
      </c>
      <c r="AA19" s="198" t="s">
        <v>51</v>
      </c>
      <c r="AB19" s="202">
        <v>262000</v>
      </c>
      <c r="AC19" s="202">
        <v>262000</v>
      </c>
    </row>
    <row r="20" spans="1:29" outlineLevel="2" x14ac:dyDescent="0.25">
      <c r="A20" s="201">
        <v>46066</v>
      </c>
      <c r="D20" s="198" t="s">
        <v>54</v>
      </c>
      <c r="E20" s="202">
        <v>3135593220</v>
      </c>
      <c r="K20" s="198" t="s">
        <v>1776</v>
      </c>
      <c r="L20" s="198" t="s">
        <v>274</v>
      </c>
      <c r="P20" s="201"/>
      <c r="R20" s="202">
        <v>3135593220</v>
      </c>
      <c r="U20" s="198" t="s">
        <v>274</v>
      </c>
      <c r="AA20" s="198" t="s">
        <v>51</v>
      </c>
      <c r="AB20" s="202">
        <v>3135593220</v>
      </c>
      <c r="AC20" s="202">
        <v>3135593220</v>
      </c>
    </row>
    <row r="21" spans="1:29" outlineLevel="2" x14ac:dyDescent="0.25">
      <c r="A21" s="201">
        <v>46069</v>
      </c>
      <c r="D21" s="198" t="s">
        <v>54</v>
      </c>
      <c r="E21" s="202">
        <v>88300.800000000003</v>
      </c>
      <c r="K21" s="198" t="s">
        <v>1776</v>
      </c>
      <c r="L21" s="198" t="s">
        <v>274</v>
      </c>
      <c r="P21" s="201"/>
      <c r="R21" s="202">
        <v>88300.800000000003</v>
      </c>
      <c r="U21" s="198" t="s">
        <v>274</v>
      </c>
      <c r="AA21" s="198" t="s">
        <v>51</v>
      </c>
      <c r="AB21" s="202">
        <v>88300.800000000003</v>
      </c>
      <c r="AC21" s="202">
        <v>88300.800000000003</v>
      </c>
    </row>
    <row r="22" spans="1:29" outlineLevel="2" x14ac:dyDescent="0.25">
      <c r="A22" s="201">
        <v>46070</v>
      </c>
      <c r="D22" s="198" t="s">
        <v>54</v>
      </c>
      <c r="E22" s="202">
        <v>134000</v>
      </c>
      <c r="K22" s="198" t="s">
        <v>1776</v>
      </c>
      <c r="L22" s="198" t="s">
        <v>274</v>
      </c>
      <c r="P22" s="201"/>
      <c r="R22" s="202">
        <v>134000</v>
      </c>
      <c r="U22" s="198" t="s">
        <v>274</v>
      </c>
      <c r="AA22" s="198" t="s">
        <v>51</v>
      </c>
      <c r="AB22" s="202">
        <v>134000</v>
      </c>
      <c r="AC22" s="202">
        <v>134000</v>
      </c>
    </row>
    <row r="23" spans="1:29" outlineLevel="2" x14ac:dyDescent="0.25">
      <c r="A23" s="201">
        <v>46078</v>
      </c>
      <c r="D23" s="198" t="s">
        <v>54</v>
      </c>
      <c r="E23" s="202">
        <v>1305289.2</v>
      </c>
      <c r="K23" s="198" t="s">
        <v>1776</v>
      </c>
      <c r="L23" s="198" t="s">
        <v>274</v>
      </c>
      <c r="P23" s="201"/>
      <c r="R23" s="202">
        <v>1305289.2</v>
      </c>
      <c r="U23" s="198" t="s">
        <v>274</v>
      </c>
      <c r="AA23" s="198" t="s">
        <v>51</v>
      </c>
      <c r="AB23" s="202">
        <v>1305289.2</v>
      </c>
      <c r="AC23" s="202">
        <v>1305289.2</v>
      </c>
    </row>
    <row r="24" spans="1:29" outlineLevel="2" x14ac:dyDescent="0.25">
      <c r="A24" s="201">
        <v>46098</v>
      </c>
      <c r="D24" s="198" t="s">
        <v>54</v>
      </c>
      <c r="E24" s="202">
        <v>1045984</v>
      </c>
      <c r="K24" s="198" t="s">
        <v>1776</v>
      </c>
      <c r="L24" s="198" t="s">
        <v>274</v>
      </c>
      <c r="P24" s="201"/>
      <c r="R24" s="202">
        <v>1045984</v>
      </c>
      <c r="U24" s="198" t="s">
        <v>274</v>
      </c>
      <c r="AA24" s="198" t="s">
        <v>51</v>
      </c>
      <c r="AB24" s="202">
        <v>1045984</v>
      </c>
      <c r="AC24" s="202">
        <v>1045984</v>
      </c>
    </row>
    <row r="25" spans="1:29" outlineLevel="2" x14ac:dyDescent="0.25">
      <c r="A25" s="201">
        <v>46115</v>
      </c>
      <c r="D25" s="198" t="s">
        <v>54</v>
      </c>
      <c r="E25" s="202">
        <v>6620737.9000000004</v>
      </c>
      <c r="K25" s="198" t="s">
        <v>1776</v>
      </c>
      <c r="L25" s="198" t="s">
        <v>274</v>
      </c>
      <c r="P25" s="201"/>
      <c r="R25" s="202">
        <v>6620737.9000000004</v>
      </c>
      <c r="U25" s="198" t="s">
        <v>274</v>
      </c>
      <c r="AA25" s="198" t="s">
        <v>51</v>
      </c>
      <c r="AB25" s="202">
        <v>6620737.9000000004</v>
      </c>
      <c r="AC25" s="202">
        <v>6620737.9000000004</v>
      </c>
    </row>
    <row r="26" spans="1:29" outlineLevel="2" x14ac:dyDescent="0.25">
      <c r="A26" s="201">
        <v>46116</v>
      </c>
      <c r="D26" s="198" t="s">
        <v>54</v>
      </c>
      <c r="E26" s="202">
        <v>160000</v>
      </c>
      <c r="K26" s="198" t="s">
        <v>1776</v>
      </c>
      <c r="L26" s="198" t="s">
        <v>274</v>
      </c>
      <c r="P26" s="201"/>
      <c r="R26" s="202">
        <v>160000</v>
      </c>
      <c r="U26" s="198" t="s">
        <v>274</v>
      </c>
      <c r="AA26" s="198" t="s">
        <v>51</v>
      </c>
      <c r="AB26" s="202">
        <v>160000</v>
      </c>
      <c r="AC26" s="202">
        <v>160000</v>
      </c>
    </row>
    <row r="27" spans="1:29" outlineLevel="2" x14ac:dyDescent="0.25">
      <c r="A27" s="201">
        <v>46122</v>
      </c>
      <c r="D27" s="198" t="s">
        <v>54</v>
      </c>
      <c r="E27" s="202">
        <v>311030</v>
      </c>
      <c r="K27" s="198" t="s">
        <v>1776</v>
      </c>
      <c r="L27" s="198" t="s">
        <v>274</v>
      </c>
      <c r="P27" s="201"/>
      <c r="R27" s="202">
        <v>311030</v>
      </c>
      <c r="U27" s="198" t="s">
        <v>274</v>
      </c>
      <c r="AA27" s="198" t="s">
        <v>51</v>
      </c>
      <c r="AB27" s="202">
        <v>311030</v>
      </c>
      <c r="AC27" s="202">
        <v>311030</v>
      </c>
    </row>
    <row r="28" spans="1:29" outlineLevel="1" x14ac:dyDescent="0.25">
      <c r="A28" s="210"/>
      <c r="B28" s="209"/>
      <c r="C28" s="209"/>
      <c r="D28" s="209" t="s">
        <v>54</v>
      </c>
      <c r="E28" s="211">
        <v>3178377073.9000001</v>
      </c>
      <c r="F28" s="209"/>
      <c r="G28" s="209"/>
      <c r="H28" s="209"/>
      <c r="I28" s="209"/>
      <c r="J28" s="209"/>
      <c r="K28" s="209" t="s">
        <v>54</v>
      </c>
      <c r="L28" s="209" t="s">
        <v>54</v>
      </c>
      <c r="M28" s="209"/>
      <c r="N28" s="209"/>
      <c r="O28" s="209"/>
      <c r="P28" s="210"/>
      <c r="Q28" s="209"/>
      <c r="R28" s="212"/>
      <c r="S28" s="209"/>
      <c r="T28" s="209"/>
      <c r="U28" s="209" t="s">
        <v>54</v>
      </c>
      <c r="V28" s="209"/>
      <c r="W28" s="209"/>
      <c r="X28" s="209"/>
      <c r="Y28" s="209"/>
      <c r="Z28" s="209"/>
      <c r="AA28" s="209" t="s">
        <v>54</v>
      </c>
      <c r="AB28" s="212"/>
      <c r="AC28" s="212"/>
    </row>
    <row r="29" spans="1:29" outlineLevel="2" x14ac:dyDescent="0.25">
      <c r="A29" s="201">
        <v>46008</v>
      </c>
      <c r="D29" s="198" t="s">
        <v>54</v>
      </c>
      <c r="E29" s="202">
        <v>7021000</v>
      </c>
      <c r="K29" s="198" t="s">
        <v>1777</v>
      </c>
      <c r="L29" s="198" t="s">
        <v>274</v>
      </c>
      <c r="P29" s="201"/>
      <c r="R29" s="202">
        <v>7021000</v>
      </c>
      <c r="U29" s="198" t="s">
        <v>881</v>
      </c>
      <c r="AA29" s="198" t="s">
        <v>51</v>
      </c>
      <c r="AB29" s="202">
        <v>7021000</v>
      </c>
      <c r="AC29" s="202">
        <v>7021000</v>
      </c>
    </row>
    <row r="30" spans="1:29" outlineLevel="2" x14ac:dyDescent="0.25">
      <c r="A30" s="201">
        <v>46021</v>
      </c>
      <c r="D30" s="198" t="s">
        <v>54</v>
      </c>
      <c r="E30" s="202">
        <v>-881000</v>
      </c>
      <c r="K30" s="198" t="s">
        <v>1777</v>
      </c>
      <c r="L30" s="198" t="s">
        <v>274</v>
      </c>
      <c r="P30" s="201"/>
      <c r="R30" s="202">
        <v>-881000</v>
      </c>
      <c r="U30" s="198" t="s">
        <v>881</v>
      </c>
      <c r="AA30" s="198" t="s">
        <v>51</v>
      </c>
      <c r="AB30" s="202">
        <v>-881000</v>
      </c>
      <c r="AC30" s="202">
        <v>-881000</v>
      </c>
    </row>
    <row r="31" spans="1:29" outlineLevel="2" x14ac:dyDescent="0.25">
      <c r="A31" s="201">
        <v>46022</v>
      </c>
      <c r="D31" s="198" t="s">
        <v>54</v>
      </c>
      <c r="E31" s="202">
        <v>437000</v>
      </c>
      <c r="K31" s="198" t="s">
        <v>1777</v>
      </c>
      <c r="L31" s="198" t="s">
        <v>274</v>
      </c>
      <c r="P31" s="201"/>
      <c r="R31" s="202">
        <v>437000</v>
      </c>
      <c r="U31" s="198" t="s">
        <v>881</v>
      </c>
      <c r="AA31" s="198" t="s">
        <v>51</v>
      </c>
      <c r="AB31" s="202">
        <v>437000</v>
      </c>
      <c r="AC31" s="202">
        <v>437000</v>
      </c>
    </row>
    <row r="32" spans="1:29" outlineLevel="2" x14ac:dyDescent="0.25">
      <c r="A32" s="201">
        <v>46022</v>
      </c>
      <c r="D32" s="198" t="s">
        <v>54</v>
      </c>
      <c r="E32" s="202">
        <v>200000</v>
      </c>
      <c r="K32" s="198" t="s">
        <v>1777</v>
      </c>
      <c r="L32" s="198" t="s">
        <v>274</v>
      </c>
      <c r="P32" s="201"/>
      <c r="R32" s="202">
        <v>200000</v>
      </c>
      <c r="U32" s="198" t="s">
        <v>881</v>
      </c>
      <c r="AA32" s="198" t="s">
        <v>51</v>
      </c>
      <c r="AB32" s="202">
        <v>200000</v>
      </c>
      <c r="AC32" s="202">
        <v>200000</v>
      </c>
    </row>
    <row r="33" spans="1:29" outlineLevel="2" x14ac:dyDescent="0.25">
      <c r="A33" s="201">
        <v>46023</v>
      </c>
      <c r="D33" s="198" t="s">
        <v>54</v>
      </c>
      <c r="E33" s="202">
        <v>4025000</v>
      </c>
      <c r="K33" s="198" t="s">
        <v>1777</v>
      </c>
      <c r="L33" s="198" t="s">
        <v>274</v>
      </c>
      <c r="P33" s="201"/>
      <c r="R33" s="202">
        <v>4025000</v>
      </c>
      <c r="U33" s="198" t="s">
        <v>881</v>
      </c>
      <c r="AA33" s="198" t="s">
        <v>51</v>
      </c>
      <c r="AB33" s="202">
        <v>4025000</v>
      </c>
      <c r="AC33" s="202">
        <v>4025000</v>
      </c>
    </row>
    <row r="34" spans="1:29" outlineLevel="2" x14ac:dyDescent="0.25">
      <c r="A34" s="201">
        <v>46023</v>
      </c>
      <c r="D34" s="198" t="s">
        <v>54</v>
      </c>
      <c r="E34" s="202">
        <v>12625000</v>
      </c>
      <c r="K34" s="198" t="s">
        <v>1777</v>
      </c>
      <c r="L34" s="198" t="s">
        <v>274</v>
      </c>
      <c r="P34" s="201"/>
      <c r="R34" s="202">
        <v>12625000</v>
      </c>
      <c r="U34" s="198" t="s">
        <v>881</v>
      </c>
      <c r="AA34" s="198" t="s">
        <v>51</v>
      </c>
      <c r="AB34" s="202">
        <v>12625000</v>
      </c>
      <c r="AC34" s="202">
        <v>12625000</v>
      </c>
    </row>
    <row r="35" spans="1:29" outlineLevel="2" x14ac:dyDescent="0.25">
      <c r="A35" s="201">
        <v>46024</v>
      </c>
      <c r="D35" s="198" t="s">
        <v>54</v>
      </c>
      <c r="E35" s="202">
        <v>14500</v>
      </c>
      <c r="K35" s="198" t="s">
        <v>1777</v>
      </c>
      <c r="L35" s="198" t="s">
        <v>274</v>
      </c>
      <c r="P35" s="201"/>
      <c r="R35" s="202">
        <v>14500</v>
      </c>
      <c r="U35" s="198" t="s">
        <v>881</v>
      </c>
      <c r="AA35" s="198" t="s">
        <v>51</v>
      </c>
      <c r="AB35" s="202">
        <v>14500</v>
      </c>
      <c r="AC35" s="202">
        <v>14500</v>
      </c>
    </row>
    <row r="36" spans="1:29" outlineLevel="2" x14ac:dyDescent="0.25">
      <c r="A36" s="201">
        <v>46029</v>
      </c>
      <c r="D36" s="198" t="s">
        <v>54</v>
      </c>
      <c r="E36" s="202">
        <v>3915000</v>
      </c>
      <c r="K36" s="198" t="s">
        <v>1777</v>
      </c>
      <c r="L36" s="198" t="s">
        <v>274</v>
      </c>
      <c r="P36" s="201"/>
      <c r="R36" s="202">
        <v>3915000</v>
      </c>
      <c r="U36" s="198" t="s">
        <v>881</v>
      </c>
      <c r="AA36" s="198" t="s">
        <v>51</v>
      </c>
      <c r="AB36" s="202">
        <v>3915000</v>
      </c>
      <c r="AC36" s="202">
        <v>3915000</v>
      </c>
    </row>
    <row r="37" spans="1:29" outlineLevel="1" x14ac:dyDescent="0.25">
      <c r="A37" s="210"/>
      <c r="B37" s="209"/>
      <c r="C37" s="209"/>
      <c r="D37" s="209" t="s">
        <v>54</v>
      </c>
      <c r="E37" s="211">
        <v>27356500</v>
      </c>
      <c r="F37" s="209"/>
      <c r="G37" s="209"/>
      <c r="H37" s="209"/>
      <c r="I37" s="209"/>
      <c r="J37" s="209"/>
      <c r="K37" s="209" t="s">
        <v>54</v>
      </c>
      <c r="L37" s="209" t="s">
        <v>54</v>
      </c>
      <c r="M37" s="209"/>
      <c r="N37" s="209"/>
      <c r="O37" s="209"/>
      <c r="P37" s="210"/>
      <c r="Q37" s="209"/>
      <c r="R37" s="212"/>
      <c r="S37" s="209"/>
      <c r="T37" s="209"/>
      <c r="U37" s="209" t="s">
        <v>54</v>
      </c>
      <c r="V37" s="209"/>
      <c r="W37" s="209"/>
      <c r="X37" s="209"/>
      <c r="Y37" s="209"/>
      <c r="Z37" s="209"/>
      <c r="AA37" s="209" t="s">
        <v>54</v>
      </c>
      <c r="AB37" s="212"/>
      <c r="AC37" s="212"/>
    </row>
    <row r="38" spans="1:29" outlineLevel="2" x14ac:dyDescent="0.25">
      <c r="A38" s="201">
        <v>46023</v>
      </c>
      <c r="D38" s="198" t="s">
        <v>54</v>
      </c>
      <c r="E38" s="202">
        <v>4025000</v>
      </c>
      <c r="K38" s="198" t="s">
        <v>1778</v>
      </c>
      <c r="L38" s="198" t="s">
        <v>274</v>
      </c>
      <c r="P38" s="201"/>
      <c r="R38" s="202">
        <v>4025000</v>
      </c>
      <c r="U38" s="198" t="s">
        <v>741</v>
      </c>
      <c r="AA38" s="198" t="s">
        <v>51</v>
      </c>
      <c r="AB38" s="202">
        <v>4025000</v>
      </c>
      <c r="AC38" s="202">
        <v>4025000</v>
      </c>
    </row>
    <row r="39" spans="1:29" outlineLevel="2" x14ac:dyDescent="0.25">
      <c r="A39" s="201">
        <v>46023</v>
      </c>
      <c r="D39" s="198" t="s">
        <v>54</v>
      </c>
      <c r="E39" s="202">
        <v>12625000</v>
      </c>
      <c r="K39" s="198" t="s">
        <v>1778</v>
      </c>
      <c r="L39" s="198" t="s">
        <v>274</v>
      </c>
      <c r="P39" s="201"/>
      <c r="R39" s="202">
        <v>12625000</v>
      </c>
      <c r="U39" s="198" t="s">
        <v>741</v>
      </c>
      <c r="AA39" s="198" t="s">
        <v>51</v>
      </c>
      <c r="AB39" s="202">
        <v>12625000</v>
      </c>
      <c r="AC39" s="202">
        <v>12625000</v>
      </c>
    </row>
    <row r="40" spans="1:29" outlineLevel="2" x14ac:dyDescent="0.25">
      <c r="A40" s="201">
        <v>46029</v>
      </c>
      <c r="D40" s="198" t="s">
        <v>54</v>
      </c>
      <c r="E40" s="202">
        <v>3915000</v>
      </c>
      <c r="K40" s="198" t="s">
        <v>1778</v>
      </c>
      <c r="L40" s="198" t="s">
        <v>274</v>
      </c>
      <c r="P40" s="201"/>
      <c r="R40" s="202">
        <v>3915000</v>
      </c>
      <c r="U40" s="198" t="s">
        <v>741</v>
      </c>
      <c r="AA40" s="198" t="s">
        <v>51</v>
      </c>
      <c r="AB40" s="202">
        <v>3915000</v>
      </c>
      <c r="AC40" s="202">
        <v>3915000</v>
      </c>
    </row>
    <row r="41" spans="1:29" outlineLevel="1" x14ac:dyDescent="0.25">
      <c r="A41" s="210"/>
      <c r="B41" s="209"/>
      <c r="C41" s="209"/>
      <c r="D41" s="209" t="s">
        <v>54</v>
      </c>
      <c r="E41" s="211">
        <v>20565000</v>
      </c>
      <c r="F41" s="209"/>
      <c r="G41" s="209"/>
      <c r="H41" s="209"/>
      <c r="I41" s="209"/>
      <c r="J41" s="209"/>
      <c r="K41" s="209" t="s">
        <v>54</v>
      </c>
      <c r="L41" s="209" t="s">
        <v>54</v>
      </c>
      <c r="M41" s="209"/>
      <c r="N41" s="209"/>
      <c r="O41" s="209"/>
      <c r="P41" s="210"/>
      <c r="Q41" s="209"/>
      <c r="R41" s="212"/>
      <c r="S41" s="209"/>
      <c r="T41" s="209"/>
      <c r="U41" s="209" t="s">
        <v>54</v>
      </c>
      <c r="V41" s="209"/>
      <c r="W41" s="209"/>
      <c r="X41" s="209"/>
      <c r="Y41" s="209"/>
      <c r="Z41" s="209"/>
      <c r="AA41" s="209" t="s">
        <v>54</v>
      </c>
      <c r="AB41" s="212"/>
      <c r="AC41" s="212"/>
    </row>
    <row r="42" spans="1:29" outlineLevel="2" x14ac:dyDescent="0.25">
      <c r="A42" s="201">
        <v>46008</v>
      </c>
      <c r="D42" s="198" t="s">
        <v>54</v>
      </c>
      <c r="E42" s="202">
        <v>7021000</v>
      </c>
      <c r="K42" s="198" t="s">
        <v>1779</v>
      </c>
      <c r="L42" s="198" t="s">
        <v>274</v>
      </c>
      <c r="P42" s="201"/>
      <c r="R42" s="202">
        <v>7021000</v>
      </c>
      <c r="U42" s="198" t="s">
        <v>721</v>
      </c>
      <c r="AA42" s="198" t="s">
        <v>51</v>
      </c>
      <c r="AB42" s="202">
        <v>7021000</v>
      </c>
      <c r="AC42" s="202">
        <v>7021000</v>
      </c>
    </row>
    <row r="43" spans="1:29" outlineLevel="2" x14ac:dyDescent="0.25">
      <c r="A43" s="201">
        <v>46021</v>
      </c>
      <c r="D43" s="198" t="s">
        <v>54</v>
      </c>
      <c r="E43" s="202">
        <v>-1071000</v>
      </c>
      <c r="K43" s="198" t="s">
        <v>1779</v>
      </c>
      <c r="L43" s="198" t="s">
        <v>274</v>
      </c>
      <c r="P43" s="201"/>
      <c r="R43" s="202">
        <v>-1071000</v>
      </c>
      <c r="U43" s="198" t="s">
        <v>721</v>
      </c>
      <c r="AA43" s="198" t="s">
        <v>51</v>
      </c>
      <c r="AB43" s="202">
        <v>-1071000</v>
      </c>
      <c r="AC43" s="202">
        <v>-1071000</v>
      </c>
    </row>
    <row r="44" spans="1:29" outlineLevel="1" x14ac:dyDescent="0.25">
      <c r="A44" s="210"/>
      <c r="B44" s="209"/>
      <c r="C44" s="209"/>
      <c r="D44" s="209" t="s">
        <v>54</v>
      </c>
      <c r="E44" s="211">
        <v>5950000</v>
      </c>
      <c r="F44" s="209"/>
      <c r="G44" s="209"/>
      <c r="H44" s="209"/>
      <c r="I44" s="209"/>
      <c r="J44" s="209"/>
      <c r="K44" s="209" t="s">
        <v>54</v>
      </c>
      <c r="L44" s="209" t="s">
        <v>54</v>
      </c>
      <c r="M44" s="209"/>
      <c r="N44" s="209"/>
      <c r="O44" s="209"/>
      <c r="P44" s="210"/>
      <c r="Q44" s="209"/>
      <c r="R44" s="212"/>
      <c r="S44" s="209"/>
      <c r="T44" s="209"/>
      <c r="U44" s="209" t="s">
        <v>54</v>
      </c>
      <c r="V44" s="209"/>
      <c r="W44" s="209"/>
      <c r="X44" s="209"/>
      <c r="Y44" s="209"/>
      <c r="Z44" s="209"/>
      <c r="AA44" s="209" t="s">
        <v>54</v>
      </c>
      <c r="AB44" s="212"/>
      <c r="AC44" s="212"/>
    </row>
    <row r="45" spans="1:29" outlineLevel="2" x14ac:dyDescent="0.25">
      <c r="A45" s="201">
        <v>46021</v>
      </c>
      <c r="D45" s="198" t="s">
        <v>54</v>
      </c>
      <c r="E45" s="202">
        <v>190000</v>
      </c>
      <c r="K45" s="198" t="s">
        <v>1780</v>
      </c>
      <c r="L45" s="198" t="s">
        <v>274</v>
      </c>
      <c r="P45" s="201"/>
      <c r="R45" s="202">
        <v>190000</v>
      </c>
      <c r="U45" s="198" t="s">
        <v>683</v>
      </c>
      <c r="AA45" s="198" t="s">
        <v>51</v>
      </c>
      <c r="AB45" s="202">
        <v>190000</v>
      </c>
      <c r="AC45" s="202">
        <v>190000</v>
      </c>
    </row>
    <row r="46" spans="1:29" outlineLevel="2" x14ac:dyDescent="0.25">
      <c r="A46" s="201">
        <v>46022</v>
      </c>
      <c r="D46" s="198" t="s">
        <v>54</v>
      </c>
      <c r="E46" s="202">
        <v>437000</v>
      </c>
      <c r="K46" s="198" t="s">
        <v>1780</v>
      </c>
      <c r="L46" s="198" t="s">
        <v>274</v>
      </c>
      <c r="P46" s="201"/>
      <c r="R46" s="202">
        <v>437000</v>
      </c>
      <c r="U46" s="198" t="s">
        <v>683</v>
      </c>
      <c r="AA46" s="198" t="s">
        <v>51</v>
      </c>
      <c r="AB46" s="202">
        <v>437000</v>
      </c>
      <c r="AC46" s="202">
        <v>437000</v>
      </c>
    </row>
    <row r="47" spans="1:29" outlineLevel="2" x14ac:dyDescent="0.25">
      <c r="A47" s="201">
        <v>46022</v>
      </c>
      <c r="D47" s="198" t="s">
        <v>54</v>
      </c>
      <c r="E47" s="202">
        <v>200000</v>
      </c>
      <c r="K47" s="198" t="s">
        <v>1780</v>
      </c>
      <c r="L47" s="198" t="s">
        <v>274</v>
      </c>
      <c r="P47" s="201"/>
      <c r="R47" s="202">
        <v>200000</v>
      </c>
      <c r="U47" s="198" t="s">
        <v>683</v>
      </c>
      <c r="AA47" s="198" t="s">
        <v>51</v>
      </c>
      <c r="AB47" s="202">
        <v>200000</v>
      </c>
      <c r="AC47" s="202">
        <v>200000</v>
      </c>
    </row>
    <row r="48" spans="1:29" outlineLevel="2" x14ac:dyDescent="0.25">
      <c r="A48" s="201">
        <v>46024</v>
      </c>
      <c r="D48" s="198" t="s">
        <v>54</v>
      </c>
      <c r="E48" s="202">
        <v>14500</v>
      </c>
      <c r="K48" s="198" t="s">
        <v>1780</v>
      </c>
      <c r="L48" s="198" t="s">
        <v>274</v>
      </c>
      <c r="P48" s="201"/>
      <c r="R48" s="202">
        <v>14500</v>
      </c>
      <c r="U48" s="198" t="s">
        <v>683</v>
      </c>
      <c r="AA48" s="198" t="s">
        <v>51</v>
      </c>
      <c r="AB48" s="202">
        <v>14500</v>
      </c>
      <c r="AC48" s="202">
        <v>14500</v>
      </c>
    </row>
    <row r="49" spans="1:29" outlineLevel="1" x14ac:dyDescent="0.25">
      <c r="A49" s="210"/>
      <c r="B49" s="209"/>
      <c r="C49" s="209"/>
      <c r="D49" s="209" t="s">
        <v>54</v>
      </c>
      <c r="E49" s="211">
        <v>841500</v>
      </c>
      <c r="F49" s="209"/>
      <c r="G49" s="209"/>
      <c r="H49" s="209"/>
      <c r="I49" s="209"/>
      <c r="J49" s="209"/>
      <c r="K49" s="209" t="s">
        <v>54</v>
      </c>
      <c r="L49" s="209" t="s">
        <v>54</v>
      </c>
      <c r="M49" s="209"/>
      <c r="N49" s="209"/>
      <c r="O49" s="209"/>
      <c r="P49" s="210"/>
      <c r="Q49" s="209"/>
      <c r="R49" s="212"/>
      <c r="S49" s="209"/>
      <c r="T49" s="209"/>
      <c r="U49" s="209" t="s">
        <v>54</v>
      </c>
      <c r="V49" s="209"/>
      <c r="W49" s="209"/>
      <c r="X49" s="209"/>
      <c r="Y49" s="209"/>
      <c r="Z49" s="209"/>
      <c r="AA49" s="209" t="s">
        <v>54</v>
      </c>
      <c r="AB49" s="212"/>
      <c r="AC49" s="212"/>
    </row>
    <row r="50" spans="1:29" outlineLevel="2" x14ac:dyDescent="0.25">
      <c r="A50" s="201">
        <v>46045</v>
      </c>
      <c r="D50" s="198" t="s">
        <v>54</v>
      </c>
      <c r="E50" s="202">
        <v>100000</v>
      </c>
      <c r="K50" s="198" t="s">
        <v>1781</v>
      </c>
      <c r="L50" s="198" t="s">
        <v>274</v>
      </c>
      <c r="P50" s="201"/>
      <c r="R50" s="202">
        <v>100000</v>
      </c>
      <c r="U50" s="198" t="s">
        <v>882</v>
      </c>
      <c r="AA50" s="198" t="s">
        <v>51</v>
      </c>
      <c r="AB50" s="202">
        <v>100000</v>
      </c>
      <c r="AC50" s="202">
        <v>100000</v>
      </c>
    </row>
    <row r="51" spans="1:29" outlineLevel="1" x14ac:dyDescent="0.25">
      <c r="A51" s="210"/>
      <c r="B51" s="209"/>
      <c r="C51" s="209"/>
      <c r="D51" s="209" t="s">
        <v>54</v>
      </c>
      <c r="E51" s="211">
        <v>100000</v>
      </c>
      <c r="F51" s="209"/>
      <c r="G51" s="209"/>
      <c r="H51" s="209"/>
      <c r="I51" s="209"/>
      <c r="J51" s="209"/>
      <c r="K51" s="209" t="s">
        <v>54</v>
      </c>
      <c r="L51" s="209" t="s">
        <v>54</v>
      </c>
      <c r="M51" s="209"/>
      <c r="N51" s="209"/>
      <c r="O51" s="209"/>
      <c r="P51" s="210"/>
      <c r="Q51" s="209"/>
      <c r="R51" s="212"/>
      <c r="S51" s="209"/>
      <c r="T51" s="209"/>
      <c r="U51" s="209" t="s">
        <v>54</v>
      </c>
      <c r="V51" s="209"/>
      <c r="W51" s="209"/>
      <c r="X51" s="209"/>
      <c r="Y51" s="209"/>
      <c r="Z51" s="209"/>
      <c r="AA51" s="209" t="s">
        <v>54</v>
      </c>
      <c r="AB51" s="212"/>
      <c r="AC51" s="212"/>
    </row>
    <row r="52" spans="1:29" outlineLevel="2" x14ac:dyDescent="0.25">
      <c r="A52" s="201">
        <v>46045</v>
      </c>
      <c r="D52" s="198" t="s">
        <v>54</v>
      </c>
      <c r="E52" s="202">
        <v>100000</v>
      </c>
      <c r="K52" s="198" t="s">
        <v>1782</v>
      </c>
      <c r="L52" s="198" t="s">
        <v>274</v>
      </c>
      <c r="P52" s="201"/>
      <c r="R52" s="202">
        <v>100000</v>
      </c>
      <c r="U52" s="198" t="s">
        <v>825</v>
      </c>
      <c r="AA52" s="198" t="s">
        <v>51</v>
      </c>
      <c r="AB52" s="202">
        <v>100000</v>
      </c>
      <c r="AC52" s="202">
        <v>100000</v>
      </c>
    </row>
    <row r="53" spans="1:29" outlineLevel="1" x14ac:dyDescent="0.25">
      <c r="A53" s="210"/>
      <c r="B53" s="209"/>
      <c r="C53" s="209"/>
      <c r="D53" s="209" t="s">
        <v>54</v>
      </c>
      <c r="E53" s="211">
        <v>100000</v>
      </c>
      <c r="F53" s="209"/>
      <c r="G53" s="209"/>
      <c r="H53" s="209"/>
      <c r="I53" s="209"/>
      <c r="J53" s="209"/>
      <c r="K53" s="209" t="s">
        <v>54</v>
      </c>
      <c r="L53" s="209" t="s">
        <v>54</v>
      </c>
      <c r="M53" s="209"/>
      <c r="N53" s="209"/>
      <c r="O53" s="209"/>
      <c r="P53" s="210"/>
      <c r="Q53" s="209"/>
      <c r="R53" s="212"/>
      <c r="S53" s="209"/>
      <c r="T53" s="209"/>
      <c r="U53" s="209" t="s">
        <v>54</v>
      </c>
      <c r="V53" s="209"/>
      <c r="W53" s="209"/>
      <c r="X53" s="209"/>
      <c r="Y53" s="209"/>
      <c r="Z53" s="209"/>
      <c r="AA53" s="209" t="s">
        <v>54</v>
      </c>
      <c r="AB53" s="212"/>
      <c r="AC53" s="212"/>
    </row>
    <row r="54" spans="1:29" outlineLevel="2" x14ac:dyDescent="0.25">
      <c r="A54" s="201">
        <v>46031</v>
      </c>
      <c r="D54" s="198" t="s">
        <v>54</v>
      </c>
      <c r="E54" s="202">
        <v>2124000</v>
      </c>
      <c r="K54" s="198" t="s">
        <v>1783</v>
      </c>
      <c r="L54" s="198" t="s">
        <v>274</v>
      </c>
      <c r="P54" s="201"/>
      <c r="R54" s="202">
        <v>2124000</v>
      </c>
      <c r="U54" s="198" t="s">
        <v>884</v>
      </c>
      <c r="AA54" s="198" t="s">
        <v>51</v>
      </c>
      <c r="AB54" s="202">
        <v>2124000</v>
      </c>
      <c r="AC54" s="202">
        <v>2124000</v>
      </c>
    </row>
    <row r="55" spans="1:29" outlineLevel="2" x14ac:dyDescent="0.25">
      <c r="A55" s="201">
        <v>46056</v>
      </c>
      <c r="D55" s="198" t="s">
        <v>54</v>
      </c>
      <c r="E55" s="202">
        <v>800000</v>
      </c>
      <c r="K55" s="198" t="s">
        <v>1783</v>
      </c>
      <c r="L55" s="198" t="s">
        <v>274</v>
      </c>
      <c r="P55" s="201"/>
      <c r="R55" s="202">
        <v>800000</v>
      </c>
      <c r="U55" s="198" t="s">
        <v>884</v>
      </c>
      <c r="AA55" s="198" t="s">
        <v>51</v>
      </c>
      <c r="AB55" s="202">
        <v>800000</v>
      </c>
      <c r="AC55" s="202">
        <v>800000</v>
      </c>
    </row>
    <row r="56" spans="1:29" outlineLevel="2" x14ac:dyDescent="0.25">
      <c r="A56" s="201">
        <v>46058</v>
      </c>
      <c r="D56" s="198" t="s">
        <v>54</v>
      </c>
      <c r="E56" s="202">
        <v>408000</v>
      </c>
      <c r="K56" s="198" t="s">
        <v>1783</v>
      </c>
      <c r="L56" s="198" t="s">
        <v>274</v>
      </c>
      <c r="P56" s="201"/>
      <c r="R56" s="202">
        <v>408000</v>
      </c>
      <c r="U56" s="198" t="s">
        <v>884</v>
      </c>
      <c r="AA56" s="198" t="s">
        <v>51</v>
      </c>
      <c r="AB56" s="202">
        <v>408000</v>
      </c>
      <c r="AC56" s="202">
        <v>408000</v>
      </c>
    </row>
    <row r="57" spans="1:29" outlineLevel="2" x14ac:dyDescent="0.25">
      <c r="A57" s="201">
        <v>46058</v>
      </c>
      <c r="D57" s="198" t="s">
        <v>54</v>
      </c>
      <c r="E57" s="202">
        <v>490560</v>
      </c>
      <c r="K57" s="198" t="s">
        <v>1783</v>
      </c>
      <c r="L57" s="198" t="s">
        <v>274</v>
      </c>
      <c r="P57" s="201"/>
      <c r="R57" s="202">
        <v>490560</v>
      </c>
      <c r="U57" s="198" t="s">
        <v>884</v>
      </c>
      <c r="AA57" s="198" t="s">
        <v>51</v>
      </c>
      <c r="AB57" s="202">
        <v>490560</v>
      </c>
      <c r="AC57" s="202">
        <v>490560</v>
      </c>
    </row>
    <row r="58" spans="1:29" outlineLevel="2" x14ac:dyDescent="0.25">
      <c r="A58" s="201">
        <v>46058</v>
      </c>
      <c r="D58" s="198" t="s">
        <v>54</v>
      </c>
      <c r="E58" s="202">
        <v>964000</v>
      </c>
      <c r="K58" s="198" t="s">
        <v>1783</v>
      </c>
      <c r="L58" s="198" t="s">
        <v>274</v>
      </c>
      <c r="P58" s="201"/>
      <c r="R58" s="202">
        <v>964000</v>
      </c>
      <c r="U58" s="198" t="s">
        <v>884</v>
      </c>
      <c r="AA58" s="198" t="s">
        <v>51</v>
      </c>
      <c r="AB58" s="202">
        <v>964000</v>
      </c>
      <c r="AC58" s="202">
        <v>964000</v>
      </c>
    </row>
    <row r="59" spans="1:29" outlineLevel="2" x14ac:dyDescent="0.25">
      <c r="A59" s="201">
        <v>46060</v>
      </c>
      <c r="D59" s="198" t="s">
        <v>54</v>
      </c>
      <c r="E59" s="202">
        <v>613452</v>
      </c>
      <c r="K59" s="198" t="s">
        <v>1783</v>
      </c>
      <c r="L59" s="198" t="s">
        <v>274</v>
      </c>
      <c r="P59" s="201"/>
      <c r="R59" s="202">
        <v>613452</v>
      </c>
      <c r="U59" s="198" t="s">
        <v>884</v>
      </c>
      <c r="AA59" s="198" t="s">
        <v>51</v>
      </c>
      <c r="AB59" s="202">
        <v>613452</v>
      </c>
      <c r="AC59" s="202">
        <v>613452</v>
      </c>
    </row>
    <row r="60" spans="1:29" outlineLevel="2" x14ac:dyDescent="0.25">
      <c r="A60" s="201">
        <v>46064</v>
      </c>
      <c r="D60" s="198" t="s">
        <v>54</v>
      </c>
      <c r="E60" s="202">
        <v>750000</v>
      </c>
      <c r="K60" s="198" t="s">
        <v>1783</v>
      </c>
      <c r="L60" s="198" t="s">
        <v>274</v>
      </c>
      <c r="P60" s="201"/>
      <c r="R60" s="202">
        <v>750000</v>
      </c>
      <c r="U60" s="198" t="s">
        <v>884</v>
      </c>
      <c r="AA60" s="198" t="s">
        <v>51</v>
      </c>
      <c r="AB60" s="202">
        <v>750000</v>
      </c>
      <c r="AC60" s="202">
        <v>750000</v>
      </c>
    </row>
    <row r="61" spans="1:29" outlineLevel="2" x14ac:dyDescent="0.25">
      <c r="A61" s="201">
        <v>46064</v>
      </c>
      <c r="D61" s="198" t="s">
        <v>54</v>
      </c>
      <c r="E61" s="202">
        <v>-750000</v>
      </c>
      <c r="K61" s="198" t="s">
        <v>1783</v>
      </c>
      <c r="L61" s="198" t="s">
        <v>274</v>
      </c>
      <c r="P61" s="201"/>
      <c r="R61" s="202">
        <v>-750000</v>
      </c>
      <c r="U61" s="198" t="s">
        <v>884</v>
      </c>
      <c r="AA61" s="198" t="s">
        <v>51</v>
      </c>
      <c r="AB61" s="202">
        <v>-750000</v>
      </c>
      <c r="AC61" s="202">
        <v>-750000</v>
      </c>
    </row>
    <row r="62" spans="1:29" outlineLevel="2" x14ac:dyDescent="0.25">
      <c r="A62" s="201">
        <v>46066</v>
      </c>
      <c r="D62" s="198" t="s">
        <v>54</v>
      </c>
      <c r="E62" s="202">
        <v>262000</v>
      </c>
      <c r="K62" s="198" t="s">
        <v>1783</v>
      </c>
      <c r="L62" s="198" t="s">
        <v>274</v>
      </c>
      <c r="P62" s="201"/>
      <c r="R62" s="202">
        <v>262000</v>
      </c>
      <c r="U62" s="198" t="s">
        <v>884</v>
      </c>
      <c r="AA62" s="198" t="s">
        <v>51</v>
      </c>
      <c r="AB62" s="202">
        <v>262000</v>
      </c>
      <c r="AC62" s="202">
        <v>262000</v>
      </c>
    </row>
    <row r="63" spans="1:29" outlineLevel="2" x14ac:dyDescent="0.25">
      <c r="A63" s="201">
        <v>46069</v>
      </c>
      <c r="D63" s="198" t="s">
        <v>54</v>
      </c>
      <c r="E63" s="202">
        <v>88300.800000000003</v>
      </c>
      <c r="K63" s="198" t="s">
        <v>1783</v>
      </c>
      <c r="L63" s="198" t="s">
        <v>274</v>
      </c>
      <c r="P63" s="201"/>
      <c r="R63" s="202">
        <v>88300.800000000003</v>
      </c>
      <c r="U63" s="198" t="s">
        <v>884</v>
      </c>
      <c r="AA63" s="198" t="s">
        <v>51</v>
      </c>
      <c r="AB63" s="202">
        <v>88300.800000000003</v>
      </c>
      <c r="AC63" s="202">
        <v>88300.800000000003</v>
      </c>
    </row>
    <row r="64" spans="1:29" outlineLevel="2" x14ac:dyDescent="0.25">
      <c r="A64" s="201">
        <v>46070</v>
      </c>
      <c r="D64" s="198" t="s">
        <v>54</v>
      </c>
      <c r="E64" s="202">
        <v>134000</v>
      </c>
      <c r="K64" s="198" t="s">
        <v>1783</v>
      </c>
      <c r="L64" s="198" t="s">
        <v>274</v>
      </c>
      <c r="P64" s="201"/>
      <c r="R64" s="202">
        <v>134000</v>
      </c>
      <c r="U64" s="198" t="s">
        <v>884</v>
      </c>
      <c r="AA64" s="198" t="s">
        <v>51</v>
      </c>
      <c r="AB64" s="202">
        <v>134000</v>
      </c>
      <c r="AC64" s="202">
        <v>134000</v>
      </c>
    </row>
    <row r="65" spans="1:29" outlineLevel="2" x14ac:dyDescent="0.25">
      <c r="A65" s="201">
        <v>46078</v>
      </c>
      <c r="D65" s="198" t="s">
        <v>54</v>
      </c>
      <c r="E65" s="202">
        <v>1305289.2</v>
      </c>
      <c r="K65" s="198" t="s">
        <v>1783</v>
      </c>
      <c r="L65" s="198" t="s">
        <v>274</v>
      </c>
      <c r="P65" s="201"/>
      <c r="R65" s="202">
        <v>1305289.2</v>
      </c>
      <c r="U65" s="198" t="s">
        <v>884</v>
      </c>
      <c r="AA65" s="198" t="s">
        <v>51</v>
      </c>
      <c r="AB65" s="202">
        <v>1305289.2</v>
      </c>
      <c r="AC65" s="202">
        <v>1305289.2</v>
      </c>
    </row>
    <row r="66" spans="1:29" outlineLevel="2" x14ac:dyDescent="0.25">
      <c r="A66" s="201">
        <v>46098</v>
      </c>
      <c r="D66" s="198" t="s">
        <v>54</v>
      </c>
      <c r="E66" s="202">
        <v>1045984</v>
      </c>
      <c r="K66" s="198" t="s">
        <v>1783</v>
      </c>
      <c r="L66" s="198" t="s">
        <v>274</v>
      </c>
      <c r="P66" s="201"/>
      <c r="R66" s="202">
        <v>1045984</v>
      </c>
      <c r="U66" s="198" t="s">
        <v>884</v>
      </c>
      <c r="AA66" s="198" t="s">
        <v>51</v>
      </c>
      <c r="AB66" s="202">
        <v>1045984</v>
      </c>
      <c r="AC66" s="202">
        <v>1045984</v>
      </c>
    </row>
    <row r="67" spans="1:29" outlineLevel="2" x14ac:dyDescent="0.25">
      <c r="A67" s="201">
        <v>46116</v>
      </c>
      <c r="D67" s="198" t="s">
        <v>54</v>
      </c>
      <c r="E67" s="202">
        <v>160000</v>
      </c>
      <c r="K67" s="198" t="s">
        <v>1783</v>
      </c>
      <c r="L67" s="198" t="s">
        <v>274</v>
      </c>
      <c r="P67" s="201"/>
      <c r="R67" s="202">
        <v>160000</v>
      </c>
      <c r="U67" s="198" t="s">
        <v>884</v>
      </c>
      <c r="AA67" s="198" t="s">
        <v>51</v>
      </c>
      <c r="AB67" s="202">
        <v>160000</v>
      </c>
      <c r="AC67" s="202">
        <v>160000</v>
      </c>
    </row>
    <row r="68" spans="1:29" outlineLevel="2" x14ac:dyDescent="0.25">
      <c r="A68" s="201">
        <v>46122</v>
      </c>
      <c r="D68" s="198" t="s">
        <v>54</v>
      </c>
      <c r="E68" s="202">
        <v>311030</v>
      </c>
      <c r="K68" s="198" t="s">
        <v>1783</v>
      </c>
      <c r="L68" s="198" t="s">
        <v>274</v>
      </c>
      <c r="P68" s="201"/>
      <c r="R68" s="202">
        <v>311030</v>
      </c>
      <c r="U68" s="198" t="s">
        <v>884</v>
      </c>
      <c r="AA68" s="198" t="s">
        <v>51</v>
      </c>
      <c r="AB68" s="202">
        <v>311030</v>
      </c>
      <c r="AC68" s="202">
        <v>311030</v>
      </c>
    </row>
    <row r="69" spans="1:29" outlineLevel="1" x14ac:dyDescent="0.25">
      <c r="A69" s="210"/>
      <c r="B69" s="209"/>
      <c r="C69" s="209"/>
      <c r="D69" s="209" t="s">
        <v>54</v>
      </c>
      <c r="E69" s="211">
        <v>8706616</v>
      </c>
      <c r="F69" s="209"/>
      <c r="G69" s="209"/>
      <c r="H69" s="209"/>
      <c r="I69" s="209"/>
      <c r="J69" s="209"/>
      <c r="K69" s="209" t="s">
        <v>54</v>
      </c>
      <c r="L69" s="209" t="s">
        <v>54</v>
      </c>
      <c r="M69" s="209"/>
      <c r="N69" s="209"/>
      <c r="O69" s="209"/>
      <c r="P69" s="210"/>
      <c r="Q69" s="209"/>
      <c r="R69" s="212"/>
      <c r="S69" s="209"/>
      <c r="T69" s="209"/>
      <c r="U69" s="209" t="s">
        <v>54</v>
      </c>
      <c r="V69" s="209"/>
      <c r="W69" s="209"/>
      <c r="X69" s="209"/>
      <c r="Y69" s="209"/>
      <c r="Z69" s="209"/>
      <c r="AA69" s="209" t="s">
        <v>54</v>
      </c>
      <c r="AB69" s="212"/>
      <c r="AC69" s="212"/>
    </row>
    <row r="70" spans="1:29" outlineLevel="2" x14ac:dyDescent="0.25">
      <c r="A70" s="201">
        <v>46070</v>
      </c>
      <c r="D70" s="198" t="s">
        <v>54</v>
      </c>
      <c r="E70" s="202">
        <v>134000</v>
      </c>
      <c r="K70" s="198" t="s">
        <v>1784</v>
      </c>
      <c r="L70" s="198" t="s">
        <v>274</v>
      </c>
      <c r="P70" s="201"/>
      <c r="R70" s="202">
        <v>134000</v>
      </c>
      <c r="U70" s="198" t="s">
        <v>780</v>
      </c>
      <c r="AA70" s="198" t="s">
        <v>51</v>
      </c>
      <c r="AB70" s="202">
        <v>134000</v>
      </c>
      <c r="AC70" s="202">
        <v>134000</v>
      </c>
    </row>
    <row r="71" spans="1:29" outlineLevel="1" x14ac:dyDescent="0.25">
      <c r="A71" s="210"/>
      <c r="B71" s="209"/>
      <c r="C71" s="209"/>
      <c r="D71" s="209" t="s">
        <v>54</v>
      </c>
      <c r="E71" s="211">
        <v>134000</v>
      </c>
      <c r="F71" s="209"/>
      <c r="G71" s="209"/>
      <c r="H71" s="209"/>
      <c r="I71" s="209"/>
      <c r="J71" s="209"/>
      <c r="K71" s="209" t="s">
        <v>54</v>
      </c>
      <c r="L71" s="209" t="s">
        <v>54</v>
      </c>
      <c r="M71" s="209"/>
      <c r="N71" s="209"/>
      <c r="O71" s="209"/>
      <c r="P71" s="210"/>
      <c r="Q71" s="209"/>
      <c r="R71" s="212"/>
      <c r="S71" s="209"/>
      <c r="T71" s="209"/>
      <c r="U71" s="209" t="s">
        <v>54</v>
      </c>
      <c r="V71" s="209"/>
      <c r="W71" s="209"/>
      <c r="X71" s="209"/>
      <c r="Y71" s="209"/>
      <c r="Z71" s="209"/>
      <c r="AA71" s="209" t="s">
        <v>54</v>
      </c>
      <c r="AB71" s="212"/>
      <c r="AC71" s="212"/>
    </row>
    <row r="72" spans="1:29" outlineLevel="2" x14ac:dyDescent="0.25">
      <c r="A72" s="201">
        <v>46058</v>
      </c>
      <c r="D72" s="198" t="s">
        <v>54</v>
      </c>
      <c r="E72" s="202">
        <v>408000</v>
      </c>
      <c r="K72" s="198" t="s">
        <v>1785</v>
      </c>
      <c r="L72" s="198" t="s">
        <v>274</v>
      </c>
      <c r="P72" s="201"/>
      <c r="R72" s="202">
        <v>408000</v>
      </c>
      <c r="U72" s="198" t="s">
        <v>755</v>
      </c>
      <c r="AA72" s="198" t="s">
        <v>51</v>
      </c>
      <c r="AB72" s="202">
        <v>408000</v>
      </c>
      <c r="AC72" s="202">
        <v>408000</v>
      </c>
    </row>
    <row r="73" spans="1:29" outlineLevel="2" x14ac:dyDescent="0.25">
      <c r="A73" s="201">
        <v>46060</v>
      </c>
      <c r="D73" s="198" t="s">
        <v>54</v>
      </c>
      <c r="E73" s="202">
        <v>613452</v>
      </c>
      <c r="K73" s="198" t="s">
        <v>1785</v>
      </c>
      <c r="L73" s="198" t="s">
        <v>274</v>
      </c>
      <c r="P73" s="201"/>
      <c r="R73" s="202">
        <v>613452</v>
      </c>
      <c r="U73" s="198" t="s">
        <v>755</v>
      </c>
      <c r="AA73" s="198" t="s">
        <v>51</v>
      </c>
      <c r="AB73" s="202">
        <v>613452</v>
      </c>
      <c r="AC73" s="202">
        <v>613452</v>
      </c>
    </row>
    <row r="74" spans="1:29" outlineLevel="1" x14ac:dyDescent="0.25">
      <c r="A74" s="210"/>
      <c r="B74" s="209"/>
      <c r="C74" s="209"/>
      <c r="D74" s="209" t="s">
        <v>54</v>
      </c>
      <c r="E74" s="211">
        <v>1021452</v>
      </c>
      <c r="F74" s="209"/>
      <c r="G74" s="209"/>
      <c r="H74" s="209"/>
      <c r="I74" s="209"/>
      <c r="J74" s="209"/>
      <c r="K74" s="209" t="s">
        <v>54</v>
      </c>
      <c r="L74" s="209" t="s">
        <v>54</v>
      </c>
      <c r="M74" s="209"/>
      <c r="N74" s="209"/>
      <c r="O74" s="209"/>
      <c r="P74" s="210"/>
      <c r="Q74" s="209"/>
      <c r="R74" s="212"/>
      <c r="S74" s="209"/>
      <c r="T74" s="209"/>
      <c r="U74" s="209" t="s">
        <v>54</v>
      </c>
      <c r="V74" s="209"/>
      <c r="W74" s="209"/>
      <c r="X74" s="209"/>
      <c r="Y74" s="209"/>
      <c r="Z74" s="209"/>
      <c r="AA74" s="209" t="s">
        <v>54</v>
      </c>
      <c r="AB74" s="212"/>
      <c r="AC74" s="212"/>
    </row>
    <row r="75" spans="1:29" outlineLevel="2" x14ac:dyDescent="0.25">
      <c r="A75" s="201">
        <v>46056</v>
      </c>
      <c r="D75" s="198" t="s">
        <v>54</v>
      </c>
      <c r="E75" s="202">
        <v>800000</v>
      </c>
      <c r="K75" s="198" t="s">
        <v>1786</v>
      </c>
      <c r="L75" s="198" t="s">
        <v>274</v>
      </c>
      <c r="P75" s="201"/>
      <c r="R75" s="202">
        <v>800000</v>
      </c>
      <c r="U75" s="198" t="s">
        <v>284</v>
      </c>
      <c r="AA75" s="198" t="s">
        <v>51</v>
      </c>
      <c r="AB75" s="202">
        <v>800000</v>
      </c>
      <c r="AC75" s="202">
        <v>800000</v>
      </c>
    </row>
    <row r="76" spans="1:29" outlineLevel="2" x14ac:dyDescent="0.25">
      <c r="A76" s="201">
        <v>46064</v>
      </c>
      <c r="D76" s="198" t="s">
        <v>54</v>
      </c>
      <c r="E76" s="202">
        <v>-800000</v>
      </c>
      <c r="K76" s="198" t="s">
        <v>1786</v>
      </c>
      <c r="L76" s="198" t="s">
        <v>274</v>
      </c>
      <c r="P76" s="201"/>
      <c r="R76" s="202">
        <v>-800000</v>
      </c>
      <c r="U76" s="198" t="s">
        <v>284</v>
      </c>
      <c r="AA76" s="198" t="s">
        <v>51</v>
      </c>
      <c r="AB76" s="202">
        <v>-800000</v>
      </c>
      <c r="AC76" s="202">
        <v>-800000</v>
      </c>
    </row>
    <row r="77" spans="1:29" outlineLevel="2" x14ac:dyDescent="0.25">
      <c r="A77" s="201">
        <v>46098</v>
      </c>
      <c r="D77" s="198" t="s">
        <v>54</v>
      </c>
      <c r="E77" s="202">
        <v>1045984</v>
      </c>
      <c r="K77" s="198" t="s">
        <v>1786</v>
      </c>
      <c r="L77" s="198" t="s">
        <v>274</v>
      </c>
      <c r="P77" s="201"/>
      <c r="R77" s="202">
        <v>1045984</v>
      </c>
      <c r="U77" s="198" t="s">
        <v>284</v>
      </c>
      <c r="AA77" s="198" t="s">
        <v>51</v>
      </c>
      <c r="AB77" s="202">
        <v>1045984</v>
      </c>
      <c r="AC77" s="202">
        <v>1045984</v>
      </c>
    </row>
    <row r="78" spans="1:29" outlineLevel="2" x14ac:dyDescent="0.25">
      <c r="A78" s="201">
        <v>46116</v>
      </c>
      <c r="D78" s="198" t="s">
        <v>54</v>
      </c>
      <c r="E78" s="202">
        <v>160000</v>
      </c>
      <c r="K78" s="198" t="s">
        <v>1786</v>
      </c>
      <c r="L78" s="198" t="s">
        <v>274</v>
      </c>
      <c r="P78" s="201"/>
      <c r="R78" s="202">
        <v>160000</v>
      </c>
      <c r="U78" s="198" t="s">
        <v>284</v>
      </c>
      <c r="AA78" s="198" t="s">
        <v>51</v>
      </c>
      <c r="AB78" s="202">
        <v>160000</v>
      </c>
      <c r="AC78" s="202">
        <v>160000</v>
      </c>
    </row>
    <row r="79" spans="1:29" outlineLevel="1" x14ac:dyDescent="0.25">
      <c r="A79" s="210"/>
      <c r="B79" s="209"/>
      <c r="C79" s="209"/>
      <c r="D79" s="209" t="s">
        <v>54</v>
      </c>
      <c r="E79" s="211">
        <v>1205984</v>
      </c>
      <c r="F79" s="209"/>
      <c r="G79" s="209"/>
      <c r="H79" s="209"/>
      <c r="I79" s="209"/>
      <c r="J79" s="209"/>
      <c r="K79" s="209" t="s">
        <v>54</v>
      </c>
      <c r="L79" s="209" t="s">
        <v>54</v>
      </c>
      <c r="M79" s="209"/>
      <c r="N79" s="209"/>
      <c r="O79" s="209"/>
      <c r="P79" s="210"/>
      <c r="Q79" s="209"/>
      <c r="R79" s="212"/>
      <c r="S79" s="209"/>
      <c r="T79" s="209"/>
      <c r="U79" s="209" t="s">
        <v>54</v>
      </c>
      <c r="V79" s="209"/>
      <c r="W79" s="209"/>
      <c r="X79" s="209"/>
      <c r="Y79" s="209"/>
      <c r="Z79" s="209"/>
      <c r="AA79" s="209" t="s">
        <v>54</v>
      </c>
      <c r="AB79" s="212"/>
      <c r="AC79" s="212"/>
    </row>
    <row r="80" spans="1:29" outlineLevel="2" x14ac:dyDescent="0.25">
      <c r="A80" s="201">
        <v>46064</v>
      </c>
      <c r="D80" s="198" t="s">
        <v>54</v>
      </c>
      <c r="E80" s="202">
        <v>750000</v>
      </c>
      <c r="K80" s="198" t="s">
        <v>1787</v>
      </c>
      <c r="L80" s="198" t="s">
        <v>274</v>
      </c>
      <c r="P80" s="201"/>
      <c r="R80" s="202">
        <v>750000</v>
      </c>
      <c r="U80" s="198" t="s">
        <v>886</v>
      </c>
      <c r="AA80" s="198" t="s">
        <v>51</v>
      </c>
      <c r="AB80" s="202">
        <v>750000</v>
      </c>
      <c r="AC80" s="202">
        <v>750000</v>
      </c>
    </row>
    <row r="81" spans="1:29" outlineLevel="2" x14ac:dyDescent="0.25">
      <c r="A81" s="201">
        <v>46064</v>
      </c>
      <c r="D81" s="198" t="s">
        <v>54</v>
      </c>
      <c r="E81" s="202">
        <v>-750000</v>
      </c>
      <c r="K81" s="198" t="s">
        <v>1787</v>
      </c>
      <c r="L81" s="198" t="s">
        <v>274</v>
      </c>
      <c r="P81" s="201"/>
      <c r="R81" s="202">
        <v>-750000</v>
      </c>
      <c r="U81" s="198" t="s">
        <v>886</v>
      </c>
      <c r="AA81" s="198" t="s">
        <v>51</v>
      </c>
      <c r="AB81" s="202">
        <v>-750000</v>
      </c>
      <c r="AC81" s="202">
        <v>-750000</v>
      </c>
    </row>
    <row r="82" spans="1:29" outlineLevel="1" x14ac:dyDescent="0.25">
      <c r="A82" s="210"/>
      <c r="B82" s="209"/>
      <c r="C82" s="209"/>
      <c r="D82" s="209" t="s">
        <v>54</v>
      </c>
      <c r="E82" s="211">
        <v>0</v>
      </c>
      <c r="F82" s="209"/>
      <c r="G82" s="209"/>
      <c r="H82" s="209"/>
      <c r="I82" s="209"/>
      <c r="J82" s="209"/>
      <c r="K82" s="209" t="s">
        <v>54</v>
      </c>
      <c r="L82" s="209" t="s">
        <v>54</v>
      </c>
      <c r="M82" s="209"/>
      <c r="N82" s="209"/>
      <c r="O82" s="209"/>
      <c r="P82" s="210"/>
      <c r="Q82" s="209"/>
      <c r="R82" s="212"/>
      <c r="S82" s="209"/>
      <c r="T82" s="209"/>
      <c r="U82" s="209" t="s">
        <v>54</v>
      </c>
      <c r="V82" s="209"/>
      <c r="W82" s="209"/>
      <c r="X82" s="209"/>
      <c r="Y82" s="209"/>
      <c r="Z82" s="209"/>
      <c r="AA82" s="209" t="s">
        <v>54</v>
      </c>
      <c r="AB82" s="212"/>
      <c r="AC82" s="212"/>
    </row>
    <row r="83" spans="1:29" outlineLevel="2" x14ac:dyDescent="0.25">
      <c r="A83" s="201">
        <v>46122</v>
      </c>
      <c r="D83" s="198" t="s">
        <v>54</v>
      </c>
      <c r="E83" s="202">
        <v>311030</v>
      </c>
      <c r="K83" s="198" t="s">
        <v>1788</v>
      </c>
      <c r="L83" s="198" t="s">
        <v>274</v>
      </c>
      <c r="P83" s="201"/>
      <c r="R83" s="202">
        <v>311030</v>
      </c>
      <c r="U83" s="198" t="s">
        <v>888</v>
      </c>
      <c r="AA83" s="198" t="s">
        <v>51</v>
      </c>
      <c r="AB83" s="202">
        <v>311030</v>
      </c>
      <c r="AC83" s="202">
        <v>311030</v>
      </c>
    </row>
    <row r="84" spans="1:29" outlineLevel="1" x14ac:dyDescent="0.25">
      <c r="A84" s="210"/>
      <c r="B84" s="209"/>
      <c r="C84" s="209"/>
      <c r="D84" s="209" t="s">
        <v>54</v>
      </c>
      <c r="E84" s="211">
        <v>311030</v>
      </c>
      <c r="F84" s="209"/>
      <c r="G84" s="209"/>
      <c r="H84" s="209"/>
      <c r="I84" s="209"/>
      <c r="J84" s="209"/>
      <c r="K84" s="209" t="s">
        <v>54</v>
      </c>
      <c r="L84" s="209" t="s">
        <v>54</v>
      </c>
      <c r="M84" s="209"/>
      <c r="N84" s="209"/>
      <c r="O84" s="209"/>
      <c r="P84" s="210"/>
      <c r="Q84" s="209"/>
      <c r="R84" s="212"/>
      <c r="S84" s="209"/>
      <c r="T84" s="209"/>
      <c r="U84" s="209" t="s">
        <v>54</v>
      </c>
      <c r="V84" s="209"/>
      <c r="W84" s="209"/>
      <c r="X84" s="209"/>
      <c r="Y84" s="209"/>
      <c r="Z84" s="209"/>
      <c r="AA84" s="209" t="s">
        <v>54</v>
      </c>
      <c r="AB84" s="212"/>
      <c r="AC84" s="212"/>
    </row>
    <row r="85" spans="1:29" outlineLevel="2" x14ac:dyDescent="0.25">
      <c r="A85" s="201">
        <v>46058</v>
      </c>
      <c r="D85" s="198" t="s">
        <v>54</v>
      </c>
      <c r="E85" s="202">
        <v>490560</v>
      </c>
      <c r="K85" s="198" t="s">
        <v>1789</v>
      </c>
      <c r="L85" s="198" t="s">
        <v>274</v>
      </c>
      <c r="P85" s="201"/>
      <c r="R85" s="202">
        <v>490560</v>
      </c>
      <c r="U85" s="198" t="s">
        <v>271</v>
      </c>
      <c r="AA85" s="198" t="s">
        <v>51</v>
      </c>
      <c r="AB85" s="202">
        <v>490560</v>
      </c>
      <c r="AC85" s="202">
        <v>490560</v>
      </c>
    </row>
    <row r="86" spans="1:29" outlineLevel="2" x14ac:dyDescent="0.25">
      <c r="A86" s="201">
        <v>46058</v>
      </c>
      <c r="D86" s="198" t="s">
        <v>54</v>
      </c>
      <c r="E86" s="202">
        <v>964000</v>
      </c>
      <c r="K86" s="198" t="s">
        <v>1789</v>
      </c>
      <c r="L86" s="198" t="s">
        <v>274</v>
      </c>
      <c r="P86" s="201"/>
      <c r="R86" s="202">
        <v>964000</v>
      </c>
      <c r="U86" s="198" t="s">
        <v>271</v>
      </c>
      <c r="AA86" s="198" t="s">
        <v>51</v>
      </c>
      <c r="AB86" s="202">
        <v>964000</v>
      </c>
      <c r="AC86" s="202">
        <v>964000</v>
      </c>
    </row>
    <row r="87" spans="1:29" outlineLevel="2" x14ac:dyDescent="0.25">
      <c r="A87" s="201">
        <v>46069</v>
      </c>
      <c r="D87" s="198" t="s">
        <v>54</v>
      </c>
      <c r="E87" s="202">
        <v>88300.800000000003</v>
      </c>
      <c r="K87" s="198" t="s">
        <v>1789</v>
      </c>
      <c r="L87" s="198" t="s">
        <v>274</v>
      </c>
      <c r="P87" s="201"/>
      <c r="R87" s="202">
        <v>88300.800000000003</v>
      </c>
      <c r="U87" s="198" t="s">
        <v>271</v>
      </c>
      <c r="AA87" s="198" t="s">
        <v>51</v>
      </c>
      <c r="AB87" s="202">
        <v>88300.800000000003</v>
      </c>
      <c r="AC87" s="202">
        <v>88300.800000000003</v>
      </c>
    </row>
    <row r="88" spans="1:29" outlineLevel="2" x14ac:dyDescent="0.25">
      <c r="A88" s="201">
        <v>46078</v>
      </c>
      <c r="D88" s="198" t="s">
        <v>54</v>
      </c>
      <c r="E88" s="202">
        <v>1305289.2</v>
      </c>
      <c r="K88" s="198" t="s">
        <v>1789</v>
      </c>
      <c r="L88" s="198" t="s">
        <v>274</v>
      </c>
      <c r="P88" s="201"/>
      <c r="R88" s="202">
        <v>1305289.2</v>
      </c>
      <c r="U88" s="198" t="s">
        <v>271</v>
      </c>
      <c r="AA88" s="198" t="s">
        <v>51</v>
      </c>
      <c r="AB88" s="202">
        <v>1305289.2</v>
      </c>
      <c r="AC88" s="202">
        <v>1305289.2</v>
      </c>
    </row>
    <row r="89" spans="1:29" outlineLevel="1" x14ac:dyDescent="0.25">
      <c r="A89" s="210"/>
      <c r="B89" s="209"/>
      <c r="C89" s="209"/>
      <c r="D89" s="209" t="s">
        <v>54</v>
      </c>
      <c r="E89" s="211">
        <v>2848150</v>
      </c>
      <c r="F89" s="209"/>
      <c r="G89" s="209"/>
      <c r="H89" s="209"/>
      <c r="I89" s="209"/>
      <c r="J89" s="209"/>
      <c r="K89" s="209" t="s">
        <v>54</v>
      </c>
      <c r="L89" s="209" t="s">
        <v>54</v>
      </c>
      <c r="M89" s="209"/>
      <c r="N89" s="209"/>
      <c r="O89" s="209"/>
      <c r="P89" s="210"/>
      <c r="Q89" s="209"/>
      <c r="R89" s="212"/>
      <c r="S89" s="209"/>
      <c r="T89" s="209"/>
      <c r="U89" s="209" t="s">
        <v>54</v>
      </c>
      <c r="V89" s="209"/>
      <c r="W89" s="209"/>
      <c r="X89" s="209"/>
      <c r="Y89" s="209"/>
      <c r="Z89" s="209"/>
      <c r="AA89" s="209" t="s">
        <v>54</v>
      </c>
      <c r="AB89" s="212"/>
      <c r="AC89" s="212"/>
    </row>
    <row r="90" spans="1:29" outlineLevel="2" x14ac:dyDescent="0.25">
      <c r="A90" s="201">
        <v>46066</v>
      </c>
      <c r="D90" s="198" t="s">
        <v>54</v>
      </c>
      <c r="E90" s="202">
        <v>1062000</v>
      </c>
      <c r="K90" s="198" t="s">
        <v>1790</v>
      </c>
      <c r="L90" s="198" t="s">
        <v>274</v>
      </c>
      <c r="P90" s="201"/>
      <c r="R90" s="202">
        <v>1062000</v>
      </c>
      <c r="U90" s="198" t="s">
        <v>781</v>
      </c>
      <c r="AA90" s="198" t="s">
        <v>51</v>
      </c>
      <c r="AB90" s="202">
        <v>1062000</v>
      </c>
      <c r="AC90" s="202">
        <v>1062000</v>
      </c>
    </row>
    <row r="91" spans="1:29" outlineLevel="1" x14ac:dyDescent="0.25">
      <c r="A91" s="210"/>
      <c r="B91" s="209"/>
      <c r="C91" s="209"/>
      <c r="D91" s="209" t="s">
        <v>54</v>
      </c>
      <c r="E91" s="211">
        <v>1062000</v>
      </c>
      <c r="F91" s="209"/>
      <c r="G91" s="209"/>
      <c r="H91" s="209"/>
      <c r="I91" s="209"/>
      <c r="J91" s="209"/>
      <c r="K91" s="209" t="s">
        <v>54</v>
      </c>
      <c r="L91" s="209" t="s">
        <v>54</v>
      </c>
      <c r="M91" s="209"/>
      <c r="N91" s="209"/>
      <c r="O91" s="209"/>
      <c r="P91" s="210"/>
      <c r="Q91" s="209"/>
      <c r="R91" s="212"/>
      <c r="S91" s="209"/>
      <c r="T91" s="209"/>
      <c r="U91" s="209" t="s">
        <v>54</v>
      </c>
      <c r="V91" s="209"/>
      <c r="W91" s="209"/>
      <c r="X91" s="209"/>
      <c r="Y91" s="209"/>
      <c r="Z91" s="209"/>
      <c r="AA91" s="209" t="s">
        <v>54</v>
      </c>
      <c r="AB91" s="212"/>
      <c r="AC91" s="212"/>
    </row>
    <row r="92" spans="1:29" outlineLevel="2" x14ac:dyDescent="0.25">
      <c r="A92" s="201">
        <v>46031</v>
      </c>
      <c r="D92" s="198" t="s">
        <v>54</v>
      </c>
      <c r="E92" s="202">
        <v>2124000</v>
      </c>
      <c r="K92" s="198" t="s">
        <v>1791</v>
      </c>
      <c r="L92" s="198" t="s">
        <v>274</v>
      </c>
      <c r="P92" s="201"/>
      <c r="R92" s="202">
        <v>2124000</v>
      </c>
      <c r="U92" s="198" t="s">
        <v>889</v>
      </c>
      <c r="AA92" s="198" t="s">
        <v>51</v>
      </c>
      <c r="AB92" s="202">
        <v>2124000</v>
      </c>
      <c r="AC92" s="202">
        <v>2124000</v>
      </c>
    </row>
    <row r="93" spans="1:29" outlineLevel="1" x14ac:dyDescent="0.25">
      <c r="A93" s="210"/>
      <c r="B93" s="209"/>
      <c r="C93" s="209"/>
      <c r="D93" s="209" t="s">
        <v>54</v>
      </c>
      <c r="E93" s="211">
        <v>2124000</v>
      </c>
      <c r="F93" s="209"/>
      <c r="G93" s="209"/>
      <c r="H93" s="209"/>
      <c r="I93" s="209"/>
      <c r="J93" s="209"/>
      <c r="K93" s="209" t="s">
        <v>54</v>
      </c>
      <c r="L93" s="209" t="s">
        <v>54</v>
      </c>
      <c r="M93" s="209"/>
      <c r="N93" s="209"/>
      <c r="O93" s="209"/>
      <c r="P93" s="210"/>
      <c r="Q93" s="209"/>
      <c r="R93" s="212"/>
      <c r="S93" s="209"/>
      <c r="T93" s="209"/>
      <c r="U93" s="209" t="s">
        <v>54</v>
      </c>
      <c r="V93" s="209"/>
      <c r="W93" s="209"/>
      <c r="X93" s="209"/>
      <c r="Y93" s="209"/>
      <c r="Z93" s="209"/>
      <c r="AA93" s="209" t="s">
        <v>54</v>
      </c>
      <c r="AB93" s="212"/>
      <c r="AC93" s="212"/>
    </row>
    <row r="94" spans="1:29" outlineLevel="2" x14ac:dyDescent="0.25">
      <c r="A94" s="201">
        <v>46031</v>
      </c>
      <c r="D94" s="198" t="s">
        <v>54</v>
      </c>
      <c r="E94" s="202">
        <v>2124000</v>
      </c>
      <c r="K94" s="198" t="s">
        <v>1792</v>
      </c>
      <c r="L94" s="198" t="s">
        <v>274</v>
      </c>
      <c r="P94" s="201"/>
      <c r="R94" s="202">
        <v>2124000</v>
      </c>
      <c r="U94" s="198" t="s">
        <v>791</v>
      </c>
      <c r="AA94" s="198" t="s">
        <v>51</v>
      </c>
      <c r="AB94" s="202">
        <v>2124000</v>
      </c>
      <c r="AC94" s="202">
        <v>2124000</v>
      </c>
    </row>
    <row r="95" spans="1:29" outlineLevel="1" x14ac:dyDescent="0.25">
      <c r="A95" s="210"/>
      <c r="B95" s="209"/>
      <c r="C95" s="209"/>
      <c r="D95" s="209" t="s">
        <v>54</v>
      </c>
      <c r="E95" s="211">
        <v>2124000</v>
      </c>
      <c r="F95" s="209"/>
      <c r="G95" s="209"/>
      <c r="H95" s="209"/>
      <c r="I95" s="209"/>
      <c r="J95" s="209"/>
      <c r="K95" s="209" t="s">
        <v>54</v>
      </c>
      <c r="L95" s="209" t="s">
        <v>54</v>
      </c>
      <c r="M95" s="209"/>
      <c r="N95" s="209"/>
      <c r="O95" s="209"/>
      <c r="P95" s="210"/>
      <c r="Q95" s="209"/>
      <c r="R95" s="212"/>
      <c r="S95" s="209"/>
      <c r="T95" s="209"/>
      <c r="U95" s="209" t="s">
        <v>54</v>
      </c>
      <c r="V95" s="209"/>
      <c r="W95" s="209"/>
      <c r="X95" s="209"/>
      <c r="Y95" s="209"/>
      <c r="Z95" s="209"/>
      <c r="AA95" s="209" t="s">
        <v>54</v>
      </c>
      <c r="AB95" s="212"/>
      <c r="AC95" s="212"/>
    </row>
    <row r="96" spans="1:29" outlineLevel="2" x14ac:dyDescent="0.25">
      <c r="A96" s="201">
        <v>46066</v>
      </c>
      <c r="D96" s="198" t="s">
        <v>54</v>
      </c>
      <c r="E96" s="202">
        <v>3135593220</v>
      </c>
      <c r="K96" s="198" t="s">
        <v>1793</v>
      </c>
      <c r="L96" s="198" t="s">
        <v>274</v>
      </c>
      <c r="P96" s="201"/>
      <c r="R96" s="202">
        <v>3135593220</v>
      </c>
      <c r="U96" s="198" t="s">
        <v>775</v>
      </c>
      <c r="AA96" s="198" t="s">
        <v>51</v>
      </c>
      <c r="AB96" s="202">
        <v>3135593220</v>
      </c>
      <c r="AC96" s="202">
        <v>3135593220</v>
      </c>
    </row>
    <row r="97" spans="1:29" outlineLevel="1" x14ac:dyDescent="0.25">
      <c r="A97" s="210"/>
      <c r="B97" s="209"/>
      <c r="C97" s="209"/>
      <c r="D97" s="209" t="s">
        <v>54</v>
      </c>
      <c r="E97" s="211">
        <v>3135593220</v>
      </c>
      <c r="F97" s="209"/>
      <c r="G97" s="209"/>
      <c r="H97" s="209"/>
      <c r="I97" s="209"/>
      <c r="J97" s="209"/>
      <c r="K97" s="209" t="s">
        <v>54</v>
      </c>
      <c r="L97" s="209" t="s">
        <v>54</v>
      </c>
      <c r="M97" s="209"/>
      <c r="N97" s="209"/>
      <c r="O97" s="209"/>
      <c r="P97" s="210"/>
      <c r="Q97" s="209"/>
      <c r="R97" s="212"/>
      <c r="S97" s="209"/>
      <c r="T97" s="209"/>
      <c r="U97" s="209" t="s">
        <v>54</v>
      </c>
      <c r="V97" s="209"/>
      <c r="W97" s="209"/>
      <c r="X97" s="209"/>
      <c r="Y97" s="209"/>
      <c r="Z97" s="209"/>
      <c r="AA97" s="209" t="s">
        <v>54</v>
      </c>
      <c r="AB97" s="212"/>
      <c r="AC97" s="212"/>
    </row>
    <row r="98" spans="1:29" outlineLevel="2" x14ac:dyDescent="0.25">
      <c r="A98" s="201">
        <v>46115</v>
      </c>
      <c r="D98" s="198" t="s">
        <v>54</v>
      </c>
      <c r="E98" s="202">
        <v>6620737.9000000004</v>
      </c>
      <c r="K98" s="198" t="s">
        <v>1794</v>
      </c>
      <c r="L98" s="198" t="s">
        <v>274</v>
      </c>
      <c r="P98" s="201"/>
      <c r="R98" s="202">
        <v>6620737.9000000004</v>
      </c>
      <c r="U98" s="198" t="s">
        <v>851</v>
      </c>
      <c r="AA98" s="198" t="s">
        <v>51</v>
      </c>
      <c r="AB98" s="202">
        <v>6620737.9000000004</v>
      </c>
      <c r="AC98" s="202">
        <v>6620737.9000000004</v>
      </c>
    </row>
    <row r="99" spans="1:29" outlineLevel="1" x14ac:dyDescent="0.25">
      <c r="A99" s="210"/>
      <c r="B99" s="209"/>
      <c r="C99" s="209"/>
      <c r="D99" s="209" t="s">
        <v>54</v>
      </c>
      <c r="E99" s="211">
        <v>6620737.9000000004</v>
      </c>
      <c r="F99" s="209"/>
      <c r="G99" s="209"/>
      <c r="H99" s="209"/>
      <c r="I99" s="209"/>
      <c r="J99" s="209"/>
      <c r="K99" s="209" t="s">
        <v>54</v>
      </c>
      <c r="L99" s="209" t="s">
        <v>54</v>
      </c>
      <c r="M99" s="209"/>
      <c r="N99" s="209"/>
      <c r="O99" s="209"/>
      <c r="P99" s="210"/>
      <c r="Q99" s="209"/>
      <c r="R99" s="212"/>
      <c r="S99" s="209"/>
      <c r="T99" s="209"/>
      <c r="U99" s="209" t="s">
        <v>54</v>
      </c>
      <c r="V99" s="209"/>
      <c r="W99" s="209"/>
      <c r="X99" s="209"/>
      <c r="Y99" s="209"/>
      <c r="Z99" s="209"/>
      <c r="AA99" s="209" t="s">
        <v>54</v>
      </c>
      <c r="AB99" s="212"/>
      <c r="AC99" s="212"/>
    </row>
    <row r="100" spans="1:29" outlineLevel="2" x14ac:dyDescent="0.25">
      <c r="A100" s="201">
        <v>46018</v>
      </c>
      <c r="D100" s="198" t="s">
        <v>54</v>
      </c>
      <c r="E100" s="202">
        <v>14950000</v>
      </c>
      <c r="K100" s="198" t="s">
        <v>1795</v>
      </c>
      <c r="L100" s="198" t="s">
        <v>156</v>
      </c>
      <c r="P100" s="201"/>
      <c r="R100" s="202">
        <v>14950000</v>
      </c>
      <c r="U100" s="198" t="s">
        <v>156</v>
      </c>
      <c r="AA100" s="198" t="s">
        <v>51</v>
      </c>
      <c r="AB100" s="202">
        <v>14950000</v>
      </c>
      <c r="AC100" s="202">
        <v>14950000</v>
      </c>
    </row>
    <row r="101" spans="1:29" outlineLevel="2" x14ac:dyDescent="0.25">
      <c r="A101" s="201">
        <v>46021</v>
      </c>
      <c r="D101" s="198" t="s">
        <v>54</v>
      </c>
      <c r="E101" s="202">
        <v>190000</v>
      </c>
      <c r="K101" s="198" t="s">
        <v>1795</v>
      </c>
      <c r="L101" s="198" t="s">
        <v>156</v>
      </c>
      <c r="P101" s="201"/>
      <c r="R101" s="202">
        <v>190000</v>
      </c>
      <c r="U101" s="198" t="s">
        <v>156</v>
      </c>
      <c r="AA101" s="198" t="s">
        <v>51</v>
      </c>
      <c r="AB101" s="202">
        <v>190000</v>
      </c>
      <c r="AC101" s="202">
        <v>190000</v>
      </c>
    </row>
    <row r="102" spans="1:29" outlineLevel="2" x14ac:dyDescent="0.25">
      <c r="A102" s="201">
        <v>46022</v>
      </c>
      <c r="D102" s="198" t="s">
        <v>54</v>
      </c>
      <c r="E102" s="202">
        <v>209000</v>
      </c>
      <c r="K102" s="198" t="s">
        <v>1795</v>
      </c>
      <c r="L102" s="198" t="s">
        <v>156</v>
      </c>
      <c r="P102" s="201"/>
      <c r="R102" s="202">
        <v>209000</v>
      </c>
      <c r="U102" s="198" t="s">
        <v>156</v>
      </c>
      <c r="AA102" s="198" t="s">
        <v>51</v>
      </c>
      <c r="AB102" s="202">
        <v>209000</v>
      </c>
      <c r="AC102" s="202">
        <v>209000</v>
      </c>
    </row>
    <row r="103" spans="1:29" outlineLevel="2" x14ac:dyDescent="0.25">
      <c r="A103" s="201">
        <v>46022</v>
      </c>
      <c r="D103" s="198" t="s">
        <v>54</v>
      </c>
      <c r="E103" s="202">
        <v>200000</v>
      </c>
      <c r="K103" s="198" t="s">
        <v>1795</v>
      </c>
      <c r="L103" s="198" t="s">
        <v>156</v>
      </c>
      <c r="P103" s="201"/>
      <c r="R103" s="202">
        <v>200000</v>
      </c>
      <c r="U103" s="198" t="s">
        <v>156</v>
      </c>
      <c r="AA103" s="198" t="s">
        <v>51</v>
      </c>
      <c r="AB103" s="202">
        <v>200000</v>
      </c>
      <c r="AC103" s="202">
        <v>200000</v>
      </c>
    </row>
    <row r="104" spans="1:29" outlineLevel="2" x14ac:dyDescent="0.25">
      <c r="A104" s="201">
        <v>46024</v>
      </c>
      <c r="D104" s="198" t="s">
        <v>54</v>
      </c>
      <c r="E104" s="202">
        <v>4025000</v>
      </c>
      <c r="K104" s="198" t="s">
        <v>1795</v>
      </c>
      <c r="L104" s="198" t="s">
        <v>156</v>
      </c>
      <c r="P104" s="201"/>
      <c r="R104" s="202">
        <v>4025000</v>
      </c>
      <c r="U104" s="198" t="s">
        <v>156</v>
      </c>
      <c r="AA104" s="198" t="s">
        <v>51</v>
      </c>
      <c r="AB104" s="202">
        <v>4025000</v>
      </c>
      <c r="AC104" s="202">
        <v>4025000</v>
      </c>
    </row>
    <row r="105" spans="1:29" outlineLevel="2" x14ac:dyDescent="0.25">
      <c r="A105" s="201">
        <v>46024</v>
      </c>
      <c r="D105" s="198" t="s">
        <v>54</v>
      </c>
      <c r="E105" s="202">
        <v>14500</v>
      </c>
      <c r="K105" s="198" t="s">
        <v>1795</v>
      </c>
      <c r="L105" s="198" t="s">
        <v>156</v>
      </c>
      <c r="P105" s="201"/>
      <c r="R105" s="202">
        <v>14500</v>
      </c>
      <c r="U105" s="198" t="s">
        <v>156</v>
      </c>
      <c r="AA105" s="198" t="s">
        <v>51</v>
      </c>
      <c r="AB105" s="202">
        <v>14500</v>
      </c>
      <c r="AC105" s="202">
        <v>14500</v>
      </c>
    </row>
    <row r="106" spans="1:29" outlineLevel="2" x14ac:dyDescent="0.25">
      <c r="A106" s="201">
        <v>46028</v>
      </c>
      <c r="D106" s="198" t="s">
        <v>54</v>
      </c>
      <c r="E106" s="202">
        <v>1062000</v>
      </c>
      <c r="K106" s="198" t="s">
        <v>1795</v>
      </c>
      <c r="L106" s="198" t="s">
        <v>156</v>
      </c>
      <c r="P106" s="201"/>
      <c r="R106" s="202">
        <v>1062000</v>
      </c>
      <c r="U106" s="198" t="s">
        <v>156</v>
      </c>
      <c r="AA106" s="198" t="s">
        <v>51</v>
      </c>
      <c r="AB106" s="202">
        <v>1062000</v>
      </c>
      <c r="AC106" s="202">
        <v>1062000</v>
      </c>
    </row>
    <row r="107" spans="1:29" outlineLevel="2" x14ac:dyDescent="0.25">
      <c r="A107" s="201">
        <v>46029</v>
      </c>
      <c r="D107" s="198" t="s">
        <v>54</v>
      </c>
      <c r="E107" s="202">
        <v>7940000</v>
      </c>
      <c r="K107" s="198" t="s">
        <v>1795</v>
      </c>
      <c r="L107" s="198" t="s">
        <v>156</v>
      </c>
      <c r="P107" s="201"/>
      <c r="R107" s="202">
        <v>7940000</v>
      </c>
      <c r="U107" s="198" t="s">
        <v>156</v>
      </c>
      <c r="AA107" s="198" t="s">
        <v>51</v>
      </c>
      <c r="AB107" s="202">
        <v>7940000</v>
      </c>
      <c r="AC107" s="202">
        <v>7940000</v>
      </c>
    </row>
    <row r="108" spans="1:29" outlineLevel="2" x14ac:dyDescent="0.25">
      <c r="A108" s="201">
        <v>46030</v>
      </c>
      <c r="D108" s="198" t="s">
        <v>54</v>
      </c>
      <c r="E108" s="202">
        <v>4684999</v>
      </c>
      <c r="K108" s="198" t="s">
        <v>1795</v>
      </c>
      <c r="L108" s="198" t="s">
        <v>156</v>
      </c>
      <c r="P108" s="201"/>
      <c r="R108" s="202">
        <v>4684999</v>
      </c>
      <c r="U108" s="198" t="s">
        <v>156</v>
      </c>
      <c r="AA108" s="198" t="s">
        <v>51</v>
      </c>
      <c r="AB108" s="202">
        <v>4684999</v>
      </c>
      <c r="AC108" s="202">
        <v>4684999</v>
      </c>
    </row>
    <row r="109" spans="1:29" outlineLevel="2" x14ac:dyDescent="0.25">
      <c r="A109" s="201">
        <v>46031</v>
      </c>
      <c r="D109" s="198" t="s">
        <v>54</v>
      </c>
      <c r="E109" s="202">
        <v>2124000</v>
      </c>
      <c r="K109" s="198" t="s">
        <v>1795</v>
      </c>
      <c r="L109" s="198" t="s">
        <v>156</v>
      </c>
      <c r="P109" s="201"/>
      <c r="R109" s="202">
        <v>2124000</v>
      </c>
      <c r="U109" s="198" t="s">
        <v>156</v>
      </c>
      <c r="AA109" s="198" t="s">
        <v>51</v>
      </c>
      <c r="AB109" s="202">
        <v>2124000</v>
      </c>
      <c r="AC109" s="202">
        <v>2124000</v>
      </c>
    </row>
    <row r="110" spans="1:29" outlineLevel="2" x14ac:dyDescent="0.25">
      <c r="A110" s="201">
        <v>46045</v>
      </c>
      <c r="D110" s="198" t="s">
        <v>54</v>
      </c>
      <c r="E110" s="202">
        <v>100000</v>
      </c>
      <c r="K110" s="198" t="s">
        <v>1795</v>
      </c>
      <c r="L110" s="198" t="s">
        <v>156</v>
      </c>
      <c r="P110" s="201"/>
      <c r="R110" s="202">
        <v>100000</v>
      </c>
      <c r="U110" s="198" t="s">
        <v>156</v>
      </c>
      <c r="AA110" s="198" t="s">
        <v>51</v>
      </c>
      <c r="AB110" s="202">
        <v>100000</v>
      </c>
      <c r="AC110" s="202">
        <v>100000</v>
      </c>
    </row>
    <row r="111" spans="1:29" outlineLevel="2" x14ac:dyDescent="0.25">
      <c r="A111" s="201">
        <v>46057</v>
      </c>
      <c r="D111" s="198" t="s">
        <v>54</v>
      </c>
      <c r="E111" s="202">
        <v>191160</v>
      </c>
      <c r="K111" s="198" t="s">
        <v>1795</v>
      </c>
      <c r="L111" s="198" t="s">
        <v>156</v>
      </c>
      <c r="P111" s="201"/>
      <c r="R111" s="202">
        <v>191160</v>
      </c>
      <c r="U111" s="198" t="s">
        <v>156</v>
      </c>
      <c r="AA111" s="198" t="s">
        <v>51</v>
      </c>
      <c r="AB111" s="202">
        <v>191160</v>
      </c>
      <c r="AC111" s="202">
        <v>191160</v>
      </c>
    </row>
    <row r="112" spans="1:29" outlineLevel="2" x14ac:dyDescent="0.25">
      <c r="A112" s="201">
        <v>46058</v>
      </c>
      <c r="D112" s="198" t="s">
        <v>54</v>
      </c>
      <c r="E112" s="202">
        <v>408000</v>
      </c>
      <c r="K112" s="198" t="s">
        <v>1795</v>
      </c>
      <c r="L112" s="198" t="s">
        <v>156</v>
      </c>
      <c r="P112" s="201"/>
      <c r="R112" s="202">
        <v>408000</v>
      </c>
      <c r="U112" s="198" t="s">
        <v>156</v>
      </c>
      <c r="AA112" s="198" t="s">
        <v>51</v>
      </c>
      <c r="AB112" s="202">
        <v>408000</v>
      </c>
      <c r="AC112" s="202">
        <v>408000</v>
      </c>
    </row>
    <row r="113" spans="1:29" outlineLevel="2" x14ac:dyDescent="0.25">
      <c r="A113" s="201">
        <v>46058</v>
      </c>
      <c r="D113" s="198" t="s">
        <v>54</v>
      </c>
      <c r="E113" s="202">
        <v>490560</v>
      </c>
      <c r="K113" s="198" t="s">
        <v>1795</v>
      </c>
      <c r="L113" s="198" t="s">
        <v>156</v>
      </c>
      <c r="P113" s="201"/>
      <c r="R113" s="202">
        <v>490560</v>
      </c>
      <c r="U113" s="198" t="s">
        <v>156</v>
      </c>
      <c r="AA113" s="198" t="s">
        <v>51</v>
      </c>
      <c r="AB113" s="202">
        <v>490560</v>
      </c>
      <c r="AC113" s="202">
        <v>490560</v>
      </c>
    </row>
    <row r="114" spans="1:29" outlineLevel="2" x14ac:dyDescent="0.25">
      <c r="A114" s="201">
        <v>46059</v>
      </c>
      <c r="D114" s="198" t="s">
        <v>54</v>
      </c>
      <c r="E114" s="202">
        <v>532000</v>
      </c>
      <c r="K114" s="198" t="s">
        <v>1795</v>
      </c>
      <c r="L114" s="198" t="s">
        <v>156</v>
      </c>
      <c r="P114" s="201"/>
      <c r="R114" s="202">
        <v>532000</v>
      </c>
      <c r="U114" s="198" t="s">
        <v>156</v>
      </c>
      <c r="AA114" s="198" t="s">
        <v>51</v>
      </c>
      <c r="AB114" s="202">
        <v>532000</v>
      </c>
      <c r="AC114" s="202">
        <v>532000</v>
      </c>
    </row>
    <row r="115" spans="1:29" outlineLevel="2" x14ac:dyDescent="0.25">
      <c r="A115" s="201">
        <v>46060</v>
      </c>
      <c r="D115" s="198" t="s">
        <v>54</v>
      </c>
      <c r="E115" s="202">
        <v>13451017</v>
      </c>
      <c r="K115" s="198" t="s">
        <v>1795</v>
      </c>
      <c r="L115" s="198" t="s">
        <v>156</v>
      </c>
      <c r="P115" s="201"/>
      <c r="R115" s="202">
        <v>13451017</v>
      </c>
      <c r="U115" s="198" t="s">
        <v>156</v>
      </c>
      <c r="AA115" s="198" t="s">
        <v>51</v>
      </c>
      <c r="AB115" s="202">
        <v>13451017</v>
      </c>
      <c r="AC115" s="202">
        <v>13451017</v>
      </c>
    </row>
    <row r="116" spans="1:29" outlineLevel="2" x14ac:dyDescent="0.25">
      <c r="A116" s="201">
        <v>46064</v>
      </c>
      <c r="D116" s="198" t="s">
        <v>54</v>
      </c>
      <c r="E116" s="202">
        <v>375000</v>
      </c>
      <c r="K116" s="198" t="s">
        <v>1795</v>
      </c>
      <c r="L116" s="198" t="s">
        <v>156</v>
      </c>
      <c r="P116" s="201"/>
      <c r="R116" s="202">
        <v>375000</v>
      </c>
      <c r="U116" s="198" t="s">
        <v>156</v>
      </c>
      <c r="AA116" s="198" t="s">
        <v>51</v>
      </c>
      <c r="AB116" s="202">
        <v>375000</v>
      </c>
      <c r="AC116" s="202">
        <v>375000</v>
      </c>
    </row>
    <row r="117" spans="1:29" outlineLevel="2" x14ac:dyDescent="0.25">
      <c r="A117" s="201">
        <v>46064</v>
      </c>
      <c r="D117" s="198" t="s">
        <v>54</v>
      </c>
      <c r="E117" s="202">
        <v>-375000</v>
      </c>
      <c r="K117" s="198" t="s">
        <v>1795</v>
      </c>
      <c r="L117" s="198" t="s">
        <v>156</v>
      </c>
      <c r="P117" s="201"/>
      <c r="R117" s="202">
        <v>-375000</v>
      </c>
      <c r="U117" s="198" t="s">
        <v>156</v>
      </c>
      <c r="AA117" s="198" t="s">
        <v>51</v>
      </c>
      <c r="AB117" s="202">
        <v>-375000</v>
      </c>
      <c r="AC117" s="202">
        <v>-375000</v>
      </c>
    </row>
    <row r="118" spans="1:29" outlineLevel="2" x14ac:dyDescent="0.25">
      <c r="A118" s="201">
        <v>46066</v>
      </c>
      <c r="D118" s="198" t="s">
        <v>54</v>
      </c>
      <c r="E118" s="202">
        <v>1483050847</v>
      </c>
      <c r="K118" s="198" t="s">
        <v>1795</v>
      </c>
      <c r="L118" s="198" t="s">
        <v>156</v>
      </c>
      <c r="P118" s="201"/>
      <c r="R118" s="202">
        <v>1483050847</v>
      </c>
      <c r="U118" s="198" t="s">
        <v>156</v>
      </c>
      <c r="AA118" s="198" t="s">
        <v>51</v>
      </c>
      <c r="AB118" s="202">
        <v>1483050847</v>
      </c>
      <c r="AC118" s="202">
        <v>1483050847</v>
      </c>
    </row>
    <row r="119" spans="1:29" outlineLevel="2" x14ac:dyDescent="0.25">
      <c r="A119" s="201">
        <v>46067</v>
      </c>
      <c r="D119" s="198" t="s">
        <v>54</v>
      </c>
      <c r="E119" s="202">
        <v>88300.800000000003</v>
      </c>
      <c r="K119" s="198" t="s">
        <v>1795</v>
      </c>
      <c r="L119" s="198" t="s">
        <v>156</v>
      </c>
      <c r="P119" s="201"/>
      <c r="R119" s="202">
        <v>88300.800000000003</v>
      </c>
      <c r="U119" s="198" t="s">
        <v>156</v>
      </c>
      <c r="AA119" s="198" t="s">
        <v>51</v>
      </c>
      <c r="AB119" s="202">
        <v>88300.800000000003</v>
      </c>
      <c r="AC119" s="202">
        <v>88300.800000000003</v>
      </c>
    </row>
    <row r="120" spans="1:29" outlineLevel="2" x14ac:dyDescent="0.25">
      <c r="A120" s="201">
        <v>46070</v>
      </c>
      <c r="D120" s="198" t="s">
        <v>54</v>
      </c>
      <c r="E120" s="202">
        <v>32137.599999999999</v>
      </c>
      <c r="K120" s="198" t="s">
        <v>1795</v>
      </c>
      <c r="L120" s="198" t="s">
        <v>156</v>
      </c>
      <c r="P120" s="201"/>
      <c r="R120" s="202">
        <v>32137.599999999999</v>
      </c>
      <c r="U120" s="198" t="s">
        <v>156</v>
      </c>
      <c r="AA120" s="198" t="s">
        <v>51</v>
      </c>
      <c r="AB120" s="202">
        <v>32137.599999999999</v>
      </c>
      <c r="AC120" s="202">
        <v>32137.599999999999</v>
      </c>
    </row>
    <row r="121" spans="1:29" outlineLevel="2" x14ac:dyDescent="0.25">
      <c r="A121" s="201">
        <v>46071</v>
      </c>
      <c r="D121" s="198" t="s">
        <v>54</v>
      </c>
      <c r="E121" s="202">
        <v>73458.740000000005</v>
      </c>
      <c r="K121" s="198" t="s">
        <v>1795</v>
      </c>
      <c r="L121" s="198" t="s">
        <v>156</v>
      </c>
      <c r="P121" s="201"/>
      <c r="R121" s="202">
        <v>73458.740000000005</v>
      </c>
      <c r="U121" s="198" t="s">
        <v>156</v>
      </c>
      <c r="AA121" s="198" t="s">
        <v>51</v>
      </c>
      <c r="AB121" s="202">
        <v>73458.740000000005</v>
      </c>
      <c r="AC121" s="202">
        <v>73458.740000000005</v>
      </c>
    </row>
    <row r="122" spans="1:29" outlineLevel="2" x14ac:dyDescent="0.25">
      <c r="A122" s="201">
        <v>46071</v>
      </c>
      <c r="D122" s="198" t="s">
        <v>54</v>
      </c>
      <c r="E122" s="202">
        <v>-73458.740000000005</v>
      </c>
      <c r="K122" s="198" t="s">
        <v>1795</v>
      </c>
      <c r="L122" s="198" t="s">
        <v>156</v>
      </c>
      <c r="P122" s="201"/>
      <c r="R122" s="202">
        <v>-73458.740000000005</v>
      </c>
      <c r="U122" s="198" t="s">
        <v>156</v>
      </c>
      <c r="AA122" s="198" t="s">
        <v>51</v>
      </c>
      <c r="AB122" s="202">
        <v>-73458.740000000005</v>
      </c>
      <c r="AC122" s="202">
        <v>-73458.740000000005</v>
      </c>
    </row>
    <row r="123" spans="1:29" outlineLevel="2" x14ac:dyDescent="0.25">
      <c r="A123" s="201">
        <v>46078</v>
      </c>
      <c r="D123" s="198" t="s">
        <v>54</v>
      </c>
      <c r="E123" s="202">
        <v>602649.19999999995</v>
      </c>
      <c r="K123" s="198" t="s">
        <v>1795</v>
      </c>
      <c r="L123" s="198" t="s">
        <v>156</v>
      </c>
      <c r="P123" s="201"/>
      <c r="R123" s="202">
        <v>602649.19999999995</v>
      </c>
      <c r="U123" s="198" t="s">
        <v>156</v>
      </c>
      <c r="AA123" s="198" t="s">
        <v>51</v>
      </c>
      <c r="AB123" s="202">
        <v>602649.19999999995</v>
      </c>
      <c r="AC123" s="202">
        <v>602649.19999999995</v>
      </c>
    </row>
    <row r="124" spans="1:29" outlineLevel="2" x14ac:dyDescent="0.25">
      <c r="A124" s="201">
        <v>46098</v>
      </c>
      <c r="D124" s="198" t="s">
        <v>54</v>
      </c>
      <c r="E124" s="202">
        <v>1045984</v>
      </c>
      <c r="K124" s="198" t="s">
        <v>1795</v>
      </c>
      <c r="L124" s="198" t="s">
        <v>156</v>
      </c>
      <c r="P124" s="201"/>
      <c r="R124" s="202">
        <v>1045984</v>
      </c>
      <c r="U124" s="198" t="s">
        <v>156</v>
      </c>
      <c r="AA124" s="198" t="s">
        <v>51</v>
      </c>
      <c r="AB124" s="202">
        <v>1045984</v>
      </c>
      <c r="AC124" s="202">
        <v>1045984</v>
      </c>
    </row>
    <row r="125" spans="1:29" outlineLevel="2" x14ac:dyDescent="0.25">
      <c r="A125" s="201">
        <v>46104</v>
      </c>
      <c r="D125" s="198" t="s">
        <v>54</v>
      </c>
      <c r="E125" s="202">
        <v>1073500000</v>
      </c>
      <c r="K125" s="198" t="s">
        <v>1795</v>
      </c>
      <c r="L125" s="198" t="s">
        <v>156</v>
      </c>
      <c r="P125" s="201"/>
      <c r="R125" s="202">
        <v>1073500000</v>
      </c>
      <c r="U125" s="198" t="s">
        <v>156</v>
      </c>
      <c r="AA125" s="198" t="s">
        <v>51</v>
      </c>
      <c r="AB125" s="202">
        <v>1073500000</v>
      </c>
      <c r="AC125" s="202">
        <v>1073500000</v>
      </c>
    </row>
    <row r="126" spans="1:29" outlineLevel="2" x14ac:dyDescent="0.25">
      <c r="A126" s="201">
        <v>46104</v>
      </c>
      <c r="D126" s="198" t="s">
        <v>54</v>
      </c>
      <c r="E126" s="202">
        <v>84750000</v>
      </c>
      <c r="K126" s="198" t="s">
        <v>1795</v>
      </c>
      <c r="L126" s="198" t="s">
        <v>156</v>
      </c>
      <c r="P126" s="201"/>
      <c r="R126" s="202">
        <v>84750000</v>
      </c>
      <c r="U126" s="198" t="s">
        <v>156</v>
      </c>
      <c r="AA126" s="198" t="s">
        <v>51</v>
      </c>
      <c r="AB126" s="202">
        <v>84750000</v>
      </c>
      <c r="AC126" s="202">
        <v>84750000</v>
      </c>
    </row>
    <row r="127" spans="1:29" outlineLevel="2" x14ac:dyDescent="0.25">
      <c r="A127" s="201">
        <v>46108</v>
      </c>
      <c r="D127" s="198" t="s">
        <v>54</v>
      </c>
      <c r="E127" s="202">
        <v>18352.400000000001</v>
      </c>
      <c r="K127" s="198" t="s">
        <v>1795</v>
      </c>
      <c r="L127" s="198" t="s">
        <v>156</v>
      </c>
      <c r="P127" s="201"/>
      <c r="R127" s="202">
        <v>18352.400000000001</v>
      </c>
      <c r="U127" s="198" t="s">
        <v>156</v>
      </c>
      <c r="AA127" s="198" t="s">
        <v>51</v>
      </c>
      <c r="AB127" s="202">
        <v>18352.400000000001</v>
      </c>
      <c r="AC127" s="202">
        <v>18352.400000000001</v>
      </c>
    </row>
    <row r="128" spans="1:29" outlineLevel="2" x14ac:dyDescent="0.25">
      <c r="A128" s="201">
        <v>46115</v>
      </c>
      <c r="D128" s="198" t="s">
        <v>54</v>
      </c>
      <c r="E128" s="202">
        <v>4380260</v>
      </c>
      <c r="K128" s="198" t="s">
        <v>1795</v>
      </c>
      <c r="L128" s="198" t="s">
        <v>156</v>
      </c>
      <c r="P128" s="201"/>
      <c r="R128" s="202">
        <v>4380260</v>
      </c>
      <c r="U128" s="198" t="s">
        <v>156</v>
      </c>
      <c r="AA128" s="198" t="s">
        <v>51</v>
      </c>
      <c r="AB128" s="202">
        <v>4380260</v>
      </c>
      <c r="AC128" s="202">
        <v>4380260</v>
      </c>
    </row>
    <row r="129" spans="1:29" outlineLevel="2" x14ac:dyDescent="0.25">
      <c r="A129" s="201">
        <v>46116</v>
      </c>
      <c r="D129" s="198" t="s">
        <v>54</v>
      </c>
      <c r="E129" s="202">
        <v>403000</v>
      </c>
      <c r="K129" s="198" t="s">
        <v>1795</v>
      </c>
      <c r="L129" s="198" t="s">
        <v>156</v>
      </c>
      <c r="P129" s="201"/>
      <c r="R129" s="202">
        <v>403000</v>
      </c>
      <c r="U129" s="198" t="s">
        <v>156</v>
      </c>
      <c r="AA129" s="198" t="s">
        <v>51</v>
      </c>
      <c r="AB129" s="202">
        <v>403000</v>
      </c>
      <c r="AC129" s="202">
        <v>403000</v>
      </c>
    </row>
    <row r="130" spans="1:29" outlineLevel="2" x14ac:dyDescent="0.25">
      <c r="A130" s="201">
        <v>46122</v>
      </c>
      <c r="D130" s="198" t="s">
        <v>54</v>
      </c>
      <c r="E130" s="202">
        <v>311030</v>
      </c>
      <c r="K130" s="198" t="s">
        <v>1795</v>
      </c>
      <c r="L130" s="198" t="s">
        <v>156</v>
      </c>
      <c r="P130" s="201"/>
      <c r="R130" s="202">
        <v>311030</v>
      </c>
      <c r="U130" s="198" t="s">
        <v>156</v>
      </c>
      <c r="AA130" s="198" t="s">
        <v>51</v>
      </c>
      <c r="AB130" s="202">
        <v>311030</v>
      </c>
      <c r="AC130" s="202">
        <v>311030</v>
      </c>
    </row>
    <row r="131" spans="1:29" outlineLevel="2" x14ac:dyDescent="0.25">
      <c r="A131" s="201">
        <v>46123</v>
      </c>
      <c r="D131" s="198" t="s">
        <v>54</v>
      </c>
      <c r="E131" s="202">
        <v>35219</v>
      </c>
      <c r="K131" s="198" t="s">
        <v>1795</v>
      </c>
      <c r="L131" s="198" t="s">
        <v>156</v>
      </c>
      <c r="P131" s="201"/>
      <c r="R131" s="202">
        <v>35219</v>
      </c>
      <c r="U131" s="198" t="s">
        <v>156</v>
      </c>
      <c r="AA131" s="198" t="s">
        <v>51</v>
      </c>
      <c r="AB131" s="202">
        <v>35219</v>
      </c>
      <c r="AC131" s="202">
        <v>35219</v>
      </c>
    </row>
    <row r="132" spans="1:29" outlineLevel="2" x14ac:dyDescent="0.25">
      <c r="A132" s="201">
        <v>46134</v>
      </c>
      <c r="D132" s="198" t="s">
        <v>54</v>
      </c>
      <c r="E132" s="202">
        <v>1293100</v>
      </c>
      <c r="K132" s="198" t="s">
        <v>1795</v>
      </c>
      <c r="L132" s="198" t="s">
        <v>156</v>
      </c>
      <c r="P132" s="201"/>
      <c r="R132" s="202">
        <v>1293100</v>
      </c>
      <c r="U132" s="198" t="s">
        <v>156</v>
      </c>
      <c r="AA132" s="198" t="s">
        <v>51</v>
      </c>
      <c r="AB132" s="202">
        <v>1293100</v>
      </c>
      <c r="AC132" s="202">
        <v>1293100</v>
      </c>
    </row>
    <row r="133" spans="1:29" outlineLevel="2" x14ac:dyDescent="0.25">
      <c r="A133" s="201">
        <v>46134</v>
      </c>
      <c r="D133" s="198" t="s">
        <v>54</v>
      </c>
      <c r="E133" s="202">
        <v>704008</v>
      </c>
      <c r="K133" s="198" t="s">
        <v>1795</v>
      </c>
      <c r="L133" s="198" t="s">
        <v>156</v>
      </c>
      <c r="P133" s="201"/>
      <c r="R133" s="202">
        <v>704008</v>
      </c>
      <c r="U133" s="198" t="s">
        <v>156</v>
      </c>
      <c r="AA133" s="198" t="s">
        <v>51</v>
      </c>
      <c r="AB133" s="202">
        <v>704008</v>
      </c>
      <c r="AC133" s="202">
        <v>704008</v>
      </c>
    </row>
    <row r="134" spans="1:29" outlineLevel="2" x14ac:dyDescent="0.25">
      <c r="A134" s="201">
        <v>46150</v>
      </c>
      <c r="D134" s="198" t="s">
        <v>54</v>
      </c>
      <c r="E134" s="202">
        <v>10000</v>
      </c>
      <c r="K134" s="198" t="s">
        <v>1795</v>
      </c>
      <c r="L134" s="198" t="s">
        <v>156</v>
      </c>
      <c r="P134" s="201"/>
      <c r="R134" s="202">
        <v>10000</v>
      </c>
      <c r="U134" s="198" t="s">
        <v>156</v>
      </c>
      <c r="AA134" s="198" t="s">
        <v>51</v>
      </c>
      <c r="AB134" s="202">
        <v>10000</v>
      </c>
      <c r="AC134" s="202">
        <v>10000</v>
      </c>
    </row>
    <row r="135" spans="1:29" outlineLevel="2" x14ac:dyDescent="0.25">
      <c r="A135" s="201">
        <v>46157</v>
      </c>
      <c r="D135" s="198" t="s">
        <v>54</v>
      </c>
      <c r="E135" s="202">
        <v>1600000</v>
      </c>
      <c r="K135" s="198" t="s">
        <v>1795</v>
      </c>
      <c r="L135" s="198" t="s">
        <v>156</v>
      </c>
      <c r="P135" s="201"/>
      <c r="R135" s="202">
        <v>1600000</v>
      </c>
      <c r="U135" s="198" t="s">
        <v>156</v>
      </c>
      <c r="AA135" s="198" t="s">
        <v>51</v>
      </c>
      <c r="AB135" s="202">
        <v>1600000</v>
      </c>
      <c r="AC135" s="202">
        <v>1600000</v>
      </c>
    </row>
    <row r="136" spans="1:29" outlineLevel="1" x14ac:dyDescent="0.25">
      <c r="A136" s="210"/>
      <c r="B136" s="209"/>
      <c r="C136" s="209"/>
      <c r="D136" s="209" t="s">
        <v>54</v>
      </c>
      <c r="E136" s="211">
        <v>2702397124</v>
      </c>
      <c r="F136" s="209"/>
      <c r="G136" s="209"/>
      <c r="H136" s="209"/>
      <c r="I136" s="209"/>
      <c r="J136" s="209"/>
      <c r="K136" s="209" t="s">
        <v>54</v>
      </c>
      <c r="L136" s="209" t="s">
        <v>54</v>
      </c>
      <c r="M136" s="209"/>
      <c r="N136" s="209"/>
      <c r="O136" s="209"/>
      <c r="P136" s="210"/>
      <c r="Q136" s="209"/>
      <c r="R136" s="212"/>
      <c r="S136" s="209"/>
      <c r="T136" s="209"/>
      <c r="U136" s="209" t="s">
        <v>54</v>
      </c>
      <c r="V136" s="209"/>
      <c r="W136" s="209"/>
      <c r="X136" s="209"/>
      <c r="Y136" s="209"/>
      <c r="Z136" s="209"/>
      <c r="AA136" s="209" t="s">
        <v>54</v>
      </c>
      <c r="AB136" s="212"/>
      <c r="AC136" s="212"/>
    </row>
    <row r="137" spans="1:29" outlineLevel="2" x14ac:dyDescent="0.25">
      <c r="A137" s="201">
        <v>46018</v>
      </c>
      <c r="D137" s="198" t="s">
        <v>54</v>
      </c>
      <c r="E137" s="202">
        <v>14550000</v>
      </c>
      <c r="K137" s="198" t="s">
        <v>1796</v>
      </c>
      <c r="L137" s="198" t="s">
        <v>156</v>
      </c>
      <c r="P137" s="201"/>
      <c r="R137" s="202">
        <v>14550000</v>
      </c>
      <c r="U137" s="198" t="s">
        <v>891</v>
      </c>
      <c r="AA137" s="198" t="s">
        <v>51</v>
      </c>
      <c r="AB137" s="202">
        <v>14550000</v>
      </c>
      <c r="AC137" s="202">
        <v>14550000</v>
      </c>
    </row>
    <row r="138" spans="1:29" outlineLevel="2" x14ac:dyDescent="0.25">
      <c r="A138" s="201">
        <v>46021</v>
      </c>
      <c r="D138" s="198" t="s">
        <v>54</v>
      </c>
      <c r="E138" s="202">
        <v>190000</v>
      </c>
      <c r="K138" s="198" t="s">
        <v>1796</v>
      </c>
      <c r="L138" s="198" t="s">
        <v>156</v>
      </c>
      <c r="P138" s="201"/>
      <c r="R138" s="202">
        <v>190000</v>
      </c>
      <c r="U138" s="198" t="s">
        <v>891</v>
      </c>
      <c r="AA138" s="198" t="s">
        <v>51</v>
      </c>
      <c r="AB138" s="202">
        <v>190000</v>
      </c>
      <c r="AC138" s="202">
        <v>190000</v>
      </c>
    </row>
    <row r="139" spans="1:29" outlineLevel="2" x14ac:dyDescent="0.25">
      <c r="A139" s="201">
        <v>46022</v>
      </c>
      <c r="D139" s="198" t="s">
        <v>54</v>
      </c>
      <c r="E139" s="202">
        <v>209000</v>
      </c>
      <c r="K139" s="198" t="s">
        <v>1796</v>
      </c>
      <c r="L139" s="198" t="s">
        <v>156</v>
      </c>
      <c r="P139" s="201"/>
      <c r="R139" s="202">
        <v>209000</v>
      </c>
      <c r="U139" s="198" t="s">
        <v>891</v>
      </c>
      <c r="AA139" s="198" t="s">
        <v>51</v>
      </c>
      <c r="AB139" s="202">
        <v>209000</v>
      </c>
      <c r="AC139" s="202">
        <v>209000</v>
      </c>
    </row>
    <row r="140" spans="1:29" outlineLevel="2" x14ac:dyDescent="0.25">
      <c r="A140" s="201">
        <v>46022</v>
      </c>
      <c r="D140" s="198" t="s">
        <v>54</v>
      </c>
      <c r="E140" s="202">
        <v>200000</v>
      </c>
      <c r="K140" s="198" t="s">
        <v>1796</v>
      </c>
      <c r="L140" s="198" t="s">
        <v>156</v>
      </c>
      <c r="P140" s="201"/>
      <c r="R140" s="202">
        <v>200000</v>
      </c>
      <c r="U140" s="198" t="s">
        <v>891</v>
      </c>
      <c r="AA140" s="198" t="s">
        <v>51</v>
      </c>
      <c r="AB140" s="202">
        <v>200000</v>
      </c>
      <c r="AC140" s="202">
        <v>200000</v>
      </c>
    </row>
    <row r="141" spans="1:29" outlineLevel="2" x14ac:dyDescent="0.25">
      <c r="A141" s="201">
        <v>46024</v>
      </c>
      <c r="D141" s="198" t="s">
        <v>54</v>
      </c>
      <c r="E141" s="202">
        <v>4025000</v>
      </c>
      <c r="K141" s="198" t="s">
        <v>1796</v>
      </c>
      <c r="L141" s="198" t="s">
        <v>156</v>
      </c>
      <c r="P141" s="201"/>
      <c r="R141" s="202">
        <v>4025000</v>
      </c>
      <c r="U141" s="198" t="s">
        <v>891</v>
      </c>
      <c r="AA141" s="198" t="s">
        <v>51</v>
      </c>
      <c r="AB141" s="202">
        <v>4025000</v>
      </c>
      <c r="AC141" s="202">
        <v>4025000</v>
      </c>
    </row>
    <row r="142" spans="1:29" outlineLevel="2" x14ac:dyDescent="0.25">
      <c r="A142" s="201">
        <v>46024</v>
      </c>
      <c r="D142" s="198" t="s">
        <v>54</v>
      </c>
      <c r="E142" s="202">
        <v>14500</v>
      </c>
      <c r="K142" s="198" t="s">
        <v>1796</v>
      </c>
      <c r="L142" s="198" t="s">
        <v>156</v>
      </c>
      <c r="P142" s="201"/>
      <c r="R142" s="202">
        <v>14500</v>
      </c>
      <c r="U142" s="198" t="s">
        <v>891</v>
      </c>
      <c r="AA142" s="198" t="s">
        <v>51</v>
      </c>
      <c r="AB142" s="202">
        <v>14500</v>
      </c>
      <c r="AC142" s="202">
        <v>14500</v>
      </c>
    </row>
    <row r="143" spans="1:29" outlineLevel="2" x14ac:dyDescent="0.25">
      <c r="A143" s="201">
        <v>46029</v>
      </c>
      <c r="D143" s="198" t="s">
        <v>54</v>
      </c>
      <c r="E143" s="202">
        <v>7940000</v>
      </c>
      <c r="K143" s="198" t="s">
        <v>1796</v>
      </c>
      <c r="L143" s="198" t="s">
        <v>156</v>
      </c>
      <c r="P143" s="201"/>
      <c r="R143" s="202">
        <v>7940000</v>
      </c>
      <c r="U143" s="198" t="s">
        <v>891</v>
      </c>
      <c r="AA143" s="198" t="s">
        <v>51</v>
      </c>
      <c r="AB143" s="202">
        <v>7940000</v>
      </c>
      <c r="AC143" s="202">
        <v>7940000</v>
      </c>
    </row>
    <row r="144" spans="1:29" outlineLevel="2" x14ac:dyDescent="0.25">
      <c r="A144" s="201">
        <v>46030</v>
      </c>
      <c r="D144" s="198" t="s">
        <v>54</v>
      </c>
      <c r="E144" s="202">
        <v>4684999</v>
      </c>
      <c r="K144" s="198" t="s">
        <v>1796</v>
      </c>
      <c r="L144" s="198" t="s">
        <v>156</v>
      </c>
      <c r="P144" s="201"/>
      <c r="R144" s="202">
        <v>4684999</v>
      </c>
      <c r="U144" s="198" t="s">
        <v>891</v>
      </c>
      <c r="AA144" s="198" t="s">
        <v>51</v>
      </c>
      <c r="AB144" s="202">
        <v>4684999</v>
      </c>
      <c r="AC144" s="202">
        <v>4684999</v>
      </c>
    </row>
    <row r="145" spans="1:29" outlineLevel="1" x14ac:dyDescent="0.25">
      <c r="A145" s="210"/>
      <c r="B145" s="209"/>
      <c r="C145" s="209"/>
      <c r="D145" s="209" t="s">
        <v>54</v>
      </c>
      <c r="E145" s="211">
        <v>31813499</v>
      </c>
      <c r="F145" s="209"/>
      <c r="G145" s="209"/>
      <c r="H145" s="209"/>
      <c r="I145" s="209"/>
      <c r="J145" s="209"/>
      <c r="K145" s="209" t="s">
        <v>54</v>
      </c>
      <c r="L145" s="209" t="s">
        <v>54</v>
      </c>
      <c r="M145" s="209"/>
      <c r="N145" s="209"/>
      <c r="O145" s="209"/>
      <c r="P145" s="210"/>
      <c r="Q145" s="209"/>
      <c r="R145" s="212"/>
      <c r="S145" s="209"/>
      <c r="T145" s="209"/>
      <c r="U145" s="209" t="s">
        <v>54</v>
      </c>
      <c r="V145" s="209"/>
      <c r="W145" s="209"/>
      <c r="X145" s="209"/>
      <c r="Y145" s="209"/>
      <c r="Z145" s="209"/>
      <c r="AA145" s="209" t="s">
        <v>54</v>
      </c>
      <c r="AB145" s="212"/>
      <c r="AC145" s="212"/>
    </row>
    <row r="146" spans="1:29" outlineLevel="2" x14ac:dyDescent="0.25">
      <c r="A146" s="201">
        <v>46018</v>
      </c>
      <c r="D146" s="198" t="s">
        <v>54</v>
      </c>
      <c r="E146" s="202">
        <v>8600000</v>
      </c>
      <c r="K146" s="198" t="s">
        <v>1797</v>
      </c>
      <c r="L146" s="198" t="s">
        <v>156</v>
      </c>
      <c r="P146" s="201"/>
      <c r="R146" s="202">
        <v>8600000</v>
      </c>
      <c r="U146" s="198" t="s">
        <v>194</v>
      </c>
      <c r="AA146" s="198" t="s">
        <v>51</v>
      </c>
      <c r="AB146" s="202">
        <v>8600000</v>
      </c>
      <c r="AC146" s="202">
        <v>8600000</v>
      </c>
    </row>
    <row r="147" spans="1:29" outlineLevel="2" x14ac:dyDescent="0.25">
      <c r="A147" s="201">
        <v>46024</v>
      </c>
      <c r="D147" s="198" t="s">
        <v>54</v>
      </c>
      <c r="E147" s="202">
        <v>4025000</v>
      </c>
      <c r="K147" s="198" t="s">
        <v>1797</v>
      </c>
      <c r="L147" s="198" t="s">
        <v>156</v>
      </c>
      <c r="P147" s="201"/>
      <c r="R147" s="202">
        <v>4025000</v>
      </c>
      <c r="U147" s="198" t="s">
        <v>194</v>
      </c>
      <c r="AA147" s="198" t="s">
        <v>51</v>
      </c>
      <c r="AB147" s="202">
        <v>4025000</v>
      </c>
      <c r="AC147" s="202">
        <v>4025000</v>
      </c>
    </row>
    <row r="148" spans="1:29" outlineLevel="2" x14ac:dyDescent="0.25">
      <c r="A148" s="201">
        <v>46029</v>
      </c>
      <c r="D148" s="198" t="s">
        <v>54</v>
      </c>
      <c r="E148" s="202">
        <v>7940000</v>
      </c>
      <c r="K148" s="198" t="s">
        <v>1797</v>
      </c>
      <c r="L148" s="198" t="s">
        <v>156</v>
      </c>
      <c r="P148" s="201"/>
      <c r="R148" s="202">
        <v>7940000</v>
      </c>
      <c r="U148" s="198" t="s">
        <v>194</v>
      </c>
      <c r="AA148" s="198" t="s">
        <v>51</v>
      </c>
      <c r="AB148" s="202">
        <v>7940000</v>
      </c>
      <c r="AC148" s="202">
        <v>7940000</v>
      </c>
    </row>
    <row r="149" spans="1:29" outlineLevel="2" x14ac:dyDescent="0.25">
      <c r="A149" s="201">
        <v>46030</v>
      </c>
      <c r="D149" s="198" t="s">
        <v>54</v>
      </c>
      <c r="E149" s="202">
        <v>4684999</v>
      </c>
      <c r="K149" s="198" t="s">
        <v>1797</v>
      </c>
      <c r="L149" s="198" t="s">
        <v>156</v>
      </c>
      <c r="P149" s="201"/>
      <c r="R149" s="202">
        <v>4684999</v>
      </c>
      <c r="U149" s="198" t="s">
        <v>194</v>
      </c>
      <c r="AA149" s="198" t="s">
        <v>51</v>
      </c>
      <c r="AB149" s="202">
        <v>4684999</v>
      </c>
      <c r="AC149" s="202">
        <v>4684999</v>
      </c>
    </row>
    <row r="150" spans="1:29" outlineLevel="1" x14ac:dyDescent="0.25">
      <c r="A150" s="210"/>
      <c r="B150" s="209"/>
      <c r="C150" s="209"/>
      <c r="D150" s="209" t="s">
        <v>54</v>
      </c>
      <c r="E150" s="211">
        <v>25249999</v>
      </c>
      <c r="F150" s="209"/>
      <c r="G150" s="209"/>
      <c r="H150" s="209"/>
      <c r="I150" s="209"/>
      <c r="J150" s="209"/>
      <c r="K150" s="209" t="s">
        <v>54</v>
      </c>
      <c r="L150" s="209" t="s">
        <v>54</v>
      </c>
      <c r="M150" s="209"/>
      <c r="N150" s="209"/>
      <c r="O150" s="209"/>
      <c r="P150" s="210"/>
      <c r="Q150" s="209"/>
      <c r="R150" s="212"/>
      <c r="S150" s="209"/>
      <c r="T150" s="209"/>
      <c r="U150" s="209" t="s">
        <v>54</v>
      </c>
      <c r="V150" s="209"/>
      <c r="W150" s="209"/>
      <c r="X150" s="209"/>
      <c r="Y150" s="209"/>
      <c r="Z150" s="209"/>
      <c r="AA150" s="209" t="s">
        <v>54</v>
      </c>
      <c r="AB150" s="212"/>
      <c r="AC150" s="212"/>
    </row>
    <row r="151" spans="1:29" outlineLevel="2" x14ac:dyDescent="0.25">
      <c r="A151" s="201">
        <v>46018</v>
      </c>
      <c r="D151" s="198" t="s">
        <v>54</v>
      </c>
      <c r="E151" s="202">
        <v>5950000</v>
      </c>
      <c r="K151" s="198" t="s">
        <v>1798</v>
      </c>
      <c r="L151" s="198" t="s">
        <v>156</v>
      </c>
      <c r="P151" s="201"/>
      <c r="R151" s="202">
        <v>5950000</v>
      </c>
      <c r="U151" s="198" t="s">
        <v>724</v>
      </c>
      <c r="AA151" s="198" t="s">
        <v>51</v>
      </c>
      <c r="AB151" s="202">
        <v>5950000</v>
      </c>
      <c r="AC151" s="202">
        <v>5950000</v>
      </c>
    </row>
    <row r="152" spans="1:29" outlineLevel="1" x14ac:dyDescent="0.25">
      <c r="A152" s="210"/>
      <c r="B152" s="209"/>
      <c r="C152" s="209"/>
      <c r="D152" s="209" t="s">
        <v>54</v>
      </c>
      <c r="E152" s="211">
        <v>5950000</v>
      </c>
      <c r="F152" s="209"/>
      <c r="G152" s="209"/>
      <c r="H152" s="209"/>
      <c r="I152" s="209"/>
      <c r="J152" s="209"/>
      <c r="K152" s="209" t="s">
        <v>54</v>
      </c>
      <c r="L152" s="209" t="s">
        <v>54</v>
      </c>
      <c r="M152" s="209"/>
      <c r="N152" s="209"/>
      <c r="O152" s="209"/>
      <c r="P152" s="210"/>
      <c r="Q152" s="209"/>
      <c r="R152" s="212"/>
      <c r="S152" s="209"/>
      <c r="T152" s="209"/>
      <c r="U152" s="209" t="s">
        <v>54</v>
      </c>
      <c r="V152" s="209"/>
      <c r="W152" s="209"/>
      <c r="X152" s="209"/>
      <c r="Y152" s="209"/>
      <c r="Z152" s="209"/>
      <c r="AA152" s="209" t="s">
        <v>54</v>
      </c>
      <c r="AB152" s="212"/>
      <c r="AC152" s="212"/>
    </row>
    <row r="153" spans="1:29" outlineLevel="2" x14ac:dyDescent="0.25">
      <c r="A153" s="201">
        <v>46021</v>
      </c>
      <c r="D153" s="198" t="s">
        <v>54</v>
      </c>
      <c r="E153" s="202">
        <v>190000</v>
      </c>
      <c r="K153" s="198" t="s">
        <v>1799</v>
      </c>
      <c r="L153" s="198" t="s">
        <v>156</v>
      </c>
      <c r="P153" s="201"/>
      <c r="R153" s="202">
        <v>190000</v>
      </c>
      <c r="U153" s="198" t="s">
        <v>679</v>
      </c>
      <c r="AA153" s="198" t="s">
        <v>51</v>
      </c>
      <c r="AB153" s="202">
        <v>190000</v>
      </c>
      <c r="AC153" s="202">
        <v>190000</v>
      </c>
    </row>
    <row r="154" spans="1:29" outlineLevel="2" x14ac:dyDescent="0.25">
      <c r="A154" s="201">
        <v>46022</v>
      </c>
      <c r="D154" s="198" t="s">
        <v>54</v>
      </c>
      <c r="E154" s="202">
        <v>209000</v>
      </c>
      <c r="K154" s="198" t="s">
        <v>1799</v>
      </c>
      <c r="L154" s="198" t="s">
        <v>156</v>
      </c>
      <c r="P154" s="201"/>
      <c r="R154" s="202">
        <v>209000</v>
      </c>
      <c r="U154" s="198" t="s">
        <v>679</v>
      </c>
      <c r="AA154" s="198" t="s">
        <v>51</v>
      </c>
      <c r="AB154" s="202">
        <v>209000</v>
      </c>
      <c r="AC154" s="202">
        <v>209000</v>
      </c>
    </row>
    <row r="155" spans="1:29" outlineLevel="2" x14ac:dyDescent="0.25">
      <c r="A155" s="201">
        <v>46022</v>
      </c>
      <c r="D155" s="198" t="s">
        <v>54</v>
      </c>
      <c r="E155" s="202">
        <v>200000</v>
      </c>
      <c r="K155" s="198" t="s">
        <v>1799</v>
      </c>
      <c r="L155" s="198" t="s">
        <v>156</v>
      </c>
      <c r="P155" s="201"/>
      <c r="R155" s="202">
        <v>200000</v>
      </c>
      <c r="U155" s="198" t="s">
        <v>679</v>
      </c>
      <c r="AA155" s="198" t="s">
        <v>51</v>
      </c>
      <c r="AB155" s="202">
        <v>200000</v>
      </c>
      <c r="AC155" s="202">
        <v>200000</v>
      </c>
    </row>
    <row r="156" spans="1:29" outlineLevel="2" x14ac:dyDescent="0.25">
      <c r="A156" s="201">
        <v>46024</v>
      </c>
      <c r="D156" s="198" t="s">
        <v>54</v>
      </c>
      <c r="E156" s="202">
        <v>14500</v>
      </c>
      <c r="K156" s="198" t="s">
        <v>1799</v>
      </c>
      <c r="L156" s="198" t="s">
        <v>156</v>
      </c>
      <c r="P156" s="201"/>
      <c r="R156" s="202">
        <v>14500</v>
      </c>
      <c r="U156" s="198" t="s">
        <v>679</v>
      </c>
      <c r="AA156" s="198" t="s">
        <v>51</v>
      </c>
      <c r="AB156" s="202">
        <v>14500</v>
      </c>
      <c r="AC156" s="202">
        <v>14500</v>
      </c>
    </row>
    <row r="157" spans="1:29" outlineLevel="1" x14ac:dyDescent="0.25">
      <c r="A157" s="210"/>
      <c r="B157" s="209"/>
      <c r="C157" s="209"/>
      <c r="D157" s="209" t="s">
        <v>54</v>
      </c>
      <c r="E157" s="211">
        <v>613500</v>
      </c>
      <c r="F157" s="209"/>
      <c r="G157" s="209"/>
      <c r="H157" s="209"/>
      <c r="I157" s="209"/>
      <c r="J157" s="209"/>
      <c r="K157" s="209" t="s">
        <v>54</v>
      </c>
      <c r="L157" s="209" t="s">
        <v>54</v>
      </c>
      <c r="M157" s="209"/>
      <c r="N157" s="209"/>
      <c r="O157" s="209"/>
      <c r="P157" s="210"/>
      <c r="Q157" s="209"/>
      <c r="R157" s="212"/>
      <c r="S157" s="209"/>
      <c r="T157" s="209"/>
      <c r="U157" s="209" t="s">
        <v>54</v>
      </c>
      <c r="V157" s="209"/>
      <c r="W157" s="209"/>
      <c r="X157" s="209"/>
      <c r="Y157" s="209"/>
      <c r="Z157" s="209"/>
      <c r="AA157" s="209" t="s">
        <v>54</v>
      </c>
      <c r="AB157" s="212"/>
      <c r="AC157" s="212"/>
    </row>
    <row r="158" spans="1:29" outlineLevel="2" x14ac:dyDescent="0.25">
      <c r="A158" s="201">
        <v>46045</v>
      </c>
      <c r="D158" s="198" t="s">
        <v>54</v>
      </c>
      <c r="E158" s="202">
        <v>100000</v>
      </c>
      <c r="K158" s="198" t="s">
        <v>1800</v>
      </c>
      <c r="L158" s="198" t="s">
        <v>156</v>
      </c>
      <c r="P158" s="201"/>
      <c r="R158" s="202">
        <v>100000</v>
      </c>
      <c r="U158" s="198" t="s">
        <v>892</v>
      </c>
      <c r="AA158" s="198" t="s">
        <v>51</v>
      </c>
      <c r="AB158" s="202">
        <v>100000</v>
      </c>
      <c r="AC158" s="202">
        <v>100000</v>
      </c>
    </row>
    <row r="159" spans="1:29" outlineLevel="2" x14ac:dyDescent="0.25">
      <c r="A159" s="201">
        <v>46104</v>
      </c>
      <c r="D159" s="198" t="s">
        <v>54</v>
      </c>
      <c r="E159" s="202">
        <v>1073500000</v>
      </c>
      <c r="K159" s="198" t="s">
        <v>1800</v>
      </c>
      <c r="L159" s="198" t="s">
        <v>156</v>
      </c>
      <c r="P159" s="201"/>
      <c r="R159" s="202">
        <v>1073500000</v>
      </c>
      <c r="U159" s="198" t="s">
        <v>892</v>
      </c>
      <c r="AA159" s="198" t="s">
        <v>51</v>
      </c>
      <c r="AB159" s="202">
        <v>1073500000</v>
      </c>
      <c r="AC159" s="202">
        <v>1073500000</v>
      </c>
    </row>
    <row r="160" spans="1:29" outlineLevel="2" x14ac:dyDescent="0.25">
      <c r="A160" s="201">
        <v>46104</v>
      </c>
      <c r="D160" s="198" t="s">
        <v>54</v>
      </c>
      <c r="E160" s="202">
        <v>84750000</v>
      </c>
      <c r="K160" s="198" t="s">
        <v>1800</v>
      </c>
      <c r="L160" s="198" t="s">
        <v>156</v>
      </c>
      <c r="P160" s="201"/>
      <c r="R160" s="202">
        <v>84750000</v>
      </c>
      <c r="U160" s="198" t="s">
        <v>892</v>
      </c>
      <c r="AA160" s="198" t="s">
        <v>51</v>
      </c>
      <c r="AB160" s="202">
        <v>84750000</v>
      </c>
      <c r="AC160" s="202">
        <v>84750000</v>
      </c>
    </row>
    <row r="161" spans="1:29" outlineLevel="1" x14ac:dyDescent="0.25">
      <c r="A161" s="210"/>
      <c r="B161" s="209"/>
      <c r="C161" s="209"/>
      <c r="D161" s="209" t="s">
        <v>54</v>
      </c>
      <c r="E161" s="211">
        <v>1158350000</v>
      </c>
      <c r="F161" s="209"/>
      <c r="G161" s="209"/>
      <c r="H161" s="209"/>
      <c r="I161" s="209"/>
      <c r="J161" s="209"/>
      <c r="K161" s="209" t="s">
        <v>54</v>
      </c>
      <c r="L161" s="209" t="s">
        <v>54</v>
      </c>
      <c r="M161" s="209"/>
      <c r="N161" s="209"/>
      <c r="O161" s="209"/>
      <c r="P161" s="210"/>
      <c r="Q161" s="209"/>
      <c r="R161" s="212"/>
      <c r="S161" s="209"/>
      <c r="T161" s="209"/>
      <c r="U161" s="209" t="s">
        <v>54</v>
      </c>
      <c r="V161" s="209"/>
      <c r="W161" s="209"/>
      <c r="X161" s="209"/>
      <c r="Y161" s="209"/>
      <c r="Z161" s="209"/>
      <c r="AA161" s="209" t="s">
        <v>54</v>
      </c>
      <c r="AB161" s="212"/>
      <c r="AC161" s="212"/>
    </row>
    <row r="162" spans="1:29" outlineLevel="2" x14ac:dyDescent="0.25">
      <c r="A162" s="201">
        <v>46045</v>
      </c>
      <c r="D162" s="198" t="s">
        <v>54</v>
      </c>
      <c r="E162" s="202">
        <v>100000</v>
      </c>
      <c r="K162" s="198" t="s">
        <v>1801</v>
      </c>
      <c r="L162" s="198" t="s">
        <v>156</v>
      </c>
      <c r="P162" s="201"/>
      <c r="R162" s="202">
        <v>100000</v>
      </c>
      <c r="U162" s="198" t="s">
        <v>834</v>
      </c>
      <c r="AA162" s="198" t="s">
        <v>51</v>
      </c>
      <c r="AB162" s="202">
        <v>100000</v>
      </c>
      <c r="AC162" s="202">
        <v>100000</v>
      </c>
    </row>
    <row r="163" spans="1:29" outlineLevel="1" x14ac:dyDescent="0.25">
      <c r="A163" s="210"/>
      <c r="B163" s="209"/>
      <c r="C163" s="209"/>
      <c r="D163" s="209" t="s">
        <v>54</v>
      </c>
      <c r="E163" s="211">
        <v>100000</v>
      </c>
      <c r="F163" s="209"/>
      <c r="G163" s="209"/>
      <c r="H163" s="209"/>
      <c r="I163" s="209"/>
      <c r="J163" s="209"/>
      <c r="K163" s="209" t="s">
        <v>54</v>
      </c>
      <c r="L163" s="209" t="s">
        <v>54</v>
      </c>
      <c r="M163" s="209"/>
      <c r="N163" s="209"/>
      <c r="O163" s="209"/>
      <c r="P163" s="210"/>
      <c r="Q163" s="209"/>
      <c r="R163" s="212"/>
      <c r="S163" s="209"/>
      <c r="T163" s="209"/>
      <c r="U163" s="209" t="s">
        <v>54</v>
      </c>
      <c r="V163" s="209"/>
      <c r="W163" s="209"/>
      <c r="X163" s="209"/>
      <c r="Y163" s="209"/>
      <c r="Z163" s="209"/>
      <c r="AA163" s="209" t="s">
        <v>54</v>
      </c>
      <c r="AB163" s="212"/>
      <c r="AC163" s="212"/>
    </row>
    <row r="164" spans="1:29" outlineLevel="2" x14ac:dyDescent="0.25">
      <c r="A164" s="201">
        <v>46104</v>
      </c>
      <c r="D164" s="198" t="s">
        <v>54</v>
      </c>
      <c r="E164" s="202">
        <v>84750000</v>
      </c>
      <c r="K164" s="198" t="s">
        <v>1802</v>
      </c>
      <c r="L164" s="198" t="s">
        <v>156</v>
      </c>
      <c r="P164" s="201"/>
      <c r="R164" s="202">
        <v>84750000</v>
      </c>
      <c r="U164" s="198" t="s">
        <v>798</v>
      </c>
      <c r="AA164" s="198" t="s">
        <v>51</v>
      </c>
      <c r="AB164" s="202">
        <v>84750000</v>
      </c>
      <c r="AC164" s="202">
        <v>84750000</v>
      </c>
    </row>
    <row r="165" spans="1:29" outlineLevel="1" x14ac:dyDescent="0.25">
      <c r="A165" s="210"/>
      <c r="B165" s="209"/>
      <c r="C165" s="209"/>
      <c r="D165" s="209" t="s">
        <v>54</v>
      </c>
      <c r="E165" s="211">
        <v>84750000</v>
      </c>
      <c r="F165" s="209"/>
      <c r="G165" s="209"/>
      <c r="H165" s="209"/>
      <c r="I165" s="209"/>
      <c r="J165" s="209"/>
      <c r="K165" s="209" t="s">
        <v>54</v>
      </c>
      <c r="L165" s="209" t="s">
        <v>54</v>
      </c>
      <c r="M165" s="209"/>
      <c r="N165" s="209"/>
      <c r="O165" s="209"/>
      <c r="P165" s="210"/>
      <c r="Q165" s="209"/>
      <c r="R165" s="212"/>
      <c r="S165" s="209"/>
      <c r="T165" s="209"/>
      <c r="U165" s="209" t="s">
        <v>54</v>
      </c>
      <c r="V165" s="209"/>
      <c r="W165" s="209"/>
      <c r="X165" s="209"/>
      <c r="Y165" s="209"/>
      <c r="Z165" s="209"/>
      <c r="AA165" s="209" t="s">
        <v>54</v>
      </c>
      <c r="AB165" s="212"/>
      <c r="AC165" s="212"/>
    </row>
    <row r="166" spans="1:29" outlineLevel="2" x14ac:dyDescent="0.25">
      <c r="A166" s="201">
        <v>46104</v>
      </c>
      <c r="D166" s="198" t="s">
        <v>54</v>
      </c>
      <c r="E166" s="202">
        <v>1073500000</v>
      </c>
      <c r="K166" s="198" t="s">
        <v>1803</v>
      </c>
      <c r="L166" s="198" t="s">
        <v>156</v>
      </c>
      <c r="P166" s="201"/>
      <c r="R166" s="202">
        <v>1073500000</v>
      </c>
      <c r="U166" s="198" t="s">
        <v>803</v>
      </c>
      <c r="AA166" s="198" t="s">
        <v>51</v>
      </c>
      <c r="AB166" s="202">
        <v>1073500000</v>
      </c>
      <c r="AC166" s="202">
        <v>1073500000</v>
      </c>
    </row>
    <row r="167" spans="1:29" outlineLevel="1" x14ac:dyDescent="0.25">
      <c r="A167" s="210"/>
      <c r="B167" s="209"/>
      <c r="C167" s="209"/>
      <c r="D167" s="209" t="s">
        <v>54</v>
      </c>
      <c r="E167" s="211">
        <v>1073500000</v>
      </c>
      <c r="F167" s="209"/>
      <c r="G167" s="209"/>
      <c r="H167" s="209"/>
      <c r="I167" s="209"/>
      <c r="J167" s="209"/>
      <c r="K167" s="209" t="s">
        <v>54</v>
      </c>
      <c r="L167" s="209" t="s">
        <v>54</v>
      </c>
      <c r="M167" s="209"/>
      <c r="N167" s="209"/>
      <c r="O167" s="209"/>
      <c r="P167" s="210"/>
      <c r="Q167" s="209"/>
      <c r="R167" s="212"/>
      <c r="S167" s="209"/>
      <c r="T167" s="209"/>
      <c r="U167" s="209" t="s">
        <v>54</v>
      </c>
      <c r="V167" s="209"/>
      <c r="W167" s="209"/>
      <c r="X167" s="209"/>
      <c r="Y167" s="209"/>
      <c r="Z167" s="209"/>
      <c r="AA167" s="209" t="s">
        <v>54</v>
      </c>
      <c r="AB167" s="212"/>
      <c r="AC167" s="212"/>
    </row>
    <row r="168" spans="1:29" outlineLevel="2" x14ac:dyDescent="0.25">
      <c r="A168" s="201">
        <v>46018</v>
      </c>
      <c r="D168" s="198" t="s">
        <v>54</v>
      </c>
      <c r="E168" s="202">
        <v>400000</v>
      </c>
      <c r="K168" s="198" t="s">
        <v>1804</v>
      </c>
      <c r="L168" s="198" t="s">
        <v>156</v>
      </c>
      <c r="P168" s="201"/>
      <c r="R168" s="202">
        <v>400000</v>
      </c>
      <c r="U168" s="198" t="s">
        <v>893</v>
      </c>
      <c r="AA168" s="198" t="s">
        <v>51</v>
      </c>
      <c r="AB168" s="202">
        <v>400000</v>
      </c>
      <c r="AC168" s="202">
        <v>400000</v>
      </c>
    </row>
    <row r="169" spans="1:29" outlineLevel="2" x14ac:dyDescent="0.25">
      <c r="A169" s="201">
        <v>46028</v>
      </c>
      <c r="D169" s="198" t="s">
        <v>54</v>
      </c>
      <c r="E169" s="202">
        <v>1062000</v>
      </c>
      <c r="K169" s="198" t="s">
        <v>1804</v>
      </c>
      <c r="L169" s="198" t="s">
        <v>156</v>
      </c>
      <c r="P169" s="201"/>
      <c r="R169" s="202">
        <v>1062000</v>
      </c>
      <c r="U169" s="198" t="s">
        <v>893</v>
      </c>
      <c r="AA169" s="198" t="s">
        <v>51</v>
      </c>
      <c r="AB169" s="202">
        <v>1062000</v>
      </c>
      <c r="AC169" s="202">
        <v>1062000</v>
      </c>
    </row>
    <row r="170" spans="1:29" outlineLevel="2" x14ac:dyDescent="0.25">
      <c r="A170" s="201">
        <v>46031</v>
      </c>
      <c r="D170" s="198" t="s">
        <v>54</v>
      </c>
      <c r="E170" s="202">
        <v>2124000</v>
      </c>
      <c r="K170" s="198" t="s">
        <v>1804</v>
      </c>
      <c r="L170" s="198" t="s">
        <v>156</v>
      </c>
      <c r="P170" s="201"/>
      <c r="R170" s="202">
        <v>2124000</v>
      </c>
      <c r="U170" s="198" t="s">
        <v>893</v>
      </c>
      <c r="AA170" s="198" t="s">
        <v>51</v>
      </c>
      <c r="AB170" s="202">
        <v>2124000</v>
      </c>
      <c r="AC170" s="202">
        <v>2124000</v>
      </c>
    </row>
    <row r="171" spans="1:29" outlineLevel="2" x14ac:dyDescent="0.25">
      <c r="A171" s="201">
        <v>46057</v>
      </c>
      <c r="D171" s="198" t="s">
        <v>54</v>
      </c>
      <c r="E171" s="202">
        <v>191160</v>
      </c>
      <c r="K171" s="198" t="s">
        <v>1804</v>
      </c>
      <c r="L171" s="198" t="s">
        <v>156</v>
      </c>
      <c r="P171" s="201"/>
      <c r="R171" s="202">
        <v>191160</v>
      </c>
      <c r="U171" s="198" t="s">
        <v>893</v>
      </c>
      <c r="AA171" s="198" t="s">
        <v>51</v>
      </c>
      <c r="AB171" s="202">
        <v>191160</v>
      </c>
      <c r="AC171" s="202">
        <v>191160</v>
      </c>
    </row>
    <row r="172" spans="1:29" outlineLevel="2" x14ac:dyDescent="0.25">
      <c r="A172" s="201">
        <v>46058</v>
      </c>
      <c r="D172" s="198" t="s">
        <v>54</v>
      </c>
      <c r="E172" s="202">
        <v>408000</v>
      </c>
      <c r="K172" s="198" t="s">
        <v>1804</v>
      </c>
      <c r="L172" s="198" t="s">
        <v>156</v>
      </c>
      <c r="P172" s="201"/>
      <c r="R172" s="202">
        <v>408000</v>
      </c>
      <c r="U172" s="198" t="s">
        <v>893</v>
      </c>
      <c r="AA172" s="198" t="s">
        <v>51</v>
      </c>
      <c r="AB172" s="202">
        <v>408000</v>
      </c>
      <c r="AC172" s="202">
        <v>408000</v>
      </c>
    </row>
    <row r="173" spans="1:29" outlineLevel="2" x14ac:dyDescent="0.25">
      <c r="A173" s="201">
        <v>46058</v>
      </c>
      <c r="D173" s="198" t="s">
        <v>54</v>
      </c>
      <c r="E173" s="202">
        <v>490560</v>
      </c>
      <c r="K173" s="198" t="s">
        <v>1804</v>
      </c>
      <c r="L173" s="198" t="s">
        <v>156</v>
      </c>
      <c r="P173" s="201"/>
      <c r="R173" s="202">
        <v>490560</v>
      </c>
      <c r="U173" s="198" t="s">
        <v>893</v>
      </c>
      <c r="AA173" s="198" t="s">
        <v>51</v>
      </c>
      <c r="AB173" s="202">
        <v>490560</v>
      </c>
      <c r="AC173" s="202">
        <v>490560</v>
      </c>
    </row>
    <row r="174" spans="1:29" outlineLevel="2" x14ac:dyDescent="0.25">
      <c r="A174" s="201">
        <v>46059</v>
      </c>
      <c r="D174" s="198" t="s">
        <v>54</v>
      </c>
      <c r="E174" s="202">
        <v>532000</v>
      </c>
      <c r="K174" s="198" t="s">
        <v>1804</v>
      </c>
      <c r="L174" s="198" t="s">
        <v>156</v>
      </c>
      <c r="P174" s="201"/>
      <c r="R174" s="202">
        <v>532000</v>
      </c>
      <c r="U174" s="198" t="s">
        <v>893</v>
      </c>
      <c r="AA174" s="198" t="s">
        <v>51</v>
      </c>
      <c r="AB174" s="202">
        <v>532000</v>
      </c>
      <c r="AC174" s="202">
        <v>532000</v>
      </c>
    </row>
    <row r="175" spans="1:29" outlineLevel="2" x14ac:dyDescent="0.25">
      <c r="A175" s="201">
        <v>46060</v>
      </c>
      <c r="D175" s="198" t="s">
        <v>54</v>
      </c>
      <c r="E175" s="202">
        <v>13451017</v>
      </c>
      <c r="K175" s="198" t="s">
        <v>1804</v>
      </c>
      <c r="L175" s="198" t="s">
        <v>156</v>
      </c>
      <c r="P175" s="201"/>
      <c r="R175" s="202">
        <v>13451017</v>
      </c>
      <c r="U175" s="198" t="s">
        <v>893</v>
      </c>
      <c r="AA175" s="198" t="s">
        <v>51</v>
      </c>
      <c r="AB175" s="202">
        <v>13451017</v>
      </c>
      <c r="AC175" s="202">
        <v>13451017</v>
      </c>
    </row>
    <row r="176" spans="1:29" outlineLevel="2" x14ac:dyDescent="0.25">
      <c r="A176" s="201">
        <v>46064</v>
      </c>
      <c r="D176" s="198" t="s">
        <v>54</v>
      </c>
      <c r="E176" s="202">
        <v>375000</v>
      </c>
      <c r="K176" s="198" t="s">
        <v>1804</v>
      </c>
      <c r="L176" s="198" t="s">
        <v>156</v>
      </c>
      <c r="P176" s="201"/>
      <c r="R176" s="202">
        <v>375000</v>
      </c>
      <c r="U176" s="198" t="s">
        <v>893</v>
      </c>
      <c r="AA176" s="198" t="s">
        <v>51</v>
      </c>
      <c r="AB176" s="202">
        <v>375000</v>
      </c>
      <c r="AC176" s="202">
        <v>375000</v>
      </c>
    </row>
    <row r="177" spans="1:29" outlineLevel="2" x14ac:dyDescent="0.25">
      <c r="A177" s="201">
        <v>46064</v>
      </c>
      <c r="D177" s="198" t="s">
        <v>54</v>
      </c>
      <c r="E177" s="202">
        <v>-375000</v>
      </c>
      <c r="K177" s="198" t="s">
        <v>1804</v>
      </c>
      <c r="L177" s="198" t="s">
        <v>156</v>
      </c>
      <c r="P177" s="201"/>
      <c r="R177" s="202">
        <v>-375000</v>
      </c>
      <c r="U177" s="198" t="s">
        <v>893</v>
      </c>
      <c r="AA177" s="198" t="s">
        <v>51</v>
      </c>
      <c r="AB177" s="202">
        <v>-375000</v>
      </c>
      <c r="AC177" s="202">
        <v>-375000</v>
      </c>
    </row>
    <row r="178" spans="1:29" outlineLevel="2" x14ac:dyDescent="0.25">
      <c r="A178" s="201">
        <v>46067</v>
      </c>
      <c r="D178" s="198" t="s">
        <v>54</v>
      </c>
      <c r="E178" s="202">
        <v>88300.800000000003</v>
      </c>
      <c r="K178" s="198" t="s">
        <v>1804</v>
      </c>
      <c r="L178" s="198" t="s">
        <v>156</v>
      </c>
      <c r="P178" s="201"/>
      <c r="R178" s="202">
        <v>88300.800000000003</v>
      </c>
      <c r="U178" s="198" t="s">
        <v>893</v>
      </c>
      <c r="AA178" s="198" t="s">
        <v>51</v>
      </c>
      <c r="AB178" s="202">
        <v>88300.800000000003</v>
      </c>
      <c r="AC178" s="202">
        <v>88300.800000000003</v>
      </c>
    </row>
    <row r="179" spans="1:29" outlineLevel="2" x14ac:dyDescent="0.25">
      <c r="A179" s="201">
        <v>46070</v>
      </c>
      <c r="D179" s="198" t="s">
        <v>54</v>
      </c>
      <c r="E179" s="202">
        <v>32137.599999999999</v>
      </c>
      <c r="K179" s="198" t="s">
        <v>1804</v>
      </c>
      <c r="L179" s="198" t="s">
        <v>156</v>
      </c>
      <c r="P179" s="201"/>
      <c r="R179" s="202">
        <v>32137.599999999999</v>
      </c>
      <c r="U179" s="198" t="s">
        <v>893</v>
      </c>
      <c r="AA179" s="198" t="s">
        <v>51</v>
      </c>
      <c r="AB179" s="202">
        <v>32137.599999999999</v>
      </c>
      <c r="AC179" s="202">
        <v>32137.599999999999</v>
      </c>
    </row>
    <row r="180" spans="1:29" outlineLevel="2" x14ac:dyDescent="0.25">
      <c r="A180" s="201">
        <v>46071</v>
      </c>
      <c r="D180" s="198" t="s">
        <v>54</v>
      </c>
      <c r="E180" s="202">
        <v>73458.740000000005</v>
      </c>
      <c r="K180" s="198" t="s">
        <v>1804</v>
      </c>
      <c r="L180" s="198" t="s">
        <v>156</v>
      </c>
      <c r="P180" s="201"/>
      <c r="R180" s="202">
        <v>73458.740000000005</v>
      </c>
      <c r="U180" s="198" t="s">
        <v>893</v>
      </c>
      <c r="AA180" s="198" t="s">
        <v>51</v>
      </c>
      <c r="AB180" s="202">
        <v>73458.740000000005</v>
      </c>
      <c r="AC180" s="202">
        <v>73458.740000000005</v>
      </c>
    </row>
    <row r="181" spans="1:29" outlineLevel="2" x14ac:dyDescent="0.25">
      <c r="A181" s="201">
        <v>46071</v>
      </c>
      <c r="D181" s="198" t="s">
        <v>54</v>
      </c>
      <c r="E181" s="202">
        <v>-73458.740000000005</v>
      </c>
      <c r="K181" s="198" t="s">
        <v>1804</v>
      </c>
      <c r="L181" s="198" t="s">
        <v>156</v>
      </c>
      <c r="P181" s="201"/>
      <c r="R181" s="202">
        <v>-73458.740000000005</v>
      </c>
      <c r="U181" s="198" t="s">
        <v>893</v>
      </c>
      <c r="AA181" s="198" t="s">
        <v>51</v>
      </c>
      <c r="AB181" s="202">
        <v>-73458.740000000005</v>
      </c>
      <c r="AC181" s="202">
        <v>-73458.740000000005</v>
      </c>
    </row>
    <row r="182" spans="1:29" outlineLevel="2" x14ac:dyDescent="0.25">
      <c r="A182" s="201">
        <v>46078</v>
      </c>
      <c r="D182" s="198" t="s">
        <v>54</v>
      </c>
      <c r="E182" s="202">
        <v>602649.19999999995</v>
      </c>
      <c r="K182" s="198" t="s">
        <v>1804</v>
      </c>
      <c r="L182" s="198" t="s">
        <v>156</v>
      </c>
      <c r="P182" s="201"/>
      <c r="R182" s="202">
        <v>602649.19999999995</v>
      </c>
      <c r="U182" s="198" t="s">
        <v>893</v>
      </c>
      <c r="AA182" s="198" t="s">
        <v>51</v>
      </c>
      <c r="AB182" s="202">
        <v>602649.19999999995</v>
      </c>
      <c r="AC182" s="202">
        <v>602649.19999999995</v>
      </c>
    </row>
    <row r="183" spans="1:29" outlineLevel="2" x14ac:dyDescent="0.25">
      <c r="A183" s="201">
        <v>46098</v>
      </c>
      <c r="D183" s="198" t="s">
        <v>54</v>
      </c>
      <c r="E183" s="202">
        <v>1045984</v>
      </c>
      <c r="K183" s="198" t="s">
        <v>1804</v>
      </c>
      <c r="L183" s="198" t="s">
        <v>156</v>
      </c>
      <c r="P183" s="201"/>
      <c r="R183" s="202">
        <v>1045984</v>
      </c>
      <c r="U183" s="198" t="s">
        <v>893</v>
      </c>
      <c r="AA183" s="198" t="s">
        <v>51</v>
      </c>
      <c r="AB183" s="202">
        <v>1045984</v>
      </c>
      <c r="AC183" s="202">
        <v>1045984</v>
      </c>
    </row>
    <row r="184" spans="1:29" outlineLevel="2" x14ac:dyDescent="0.25">
      <c r="A184" s="201">
        <v>46108</v>
      </c>
      <c r="D184" s="198" t="s">
        <v>54</v>
      </c>
      <c r="E184" s="202">
        <v>18352.400000000001</v>
      </c>
      <c r="K184" s="198" t="s">
        <v>1804</v>
      </c>
      <c r="L184" s="198" t="s">
        <v>156</v>
      </c>
      <c r="P184" s="201"/>
      <c r="R184" s="202">
        <v>18352.400000000001</v>
      </c>
      <c r="U184" s="198" t="s">
        <v>893</v>
      </c>
      <c r="AA184" s="198" t="s">
        <v>51</v>
      </c>
      <c r="AB184" s="202">
        <v>18352.400000000001</v>
      </c>
      <c r="AC184" s="202">
        <v>18352.400000000001</v>
      </c>
    </row>
    <row r="185" spans="1:29" outlineLevel="2" x14ac:dyDescent="0.25">
      <c r="A185" s="201">
        <v>46116</v>
      </c>
      <c r="D185" s="198" t="s">
        <v>54</v>
      </c>
      <c r="E185" s="202">
        <v>403000</v>
      </c>
      <c r="K185" s="198" t="s">
        <v>1804</v>
      </c>
      <c r="L185" s="198" t="s">
        <v>156</v>
      </c>
      <c r="P185" s="201"/>
      <c r="R185" s="202">
        <v>403000</v>
      </c>
      <c r="U185" s="198" t="s">
        <v>893</v>
      </c>
      <c r="AA185" s="198" t="s">
        <v>51</v>
      </c>
      <c r="AB185" s="202">
        <v>403000</v>
      </c>
      <c r="AC185" s="202">
        <v>403000</v>
      </c>
    </row>
    <row r="186" spans="1:29" outlineLevel="2" x14ac:dyDescent="0.25">
      <c r="A186" s="201">
        <v>46122</v>
      </c>
      <c r="D186" s="198" t="s">
        <v>54</v>
      </c>
      <c r="E186" s="202">
        <v>311030</v>
      </c>
      <c r="K186" s="198" t="s">
        <v>1804</v>
      </c>
      <c r="L186" s="198" t="s">
        <v>156</v>
      </c>
      <c r="P186" s="201"/>
      <c r="R186" s="202">
        <v>311030</v>
      </c>
      <c r="U186" s="198" t="s">
        <v>893</v>
      </c>
      <c r="AA186" s="198" t="s">
        <v>51</v>
      </c>
      <c r="AB186" s="202">
        <v>311030</v>
      </c>
      <c r="AC186" s="202">
        <v>311030</v>
      </c>
    </row>
    <row r="187" spans="1:29" outlineLevel="2" x14ac:dyDescent="0.25">
      <c r="A187" s="201">
        <v>46134</v>
      </c>
      <c r="D187" s="198" t="s">
        <v>54</v>
      </c>
      <c r="E187" s="202">
        <v>1293100</v>
      </c>
      <c r="K187" s="198" t="s">
        <v>1804</v>
      </c>
      <c r="L187" s="198" t="s">
        <v>156</v>
      </c>
      <c r="P187" s="201"/>
      <c r="R187" s="202">
        <v>1293100</v>
      </c>
      <c r="U187" s="198" t="s">
        <v>893</v>
      </c>
      <c r="AA187" s="198" t="s">
        <v>51</v>
      </c>
      <c r="AB187" s="202">
        <v>1293100</v>
      </c>
      <c r="AC187" s="202">
        <v>1293100</v>
      </c>
    </row>
    <row r="188" spans="1:29" outlineLevel="2" x14ac:dyDescent="0.25">
      <c r="A188" s="201">
        <v>46134</v>
      </c>
      <c r="D188" s="198" t="s">
        <v>54</v>
      </c>
      <c r="E188" s="202">
        <v>704008</v>
      </c>
      <c r="K188" s="198" t="s">
        <v>1804</v>
      </c>
      <c r="L188" s="198" t="s">
        <v>156</v>
      </c>
      <c r="P188" s="201"/>
      <c r="R188" s="202">
        <v>704008</v>
      </c>
      <c r="U188" s="198" t="s">
        <v>893</v>
      </c>
      <c r="AA188" s="198" t="s">
        <v>51</v>
      </c>
      <c r="AB188" s="202">
        <v>704008</v>
      </c>
      <c r="AC188" s="202">
        <v>704008</v>
      </c>
    </row>
    <row r="189" spans="1:29" outlineLevel="2" x14ac:dyDescent="0.25">
      <c r="A189" s="201">
        <v>46150</v>
      </c>
      <c r="D189" s="198" t="s">
        <v>54</v>
      </c>
      <c r="E189" s="202">
        <v>10000</v>
      </c>
      <c r="K189" s="198" t="s">
        <v>1804</v>
      </c>
      <c r="L189" s="198" t="s">
        <v>156</v>
      </c>
      <c r="P189" s="201"/>
      <c r="R189" s="202">
        <v>10000</v>
      </c>
      <c r="U189" s="198" t="s">
        <v>893</v>
      </c>
      <c r="AA189" s="198" t="s">
        <v>51</v>
      </c>
      <c r="AB189" s="202">
        <v>10000</v>
      </c>
      <c r="AC189" s="202">
        <v>10000</v>
      </c>
    </row>
    <row r="190" spans="1:29" outlineLevel="2" x14ac:dyDescent="0.25">
      <c r="A190" s="201">
        <v>46157</v>
      </c>
      <c r="D190" s="198" t="s">
        <v>54</v>
      </c>
      <c r="E190" s="202">
        <v>1600000</v>
      </c>
      <c r="K190" s="198" t="s">
        <v>1804</v>
      </c>
      <c r="L190" s="198" t="s">
        <v>156</v>
      </c>
      <c r="P190" s="201"/>
      <c r="R190" s="202">
        <v>1600000</v>
      </c>
      <c r="U190" s="198" t="s">
        <v>893</v>
      </c>
      <c r="AA190" s="198" t="s">
        <v>51</v>
      </c>
      <c r="AB190" s="202">
        <v>1600000</v>
      </c>
      <c r="AC190" s="202">
        <v>1600000</v>
      </c>
    </row>
    <row r="191" spans="1:29" outlineLevel="1" x14ac:dyDescent="0.25">
      <c r="A191" s="210"/>
      <c r="B191" s="209"/>
      <c r="C191" s="209"/>
      <c r="D191" s="209" t="s">
        <v>54</v>
      </c>
      <c r="E191" s="211">
        <v>24767299</v>
      </c>
      <c r="F191" s="209"/>
      <c r="G191" s="209"/>
      <c r="H191" s="209"/>
      <c r="I191" s="209"/>
      <c r="J191" s="209"/>
      <c r="K191" s="209" t="s">
        <v>54</v>
      </c>
      <c r="L191" s="209" t="s">
        <v>54</v>
      </c>
      <c r="M191" s="209"/>
      <c r="N191" s="209"/>
      <c r="O191" s="209"/>
      <c r="P191" s="210"/>
      <c r="Q191" s="209"/>
      <c r="R191" s="212"/>
      <c r="S191" s="209"/>
      <c r="T191" s="209"/>
      <c r="U191" s="209" t="s">
        <v>54</v>
      </c>
      <c r="V191" s="209"/>
      <c r="W191" s="209"/>
      <c r="X191" s="209"/>
      <c r="Y191" s="209"/>
      <c r="Z191" s="209"/>
      <c r="AA191" s="209" t="s">
        <v>54</v>
      </c>
      <c r="AB191" s="212"/>
      <c r="AC191" s="212"/>
    </row>
    <row r="192" spans="1:29" outlineLevel="2" x14ac:dyDescent="0.25">
      <c r="A192" s="201">
        <v>46018</v>
      </c>
      <c r="D192" s="198" t="s">
        <v>54</v>
      </c>
      <c r="E192" s="202">
        <v>400000</v>
      </c>
      <c r="K192" s="198" t="s">
        <v>1805</v>
      </c>
      <c r="L192" s="198" t="s">
        <v>156</v>
      </c>
      <c r="P192" s="201"/>
      <c r="R192" s="202">
        <v>400000</v>
      </c>
      <c r="U192" s="198" t="s">
        <v>197</v>
      </c>
      <c r="AA192" s="198" t="s">
        <v>51</v>
      </c>
      <c r="AB192" s="202">
        <v>400000</v>
      </c>
      <c r="AC192" s="202">
        <v>400000</v>
      </c>
    </row>
    <row r="193" spans="1:29" outlineLevel="2" x14ac:dyDescent="0.25">
      <c r="A193" s="201">
        <v>46070</v>
      </c>
      <c r="D193" s="198" t="s">
        <v>54</v>
      </c>
      <c r="E193" s="202">
        <v>32137.599999999999</v>
      </c>
      <c r="K193" s="198" t="s">
        <v>1805</v>
      </c>
      <c r="L193" s="198" t="s">
        <v>156</v>
      </c>
      <c r="P193" s="201"/>
      <c r="R193" s="202">
        <v>32137.599999999999</v>
      </c>
      <c r="U193" s="198" t="s">
        <v>197</v>
      </c>
      <c r="AA193" s="198" t="s">
        <v>51</v>
      </c>
      <c r="AB193" s="202">
        <v>32137.599999999999</v>
      </c>
      <c r="AC193" s="202">
        <v>32137.599999999999</v>
      </c>
    </row>
    <row r="194" spans="1:29" outlineLevel="2" x14ac:dyDescent="0.25">
      <c r="A194" s="201">
        <v>46108</v>
      </c>
      <c r="D194" s="198" t="s">
        <v>54</v>
      </c>
      <c r="E194" s="202">
        <v>18352.400000000001</v>
      </c>
      <c r="K194" s="198" t="s">
        <v>1805</v>
      </c>
      <c r="L194" s="198" t="s">
        <v>156</v>
      </c>
      <c r="P194" s="201"/>
      <c r="R194" s="202">
        <v>18352.400000000001</v>
      </c>
      <c r="U194" s="198" t="s">
        <v>197</v>
      </c>
      <c r="AA194" s="198" t="s">
        <v>51</v>
      </c>
      <c r="AB194" s="202">
        <v>18352.400000000001</v>
      </c>
      <c r="AC194" s="202">
        <v>18352.400000000001</v>
      </c>
    </row>
    <row r="195" spans="1:29" outlineLevel="1" x14ac:dyDescent="0.25">
      <c r="A195" s="210"/>
      <c r="B195" s="209"/>
      <c r="C195" s="209"/>
      <c r="D195" s="209" t="s">
        <v>54</v>
      </c>
      <c r="E195" s="211">
        <v>450490</v>
      </c>
      <c r="F195" s="209"/>
      <c r="G195" s="209"/>
      <c r="H195" s="209"/>
      <c r="I195" s="209"/>
      <c r="J195" s="209"/>
      <c r="K195" s="209" t="s">
        <v>54</v>
      </c>
      <c r="L195" s="209" t="s">
        <v>54</v>
      </c>
      <c r="M195" s="209"/>
      <c r="N195" s="209"/>
      <c r="O195" s="209"/>
      <c r="P195" s="210"/>
      <c r="Q195" s="209"/>
      <c r="R195" s="212"/>
      <c r="S195" s="209"/>
      <c r="T195" s="209"/>
      <c r="U195" s="209" t="s">
        <v>54</v>
      </c>
      <c r="V195" s="209"/>
      <c r="W195" s="209"/>
      <c r="X195" s="209"/>
      <c r="Y195" s="209"/>
      <c r="Z195" s="209"/>
      <c r="AA195" s="209" t="s">
        <v>54</v>
      </c>
      <c r="AB195" s="212"/>
      <c r="AC195" s="212"/>
    </row>
    <row r="196" spans="1:29" outlineLevel="2" x14ac:dyDescent="0.25">
      <c r="A196" s="201">
        <v>46058</v>
      </c>
      <c r="D196" s="198" t="s">
        <v>54</v>
      </c>
      <c r="E196" s="202">
        <v>408000</v>
      </c>
      <c r="K196" s="198" t="s">
        <v>1806</v>
      </c>
      <c r="L196" s="198" t="s">
        <v>156</v>
      </c>
      <c r="P196" s="201"/>
      <c r="R196" s="202">
        <v>408000</v>
      </c>
      <c r="U196" s="198" t="s">
        <v>761</v>
      </c>
      <c r="AA196" s="198" t="s">
        <v>51</v>
      </c>
      <c r="AB196" s="202">
        <v>408000</v>
      </c>
      <c r="AC196" s="202">
        <v>408000</v>
      </c>
    </row>
    <row r="197" spans="1:29" outlineLevel="2" x14ac:dyDescent="0.25">
      <c r="A197" s="201">
        <v>46060</v>
      </c>
      <c r="D197" s="198" t="s">
        <v>54</v>
      </c>
      <c r="E197" s="202">
        <v>13451017</v>
      </c>
      <c r="K197" s="198" t="s">
        <v>1806</v>
      </c>
      <c r="L197" s="198" t="s">
        <v>156</v>
      </c>
      <c r="P197" s="201"/>
      <c r="R197" s="202">
        <v>13451017</v>
      </c>
      <c r="U197" s="198" t="s">
        <v>761</v>
      </c>
      <c r="AA197" s="198" t="s">
        <v>51</v>
      </c>
      <c r="AB197" s="202">
        <v>13451017</v>
      </c>
      <c r="AC197" s="202">
        <v>13451017</v>
      </c>
    </row>
    <row r="198" spans="1:29" outlineLevel="2" x14ac:dyDescent="0.25">
      <c r="A198" s="201">
        <v>46071</v>
      </c>
      <c r="D198" s="198" t="s">
        <v>54</v>
      </c>
      <c r="E198" s="202">
        <v>73458.740000000005</v>
      </c>
      <c r="K198" s="198" t="s">
        <v>1806</v>
      </c>
      <c r="L198" s="198" t="s">
        <v>156</v>
      </c>
      <c r="P198" s="201"/>
      <c r="R198" s="202">
        <v>73458.740000000005</v>
      </c>
      <c r="U198" s="198" t="s">
        <v>761</v>
      </c>
      <c r="AA198" s="198" t="s">
        <v>51</v>
      </c>
      <c r="AB198" s="202">
        <v>73458.740000000005</v>
      </c>
      <c r="AC198" s="202">
        <v>73458.740000000005</v>
      </c>
    </row>
    <row r="199" spans="1:29" outlineLevel="2" x14ac:dyDescent="0.25">
      <c r="A199" s="201">
        <v>46071</v>
      </c>
      <c r="D199" s="198" t="s">
        <v>54</v>
      </c>
      <c r="E199" s="202">
        <v>-73458.740000000005</v>
      </c>
      <c r="K199" s="198" t="s">
        <v>1806</v>
      </c>
      <c r="L199" s="198" t="s">
        <v>156</v>
      </c>
      <c r="P199" s="201"/>
      <c r="R199" s="202">
        <v>-73458.740000000005</v>
      </c>
      <c r="U199" s="198" t="s">
        <v>761</v>
      </c>
      <c r="AA199" s="198" t="s">
        <v>51</v>
      </c>
      <c r="AB199" s="202">
        <v>-73458.740000000005</v>
      </c>
      <c r="AC199" s="202">
        <v>-73458.740000000005</v>
      </c>
    </row>
    <row r="200" spans="1:29" outlineLevel="1" x14ac:dyDescent="0.25">
      <c r="A200" s="210"/>
      <c r="B200" s="209"/>
      <c r="C200" s="209"/>
      <c r="D200" s="209" t="s">
        <v>54</v>
      </c>
      <c r="E200" s="211">
        <v>13859017</v>
      </c>
      <c r="F200" s="209"/>
      <c r="G200" s="209"/>
      <c r="H200" s="209"/>
      <c r="I200" s="209"/>
      <c r="J200" s="209"/>
      <c r="K200" s="209" t="s">
        <v>54</v>
      </c>
      <c r="L200" s="209" t="s">
        <v>54</v>
      </c>
      <c r="M200" s="209"/>
      <c r="N200" s="209"/>
      <c r="O200" s="209"/>
      <c r="P200" s="210"/>
      <c r="Q200" s="209"/>
      <c r="R200" s="212"/>
      <c r="S200" s="209"/>
      <c r="T200" s="209"/>
      <c r="U200" s="209" t="s">
        <v>54</v>
      </c>
      <c r="V200" s="209"/>
      <c r="W200" s="209"/>
      <c r="X200" s="209"/>
      <c r="Y200" s="209"/>
      <c r="Z200" s="209"/>
      <c r="AA200" s="209" t="s">
        <v>54</v>
      </c>
      <c r="AB200" s="212"/>
      <c r="AC200" s="212"/>
    </row>
    <row r="201" spans="1:29" outlineLevel="2" x14ac:dyDescent="0.25">
      <c r="A201" s="201">
        <v>46098</v>
      </c>
      <c r="D201" s="198" t="s">
        <v>54</v>
      </c>
      <c r="E201" s="202">
        <v>1045984</v>
      </c>
      <c r="K201" s="198" t="s">
        <v>1807</v>
      </c>
      <c r="L201" s="198" t="s">
        <v>156</v>
      </c>
      <c r="P201" s="201"/>
      <c r="R201" s="202">
        <v>1045984</v>
      </c>
      <c r="U201" s="198" t="s">
        <v>155</v>
      </c>
      <c r="AA201" s="198" t="s">
        <v>51</v>
      </c>
      <c r="AB201" s="202">
        <v>1045984</v>
      </c>
      <c r="AC201" s="202">
        <v>1045984</v>
      </c>
    </row>
    <row r="202" spans="1:29" outlineLevel="2" x14ac:dyDescent="0.25">
      <c r="A202" s="201">
        <v>46116</v>
      </c>
      <c r="D202" s="198" t="s">
        <v>54</v>
      </c>
      <c r="E202" s="202">
        <v>403000</v>
      </c>
      <c r="K202" s="198" t="s">
        <v>1807</v>
      </c>
      <c r="L202" s="198" t="s">
        <v>156</v>
      </c>
      <c r="P202" s="201"/>
      <c r="R202" s="202">
        <v>403000</v>
      </c>
      <c r="U202" s="198" t="s">
        <v>155</v>
      </c>
      <c r="AA202" s="198" t="s">
        <v>51</v>
      </c>
      <c r="AB202" s="202">
        <v>403000</v>
      </c>
      <c r="AC202" s="202">
        <v>403000</v>
      </c>
    </row>
    <row r="203" spans="1:29" outlineLevel="2" x14ac:dyDescent="0.25">
      <c r="A203" s="201">
        <v>46150</v>
      </c>
      <c r="D203" s="198" t="s">
        <v>54</v>
      </c>
      <c r="E203" s="202">
        <v>10000</v>
      </c>
      <c r="K203" s="198" t="s">
        <v>1807</v>
      </c>
      <c r="L203" s="198" t="s">
        <v>156</v>
      </c>
      <c r="P203" s="201"/>
      <c r="R203" s="202">
        <v>10000</v>
      </c>
      <c r="U203" s="198" t="s">
        <v>155</v>
      </c>
      <c r="AA203" s="198" t="s">
        <v>51</v>
      </c>
      <c r="AB203" s="202">
        <v>10000</v>
      </c>
      <c r="AC203" s="202">
        <v>10000</v>
      </c>
    </row>
    <row r="204" spans="1:29" outlineLevel="1" x14ac:dyDescent="0.25">
      <c r="A204" s="210"/>
      <c r="B204" s="209"/>
      <c r="C204" s="209"/>
      <c r="D204" s="209" t="s">
        <v>54</v>
      </c>
      <c r="E204" s="211">
        <v>1458984</v>
      </c>
      <c r="F204" s="209"/>
      <c r="G204" s="209"/>
      <c r="H204" s="209"/>
      <c r="I204" s="209"/>
      <c r="J204" s="209"/>
      <c r="K204" s="209" t="s">
        <v>54</v>
      </c>
      <c r="L204" s="209" t="s">
        <v>54</v>
      </c>
      <c r="M204" s="209"/>
      <c r="N204" s="209"/>
      <c r="O204" s="209"/>
      <c r="P204" s="210"/>
      <c r="Q204" s="209"/>
      <c r="R204" s="212"/>
      <c r="S204" s="209"/>
      <c r="T204" s="209"/>
      <c r="U204" s="209" t="s">
        <v>54</v>
      </c>
      <c r="V204" s="209"/>
      <c r="W204" s="209"/>
      <c r="X204" s="209"/>
      <c r="Y204" s="209"/>
      <c r="Z204" s="209"/>
      <c r="AA204" s="209" t="s">
        <v>54</v>
      </c>
      <c r="AB204" s="212"/>
      <c r="AC204" s="212"/>
    </row>
    <row r="205" spans="1:29" outlineLevel="2" x14ac:dyDescent="0.25">
      <c r="A205" s="201">
        <v>46064</v>
      </c>
      <c r="D205" s="198" t="s">
        <v>54</v>
      </c>
      <c r="E205" s="202">
        <v>375000</v>
      </c>
      <c r="K205" s="198" t="s">
        <v>1808</v>
      </c>
      <c r="L205" s="198" t="s">
        <v>156</v>
      </c>
      <c r="P205" s="201"/>
      <c r="R205" s="202">
        <v>375000</v>
      </c>
      <c r="U205" s="198" t="s">
        <v>894</v>
      </c>
      <c r="AA205" s="198" t="s">
        <v>51</v>
      </c>
      <c r="AB205" s="202">
        <v>375000</v>
      </c>
      <c r="AC205" s="202">
        <v>375000</v>
      </c>
    </row>
    <row r="206" spans="1:29" outlineLevel="2" x14ac:dyDescent="0.25">
      <c r="A206" s="201">
        <v>46064</v>
      </c>
      <c r="D206" s="198" t="s">
        <v>54</v>
      </c>
      <c r="E206" s="202">
        <v>-375000</v>
      </c>
      <c r="K206" s="198" t="s">
        <v>1808</v>
      </c>
      <c r="L206" s="198" t="s">
        <v>156</v>
      </c>
      <c r="P206" s="201"/>
      <c r="R206" s="202">
        <v>-375000</v>
      </c>
      <c r="U206" s="198" t="s">
        <v>894</v>
      </c>
      <c r="AA206" s="198" t="s">
        <v>51</v>
      </c>
      <c r="AB206" s="202">
        <v>-375000</v>
      </c>
      <c r="AC206" s="202">
        <v>-375000</v>
      </c>
    </row>
    <row r="207" spans="1:29" outlineLevel="1" x14ac:dyDescent="0.25">
      <c r="A207" s="210"/>
      <c r="B207" s="209"/>
      <c r="C207" s="209"/>
      <c r="D207" s="209" t="s">
        <v>54</v>
      </c>
      <c r="E207" s="211">
        <v>0</v>
      </c>
      <c r="F207" s="209"/>
      <c r="G207" s="209"/>
      <c r="H207" s="209"/>
      <c r="I207" s="209"/>
      <c r="J207" s="209"/>
      <c r="K207" s="209" t="s">
        <v>54</v>
      </c>
      <c r="L207" s="209" t="s">
        <v>54</v>
      </c>
      <c r="M207" s="209"/>
      <c r="N207" s="209"/>
      <c r="O207" s="209"/>
      <c r="P207" s="210"/>
      <c r="Q207" s="209"/>
      <c r="R207" s="212"/>
      <c r="S207" s="209"/>
      <c r="T207" s="209"/>
      <c r="U207" s="209" t="s">
        <v>54</v>
      </c>
      <c r="V207" s="209"/>
      <c r="W207" s="209"/>
      <c r="X207" s="209"/>
      <c r="Y207" s="209"/>
      <c r="Z207" s="209"/>
      <c r="AA207" s="209" t="s">
        <v>54</v>
      </c>
      <c r="AB207" s="212"/>
      <c r="AC207" s="212"/>
    </row>
    <row r="208" spans="1:29" outlineLevel="2" x14ac:dyDescent="0.25">
      <c r="A208" s="201">
        <v>46122</v>
      </c>
      <c r="D208" s="198" t="s">
        <v>54</v>
      </c>
      <c r="E208" s="202">
        <v>311030</v>
      </c>
      <c r="K208" s="198" t="s">
        <v>1809</v>
      </c>
      <c r="L208" s="198" t="s">
        <v>156</v>
      </c>
      <c r="P208" s="201"/>
      <c r="R208" s="202">
        <v>311030</v>
      </c>
      <c r="U208" s="198" t="s">
        <v>895</v>
      </c>
      <c r="AA208" s="198" t="s">
        <v>51</v>
      </c>
      <c r="AB208" s="202">
        <v>311030</v>
      </c>
      <c r="AC208" s="202">
        <v>311030</v>
      </c>
    </row>
    <row r="209" spans="1:29" outlineLevel="1" x14ac:dyDescent="0.25">
      <c r="A209" s="210"/>
      <c r="B209" s="209"/>
      <c r="C209" s="209"/>
      <c r="D209" s="209" t="s">
        <v>54</v>
      </c>
      <c r="E209" s="211">
        <v>311030</v>
      </c>
      <c r="F209" s="209"/>
      <c r="G209" s="209"/>
      <c r="H209" s="209"/>
      <c r="I209" s="209"/>
      <c r="J209" s="209"/>
      <c r="K209" s="209" t="s">
        <v>54</v>
      </c>
      <c r="L209" s="209" t="s">
        <v>54</v>
      </c>
      <c r="M209" s="209"/>
      <c r="N209" s="209"/>
      <c r="O209" s="209"/>
      <c r="P209" s="210"/>
      <c r="Q209" s="209"/>
      <c r="R209" s="212"/>
      <c r="S209" s="209"/>
      <c r="T209" s="209"/>
      <c r="U209" s="209" t="s">
        <v>54</v>
      </c>
      <c r="V209" s="209"/>
      <c r="W209" s="209"/>
      <c r="X209" s="209"/>
      <c r="Y209" s="209"/>
      <c r="Z209" s="209"/>
      <c r="AA209" s="209" t="s">
        <v>54</v>
      </c>
      <c r="AB209" s="212"/>
      <c r="AC209" s="212"/>
    </row>
    <row r="210" spans="1:29" outlineLevel="2" x14ac:dyDescent="0.25">
      <c r="A210" s="201">
        <v>46028</v>
      </c>
      <c r="D210" s="198" t="s">
        <v>54</v>
      </c>
      <c r="E210" s="202">
        <v>1062000</v>
      </c>
      <c r="K210" s="198" t="s">
        <v>1810</v>
      </c>
      <c r="L210" s="198" t="s">
        <v>156</v>
      </c>
      <c r="P210" s="201"/>
      <c r="R210" s="202">
        <v>1062000</v>
      </c>
      <c r="U210" s="198" t="s">
        <v>287</v>
      </c>
      <c r="AA210" s="198" t="s">
        <v>51</v>
      </c>
      <c r="AB210" s="202">
        <v>1062000</v>
      </c>
      <c r="AC210" s="202">
        <v>1062000</v>
      </c>
    </row>
    <row r="211" spans="1:29" outlineLevel="2" x14ac:dyDescent="0.25">
      <c r="A211" s="201">
        <v>46057</v>
      </c>
      <c r="D211" s="198" t="s">
        <v>54</v>
      </c>
      <c r="E211" s="202">
        <v>191160</v>
      </c>
      <c r="K211" s="198" t="s">
        <v>1810</v>
      </c>
      <c r="L211" s="198" t="s">
        <v>156</v>
      </c>
      <c r="P211" s="201"/>
      <c r="R211" s="202">
        <v>191160</v>
      </c>
      <c r="U211" s="198" t="s">
        <v>287</v>
      </c>
      <c r="AA211" s="198" t="s">
        <v>51</v>
      </c>
      <c r="AB211" s="202">
        <v>191160</v>
      </c>
      <c r="AC211" s="202">
        <v>191160</v>
      </c>
    </row>
    <row r="212" spans="1:29" outlineLevel="2" x14ac:dyDescent="0.25">
      <c r="A212" s="201">
        <v>46058</v>
      </c>
      <c r="D212" s="198" t="s">
        <v>54</v>
      </c>
      <c r="E212" s="202">
        <v>490560</v>
      </c>
      <c r="K212" s="198" t="s">
        <v>1810</v>
      </c>
      <c r="L212" s="198" t="s">
        <v>156</v>
      </c>
      <c r="P212" s="201"/>
      <c r="R212" s="202">
        <v>490560</v>
      </c>
      <c r="U212" s="198" t="s">
        <v>287</v>
      </c>
      <c r="AA212" s="198" t="s">
        <v>51</v>
      </c>
      <c r="AB212" s="202">
        <v>490560</v>
      </c>
      <c r="AC212" s="202">
        <v>490560</v>
      </c>
    </row>
    <row r="213" spans="1:29" outlineLevel="2" x14ac:dyDescent="0.25">
      <c r="A213" s="201">
        <v>46059</v>
      </c>
      <c r="D213" s="198" t="s">
        <v>54</v>
      </c>
      <c r="E213" s="202">
        <v>532000</v>
      </c>
      <c r="K213" s="198" t="s">
        <v>1810</v>
      </c>
      <c r="L213" s="198" t="s">
        <v>156</v>
      </c>
      <c r="P213" s="201"/>
      <c r="R213" s="202">
        <v>532000</v>
      </c>
      <c r="U213" s="198" t="s">
        <v>287</v>
      </c>
      <c r="AA213" s="198" t="s">
        <v>51</v>
      </c>
      <c r="AB213" s="202">
        <v>532000</v>
      </c>
      <c r="AC213" s="202">
        <v>532000</v>
      </c>
    </row>
    <row r="214" spans="1:29" outlineLevel="2" x14ac:dyDescent="0.25">
      <c r="A214" s="201">
        <v>46067</v>
      </c>
      <c r="D214" s="198" t="s">
        <v>54</v>
      </c>
      <c r="E214" s="202">
        <v>88300.800000000003</v>
      </c>
      <c r="K214" s="198" t="s">
        <v>1810</v>
      </c>
      <c r="L214" s="198" t="s">
        <v>156</v>
      </c>
      <c r="P214" s="201"/>
      <c r="R214" s="202">
        <v>88300.800000000003</v>
      </c>
      <c r="U214" s="198" t="s">
        <v>287</v>
      </c>
      <c r="AA214" s="198" t="s">
        <v>51</v>
      </c>
      <c r="AB214" s="202">
        <v>88300.800000000003</v>
      </c>
      <c r="AC214" s="202">
        <v>88300.800000000003</v>
      </c>
    </row>
    <row r="215" spans="1:29" outlineLevel="2" x14ac:dyDescent="0.25">
      <c r="A215" s="201">
        <v>46078</v>
      </c>
      <c r="D215" s="198" t="s">
        <v>54</v>
      </c>
      <c r="E215" s="202">
        <v>602649.19999999995</v>
      </c>
      <c r="K215" s="198" t="s">
        <v>1810</v>
      </c>
      <c r="L215" s="198" t="s">
        <v>156</v>
      </c>
      <c r="P215" s="201"/>
      <c r="R215" s="202">
        <v>602649.19999999995</v>
      </c>
      <c r="U215" s="198" t="s">
        <v>287</v>
      </c>
      <c r="AA215" s="198" t="s">
        <v>51</v>
      </c>
      <c r="AB215" s="202">
        <v>602649.19999999995</v>
      </c>
      <c r="AC215" s="202">
        <v>602649.19999999995</v>
      </c>
    </row>
    <row r="216" spans="1:29" outlineLevel="2" x14ac:dyDescent="0.25">
      <c r="A216" s="201">
        <v>46134</v>
      </c>
      <c r="D216" s="198" t="s">
        <v>54</v>
      </c>
      <c r="E216" s="202">
        <v>1293100</v>
      </c>
      <c r="K216" s="198" t="s">
        <v>1810</v>
      </c>
      <c r="L216" s="198" t="s">
        <v>156</v>
      </c>
      <c r="P216" s="201"/>
      <c r="R216" s="202">
        <v>1293100</v>
      </c>
      <c r="U216" s="198" t="s">
        <v>287</v>
      </c>
      <c r="AA216" s="198" t="s">
        <v>51</v>
      </c>
      <c r="AB216" s="202">
        <v>1293100</v>
      </c>
      <c r="AC216" s="202">
        <v>1293100</v>
      </c>
    </row>
    <row r="217" spans="1:29" outlineLevel="2" x14ac:dyDescent="0.25">
      <c r="A217" s="201">
        <v>46134</v>
      </c>
      <c r="D217" s="198" t="s">
        <v>54</v>
      </c>
      <c r="E217" s="202">
        <v>704008</v>
      </c>
      <c r="K217" s="198" t="s">
        <v>1810</v>
      </c>
      <c r="L217" s="198" t="s">
        <v>156</v>
      </c>
      <c r="P217" s="201"/>
      <c r="R217" s="202">
        <v>704008</v>
      </c>
      <c r="U217" s="198" t="s">
        <v>287</v>
      </c>
      <c r="AA217" s="198" t="s">
        <v>51</v>
      </c>
      <c r="AB217" s="202">
        <v>704008</v>
      </c>
      <c r="AC217" s="202">
        <v>704008</v>
      </c>
    </row>
    <row r="218" spans="1:29" outlineLevel="2" x14ac:dyDescent="0.25">
      <c r="A218" s="201">
        <v>46157</v>
      </c>
      <c r="D218" s="198" t="s">
        <v>54</v>
      </c>
      <c r="E218" s="202">
        <v>1600000</v>
      </c>
      <c r="K218" s="198" t="s">
        <v>1810</v>
      </c>
      <c r="L218" s="198" t="s">
        <v>156</v>
      </c>
      <c r="P218" s="201"/>
      <c r="R218" s="202">
        <v>1600000</v>
      </c>
      <c r="U218" s="198" t="s">
        <v>287</v>
      </c>
      <c r="AA218" s="198" t="s">
        <v>51</v>
      </c>
      <c r="AB218" s="202">
        <v>1600000</v>
      </c>
      <c r="AC218" s="202">
        <v>1600000</v>
      </c>
    </row>
    <row r="219" spans="1:29" outlineLevel="1" x14ac:dyDescent="0.25">
      <c r="A219" s="210"/>
      <c r="B219" s="209"/>
      <c r="C219" s="209"/>
      <c r="D219" s="209" t="s">
        <v>54</v>
      </c>
      <c r="E219" s="211">
        <v>6563778</v>
      </c>
      <c r="F219" s="209"/>
      <c r="G219" s="209"/>
      <c r="H219" s="209"/>
      <c r="I219" s="209"/>
      <c r="J219" s="209"/>
      <c r="K219" s="209" t="s">
        <v>54</v>
      </c>
      <c r="L219" s="209" t="s">
        <v>54</v>
      </c>
      <c r="M219" s="209"/>
      <c r="N219" s="209"/>
      <c r="O219" s="209"/>
      <c r="P219" s="210"/>
      <c r="Q219" s="209"/>
      <c r="R219" s="212"/>
      <c r="S219" s="209"/>
      <c r="T219" s="209"/>
      <c r="U219" s="209" t="s">
        <v>54</v>
      </c>
      <c r="V219" s="209"/>
      <c r="W219" s="209"/>
      <c r="X219" s="209"/>
      <c r="Y219" s="209"/>
      <c r="Z219" s="209"/>
      <c r="AA219" s="209" t="s">
        <v>54</v>
      </c>
      <c r="AB219" s="212"/>
      <c r="AC219" s="212"/>
    </row>
    <row r="220" spans="1:29" outlineLevel="2" x14ac:dyDescent="0.25">
      <c r="A220" s="201">
        <v>46031</v>
      </c>
      <c r="D220" s="198" t="s">
        <v>54</v>
      </c>
      <c r="E220" s="202">
        <v>2124000</v>
      </c>
      <c r="K220" s="198" t="s">
        <v>1811</v>
      </c>
      <c r="L220" s="198" t="s">
        <v>156</v>
      </c>
      <c r="P220" s="201"/>
      <c r="R220" s="202">
        <v>2124000</v>
      </c>
      <c r="U220" s="198" t="s">
        <v>896</v>
      </c>
      <c r="AA220" s="198" t="s">
        <v>51</v>
      </c>
      <c r="AB220" s="202">
        <v>2124000</v>
      </c>
      <c r="AC220" s="202">
        <v>2124000</v>
      </c>
    </row>
    <row r="221" spans="1:29" outlineLevel="1" x14ac:dyDescent="0.25">
      <c r="A221" s="210"/>
      <c r="B221" s="209"/>
      <c r="C221" s="209"/>
      <c r="D221" s="209" t="s">
        <v>54</v>
      </c>
      <c r="E221" s="211">
        <v>2124000</v>
      </c>
      <c r="F221" s="209"/>
      <c r="G221" s="209"/>
      <c r="H221" s="209"/>
      <c r="I221" s="209"/>
      <c r="J221" s="209"/>
      <c r="K221" s="209" t="s">
        <v>54</v>
      </c>
      <c r="L221" s="209" t="s">
        <v>54</v>
      </c>
      <c r="M221" s="209"/>
      <c r="N221" s="209"/>
      <c r="O221" s="209"/>
      <c r="P221" s="210"/>
      <c r="Q221" s="209"/>
      <c r="R221" s="212"/>
      <c r="S221" s="209"/>
      <c r="T221" s="209"/>
      <c r="U221" s="209" t="s">
        <v>54</v>
      </c>
      <c r="V221" s="209"/>
      <c r="W221" s="209"/>
      <c r="X221" s="209"/>
      <c r="Y221" s="209"/>
      <c r="Z221" s="209"/>
      <c r="AA221" s="209" t="s">
        <v>54</v>
      </c>
      <c r="AB221" s="212"/>
      <c r="AC221" s="212"/>
    </row>
    <row r="222" spans="1:29" outlineLevel="2" x14ac:dyDescent="0.25">
      <c r="A222" s="201">
        <v>46031</v>
      </c>
      <c r="D222" s="198" t="s">
        <v>54</v>
      </c>
      <c r="E222" s="202">
        <v>2124000</v>
      </c>
      <c r="K222" s="198" t="s">
        <v>1812</v>
      </c>
      <c r="L222" s="198" t="s">
        <v>156</v>
      </c>
      <c r="P222" s="201"/>
      <c r="R222" s="202">
        <v>2124000</v>
      </c>
      <c r="U222" s="198" t="s">
        <v>789</v>
      </c>
      <c r="AA222" s="198" t="s">
        <v>51</v>
      </c>
      <c r="AB222" s="202">
        <v>2124000</v>
      </c>
      <c r="AC222" s="202">
        <v>2124000</v>
      </c>
    </row>
    <row r="223" spans="1:29" outlineLevel="1" x14ac:dyDescent="0.25">
      <c r="A223" s="210"/>
      <c r="B223" s="209"/>
      <c r="C223" s="209"/>
      <c r="D223" s="209" t="s">
        <v>54</v>
      </c>
      <c r="E223" s="211">
        <v>2124000</v>
      </c>
      <c r="F223" s="209"/>
      <c r="G223" s="209"/>
      <c r="H223" s="209"/>
      <c r="I223" s="209"/>
      <c r="J223" s="209"/>
      <c r="K223" s="209" t="s">
        <v>54</v>
      </c>
      <c r="L223" s="209" t="s">
        <v>54</v>
      </c>
      <c r="M223" s="209"/>
      <c r="N223" s="209"/>
      <c r="O223" s="209"/>
      <c r="P223" s="210"/>
      <c r="Q223" s="209"/>
      <c r="R223" s="212"/>
      <c r="S223" s="209"/>
      <c r="T223" s="209"/>
      <c r="U223" s="209" t="s">
        <v>54</v>
      </c>
      <c r="V223" s="209"/>
      <c r="W223" s="209"/>
      <c r="X223" s="209"/>
      <c r="Y223" s="209"/>
      <c r="Z223" s="209"/>
      <c r="AA223" s="209" t="s">
        <v>54</v>
      </c>
      <c r="AB223" s="212"/>
      <c r="AC223" s="212"/>
    </row>
    <row r="224" spans="1:29" outlineLevel="2" x14ac:dyDescent="0.25">
      <c r="A224" s="201">
        <v>46066</v>
      </c>
      <c r="D224" s="198" t="s">
        <v>54</v>
      </c>
      <c r="E224" s="202">
        <v>1483050847</v>
      </c>
      <c r="K224" s="198" t="s">
        <v>1813</v>
      </c>
      <c r="L224" s="198" t="s">
        <v>156</v>
      </c>
      <c r="P224" s="201"/>
      <c r="R224" s="202">
        <v>1483050847</v>
      </c>
      <c r="U224" s="198" t="s">
        <v>777</v>
      </c>
      <c r="AA224" s="198" t="s">
        <v>51</v>
      </c>
      <c r="AB224" s="202">
        <v>1483050847</v>
      </c>
      <c r="AC224" s="202">
        <v>1483050847</v>
      </c>
    </row>
    <row r="225" spans="1:29" outlineLevel="1" x14ac:dyDescent="0.25">
      <c r="A225" s="210"/>
      <c r="B225" s="209"/>
      <c r="C225" s="209"/>
      <c r="D225" s="209" t="s">
        <v>54</v>
      </c>
      <c r="E225" s="211">
        <v>1483050847</v>
      </c>
      <c r="F225" s="209"/>
      <c r="G225" s="209"/>
      <c r="H225" s="209"/>
      <c r="I225" s="209"/>
      <c r="J225" s="209"/>
      <c r="K225" s="209" t="s">
        <v>54</v>
      </c>
      <c r="L225" s="209" t="s">
        <v>54</v>
      </c>
      <c r="M225" s="209"/>
      <c r="N225" s="209"/>
      <c r="O225" s="209"/>
      <c r="P225" s="210"/>
      <c r="Q225" s="209"/>
      <c r="R225" s="212"/>
      <c r="S225" s="209"/>
      <c r="T225" s="209"/>
      <c r="U225" s="209" t="s">
        <v>54</v>
      </c>
      <c r="V225" s="209"/>
      <c r="W225" s="209"/>
      <c r="X225" s="209"/>
      <c r="Y225" s="209"/>
      <c r="Z225" s="209"/>
      <c r="AA225" s="209" t="s">
        <v>54</v>
      </c>
      <c r="AB225" s="212"/>
      <c r="AC225" s="212"/>
    </row>
    <row r="226" spans="1:29" outlineLevel="2" x14ac:dyDescent="0.25">
      <c r="A226" s="201">
        <v>46115</v>
      </c>
      <c r="D226" s="198" t="s">
        <v>54</v>
      </c>
      <c r="E226" s="202">
        <v>4380260</v>
      </c>
      <c r="K226" s="198" t="s">
        <v>1814</v>
      </c>
      <c r="L226" s="198" t="s">
        <v>156</v>
      </c>
      <c r="P226" s="201"/>
      <c r="R226" s="202">
        <v>4380260</v>
      </c>
      <c r="U226" s="198" t="s">
        <v>855</v>
      </c>
      <c r="AA226" s="198" t="s">
        <v>51</v>
      </c>
      <c r="AB226" s="202">
        <v>4380260</v>
      </c>
      <c r="AC226" s="202">
        <v>4380260</v>
      </c>
    </row>
    <row r="227" spans="1:29" outlineLevel="2" x14ac:dyDescent="0.25">
      <c r="A227" s="201">
        <v>46123</v>
      </c>
      <c r="D227" s="198" t="s">
        <v>54</v>
      </c>
      <c r="E227" s="202">
        <v>35219</v>
      </c>
      <c r="K227" s="198" t="s">
        <v>1814</v>
      </c>
      <c r="L227" s="198" t="s">
        <v>156</v>
      </c>
      <c r="P227" s="201"/>
      <c r="R227" s="202">
        <v>35219</v>
      </c>
      <c r="U227" s="198" t="s">
        <v>855</v>
      </c>
      <c r="AA227" s="198" t="s">
        <v>51</v>
      </c>
      <c r="AB227" s="202">
        <v>35219</v>
      </c>
      <c r="AC227" s="202">
        <v>35219</v>
      </c>
    </row>
    <row r="228" spans="1:29" outlineLevel="1" x14ac:dyDescent="0.25">
      <c r="A228" s="210"/>
      <c r="B228" s="209"/>
      <c r="C228" s="209"/>
      <c r="D228" s="209" t="s">
        <v>54</v>
      </c>
      <c r="E228" s="211">
        <v>4415479</v>
      </c>
      <c r="F228" s="209"/>
      <c r="G228" s="209"/>
      <c r="H228" s="209"/>
      <c r="I228" s="209"/>
      <c r="J228" s="209"/>
      <c r="K228" s="209" t="s">
        <v>54</v>
      </c>
      <c r="L228" s="209" t="s">
        <v>54</v>
      </c>
      <c r="M228" s="209"/>
      <c r="N228" s="209"/>
      <c r="O228" s="209"/>
      <c r="P228" s="210"/>
      <c r="Q228" s="209"/>
      <c r="R228" s="212"/>
      <c r="S228" s="209"/>
      <c r="T228" s="209"/>
      <c r="U228" s="209" t="s">
        <v>54</v>
      </c>
      <c r="V228" s="209"/>
      <c r="W228" s="209"/>
      <c r="X228" s="209"/>
      <c r="Y228" s="209"/>
      <c r="Z228" s="209"/>
      <c r="AA228" s="209" t="s">
        <v>54</v>
      </c>
      <c r="AB228" s="212"/>
      <c r="AC228" s="212"/>
    </row>
    <row r="229" spans="1:29" outlineLevel="2" x14ac:dyDescent="0.25">
      <c r="A229" s="201">
        <v>46008</v>
      </c>
      <c r="D229" s="198" t="s">
        <v>54</v>
      </c>
      <c r="E229" s="202">
        <v>7021000</v>
      </c>
      <c r="K229" s="198" t="s">
        <v>1815</v>
      </c>
      <c r="L229" s="198" t="s">
        <v>148</v>
      </c>
      <c r="P229" s="201"/>
      <c r="R229" s="202">
        <v>7021000</v>
      </c>
      <c r="U229" s="198" t="s">
        <v>148</v>
      </c>
      <c r="AA229" s="198" t="s">
        <v>51</v>
      </c>
      <c r="AB229" s="202">
        <v>7021000</v>
      </c>
      <c r="AC229" s="202">
        <v>7021000</v>
      </c>
    </row>
    <row r="230" spans="1:29" outlineLevel="2" x14ac:dyDescent="0.25">
      <c r="A230" s="201">
        <v>46021</v>
      </c>
      <c r="D230" s="198" t="s">
        <v>54</v>
      </c>
      <c r="E230" s="202">
        <v>-1331000</v>
      </c>
      <c r="K230" s="198" t="s">
        <v>1815</v>
      </c>
      <c r="L230" s="198" t="s">
        <v>148</v>
      </c>
      <c r="P230" s="201"/>
      <c r="R230" s="202">
        <v>-1331000</v>
      </c>
      <c r="U230" s="198" t="s">
        <v>148</v>
      </c>
      <c r="AA230" s="198" t="s">
        <v>51</v>
      </c>
      <c r="AB230" s="202">
        <v>-1331000</v>
      </c>
      <c r="AC230" s="202">
        <v>-1331000</v>
      </c>
    </row>
    <row r="231" spans="1:29" outlineLevel="2" x14ac:dyDescent="0.25">
      <c r="A231" s="201">
        <v>46022</v>
      </c>
      <c r="D231" s="198" t="s">
        <v>54</v>
      </c>
      <c r="E231" s="202">
        <v>437000</v>
      </c>
      <c r="K231" s="198" t="s">
        <v>1815</v>
      </c>
      <c r="L231" s="198" t="s">
        <v>148</v>
      </c>
      <c r="P231" s="201"/>
      <c r="R231" s="202">
        <v>437000</v>
      </c>
      <c r="U231" s="198" t="s">
        <v>148</v>
      </c>
      <c r="AA231" s="198" t="s">
        <v>51</v>
      </c>
      <c r="AB231" s="202">
        <v>437000</v>
      </c>
      <c r="AC231" s="202">
        <v>437000</v>
      </c>
    </row>
    <row r="232" spans="1:29" outlineLevel="2" x14ac:dyDescent="0.25">
      <c r="A232" s="201">
        <v>46022</v>
      </c>
      <c r="D232" s="198" t="s">
        <v>54</v>
      </c>
      <c r="E232" s="202">
        <v>200000</v>
      </c>
      <c r="K232" s="198" t="s">
        <v>1815</v>
      </c>
      <c r="L232" s="198" t="s">
        <v>148</v>
      </c>
      <c r="P232" s="201"/>
      <c r="R232" s="202">
        <v>200000</v>
      </c>
      <c r="U232" s="198" t="s">
        <v>148</v>
      </c>
      <c r="AA232" s="198" t="s">
        <v>51</v>
      </c>
      <c r="AB232" s="202">
        <v>200000</v>
      </c>
      <c r="AC232" s="202">
        <v>200000</v>
      </c>
    </row>
    <row r="233" spans="1:29" outlineLevel="2" x14ac:dyDescent="0.25">
      <c r="A233" s="201">
        <v>46023</v>
      </c>
      <c r="D233" s="198" t="s">
        <v>54</v>
      </c>
      <c r="E233" s="202">
        <v>12625000</v>
      </c>
      <c r="K233" s="198" t="s">
        <v>1815</v>
      </c>
      <c r="L233" s="198" t="s">
        <v>148</v>
      </c>
      <c r="P233" s="201"/>
      <c r="R233" s="202">
        <v>12625000</v>
      </c>
      <c r="U233" s="198" t="s">
        <v>148</v>
      </c>
      <c r="AA233" s="198" t="s">
        <v>51</v>
      </c>
      <c r="AB233" s="202">
        <v>12625000</v>
      </c>
      <c r="AC233" s="202">
        <v>12625000</v>
      </c>
    </row>
    <row r="234" spans="1:29" outlineLevel="2" x14ac:dyDescent="0.25">
      <c r="A234" s="201">
        <v>46024</v>
      </c>
      <c r="D234" s="198" t="s">
        <v>54</v>
      </c>
      <c r="E234" s="202">
        <v>14500</v>
      </c>
      <c r="K234" s="198" t="s">
        <v>1815</v>
      </c>
      <c r="L234" s="198" t="s">
        <v>148</v>
      </c>
      <c r="P234" s="201"/>
      <c r="R234" s="202">
        <v>14500</v>
      </c>
      <c r="U234" s="198" t="s">
        <v>148</v>
      </c>
      <c r="AA234" s="198" t="s">
        <v>51</v>
      </c>
      <c r="AB234" s="202">
        <v>14500</v>
      </c>
      <c r="AC234" s="202">
        <v>14500</v>
      </c>
    </row>
    <row r="235" spans="1:29" outlineLevel="2" x14ac:dyDescent="0.25">
      <c r="A235" s="201">
        <v>46024</v>
      </c>
      <c r="D235" s="198" t="s">
        <v>54</v>
      </c>
      <c r="E235" s="202">
        <v>450000</v>
      </c>
      <c r="K235" s="198" t="s">
        <v>1815</v>
      </c>
      <c r="L235" s="198" t="s">
        <v>148</v>
      </c>
      <c r="P235" s="201"/>
      <c r="R235" s="202">
        <v>450000</v>
      </c>
      <c r="U235" s="198" t="s">
        <v>148</v>
      </c>
      <c r="AA235" s="198" t="s">
        <v>51</v>
      </c>
      <c r="AB235" s="202">
        <v>450000</v>
      </c>
      <c r="AC235" s="202">
        <v>450000</v>
      </c>
    </row>
    <row r="236" spans="1:29" outlineLevel="2" x14ac:dyDescent="0.25">
      <c r="A236" s="201">
        <v>46029</v>
      </c>
      <c r="D236" s="198" t="s">
        <v>54</v>
      </c>
      <c r="E236" s="202">
        <v>7940000</v>
      </c>
      <c r="K236" s="198" t="s">
        <v>1815</v>
      </c>
      <c r="L236" s="198" t="s">
        <v>148</v>
      </c>
      <c r="P236" s="201"/>
      <c r="R236" s="202">
        <v>7940000</v>
      </c>
      <c r="U236" s="198" t="s">
        <v>148</v>
      </c>
      <c r="AA236" s="198" t="s">
        <v>51</v>
      </c>
      <c r="AB236" s="202">
        <v>7940000</v>
      </c>
      <c r="AC236" s="202">
        <v>7940000</v>
      </c>
    </row>
    <row r="237" spans="1:29" outlineLevel="2" x14ac:dyDescent="0.25">
      <c r="A237" s="201">
        <v>46031</v>
      </c>
      <c r="D237" s="198" t="s">
        <v>54</v>
      </c>
      <c r="E237" s="202">
        <v>2124000</v>
      </c>
      <c r="K237" s="198" t="s">
        <v>1815</v>
      </c>
      <c r="L237" s="198" t="s">
        <v>148</v>
      </c>
      <c r="P237" s="201"/>
      <c r="R237" s="202">
        <v>2124000</v>
      </c>
      <c r="U237" s="198" t="s">
        <v>148</v>
      </c>
      <c r="AA237" s="198" t="s">
        <v>51</v>
      </c>
      <c r="AB237" s="202">
        <v>2124000</v>
      </c>
      <c r="AC237" s="202">
        <v>2124000</v>
      </c>
    </row>
    <row r="238" spans="1:29" outlineLevel="2" x14ac:dyDescent="0.25">
      <c r="A238" s="201">
        <v>46045</v>
      </c>
      <c r="D238" s="198" t="s">
        <v>54</v>
      </c>
      <c r="E238" s="202">
        <v>100000</v>
      </c>
      <c r="K238" s="198" t="s">
        <v>1815</v>
      </c>
      <c r="L238" s="198" t="s">
        <v>148</v>
      </c>
      <c r="P238" s="201"/>
      <c r="R238" s="202">
        <v>100000</v>
      </c>
      <c r="U238" s="198" t="s">
        <v>148</v>
      </c>
      <c r="AA238" s="198" t="s">
        <v>51</v>
      </c>
      <c r="AB238" s="202">
        <v>100000</v>
      </c>
      <c r="AC238" s="202">
        <v>100000</v>
      </c>
    </row>
    <row r="239" spans="1:29" outlineLevel="2" x14ac:dyDescent="0.25">
      <c r="A239" s="201">
        <v>46051</v>
      </c>
      <c r="D239" s="198" t="s">
        <v>54</v>
      </c>
      <c r="E239" s="202">
        <v>10000000</v>
      </c>
      <c r="K239" s="198" t="s">
        <v>1815</v>
      </c>
      <c r="L239" s="198" t="s">
        <v>148</v>
      </c>
      <c r="P239" s="201"/>
      <c r="R239" s="202">
        <v>10000000</v>
      </c>
      <c r="U239" s="198" t="s">
        <v>148</v>
      </c>
      <c r="AA239" s="198" t="s">
        <v>51</v>
      </c>
      <c r="AB239" s="202">
        <v>10000000</v>
      </c>
      <c r="AC239" s="202">
        <v>10000000</v>
      </c>
    </row>
    <row r="240" spans="1:29" outlineLevel="2" x14ac:dyDescent="0.25">
      <c r="A240" s="201">
        <v>46056</v>
      </c>
      <c r="D240" s="198" t="s">
        <v>54</v>
      </c>
      <c r="E240" s="202">
        <v>800000</v>
      </c>
      <c r="K240" s="198" t="s">
        <v>1815</v>
      </c>
      <c r="L240" s="198" t="s">
        <v>148</v>
      </c>
      <c r="P240" s="201"/>
      <c r="R240" s="202">
        <v>800000</v>
      </c>
      <c r="U240" s="198" t="s">
        <v>148</v>
      </c>
      <c r="AA240" s="198" t="s">
        <v>51</v>
      </c>
      <c r="AB240" s="202">
        <v>800000</v>
      </c>
      <c r="AC240" s="202">
        <v>800000</v>
      </c>
    </row>
    <row r="241" spans="1:29" outlineLevel="2" x14ac:dyDescent="0.25">
      <c r="A241" s="201">
        <v>46058</v>
      </c>
      <c r="D241" s="198" t="s">
        <v>54</v>
      </c>
      <c r="E241" s="202">
        <v>408000</v>
      </c>
      <c r="K241" s="198" t="s">
        <v>1815</v>
      </c>
      <c r="L241" s="198" t="s">
        <v>148</v>
      </c>
      <c r="P241" s="201"/>
      <c r="R241" s="202">
        <v>408000</v>
      </c>
      <c r="U241" s="198" t="s">
        <v>148</v>
      </c>
      <c r="AA241" s="198" t="s">
        <v>51</v>
      </c>
      <c r="AB241" s="202">
        <v>408000</v>
      </c>
      <c r="AC241" s="202">
        <v>408000</v>
      </c>
    </row>
    <row r="242" spans="1:29" outlineLevel="2" x14ac:dyDescent="0.25">
      <c r="A242" s="201">
        <v>46058</v>
      </c>
      <c r="D242" s="198" t="s">
        <v>54</v>
      </c>
      <c r="E242" s="202">
        <v>490560</v>
      </c>
      <c r="K242" s="198" t="s">
        <v>1815</v>
      </c>
      <c r="L242" s="198" t="s">
        <v>148</v>
      </c>
      <c r="P242" s="201"/>
      <c r="R242" s="202">
        <v>490560</v>
      </c>
      <c r="U242" s="198" t="s">
        <v>148</v>
      </c>
      <c r="AA242" s="198" t="s">
        <v>51</v>
      </c>
      <c r="AB242" s="202">
        <v>490560</v>
      </c>
      <c r="AC242" s="202">
        <v>490560</v>
      </c>
    </row>
    <row r="243" spans="1:29" outlineLevel="2" x14ac:dyDescent="0.25">
      <c r="A243" s="201">
        <v>46058</v>
      </c>
      <c r="D243" s="198" t="s">
        <v>54</v>
      </c>
      <c r="E243" s="202">
        <v>532000</v>
      </c>
      <c r="K243" s="198" t="s">
        <v>1815</v>
      </c>
      <c r="L243" s="198" t="s">
        <v>148</v>
      </c>
      <c r="P243" s="201"/>
      <c r="R243" s="202">
        <v>532000</v>
      </c>
      <c r="U243" s="198" t="s">
        <v>148</v>
      </c>
      <c r="AA243" s="198" t="s">
        <v>51</v>
      </c>
      <c r="AB243" s="202">
        <v>532000</v>
      </c>
      <c r="AC243" s="202">
        <v>532000</v>
      </c>
    </row>
    <row r="244" spans="1:29" outlineLevel="2" x14ac:dyDescent="0.25">
      <c r="A244" s="201">
        <v>46060</v>
      </c>
      <c r="D244" s="198" t="s">
        <v>54</v>
      </c>
      <c r="E244" s="202">
        <v>6273340</v>
      </c>
      <c r="K244" s="198" t="s">
        <v>1815</v>
      </c>
      <c r="L244" s="198" t="s">
        <v>148</v>
      </c>
      <c r="P244" s="201"/>
      <c r="R244" s="202">
        <v>6273340</v>
      </c>
      <c r="U244" s="198" t="s">
        <v>148</v>
      </c>
      <c r="AA244" s="198" t="s">
        <v>51</v>
      </c>
      <c r="AB244" s="202">
        <v>6273340</v>
      </c>
      <c r="AC244" s="202">
        <v>6273340</v>
      </c>
    </row>
    <row r="245" spans="1:29" outlineLevel="2" x14ac:dyDescent="0.25">
      <c r="A245" s="201">
        <v>46064</v>
      </c>
      <c r="D245" s="198" t="s">
        <v>54</v>
      </c>
      <c r="E245" s="202">
        <v>375000</v>
      </c>
      <c r="K245" s="198" t="s">
        <v>1815</v>
      </c>
      <c r="L245" s="198" t="s">
        <v>148</v>
      </c>
      <c r="P245" s="201"/>
      <c r="R245" s="202">
        <v>375000</v>
      </c>
      <c r="U245" s="198" t="s">
        <v>148</v>
      </c>
      <c r="AA245" s="198" t="s">
        <v>51</v>
      </c>
      <c r="AB245" s="202">
        <v>375000</v>
      </c>
      <c r="AC245" s="202">
        <v>375000</v>
      </c>
    </row>
    <row r="246" spans="1:29" outlineLevel="2" x14ac:dyDescent="0.25">
      <c r="A246" s="201">
        <v>46064</v>
      </c>
      <c r="D246" s="198" t="s">
        <v>54</v>
      </c>
      <c r="E246" s="202">
        <v>-375000</v>
      </c>
      <c r="K246" s="198" t="s">
        <v>1815</v>
      </c>
      <c r="L246" s="198" t="s">
        <v>148</v>
      </c>
      <c r="P246" s="201"/>
      <c r="R246" s="202">
        <v>-375000</v>
      </c>
      <c r="U246" s="198" t="s">
        <v>148</v>
      </c>
      <c r="AA246" s="198" t="s">
        <v>51</v>
      </c>
      <c r="AB246" s="202">
        <v>-375000</v>
      </c>
      <c r="AC246" s="202">
        <v>-375000</v>
      </c>
    </row>
    <row r="247" spans="1:29" outlineLevel="2" x14ac:dyDescent="0.25">
      <c r="A247" s="201">
        <v>46064</v>
      </c>
      <c r="D247" s="198" t="s">
        <v>54</v>
      </c>
      <c r="E247" s="202">
        <v>-800000</v>
      </c>
      <c r="K247" s="198" t="s">
        <v>1815</v>
      </c>
      <c r="L247" s="198" t="s">
        <v>148</v>
      </c>
      <c r="P247" s="201"/>
      <c r="R247" s="202">
        <v>-800000</v>
      </c>
      <c r="U247" s="198" t="s">
        <v>148</v>
      </c>
      <c r="AA247" s="198" t="s">
        <v>51</v>
      </c>
      <c r="AB247" s="202">
        <v>-800000</v>
      </c>
      <c r="AC247" s="202">
        <v>-800000</v>
      </c>
    </row>
    <row r="248" spans="1:29" outlineLevel="2" x14ac:dyDescent="0.25">
      <c r="A248" s="201">
        <v>46066</v>
      </c>
      <c r="D248" s="198" t="s">
        <v>54</v>
      </c>
      <c r="E248" s="202">
        <v>1062000</v>
      </c>
      <c r="K248" s="198" t="s">
        <v>1815</v>
      </c>
      <c r="L248" s="198" t="s">
        <v>148</v>
      </c>
      <c r="P248" s="201"/>
      <c r="R248" s="202">
        <v>1062000</v>
      </c>
      <c r="U248" s="198" t="s">
        <v>148</v>
      </c>
      <c r="AA248" s="198" t="s">
        <v>51</v>
      </c>
      <c r="AB248" s="202">
        <v>1062000</v>
      </c>
      <c r="AC248" s="202">
        <v>1062000</v>
      </c>
    </row>
    <row r="249" spans="1:29" outlineLevel="2" x14ac:dyDescent="0.25">
      <c r="A249" s="201">
        <v>46066</v>
      </c>
      <c r="D249" s="198" t="s">
        <v>54</v>
      </c>
      <c r="E249" s="202">
        <v>1059322034</v>
      </c>
      <c r="K249" s="198" t="s">
        <v>1815</v>
      </c>
      <c r="L249" s="198" t="s">
        <v>148</v>
      </c>
      <c r="P249" s="201"/>
      <c r="R249" s="202">
        <v>1059322034</v>
      </c>
      <c r="U249" s="198" t="s">
        <v>148</v>
      </c>
      <c r="AA249" s="198" t="s">
        <v>51</v>
      </c>
      <c r="AB249" s="202">
        <v>1059322034</v>
      </c>
      <c r="AC249" s="202">
        <v>1059322034</v>
      </c>
    </row>
    <row r="250" spans="1:29" outlineLevel="2" x14ac:dyDescent="0.25">
      <c r="A250" s="201">
        <v>46067</v>
      </c>
      <c r="D250" s="198" t="s">
        <v>54</v>
      </c>
      <c r="E250" s="202">
        <v>88300.800000000003</v>
      </c>
      <c r="K250" s="198" t="s">
        <v>1815</v>
      </c>
      <c r="L250" s="198" t="s">
        <v>148</v>
      </c>
      <c r="P250" s="201"/>
      <c r="R250" s="202">
        <v>88300.800000000003</v>
      </c>
      <c r="U250" s="198" t="s">
        <v>148</v>
      </c>
      <c r="AA250" s="198" t="s">
        <v>51</v>
      </c>
      <c r="AB250" s="202">
        <v>88300.800000000003</v>
      </c>
      <c r="AC250" s="202">
        <v>88300.800000000003</v>
      </c>
    </row>
    <row r="251" spans="1:29" outlineLevel="2" x14ac:dyDescent="0.25">
      <c r="A251" s="201">
        <v>46070</v>
      </c>
      <c r="D251" s="198" t="s">
        <v>54</v>
      </c>
      <c r="E251" s="202">
        <v>134000</v>
      </c>
      <c r="K251" s="198" t="s">
        <v>1815</v>
      </c>
      <c r="L251" s="198" t="s">
        <v>148</v>
      </c>
      <c r="P251" s="201"/>
      <c r="R251" s="202">
        <v>134000</v>
      </c>
      <c r="U251" s="198" t="s">
        <v>148</v>
      </c>
      <c r="AA251" s="198" t="s">
        <v>51</v>
      </c>
      <c r="AB251" s="202">
        <v>134000</v>
      </c>
      <c r="AC251" s="202">
        <v>134000</v>
      </c>
    </row>
    <row r="252" spans="1:29" outlineLevel="2" x14ac:dyDescent="0.25">
      <c r="A252" s="201">
        <v>46078</v>
      </c>
      <c r="D252" s="198" t="s">
        <v>54</v>
      </c>
      <c r="E252" s="202">
        <v>602649.19999999995</v>
      </c>
      <c r="K252" s="198" t="s">
        <v>1815</v>
      </c>
      <c r="L252" s="198" t="s">
        <v>148</v>
      </c>
      <c r="P252" s="201"/>
      <c r="R252" s="202">
        <v>602649.19999999995</v>
      </c>
      <c r="U252" s="198" t="s">
        <v>148</v>
      </c>
      <c r="AA252" s="198" t="s">
        <v>51</v>
      </c>
      <c r="AB252" s="202">
        <v>602649.19999999995</v>
      </c>
      <c r="AC252" s="202">
        <v>602649.19999999995</v>
      </c>
    </row>
    <row r="253" spans="1:29" outlineLevel="2" x14ac:dyDescent="0.25">
      <c r="A253" s="201">
        <v>46098</v>
      </c>
      <c r="D253" s="198" t="s">
        <v>54</v>
      </c>
      <c r="E253" s="202">
        <v>1045984</v>
      </c>
      <c r="K253" s="198" t="s">
        <v>1815</v>
      </c>
      <c r="L253" s="198" t="s">
        <v>148</v>
      </c>
      <c r="P253" s="201"/>
      <c r="R253" s="202">
        <v>1045984</v>
      </c>
      <c r="U253" s="198" t="s">
        <v>148</v>
      </c>
      <c r="AA253" s="198" t="s">
        <v>51</v>
      </c>
      <c r="AB253" s="202">
        <v>1045984</v>
      </c>
      <c r="AC253" s="202">
        <v>1045984</v>
      </c>
    </row>
    <row r="254" spans="1:29" outlineLevel="2" x14ac:dyDescent="0.25">
      <c r="A254" s="201">
        <v>46115</v>
      </c>
      <c r="D254" s="198" t="s">
        <v>54</v>
      </c>
      <c r="E254" s="202">
        <v>134277.9</v>
      </c>
      <c r="K254" s="198" t="s">
        <v>1815</v>
      </c>
      <c r="L254" s="198" t="s">
        <v>148</v>
      </c>
      <c r="P254" s="201"/>
      <c r="R254" s="202">
        <v>134277.9</v>
      </c>
      <c r="U254" s="198" t="s">
        <v>148</v>
      </c>
      <c r="AA254" s="198" t="s">
        <v>51</v>
      </c>
      <c r="AB254" s="202">
        <v>134277.9</v>
      </c>
      <c r="AC254" s="202">
        <v>134277.9</v>
      </c>
    </row>
    <row r="255" spans="1:29" outlineLevel="2" x14ac:dyDescent="0.25">
      <c r="A255" s="201">
        <v>46116</v>
      </c>
      <c r="D255" s="198" t="s">
        <v>54</v>
      </c>
      <c r="E255" s="202">
        <v>441000</v>
      </c>
      <c r="K255" s="198" t="s">
        <v>1815</v>
      </c>
      <c r="L255" s="198" t="s">
        <v>148</v>
      </c>
      <c r="P255" s="201"/>
      <c r="R255" s="202">
        <v>441000</v>
      </c>
      <c r="U255" s="198" t="s">
        <v>148</v>
      </c>
      <c r="AA255" s="198" t="s">
        <v>51</v>
      </c>
      <c r="AB255" s="202">
        <v>441000</v>
      </c>
      <c r="AC255" s="202">
        <v>441000</v>
      </c>
    </row>
    <row r="256" spans="1:29" outlineLevel="2" x14ac:dyDescent="0.25">
      <c r="A256" s="201">
        <v>46122</v>
      </c>
      <c r="D256" s="198" t="s">
        <v>54</v>
      </c>
      <c r="E256" s="202">
        <v>311030</v>
      </c>
      <c r="K256" s="198" t="s">
        <v>1815</v>
      </c>
      <c r="L256" s="198" t="s">
        <v>148</v>
      </c>
      <c r="P256" s="201"/>
      <c r="R256" s="202">
        <v>311030</v>
      </c>
      <c r="U256" s="198" t="s">
        <v>148</v>
      </c>
      <c r="AA256" s="198" t="s">
        <v>51</v>
      </c>
      <c r="AB256" s="202">
        <v>311030</v>
      </c>
      <c r="AC256" s="202">
        <v>311030</v>
      </c>
    </row>
    <row r="257" spans="1:29" outlineLevel="2" x14ac:dyDescent="0.25">
      <c r="A257" s="201">
        <v>46134</v>
      </c>
      <c r="D257" s="198" t="s">
        <v>54</v>
      </c>
      <c r="E257" s="202">
        <v>1293100</v>
      </c>
      <c r="K257" s="198" t="s">
        <v>1815</v>
      </c>
      <c r="L257" s="198" t="s">
        <v>148</v>
      </c>
      <c r="P257" s="201"/>
      <c r="R257" s="202">
        <v>1293100</v>
      </c>
      <c r="U257" s="198" t="s">
        <v>148</v>
      </c>
      <c r="AA257" s="198" t="s">
        <v>51</v>
      </c>
      <c r="AB257" s="202">
        <v>1293100</v>
      </c>
      <c r="AC257" s="202">
        <v>1293100</v>
      </c>
    </row>
    <row r="258" spans="1:29" outlineLevel="1" x14ac:dyDescent="0.25">
      <c r="A258" s="210"/>
      <c r="B258" s="209"/>
      <c r="C258" s="209"/>
      <c r="D258" s="209" t="s">
        <v>54</v>
      </c>
      <c r="E258" s="211">
        <v>1111718775.9000001</v>
      </c>
      <c r="F258" s="209"/>
      <c r="G258" s="209"/>
      <c r="H258" s="209"/>
      <c r="I258" s="209"/>
      <c r="J258" s="209"/>
      <c r="K258" s="209" t="s">
        <v>54</v>
      </c>
      <c r="L258" s="209" t="s">
        <v>54</v>
      </c>
      <c r="M258" s="209"/>
      <c r="N258" s="209"/>
      <c r="O258" s="209"/>
      <c r="P258" s="210"/>
      <c r="Q258" s="209"/>
      <c r="R258" s="212"/>
      <c r="S258" s="209"/>
      <c r="T258" s="209"/>
      <c r="U258" s="209" t="s">
        <v>54</v>
      </c>
      <c r="V258" s="209"/>
      <c r="W258" s="209"/>
      <c r="X258" s="209"/>
      <c r="Y258" s="209"/>
      <c r="Z258" s="209"/>
      <c r="AA258" s="209" t="s">
        <v>54</v>
      </c>
      <c r="AB258" s="212"/>
      <c r="AC258" s="212"/>
    </row>
    <row r="259" spans="1:29" outlineLevel="2" x14ac:dyDescent="0.25">
      <c r="A259" s="201">
        <v>46008</v>
      </c>
      <c r="D259" s="198" t="s">
        <v>54</v>
      </c>
      <c r="E259" s="202">
        <v>7021000</v>
      </c>
      <c r="K259" s="198" t="s">
        <v>1816</v>
      </c>
      <c r="L259" s="198" t="s">
        <v>148</v>
      </c>
      <c r="P259" s="201"/>
      <c r="R259" s="202">
        <v>7021000</v>
      </c>
      <c r="U259" s="198" t="s">
        <v>897</v>
      </c>
      <c r="AA259" s="198" t="s">
        <v>51</v>
      </c>
      <c r="AB259" s="202">
        <v>7021000</v>
      </c>
      <c r="AC259" s="202">
        <v>7021000</v>
      </c>
    </row>
    <row r="260" spans="1:29" outlineLevel="2" x14ac:dyDescent="0.25">
      <c r="A260" s="201">
        <v>46021</v>
      </c>
      <c r="D260" s="198" t="s">
        <v>54</v>
      </c>
      <c r="E260" s="202">
        <v>-1331000</v>
      </c>
      <c r="K260" s="198" t="s">
        <v>1816</v>
      </c>
      <c r="L260" s="198" t="s">
        <v>148</v>
      </c>
      <c r="P260" s="201"/>
      <c r="R260" s="202">
        <v>-1331000</v>
      </c>
      <c r="U260" s="198" t="s">
        <v>897</v>
      </c>
      <c r="AA260" s="198" t="s">
        <v>51</v>
      </c>
      <c r="AB260" s="202">
        <v>-1331000</v>
      </c>
      <c r="AC260" s="202">
        <v>-1331000</v>
      </c>
    </row>
    <row r="261" spans="1:29" outlineLevel="2" x14ac:dyDescent="0.25">
      <c r="A261" s="201">
        <v>46022</v>
      </c>
      <c r="D261" s="198" t="s">
        <v>54</v>
      </c>
      <c r="E261" s="202">
        <v>437000</v>
      </c>
      <c r="K261" s="198" t="s">
        <v>1816</v>
      </c>
      <c r="L261" s="198" t="s">
        <v>148</v>
      </c>
      <c r="P261" s="201"/>
      <c r="R261" s="202">
        <v>437000</v>
      </c>
      <c r="U261" s="198" t="s">
        <v>897</v>
      </c>
      <c r="AA261" s="198" t="s">
        <v>51</v>
      </c>
      <c r="AB261" s="202">
        <v>437000</v>
      </c>
      <c r="AC261" s="202">
        <v>437000</v>
      </c>
    </row>
    <row r="262" spans="1:29" outlineLevel="2" x14ac:dyDescent="0.25">
      <c r="A262" s="201">
        <v>46022</v>
      </c>
      <c r="D262" s="198" t="s">
        <v>54</v>
      </c>
      <c r="E262" s="202">
        <v>200000</v>
      </c>
      <c r="K262" s="198" t="s">
        <v>1816</v>
      </c>
      <c r="L262" s="198" t="s">
        <v>148</v>
      </c>
      <c r="P262" s="201"/>
      <c r="R262" s="202">
        <v>200000</v>
      </c>
      <c r="U262" s="198" t="s">
        <v>897</v>
      </c>
      <c r="AA262" s="198" t="s">
        <v>51</v>
      </c>
      <c r="AB262" s="202">
        <v>200000</v>
      </c>
      <c r="AC262" s="202">
        <v>200000</v>
      </c>
    </row>
    <row r="263" spans="1:29" outlineLevel="2" x14ac:dyDescent="0.25">
      <c r="A263" s="201">
        <v>46023</v>
      </c>
      <c r="D263" s="198" t="s">
        <v>54</v>
      </c>
      <c r="E263" s="202">
        <v>12625000</v>
      </c>
      <c r="K263" s="198" t="s">
        <v>1816</v>
      </c>
      <c r="L263" s="198" t="s">
        <v>148</v>
      </c>
      <c r="P263" s="201"/>
      <c r="R263" s="202">
        <v>12625000</v>
      </c>
      <c r="U263" s="198" t="s">
        <v>897</v>
      </c>
      <c r="AA263" s="198" t="s">
        <v>51</v>
      </c>
      <c r="AB263" s="202">
        <v>12625000</v>
      </c>
      <c r="AC263" s="202">
        <v>12625000</v>
      </c>
    </row>
    <row r="264" spans="1:29" outlineLevel="2" x14ac:dyDescent="0.25">
      <c r="A264" s="201">
        <v>46024</v>
      </c>
      <c r="D264" s="198" t="s">
        <v>54</v>
      </c>
      <c r="E264" s="202">
        <v>14500</v>
      </c>
      <c r="K264" s="198" t="s">
        <v>1816</v>
      </c>
      <c r="L264" s="198" t="s">
        <v>148</v>
      </c>
      <c r="P264" s="201"/>
      <c r="R264" s="202">
        <v>14500</v>
      </c>
      <c r="U264" s="198" t="s">
        <v>897</v>
      </c>
      <c r="AA264" s="198" t="s">
        <v>51</v>
      </c>
      <c r="AB264" s="202">
        <v>14500</v>
      </c>
      <c r="AC264" s="202">
        <v>14500</v>
      </c>
    </row>
    <row r="265" spans="1:29" outlineLevel="2" x14ac:dyDescent="0.25">
      <c r="A265" s="201">
        <v>46024</v>
      </c>
      <c r="D265" s="198" t="s">
        <v>54</v>
      </c>
      <c r="E265" s="202">
        <v>450000</v>
      </c>
      <c r="K265" s="198" t="s">
        <v>1816</v>
      </c>
      <c r="L265" s="198" t="s">
        <v>148</v>
      </c>
      <c r="P265" s="201"/>
      <c r="R265" s="202">
        <v>450000</v>
      </c>
      <c r="U265" s="198" t="s">
        <v>897</v>
      </c>
      <c r="AA265" s="198" t="s">
        <v>51</v>
      </c>
      <c r="AB265" s="202">
        <v>450000</v>
      </c>
      <c r="AC265" s="202">
        <v>450000</v>
      </c>
    </row>
    <row r="266" spans="1:29" outlineLevel="2" x14ac:dyDescent="0.25">
      <c r="A266" s="201">
        <v>46029</v>
      </c>
      <c r="D266" s="198" t="s">
        <v>54</v>
      </c>
      <c r="E266" s="202">
        <v>7940000</v>
      </c>
      <c r="K266" s="198" t="s">
        <v>1816</v>
      </c>
      <c r="L266" s="198" t="s">
        <v>148</v>
      </c>
      <c r="P266" s="201"/>
      <c r="R266" s="202">
        <v>7940000</v>
      </c>
      <c r="U266" s="198" t="s">
        <v>897</v>
      </c>
      <c r="AA266" s="198" t="s">
        <v>51</v>
      </c>
      <c r="AB266" s="202">
        <v>7940000</v>
      </c>
      <c r="AC266" s="202">
        <v>7940000</v>
      </c>
    </row>
    <row r="267" spans="1:29" outlineLevel="2" x14ac:dyDescent="0.25">
      <c r="A267" s="201">
        <v>46051</v>
      </c>
      <c r="D267" s="198" t="s">
        <v>54</v>
      </c>
      <c r="E267" s="202">
        <v>10000000</v>
      </c>
      <c r="K267" s="198" t="s">
        <v>1816</v>
      </c>
      <c r="L267" s="198" t="s">
        <v>148</v>
      </c>
      <c r="P267" s="201"/>
      <c r="R267" s="202">
        <v>10000000</v>
      </c>
      <c r="U267" s="198" t="s">
        <v>897</v>
      </c>
      <c r="AA267" s="198" t="s">
        <v>51</v>
      </c>
      <c r="AB267" s="202">
        <v>10000000</v>
      </c>
      <c r="AC267" s="202">
        <v>10000000</v>
      </c>
    </row>
    <row r="268" spans="1:29" outlineLevel="1" x14ac:dyDescent="0.25">
      <c r="A268" s="210"/>
      <c r="B268" s="209"/>
      <c r="C268" s="209"/>
      <c r="D268" s="209" t="s">
        <v>54</v>
      </c>
      <c r="E268" s="211">
        <v>37356500</v>
      </c>
      <c r="F268" s="209"/>
      <c r="G268" s="209"/>
      <c r="H268" s="209"/>
      <c r="I268" s="209"/>
      <c r="J268" s="209"/>
      <c r="K268" s="209" t="s">
        <v>54</v>
      </c>
      <c r="L268" s="209" t="s">
        <v>54</v>
      </c>
      <c r="M268" s="209"/>
      <c r="N268" s="209"/>
      <c r="O268" s="209"/>
      <c r="P268" s="210"/>
      <c r="Q268" s="209"/>
      <c r="R268" s="212"/>
      <c r="S268" s="209"/>
      <c r="T268" s="209"/>
      <c r="U268" s="209" t="s">
        <v>54</v>
      </c>
      <c r="V268" s="209"/>
      <c r="W268" s="209"/>
      <c r="X268" s="209"/>
      <c r="Y268" s="209"/>
      <c r="Z268" s="209"/>
      <c r="AA268" s="209" t="s">
        <v>54</v>
      </c>
      <c r="AB268" s="212"/>
      <c r="AC268" s="212"/>
    </row>
    <row r="269" spans="1:29" outlineLevel="2" x14ac:dyDescent="0.25">
      <c r="A269" s="201">
        <v>46023</v>
      </c>
      <c r="D269" s="198" t="s">
        <v>54</v>
      </c>
      <c r="E269" s="202">
        <v>12625000</v>
      </c>
      <c r="K269" s="198" t="s">
        <v>1817</v>
      </c>
      <c r="L269" s="198" t="s">
        <v>148</v>
      </c>
      <c r="P269" s="201"/>
      <c r="R269" s="202">
        <v>12625000</v>
      </c>
      <c r="U269" s="198" t="s">
        <v>239</v>
      </c>
      <c r="AA269" s="198" t="s">
        <v>51</v>
      </c>
      <c r="AB269" s="202">
        <v>12625000</v>
      </c>
      <c r="AC269" s="202">
        <v>12625000</v>
      </c>
    </row>
    <row r="270" spans="1:29" outlineLevel="2" x14ac:dyDescent="0.25">
      <c r="A270" s="201">
        <v>46029</v>
      </c>
      <c r="D270" s="198" t="s">
        <v>54</v>
      </c>
      <c r="E270" s="202">
        <v>7940000</v>
      </c>
      <c r="K270" s="198" t="s">
        <v>1817</v>
      </c>
      <c r="L270" s="198" t="s">
        <v>148</v>
      </c>
      <c r="P270" s="201"/>
      <c r="R270" s="202">
        <v>7940000</v>
      </c>
      <c r="U270" s="198" t="s">
        <v>239</v>
      </c>
      <c r="AA270" s="198" t="s">
        <v>51</v>
      </c>
      <c r="AB270" s="202">
        <v>7940000</v>
      </c>
      <c r="AC270" s="202">
        <v>7940000</v>
      </c>
    </row>
    <row r="271" spans="1:29" outlineLevel="1" x14ac:dyDescent="0.25">
      <c r="A271" s="210"/>
      <c r="B271" s="209"/>
      <c r="C271" s="209"/>
      <c r="D271" s="209" t="s">
        <v>54</v>
      </c>
      <c r="E271" s="211">
        <v>20565000</v>
      </c>
      <c r="F271" s="209"/>
      <c r="G271" s="209"/>
      <c r="H271" s="209"/>
      <c r="I271" s="209"/>
      <c r="J271" s="209"/>
      <c r="K271" s="209" t="s">
        <v>54</v>
      </c>
      <c r="L271" s="209" t="s">
        <v>54</v>
      </c>
      <c r="M271" s="209"/>
      <c r="N271" s="209"/>
      <c r="O271" s="209"/>
      <c r="P271" s="210"/>
      <c r="Q271" s="209"/>
      <c r="R271" s="212"/>
      <c r="S271" s="209"/>
      <c r="T271" s="209"/>
      <c r="U271" s="209" t="s">
        <v>54</v>
      </c>
      <c r="V271" s="209"/>
      <c r="W271" s="209"/>
      <c r="X271" s="209"/>
      <c r="Y271" s="209"/>
      <c r="Z271" s="209"/>
      <c r="AA271" s="209" t="s">
        <v>54</v>
      </c>
      <c r="AB271" s="212"/>
      <c r="AC271" s="212"/>
    </row>
    <row r="272" spans="1:29" outlineLevel="2" x14ac:dyDescent="0.25">
      <c r="A272" s="201">
        <v>46008</v>
      </c>
      <c r="D272" s="198" t="s">
        <v>54</v>
      </c>
      <c r="E272" s="202">
        <v>7021000</v>
      </c>
      <c r="K272" s="198" t="s">
        <v>1818</v>
      </c>
      <c r="L272" s="198" t="s">
        <v>148</v>
      </c>
      <c r="P272" s="201"/>
      <c r="R272" s="202">
        <v>7021000</v>
      </c>
      <c r="U272" s="198" t="s">
        <v>195</v>
      </c>
      <c r="AA272" s="198" t="s">
        <v>51</v>
      </c>
      <c r="AB272" s="202">
        <v>7021000</v>
      </c>
      <c r="AC272" s="202">
        <v>7021000</v>
      </c>
    </row>
    <row r="273" spans="1:29" outlineLevel="2" x14ac:dyDescent="0.25">
      <c r="A273" s="201">
        <v>46021</v>
      </c>
      <c r="D273" s="198" t="s">
        <v>54</v>
      </c>
      <c r="E273" s="202">
        <v>-1521000</v>
      </c>
      <c r="K273" s="198" t="s">
        <v>1818</v>
      </c>
      <c r="L273" s="198" t="s">
        <v>148</v>
      </c>
      <c r="P273" s="201"/>
      <c r="R273" s="202">
        <v>-1521000</v>
      </c>
      <c r="U273" s="198" t="s">
        <v>195</v>
      </c>
      <c r="AA273" s="198" t="s">
        <v>51</v>
      </c>
      <c r="AB273" s="202">
        <v>-1521000</v>
      </c>
      <c r="AC273" s="202">
        <v>-1521000</v>
      </c>
    </row>
    <row r="274" spans="1:29" outlineLevel="2" x14ac:dyDescent="0.25">
      <c r="A274" s="201">
        <v>46024</v>
      </c>
      <c r="D274" s="198" t="s">
        <v>54</v>
      </c>
      <c r="E274" s="202">
        <v>450000</v>
      </c>
      <c r="K274" s="198" t="s">
        <v>1818</v>
      </c>
      <c r="L274" s="198" t="s">
        <v>148</v>
      </c>
      <c r="P274" s="201"/>
      <c r="R274" s="202">
        <v>450000</v>
      </c>
      <c r="U274" s="198" t="s">
        <v>195</v>
      </c>
      <c r="AA274" s="198" t="s">
        <v>51</v>
      </c>
      <c r="AB274" s="202">
        <v>450000</v>
      </c>
      <c r="AC274" s="202">
        <v>450000</v>
      </c>
    </row>
    <row r="275" spans="1:29" outlineLevel="2" x14ac:dyDescent="0.25">
      <c r="A275" s="201">
        <v>46051</v>
      </c>
      <c r="D275" s="198" t="s">
        <v>54</v>
      </c>
      <c r="E275" s="202">
        <v>10000000</v>
      </c>
      <c r="K275" s="198" t="s">
        <v>1818</v>
      </c>
      <c r="L275" s="198" t="s">
        <v>148</v>
      </c>
      <c r="P275" s="201"/>
      <c r="R275" s="202">
        <v>10000000</v>
      </c>
      <c r="U275" s="198" t="s">
        <v>195</v>
      </c>
      <c r="AA275" s="198" t="s">
        <v>51</v>
      </c>
      <c r="AB275" s="202">
        <v>10000000</v>
      </c>
      <c r="AC275" s="202">
        <v>10000000</v>
      </c>
    </row>
    <row r="276" spans="1:29" outlineLevel="1" x14ac:dyDescent="0.25">
      <c r="A276" s="210"/>
      <c r="B276" s="209"/>
      <c r="C276" s="209"/>
      <c r="D276" s="209" t="s">
        <v>54</v>
      </c>
      <c r="E276" s="211">
        <v>15950000</v>
      </c>
      <c r="F276" s="209"/>
      <c r="G276" s="209"/>
      <c r="H276" s="209"/>
      <c r="I276" s="209"/>
      <c r="J276" s="209"/>
      <c r="K276" s="209" t="s">
        <v>54</v>
      </c>
      <c r="L276" s="209" t="s">
        <v>54</v>
      </c>
      <c r="M276" s="209"/>
      <c r="N276" s="209"/>
      <c r="O276" s="209"/>
      <c r="P276" s="210"/>
      <c r="Q276" s="209"/>
      <c r="R276" s="212"/>
      <c r="S276" s="209"/>
      <c r="T276" s="209"/>
      <c r="U276" s="209" t="s">
        <v>54</v>
      </c>
      <c r="V276" s="209"/>
      <c r="W276" s="209"/>
      <c r="X276" s="209"/>
      <c r="Y276" s="209"/>
      <c r="Z276" s="209"/>
      <c r="AA276" s="209" t="s">
        <v>54</v>
      </c>
      <c r="AB276" s="212"/>
      <c r="AC276" s="212"/>
    </row>
    <row r="277" spans="1:29" outlineLevel="2" x14ac:dyDescent="0.25">
      <c r="A277" s="201">
        <v>46021</v>
      </c>
      <c r="D277" s="198" t="s">
        <v>54</v>
      </c>
      <c r="E277" s="202">
        <v>190000</v>
      </c>
      <c r="K277" s="198" t="s">
        <v>1819</v>
      </c>
      <c r="L277" s="198" t="s">
        <v>148</v>
      </c>
      <c r="P277" s="201"/>
      <c r="R277" s="202">
        <v>190000</v>
      </c>
      <c r="U277" s="198" t="s">
        <v>684</v>
      </c>
      <c r="AA277" s="198" t="s">
        <v>51</v>
      </c>
      <c r="AB277" s="202">
        <v>190000</v>
      </c>
      <c r="AC277" s="202">
        <v>190000</v>
      </c>
    </row>
    <row r="278" spans="1:29" outlineLevel="2" x14ac:dyDescent="0.25">
      <c r="A278" s="201">
        <v>46022</v>
      </c>
      <c r="D278" s="198" t="s">
        <v>54</v>
      </c>
      <c r="E278" s="202">
        <v>437000</v>
      </c>
      <c r="K278" s="198" t="s">
        <v>1819</v>
      </c>
      <c r="L278" s="198" t="s">
        <v>148</v>
      </c>
      <c r="P278" s="201"/>
      <c r="R278" s="202">
        <v>437000</v>
      </c>
      <c r="U278" s="198" t="s">
        <v>684</v>
      </c>
      <c r="AA278" s="198" t="s">
        <v>51</v>
      </c>
      <c r="AB278" s="202">
        <v>437000</v>
      </c>
      <c r="AC278" s="202">
        <v>437000</v>
      </c>
    </row>
    <row r="279" spans="1:29" outlineLevel="2" x14ac:dyDescent="0.25">
      <c r="A279" s="201">
        <v>46022</v>
      </c>
      <c r="D279" s="198" t="s">
        <v>54</v>
      </c>
      <c r="E279" s="202">
        <v>200000</v>
      </c>
      <c r="K279" s="198" t="s">
        <v>1819</v>
      </c>
      <c r="L279" s="198" t="s">
        <v>148</v>
      </c>
      <c r="P279" s="201"/>
      <c r="R279" s="202">
        <v>200000</v>
      </c>
      <c r="U279" s="198" t="s">
        <v>684</v>
      </c>
      <c r="AA279" s="198" t="s">
        <v>51</v>
      </c>
      <c r="AB279" s="202">
        <v>200000</v>
      </c>
      <c r="AC279" s="202">
        <v>200000</v>
      </c>
    </row>
    <row r="280" spans="1:29" outlineLevel="2" x14ac:dyDescent="0.25">
      <c r="A280" s="201">
        <v>46024</v>
      </c>
      <c r="D280" s="198" t="s">
        <v>54</v>
      </c>
      <c r="E280" s="202">
        <v>14500</v>
      </c>
      <c r="K280" s="198" t="s">
        <v>1819</v>
      </c>
      <c r="L280" s="198" t="s">
        <v>148</v>
      </c>
      <c r="P280" s="201"/>
      <c r="R280" s="202">
        <v>14500</v>
      </c>
      <c r="U280" s="198" t="s">
        <v>684</v>
      </c>
      <c r="AA280" s="198" t="s">
        <v>51</v>
      </c>
      <c r="AB280" s="202">
        <v>14500</v>
      </c>
      <c r="AC280" s="202">
        <v>14500</v>
      </c>
    </row>
    <row r="281" spans="1:29" outlineLevel="1" x14ac:dyDescent="0.25">
      <c r="A281" s="210"/>
      <c r="B281" s="209"/>
      <c r="C281" s="209"/>
      <c r="D281" s="209" t="s">
        <v>54</v>
      </c>
      <c r="E281" s="211">
        <v>841500</v>
      </c>
      <c r="F281" s="209"/>
      <c r="G281" s="209"/>
      <c r="H281" s="209"/>
      <c r="I281" s="209"/>
      <c r="J281" s="209"/>
      <c r="K281" s="209" t="s">
        <v>54</v>
      </c>
      <c r="L281" s="209" t="s">
        <v>54</v>
      </c>
      <c r="M281" s="209"/>
      <c r="N281" s="209"/>
      <c r="O281" s="209"/>
      <c r="P281" s="210"/>
      <c r="Q281" s="209"/>
      <c r="R281" s="212"/>
      <c r="S281" s="209"/>
      <c r="T281" s="209"/>
      <c r="U281" s="209" t="s">
        <v>54</v>
      </c>
      <c r="V281" s="209"/>
      <c r="W281" s="209"/>
      <c r="X281" s="209"/>
      <c r="Y281" s="209"/>
      <c r="Z281" s="209"/>
      <c r="AA281" s="209" t="s">
        <v>54</v>
      </c>
      <c r="AB281" s="212"/>
      <c r="AC281" s="212"/>
    </row>
    <row r="282" spans="1:29" outlineLevel="2" x14ac:dyDescent="0.25">
      <c r="A282" s="201">
        <v>46045</v>
      </c>
      <c r="D282" s="198" t="s">
        <v>54</v>
      </c>
      <c r="E282" s="202">
        <v>100000</v>
      </c>
      <c r="K282" s="198" t="s">
        <v>1820</v>
      </c>
      <c r="L282" s="198" t="s">
        <v>148</v>
      </c>
      <c r="P282" s="201"/>
      <c r="R282" s="202">
        <v>100000</v>
      </c>
      <c r="U282" s="198" t="s">
        <v>898</v>
      </c>
      <c r="AA282" s="198" t="s">
        <v>51</v>
      </c>
      <c r="AB282" s="202">
        <v>100000</v>
      </c>
      <c r="AC282" s="202">
        <v>100000</v>
      </c>
    </row>
    <row r="283" spans="1:29" outlineLevel="1" x14ac:dyDescent="0.25">
      <c r="A283" s="210"/>
      <c r="B283" s="209"/>
      <c r="C283" s="209"/>
      <c r="D283" s="209" t="s">
        <v>54</v>
      </c>
      <c r="E283" s="211">
        <v>100000</v>
      </c>
      <c r="F283" s="209"/>
      <c r="G283" s="209"/>
      <c r="H283" s="209"/>
      <c r="I283" s="209"/>
      <c r="J283" s="209"/>
      <c r="K283" s="209" t="s">
        <v>54</v>
      </c>
      <c r="L283" s="209" t="s">
        <v>54</v>
      </c>
      <c r="M283" s="209"/>
      <c r="N283" s="209"/>
      <c r="O283" s="209"/>
      <c r="P283" s="210"/>
      <c r="Q283" s="209"/>
      <c r="R283" s="212"/>
      <c r="S283" s="209"/>
      <c r="T283" s="209"/>
      <c r="U283" s="209" t="s">
        <v>54</v>
      </c>
      <c r="V283" s="209"/>
      <c r="W283" s="209"/>
      <c r="X283" s="209"/>
      <c r="Y283" s="209"/>
      <c r="Z283" s="209"/>
      <c r="AA283" s="209" t="s">
        <v>54</v>
      </c>
      <c r="AB283" s="212"/>
      <c r="AC283" s="212"/>
    </row>
    <row r="284" spans="1:29" outlineLevel="2" x14ac:dyDescent="0.25">
      <c r="A284" s="201">
        <v>46045</v>
      </c>
      <c r="D284" s="198" t="s">
        <v>54</v>
      </c>
      <c r="E284" s="202">
        <v>100000</v>
      </c>
      <c r="K284" s="198" t="s">
        <v>1821</v>
      </c>
      <c r="L284" s="198" t="s">
        <v>148</v>
      </c>
      <c r="P284" s="201"/>
      <c r="R284" s="202">
        <v>100000</v>
      </c>
      <c r="U284" s="198" t="s">
        <v>827</v>
      </c>
      <c r="AA284" s="198" t="s">
        <v>51</v>
      </c>
      <c r="AB284" s="202">
        <v>100000</v>
      </c>
      <c r="AC284" s="202">
        <v>100000</v>
      </c>
    </row>
    <row r="285" spans="1:29" outlineLevel="1" x14ac:dyDescent="0.25">
      <c r="A285" s="210"/>
      <c r="B285" s="209"/>
      <c r="C285" s="209"/>
      <c r="D285" s="209" t="s">
        <v>54</v>
      </c>
      <c r="E285" s="211">
        <v>100000</v>
      </c>
      <c r="F285" s="209"/>
      <c r="G285" s="209"/>
      <c r="H285" s="209"/>
      <c r="I285" s="209"/>
      <c r="J285" s="209"/>
      <c r="K285" s="209" t="s">
        <v>54</v>
      </c>
      <c r="L285" s="209" t="s">
        <v>54</v>
      </c>
      <c r="M285" s="209"/>
      <c r="N285" s="209"/>
      <c r="O285" s="209"/>
      <c r="P285" s="210"/>
      <c r="Q285" s="209"/>
      <c r="R285" s="212"/>
      <c r="S285" s="209"/>
      <c r="T285" s="209"/>
      <c r="U285" s="209" t="s">
        <v>54</v>
      </c>
      <c r="V285" s="209"/>
      <c r="W285" s="209"/>
      <c r="X285" s="209"/>
      <c r="Y285" s="209"/>
      <c r="Z285" s="209"/>
      <c r="AA285" s="209" t="s">
        <v>54</v>
      </c>
      <c r="AB285" s="212"/>
      <c r="AC285" s="212"/>
    </row>
    <row r="286" spans="1:29" outlineLevel="2" x14ac:dyDescent="0.25">
      <c r="A286" s="201">
        <v>46031</v>
      </c>
      <c r="D286" s="198" t="s">
        <v>54</v>
      </c>
      <c r="E286" s="202">
        <v>2124000</v>
      </c>
      <c r="K286" s="198" t="s">
        <v>1822</v>
      </c>
      <c r="L286" s="198" t="s">
        <v>148</v>
      </c>
      <c r="P286" s="201"/>
      <c r="R286" s="202">
        <v>2124000</v>
      </c>
      <c r="U286" s="198" t="s">
        <v>899</v>
      </c>
      <c r="AA286" s="198" t="s">
        <v>51</v>
      </c>
      <c r="AB286" s="202">
        <v>2124000</v>
      </c>
      <c r="AC286" s="202">
        <v>2124000</v>
      </c>
    </row>
    <row r="287" spans="1:29" outlineLevel="2" x14ac:dyDescent="0.25">
      <c r="A287" s="201">
        <v>46056</v>
      </c>
      <c r="D287" s="198" t="s">
        <v>54</v>
      </c>
      <c r="E287" s="202">
        <v>800000</v>
      </c>
      <c r="K287" s="198" t="s">
        <v>1822</v>
      </c>
      <c r="L287" s="198" t="s">
        <v>148</v>
      </c>
      <c r="P287" s="201"/>
      <c r="R287" s="202">
        <v>800000</v>
      </c>
      <c r="U287" s="198" t="s">
        <v>899</v>
      </c>
      <c r="AA287" s="198" t="s">
        <v>51</v>
      </c>
      <c r="AB287" s="202">
        <v>800000</v>
      </c>
      <c r="AC287" s="202">
        <v>800000</v>
      </c>
    </row>
    <row r="288" spans="1:29" outlineLevel="2" x14ac:dyDescent="0.25">
      <c r="A288" s="201">
        <v>46058</v>
      </c>
      <c r="D288" s="198" t="s">
        <v>54</v>
      </c>
      <c r="E288" s="202">
        <v>408000</v>
      </c>
      <c r="K288" s="198" t="s">
        <v>1822</v>
      </c>
      <c r="L288" s="198" t="s">
        <v>148</v>
      </c>
      <c r="P288" s="201"/>
      <c r="R288" s="202">
        <v>408000</v>
      </c>
      <c r="U288" s="198" t="s">
        <v>899</v>
      </c>
      <c r="AA288" s="198" t="s">
        <v>51</v>
      </c>
      <c r="AB288" s="202">
        <v>408000</v>
      </c>
      <c r="AC288" s="202">
        <v>408000</v>
      </c>
    </row>
    <row r="289" spans="1:29" outlineLevel="2" x14ac:dyDescent="0.25">
      <c r="A289" s="201">
        <v>46058</v>
      </c>
      <c r="D289" s="198" t="s">
        <v>54</v>
      </c>
      <c r="E289" s="202">
        <v>490560</v>
      </c>
      <c r="K289" s="198" t="s">
        <v>1822</v>
      </c>
      <c r="L289" s="198" t="s">
        <v>148</v>
      </c>
      <c r="P289" s="201"/>
      <c r="R289" s="202">
        <v>490560</v>
      </c>
      <c r="U289" s="198" t="s">
        <v>899</v>
      </c>
      <c r="AA289" s="198" t="s">
        <v>51</v>
      </c>
      <c r="AB289" s="202">
        <v>490560</v>
      </c>
      <c r="AC289" s="202">
        <v>490560</v>
      </c>
    </row>
    <row r="290" spans="1:29" outlineLevel="2" x14ac:dyDescent="0.25">
      <c r="A290" s="201">
        <v>46058</v>
      </c>
      <c r="D290" s="198" t="s">
        <v>54</v>
      </c>
      <c r="E290" s="202">
        <v>532000</v>
      </c>
      <c r="K290" s="198" t="s">
        <v>1822</v>
      </c>
      <c r="L290" s="198" t="s">
        <v>148</v>
      </c>
      <c r="P290" s="201"/>
      <c r="R290" s="202">
        <v>532000</v>
      </c>
      <c r="U290" s="198" t="s">
        <v>899</v>
      </c>
      <c r="AA290" s="198" t="s">
        <v>51</v>
      </c>
      <c r="AB290" s="202">
        <v>532000</v>
      </c>
      <c r="AC290" s="202">
        <v>532000</v>
      </c>
    </row>
    <row r="291" spans="1:29" outlineLevel="2" x14ac:dyDescent="0.25">
      <c r="A291" s="201">
        <v>46060</v>
      </c>
      <c r="D291" s="198" t="s">
        <v>54</v>
      </c>
      <c r="E291" s="202">
        <v>6273340</v>
      </c>
      <c r="K291" s="198" t="s">
        <v>1822</v>
      </c>
      <c r="L291" s="198" t="s">
        <v>148</v>
      </c>
      <c r="P291" s="201"/>
      <c r="R291" s="202">
        <v>6273340</v>
      </c>
      <c r="U291" s="198" t="s">
        <v>899</v>
      </c>
      <c r="AA291" s="198" t="s">
        <v>51</v>
      </c>
      <c r="AB291" s="202">
        <v>6273340</v>
      </c>
      <c r="AC291" s="202">
        <v>6273340</v>
      </c>
    </row>
    <row r="292" spans="1:29" outlineLevel="2" x14ac:dyDescent="0.25">
      <c r="A292" s="201">
        <v>46064</v>
      </c>
      <c r="D292" s="198" t="s">
        <v>54</v>
      </c>
      <c r="E292" s="202">
        <v>375000</v>
      </c>
      <c r="K292" s="198" t="s">
        <v>1822</v>
      </c>
      <c r="L292" s="198" t="s">
        <v>148</v>
      </c>
      <c r="P292" s="201"/>
      <c r="R292" s="202">
        <v>375000</v>
      </c>
      <c r="U292" s="198" t="s">
        <v>899</v>
      </c>
      <c r="AA292" s="198" t="s">
        <v>51</v>
      </c>
      <c r="AB292" s="202">
        <v>375000</v>
      </c>
      <c r="AC292" s="202">
        <v>375000</v>
      </c>
    </row>
    <row r="293" spans="1:29" outlineLevel="2" x14ac:dyDescent="0.25">
      <c r="A293" s="201">
        <v>46064</v>
      </c>
      <c r="D293" s="198" t="s">
        <v>54</v>
      </c>
      <c r="E293" s="202">
        <v>-375000</v>
      </c>
      <c r="K293" s="198" t="s">
        <v>1822</v>
      </c>
      <c r="L293" s="198" t="s">
        <v>148</v>
      </c>
      <c r="P293" s="201"/>
      <c r="R293" s="202">
        <v>-375000</v>
      </c>
      <c r="U293" s="198" t="s">
        <v>899</v>
      </c>
      <c r="AA293" s="198" t="s">
        <v>51</v>
      </c>
      <c r="AB293" s="202">
        <v>-375000</v>
      </c>
      <c r="AC293" s="202">
        <v>-375000</v>
      </c>
    </row>
    <row r="294" spans="1:29" outlineLevel="2" x14ac:dyDescent="0.25">
      <c r="A294" s="201">
        <v>46064</v>
      </c>
      <c r="D294" s="198" t="s">
        <v>54</v>
      </c>
      <c r="E294" s="202">
        <v>-800000</v>
      </c>
      <c r="K294" s="198" t="s">
        <v>1822</v>
      </c>
      <c r="L294" s="198" t="s">
        <v>148</v>
      </c>
      <c r="P294" s="201"/>
      <c r="R294" s="202">
        <v>-800000</v>
      </c>
      <c r="U294" s="198" t="s">
        <v>899</v>
      </c>
      <c r="AA294" s="198" t="s">
        <v>51</v>
      </c>
      <c r="AB294" s="202">
        <v>-800000</v>
      </c>
      <c r="AC294" s="202">
        <v>-800000</v>
      </c>
    </row>
    <row r="295" spans="1:29" outlineLevel="2" x14ac:dyDescent="0.25">
      <c r="A295" s="201">
        <v>46066</v>
      </c>
      <c r="D295" s="198" t="s">
        <v>54</v>
      </c>
      <c r="E295" s="202">
        <v>1062000</v>
      </c>
      <c r="K295" s="198" t="s">
        <v>1822</v>
      </c>
      <c r="L295" s="198" t="s">
        <v>148</v>
      </c>
      <c r="P295" s="201"/>
      <c r="R295" s="202">
        <v>1062000</v>
      </c>
      <c r="U295" s="198" t="s">
        <v>899</v>
      </c>
      <c r="AA295" s="198" t="s">
        <v>51</v>
      </c>
      <c r="AB295" s="202">
        <v>1062000</v>
      </c>
      <c r="AC295" s="202">
        <v>1062000</v>
      </c>
    </row>
    <row r="296" spans="1:29" outlineLevel="2" x14ac:dyDescent="0.25">
      <c r="A296" s="201">
        <v>46067</v>
      </c>
      <c r="D296" s="198" t="s">
        <v>54</v>
      </c>
      <c r="E296" s="202">
        <v>88300.800000000003</v>
      </c>
      <c r="K296" s="198" t="s">
        <v>1822</v>
      </c>
      <c r="L296" s="198" t="s">
        <v>148</v>
      </c>
      <c r="P296" s="201"/>
      <c r="R296" s="202">
        <v>88300.800000000003</v>
      </c>
      <c r="U296" s="198" t="s">
        <v>899</v>
      </c>
      <c r="AA296" s="198" t="s">
        <v>51</v>
      </c>
      <c r="AB296" s="202">
        <v>88300.800000000003</v>
      </c>
      <c r="AC296" s="202">
        <v>88300.800000000003</v>
      </c>
    </row>
    <row r="297" spans="1:29" outlineLevel="2" x14ac:dyDescent="0.25">
      <c r="A297" s="201">
        <v>46070</v>
      </c>
      <c r="D297" s="198" t="s">
        <v>54</v>
      </c>
      <c r="E297" s="202">
        <v>134000</v>
      </c>
      <c r="K297" s="198" t="s">
        <v>1822</v>
      </c>
      <c r="L297" s="198" t="s">
        <v>148</v>
      </c>
      <c r="P297" s="201"/>
      <c r="R297" s="202">
        <v>134000</v>
      </c>
      <c r="U297" s="198" t="s">
        <v>899</v>
      </c>
      <c r="AA297" s="198" t="s">
        <v>51</v>
      </c>
      <c r="AB297" s="202">
        <v>134000</v>
      </c>
      <c r="AC297" s="202">
        <v>134000</v>
      </c>
    </row>
    <row r="298" spans="1:29" outlineLevel="2" x14ac:dyDescent="0.25">
      <c r="A298" s="201">
        <v>46078</v>
      </c>
      <c r="D298" s="198" t="s">
        <v>54</v>
      </c>
      <c r="E298" s="202">
        <v>602649.19999999995</v>
      </c>
      <c r="K298" s="198" t="s">
        <v>1822</v>
      </c>
      <c r="L298" s="198" t="s">
        <v>148</v>
      </c>
      <c r="P298" s="201"/>
      <c r="R298" s="202">
        <v>602649.19999999995</v>
      </c>
      <c r="U298" s="198" t="s">
        <v>899</v>
      </c>
      <c r="AA298" s="198" t="s">
        <v>51</v>
      </c>
      <c r="AB298" s="202">
        <v>602649.19999999995</v>
      </c>
      <c r="AC298" s="202">
        <v>602649.19999999995</v>
      </c>
    </row>
    <row r="299" spans="1:29" outlineLevel="2" x14ac:dyDescent="0.25">
      <c r="A299" s="201">
        <v>46098</v>
      </c>
      <c r="D299" s="198" t="s">
        <v>54</v>
      </c>
      <c r="E299" s="202">
        <v>1045984</v>
      </c>
      <c r="K299" s="198" t="s">
        <v>1822</v>
      </c>
      <c r="L299" s="198" t="s">
        <v>148</v>
      </c>
      <c r="P299" s="201"/>
      <c r="R299" s="202">
        <v>1045984</v>
      </c>
      <c r="U299" s="198" t="s">
        <v>899</v>
      </c>
      <c r="AA299" s="198" t="s">
        <v>51</v>
      </c>
      <c r="AB299" s="202">
        <v>1045984</v>
      </c>
      <c r="AC299" s="202">
        <v>1045984</v>
      </c>
    </row>
    <row r="300" spans="1:29" outlineLevel="2" x14ac:dyDescent="0.25">
      <c r="A300" s="201">
        <v>46116</v>
      </c>
      <c r="D300" s="198" t="s">
        <v>54</v>
      </c>
      <c r="E300" s="202">
        <v>441000</v>
      </c>
      <c r="K300" s="198" t="s">
        <v>1822</v>
      </c>
      <c r="L300" s="198" t="s">
        <v>148</v>
      </c>
      <c r="P300" s="201"/>
      <c r="R300" s="202">
        <v>441000</v>
      </c>
      <c r="U300" s="198" t="s">
        <v>899</v>
      </c>
      <c r="AA300" s="198" t="s">
        <v>51</v>
      </c>
      <c r="AB300" s="202">
        <v>441000</v>
      </c>
      <c r="AC300" s="202">
        <v>441000</v>
      </c>
    </row>
    <row r="301" spans="1:29" outlineLevel="2" x14ac:dyDescent="0.25">
      <c r="A301" s="201">
        <v>46122</v>
      </c>
      <c r="D301" s="198" t="s">
        <v>54</v>
      </c>
      <c r="E301" s="202">
        <v>311030</v>
      </c>
      <c r="K301" s="198" t="s">
        <v>1822</v>
      </c>
      <c r="L301" s="198" t="s">
        <v>148</v>
      </c>
      <c r="P301" s="201"/>
      <c r="R301" s="202">
        <v>311030</v>
      </c>
      <c r="U301" s="198" t="s">
        <v>899</v>
      </c>
      <c r="AA301" s="198" t="s">
        <v>51</v>
      </c>
      <c r="AB301" s="202">
        <v>311030</v>
      </c>
      <c r="AC301" s="202">
        <v>311030</v>
      </c>
    </row>
    <row r="302" spans="1:29" outlineLevel="2" x14ac:dyDescent="0.25">
      <c r="A302" s="201">
        <v>46134</v>
      </c>
      <c r="D302" s="198" t="s">
        <v>54</v>
      </c>
      <c r="E302" s="202">
        <v>1293100</v>
      </c>
      <c r="K302" s="198" t="s">
        <v>1822</v>
      </c>
      <c r="L302" s="198" t="s">
        <v>148</v>
      </c>
      <c r="P302" s="201"/>
      <c r="R302" s="202">
        <v>1293100</v>
      </c>
      <c r="U302" s="198" t="s">
        <v>899</v>
      </c>
      <c r="AA302" s="198" t="s">
        <v>51</v>
      </c>
      <c r="AB302" s="202">
        <v>1293100</v>
      </c>
      <c r="AC302" s="202">
        <v>1293100</v>
      </c>
    </row>
    <row r="303" spans="1:29" outlineLevel="1" x14ac:dyDescent="0.25">
      <c r="A303" s="210"/>
      <c r="B303" s="209"/>
      <c r="C303" s="209"/>
      <c r="D303" s="209" t="s">
        <v>54</v>
      </c>
      <c r="E303" s="211">
        <v>14805964</v>
      </c>
      <c r="F303" s="209"/>
      <c r="G303" s="209"/>
      <c r="H303" s="209"/>
      <c r="I303" s="209"/>
      <c r="J303" s="209"/>
      <c r="K303" s="209" t="s">
        <v>54</v>
      </c>
      <c r="L303" s="209" t="s">
        <v>54</v>
      </c>
      <c r="M303" s="209"/>
      <c r="N303" s="209"/>
      <c r="O303" s="209"/>
      <c r="P303" s="210"/>
      <c r="Q303" s="209"/>
      <c r="R303" s="212"/>
      <c r="S303" s="209"/>
      <c r="T303" s="209"/>
      <c r="U303" s="209" t="s">
        <v>54</v>
      </c>
      <c r="V303" s="209"/>
      <c r="W303" s="209"/>
      <c r="X303" s="209"/>
      <c r="Y303" s="209"/>
      <c r="Z303" s="209"/>
      <c r="AA303" s="209" t="s">
        <v>54</v>
      </c>
      <c r="AB303" s="212"/>
      <c r="AC303" s="212"/>
    </row>
    <row r="304" spans="1:29" outlineLevel="2" x14ac:dyDescent="0.25">
      <c r="A304" s="201">
        <v>46070</v>
      </c>
      <c r="D304" s="198" t="s">
        <v>54</v>
      </c>
      <c r="E304" s="202">
        <v>134000</v>
      </c>
      <c r="K304" s="198" t="s">
        <v>1823</v>
      </c>
      <c r="L304" s="198" t="s">
        <v>148</v>
      </c>
      <c r="P304" s="201"/>
      <c r="R304" s="202">
        <v>134000</v>
      </c>
      <c r="U304" s="198" t="s">
        <v>779</v>
      </c>
      <c r="AA304" s="198" t="s">
        <v>51</v>
      </c>
      <c r="AB304" s="202">
        <v>134000</v>
      </c>
      <c r="AC304" s="202">
        <v>134000</v>
      </c>
    </row>
    <row r="305" spans="1:29" outlineLevel="1" x14ac:dyDescent="0.25">
      <c r="A305" s="210"/>
      <c r="B305" s="209"/>
      <c r="C305" s="209"/>
      <c r="D305" s="209" t="s">
        <v>54</v>
      </c>
      <c r="E305" s="211">
        <v>134000</v>
      </c>
      <c r="F305" s="209"/>
      <c r="G305" s="209"/>
      <c r="H305" s="209"/>
      <c r="I305" s="209"/>
      <c r="J305" s="209"/>
      <c r="K305" s="209" t="s">
        <v>54</v>
      </c>
      <c r="L305" s="209" t="s">
        <v>54</v>
      </c>
      <c r="M305" s="209"/>
      <c r="N305" s="209"/>
      <c r="O305" s="209"/>
      <c r="P305" s="210"/>
      <c r="Q305" s="209"/>
      <c r="R305" s="212"/>
      <c r="S305" s="209"/>
      <c r="T305" s="209"/>
      <c r="U305" s="209" t="s">
        <v>54</v>
      </c>
      <c r="V305" s="209"/>
      <c r="W305" s="209"/>
      <c r="X305" s="209"/>
      <c r="Y305" s="209"/>
      <c r="Z305" s="209"/>
      <c r="AA305" s="209" t="s">
        <v>54</v>
      </c>
      <c r="AB305" s="212"/>
      <c r="AC305" s="212"/>
    </row>
    <row r="306" spans="1:29" outlineLevel="2" x14ac:dyDescent="0.25">
      <c r="A306" s="201">
        <v>46058</v>
      </c>
      <c r="D306" s="198" t="s">
        <v>54</v>
      </c>
      <c r="E306" s="202">
        <v>408000</v>
      </c>
      <c r="K306" s="198" t="s">
        <v>1824</v>
      </c>
      <c r="L306" s="198" t="s">
        <v>148</v>
      </c>
      <c r="P306" s="201"/>
      <c r="R306" s="202">
        <v>408000</v>
      </c>
      <c r="U306" s="198" t="s">
        <v>759</v>
      </c>
      <c r="AA306" s="198" t="s">
        <v>51</v>
      </c>
      <c r="AB306" s="202">
        <v>408000</v>
      </c>
      <c r="AC306" s="202">
        <v>408000</v>
      </c>
    </row>
    <row r="307" spans="1:29" outlineLevel="2" x14ac:dyDescent="0.25">
      <c r="A307" s="201">
        <v>46060</v>
      </c>
      <c r="D307" s="198" t="s">
        <v>54</v>
      </c>
      <c r="E307" s="202">
        <v>6273340</v>
      </c>
      <c r="K307" s="198" t="s">
        <v>1824</v>
      </c>
      <c r="L307" s="198" t="s">
        <v>148</v>
      </c>
      <c r="P307" s="201"/>
      <c r="R307" s="202">
        <v>6273340</v>
      </c>
      <c r="U307" s="198" t="s">
        <v>759</v>
      </c>
      <c r="AA307" s="198" t="s">
        <v>51</v>
      </c>
      <c r="AB307" s="202">
        <v>6273340</v>
      </c>
      <c r="AC307" s="202">
        <v>6273340</v>
      </c>
    </row>
    <row r="308" spans="1:29" outlineLevel="1" x14ac:dyDescent="0.25">
      <c r="A308" s="210"/>
      <c r="B308" s="209"/>
      <c r="C308" s="209"/>
      <c r="D308" s="209" t="s">
        <v>54</v>
      </c>
      <c r="E308" s="211">
        <v>6681340</v>
      </c>
      <c r="F308" s="209"/>
      <c r="G308" s="209"/>
      <c r="H308" s="209"/>
      <c r="I308" s="209"/>
      <c r="J308" s="209"/>
      <c r="K308" s="209" t="s">
        <v>54</v>
      </c>
      <c r="L308" s="209" t="s">
        <v>54</v>
      </c>
      <c r="M308" s="209"/>
      <c r="N308" s="209"/>
      <c r="O308" s="209"/>
      <c r="P308" s="210"/>
      <c r="Q308" s="209"/>
      <c r="R308" s="212"/>
      <c r="S308" s="209"/>
      <c r="T308" s="209"/>
      <c r="U308" s="209" t="s">
        <v>54</v>
      </c>
      <c r="V308" s="209"/>
      <c r="W308" s="209"/>
      <c r="X308" s="209"/>
      <c r="Y308" s="209"/>
      <c r="Z308" s="209"/>
      <c r="AA308" s="209" t="s">
        <v>54</v>
      </c>
      <c r="AB308" s="212"/>
      <c r="AC308" s="212"/>
    </row>
    <row r="309" spans="1:29" outlineLevel="2" x14ac:dyDescent="0.25">
      <c r="A309" s="201">
        <v>46056</v>
      </c>
      <c r="D309" s="198" t="s">
        <v>54</v>
      </c>
      <c r="E309" s="202">
        <v>800000</v>
      </c>
      <c r="K309" s="198" t="s">
        <v>1825</v>
      </c>
      <c r="L309" s="198" t="s">
        <v>148</v>
      </c>
      <c r="P309" s="201"/>
      <c r="R309" s="202">
        <v>800000</v>
      </c>
      <c r="U309" s="198" t="s">
        <v>145</v>
      </c>
      <c r="AA309" s="198" t="s">
        <v>51</v>
      </c>
      <c r="AB309" s="202">
        <v>800000</v>
      </c>
      <c r="AC309" s="202">
        <v>800000</v>
      </c>
    </row>
    <row r="310" spans="1:29" outlineLevel="2" x14ac:dyDescent="0.25">
      <c r="A310" s="201">
        <v>46064</v>
      </c>
      <c r="D310" s="198" t="s">
        <v>54</v>
      </c>
      <c r="E310" s="202">
        <v>-800000</v>
      </c>
      <c r="K310" s="198" t="s">
        <v>1825</v>
      </c>
      <c r="L310" s="198" t="s">
        <v>148</v>
      </c>
      <c r="P310" s="201"/>
      <c r="R310" s="202">
        <v>-800000</v>
      </c>
      <c r="U310" s="198" t="s">
        <v>145</v>
      </c>
      <c r="AA310" s="198" t="s">
        <v>51</v>
      </c>
      <c r="AB310" s="202">
        <v>-800000</v>
      </c>
      <c r="AC310" s="202">
        <v>-800000</v>
      </c>
    </row>
    <row r="311" spans="1:29" outlineLevel="2" x14ac:dyDescent="0.25">
      <c r="A311" s="201">
        <v>46098</v>
      </c>
      <c r="D311" s="198" t="s">
        <v>54</v>
      </c>
      <c r="E311" s="202">
        <v>1045984</v>
      </c>
      <c r="K311" s="198" t="s">
        <v>1825</v>
      </c>
      <c r="L311" s="198" t="s">
        <v>148</v>
      </c>
      <c r="P311" s="201"/>
      <c r="R311" s="202">
        <v>1045984</v>
      </c>
      <c r="U311" s="198" t="s">
        <v>145</v>
      </c>
      <c r="AA311" s="198" t="s">
        <v>51</v>
      </c>
      <c r="AB311" s="202">
        <v>1045984</v>
      </c>
      <c r="AC311" s="202">
        <v>1045984</v>
      </c>
    </row>
    <row r="312" spans="1:29" outlineLevel="2" x14ac:dyDescent="0.25">
      <c r="A312" s="201">
        <v>46116</v>
      </c>
      <c r="D312" s="198" t="s">
        <v>54</v>
      </c>
      <c r="E312" s="202">
        <v>441000</v>
      </c>
      <c r="K312" s="198" t="s">
        <v>1825</v>
      </c>
      <c r="L312" s="198" t="s">
        <v>148</v>
      </c>
      <c r="P312" s="201"/>
      <c r="R312" s="202">
        <v>441000</v>
      </c>
      <c r="U312" s="198" t="s">
        <v>145</v>
      </c>
      <c r="AA312" s="198" t="s">
        <v>51</v>
      </c>
      <c r="AB312" s="202">
        <v>441000</v>
      </c>
      <c r="AC312" s="202">
        <v>441000</v>
      </c>
    </row>
    <row r="313" spans="1:29" outlineLevel="1" x14ac:dyDescent="0.25">
      <c r="A313" s="210"/>
      <c r="B313" s="209"/>
      <c r="C313" s="209"/>
      <c r="D313" s="209" t="s">
        <v>54</v>
      </c>
      <c r="E313" s="211">
        <v>1486984</v>
      </c>
      <c r="F313" s="209"/>
      <c r="G313" s="209"/>
      <c r="H313" s="209"/>
      <c r="I313" s="209"/>
      <c r="J313" s="209"/>
      <c r="K313" s="209" t="s">
        <v>54</v>
      </c>
      <c r="L313" s="209" t="s">
        <v>54</v>
      </c>
      <c r="M313" s="209"/>
      <c r="N313" s="209"/>
      <c r="O313" s="209"/>
      <c r="P313" s="210"/>
      <c r="Q313" s="209"/>
      <c r="R313" s="212"/>
      <c r="S313" s="209"/>
      <c r="T313" s="209"/>
      <c r="U313" s="209" t="s">
        <v>54</v>
      </c>
      <c r="V313" s="209"/>
      <c r="W313" s="209"/>
      <c r="X313" s="209"/>
      <c r="Y313" s="209"/>
      <c r="Z313" s="209"/>
      <c r="AA313" s="209" t="s">
        <v>54</v>
      </c>
      <c r="AB313" s="212"/>
      <c r="AC313" s="212"/>
    </row>
    <row r="314" spans="1:29" outlineLevel="2" x14ac:dyDescent="0.25">
      <c r="A314" s="201">
        <v>46064</v>
      </c>
      <c r="D314" s="198" t="s">
        <v>54</v>
      </c>
      <c r="E314" s="202">
        <v>375000</v>
      </c>
      <c r="K314" s="198" t="s">
        <v>1826</v>
      </c>
      <c r="L314" s="198" t="s">
        <v>148</v>
      </c>
      <c r="P314" s="201"/>
      <c r="R314" s="202">
        <v>375000</v>
      </c>
      <c r="U314" s="198" t="s">
        <v>900</v>
      </c>
      <c r="AA314" s="198" t="s">
        <v>51</v>
      </c>
      <c r="AB314" s="202">
        <v>375000</v>
      </c>
      <c r="AC314" s="202">
        <v>375000</v>
      </c>
    </row>
    <row r="315" spans="1:29" outlineLevel="2" x14ac:dyDescent="0.25">
      <c r="A315" s="201">
        <v>46064</v>
      </c>
      <c r="D315" s="198" t="s">
        <v>54</v>
      </c>
      <c r="E315" s="202">
        <v>-375000</v>
      </c>
      <c r="K315" s="198" t="s">
        <v>1826</v>
      </c>
      <c r="L315" s="198" t="s">
        <v>148</v>
      </c>
      <c r="P315" s="201"/>
      <c r="R315" s="202">
        <v>-375000</v>
      </c>
      <c r="U315" s="198" t="s">
        <v>900</v>
      </c>
      <c r="AA315" s="198" t="s">
        <v>51</v>
      </c>
      <c r="AB315" s="202">
        <v>-375000</v>
      </c>
      <c r="AC315" s="202">
        <v>-375000</v>
      </c>
    </row>
    <row r="316" spans="1:29" outlineLevel="1" x14ac:dyDescent="0.25">
      <c r="A316" s="210"/>
      <c r="B316" s="209"/>
      <c r="C316" s="209"/>
      <c r="D316" s="209" t="s">
        <v>54</v>
      </c>
      <c r="E316" s="211">
        <v>0</v>
      </c>
      <c r="F316" s="209"/>
      <c r="G316" s="209"/>
      <c r="H316" s="209"/>
      <c r="I316" s="209"/>
      <c r="J316" s="209"/>
      <c r="K316" s="209" t="s">
        <v>54</v>
      </c>
      <c r="L316" s="209" t="s">
        <v>54</v>
      </c>
      <c r="M316" s="209"/>
      <c r="N316" s="209"/>
      <c r="O316" s="209"/>
      <c r="P316" s="210"/>
      <c r="Q316" s="209"/>
      <c r="R316" s="212"/>
      <c r="S316" s="209"/>
      <c r="T316" s="209"/>
      <c r="U316" s="209" t="s">
        <v>54</v>
      </c>
      <c r="V316" s="209"/>
      <c r="W316" s="209"/>
      <c r="X316" s="209"/>
      <c r="Y316" s="209"/>
      <c r="Z316" s="209"/>
      <c r="AA316" s="209" t="s">
        <v>54</v>
      </c>
      <c r="AB316" s="212"/>
      <c r="AC316" s="212"/>
    </row>
    <row r="317" spans="1:29" outlineLevel="2" x14ac:dyDescent="0.25">
      <c r="A317" s="201">
        <v>46122</v>
      </c>
      <c r="D317" s="198" t="s">
        <v>54</v>
      </c>
      <c r="E317" s="202">
        <v>311030</v>
      </c>
      <c r="K317" s="198" t="s">
        <v>1827</v>
      </c>
      <c r="L317" s="198" t="s">
        <v>148</v>
      </c>
      <c r="P317" s="201"/>
      <c r="R317" s="202">
        <v>311030</v>
      </c>
      <c r="U317" s="198" t="s">
        <v>901</v>
      </c>
      <c r="AA317" s="198" t="s">
        <v>51</v>
      </c>
      <c r="AB317" s="202">
        <v>311030</v>
      </c>
      <c r="AC317" s="202">
        <v>311030</v>
      </c>
    </row>
    <row r="318" spans="1:29" outlineLevel="1" x14ac:dyDescent="0.25">
      <c r="A318" s="210"/>
      <c r="B318" s="209"/>
      <c r="C318" s="209"/>
      <c r="D318" s="209" t="s">
        <v>54</v>
      </c>
      <c r="E318" s="211">
        <v>311030</v>
      </c>
      <c r="F318" s="209"/>
      <c r="G318" s="209"/>
      <c r="H318" s="209"/>
      <c r="I318" s="209"/>
      <c r="J318" s="209"/>
      <c r="K318" s="209" t="s">
        <v>54</v>
      </c>
      <c r="L318" s="209" t="s">
        <v>54</v>
      </c>
      <c r="M318" s="209"/>
      <c r="N318" s="209"/>
      <c r="O318" s="209"/>
      <c r="P318" s="210"/>
      <c r="Q318" s="209"/>
      <c r="R318" s="212"/>
      <c r="S318" s="209"/>
      <c r="T318" s="209"/>
      <c r="U318" s="209" t="s">
        <v>54</v>
      </c>
      <c r="V318" s="209"/>
      <c r="W318" s="209"/>
      <c r="X318" s="209"/>
      <c r="Y318" s="209"/>
      <c r="Z318" s="209"/>
      <c r="AA318" s="209" t="s">
        <v>54</v>
      </c>
      <c r="AB318" s="212"/>
      <c r="AC318" s="212"/>
    </row>
    <row r="319" spans="1:29" outlineLevel="2" x14ac:dyDescent="0.25">
      <c r="A319" s="201">
        <v>46058</v>
      </c>
      <c r="D319" s="198" t="s">
        <v>54</v>
      </c>
      <c r="E319" s="202">
        <v>490560</v>
      </c>
      <c r="K319" s="198" t="s">
        <v>1828</v>
      </c>
      <c r="L319" s="198" t="s">
        <v>148</v>
      </c>
      <c r="P319" s="201"/>
      <c r="R319" s="202">
        <v>490560</v>
      </c>
      <c r="U319" s="198" t="s">
        <v>275</v>
      </c>
      <c r="AA319" s="198" t="s">
        <v>51</v>
      </c>
      <c r="AB319" s="202">
        <v>490560</v>
      </c>
      <c r="AC319" s="202">
        <v>490560</v>
      </c>
    </row>
    <row r="320" spans="1:29" outlineLevel="2" x14ac:dyDescent="0.25">
      <c r="A320" s="201">
        <v>46058</v>
      </c>
      <c r="D320" s="198" t="s">
        <v>54</v>
      </c>
      <c r="E320" s="202">
        <v>532000</v>
      </c>
      <c r="K320" s="198" t="s">
        <v>1828</v>
      </c>
      <c r="L320" s="198" t="s">
        <v>148</v>
      </c>
      <c r="P320" s="201"/>
      <c r="R320" s="202">
        <v>532000</v>
      </c>
      <c r="U320" s="198" t="s">
        <v>275</v>
      </c>
      <c r="AA320" s="198" t="s">
        <v>51</v>
      </c>
      <c r="AB320" s="202">
        <v>532000</v>
      </c>
      <c r="AC320" s="202">
        <v>532000</v>
      </c>
    </row>
    <row r="321" spans="1:29" outlineLevel="2" x14ac:dyDescent="0.25">
      <c r="A321" s="201">
        <v>46067</v>
      </c>
      <c r="D321" s="198" t="s">
        <v>54</v>
      </c>
      <c r="E321" s="202">
        <v>88300.800000000003</v>
      </c>
      <c r="K321" s="198" t="s">
        <v>1828</v>
      </c>
      <c r="L321" s="198" t="s">
        <v>148</v>
      </c>
      <c r="P321" s="201"/>
      <c r="R321" s="202">
        <v>88300.800000000003</v>
      </c>
      <c r="U321" s="198" t="s">
        <v>275</v>
      </c>
      <c r="AA321" s="198" t="s">
        <v>51</v>
      </c>
      <c r="AB321" s="202">
        <v>88300.800000000003</v>
      </c>
      <c r="AC321" s="202">
        <v>88300.800000000003</v>
      </c>
    </row>
    <row r="322" spans="1:29" outlineLevel="2" x14ac:dyDescent="0.25">
      <c r="A322" s="201">
        <v>46078</v>
      </c>
      <c r="D322" s="198" t="s">
        <v>54</v>
      </c>
      <c r="E322" s="202">
        <v>602649.19999999995</v>
      </c>
      <c r="K322" s="198" t="s">
        <v>1828</v>
      </c>
      <c r="L322" s="198" t="s">
        <v>148</v>
      </c>
      <c r="P322" s="201"/>
      <c r="R322" s="202">
        <v>602649.19999999995</v>
      </c>
      <c r="U322" s="198" t="s">
        <v>275</v>
      </c>
      <c r="AA322" s="198" t="s">
        <v>51</v>
      </c>
      <c r="AB322" s="202">
        <v>602649.19999999995</v>
      </c>
      <c r="AC322" s="202">
        <v>602649.19999999995</v>
      </c>
    </row>
    <row r="323" spans="1:29" outlineLevel="2" x14ac:dyDescent="0.25">
      <c r="A323" s="201">
        <v>46134</v>
      </c>
      <c r="D323" s="198" t="s">
        <v>54</v>
      </c>
      <c r="E323" s="202">
        <v>1293100</v>
      </c>
      <c r="K323" s="198" t="s">
        <v>1828</v>
      </c>
      <c r="L323" s="198" t="s">
        <v>148</v>
      </c>
      <c r="P323" s="201"/>
      <c r="R323" s="202">
        <v>1293100</v>
      </c>
      <c r="U323" s="198" t="s">
        <v>275</v>
      </c>
      <c r="AA323" s="198" t="s">
        <v>51</v>
      </c>
      <c r="AB323" s="202">
        <v>1293100</v>
      </c>
      <c r="AC323" s="202">
        <v>1293100</v>
      </c>
    </row>
    <row r="324" spans="1:29" outlineLevel="1" x14ac:dyDescent="0.25">
      <c r="A324" s="210"/>
      <c r="B324" s="209"/>
      <c r="C324" s="209"/>
      <c r="D324" s="209" t="s">
        <v>54</v>
      </c>
      <c r="E324" s="211">
        <v>3006610</v>
      </c>
      <c r="F324" s="209"/>
      <c r="G324" s="209"/>
      <c r="H324" s="209"/>
      <c r="I324" s="209"/>
      <c r="J324" s="209"/>
      <c r="K324" s="209" t="s">
        <v>54</v>
      </c>
      <c r="L324" s="209" t="s">
        <v>54</v>
      </c>
      <c r="M324" s="209"/>
      <c r="N324" s="209"/>
      <c r="O324" s="209"/>
      <c r="P324" s="210"/>
      <c r="Q324" s="209"/>
      <c r="R324" s="212"/>
      <c r="S324" s="209"/>
      <c r="T324" s="209"/>
      <c r="U324" s="209" t="s">
        <v>54</v>
      </c>
      <c r="V324" s="209"/>
      <c r="W324" s="209"/>
      <c r="X324" s="209"/>
      <c r="Y324" s="209"/>
      <c r="Z324" s="209"/>
      <c r="AA324" s="209" t="s">
        <v>54</v>
      </c>
      <c r="AB324" s="212"/>
      <c r="AC324" s="212"/>
    </row>
    <row r="325" spans="1:29" outlineLevel="2" x14ac:dyDescent="0.25">
      <c r="A325" s="201">
        <v>46066</v>
      </c>
      <c r="D325" s="198" t="s">
        <v>54</v>
      </c>
      <c r="E325" s="202">
        <v>1062000</v>
      </c>
      <c r="K325" s="198" t="s">
        <v>1829</v>
      </c>
      <c r="L325" s="198" t="s">
        <v>148</v>
      </c>
      <c r="P325" s="201"/>
      <c r="R325" s="202">
        <v>1062000</v>
      </c>
      <c r="U325" s="198" t="s">
        <v>783</v>
      </c>
      <c r="AA325" s="198" t="s">
        <v>51</v>
      </c>
      <c r="AB325" s="202">
        <v>1062000</v>
      </c>
      <c r="AC325" s="202">
        <v>1062000</v>
      </c>
    </row>
    <row r="326" spans="1:29" outlineLevel="1" x14ac:dyDescent="0.25">
      <c r="A326" s="210"/>
      <c r="B326" s="209"/>
      <c r="C326" s="209"/>
      <c r="D326" s="209" t="s">
        <v>54</v>
      </c>
      <c r="E326" s="211">
        <v>1062000</v>
      </c>
      <c r="F326" s="209"/>
      <c r="G326" s="209"/>
      <c r="H326" s="209"/>
      <c r="I326" s="209"/>
      <c r="J326" s="209"/>
      <c r="K326" s="209" t="s">
        <v>54</v>
      </c>
      <c r="L326" s="209" t="s">
        <v>54</v>
      </c>
      <c r="M326" s="209"/>
      <c r="N326" s="209"/>
      <c r="O326" s="209"/>
      <c r="P326" s="210"/>
      <c r="Q326" s="209"/>
      <c r="R326" s="212"/>
      <c r="S326" s="209"/>
      <c r="T326" s="209"/>
      <c r="U326" s="209" t="s">
        <v>54</v>
      </c>
      <c r="V326" s="209"/>
      <c r="W326" s="209"/>
      <c r="X326" s="209"/>
      <c r="Y326" s="209"/>
      <c r="Z326" s="209"/>
      <c r="AA326" s="209" t="s">
        <v>54</v>
      </c>
      <c r="AB326" s="212"/>
      <c r="AC326" s="212"/>
    </row>
    <row r="327" spans="1:29" outlineLevel="2" x14ac:dyDescent="0.25">
      <c r="A327" s="201">
        <v>46031</v>
      </c>
      <c r="D327" s="198" t="s">
        <v>54</v>
      </c>
      <c r="E327" s="202">
        <v>2124000</v>
      </c>
      <c r="K327" s="198" t="s">
        <v>1830</v>
      </c>
      <c r="L327" s="198" t="s">
        <v>148</v>
      </c>
      <c r="P327" s="201"/>
      <c r="R327" s="202">
        <v>2124000</v>
      </c>
      <c r="U327" s="198" t="s">
        <v>902</v>
      </c>
      <c r="AA327" s="198" t="s">
        <v>51</v>
      </c>
      <c r="AB327" s="202">
        <v>2124000</v>
      </c>
      <c r="AC327" s="202">
        <v>2124000</v>
      </c>
    </row>
    <row r="328" spans="1:29" outlineLevel="1" x14ac:dyDescent="0.25">
      <c r="A328" s="210"/>
      <c r="B328" s="209"/>
      <c r="C328" s="209"/>
      <c r="D328" s="209" t="s">
        <v>54</v>
      </c>
      <c r="E328" s="211">
        <v>2124000</v>
      </c>
      <c r="F328" s="209"/>
      <c r="G328" s="209"/>
      <c r="H328" s="209"/>
      <c r="I328" s="209"/>
      <c r="J328" s="209"/>
      <c r="K328" s="209" t="s">
        <v>54</v>
      </c>
      <c r="L328" s="209" t="s">
        <v>54</v>
      </c>
      <c r="M328" s="209"/>
      <c r="N328" s="209"/>
      <c r="O328" s="209"/>
      <c r="P328" s="210"/>
      <c r="Q328" s="209"/>
      <c r="R328" s="212"/>
      <c r="S328" s="209"/>
      <c r="T328" s="209"/>
      <c r="U328" s="209" t="s">
        <v>54</v>
      </c>
      <c r="V328" s="209"/>
      <c r="W328" s="209"/>
      <c r="X328" s="209"/>
      <c r="Y328" s="209"/>
      <c r="Z328" s="209"/>
      <c r="AA328" s="209" t="s">
        <v>54</v>
      </c>
      <c r="AB328" s="212"/>
      <c r="AC328" s="212"/>
    </row>
    <row r="329" spans="1:29" outlineLevel="2" x14ac:dyDescent="0.25">
      <c r="A329" s="201">
        <v>46031</v>
      </c>
      <c r="D329" s="198" t="s">
        <v>54</v>
      </c>
      <c r="E329" s="202">
        <v>2124000</v>
      </c>
      <c r="K329" s="198" t="s">
        <v>1831</v>
      </c>
      <c r="L329" s="198" t="s">
        <v>148</v>
      </c>
      <c r="P329" s="201"/>
      <c r="R329" s="202">
        <v>2124000</v>
      </c>
      <c r="U329" s="198" t="s">
        <v>792</v>
      </c>
      <c r="AA329" s="198" t="s">
        <v>51</v>
      </c>
      <c r="AB329" s="202">
        <v>2124000</v>
      </c>
      <c r="AC329" s="202">
        <v>2124000</v>
      </c>
    </row>
    <row r="330" spans="1:29" outlineLevel="1" x14ac:dyDescent="0.25">
      <c r="A330" s="210"/>
      <c r="B330" s="209"/>
      <c r="C330" s="209"/>
      <c r="D330" s="209" t="s">
        <v>54</v>
      </c>
      <c r="E330" s="211">
        <v>2124000</v>
      </c>
      <c r="F330" s="209"/>
      <c r="G330" s="209"/>
      <c r="H330" s="209"/>
      <c r="I330" s="209"/>
      <c r="J330" s="209"/>
      <c r="K330" s="209" t="s">
        <v>54</v>
      </c>
      <c r="L330" s="209" t="s">
        <v>54</v>
      </c>
      <c r="M330" s="209"/>
      <c r="N330" s="209"/>
      <c r="O330" s="209"/>
      <c r="P330" s="210"/>
      <c r="Q330" s="209"/>
      <c r="R330" s="212"/>
      <c r="S330" s="209"/>
      <c r="T330" s="209"/>
      <c r="U330" s="209" t="s">
        <v>54</v>
      </c>
      <c r="V330" s="209"/>
      <c r="W330" s="209"/>
      <c r="X330" s="209"/>
      <c r="Y330" s="209"/>
      <c r="Z330" s="209"/>
      <c r="AA330" s="209" t="s">
        <v>54</v>
      </c>
      <c r="AB330" s="212"/>
      <c r="AC330" s="212"/>
    </row>
    <row r="331" spans="1:29" outlineLevel="2" x14ac:dyDescent="0.25">
      <c r="A331" s="201">
        <v>46066</v>
      </c>
      <c r="D331" s="198" t="s">
        <v>54</v>
      </c>
      <c r="E331" s="202">
        <v>1059322034</v>
      </c>
      <c r="K331" s="198" t="s">
        <v>1832</v>
      </c>
      <c r="L331" s="198" t="s">
        <v>148</v>
      </c>
      <c r="P331" s="201"/>
      <c r="R331" s="202">
        <v>1059322034</v>
      </c>
      <c r="U331" s="198" t="s">
        <v>776</v>
      </c>
      <c r="AA331" s="198" t="s">
        <v>51</v>
      </c>
      <c r="AB331" s="202">
        <v>1059322034</v>
      </c>
      <c r="AC331" s="202">
        <v>1059322034</v>
      </c>
    </row>
    <row r="332" spans="1:29" outlineLevel="1" x14ac:dyDescent="0.25">
      <c r="A332" s="210"/>
      <c r="B332" s="209"/>
      <c r="C332" s="209"/>
      <c r="D332" s="209" t="s">
        <v>54</v>
      </c>
      <c r="E332" s="211">
        <v>1059322034</v>
      </c>
      <c r="F332" s="209"/>
      <c r="G332" s="209"/>
      <c r="H332" s="209"/>
      <c r="I332" s="209"/>
      <c r="J332" s="209"/>
      <c r="K332" s="209" t="s">
        <v>54</v>
      </c>
      <c r="L332" s="209" t="s">
        <v>54</v>
      </c>
      <c r="M332" s="209"/>
      <c r="N332" s="209"/>
      <c r="O332" s="209"/>
      <c r="P332" s="210"/>
      <c r="Q332" s="209"/>
      <c r="R332" s="212"/>
      <c r="S332" s="209"/>
      <c r="T332" s="209"/>
      <c r="U332" s="209" t="s">
        <v>54</v>
      </c>
      <c r="V332" s="209"/>
      <c r="W332" s="209"/>
      <c r="X332" s="209"/>
      <c r="Y332" s="209"/>
      <c r="Z332" s="209"/>
      <c r="AA332" s="209" t="s">
        <v>54</v>
      </c>
      <c r="AB332" s="212"/>
      <c r="AC332" s="212"/>
    </row>
    <row r="333" spans="1:29" outlineLevel="2" x14ac:dyDescent="0.25">
      <c r="A333" s="201">
        <v>46115</v>
      </c>
      <c r="D333" s="198" t="s">
        <v>54</v>
      </c>
      <c r="E333" s="202">
        <v>134277.9</v>
      </c>
      <c r="K333" s="198" t="s">
        <v>1833</v>
      </c>
      <c r="L333" s="198" t="s">
        <v>148</v>
      </c>
      <c r="P333" s="201"/>
      <c r="R333" s="202">
        <v>134277.9</v>
      </c>
      <c r="U333" s="198" t="s">
        <v>1772</v>
      </c>
      <c r="AA333" s="198" t="s">
        <v>51</v>
      </c>
      <c r="AB333" s="202">
        <v>134277.9</v>
      </c>
      <c r="AC333" s="202">
        <v>134277.9</v>
      </c>
    </row>
    <row r="334" spans="1:29" outlineLevel="1" x14ac:dyDescent="0.25">
      <c r="A334" s="210"/>
      <c r="B334" s="209"/>
      <c r="C334" s="209"/>
      <c r="D334" s="209" t="s">
        <v>54</v>
      </c>
      <c r="E334" s="211">
        <v>134277.9</v>
      </c>
      <c r="F334" s="209"/>
      <c r="G334" s="209"/>
      <c r="H334" s="209"/>
      <c r="I334" s="209"/>
      <c r="J334" s="209"/>
      <c r="K334" s="209" t="s">
        <v>54</v>
      </c>
      <c r="L334" s="209" t="s">
        <v>54</v>
      </c>
      <c r="M334" s="209"/>
      <c r="N334" s="209"/>
      <c r="O334" s="209"/>
      <c r="P334" s="210"/>
      <c r="Q334" s="209"/>
      <c r="R334" s="212"/>
      <c r="S334" s="209"/>
      <c r="T334" s="209"/>
      <c r="U334" s="209" t="s">
        <v>54</v>
      </c>
      <c r="V334" s="209"/>
      <c r="W334" s="209"/>
      <c r="X334" s="209"/>
      <c r="Y334" s="209"/>
      <c r="Z334" s="209"/>
      <c r="AA334" s="209" t="s">
        <v>54</v>
      </c>
      <c r="AB334" s="212"/>
      <c r="AC334" s="212"/>
    </row>
    <row r="335" spans="1:29" outlineLevel="2" x14ac:dyDescent="0.25">
      <c r="A335" s="201">
        <v>46003</v>
      </c>
      <c r="D335" s="198" t="s">
        <v>54</v>
      </c>
      <c r="E335" s="202">
        <v>11875165730</v>
      </c>
      <c r="K335" s="198" t="s">
        <v>903</v>
      </c>
      <c r="L335" s="198" t="s">
        <v>126</v>
      </c>
      <c r="P335" s="201"/>
      <c r="R335" s="202">
        <v>11875165730</v>
      </c>
      <c r="U335" s="198" t="s">
        <v>126</v>
      </c>
      <c r="AA335" s="198" t="s">
        <v>51</v>
      </c>
      <c r="AB335" s="202">
        <v>11875165730</v>
      </c>
      <c r="AC335" s="202">
        <v>11875165730</v>
      </c>
    </row>
    <row r="336" spans="1:29" outlineLevel="2" x14ac:dyDescent="0.25">
      <c r="A336" s="201">
        <v>46004</v>
      </c>
      <c r="D336" s="198" t="s">
        <v>54</v>
      </c>
      <c r="E336" s="202">
        <v>-3580299976.0999999</v>
      </c>
      <c r="K336" s="198" t="s">
        <v>903</v>
      </c>
      <c r="L336" s="198" t="s">
        <v>126</v>
      </c>
      <c r="P336" s="201"/>
      <c r="R336" s="202">
        <v>-3580299976.0999999</v>
      </c>
      <c r="U336" s="198" t="s">
        <v>126</v>
      </c>
      <c r="AA336" s="198" t="s">
        <v>51</v>
      </c>
      <c r="AB336" s="202">
        <v>-3580299976.0999999</v>
      </c>
      <c r="AC336" s="202">
        <v>-3580299976.0999999</v>
      </c>
    </row>
    <row r="337" spans="1:29" outlineLevel="2" x14ac:dyDescent="0.25">
      <c r="A337" s="201">
        <v>46004</v>
      </c>
      <c r="D337" s="198" t="s">
        <v>54</v>
      </c>
      <c r="E337" s="202">
        <v>259515931</v>
      </c>
      <c r="K337" s="198" t="s">
        <v>903</v>
      </c>
      <c r="L337" s="198" t="s">
        <v>126</v>
      </c>
      <c r="P337" s="201"/>
      <c r="R337" s="202">
        <v>259515931</v>
      </c>
      <c r="U337" s="198" t="s">
        <v>126</v>
      </c>
      <c r="AA337" s="198" t="s">
        <v>51</v>
      </c>
      <c r="AB337" s="202">
        <v>259515931</v>
      </c>
      <c r="AC337" s="202">
        <v>259515931</v>
      </c>
    </row>
    <row r="338" spans="1:29" outlineLevel="2" x14ac:dyDescent="0.25">
      <c r="A338" s="201">
        <v>46015</v>
      </c>
      <c r="D338" s="198" t="s">
        <v>54</v>
      </c>
      <c r="E338" s="202">
        <v>28123500</v>
      </c>
      <c r="K338" s="198" t="s">
        <v>903</v>
      </c>
      <c r="L338" s="198" t="s">
        <v>126</v>
      </c>
      <c r="P338" s="201"/>
      <c r="R338" s="202">
        <v>28123500</v>
      </c>
      <c r="U338" s="198" t="s">
        <v>126</v>
      </c>
      <c r="AA338" s="198" t="s">
        <v>51</v>
      </c>
      <c r="AB338" s="202">
        <v>28123500</v>
      </c>
      <c r="AC338" s="202">
        <v>28123500</v>
      </c>
    </row>
    <row r="339" spans="1:29" outlineLevel="2" x14ac:dyDescent="0.25">
      <c r="A339" s="201">
        <v>46018</v>
      </c>
      <c r="D339" s="198" t="s">
        <v>54</v>
      </c>
      <c r="E339" s="202">
        <v>320501039</v>
      </c>
      <c r="K339" s="198" t="s">
        <v>903</v>
      </c>
      <c r="L339" s="198" t="s">
        <v>126</v>
      </c>
      <c r="P339" s="201"/>
      <c r="R339" s="202">
        <v>320501039</v>
      </c>
      <c r="U339" s="198" t="s">
        <v>126</v>
      </c>
      <c r="AA339" s="198" t="s">
        <v>51</v>
      </c>
      <c r="AB339" s="202">
        <v>320501039</v>
      </c>
      <c r="AC339" s="202">
        <v>320501039</v>
      </c>
    </row>
    <row r="340" spans="1:29" outlineLevel="2" x14ac:dyDescent="0.25">
      <c r="A340" s="201">
        <v>46020</v>
      </c>
      <c r="D340" s="198" t="s">
        <v>54</v>
      </c>
      <c r="E340" s="202">
        <v>18525027.899999999</v>
      </c>
      <c r="K340" s="198" t="s">
        <v>903</v>
      </c>
      <c r="L340" s="198" t="s">
        <v>126</v>
      </c>
      <c r="P340" s="201"/>
      <c r="R340" s="202">
        <v>18525027.899999999</v>
      </c>
      <c r="U340" s="198" t="s">
        <v>126</v>
      </c>
      <c r="AA340" s="198" t="s">
        <v>51</v>
      </c>
      <c r="AB340" s="202">
        <v>18525027.899999999</v>
      </c>
      <c r="AC340" s="202">
        <v>18525027.899999999</v>
      </c>
    </row>
    <row r="341" spans="1:29" outlineLevel="2" x14ac:dyDescent="0.25">
      <c r="A341" s="201">
        <v>46020</v>
      </c>
      <c r="D341" s="198" t="s">
        <v>54</v>
      </c>
      <c r="E341" s="202">
        <v>-165981331.74000001</v>
      </c>
      <c r="K341" s="198" t="s">
        <v>903</v>
      </c>
      <c r="L341" s="198" t="s">
        <v>126</v>
      </c>
      <c r="P341" s="201"/>
      <c r="R341" s="202">
        <v>-165981331.74000001</v>
      </c>
      <c r="U341" s="198" t="s">
        <v>126</v>
      </c>
      <c r="AA341" s="198" t="s">
        <v>51</v>
      </c>
      <c r="AB341" s="202">
        <v>-165981331.74000001</v>
      </c>
      <c r="AC341" s="202">
        <v>-165981331.74000001</v>
      </c>
    </row>
    <row r="342" spans="1:29" outlineLevel="2" x14ac:dyDescent="0.25">
      <c r="A342" s="201">
        <v>46021</v>
      </c>
      <c r="D342" s="198" t="s">
        <v>54</v>
      </c>
      <c r="E342" s="202">
        <v>70851477.519999996</v>
      </c>
      <c r="K342" s="198" t="s">
        <v>903</v>
      </c>
      <c r="L342" s="198" t="s">
        <v>126</v>
      </c>
      <c r="P342" s="201"/>
      <c r="R342" s="202">
        <v>70851477.519999996</v>
      </c>
      <c r="U342" s="198" t="s">
        <v>126</v>
      </c>
      <c r="AA342" s="198" t="s">
        <v>51</v>
      </c>
      <c r="AB342" s="202">
        <v>70851477.519999996</v>
      </c>
      <c r="AC342" s="202">
        <v>70851477.519999996</v>
      </c>
    </row>
    <row r="343" spans="1:29" outlineLevel="2" x14ac:dyDescent="0.25">
      <c r="A343" s="201">
        <v>46028</v>
      </c>
      <c r="D343" s="198" t="s">
        <v>54</v>
      </c>
      <c r="E343" s="202">
        <v>22206250</v>
      </c>
      <c r="K343" s="198" t="s">
        <v>903</v>
      </c>
      <c r="L343" s="198" t="s">
        <v>126</v>
      </c>
      <c r="P343" s="201"/>
      <c r="R343" s="202">
        <v>22206250</v>
      </c>
      <c r="U343" s="198" t="s">
        <v>126</v>
      </c>
      <c r="AA343" s="198" t="s">
        <v>51</v>
      </c>
      <c r="AB343" s="202">
        <v>22206250</v>
      </c>
      <c r="AC343" s="202">
        <v>22206250</v>
      </c>
    </row>
    <row r="344" spans="1:29" outlineLevel="2" x14ac:dyDescent="0.25">
      <c r="A344" s="201">
        <v>46034</v>
      </c>
      <c r="D344" s="198" t="s">
        <v>54</v>
      </c>
      <c r="E344" s="202">
        <v>30000000.48</v>
      </c>
      <c r="K344" s="198" t="s">
        <v>903</v>
      </c>
      <c r="L344" s="198" t="s">
        <v>126</v>
      </c>
      <c r="P344" s="201"/>
      <c r="R344" s="202">
        <v>30000000.48</v>
      </c>
      <c r="U344" s="198" t="s">
        <v>126</v>
      </c>
      <c r="AA344" s="198" t="s">
        <v>51</v>
      </c>
      <c r="AB344" s="202">
        <v>30000000.48</v>
      </c>
      <c r="AC344" s="202">
        <v>30000000.48</v>
      </c>
    </row>
    <row r="345" spans="1:29" outlineLevel="2" x14ac:dyDescent="0.25">
      <c r="A345" s="201">
        <v>46035</v>
      </c>
      <c r="D345" s="198" t="s">
        <v>54</v>
      </c>
      <c r="E345" s="202">
        <v>10000000</v>
      </c>
      <c r="K345" s="198" t="s">
        <v>903</v>
      </c>
      <c r="L345" s="198" t="s">
        <v>126</v>
      </c>
      <c r="P345" s="201"/>
      <c r="R345" s="202">
        <v>10000000</v>
      </c>
      <c r="U345" s="198" t="s">
        <v>126</v>
      </c>
      <c r="AA345" s="198" t="s">
        <v>51</v>
      </c>
      <c r="AB345" s="202">
        <v>10000000</v>
      </c>
      <c r="AC345" s="202">
        <v>10000000</v>
      </c>
    </row>
    <row r="346" spans="1:29" outlineLevel="2" x14ac:dyDescent="0.25">
      <c r="A346" s="201">
        <v>46058</v>
      </c>
      <c r="D346" s="198" t="s">
        <v>54</v>
      </c>
      <c r="E346" s="202">
        <v>433296000</v>
      </c>
      <c r="K346" s="198" t="s">
        <v>903</v>
      </c>
      <c r="L346" s="198" t="s">
        <v>126</v>
      </c>
      <c r="P346" s="201"/>
      <c r="R346" s="202">
        <v>433296000</v>
      </c>
      <c r="U346" s="198" t="s">
        <v>126</v>
      </c>
      <c r="AA346" s="198" t="s">
        <v>51</v>
      </c>
      <c r="AB346" s="202">
        <v>433296000</v>
      </c>
      <c r="AC346" s="202">
        <v>433296000</v>
      </c>
    </row>
    <row r="347" spans="1:29" outlineLevel="2" x14ac:dyDescent="0.25">
      <c r="A347" s="201">
        <v>46060</v>
      </c>
      <c r="D347" s="198" t="s">
        <v>54</v>
      </c>
      <c r="E347" s="202">
        <v>22491723</v>
      </c>
      <c r="K347" s="198" t="s">
        <v>903</v>
      </c>
      <c r="L347" s="198" t="s">
        <v>126</v>
      </c>
      <c r="P347" s="201"/>
      <c r="R347" s="202">
        <v>22491723</v>
      </c>
      <c r="U347" s="198" t="s">
        <v>126</v>
      </c>
      <c r="AA347" s="198" t="s">
        <v>51</v>
      </c>
      <c r="AB347" s="202">
        <v>22491723</v>
      </c>
      <c r="AC347" s="202">
        <v>22491723</v>
      </c>
    </row>
    <row r="348" spans="1:29" outlineLevel="2" x14ac:dyDescent="0.25">
      <c r="A348" s="201">
        <v>46071</v>
      </c>
      <c r="D348" s="198" t="s">
        <v>54</v>
      </c>
      <c r="E348" s="202">
        <v>10246121.6</v>
      </c>
      <c r="K348" s="198" t="s">
        <v>903</v>
      </c>
      <c r="L348" s="198" t="s">
        <v>126</v>
      </c>
      <c r="P348" s="201"/>
      <c r="R348" s="202">
        <v>10246121.6</v>
      </c>
      <c r="U348" s="198" t="s">
        <v>126</v>
      </c>
      <c r="AA348" s="198" t="s">
        <v>51</v>
      </c>
      <c r="AB348" s="202">
        <v>10246121.6</v>
      </c>
      <c r="AC348" s="202">
        <v>10246121.6</v>
      </c>
    </row>
    <row r="349" spans="1:29" outlineLevel="2" x14ac:dyDescent="0.25">
      <c r="A349" s="201">
        <v>46090</v>
      </c>
      <c r="D349" s="198" t="s">
        <v>54</v>
      </c>
      <c r="E349" s="202">
        <v>699535</v>
      </c>
      <c r="K349" s="198" t="s">
        <v>903</v>
      </c>
      <c r="L349" s="198" t="s">
        <v>126</v>
      </c>
      <c r="P349" s="201"/>
      <c r="R349" s="202">
        <v>699535</v>
      </c>
      <c r="U349" s="198" t="s">
        <v>126</v>
      </c>
      <c r="AA349" s="198" t="s">
        <v>51</v>
      </c>
      <c r="AB349" s="202">
        <v>699535</v>
      </c>
      <c r="AC349" s="202">
        <v>699535</v>
      </c>
    </row>
    <row r="350" spans="1:29" outlineLevel="2" x14ac:dyDescent="0.25">
      <c r="A350" s="201">
        <v>46090</v>
      </c>
      <c r="D350" s="198" t="s">
        <v>54</v>
      </c>
      <c r="E350" s="202">
        <v>699535</v>
      </c>
      <c r="K350" s="198" t="s">
        <v>903</v>
      </c>
      <c r="L350" s="198" t="s">
        <v>126</v>
      </c>
      <c r="P350" s="201"/>
      <c r="R350" s="202">
        <v>699535</v>
      </c>
      <c r="U350" s="198" t="s">
        <v>126</v>
      </c>
      <c r="AA350" s="198" t="s">
        <v>51</v>
      </c>
      <c r="AB350" s="202">
        <v>699535</v>
      </c>
      <c r="AC350" s="202">
        <v>699535</v>
      </c>
    </row>
    <row r="351" spans="1:29" outlineLevel="2" x14ac:dyDescent="0.25">
      <c r="A351" s="201">
        <v>46090</v>
      </c>
      <c r="D351" s="198" t="s">
        <v>54</v>
      </c>
      <c r="E351" s="202">
        <v>-130169100.34</v>
      </c>
      <c r="K351" s="198" t="s">
        <v>903</v>
      </c>
      <c r="L351" s="198" t="s">
        <v>126</v>
      </c>
      <c r="P351" s="201"/>
      <c r="R351" s="202">
        <v>-130169100.34</v>
      </c>
      <c r="U351" s="198" t="s">
        <v>126</v>
      </c>
      <c r="AA351" s="198" t="s">
        <v>51</v>
      </c>
      <c r="AB351" s="202">
        <v>-130169100.34</v>
      </c>
      <c r="AC351" s="202">
        <v>-130169100.34</v>
      </c>
    </row>
    <row r="352" spans="1:29" outlineLevel="2" x14ac:dyDescent="0.25">
      <c r="A352" s="201">
        <v>46095</v>
      </c>
      <c r="D352" s="198" t="s">
        <v>54</v>
      </c>
      <c r="E352" s="202">
        <v>29985313.039999999</v>
      </c>
      <c r="K352" s="198" t="s">
        <v>903</v>
      </c>
      <c r="L352" s="198" t="s">
        <v>126</v>
      </c>
      <c r="P352" s="201"/>
      <c r="R352" s="202">
        <v>29985313.039999999</v>
      </c>
      <c r="U352" s="198" t="s">
        <v>126</v>
      </c>
      <c r="AA352" s="198" t="s">
        <v>51</v>
      </c>
      <c r="AB352" s="202">
        <v>29985313.039999999</v>
      </c>
      <c r="AC352" s="202">
        <v>29985313.039999999</v>
      </c>
    </row>
    <row r="353" spans="1:29" outlineLevel="2" x14ac:dyDescent="0.25">
      <c r="A353" s="201">
        <v>46097</v>
      </c>
      <c r="D353" s="198" t="s">
        <v>54</v>
      </c>
      <c r="E353" s="202">
        <v>99958.8</v>
      </c>
      <c r="K353" s="198" t="s">
        <v>903</v>
      </c>
      <c r="L353" s="198" t="s">
        <v>126</v>
      </c>
      <c r="P353" s="201"/>
      <c r="R353" s="202">
        <v>99958.8</v>
      </c>
      <c r="U353" s="198" t="s">
        <v>126</v>
      </c>
      <c r="AA353" s="198" t="s">
        <v>51</v>
      </c>
      <c r="AB353" s="202">
        <v>99958.8</v>
      </c>
      <c r="AC353" s="202">
        <v>99958.8</v>
      </c>
    </row>
    <row r="354" spans="1:29" outlineLevel="2" x14ac:dyDescent="0.25">
      <c r="A354" s="201">
        <v>46115</v>
      </c>
      <c r="D354" s="198" t="s">
        <v>54</v>
      </c>
      <c r="E354" s="202">
        <v>2442681.56</v>
      </c>
      <c r="K354" s="198" t="s">
        <v>903</v>
      </c>
      <c r="L354" s="198" t="s">
        <v>126</v>
      </c>
      <c r="P354" s="201"/>
      <c r="R354" s="202">
        <v>2442681.56</v>
      </c>
      <c r="U354" s="198" t="s">
        <v>126</v>
      </c>
      <c r="AA354" s="198" t="s">
        <v>51</v>
      </c>
      <c r="AB354" s="202">
        <v>2442681.56</v>
      </c>
      <c r="AC354" s="202">
        <v>2442681.56</v>
      </c>
    </row>
    <row r="355" spans="1:29" outlineLevel="2" x14ac:dyDescent="0.25">
      <c r="A355" s="201">
        <v>46117</v>
      </c>
      <c r="D355" s="198" t="s">
        <v>54</v>
      </c>
      <c r="E355" s="202">
        <v>2275213</v>
      </c>
      <c r="K355" s="198" t="s">
        <v>903</v>
      </c>
      <c r="L355" s="198" t="s">
        <v>126</v>
      </c>
      <c r="P355" s="201"/>
      <c r="R355" s="202">
        <v>2275213</v>
      </c>
      <c r="U355" s="198" t="s">
        <v>126</v>
      </c>
      <c r="AA355" s="198" t="s">
        <v>51</v>
      </c>
      <c r="AB355" s="202">
        <v>2275213</v>
      </c>
      <c r="AC355" s="202">
        <v>2275213</v>
      </c>
    </row>
    <row r="356" spans="1:29" outlineLevel="2" x14ac:dyDescent="0.25">
      <c r="A356" s="201">
        <v>46117</v>
      </c>
      <c r="D356" s="198" t="s">
        <v>54</v>
      </c>
      <c r="E356" s="202">
        <v>36040</v>
      </c>
      <c r="K356" s="198" t="s">
        <v>903</v>
      </c>
      <c r="L356" s="198" t="s">
        <v>126</v>
      </c>
      <c r="P356" s="201"/>
      <c r="R356" s="202">
        <v>36040</v>
      </c>
      <c r="U356" s="198" t="s">
        <v>126</v>
      </c>
      <c r="AA356" s="198" t="s">
        <v>51</v>
      </c>
      <c r="AB356" s="202">
        <v>36040</v>
      </c>
      <c r="AC356" s="202">
        <v>36040</v>
      </c>
    </row>
    <row r="357" spans="1:29" outlineLevel="2" x14ac:dyDescent="0.25">
      <c r="A357" s="201">
        <v>46134</v>
      </c>
      <c r="D357" s="198" t="s">
        <v>54</v>
      </c>
      <c r="E357" s="202">
        <v>1865000</v>
      </c>
      <c r="K357" s="198" t="s">
        <v>903</v>
      </c>
      <c r="L357" s="198" t="s">
        <v>126</v>
      </c>
      <c r="P357" s="201"/>
      <c r="R357" s="202">
        <v>1865000</v>
      </c>
      <c r="U357" s="198" t="s">
        <v>126</v>
      </c>
      <c r="AA357" s="198" t="s">
        <v>51</v>
      </c>
      <c r="AB357" s="202">
        <v>1865000</v>
      </c>
      <c r="AC357" s="202">
        <v>1865000</v>
      </c>
    </row>
    <row r="358" spans="1:29" outlineLevel="2" x14ac:dyDescent="0.25">
      <c r="A358" s="201">
        <v>46150</v>
      </c>
      <c r="D358" s="198" t="s">
        <v>54</v>
      </c>
      <c r="E358" s="202">
        <v>3179973</v>
      </c>
      <c r="K358" s="198" t="s">
        <v>903</v>
      </c>
      <c r="L358" s="198" t="s">
        <v>126</v>
      </c>
      <c r="P358" s="201"/>
      <c r="R358" s="202">
        <v>3179973</v>
      </c>
      <c r="U358" s="198" t="s">
        <v>126</v>
      </c>
      <c r="AA358" s="198" t="s">
        <v>51</v>
      </c>
      <c r="AB358" s="202">
        <v>3179973</v>
      </c>
      <c r="AC358" s="202">
        <v>3179973</v>
      </c>
    </row>
    <row r="359" spans="1:29" outlineLevel="2" x14ac:dyDescent="0.25">
      <c r="A359" s="201">
        <v>46150</v>
      </c>
      <c r="D359" s="198" t="s">
        <v>54</v>
      </c>
      <c r="E359" s="202">
        <v>8328182.2400000002</v>
      </c>
      <c r="K359" s="198" t="s">
        <v>903</v>
      </c>
      <c r="L359" s="198" t="s">
        <v>126</v>
      </c>
      <c r="P359" s="201"/>
      <c r="R359" s="202">
        <v>8328182.2400000002</v>
      </c>
      <c r="U359" s="198" t="s">
        <v>126</v>
      </c>
      <c r="AA359" s="198" t="s">
        <v>51</v>
      </c>
      <c r="AB359" s="202">
        <v>8328182.2400000002</v>
      </c>
      <c r="AC359" s="202">
        <v>8328182.2400000002</v>
      </c>
    </row>
    <row r="360" spans="1:29" outlineLevel="1" x14ac:dyDescent="0.25">
      <c r="A360" s="210"/>
      <c r="B360" s="209"/>
      <c r="C360" s="209"/>
      <c r="D360" s="209" t="s">
        <v>54</v>
      </c>
      <c r="E360" s="211">
        <v>9274083823.9599991</v>
      </c>
      <c r="F360" s="209"/>
      <c r="G360" s="209"/>
      <c r="H360" s="209"/>
      <c r="I360" s="209"/>
      <c r="J360" s="209"/>
      <c r="K360" s="209" t="s">
        <v>54</v>
      </c>
      <c r="L360" s="209" t="s">
        <v>54</v>
      </c>
      <c r="M360" s="209"/>
      <c r="N360" s="209"/>
      <c r="O360" s="209"/>
      <c r="P360" s="210"/>
      <c r="Q360" s="209"/>
      <c r="R360" s="212"/>
      <c r="S360" s="209"/>
      <c r="T360" s="209"/>
      <c r="U360" s="209" t="s">
        <v>54</v>
      </c>
      <c r="V360" s="209"/>
      <c r="W360" s="209"/>
      <c r="X360" s="209"/>
      <c r="Y360" s="209"/>
      <c r="Z360" s="209"/>
      <c r="AA360" s="209" t="s">
        <v>54</v>
      </c>
      <c r="AB360" s="212"/>
      <c r="AC360" s="212"/>
    </row>
    <row r="361" spans="1:29" outlineLevel="2" x14ac:dyDescent="0.25">
      <c r="A361" s="201">
        <v>46003</v>
      </c>
      <c r="D361" s="198" t="s">
        <v>54</v>
      </c>
      <c r="E361" s="202">
        <v>11875165730</v>
      </c>
      <c r="K361" s="198" t="s">
        <v>905</v>
      </c>
      <c r="L361" s="198" t="s">
        <v>126</v>
      </c>
      <c r="P361" s="201"/>
      <c r="R361" s="202">
        <v>11875165730</v>
      </c>
      <c r="U361" s="198" t="s">
        <v>904</v>
      </c>
      <c r="AA361" s="198" t="s">
        <v>51</v>
      </c>
      <c r="AB361" s="202">
        <v>11875165730</v>
      </c>
      <c r="AC361" s="202">
        <v>11875165730</v>
      </c>
    </row>
    <row r="362" spans="1:29" outlineLevel="2" x14ac:dyDescent="0.25">
      <c r="A362" s="201">
        <v>46004</v>
      </c>
      <c r="D362" s="198" t="s">
        <v>54</v>
      </c>
      <c r="E362" s="202">
        <v>-5323057911</v>
      </c>
      <c r="K362" s="198" t="s">
        <v>905</v>
      </c>
      <c r="L362" s="198" t="s">
        <v>126</v>
      </c>
      <c r="P362" s="201"/>
      <c r="R362" s="202">
        <v>-5323057911</v>
      </c>
      <c r="U362" s="198" t="s">
        <v>904</v>
      </c>
      <c r="AA362" s="198" t="s">
        <v>51</v>
      </c>
      <c r="AB362" s="202">
        <v>-5323057911</v>
      </c>
      <c r="AC362" s="202">
        <v>-5323057911</v>
      </c>
    </row>
    <row r="363" spans="1:29" outlineLevel="2" x14ac:dyDescent="0.25">
      <c r="A363" s="201">
        <v>46004</v>
      </c>
      <c r="D363" s="198" t="s">
        <v>54</v>
      </c>
      <c r="E363" s="202">
        <v>259515931</v>
      </c>
      <c r="K363" s="198" t="s">
        <v>905</v>
      </c>
      <c r="L363" s="198" t="s">
        <v>126</v>
      </c>
      <c r="P363" s="201"/>
      <c r="R363" s="202">
        <v>259515931</v>
      </c>
      <c r="U363" s="198" t="s">
        <v>904</v>
      </c>
      <c r="AA363" s="198" t="s">
        <v>51</v>
      </c>
      <c r="AB363" s="202">
        <v>259515931</v>
      </c>
      <c r="AC363" s="202">
        <v>259515931</v>
      </c>
    </row>
    <row r="364" spans="1:29" outlineLevel="2" x14ac:dyDescent="0.25">
      <c r="A364" s="201">
        <v>46028</v>
      </c>
      <c r="D364" s="198" t="s">
        <v>54</v>
      </c>
      <c r="E364" s="202">
        <v>22206250</v>
      </c>
      <c r="K364" s="198" t="s">
        <v>905</v>
      </c>
      <c r="L364" s="198" t="s">
        <v>126</v>
      </c>
      <c r="P364" s="201"/>
      <c r="R364" s="202">
        <v>22206250</v>
      </c>
      <c r="U364" s="198" t="s">
        <v>904</v>
      </c>
      <c r="AA364" s="198" t="s">
        <v>51</v>
      </c>
      <c r="AB364" s="202">
        <v>22206250</v>
      </c>
      <c r="AC364" s="202">
        <v>22206250</v>
      </c>
    </row>
    <row r="365" spans="1:29" outlineLevel="2" x14ac:dyDescent="0.25">
      <c r="A365" s="201">
        <v>46058</v>
      </c>
      <c r="D365" s="198" t="s">
        <v>54</v>
      </c>
      <c r="E365" s="202">
        <v>433296000</v>
      </c>
      <c r="K365" s="198" t="s">
        <v>905</v>
      </c>
      <c r="L365" s="198" t="s">
        <v>126</v>
      </c>
      <c r="P365" s="201"/>
      <c r="R365" s="202">
        <v>433296000</v>
      </c>
      <c r="U365" s="198" t="s">
        <v>904</v>
      </c>
      <c r="AA365" s="198" t="s">
        <v>51</v>
      </c>
      <c r="AB365" s="202">
        <v>433296000</v>
      </c>
      <c r="AC365" s="202">
        <v>433296000</v>
      </c>
    </row>
    <row r="366" spans="1:29" outlineLevel="2" x14ac:dyDescent="0.25">
      <c r="A366" s="201">
        <v>46060</v>
      </c>
      <c r="D366" s="198" t="s">
        <v>54</v>
      </c>
      <c r="E366" s="202">
        <v>22491723</v>
      </c>
      <c r="K366" s="198" t="s">
        <v>905</v>
      </c>
      <c r="L366" s="198" t="s">
        <v>126</v>
      </c>
      <c r="P366" s="201"/>
      <c r="R366" s="202">
        <v>22491723</v>
      </c>
      <c r="U366" s="198" t="s">
        <v>904</v>
      </c>
      <c r="AA366" s="198" t="s">
        <v>51</v>
      </c>
      <c r="AB366" s="202">
        <v>22491723</v>
      </c>
      <c r="AC366" s="202">
        <v>22491723</v>
      </c>
    </row>
    <row r="367" spans="1:29" outlineLevel="1" x14ac:dyDescent="0.25">
      <c r="A367" s="210"/>
      <c r="B367" s="209"/>
      <c r="C367" s="209"/>
      <c r="D367" s="209" t="s">
        <v>54</v>
      </c>
      <c r="E367" s="211">
        <v>7289617723</v>
      </c>
      <c r="F367" s="209"/>
      <c r="G367" s="209"/>
      <c r="H367" s="209"/>
      <c r="I367" s="209"/>
      <c r="J367" s="209"/>
      <c r="K367" s="209" t="s">
        <v>54</v>
      </c>
      <c r="L367" s="209" t="s">
        <v>54</v>
      </c>
      <c r="M367" s="209"/>
      <c r="N367" s="209"/>
      <c r="O367" s="209"/>
      <c r="P367" s="210"/>
      <c r="Q367" s="209"/>
      <c r="R367" s="212"/>
      <c r="S367" s="209"/>
      <c r="T367" s="209"/>
      <c r="U367" s="209" t="s">
        <v>54</v>
      </c>
      <c r="V367" s="209"/>
      <c r="W367" s="209"/>
      <c r="X367" s="209"/>
      <c r="Y367" s="209"/>
      <c r="Z367" s="209"/>
      <c r="AA367" s="209" t="s">
        <v>54</v>
      </c>
      <c r="AB367" s="212"/>
      <c r="AC367" s="212"/>
    </row>
    <row r="368" spans="1:29" outlineLevel="2" x14ac:dyDescent="0.25">
      <c r="A368" s="201">
        <v>46003</v>
      </c>
      <c r="D368" s="198" t="s">
        <v>54</v>
      </c>
      <c r="E368" s="202">
        <v>11875165730</v>
      </c>
      <c r="K368" s="198" t="s">
        <v>907</v>
      </c>
      <c r="L368" s="198" t="s">
        <v>126</v>
      </c>
      <c r="P368" s="201"/>
      <c r="R368" s="202">
        <v>11875165730</v>
      </c>
      <c r="U368" s="198" t="s">
        <v>707</v>
      </c>
      <c r="AA368" s="198" t="s">
        <v>51</v>
      </c>
      <c r="AB368" s="202">
        <v>11875165730</v>
      </c>
      <c r="AC368" s="202">
        <v>11875165730</v>
      </c>
    </row>
    <row r="369" spans="1:29" outlineLevel="2" x14ac:dyDescent="0.25">
      <c r="A369" s="201">
        <v>46004</v>
      </c>
      <c r="D369" s="198" t="s">
        <v>54</v>
      </c>
      <c r="E369" s="202">
        <v>-5323057911</v>
      </c>
      <c r="K369" s="198" t="s">
        <v>907</v>
      </c>
      <c r="L369" s="198" t="s">
        <v>126</v>
      </c>
      <c r="P369" s="201"/>
      <c r="R369" s="202">
        <v>-5323057911</v>
      </c>
      <c r="U369" s="198" t="s">
        <v>707</v>
      </c>
      <c r="AA369" s="198" t="s">
        <v>51</v>
      </c>
      <c r="AB369" s="202">
        <v>-5323057911</v>
      </c>
      <c r="AC369" s="202">
        <v>-5323057911</v>
      </c>
    </row>
    <row r="370" spans="1:29" outlineLevel="2" x14ac:dyDescent="0.25">
      <c r="A370" s="201">
        <v>46004</v>
      </c>
      <c r="D370" s="198" t="s">
        <v>54</v>
      </c>
      <c r="E370" s="202">
        <v>259515931</v>
      </c>
      <c r="K370" s="198" t="s">
        <v>907</v>
      </c>
      <c r="L370" s="198" t="s">
        <v>126</v>
      </c>
      <c r="P370" s="201"/>
      <c r="R370" s="202">
        <v>259515931</v>
      </c>
      <c r="U370" s="198" t="s">
        <v>707</v>
      </c>
      <c r="AA370" s="198" t="s">
        <v>51</v>
      </c>
      <c r="AB370" s="202">
        <v>259515931</v>
      </c>
      <c r="AC370" s="202">
        <v>259515931</v>
      </c>
    </row>
    <row r="371" spans="1:29" outlineLevel="2" x14ac:dyDescent="0.25">
      <c r="A371" s="201">
        <v>46028</v>
      </c>
      <c r="D371" s="198" t="s">
        <v>54</v>
      </c>
      <c r="E371" s="202">
        <v>22206250</v>
      </c>
      <c r="K371" s="198" t="s">
        <v>907</v>
      </c>
      <c r="L371" s="198" t="s">
        <v>126</v>
      </c>
      <c r="P371" s="201"/>
      <c r="R371" s="202">
        <v>22206250</v>
      </c>
      <c r="U371" s="198" t="s">
        <v>707</v>
      </c>
      <c r="AA371" s="198" t="s">
        <v>51</v>
      </c>
      <c r="AB371" s="202">
        <v>22206250</v>
      </c>
      <c r="AC371" s="202">
        <v>22206250</v>
      </c>
    </row>
    <row r="372" spans="1:29" outlineLevel="2" x14ac:dyDescent="0.25">
      <c r="A372" s="201">
        <v>46058</v>
      </c>
      <c r="D372" s="198" t="s">
        <v>54</v>
      </c>
      <c r="E372" s="202">
        <v>433296000</v>
      </c>
      <c r="K372" s="198" t="s">
        <v>907</v>
      </c>
      <c r="L372" s="198" t="s">
        <v>126</v>
      </c>
      <c r="P372" s="201"/>
      <c r="R372" s="202">
        <v>433296000</v>
      </c>
      <c r="U372" s="198" t="s">
        <v>707</v>
      </c>
      <c r="AA372" s="198" t="s">
        <v>51</v>
      </c>
      <c r="AB372" s="202">
        <v>433296000</v>
      </c>
      <c r="AC372" s="202">
        <v>433296000</v>
      </c>
    </row>
    <row r="373" spans="1:29" outlineLevel="2" x14ac:dyDescent="0.25">
      <c r="A373" s="201">
        <v>46060</v>
      </c>
      <c r="D373" s="198" t="s">
        <v>54</v>
      </c>
      <c r="E373" s="202">
        <v>22491723</v>
      </c>
      <c r="K373" s="198" t="s">
        <v>907</v>
      </c>
      <c r="L373" s="198" t="s">
        <v>126</v>
      </c>
      <c r="P373" s="201"/>
      <c r="R373" s="202">
        <v>22491723</v>
      </c>
      <c r="U373" s="198" t="s">
        <v>707</v>
      </c>
      <c r="AA373" s="198" t="s">
        <v>51</v>
      </c>
      <c r="AB373" s="202">
        <v>22491723</v>
      </c>
      <c r="AC373" s="202">
        <v>22491723</v>
      </c>
    </row>
    <row r="374" spans="1:29" outlineLevel="1" x14ac:dyDescent="0.25">
      <c r="A374" s="210"/>
      <c r="B374" s="209"/>
      <c r="C374" s="209"/>
      <c r="D374" s="209" t="s">
        <v>54</v>
      </c>
      <c r="E374" s="211">
        <v>7289617723</v>
      </c>
      <c r="F374" s="209"/>
      <c r="G374" s="209"/>
      <c r="H374" s="209"/>
      <c r="I374" s="209"/>
      <c r="J374" s="209"/>
      <c r="K374" s="209" t="s">
        <v>54</v>
      </c>
      <c r="L374" s="209" t="s">
        <v>54</v>
      </c>
      <c r="M374" s="209"/>
      <c r="N374" s="209"/>
      <c r="O374" s="209"/>
      <c r="P374" s="210"/>
      <c r="Q374" s="209"/>
      <c r="R374" s="212"/>
      <c r="S374" s="209"/>
      <c r="T374" s="209"/>
      <c r="U374" s="209" t="s">
        <v>54</v>
      </c>
      <c r="V374" s="209"/>
      <c r="W374" s="209"/>
      <c r="X374" s="209"/>
      <c r="Y374" s="209"/>
      <c r="Z374" s="209"/>
      <c r="AA374" s="209" t="s">
        <v>54</v>
      </c>
      <c r="AB374" s="212"/>
      <c r="AC374" s="212"/>
    </row>
    <row r="375" spans="1:29" outlineLevel="2" x14ac:dyDescent="0.25">
      <c r="A375" s="201">
        <v>46004</v>
      </c>
      <c r="D375" s="198" t="s">
        <v>54</v>
      </c>
      <c r="E375" s="202">
        <v>701155706.89999998</v>
      </c>
      <c r="K375" s="198" t="s">
        <v>909</v>
      </c>
      <c r="L375" s="198" t="s">
        <v>126</v>
      </c>
      <c r="P375" s="201"/>
      <c r="R375" s="202">
        <v>701155706.89999998</v>
      </c>
      <c r="U375" s="198" t="s">
        <v>908</v>
      </c>
      <c r="AA375" s="198" t="s">
        <v>51</v>
      </c>
      <c r="AB375" s="202">
        <v>701155706.89999998</v>
      </c>
      <c r="AC375" s="202">
        <v>701155706.89999998</v>
      </c>
    </row>
    <row r="376" spans="1:29" outlineLevel="2" x14ac:dyDescent="0.25">
      <c r="A376" s="201">
        <v>46090</v>
      </c>
      <c r="D376" s="198" t="s">
        <v>54</v>
      </c>
      <c r="E376" s="202">
        <v>-83674204.340000004</v>
      </c>
      <c r="K376" s="198" t="s">
        <v>909</v>
      </c>
      <c r="L376" s="198" t="s">
        <v>126</v>
      </c>
      <c r="P376" s="201"/>
      <c r="R376" s="202">
        <v>-83674204.340000004</v>
      </c>
      <c r="U376" s="198" t="s">
        <v>908</v>
      </c>
      <c r="AA376" s="198" t="s">
        <v>51</v>
      </c>
      <c r="AB376" s="202">
        <v>-83674204.340000004</v>
      </c>
      <c r="AC376" s="202">
        <v>-83674204.340000004</v>
      </c>
    </row>
    <row r="377" spans="1:29" outlineLevel="1" x14ac:dyDescent="0.25">
      <c r="A377" s="210"/>
      <c r="B377" s="209"/>
      <c r="C377" s="209"/>
      <c r="D377" s="209" t="s">
        <v>54</v>
      </c>
      <c r="E377" s="211">
        <v>617481502.55999994</v>
      </c>
      <c r="F377" s="209"/>
      <c r="G377" s="209"/>
      <c r="H377" s="209"/>
      <c r="I377" s="209"/>
      <c r="J377" s="209"/>
      <c r="K377" s="209" t="s">
        <v>54</v>
      </c>
      <c r="L377" s="209" t="s">
        <v>54</v>
      </c>
      <c r="M377" s="209"/>
      <c r="N377" s="209"/>
      <c r="O377" s="209"/>
      <c r="P377" s="210"/>
      <c r="Q377" s="209"/>
      <c r="R377" s="212"/>
      <c r="S377" s="209"/>
      <c r="T377" s="209"/>
      <c r="U377" s="209" t="s">
        <v>54</v>
      </c>
      <c r="V377" s="209"/>
      <c r="W377" s="209"/>
      <c r="X377" s="209"/>
      <c r="Y377" s="209"/>
      <c r="Z377" s="209"/>
      <c r="AA377" s="209" t="s">
        <v>54</v>
      </c>
      <c r="AB377" s="212"/>
      <c r="AC377" s="212"/>
    </row>
    <row r="378" spans="1:29" outlineLevel="2" x14ac:dyDescent="0.25">
      <c r="A378" s="201">
        <v>46004</v>
      </c>
      <c r="D378" s="198" t="s">
        <v>54</v>
      </c>
      <c r="E378" s="202">
        <v>701155706.89999998</v>
      </c>
      <c r="K378" s="198" t="s">
        <v>911</v>
      </c>
      <c r="L378" s="198" t="s">
        <v>126</v>
      </c>
      <c r="P378" s="201"/>
      <c r="R378" s="202">
        <v>701155706.89999998</v>
      </c>
      <c r="U378" s="198" t="s">
        <v>690</v>
      </c>
      <c r="AA378" s="198" t="s">
        <v>51</v>
      </c>
      <c r="AB378" s="202">
        <v>701155706.89999998</v>
      </c>
      <c r="AC378" s="202">
        <v>701155706.89999998</v>
      </c>
    </row>
    <row r="379" spans="1:29" outlineLevel="2" x14ac:dyDescent="0.25">
      <c r="A379" s="201">
        <v>46090</v>
      </c>
      <c r="D379" s="198" t="s">
        <v>54</v>
      </c>
      <c r="E379" s="202">
        <v>-83674204.340000004</v>
      </c>
      <c r="K379" s="198" t="s">
        <v>911</v>
      </c>
      <c r="L379" s="198" t="s">
        <v>126</v>
      </c>
      <c r="P379" s="201"/>
      <c r="R379" s="202">
        <v>-83674204.340000004</v>
      </c>
      <c r="U379" s="198" t="s">
        <v>690</v>
      </c>
      <c r="AA379" s="198" t="s">
        <v>51</v>
      </c>
      <c r="AB379" s="202">
        <v>-83674204.340000004</v>
      </c>
      <c r="AC379" s="202">
        <v>-83674204.340000004</v>
      </c>
    </row>
    <row r="380" spans="1:29" outlineLevel="1" x14ac:dyDescent="0.25">
      <c r="A380" s="210"/>
      <c r="B380" s="209"/>
      <c r="C380" s="209"/>
      <c r="D380" s="209" t="s">
        <v>54</v>
      </c>
      <c r="E380" s="211">
        <v>617481502.55999994</v>
      </c>
      <c r="F380" s="209"/>
      <c r="G380" s="209"/>
      <c r="H380" s="209"/>
      <c r="I380" s="209"/>
      <c r="J380" s="209"/>
      <c r="K380" s="209" t="s">
        <v>54</v>
      </c>
      <c r="L380" s="209" t="s">
        <v>54</v>
      </c>
      <c r="M380" s="209"/>
      <c r="N380" s="209"/>
      <c r="O380" s="209"/>
      <c r="P380" s="210"/>
      <c r="Q380" s="209"/>
      <c r="R380" s="212"/>
      <c r="S380" s="209"/>
      <c r="T380" s="209"/>
      <c r="U380" s="209" t="s">
        <v>54</v>
      </c>
      <c r="V380" s="209"/>
      <c r="W380" s="209"/>
      <c r="X380" s="209"/>
      <c r="Y380" s="209"/>
      <c r="Z380" s="209"/>
      <c r="AA380" s="209" t="s">
        <v>54</v>
      </c>
      <c r="AB380" s="212"/>
      <c r="AC380" s="212"/>
    </row>
    <row r="381" spans="1:29" outlineLevel="2" x14ac:dyDescent="0.25">
      <c r="A381" s="201">
        <v>46004</v>
      </c>
      <c r="D381" s="198" t="s">
        <v>54</v>
      </c>
      <c r="E381" s="202">
        <v>123094896</v>
      </c>
      <c r="K381" s="198" t="s">
        <v>913</v>
      </c>
      <c r="L381" s="198" t="s">
        <v>126</v>
      </c>
      <c r="P381" s="201"/>
      <c r="R381" s="202">
        <v>123094896</v>
      </c>
      <c r="U381" s="198" t="s">
        <v>912</v>
      </c>
      <c r="AA381" s="198" t="s">
        <v>51</v>
      </c>
      <c r="AB381" s="202">
        <v>123094896</v>
      </c>
      <c r="AC381" s="202">
        <v>123094896</v>
      </c>
    </row>
    <row r="382" spans="1:29" outlineLevel="2" x14ac:dyDescent="0.25">
      <c r="A382" s="201">
        <v>46090</v>
      </c>
      <c r="D382" s="198" t="s">
        <v>54</v>
      </c>
      <c r="E382" s="202">
        <v>-38094896</v>
      </c>
      <c r="K382" s="198" t="s">
        <v>913</v>
      </c>
      <c r="L382" s="198" t="s">
        <v>126</v>
      </c>
      <c r="P382" s="201"/>
      <c r="R382" s="202">
        <v>-38094896</v>
      </c>
      <c r="U382" s="198" t="s">
        <v>912</v>
      </c>
      <c r="AA382" s="198" t="s">
        <v>51</v>
      </c>
      <c r="AB382" s="202">
        <v>-38094896</v>
      </c>
      <c r="AC382" s="202">
        <v>-38094896</v>
      </c>
    </row>
    <row r="383" spans="1:29" outlineLevel="1" x14ac:dyDescent="0.25">
      <c r="A383" s="210"/>
      <c r="B383" s="209"/>
      <c r="C383" s="209"/>
      <c r="D383" s="209" t="s">
        <v>54</v>
      </c>
      <c r="E383" s="211">
        <v>85000000</v>
      </c>
      <c r="F383" s="209"/>
      <c r="G383" s="209"/>
      <c r="H383" s="209"/>
      <c r="I383" s="209"/>
      <c r="J383" s="209"/>
      <c r="K383" s="209" t="s">
        <v>54</v>
      </c>
      <c r="L383" s="209" t="s">
        <v>54</v>
      </c>
      <c r="M383" s="209"/>
      <c r="N383" s="209"/>
      <c r="O383" s="209"/>
      <c r="P383" s="210"/>
      <c r="Q383" s="209"/>
      <c r="R383" s="212"/>
      <c r="S383" s="209"/>
      <c r="T383" s="209"/>
      <c r="U383" s="209" t="s">
        <v>54</v>
      </c>
      <c r="V383" s="209"/>
      <c r="W383" s="209"/>
      <c r="X383" s="209"/>
      <c r="Y383" s="209"/>
      <c r="Z383" s="209"/>
      <c r="AA383" s="209" t="s">
        <v>54</v>
      </c>
      <c r="AB383" s="212"/>
      <c r="AC383" s="212"/>
    </row>
    <row r="384" spans="1:29" outlineLevel="2" x14ac:dyDescent="0.25">
      <c r="A384" s="201">
        <v>46004</v>
      </c>
      <c r="D384" s="198" t="s">
        <v>54</v>
      </c>
      <c r="E384" s="202">
        <v>123094896</v>
      </c>
      <c r="K384" s="198" t="s">
        <v>915</v>
      </c>
      <c r="L384" s="198" t="s">
        <v>126</v>
      </c>
      <c r="P384" s="201"/>
      <c r="R384" s="202">
        <v>123094896</v>
      </c>
      <c r="U384" s="198" t="s">
        <v>352</v>
      </c>
      <c r="AA384" s="198" t="s">
        <v>51</v>
      </c>
      <c r="AB384" s="202">
        <v>123094896</v>
      </c>
      <c r="AC384" s="202">
        <v>123094896</v>
      </c>
    </row>
    <row r="385" spans="1:29" outlineLevel="2" x14ac:dyDescent="0.25">
      <c r="A385" s="201">
        <v>46090</v>
      </c>
      <c r="D385" s="198" t="s">
        <v>54</v>
      </c>
      <c r="E385" s="202">
        <v>-38094896</v>
      </c>
      <c r="K385" s="198" t="s">
        <v>915</v>
      </c>
      <c r="L385" s="198" t="s">
        <v>126</v>
      </c>
      <c r="P385" s="201"/>
      <c r="R385" s="202">
        <v>-38094896</v>
      </c>
      <c r="U385" s="198" t="s">
        <v>352</v>
      </c>
      <c r="AA385" s="198" t="s">
        <v>51</v>
      </c>
      <c r="AB385" s="202">
        <v>-38094896</v>
      </c>
      <c r="AC385" s="202">
        <v>-38094896</v>
      </c>
    </row>
    <row r="386" spans="1:29" outlineLevel="1" x14ac:dyDescent="0.25">
      <c r="A386" s="210"/>
      <c r="B386" s="209"/>
      <c r="C386" s="209"/>
      <c r="D386" s="209" t="s">
        <v>54</v>
      </c>
      <c r="E386" s="211">
        <v>85000000</v>
      </c>
      <c r="F386" s="209"/>
      <c r="G386" s="209"/>
      <c r="H386" s="209"/>
      <c r="I386" s="209"/>
      <c r="J386" s="209"/>
      <c r="K386" s="209" t="s">
        <v>54</v>
      </c>
      <c r="L386" s="209" t="s">
        <v>54</v>
      </c>
      <c r="M386" s="209"/>
      <c r="N386" s="209"/>
      <c r="O386" s="209"/>
      <c r="P386" s="210"/>
      <c r="Q386" s="209"/>
      <c r="R386" s="212"/>
      <c r="S386" s="209"/>
      <c r="T386" s="209"/>
      <c r="U386" s="209" t="s">
        <v>54</v>
      </c>
      <c r="V386" s="209"/>
      <c r="W386" s="209"/>
      <c r="X386" s="209"/>
      <c r="Y386" s="209"/>
      <c r="Z386" s="209"/>
      <c r="AA386" s="209" t="s">
        <v>54</v>
      </c>
      <c r="AB386" s="212"/>
      <c r="AC386" s="212"/>
    </row>
    <row r="387" spans="1:29" outlineLevel="2" x14ac:dyDescent="0.25">
      <c r="A387" s="201">
        <v>46004</v>
      </c>
      <c r="D387" s="198" t="s">
        <v>54</v>
      </c>
      <c r="E387" s="202">
        <v>598500000</v>
      </c>
      <c r="K387" s="198" t="s">
        <v>916</v>
      </c>
      <c r="L387" s="198" t="s">
        <v>126</v>
      </c>
      <c r="P387" s="201"/>
      <c r="R387" s="202">
        <v>598500000</v>
      </c>
      <c r="U387" s="198" t="s">
        <v>440</v>
      </c>
      <c r="AA387" s="198" t="s">
        <v>51</v>
      </c>
      <c r="AB387" s="202">
        <v>598500000</v>
      </c>
      <c r="AC387" s="202">
        <v>598500000</v>
      </c>
    </row>
    <row r="388" spans="1:29" outlineLevel="2" x14ac:dyDescent="0.25">
      <c r="A388" s="201">
        <v>46020</v>
      </c>
      <c r="D388" s="198" t="s">
        <v>54</v>
      </c>
      <c r="E388" s="202">
        <v>-73132142</v>
      </c>
      <c r="K388" s="198" t="s">
        <v>916</v>
      </c>
      <c r="L388" s="198" t="s">
        <v>126</v>
      </c>
      <c r="P388" s="201"/>
      <c r="R388" s="202">
        <v>-73132142</v>
      </c>
      <c r="U388" s="198" t="s">
        <v>440</v>
      </c>
      <c r="AA388" s="198" t="s">
        <v>51</v>
      </c>
      <c r="AB388" s="202">
        <v>-73132142</v>
      </c>
      <c r="AC388" s="202">
        <v>-73132142</v>
      </c>
    </row>
    <row r="389" spans="1:29" outlineLevel="2" x14ac:dyDescent="0.25">
      <c r="A389" s="201">
        <v>46035</v>
      </c>
      <c r="D389" s="198" t="s">
        <v>54</v>
      </c>
      <c r="E389" s="202">
        <v>10000000</v>
      </c>
      <c r="K389" s="198" t="s">
        <v>916</v>
      </c>
      <c r="L389" s="198" t="s">
        <v>126</v>
      </c>
      <c r="P389" s="201"/>
      <c r="R389" s="202">
        <v>10000000</v>
      </c>
      <c r="U389" s="198" t="s">
        <v>440</v>
      </c>
      <c r="AA389" s="198" t="s">
        <v>51</v>
      </c>
      <c r="AB389" s="202">
        <v>10000000</v>
      </c>
      <c r="AC389" s="202">
        <v>10000000</v>
      </c>
    </row>
    <row r="390" spans="1:29" outlineLevel="2" x14ac:dyDescent="0.25">
      <c r="A390" s="201">
        <v>46090</v>
      </c>
      <c r="D390" s="198" t="s">
        <v>54</v>
      </c>
      <c r="E390" s="202">
        <v>-8400000</v>
      </c>
      <c r="K390" s="198" t="s">
        <v>916</v>
      </c>
      <c r="L390" s="198" t="s">
        <v>126</v>
      </c>
      <c r="P390" s="201"/>
      <c r="R390" s="202">
        <v>-8400000</v>
      </c>
      <c r="U390" s="198" t="s">
        <v>440</v>
      </c>
      <c r="AA390" s="198" t="s">
        <v>51</v>
      </c>
      <c r="AB390" s="202">
        <v>-8400000</v>
      </c>
      <c r="AC390" s="202">
        <v>-8400000</v>
      </c>
    </row>
    <row r="391" spans="1:29" outlineLevel="1" x14ac:dyDescent="0.25">
      <c r="A391" s="210"/>
      <c r="B391" s="209"/>
      <c r="C391" s="209"/>
      <c r="D391" s="209" t="s">
        <v>54</v>
      </c>
      <c r="E391" s="211">
        <v>526967858</v>
      </c>
      <c r="F391" s="209"/>
      <c r="G391" s="209"/>
      <c r="H391" s="209"/>
      <c r="I391" s="209"/>
      <c r="J391" s="209"/>
      <c r="K391" s="209" t="s">
        <v>54</v>
      </c>
      <c r="L391" s="209" t="s">
        <v>54</v>
      </c>
      <c r="M391" s="209"/>
      <c r="N391" s="209"/>
      <c r="O391" s="209"/>
      <c r="P391" s="210"/>
      <c r="Q391" s="209"/>
      <c r="R391" s="212"/>
      <c r="S391" s="209"/>
      <c r="T391" s="209"/>
      <c r="U391" s="209" t="s">
        <v>54</v>
      </c>
      <c r="V391" s="209"/>
      <c r="W391" s="209"/>
      <c r="X391" s="209"/>
      <c r="Y391" s="209"/>
      <c r="Z391" s="209"/>
      <c r="AA391" s="209" t="s">
        <v>54</v>
      </c>
      <c r="AB391" s="212"/>
      <c r="AC391" s="212"/>
    </row>
    <row r="392" spans="1:29" outlineLevel="2" x14ac:dyDescent="0.25">
      <c r="A392" s="201">
        <v>46004</v>
      </c>
      <c r="D392" s="198" t="s">
        <v>54</v>
      </c>
      <c r="E392" s="202">
        <v>320007332</v>
      </c>
      <c r="K392" s="198" t="s">
        <v>918</v>
      </c>
      <c r="L392" s="198" t="s">
        <v>126</v>
      </c>
      <c r="P392" s="201"/>
      <c r="R392" s="202">
        <v>320007332</v>
      </c>
      <c r="U392" s="198" t="s">
        <v>917</v>
      </c>
      <c r="AA392" s="198" t="s">
        <v>51</v>
      </c>
      <c r="AB392" s="202">
        <v>320007332</v>
      </c>
      <c r="AC392" s="202">
        <v>320007332</v>
      </c>
    </row>
    <row r="393" spans="1:29" outlineLevel="2" x14ac:dyDescent="0.25">
      <c r="A393" s="201">
        <v>46015</v>
      </c>
      <c r="D393" s="198" t="s">
        <v>54</v>
      </c>
      <c r="E393" s="202">
        <v>28123500</v>
      </c>
      <c r="K393" s="198" t="s">
        <v>918</v>
      </c>
      <c r="L393" s="198" t="s">
        <v>126</v>
      </c>
      <c r="P393" s="201"/>
      <c r="R393" s="202">
        <v>28123500</v>
      </c>
      <c r="U393" s="198" t="s">
        <v>917</v>
      </c>
      <c r="AA393" s="198" t="s">
        <v>51</v>
      </c>
      <c r="AB393" s="202">
        <v>28123500</v>
      </c>
      <c r="AC393" s="202">
        <v>28123500</v>
      </c>
    </row>
    <row r="394" spans="1:29" outlineLevel="2" x14ac:dyDescent="0.25">
      <c r="A394" s="201">
        <v>46018</v>
      </c>
      <c r="D394" s="198" t="s">
        <v>54</v>
      </c>
      <c r="E394" s="202">
        <v>320501039</v>
      </c>
      <c r="K394" s="198" t="s">
        <v>918</v>
      </c>
      <c r="L394" s="198" t="s">
        <v>126</v>
      </c>
      <c r="P394" s="201"/>
      <c r="R394" s="202">
        <v>320501039</v>
      </c>
      <c r="U394" s="198" t="s">
        <v>917</v>
      </c>
      <c r="AA394" s="198" t="s">
        <v>51</v>
      </c>
      <c r="AB394" s="202">
        <v>320501039</v>
      </c>
      <c r="AC394" s="202">
        <v>320501039</v>
      </c>
    </row>
    <row r="395" spans="1:29" outlineLevel="2" x14ac:dyDescent="0.25">
      <c r="A395" s="201">
        <v>46020</v>
      </c>
      <c r="D395" s="198" t="s">
        <v>54</v>
      </c>
      <c r="E395" s="202">
        <v>18525027.899999999</v>
      </c>
      <c r="K395" s="198" t="s">
        <v>918</v>
      </c>
      <c r="L395" s="198" t="s">
        <v>126</v>
      </c>
      <c r="P395" s="201"/>
      <c r="R395" s="202">
        <v>18525027.899999999</v>
      </c>
      <c r="U395" s="198" t="s">
        <v>917</v>
      </c>
      <c r="AA395" s="198" t="s">
        <v>51</v>
      </c>
      <c r="AB395" s="202">
        <v>18525027.899999999</v>
      </c>
      <c r="AC395" s="202">
        <v>18525027.899999999</v>
      </c>
    </row>
    <row r="396" spans="1:29" outlineLevel="2" x14ac:dyDescent="0.25">
      <c r="A396" s="201">
        <v>46020</v>
      </c>
      <c r="D396" s="198" t="s">
        <v>54</v>
      </c>
      <c r="E396" s="202">
        <v>-92849189.739999995</v>
      </c>
      <c r="K396" s="198" t="s">
        <v>918</v>
      </c>
      <c r="L396" s="198" t="s">
        <v>126</v>
      </c>
      <c r="P396" s="201"/>
      <c r="R396" s="202">
        <v>-92849189.739999995</v>
      </c>
      <c r="U396" s="198" t="s">
        <v>917</v>
      </c>
      <c r="AA396" s="198" t="s">
        <v>51</v>
      </c>
      <c r="AB396" s="202">
        <v>-92849189.739999995</v>
      </c>
      <c r="AC396" s="202">
        <v>-92849189.739999995</v>
      </c>
    </row>
    <row r="397" spans="1:29" outlineLevel="2" x14ac:dyDescent="0.25">
      <c r="A397" s="201">
        <v>46021</v>
      </c>
      <c r="D397" s="198" t="s">
        <v>54</v>
      </c>
      <c r="E397" s="202">
        <v>70851477.519999996</v>
      </c>
      <c r="K397" s="198" t="s">
        <v>918</v>
      </c>
      <c r="L397" s="198" t="s">
        <v>126</v>
      </c>
      <c r="P397" s="201"/>
      <c r="R397" s="202">
        <v>70851477.519999996</v>
      </c>
      <c r="U397" s="198" t="s">
        <v>917</v>
      </c>
      <c r="AA397" s="198" t="s">
        <v>51</v>
      </c>
      <c r="AB397" s="202">
        <v>70851477.519999996</v>
      </c>
      <c r="AC397" s="202">
        <v>70851477.519999996</v>
      </c>
    </row>
    <row r="398" spans="1:29" outlineLevel="2" x14ac:dyDescent="0.25">
      <c r="A398" s="201">
        <v>46034</v>
      </c>
      <c r="D398" s="198" t="s">
        <v>54</v>
      </c>
      <c r="E398" s="202">
        <v>30000000.48</v>
      </c>
      <c r="K398" s="198" t="s">
        <v>918</v>
      </c>
      <c r="L398" s="198" t="s">
        <v>126</v>
      </c>
      <c r="P398" s="201"/>
      <c r="R398" s="202">
        <v>30000000.48</v>
      </c>
      <c r="U398" s="198" t="s">
        <v>917</v>
      </c>
      <c r="AA398" s="198" t="s">
        <v>51</v>
      </c>
      <c r="AB398" s="202">
        <v>30000000.48</v>
      </c>
      <c r="AC398" s="202">
        <v>30000000.48</v>
      </c>
    </row>
    <row r="399" spans="1:29" outlineLevel="2" x14ac:dyDescent="0.25">
      <c r="A399" s="201">
        <v>46071</v>
      </c>
      <c r="D399" s="198" t="s">
        <v>54</v>
      </c>
      <c r="E399" s="202">
        <v>10246121.6</v>
      </c>
      <c r="K399" s="198" t="s">
        <v>918</v>
      </c>
      <c r="L399" s="198" t="s">
        <v>126</v>
      </c>
      <c r="P399" s="201"/>
      <c r="R399" s="202">
        <v>10246121.6</v>
      </c>
      <c r="U399" s="198" t="s">
        <v>917</v>
      </c>
      <c r="AA399" s="198" t="s">
        <v>51</v>
      </c>
      <c r="AB399" s="202">
        <v>10246121.6</v>
      </c>
      <c r="AC399" s="202">
        <v>10246121.6</v>
      </c>
    </row>
    <row r="400" spans="1:29" outlineLevel="2" x14ac:dyDescent="0.25">
      <c r="A400" s="201">
        <v>46095</v>
      </c>
      <c r="D400" s="198" t="s">
        <v>54</v>
      </c>
      <c r="E400" s="202">
        <v>29985313.039999999</v>
      </c>
      <c r="K400" s="198" t="s">
        <v>918</v>
      </c>
      <c r="L400" s="198" t="s">
        <v>126</v>
      </c>
      <c r="P400" s="201"/>
      <c r="R400" s="202">
        <v>29985313.039999999</v>
      </c>
      <c r="U400" s="198" t="s">
        <v>917</v>
      </c>
      <c r="AA400" s="198" t="s">
        <v>51</v>
      </c>
      <c r="AB400" s="202">
        <v>29985313.039999999</v>
      </c>
      <c r="AC400" s="202">
        <v>29985313.039999999</v>
      </c>
    </row>
    <row r="401" spans="1:29" outlineLevel="2" x14ac:dyDescent="0.25">
      <c r="A401" s="201">
        <v>46097</v>
      </c>
      <c r="D401" s="198" t="s">
        <v>54</v>
      </c>
      <c r="E401" s="202">
        <v>99958.8</v>
      </c>
      <c r="K401" s="198" t="s">
        <v>918</v>
      </c>
      <c r="L401" s="198" t="s">
        <v>126</v>
      </c>
      <c r="P401" s="201"/>
      <c r="R401" s="202">
        <v>99958.8</v>
      </c>
      <c r="U401" s="198" t="s">
        <v>917</v>
      </c>
      <c r="AA401" s="198" t="s">
        <v>51</v>
      </c>
      <c r="AB401" s="202">
        <v>99958.8</v>
      </c>
      <c r="AC401" s="202">
        <v>99958.8</v>
      </c>
    </row>
    <row r="402" spans="1:29" outlineLevel="2" x14ac:dyDescent="0.25">
      <c r="A402" s="201">
        <v>46134</v>
      </c>
      <c r="D402" s="198" t="s">
        <v>54</v>
      </c>
      <c r="E402" s="202">
        <v>1865000</v>
      </c>
      <c r="K402" s="198" t="s">
        <v>918</v>
      </c>
      <c r="L402" s="198" t="s">
        <v>126</v>
      </c>
      <c r="P402" s="201"/>
      <c r="R402" s="202">
        <v>1865000</v>
      </c>
      <c r="U402" s="198" t="s">
        <v>917</v>
      </c>
      <c r="AA402" s="198" t="s">
        <v>51</v>
      </c>
      <c r="AB402" s="202">
        <v>1865000</v>
      </c>
      <c r="AC402" s="202">
        <v>1865000</v>
      </c>
    </row>
    <row r="403" spans="1:29" outlineLevel="1" x14ac:dyDescent="0.25">
      <c r="A403" s="210"/>
      <c r="B403" s="209"/>
      <c r="C403" s="209"/>
      <c r="D403" s="209" t="s">
        <v>54</v>
      </c>
      <c r="E403" s="211">
        <v>737355580.60000002</v>
      </c>
      <c r="F403" s="209"/>
      <c r="G403" s="209"/>
      <c r="H403" s="209"/>
      <c r="I403" s="209"/>
      <c r="J403" s="209"/>
      <c r="K403" s="209" t="s">
        <v>54</v>
      </c>
      <c r="L403" s="209" t="s">
        <v>54</v>
      </c>
      <c r="M403" s="209"/>
      <c r="N403" s="209"/>
      <c r="O403" s="209"/>
      <c r="P403" s="210"/>
      <c r="Q403" s="209"/>
      <c r="R403" s="212"/>
      <c r="S403" s="209"/>
      <c r="T403" s="209"/>
      <c r="U403" s="209" t="s">
        <v>54</v>
      </c>
      <c r="V403" s="209"/>
      <c r="W403" s="209"/>
      <c r="X403" s="209"/>
      <c r="Y403" s="209"/>
      <c r="Z403" s="209"/>
      <c r="AA403" s="209" t="s">
        <v>54</v>
      </c>
      <c r="AB403" s="212"/>
      <c r="AC403" s="212"/>
    </row>
    <row r="404" spans="1:29" outlineLevel="2" x14ac:dyDescent="0.25">
      <c r="A404" s="201">
        <v>46004</v>
      </c>
      <c r="D404" s="198" t="s">
        <v>54</v>
      </c>
      <c r="E404" s="202">
        <v>80850000</v>
      </c>
      <c r="K404" s="198" t="s">
        <v>920</v>
      </c>
      <c r="L404" s="198" t="s">
        <v>126</v>
      </c>
      <c r="P404" s="201"/>
      <c r="R404" s="202">
        <v>80850000</v>
      </c>
      <c r="U404" s="198" t="s">
        <v>441</v>
      </c>
      <c r="AA404" s="198" t="s">
        <v>51</v>
      </c>
      <c r="AB404" s="202">
        <v>80850000</v>
      </c>
      <c r="AC404" s="202">
        <v>80850000</v>
      </c>
    </row>
    <row r="405" spans="1:29" outlineLevel="2" x14ac:dyDescent="0.25">
      <c r="A405" s="201">
        <v>46020</v>
      </c>
      <c r="D405" s="198" t="s">
        <v>54</v>
      </c>
      <c r="E405" s="202">
        <v>-3166950</v>
      </c>
      <c r="K405" s="198" t="s">
        <v>920</v>
      </c>
      <c r="L405" s="198" t="s">
        <v>126</v>
      </c>
      <c r="P405" s="201"/>
      <c r="R405" s="202">
        <v>-3166950</v>
      </c>
      <c r="U405" s="198" t="s">
        <v>441</v>
      </c>
      <c r="AA405" s="198" t="s">
        <v>51</v>
      </c>
      <c r="AB405" s="202">
        <v>-3166950</v>
      </c>
      <c r="AC405" s="202">
        <v>-3166950</v>
      </c>
    </row>
    <row r="406" spans="1:29" outlineLevel="2" x14ac:dyDescent="0.25">
      <c r="A406" s="201">
        <v>46134</v>
      </c>
      <c r="D406" s="198" t="s">
        <v>54</v>
      </c>
      <c r="E406" s="202">
        <v>1865000</v>
      </c>
      <c r="K406" s="198" t="s">
        <v>920</v>
      </c>
      <c r="L406" s="198" t="s">
        <v>126</v>
      </c>
      <c r="P406" s="201"/>
      <c r="R406" s="202">
        <v>1865000</v>
      </c>
      <c r="U406" s="198" t="s">
        <v>441</v>
      </c>
      <c r="AA406" s="198" t="s">
        <v>51</v>
      </c>
      <c r="AB406" s="202">
        <v>1865000</v>
      </c>
      <c r="AC406" s="202">
        <v>1865000</v>
      </c>
    </row>
    <row r="407" spans="1:29" outlineLevel="1" x14ac:dyDescent="0.25">
      <c r="A407" s="210"/>
      <c r="B407" s="209"/>
      <c r="C407" s="209"/>
      <c r="D407" s="209" t="s">
        <v>54</v>
      </c>
      <c r="E407" s="211">
        <v>79548050</v>
      </c>
      <c r="F407" s="209"/>
      <c r="G407" s="209"/>
      <c r="H407" s="209"/>
      <c r="I407" s="209"/>
      <c r="J407" s="209"/>
      <c r="K407" s="209" t="s">
        <v>54</v>
      </c>
      <c r="L407" s="209" t="s">
        <v>54</v>
      </c>
      <c r="M407" s="209"/>
      <c r="N407" s="209"/>
      <c r="O407" s="209"/>
      <c r="P407" s="210"/>
      <c r="Q407" s="209"/>
      <c r="R407" s="212"/>
      <c r="S407" s="209"/>
      <c r="T407" s="209"/>
      <c r="U407" s="209" t="s">
        <v>54</v>
      </c>
      <c r="V407" s="209"/>
      <c r="W407" s="209"/>
      <c r="X407" s="209"/>
      <c r="Y407" s="209"/>
      <c r="Z407" s="209"/>
      <c r="AA407" s="209" t="s">
        <v>54</v>
      </c>
      <c r="AB407" s="212"/>
      <c r="AC407" s="212"/>
    </row>
    <row r="408" spans="1:29" outlineLevel="2" x14ac:dyDescent="0.25">
      <c r="A408" s="201">
        <v>46018</v>
      </c>
      <c r="D408" s="198" t="s">
        <v>54</v>
      </c>
      <c r="E408" s="202">
        <v>310501039</v>
      </c>
      <c r="K408" s="198" t="s">
        <v>921</v>
      </c>
      <c r="L408" s="198" t="s">
        <v>126</v>
      </c>
      <c r="P408" s="201"/>
      <c r="R408" s="202">
        <v>310501039</v>
      </c>
      <c r="U408" s="198" t="s">
        <v>836</v>
      </c>
      <c r="AA408" s="198" t="s">
        <v>51</v>
      </c>
      <c r="AB408" s="202">
        <v>310501039</v>
      </c>
      <c r="AC408" s="202">
        <v>310501039</v>
      </c>
    </row>
    <row r="409" spans="1:29" outlineLevel="2" x14ac:dyDescent="0.25">
      <c r="A409" s="201">
        <v>46020</v>
      </c>
      <c r="D409" s="198" t="s">
        <v>54</v>
      </c>
      <c r="E409" s="202">
        <v>-76371015.239999995</v>
      </c>
      <c r="K409" s="198" t="s">
        <v>921</v>
      </c>
      <c r="L409" s="198" t="s">
        <v>126</v>
      </c>
      <c r="P409" s="201"/>
      <c r="R409" s="202">
        <v>-76371015.239999995</v>
      </c>
      <c r="U409" s="198" t="s">
        <v>836</v>
      </c>
      <c r="AA409" s="198" t="s">
        <v>51</v>
      </c>
      <c r="AB409" s="202">
        <v>-76371015.239999995</v>
      </c>
      <c r="AC409" s="202">
        <v>-76371015.239999995</v>
      </c>
    </row>
    <row r="410" spans="1:29" outlineLevel="2" x14ac:dyDescent="0.25">
      <c r="A410" s="201">
        <v>46095</v>
      </c>
      <c r="D410" s="198" t="s">
        <v>54</v>
      </c>
      <c r="E410" s="202">
        <v>29985313.039999999</v>
      </c>
      <c r="K410" s="198" t="s">
        <v>921</v>
      </c>
      <c r="L410" s="198" t="s">
        <v>126</v>
      </c>
      <c r="P410" s="201"/>
      <c r="R410" s="202">
        <v>29985313.039999999</v>
      </c>
      <c r="U410" s="198" t="s">
        <v>836</v>
      </c>
      <c r="AA410" s="198" t="s">
        <v>51</v>
      </c>
      <c r="AB410" s="202">
        <v>29985313.039999999</v>
      </c>
      <c r="AC410" s="202">
        <v>29985313.039999999</v>
      </c>
    </row>
    <row r="411" spans="1:29" outlineLevel="1" x14ac:dyDescent="0.25">
      <c r="A411" s="210"/>
      <c r="B411" s="209"/>
      <c r="C411" s="209"/>
      <c r="D411" s="209" t="s">
        <v>54</v>
      </c>
      <c r="E411" s="211">
        <v>264115336.80000001</v>
      </c>
      <c r="F411" s="209"/>
      <c r="G411" s="209"/>
      <c r="H411" s="209"/>
      <c r="I411" s="209"/>
      <c r="J411" s="209"/>
      <c r="K411" s="209" t="s">
        <v>54</v>
      </c>
      <c r="L411" s="209" t="s">
        <v>54</v>
      </c>
      <c r="M411" s="209"/>
      <c r="N411" s="209"/>
      <c r="O411" s="209"/>
      <c r="P411" s="210"/>
      <c r="Q411" s="209"/>
      <c r="R411" s="212"/>
      <c r="S411" s="209"/>
      <c r="T411" s="209"/>
      <c r="U411" s="209" t="s">
        <v>54</v>
      </c>
      <c r="V411" s="209"/>
      <c r="W411" s="209"/>
      <c r="X411" s="209"/>
      <c r="Y411" s="209"/>
      <c r="Z411" s="209"/>
      <c r="AA411" s="209" t="s">
        <v>54</v>
      </c>
      <c r="AB411" s="212"/>
      <c r="AC411" s="212"/>
    </row>
    <row r="412" spans="1:29" outlineLevel="2" x14ac:dyDescent="0.25">
      <c r="A412" s="201">
        <v>46004</v>
      </c>
      <c r="D412" s="198" t="s">
        <v>54</v>
      </c>
      <c r="E412" s="202">
        <v>151657332</v>
      </c>
      <c r="K412" s="198" t="s">
        <v>922</v>
      </c>
      <c r="L412" s="198" t="s">
        <v>126</v>
      </c>
      <c r="P412" s="201"/>
      <c r="R412" s="202">
        <v>151657332</v>
      </c>
      <c r="U412" s="198" t="s">
        <v>439</v>
      </c>
      <c r="AA412" s="198" t="s">
        <v>51</v>
      </c>
      <c r="AB412" s="202">
        <v>151657332</v>
      </c>
      <c r="AC412" s="202">
        <v>151657332</v>
      </c>
    </row>
    <row r="413" spans="1:29" outlineLevel="2" x14ac:dyDescent="0.25">
      <c r="A413" s="201">
        <v>46020</v>
      </c>
      <c r="D413" s="198" t="s">
        <v>54</v>
      </c>
      <c r="E413" s="202">
        <v>-4437724.5</v>
      </c>
      <c r="K413" s="198" t="s">
        <v>922</v>
      </c>
      <c r="L413" s="198" t="s">
        <v>126</v>
      </c>
      <c r="P413" s="201"/>
      <c r="R413" s="202">
        <v>-4437724.5</v>
      </c>
      <c r="U413" s="198" t="s">
        <v>439</v>
      </c>
      <c r="AA413" s="198" t="s">
        <v>51</v>
      </c>
      <c r="AB413" s="202">
        <v>-4437724.5</v>
      </c>
      <c r="AC413" s="202">
        <v>-4437724.5</v>
      </c>
    </row>
    <row r="414" spans="1:29" outlineLevel="2" x14ac:dyDescent="0.25">
      <c r="A414" s="201">
        <v>46097</v>
      </c>
      <c r="D414" s="198" t="s">
        <v>54</v>
      </c>
      <c r="E414" s="202">
        <v>99958.8</v>
      </c>
      <c r="K414" s="198" t="s">
        <v>922</v>
      </c>
      <c r="L414" s="198" t="s">
        <v>126</v>
      </c>
      <c r="P414" s="201"/>
      <c r="R414" s="202">
        <v>99958.8</v>
      </c>
      <c r="U414" s="198" t="s">
        <v>439</v>
      </c>
      <c r="AA414" s="198" t="s">
        <v>51</v>
      </c>
      <c r="AB414" s="202">
        <v>99958.8</v>
      </c>
      <c r="AC414" s="202">
        <v>99958.8</v>
      </c>
    </row>
    <row r="415" spans="1:29" outlineLevel="1" x14ac:dyDescent="0.25">
      <c r="A415" s="210"/>
      <c r="B415" s="209"/>
      <c r="C415" s="209"/>
      <c r="D415" s="209" t="s">
        <v>54</v>
      </c>
      <c r="E415" s="211">
        <v>147319566.30000001</v>
      </c>
      <c r="F415" s="209"/>
      <c r="G415" s="209"/>
      <c r="H415" s="209"/>
      <c r="I415" s="209"/>
      <c r="J415" s="209"/>
      <c r="K415" s="209" t="s">
        <v>54</v>
      </c>
      <c r="L415" s="209" t="s">
        <v>54</v>
      </c>
      <c r="M415" s="209"/>
      <c r="N415" s="209"/>
      <c r="O415" s="209"/>
      <c r="P415" s="210"/>
      <c r="Q415" s="209"/>
      <c r="R415" s="212"/>
      <c r="S415" s="209"/>
      <c r="T415" s="209"/>
      <c r="U415" s="209" t="s">
        <v>54</v>
      </c>
      <c r="V415" s="209"/>
      <c r="W415" s="209"/>
      <c r="X415" s="209"/>
      <c r="Y415" s="209"/>
      <c r="Z415" s="209"/>
      <c r="AA415" s="209" t="s">
        <v>54</v>
      </c>
      <c r="AB415" s="212"/>
      <c r="AC415" s="212"/>
    </row>
    <row r="416" spans="1:29" outlineLevel="2" x14ac:dyDescent="0.25">
      <c r="A416" s="201">
        <v>46004</v>
      </c>
      <c r="D416" s="198" t="s">
        <v>54</v>
      </c>
      <c r="E416" s="202">
        <v>87500000</v>
      </c>
      <c r="K416" s="198" t="s">
        <v>923</v>
      </c>
      <c r="L416" s="198" t="s">
        <v>126</v>
      </c>
      <c r="P416" s="201"/>
      <c r="R416" s="202">
        <v>87500000</v>
      </c>
      <c r="U416" s="198" t="s">
        <v>122</v>
      </c>
      <c r="AA416" s="198" t="s">
        <v>51</v>
      </c>
      <c r="AB416" s="202">
        <v>87500000</v>
      </c>
      <c r="AC416" s="202">
        <v>87500000</v>
      </c>
    </row>
    <row r="417" spans="1:29" outlineLevel="2" x14ac:dyDescent="0.25">
      <c r="A417" s="201">
        <v>46015</v>
      </c>
      <c r="D417" s="198" t="s">
        <v>54</v>
      </c>
      <c r="E417" s="202">
        <v>27000000</v>
      </c>
      <c r="K417" s="198" t="s">
        <v>923</v>
      </c>
      <c r="L417" s="198" t="s">
        <v>126</v>
      </c>
      <c r="P417" s="201"/>
      <c r="R417" s="202">
        <v>27000000</v>
      </c>
      <c r="U417" s="198" t="s">
        <v>122</v>
      </c>
      <c r="AA417" s="198" t="s">
        <v>51</v>
      </c>
      <c r="AB417" s="202">
        <v>27000000</v>
      </c>
      <c r="AC417" s="202">
        <v>27000000</v>
      </c>
    </row>
    <row r="418" spans="1:29" outlineLevel="2" x14ac:dyDescent="0.25">
      <c r="A418" s="201">
        <v>46021</v>
      </c>
      <c r="D418" s="198" t="s">
        <v>54</v>
      </c>
      <c r="E418" s="202">
        <v>70851477.519999996</v>
      </c>
      <c r="K418" s="198" t="s">
        <v>923</v>
      </c>
      <c r="L418" s="198" t="s">
        <v>126</v>
      </c>
      <c r="P418" s="201"/>
      <c r="R418" s="202">
        <v>70851477.519999996</v>
      </c>
      <c r="U418" s="198" t="s">
        <v>122</v>
      </c>
      <c r="AA418" s="198" t="s">
        <v>51</v>
      </c>
      <c r="AB418" s="202">
        <v>70851477.519999996</v>
      </c>
      <c r="AC418" s="202">
        <v>70851477.519999996</v>
      </c>
    </row>
    <row r="419" spans="1:29" outlineLevel="2" x14ac:dyDescent="0.25">
      <c r="A419" s="201">
        <v>46034</v>
      </c>
      <c r="D419" s="198" t="s">
        <v>54</v>
      </c>
      <c r="E419" s="202">
        <v>30000000.48</v>
      </c>
      <c r="K419" s="198" t="s">
        <v>923</v>
      </c>
      <c r="L419" s="198" t="s">
        <v>126</v>
      </c>
      <c r="P419" s="201"/>
      <c r="R419" s="202">
        <v>30000000.48</v>
      </c>
      <c r="U419" s="198" t="s">
        <v>122</v>
      </c>
      <c r="AA419" s="198" t="s">
        <v>51</v>
      </c>
      <c r="AB419" s="202">
        <v>30000000.48</v>
      </c>
      <c r="AC419" s="202">
        <v>30000000.48</v>
      </c>
    </row>
    <row r="420" spans="1:29" outlineLevel="2" x14ac:dyDescent="0.25">
      <c r="A420" s="201">
        <v>46071</v>
      </c>
      <c r="D420" s="198" t="s">
        <v>54</v>
      </c>
      <c r="E420" s="202">
        <v>10246121.6</v>
      </c>
      <c r="K420" s="198" t="s">
        <v>923</v>
      </c>
      <c r="L420" s="198" t="s">
        <v>126</v>
      </c>
      <c r="P420" s="201"/>
      <c r="R420" s="202">
        <v>10246121.6</v>
      </c>
      <c r="U420" s="198" t="s">
        <v>122</v>
      </c>
      <c r="AA420" s="198" t="s">
        <v>51</v>
      </c>
      <c r="AB420" s="202">
        <v>10246121.6</v>
      </c>
      <c r="AC420" s="202">
        <v>10246121.6</v>
      </c>
    </row>
    <row r="421" spans="1:29" outlineLevel="1" x14ac:dyDescent="0.25">
      <c r="A421" s="210"/>
      <c r="B421" s="209"/>
      <c r="C421" s="209"/>
      <c r="D421" s="209" t="s">
        <v>54</v>
      </c>
      <c r="E421" s="211">
        <v>225597599.59999999</v>
      </c>
      <c r="F421" s="209"/>
      <c r="G421" s="209"/>
      <c r="H421" s="209"/>
      <c r="I421" s="209"/>
      <c r="J421" s="209"/>
      <c r="K421" s="209" t="s">
        <v>54</v>
      </c>
      <c r="L421" s="209" t="s">
        <v>54</v>
      </c>
      <c r="M421" s="209"/>
      <c r="N421" s="209"/>
      <c r="O421" s="209"/>
      <c r="P421" s="210"/>
      <c r="Q421" s="209"/>
      <c r="R421" s="212"/>
      <c r="S421" s="209"/>
      <c r="T421" s="209"/>
      <c r="U421" s="209" t="s">
        <v>54</v>
      </c>
      <c r="V421" s="209"/>
      <c r="W421" s="209"/>
      <c r="X421" s="209"/>
      <c r="Y421" s="209"/>
      <c r="Z421" s="209"/>
      <c r="AA421" s="209" t="s">
        <v>54</v>
      </c>
      <c r="AB421" s="212"/>
      <c r="AC421" s="212"/>
    </row>
    <row r="422" spans="1:29" outlineLevel="2" x14ac:dyDescent="0.25">
      <c r="A422" s="201">
        <v>46015</v>
      </c>
      <c r="D422" s="198" t="s">
        <v>54</v>
      </c>
      <c r="E422" s="202">
        <v>1123500</v>
      </c>
      <c r="K422" s="198" t="s">
        <v>924</v>
      </c>
      <c r="L422" s="198" t="s">
        <v>126</v>
      </c>
      <c r="P422" s="201"/>
      <c r="R422" s="202">
        <v>1123500</v>
      </c>
      <c r="U422" s="198" t="s">
        <v>536</v>
      </c>
      <c r="AA422" s="198" t="s">
        <v>51</v>
      </c>
      <c r="AB422" s="202">
        <v>1123500</v>
      </c>
      <c r="AC422" s="202">
        <v>1123500</v>
      </c>
    </row>
    <row r="423" spans="1:29" outlineLevel="2" x14ac:dyDescent="0.25">
      <c r="A423" s="201">
        <v>46020</v>
      </c>
      <c r="D423" s="198" t="s">
        <v>54</v>
      </c>
      <c r="E423" s="202">
        <v>18525027.899999999</v>
      </c>
      <c r="K423" s="198" t="s">
        <v>924</v>
      </c>
      <c r="L423" s="198" t="s">
        <v>126</v>
      </c>
      <c r="P423" s="201"/>
      <c r="R423" s="202">
        <v>18525027.899999999</v>
      </c>
      <c r="U423" s="198" t="s">
        <v>536</v>
      </c>
      <c r="AA423" s="198" t="s">
        <v>51</v>
      </c>
      <c r="AB423" s="202">
        <v>18525027.899999999</v>
      </c>
      <c r="AC423" s="202">
        <v>18525027.899999999</v>
      </c>
    </row>
    <row r="424" spans="1:29" outlineLevel="2" x14ac:dyDescent="0.25">
      <c r="A424" s="201">
        <v>46020</v>
      </c>
      <c r="D424" s="198" t="s">
        <v>54</v>
      </c>
      <c r="E424" s="202">
        <v>1126500</v>
      </c>
      <c r="K424" s="198" t="s">
        <v>924</v>
      </c>
      <c r="L424" s="198" t="s">
        <v>126</v>
      </c>
      <c r="P424" s="201"/>
      <c r="R424" s="202">
        <v>1126500</v>
      </c>
      <c r="U424" s="198" t="s">
        <v>536</v>
      </c>
      <c r="AA424" s="198" t="s">
        <v>51</v>
      </c>
      <c r="AB424" s="202">
        <v>1126500</v>
      </c>
      <c r="AC424" s="202">
        <v>1126500</v>
      </c>
    </row>
    <row r="425" spans="1:29" outlineLevel="1" x14ac:dyDescent="0.25">
      <c r="A425" s="210"/>
      <c r="B425" s="209"/>
      <c r="C425" s="209"/>
      <c r="D425" s="209" t="s">
        <v>54</v>
      </c>
      <c r="E425" s="211">
        <v>20775027.899999999</v>
      </c>
      <c r="F425" s="209"/>
      <c r="G425" s="209"/>
      <c r="H425" s="209"/>
      <c r="I425" s="209"/>
      <c r="J425" s="209"/>
      <c r="K425" s="209" t="s">
        <v>54</v>
      </c>
      <c r="L425" s="209" t="s">
        <v>54</v>
      </c>
      <c r="M425" s="209"/>
      <c r="N425" s="209"/>
      <c r="O425" s="209"/>
      <c r="P425" s="210"/>
      <c r="Q425" s="209"/>
      <c r="R425" s="212"/>
      <c r="S425" s="209"/>
      <c r="T425" s="209"/>
      <c r="U425" s="209" t="s">
        <v>54</v>
      </c>
      <c r="V425" s="209"/>
      <c r="W425" s="209"/>
      <c r="X425" s="209"/>
      <c r="Y425" s="209"/>
      <c r="Z425" s="209"/>
      <c r="AA425" s="209" t="s">
        <v>54</v>
      </c>
      <c r="AB425" s="212"/>
      <c r="AC425" s="212"/>
    </row>
    <row r="426" spans="1:29" outlineLevel="2" x14ac:dyDescent="0.25">
      <c r="A426" s="201">
        <v>46018</v>
      </c>
      <c r="D426" s="198" t="s">
        <v>54</v>
      </c>
      <c r="E426" s="202">
        <v>10000000</v>
      </c>
      <c r="K426" s="198" t="s">
        <v>926</v>
      </c>
      <c r="L426" s="198" t="s">
        <v>126</v>
      </c>
      <c r="P426" s="201"/>
      <c r="R426" s="202">
        <v>10000000</v>
      </c>
      <c r="U426" s="198" t="s">
        <v>925</v>
      </c>
      <c r="AA426" s="198" t="s">
        <v>51</v>
      </c>
      <c r="AB426" s="202">
        <v>10000000</v>
      </c>
      <c r="AC426" s="202">
        <v>10000000</v>
      </c>
    </row>
    <row r="427" spans="1:29" outlineLevel="2" x14ac:dyDescent="0.25">
      <c r="A427" s="201">
        <v>46020</v>
      </c>
      <c r="D427" s="198" t="s">
        <v>54</v>
      </c>
      <c r="E427" s="202">
        <v>-10000000</v>
      </c>
      <c r="K427" s="198" t="s">
        <v>926</v>
      </c>
      <c r="L427" s="198" t="s">
        <v>126</v>
      </c>
      <c r="P427" s="201"/>
      <c r="R427" s="202">
        <v>-10000000</v>
      </c>
      <c r="U427" s="198" t="s">
        <v>925</v>
      </c>
      <c r="AA427" s="198" t="s">
        <v>51</v>
      </c>
      <c r="AB427" s="202">
        <v>-10000000</v>
      </c>
      <c r="AC427" s="202">
        <v>-10000000</v>
      </c>
    </row>
    <row r="428" spans="1:29" outlineLevel="1" x14ac:dyDescent="0.25">
      <c r="A428" s="210"/>
      <c r="B428" s="209"/>
      <c r="C428" s="209"/>
      <c r="D428" s="209" t="s">
        <v>54</v>
      </c>
      <c r="E428" s="211">
        <v>0</v>
      </c>
      <c r="F428" s="209"/>
      <c r="G428" s="209"/>
      <c r="H428" s="209"/>
      <c r="I428" s="209"/>
      <c r="J428" s="209"/>
      <c r="K428" s="209" t="s">
        <v>54</v>
      </c>
      <c r="L428" s="209" t="s">
        <v>54</v>
      </c>
      <c r="M428" s="209"/>
      <c r="N428" s="209"/>
      <c r="O428" s="209"/>
      <c r="P428" s="210"/>
      <c r="Q428" s="209"/>
      <c r="R428" s="212"/>
      <c r="S428" s="209"/>
      <c r="T428" s="209"/>
      <c r="U428" s="209" t="s">
        <v>54</v>
      </c>
      <c r="V428" s="209"/>
      <c r="W428" s="209"/>
      <c r="X428" s="209"/>
      <c r="Y428" s="209"/>
      <c r="Z428" s="209"/>
      <c r="AA428" s="209" t="s">
        <v>54</v>
      </c>
      <c r="AB428" s="212"/>
      <c r="AC428" s="212"/>
    </row>
    <row r="429" spans="1:29" outlineLevel="2" x14ac:dyDescent="0.25">
      <c r="A429" s="201">
        <v>46090</v>
      </c>
      <c r="D429" s="198" t="s">
        <v>54</v>
      </c>
      <c r="E429" s="202">
        <v>699535</v>
      </c>
      <c r="K429" s="198" t="s">
        <v>928</v>
      </c>
      <c r="L429" s="198" t="s">
        <v>126</v>
      </c>
      <c r="P429" s="201"/>
      <c r="R429" s="202">
        <v>699535</v>
      </c>
      <c r="U429" s="198" t="s">
        <v>927</v>
      </c>
      <c r="AA429" s="198" t="s">
        <v>51</v>
      </c>
      <c r="AB429" s="202">
        <v>699535</v>
      </c>
      <c r="AC429" s="202">
        <v>699535</v>
      </c>
    </row>
    <row r="430" spans="1:29" outlineLevel="2" x14ac:dyDescent="0.25">
      <c r="A430" s="201">
        <v>46090</v>
      </c>
      <c r="D430" s="198" t="s">
        <v>54</v>
      </c>
      <c r="E430" s="202">
        <v>699535</v>
      </c>
      <c r="K430" s="198" t="s">
        <v>928</v>
      </c>
      <c r="L430" s="198" t="s">
        <v>126</v>
      </c>
      <c r="P430" s="201"/>
      <c r="R430" s="202">
        <v>699535</v>
      </c>
      <c r="U430" s="198" t="s">
        <v>927</v>
      </c>
      <c r="AA430" s="198" t="s">
        <v>51</v>
      </c>
      <c r="AB430" s="202">
        <v>699535</v>
      </c>
      <c r="AC430" s="202">
        <v>699535</v>
      </c>
    </row>
    <row r="431" spans="1:29" outlineLevel="2" x14ac:dyDescent="0.25">
      <c r="A431" s="201">
        <v>46117</v>
      </c>
      <c r="D431" s="198" t="s">
        <v>54</v>
      </c>
      <c r="E431" s="202">
        <v>2275213</v>
      </c>
      <c r="K431" s="198" t="s">
        <v>928</v>
      </c>
      <c r="L431" s="198" t="s">
        <v>126</v>
      </c>
      <c r="P431" s="201"/>
      <c r="R431" s="202">
        <v>2275213</v>
      </c>
      <c r="U431" s="198" t="s">
        <v>927</v>
      </c>
      <c r="AA431" s="198" t="s">
        <v>51</v>
      </c>
      <c r="AB431" s="202">
        <v>2275213</v>
      </c>
      <c r="AC431" s="202">
        <v>2275213</v>
      </c>
    </row>
    <row r="432" spans="1:29" outlineLevel="2" x14ac:dyDescent="0.25">
      <c r="A432" s="201">
        <v>46117</v>
      </c>
      <c r="D432" s="198" t="s">
        <v>54</v>
      </c>
      <c r="E432" s="202">
        <v>36040</v>
      </c>
      <c r="K432" s="198" t="s">
        <v>928</v>
      </c>
      <c r="L432" s="198" t="s">
        <v>126</v>
      </c>
      <c r="P432" s="201"/>
      <c r="R432" s="202">
        <v>36040</v>
      </c>
      <c r="U432" s="198" t="s">
        <v>927</v>
      </c>
      <c r="AA432" s="198" t="s">
        <v>51</v>
      </c>
      <c r="AB432" s="202">
        <v>36040</v>
      </c>
      <c r="AC432" s="202">
        <v>36040</v>
      </c>
    </row>
    <row r="433" spans="1:29" outlineLevel="2" x14ac:dyDescent="0.25">
      <c r="A433" s="201">
        <v>46150</v>
      </c>
      <c r="D433" s="198" t="s">
        <v>54</v>
      </c>
      <c r="E433" s="202">
        <v>3179973</v>
      </c>
      <c r="K433" s="198" t="s">
        <v>928</v>
      </c>
      <c r="L433" s="198" t="s">
        <v>126</v>
      </c>
      <c r="P433" s="201"/>
      <c r="R433" s="202">
        <v>3179973</v>
      </c>
      <c r="U433" s="198" t="s">
        <v>927</v>
      </c>
      <c r="AA433" s="198" t="s">
        <v>51</v>
      </c>
      <c r="AB433" s="202">
        <v>3179973</v>
      </c>
      <c r="AC433" s="202">
        <v>3179973</v>
      </c>
    </row>
    <row r="434" spans="1:29" outlineLevel="2" x14ac:dyDescent="0.25">
      <c r="A434" s="201">
        <v>46150</v>
      </c>
      <c r="D434" s="198" t="s">
        <v>54</v>
      </c>
      <c r="E434" s="202">
        <v>8328182.2400000002</v>
      </c>
      <c r="K434" s="198" t="s">
        <v>928</v>
      </c>
      <c r="L434" s="198" t="s">
        <v>126</v>
      </c>
      <c r="P434" s="201"/>
      <c r="R434" s="202">
        <v>8328182.2400000002</v>
      </c>
      <c r="U434" s="198" t="s">
        <v>927</v>
      </c>
      <c r="AA434" s="198" t="s">
        <v>51</v>
      </c>
      <c r="AB434" s="202">
        <v>8328182.2400000002</v>
      </c>
      <c r="AC434" s="202">
        <v>8328182.2400000002</v>
      </c>
    </row>
    <row r="435" spans="1:29" outlineLevel="1" x14ac:dyDescent="0.25">
      <c r="A435" s="210"/>
      <c r="B435" s="209"/>
      <c r="C435" s="209"/>
      <c r="D435" s="209" t="s">
        <v>54</v>
      </c>
      <c r="E435" s="211">
        <v>15218478.24</v>
      </c>
      <c r="F435" s="209"/>
      <c r="G435" s="209"/>
      <c r="H435" s="209"/>
      <c r="I435" s="209"/>
      <c r="J435" s="209"/>
      <c r="K435" s="209" t="s">
        <v>54</v>
      </c>
      <c r="L435" s="209" t="s">
        <v>54</v>
      </c>
      <c r="M435" s="209"/>
      <c r="N435" s="209"/>
      <c r="O435" s="209"/>
      <c r="P435" s="210"/>
      <c r="Q435" s="209"/>
      <c r="R435" s="212"/>
      <c r="S435" s="209"/>
      <c r="T435" s="209"/>
      <c r="U435" s="209" t="s">
        <v>54</v>
      </c>
      <c r="V435" s="209"/>
      <c r="W435" s="209"/>
      <c r="X435" s="209"/>
      <c r="Y435" s="209"/>
      <c r="Z435" s="209"/>
      <c r="AA435" s="209" t="s">
        <v>54</v>
      </c>
      <c r="AB435" s="212"/>
      <c r="AC435" s="212"/>
    </row>
    <row r="436" spans="1:29" outlineLevel="2" x14ac:dyDescent="0.25">
      <c r="A436" s="201">
        <v>46090</v>
      </c>
      <c r="D436" s="198" t="s">
        <v>54</v>
      </c>
      <c r="E436" s="202">
        <v>699535</v>
      </c>
      <c r="K436" s="198" t="s">
        <v>930</v>
      </c>
      <c r="L436" s="198" t="s">
        <v>126</v>
      </c>
      <c r="P436" s="201"/>
      <c r="R436" s="202">
        <v>699535</v>
      </c>
      <c r="U436" s="198" t="s">
        <v>840</v>
      </c>
      <c r="AA436" s="198" t="s">
        <v>51</v>
      </c>
      <c r="AB436" s="202">
        <v>699535</v>
      </c>
      <c r="AC436" s="202">
        <v>699535</v>
      </c>
    </row>
    <row r="437" spans="1:29" outlineLevel="2" x14ac:dyDescent="0.25">
      <c r="A437" s="201">
        <v>46090</v>
      </c>
      <c r="D437" s="198" t="s">
        <v>54</v>
      </c>
      <c r="E437" s="202">
        <v>699535</v>
      </c>
      <c r="K437" s="198" t="s">
        <v>930</v>
      </c>
      <c r="L437" s="198" t="s">
        <v>126</v>
      </c>
      <c r="P437" s="201"/>
      <c r="R437" s="202">
        <v>699535</v>
      </c>
      <c r="U437" s="198" t="s">
        <v>840</v>
      </c>
      <c r="AA437" s="198" t="s">
        <v>51</v>
      </c>
      <c r="AB437" s="202">
        <v>699535</v>
      </c>
      <c r="AC437" s="202">
        <v>699535</v>
      </c>
    </row>
    <row r="438" spans="1:29" outlineLevel="2" x14ac:dyDescent="0.25">
      <c r="A438" s="201">
        <v>46117</v>
      </c>
      <c r="D438" s="198" t="s">
        <v>54</v>
      </c>
      <c r="E438" s="202">
        <v>2275213</v>
      </c>
      <c r="K438" s="198" t="s">
        <v>930</v>
      </c>
      <c r="L438" s="198" t="s">
        <v>126</v>
      </c>
      <c r="P438" s="201"/>
      <c r="R438" s="202">
        <v>2275213</v>
      </c>
      <c r="U438" s="198" t="s">
        <v>840</v>
      </c>
      <c r="AA438" s="198" t="s">
        <v>51</v>
      </c>
      <c r="AB438" s="202">
        <v>2275213</v>
      </c>
      <c r="AC438" s="202">
        <v>2275213</v>
      </c>
    </row>
    <row r="439" spans="1:29" outlineLevel="2" x14ac:dyDescent="0.25">
      <c r="A439" s="201">
        <v>46150</v>
      </c>
      <c r="D439" s="198" t="s">
        <v>54</v>
      </c>
      <c r="E439" s="202">
        <v>3179973</v>
      </c>
      <c r="K439" s="198" t="s">
        <v>930</v>
      </c>
      <c r="L439" s="198" t="s">
        <v>126</v>
      </c>
      <c r="P439" s="201"/>
      <c r="R439" s="202">
        <v>3179973</v>
      </c>
      <c r="U439" s="198" t="s">
        <v>840</v>
      </c>
      <c r="AA439" s="198" t="s">
        <v>51</v>
      </c>
      <c r="AB439" s="202">
        <v>3179973</v>
      </c>
      <c r="AC439" s="202">
        <v>3179973</v>
      </c>
    </row>
    <row r="440" spans="1:29" outlineLevel="1" x14ac:dyDescent="0.25">
      <c r="A440" s="210"/>
      <c r="B440" s="209"/>
      <c r="C440" s="209"/>
      <c r="D440" s="209" t="s">
        <v>54</v>
      </c>
      <c r="E440" s="211">
        <v>6854256</v>
      </c>
      <c r="F440" s="209"/>
      <c r="G440" s="209"/>
      <c r="H440" s="209"/>
      <c r="I440" s="209"/>
      <c r="J440" s="209"/>
      <c r="K440" s="209" t="s">
        <v>54</v>
      </c>
      <c r="L440" s="209" t="s">
        <v>54</v>
      </c>
      <c r="M440" s="209"/>
      <c r="N440" s="209"/>
      <c r="O440" s="209"/>
      <c r="P440" s="210"/>
      <c r="Q440" s="209"/>
      <c r="R440" s="212"/>
      <c r="S440" s="209"/>
      <c r="T440" s="209"/>
      <c r="U440" s="209" t="s">
        <v>54</v>
      </c>
      <c r="V440" s="209"/>
      <c r="W440" s="209"/>
      <c r="X440" s="209"/>
      <c r="Y440" s="209"/>
      <c r="Z440" s="209"/>
      <c r="AA440" s="209" t="s">
        <v>54</v>
      </c>
      <c r="AB440" s="212"/>
      <c r="AC440" s="212"/>
    </row>
    <row r="441" spans="1:29" outlineLevel="2" x14ac:dyDescent="0.25">
      <c r="A441" s="201">
        <v>46117</v>
      </c>
      <c r="D441" s="198" t="s">
        <v>54</v>
      </c>
      <c r="E441" s="202">
        <v>36040</v>
      </c>
      <c r="K441" s="198" t="s">
        <v>931</v>
      </c>
      <c r="L441" s="198" t="s">
        <v>126</v>
      </c>
      <c r="P441" s="201"/>
      <c r="R441" s="202">
        <v>36040</v>
      </c>
      <c r="U441" s="198" t="s">
        <v>873</v>
      </c>
      <c r="AA441" s="198" t="s">
        <v>51</v>
      </c>
      <c r="AB441" s="202">
        <v>36040</v>
      </c>
      <c r="AC441" s="202">
        <v>36040</v>
      </c>
    </row>
    <row r="442" spans="1:29" outlineLevel="2" x14ac:dyDescent="0.25">
      <c r="A442" s="201">
        <v>46150</v>
      </c>
      <c r="D442" s="198" t="s">
        <v>54</v>
      </c>
      <c r="E442" s="202">
        <v>8328182.2400000002</v>
      </c>
      <c r="K442" s="198" t="s">
        <v>931</v>
      </c>
      <c r="L442" s="198" t="s">
        <v>126</v>
      </c>
      <c r="P442" s="201"/>
      <c r="R442" s="202">
        <v>8328182.2400000002</v>
      </c>
      <c r="U442" s="198" t="s">
        <v>873</v>
      </c>
      <c r="AA442" s="198" t="s">
        <v>51</v>
      </c>
      <c r="AB442" s="202">
        <v>8328182.2400000002</v>
      </c>
      <c r="AC442" s="202">
        <v>8328182.2400000002</v>
      </c>
    </row>
    <row r="443" spans="1:29" outlineLevel="1" x14ac:dyDescent="0.25">
      <c r="A443" s="210"/>
      <c r="B443" s="209"/>
      <c r="C443" s="209"/>
      <c r="D443" s="209" t="s">
        <v>54</v>
      </c>
      <c r="E443" s="211">
        <v>8364222.2400000002</v>
      </c>
      <c r="F443" s="209"/>
      <c r="G443" s="209"/>
      <c r="H443" s="209"/>
      <c r="I443" s="209"/>
      <c r="J443" s="209"/>
      <c r="K443" s="209" t="s">
        <v>54</v>
      </c>
      <c r="L443" s="209" t="s">
        <v>54</v>
      </c>
      <c r="M443" s="209"/>
      <c r="N443" s="209"/>
      <c r="O443" s="209"/>
      <c r="P443" s="210"/>
      <c r="Q443" s="209"/>
      <c r="R443" s="212"/>
      <c r="S443" s="209"/>
      <c r="T443" s="209"/>
      <c r="U443" s="209" t="s">
        <v>54</v>
      </c>
      <c r="V443" s="209"/>
      <c r="W443" s="209"/>
      <c r="X443" s="209"/>
      <c r="Y443" s="209"/>
      <c r="Z443" s="209"/>
      <c r="AA443" s="209" t="s">
        <v>54</v>
      </c>
      <c r="AB443" s="212"/>
      <c r="AC443" s="212"/>
    </row>
    <row r="444" spans="1:29" outlineLevel="2" x14ac:dyDescent="0.25">
      <c r="A444" s="201">
        <v>46115</v>
      </c>
      <c r="D444" s="198" t="s">
        <v>54</v>
      </c>
      <c r="E444" s="202">
        <v>2442681.56</v>
      </c>
      <c r="K444" s="198" t="s">
        <v>932</v>
      </c>
      <c r="L444" s="198" t="s">
        <v>126</v>
      </c>
      <c r="P444" s="201"/>
      <c r="R444" s="202">
        <v>2442681.56</v>
      </c>
      <c r="U444" s="198" t="s">
        <v>859</v>
      </c>
      <c r="AA444" s="198" t="s">
        <v>51</v>
      </c>
      <c r="AB444" s="202">
        <v>2442681.56</v>
      </c>
      <c r="AC444" s="202">
        <v>2442681.56</v>
      </c>
    </row>
    <row r="445" spans="1:29" outlineLevel="1" x14ac:dyDescent="0.25">
      <c r="A445" s="210"/>
      <c r="B445" s="209"/>
      <c r="C445" s="209"/>
      <c r="D445" s="209" t="s">
        <v>54</v>
      </c>
      <c r="E445" s="211">
        <v>2442681.56</v>
      </c>
      <c r="F445" s="209"/>
      <c r="G445" s="209"/>
      <c r="H445" s="209"/>
      <c r="I445" s="209"/>
      <c r="J445" s="209"/>
      <c r="K445" s="209" t="s">
        <v>54</v>
      </c>
      <c r="L445" s="209" t="s">
        <v>54</v>
      </c>
      <c r="M445" s="209"/>
      <c r="N445" s="209"/>
      <c r="O445" s="209"/>
      <c r="P445" s="210"/>
      <c r="Q445" s="209"/>
      <c r="R445" s="212"/>
      <c r="S445" s="209"/>
      <c r="T445" s="209"/>
      <c r="U445" s="209" t="s">
        <v>54</v>
      </c>
      <c r="V445" s="209"/>
      <c r="W445" s="209"/>
      <c r="X445" s="209"/>
      <c r="Y445" s="209"/>
      <c r="Z445" s="209"/>
      <c r="AA445" s="209" t="s">
        <v>54</v>
      </c>
      <c r="AB445" s="212"/>
      <c r="AC445" s="212"/>
    </row>
    <row r="446" spans="1:29" outlineLevel="2" x14ac:dyDescent="0.25">
      <c r="A446" s="201">
        <v>46003</v>
      </c>
      <c r="D446" s="198" t="s">
        <v>54</v>
      </c>
      <c r="E446" s="202">
        <v>100</v>
      </c>
      <c r="K446" s="198" t="s">
        <v>933</v>
      </c>
      <c r="L446" s="198" t="s">
        <v>130</v>
      </c>
      <c r="P446" s="201"/>
      <c r="R446" s="202">
        <v>100</v>
      </c>
      <c r="U446" s="198" t="s">
        <v>130</v>
      </c>
      <c r="AA446" s="198" t="s">
        <v>51</v>
      </c>
      <c r="AB446" s="202">
        <v>100</v>
      </c>
      <c r="AC446" s="202">
        <v>100</v>
      </c>
    </row>
    <row r="447" spans="1:29" outlineLevel="2" x14ac:dyDescent="0.25">
      <c r="A447" s="201">
        <v>46004</v>
      </c>
      <c r="D447" s="198" t="s">
        <v>54</v>
      </c>
      <c r="E447" s="202">
        <v>15023835559</v>
      </c>
      <c r="K447" s="198" t="s">
        <v>933</v>
      </c>
      <c r="L447" s="198" t="s">
        <v>130</v>
      </c>
      <c r="P447" s="201"/>
      <c r="R447" s="202">
        <v>15023835559</v>
      </c>
      <c r="U447" s="198" t="s">
        <v>130</v>
      </c>
      <c r="AA447" s="198" t="s">
        <v>51</v>
      </c>
      <c r="AB447" s="202">
        <v>15023835559</v>
      </c>
      <c r="AC447" s="202">
        <v>15023835559</v>
      </c>
    </row>
    <row r="448" spans="1:29" outlineLevel="2" x14ac:dyDescent="0.25">
      <c r="A448" s="201">
        <v>46004</v>
      </c>
      <c r="D448" s="198" t="s">
        <v>54</v>
      </c>
      <c r="E448" s="202">
        <v>2906592958</v>
      </c>
      <c r="K448" s="198" t="s">
        <v>933</v>
      </c>
      <c r="L448" s="198" t="s">
        <v>130</v>
      </c>
      <c r="P448" s="201"/>
      <c r="R448" s="202">
        <v>2906592958</v>
      </c>
      <c r="U448" s="198" t="s">
        <v>130</v>
      </c>
      <c r="AA448" s="198" t="s">
        <v>51</v>
      </c>
      <c r="AB448" s="202">
        <v>2906592958</v>
      </c>
      <c r="AC448" s="202">
        <v>2906592958</v>
      </c>
    </row>
    <row r="449" spans="1:29" outlineLevel="2" x14ac:dyDescent="0.25">
      <c r="A449" s="201">
        <v>46004</v>
      </c>
      <c r="D449" s="198" t="s">
        <v>54</v>
      </c>
      <c r="E449" s="202">
        <v>19900000</v>
      </c>
      <c r="K449" s="198" t="s">
        <v>933</v>
      </c>
      <c r="L449" s="198" t="s">
        <v>130</v>
      </c>
      <c r="P449" s="201"/>
      <c r="R449" s="202">
        <v>19900000</v>
      </c>
      <c r="U449" s="198" t="s">
        <v>130</v>
      </c>
      <c r="AA449" s="198" t="s">
        <v>51</v>
      </c>
      <c r="AB449" s="202">
        <v>19900000</v>
      </c>
      <c r="AC449" s="202">
        <v>19900000</v>
      </c>
    </row>
    <row r="450" spans="1:29" outlineLevel="2" x14ac:dyDescent="0.25">
      <c r="A450" s="201">
        <v>46007</v>
      </c>
      <c r="D450" s="198" t="s">
        <v>54</v>
      </c>
      <c r="E450" s="202">
        <v>73459872</v>
      </c>
      <c r="K450" s="198" t="s">
        <v>933</v>
      </c>
      <c r="L450" s="198" t="s">
        <v>130</v>
      </c>
      <c r="P450" s="201"/>
      <c r="R450" s="202">
        <v>73459872</v>
      </c>
      <c r="U450" s="198" t="s">
        <v>130</v>
      </c>
      <c r="AA450" s="198" t="s">
        <v>51</v>
      </c>
      <c r="AB450" s="202">
        <v>73459872</v>
      </c>
      <c r="AC450" s="202">
        <v>73459872</v>
      </c>
    </row>
    <row r="451" spans="1:29" outlineLevel="2" x14ac:dyDescent="0.25">
      <c r="A451" s="201">
        <v>46015</v>
      </c>
      <c r="D451" s="198" t="s">
        <v>54</v>
      </c>
      <c r="E451" s="202">
        <v>49563000</v>
      </c>
      <c r="K451" s="198" t="s">
        <v>933</v>
      </c>
      <c r="L451" s="198" t="s">
        <v>130</v>
      </c>
      <c r="P451" s="201"/>
      <c r="R451" s="202">
        <v>49563000</v>
      </c>
      <c r="U451" s="198" t="s">
        <v>130</v>
      </c>
      <c r="AA451" s="198" t="s">
        <v>51</v>
      </c>
      <c r="AB451" s="202">
        <v>49563000</v>
      </c>
      <c r="AC451" s="202">
        <v>49563000</v>
      </c>
    </row>
    <row r="452" spans="1:29" outlineLevel="2" x14ac:dyDescent="0.25">
      <c r="A452" s="201">
        <v>46018</v>
      </c>
      <c r="D452" s="198" t="s">
        <v>54</v>
      </c>
      <c r="E452" s="202">
        <v>545273829</v>
      </c>
      <c r="K452" s="198" t="s">
        <v>933</v>
      </c>
      <c r="L452" s="198" t="s">
        <v>130</v>
      </c>
      <c r="P452" s="201"/>
      <c r="R452" s="202">
        <v>545273829</v>
      </c>
      <c r="U452" s="198" t="s">
        <v>130</v>
      </c>
      <c r="AA452" s="198" t="s">
        <v>51</v>
      </c>
      <c r="AB452" s="202">
        <v>545273829</v>
      </c>
      <c r="AC452" s="202">
        <v>545273829</v>
      </c>
    </row>
    <row r="453" spans="1:29" outlineLevel="2" x14ac:dyDescent="0.25">
      <c r="A453" s="201">
        <v>46018</v>
      </c>
      <c r="D453" s="198" t="s">
        <v>54</v>
      </c>
      <c r="E453" s="202">
        <v>-963000</v>
      </c>
      <c r="K453" s="198" t="s">
        <v>933</v>
      </c>
      <c r="L453" s="198" t="s">
        <v>130</v>
      </c>
      <c r="P453" s="201"/>
      <c r="R453" s="202">
        <v>-963000</v>
      </c>
      <c r="U453" s="198" t="s">
        <v>130</v>
      </c>
      <c r="AA453" s="198" t="s">
        <v>51</v>
      </c>
      <c r="AB453" s="202">
        <v>-963000</v>
      </c>
      <c r="AC453" s="202">
        <v>-963000</v>
      </c>
    </row>
    <row r="454" spans="1:29" outlineLevel="2" x14ac:dyDescent="0.25">
      <c r="A454" s="201">
        <v>46020</v>
      </c>
      <c r="D454" s="198" t="s">
        <v>54</v>
      </c>
      <c r="E454" s="202">
        <v>-188680207.49000001</v>
      </c>
      <c r="K454" s="198" t="s">
        <v>933</v>
      </c>
      <c r="L454" s="198" t="s">
        <v>130</v>
      </c>
      <c r="P454" s="201"/>
      <c r="R454" s="202">
        <v>-188680207.49000001</v>
      </c>
      <c r="U454" s="198" t="s">
        <v>130</v>
      </c>
      <c r="AA454" s="198" t="s">
        <v>51</v>
      </c>
      <c r="AB454" s="202">
        <v>-188680207.49000001</v>
      </c>
      <c r="AC454" s="202">
        <v>-188680207.49000001</v>
      </c>
    </row>
    <row r="455" spans="1:29" outlineLevel="2" x14ac:dyDescent="0.25">
      <c r="A455" s="201">
        <v>46020</v>
      </c>
      <c r="D455" s="198" t="s">
        <v>54</v>
      </c>
      <c r="E455" s="202">
        <v>1126500</v>
      </c>
      <c r="K455" s="198" t="s">
        <v>933</v>
      </c>
      <c r="L455" s="198" t="s">
        <v>130</v>
      </c>
      <c r="P455" s="201"/>
      <c r="R455" s="202">
        <v>1126500</v>
      </c>
      <c r="U455" s="198" t="s">
        <v>130</v>
      </c>
      <c r="AA455" s="198" t="s">
        <v>51</v>
      </c>
      <c r="AB455" s="202">
        <v>1126500</v>
      </c>
      <c r="AC455" s="202">
        <v>1126500</v>
      </c>
    </row>
    <row r="456" spans="1:29" outlineLevel="2" x14ac:dyDescent="0.25">
      <c r="A456" s="201">
        <v>46021</v>
      </c>
      <c r="D456" s="198" t="s">
        <v>54</v>
      </c>
      <c r="E456" s="202">
        <v>121603837.28</v>
      </c>
      <c r="K456" s="198" t="s">
        <v>933</v>
      </c>
      <c r="L456" s="198" t="s">
        <v>130</v>
      </c>
      <c r="P456" s="201"/>
      <c r="R456" s="202">
        <v>121603837.28</v>
      </c>
      <c r="U456" s="198" t="s">
        <v>130</v>
      </c>
      <c r="AA456" s="198" t="s">
        <v>51</v>
      </c>
      <c r="AB456" s="202">
        <v>121603837.28</v>
      </c>
      <c r="AC456" s="202">
        <v>121603837.28</v>
      </c>
    </row>
    <row r="457" spans="1:29" outlineLevel="2" x14ac:dyDescent="0.25">
      <c r="A457" s="201">
        <v>46034</v>
      </c>
      <c r="D457" s="198" t="s">
        <v>54</v>
      </c>
      <c r="E457" s="202">
        <v>54000000.719999999</v>
      </c>
      <c r="K457" s="198" t="s">
        <v>933</v>
      </c>
      <c r="L457" s="198" t="s">
        <v>130</v>
      </c>
      <c r="P457" s="201"/>
      <c r="R457" s="202">
        <v>54000000.719999999</v>
      </c>
      <c r="U457" s="198" t="s">
        <v>130</v>
      </c>
      <c r="AA457" s="198" t="s">
        <v>51</v>
      </c>
      <c r="AB457" s="202">
        <v>54000000.719999999</v>
      </c>
      <c r="AC457" s="202">
        <v>54000000.719999999</v>
      </c>
    </row>
    <row r="458" spans="1:29" outlineLevel="2" x14ac:dyDescent="0.25">
      <c r="A458" s="201">
        <v>46035</v>
      </c>
      <c r="D458" s="198" t="s">
        <v>54</v>
      </c>
      <c r="E458" s="202">
        <v>10000000</v>
      </c>
      <c r="K458" s="198" t="s">
        <v>933</v>
      </c>
      <c r="L458" s="198" t="s">
        <v>130</v>
      </c>
      <c r="P458" s="201"/>
      <c r="R458" s="202">
        <v>10000000</v>
      </c>
      <c r="U458" s="198" t="s">
        <v>130</v>
      </c>
      <c r="AA458" s="198" t="s">
        <v>51</v>
      </c>
      <c r="AB458" s="202">
        <v>10000000</v>
      </c>
      <c r="AC458" s="202">
        <v>10000000</v>
      </c>
    </row>
    <row r="459" spans="1:29" outlineLevel="2" x14ac:dyDescent="0.25">
      <c r="A459" s="201">
        <v>46059</v>
      </c>
      <c r="D459" s="198" t="s">
        <v>54</v>
      </c>
      <c r="E459" s="202">
        <v>750510</v>
      </c>
      <c r="K459" s="198" t="s">
        <v>933</v>
      </c>
      <c r="L459" s="198" t="s">
        <v>130</v>
      </c>
      <c r="P459" s="201"/>
      <c r="R459" s="202">
        <v>750510</v>
      </c>
      <c r="U459" s="198" t="s">
        <v>130</v>
      </c>
      <c r="AA459" s="198" t="s">
        <v>51</v>
      </c>
      <c r="AB459" s="202">
        <v>750510</v>
      </c>
      <c r="AC459" s="202">
        <v>750510</v>
      </c>
    </row>
    <row r="460" spans="1:29" outlineLevel="2" x14ac:dyDescent="0.25">
      <c r="A460" s="201">
        <v>46062</v>
      </c>
      <c r="D460" s="198" t="s">
        <v>54</v>
      </c>
      <c r="E460" s="202">
        <v>2547023</v>
      </c>
      <c r="K460" s="198" t="s">
        <v>933</v>
      </c>
      <c r="L460" s="198" t="s">
        <v>130</v>
      </c>
      <c r="P460" s="201"/>
      <c r="R460" s="202">
        <v>2547023</v>
      </c>
      <c r="U460" s="198" t="s">
        <v>130</v>
      </c>
      <c r="AA460" s="198" t="s">
        <v>51</v>
      </c>
      <c r="AB460" s="202">
        <v>2547023</v>
      </c>
      <c r="AC460" s="202">
        <v>2547023</v>
      </c>
    </row>
    <row r="461" spans="1:29" outlineLevel="2" x14ac:dyDescent="0.25">
      <c r="A461" s="201">
        <v>46071</v>
      </c>
      <c r="D461" s="198" t="s">
        <v>54</v>
      </c>
      <c r="E461" s="202">
        <v>6290565.7999999998</v>
      </c>
      <c r="K461" s="198" t="s">
        <v>933</v>
      </c>
      <c r="L461" s="198" t="s">
        <v>130</v>
      </c>
      <c r="P461" s="201"/>
      <c r="R461" s="202">
        <v>6290565.7999999998</v>
      </c>
      <c r="U461" s="198" t="s">
        <v>130</v>
      </c>
      <c r="AA461" s="198" t="s">
        <v>51</v>
      </c>
      <c r="AB461" s="202">
        <v>6290565.7999999998</v>
      </c>
      <c r="AC461" s="202">
        <v>6290565.7999999998</v>
      </c>
    </row>
    <row r="462" spans="1:29" outlineLevel="2" x14ac:dyDescent="0.25">
      <c r="A462" s="201">
        <v>46090</v>
      </c>
      <c r="D462" s="198" t="s">
        <v>54</v>
      </c>
      <c r="E462" s="202">
        <v>-259978207.24000001</v>
      </c>
      <c r="K462" s="198" t="s">
        <v>933</v>
      </c>
      <c r="L462" s="198" t="s">
        <v>130</v>
      </c>
      <c r="P462" s="201"/>
      <c r="R462" s="202">
        <v>-259978207.24000001</v>
      </c>
      <c r="U462" s="198" t="s">
        <v>130</v>
      </c>
      <c r="AA462" s="198" t="s">
        <v>51</v>
      </c>
      <c r="AB462" s="202">
        <v>-259978207.24000001</v>
      </c>
      <c r="AC462" s="202">
        <v>-259978207.24000001</v>
      </c>
    </row>
    <row r="463" spans="1:29" outlineLevel="2" x14ac:dyDescent="0.25">
      <c r="A463" s="201">
        <v>46090</v>
      </c>
      <c r="D463" s="198" t="s">
        <v>54</v>
      </c>
      <c r="E463" s="202">
        <v>-101170813</v>
      </c>
      <c r="K463" s="198" t="s">
        <v>933</v>
      </c>
      <c r="L463" s="198" t="s">
        <v>130</v>
      </c>
      <c r="P463" s="201"/>
      <c r="R463" s="202">
        <v>-101170813</v>
      </c>
      <c r="U463" s="198" t="s">
        <v>130</v>
      </c>
      <c r="AA463" s="198" t="s">
        <v>51</v>
      </c>
      <c r="AB463" s="202">
        <v>-101170813</v>
      </c>
      <c r="AC463" s="202">
        <v>-101170813</v>
      </c>
    </row>
    <row r="464" spans="1:29" outlineLevel="2" x14ac:dyDescent="0.25">
      <c r="A464" s="201">
        <v>46094</v>
      </c>
      <c r="D464" s="198" t="s">
        <v>54</v>
      </c>
      <c r="E464" s="202">
        <v>563985504</v>
      </c>
      <c r="K464" s="198" t="s">
        <v>933</v>
      </c>
      <c r="L464" s="198" t="s">
        <v>130</v>
      </c>
      <c r="P464" s="201"/>
      <c r="R464" s="202">
        <v>563985504</v>
      </c>
      <c r="U464" s="198" t="s">
        <v>130</v>
      </c>
      <c r="AA464" s="198" t="s">
        <v>51</v>
      </c>
      <c r="AB464" s="202">
        <v>563985504</v>
      </c>
      <c r="AC464" s="202">
        <v>563985504</v>
      </c>
    </row>
    <row r="465" spans="1:29" outlineLevel="2" x14ac:dyDescent="0.25">
      <c r="A465" s="201">
        <v>46115</v>
      </c>
      <c r="D465" s="198" t="s">
        <v>54</v>
      </c>
      <c r="E465" s="202">
        <v>2673327.14</v>
      </c>
      <c r="K465" s="198" t="s">
        <v>933</v>
      </c>
      <c r="L465" s="198" t="s">
        <v>130</v>
      </c>
      <c r="P465" s="201"/>
      <c r="R465" s="202">
        <v>2673327.14</v>
      </c>
      <c r="U465" s="198" t="s">
        <v>130</v>
      </c>
      <c r="AA465" s="198" t="s">
        <v>51</v>
      </c>
      <c r="AB465" s="202">
        <v>2673327.14</v>
      </c>
      <c r="AC465" s="202">
        <v>2673327.14</v>
      </c>
    </row>
    <row r="466" spans="1:29" outlineLevel="2" x14ac:dyDescent="0.25">
      <c r="A466" s="201">
        <v>46117</v>
      </c>
      <c r="D466" s="198" t="s">
        <v>54</v>
      </c>
      <c r="E466" s="202">
        <v>1615271</v>
      </c>
      <c r="K466" s="198" t="s">
        <v>933</v>
      </c>
      <c r="L466" s="198" t="s">
        <v>130</v>
      </c>
      <c r="P466" s="201"/>
      <c r="R466" s="202">
        <v>1615271</v>
      </c>
      <c r="U466" s="198" t="s">
        <v>130</v>
      </c>
      <c r="AA466" s="198" t="s">
        <v>51</v>
      </c>
      <c r="AB466" s="202">
        <v>1615271</v>
      </c>
      <c r="AC466" s="202">
        <v>1615271</v>
      </c>
    </row>
    <row r="467" spans="1:29" outlineLevel="2" x14ac:dyDescent="0.25">
      <c r="A467" s="201">
        <v>46134</v>
      </c>
      <c r="D467" s="198" t="s">
        <v>54</v>
      </c>
      <c r="E467" s="202">
        <v>2427400</v>
      </c>
      <c r="K467" s="198" t="s">
        <v>933</v>
      </c>
      <c r="L467" s="198" t="s">
        <v>130</v>
      </c>
      <c r="P467" s="201"/>
      <c r="R467" s="202">
        <v>2427400</v>
      </c>
      <c r="U467" s="198" t="s">
        <v>130</v>
      </c>
      <c r="AA467" s="198" t="s">
        <v>51</v>
      </c>
      <c r="AB467" s="202">
        <v>2427400</v>
      </c>
      <c r="AC467" s="202">
        <v>2427400</v>
      </c>
    </row>
    <row r="468" spans="1:29" outlineLevel="2" x14ac:dyDescent="0.25">
      <c r="A468" s="201">
        <v>46150</v>
      </c>
      <c r="D468" s="198" t="s">
        <v>54</v>
      </c>
      <c r="E468" s="202">
        <v>16633471</v>
      </c>
      <c r="K468" s="198" t="s">
        <v>933</v>
      </c>
      <c r="L468" s="198" t="s">
        <v>130</v>
      </c>
      <c r="P468" s="201"/>
      <c r="R468" s="202">
        <v>16633471</v>
      </c>
      <c r="U468" s="198" t="s">
        <v>130</v>
      </c>
      <c r="AA468" s="198" t="s">
        <v>51</v>
      </c>
      <c r="AB468" s="202">
        <v>16633471</v>
      </c>
      <c r="AC468" s="202">
        <v>16633471</v>
      </c>
    </row>
    <row r="469" spans="1:29" outlineLevel="2" x14ac:dyDescent="0.25">
      <c r="A469" s="201">
        <v>46150</v>
      </c>
      <c r="D469" s="198" t="s">
        <v>54</v>
      </c>
      <c r="E469" s="202">
        <v>1794648</v>
      </c>
      <c r="K469" s="198" t="s">
        <v>933</v>
      </c>
      <c r="L469" s="198" t="s">
        <v>130</v>
      </c>
      <c r="P469" s="201"/>
      <c r="R469" s="202">
        <v>1794648</v>
      </c>
      <c r="U469" s="198" t="s">
        <v>130</v>
      </c>
      <c r="AA469" s="198" t="s">
        <v>51</v>
      </c>
      <c r="AB469" s="202">
        <v>1794648</v>
      </c>
      <c r="AC469" s="202">
        <v>1794648</v>
      </c>
    </row>
    <row r="470" spans="1:29" outlineLevel="2" x14ac:dyDescent="0.25">
      <c r="A470" s="201">
        <v>46154</v>
      </c>
      <c r="D470" s="198" t="s">
        <v>54</v>
      </c>
      <c r="E470" s="202">
        <v>1612372</v>
      </c>
      <c r="K470" s="198" t="s">
        <v>933</v>
      </c>
      <c r="L470" s="198" t="s">
        <v>130</v>
      </c>
      <c r="P470" s="201"/>
      <c r="R470" s="202">
        <v>1612372</v>
      </c>
      <c r="U470" s="198" t="s">
        <v>130</v>
      </c>
      <c r="AA470" s="198" t="s">
        <v>51</v>
      </c>
      <c r="AB470" s="202">
        <v>1612372</v>
      </c>
      <c r="AC470" s="202">
        <v>1612372</v>
      </c>
    </row>
    <row r="471" spans="1:29" outlineLevel="2" x14ac:dyDescent="0.25">
      <c r="A471" s="201">
        <v>46154</v>
      </c>
      <c r="D471" s="198" t="s">
        <v>54</v>
      </c>
      <c r="E471" s="202">
        <v>1612372</v>
      </c>
      <c r="K471" s="198" t="s">
        <v>933</v>
      </c>
      <c r="L471" s="198" t="s">
        <v>130</v>
      </c>
      <c r="P471" s="201"/>
      <c r="R471" s="202">
        <v>1612372</v>
      </c>
      <c r="U471" s="198" t="s">
        <v>130</v>
      </c>
      <c r="AA471" s="198" t="s">
        <v>51</v>
      </c>
      <c r="AB471" s="202">
        <v>1612372</v>
      </c>
      <c r="AC471" s="202">
        <v>1612372</v>
      </c>
    </row>
    <row r="472" spans="1:29" outlineLevel="2" x14ac:dyDescent="0.25">
      <c r="A472" s="201">
        <v>46169</v>
      </c>
      <c r="D472" s="198" t="s">
        <v>54</v>
      </c>
      <c r="E472" s="202">
        <v>10641253</v>
      </c>
      <c r="K472" s="198" t="s">
        <v>933</v>
      </c>
      <c r="L472" s="198" t="s">
        <v>130</v>
      </c>
      <c r="P472" s="201"/>
      <c r="R472" s="202">
        <v>10641253</v>
      </c>
      <c r="U472" s="198" t="s">
        <v>130</v>
      </c>
      <c r="AA472" s="198" t="s">
        <v>51</v>
      </c>
      <c r="AB472" s="202">
        <v>10641253</v>
      </c>
      <c r="AC472" s="202">
        <v>10641253</v>
      </c>
    </row>
    <row r="473" spans="1:29" outlineLevel="1" x14ac:dyDescent="0.25">
      <c r="A473" s="210"/>
      <c r="B473" s="209"/>
      <c r="C473" s="209"/>
      <c r="D473" s="209" t="s">
        <v>54</v>
      </c>
      <c r="E473" s="211">
        <v>18867147145.209999</v>
      </c>
      <c r="F473" s="209"/>
      <c r="G473" s="209"/>
      <c r="H473" s="209"/>
      <c r="I473" s="209"/>
      <c r="J473" s="209"/>
      <c r="K473" s="209" t="s">
        <v>54</v>
      </c>
      <c r="L473" s="209" t="s">
        <v>54</v>
      </c>
      <c r="M473" s="209"/>
      <c r="N473" s="209"/>
      <c r="O473" s="209"/>
      <c r="P473" s="210"/>
      <c r="Q473" s="209"/>
      <c r="R473" s="212"/>
      <c r="S473" s="209"/>
      <c r="T473" s="209"/>
      <c r="U473" s="209" t="s">
        <v>54</v>
      </c>
      <c r="V473" s="209"/>
      <c r="W473" s="209"/>
      <c r="X473" s="209"/>
      <c r="Y473" s="209"/>
      <c r="Z473" s="209"/>
      <c r="AA473" s="209" t="s">
        <v>54</v>
      </c>
      <c r="AB473" s="212"/>
      <c r="AC473" s="212"/>
    </row>
    <row r="474" spans="1:29" outlineLevel="2" x14ac:dyDescent="0.25">
      <c r="A474" s="201">
        <v>46003</v>
      </c>
      <c r="D474" s="198" t="s">
        <v>54</v>
      </c>
      <c r="E474" s="202">
        <v>100</v>
      </c>
      <c r="K474" s="198" t="s">
        <v>935</v>
      </c>
      <c r="L474" s="198" t="s">
        <v>130</v>
      </c>
      <c r="P474" s="201"/>
      <c r="R474" s="202">
        <v>100</v>
      </c>
      <c r="U474" s="198" t="s">
        <v>934</v>
      </c>
      <c r="AA474" s="198" t="s">
        <v>51</v>
      </c>
      <c r="AB474" s="202">
        <v>100</v>
      </c>
      <c r="AC474" s="202">
        <v>100</v>
      </c>
    </row>
    <row r="475" spans="1:29" outlineLevel="2" x14ac:dyDescent="0.25">
      <c r="A475" s="201">
        <v>46004</v>
      </c>
      <c r="D475" s="198" t="s">
        <v>54</v>
      </c>
      <c r="E475" s="202">
        <v>11875165630</v>
      </c>
      <c r="K475" s="198" t="s">
        <v>935</v>
      </c>
      <c r="L475" s="198" t="s">
        <v>130</v>
      </c>
      <c r="P475" s="201"/>
      <c r="R475" s="202">
        <v>11875165630</v>
      </c>
      <c r="U475" s="198" t="s">
        <v>934</v>
      </c>
      <c r="AA475" s="198" t="s">
        <v>51</v>
      </c>
      <c r="AB475" s="202">
        <v>11875165630</v>
      </c>
      <c r="AC475" s="202">
        <v>11875165630</v>
      </c>
    </row>
    <row r="476" spans="1:29" outlineLevel="2" x14ac:dyDescent="0.25">
      <c r="A476" s="201">
        <v>46004</v>
      </c>
      <c r="D476" s="198" t="s">
        <v>54</v>
      </c>
      <c r="E476" s="202">
        <v>2906592958</v>
      </c>
      <c r="K476" s="198" t="s">
        <v>935</v>
      </c>
      <c r="L476" s="198" t="s">
        <v>130</v>
      </c>
      <c r="P476" s="201"/>
      <c r="R476" s="202">
        <v>2906592958</v>
      </c>
      <c r="U476" s="198" t="s">
        <v>934</v>
      </c>
      <c r="AA476" s="198" t="s">
        <v>51</v>
      </c>
      <c r="AB476" s="202">
        <v>2906592958</v>
      </c>
      <c r="AC476" s="202">
        <v>2906592958</v>
      </c>
    </row>
    <row r="477" spans="1:29" outlineLevel="2" x14ac:dyDescent="0.25">
      <c r="A477" s="201">
        <v>46007</v>
      </c>
      <c r="D477" s="198" t="s">
        <v>54</v>
      </c>
      <c r="E477" s="202">
        <v>73459872</v>
      </c>
      <c r="K477" s="198" t="s">
        <v>935</v>
      </c>
      <c r="L477" s="198" t="s">
        <v>130</v>
      </c>
      <c r="P477" s="201"/>
      <c r="R477" s="202">
        <v>73459872</v>
      </c>
      <c r="U477" s="198" t="s">
        <v>934</v>
      </c>
      <c r="AA477" s="198" t="s">
        <v>51</v>
      </c>
      <c r="AB477" s="202">
        <v>73459872</v>
      </c>
      <c r="AC477" s="202">
        <v>73459872</v>
      </c>
    </row>
    <row r="478" spans="1:29" outlineLevel="2" x14ac:dyDescent="0.25">
      <c r="A478" s="201">
        <v>46059</v>
      </c>
      <c r="D478" s="198" t="s">
        <v>54</v>
      </c>
      <c r="E478" s="202">
        <v>750510</v>
      </c>
      <c r="K478" s="198" t="s">
        <v>935</v>
      </c>
      <c r="L478" s="198" t="s">
        <v>130</v>
      </c>
      <c r="P478" s="201"/>
      <c r="R478" s="202">
        <v>750510</v>
      </c>
      <c r="U478" s="198" t="s">
        <v>934</v>
      </c>
      <c r="AA478" s="198" t="s">
        <v>51</v>
      </c>
      <c r="AB478" s="202">
        <v>750510</v>
      </c>
      <c r="AC478" s="202">
        <v>750510</v>
      </c>
    </row>
    <row r="479" spans="1:29" outlineLevel="2" x14ac:dyDescent="0.25">
      <c r="A479" s="201">
        <v>46062</v>
      </c>
      <c r="D479" s="198" t="s">
        <v>54</v>
      </c>
      <c r="E479" s="202">
        <v>2547023</v>
      </c>
      <c r="K479" s="198" t="s">
        <v>935</v>
      </c>
      <c r="L479" s="198" t="s">
        <v>130</v>
      </c>
      <c r="P479" s="201"/>
      <c r="R479" s="202">
        <v>2547023</v>
      </c>
      <c r="U479" s="198" t="s">
        <v>934</v>
      </c>
      <c r="AA479" s="198" t="s">
        <v>51</v>
      </c>
      <c r="AB479" s="202">
        <v>2547023</v>
      </c>
      <c r="AC479" s="202">
        <v>2547023</v>
      </c>
    </row>
    <row r="480" spans="1:29" outlineLevel="2" x14ac:dyDescent="0.25">
      <c r="A480" s="201">
        <v>46094</v>
      </c>
      <c r="D480" s="198" t="s">
        <v>54</v>
      </c>
      <c r="E480" s="202">
        <v>563985504</v>
      </c>
      <c r="K480" s="198" t="s">
        <v>935</v>
      </c>
      <c r="L480" s="198" t="s">
        <v>130</v>
      </c>
      <c r="P480" s="201"/>
      <c r="R480" s="202">
        <v>563985504</v>
      </c>
      <c r="U480" s="198" t="s">
        <v>934</v>
      </c>
      <c r="AA480" s="198" t="s">
        <v>51</v>
      </c>
      <c r="AB480" s="202">
        <v>563985504</v>
      </c>
      <c r="AC480" s="202">
        <v>563985504</v>
      </c>
    </row>
    <row r="481" spans="1:29" outlineLevel="2" x14ac:dyDescent="0.25">
      <c r="A481" s="201">
        <v>46154</v>
      </c>
      <c r="D481" s="198" t="s">
        <v>54</v>
      </c>
      <c r="E481" s="202">
        <v>1612372</v>
      </c>
      <c r="K481" s="198" t="s">
        <v>935</v>
      </c>
      <c r="L481" s="198" t="s">
        <v>130</v>
      </c>
      <c r="P481" s="201"/>
      <c r="R481" s="202">
        <v>1612372</v>
      </c>
      <c r="U481" s="198" t="s">
        <v>934</v>
      </c>
      <c r="AA481" s="198" t="s">
        <v>51</v>
      </c>
      <c r="AB481" s="202">
        <v>1612372</v>
      </c>
      <c r="AC481" s="202">
        <v>1612372</v>
      </c>
    </row>
    <row r="482" spans="1:29" outlineLevel="1" x14ac:dyDescent="0.25">
      <c r="A482" s="210"/>
      <c r="B482" s="209"/>
      <c r="C482" s="209"/>
      <c r="D482" s="209" t="s">
        <v>54</v>
      </c>
      <c r="E482" s="211">
        <v>15424113969</v>
      </c>
      <c r="F482" s="209"/>
      <c r="G482" s="209"/>
      <c r="H482" s="209"/>
      <c r="I482" s="209"/>
      <c r="J482" s="209"/>
      <c r="K482" s="209" t="s">
        <v>54</v>
      </c>
      <c r="L482" s="209" t="s">
        <v>54</v>
      </c>
      <c r="M482" s="209"/>
      <c r="N482" s="209"/>
      <c r="O482" s="209"/>
      <c r="P482" s="210"/>
      <c r="Q482" s="209"/>
      <c r="R482" s="212"/>
      <c r="S482" s="209"/>
      <c r="T482" s="209"/>
      <c r="U482" s="209" t="s">
        <v>54</v>
      </c>
      <c r="V482" s="209"/>
      <c r="W482" s="209"/>
      <c r="X482" s="209"/>
      <c r="Y482" s="209"/>
      <c r="Z482" s="209"/>
      <c r="AA482" s="209" t="s">
        <v>54</v>
      </c>
      <c r="AB482" s="212"/>
      <c r="AC482" s="212"/>
    </row>
    <row r="483" spans="1:29" outlineLevel="2" x14ac:dyDescent="0.25">
      <c r="A483" s="201">
        <v>46003</v>
      </c>
      <c r="D483" s="198" t="s">
        <v>54</v>
      </c>
      <c r="E483" s="202">
        <v>100</v>
      </c>
      <c r="K483" s="198" t="s">
        <v>936</v>
      </c>
      <c r="L483" s="198" t="s">
        <v>130</v>
      </c>
      <c r="P483" s="201"/>
      <c r="R483" s="202">
        <v>100</v>
      </c>
      <c r="U483" s="198" t="s">
        <v>710</v>
      </c>
      <c r="AA483" s="198" t="s">
        <v>51</v>
      </c>
      <c r="AB483" s="202">
        <v>100</v>
      </c>
      <c r="AC483" s="202">
        <v>100</v>
      </c>
    </row>
    <row r="484" spans="1:29" outlineLevel="2" x14ac:dyDescent="0.25">
      <c r="A484" s="201">
        <v>46004</v>
      </c>
      <c r="D484" s="198" t="s">
        <v>54</v>
      </c>
      <c r="E484" s="202">
        <v>11875165630</v>
      </c>
      <c r="K484" s="198" t="s">
        <v>936</v>
      </c>
      <c r="L484" s="198" t="s">
        <v>130</v>
      </c>
      <c r="P484" s="201"/>
      <c r="R484" s="202">
        <v>11875165630</v>
      </c>
      <c r="U484" s="198" t="s">
        <v>710</v>
      </c>
      <c r="AA484" s="198" t="s">
        <v>51</v>
      </c>
      <c r="AB484" s="202">
        <v>11875165630</v>
      </c>
      <c r="AC484" s="202">
        <v>11875165630</v>
      </c>
    </row>
    <row r="485" spans="1:29" outlineLevel="2" x14ac:dyDescent="0.25">
      <c r="A485" s="201">
        <v>46004</v>
      </c>
      <c r="D485" s="198" t="s">
        <v>54</v>
      </c>
      <c r="E485" s="202">
        <v>2906592958</v>
      </c>
      <c r="K485" s="198" t="s">
        <v>936</v>
      </c>
      <c r="L485" s="198" t="s">
        <v>130</v>
      </c>
      <c r="P485" s="201"/>
      <c r="R485" s="202">
        <v>2906592958</v>
      </c>
      <c r="U485" s="198" t="s">
        <v>710</v>
      </c>
      <c r="AA485" s="198" t="s">
        <v>51</v>
      </c>
      <c r="AB485" s="202">
        <v>2906592958</v>
      </c>
      <c r="AC485" s="202">
        <v>2906592958</v>
      </c>
    </row>
    <row r="486" spans="1:29" outlineLevel="2" x14ac:dyDescent="0.25">
      <c r="A486" s="201">
        <v>46007</v>
      </c>
      <c r="D486" s="198" t="s">
        <v>54</v>
      </c>
      <c r="E486" s="202">
        <v>73459872</v>
      </c>
      <c r="K486" s="198" t="s">
        <v>936</v>
      </c>
      <c r="L486" s="198" t="s">
        <v>130</v>
      </c>
      <c r="P486" s="201"/>
      <c r="R486" s="202">
        <v>73459872</v>
      </c>
      <c r="U486" s="198" t="s">
        <v>710</v>
      </c>
      <c r="AA486" s="198" t="s">
        <v>51</v>
      </c>
      <c r="AB486" s="202">
        <v>73459872</v>
      </c>
      <c r="AC486" s="202">
        <v>73459872</v>
      </c>
    </row>
    <row r="487" spans="1:29" outlineLevel="2" x14ac:dyDescent="0.25">
      <c r="A487" s="201">
        <v>46059</v>
      </c>
      <c r="D487" s="198" t="s">
        <v>54</v>
      </c>
      <c r="E487" s="202">
        <v>750510</v>
      </c>
      <c r="K487" s="198" t="s">
        <v>936</v>
      </c>
      <c r="L487" s="198" t="s">
        <v>130</v>
      </c>
      <c r="P487" s="201"/>
      <c r="R487" s="202">
        <v>750510</v>
      </c>
      <c r="U487" s="198" t="s">
        <v>710</v>
      </c>
      <c r="AA487" s="198" t="s">
        <v>51</v>
      </c>
      <c r="AB487" s="202">
        <v>750510</v>
      </c>
      <c r="AC487" s="202">
        <v>750510</v>
      </c>
    </row>
    <row r="488" spans="1:29" outlineLevel="2" x14ac:dyDescent="0.25">
      <c r="A488" s="201">
        <v>46062</v>
      </c>
      <c r="D488" s="198" t="s">
        <v>54</v>
      </c>
      <c r="E488" s="202">
        <v>2547023</v>
      </c>
      <c r="K488" s="198" t="s">
        <v>936</v>
      </c>
      <c r="L488" s="198" t="s">
        <v>130</v>
      </c>
      <c r="P488" s="201"/>
      <c r="R488" s="202">
        <v>2547023</v>
      </c>
      <c r="U488" s="198" t="s">
        <v>710</v>
      </c>
      <c r="AA488" s="198" t="s">
        <v>51</v>
      </c>
      <c r="AB488" s="202">
        <v>2547023</v>
      </c>
      <c r="AC488" s="202">
        <v>2547023</v>
      </c>
    </row>
    <row r="489" spans="1:29" outlineLevel="2" x14ac:dyDescent="0.25">
      <c r="A489" s="201">
        <v>46094</v>
      </c>
      <c r="D489" s="198" t="s">
        <v>54</v>
      </c>
      <c r="E489" s="202">
        <v>563985504</v>
      </c>
      <c r="K489" s="198" t="s">
        <v>936</v>
      </c>
      <c r="L489" s="198" t="s">
        <v>130</v>
      </c>
      <c r="P489" s="201"/>
      <c r="R489" s="202">
        <v>563985504</v>
      </c>
      <c r="U489" s="198" t="s">
        <v>710</v>
      </c>
      <c r="AA489" s="198" t="s">
        <v>51</v>
      </c>
      <c r="AB489" s="202">
        <v>563985504</v>
      </c>
      <c r="AC489" s="202">
        <v>563985504</v>
      </c>
    </row>
    <row r="490" spans="1:29" outlineLevel="1" x14ac:dyDescent="0.25">
      <c r="A490" s="210"/>
      <c r="B490" s="209"/>
      <c r="C490" s="209"/>
      <c r="D490" s="209" t="s">
        <v>54</v>
      </c>
      <c r="E490" s="211">
        <v>15422501597</v>
      </c>
      <c r="F490" s="209"/>
      <c r="G490" s="209"/>
      <c r="H490" s="209"/>
      <c r="I490" s="209"/>
      <c r="J490" s="209"/>
      <c r="K490" s="209" t="s">
        <v>54</v>
      </c>
      <c r="L490" s="209" t="s">
        <v>54</v>
      </c>
      <c r="M490" s="209"/>
      <c r="N490" s="209"/>
      <c r="O490" s="209"/>
      <c r="P490" s="210"/>
      <c r="Q490" s="209"/>
      <c r="R490" s="212"/>
      <c r="S490" s="209"/>
      <c r="T490" s="209"/>
      <c r="U490" s="209" t="s">
        <v>54</v>
      </c>
      <c r="V490" s="209"/>
      <c r="W490" s="209"/>
      <c r="X490" s="209"/>
      <c r="Y490" s="209"/>
      <c r="Z490" s="209"/>
      <c r="AA490" s="209" t="s">
        <v>54</v>
      </c>
      <c r="AB490" s="212"/>
      <c r="AC490" s="212"/>
    </row>
    <row r="491" spans="1:29" outlineLevel="2" x14ac:dyDescent="0.25">
      <c r="A491" s="201">
        <v>46154</v>
      </c>
      <c r="D491" s="198" t="s">
        <v>54</v>
      </c>
      <c r="E491" s="202">
        <v>1612372</v>
      </c>
      <c r="K491" s="198" t="s">
        <v>1758</v>
      </c>
      <c r="L491" s="198" t="s">
        <v>130</v>
      </c>
      <c r="P491" s="201"/>
      <c r="R491" s="202">
        <v>1612372</v>
      </c>
      <c r="U491" s="198" t="s">
        <v>1263</v>
      </c>
      <c r="AA491" s="198" t="s">
        <v>51</v>
      </c>
      <c r="AB491" s="202">
        <v>1612372</v>
      </c>
      <c r="AC491" s="202">
        <v>1612372</v>
      </c>
    </row>
    <row r="492" spans="1:29" outlineLevel="1" x14ac:dyDescent="0.25">
      <c r="A492" s="210"/>
      <c r="B492" s="209"/>
      <c r="C492" s="209"/>
      <c r="D492" s="209" t="s">
        <v>54</v>
      </c>
      <c r="E492" s="211">
        <v>1612372</v>
      </c>
      <c r="F492" s="209"/>
      <c r="G492" s="209"/>
      <c r="H492" s="209"/>
      <c r="I492" s="209"/>
      <c r="J492" s="209"/>
      <c r="K492" s="209" t="s">
        <v>54</v>
      </c>
      <c r="L492" s="209" t="s">
        <v>54</v>
      </c>
      <c r="M492" s="209"/>
      <c r="N492" s="209"/>
      <c r="O492" s="209"/>
      <c r="P492" s="210"/>
      <c r="Q492" s="209"/>
      <c r="R492" s="212"/>
      <c r="S492" s="209"/>
      <c r="T492" s="209"/>
      <c r="U492" s="209" t="s">
        <v>54</v>
      </c>
      <c r="V492" s="209"/>
      <c r="W492" s="209"/>
      <c r="X492" s="209"/>
      <c r="Y492" s="209"/>
      <c r="Z492" s="209"/>
      <c r="AA492" s="209" t="s">
        <v>54</v>
      </c>
      <c r="AB492" s="212"/>
      <c r="AC492" s="212"/>
    </row>
    <row r="493" spans="1:29" outlineLevel="2" x14ac:dyDescent="0.25">
      <c r="A493" s="201">
        <v>46004</v>
      </c>
      <c r="D493" s="198" t="s">
        <v>54</v>
      </c>
      <c r="E493" s="202">
        <v>1366981795</v>
      </c>
      <c r="K493" s="198" t="s">
        <v>938</v>
      </c>
      <c r="L493" s="198" t="s">
        <v>130</v>
      </c>
      <c r="P493" s="201"/>
      <c r="R493" s="202">
        <v>1366981795</v>
      </c>
      <c r="U493" s="198" t="s">
        <v>937</v>
      </c>
      <c r="AA493" s="198" t="s">
        <v>51</v>
      </c>
      <c r="AB493" s="202">
        <v>1366981795</v>
      </c>
      <c r="AC493" s="202">
        <v>1366981795</v>
      </c>
    </row>
    <row r="494" spans="1:29" outlineLevel="2" x14ac:dyDescent="0.25">
      <c r="A494" s="201">
        <v>46090</v>
      </c>
      <c r="D494" s="198" t="s">
        <v>54</v>
      </c>
      <c r="E494" s="202">
        <v>-259978207.24000001</v>
      </c>
      <c r="K494" s="198" t="s">
        <v>938</v>
      </c>
      <c r="L494" s="198" t="s">
        <v>130</v>
      </c>
      <c r="P494" s="201"/>
      <c r="R494" s="202">
        <v>-259978207.24000001</v>
      </c>
      <c r="U494" s="198" t="s">
        <v>937</v>
      </c>
      <c r="AA494" s="198" t="s">
        <v>51</v>
      </c>
      <c r="AB494" s="202">
        <v>-259978207.24000001</v>
      </c>
      <c r="AC494" s="202">
        <v>-259978207.24000001</v>
      </c>
    </row>
    <row r="495" spans="1:29" outlineLevel="2" x14ac:dyDescent="0.25">
      <c r="A495" s="201">
        <v>46154</v>
      </c>
      <c r="D495" s="198" t="s">
        <v>54</v>
      </c>
      <c r="E495" s="202">
        <v>1612372</v>
      </c>
      <c r="K495" s="198" t="s">
        <v>938</v>
      </c>
      <c r="L495" s="198" t="s">
        <v>130</v>
      </c>
      <c r="P495" s="201"/>
      <c r="R495" s="202">
        <v>1612372</v>
      </c>
      <c r="U495" s="198" t="s">
        <v>937</v>
      </c>
      <c r="AA495" s="198" t="s">
        <v>51</v>
      </c>
      <c r="AB495" s="202">
        <v>1612372</v>
      </c>
      <c r="AC495" s="202">
        <v>1612372</v>
      </c>
    </row>
    <row r="496" spans="1:29" outlineLevel="1" x14ac:dyDescent="0.25">
      <c r="A496" s="210"/>
      <c r="B496" s="209"/>
      <c r="C496" s="209"/>
      <c r="D496" s="209" t="s">
        <v>54</v>
      </c>
      <c r="E496" s="211">
        <v>1108615959.76</v>
      </c>
      <c r="F496" s="209"/>
      <c r="G496" s="209"/>
      <c r="H496" s="209"/>
      <c r="I496" s="209"/>
      <c r="J496" s="209"/>
      <c r="K496" s="209" t="s">
        <v>54</v>
      </c>
      <c r="L496" s="209" t="s">
        <v>54</v>
      </c>
      <c r="M496" s="209"/>
      <c r="N496" s="209"/>
      <c r="O496" s="209"/>
      <c r="P496" s="210"/>
      <c r="Q496" s="209"/>
      <c r="R496" s="212"/>
      <c r="S496" s="209"/>
      <c r="T496" s="209"/>
      <c r="U496" s="209" t="s">
        <v>54</v>
      </c>
      <c r="V496" s="209"/>
      <c r="W496" s="209"/>
      <c r="X496" s="209"/>
      <c r="Y496" s="209"/>
      <c r="Z496" s="209"/>
      <c r="AA496" s="209" t="s">
        <v>54</v>
      </c>
      <c r="AB496" s="212"/>
      <c r="AC496" s="212"/>
    </row>
    <row r="497" spans="1:29" outlineLevel="2" x14ac:dyDescent="0.25">
      <c r="A497" s="201">
        <v>46004</v>
      </c>
      <c r="D497" s="198" t="s">
        <v>54</v>
      </c>
      <c r="E497" s="202">
        <v>1366981795</v>
      </c>
      <c r="K497" s="198" t="s">
        <v>939</v>
      </c>
      <c r="L497" s="198" t="s">
        <v>130</v>
      </c>
      <c r="P497" s="201"/>
      <c r="R497" s="202">
        <v>1366981795</v>
      </c>
      <c r="U497" s="198" t="s">
        <v>698</v>
      </c>
      <c r="AA497" s="198" t="s">
        <v>51</v>
      </c>
      <c r="AB497" s="202">
        <v>1366981795</v>
      </c>
      <c r="AC497" s="202">
        <v>1366981795</v>
      </c>
    </row>
    <row r="498" spans="1:29" outlineLevel="2" x14ac:dyDescent="0.25">
      <c r="A498" s="201">
        <v>46090</v>
      </c>
      <c r="D498" s="198" t="s">
        <v>54</v>
      </c>
      <c r="E498" s="202">
        <v>-259978207.24000001</v>
      </c>
      <c r="K498" s="198" t="s">
        <v>939</v>
      </c>
      <c r="L498" s="198" t="s">
        <v>130</v>
      </c>
      <c r="P498" s="201"/>
      <c r="R498" s="202">
        <v>-259978207.24000001</v>
      </c>
      <c r="U498" s="198" t="s">
        <v>698</v>
      </c>
      <c r="AA498" s="198" t="s">
        <v>51</v>
      </c>
      <c r="AB498" s="202">
        <v>-259978207.24000001</v>
      </c>
      <c r="AC498" s="202">
        <v>-259978207.24000001</v>
      </c>
    </row>
    <row r="499" spans="1:29" outlineLevel="1" x14ac:dyDescent="0.25">
      <c r="A499" s="210"/>
      <c r="B499" s="209"/>
      <c r="C499" s="209"/>
      <c r="D499" s="209" t="s">
        <v>54</v>
      </c>
      <c r="E499" s="211">
        <v>1107003587.76</v>
      </c>
      <c r="F499" s="209"/>
      <c r="G499" s="209"/>
      <c r="H499" s="209"/>
      <c r="I499" s="209"/>
      <c r="J499" s="209"/>
      <c r="K499" s="209" t="s">
        <v>54</v>
      </c>
      <c r="L499" s="209" t="s">
        <v>54</v>
      </c>
      <c r="M499" s="209"/>
      <c r="N499" s="209"/>
      <c r="O499" s="209"/>
      <c r="P499" s="210"/>
      <c r="Q499" s="209"/>
      <c r="R499" s="212"/>
      <c r="S499" s="209"/>
      <c r="T499" s="209"/>
      <c r="U499" s="209" t="s">
        <v>54</v>
      </c>
      <c r="V499" s="209"/>
      <c r="W499" s="209"/>
      <c r="X499" s="209"/>
      <c r="Y499" s="209"/>
      <c r="Z499" s="209"/>
      <c r="AA499" s="209" t="s">
        <v>54</v>
      </c>
      <c r="AB499" s="212"/>
      <c r="AC499" s="212"/>
    </row>
    <row r="500" spans="1:29" outlineLevel="2" x14ac:dyDescent="0.25">
      <c r="A500" s="201">
        <v>46154</v>
      </c>
      <c r="D500" s="198" t="s">
        <v>54</v>
      </c>
      <c r="E500" s="202">
        <v>1612372</v>
      </c>
      <c r="K500" s="198" t="s">
        <v>1759</v>
      </c>
      <c r="L500" s="198" t="s">
        <v>130</v>
      </c>
      <c r="P500" s="201"/>
      <c r="R500" s="202">
        <v>1612372</v>
      </c>
      <c r="U500" s="198" t="s">
        <v>1279</v>
      </c>
      <c r="AA500" s="198" t="s">
        <v>51</v>
      </c>
      <c r="AB500" s="202">
        <v>1612372</v>
      </c>
      <c r="AC500" s="202">
        <v>1612372</v>
      </c>
    </row>
    <row r="501" spans="1:29" outlineLevel="1" x14ac:dyDescent="0.25">
      <c r="A501" s="210"/>
      <c r="B501" s="209"/>
      <c r="C501" s="209"/>
      <c r="D501" s="209" t="s">
        <v>54</v>
      </c>
      <c r="E501" s="211">
        <v>1612372</v>
      </c>
      <c r="F501" s="209"/>
      <c r="G501" s="209"/>
      <c r="H501" s="209"/>
      <c r="I501" s="209"/>
      <c r="J501" s="209"/>
      <c r="K501" s="209" t="s">
        <v>54</v>
      </c>
      <c r="L501" s="209" t="s">
        <v>54</v>
      </c>
      <c r="M501" s="209"/>
      <c r="N501" s="209"/>
      <c r="O501" s="209"/>
      <c r="P501" s="210"/>
      <c r="Q501" s="209"/>
      <c r="R501" s="212"/>
      <c r="S501" s="209"/>
      <c r="T501" s="209"/>
      <c r="U501" s="209" t="s">
        <v>54</v>
      </c>
      <c r="V501" s="209"/>
      <c r="W501" s="209"/>
      <c r="X501" s="209"/>
      <c r="Y501" s="209"/>
      <c r="Z501" s="209"/>
      <c r="AA501" s="209" t="s">
        <v>54</v>
      </c>
      <c r="AB501" s="212"/>
      <c r="AC501" s="212"/>
    </row>
    <row r="502" spans="1:29" outlineLevel="2" x14ac:dyDescent="0.25">
      <c r="A502" s="201">
        <v>46004</v>
      </c>
      <c r="D502" s="198" t="s">
        <v>54</v>
      </c>
      <c r="E502" s="202">
        <v>221570813</v>
      </c>
      <c r="K502" s="198" t="s">
        <v>941</v>
      </c>
      <c r="L502" s="198" t="s">
        <v>130</v>
      </c>
      <c r="P502" s="201"/>
      <c r="R502" s="202">
        <v>221570813</v>
      </c>
      <c r="U502" s="198" t="s">
        <v>940</v>
      </c>
      <c r="AA502" s="198" t="s">
        <v>51</v>
      </c>
      <c r="AB502" s="202">
        <v>221570813</v>
      </c>
      <c r="AC502" s="202">
        <v>221570813</v>
      </c>
    </row>
    <row r="503" spans="1:29" outlineLevel="2" x14ac:dyDescent="0.25">
      <c r="A503" s="201">
        <v>46090</v>
      </c>
      <c r="D503" s="198" t="s">
        <v>54</v>
      </c>
      <c r="E503" s="202">
        <v>-96570813</v>
      </c>
      <c r="K503" s="198" t="s">
        <v>941</v>
      </c>
      <c r="L503" s="198" t="s">
        <v>130</v>
      </c>
      <c r="P503" s="201"/>
      <c r="R503" s="202">
        <v>-96570813</v>
      </c>
      <c r="U503" s="198" t="s">
        <v>940</v>
      </c>
      <c r="AA503" s="198" t="s">
        <v>51</v>
      </c>
      <c r="AB503" s="202">
        <v>-96570813</v>
      </c>
      <c r="AC503" s="202">
        <v>-96570813</v>
      </c>
    </row>
    <row r="504" spans="1:29" outlineLevel="1" x14ac:dyDescent="0.25">
      <c r="A504" s="210"/>
      <c r="B504" s="209"/>
      <c r="C504" s="209"/>
      <c r="D504" s="209" t="s">
        <v>54</v>
      </c>
      <c r="E504" s="211">
        <v>125000000</v>
      </c>
      <c r="F504" s="209"/>
      <c r="G504" s="209"/>
      <c r="H504" s="209"/>
      <c r="I504" s="209"/>
      <c r="J504" s="209"/>
      <c r="K504" s="209" t="s">
        <v>54</v>
      </c>
      <c r="L504" s="209" t="s">
        <v>54</v>
      </c>
      <c r="M504" s="209"/>
      <c r="N504" s="209"/>
      <c r="O504" s="209"/>
      <c r="P504" s="210"/>
      <c r="Q504" s="209"/>
      <c r="R504" s="212"/>
      <c r="S504" s="209"/>
      <c r="T504" s="209"/>
      <c r="U504" s="209" t="s">
        <v>54</v>
      </c>
      <c r="V504" s="209"/>
      <c r="W504" s="209"/>
      <c r="X504" s="209"/>
      <c r="Y504" s="209"/>
      <c r="Z504" s="209"/>
      <c r="AA504" s="209" t="s">
        <v>54</v>
      </c>
      <c r="AB504" s="212"/>
      <c r="AC504" s="212"/>
    </row>
    <row r="505" spans="1:29" outlineLevel="2" x14ac:dyDescent="0.25">
      <c r="A505" s="201">
        <v>46004</v>
      </c>
      <c r="D505" s="198" t="s">
        <v>54</v>
      </c>
      <c r="E505" s="202">
        <v>221570813</v>
      </c>
      <c r="K505" s="198" t="s">
        <v>942</v>
      </c>
      <c r="L505" s="198" t="s">
        <v>130</v>
      </c>
      <c r="P505" s="201"/>
      <c r="R505" s="202">
        <v>221570813</v>
      </c>
      <c r="U505" s="198" t="s">
        <v>360</v>
      </c>
      <c r="AA505" s="198" t="s">
        <v>51</v>
      </c>
      <c r="AB505" s="202">
        <v>221570813</v>
      </c>
      <c r="AC505" s="202">
        <v>221570813</v>
      </c>
    </row>
    <row r="506" spans="1:29" outlineLevel="2" x14ac:dyDescent="0.25">
      <c r="A506" s="201">
        <v>46090</v>
      </c>
      <c r="D506" s="198" t="s">
        <v>54</v>
      </c>
      <c r="E506" s="202">
        <v>-96570813</v>
      </c>
      <c r="K506" s="198" t="s">
        <v>942</v>
      </c>
      <c r="L506" s="198" t="s">
        <v>130</v>
      </c>
      <c r="P506" s="201"/>
      <c r="R506" s="202">
        <v>-96570813</v>
      </c>
      <c r="U506" s="198" t="s">
        <v>360</v>
      </c>
      <c r="AA506" s="198" t="s">
        <v>51</v>
      </c>
      <c r="AB506" s="202">
        <v>-96570813</v>
      </c>
      <c r="AC506" s="202">
        <v>-96570813</v>
      </c>
    </row>
    <row r="507" spans="1:29" outlineLevel="1" x14ac:dyDescent="0.25">
      <c r="A507" s="210"/>
      <c r="B507" s="209"/>
      <c r="C507" s="209"/>
      <c r="D507" s="209" t="s">
        <v>54</v>
      </c>
      <c r="E507" s="211">
        <v>125000000</v>
      </c>
      <c r="F507" s="209"/>
      <c r="G507" s="209"/>
      <c r="H507" s="209"/>
      <c r="I507" s="209"/>
      <c r="J507" s="209"/>
      <c r="K507" s="209" t="s">
        <v>54</v>
      </c>
      <c r="L507" s="209" t="s">
        <v>54</v>
      </c>
      <c r="M507" s="209"/>
      <c r="N507" s="209"/>
      <c r="O507" s="209"/>
      <c r="P507" s="210"/>
      <c r="Q507" s="209"/>
      <c r="R507" s="212"/>
      <c r="S507" s="209"/>
      <c r="T507" s="209"/>
      <c r="U507" s="209" t="s">
        <v>54</v>
      </c>
      <c r="V507" s="209"/>
      <c r="W507" s="209"/>
      <c r="X507" s="209"/>
      <c r="Y507" s="209"/>
      <c r="Z507" s="209"/>
      <c r="AA507" s="209" t="s">
        <v>54</v>
      </c>
      <c r="AB507" s="212"/>
      <c r="AC507" s="212"/>
    </row>
    <row r="508" spans="1:29" outlineLevel="2" x14ac:dyDescent="0.25">
      <c r="A508" s="201">
        <v>46004</v>
      </c>
      <c r="D508" s="198" t="s">
        <v>54</v>
      </c>
      <c r="E508" s="202">
        <v>1077300000</v>
      </c>
      <c r="K508" s="198" t="s">
        <v>943</v>
      </c>
      <c r="L508" s="198" t="s">
        <v>130</v>
      </c>
      <c r="P508" s="201"/>
      <c r="R508" s="202">
        <v>1077300000</v>
      </c>
      <c r="U508" s="198" t="s">
        <v>430</v>
      </c>
      <c r="AA508" s="198" t="s">
        <v>51</v>
      </c>
      <c r="AB508" s="202">
        <v>1077300000</v>
      </c>
      <c r="AC508" s="202">
        <v>1077300000</v>
      </c>
    </row>
    <row r="509" spans="1:29" outlineLevel="2" x14ac:dyDescent="0.25">
      <c r="A509" s="201">
        <v>46020</v>
      </c>
      <c r="D509" s="198" t="s">
        <v>54</v>
      </c>
      <c r="E509" s="202">
        <v>-136770200</v>
      </c>
      <c r="K509" s="198" t="s">
        <v>943</v>
      </c>
      <c r="L509" s="198" t="s">
        <v>130</v>
      </c>
      <c r="P509" s="201"/>
      <c r="R509" s="202">
        <v>-136770200</v>
      </c>
      <c r="U509" s="198" t="s">
        <v>430</v>
      </c>
      <c r="AA509" s="198" t="s">
        <v>51</v>
      </c>
      <c r="AB509" s="202">
        <v>-136770200</v>
      </c>
      <c r="AC509" s="202">
        <v>-136770200</v>
      </c>
    </row>
    <row r="510" spans="1:29" outlineLevel="2" x14ac:dyDescent="0.25">
      <c r="A510" s="201">
        <v>46035</v>
      </c>
      <c r="D510" s="198" t="s">
        <v>54</v>
      </c>
      <c r="E510" s="202">
        <v>10000000</v>
      </c>
      <c r="K510" s="198" t="s">
        <v>943</v>
      </c>
      <c r="L510" s="198" t="s">
        <v>130</v>
      </c>
      <c r="P510" s="201"/>
      <c r="R510" s="202">
        <v>10000000</v>
      </c>
      <c r="U510" s="198" t="s">
        <v>430</v>
      </c>
      <c r="AA510" s="198" t="s">
        <v>51</v>
      </c>
      <c r="AB510" s="202">
        <v>10000000</v>
      </c>
      <c r="AC510" s="202">
        <v>10000000</v>
      </c>
    </row>
    <row r="511" spans="1:29" outlineLevel="2" x14ac:dyDescent="0.25">
      <c r="A511" s="201">
        <v>46090</v>
      </c>
      <c r="D511" s="198" t="s">
        <v>54</v>
      </c>
      <c r="E511" s="202">
        <v>-4600000</v>
      </c>
      <c r="K511" s="198" t="s">
        <v>943</v>
      </c>
      <c r="L511" s="198" t="s">
        <v>130</v>
      </c>
      <c r="P511" s="201"/>
      <c r="R511" s="202">
        <v>-4600000</v>
      </c>
      <c r="U511" s="198" t="s">
        <v>430</v>
      </c>
      <c r="AA511" s="198" t="s">
        <v>51</v>
      </c>
      <c r="AB511" s="202">
        <v>-4600000</v>
      </c>
      <c r="AC511" s="202">
        <v>-4600000</v>
      </c>
    </row>
    <row r="512" spans="1:29" outlineLevel="2" x14ac:dyDescent="0.25">
      <c r="A512" s="201">
        <v>46169</v>
      </c>
      <c r="D512" s="198" t="s">
        <v>54</v>
      </c>
      <c r="E512" s="202">
        <v>10641253</v>
      </c>
      <c r="K512" s="198" t="s">
        <v>943</v>
      </c>
      <c r="L512" s="198" t="s">
        <v>130</v>
      </c>
      <c r="P512" s="201"/>
      <c r="R512" s="202">
        <v>10641253</v>
      </c>
      <c r="U512" s="198" t="s">
        <v>430</v>
      </c>
      <c r="AA512" s="198" t="s">
        <v>51</v>
      </c>
      <c r="AB512" s="202">
        <v>10641253</v>
      </c>
      <c r="AC512" s="202">
        <v>10641253</v>
      </c>
    </row>
    <row r="513" spans="1:29" outlineLevel="1" x14ac:dyDescent="0.25">
      <c r="A513" s="210"/>
      <c r="B513" s="209"/>
      <c r="C513" s="209"/>
      <c r="D513" s="209" t="s">
        <v>54</v>
      </c>
      <c r="E513" s="211">
        <v>956571053</v>
      </c>
      <c r="F513" s="209"/>
      <c r="G513" s="209"/>
      <c r="H513" s="209"/>
      <c r="I513" s="209"/>
      <c r="J513" s="209"/>
      <c r="K513" s="209" t="s">
        <v>54</v>
      </c>
      <c r="L513" s="209" t="s">
        <v>54</v>
      </c>
      <c r="M513" s="209"/>
      <c r="N513" s="209"/>
      <c r="O513" s="209"/>
      <c r="P513" s="210"/>
      <c r="Q513" s="209"/>
      <c r="R513" s="212"/>
      <c r="S513" s="209"/>
      <c r="T513" s="209"/>
      <c r="U513" s="209" t="s">
        <v>54</v>
      </c>
      <c r="V513" s="209"/>
      <c r="W513" s="209"/>
      <c r="X513" s="209"/>
      <c r="Y513" s="209"/>
      <c r="Z513" s="209"/>
      <c r="AA513" s="209" t="s">
        <v>54</v>
      </c>
      <c r="AB513" s="212"/>
      <c r="AC513" s="212"/>
    </row>
    <row r="514" spans="1:29" outlineLevel="2" x14ac:dyDescent="0.25">
      <c r="A514" s="201">
        <v>46004</v>
      </c>
      <c r="D514" s="198" t="s">
        <v>54</v>
      </c>
      <c r="E514" s="202">
        <v>482817321</v>
      </c>
      <c r="K514" s="198" t="s">
        <v>945</v>
      </c>
      <c r="L514" s="198" t="s">
        <v>130</v>
      </c>
      <c r="P514" s="201"/>
      <c r="R514" s="202">
        <v>482817321</v>
      </c>
      <c r="U514" s="198" t="s">
        <v>944</v>
      </c>
      <c r="AA514" s="198" t="s">
        <v>51</v>
      </c>
      <c r="AB514" s="202">
        <v>482817321</v>
      </c>
      <c r="AC514" s="202">
        <v>482817321</v>
      </c>
    </row>
    <row r="515" spans="1:29" outlineLevel="2" x14ac:dyDescent="0.25">
      <c r="A515" s="201">
        <v>46015</v>
      </c>
      <c r="D515" s="198" t="s">
        <v>54</v>
      </c>
      <c r="E515" s="202">
        <v>49563000</v>
      </c>
      <c r="K515" s="198" t="s">
        <v>945</v>
      </c>
      <c r="L515" s="198" t="s">
        <v>130</v>
      </c>
      <c r="P515" s="201"/>
      <c r="R515" s="202">
        <v>49563000</v>
      </c>
      <c r="U515" s="198" t="s">
        <v>944</v>
      </c>
      <c r="AA515" s="198" t="s">
        <v>51</v>
      </c>
      <c r="AB515" s="202">
        <v>49563000</v>
      </c>
      <c r="AC515" s="202">
        <v>49563000</v>
      </c>
    </row>
    <row r="516" spans="1:29" outlineLevel="2" x14ac:dyDescent="0.25">
      <c r="A516" s="201">
        <v>46018</v>
      </c>
      <c r="D516" s="198" t="s">
        <v>54</v>
      </c>
      <c r="E516" s="202">
        <v>545273829</v>
      </c>
      <c r="K516" s="198" t="s">
        <v>945</v>
      </c>
      <c r="L516" s="198" t="s">
        <v>130</v>
      </c>
      <c r="P516" s="201"/>
      <c r="R516" s="202">
        <v>545273829</v>
      </c>
      <c r="U516" s="198" t="s">
        <v>944</v>
      </c>
      <c r="AA516" s="198" t="s">
        <v>51</v>
      </c>
      <c r="AB516" s="202">
        <v>545273829</v>
      </c>
      <c r="AC516" s="202">
        <v>545273829</v>
      </c>
    </row>
    <row r="517" spans="1:29" outlineLevel="2" x14ac:dyDescent="0.25">
      <c r="A517" s="201">
        <v>46018</v>
      </c>
      <c r="D517" s="198" t="s">
        <v>54</v>
      </c>
      <c r="E517" s="202">
        <v>-963000</v>
      </c>
      <c r="K517" s="198" t="s">
        <v>945</v>
      </c>
      <c r="L517" s="198" t="s">
        <v>130</v>
      </c>
      <c r="P517" s="201"/>
      <c r="R517" s="202">
        <v>-963000</v>
      </c>
      <c r="U517" s="198" t="s">
        <v>944</v>
      </c>
      <c r="AA517" s="198" t="s">
        <v>51</v>
      </c>
      <c r="AB517" s="202">
        <v>-963000</v>
      </c>
      <c r="AC517" s="202">
        <v>-963000</v>
      </c>
    </row>
    <row r="518" spans="1:29" outlineLevel="2" x14ac:dyDescent="0.25">
      <c r="A518" s="201">
        <v>46020</v>
      </c>
      <c r="D518" s="198" t="s">
        <v>54</v>
      </c>
      <c r="E518" s="202">
        <v>-51910007.490000002</v>
      </c>
      <c r="K518" s="198" t="s">
        <v>945</v>
      </c>
      <c r="L518" s="198" t="s">
        <v>130</v>
      </c>
      <c r="P518" s="201"/>
      <c r="R518" s="202">
        <v>-51910007.490000002</v>
      </c>
      <c r="U518" s="198" t="s">
        <v>944</v>
      </c>
      <c r="AA518" s="198" t="s">
        <v>51</v>
      </c>
      <c r="AB518" s="202">
        <v>-51910007.490000002</v>
      </c>
      <c r="AC518" s="202">
        <v>-51910007.490000002</v>
      </c>
    </row>
    <row r="519" spans="1:29" outlineLevel="2" x14ac:dyDescent="0.25">
      <c r="A519" s="201">
        <v>46020</v>
      </c>
      <c r="D519" s="198" t="s">
        <v>54</v>
      </c>
      <c r="E519" s="202">
        <v>1126500</v>
      </c>
      <c r="K519" s="198" t="s">
        <v>945</v>
      </c>
      <c r="L519" s="198" t="s">
        <v>130</v>
      </c>
      <c r="P519" s="201"/>
      <c r="R519" s="202">
        <v>1126500</v>
      </c>
      <c r="U519" s="198" t="s">
        <v>944</v>
      </c>
      <c r="AA519" s="198" t="s">
        <v>51</v>
      </c>
      <c r="AB519" s="202">
        <v>1126500</v>
      </c>
      <c r="AC519" s="202">
        <v>1126500</v>
      </c>
    </row>
    <row r="520" spans="1:29" outlineLevel="2" x14ac:dyDescent="0.25">
      <c r="A520" s="201">
        <v>46021</v>
      </c>
      <c r="D520" s="198" t="s">
        <v>54</v>
      </c>
      <c r="E520" s="202">
        <v>121603837.28</v>
      </c>
      <c r="K520" s="198" t="s">
        <v>945</v>
      </c>
      <c r="L520" s="198" t="s">
        <v>130</v>
      </c>
      <c r="P520" s="201"/>
      <c r="R520" s="202">
        <v>121603837.28</v>
      </c>
      <c r="U520" s="198" t="s">
        <v>944</v>
      </c>
      <c r="AA520" s="198" t="s">
        <v>51</v>
      </c>
      <c r="AB520" s="202">
        <v>121603837.28</v>
      </c>
      <c r="AC520" s="202">
        <v>121603837.28</v>
      </c>
    </row>
    <row r="521" spans="1:29" outlineLevel="2" x14ac:dyDescent="0.25">
      <c r="A521" s="201">
        <v>46034</v>
      </c>
      <c r="D521" s="198" t="s">
        <v>54</v>
      </c>
      <c r="E521" s="202">
        <v>54000000.719999999</v>
      </c>
      <c r="K521" s="198" t="s">
        <v>945</v>
      </c>
      <c r="L521" s="198" t="s">
        <v>130</v>
      </c>
      <c r="P521" s="201"/>
      <c r="R521" s="202">
        <v>54000000.719999999</v>
      </c>
      <c r="U521" s="198" t="s">
        <v>944</v>
      </c>
      <c r="AA521" s="198" t="s">
        <v>51</v>
      </c>
      <c r="AB521" s="202">
        <v>54000000.719999999</v>
      </c>
      <c r="AC521" s="202">
        <v>54000000.719999999</v>
      </c>
    </row>
    <row r="522" spans="1:29" outlineLevel="2" x14ac:dyDescent="0.25">
      <c r="A522" s="201">
        <v>46071</v>
      </c>
      <c r="D522" s="198" t="s">
        <v>54</v>
      </c>
      <c r="E522" s="202">
        <v>6290565.7999999998</v>
      </c>
      <c r="K522" s="198" t="s">
        <v>945</v>
      </c>
      <c r="L522" s="198" t="s">
        <v>130</v>
      </c>
      <c r="P522" s="201"/>
      <c r="R522" s="202">
        <v>6290565.7999999998</v>
      </c>
      <c r="U522" s="198" t="s">
        <v>944</v>
      </c>
      <c r="AA522" s="198" t="s">
        <v>51</v>
      </c>
      <c r="AB522" s="202">
        <v>6290565.7999999998</v>
      </c>
      <c r="AC522" s="202">
        <v>6290565.7999999998</v>
      </c>
    </row>
    <row r="523" spans="1:29" outlineLevel="2" x14ac:dyDescent="0.25">
      <c r="A523" s="201">
        <v>46134</v>
      </c>
      <c r="D523" s="198" t="s">
        <v>54</v>
      </c>
      <c r="E523" s="202">
        <v>2427400</v>
      </c>
      <c r="K523" s="198" t="s">
        <v>945</v>
      </c>
      <c r="L523" s="198" t="s">
        <v>130</v>
      </c>
      <c r="P523" s="201"/>
      <c r="R523" s="202">
        <v>2427400</v>
      </c>
      <c r="U523" s="198" t="s">
        <v>944</v>
      </c>
      <c r="AA523" s="198" t="s">
        <v>51</v>
      </c>
      <c r="AB523" s="202">
        <v>2427400</v>
      </c>
      <c r="AC523" s="202">
        <v>2427400</v>
      </c>
    </row>
    <row r="524" spans="1:29" outlineLevel="1" x14ac:dyDescent="0.25">
      <c r="A524" s="210"/>
      <c r="B524" s="209"/>
      <c r="C524" s="209"/>
      <c r="D524" s="209" t="s">
        <v>54</v>
      </c>
      <c r="E524" s="211">
        <v>1210229446.3099999</v>
      </c>
      <c r="F524" s="209"/>
      <c r="G524" s="209"/>
      <c r="H524" s="209"/>
      <c r="I524" s="209"/>
      <c r="J524" s="209"/>
      <c r="K524" s="209" t="s">
        <v>54</v>
      </c>
      <c r="L524" s="209" t="s">
        <v>54</v>
      </c>
      <c r="M524" s="209"/>
      <c r="N524" s="209"/>
      <c r="O524" s="209"/>
      <c r="P524" s="210"/>
      <c r="Q524" s="209"/>
      <c r="R524" s="212"/>
      <c r="S524" s="209"/>
      <c r="T524" s="209"/>
      <c r="U524" s="209" t="s">
        <v>54</v>
      </c>
      <c r="V524" s="209"/>
      <c r="W524" s="209"/>
      <c r="X524" s="209"/>
      <c r="Y524" s="209"/>
      <c r="Z524" s="209"/>
      <c r="AA524" s="209" t="s">
        <v>54</v>
      </c>
      <c r="AB524" s="212"/>
      <c r="AC524" s="212"/>
    </row>
    <row r="525" spans="1:29" outlineLevel="2" x14ac:dyDescent="0.25">
      <c r="A525" s="201">
        <v>46004</v>
      </c>
      <c r="D525" s="198" t="s">
        <v>54</v>
      </c>
      <c r="E525" s="202">
        <v>145530000</v>
      </c>
      <c r="K525" s="198" t="s">
        <v>946</v>
      </c>
      <c r="L525" s="198" t="s">
        <v>130</v>
      </c>
      <c r="P525" s="201"/>
      <c r="R525" s="202">
        <v>145530000</v>
      </c>
      <c r="U525" s="198" t="s">
        <v>519</v>
      </c>
      <c r="AA525" s="198" t="s">
        <v>51</v>
      </c>
      <c r="AB525" s="202">
        <v>145530000</v>
      </c>
      <c r="AC525" s="202">
        <v>145530000</v>
      </c>
    </row>
    <row r="526" spans="1:29" outlineLevel="2" x14ac:dyDescent="0.25">
      <c r="A526" s="201">
        <v>46020</v>
      </c>
      <c r="D526" s="198" t="s">
        <v>54</v>
      </c>
      <c r="E526" s="202">
        <v>-6838950</v>
      </c>
      <c r="K526" s="198" t="s">
        <v>946</v>
      </c>
      <c r="L526" s="198" t="s">
        <v>130</v>
      </c>
      <c r="P526" s="201"/>
      <c r="R526" s="202">
        <v>-6838950</v>
      </c>
      <c r="U526" s="198" t="s">
        <v>519</v>
      </c>
      <c r="AA526" s="198" t="s">
        <v>51</v>
      </c>
      <c r="AB526" s="202">
        <v>-6838950</v>
      </c>
      <c r="AC526" s="202">
        <v>-6838950</v>
      </c>
    </row>
    <row r="527" spans="1:29" outlineLevel="2" x14ac:dyDescent="0.25">
      <c r="A527" s="201">
        <v>46134</v>
      </c>
      <c r="D527" s="198" t="s">
        <v>54</v>
      </c>
      <c r="E527" s="202">
        <v>2427400</v>
      </c>
      <c r="K527" s="198" t="s">
        <v>946</v>
      </c>
      <c r="L527" s="198" t="s">
        <v>130</v>
      </c>
      <c r="P527" s="201"/>
      <c r="R527" s="202">
        <v>2427400</v>
      </c>
      <c r="U527" s="198" t="s">
        <v>519</v>
      </c>
      <c r="AA527" s="198" t="s">
        <v>51</v>
      </c>
      <c r="AB527" s="202">
        <v>2427400</v>
      </c>
      <c r="AC527" s="202">
        <v>2427400</v>
      </c>
    </row>
    <row r="528" spans="1:29" outlineLevel="1" x14ac:dyDescent="0.25">
      <c r="A528" s="210"/>
      <c r="B528" s="209"/>
      <c r="C528" s="209"/>
      <c r="D528" s="209" t="s">
        <v>54</v>
      </c>
      <c r="E528" s="211">
        <v>141118450</v>
      </c>
      <c r="F528" s="209"/>
      <c r="G528" s="209"/>
      <c r="H528" s="209"/>
      <c r="I528" s="209"/>
      <c r="J528" s="209"/>
      <c r="K528" s="209" t="s">
        <v>54</v>
      </c>
      <c r="L528" s="209" t="s">
        <v>54</v>
      </c>
      <c r="M528" s="209"/>
      <c r="N528" s="209"/>
      <c r="O528" s="209"/>
      <c r="P528" s="210"/>
      <c r="Q528" s="209"/>
      <c r="R528" s="212"/>
      <c r="S528" s="209"/>
      <c r="T528" s="209"/>
      <c r="U528" s="209" t="s">
        <v>54</v>
      </c>
      <c r="V528" s="209"/>
      <c r="W528" s="209"/>
      <c r="X528" s="209"/>
      <c r="Y528" s="209"/>
      <c r="Z528" s="209"/>
      <c r="AA528" s="209" t="s">
        <v>54</v>
      </c>
      <c r="AB528" s="212"/>
      <c r="AC528" s="212"/>
    </row>
    <row r="529" spans="1:29" outlineLevel="2" x14ac:dyDescent="0.25">
      <c r="A529" s="201">
        <v>46018</v>
      </c>
      <c r="D529" s="198" t="s">
        <v>54</v>
      </c>
      <c r="E529" s="202">
        <v>535273829</v>
      </c>
      <c r="K529" s="198" t="s">
        <v>947</v>
      </c>
      <c r="L529" s="198" t="s">
        <v>130</v>
      </c>
      <c r="P529" s="201"/>
      <c r="R529" s="202">
        <v>535273829</v>
      </c>
      <c r="U529" s="198" t="s">
        <v>577</v>
      </c>
      <c r="AA529" s="198" t="s">
        <v>51</v>
      </c>
      <c r="AB529" s="202">
        <v>535273829</v>
      </c>
      <c r="AC529" s="202">
        <v>535273829</v>
      </c>
    </row>
    <row r="530" spans="1:29" outlineLevel="2" x14ac:dyDescent="0.25">
      <c r="A530" s="201">
        <v>46020</v>
      </c>
      <c r="D530" s="198" t="s">
        <v>54</v>
      </c>
      <c r="E530" s="202">
        <v>-64450234.840000004</v>
      </c>
      <c r="K530" s="198" t="s">
        <v>947</v>
      </c>
      <c r="L530" s="198" t="s">
        <v>130</v>
      </c>
      <c r="P530" s="201"/>
      <c r="R530" s="202">
        <v>-64450234.840000004</v>
      </c>
      <c r="U530" s="198" t="s">
        <v>577</v>
      </c>
      <c r="AA530" s="198" t="s">
        <v>51</v>
      </c>
      <c r="AB530" s="202">
        <v>-64450234.840000004</v>
      </c>
      <c r="AC530" s="202">
        <v>-64450234.840000004</v>
      </c>
    </row>
    <row r="531" spans="1:29" outlineLevel="1" x14ac:dyDescent="0.25">
      <c r="A531" s="210"/>
      <c r="B531" s="209"/>
      <c r="C531" s="209"/>
      <c r="D531" s="209" t="s">
        <v>54</v>
      </c>
      <c r="E531" s="211">
        <v>470823594.16000003</v>
      </c>
      <c r="F531" s="209"/>
      <c r="G531" s="209"/>
      <c r="H531" s="209"/>
      <c r="I531" s="209"/>
      <c r="J531" s="209"/>
      <c r="K531" s="209" t="s">
        <v>54</v>
      </c>
      <c r="L531" s="209" t="s">
        <v>54</v>
      </c>
      <c r="M531" s="209"/>
      <c r="N531" s="209"/>
      <c r="O531" s="209"/>
      <c r="P531" s="210"/>
      <c r="Q531" s="209"/>
      <c r="R531" s="212"/>
      <c r="S531" s="209"/>
      <c r="T531" s="209"/>
      <c r="U531" s="209" t="s">
        <v>54</v>
      </c>
      <c r="V531" s="209"/>
      <c r="W531" s="209"/>
      <c r="X531" s="209"/>
      <c r="Y531" s="209"/>
      <c r="Z531" s="209"/>
      <c r="AA531" s="209" t="s">
        <v>54</v>
      </c>
      <c r="AB531" s="212"/>
      <c r="AC531" s="212"/>
    </row>
    <row r="532" spans="1:29" outlineLevel="2" x14ac:dyDescent="0.25">
      <c r="A532" s="201">
        <v>46004</v>
      </c>
      <c r="D532" s="198" t="s">
        <v>54</v>
      </c>
      <c r="E532" s="202">
        <v>179787321</v>
      </c>
      <c r="K532" s="198" t="s">
        <v>948</v>
      </c>
      <c r="L532" s="198" t="s">
        <v>130</v>
      </c>
      <c r="P532" s="201"/>
      <c r="R532" s="202">
        <v>179787321</v>
      </c>
      <c r="U532" s="198" t="s">
        <v>435</v>
      </c>
      <c r="AA532" s="198" t="s">
        <v>51</v>
      </c>
      <c r="AB532" s="202">
        <v>179787321</v>
      </c>
      <c r="AC532" s="202">
        <v>179787321</v>
      </c>
    </row>
    <row r="533" spans="1:29" outlineLevel="2" x14ac:dyDescent="0.25">
      <c r="A533" s="201">
        <v>46020</v>
      </c>
      <c r="D533" s="198" t="s">
        <v>54</v>
      </c>
      <c r="E533" s="202">
        <v>-5515146</v>
      </c>
      <c r="K533" s="198" t="s">
        <v>948</v>
      </c>
      <c r="L533" s="198" t="s">
        <v>130</v>
      </c>
      <c r="P533" s="201"/>
      <c r="R533" s="202">
        <v>-5515146</v>
      </c>
      <c r="U533" s="198" t="s">
        <v>435</v>
      </c>
      <c r="AA533" s="198" t="s">
        <v>51</v>
      </c>
      <c r="AB533" s="202">
        <v>-5515146</v>
      </c>
      <c r="AC533" s="202">
        <v>-5515146</v>
      </c>
    </row>
    <row r="534" spans="1:29" outlineLevel="1" x14ac:dyDescent="0.25">
      <c r="A534" s="210"/>
      <c r="B534" s="209"/>
      <c r="C534" s="209"/>
      <c r="D534" s="209" t="s">
        <v>54</v>
      </c>
      <c r="E534" s="211">
        <v>174272175</v>
      </c>
      <c r="F534" s="209"/>
      <c r="G534" s="209"/>
      <c r="H534" s="209"/>
      <c r="I534" s="209"/>
      <c r="J534" s="209"/>
      <c r="K534" s="209" t="s">
        <v>54</v>
      </c>
      <c r="L534" s="209" t="s">
        <v>54</v>
      </c>
      <c r="M534" s="209"/>
      <c r="N534" s="209"/>
      <c r="O534" s="209"/>
      <c r="P534" s="210"/>
      <c r="Q534" s="209"/>
      <c r="R534" s="212"/>
      <c r="S534" s="209"/>
      <c r="T534" s="209"/>
      <c r="U534" s="209" t="s">
        <v>54</v>
      </c>
      <c r="V534" s="209"/>
      <c r="W534" s="209"/>
      <c r="X534" s="209"/>
      <c r="Y534" s="209"/>
      <c r="Z534" s="209"/>
      <c r="AA534" s="209" t="s">
        <v>54</v>
      </c>
      <c r="AB534" s="212"/>
      <c r="AC534" s="212"/>
    </row>
    <row r="535" spans="1:29" outlineLevel="2" x14ac:dyDescent="0.25">
      <c r="A535" s="201">
        <v>46004</v>
      </c>
      <c r="D535" s="198" t="s">
        <v>54</v>
      </c>
      <c r="E535" s="202">
        <v>157500000</v>
      </c>
      <c r="K535" s="198" t="s">
        <v>949</v>
      </c>
      <c r="L535" s="198" t="s">
        <v>130</v>
      </c>
      <c r="P535" s="201"/>
      <c r="R535" s="202">
        <v>157500000</v>
      </c>
      <c r="U535" s="198" t="s">
        <v>129</v>
      </c>
      <c r="AA535" s="198" t="s">
        <v>51</v>
      </c>
      <c r="AB535" s="202">
        <v>157500000</v>
      </c>
      <c r="AC535" s="202">
        <v>157500000</v>
      </c>
    </row>
    <row r="536" spans="1:29" outlineLevel="2" x14ac:dyDescent="0.25">
      <c r="A536" s="201">
        <v>46015</v>
      </c>
      <c r="D536" s="198" t="s">
        <v>54</v>
      </c>
      <c r="E536" s="202">
        <v>48600000</v>
      </c>
      <c r="K536" s="198" t="s">
        <v>949</v>
      </c>
      <c r="L536" s="198" t="s">
        <v>130</v>
      </c>
      <c r="P536" s="201"/>
      <c r="R536" s="202">
        <v>48600000</v>
      </c>
      <c r="U536" s="198" t="s">
        <v>129</v>
      </c>
      <c r="AA536" s="198" t="s">
        <v>51</v>
      </c>
      <c r="AB536" s="202">
        <v>48600000</v>
      </c>
      <c r="AC536" s="202">
        <v>48600000</v>
      </c>
    </row>
    <row r="537" spans="1:29" outlineLevel="2" x14ac:dyDescent="0.25">
      <c r="A537" s="201">
        <v>46021</v>
      </c>
      <c r="D537" s="198" t="s">
        <v>54</v>
      </c>
      <c r="E537" s="202">
        <v>121603837.28</v>
      </c>
      <c r="K537" s="198" t="s">
        <v>949</v>
      </c>
      <c r="L537" s="198" t="s">
        <v>130</v>
      </c>
      <c r="P537" s="201"/>
      <c r="R537" s="202">
        <v>121603837.28</v>
      </c>
      <c r="U537" s="198" t="s">
        <v>129</v>
      </c>
      <c r="AA537" s="198" t="s">
        <v>51</v>
      </c>
      <c r="AB537" s="202">
        <v>121603837.28</v>
      </c>
      <c r="AC537" s="202">
        <v>121603837.28</v>
      </c>
    </row>
    <row r="538" spans="1:29" outlineLevel="2" x14ac:dyDescent="0.25">
      <c r="A538" s="201">
        <v>46034</v>
      </c>
      <c r="D538" s="198" t="s">
        <v>54</v>
      </c>
      <c r="E538" s="202">
        <v>54000000.719999999</v>
      </c>
      <c r="K538" s="198" t="s">
        <v>949</v>
      </c>
      <c r="L538" s="198" t="s">
        <v>130</v>
      </c>
      <c r="P538" s="201"/>
      <c r="R538" s="202">
        <v>54000000.719999999</v>
      </c>
      <c r="U538" s="198" t="s">
        <v>129</v>
      </c>
      <c r="AA538" s="198" t="s">
        <v>51</v>
      </c>
      <c r="AB538" s="202">
        <v>54000000.719999999</v>
      </c>
      <c r="AC538" s="202">
        <v>54000000.719999999</v>
      </c>
    </row>
    <row r="539" spans="1:29" outlineLevel="2" x14ac:dyDescent="0.25">
      <c r="A539" s="201">
        <v>46071</v>
      </c>
      <c r="D539" s="198" t="s">
        <v>54</v>
      </c>
      <c r="E539" s="202">
        <v>6290565.7999999998</v>
      </c>
      <c r="K539" s="198" t="s">
        <v>949</v>
      </c>
      <c r="L539" s="198" t="s">
        <v>130</v>
      </c>
      <c r="P539" s="201"/>
      <c r="R539" s="202">
        <v>6290565.7999999998</v>
      </c>
      <c r="U539" s="198" t="s">
        <v>129</v>
      </c>
      <c r="AA539" s="198" t="s">
        <v>51</v>
      </c>
      <c r="AB539" s="202">
        <v>6290565.7999999998</v>
      </c>
      <c r="AC539" s="202">
        <v>6290565.7999999998</v>
      </c>
    </row>
    <row r="540" spans="1:29" outlineLevel="1" x14ac:dyDescent="0.25">
      <c r="A540" s="210"/>
      <c r="B540" s="209"/>
      <c r="C540" s="209"/>
      <c r="D540" s="209" t="s">
        <v>54</v>
      </c>
      <c r="E540" s="211">
        <v>387994403.80000001</v>
      </c>
      <c r="F540" s="209"/>
      <c r="G540" s="209"/>
      <c r="H540" s="209"/>
      <c r="I540" s="209"/>
      <c r="J540" s="209"/>
      <c r="K540" s="209" t="s">
        <v>54</v>
      </c>
      <c r="L540" s="209" t="s">
        <v>54</v>
      </c>
      <c r="M540" s="209"/>
      <c r="N540" s="209"/>
      <c r="O540" s="209"/>
      <c r="P540" s="210"/>
      <c r="Q540" s="209"/>
      <c r="R540" s="212"/>
      <c r="S540" s="209"/>
      <c r="T540" s="209"/>
      <c r="U540" s="209" t="s">
        <v>54</v>
      </c>
      <c r="V540" s="209"/>
      <c r="W540" s="209"/>
      <c r="X540" s="209"/>
      <c r="Y540" s="209"/>
      <c r="Z540" s="209"/>
      <c r="AA540" s="209" t="s">
        <v>54</v>
      </c>
      <c r="AB540" s="212"/>
      <c r="AC540" s="212"/>
    </row>
    <row r="541" spans="1:29" outlineLevel="2" x14ac:dyDescent="0.25">
      <c r="A541" s="201">
        <v>46015</v>
      </c>
      <c r="D541" s="198" t="s">
        <v>54</v>
      </c>
      <c r="E541" s="202">
        <v>963000</v>
      </c>
      <c r="K541" s="198" t="s">
        <v>950</v>
      </c>
      <c r="L541" s="198" t="s">
        <v>130</v>
      </c>
      <c r="P541" s="201"/>
      <c r="R541" s="202">
        <v>963000</v>
      </c>
      <c r="U541" s="198" t="s">
        <v>554</v>
      </c>
      <c r="AA541" s="198" t="s">
        <v>51</v>
      </c>
      <c r="AB541" s="202">
        <v>963000</v>
      </c>
      <c r="AC541" s="202">
        <v>963000</v>
      </c>
    </row>
    <row r="542" spans="1:29" outlineLevel="2" x14ac:dyDescent="0.25">
      <c r="A542" s="201">
        <v>46018</v>
      </c>
      <c r="D542" s="198" t="s">
        <v>54</v>
      </c>
      <c r="E542" s="202">
        <v>9037000</v>
      </c>
      <c r="K542" s="198" t="s">
        <v>950</v>
      </c>
      <c r="L542" s="198" t="s">
        <v>130</v>
      </c>
      <c r="P542" s="201"/>
      <c r="R542" s="202">
        <v>9037000</v>
      </c>
      <c r="U542" s="198" t="s">
        <v>554</v>
      </c>
      <c r="AA542" s="198" t="s">
        <v>51</v>
      </c>
      <c r="AB542" s="202">
        <v>9037000</v>
      </c>
      <c r="AC542" s="202">
        <v>9037000</v>
      </c>
    </row>
    <row r="543" spans="1:29" outlineLevel="2" x14ac:dyDescent="0.25">
      <c r="A543" s="201">
        <v>46020</v>
      </c>
      <c r="D543" s="198" t="s">
        <v>54</v>
      </c>
      <c r="E543" s="202">
        <v>24894323.350000001</v>
      </c>
      <c r="K543" s="198" t="s">
        <v>950</v>
      </c>
      <c r="L543" s="198" t="s">
        <v>130</v>
      </c>
      <c r="P543" s="201"/>
      <c r="R543" s="202">
        <v>24894323.350000001</v>
      </c>
      <c r="U543" s="198" t="s">
        <v>554</v>
      </c>
      <c r="AA543" s="198" t="s">
        <v>51</v>
      </c>
      <c r="AB543" s="202">
        <v>24894323.350000001</v>
      </c>
      <c r="AC543" s="202">
        <v>24894323.350000001</v>
      </c>
    </row>
    <row r="544" spans="1:29" outlineLevel="2" x14ac:dyDescent="0.25">
      <c r="A544" s="201">
        <v>46020</v>
      </c>
      <c r="D544" s="198" t="s">
        <v>54</v>
      </c>
      <c r="E544" s="202">
        <v>1126500</v>
      </c>
      <c r="K544" s="198" t="s">
        <v>950</v>
      </c>
      <c r="L544" s="198" t="s">
        <v>130</v>
      </c>
      <c r="P544" s="201"/>
      <c r="R544" s="202">
        <v>1126500</v>
      </c>
      <c r="U544" s="198" t="s">
        <v>554</v>
      </c>
      <c r="AA544" s="198" t="s">
        <v>51</v>
      </c>
      <c r="AB544" s="202">
        <v>1126500</v>
      </c>
      <c r="AC544" s="202">
        <v>1126500</v>
      </c>
    </row>
    <row r="545" spans="1:29" outlineLevel="1" x14ac:dyDescent="0.25">
      <c r="A545" s="210"/>
      <c r="B545" s="209"/>
      <c r="C545" s="209"/>
      <c r="D545" s="209" t="s">
        <v>54</v>
      </c>
      <c r="E545" s="211">
        <v>36020823.350000001</v>
      </c>
      <c r="F545" s="209"/>
      <c r="G545" s="209"/>
      <c r="H545" s="209"/>
      <c r="I545" s="209"/>
      <c r="J545" s="209"/>
      <c r="K545" s="209" t="s">
        <v>54</v>
      </c>
      <c r="L545" s="209" t="s">
        <v>54</v>
      </c>
      <c r="M545" s="209"/>
      <c r="N545" s="209"/>
      <c r="O545" s="209"/>
      <c r="P545" s="210"/>
      <c r="Q545" s="209"/>
      <c r="R545" s="212"/>
      <c r="S545" s="209"/>
      <c r="T545" s="209"/>
      <c r="U545" s="209" t="s">
        <v>54</v>
      </c>
      <c r="V545" s="209"/>
      <c r="W545" s="209"/>
      <c r="X545" s="209"/>
      <c r="Y545" s="209"/>
      <c r="Z545" s="209"/>
      <c r="AA545" s="209" t="s">
        <v>54</v>
      </c>
      <c r="AB545" s="212"/>
      <c r="AC545" s="212"/>
    </row>
    <row r="546" spans="1:29" outlineLevel="2" x14ac:dyDescent="0.25">
      <c r="A546" s="201">
        <v>46018</v>
      </c>
      <c r="D546" s="198" t="s">
        <v>54</v>
      </c>
      <c r="E546" s="202">
        <v>10000000</v>
      </c>
      <c r="K546" s="198" t="s">
        <v>952</v>
      </c>
      <c r="L546" s="198" t="s">
        <v>130</v>
      </c>
      <c r="P546" s="201"/>
      <c r="R546" s="202">
        <v>10000000</v>
      </c>
      <c r="U546" s="198" t="s">
        <v>951</v>
      </c>
      <c r="AA546" s="198" t="s">
        <v>51</v>
      </c>
      <c r="AB546" s="202">
        <v>10000000</v>
      </c>
      <c r="AC546" s="202">
        <v>10000000</v>
      </c>
    </row>
    <row r="547" spans="1:29" outlineLevel="2" x14ac:dyDescent="0.25">
      <c r="A547" s="201">
        <v>46018</v>
      </c>
      <c r="D547" s="198" t="s">
        <v>54</v>
      </c>
      <c r="E547" s="202">
        <v>-10000000</v>
      </c>
      <c r="K547" s="198" t="s">
        <v>952</v>
      </c>
      <c r="L547" s="198" t="s">
        <v>130</v>
      </c>
      <c r="P547" s="201"/>
      <c r="R547" s="202">
        <v>-10000000</v>
      </c>
      <c r="U547" s="198" t="s">
        <v>951</v>
      </c>
      <c r="AA547" s="198" t="s">
        <v>51</v>
      </c>
      <c r="AB547" s="202">
        <v>-10000000</v>
      </c>
      <c r="AC547" s="202">
        <v>-10000000</v>
      </c>
    </row>
    <row r="548" spans="1:29" outlineLevel="1" x14ac:dyDescent="0.25">
      <c r="A548" s="210"/>
      <c r="B548" s="209"/>
      <c r="C548" s="209"/>
      <c r="D548" s="209" t="s">
        <v>54</v>
      </c>
      <c r="E548" s="211">
        <v>0</v>
      </c>
      <c r="F548" s="209"/>
      <c r="G548" s="209"/>
      <c r="H548" s="209"/>
      <c r="I548" s="209"/>
      <c r="J548" s="209"/>
      <c r="K548" s="209" t="s">
        <v>54</v>
      </c>
      <c r="L548" s="209" t="s">
        <v>54</v>
      </c>
      <c r="M548" s="209"/>
      <c r="N548" s="209"/>
      <c r="O548" s="209"/>
      <c r="P548" s="210"/>
      <c r="Q548" s="209"/>
      <c r="R548" s="212"/>
      <c r="S548" s="209"/>
      <c r="T548" s="209"/>
      <c r="U548" s="209" t="s">
        <v>54</v>
      </c>
      <c r="V548" s="209"/>
      <c r="W548" s="209"/>
      <c r="X548" s="209"/>
      <c r="Y548" s="209"/>
      <c r="Z548" s="209"/>
      <c r="AA548" s="209" t="s">
        <v>54</v>
      </c>
      <c r="AB548" s="212"/>
      <c r="AC548" s="212"/>
    </row>
    <row r="549" spans="1:29" outlineLevel="2" x14ac:dyDescent="0.25">
      <c r="A549" s="201">
        <v>46117</v>
      </c>
      <c r="D549" s="198" t="s">
        <v>54</v>
      </c>
      <c r="E549" s="202">
        <v>1615271</v>
      </c>
      <c r="K549" s="198" t="s">
        <v>954</v>
      </c>
      <c r="L549" s="198" t="s">
        <v>130</v>
      </c>
      <c r="P549" s="201"/>
      <c r="R549" s="202">
        <v>1615271</v>
      </c>
      <c r="U549" s="198" t="s">
        <v>953</v>
      </c>
      <c r="AA549" s="198" t="s">
        <v>51</v>
      </c>
      <c r="AB549" s="202">
        <v>1615271</v>
      </c>
      <c r="AC549" s="202">
        <v>1615271</v>
      </c>
    </row>
    <row r="550" spans="1:29" outlineLevel="2" x14ac:dyDescent="0.25">
      <c r="A550" s="201">
        <v>46150</v>
      </c>
      <c r="D550" s="198" t="s">
        <v>54</v>
      </c>
      <c r="E550" s="202">
        <v>16633471</v>
      </c>
      <c r="K550" s="198" t="s">
        <v>954</v>
      </c>
      <c r="L550" s="198" t="s">
        <v>130</v>
      </c>
      <c r="P550" s="201"/>
      <c r="R550" s="202">
        <v>16633471</v>
      </c>
      <c r="U550" s="198" t="s">
        <v>953</v>
      </c>
      <c r="AA550" s="198" t="s">
        <v>51</v>
      </c>
      <c r="AB550" s="202">
        <v>16633471</v>
      </c>
      <c r="AC550" s="202">
        <v>16633471</v>
      </c>
    </row>
    <row r="551" spans="1:29" outlineLevel="2" x14ac:dyDescent="0.25">
      <c r="A551" s="201">
        <v>46150</v>
      </c>
      <c r="D551" s="198" t="s">
        <v>54</v>
      </c>
      <c r="E551" s="202">
        <v>1794648</v>
      </c>
      <c r="K551" s="198" t="s">
        <v>954</v>
      </c>
      <c r="L551" s="198" t="s">
        <v>130</v>
      </c>
      <c r="P551" s="201"/>
      <c r="R551" s="202">
        <v>1794648</v>
      </c>
      <c r="U551" s="198" t="s">
        <v>953</v>
      </c>
      <c r="AA551" s="198" t="s">
        <v>51</v>
      </c>
      <c r="AB551" s="202">
        <v>1794648</v>
      </c>
      <c r="AC551" s="202">
        <v>1794648</v>
      </c>
    </row>
    <row r="552" spans="1:29" outlineLevel="1" x14ac:dyDescent="0.25">
      <c r="A552" s="210"/>
      <c r="B552" s="209"/>
      <c r="C552" s="209"/>
      <c r="D552" s="209" t="s">
        <v>54</v>
      </c>
      <c r="E552" s="211">
        <v>20043390</v>
      </c>
      <c r="F552" s="209"/>
      <c r="G552" s="209"/>
      <c r="H552" s="209"/>
      <c r="I552" s="209"/>
      <c r="J552" s="209"/>
      <c r="K552" s="209" t="s">
        <v>54</v>
      </c>
      <c r="L552" s="209" t="s">
        <v>54</v>
      </c>
      <c r="M552" s="209"/>
      <c r="N552" s="209"/>
      <c r="O552" s="209"/>
      <c r="P552" s="210"/>
      <c r="Q552" s="209"/>
      <c r="R552" s="212"/>
      <c r="S552" s="209"/>
      <c r="T552" s="209"/>
      <c r="U552" s="209" t="s">
        <v>54</v>
      </c>
      <c r="V552" s="209"/>
      <c r="W552" s="209"/>
      <c r="X552" s="209"/>
      <c r="Y552" s="209"/>
      <c r="Z552" s="209"/>
      <c r="AA552" s="209" t="s">
        <v>54</v>
      </c>
      <c r="AB552" s="212"/>
      <c r="AC552" s="212"/>
    </row>
    <row r="553" spans="1:29" outlineLevel="2" x14ac:dyDescent="0.25">
      <c r="A553" s="201">
        <v>46117</v>
      </c>
      <c r="D553" s="198" t="s">
        <v>54</v>
      </c>
      <c r="E553" s="202">
        <v>1615271</v>
      </c>
      <c r="K553" s="198" t="s">
        <v>955</v>
      </c>
      <c r="L553" s="198" t="s">
        <v>130</v>
      </c>
      <c r="P553" s="201"/>
      <c r="R553" s="202">
        <v>1615271</v>
      </c>
      <c r="U553" s="198" t="s">
        <v>871</v>
      </c>
      <c r="AA553" s="198" t="s">
        <v>51</v>
      </c>
      <c r="AB553" s="202">
        <v>1615271</v>
      </c>
      <c r="AC553" s="202">
        <v>1615271</v>
      </c>
    </row>
    <row r="554" spans="1:29" outlineLevel="2" x14ac:dyDescent="0.25">
      <c r="A554" s="201">
        <v>46150</v>
      </c>
      <c r="D554" s="198" t="s">
        <v>54</v>
      </c>
      <c r="E554" s="202">
        <v>16633471</v>
      </c>
      <c r="K554" s="198" t="s">
        <v>955</v>
      </c>
      <c r="L554" s="198" t="s">
        <v>130</v>
      </c>
      <c r="P554" s="201"/>
      <c r="R554" s="202">
        <v>16633471</v>
      </c>
      <c r="U554" s="198" t="s">
        <v>871</v>
      </c>
      <c r="AA554" s="198" t="s">
        <v>51</v>
      </c>
      <c r="AB554" s="202">
        <v>16633471</v>
      </c>
      <c r="AC554" s="202">
        <v>16633471</v>
      </c>
    </row>
    <row r="555" spans="1:29" outlineLevel="2" x14ac:dyDescent="0.25">
      <c r="A555" s="201">
        <v>46150</v>
      </c>
      <c r="D555" s="198" t="s">
        <v>54</v>
      </c>
      <c r="E555" s="202">
        <v>1794648</v>
      </c>
      <c r="K555" s="198" t="s">
        <v>955</v>
      </c>
      <c r="L555" s="198" t="s">
        <v>130</v>
      </c>
      <c r="P555" s="201"/>
      <c r="R555" s="202">
        <v>1794648</v>
      </c>
      <c r="U555" s="198" t="s">
        <v>871</v>
      </c>
      <c r="AA555" s="198" t="s">
        <v>51</v>
      </c>
      <c r="AB555" s="202">
        <v>1794648</v>
      </c>
      <c r="AC555" s="202">
        <v>1794648</v>
      </c>
    </row>
    <row r="556" spans="1:29" outlineLevel="1" x14ac:dyDescent="0.25">
      <c r="A556" s="210"/>
      <c r="B556" s="209"/>
      <c r="C556" s="209"/>
      <c r="D556" s="209" t="s">
        <v>54</v>
      </c>
      <c r="E556" s="211">
        <v>20043390</v>
      </c>
      <c r="F556" s="209"/>
      <c r="G556" s="209"/>
      <c r="H556" s="209"/>
      <c r="I556" s="209"/>
      <c r="J556" s="209"/>
      <c r="K556" s="209" t="s">
        <v>54</v>
      </c>
      <c r="L556" s="209" t="s">
        <v>54</v>
      </c>
      <c r="M556" s="209"/>
      <c r="N556" s="209"/>
      <c r="O556" s="209"/>
      <c r="P556" s="210"/>
      <c r="Q556" s="209"/>
      <c r="R556" s="212"/>
      <c r="S556" s="209"/>
      <c r="T556" s="209"/>
      <c r="U556" s="209" t="s">
        <v>54</v>
      </c>
      <c r="V556" s="209"/>
      <c r="W556" s="209"/>
      <c r="X556" s="209"/>
      <c r="Y556" s="209"/>
      <c r="Z556" s="209"/>
      <c r="AA556" s="209" t="s">
        <v>54</v>
      </c>
      <c r="AB556" s="212"/>
      <c r="AC556" s="212"/>
    </row>
    <row r="557" spans="1:29" outlineLevel="2" x14ac:dyDescent="0.25">
      <c r="A557" s="201">
        <v>46004</v>
      </c>
      <c r="D557" s="198" t="s">
        <v>54</v>
      </c>
      <c r="E557" s="202">
        <v>19900000</v>
      </c>
      <c r="K557" s="198" t="s">
        <v>956</v>
      </c>
      <c r="L557" s="198" t="s">
        <v>130</v>
      </c>
      <c r="P557" s="201"/>
      <c r="R557" s="202">
        <v>19900000</v>
      </c>
      <c r="U557" s="198" t="s">
        <v>432</v>
      </c>
      <c r="AA557" s="198" t="s">
        <v>51</v>
      </c>
      <c r="AB557" s="202">
        <v>19900000</v>
      </c>
      <c r="AC557" s="202">
        <v>19900000</v>
      </c>
    </row>
    <row r="558" spans="1:29" outlineLevel="1" x14ac:dyDescent="0.25">
      <c r="A558" s="210"/>
      <c r="B558" s="209"/>
      <c r="C558" s="209"/>
      <c r="D558" s="209" t="s">
        <v>54</v>
      </c>
      <c r="E558" s="211">
        <v>19900000</v>
      </c>
      <c r="F558" s="209"/>
      <c r="G558" s="209"/>
      <c r="H558" s="209"/>
      <c r="I558" s="209"/>
      <c r="J558" s="209"/>
      <c r="K558" s="209" t="s">
        <v>54</v>
      </c>
      <c r="L558" s="209" t="s">
        <v>54</v>
      </c>
      <c r="M558" s="209"/>
      <c r="N558" s="209"/>
      <c r="O558" s="209"/>
      <c r="P558" s="210"/>
      <c r="Q558" s="209"/>
      <c r="R558" s="212"/>
      <c r="S558" s="209"/>
      <c r="T558" s="209"/>
      <c r="U558" s="209" t="s">
        <v>54</v>
      </c>
      <c r="V558" s="209"/>
      <c r="W558" s="209"/>
      <c r="X558" s="209"/>
      <c r="Y558" s="209"/>
      <c r="Z558" s="209"/>
      <c r="AA558" s="209" t="s">
        <v>54</v>
      </c>
      <c r="AB558" s="212"/>
      <c r="AC558" s="212"/>
    </row>
    <row r="559" spans="1:29" outlineLevel="2" x14ac:dyDescent="0.25">
      <c r="A559" s="201">
        <v>46115</v>
      </c>
      <c r="D559" s="198" t="s">
        <v>54</v>
      </c>
      <c r="E559" s="202">
        <v>2673327.14</v>
      </c>
      <c r="K559" s="198" t="s">
        <v>957</v>
      </c>
      <c r="L559" s="198" t="s">
        <v>130</v>
      </c>
      <c r="P559" s="201"/>
      <c r="R559" s="202">
        <v>2673327.14</v>
      </c>
      <c r="U559" s="198" t="s">
        <v>857</v>
      </c>
      <c r="AA559" s="198" t="s">
        <v>51</v>
      </c>
      <c r="AB559" s="202">
        <v>2673327.14</v>
      </c>
      <c r="AC559" s="202">
        <v>2673327.14</v>
      </c>
    </row>
    <row r="560" spans="1:29" outlineLevel="1" x14ac:dyDescent="0.25">
      <c r="A560" s="210"/>
      <c r="B560" s="209"/>
      <c r="C560" s="209"/>
      <c r="D560" s="209" t="s">
        <v>54</v>
      </c>
      <c r="E560" s="211">
        <v>2673327.14</v>
      </c>
      <c r="F560" s="209"/>
      <c r="G560" s="209"/>
      <c r="H560" s="209"/>
      <c r="I560" s="209"/>
      <c r="J560" s="209"/>
      <c r="K560" s="209" t="s">
        <v>54</v>
      </c>
      <c r="L560" s="209" t="s">
        <v>54</v>
      </c>
      <c r="M560" s="209"/>
      <c r="N560" s="209"/>
      <c r="O560" s="209"/>
      <c r="P560" s="210"/>
      <c r="Q560" s="209"/>
      <c r="R560" s="212"/>
      <c r="S560" s="209"/>
      <c r="T560" s="209"/>
      <c r="U560" s="209" t="s">
        <v>54</v>
      </c>
      <c r="V560" s="209"/>
      <c r="W560" s="209"/>
      <c r="X560" s="209"/>
      <c r="Y560" s="209"/>
      <c r="Z560" s="209"/>
      <c r="AA560" s="209" t="s">
        <v>54</v>
      </c>
      <c r="AB560" s="212"/>
      <c r="AC560" s="212"/>
    </row>
    <row r="561" spans="1:29" outlineLevel="2" x14ac:dyDescent="0.25">
      <c r="A561" s="201">
        <v>46004</v>
      </c>
      <c r="D561" s="198" t="s">
        <v>54</v>
      </c>
      <c r="E561" s="202">
        <v>12223190807</v>
      </c>
      <c r="K561" s="198" t="s">
        <v>958</v>
      </c>
      <c r="L561" s="198" t="s">
        <v>132</v>
      </c>
      <c r="P561" s="201"/>
      <c r="R561" s="202">
        <v>12223190807</v>
      </c>
      <c r="U561" s="198" t="s">
        <v>132</v>
      </c>
      <c r="AA561" s="198" t="s">
        <v>51</v>
      </c>
      <c r="AB561" s="202">
        <v>12223190807</v>
      </c>
      <c r="AC561" s="202">
        <v>12223190807</v>
      </c>
    </row>
    <row r="562" spans="1:29" outlineLevel="2" x14ac:dyDescent="0.25">
      <c r="A562" s="201">
        <v>46004</v>
      </c>
      <c r="D562" s="198" t="s">
        <v>54</v>
      </c>
      <c r="E562" s="202">
        <v>2655968545</v>
      </c>
      <c r="K562" s="198" t="s">
        <v>958</v>
      </c>
      <c r="L562" s="198" t="s">
        <v>132</v>
      </c>
      <c r="P562" s="201"/>
      <c r="R562" s="202">
        <v>2655968545</v>
      </c>
      <c r="U562" s="198" t="s">
        <v>132</v>
      </c>
      <c r="AA562" s="198" t="s">
        <v>51</v>
      </c>
      <c r="AB562" s="202">
        <v>2655968545</v>
      </c>
      <c r="AC562" s="202">
        <v>2655968545</v>
      </c>
    </row>
    <row r="563" spans="1:29" outlineLevel="2" x14ac:dyDescent="0.25">
      <c r="A563" s="201">
        <v>46004</v>
      </c>
      <c r="D563" s="198" t="s">
        <v>54</v>
      </c>
      <c r="E563" s="202">
        <v>19900000</v>
      </c>
      <c r="K563" s="198" t="s">
        <v>958</v>
      </c>
      <c r="L563" s="198" t="s">
        <v>132</v>
      </c>
      <c r="P563" s="201"/>
      <c r="R563" s="202">
        <v>19900000</v>
      </c>
      <c r="U563" s="198" t="s">
        <v>132</v>
      </c>
      <c r="AA563" s="198" t="s">
        <v>51</v>
      </c>
      <c r="AB563" s="202">
        <v>19900000</v>
      </c>
      <c r="AC563" s="202">
        <v>19900000</v>
      </c>
    </row>
    <row r="564" spans="1:29" outlineLevel="2" x14ac:dyDescent="0.25">
      <c r="A564" s="201">
        <v>46006</v>
      </c>
      <c r="D564" s="198" t="s">
        <v>54</v>
      </c>
      <c r="E564" s="202">
        <v>598500000</v>
      </c>
      <c r="K564" s="198" t="s">
        <v>958</v>
      </c>
      <c r="L564" s="198" t="s">
        <v>132</v>
      </c>
      <c r="P564" s="201"/>
      <c r="R564" s="202">
        <v>598500000</v>
      </c>
      <c r="U564" s="198" t="s">
        <v>132</v>
      </c>
      <c r="AA564" s="198" t="s">
        <v>51</v>
      </c>
      <c r="AB564" s="202">
        <v>598500000</v>
      </c>
      <c r="AC564" s="202">
        <v>598500000</v>
      </c>
    </row>
    <row r="565" spans="1:29" outlineLevel="2" x14ac:dyDescent="0.25">
      <c r="A565" s="201">
        <v>46006</v>
      </c>
      <c r="D565" s="198" t="s">
        <v>54</v>
      </c>
      <c r="E565" s="202">
        <v>359100000</v>
      </c>
      <c r="K565" s="198" t="s">
        <v>958</v>
      </c>
      <c r="L565" s="198" t="s">
        <v>132</v>
      </c>
      <c r="P565" s="201"/>
      <c r="R565" s="202">
        <v>359100000</v>
      </c>
      <c r="U565" s="198" t="s">
        <v>132</v>
      </c>
      <c r="AA565" s="198" t="s">
        <v>51</v>
      </c>
      <c r="AB565" s="202">
        <v>359100000</v>
      </c>
      <c r="AC565" s="202">
        <v>359100000</v>
      </c>
    </row>
    <row r="566" spans="1:29" outlineLevel="2" x14ac:dyDescent="0.25">
      <c r="A566" s="201">
        <v>46007</v>
      </c>
      <c r="D566" s="198" t="s">
        <v>54</v>
      </c>
      <c r="E566" s="202">
        <v>65297664</v>
      </c>
      <c r="K566" s="198" t="s">
        <v>958</v>
      </c>
      <c r="L566" s="198" t="s">
        <v>132</v>
      </c>
      <c r="P566" s="201"/>
      <c r="R566" s="202">
        <v>65297664</v>
      </c>
      <c r="U566" s="198" t="s">
        <v>132</v>
      </c>
      <c r="AA566" s="198" t="s">
        <v>51</v>
      </c>
      <c r="AB566" s="202">
        <v>65297664</v>
      </c>
      <c r="AC566" s="202">
        <v>65297664</v>
      </c>
    </row>
    <row r="567" spans="1:29" outlineLevel="2" x14ac:dyDescent="0.25">
      <c r="A567" s="201">
        <v>46015</v>
      </c>
      <c r="D567" s="198" t="s">
        <v>54</v>
      </c>
      <c r="E567" s="202">
        <v>46825000</v>
      </c>
      <c r="K567" s="198" t="s">
        <v>958</v>
      </c>
      <c r="L567" s="198" t="s">
        <v>132</v>
      </c>
      <c r="P567" s="201"/>
      <c r="R567" s="202">
        <v>46825000</v>
      </c>
      <c r="U567" s="198" t="s">
        <v>132</v>
      </c>
      <c r="AA567" s="198" t="s">
        <v>51</v>
      </c>
      <c r="AB567" s="202">
        <v>46825000</v>
      </c>
      <c r="AC567" s="202">
        <v>46825000</v>
      </c>
    </row>
    <row r="568" spans="1:29" outlineLevel="2" x14ac:dyDescent="0.25">
      <c r="A568" s="201">
        <v>46018</v>
      </c>
      <c r="D568" s="198" t="s">
        <v>54</v>
      </c>
      <c r="E568" s="202">
        <v>505262421</v>
      </c>
      <c r="K568" s="198" t="s">
        <v>958</v>
      </c>
      <c r="L568" s="198" t="s">
        <v>132</v>
      </c>
      <c r="P568" s="201"/>
      <c r="R568" s="202">
        <v>505262421</v>
      </c>
      <c r="U568" s="198" t="s">
        <v>132</v>
      </c>
      <c r="AA568" s="198" t="s">
        <v>51</v>
      </c>
      <c r="AB568" s="202">
        <v>505262421</v>
      </c>
      <c r="AC568" s="202">
        <v>505262421</v>
      </c>
    </row>
    <row r="569" spans="1:29" outlineLevel="2" x14ac:dyDescent="0.25">
      <c r="A569" s="201">
        <v>46018</v>
      </c>
      <c r="D569" s="198" t="s">
        <v>54</v>
      </c>
      <c r="E569" s="202">
        <v>-925000</v>
      </c>
      <c r="K569" s="198" t="s">
        <v>958</v>
      </c>
      <c r="L569" s="198" t="s">
        <v>132</v>
      </c>
      <c r="P569" s="201"/>
      <c r="R569" s="202">
        <v>-925000</v>
      </c>
      <c r="U569" s="198" t="s">
        <v>132</v>
      </c>
      <c r="AA569" s="198" t="s">
        <v>51</v>
      </c>
      <c r="AB569" s="202">
        <v>-925000</v>
      </c>
      <c r="AC569" s="202">
        <v>-925000</v>
      </c>
    </row>
    <row r="570" spans="1:29" outlineLevel="2" x14ac:dyDescent="0.25">
      <c r="A570" s="201">
        <v>46020</v>
      </c>
      <c r="D570" s="198" t="s">
        <v>54</v>
      </c>
      <c r="E570" s="202">
        <v>-96425120.650000006</v>
      </c>
      <c r="K570" s="198" t="s">
        <v>958</v>
      </c>
      <c r="L570" s="198" t="s">
        <v>132</v>
      </c>
      <c r="P570" s="201"/>
      <c r="R570" s="202">
        <v>-96425120.650000006</v>
      </c>
      <c r="U570" s="198" t="s">
        <v>132</v>
      </c>
      <c r="AA570" s="198" t="s">
        <v>51</v>
      </c>
      <c r="AB570" s="202">
        <v>-96425120.650000006</v>
      </c>
      <c r="AC570" s="202">
        <v>-96425120.650000006</v>
      </c>
    </row>
    <row r="571" spans="1:29" outlineLevel="2" x14ac:dyDescent="0.25">
      <c r="A571" s="201">
        <v>46020</v>
      </c>
      <c r="D571" s="198" t="s">
        <v>54</v>
      </c>
      <c r="E571" s="202">
        <v>-33960989.890000001</v>
      </c>
      <c r="K571" s="198" t="s">
        <v>958</v>
      </c>
      <c r="L571" s="198" t="s">
        <v>132</v>
      </c>
      <c r="P571" s="201"/>
      <c r="R571" s="202">
        <v>-33960989.890000001</v>
      </c>
      <c r="U571" s="198" t="s">
        <v>132</v>
      </c>
      <c r="AA571" s="198" t="s">
        <v>51</v>
      </c>
      <c r="AB571" s="202">
        <v>-33960989.890000001</v>
      </c>
      <c r="AC571" s="202">
        <v>-33960989.890000001</v>
      </c>
    </row>
    <row r="572" spans="1:29" outlineLevel="2" x14ac:dyDescent="0.25">
      <c r="A572" s="201">
        <v>46021</v>
      </c>
      <c r="D572" s="198" t="s">
        <v>54</v>
      </c>
      <c r="E572" s="202">
        <v>109482692.38</v>
      </c>
      <c r="K572" s="198" t="s">
        <v>958</v>
      </c>
      <c r="L572" s="198" t="s">
        <v>132</v>
      </c>
      <c r="P572" s="201"/>
      <c r="R572" s="202">
        <v>109482692.38</v>
      </c>
      <c r="U572" s="198" t="s">
        <v>132</v>
      </c>
      <c r="AA572" s="198" t="s">
        <v>51</v>
      </c>
      <c r="AB572" s="202">
        <v>109482692.38</v>
      </c>
      <c r="AC572" s="202">
        <v>109482692.38</v>
      </c>
    </row>
    <row r="573" spans="1:29" outlineLevel="2" x14ac:dyDescent="0.25">
      <c r="A573" s="201">
        <v>46034</v>
      </c>
      <c r="D573" s="198" t="s">
        <v>54</v>
      </c>
      <c r="E573" s="202">
        <v>48000000.619999997</v>
      </c>
      <c r="K573" s="198" t="s">
        <v>958</v>
      </c>
      <c r="L573" s="198" t="s">
        <v>132</v>
      </c>
      <c r="P573" s="201"/>
      <c r="R573" s="202">
        <v>48000000.619999997</v>
      </c>
      <c r="U573" s="198" t="s">
        <v>132</v>
      </c>
      <c r="AA573" s="198" t="s">
        <v>51</v>
      </c>
      <c r="AB573" s="202">
        <v>48000000.619999997</v>
      </c>
      <c r="AC573" s="202">
        <v>48000000.619999997</v>
      </c>
    </row>
    <row r="574" spans="1:29" outlineLevel="2" x14ac:dyDescent="0.25">
      <c r="A574" s="201">
        <v>46059</v>
      </c>
      <c r="D574" s="198" t="s">
        <v>54</v>
      </c>
      <c r="E574" s="202">
        <v>667080</v>
      </c>
      <c r="K574" s="198" t="s">
        <v>958</v>
      </c>
      <c r="L574" s="198" t="s">
        <v>132</v>
      </c>
      <c r="P574" s="201"/>
      <c r="R574" s="202">
        <v>667080</v>
      </c>
      <c r="U574" s="198" t="s">
        <v>132</v>
      </c>
      <c r="AA574" s="198" t="s">
        <v>51</v>
      </c>
      <c r="AB574" s="202">
        <v>667080</v>
      </c>
      <c r="AC574" s="202">
        <v>667080</v>
      </c>
    </row>
    <row r="575" spans="1:29" outlineLevel="2" x14ac:dyDescent="0.25">
      <c r="A575" s="201">
        <v>46062</v>
      </c>
      <c r="D575" s="198" t="s">
        <v>54</v>
      </c>
      <c r="E575" s="202">
        <v>2264060</v>
      </c>
      <c r="K575" s="198" t="s">
        <v>958</v>
      </c>
      <c r="L575" s="198" t="s">
        <v>132</v>
      </c>
      <c r="P575" s="201"/>
      <c r="R575" s="202">
        <v>2264060</v>
      </c>
      <c r="U575" s="198" t="s">
        <v>132</v>
      </c>
      <c r="AA575" s="198" t="s">
        <v>51</v>
      </c>
      <c r="AB575" s="202">
        <v>2264060</v>
      </c>
      <c r="AC575" s="202">
        <v>2264060</v>
      </c>
    </row>
    <row r="576" spans="1:29" outlineLevel="2" x14ac:dyDescent="0.25">
      <c r="A576" s="201">
        <v>46071</v>
      </c>
      <c r="D576" s="198" t="s">
        <v>54</v>
      </c>
      <c r="E576" s="202">
        <v>5890278.5999999996</v>
      </c>
      <c r="K576" s="198" t="s">
        <v>958</v>
      </c>
      <c r="L576" s="198" t="s">
        <v>132</v>
      </c>
      <c r="P576" s="201"/>
      <c r="R576" s="202">
        <v>5890278.5999999996</v>
      </c>
      <c r="U576" s="198" t="s">
        <v>132</v>
      </c>
      <c r="AA576" s="198" t="s">
        <v>51</v>
      </c>
      <c r="AB576" s="202">
        <v>5890278.5999999996</v>
      </c>
      <c r="AC576" s="202">
        <v>5890278.5999999996</v>
      </c>
    </row>
    <row r="577" spans="1:29" outlineLevel="2" x14ac:dyDescent="0.25">
      <c r="A577" s="201">
        <v>46090</v>
      </c>
      <c r="D577" s="198" t="s">
        <v>54</v>
      </c>
      <c r="E577" s="202">
        <v>1114867</v>
      </c>
      <c r="K577" s="198" t="s">
        <v>958</v>
      </c>
      <c r="L577" s="198" t="s">
        <v>132</v>
      </c>
      <c r="P577" s="201"/>
      <c r="R577" s="202">
        <v>1114867</v>
      </c>
      <c r="U577" s="198" t="s">
        <v>132</v>
      </c>
      <c r="AA577" s="198" t="s">
        <v>51</v>
      </c>
      <c r="AB577" s="202">
        <v>1114867</v>
      </c>
      <c r="AC577" s="202">
        <v>1114867</v>
      </c>
    </row>
    <row r="578" spans="1:29" outlineLevel="2" x14ac:dyDescent="0.25">
      <c r="A578" s="201">
        <v>46090</v>
      </c>
      <c r="D578" s="198" t="s">
        <v>54</v>
      </c>
      <c r="E578" s="202">
        <v>1114867</v>
      </c>
      <c r="K578" s="198" t="s">
        <v>958</v>
      </c>
      <c r="L578" s="198" t="s">
        <v>132</v>
      </c>
      <c r="P578" s="201"/>
      <c r="R578" s="202">
        <v>1114867</v>
      </c>
      <c r="U578" s="198" t="s">
        <v>132</v>
      </c>
      <c r="AA578" s="198" t="s">
        <v>51</v>
      </c>
      <c r="AB578" s="202">
        <v>1114867</v>
      </c>
      <c r="AC578" s="202">
        <v>1114867</v>
      </c>
    </row>
    <row r="579" spans="1:29" outlineLevel="2" x14ac:dyDescent="0.25">
      <c r="A579" s="201">
        <v>46090</v>
      </c>
      <c r="D579" s="198" t="s">
        <v>54</v>
      </c>
      <c r="E579" s="202">
        <v>-214133338.02000001</v>
      </c>
      <c r="K579" s="198" t="s">
        <v>958</v>
      </c>
      <c r="L579" s="198" t="s">
        <v>132</v>
      </c>
      <c r="P579" s="201"/>
      <c r="R579" s="202">
        <v>-214133338.02000001</v>
      </c>
      <c r="U579" s="198" t="s">
        <v>132</v>
      </c>
      <c r="AA579" s="198" t="s">
        <v>51</v>
      </c>
      <c r="AB579" s="202">
        <v>-214133338.02000001</v>
      </c>
      <c r="AC579" s="202">
        <v>-214133338.02000001</v>
      </c>
    </row>
    <row r="580" spans="1:29" outlineLevel="2" x14ac:dyDescent="0.25">
      <c r="A580" s="201">
        <v>46094</v>
      </c>
      <c r="D580" s="198" t="s">
        <v>54</v>
      </c>
      <c r="E580" s="202">
        <v>501320448</v>
      </c>
      <c r="K580" s="198" t="s">
        <v>958</v>
      </c>
      <c r="L580" s="198" t="s">
        <v>132</v>
      </c>
      <c r="P580" s="201"/>
      <c r="R580" s="202">
        <v>501320448</v>
      </c>
      <c r="U580" s="198" t="s">
        <v>132</v>
      </c>
      <c r="AA580" s="198" t="s">
        <v>51</v>
      </c>
      <c r="AB580" s="202">
        <v>501320448</v>
      </c>
      <c r="AC580" s="202">
        <v>501320448</v>
      </c>
    </row>
    <row r="581" spans="1:29" outlineLevel="2" x14ac:dyDescent="0.25">
      <c r="A581" s="201">
        <v>46101</v>
      </c>
      <c r="D581" s="198" t="s">
        <v>54</v>
      </c>
      <c r="E581" s="202">
        <v>435367</v>
      </c>
      <c r="K581" s="198" t="s">
        <v>958</v>
      </c>
      <c r="L581" s="198" t="s">
        <v>132</v>
      </c>
      <c r="P581" s="201"/>
      <c r="R581" s="202">
        <v>435367</v>
      </c>
      <c r="U581" s="198" t="s">
        <v>132</v>
      </c>
      <c r="AA581" s="198" t="s">
        <v>51</v>
      </c>
      <c r="AB581" s="202">
        <v>435367</v>
      </c>
      <c r="AC581" s="202">
        <v>435367</v>
      </c>
    </row>
    <row r="582" spans="1:29" outlineLevel="2" x14ac:dyDescent="0.25">
      <c r="A582" s="201">
        <v>46115</v>
      </c>
      <c r="D582" s="198" t="s">
        <v>54</v>
      </c>
      <c r="E582" s="202">
        <v>2329071.36</v>
      </c>
      <c r="K582" s="198" t="s">
        <v>958</v>
      </c>
      <c r="L582" s="198" t="s">
        <v>132</v>
      </c>
      <c r="P582" s="201"/>
      <c r="R582" s="202">
        <v>2329071.36</v>
      </c>
      <c r="U582" s="198" t="s">
        <v>132</v>
      </c>
      <c r="AA582" s="198" t="s">
        <v>51</v>
      </c>
      <c r="AB582" s="202">
        <v>2329071.36</v>
      </c>
      <c r="AC582" s="202">
        <v>2329071.36</v>
      </c>
    </row>
    <row r="583" spans="1:29" outlineLevel="2" x14ac:dyDescent="0.25">
      <c r="A583" s="201">
        <v>46117</v>
      </c>
      <c r="D583" s="198" t="s">
        <v>54</v>
      </c>
      <c r="E583" s="202">
        <v>385898</v>
      </c>
      <c r="K583" s="198" t="s">
        <v>958</v>
      </c>
      <c r="L583" s="198" t="s">
        <v>132</v>
      </c>
      <c r="P583" s="201"/>
      <c r="R583" s="202">
        <v>385898</v>
      </c>
      <c r="U583" s="198" t="s">
        <v>132</v>
      </c>
      <c r="AA583" s="198" t="s">
        <v>51</v>
      </c>
      <c r="AB583" s="202">
        <v>385898</v>
      </c>
      <c r="AC583" s="202">
        <v>385898</v>
      </c>
    </row>
    <row r="584" spans="1:29" outlineLevel="2" x14ac:dyDescent="0.25">
      <c r="A584" s="201">
        <v>46134</v>
      </c>
      <c r="D584" s="198" t="s">
        <v>54</v>
      </c>
      <c r="E584" s="202">
        <v>2157800</v>
      </c>
      <c r="K584" s="198" t="s">
        <v>958</v>
      </c>
      <c r="L584" s="198" t="s">
        <v>132</v>
      </c>
      <c r="P584" s="201"/>
      <c r="R584" s="202">
        <v>2157800</v>
      </c>
      <c r="U584" s="198" t="s">
        <v>132</v>
      </c>
      <c r="AA584" s="198" t="s">
        <v>51</v>
      </c>
      <c r="AB584" s="202">
        <v>2157800</v>
      </c>
      <c r="AC584" s="202">
        <v>2157800</v>
      </c>
    </row>
    <row r="585" spans="1:29" outlineLevel="2" x14ac:dyDescent="0.25">
      <c r="A585" s="201">
        <v>46150</v>
      </c>
      <c r="D585" s="198" t="s">
        <v>54</v>
      </c>
      <c r="E585" s="202">
        <v>187624.52</v>
      </c>
      <c r="K585" s="198" t="s">
        <v>958</v>
      </c>
      <c r="L585" s="198" t="s">
        <v>132</v>
      </c>
      <c r="P585" s="201"/>
      <c r="R585" s="202">
        <v>187624.52</v>
      </c>
      <c r="U585" s="198" t="s">
        <v>132</v>
      </c>
      <c r="AA585" s="198" t="s">
        <v>51</v>
      </c>
      <c r="AB585" s="202">
        <v>187624.52</v>
      </c>
      <c r="AC585" s="202">
        <v>187624.52</v>
      </c>
    </row>
    <row r="586" spans="1:29" outlineLevel="2" x14ac:dyDescent="0.25">
      <c r="A586" s="201">
        <v>46150</v>
      </c>
      <c r="D586" s="198" t="s">
        <v>54</v>
      </c>
      <c r="E586" s="202">
        <v>-21286</v>
      </c>
      <c r="K586" s="198" t="s">
        <v>958</v>
      </c>
      <c r="L586" s="198" t="s">
        <v>132</v>
      </c>
      <c r="P586" s="201"/>
      <c r="R586" s="202">
        <v>-21286</v>
      </c>
      <c r="U586" s="198" t="s">
        <v>132</v>
      </c>
      <c r="AA586" s="198" t="s">
        <v>51</v>
      </c>
      <c r="AB586" s="202">
        <v>-21286</v>
      </c>
      <c r="AC586" s="202">
        <v>-21286</v>
      </c>
    </row>
    <row r="587" spans="1:29" outlineLevel="2" x14ac:dyDescent="0.25">
      <c r="A587" s="201">
        <v>46170</v>
      </c>
      <c r="D587" s="198" t="s">
        <v>54</v>
      </c>
      <c r="E587" s="202">
        <v>2000</v>
      </c>
      <c r="K587" s="198" t="s">
        <v>958</v>
      </c>
      <c r="L587" s="198" t="s">
        <v>132</v>
      </c>
      <c r="P587" s="201"/>
      <c r="R587" s="202">
        <v>2000</v>
      </c>
      <c r="U587" s="198" t="s">
        <v>132</v>
      </c>
      <c r="AA587" s="198" t="s">
        <v>51</v>
      </c>
      <c r="AB587" s="202">
        <v>2000</v>
      </c>
      <c r="AC587" s="202">
        <v>2000</v>
      </c>
    </row>
    <row r="588" spans="1:29" outlineLevel="1" x14ac:dyDescent="0.25">
      <c r="A588" s="210"/>
      <c r="B588" s="209"/>
      <c r="C588" s="209"/>
      <c r="D588" s="209" t="s">
        <v>54</v>
      </c>
      <c r="E588" s="211">
        <v>16803930756.92</v>
      </c>
      <c r="F588" s="209"/>
      <c r="G588" s="209"/>
      <c r="H588" s="209"/>
      <c r="I588" s="209"/>
      <c r="J588" s="209"/>
      <c r="K588" s="209" t="s">
        <v>54</v>
      </c>
      <c r="L588" s="209" t="s">
        <v>54</v>
      </c>
      <c r="M588" s="209"/>
      <c r="N588" s="209"/>
      <c r="O588" s="209"/>
      <c r="P588" s="210"/>
      <c r="Q588" s="209"/>
      <c r="R588" s="212"/>
      <c r="S588" s="209"/>
      <c r="T588" s="209"/>
      <c r="U588" s="209" t="s">
        <v>54</v>
      </c>
      <c r="V588" s="209"/>
      <c r="W588" s="209"/>
      <c r="X588" s="209"/>
      <c r="Y588" s="209"/>
      <c r="Z588" s="209"/>
      <c r="AA588" s="209" t="s">
        <v>54</v>
      </c>
      <c r="AB588" s="212"/>
      <c r="AC588" s="212"/>
    </row>
    <row r="589" spans="1:29" outlineLevel="2" x14ac:dyDescent="0.25">
      <c r="A589" s="201">
        <v>46004</v>
      </c>
      <c r="D589" s="198" t="s">
        <v>54</v>
      </c>
      <c r="E589" s="202">
        <v>10483372511</v>
      </c>
      <c r="K589" s="198" t="s">
        <v>960</v>
      </c>
      <c r="L589" s="198" t="s">
        <v>132</v>
      </c>
      <c r="P589" s="201"/>
      <c r="R589" s="202">
        <v>10483372511</v>
      </c>
      <c r="U589" s="198" t="s">
        <v>959</v>
      </c>
      <c r="AA589" s="198" t="s">
        <v>51</v>
      </c>
      <c r="AB589" s="202">
        <v>10483372511</v>
      </c>
      <c r="AC589" s="202">
        <v>10483372511</v>
      </c>
    </row>
    <row r="590" spans="1:29" outlineLevel="2" x14ac:dyDescent="0.25">
      <c r="A590" s="201">
        <v>46004</v>
      </c>
      <c r="D590" s="198" t="s">
        <v>54</v>
      </c>
      <c r="E590" s="202">
        <v>2655968545</v>
      </c>
      <c r="K590" s="198" t="s">
        <v>960</v>
      </c>
      <c r="L590" s="198" t="s">
        <v>132</v>
      </c>
      <c r="P590" s="201"/>
      <c r="R590" s="202">
        <v>2655968545</v>
      </c>
      <c r="U590" s="198" t="s">
        <v>959</v>
      </c>
      <c r="AA590" s="198" t="s">
        <v>51</v>
      </c>
      <c r="AB590" s="202">
        <v>2655968545</v>
      </c>
      <c r="AC590" s="202">
        <v>2655968545</v>
      </c>
    </row>
    <row r="591" spans="1:29" outlineLevel="2" x14ac:dyDescent="0.25">
      <c r="A591" s="201">
        <v>46007</v>
      </c>
      <c r="D591" s="198" t="s">
        <v>54</v>
      </c>
      <c r="E591" s="202">
        <v>65297664</v>
      </c>
      <c r="K591" s="198" t="s">
        <v>960</v>
      </c>
      <c r="L591" s="198" t="s">
        <v>132</v>
      </c>
      <c r="P591" s="201"/>
      <c r="R591" s="202">
        <v>65297664</v>
      </c>
      <c r="U591" s="198" t="s">
        <v>959</v>
      </c>
      <c r="AA591" s="198" t="s">
        <v>51</v>
      </c>
      <c r="AB591" s="202">
        <v>65297664</v>
      </c>
      <c r="AC591" s="202">
        <v>65297664</v>
      </c>
    </row>
    <row r="592" spans="1:29" outlineLevel="2" x14ac:dyDescent="0.25">
      <c r="A592" s="201">
        <v>46059</v>
      </c>
      <c r="D592" s="198" t="s">
        <v>54</v>
      </c>
      <c r="E592" s="202">
        <v>667080</v>
      </c>
      <c r="K592" s="198" t="s">
        <v>960</v>
      </c>
      <c r="L592" s="198" t="s">
        <v>132</v>
      </c>
      <c r="P592" s="201"/>
      <c r="R592" s="202">
        <v>667080</v>
      </c>
      <c r="U592" s="198" t="s">
        <v>959</v>
      </c>
      <c r="AA592" s="198" t="s">
        <v>51</v>
      </c>
      <c r="AB592" s="202">
        <v>667080</v>
      </c>
      <c r="AC592" s="202">
        <v>667080</v>
      </c>
    </row>
    <row r="593" spans="1:29" outlineLevel="2" x14ac:dyDescent="0.25">
      <c r="A593" s="201">
        <v>46062</v>
      </c>
      <c r="D593" s="198" t="s">
        <v>54</v>
      </c>
      <c r="E593" s="202">
        <v>2264060</v>
      </c>
      <c r="K593" s="198" t="s">
        <v>960</v>
      </c>
      <c r="L593" s="198" t="s">
        <v>132</v>
      </c>
      <c r="P593" s="201"/>
      <c r="R593" s="202">
        <v>2264060</v>
      </c>
      <c r="U593" s="198" t="s">
        <v>959</v>
      </c>
      <c r="AA593" s="198" t="s">
        <v>51</v>
      </c>
      <c r="AB593" s="202">
        <v>2264060</v>
      </c>
      <c r="AC593" s="202">
        <v>2264060</v>
      </c>
    </row>
    <row r="594" spans="1:29" outlineLevel="2" x14ac:dyDescent="0.25">
      <c r="A594" s="201">
        <v>46094</v>
      </c>
      <c r="D594" s="198" t="s">
        <v>54</v>
      </c>
      <c r="E594" s="202">
        <v>501320448</v>
      </c>
      <c r="K594" s="198" t="s">
        <v>960</v>
      </c>
      <c r="L594" s="198" t="s">
        <v>132</v>
      </c>
      <c r="P594" s="201"/>
      <c r="R594" s="202">
        <v>501320448</v>
      </c>
      <c r="U594" s="198" t="s">
        <v>959</v>
      </c>
      <c r="AA594" s="198" t="s">
        <v>51</v>
      </c>
      <c r="AB594" s="202">
        <v>501320448</v>
      </c>
      <c r="AC594" s="202">
        <v>501320448</v>
      </c>
    </row>
    <row r="595" spans="1:29" outlineLevel="2" x14ac:dyDescent="0.25">
      <c r="A595" s="201">
        <v>46170</v>
      </c>
      <c r="D595" s="198" t="s">
        <v>54</v>
      </c>
      <c r="E595" s="202">
        <v>2000</v>
      </c>
      <c r="K595" s="198" t="s">
        <v>960</v>
      </c>
      <c r="L595" s="198" t="s">
        <v>132</v>
      </c>
      <c r="P595" s="201"/>
      <c r="R595" s="202">
        <v>2000</v>
      </c>
      <c r="U595" s="198" t="s">
        <v>959</v>
      </c>
      <c r="AA595" s="198" t="s">
        <v>51</v>
      </c>
      <c r="AB595" s="202">
        <v>2000</v>
      </c>
      <c r="AC595" s="202">
        <v>2000</v>
      </c>
    </row>
    <row r="596" spans="1:29" outlineLevel="1" x14ac:dyDescent="0.25">
      <c r="A596" s="210"/>
      <c r="B596" s="209"/>
      <c r="C596" s="209"/>
      <c r="D596" s="209" t="s">
        <v>54</v>
      </c>
      <c r="E596" s="211">
        <v>13708892308</v>
      </c>
      <c r="F596" s="209"/>
      <c r="G596" s="209"/>
      <c r="H596" s="209"/>
      <c r="I596" s="209"/>
      <c r="J596" s="209"/>
      <c r="K596" s="209" t="s">
        <v>54</v>
      </c>
      <c r="L596" s="209" t="s">
        <v>54</v>
      </c>
      <c r="M596" s="209"/>
      <c r="N596" s="209"/>
      <c r="O596" s="209"/>
      <c r="P596" s="210"/>
      <c r="Q596" s="209"/>
      <c r="R596" s="212"/>
      <c r="S596" s="209"/>
      <c r="T596" s="209"/>
      <c r="U596" s="209" t="s">
        <v>54</v>
      </c>
      <c r="V596" s="209"/>
      <c r="W596" s="209"/>
      <c r="X596" s="209"/>
      <c r="Y596" s="209"/>
      <c r="Z596" s="209"/>
      <c r="AA596" s="209" t="s">
        <v>54</v>
      </c>
      <c r="AB596" s="212"/>
      <c r="AC596" s="212"/>
    </row>
    <row r="597" spans="1:29" outlineLevel="2" x14ac:dyDescent="0.25">
      <c r="A597" s="201">
        <v>46004</v>
      </c>
      <c r="D597" s="198" t="s">
        <v>54</v>
      </c>
      <c r="E597" s="202">
        <v>10483372511</v>
      </c>
      <c r="K597" s="198" t="s">
        <v>961</v>
      </c>
      <c r="L597" s="198" t="s">
        <v>132</v>
      </c>
      <c r="P597" s="201"/>
      <c r="R597" s="202">
        <v>10483372511</v>
      </c>
      <c r="U597" s="198" t="s">
        <v>713</v>
      </c>
      <c r="AA597" s="198" t="s">
        <v>51</v>
      </c>
      <c r="AB597" s="202">
        <v>10483372511</v>
      </c>
      <c r="AC597" s="202">
        <v>10483372511</v>
      </c>
    </row>
    <row r="598" spans="1:29" outlineLevel="2" x14ac:dyDescent="0.25">
      <c r="A598" s="201">
        <v>46004</v>
      </c>
      <c r="D598" s="198" t="s">
        <v>54</v>
      </c>
      <c r="E598" s="202">
        <v>2655968545</v>
      </c>
      <c r="K598" s="198" t="s">
        <v>961</v>
      </c>
      <c r="L598" s="198" t="s">
        <v>132</v>
      </c>
      <c r="P598" s="201"/>
      <c r="R598" s="202">
        <v>2655968545</v>
      </c>
      <c r="U598" s="198" t="s">
        <v>713</v>
      </c>
      <c r="AA598" s="198" t="s">
        <v>51</v>
      </c>
      <c r="AB598" s="202">
        <v>2655968545</v>
      </c>
      <c r="AC598" s="202">
        <v>2655968545</v>
      </c>
    </row>
    <row r="599" spans="1:29" outlineLevel="2" x14ac:dyDescent="0.25">
      <c r="A599" s="201">
        <v>46007</v>
      </c>
      <c r="D599" s="198" t="s">
        <v>54</v>
      </c>
      <c r="E599" s="202">
        <v>65297664</v>
      </c>
      <c r="K599" s="198" t="s">
        <v>961</v>
      </c>
      <c r="L599" s="198" t="s">
        <v>132</v>
      </c>
      <c r="P599" s="201"/>
      <c r="R599" s="202">
        <v>65297664</v>
      </c>
      <c r="U599" s="198" t="s">
        <v>713</v>
      </c>
      <c r="AA599" s="198" t="s">
        <v>51</v>
      </c>
      <c r="AB599" s="202">
        <v>65297664</v>
      </c>
      <c r="AC599" s="202">
        <v>65297664</v>
      </c>
    </row>
    <row r="600" spans="1:29" outlineLevel="2" x14ac:dyDescent="0.25">
      <c r="A600" s="201">
        <v>46059</v>
      </c>
      <c r="D600" s="198" t="s">
        <v>54</v>
      </c>
      <c r="E600" s="202">
        <v>667080</v>
      </c>
      <c r="K600" s="198" t="s">
        <v>961</v>
      </c>
      <c r="L600" s="198" t="s">
        <v>132</v>
      </c>
      <c r="P600" s="201"/>
      <c r="R600" s="202">
        <v>667080</v>
      </c>
      <c r="U600" s="198" t="s">
        <v>713</v>
      </c>
      <c r="AA600" s="198" t="s">
        <v>51</v>
      </c>
      <c r="AB600" s="202">
        <v>667080</v>
      </c>
      <c r="AC600" s="202">
        <v>667080</v>
      </c>
    </row>
    <row r="601" spans="1:29" outlineLevel="2" x14ac:dyDescent="0.25">
      <c r="A601" s="201">
        <v>46062</v>
      </c>
      <c r="D601" s="198" t="s">
        <v>54</v>
      </c>
      <c r="E601" s="202">
        <v>2264060</v>
      </c>
      <c r="K601" s="198" t="s">
        <v>961</v>
      </c>
      <c r="L601" s="198" t="s">
        <v>132</v>
      </c>
      <c r="P601" s="201"/>
      <c r="R601" s="202">
        <v>2264060</v>
      </c>
      <c r="U601" s="198" t="s">
        <v>713</v>
      </c>
      <c r="AA601" s="198" t="s">
        <v>51</v>
      </c>
      <c r="AB601" s="202">
        <v>2264060</v>
      </c>
      <c r="AC601" s="202">
        <v>2264060</v>
      </c>
    </row>
    <row r="602" spans="1:29" outlineLevel="2" x14ac:dyDescent="0.25">
      <c r="A602" s="201">
        <v>46094</v>
      </c>
      <c r="D602" s="198" t="s">
        <v>54</v>
      </c>
      <c r="E602" s="202">
        <v>501320448</v>
      </c>
      <c r="K602" s="198" t="s">
        <v>961</v>
      </c>
      <c r="L602" s="198" t="s">
        <v>132</v>
      </c>
      <c r="P602" s="201"/>
      <c r="R602" s="202">
        <v>501320448</v>
      </c>
      <c r="U602" s="198" t="s">
        <v>713</v>
      </c>
      <c r="AA602" s="198" t="s">
        <v>51</v>
      </c>
      <c r="AB602" s="202">
        <v>501320448</v>
      </c>
      <c r="AC602" s="202">
        <v>501320448</v>
      </c>
    </row>
    <row r="603" spans="1:29" outlineLevel="1" x14ac:dyDescent="0.25">
      <c r="A603" s="210"/>
      <c r="B603" s="209"/>
      <c r="C603" s="209"/>
      <c r="D603" s="209" t="s">
        <v>54</v>
      </c>
      <c r="E603" s="211">
        <v>13708890308</v>
      </c>
      <c r="F603" s="209"/>
      <c r="G603" s="209"/>
      <c r="H603" s="209"/>
      <c r="I603" s="209"/>
      <c r="J603" s="209"/>
      <c r="K603" s="209" t="s">
        <v>54</v>
      </c>
      <c r="L603" s="209" t="s">
        <v>54</v>
      </c>
      <c r="M603" s="209"/>
      <c r="N603" s="209"/>
      <c r="O603" s="209"/>
      <c r="P603" s="210"/>
      <c r="Q603" s="209"/>
      <c r="R603" s="212"/>
      <c r="S603" s="209"/>
      <c r="T603" s="209"/>
      <c r="U603" s="209" t="s">
        <v>54</v>
      </c>
      <c r="V603" s="209"/>
      <c r="W603" s="209"/>
      <c r="X603" s="209"/>
      <c r="Y603" s="209"/>
      <c r="Z603" s="209"/>
      <c r="AA603" s="209" t="s">
        <v>54</v>
      </c>
      <c r="AB603" s="212"/>
      <c r="AC603" s="212"/>
    </row>
    <row r="604" spans="1:29" outlineLevel="2" x14ac:dyDescent="0.25">
      <c r="A604" s="201">
        <v>46170</v>
      </c>
      <c r="D604" s="198" t="s">
        <v>54</v>
      </c>
      <c r="E604" s="202">
        <v>2000</v>
      </c>
      <c r="K604" s="198" t="s">
        <v>1760</v>
      </c>
      <c r="L604" s="198" t="s">
        <v>132</v>
      </c>
      <c r="P604" s="201"/>
      <c r="R604" s="202">
        <v>2000</v>
      </c>
      <c r="U604" s="198" t="s">
        <v>1515</v>
      </c>
      <c r="AA604" s="198" t="s">
        <v>51</v>
      </c>
      <c r="AB604" s="202">
        <v>2000</v>
      </c>
      <c r="AC604" s="202">
        <v>2000</v>
      </c>
    </row>
    <row r="605" spans="1:29" outlineLevel="1" x14ac:dyDescent="0.25">
      <c r="A605" s="210"/>
      <c r="B605" s="209"/>
      <c r="C605" s="209"/>
      <c r="D605" s="209" t="s">
        <v>54</v>
      </c>
      <c r="E605" s="211">
        <v>2000</v>
      </c>
      <c r="F605" s="209"/>
      <c r="G605" s="209"/>
      <c r="H605" s="209"/>
      <c r="I605" s="209"/>
      <c r="J605" s="209"/>
      <c r="K605" s="209" t="s">
        <v>54</v>
      </c>
      <c r="L605" s="209" t="s">
        <v>54</v>
      </c>
      <c r="M605" s="209"/>
      <c r="N605" s="209"/>
      <c r="O605" s="209"/>
      <c r="P605" s="210"/>
      <c r="Q605" s="209"/>
      <c r="R605" s="212"/>
      <c r="S605" s="209"/>
      <c r="T605" s="209"/>
      <c r="U605" s="209" t="s">
        <v>54</v>
      </c>
      <c r="V605" s="209"/>
      <c r="W605" s="209"/>
      <c r="X605" s="209"/>
      <c r="Y605" s="209"/>
      <c r="Z605" s="209"/>
      <c r="AA605" s="209" t="s">
        <v>54</v>
      </c>
      <c r="AB605" s="212"/>
      <c r="AC605" s="212"/>
    </row>
    <row r="606" spans="1:29" outlineLevel="2" x14ac:dyDescent="0.25">
      <c r="A606" s="201">
        <v>46004</v>
      </c>
      <c r="D606" s="198" t="s">
        <v>54</v>
      </c>
      <c r="E606" s="202">
        <v>1121849131</v>
      </c>
      <c r="K606" s="198" t="s">
        <v>963</v>
      </c>
      <c r="L606" s="198" t="s">
        <v>132</v>
      </c>
      <c r="P606" s="201"/>
      <c r="R606" s="202">
        <v>1121849131</v>
      </c>
      <c r="U606" s="198" t="s">
        <v>962</v>
      </c>
      <c r="AA606" s="198" t="s">
        <v>51</v>
      </c>
      <c r="AB606" s="202">
        <v>1121849131</v>
      </c>
      <c r="AC606" s="202">
        <v>1121849131</v>
      </c>
    </row>
    <row r="607" spans="1:29" outlineLevel="2" x14ac:dyDescent="0.25">
      <c r="A607" s="201">
        <v>46090</v>
      </c>
      <c r="D607" s="198" t="s">
        <v>54</v>
      </c>
      <c r="E607" s="202">
        <v>-133680849.02</v>
      </c>
      <c r="K607" s="198" t="s">
        <v>963</v>
      </c>
      <c r="L607" s="198" t="s">
        <v>132</v>
      </c>
      <c r="P607" s="201"/>
      <c r="R607" s="202">
        <v>-133680849.02</v>
      </c>
      <c r="U607" s="198" t="s">
        <v>962</v>
      </c>
      <c r="AA607" s="198" t="s">
        <v>51</v>
      </c>
      <c r="AB607" s="202">
        <v>-133680849.02</v>
      </c>
      <c r="AC607" s="202">
        <v>-133680849.02</v>
      </c>
    </row>
    <row r="608" spans="1:29" outlineLevel="1" x14ac:dyDescent="0.25">
      <c r="A608" s="210"/>
      <c r="B608" s="209"/>
      <c r="C608" s="209"/>
      <c r="D608" s="209" t="s">
        <v>54</v>
      </c>
      <c r="E608" s="211">
        <v>988168281.98000002</v>
      </c>
      <c r="F608" s="209"/>
      <c r="G608" s="209"/>
      <c r="H608" s="209"/>
      <c r="I608" s="209"/>
      <c r="J608" s="209"/>
      <c r="K608" s="209" t="s">
        <v>54</v>
      </c>
      <c r="L608" s="209" t="s">
        <v>54</v>
      </c>
      <c r="M608" s="209"/>
      <c r="N608" s="209"/>
      <c r="O608" s="209"/>
      <c r="P608" s="210"/>
      <c r="Q608" s="209"/>
      <c r="R608" s="212"/>
      <c r="S608" s="209"/>
      <c r="T608" s="209"/>
      <c r="U608" s="209" t="s">
        <v>54</v>
      </c>
      <c r="V608" s="209"/>
      <c r="W608" s="209"/>
      <c r="X608" s="209"/>
      <c r="Y608" s="209"/>
      <c r="Z608" s="209"/>
      <c r="AA608" s="209" t="s">
        <v>54</v>
      </c>
      <c r="AB608" s="212"/>
      <c r="AC608" s="212"/>
    </row>
    <row r="609" spans="1:29" outlineLevel="2" x14ac:dyDescent="0.25">
      <c r="A609" s="201">
        <v>46004</v>
      </c>
      <c r="D609" s="198" t="s">
        <v>54</v>
      </c>
      <c r="E609" s="202">
        <v>1121849131</v>
      </c>
      <c r="K609" s="198" t="s">
        <v>964</v>
      </c>
      <c r="L609" s="198" t="s">
        <v>132</v>
      </c>
      <c r="P609" s="201"/>
      <c r="R609" s="202">
        <v>1121849131</v>
      </c>
      <c r="U609" s="198" t="s">
        <v>696</v>
      </c>
      <c r="AA609" s="198" t="s">
        <v>51</v>
      </c>
      <c r="AB609" s="202">
        <v>1121849131</v>
      </c>
      <c r="AC609" s="202">
        <v>1121849131</v>
      </c>
    </row>
    <row r="610" spans="1:29" outlineLevel="2" x14ac:dyDescent="0.25">
      <c r="A610" s="201">
        <v>46090</v>
      </c>
      <c r="D610" s="198" t="s">
        <v>54</v>
      </c>
      <c r="E610" s="202">
        <v>-133680849.02</v>
      </c>
      <c r="K610" s="198" t="s">
        <v>964</v>
      </c>
      <c r="L610" s="198" t="s">
        <v>132</v>
      </c>
      <c r="P610" s="201"/>
      <c r="R610" s="202">
        <v>-133680849.02</v>
      </c>
      <c r="U610" s="198" t="s">
        <v>696</v>
      </c>
      <c r="AA610" s="198" t="s">
        <v>51</v>
      </c>
      <c r="AB610" s="202">
        <v>-133680849.02</v>
      </c>
      <c r="AC610" s="202">
        <v>-133680849.02</v>
      </c>
    </row>
    <row r="611" spans="1:29" outlineLevel="1" x14ac:dyDescent="0.25">
      <c r="A611" s="210"/>
      <c r="B611" s="209"/>
      <c r="C611" s="209"/>
      <c r="D611" s="209" t="s">
        <v>54</v>
      </c>
      <c r="E611" s="211">
        <v>988168281.98000002</v>
      </c>
      <c r="F611" s="209"/>
      <c r="G611" s="209"/>
      <c r="H611" s="209"/>
      <c r="I611" s="209"/>
      <c r="J611" s="209"/>
      <c r="K611" s="209" t="s">
        <v>54</v>
      </c>
      <c r="L611" s="209" t="s">
        <v>54</v>
      </c>
      <c r="M611" s="209"/>
      <c r="N611" s="209"/>
      <c r="O611" s="209"/>
      <c r="P611" s="210"/>
      <c r="Q611" s="209"/>
      <c r="R611" s="212"/>
      <c r="S611" s="209"/>
      <c r="T611" s="209"/>
      <c r="U611" s="209" t="s">
        <v>54</v>
      </c>
      <c r="V611" s="209"/>
      <c r="W611" s="209"/>
      <c r="X611" s="209"/>
      <c r="Y611" s="209"/>
      <c r="Z611" s="209"/>
      <c r="AA611" s="209" t="s">
        <v>54</v>
      </c>
      <c r="AB611" s="212"/>
      <c r="AC611" s="212"/>
    </row>
    <row r="612" spans="1:29" outlineLevel="2" x14ac:dyDescent="0.25">
      <c r="A612" s="201">
        <v>46004</v>
      </c>
      <c r="D612" s="198" t="s">
        <v>54</v>
      </c>
      <c r="E612" s="202">
        <v>196951833</v>
      </c>
      <c r="K612" s="198" t="s">
        <v>966</v>
      </c>
      <c r="L612" s="198" t="s">
        <v>132</v>
      </c>
      <c r="P612" s="201"/>
      <c r="R612" s="202">
        <v>196951833</v>
      </c>
      <c r="U612" s="198" t="s">
        <v>965</v>
      </c>
      <c r="AA612" s="198" t="s">
        <v>51</v>
      </c>
      <c r="AB612" s="202">
        <v>196951833</v>
      </c>
      <c r="AC612" s="202">
        <v>196951833</v>
      </c>
    </row>
    <row r="613" spans="1:29" outlineLevel="2" x14ac:dyDescent="0.25">
      <c r="A613" s="201">
        <v>46090</v>
      </c>
      <c r="D613" s="198" t="s">
        <v>54</v>
      </c>
      <c r="E613" s="202">
        <v>-80452489</v>
      </c>
      <c r="K613" s="198" t="s">
        <v>966</v>
      </c>
      <c r="L613" s="198" t="s">
        <v>132</v>
      </c>
      <c r="P613" s="201"/>
      <c r="R613" s="202">
        <v>-80452489</v>
      </c>
      <c r="U613" s="198" t="s">
        <v>965</v>
      </c>
      <c r="AA613" s="198" t="s">
        <v>51</v>
      </c>
      <c r="AB613" s="202">
        <v>-80452489</v>
      </c>
      <c r="AC613" s="202">
        <v>-80452489</v>
      </c>
    </row>
    <row r="614" spans="1:29" outlineLevel="1" x14ac:dyDescent="0.25">
      <c r="A614" s="210"/>
      <c r="B614" s="209"/>
      <c r="C614" s="209"/>
      <c r="D614" s="209" t="s">
        <v>54</v>
      </c>
      <c r="E614" s="211">
        <v>116499344</v>
      </c>
      <c r="F614" s="209"/>
      <c r="G614" s="209"/>
      <c r="H614" s="209"/>
      <c r="I614" s="209"/>
      <c r="J614" s="209"/>
      <c r="K614" s="209" t="s">
        <v>54</v>
      </c>
      <c r="L614" s="209" t="s">
        <v>54</v>
      </c>
      <c r="M614" s="209"/>
      <c r="N614" s="209"/>
      <c r="O614" s="209"/>
      <c r="P614" s="210"/>
      <c r="Q614" s="209"/>
      <c r="R614" s="212"/>
      <c r="S614" s="209"/>
      <c r="T614" s="209"/>
      <c r="U614" s="209" t="s">
        <v>54</v>
      </c>
      <c r="V614" s="209"/>
      <c r="W614" s="209"/>
      <c r="X614" s="209"/>
      <c r="Y614" s="209"/>
      <c r="Z614" s="209"/>
      <c r="AA614" s="209" t="s">
        <v>54</v>
      </c>
      <c r="AB614" s="212"/>
      <c r="AC614" s="212"/>
    </row>
    <row r="615" spans="1:29" outlineLevel="2" x14ac:dyDescent="0.25">
      <c r="A615" s="201">
        <v>46004</v>
      </c>
      <c r="D615" s="198" t="s">
        <v>54</v>
      </c>
      <c r="E615" s="202">
        <v>196951833</v>
      </c>
      <c r="K615" s="198" t="s">
        <v>967</v>
      </c>
      <c r="L615" s="198" t="s">
        <v>132</v>
      </c>
      <c r="P615" s="201"/>
      <c r="R615" s="202">
        <v>196951833</v>
      </c>
      <c r="U615" s="198" t="s">
        <v>433</v>
      </c>
      <c r="AA615" s="198" t="s">
        <v>51</v>
      </c>
      <c r="AB615" s="202">
        <v>196951833</v>
      </c>
      <c r="AC615" s="202">
        <v>196951833</v>
      </c>
    </row>
    <row r="616" spans="1:29" outlineLevel="2" x14ac:dyDescent="0.25">
      <c r="A616" s="201">
        <v>46090</v>
      </c>
      <c r="D616" s="198" t="s">
        <v>54</v>
      </c>
      <c r="E616" s="202">
        <v>-80452489</v>
      </c>
      <c r="K616" s="198" t="s">
        <v>967</v>
      </c>
      <c r="L616" s="198" t="s">
        <v>132</v>
      </c>
      <c r="P616" s="201"/>
      <c r="R616" s="202">
        <v>-80452489</v>
      </c>
      <c r="U616" s="198" t="s">
        <v>433</v>
      </c>
      <c r="AA616" s="198" t="s">
        <v>51</v>
      </c>
      <c r="AB616" s="202">
        <v>-80452489</v>
      </c>
      <c r="AC616" s="202">
        <v>-80452489</v>
      </c>
    </row>
    <row r="617" spans="1:29" outlineLevel="1" x14ac:dyDescent="0.25">
      <c r="A617" s="210"/>
      <c r="B617" s="209"/>
      <c r="C617" s="209"/>
      <c r="D617" s="209" t="s">
        <v>54</v>
      </c>
      <c r="E617" s="211">
        <v>116499344</v>
      </c>
      <c r="F617" s="209"/>
      <c r="G617" s="209"/>
      <c r="H617" s="209"/>
      <c r="I617" s="209"/>
      <c r="J617" s="209"/>
      <c r="K617" s="209" t="s">
        <v>54</v>
      </c>
      <c r="L617" s="209" t="s">
        <v>54</v>
      </c>
      <c r="M617" s="209"/>
      <c r="N617" s="209"/>
      <c r="O617" s="209"/>
      <c r="P617" s="210"/>
      <c r="Q617" s="209"/>
      <c r="R617" s="212"/>
      <c r="S617" s="209"/>
      <c r="T617" s="209"/>
      <c r="U617" s="209" t="s">
        <v>54</v>
      </c>
      <c r="V617" s="209"/>
      <c r="W617" s="209"/>
      <c r="X617" s="209"/>
      <c r="Y617" s="209"/>
      <c r="Z617" s="209"/>
      <c r="AA617" s="209" t="s">
        <v>54</v>
      </c>
      <c r="AB617" s="212"/>
      <c r="AC617" s="212"/>
    </row>
    <row r="618" spans="1:29" outlineLevel="2" x14ac:dyDescent="0.25">
      <c r="A618" s="201">
        <v>46006</v>
      </c>
      <c r="D618" s="198" t="s">
        <v>54</v>
      </c>
      <c r="E618" s="202">
        <v>598500000</v>
      </c>
      <c r="K618" s="198" t="s">
        <v>968</v>
      </c>
      <c r="L618" s="198" t="s">
        <v>132</v>
      </c>
      <c r="P618" s="201"/>
      <c r="R618" s="202">
        <v>598500000</v>
      </c>
      <c r="U618" s="198" t="s">
        <v>362</v>
      </c>
      <c r="AA618" s="198" t="s">
        <v>51</v>
      </c>
      <c r="AB618" s="202">
        <v>598500000</v>
      </c>
      <c r="AC618" s="202">
        <v>598500000</v>
      </c>
    </row>
    <row r="619" spans="1:29" outlineLevel="2" x14ac:dyDescent="0.25">
      <c r="A619" s="201">
        <v>46006</v>
      </c>
      <c r="D619" s="198" t="s">
        <v>54</v>
      </c>
      <c r="E619" s="202">
        <v>359100000</v>
      </c>
      <c r="K619" s="198" t="s">
        <v>968</v>
      </c>
      <c r="L619" s="198" t="s">
        <v>132</v>
      </c>
      <c r="P619" s="201"/>
      <c r="R619" s="202">
        <v>359100000</v>
      </c>
      <c r="U619" s="198" t="s">
        <v>362</v>
      </c>
      <c r="AA619" s="198" t="s">
        <v>51</v>
      </c>
      <c r="AB619" s="202">
        <v>359100000</v>
      </c>
      <c r="AC619" s="202">
        <v>359100000</v>
      </c>
    </row>
    <row r="620" spans="1:29" outlineLevel="2" x14ac:dyDescent="0.25">
      <c r="A620" s="201">
        <v>46020</v>
      </c>
      <c r="D620" s="198" t="s">
        <v>54</v>
      </c>
      <c r="E620" s="202">
        <v>-121319444</v>
      </c>
      <c r="K620" s="198" t="s">
        <v>968</v>
      </c>
      <c r="L620" s="198" t="s">
        <v>132</v>
      </c>
      <c r="P620" s="201"/>
      <c r="R620" s="202">
        <v>-121319444</v>
      </c>
      <c r="U620" s="198" t="s">
        <v>362</v>
      </c>
      <c r="AA620" s="198" t="s">
        <v>51</v>
      </c>
      <c r="AB620" s="202">
        <v>-121319444</v>
      </c>
      <c r="AC620" s="202">
        <v>-121319444</v>
      </c>
    </row>
    <row r="621" spans="1:29" outlineLevel="1" x14ac:dyDescent="0.25">
      <c r="A621" s="210"/>
      <c r="B621" s="209"/>
      <c r="C621" s="209"/>
      <c r="D621" s="209" t="s">
        <v>54</v>
      </c>
      <c r="E621" s="211">
        <v>836280556</v>
      </c>
      <c r="F621" s="209"/>
      <c r="G621" s="209"/>
      <c r="H621" s="209"/>
      <c r="I621" s="209"/>
      <c r="J621" s="209"/>
      <c r="K621" s="209" t="s">
        <v>54</v>
      </c>
      <c r="L621" s="209" t="s">
        <v>54</v>
      </c>
      <c r="M621" s="209"/>
      <c r="N621" s="209"/>
      <c r="O621" s="209"/>
      <c r="P621" s="210"/>
      <c r="Q621" s="209"/>
      <c r="R621" s="212"/>
      <c r="S621" s="209"/>
      <c r="T621" s="209"/>
      <c r="U621" s="209" t="s">
        <v>54</v>
      </c>
      <c r="V621" s="209"/>
      <c r="W621" s="209"/>
      <c r="X621" s="209"/>
      <c r="Y621" s="209"/>
      <c r="Z621" s="209"/>
      <c r="AA621" s="209" t="s">
        <v>54</v>
      </c>
      <c r="AB621" s="212"/>
      <c r="AC621" s="212"/>
    </row>
    <row r="622" spans="1:29" outlineLevel="2" x14ac:dyDescent="0.25">
      <c r="A622" s="201">
        <v>46004</v>
      </c>
      <c r="D622" s="198" t="s">
        <v>54</v>
      </c>
      <c r="E622" s="202">
        <v>421017332</v>
      </c>
      <c r="K622" s="198" t="s">
        <v>970</v>
      </c>
      <c r="L622" s="198" t="s">
        <v>132</v>
      </c>
      <c r="P622" s="201"/>
      <c r="R622" s="202">
        <v>421017332</v>
      </c>
      <c r="U622" s="198" t="s">
        <v>969</v>
      </c>
      <c r="AA622" s="198" t="s">
        <v>51</v>
      </c>
      <c r="AB622" s="202">
        <v>421017332</v>
      </c>
      <c r="AC622" s="202">
        <v>421017332</v>
      </c>
    </row>
    <row r="623" spans="1:29" outlineLevel="2" x14ac:dyDescent="0.25">
      <c r="A623" s="201">
        <v>46015</v>
      </c>
      <c r="D623" s="198" t="s">
        <v>54</v>
      </c>
      <c r="E623" s="202">
        <v>46825000</v>
      </c>
      <c r="K623" s="198" t="s">
        <v>970</v>
      </c>
      <c r="L623" s="198" t="s">
        <v>132</v>
      </c>
      <c r="P623" s="201"/>
      <c r="R623" s="202">
        <v>46825000</v>
      </c>
      <c r="U623" s="198" t="s">
        <v>969</v>
      </c>
      <c r="AA623" s="198" t="s">
        <v>51</v>
      </c>
      <c r="AB623" s="202">
        <v>46825000</v>
      </c>
      <c r="AC623" s="202">
        <v>46825000</v>
      </c>
    </row>
    <row r="624" spans="1:29" outlineLevel="2" x14ac:dyDescent="0.25">
      <c r="A624" s="201">
        <v>46018</v>
      </c>
      <c r="D624" s="198" t="s">
        <v>54</v>
      </c>
      <c r="E624" s="202">
        <v>505262421</v>
      </c>
      <c r="K624" s="198" t="s">
        <v>970</v>
      </c>
      <c r="L624" s="198" t="s">
        <v>132</v>
      </c>
      <c r="P624" s="201"/>
      <c r="R624" s="202">
        <v>505262421</v>
      </c>
      <c r="U624" s="198" t="s">
        <v>969</v>
      </c>
      <c r="AA624" s="198" t="s">
        <v>51</v>
      </c>
      <c r="AB624" s="202">
        <v>505262421</v>
      </c>
      <c r="AC624" s="202">
        <v>505262421</v>
      </c>
    </row>
    <row r="625" spans="1:29" outlineLevel="2" x14ac:dyDescent="0.25">
      <c r="A625" s="201">
        <v>46018</v>
      </c>
      <c r="D625" s="198" t="s">
        <v>54</v>
      </c>
      <c r="E625" s="202">
        <v>-925000</v>
      </c>
      <c r="K625" s="198" t="s">
        <v>970</v>
      </c>
      <c r="L625" s="198" t="s">
        <v>132</v>
      </c>
      <c r="P625" s="201"/>
      <c r="R625" s="202">
        <v>-925000</v>
      </c>
      <c r="U625" s="198" t="s">
        <v>969</v>
      </c>
      <c r="AA625" s="198" t="s">
        <v>51</v>
      </c>
      <c r="AB625" s="202">
        <v>-925000</v>
      </c>
      <c r="AC625" s="202">
        <v>-925000</v>
      </c>
    </row>
    <row r="626" spans="1:29" outlineLevel="2" x14ac:dyDescent="0.25">
      <c r="A626" s="201">
        <v>46020</v>
      </c>
      <c r="D626" s="198" t="s">
        <v>54</v>
      </c>
      <c r="E626" s="202">
        <v>24894323.350000001</v>
      </c>
      <c r="K626" s="198" t="s">
        <v>970</v>
      </c>
      <c r="L626" s="198" t="s">
        <v>132</v>
      </c>
      <c r="P626" s="201"/>
      <c r="R626" s="202">
        <v>24894323.350000001</v>
      </c>
      <c r="U626" s="198" t="s">
        <v>969</v>
      </c>
      <c r="AA626" s="198" t="s">
        <v>51</v>
      </c>
      <c r="AB626" s="202">
        <v>24894323.350000001</v>
      </c>
      <c r="AC626" s="202">
        <v>24894323.350000001</v>
      </c>
    </row>
    <row r="627" spans="1:29" outlineLevel="2" x14ac:dyDescent="0.25">
      <c r="A627" s="201">
        <v>46020</v>
      </c>
      <c r="D627" s="198" t="s">
        <v>54</v>
      </c>
      <c r="E627" s="202">
        <v>-33960989.890000001</v>
      </c>
      <c r="K627" s="198" t="s">
        <v>970</v>
      </c>
      <c r="L627" s="198" t="s">
        <v>132</v>
      </c>
      <c r="P627" s="201"/>
      <c r="R627" s="202">
        <v>-33960989.890000001</v>
      </c>
      <c r="U627" s="198" t="s">
        <v>969</v>
      </c>
      <c r="AA627" s="198" t="s">
        <v>51</v>
      </c>
      <c r="AB627" s="202">
        <v>-33960989.890000001</v>
      </c>
      <c r="AC627" s="202">
        <v>-33960989.890000001</v>
      </c>
    </row>
    <row r="628" spans="1:29" outlineLevel="2" x14ac:dyDescent="0.25">
      <c r="A628" s="201">
        <v>46021</v>
      </c>
      <c r="D628" s="198" t="s">
        <v>54</v>
      </c>
      <c r="E628" s="202">
        <v>109482692.38</v>
      </c>
      <c r="K628" s="198" t="s">
        <v>970</v>
      </c>
      <c r="L628" s="198" t="s">
        <v>132</v>
      </c>
      <c r="P628" s="201"/>
      <c r="R628" s="202">
        <v>109482692.38</v>
      </c>
      <c r="U628" s="198" t="s">
        <v>969</v>
      </c>
      <c r="AA628" s="198" t="s">
        <v>51</v>
      </c>
      <c r="AB628" s="202">
        <v>109482692.38</v>
      </c>
      <c r="AC628" s="202">
        <v>109482692.38</v>
      </c>
    </row>
    <row r="629" spans="1:29" outlineLevel="2" x14ac:dyDescent="0.25">
      <c r="A629" s="201">
        <v>46034</v>
      </c>
      <c r="D629" s="198" t="s">
        <v>54</v>
      </c>
      <c r="E629" s="202">
        <v>48000000.619999997</v>
      </c>
      <c r="K629" s="198" t="s">
        <v>970</v>
      </c>
      <c r="L629" s="198" t="s">
        <v>132</v>
      </c>
      <c r="P629" s="201"/>
      <c r="R629" s="202">
        <v>48000000.619999997</v>
      </c>
      <c r="U629" s="198" t="s">
        <v>969</v>
      </c>
      <c r="AA629" s="198" t="s">
        <v>51</v>
      </c>
      <c r="AB629" s="202">
        <v>48000000.619999997</v>
      </c>
      <c r="AC629" s="202">
        <v>48000000.619999997</v>
      </c>
    </row>
    <row r="630" spans="1:29" outlineLevel="2" x14ac:dyDescent="0.25">
      <c r="A630" s="201">
        <v>46071</v>
      </c>
      <c r="D630" s="198" t="s">
        <v>54</v>
      </c>
      <c r="E630" s="202">
        <v>5890278.5999999996</v>
      </c>
      <c r="K630" s="198" t="s">
        <v>970</v>
      </c>
      <c r="L630" s="198" t="s">
        <v>132</v>
      </c>
      <c r="P630" s="201"/>
      <c r="R630" s="202">
        <v>5890278.5999999996</v>
      </c>
      <c r="U630" s="198" t="s">
        <v>969</v>
      </c>
      <c r="AA630" s="198" t="s">
        <v>51</v>
      </c>
      <c r="AB630" s="202">
        <v>5890278.5999999996</v>
      </c>
      <c r="AC630" s="202">
        <v>5890278.5999999996</v>
      </c>
    </row>
    <row r="631" spans="1:29" outlineLevel="2" x14ac:dyDescent="0.25">
      <c r="A631" s="201">
        <v>46101</v>
      </c>
      <c r="D631" s="198" t="s">
        <v>54</v>
      </c>
      <c r="E631" s="202">
        <v>435367</v>
      </c>
      <c r="K631" s="198" t="s">
        <v>970</v>
      </c>
      <c r="L631" s="198" t="s">
        <v>132</v>
      </c>
      <c r="P631" s="201"/>
      <c r="R631" s="202">
        <v>435367</v>
      </c>
      <c r="U631" s="198" t="s">
        <v>969</v>
      </c>
      <c r="AA631" s="198" t="s">
        <v>51</v>
      </c>
      <c r="AB631" s="202">
        <v>435367</v>
      </c>
      <c r="AC631" s="202">
        <v>435367</v>
      </c>
    </row>
    <row r="632" spans="1:29" outlineLevel="2" x14ac:dyDescent="0.25">
      <c r="A632" s="201">
        <v>46134</v>
      </c>
      <c r="D632" s="198" t="s">
        <v>54</v>
      </c>
      <c r="E632" s="202">
        <v>2157800</v>
      </c>
      <c r="K632" s="198" t="s">
        <v>970</v>
      </c>
      <c r="L632" s="198" t="s">
        <v>132</v>
      </c>
      <c r="P632" s="201"/>
      <c r="R632" s="202">
        <v>2157800</v>
      </c>
      <c r="U632" s="198" t="s">
        <v>969</v>
      </c>
      <c r="AA632" s="198" t="s">
        <v>51</v>
      </c>
      <c r="AB632" s="202">
        <v>2157800</v>
      </c>
      <c r="AC632" s="202">
        <v>2157800</v>
      </c>
    </row>
    <row r="633" spans="1:29" outlineLevel="1" x14ac:dyDescent="0.25">
      <c r="A633" s="210"/>
      <c r="B633" s="209"/>
      <c r="C633" s="209"/>
      <c r="D633" s="209" t="s">
        <v>54</v>
      </c>
      <c r="E633" s="211">
        <v>1129079225.0599999</v>
      </c>
      <c r="F633" s="209"/>
      <c r="G633" s="209"/>
      <c r="H633" s="209"/>
      <c r="I633" s="209"/>
      <c r="J633" s="209"/>
      <c r="K633" s="209" t="s">
        <v>54</v>
      </c>
      <c r="L633" s="209" t="s">
        <v>54</v>
      </c>
      <c r="M633" s="209"/>
      <c r="N633" s="209"/>
      <c r="O633" s="209"/>
      <c r="P633" s="210"/>
      <c r="Q633" s="209"/>
      <c r="R633" s="212"/>
      <c r="S633" s="209"/>
      <c r="T633" s="209"/>
      <c r="U633" s="209" t="s">
        <v>54</v>
      </c>
      <c r="V633" s="209"/>
      <c r="W633" s="209"/>
      <c r="X633" s="209"/>
      <c r="Y633" s="209"/>
      <c r="Z633" s="209"/>
      <c r="AA633" s="209" t="s">
        <v>54</v>
      </c>
      <c r="AB633" s="212"/>
      <c r="AC633" s="212"/>
    </row>
    <row r="634" spans="1:29" outlineLevel="2" x14ac:dyDescent="0.25">
      <c r="A634" s="201">
        <v>46004</v>
      </c>
      <c r="D634" s="198" t="s">
        <v>54</v>
      </c>
      <c r="E634" s="202">
        <v>129360000</v>
      </c>
      <c r="K634" s="198" t="s">
        <v>971</v>
      </c>
      <c r="L634" s="198" t="s">
        <v>132</v>
      </c>
      <c r="P634" s="201"/>
      <c r="R634" s="202">
        <v>129360000</v>
      </c>
      <c r="U634" s="198" t="s">
        <v>520</v>
      </c>
      <c r="AA634" s="198" t="s">
        <v>51</v>
      </c>
      <c r="AB634" s="202">
        <v>129360000</v>
      </c>
      <c r="AC634" s="202">
        <v>129360000</v>
      </c>
    </row>
    <row r="635" spans="1:29" outlineLevel="2" x14ac:dyDescent="0.25">
      <c r="A635" s="201">
        <v>46020</v>
      </c>
      <c r="D635" s="198" t="s">
        <v>54</v>
      </c>
      <c r="E635" s="202">
        <v>-5920950</v>
      </c>
      <c r="K635" s="198" t="s">
        <v>971</v>
      </c>
      <c r="L635" s="198" t="s">
        <v>132</v>
      </c>
      <c r="P635" s="201"/>
      <c r="R635" s="202">
        <v>-5920950</v>
      </c>
      <c r="U635" s="198" t="s">
        <v>520</v>
      </c>
      <c r="AA635" s="198" t="s">
        <v>51</v>
      </c>
      <c r="AB635" s="202">
        <v>-5920950</v>
      </c>
      <c r="AC635" s="202">
        <v>-5920950</v>
      </c>
    </row>
    <row r="636" spans="1:29" outlineLevel="2" x14ac:dyDescent="0.25">
      <c r="A636" s="201">
        <v>46134</v>
      </c>
      <c r="D636" s="198" t="s">
        <v>54</v>
      </c>
      <c r="E636" s="202">
        <v>2157800</v>
      </c>
      <c r="K636" s="198" t="s">
        <v>971</v>
      </c>
      <c r="L636" s="198" t="s">
        <v>132</v>
      </c>
      <c r="P636" s="201"/>
      <c r="R636" s="202">
        <v>2157800</v>
      </c>
      <c r="U636" s="198" t="s">
        <v>520</v>
      </c>
      <c r="AA636" s="198" t="s">
        <v>51</v>
      </c>
      <c r="AB636" s="202">
        <v>2157800</v>
      </c>
      <c r="AC636" s="202">
        <v>2157800</v>
      </c>
    </row>
    <row r="637" spans="1:29" outlineLevel="1" x14ac:dyDescent="0.25">
      <c r="A637" s="210"/>
      <c r="B637" s="209"/>
      <c r="C637" s="209"/>
      <c r="D637" s="209" t="s">
        <v>54</v>
      </c>
      <c r="E637" s="211">
        <v>125596850</v>
      </c>
      <c r="F637" s="209"/>
      <c r="G637" s="209"/>
      <c r="H637" s="209"/>
      <c r="I637" s="209"/>
      <c r="J637" s="209"/>
      <c r="K637" s="209" t="s">
        <v>54</v>
      </c>
      <c r="L637" s="209" t="s">
        <v>54</v>
      </c>
      <c r="M637" s="209"/>
      <c r="N637" s="209"/>
      <c r="O637" s="209"/>
      <c r="P637" s="210"/>
      <c r="Q637" s="209"/>
      <c r="R637" s="212"/>
      <c r="S637" s="209"/>
      <c r="T637" s="209"/>
      <c r="U637" s="209" t="s">
        <v>54</v>
      </c>
      <c r="V637" s="209"/>
      <c r="W637" s="209"/>
      <c r="X637" s="209"/>
      <c r="Y637" s="209"/>
      <c r="Z637" s="209"/>
      <c r="AA637" s="209" t="s">
        <v>54</v>
      </c>
      <c r="AB637" s="212"/>
      <c r="AC637" s="212"/>
    </row>
    <row r="638" spans="1:29" outlineLevel="2" x14ac:dyDescent="0.25">
      <c r="A638" s="201">
        <v>46018</v>
      </c>
      <c r="D638" s="198" t="s">
        <v>54</v>
      </c>
      <c r="E638" s="202">
        <v>495262421</v>
      </c>
      <c r="K638" s="198" t="s">
        <v>972</v>
      </c>
      <c r="L638" s="198" t="s">
        <v>132</v>
      </c>
      <c r="P638" s="201"/>
      <c r="R638" s="202">
        <v>495262421</v>
      </c>
      <c r="U638" s="198" t="s">
        <v>582</v>
      </c>
      <c r="AA638" s="198" t="s">
        <v>51</v>
      </c>
      <c r="AB638" s="202">
        <v>495262421</v>
      </c>
      <c r="AC638" s="202">
        <v>495262421</v>
      </c>
    </row>
    <row r="639" spans="1:29" outlineLevel="2" x14ac:dyDescent="0.25">
      <c r="A639" s="201">
        <v>46020</v>
      </c>
      <c r="D639" s="198" t="s">
        <v>54</v>
      </c>
      <c r="E639" s="202">
        <v>-21150795.920000002</v>
      </c>
      <c r="K639" s="198" t="s">
        <v>972</v>
      </c>
      <c r="L639" s="198" t="s">
        <v>132</v>
      </c>
      <c r="P639" s="201"/>
      <c r="R639" s="202">
        <v>-21150795.920000002</v>
      </c>
      <c r="U639" s="198" t="s">
        <v>582</v>
      </c>
      <c r="AA639" s="198" t="s">
        <v>51</v>
      </c>
      <c r="AB639" s="202">
        <v>-21150795.920000002</v>
      </c>
      <c r="AC639" s="202">
        <v>-21150795.920000002</v>
      </c>
    </row>
    <row r="640" spans="1:29" outlineLevel="1" x14ac:dyDescent="0.25">
      <c r="A640" s="210"/>
      <c r="B640" s="209"/>
      <c r="C640" s="209"/>
      <c r="D640" s="209" t="s">
        <v>54</v>
      </c>
      <c r="E640" s="211">
        <v>474111625.07999998</v>
      </c>
      <c r="F640" s="209"/>
      <c r="G640" s="209"/>
      <c r="H640" s="209"/>
      <c r="I640" s="209"/>
      <c r="J640" s="209"/>
      <c r="K640" s="209" t="s">
        <v>54</v>
      </c>
      <c r="L640" s="209" t="s">
        <v>54</v>
      </c>
      <c r="M640" s="209"/>
      <c r="N640" s="209"/>
      <c r="O640" s="209"/>
      <c r="P640" s="210"/>
      <c r="Q640" s="209"/>
      <c r="R640" s="212"/>
      <c r="S640" s="209"/>
      <c r="T640" s="209"/>
      <c r="U640" s="209" t="s">
        <v>54</v>
      </c>
      <c r="V640" s="209"/>
      <c r="W640" s="209"/>
      <c r="X640" s="209"/>
      <c r="Y640" s="209"/>
      <c r="Z640" s="209"/>
      <c r="AA640" s="209" t="s">
        <v>54</v>
      </c>
      <c r="AB640" s="212"/>
      <c r="AC640" s="212"/>
    </row>
    <row r="641" spans="1:29" outlineLevel="2" x14ac:dyDescent="0.25">
      <c r="A641" s="201">
        <v>46006</v>
      </c>
      <c r="D641" s="198" t="s">
        <v>54</v>
      </c>
      <c r="E641" s="202">
        <v>151657332</v>
      </c>
      <c r="K641" s="198" t="s">
        <v>973</v>
      </c>
      <c r="L641" s="198" t="s">
        <v>132</v>
      </c>
      <c r="P641" s="201"/>
      <c r="R641" s="202">
        <v>151657332</v>
      </c>
      <c r="U641" s="198" t="s">
        <v>832</v>
      </c>
      <c r="AA641" s="198" t="s">
        <v>51</v>
      </c>
      <c r="AB641" s="202">
        <v>151657332</v>
      </c>
      <c r="AC641" s="202">
        <v>151657332</v>
      </c>
    </row>
    <row r="642" spans="1:29" outlineLevel="2" x14ac:dyDescent="0.25">
      <c r="A642" s="201">
        <v>46020</v>
      </c>
      <c r="D642" s="198" t="s">
        <v>54</v>
      </c>
      <c r="E642" s="202">
        <v>-4172972</v>
      </c>
      <c r="K642" s="198" t="s">
        <v>973</v>
      </c>
      <c r="L642" s="198" t="s">
        <v>132</v>
      </c>
      <c r="P642" s="201"/>
      <c r="R642" s="202">
        <v>-4172972</v>
      </c>
      <c r="U642" s="198" t="s">
        <v>832</v>
      </c>
      <c r="AA642" s="198" t="s">
        <v>51</v>
      </c>
      <c r="AB642" s="202">
        <v>-4172972</v>
      </c>
      <c r="AC642" s="202">
        <v>-4172972</v>
      </c>
    </row>
    <row r="643" spans="1:29" outlineLevel="2" x14ac:dyDescent="0.25">
      <c r="A643" s="201">
        <v>46101</v>
      </c>
      <c r="D643" s="198" t="s">
        <v>54</v>
      </c>
      <c r="E643" s="202">
        <v>435367</v>
      </c>
      <c r="K643" s="198" t="s">
        <v>973</v>
      </c>
      <c r="L643" s="198" t="s">
        <v>132</v>
      </c>
      <c r="P643" s="201"/>
      <c r="R643" s="202">
        <v>435367</v>
      </c>
      <c r="U643" s="198" t="s">
        <v>832</v>
      </c>
      <c r="AA643" s="198" t="s">
        <v>51</v>
      </c>
      <c r="AB643" s="202">
        <v>435367</v>
      </c>
      <c r="AC643" s="202">
        <v>435367</v>
      </c>
    </row>
    <row r="644" spans="1:29" outlineLevel="1" x14ac:dyDescent="0.25">
      <c r="A644" s="210"/>
      <c r="B644" s="209"/>
      <c r="C644" s="209"/>
      <c r="D644" s="209" t="s">
        <v>54</v>
      </c>
      <c r="E644" s="211">
        <v>147919727</v>
      </c>
      <c r="F644" s="209"/>
      <c r="G644" s="209"/>
      <c r="H644" s="209"/>
      <c r="I644" s="209"/>
      <c r="J644" s="209"/>
      <c r="K644" s="209" t="s">
        <v>54</v>
      </c>
      <c r="L644" s="209" t="s">
        <v>54</v>
      </c>
      <c r="M644" s="209"/>
      <c r="N644" s="209"/>
      <c r="O644" s="209"/>
      <c r="P644" s="210"/>
      <c r="Q644" s="209"/>
      <c r="R644" s="212"/>
      <c r="S644" s="209"/>
      <c r="T644" s="209"/>
      <c r="U644" s="209" t="s">
        <v>54</v>
      </c>
      <c r="V644" s="209"/>
      <c r="W644" s="209"/>
      <c r="X644" s="209"/>
      <c r="Y644" s="209"/>
      <c r="Z644" s="209"/>
      <c r="AA644" s="209" t="s">
        <v>54</v>
      </c>
      <c r="AB644" s="212"/>
      <c r="AC644" s="212"/>
    </row>
    <row r="645" spans="1:29" outlineLevel="2" x14ac:dyDescent="0.25">
      <c r="A645" s="201">
        <v>46004</v>
      </c>
      <c r="D645" s="198" t="s">
        <v>54</v>
      </c>
      <c r="E645" s="202">
        <v>151657332</v>
      </c>
      <c r="K645" s="198" t="s">
        <v>974</v>
      </c>
      <c r="L645" s="198" t="s">
        <v>132</v>
      </c>
      <c r="P645" s="201"/>
      <c r="R645" s="202">
        <v>151657332</v>
      </c>
      <c r="U645" s="198" t="s">
        <v>131</v>
      </c>
      <c r="AA645" s="198" t="s">
        <v>51</v>
      </c>
      <c r="AB645" s="202">
        <v>151657332</v>
      </c>
      <c r="AC645" s="202">
        <v>151657332</v>
      </c>
    </row>
    <row r="646" spans="1:29" outlineLevel="2" x14ac:dyDescent="0.25">
      <c r="A646" s="201">
        <v>46006</v>
      </c>
      <c r="D646" s="198" t="s">
        <v>54</v>
      </c>
      <c r="E646" s="202">
        <v>-11657332</v>
      </c>
      <c r="K646" s="198" t="s">
        <v>974</v>
      </c>
      <c r="L646" s="198" t="s">
        <v>132</v>
      </c>
      <c r="P646" s="201"/>
      <c r="R646" s="202">
        <v>-11657332</v>
      </c>
      <c r="U646" s="198" t="s">
        <v>131</v>
      </c>
      <c r="AA646" s="198" t="s">
        <v>51</v>
      </c>
      <c r="AB646" s="202">
        <v>-11657332</v>
      </c>
      <c r="AC646" s="202">
        <v>-11657332</v>
      </c>
    </row>
    <row r="647" spans="1:29" outlineLevel="2" x14ac:dyDescent="0.25">
      <c r="A647" s="201">
        <v>46015</v>
      </c>
      <c r="D647" s="198" t="s">
        <v>54</v>
      </c>
      <c r="E647" s="202">
        <v>45900000</v>
      </c>
      <c r="K647" s="198" t="s">
        <v>974</v>
      </c>
      <c r="L647" s="198" t="s">
        <v>132</v>
      </c>
      <c r="P647" s="201"/>
      <c r="R647" s="202">
        <v>45900000</v>
      </c>
      <c r="U647" s="198" t="s">
        <v>131</v>
      </c>
      <c r="AA647" s="198" t="s">
        <v>51</v>
      </c>
      <c r="AB647" s="202">
        <v>45900000</v>
      </c>
      <c r="AC647" s="202">
        <v>45900000</v>
      </c>
    </row>
    <row r="648" spans="1:29" outlineLevel="2" x14ac:dyDescent="0.25">
      <c r="A648" s="201">
        <v>46021</v>
      </c>
      <c r="D648" s="198" t="s">
        <v>54</v>
      </c>
      <c r="E648" s="202">
        <v>109482692.38</v>
      </c>
      <c r="K648" s="198" t="s">
        <v>974</v>
      </c>
      <c r="L648" s="198" t="s">
        <v>132</v>
      </c>
      <c r="P648" s="201"/>
      <c r="R648" s="202">
        <v>109482692.38</v>
      </c>
      <c r="U648" s="198" t="s">
        <v>131</v>
      </c>
      <c r="AA648" s="198" t="s">
        <v>51</v>
      </c>
      <c r="AB648" s="202">
        <v>109482692.38</v>
      </c>
      <c r="AC648" s="202">
        <v>109482692.38</v>
      </c>
    </row>
    <row r="649" spans="1:29" outlineLevel="2" x14ac:dyDescent="0.25">
      <c r="A649" s="201">
        <v>46034</v>
      </c>
      <c r="D649" s="198" t="s">
        <v>54</v>
      </c>
      <c r="E649" s="202">
        <v>48000000.619999997</v>
      </c>
      <c r="K649" s="198" t="s">
        <v>974</v>
      </c>
      <c r="L649" s="198" t="s">
        <v>132</v>
      </c>
      <c r="P649" s="201"/>
      <c r="R649" s="202">
        <v>48000000.619999997</v>
      </c>
      <c r="U649" s="198" t="s">
        <v>131</v>
      </c>
      <c r="AA649" s="198" t="s">
        <v>51</v>
      </c>
      <c r="AB649" s="202">
        <v>48000000.619999997</v>
      </c>
      <c r="AC649" s="202">
        <v>48000000.619999997</v>
      </c>
    </row>
    <row r="650" spans="1:29" outlineLevel="2" x14ac:dyDescent="0.25">
      <c r="A650" s="201">
        <v>46071</v>
      </c>
      <c r="D650" s="198" t="s">
        <v>54</v>
      </c>
      <c r="E650" s="202">
        <v>5890278.5999999996</v>
      </c>
      <c r="K650" s="198" t="s">
        <v>974</v>
      </c>
      <c r="L650" s="198" t="s">
        <v>132</v>
      </c>
      <c r="P650" s="201"/>
      <c r="R650" s="202">
        <v>5890278.5999999996</v>
      </c>
      <c r="U650" s="198" t="s">
        <v>131</v>
      </c>
      <c r="AA650" s="198" t="s">
        <v>51</v>
      </c>
      <c r="AB650" s="202">
        <v>5890278.5999999996</v>
      </c>
      <c r="AC650" s="202">
        <v>5890278.5999999996</v>
      </c>
    </row>
    <row r="651" spans="1:29" outlineLevel="1" x14ac:dyDescent="0.25">
      <c r="A651" s="210"/>
      <c r="B651" s="209"/>
      <c r="C651" s="209"/>
      <c r="D651" s="209" t="s">
        <v>54</v>
      </c>
      <c r="E651" s="211">
        <v>349272971.60000002</v>
      </c>
      <c r="F651" s="209"/>
      <c r="G651" s="209"/>
      <c r="H651" s="209"/>
      <c r="I651" s="209"/>
      <c r="J651" s="209"/>
      <c r="K651" s="209" t="s">
        <v>54</v>
      </c>
      <c r="L651" s="209" t="s">
        <v>54</v>
      </c>
      <c r="M651" s="209"/>
      <c r="N651" s="209"/>
      <c r="O651" s="209"/>
      <c r="P651" s="210"/>
      <c r="Q651" s="209"/>
      <c r="R651" s="212"/>
      <c r="S651" s="209"/>
      <c r="T651" s="209"/>
      <c r="U651" s="209" t="s">
        <v>54</v>
      </c>
      <c r="V651" s="209"/>
      <c r="W651" s="209"/>
      <c r="X651" s="209"/>
      <c r="Y651" s="209"/>
      <c r="Z651" s="209"/>
      <c r="AA651" s="209" t="s">
        <v>54</v>
      </c>
      <c r="AB651" s="212"/>
      <c r="AC651" s="212"/>
    </row>
    <row r="652" spans="1:29" outlineLevel="2" x14ac:dyDescent="0.25">
      <c r="A652" s="201">
        <v>46004</v>
      </c>
      <c r="D652" s="198" t="s">
        <v>54</v>
      </c>
      <c r="E652" s="202">
        <v>140000000</v>
      </c>
      <c r="K652" s="198" t="s">
        <v>975</v>
      </c>
      <c r="L652" s="198" t="s">
        <v>132</v>
      </c>
      <c r="P652" s="201"/>
      <c r="R652" s="202">
        <v>140000000</v>
      </c>
      <c r="U652" s="198" t="s">
        <v>555</v>
      </c>
      <c r="AA652" s="198" t="s">
        <v>51</v>
      </c>
      <c r="AB652" s="202">
        <v>140000000</v>
      </c>
      <c r="AC652" s="202">
        <v>140000000</v>
      </c>
    </row>
    <row r="653" spans="1:29" outlineLevel="2" x14ac:dyDescent="0.25">
      <c r="A653" s="201">
        <v>46006</v>
      </c>
      <c r="D653" s="198" t="s">
        <v>54</v>
      </c>
      <c r="E653" s="202">
        <v>-140000000</v>
      </c>
      <c r="K653" s="198" t="s">
        <v>975</v>
      </c>
      <c r="L653" s="198" t="s">
        <v>132</v>
      </c>
      <c r="P653" s="201"/>
      <c r="R653" s="202">
        <v>-140000000</v>
      </c>
      <c r="U653" s="198" t="s">
        <v>555</v>
      </c>
      <c r="AA653" s="198" t="s">
        <v>51</v>
      </c>
      <c r="AB653" s="202">
        <v>-140000000</v>
      </c>
      <c r="AC653" s="202">
        <v>-140000000</v>
      </c>
    </row>
    <row r="654" spans="1:29" outlineLevel="2" x14ac:dyDescent="0.25">
      <c r="A654" s="201">
        <v>46015</v>
      </c>
      <c r="D654" s="198" t="s">
        <v>54</v>
      </c>
      <c r="E654" s="202">
        <v>925000</v>
      </c>
      <c r="K654" s="198" t="s">
        <v>975</v>
      </c>
      <c r="L654" s="198" t="s">
        <v>132</v>
      </c>
      <c r="P654" s="201"/>
      <c r="R654" s="202">
        <v>925000</v>
      </c>
      <c r="U654" s="198" t="s">
        <v>555</v>
      </c>
      <c r="AA654" s="198" t="s">
        <v>51</v>
      </c>
      <c r="AB654" s="202">
        <v>925000</v>
      </c>
      <c r="AC654" s="202">
        <v>925000</v>
      </c>
    </row>
    <row r="655" spans="1:29" outlineLevel="2" x14ac:dyDescent="0.25">
      <c r="A655" s="201">
        <v>46018</v>
      </c>
      <c r="D655" s="198" t="s">
        <v>54</v>
      </c>
      <c r="E655" s="202">
        <v>9075000</v>
      </c>
      <c r="K655" s="198" t="s">
        <v>975</v>
      </c>
      <c r="L655" s="198" t="s">
        <v>132</v>
      </c>
      <c r="P655" s="201"/>
      <c r="R655" s="202">
        <v>9075000</v>
      </c>
      <c r="U655" s="198" t="s">
        <v>555</v>
      </c>
      <c r="AA655" s="198" t="s">
        <v>51</v>
      </c>
      <c r="AB655" s="202">
        <v>9075000</v>
      </c>
      <c r="AC655" s="202">
        <v>9075000</v>
      </c>
    </row>
    <row r="656" spans="1:29" outlineLevel="2" x14ac:dyDescent="0.25">
      <c r="A656" s="201">
        <v>46020</v>
      </c>
      <c r="D656" s="198" t="s">
        <v>54</v>
      </c>
      <c r="E656" s="202">
        <v>24894323.350000001</v>
      </c>
      <c r="K656" s="198" t="s">
        <v>975</v>
      </c>
      <c r="L656" s="198" t="s">
        <v>132</v>
      </c>
      <c r="P656" s="201"/>
      <c r="R656" s="202">
        <v>24894323.350000001</v>
      </c>
      <c r="U656" s="198" t="s">
        <v>555</v>
      </c>
      <c r="AA656" s="198" t="s">
        <v>51</v>
      </c>
      <c r="AB656" s="202">
        <v>24894323.350000001</v>
      </c>
      <c r="AC656" s="202">
        <v>24894323.350000001</v>
      </c>
    </row>
    <row r="657" spans="1:29" outlineLevel="2" x14ac:dyDescent="0.25">
      <c r="A657" s="201">
        <v>46020</v>
      </c>
      <c r="D657" s="198" t="s">
        <v>54</v>
      </c>
      <c r="E657" s="202">
        <v>-3842771.97</v>
      </c>
      <c r="K657" s="198" t="s">
        <v>975</v>
      </c>
      <c r="L657" s="198" t="s">
        <v>132</v>
      </c>
      <c r="P657" s="201"/>
      <c r="R657" s="202">
        <v>-3842771.97</v>
      </c>
      <c r="U657" s="198" t="s">
        <v>555</v>
      </c>
      <c r="AA657" s="198" t="s">
        <v>51</v>
      </c>
      <c r="AB657" s="202">
        <v>-3842771.97</v>
      </c>
      <c r="AC657" s="202">
        <v>-3842771.97</v>
      </c>
    </row>
    <row r="658" spans="1:29" outlineLevel="2" x14ac:dyDescent="0.25">
      <c r="A658" s="201">
        <v>46020</v>
      </c>
      <c r="D658" s="198" t="s">
        <v>54</v>
      </c>
      <c r="E658" s="202">
        <v>1126500</v>
      </c>
      <c r="K658" s="198" t="s">
        <v>975</v>
      </c>
      <c r="L658" s="198" t="s">
        <v>132</v>
      </c>
      <c r="P658" s="201"/>
      <c r="R658" s="202">
        <v>1126500</v>
      </c>
      <c r="U658" s="198" t="s">
        <v>555</v>
      </c>
      <c r="AA658" s="198" t="s">
        <v>51</v>
      </c>
      <c r="AB658" s="202">
        <v>1126500</v>
      </c>
      <c r="AC658" s="202">
        <v>1126500</v>
      </c>
    </row>
    <row r="659" spans="1:29" outlineLevel="1" x14ac:dyDescent="0.25">
      <c r="A659" s="210"/>
      <c r="B659" s="209"/>
      <c r="C659" s="209"/>
      <c r="D659" s="209" t="s">
        <v>54</v>
      </c>
      <c r="E659" s="211">
        <v>32178051.379999999</v>
      </c>
      <c r="F659" s="209"/>
      <c r="G659" s="209"/>
      <c r="H659" s="209"/>
      <c r="I659" s="209"/>
      <c r="J659" s="209"/>
      <c r="K659" s="209" t="s">
        <v>54</v>
      </c>
      <c r="L659" s="209" t="s">
        <v>54</v>
      </c>
      <c r="M659" s="209"/>
      <c r="N659" s="209"/>
      <c r="O659" s="209"/>
      <c r="P659" s="210"/>
      <c r="Q659" s="209"/>
      <c r="R659" s="212"/>
      <c r="S659" s="209"/>
      <c r="T659" s="209"/>
      <c r="U659" s="209" t="s">
        <v>54</v>
      </c>
      <c r="V659" s="209"/>
      <c r="W659" s="209"/>
      <c r="X659" s="209"/>
      <c r="Y659" s="209"/>
      <c r="Z659" s="209"/>
      <c r="AA659" s="209" t="s">
        <v>54</v>
      </c>
      <c r="AB659" s="212"/>
      <c r="AC659" s="212"/>
    </row>
    <row r="660" spans="1:29" outlineLevel="2" x14ac:dyDescent="0.25">
      <c r="A660" s="201">
        <v>46018</v>
      </c>
      <c r="D660" s="198" t="s">
        <v>54</v>
      </c>
      <c r="E660" s="202">
        <v>10000000</v>
      </c>
      <c r="K660" s="198" t="s">
        <v>977</v>
      </c>
      <c r="L660" s="198" t="s">
        <v>132</v>
      </c>
      <c r="P660" s="201"/>
      <c r="R660" s="202">
        <v>10000000</v>
      </c>
      <c r="U660" s="198" t="s">
        <v>976</v>
      </c>
      <c r="AA660" s="198" t="s">
        <v>51</v>
      </c>
      <c r="AB660" s="202">
        <v>10000000</v>
      </c>
      <c r="AC660" s="202">
        <v>10000000</v>
      </c>
    </row>
    <row r="661" spans="1:29" outlineLevel="2" x14ac:dyDescent="0.25">
      <c r="A661" s="201">
        <v>46018</v>
      </c>
      <c r="D661" s="198" t="s">
        <v>54</v>
      </c>
      <c r="E661" s="202">
        <v>-10000000</v>
      </c>
      <c r="K661" s="198" t="s">
        <v>977</v>
      </c>
      <c r="L661" s="198" t="s">
        <v>132</v>
      </c>
      <c r="P661" s="201"/>
      <c r="R661" s="202">
        <v>-10000000</v>
      </c>
      <c r="U661" s="198" t="s">
        <v>976</v>
      </c>
      <c r="AA661" s="198" t="s">
        <v>51</v>
      </c>
      <c r="AB661" s="202">
        <v>-10000000</v>
      </c>
      <c r="AC661" s="202">
        <v>-10000000</v>
      </c>
    </row>
    <row r="662" spans="1:29" outlineLevel="1" x14ac:dyDescent="0.25">
      <c r="A662" s="210"/>
      <c r="B662" s="209"/>
      <c r="C662" s="209"/>
      <c r="D662" s="209" t="s">
        <v>54</v>
      </c>
      <c r="E662" s="211">
        <v>0</v>
      </c>
      <c r="F662" s="209"/>
      <c r="G662" s="209"/>
      <c r="H662" s="209"/>
      <c r="I662" s="209"/>
      <c r="J662" s="209"/>
      <c r="K662" s="209" t="s">
        <v>54</v>
      </c>
      <c r="L662" s="209" t="s">
        <v>54</v>
      </c>
      <c r="M662" s="209"/>
      <c r="N662" s="209"/>
      <c r="O662" s="209"/>
      <c r="P662" s="210"/>
      <c r="Q662" s="209"/>
      <c r="R662" s="212"/>
      <c r="S662" s="209"/>
      <c r="T662" s="209"/>
      <c r="U662" s="209" t="s">
        <v>54</v>
      </c>
      <c r="V662" s="209"/>
      <c r="W662" s="209"/>
      <c r="X662" s="209"/>
      <c r="Y662" s="209"/>
      <c r="Z662" s="209"/>
      <c r="AA662" s="209" t="s">
        <v>54</v>
      </c>
      <c r="AB662" s="212"/>
      <c r="AC662" s="212"/>
    </row>
    <row r="663" spans="1:29" outlineLevel="2" x14ac:dyDescent="0.25">
      <c r="A663" s="201">
        <v>46090</v>
      </c>
      <c r="D663" s="198" t="s">
        <v>54</v>
      </c>
      <c r="E663" s="202">
        <v>1114867</v>
      </c>
      <c r="K663" s="198" t="s">
        <v>979</v>
      </c>
      <c r="L663" s="198" t="s">
        <v>132</v>
      </c>
      <c r="P663" s="201"/>
      <c r="R663" s="202">
        <v>1114867</v>
      </c>
      <c r="U663" s="198" t="s">
        <v>978</v>
      </c>
      <c r="AA663" s="198" t="s">
        <v>51</v>
      </c>
      <c r="AB663" s="202">
        <v>1114867</v>
      </c>
      <c r="AC663" s="202">
        <v>1114867</v>
      </c>
    </row>
    <row r="664" spans="1:29" outlineLevel="2" x14ac:dyDescent="0.25">
      <c r="A664" s="201">
        <v>46090</v>
      </c>
      <c r="D664" s="198" t="s">
        <v>54</v>
      </c>
      <c r="E664" s="202">
        <v>1114867</v>
      </c>
      <c r="K664" s="198" t="s">
        <v>979</v>
      </c>
      <c r="L664" s="198" t="s">
        <v>132</v>
      </c>
      <c r="P664" s="201"/>
      <c r="R664" s="202">
        <v>1114867</v>
      </c>
      <c r="U664" s="198" t="s">
        <v>978</v>
      </c>
      <c r="AA664" s="198" t="s">
        <v>51</v>
      </c>
      <c r="AB664" s="202">
        <v>1114867</v>
      </c>
      <c r="AC664" s="202">
        <v>1114867</v>
      </c>
    </row>
    <row r="665" spans="1:29" outlineLevel="2" x14ac:dyDescent="0.25">
      <c r="A665" s="201">
        <v>46117</v>
      </c>
      <c r="D665" s="198" t="s">
        <v>54</v>
      </c>
      <c r="E665" s="202">
        <v>385898</v>
      </c>
      <c r="K665" s="198" t="s">
        <v>979</v>
      </c>
      <c r="L665" s="198" t="s">
        <v>132</v>
      </c>
      <c r="P665" s="201"/>
      <c r="R665" s="202">
        <v>385898</v>
      </c>
      <c r="U665" s="198" t="s">
        <v>978</v>
      </c>
      <c r="AA665" s="198" t="s">
        <v>51</v>
      </c>
      <c r="AB665" s="202">
        <v>385898</v>
      </c>
      <c r="AC665" s="202">
        <v>385898</v>
      </c>
    </row>
    <row r="666" spans="1:29" outlineLevel="2" x14ac:dyDescent="0.25">
      <c r="A666" s="201">
        <v>46150</v>
      </c>
      <c r="D666" s="198" t="s">
        <v>54</v>
      </c>
      <c r="E666" s="202">
        <v>187624.52</v>
      </c>
      <c r="K666" s="198" t="s">
        <v>979</v>
      </c>
      <c r="L666" s="198" t="s">
        <v>132</v>
      </c>
      <c r="P666" s="201"/>
      <c r="R666" s="202">
        <v>187624.52</v>
      </c>
      <c r="U666" s="198" t="s">
        <v>978</v>
      </c>
      <c r="AA666" s="198" t="s">
        <v>51</v>
      </c>
      <c r="AB666" s="202">
        <v>187624.52</v>
      </c>
      <c r="AC666" s="202">
        <v>187624.52</v>
      </c>
    </row>
    <row r="667" spans="1:29" outlineLevel="2" x14ac:dyDescent="0.25">
      <c r="A667" s="201">
        <v>46150</v>
      </c>
      <c r="D667" s="198" t="s">
        <v>54</v>
      </c>
      <c r="E667" s="202">
        <v>-21286</v>
      </c>
      <c r="K667" s="198" t="s">
        <v>979</v>
      </c>
      <c r="L667" s="198" t="s">
        <v>132</v>
      </c>
      <c r="P667" s="201"/>
      <c r="R667" s="202">
        <v>-21286</v>
      </c>
      <c r="U667" s="198" t="s">
        <v>978</v>
      </c>
      <c r="AA667" s="198" t="s">
        <v>51</v>
      </c>
      <c r="AB667" s="202">
        <v>-21286</v>
      </c>
      <c r="AC667" s="202">
        <v>-21286</v>
      </c>
    </row>
    <row r="668" spans="1:29" outlineLevel="1" x14ac:dyDescent="0.25">
      <c r="A668" s="210"/>
      <c r="B668" s="209"/>
      <c r="C668" s="209"/>
      <c r="D668" s="209" t="s">
        <v>54</v>
      </c>
      <c r="E668" s="211">
        <v>2781970.52</v>
      </c>
      <c r="F668" s="209"/>
      <c r="G668" s="209"/>
      <c r="H668" s="209"/>
      <c r="I668" s="209"/>
      <c r="J668" s="209"/>
      <c r="K668" s="209" t="s">
        <v>54</v>
      </c>
      <c r="L668" s="209" t="s">
        <v>54</v>
      </c>
      <c r="M668" s="209"/>
      <c r="N668" s="209"/>
      <c r="O668" s="209"/>
      <c r="P668" s="210"/>
      <c r="Q668" s="209"/>
      <c r="R668" s="212"/>
      <c r="S668" s="209"/>
      <c r="T668" s="209"/>
      <c r="U668" s="209" t="s">
        <v>54</v>
      </c>
      <c r="V668" s="209"/>
      <c r="W668" s="209"/>
      <c r="X668" s="209"/>
      <c r="Y668" s="209"/>
      <c r="Z668" s="209"/>
      <c r="AA668" s="209" t="s">
        <v>54</v>
      </c>
      <c r="AB668" s="212"/>
      <c r="AC668" s="212"/>
    </row>
    <row r="669" spans="1:29" outlineLevel="2" x14ac:dyDescent="0.25">
      <c r="A669" s="201">
        <v>46090</v>
      </c>
      <c r="D669" s="198" t="s">
        <v>54</v>
      </c>
      <c r="E669" s="202">
        <v>1114867</v>
      </c>
      <c r="K669" s="198" t="s">
        <v>980</v>
      </c>
      <c r="L669" s="198" t="s">
        <v>132</v>
      </c>
      <c r="P669" s="201"/>
      <c r="R669" s="202">
        <v>1114867</v>
      </c>
      <c r="U669" s="198" t="s">
        <v>838</v>
      </c>
      <c r="AA669" s="198" t="s">
        <v>51</v>
      </c>
      <c r="AB669" s="202">
        <v>1114867</v>
      </c>
      <c r="AC669" s="202">
        <v>1114867</v>
      </c>
    </row>
    <row r="670" spans="1:29" outlineLevel="2" x14ac:dyDescent="0.25">
      <c r="A670" s="201">
        <v>46090</v>
      </c>
      <c r="D670" s="198" t="s">
        <v>54</v>
      </c>
      <c r="E670" s="202">
        <v>1114867</v>
      </c>
      <c r="K670" s="198" t="s">
        <v>980</v>
      </c>
      <c r="L670" s="198" t="s">
        <v>132</v>
      </c>
      <c r="P670" s="201"/>
      <c r="R670" s="202">
        <v>1114867</v>
      </c>
      <c r="U670" s="198" t="s">
        <v>838</v>
      </c>
      <c r="AA670" s="198" t="s">
        <v>51</v>
      </c>
      <c r="AB670" s="202">
        <v>1114867</v>
      </c>
      <c r="AC670" s="202">
        <v>1114867</v>
      </c>
    </row>
    <row r="671" spans="1:29" outlineLevel="2" x14ac:dyDescent="0.25">
      <c r="A671" s="201">
        <v>46117</v>
      </c>
      <c r="D671" s="198" t="s">
        <v>54</v>
      </c>
      <c r="E671" s="202">
        <v>385898</v>
      </c>
      <c r="K671" s="198" t="s">
        <v>980</v>
      </c>
      <c r="L671" s="198" t="s">
        <v>132</v>
      </c>
      <c r="P671" s="201"/>
      <c r="R671" s="202">
        <v>385898</v>
      </c>
      <c r="U671" s="198" t="s">
        <v>838</v>
      </c>
      <c r="AA671" s="198" t="s">
        <v>51</v>
      </c>
      <c r="AB671" s="202">
        <v>385898</v>
      </c>
      <c r="AC671" s="202">
        <v>385898</v>
      </c>
    </row>
    <row r="672" spans="1:29" outlineLevel="1" x14ac:dyDescent="0.25">
      <c r="A672" s="210"/>
      <c r="B672" s="209"/>
      <c r="C672" s="209"/>
      <c r="D672" s="209" t="s">
        <v>54</v>
      </c>
      <c r="E672" s="211">
        <v>2615632</v>
      </c>
      <c r="F672" s="209"/>
      <c r="G672" s="209"/>
      <c r="H672" s="209"/>
      <c r="I672" s="209"/>
      <c r="J672" s="209"/>
      <c r="K672" s="209" t="s">
        <v>54</v>
      </c>
      <c r="L672" s="209" t="s">
        <v>54</v>
      </c>
      <c r="M672" s="209"/>
      <c r="N672" s="209"/>
      <c r="O672" s="209"/>
      <c r="P672" s="210"/>
      <c r="Q672" s="209"/>
      <c r="R672" s="212"/>
      <c r="S672" s="209"/>
      <c r="T672" s="209"/>
      <c r="U672" s="209" t="s">
        <v>54</v>
      </c>
      <c r="V672" s="209"/>
      <c r="W672" s="209"/>
      <c r="X672" s="209"/>
      <c r="Y672" s="209"/>
      <c r="Z672" s="209"/>
      <c r="AA672" s="209" t="s">
        <v>54</v>
      </c>
      <c r="AB672" s="212"/>
      <c r="AC672" s="212"/>
    </row>
    <row r="673" spans="1:29" outlineLevel="2" x14ac:dyDescent="0.25">
      <c r="A673" s="201">
        <v>46150</v>
      </c>
      <c r="D673" s="198" t="s">
        <v>54</v>
      </c>
      <c r="E673" s="202">
        <v>187624.52</v>
      </c>
      <c r="K673" s="198" t="s">
        <v>1761</v>
      </c>
      <c r="L673" s="198" t="s">
        <v>132</v>
      </c>
      <c r="P673" s="201"/>
      <c r="R673" s="202">
        <v>187624.52</v>
      </c>
      <c r="U673" s="198" t="s">
        <v>867</v>
      </c>
      <c r="AA673" s="198" t="s">
        <v>51</v>
      </c>
      <c r="AB673" s="202">
        <v>187624.52</v>
      </c>
      <c r="AC673" s="202">
        <v>187624.52</v>
      </c>
    </row>
    <row r="674" spans="1:29" outlineLevel="2" x14ac:dyDescent="0.25">
      <c r="A674" s="201">
        <v>46150</v>
      </c>
      <c r="D674" s="198" t="s">
        <v>54</v>
      </c>
      <c r="E674" s="202">
        <v>-21286</v>
      </c>
      <c r="K674" s="198" t="s">
        <v>1761</v>
      </c>
      <c r="L674" s="198" t="s">
        <v>132</v>
      </c>
      <c r="P674" s="201"/>
      <c r="R674" s="202">
        <v>-21286</v>
      </c>
      <c r="U674" s="198" t="s">
        <v>867</v>
      </c>
      <c r="AA674" s="198" t="s">
        <v>51</v>
      </c>
      <c r="AB674" s="202">
        <v>-21286</v>
      </c>
      <c r="AC674" s="202">
        <v>-21286</v>
      </c>
    </row>
    <row r="675" spans="1:29" outlineLevel="1" x14ac:dyDescent="0.25">
      <c r="A675" s="210"/>
      <c r="B675" s="209"/>
      <c r="C675" s="209"/>
      <c r="D675" s="209" t="s">
        <v>54</v>
      </c>
      <c r="E675" s="211">
        <v>166338.51999999999</v>
      </c>
      <c r="F675" s="209"/>
      <c r="G675" s="209"/>
      <c r="H675" s="209"/>
      <c r="I675" s="209"/>
      <c r="J675" s="209"/>
      <c r="K675" s="209" t="s">
        <v>54</v>
      </c>
      <c r="L675" s="209" t="s">
        <v>54</v>
      </c>
      <c r="M675" s="209"/>
      <c r="N675" s="209"/>
      <c r="O675" s="209"/>
      <c r="P675" s="210"/>
      <c r="Q675" s="209"/>
      <c r="R675" s="212"/>
      <c r="S675" s="209"/>
      <c r="T675" s="209"/>
      <c r="U675" s="209" t="s">
        <v>54</v>
      </c>
      <c r="V675" s="209"/>
      <c r="W675" s="209"/>
      <c r="X675" s="209"/>
      <c r="Y675" s="209"/>
      <c r="Z675" s="209"/>
      <c r="AA675" s="209" t="s">
        <v>54</v>
      </c>
      <c r="AB675" s="212"/>
      <c r="AC675" s="212"/>
    </row>
    <row r="676" spans="1:29" outlineLevel="2" x14ac:dyDescent="0.25">
      <c r="A676" s="201">
        <v>46004</v>
      </c>
      <c r="D676" s="198" t="s">
        <v>54</v>
      </c>
      <c r="E676" s="202">
        <v>19900000</v>
      </c>
      <c r="K676" s="198" t="s">
        <v>981</v>
      </c>
      <c r="L676" s="198" t="s">
        <v>132</v>
      </c>
      <c r="P676" s="201"/>
      <c r="R676" s="202">
        <v>19900000</v>
      </c>
      <c r="U676" s="198" t="s">
        <v>365</v>
      </c>
      <c r="AA676" s="198" t="s">
        <v>51</v>
      </c>
      <c r="AB676" s="202">
        <v>19900000</v>
      </c>
      <c r="AC676" s="202">
        <v>19900000</v>
      </c>
    </row>
    <row r="677" spans="1:29" outlineLevel="1" x14ac:dyDescent="0.25">
      <c r="A677" s="210"/>
      <c r="B677" s="209"/>
      <c r="C677" s="209"/>
      <c r="D677" s="209" t="s">
        <v>54</v>
      </c>
      <c r="E677" s="211">
        <v>19900000</v>
      </c>
      <c r="F677" s="209"/>
      <c r="G677" s="209"/>
      <c r="H677" s="209"/>
      <c r="I677" s="209"/>
      <c r="J677" s="209"/>
      <c r="K677" s="209" t="s">
        <v>54</v>
      </c>
      <c r="L677" s="209" t="s">
        <v>54</v>
      </c>
      <c r="M677" s="209"/>
      <c r="N677" s="209"/>
      <c r="O677" s="209"/>
      <c r="P677" s="210"/>
      <c r="Q677" s="209"/>
      <c r="R677" s="212"/>
      <c r="S677" s="209"/>
      <c r="T677" s="209"/>
      <c r="U677" s="209" t="s">
        <v>54</v>
      </c>
      <c r="V677" s="209"/>
      <c r="W677" s="209"/>
      <c r="X677" s="209"/>
      <c r="Y677" s="209"/>
      <c r="Z677" s="209"/>
      <c r="AA677" s="209" t="s">
        <v>54</v>
      </c>
      <c r="AB677" s="212"/>
      <c r="AC677" s="212"/>
    </row>
    <row r="678" spans="1:29" outlineLevel="2" x14ac:dyDescent="0.25">
      <c r="A678" s="201">
        <v>46115</v>
      </c>
      <c r="D678" s="198" t="s">
        <v>54</v>
      </c>
      <c r="E678" s="202">
        <v>2329071.36</v>
      </c>
      <c r="K678" s="198" t="s">
        <v>982</v>
      </c>
      <c r="L678" s="198" t="s">
        <v>132</v>
      </c>
      <c r="P678" s="201"/>
      <c r="R678" s="202">
        <v>2329071.36</v>
      </c>
      <c r="U678" s="198" t="s">
        <v>858</v>
      </c>
      <c r="AA678" s="198" t="s">
        <v>51</v>
      </c>
      <c r="AB678" s="202">
        <v>2329071.36</v>
      </c>
      <c r="AC678" s="202">
        <v>2329071.36</v>
      </c>
    </row>
    <row r="679" spans="1:29" outlineLevel="1" x14ac:dyDescent="0.25">
      <c r="A679" s="210"/>
      <c r="B679" s="209"/>
      <c r="C679" s="209"/>
      <c r="D679" s="209" t="s">
        <v>54</v>
      </c>
      <c r="E679" s="211">
        <v>2329071.36</v>
      </c>
      <c r="F679" s="209"/>
      <c r="G679" s="209"/>
      <c r="H679" s="209"/>
      <c r="I679" s="209"/>
      <c r="J679" s="209"/>
      <c r="K679" s="209" t="s">
        <v>54</v>
      </c>
      <c r="L679" s="209" t="s">
        <v>54</v>
      </c>
      <c r="M679" s="209"/>
      <c r="N679" s="209"/>
      <c r="O679" s="209"/>
      <c r="P679" s="210"/>
      <c r="Q679" s="209"/>
      <c r="R679" s="212"/>
      <c r="S679" s="209"/>
      <c r="T679" s="209"/>
      <c r="U679" s="209" t="s">
        <v>54</v>
      </c>
      <c r="V679" s="209"/>
      <c r="W679" s="209"/>
      <c r="X679" s="209"/>
      <c r="Y679" s="209"/>
      <c r="Z679" s="209"/>
      <c r="AA679" s="209" t="s">
        <v>54</v>
      </c>
      <c r="AB679" s="212"/>
      <c r="AC679" s="212"/>
    </row>
    <row r="680" spans="1:29" outlineLevel="2" x14ac:dyDescent="0.25">
      <c r="A680" s="201">
        <v>46018</v>
      </c>
      <c r="D680" s="198" t="s">
        <v>54</v>
      </c>
      <c r="E680" s="202">
        <v>2567125135</v>
      </c>
      <c r="K680" s="198" t="s">
        <v>1834</v>
      </c>
      <c r="L680" s="198" t="s">
        <v>134</v>
      </c>
      <c r="P680" s="201"/>
      <c r="R680" s="202">
        <v>2567125135</v>
      </c>
      <c r="U680" s="198" t="s">
        <v>134</v>
      </c>
      <c r="AA680" s="198" t="s">
        <v>51</v>
      </c>
      <c r="AB680" s="202">
        <v>2567125135</v>
      </c>
      <c r="AC680" s="202">
        <v>2567125135</v>
      </c>
    </row>
    <row r="681" spans="1:29" outlineLevel="2" x14ac:dyDescent="0.25">
      <c r="A681" s="201">
        <v>46018</v>
      </c>
      <c r="D681" s="198" t="s">
        <v>54</v>
      </c>
      <c r="E681" s="202">
        <v>1236480000</v>
      </c>
      <c r="K681" s="198" t="s">
        <v>1834</v>
      </c>
      <c r="L681" s="198" t="s">
        <v>134</v>
      </c>
      <c r="P681" s="201"/>
      <c r="R681" s="202">
        <v>1236480000</v>
      </c>
      <c r="U681" s="198" t="s">
        <v>134</v>
      </c>
      <c r="AA681" s="198" t="s">
        <v>51</v>
      </c>
      <c r="AB681" s="202">
        <v>1236480000</v>
      </c>
      <c r="AC681" s="202">
        <v>1236480000</v>
      </c>
    </row>
    <row r="682" spans="1:29" outlineLevel="2" x14ac:dyDescent="0.25">
      <c r="A682" s="201">
        <v>46020</v>
      </c>
      <c r="D682" s="198" t="s">
        <v>54</v>
      </c>
      <c r="E682" s="202">
        <v>125000000</v>
      </c>
      <c r="K682" s="198" t="s">
        <v>1834</v>
      </c>
      <c r="L682" s="198" t="s">
        <v>134</v>
      </c>
      <c r="P682" s="201"/>
      <c r="R682" s="202">
        <v>125000000</v>
      </c>
      <c r="U682" s="198" t="s">
        <v>134</v>
      </c>
      <c r="AA682" s="198" t="s">
        <v>51</v>
      </c>
      <c r="AB682" s="202">
        <v>125000000</v>
      </c>
      <c r="AC682" s="202">
        <v>125000000</v>
      </c>
    </row>
    <row r="683" spans="1:29" outlineLevel="2" x14ac:dyDescent="0.25">
      <c r="A683" s="201">
        <v>46021</v>
      </c>
      <c r="D683" s="198" t="s">
        <v>54</v>
      </c>
      <c r="E683" s="202">
        <v>133761651.47</v>
      </c>
      <c r="K683" s="198" t="s">
        <v>1834</v>
      </c>
      <c r="L683" s="198" t="s">
        <v>134</v>
      </c>
      <c r="P683" s="201"/>
      <c r="R683" s="202">
        <v>133761651.47</v>
      </c>
      <c r="U683" s="198" t="s">
        <v>134</v>
      </c>
      <c r="AA683" s="198" t="s">
        <v>51</v>
      </c>
      <c r="AB683" s="202">
        <v>133761651.47</v>
      </c>
      <c r="AC683" s="202">
        <v>133761651.47</v>
      </c>
    </row>
    <row r="684" spans="1:29" outlineLevel="2" x14ac:dyDescent="0.25">
      <c r="A684" s="201">
        <v>46021</v>
      </c>
      <c r="D684" s="198" t="s">
        <v>54</v>
      </c>
      <c r="E684" s="202">
        <v>24739493</v>
      </c>
      <c r="K684" s="198" t="s">
        <v>1834</v>
      </c>
      <c r="L684" s="198" t="s">
        <v>134</v>
      </c>
      <c r="P684" s="201"/>
      <c r="R684" s="202">
        <v>24739493</v>
      </c>
      <c r="U684" s="198" t="s">
        <v>134</v>
      </c>
      <c r="AA684" s="198" t="s">
        <v>51</v>
      </c>
      <c r="AB684" s="202">
        <v>24739493</v>
      </c>
      <c r="AC684" s="202">
        <v>24739493</v>
      </c>
    </row>
    <row r="685" spans="1:29" outlineLevel="2" x14ac:dyDescent="0.25">
      <c r="A685" s="201">
        <v>46022</v>
      </c>
      <c r="D685" s="198" t="s">
        <v>54</v>
      </c>
      <c r="E685" s="202">
        <v>1260507</v>
      </c>
      <c r="K685" s="198" t="s">
        <v>1834</v>
      </c>
      <c r="L685" s="198" t="s">
        <v>134</v>
      </c>
      <c r="P685" s="201"/>
      <c r="R685" s="202">
        <v>1260507</v>
      </c>
      <c r="U685" s="198" t="s">
        <v>134</v>
      </c>
      <c r="AA685" s="198" t="s">
        <v>51</v>
      </c>
      <c r="AB685" s="202">
        <v>1260507</v>
      </c>
      <c r="AC685" s="202">
        <v>1260507</v>
      </c>
    </row>
    <row r="686" spans="1:29" outlineLevel="2" x14ac:dyDescent="0.25">
      <c r="A686" s="201">
        <v>46022</v>
      </c>
      <c r="D686" s="198" t="s">
        <v>54</v>
      </c>
      <c r="E686" s="202">
        <v>17096109949</v>
      </c>
      <c r="K686" s="198" t="s">
        <v>1834</v>
      </c>
      <c r="L686" s="198" t="s">
        <v>134</v>
      </c>
      <c r="P686" s="201"/>
      <c r="R686" s="202">
        <v>17096109949</v>
      </c>
      <c r="U686" s="198" t="s">
        <v>134</v>
      </c>
      <c r="AA686" s="198" t="s">
        <v>51</v>
      </c>
      <c r="AB686" s="202">
        <v>17096109949</v>
      </c>
      <c r="AC686" s="202">
        <v>17096109949</v>
      </c>
    </row>
    <row r="687" spans="1:29" outlineLevel="2" x14ac:dyDescent="0.25">
      <c r="A687" s="201">
        <v>46023</v>
      </c>
      <c r="D687" s="198" t="s">
        <v>54</v>
      </c>
      <c r="E687" s="202">
        <v>17000000</v>
      </c>
      <c r="K687" s="198" t="s">
        <v>1834</v>
      </c>
      <c r="L687" s="198" t="s">
        <v>134</v>
      </c>
      <c r="P687" s="201"/>
      <c r="R687" s="202">
        <v>17000000</v>
      </c>
      <c r="U687" s="198" t="s">
        <v>134</v>
      </c>
      <c r="AA687" s="198" t="s">
        <v>51</v>
      </c>
      <c r="AB687" s="202">
        <v>17000000</v>
      </c>
      <c r="AC687" s="202">
        <v>17000000</v>
      </c>
    </row>
    <row r="688" spans="1:29" outlineLevel="2" x14ac:dyDescent="0.25">
      <c r="A688" s="201">
        <v>46025</v>
      </c>
      <c r="D688" s="198" t="s">
        <v>54</v>
      </c>
      <c r="E688" s="202">
        <v>10000000</v>
      </c>
      <c r="K688" s="198" t="s">
        <v>1834</v>
      </c>
      <c r="L688" s="198" t="s">
        <v>134</v>
      </c>
      <c r="P688" s="201"/>
      <c r="R688" s="202">
        <v>10000000</v>
      </c>
      <c r="U688" s="198" t="s">
        <v>134</v>
      </c>
      <c r="AA688" s="198" t="s">
        <v>51</v>
      </c>
      <c r="AB688" s="202">
        <v>10000000</v>
      </c>
      <c r="AC688" s="202">
        <v>10000000</v>
      </c>
    </row>
    <row r="689" spans="1:29" outlineLevel="2" x14ac:dyDescent="0.25">
      <c r="A689" s="201">
        <v>46031</v>
      </c>
      <c r="D689" s="198" t="s">
        <v>54</v>
      </c>
      <c r="E689" s="202">
        <v>250000</v>
      </c>
      <c r="K689" s="198" t="s">
        <v>1834</v>
      </c>
      <c r="L689" s="198" t="s">
        <v>134</v>
      </c>
      <c r="P689" s="201"/>
      <c r="R689" s="202">
        <v>250000</v>
      </c>
      <c r="U689" s="198" t="s">
        <v>134</v>
      </c>
      <c r="AA689" s="198" t="s">
        <v>51</v>
      </c>
      <c r="AB689" s="202">
        <v>250000</v>
      </c>
      <c r="AC689" s="202">
        <v>250000</v>
      </c>
    </row>
    <row r="690" spans="1:29" outlineLevel="2" x14ac:dyDescent="0.25">
      <c r="A690" s="201">
        <v>46034</v>
      </c>
      <c r="D690" s="198" t="s">
        <v>54</v>
      </c>
      <c r="E690" s="202">
        <v>60000000.530000001</v>
      </c>
      <c r="K690" s="198" t="s">
        <v>1834</v>
      </c>
      <c r="L690" s="198" t="s">
        <v>134</v>
      </c>
      <c r="P690" s="201"/>
      <c r="R690" s="202">
        <v>60000000.530000001</v>
      </c>
      <c r="U690" s="198" t="s">
        <v>134</v>
      </c>
      <c r="AA690" s="198" t="s">
        <v>51</v>
      </c>
      <c r="AB690" s="202">
        <v>60000000.530000001</v>
      </c>
      <c r="AC690" s="202">
        <v>60000000.530000001</v>
      </c>
    </row>
    <row r="691" spans="1:29" outlineLevel="2" x14ac:dyDescent="0.25">
      <c r="A691" s="201">
        <v>46037</v>
      </c>
      <c r="D691" s="198" t="s">
        <v>54</v>
      </c>
      <c r="E691" s="202">
        <v>100000</v>
      </c>
      <c r="K691" s="198" t="s">
        <v>1834</v>
      </c>
      <c r="L691" s="198" t="s">
        <v>134</v>
      </c>
      <c r="P691" s="201"/>
      <c r="R691" s="202">
        <v>100000</v>
      </c>
      <c r="U691" s="198" t="s">
        <v>134</v>
      </c>
      <c r="AA691" s="198" t="s">
        <v>51</v>
      </c>
      <c r="AB691" s="202">
        <v>100000</v>
      </c>
      <c r="AC691" s="202">
        <v>100000</v>
      </c>
    </row>
    <row r="692" spans="1:29" outlineLevel="2" x14ac:dyDescent="0.25">
      <c r="A692" s="201">
        <v>46071</v>
      </c>
      <c r="D692" s="198" t="s">
        <v>54</v>
      </c>
      <c r="E692" s="202">
        <v>7210817</v>
      </c>
      <c r="K692" s="198" t="s">
        <v>1834</v>
      </c>
      <c r="L692" s="198" t="s">
        <v>134</v>
      </c>
      <c r="P692" s="201"/>
      <c r="R692" s="202">
        <v>7210817</v>
      </c>
      <c r="U692" s="198" t="s">
        <v>134</v>
      </c>
      <c r="AA692" s="198" t="s">
        <v>51</v>
      </c>
      <c r="AB692" s="202">
        <v>7210817</v>
      </c>
      <c r="AC692" s="202">
        <v>7210817</v>
      </c>
    </row>
    <row r="693" spans="1:29" outlineLevel="2" x14ac:dyDescent="0.25">
      <c r="A693" s="201">
        <v>46092</v>
      </c>
      <c r="D693" s="198" t="s">
        <v>54</v>
      </c>
      <c r="E693" s="202">
        <v>-216429850</v>
      </c>
      <c r="K693" s="198" t="s">
        <v>1834</v>
      </c>
      <c r="L693" s="198" t="s">
        <v>134</v>
      </c>
      <c r="P693" s="201"/>
      <c r="R693" s="202">
        <v>-216429850</v>
      </c>
      <c r="U693" s="198" t="s">
        <v>134</v>
      </c>
      <c r="AA693" s="198" t="s">
        <v>51</v>
      </c>
      <c r="AB693" s="202">
        <v>-216429850</v>
      </c>
      <c r="AC693" s="202">
        <v>-216429850</v>
      </c>
    </row>
    <row r="694" spans="1:29" outlineLevel="2" x14ac:dyDescent="0.25">
      <c r="A694" s="201">
        <v>46115</v>
      </c>
      <c r="D694" s="198" t="s">
        <v>54</v>
      </c>
      <c r="E694" s="202">
        <v>37027851.5</v>
      </c>
      <c r="K694" s="198" t="s">
        <v>1834</v>
      </c>
      <c r="L694" s="198" t="s">
        <v>134</v>
      </c>
      <c r="P694" s="201"/>
      <c r="R694" s="202">
        <v>37027851.5</v>
      </c>
      <c r="U694" s="198" t="s">
        <v>134</v>
      </c>
      <c r="AA694" s="198" t="s">
        <v>51</v>
      </c>
      <c r="AB694" s="202">
        <v>37027851.5</v>
      </c>
      <c r="AC694" s="202">
        <v>37027851.5</v>
      </c>
    </row>
    <row r="695" spans="1:29" outlineLevel="2" x14ac:dyDescent="0.25">
      <c r="A695" s="201">
        <v>46117</v>
      </c>
      <c r="D695" s="198" t="s">
        <v>54</v>
      </c>
      <c r="E695" s="202">
        <v>1267162</v>
      </c>
      <c r="K695" s="198" t="s">
        <v>1834</v>
      </c>
      <c r="L695" s="198" t="s">
        <v>134</v>
      </c>
      <c r="P695" s="201"/>
      <c r="R695" s="202">
        <v>1267162</v>
      </c>
      <c r="U695" s="198" t="s">
        <v>134</v>
      </c>
      <c r="AA695" s="198" t="s">
        <v>51</v>
      </c>
      <c r="AB695" s="202">
        <v>1267162</v>
      </c>
      <c r="AC695" s="202">
        <v>1267162</v>
      </c>
    </row>
    <row r="696" spans="1:29" outlineLevel="2" x14ac:dyDescent="0.25">
      <c r="A696" s="201">
        <v>46150</v>
      </c>
      <c r="D696" s="198" t="s">
        <v>54</v>
      </c>
      <c r="E696" s="202">
        <v>210066</v>
      </c>
      <c r="K696" s="198" t="s">
        <v>1834</v>
      </c>
      <c r="L696" s="198" t="s">
        <v>134</v>
      </c>
      <c r="P696" s="201"/>
      <c r="R696" s="202">
        <v>210066</v>
      </c>
      <c r="U696" s="198" t="s">
        <v>134</v>
      </c>
      <c r="AA696" s="198" t="s">
        <v>51</v>
      </c>
      <c r="AB696" s="202">
        <v>210066</v>
      </c>
      <c r="AC696" s="202">
        <v>210066</v>
      </c>
    </row>
    <row r="697" spans="1:29" outlineLevel="1" x14ac:dyDescent="0.25">
      <c r="A697" s="210"/>
      <c r="B697" s="209"/>
      <c r="C697" s="209"/>
      <c r="D697" s="209" t="s">
        <v>54</v>
      </c>
      <c r="E697" s="211">
        <v>21101112782.5</v>
      </c>
      <c r="F697" s="209"/>
      <c r="G697" s="209"/>
      <c r="H697" s="209"/>
      <c r="I697" s="209"/>
      <c r="J697" s="209"/>
      <c r="K697" s="209" t="s">
        <v>54</v>
      </c>
      <c r="L697" s="209" t="s">
        <v>54</v>
      </c>
      <c r="M697" s="209"/>
      <c r="N697" s="209"/>
      <c r="O697" s="209"/>
      <c r="P697" s="210"/>
      <c r="Q697" s="209"/>
      <c r="R697" s="212"/>
      <c r="S697" s="209"/>
      <c r="T697" s="209"/>
      <c r="U697" s="209" t="s">
        <v>54</v>
      </c>
      <c r="V697" s="209"/>
      <c r="W697" s="209"/>
      <c r="X697" s="209"/>
      <c r="Y697" s="209"/>
      <c r="Z697" s="209"/>
      <c r="AA697" s="209" t="s">
        <v>54</v>
      </c>
      <c r="AB697" s="212"/>
      <c r="AC697" s="212"/>
    </row>
    <row r="698" spans="1:29" outlineLevel="2" x14ac:dyDescent="0.25">
      <c r="A698" s="201">
        <v>46022</v>
      </c>
      <c r="D698" s="198" t="s">
        <v>54</v>
      </c>
      <c r="E698" s="202">
        <v>17096109949</v>
      </c>
      <c r="K698" s="198" t="s">
        <v>1835</v>
      </c>
      <c r="L698" s="198" t="s">
        <v>134</v>
      </c>
      <c r="P698" s="201"/>
      <c r="R698" s="202">
        <v>17096109949</v>
      </c>
      <c r="U698" s="198" t="s">
        <v>983</v>
      </c>
      <c r="AA698" s="198" t="s">
        <v>51</v>
      </c>
      <c r="AB698" s="202">
        <v>17096109949</v>
      </c>
      <c r="AC698" s="202">
        <v>17096109949</v>
      </c>
    </row>
    <row r="699" spans="1:29" outlineLevel="1" x14ac:dyDescent="0.25">
      <c r="A699" s="210"/>
      <c r="B699" s="209"/>
      <c r="C699" s="209"/>
      <c r="D699" s="209" t="s">
        <v>54</v>
      </c>
      <c r="E699" s="211">
        <v>17096109949</v>
      </c>
      <c r="F699" s="209"/>
      <c r="G699" s="209"/>
      <c r="H699" s="209"/>
      <c r="I699" s="209"/>
      <c r="J699" s="209"/>
      <c r="K699" s="209" t="s">
        <v>54</v>
      </c>
      <c r="L699" s="209" t="s">
        <v>54</v>
      </c>
      <c r="M699" s="209"/>
      <c r="N699" s="209"/>
      <c r="O699" s="209"/>
      <c r="P699" s="210"/>
      <c r="Q699" s="209"/>
      <c r="R699" s="212"/>
      <c r="S699" s="209"/>
      <c r="T699" s="209"/>
      <c r="U699" s="209" t="s">
        <v>54</v>
      </c>
      <c r="V699" s="209"/>
      <c r="W699" s="209"/>
      <c r="X699" s="209"/>
      <c r="Y699" s="209"/>
      <c r="Z699" s="209"/>
      <c r="AA699" s="209" t="s">
        <v>54</v>
      </c>
      <c r="AB699" s="212"/>
      <c r="AC699" s="212"/>
    </row>
    <row r="700" spans="1:29" outlineLevel="2" x14ac:dyDescent="0.25">
      <c r="A700" s="201">
        <v>46022</v>
      </c>
      <c r="D700" s="198" t="s">
        <v>54</v>
      </c>
      <c r="E700" s="202">
        <v>17096109949</v>
      </c>
      <c r="K700" s="198" t="s">
        <v>1836</v>
      </c>
      <c r="L700" s="198" t="s">
        <v>134</v>
      </c>
      <c r="P700" s="201"/>
      <c r="R700" s="202">
        <v>17096109949</v>
      </c>
      <c r="U700" s="198" t="s">
        <v>717</v>
      </c>
      <c r="AA700" s="198" t="s">
        <v>51</v>
      </c>
      <c r="AB700" s="202">
        <v>17096109949</v>
      </c>
      <c r="AC700" s="202">
        <v>17096109949</v>
      </c>
    </row>
    <row r="701" spans="1:29" outlineLevel="1" x14ac:dyDescent="0.25">
      <c r="A701" s="210"/>
      <c r="B701" s="209"/>
      <c r="C701" s="209"/>
      <c r="D701" s="209" t="s">
        <v>54</v>
      </c>
      <c r="E701" s="211">
        <v>17096109949</v>
      </c>
      <c r="F701" s="209"/>
      <c r="G701" s="209"/>
      <c r="H701" s="209"/>
      <c r="I701" s="209"/>
      <c r="J701" s="209"/>
      <c r="K701" s="209" t="s">
        <v>54</v>
      </c>
      <c r="L701" s="209" t="s">
        <v>54</v>
      </c>
      <c r="M701" s="209"/>
      <c r="N701" s="209"/>
      <c r="O701" s="209"/>
      <c r="P701" s="210"/>
      <c r="Q701" s="209"/>
      <c r="R701" s="212"/>
      <c r="S701" s="209"/>
      <c r="T701" s="209"/>
      <c r="U701" s="209" t="s">
        <v>54</v>
      </c>
      <c r="V701" s="209"/>
      <c r="W701" s="209"/>
      <c r="X701" s="209"/>
      <c r="Y701" s="209"/>
      <c r="Z701" s="209"/>
      <c r="AA701" s="209" t="s">
        <v>54</v>
      </c>
      <c r="AB701" s="212"/>
      <c r="AC701" s="212"/>
    </row>
    <row r="702" spans="1:29" outlineLevel="2" x14ac:dyDescent="0.25">
      <c r="A702" s="201">
        <v>46018</v>
      </c>
      <c r="D702" s="198" t="s">
        <v>54</v>
      </c>
      <c r="E702" s="202">
        <v>1236480000</v>
      </c>
      <c r="K702" s="198" t="s">
        <v>1837</v>
      </c>
      <c r="L702" s="198" t="s">
        <v>134</v>
      </c>
      <c r="P702" s="201"/>
      <c r="R702" s="202">
        <v>1236480000</v>
      </c>
      <c r="U702" s="198" t="s">
        <v>984</v>
      </c>
      <c r="AA702" s="198" t="s">
        <v>51</v>
      </c>
      <c r="AB702" s="202">
        <v>1236480000</v>
      </c>
      <c r="AC702" s="202">
        <v>1236480000</v>
      </c>
    </row>
    <row r="703" spans="1:29" outlineLevel="2" x14ac:dyDescent="0.25">
      <c r="A703" s="201">
        <v>46092</v>
      </c>
      <c r="D703" s="198" t="s">
        <v>54</v>
      </c>
      <c r="E703" s="202">
        <v>-94995600</v>
      </c>
      <c r="K703" s="198" t="s">
        <v>1837</v>
      </c>
      <c r="L703" s="198" t="s">
        <v>134</v>
      </c>
      <c r="P703" s="201"/>
      <c r="R703" s="202">
        <v>-94995600</v>
      </c>
      <c r="U703" s="198" t="s">
        <v>984</v>
      </c>
      <c r="AA703" s="198" t="s">
        <v>51</v>
      </c>
      <c r="AB703" s="202">
        <v>-94995600</v>
      </c>
      <c r="AC703" s="202">
        <v>-94995600</v>
      </c>
    </row>
    <row r="704" spans="1:29" outlineLevel="1" x14ac:dyDescent="0.25">
      <c r="A704" s="210"/>
      <c r="B704" s="209"/>
      <c r="C704" s="209"/>
      <c r="D704" s="209" t="s">
        <v>54</v>
      </c>
      <c r="E704" s="211">
        <v>1141484400</v>
      </c>
      <c r="F704" s="209"/>
      <c r="G704" s="209"/>
      <c r="H704" s="209"/>
      <c r="I704" s="209"/>
      <c r="J704" s="209"/>
      <c r="K704" s="209" t="s">
        <v>54</v>
      </c>
      <c r="L704" s="209" t="s">
        <v>54</v>
      </c>
      <c r="M704" s="209"/>
      <c r="N704" s="209"/>
      <c r="O704" s="209"/>
      <c r="P704" s="210"/>
      <c r="Q704" s="209"/>
      <c r="R704" s="212"/>
      <c r="S704" s="209"/>
      <c r="T704" s="209"/>
      <c r="U704" s="209" t="s">
        <v>54</v>
      </c>
      <c r="V704" s="209"/>
      <c r="W704" s="209"/>
      <c r="X704" s="209"/>
      <c r="Y704" s="209"/>
      <c r="Z704" s="209"/>
      <c r="AA704" s="209" t="s">
        <v>54</v>
      </c>
      <c r="AB704" s="212"/>
      <c r="AC704" s="212"/>
    </row>
    <row r="705" spans="1:29" outlineLevel="2" x14ac:dyDescent="0.25">
      <c r="A705" s="201">
        <v>46018</v>
      </c>
      <c r="D705" s="198" t="s">
        <v>54</v>
      </c>
      <c r="E705" s="202">
        <v>1236480000</v>
      </c>
      <c r="K705" s="198" t="s">
        <v>1838</v>
      </c>
      <c r="L705" s="198" t="s">
        <v>134</v>
      </c>
      <c r="P705" s="201"/>
      <c r="R705" s="202">
        <v>1236480000</v>
      </c>
      <c r="U705" s="198" t="s">
        <v>702</v>
      </c>
      <c r="AA705" s="198" t="s">
        <v>51</v>
      </c>
      <c r="AB705" s="202">
        <v>1236480000</v>
      </c>
      <c r="AC705" s="202">
        <v>1236480000</v>
      </c>
    </row>
    <row r="706" spans="1:29" outlineLevel="2" x14ac:dyDescent="0.25">
      <c r="A706" s="201">
        <v>46092</v>
      </c>
      <c r="D706" s="198" t="s">
        <v>54</v>
      </c>
      <c r="E706" s="202">
        <v>-94995600</v>
      </c>
      <c r="K706" s="198" t="s">
        <v>1838</v>
      </c>
      <c r="L706" s="198" t="s">
        <v>134</v>
      </c>
      <c r="P706" s="201"/>
      <c r="R706" s="202">
        <v>-94995600</v>
      </c>
      <c r="U706" s="198" t="s">
        <v>702</v>
      </c>
      <c r="AA706" s="198" t="s">
        <v>51</v>
      </c>
      <c r="AB706" s="202">
        <v>-94995600</v>
      </c>
      <c r="AC706" s="202">
        <v>-94995600</v>
      </c>
    </row>
    <row r="707" spans="1:29" outlineLevel="1" x14ac:dyDescent="0.25">
      <c r="A707" s="210"/>
      <c r="B707" s="209"/>
      <c r="C707" s="209"/>
      <c r="D707" s="209" t="s">
        <v>54</v>
      </c>
      <c r="E707" s="211">
        <v>1141484400</v>
      </c>
      <c r="F707" s="209"/>
      <c r="G707" s="209"/>
      <c r="H707" s="209"/>
      <c r="I707" s="209"/>
      <c r="J707" s="209"/>
      <c r="K707" s="209" t="s">
        <v>54</v>
      </c>
      <c r="L707" s="209" t="s">
        <v>54</v>
      </c>
      <c r="M707" s="209"/>
      <c r="N707" s="209"/>
      <c r="O707" s="209"/>
      <c r="P707" s="210"/>
      <c r="Q707" s="209"/>
      <c r="R707" s="212"/>
      <c r="S707" s="209"/>
      <c r="T707" s="209"/>
      <c r="U707" s="209" t="s">
        <v>54</v>
      </c>
      <c r="V707" s="209"/>
      <c r="W707" s="209"/>
      <c r="X707" s="209"/>
      <c r="Y707" s="209"/>
      <c r="Z707" s="209"/>
      <c r="AA707" s="209" t="s">
        <v>54</v>
      </c>
      <c r="AB707" s="212"/>
      <c r="AC707" s="212"/>
    </row>
    <row r="708" spans="1:29" outlineLevel="2" x14ac:dyDescent="0.25">
      <c r="A708" s="201">
        <v>46020</v>
      </c>
      <c r="D708" s="198" t="s">
        <v>54</v>
      </c>
      <c r="E708" s="202">
        <v>125000000</v>
      </c>
      <c r="K708" s="198" t="s">
        <v>1839</v>
      </c>
      <c r="L708" s="198" t="s">
        <v>134</v>
      </c>
      <c r="P708" s="201"/>
      <c r="R708" s="202">
        <v>125000000</v>
      </c>
      <c r="U708" s="198" t="s">
        <v>985</v>
      </c>
      <c r="AA708" s="198" t="s">
        <v>51</v>
      </c>
      <c r="AB708" s="202">
        <v>125000000</v>
      </c>
      <c r="AC708" s="202">
        <v>125000000</v>
      </c>
    </row>
    <row r="709" spans="1:29" outlineLevel="2" x14ac:dyDescent="0.25">
      <c r="A709" s="201">
        <v>46025</v>
      </c>
      <c r="D709" s="198" t="s">
        <v>54</v>
      </c>
      <c r="E709" s="202">
        <v>10000000</v>
      </c>
      <c r="K709" s="198" t="s">
        <v>1839</v>
      </c>
      <c r="L709" s="198" t="s">
        <v>134</v>
      </c>
      <c r="P709" s="201"/>
      <c r="R709" s="202">
        <v>10000000</v>
      </c>
      <c r="U709" s="198" t="s">
        <v>985</v>
      </c>
      <c r="AA709" s="198" t="s">
        <v>51</v>
      </c>
      <c r="AB709" s="202">
        <v>10000000</v>
      </c>
      <c r="AC709" s="202">
        <v>10000000</v>
      </c>
    </row>
    <row r="710" spans="1:29" outlineLevel="1" x14ac:dyDescent="0.25">
      <c r="A710" s="210"/>
      <c r="B710" s="209"/>
      <c r="C710" s="209"/>
      <c r="D710" s="209" t="s">
        <v>54</v>
      </c>
      <c r="E710" s="211">
        <v>135000000</v>
      </c>
      <c r="F710" s="209"/>
      <c r="G710" s="209"/>
      <c r="H710" s="209"/>
      <c r="I710" s="209"/>
      <c r="J710" s="209"/>
      <c r="K710" s="209" t="s">
        <v>54</v>
      </c>
      <c r="L710" s="209" t="s">
        <v>54</v>
      </c>
      <c r="M710" s="209"/>
      <c r="N710" s="209"/>
      <c r="O710" s="209"/>
      <c r="P710" s="210"/>
      <c r="Q710" s="209"/>
      <c r="R710" s="212"/>
      <c r="S710" s="209"/>
      <c r="T710" s="209"/>
      <c r="U710" s="209" t="s">
        <v>54</v>
      </c>
      <c r="V710" s="209"/>
      <c r="W710" s="209"/>
      <c r="X710" s="209"/>
      <c r="Y710" s="209"/>
      <c r="Z710" s="209"/>
      <c r="AA710" s="209" t="s">
        <v>54</v>
      </c>
      <c r="AB710" s="212"/>
      <c r="AC710" s="212"/>
    </row>
    <row r="711" spans="1:29" outlineLevel="2" x14ac:dyDescent="0.25">
      <c r="A711" s="201">
        <v>46020</v>
      </c>
      <c r="D711" s="198" t="s">
        <v>54</v>
      </c>
      <c r="E711" s="202">
        <v>125000000</v>
      </c>
      <c r="K711" s="198" t="s">
        <v>1840</v>
      </c>
      <c r="L711" s="198" t="s">
        <v>134</v>
      </c>
      <c r="P711" s="201"/>
      <c r="R711" s="202">
        <v>125000000</v>
      </c>
      <c r="U711" s="198" t="s">
        <v>533</v>
      </c>
      <c r="AA711" s="198" t="s">
        <v>51</v>
      </c>
      <c r="AB711" s="202">
        <v>125000000</v>
      </c>
      <c r="AC711" s="202">
        <v>125000000</v>
      </c>
    </row>
    <row r="712" spans="1:29" outlineLevel="2" x14ac:dyDescent="0.25">
      <c r="A712" s="201">
        <v>46025</v>
      </c>
      <c r="D712" s="198" t="s">
        <v>54</v>
      </c>
      <c r="E712" s="202">
        <v>10000000</v>
      </c>
      <c r="K712" s="198" t="s">
        <v>1840</v>
      </c>
      <c r="L712" s="198" t="s">
        <v>134</v>
      </c>
      <c r="P712" s="201"/>
      <c r="R712" s="202">
        <v>10000000</v>
      </c>
      <c r="U712" s="198" t="s">
        <v>533</v>
      </c>
      <c r="AA712" s="198" t="s">
        <v>51</v>
      </c>
      <c r="AB712" s="202">
        <v>10000000</v>
      </c>
      <c r="AC712" s="202">
        <v>10000000</v>
      </c>
    </row>
    <row r="713" spans="1:29" outlineLevel="1" x14ac:dyDescent="0.25">
      <c r="A713" s="210"/>
      <c r="B713" s="209"/>
      <c r="C713" s="209"/>
      <c r="D713" s="209" t="s">
        <v>54</v>
      </c>
      <c r="E713" s="211">
        <v>135000000</v>
      </c>
      <c r="F713" s="209"/>
      <c r="G713" s="209"/>
      <c r="H713" s="209"/>
      <c r="I713" s="209"/>
      <c r="J713" s="209"/>
      <c r="K713" s="209" t="s">
        <v>54</v>
      </c>
      <c r="L713" s="209" t="s">
        <v>54</v>
      </c>
      <c r="M713" s="209"/>
      <c r="N713" s="209"/>
      <c r="O713" s="209"/>
      <c r="P713" s="210"/>
      <c r="Q713" s="209"/>
      <c r="R713" s="212"/>
      <c r="S713" s="209"/>
      <c r="T713" s="209"/>
      <c r="U713" s="209" t="s">
        <v>54</v>
      </c>
      <c r="V713" s="209"/>
      <c r="W713" s="209"/>
      <c r="X713" s="209"/>
      <c r="Y713" s="209"/>
      <c r="Z713" s="209"/>
      <c r="AA713" s="209" t="s">
        <v>54</v>
      </c>
      <c r="AB713" s="212"/>
      <c r="AC713" s="212"/>
    </row>
    <row r="714" spans="1:29" outlineLevel="2" x14ac:dyDescent="0.25">
      <c r="A714" s="201">
        <v>46018</v>
      </c>
      <c r="D714" s="198" t="s">
        <v>54</v>
      </c>
      <c r="E714" s="202">
        <v>1117200000</v>
      </c>
      <c r="K714" s="198" t="s">
        <v>1841</v>
      </c>
      <c r="L714" s="198" t="s">
        <v>134</v>
      </c>
      <c r="P714" s="201"/>
      <c r="R714" s="202">
        <v>1117200000</v>
      </c>
      <c r="U714" s="198" t="s">
        <v>557</v>
      </c>
      <c r="AA714" s="198" t="s">
        <v>51</v>
      </c>
      <c r="AB714" s="202">
        <v>1117200000</v>
      </c>
      <c r="AC714" s="202">
        <v>1117200000</v>
      </c>
    </row>
    <row r="715" spans="1:29" outlineLevel="2" x14ac:dyDescent="0.25">
      <c r="A715" s="201">
        <v>46092</v>
      </c>
      <c r="D715" s="198" t="s">
        <v>54</v>
      </c>
      <c r="E715" s="202">
        <v>-121434250</v>
      </c>
      <c r="K715" s="198" t="s">
        <v>1841</v>
      </c>
      <c r="L715" s="198" t="s">
        <v>134</v>
      </c>
      <c r="P715" s="201"/>
      <c r="R715" s="202">
        <v>-121434250</v>
      </c>
      <c r="U715" s="198" t="s">
        <v>557</v>
      </c>
      <c r="AA715" s="198" t="s">
        <v>51</v>
      </c>
      <c r="AB715" s="202">
        <v>-121434250</v>
      </c>
      <c r="AC715" s="202">
        <v>-121434250</v>
      </c>
    </row>
    <row r="716" spans="1:29" outlineLevel="1" x14ac:dyDescent="0.25">
      <c r="A716" s="210"/>
      <c r="B716" s="209"/>
      <c r="C716" s="209"/>
      <c r="D716" s="209" t="s">
        <v>54</v>
      </c>
      <c r="E716" s="211">
        <v>995765750</v>
      </c>
      <c r="F716" s="209"/>
      <c r="G716" s="209"/>
      <c r="H716" s="209"/>
      <c r="I716" s="209"/>
      <c r="J716" s="209"/>
      <c r="K716" s="209" t="s">
        <v>54</v>
      </c>
      <c r="L716" s="209" t="s">
        <v>54</v>
      </c>
      <c r="M716" s="209"/>
      <c r="N716" s="209"/>
      <c r="O716" s="209"/>
      <c r="P716" s="210"/>
      <c r="Q716" s="209"/>
      <c r="R716" s="212"/>
      <c r="S716" s="209"/>
      <c r="T716" s="209"/>
      <c r="U716" s="209" t="s">
        <v>54</v>
      </c>
      <c r="V716" s="209"/>
      <c r="W716" s="209"/>
      <c r="X716" s="209"/>
      <c r="Y716" s="209"/>
      <c r="Z716" s="209"/>
      <c r="AA716" s="209" t="s">
        <v>54</v>
      </c>
      <c r="AB716" s="212"/>
      <c r="AC716" s="212"/>
    </row>
    <row r="717" spans="1:29" outlineLevel="2" x14ac:dyDescent="0.25">
      <c r="A717" s="201">
        <v>46018</v>
      </c>
      <c r="D717" s="198" t="s">
        <v>54</v>
      </c>
      <c r="E717" s="202">
        <v>1449925135</v>
      </c>
      <c r="K717" s="198" t="s">
        <v>1842</v>
      </c>
      <c r="L717" s="198" t="s">
        <v>134</v>
      </c>
      <c r="P717" s="201"/>
      <c r="R717" s="202">
        <v>1449925135</v>
      </c>
      <c r="U717" s="198" t="s">
        <v>986</v>
      </c>
      <c r="AA717" s="198" t="s">
        <v>51</v>
      </c>
      <c r="AB717" s="202">
        <v>1449925135</v>
      </c>
      <c r="AC717" s="202">
        <v>1449925135</v>
      </c>
    </row>
    <row r="718" spans="1:29" outlineLevel="2" x14ac:dyDescent="0.25">
      <c r="A718" s="201">
        <v>46021</v>
      </c>
      <c r="D718" s="198" t="s">
        <v>54</v>
      </c>
      <c r="E718" s="202">
        <v>133761651.47</v>
      </c>
      <c r="K718" s="198" t="s">
        <v>1842</v>
      </c>
      <c r="L718" s="198" t="s">
        <v>134</v>
      </c>
      <c r="P718" s="201"/>
      <c r="R718" s="202">
        <v>133761651.47</v>
      </c>
      <c r="U718" s="198" t="s">
        <v>986</v>
      </c>
      <c r="AA718" s="198" t="s">
        <v>51</v>
      </c>
      <c r="AB718" s="202">
        <v>133761651.47</v>
      </c>
      <c r="AC718" s="202">
        <v>133761651.47</v>
      </c>
    </row>
    <row r="719" spans="1:29" outlineLevel="2" x14ac:dyDescent="0.25">
      <c r="A719" s="201">
        <v>46021</v>
      </c>
      <c r="D719" s="198" t="s">
        <v>54</v>
      </c>
      <c r="E719" s="202">
        <v>24739493</v>
      </c>
      <c r="K719" s="198" t="s">
        <v>1842</v>
      </c>
      <c r="L719" s="198" t="s">
        <v>134</v>
      </c>
      <c r="P719" s="201"/>
      <c r="R719" s="202">
        <v>24739493</v>
      </c>
      <c r="U719" s="198" t="s">
        <v>986</v>
      </c>
      <c r="AA719" s="198" t="s">
        <v>51</v>
      </c>
      <c r="AB719" s="202">
        <v>24739493</v>
      </c>
      <c r="AC719" s="202">
        <v>24739493</v>
      </c>
    </row>
    <row r="720" spans="1:29" outlineLevel="2" x14ac:dyDescent="0.25">
      <c r="A720" s="201">
        <v>46022</v>
      </c>
      <c r="D720" s="198" t="s">
        <v>54</v>
      </c>
      <c r="E720" s="202">
        <v>1260507</v>
      </c>
      <c r="K720" s="198" t="s">
        <v>1842</v>
      </c>
      <c r="L720" s="198" t="s">
        <v>134</v>
      </c>
      <c r="P720" s="201"/>
      <c r="R720" s="202">
        <v>1260507</v>
      </c>
      <c r="U720" s="198" t="s">
        <v>986</v>
      </c>
      <c r="AA720" s="198" t="s">
        <v>51</v>
      </c>
      <c r="AB720" s="202">
        <v>1260507</v>
      </c>
      <c r="AC720" s="202">
        <v>1260507</v>
      </c>
    </row>
    <row r="721" spans="1:29" outlineLevel="2" x14ac:dyDescent="0.25">
      <c r="A721" s="201">
        <v>46034</v>
      </c>
      <c r="D721" s="198" t="s">
        <v>54</v>
      </c>
      <c r="E721" s="202">
        <v>60000000.530000001</v>
      </c>
      <c r="K721" s="198" t="s">
        <v>1842</v>
      </c>
      <c r="L721" s="198" t="s">
        <v>134</v>
      </c>
      <c r="P721" s="201"/>
      <c r="R721" s="202">
        <v>60000000.530000001</v>
      </c>
      <c r="U721" s="198" t="s">
        <v>986</v>
      </c>
      <c r="AA721" s="198" t="s">
        <v>51</v>
      </c>
      <c r="AB721" s="202">
        <v>60000000.530000001</v>
      </c>
      <c r="AC721" s="202">
        <v>60000000.530000001</v>
      </c>
    </row>
    <row r="722" spans="1:29" outlineLevel="2" x14ac:dyDescent="0.25">
      <c r="A722" s="201">
        <v>46071</v>
      </c>
      <c r="D722" s="198" t="s">
        <v>54</v>
      </c>
      <c r="E722" s="202">
        <v>7210817</v>
      </c>
      <c r="K722" s="198" t="s">
        <v>1842</v>
      </c>
      <c r="L722" s="198" t="s">
        <v>134</v>
      </c>
      <c r="P722" s="201"/>
      <c r="R722" s="202">
        <v>7210817</v>
      </c>
      <c r="U722" s="198" t="s">
        <v>986</v>
      </c>
      <c r="AA722" s="198" t="s">
        <v>51</v>
      </c>
      <c r="AB722" s="202">
        <v>7210817</v>
      </c>
      <c r="AC722" s="202">
        <v>7210817</v>
      </c>
    </row>
    <row r="723" spans="1:29" outlineLevel="1" x14ac:dyDescent="0.25">
      <c r="A723" s="210"/>
      <c r="B723" s="209"/>
      <c r="C723" s="209"/>
      <c r="D723" s="209" t="s">
        <v>54</v>
      </c>
      <c r="E723" s="211">
        <v>1676897604</v>
      </c>
      <c r="F723" s="209"/>
      <c r="G723" s="209"/>
      <c r="H723" s="209"/>
      <c r="I723" s="209"/>
      <c r="J723" s="209"/>
      <c r="K723" s="209" t="s">
        <v>54</v>
      </c>
      <c r="L723" s="209" t="s">
        <v>54</v>
      </c>
      <c r="M723" s="209"/>
      <c r="N723" s="209"/>
      <c r="O723" s="209"/>
      <c r="P723" s="210"/>
      <c r="Q723" s="209"/>
      <c r="R723" s="212"/>
      <c r="S723" s="209"/>
      <c r="T723" s="209"/>
      <c r="U723" s="209" t="s">
        <v>54</v>
      </c>
      <c r="V723" s="209"/>
      <c r="W723" s="209"/>
      <c r="X723" s="209"/>
      <c r="Y723" s="209"/>
      <c r="Z723" s="209"/>
      <c r="AA723" s="209" t="s">
        <v>54</v>
      </c>
      <c r="AB723" s="212"/>
      <c r="AC723" s="212"/>
    </row>
    <row r="724" spans="1:29" outlineLevel="2" x14ac:dyDescent="0.25">
      <c r="A724" s="201">
        <v>46018</v>
      </c>
      <c r="D724" s="198" t="s">
        <v>54</v>
      </c>
      <c r="E724" s="202">
        <v>161700000</v>
      </c>
      <c r="K724" s="198" t="s">
        <v>1843</v>
      </c>
      <c r="L724" s="198" t="s">
        <v>134</v>
      </c>
      <c r="P724" s="201"/>
      <c r="R724" s="202">
        <v>161700000</v>
      </c>
      <c r="U724" s="198" t="s">
        <v>526</v>
      </c>
      <c r="AA724" s="198" t="s">
        <v>51</v>
      </c>
      <c r="AB724" s="202">
        <v>161700000</v>
      </c>
      <c r="AC724" s="202">
        <v>161700000</v>
      </c>
    </row>
    <row r="725" spans="1:29" outlineLevel="1" x14ac:dyDescent="0.25">
      <c r="A725" s="210"/>
      <c r="B725" s="209"/>
      <c r="C725" s="209"/>
      <c r="D725" s="209" t="s">
        <v>54</v>
      </c>
      <c r="E725" s="211">
        <v>161700000</v>
      </c>
      <c r="F725" s="209"/>
      <c r="G725" s="209"/>
      <c r="H725" s="209"/>
      <c r="I725" s="209"/>
      <c r="J725" s="209"/>
      <c r="K725" s="209" t="s">
        <v>54</v>
      </c>
      <c r="L725" s="209" t="s">
        <v>54</v>
      </c>
      <c r="M725" s="209"/>
      <c r="N725" s="209"/>
      <c r="O725" s="209"/>
      <c r="P725" s="210"/>
      <c r="Q725" s="209"/>
      <c r="R725" s="212"/>
      <c r="S725" s="209"/>
      <c r="T725" s="209"/>
      <c r="U725" s="209" t="s">
        <v>54</v>
      </c>
      <c r="V725" s="209"/>
      <c r="W725" s="209"/>
      <c r="X725" s="209"/>
      <c r="Y725" s="209"/>
      <c r="Z725" s="209"/>
      <c r="AA725" s="209" t="s">
        <v>54</v>
      </c>
      <c r="AB725" s="212"/>
      <c r="AC725" s="212"/>
    </row>
    <row r="726" spans="1:29" outlineLevel="2" x14ac:dyDescent="0.25">
      <c r="A726" s="201">
        <v>46018</v>
      </c>
      <c r="D726" s="198" t="s">
        <v>54</v>
      </c>
      <c r="E726" s="202">
        <v>634544429</v>
      </c>
      <c r="K726" s="198" t="s">
        <v>1844</v>
      </c>
      <c r="L726" s="198" t="s">
        <v>134</v>
      </c>
      <c r="P726" s="201"/>
      <c r="R726" s="202">
        <v>634544429</v>
      </c>
      <c r="U726" s="198" t="s">
        <v>583</v>
      </c>
      <c r="AA726" s="198" t="s">
        <v>51</v>
      </c>
      <c r="AB726" s="202">
        <v>634544429</v>
      </c>
      <c r="AC726" s="202">
        <v>634544429</v>
      </c>
    </row>
    <row r="727" spans="1:29" outlineLevel="1" x14ac:dyDescent="0.25">
      <c r="A727" s="210"/>
      <c r="B727" s="209"/>
      <c r="C727" s="209"/>
      <c r="D727" s="209" t="s">
        <v>54</v>
      </c>
      <c r="E727" s="211">
        <v>634544429</v>
      </c>
      <c r="F727" s="209"/>
      <c r="G727" s="209"/>
      <c r="H727" s="209"/>
      <c r="I727" s="209"/>
      <c r="J727" s="209"/>
      <c r="K727" s="209" t="s">
        <v>54</v>
      </c>
      <c r="L727" s="209" t="s">
        <v>54</v>
      </c>
      <c r="M727" s="209"/>
      <c r="N727" s="209"/>
      <c r="O727" s="209"/>
      <c r="P727" s="210"/>
      <c r="Q727" s="209"/>
      <c r="R727" s="212"/>
      <c r="S727" s="209"/>
      <c r="T727" s="209"/>
      <c r="U727" s="209" t="s">
        <v>54</v>
      </c>
      <c r="V727" s="209"/>
      <c r="W727" s="209"/>
      <c r="X727" s="209"/>
      <c r="Y727" s="209"/>
      <c r="Z727" s="209"/>
      <c r="AA727" s="209" t="s">
        <v>54</v>
      </c>
      <c r="AB727" s="212"/>
      <c r="AC727" s="212"/>
    </row>
    <row r="728" spans="1:29" outlineLevel="2" x14ac:dyDescent="0.25">
      <c r="A728" s="201">
        <v>46018</v>
      </c>
      <c r="D728" s="198" t="s">
        <v>54</v>
      </c>
      <c r="E728" s="202">
        <v>418280706</v>
      </c>
      <c r="K728" s="198" t="s">
        <v>1845</v>
      </c>
      <c r="L728" s="198" t="s">
        <v>134</v>
      </c>
      <c r="P728" s="201"/>
      <c r="R728" s="202">
        <v>418280706</v>
      </c>
      <c r="U728" s="198" t="s">
        <v>553</v>
      </c>
      <c r="AA728" s="198" t="s">
        <v>51</v>
      </c>
      <c r="AB728" s="202">
        <v>418280706</v>
      </c>
      <c r="AC728" s="202">
        <v>418280706</v>
      </c>
    </row>
    <row r="729" spans="1:29" outlineLevel="1" x14ac:dyDescent="0.25">
      <c r="A729" s="210"/>
      <c r="B729" s="209"/>
      <c r="C729" s="209"/>
      <c r="D729" s="209" t="s">
        <v>54</v>
      </c>
      <c r="E729" s="211">
        <v>418280706</v>
      </c>
      <c r="F729" s="209"/>
      <c r="G729" s="209"/>
      <c r="H729" s="209"/>
      <c r="I729" s="209"/>
      <c r="J729" s="209"/>
      <c r="K729" s="209" t="s">
        <v>54</v>
      </c>
      <c r="L729" s="209" t="s">
        <v>54</v>
      </c>
      <c r="M729" s="209"/>
      <c r="N729" s="209"/>
      <c r="O729" s="209"/>
      <c r="P729" s="210"/>
      <c r="Q729" s="209"/>
      <c r="R729" s="212"/>
      <c r="S729" s="209"/>
      <c r="T729" s="209"/>
      <c r="U729" s="209" t="s">
        <v>54</v>
      </c>
      <c r="V729" s="209"/>
      <c r="W729" s="209"/>
      <c r="X729" s="209"/>
      <c r="Y729" s="209"/>
      <c r="Z729" s="209"/>
      <c r="AA729" s="209" t="s">
        <v>54</v>
      </c>
      <c r="AB729" s="212"/>
      <c r="AC729" s="212"/>
    </row>
    <row r="730" spans="1:29" outlineLevel="2" x14ac:dyDescent="0.25">
      <c r="A730" s="201">
        <v>46018</v>
      </c>
      <c r="D730" s="198" t="s">
        <v>54</v>
      </c>
      <c r="E730" s="202">
        <v>225400000</v>
      </c>
      <c r="K730" s="198" t="s">
        <v>1846</v>
      </c>
      <c r="L730" s="198" t="s">
        <v>134</v>
      </c>
      <c r="P730" s="201"/>
      <c r="R730" s="202">
        <v>225400000</v>
      </c>
      <c r="U730" s="198" t="s">
        <v>133</v>
      </c>
      <c r="AA730" s="198" t="s">
        <v>51</v>
      </c>
      <c r="AB730" s="202">
        <v>225400000</v>
      </c>
      <c r="AC730" s="202">
        <v>225400000</v>
      </c>
    </row>
    <row r="731" spans="1:29" outlineLevel="2" x14ac:dyDescent="0.25">
      <c r="A731" s="201">
        <v>46021</v>
      </c>
      <c r="D731" s="198" t="s">
        <v>54</v>
      </c>
      <c r="E731" s="202">
        <v>133761651.47</v>
      </c>
      <c r="K731" s="198" t="s">
        <v>1846</v>
      </c>
      <c r="L731" s="198" t="s">
        <v>134</v>
      </c>
      <c r="P731" s="201"/>
      <c r="R731" s="202">
        <v>133761651.47</v>
      </c>
      <c r="U731" s="198" t="s">
        <v>133</v>
      </c>
      <c r="AA731" s="198" t="s">
        <v>51</v>
      </c>
      <c r="AB731" s="202">
        <v>133761651.47</v>
      </c>
      <c r="AC731" s="202">
        <v>133761651.47</v>
      </c>
    </row>
    <row r="732" spans="1:29" outlineLevel="2" x14ac:dyDescent="0.25">
      <c r="A732" s="201">
        <v>46034</v>
      </c>
      <c r="D732" s="198" t="s">
        <v>54</v>
      </c>
      <c r="E732" s="202">
        <v>60000000.530000001</v>
      </c>
      <c r="K732" s="198" t="s">
        <v>1846</v>
      </c>
      <c r="L732" s="198" t="s">
        <v>134</v>
      </c>
      <c r="P732" s="201"/>
      <c r="R732" s="202">
        <v>60000000.530000001</v>
      </c>
      <c r="U732" s="198" t="s">
        <v>133</v>
      </c>
      <c r="AA732" s="198" t="s">
        <v>51</v>
      </c>
      <c r="AB732" s="202">
        <v>60000000.530000001</v>
      </c>
      <c r="AC732" s="202">
        <v>60000000.530000001</v>
      </c>
    </row>
    <row r="733" spans="1:29" outlineLevel="2" x14ac:dyDescent="0.25">
      <c r="A733" s="201">
        <v>46071</v>
      </c>
      <c r="D733" s="198" t="s">
        <v>54</v>
      </c>
      <c r="E733" s="202">
        <v>7210817</v>
      </c>
      <c r="K733" s="198" t="s">
        <v>1846</v>
      </c>
      <c r="L733" s="198" t="s">
        <v>134</v>
      </c>
      <c r="P733" s="201"/>
      <c r="R733" s="202">
        <v>7210817</v>
      </c>
      <c r="U733" s="198" t="s">
        <v>133</v>
      </c>
      <c r="AA733" s="198" t="s">
        <v>51</v>
      </c>
      <c r="AB733" s="202">
        <v>7210817</v>
      </c>
      <c r="AC733" s="202">
        <v>7210817</v>
      </c>
    </row>
    <row r="734" spans="1:29" outlineLevel="1" x14ac:dyDescent="0.25">
      <c r="A734" s="210"/>
      <c r="B734" s="209"/>
      <c r="C734" s="209"/>
      <c r="D734" s="209" t="s">
        <v>54</v>
      </c>
      <c r="E734" s="211">
        <v>426372469</v>
      </c>
      <c r="F734" s="209"/>
      <c r="G734" s="209"/>
      <c r="H734" s="209"/>
      <c r="I734" s="209"/>
      <c r="J734" s="209"/>
      <c r="K734" s="209" t="s">
        <v>54</v>
      </c>
      <c r="L734" s="209" t="s">
        <v>54</v>
      </c>
      <c r="M734" s="209"/>
      <c r="N734" s="209"/>
      <c r="O734" s="209"/>
      <c r="P734" s="210"/>
      <c r="Q734" s="209"/>
      <c r="R734" s="212"/>
      <c r="S734" s="209"/>
      <c r="T734" s="209"/>
      <c r="U734" s="209" t="s">
        <v>54</v>
      </c>
      <c r="V734" s="209"/>
      <c r="W734" s="209"/>
      <c r="X734" s="209"/>
      <c r="Y734" s="209"/>
      <c r="Z734" s="209"/>
      <c r="AA734" s="209" t="s">
        <v>54</v>
      </c>
      <c r="AB734" s="212"/>
      <c r="AC734" s="212"/>
    </row>
    <row r="735" spans="1:29" outlineLevel="2" x14ac:dyDescent="0.25">
      <c r="A735" s="201">
        <v>46018</v>
      </c>
      <c r="D735" s="198" t="s">
        <v>54</v>
      </c>
      <c r="E735" s="202">
        <v>10000000</v>
      </c>
      <c r="K735" s="198" t="s">
        <v>1847</v>
      </c>
      <c r="L735" s="198" t="s">
        <v>134</v>
      </c>
      <c r="P735" s="201"/>
      <c r="R735" s="202">
        <v>10000000</v>
      </c>
      <c r="U735" s="198" t="s">
        <v>528</v>
      </c>
      <c r="AA735" s="198" t="s">
        <v>51</v>
      </c>
      <c r="AB735" s="202">
        <v>10000000</v>
      </c>
      <c r="AC735" s="202">
        <v>10000000</v>
      </c>
    </row>
    <row r="736" spans="1:29" outlineLevel="2" x14ac:dyDescent="0.25">
      <c r="A736" s="201">
        <v>46021</v>
      </c>
      <c r="D736" s="198" t="s">
        <v>54</v>
      </c>
      <c r="E736" s="202">
        <v>24739493</v>
      </c>
      <c r="K736" s="198" t="s">
        <v>1847</v>
      </c>
      <c r="L736" s="198" t="s">
        <v>134</v>
      </c>
      <c r="P736" s="201"/>
      <c r="R736" s="202">
        <v>24739493</v>
      </c>
      <c r="U736" s="198" t="s">
        <v>528</v>
      </c>
      <c r="AA736" s="198" t="s">
        <v>51</v>
      </c>
      <c r="AB736" s="202">
        <v>24739493</v>
      </c>
      <c r="AC736" s="202">
        <v>24739493</v>
      </c>
    </row>
    <row r="737" spans="1:29" outlineLevel="2" x14ac:dyDescent="0.25">
      <c r="A737" s="201">
        <v>46022</v>
      </c>
      <c r="D737" s="198" t="s">
        <v>54</v>
      </c>
      <c r="E737" s="202">
        <v>1260507</v>
      </c>
      <c r="K737" s="198" t="s">
        <v>1847</v>
      </c>
      <c r="L737" s="198" t="s">
        <v>134</v>
      </c>
      <c r="P737" s="201"/>
      <c r="R737" s="202">
        <v>1260507</v>
      </c>
      <c r="U737" s="198" t="s">
        <v>528</v>
      </c>
      <c r="AA737" s="198" t="s">
        <v>51</v>
      </c>
      <c r="AB737" s="202">
        <v>1260507</v>
      </c>
      <c r="AC737" s="202">
        <v>1260507</v>
      </c>
    </row>
    <row r="738" spans="1:29" outlineLevel="1" x14ac:dyDescent="0.25">
      <c r="A738" s="210"/>
      <c r="B738" s="209"/>
      <c r="C738" s="209"/>
      <c r="D738" s="209" t="s">
        <v>54</v>
      </c>
      <c r="E738" s="211">
        <v>36000000</v>
      </c>
      <c r="F738" s="209"/>
      <c r="G738" s="209"/>
      <c r="H738" s="209"/>
      <c r="I738" s="209"/>
      <c r="J738" s="209"/>
      <c r="K738" s="209" t="s">
        <v>54</v>
      </c>
      <c r="L738" s="209" t="s">
        <v>54</v>
      </c>
      <c r="M738" s="209"/>
      <c r="N738" s="209"/>
      <c r="O738" s="209"/>
      <c r="P738" s="210"/>
      <c r="Q738" s="209"/>
      <c r="R738" s="212"/>
      <c r="S738" s="209"/>
      <c r="T738" s="209"/>
      <c r="U738" s="209" t="s">
        <v>54</v>
      </c>
      <c r="V738" s="209"/>
      <c r="W738" s="209"/>
      <c r="X738" s="209"/>
      <c r="Y738" s="209"/>
      <c r="Z738" s="209"/>
      <c r="AA738" s="209" t="s">
        <v>54</v>
      </c>
      <c r="AB738" s="212"/>
      <c r="AC738" s="212"/>
    </row>
    <row r="739" spans="1:29" outlineLevel="2" x14ac:dyDescent="0.25">
      <c r="A739" s="201">
        <v>46117</v>
      </c>
      <c r="D739" s="198" t="s">
        <v>54</v>
      </c>
      <c r="E739" s="202">
        <v>1267162</v>
      </c>
      <c r="K739" s="198" t="s">
        <v>1848</v>
      </c>
      <c r="L739" s="198" t="s">
        <v>134</v>
      </c>
      <c r="P739" s="201"/>
      <c r="R739" s="202">
        <v>1267162</v>
      </c>
      <c r="U739" s="198" t="s">
        <v>987</v>
      </c>
      <c r="AA739" s="198" t="s">
        <v>51</v>
      </c>
      <c r="AB739" s="202">
        <v>1267162</v>
      </c>
      <c r="AC739" s="202">
        <v>1267162</v>
      </c>
    </row>
    <row r="740" spans="1:29" outlineLevel="2" x14ac:dyDescent="0.25">
      <c r="A740" s="201">
        <v>46150</v>
      </c>
      <c r="D740" s="198" t="s">
        <v>54</v>
      </c>
      <c r="E740" s="202">
        <v>210066</v>
      </c>
      <c r="K740" s="198" t="s">
        <v>1848</v>
      </c>
      <c r="L740" s="198" t="s">
        <v>134</v>
      </c>
      <c r="P740" s="201"/>
      <c r="R740" s="202">
        <v>210066</v>
      </c>
      <c r="U740" s="198" t="s">
        <v>987</v>
      </c>
      <c r="AA740" s="198" t="s">
        <v>51</v>
      </c>
      <c r="AB740" s="202">
        <v>210066</v>
      </c>
      <c r="AC740" s="202">
        <v>210066</v>
      </c>
    </row>
    <row r="741" spans="1:29" outlineLevel="1" x14ac:dyDescent="0.25">
      <c r="A741" s="210"/>
      <c r="B741" s="209"/>
      <c r="C741" s="209"/>
      <c r="D741" s="209" t="s">
        <v>54</v>
      </c>
      <c r="E741" s="211">
        <v>1477228</v>
      </c>
      <c r="F741" s="209"/>
      <c r="G741" s="209"/>
      <c r="H741" s="209"/>
      <c r="I741" s="209"/>
      <c r="J741" s="209"/>
      <c r="K741" s="209" t="s">
        <v>54</v>
      </c>
      <c r="L741" s="209" t="s">
        <v>54</v>
      </c>
      <c r="M741" s="209"/>
      <c r="N741" s="209"/>
      <c r="O741" s="209"/>
      <c r="P741" s="210"/>
      <c r="Q741" s="209"/>
      <c r="R741" s="212"/>
      <c r="S741" s="209"/>
      <c r="T741" s="209"/>
      <c r="U741" s="209" t="s">
        <v>54</v>
      </c>
      <c r="V741" s="209"/>
      <c r="W741" s="209"/>
      <c r="X741" s="209"/>
      <c r="Y741" s="209"/>
      <c r="Z741" s="209"/>
      <c r="AA741" s="209" t="s">
        <v>54</v>
      </c>
      <c r="AB741" s="212"/>
      <c r="AC741" s="212"/>
    </row>
    <row r="742" spans="1:29" outlineLevel="2" x14ac:dyDescent="0.25">
      <c r="A742" s="201">
        <v>46117</v>
      </c>
      <c r="D742" s="198" t="s">
        <v>54</v>
      </c>
      <c r="E742" s="202">
        <v>1267162</v>
      </c>
      <c r="K742" s="198" t="s">
        <v>1849</v>
      </c>
      <c r="L742" s="198" t="s">
        <v>134</v>
      </c>
      <c r="P742" s="201"/>
      <c r="R742" s="202">
        <v>1267162</v>
      </c>
      <c r="U742" s="198" t="s">
        <v>872</v>
      </c>
      <c r="AA742" s="198" t="s">
        <v>51</v>
      </c>
      <c r="AB742" s="202">
        <v>1267162</v>
      </c>
      <c r="AC742" s="202">
        <v>1267162</v>
      </c>
    </row>
    <row r="743" spans="1:29" outlineLevel="2" x14ac:dyDescent="0.25">
      <c r="A743" s="201">
        <v>46150</v>
      </c>
      <c r="D743" s="198" t="s">
        <v>54</v>
      </c>
      <c r="E743" s="202">
        <v>210066</v>
      </c>
      <c r="K743" s="198" t="s">
        <v>1849</v>
      </c>
      <c r="L743" s="198" t="s">
        <v>134</v>
      </c>
      <c r="P743" s="201"/>
      <c r="R743" s="202">
        <v>210066</v>
      </c>
      <c r="U743" s="198" t="s">
        <v>872</v>
      </c>
      <c r="AA743" s="198" t="s">
        <v>51</v>
      </c>
      <c r="AB743" s="202">
        <v>210066</v>
      </c>
      <c r="AC743" s="202">
        <v>210066</v>
      </c>
    </row>
    <row r="744" spans="1:29" outlineLevel="1" x14ac:dyDescent="0.25">
      <c r="A744" s="210"/>
      <c r="B744" s="209"/>
      <c r="C744" s="209"/>
      <c r="D744" s="209" t="s">
        <v>54</v>
      </c>
      <c r="E744" s="211">
        <v>1477228</v>
      </c>
      <c r="F744" s="209"/>
      <c r="G744" s="209"/>
      <c r="H744" s="209"/>
      <c r="I744" s="209"/>
      <c r="J744" s="209"/>
      <c r="K744" s="209" t="s">
        <v>54</v>
      </c>
      <c r="L744" s="209" t="s">
        <v>54</v>
      </c>
      <c r="M744" s="209"/>
      <c r="N744" s="209"/>
      <c r="O744" s="209"/>
      <c r="P744" s="210"/>
      <c r="Q744" s="209"/>
      <c r="R744" s="212"/>
      <c r="S744" s="209"/>
      <c r="T744" s="209"/>
      <c r="U744" s="209" t="s">
        <v>54</v>
      </c>
      <c r="V744" s="209"/>
      <c r="W744" s="209"/>
      <c r="X744" s="209"/>
      <c r="Y744" s="209"/>
      <c r="Z744" s="209"/>
      <c r="AA744" s="209" t="s">
        <v>54</v>
      </c>
      <c r="AB744" s="212"/>
      <c r="AC744" s="212"/>
    </row>
    <row r="745" spans="1:29" outlineLevel="2" x14ac:dyDescent="0.25">
      <c r="A745" s="201">
        <v>46023</v>
      </c>
      <c r="D745" s="198" t="s">
        <v>54</v>
      </c>
      <c r="E745" s="202">
        <v>17000000</v>
      </c>
      <c r="K745" s="198" t="s">
        <v>1850</v>
      </c>
      <c r="L745" s="198" t="s">
        <v>134</v>
      </c>
      <c r="P745" s="201"/>
      <c r="R745" s="202">
        <v>17000000</v>
      </c>
      <c r="U745" s="198" t="s">
        <v>558</v>
      </c>
      <c r="AA745" s="198" t="s">
        <v>51</v>
      </c>
      <c r="AB745" s="202">
        <v>17000000</v>
      </c>
      <c r="AC745" s="202">
        <v>17000000</v>
      </c>
    </row>
    <row r="746" spans="1:29" outlineLevel="2" x14ac:dyDescent="0.25">
      <c r="A746" s="201">
        <v>46031</v>
      </c>
      <c r="D746" s="198" t="s">
        <v>54</v>
      </c>
      <c r="E746" s="202">
        <v>250000</v>
      </c>
      <c r="K746" s="198" t="s">
        <v>1850</v>
      </c>
      <c r="L746" s="198" t="s">
        <v>134</v>
      </c>
      <c r="P746" s="201"/>
      <c r="R746" s="202">
        <v>250000</v>
      </c>
      <c r="U746" s="198" t="s">
        <v>558</v>
      </c>
      <c r="AA746" s="198" t="s">
        <v>51</v>
      </c>
      <c r="AB746" s="202">
        <v>250000</v>
      </c>
      <c r="AC746" s="202">
        <v>250000</v>
      </c>
    </row>
    <row r="747" spans="1:29" outlineLevel="2" x14ac:dyDescent="0.25">
      <c r="A747" s="201">
        <v>46037</v>
      </c>
      <c r="D747" s="198" t="s">
        <v>54</v>
      </c>
      <c r="E747" s="202">
        <v>100000</v>
      </c>
      <c r="K747" s="198" t="s">
        <v>1850</v>
      </c>
      <c r="L747" s="198" t="s">
        <v>134</v>
      </c>
      <c r="P747" s="201"/>
      <c r="R747" s="202">
        <v>100000</v>
      </c>
      <c r="U747" s="198" t="s">
        <v>558</v>
      </c>
      <c r="AA747" s="198" t="s">
        <v>51</v>
      </c>
      <c r="AB747" s="202">
        <v>100000</v>
      </c>
      <c r="AC747" s="202">
        <v>100000</v>
      </c>
    </row>
    <row r="748" spans="1:29" outlineLevel="1" x14ac:dyDescent="0.25">
      <c r="A748" s="210"/>
      <c r="B748" s="209"/>
      <c r="C748" s="209"/>
      <c r="D748" s="209" t="s">
        <v>54</v>
      </c>
      <c r="E748" s="211">
        <v>17350000</v>
      </c>
      <c r="F748" s="209"/>
      <c r="G748" s="209"/>
      <c r="H748" s="209"/>
      <c r="I748" s="209"/>
      <c r="J748" s="209"/>
      <c r="K748" s="209" t="s">
        <v>54</v>
      </c>
      <c r="L748" s="209" t="s">
        <v>54</v>
      </c>
      <c r="M748" s="209"/>
      <c r="N748" s="209"/>
      <c r="O748" s="209"/>
      <c r="P748" s="210"/>
      <c r="Q748" s="209"/>
      <c r="R748" s="212"/>
      <c r="S748" s="209"/>
      <c r="T748" s="209"/>
      <c r="U748" s="209" t="s">
        <v>54</v>
      </c>
      <c r="V748" s="209"/>
      <c r="W748" s="209"/>
      <c r="X748" s="209"/>
      <c r="Y748" s="209"/>
      <c r="Z748" s="209"/>
      <c r="AA748" s="209" t="s">
        <v>54</v>
      </c>
      <c r="AB748" s="212"/>
      <c r="AC748" s="212"/>
    </row>
    <row r="749" spans="1:29" outlineLevel="2" x14ac:dyDescent="0.25">
      <c r="A749" s="201">
        <v>46115</v>
      </c>
      <c r="D749" s="198" t="s">
        <v>54</v>
      </c>
      <c r="E749" s="202">
        <v>37027851.5</v>
      </c>
      <c r="K749" s="198" t="s">
        <v>1852</v>
      </c>
      <c r="L749" s="198" t="s">
        <v>134</v>
      </c>
      <c r="P749" s="201"/>
      <c r="R749" s="202">
        <v>37027851.5</v>
      </c>
      <c r="U749" s="198" t="s">
        <v>1851</v>
      </c>
      <c r="AA749" s="198" t="s">
        <v>51</v>
      </c>
      <c r="AB749" s="202">
        <v>37027851.5</v>
      </c>
      <c r="AC749" s="202">
        <v>37027851.5</v>
      </c>
    </row>
    <row r="750" spans="1:29" outlineLevel="1" x14ac:dyDescent="0.25">
      <c r="A750" s="210"/>
      <c r="B750" s="209"/>
      <c r="C750" s="209"/>
      <c r="D750" s="209" t="s">
        <v>54</v>
      </c>
      <c r="E750" s="211">
        <v>37027851.5</v>
      </c>
      <c r="F750" s="209"/>
      <c r="G750" s="209"/>
      <c r="H750" s="209"/>
      <c r="I750" s="209"/>
      <c r="J750" s="209"/>
      <c r="K750" s="209" t="s">
        <v>54</v>
      </c>
      <c r="L750" s="209" t="s">
        <v>54</v>
      </c>
      <c r="M750" s="209"/>
      <c r="N750" s="209"/>
      <c r="O750" s="209"/>
      <c r="P750" s="210"/>
      <c r="Q750" s="209"/>
      <c r="R750" s="212"/>
      <c r="S750" s="209"/>
      <c r="T750" s="209"/>
      <c r="U750" s="209" t="s">
        <v>54</v>
      </c>
      <c r="V750" s="209"/>
      <c r="W750" s="209"/>
      <c r="X750" s="209"/>
      <c r="Y750" s="209"/>
      <c r="Z750" s="209"/>
      <c r="AA750" s="209" t="s">
        <v>54</v>
      </c>
      <c r="AB750" s="212"/>
      <c r="AC750" s="212"/>
    </row>
    <row r="751" spans="1:29" outlineLevel="2" x14ac:dyDescent="0.25">
      <c r="A751" s="201">
        <v>46018</v>
      </c>
      <c r="D751" s="198" t="s">
        <v>54</v>
      </c>
      <c r="E751" s="202">
        <v>914515352</v>
      </c>
      <c r="K751" s="198" t="s">
        <v>1853</v>
      </c>
      <c r="L751" s="198" t="s">
        <v>117</v>
      </c>
      <c r="P751" s="201"/>
      <c r="R751" s="202">
        <v>914515352</v>
      </c>
      <c r="U751" s="198" t="s">
        <v>117</v>
      </c>
      <c r="AA751" s="198" t="s">
        <v>51</v>
      </c>
      <c r="AB751" s="202">
        <v>914515352</v>
      </c>
      <c r="AC751" s="202">
        <v>914515352</v>
      </c>
    </row>
    <row r="752" spans="1:29" outlineLevel="2" x14ac:dyDescent="0.25">
      <c r="A752" s="201">
        <v>46018</v>
      </c>
      <c r="D752" s="198" t="s">
        <v>54</v>
      </c>
      <c r="E752" s="202">
        <v>463680000</v>
      </c>
      <c r="K752" s="198" t="s">
        <v>1853</v>
      </c>
      <c r="L752" s="198" t="s">
        <v>117</v>
      </c>
      <c r="P752" s="201"/>
      <c r="R752" s="202">
        <v>463680000</v>
      </c>
      <c r="U752" s="198" t="s">
        <v>117</v>
      </c>
      <c r="AA752" s="198" t="s">
        <v>51</v>
      </c>
      <c r="AB752" s="202">
        <v>463680000</v>
      </c>
      <c r="AC752" s="202">
        <v>463680000</v>
      </c>
    </row>
    <row r="753" spans="1:29" outlineLevel="2" x14ac:dyDescent="0.25">
      <c r="A753" s="201">
        <v>46020</v>
      </c>
      <c r="D753" s="198" t="s">
        <v>54</v>
      </c>
      <c r="E753" s="202">
        <v>85000000</v>
      </c>
      <c r="K753" s="198" t="s">
        <v>1853</v>
      </c>
      <c r="L753" s="198" t="s">
        <v>117</v>
      </c>
      <c r="P753" s="201"/>
      <c r="R753" s="202">
        <v>85000000</v>
      </c>
      <c r="U753" s="198" t="s">
        <v>117</v>
      </c>
      <c r="AA753" s="198" t="s">
        <v>51</v>
      </c>
      <c r="AB753" s="202">
        <v>85000000</v>
      </c>
      <c r="AC753" s="202">
        <v>85000000</v>
      </c>
    </row>
    <row r="754" spans="1:29" outlineLevel="2" x14ac:dyDescent="0.25">
      <c r="A754" s="201">
        <v>46020</v>
      </c>
      <c r="D754" s="198" t="s">
        <v>54</v>
      </c>
      <c r="E754" s="202">
        <v>10642338.48</v>
      </c>
      <c r="K754" s="198" t="s">
        <v>1853</v>
      </c>
      <c r="L754" s="198" t="s">
        <v>117</v>
      </c>
      <c r="P754" s="201"/>
      <c r="R754" s="202">
        <v>10642338.48</v>
      </c>
      <c r="U754" s="198" t="s">
        <v>117</v>
      </c>
      <c r="AA754" s="198" t="s">
        <v>51</v>
      </c>
      <c r="AB754" s="202">
        <v>10642338.48</v>
      </c>
      <c r="AC754" s="202">
        <v>10642338.48</v>
      </c>
    </row>
    <row r="755" spans="1:29" outlineLevel="2" x14ac:dyDescent="0.25">
      <c r="A755" s="201">
        <v>46021</v>
      </c>
      <c r="D755" s="198" t="s">
        <v>54</v>
      </c>
      <c r="E755" s="202">
        <v>50611288.350000001</v>
      </c>
      <c r="K755" s="198" t="s">
        <v>1853</v>
      </c>
      <c r="L755" s="198" t="s">
        <v>117</v>
      </c>
      <c r="P755" s="201"/>
      <c r="R755" s="202">
        <v>50611288.350000001</v>
      </c>
      <c r="U755" s="198" t="s">
        <v>117</v>
      </c>
      <c r="AA755" s="198" t="s">
        <v>51</v>
      </c>
      <c r="AB755" s="202">
        <v>50611288.350000001</v>
      </c>
      <c r="AC755" s="202">
        <v>50611288.350000001</v>
      </c>
    </row>
    <row r="756" spans="1:29" outlineLevel="2" x14ac:dyDescent="0.25">
      <c r="A756" s="201">
        <v>46022</v>
      </c>
      <c r="D756" s="198" t="s">
        <v>54</v>
      </c>
      <c r="E756" s="202">
        <v>5333599021</v>
      </c>
      <c r="K756" s="198" t="s">
        <v>1853</v>
      </c>
      <c r="L756" s="198" t="s">
        <v>117</v>
      </c>
      <c r="P756" s="201"/>
      <c r="R756" s="202">
        <v>5333599021</v>
      </c>
      <c r="U756" s="198" t="s">
        <v>117</v>
      </c>
      <c r="AA756" s="198" t="s">
        <v>51</v>
      </c>
      <c r="AB756" s="202">
        <v>5333599021</v>
      </c>
      <c r="AC756" s="202">
        <v>5333599021</v>
      </c>
    </row>
    <row r="757" spans="1:29" outlineLevel="2" x14ac:dyDescent="0.25">
      <c r="A757" s="201">
        <v>46034</v>
      </c>
      <c r="D757" s="198" t="s">
        <v>54</v>
      </c>
      <c r="E757" s="202">
        <v>24000000.649999999</v>
      </c>
      <c r="K757" s="198" t="s">
        <v>1853</v>
      </c>
      <c r="L757" s="198" t="s">
        <v>117</v>
      </c>
      <c r="P757" s="201"/>
      <c r="R757" s="202">
        <v>24000000.649999999</v>
      </c>
      <c r="U757" s="198" t="s">
        <v>117</v>
      </c>
      <c r="AA757" s="198" t="s">
        <v>51</v>
      </c>
      <c r="AB757" s="202">
        <v>24000000.649999999</v>
      </c>
      <c r="AC757" s="202">
        <v>24000000.649999999</v>
      </c>
    </row>
    <row r="758" spans="1:29" outlineLevel="2" x14ac:dyDescent="0.25">
      <c r="A758" s="201">
        <v>46071</v>
      </c>
      <c r="D758" s="198" t="s">
        <v>54</v>
      </c>
      <c r="E758" s="202">
        <v>10246121.6</v>
      </c>
      <c r="K758" s="198" t="s">
        <v>1853</v>
      </c>
      <c r="L758" s="198" t="s">
        <v>117</v>
      </c>
      <c r="P758" s="201"/>
      <c r="R758" s="202">
        <v>10246121.6</v>
      </c>
      <c r="U758" s="198" t="s">
        <v>117</v>
      </c>
      <c r="AA758" s="198" t="s">
        <v>51</v>
      </c>
      <c r="AB758" s="202">
        <v>10246121.6</v>
      </c>
      <c r="AC758" s="202">
        <v>10246121.6</v>
      </c>
    </row>
    <row r="759" spans="1:29" outlineLevel="2" x14ac:dyDescent="0.25">
      <c r="A759" s="201">
        <v>46071</v>
      </c>
      <c r="D759" s="198" t="s">
        <v>54</v>
      </c>
      <c r="E759" s="202">
        <v>-5479471.7000000002</v>
      </c>
      <c r="K759" s="198" t="s">
        <v>1853</v>
      </c>
      <c r="L759" s="198" t="s">
        <v>117</v>
      </c>
      <c r="P759" s="201"/>
      <c r="R759" s="202">
        <v>-5479471.7000000002</v>
      </c>
      <c r="U759" s="198" t="s">
        <v>117</v>
      </c>
      <c r="AA759" s="198" t="s">
        <v>51</v>
      </c>
      <c r="AB759" s="202">
        <v>-5479471.7000000002</v>
      </c>
      <c r="AC759" s="202">
        <v>-5479471.7000000002</v>
      </c>
    </row>
    <row r="760" spans="1:29" outlineLevel="2" x14ac:dyDescent="0.25">
      <c r="A760" s="201">
        <v>46092</v>
      </c>
      <c r="D760" s="198" t="s">
        <v>54</v>
      </c>
      <c r="E760" s="202">
        <v>-100084263</v>
      </c>
      <c r="K760" s="198" t="s">
        <v>1853</v>
      </c>
      <c r="L760" s="198" t="s">
        <v>117</v>
      </c>
      <c r="P760" s="201"/>
      <c r="R760" s="202">
        <v>-100084263</v>
      </c>
      <c r="U760" s="198" t="s">
        <v>117</v>
      </c>
      <c r="AA760" s="198" t="s">
        <v>51</v>
      </c>
      <c r="AB760" s="202">
        <v>-100084263</v>
      </c>
      <c r="AC760" s="202">
        <v>-100084263</v>
      </c>
    </row>
    <row r="761" spans="1:29" outlineLevel="2" x14ac:dyDescent="0.25">
      <c r="A761" s="201">
        <v>46160</v>
      </c>
      <c r="D761" s="198" t="s">
        <v>54</v>
      </c>
      <c r="E761" s="202">
        <v>4200000</v>
      </c>
      <c r="K761" s="198" t="s">
        <v>1853</v>
      </c>
      <c r="L761" s="198" t="s">
        <v>117</v>
      </c>
      <c r="P761" s="201"/>
      <c r="R761" s="202">
        <v>4200000</v>
      </c>
      <c r="U761" s="198" t="s">
        <v>117</v>
      </c>
      <c r="AA761" s="198" t="s">
        <v>51</v>
      </c>
      <c r="AB761" s="202">
        <v>4200000</v>
      </c>
      <c r="AC761" s="202">
        <v>4200000</v>
      </c>
    </row>
    <row r="762" spans="1:29" outlineLevel="1" x14ac:dyDescent="0.25">
      <c r="A762" s="210"/>
      <c r="B762" s="209"/>
      <c r="C762" s="209"/>
      <c r="D762" s="209" t="s">
        <v>54</v>
      </c>
      <c r="E762" s="211">
        <v>6790930387.3800001</v>
      </c>
      <c r="F762" s="209"/>
      <c r="G762" s="209"/>
      <c r="H762" s="209"/>
      <c r="I762" s="209"/>
      <c r="J762" s="209"/>
      <c r="K762" s="209" t="s">
        <v>54</v>
      </c>
      <c r="L762" s="209" t="s">
        <v>54</v>
      </c>
      <c r="M762" s="209"/>
      <c r="N762" s="209"/>
      <c r="O762" s="209"/>
      <c r="P762" s="210"/>
      <c r="Q762" s="209"/>
      <c r="R762" s="212"/>
      <c r="S762" s="209"/>
      <c r="T762" s="209"/>
      <c r="U762" s="209" t="s">
        <v>54</v>
      </c>
      <c r="V762" s="209"/>
      <c r="W762" s="209"/>
      <c r="X762" s="209"/>
      <c r="Y762" s="209"/>
      <c r="Z762" s="209"/>
      <c r="AA762" s="209" t="s">
        <v>54</v>
      </c>
      <c r="AB762" s="212"/>
      <c r="AC762" s="212"/>
    </row>
    <row r="763" spans="1:29" outlineLevel="2" x14ac:dyDescent="0.25">
      <c r="A763" s="201">
        <v>46022</v>
      </c>
      <c r="D763" s="198" t="s">
        <v>54</v>
      </c>
      <c r="E763" s="202">
        <v>5333599021</v>
      </c>
      <c r="K763" s="198" t="s">
        <v>1854</v>
      </c>
      <c r="L763" s="198" t="s">
        <v>117</v>
      </c>
      <c r="P763" s="201"/>
      <c r="R763" s="202">
        <v>5333599021</v>
      </c>
      <c r="U763" s="198" t="s">
        <v>988</v>
      </c>
      <c r="AA763" s="198" t="s">
        <v>51</v>
      </c>
      <c r="AB763" s="202">
        <v>5333599021</v>
      </c>
      <c r="AC763" s="202">
        <v>5333599021</v>
      </c>
    </row>
    <row r="764" spans="1:29" outlineLevel="1" x14ac:dyDescent="0.25">
      <c r="A764" s="210"/>
      <c r="B764" s="209"/>
      <c r="C764" s="209"/>
      <c r="D764" s="209" t="s">
        <v>54</v>
      </c>
      <c r="E764" s="211">
        <v>5333599021</v>
      </c>
      <c r="F764" s="209"/>
      <c r="G764" s="209"/>
      <c r="H764" s="209"/>
      <c r="I764" s="209"/>
      <c r="J764" s="209"/>
      <c r="K764" s="209" t="s">
        <v>54</v>
      </c>
      <c r="L764" s="209" t="s">
        <v>54</v>
      </c>
      <c r="M764" s="209"/>
      <c r="N764" s="209"/>
      <c r="O764" s="209"/>
      <c r="P764" s="210"/>
      <c r="Q764" s="209"/>
      <c r="R764" s="212"/>
      <c r="S764" s="209"/>
      <c r="T764" s="209"/>
      <c r="U764" s="209" t="s">
        <v>54</v>
      </c>
      <c r="V764" s="209"/>
      <c r="W764" s="209"/>
      <c r="X764" s="209"/>
      <c r="Y764" s="209"/>
      <c r="Z764" s="209"/>
      <c r="AA764" s="209" t="s">
        <v>54</v>
      </c>
      <c r="AB764" s="212"/>
      <c r="AC764" s="212"/>
    </row>
    <row r="765" spans="1:29" outlineLevel="2" x14ac:dyDescent="0.25">
      <c r="A765" s="201">
        <v>46022</v>
      </c>
      <c r="D765" s="198" t="s">
        <v>54</v>
      </c>
      <c r="E765" s="202">
        <v>5333599021</v>
      </c>
      <c r="K765" s="198" t="s">
        <v>1855</v>
      </c>
      <c r="L765" s="198" t="s">
        <v>117</v>
      </c>
      <c r="P765" s="201"/>
      <c r="R765" s="202">
        <v>5333599021</v>
      </c>
      <c r="U765" s="198" t="s">
        <v>703</v>
      </c>
      <c r="AA765" s="198" t="s">
        <v>51</v>
      </c>
      <c r="AB765" s="202">
        <v>5333599021</v>
      </c>
      <c r="AC765" s="202">
        <v>5333599021</v>
      </c>
    </row>
    <row r="766" spans="1:29" outlineLevel="1" x14ac:dyDescent="0.25">
      <c r="A766" s="210"/>
      <c r="B766" s="209"/>
      <c r="C766" s="209"/>
      <c r="D766" s="209" t="s">
        <v>54</v>
      </c>
      <c r="E766" s="211">
        <v>5333599021</v>
      </c>
      <c r="F766" s="209"/>
      <c r="G766" s="209"/>
      <c r="H766" s="209"/>
      <c r="I766" s="209"/>
      <c r="J766" s="209"/>
      <c r="K766" s="209" t="s">
        <v>54</v>
      </c>
      <c r="L766" s="209" t="s">
        <v>54</v>
      </c>
      <c r="M766" s="209"/>
      <c r="N766" s="209"/>
      <c r="O766" s="209"/>
      <c r="P766" s="210"/>
      <c r="Q766" s="209"/>
      <c r="R766" s="212"/>
      <c r="S766" s="209"/>
      <c r="T766" s="209"/>
      <c r="U766" s="209" t="s">
        <v>54</v>
      </c>
      <c r="V766" s="209"/>
      <c r="W766" s="209"/>
      <c r="X766" s="209"/>
      <c r="Y766" s="209"/>
      <c r="Z766" s="209"/>
      <c r="AA766" s="209" t="s">
        <v>54</v>
      </c>
      <c r="AB766" s="212"/>
      <c r="AC766" s="212"/>
    </row>
    <row r="767" spans="1:29" outlineLevel="2" x14ac:dyDescent="0.25">
      <c r="A767" s="201">
        <v>46018</v>
      </c>
      <c r="D767" s="198" t="s">
        <v>54</v>
      </c>
      <c r="E767" s="202">
        <v>463680000</v>
      </c>
      <c r="K767" s="198" t="s">
        <v>1856</v>
      </c>
      <c r="L767" s="198" t="s">
        <v>117</v>
      </c>
      <c r="P767" s="201"/>
      <c r="R767" s="202">
        <v>463680000</v>
      </c>
      <c r="U767" s="198" t="s">
        <v>989</v>
      </c>
      <c r="AA767" s="198" t="s">
        <v>51</v>
      </c>
      <c r="AB767" s="202">
        <v>463680000</v>
      </c>
      <c r="AC767" s="202">
        <v>463680000</v>
      </c>
    </row>
    <row r="768" spans="1:29" outlineLevel="2" x14ac:dyDescent="0.25">
      <c r="A768" s="201">
        <v>46092</v>
      </c>
      <c r="D768" s="198" t="s">
        <v>54</v>
      </c>
      <c r="E768" s="202">
        <v>-35623350</v>
      </c>
      <c r="K768" s="198" t="s">
        <v>1856</v>
      </c>
      <c r="L768" s="198" t="s">
        <v>117</v>
      </c>
      <c r="P768" s="201"/>
      <c r="R768" s="202">
        <v>-35623350</v>
      </c>
      <c r="U768" s="198" t="s">
        <v>989</v>
      </c>
      <c r="AA768" s="198" t="s">
        <v>51</v>
      </c>
      <c r="AB768" s="202">
        <v>-35623350</v>
      </c>
      <c r="AC768" s="202">
        <v>-35623350</v>
      </c>
    </row>
    <row r="769" spans="1:29" outlineLevel="1" x14ac:dyDescent="0.25">
      <c r="A769" s="210"/>
      <c r="B769" s="209"/>
      <c r="C769" s="209"/>
      <c r="D769" s="209" t="s">
        <v>54</v>
      </c>
      <c r="E769" s="211">
        <v>428056650</v>
      </c>
      <c r="F769" s="209"/>
      <c r="G769" s="209"/>
      <c r="H769" s="209"/>
      <c r="I769" s="209"/>
      <c r="J769" s="209"/>
      <c r="K769" s="209" t="s">
        <v>54</v>
      </c>
      <c r="L769" s="209" t="s">
        <v>54</v>
      </c>
      <c r="M769" s="209"/>
      <c r="N769" s="209"/>
      <c r="O769" s="209"/>
      <c r="P769" s="210"/>
      <c r="Q769" s="209"/>
      <c r="R769" s="212"/>
      <c r="S769" s="209"/>
      <c r="T769" s="209"/>
      <c r="U769" s="209" t="s">
        <v>54</v>
      </c>
      <c r="V769" s="209"/>
      <c r="W769" s="209"/>
      <c r="X769" s="209"/>
      <c r="Y769" s="209"/>
      <c r="Z769" s="209"/>
      <c r="AA769" s="209" t="s">
        <v>54</v>
      </c>
      <c r="AB769" s="212"/>
      <c r="AC769" s="212"/>
    </row>
    <row r="770" spans="1:29" outlineLevel="2" x14ac:dyDescent="0.25">
      <c r="A770" s="201">
        <v>46018</v>
      </c>
      <c r="D770" s="198" t="s">
        <v>54</v>
      </c>
      <c r="E770" s="202">
        <v>463680000</v>
      </c>
      <c r="K770" s="198" t="s">
        <v>1857</v>
      </c>
      <c r="L770" s="198" t="s">
        <v>117</v>
      </c>
      <c r="P770" s="201"/>
      <c r="R770" s="202">
        <v>463680000</v>
      </c>
      <c r="U770" s="198" t="s">
        <v>701</v>
      </c>
      <c r="AA770" s="198" t="s">
        <v>51</v>
      </c>
      <c r="AB770" s="202">
        <v>463680000</v>
      </c>
      <c r="AC770" s="202">
        <v>463680000</v>
      </c>
    </row>
    <row r="771" spans="1:29" outlineLevel="2" x14ac:dyDescent="0.25">
      <c r="A771" s="201">
        <v>46092</v>
      </c>
      <c r="D771" s="198" t="s">
        <v>54</v>
      </c>
      <c r="E771" s="202">
        <v>-35623350</v>
      </c>
      <c r="K771" s="198" t="s">
        <v>1857</v>
      </c>
      <c r="L771" s="198" t="s">
        <v>117</v>
      </c>
      <c r="P771" s="201"/>
      <c r="R771" s="202">
        <v>-35623350</v>
      </c>
      <c r="U771" s="198" t="s">
        <v>701</v>
      </c>
      <c r="AA771" s="198" t="s">
        <v>51</v>
      </c>
      <c r="AB771" s="202">
        <v>-35623350</v>
      </c>
      <c r="AC771" s="202">
        <v>-35623350</v>
      </c>
    </row>
    <row r="772" spans="1:29" outlineLevel="1" x14ac:dyDescent="0.25">
      <c r="A772" s="210"/>
      <c r="B772" s="209"/>
      <c r="C772" s="209"/>
      <c r="D772" s="209" t="s">
        <v>54</v>
      </c>
      <c r="E772" s="211">
        <v>428056650</v>
      </c>
      <c r="F772" s="209"/>
      <c r="G772" s="209"/>
      <c r="H772" s="209"/>
      <c r="I772" s="209"/>
      <c r="J772" s="209"/>
      <c r="K772" s="209" t="s">
        <v>54</v>
      </c>
      <c r="L772" s="209" t="s">
        <v>54</v>
      </c>
      <c r="M772" s="209"/>
      <c r="N772" s="209"/>
      <c r="O772" s="209"/>
      <c r="P772" s="210"/>
      <c r="Q772" s="209"/>
      <c r="R772" s="212"/>
      <c r="S772" s="209"/>
      <c r="T772" s="209"/>
      <c r="U772" s="209" t="s">
        <v>54</v>
      </c>
      <c r="V772" s="209"/>
      <c r="W772" s="209"/>
      <c r="X772" s="209"/>
      <c r="Y772" s="209"/>
      <c r="Z772" s="209"/>
      <c r="AA772" s="209" t="s">
        <v>54</v>
      </c>
      <c r="AB772" s="212"/>
      <c r="AC772" s="212"/>
    </row>
    <row r="773" spans="1:29" outlineLevel="2" x14ac:dyDescent="0.25">
      <c r="A773" s="201">
        <v>46020</v>
      </c>
      <c r="D773" s="198" t="s">
        <v>54</v>
      </c>
      <c r="E773" s="202">
        <v>85000000</v>
      </c>
      <c r="K773" s="198" t="s">
        <v>1858</v>
      </c>
      <c r="L773" s="198" t="s">
        <v>117</v>
      </c>
      <c r="P773" s="201"/>
      <c r="R773" s="202">
        <v>85000000</v>
      </c>
      <c r="U773" s="198" t="s">
        <v>990</v>
      </c>
      <c r="AA773" s="198" t="s">
        <v>51</v>
      </c>
      <c r="AB773" s="202">
        <v>85000000</v>
      </c>
      <c r="AC773" s="202">
        <v>85000000</v>
      </c>
    </row>
    <row r="774" spans="1:29" outlineLevel="2" x14ac:dyDescent="0.25">
      <c r="A774" s="201">
        <v>46092</v>
      </c>
      <c r="D774" s="198" t="s">
        <v>54</v>
      </c>
      <c r="E774" s="202">
        <v>-10000000</v>
      </c>
      <c r="K774" s="198" t="s">
        <v>1858</v>
      </c>
      <c r="L774" s="198" t="s">
        <v>117</v>
      </c>
      <c r="P774" s="201"/>
      <c r="R774" s="202">
        <v>-10000000</v>
      </c>
      <c r="U774" s="198" t="s">
        <v>990</v>
      </c>
      <c r="AA774" s="198" t="s">
        <v>51</v>
      </c>
      <c r="AB774" s="202">
        <v>-10000000</v>
      </c>
      <c r="AC774" s="202">
        <v>-10000000</v>
      </c>
    </row>
    <row r="775" spans="1:29" outlineLevel="1" x14ac:dyDescent="0.25">
      <c r="A775" s="210"/>
      <c r="B775" s="209"/>
      <c r="C775" s="209"/>
      <c r="D775" s="209" t="s">
        <v>54</v>
      </c>
      <c r="E775" s="211">
        <v>75000000</v>
      </c>
      <c r="F775" s="209"/>
      <c r="G775" s="209"/>
      <c r="H775" s="209"/>
      <c r="I775" s="209"/>
      <c r="J775" s="209"/>
      <c r="K775" s="209" t="s">
        <v>54</v>
      </c>
      <c r="L775" s="209" t="s">
        <v>54</v>
      </c>
      <c r="M775" s="209"/>
      <c r="N775" s="209"/>
      <c r="O775" s="209"/>
      <c r="P775" s="210"/>
      <c r="Q775" s="209"/>
      <c r="R775" s="212"/>
      <c r="S775" s="209"/>
      <c r="T775" s="209"/>
      <c r="U775" s="209" t="s">
        <v>54</v>
      </c>
      <c r="V775" s="209"/>
      <c r="W775" s="209"/>
      <c r="X775" s="209"/>
      <c r="Y775" s="209"/>
      <c r="Z775" s="209"/>
      <c r="AA775" s="209" t="s">
        <v>54</v>
      </c>
      <c r="AB775" s="212"/>
      <c r="AC775" s="212"/>
    </row>
    <row r="776" spans="1:29" outlineLevel="2" x14ac:dyDescent="0.25">
      <c r="A776" s="201">
        <v>46020</v>
      </c>
      <c r="D776" s="198" t="s">
        <v>54</v>
      </c>
      <c r="E776" s="202">
        <v>85000000</v>
      </c>
      <c r="K776" s="198" t="s">
        <v>1859</v>
      </c>
      <c r="L776" s="198" t="s">
        <v>117</v>
      </c>
      <c r="P776" s="201"/>
      <c r="R776" s="202">
        <v>85000000</v>
      </c>
      <c r="U776" s="198" t="s">
        <v>534</v>
      </c>
      <c r="AA776" s="198" t="s">
        <v>51</v>
      </c>
      <c r="AB776" s="202">
        <v>85000000</v>
      </c>
      <c r="AC776" s="202">
        <v>85000000</v>
      </c>
    </row>
    <row r="777" spans="1:29" outlineLevel="2" x14ac:dyDescent="0.25">
      <c r="A777" s="201">
        <v>46092</v>
      </c>
      <c r="D777" s="198" t="s">
        <v>54</v>
      </c>
      <c r="E777" s="202">
        <v>-10000000</v>
      </c>
      <c r="K777" s="198" t="s">
        <v>1859</v>
      </c>
      <c r="L777" s="198" t="s">
        <v>117</v>
      </c>
      <c r="P777" s="201"/>
      <c r="R777" s="202">
        <v>-10000000</v>
      </c>
      <c r="U777" s="198" t="s">
        <v>534</v>
      </c>
      <c r="AA777" s="198" t="s">
        <v>51</v>
      </c>
      <c r="AB777" s="202">
        <v>-10000000</v>
      </c>
      <c r="AC777" s="202">
        <v>-10000000</v>
      </c>
    </row>
    <row r="778" spans="1:29" outlineLevel="1" x14ac:dyDescent="0.25">
      <c r="A778" s="210"/>
      <c r="B778" s="209"/>
      <c r="C778" s="209"/>
      <c r="D778" s="209" t="s">
        <v>54</v>
      </c>
      <c r="E778" s="211">
        <v>75000000</v>
      </c>
      <c r="F778" s="209"/>
      <c r="G778" s="209"/>
      <c r="H778" s="209"/>
      <c r="I778" s="209"/>
      <c r="J778" s="209"/>
      <c r="K778" s="209" t="s">
        <v>54</v>
      </c>
      <c r="L778" s="209" t="s">
        <v>54</v>
      </c>
      <c r="M778" s="209"/>
      <c r="N778" s="209"/>
      <c r="O778" s="209"/>
      <c r="P778" s="210"/>
      <c r="Q778" s="209"/>
      <c r="R778" s="212"/>
      <c r="S778" s="209"/>
      <c r="T778" s="209"/>
      <c r="U778" s="209" t="s">
        <v>54</v>
      </c>
      <c r="V778" s="209"/>
      <c r="W778" s="209"/>
      <c r="X778" s="209"/>
      <c r="Y778" s="209"/>
      <c r="Z778" s="209"/>
      <c r="AA778" s="209" t="s">
        <v>54</v>
      </c>
      <c r="AB778" s="212"/>
      <c r="AC778" s="212"/>
    </row>
    <row r="779" spans="1:29" outlineLevel="2" x14ac:dyDescent="0.25">
      <c r="A779" s="201">
        <v>46018</v>
      </c>
      <c r="D779" s="198" t="s">
        <v>54</v>
      </c>
      <c r="E779" s="202">
        <v>418950000</v>
      </c>
      <c r="K779" s="198" t="s">
        <v>1860</v>
      </c>
      <c r="L779" s="198" t="s">
        <v>117</v>
      </c>
      <c r="P779" s="201"/>
      <c r="R779" s="202">
        <v>418950000</v>
      </c>
      <c r="U779" s="198" t="s">
        <v>114</v>
      </c>
      <c r="AA779" s="198" t="s">
        <v>51</v>
      </c>
      <c r="AB779" s="202">
        <v>418950000</v>
      </c>
      <c r="AC779" s="202">
        <v>418950000</v>
      </c>
    </row>
    <row r="780" spans="1:29" outlineLevel="2" x14ac:dyDescent="0.25">
      <c r="A780" s="201">
        <v>46092</v>
      </c>
      <c r="D780" s="198" t="s">
        <v>54</v>
      </c>
      <c r="E780" s="202">
        <v>-54460913</v>
      </c>
      <c r="K780" s="198" t="s">
        <v>1860</v>
      </c>
      <c r="L780" s="198" t="s">
        <v>117</v>
      </c>
      <c r="P780" s="201"/>
      <c r="R780" s="202">
        <v>-54460913</v>
      </c>
      <c r="U780" s="198" t="s">
        <v>114</v>
      </c>
      <c r="AA780" s="198" t="s">
        <v>51</v>
      </c>
      <c r="AB780" s="202">
        <v>-54460913</v>
      </c>
      <c r="AC780" s="202">
        <v>-54460913</v>
      </c>
    </row>
    <row r="781" spans="1:29" outlineLevel="2" x14ac:dyDescent="0.25">
      <c r="A781" s="201">
        <v>46160</v>
      </c>
      <c r="D781" s="198" t="s">
        <v>54</v>
      </c>
      <c r="E781" s="202">
        <v>4200000</v>
      </c>
      <c r="K781" s="198" t="s">
        <v>1860</v>
      </c>
      <c r="L781" s="198" t="s">
        <v>117</v>
      </c>
      <c r="P781" s="201"/>
      <c r="R781" s="202">
        <v>4200000</v>
      </c>
      <c r="U781" s="198" t="s">
        <v>114</v>
      </c>
      <c r="AA781" s="198" t="s">
        <v>51</v>
      </c>
      <c r="AB781" s="202">
        <v>4200000</v>
      </c>
      <c r="AC781" s="202">
        <v>4200000</v>
      </c>
    </row>
    <row r="782" spans="1:29" outlineLevel="1" x14ac:dyDescent="0.25">
      <c r="A782" s="210"/>
      <c r="B782" s="209"/>
      <c r="C782" s="209"/>
      <c r="D782" s="209" t="s">
        <v>54</v>
      </c>
      <c r="E782" s="211">
        <v>368689087</v>
      </c>
      <c r="F782" s="209"/>
      <c r="G782" s="209"/>
      <c r="H782" s="209"/>
      <c r="I782" s="209"/>
      <c r="J782" s="209"/>
      <c r="K782" s="209" t="s">
        <v>54</v>
      </c>
      <c r="L782" s="209" t="s">
        <v>54</v>
      </c>
      <c r="M782" s="209"/>
      <c r="N782" s="209"/>
      <c r="O782" s="209"/>
      <c r="P782" s="210"/>
      <c r="Q782" s="209"/>
      <c r="R782" s="212"/>
      <c r="S782" s="209"/>
      <c r="T782" s="209"/>
      <c r="U782" s="209" t="s">
        <v>54</v>
      </c>
      <c r="V782" s="209"/>
      <c r="W782" s="209"/>
      <c r="X782" s="209"/>
      <c r="Y782" s="209"/>
      <c r="Z782" s="209"/>
      <c r="AA782" s="209" t="s">
        <v>54</v>
      </c>
      <c r="AB782" s="212"/>
      <c r="AC782" s="212"/>
    </row>
    <row r="783" spans="1:29" outlineLevel="2" x14ac:dyDescent="0.25">
      <c r="A783" s="201">
        <v>46018</v>
      </c>
      <c r="D783" s="198" t="s">
        <v>54</v>
      </c>
      <c r="E783" s="202">
        <v>495565352</v>
      </c>
      <c r="K783" s="198" t="s">
        <v>1861</v>
      </c>
      <c r="L783" s="198" t="s">
        <v>117</v>
      </c>
      <c r="P783" s="201"/>
      <c r="R783" s="202">
        <v>495565352</v>
      </c>
      <c r="U783" s="198" t="s">
        <v>991</v>
      </c>
      <c r="AA783" s="198" t="s">
        <v>51</v>
      </c>
      <c r="AB783" s="202">
        <v>495565352</v>
      </c>
      <c r="AC783" s="202">
        <v>495565352</v>
      </c>
    </row>
    <row r="784" spans="1:29" outlineLevel="2" x14ac:dyDescent="0.25">
      <c r="A784" s="201">
        <v>46020</v>
      </c>
      <c r="D784" s="198" t="s">
        <v>54</v>
      </c>
      <c r="E784" s="202">
        <v>10642338.48</v>
      </c>
      <c r="K784" s="198" t="s">
        <v>1861</v>
      </c>
      <c r="L784" s="198" t="s">
        <v>117</v>
      </c>
      <c r="P784" s="201"/>
      <c r="R784" s="202">
        <v>10642338.48</v>
      </c>
      <c r="U784" s="198" t="s">
        <v>991</v>
      </c>
      <c r="AA784" s="198" t="s">
        <v>51</v>
      </c>
      <c r="AB784" s="202">
        <v>10642338.48</v>
      </c>
      <c r="AC784" s="202">
        <v>10642338.48</v>
      </c>
    </row>
    <row r="785" spans="1:29" outlineLevel="2" x14ac:dyDescent="0.25">
      <c r="A785" s="201">
        <v>46021</v>
      </c>
      <c r="D785" s="198" t="s">
        <v>54</v>
      </c>
      <c r="E785" s="202">
        <v>50611288.350000001</v>
      </c>
      <c r="K785" s="198" t="s">
        <v>1861</v>
      </c>
      <c r="L785" s="198" t="s">
        <v>117</v>
      </c>
      <c r="P785" s="201"/>
      <c r="R785" s="202">
        <v>50611288.350000001</v>
      </c>
      <c r="U785" s="198" t="s">
        <v>991</v>
      </c>
      <c r="AA785" s="198" t="s">
        <v>51</v>
      </c>
      <c r="AB785" s="202">
        <v>50611288.350000001</v>
      </c>
      <c r="AC785" s="202">
        <v>50611288.350000001</v>
      </c>
    </row>
    <row r="786" spans="1:29" outlineLevel="2" x14ac:dyDescent="0.25">
      <c r="A786" s="201">
        <v>46034</v>
      </c>
      <c r="D786" s="198" t="s">
        <v>54</v>
      </c>
      <c r="E786" s="202">
        <v>24000000.649999999</v>
      </c>
      <c r="K786" s="198" t="s">
        <v>1861</v>
      </c>
      <c r="L786" s="198" t="s">
        <v>117</v>
      </c>
      <c r="P786" s="201"/>
      <c r="R786" s="202">
        <v>24000000.649999999</v>
      </c>
      <c r="U786" s="198" t="s">
        <v>991</v>
      </c>
      <c r="AA786" s="198" t="s">
        <v>51</v>
      </c>
      <c r="AB786" s="202">
        <v>24000000.649999999</v>
      </c>
      <c r="AC786" s="202">
        <v>24000000.649999999</v>
      </c>
    </row>
    <row r="787" spans="1:29" outlineLevel="2" x14ac:dyDescent="0.25">
      <c r="A787" s="201">
        <v>46071</v>
      </c>
      <c r="D787" s="198" t="s">
        <v>54</v>
      </c>
      <c r="E787" s="202">
        <v>10246121.6</v>
      </c>
      <c r="K787" s="198" t="s">
        <v>1861</v>
      </c>
      <c r="L787" s="198" t="s">
        <v>117</v>
      </c>
      <c r="P787" s="201"/>
      <c r="R787" s="202">
        <v>10246121.6</v>
      </c>
      <c r="U787" s="198" t="s">
        <v>991</v>
      </c>
      <c r="AA787" s="198" t="s">
        <v>51</v>
      </c>
      <c r="AB787" s="202">
        <v>10246121.6</v>
      </c>
      <c r="AC787" s="202">
        <v>10246121.6</v>
      </c>
    </row>
    <row r="788" spans="1:29" outlineLevel="2" x14ac:dyDescent="0.25">
      <c r="A788" s="201">
        <v>46071</v>
      </c>
      <c r="D788" s="198" t="s">
        <v>54</v>
      </c>
      <c r="E788" s="202">
        <v>-5479471.7000000002</v>
      </c>
      <c r="K788" s="198" t="s">
        <v>1861</v>
      </c>
      <c r="L788" s="198" t="s">
        <v>117</v>
      </c>
      <c r="P788" s="201"/>
      <c r="R788" s="202">
        <v>-5479471.7000000002</v>
      </c>
      <c r="U788" s="198" t="s">
        <v>991</v>
      </c>
      <c r="AA788" s="198" t="s">
        <v>51</v>
      </c>
      <c r="AB788" s="202">
        <v>-5479471.7000000002</v>
      </c>
      <c r="AC788" s="202">
        <v>-5479471.7000000002</v>
      </c>
    </row>
    <row r="789" spans="1:29" outlineLevel="1" x14ac:dyDescent="0.25">
      <c r="A789" s="210"/>
      <c r="B789" s="209"/>
      <c r="C789" s="209"/>
      <c r="D789" s="209" t="s">
        <v>54</v>
      </c>
      <c r="E789" s="211">
        <v>585585629.38</v>
      </c>
      <c r="F789" s="209"/>
      <c r="G789" s="209"/>
      <c r="H789" s="209"/>
      <c r="I789" s="209"/>
      <c r="J789" s="209"/>
      <c r="K789" s="209" t="s">
        <v>54</v>
      </c>
      <c r="L789" s="209" t="s">
        <v>54</v>
      </c>
      <c r="M789" s="209"/>
      <c r="N789" s="209"/>
      <c r="O789" s="209"/>
      <c r="P789" s="210"/>
      <c r="Q789" s="209"/>
      <c r="R789" s="212"/>
      <c r="S789" s="209"/>
      <c r="T789" s="209"/>
      <c r="U789" s="209" t="s">
        <v>54</v>
      </c>
      <c r="V789" s="209"/>
      <c r="W789" s="209"/>
      <c r="X789" s="209"/>
      <c r="Y789" s="209"/>
      <c r="Z789" s="209"/>
      <c r="AA789" s="209" t="s">
        <v>54</v>
      </c>
      <c r="AB789" s="212"/>
      <c r="AC789" s="212"/>
    </row>
    <row r="790" spans="1:29" outlineLevel="2" x14ac:dyDescent="0.25">
      <c r="A790" s="201">
        <v>46018</v>
      </c>
      <c r="D790" s="198" t="s">
        <v>54</v>
      </c>
      <c r="E790" s="202">
        <v>56595000</v>
      </c>
      <c r="K790" s="198" t="s">
        <v>1862</v>
      </c>
      <c r="L790" s="198" t="s">
        <v>117</v>
      </c>
      <c r="P790" s="201"/>
      <c r="R790" s="202">
        <v>56595000</v>
      </c>
      <c r="U790" s="198" t="s">
        <v>527</v>
      </c>
      <c r="AA790" s="198" t="s">
        <v>51</v>
      </c>
      <c r="AB790" s="202">
        <v>56595000</v>
      </c>
      <c r="AC790" s="202">
        <v>56595000</v>
      </c>
    </row>
    <row r="791" spans="1:29" outlineLevel="1" x14ac:dyDescent="0.25">
      <c r="A791" s="210"/>
      <c r="B791" s="209"/>
      <c r="C791" s="209"/>
      <c r="D791" s="209" t="s">
        <v>54</v>
      </c>
      <c r="E791" s="211">
        <v>56595000</v>
      </c>
      <c r="F791" s="209"/>
      <c r="G791" s="209"/>
      <c r="H791" s="209"/>
      <c r="I791" s="209"/>
      <c r="J791" s="209"/>
      <c r="K791" s="209" t="s">
        <v>54</v>
      </c>
      <c r="L791" s="209" t="s">
        <v>54</v>
      </c>
      <c r="M791" s="209"/>
      <c r="N791" s="209"/>
      <c r="O791" s="209"/>
      <c r="P791" s="210"/>
      <c r="Q791" s="209"/>
      <c r="R791" s="212"/>
      <c r="S791" s="209"/>
      <c r="T791" s="209"/>
      <c r="U791" s="209" t="s">
        <v>54</v>
      </c>
      <c r="V791" s="209"/>
      <c r="W791" s="209"/>
      <c r="X791" s="209"/>
      <c r="Y791" s="209"/>
      <c r="Z791" s="209"/>
      <c r="AA791" s="209" t="s">
        <v>54</v>
      </c>
      <c r="AB791" s="212"/>
      <c r="AC791" s="212"/>
    </row>
    <row r="792" spans="1:29" outlineLevel="2" x14ac:dyDescent="0.25">
      <c r="A792" s="201">
        <v>46018</v>
      </c>
      <c r="D792" s="198" t="s">
        <v>54</v>
      </c>
      <c r="E792" s="202">
        <v>242226912</v>
      </c>
      <c r="K792" s="198" t="s">
        <v>1863</v>
      </c>
      <c r="L792" s="198" t="s">
        <v>117</v>
      </c>
      <c r="P792" s="201"/>
      <c r="R792" s="202">
        <v>242226912</v>
      </c>
      <c r="U792" s="198" t="s">
        <v>566</v>
      </c>
      <c r="AA792" s="198" t="s">
        <v>51</v>
      </c>
      <c r="AB792" s="202">
        <v>242226912</v>
      </c>
      <c r="AC792" s="202">
        <v>242226912</v>
      </c>
    </row>
    <row r="793" spans="1:29" outlineLevel="1" x14ac:dyDescent="0.25">
      <c r="A793" s="210"/>
      <c r="B793" s="209"/>
      <c r="C793" s="209"/>
      <c r="D793" s="209" t="s">
        <v>54</v>
      </c>
      <c r="E793" s="211">
        <v>242226912</v>
      </c>
      <c r="F793" s="209"/>
      <c r="G793" s="209"/>
      <c r="H793" s="209"/>
      <c r="I793" s="209"/>
      <c r="J793" s="209"/>
      <c r="K793" s="209" t="s">
        <v>54</v>
      </c>
      <c r="L793" s="209" t="s">
        <v>54</v>
      </c>
      <c r="M793" s="209"/>
      <c r="N793" s="209"/>
      <c r="O793" s="209"/>
      <c r="P793" s="210"/>
      <c r="Q793" s="209"/>
      <c r="R793" s="212"/>
      <c r="S793" s="209"/>
      <c r="T793" s="209"/>
      <c r="U793" s="209" t="s">
        <v>54</v>
      </c>
      <c r="V793" s="209"/>
      <c r="W793" s="209"/>
      <c r="X793" s="209"/>
      <c r="Y793" s="209"/>
      <c r="Z793" s="209"/>
      <c r="AA793" s="209" t="s">
        <v>54</v>
      </c>
      <c r="AB793" s="212"/>
      <c r="AC793" s="212"/>
    </row>
    <row r="794" spans="1:29" outlineLevel="2" x14ac:dyDescent="0.25">
      <c r="A794" s="201">
        <v>46018</v>
      </c>
      <c r="D794" s="198" t="s">
        <v>54</v>
      </c>
      <c r="E794" s="202">
        <v>97843440</v>
      </c>
      <c r="K794" s="198" t="s">
        <v>1864</v>
      </c>
      <c r="L794" s="198" t="s">
        <v>117</v>
      </c>
      <c r="P794" s="201"/>
      <c r="R794" s="202">
        <v>97843440</v>
      </c>
      <c r="U794" s="198" t="s">
        <v>550</v>
      </c>
      <c r="AA794" s="198" t="s">
        <v>51</v>
      </c>
      <c r="AB794" s="202">
        <v>97843440</v>
      </c>
      <c r="AC794" s="202">
        <v>97843440</v>
      </c>
    </row>
    <row r="795" spans="1:29" outlineLevel="1" x14ac:dyDescent="0.25">
      <c r="A795" s="210"/>
      <c r="B795" s="209"/>
      <c r="C795" s="209"/>
      <c r="D795" s="209" t="s">
        <v>54</v>
      </c>
      <c r="E795" s="211">
        <v>97843440</v>
      </c>
      <c r="F795" s="209"/>
      <c r="G795" s="209"/>
      <c r="H795" s="209"/>
      <c r="I795" s="209"/>
      <c r="J795" s="209"/>
      <c r="K795" s="209" t="s">
        <v>54</v>
      </c>
      <c r="L795" s="209" t="s">
        <v>54</v>
      </c>
      <c r="M795" s="209"/>
      <c r="N795" s="209"/>
      <c r="O795" s="209"/>
      <c r="P795" s="210"/>
      <c r="Q795" s="209"/>
      <c r="R795" s="212"/>
      <c r="S795" s="209"/>
      <c r="T795" s="209"/>
      <c r="U795" s="209" t="s">
        <v>54</v>
      </c>
      <c r="V795" s="209"/>
      <c r="W795" s="209"/>
      <c r="X795" s="209"/>
      <c r="Y795" s="209"/>
      <c r="Z795" s="209"/>
      <c r="AA795" s="209" t="s">
        <v>54</v>
      </c>
      <c r="AB795" s="212"/>
      <c r="AC795" s="212"/>
    </row>
    <row r="796" spans="1:29" outlineLevel="2" x14ac:dyDescent="0.25">
      <c r="A796" s="201">
        <v>46018</v>
      </c>
      <c r="D796" s="198" t="s">
        <v>54</v>
      </c>
      <c r="E796" s="202">
        <v>88900000</v>
      </c>
      <c r="K796" s="198" t="s">
        <v>1865</v>
      </c>
      <c r="L796" s="198" t="s">
        <v>117</v>
      </c>
      <c r="P796" s="201"/>
      <c r="R796" s="202">
        <v>88900000</v>
      </c>
      <c r="U796" s="198" t="s">
        <v>135</v>
      </c>
      <c r="AA796" s="198" t="s">
        <v>51</v>
      </c>
      <c r="AB796" s="202">
        <v>88900000</v>
      </c>
      <c r="AC796" s="202">
        <v>88900000</v>
      </c>
    </row>
    <row r="797" spans="1:29" outlineLevel="2" x14ac:dyDescent="0.25">
      <c r="A797" s="201">
        <v>46021</v>
      </c>
      <c r="D797" s="198" t="s">
        <v>54</v>
      </c>
      <c r="E797" s="202">
        <v>50611288.350000001</v>
      </c>
      <c r="K797" s="198" t="s">
        <v>1865</v>
      </c>
      <c r="L797" s="198" t="s">
        <v>117</v>
      </c>
      <c r="P797" s="201"/>
      <c r="R797" s="202">
        <v>50611288.350000001</v>
      </c>
      <c r="U797" s="198" t="s">
        <v>135</v>
      </c>
      <c r="AA797" s="198" t="s">
        <v>51</v>
      </c>
      <c r="AB797" s="202">
        <v>50611288.350000001</v>
      </c>
      <c r="AC797" s="202">
        <v>50611288.350000001</v>
      </c>
    </row>
    <row r="798" spans="1:29" outlineLevel="2" x14ac:dyDescent="0.25">
      <c r="A798" s="201">
        <v>46034</v>
      </c>
      <c r="D798" s="198" t="s">
        <v>54</v>
      </c>
      <c r="E798" s="202">
        <v>24000000.649999999</v>
      </c>
      <c r="K798" s="198" t="s">
        <v>1865</v>
      </c>
      <c r="L798" s="198" t="s">
        <v>117</v>
      </c>
      <c r="P798" s="201"/>
      <c r="R798" s="202">
        <v>24000000.649999999</v>
      </c>
      <c r="U798" s="198" t="s">
        <v>135</v>
      </c>
      <c r="AA798" s="198" t="s">
        <v>51</v>
      </c>
      <c r="AB798" s="202">
        <v>24000000.649999999</v>
      </c>
      <c r="AC798" s="202">
        <v>24000000.649999999</v>
      </c>
    </row>
    <row r="799" spans="1:29" outlineLevel="2" x14ac:dyDescent="0.25">
      <c r="A799" s="201">
        <v>46071</v>
      </c>
      <c r="D799" s="198" t="s">
        <v>54</v>
      </c>
      <c r="E799" s="202">
        <v>10246121.6</v>
      </c>
      <c r="K799" s="198" t="s">
        <v>1865</v>
      </c>
      <c r="L799" s="198" t="s">
        <v>117</v>
      </c>
      <c r="P799" s="201"/>
      <c r="R799" s="202">
        <v>10246121.6</v>
      </c>
      <c r="U799" s="198" t="s">
        <v>135</v>
      </c>
      <c r="AA799" s="198" t="s">
        <v>51</v>
      </c>
      <c r="AB799" s="202">
        <v>10246121.6</v>
      </c>
      <c r="AC799" s="202">
        <v>10246121.6</v>
      </c>
    </row>
    <row r="800" spans="1:29" outlineLevel="2" x14ac:dyDescent="0.25">
      <c r="A800" s="201">
        <v>46071</v>
      </c>
      <c r="D800" s="198" t="s">
        <v>54</v>
      </c>
      <c r="E800" s="202">
        <v>-5479471.7000000002</v>
      </c>
      <c r="K800" s="198" t="s">
        <v>1865</v>
      </c>
      <c r="L800" s="198" t="s">
        <v>117</v>
      </c>
      <c r="P800" s="201"/>
      <c r="R800" s="202">
        <v>-5479471.7000000002</v>
      </c>
      <c r="U800" s="198" t="s">
        <v>135</v>
      </c>
      <c r="AA800" s="198" t="s">
        <v>51</v>
      </c>
      <c r="AB800" s="202">
        <v>-5479471.7000000002</v>
      </c>
      <c r="AC800" s="202">
        <v>-5479471.7000000002</v>
      </c>
    </row>
    <row r="801" spans="1:29" outlineLevel="1" x14ac:dyDescent="0.25">
      <c r="A801" s="210"/>
      <c r="B801" s="209"/>
      <c r="C801" s="209"/>
      <c r="D801" s="209" t="s">
        <v>54</v>
      </c>
      <c r="E801" s="211">
        <v>168277938.90000001</v>
      </c>
      <c r="F801" s="209"/>
      <c r="G801" s="209"/>
      <c r="H801" s="209"/>
      <c r="I801" s="209"/>
      <c r="J801" s="209"/>
      <c r="K801" s="209" t="s">
        <v>54</v>
      </c>
      <c r="L801" s="209" t="s">
        <v>54</v>
      </c>
      <c r="M801" s="209"/>
      <c r="N801" s="209"/>
      <c r="O801" s="209"/>
      <c r="P801" s="210"/>
      <c r="Q801" s="209"/>
      <c r="R801" s="212"/>
      <c r="S801" s="209"/>
      <c r="T801" s="209"/>
      <c r="U801" s="209" t="s">
        <v>54</v>
      </c>
      <c r="V801" s="209"/>
      <c r="W801" s="209"/>
      <c r="X801" s="209"/>
      <c r="Y801" s="209"/>
      <c r="Z801" s="209"/>
      <c r="AA801" s="209" t="s">
        <v>54</v>
      </c>
      <c r="AB801" s="212"/>
      <c r="AC801" s="212"/>
    </row>
    <row r="802" spans="1:29" outlineLevel="2" x14ac:dyDescent="0.25">
      <c r="A802" s="201">
        <v>46018</v>
      </c>
      <c r="D802" s="198" t="s">
        <v>54</v>
      </c>
      <c r="E802" s="202">
        <v>10000000</v>
      </c>
      <c r="K802" s="198" t="s">
        <v>1866</v>
      </c>
      <c r="L802" s="198" t="s">
        <v>117</v>
      </c>
      <c r="P802" s="201"/>
      <c r="R802" s="202">
        <v>10000000</v>
      </c>
      <c r="U802" s="198" t="s">
        <v>531</v>
      </c>
      <c r="AA802" s="198" t="s">
        <v>51</v>
      </c>
      <c r="AB802" s="202">
        <v>10000000</v>
      </c>
      <c r="AC802" s="202">
        <v>10000000</v>
      </c>
    </row>
    <row r="803" spans="1:29" outlineLevel="2" x14ac:dyDescent="0.25">
      <c r="A803" s="201">
        <v>46020</v>
      </c>
      <c r="D803" s="198" t="s">
        <v>54</v>
      </c>
      <c r="E803" s="202">
        <v>10642338.48</v>
      </c>
      <c r="K803" s="198" t="s">
        <v>1866</v>
      </c>
      <c r="L803" s="198" t="s">
        <v>117</v>
      </c>
      <c r="P803" s="201"/>
      <c r="R803" s="202">
        <v>10642338.48</v>
      </c>
      <c r="U803" s="198" t="s">
        <v>531</v>
      </c>
      <c r="AA803" s="198" t="s">
        <v>51</v>
      </c>
      <c r="AB803" s="202">
        <v>10642338.48</v>
      </c>
      <c r="AC803" s="202">
        <v>10642338.48</v>
      </c>
    </row>
    <row r="804" spans="1:29" outlineLevel="1" x14ac:dyDescent="0.25">
      <c r="A804" s="210"/>
      <c r="B804" s="209"/>
      <c r="C804" s="209"/>
      <c r="D804" s="209" t="s">
        <v>54</v>
      </c>
      <c r="E804" s="211">
        <v>20642338.48</v>
      </c>
      <c r="F804" s="209"/>
      <c r="G804" s="209"/>
      <c r="H804" s="209"/>
      <c r="I804" s="209"/>
      <c r="J804" s="209"/>
      <c r="K804" s="209" t="s">
        <v>54</v>
      </c>
      <c r="L804" s="209" t="s">
        <v>54</v>
      </c>
      <c r="M804" s="209"/>
      <c r="N804" s="209"/>
      <c r="O804" s="209"/>
      <c r="P804" s="210"/>
      <c r="Q804" s="209"/>
      <c r="R804" s="212"/>
      <c r="S804" s="209"/>
      <c r="T804" s="209"/>
      <c r="U804" s="209" t="s">
        <v>54</v>
      </c>
      <c r="V804" s="209"/>
      <c r="W804" s="209"/>
      <c r="X804" s="209"/>
      <c r="Y804" s="209"/>
      <c r="Z804" s="209"/>
      <c r="AA804" s="209" t="s">
        <v>54</v>
      </c>
      <c r="AB804" s="212"/>
      <c r="AC804" s="212"/>
    </row>
    <row r="805" spans="1:29" outlineLevel="2" x14ac:dyDescent="0.25">
      <c r="A805" s="201">
        <v>46018</v>
      </c>
      <c r="D805" s="198" t="s">
        <v>54</v>
      </c>
      <c r="E805" s="202">
        <v>2242860724</v>
      </c>
      <c r="K805" s="198" t="s">
        <v>1867</v>
      </c>
      <c r="L805" s="198" t="s">
        <v>137</v>
      </c>
      <c r="P805" s="201"/>
      <c r="R805" s="202">
        <v>2242860724</v>
      </c>
      <c r="U805" s="198" t="s">
        <v>137</v>
      </c>
      <c r="AA805" s="198" t="s">
        <v>51</v>
      </c>
      <c r="AB805" s="202">
        <v>2242860724</v>
      </c>
      <c r="AC805" s="202">
        <v>2242860724</v>
      </c>
    </row>
    <row r="806" spans="1:29" outlineLevel="2" x14ac:dyDescent="0.25">
      <c r="A806" s="201">
        <v>46018</v>
      </c>
      <c r="D806" s="198" t="s">
        <v>54</v>
      </c>
      <c r="E806" s="202">
        <v>1192320000</v>
      </c>
      <c r="K806" s="198" t="s">
        <v>1867</v>
      </c>
      <c r="L806" s="198" t="s">
        <v>137</v>
      </c>
      <c r="P806" s="201"/>
      <c r="R806" s="202">
        <v>1192320000</v>
      </c>
      <c r="U806" s="198" t="s">
        <v>137</v>
      </c>
      <c r="AA806" s="198" t="s">
        <v>51</v>
      </c>
      <c r="AB806" s="202">
        <v>1192320000</v>
      </c>
      <c r="AC806" s="202">
        <v>1192320000</v>
      </c>
    </row>
    <row r="807" spans="1:29" outlineLevel="2" x14ac:dyDescent="0.25">
      <c r="A807" s="201">
        <v>46020</v>
      </c>
      <c r="D807" s="198" t="s">
        <v>54</v>
      </c>
      <c r="E807" s="202">
        <v>118000000</v>
      </c>
      <c r="K807" s="198" t="s">
        <v>1867</v>
      </c>
      <c r="L807" s="198" t="s">
        <v>137</v>
      </c>
      <c r="P807" s="201"/>
      <c r="R807" s="202">
        <v>118000000</v>
      </c>
      <c r="U807" s="198" t="s">
        <v>137</v>
      </c>
      <c r="AA807" s="198" t="s">
        <v>51</v>
      </c>
      <c r="AB807" s="202">
        <v>118000000</v>
      </c>
      <c r="AC807" s="202">
        <v>118000000</v>
      </c>
    </row>
    <row r="808" spans="1:29" outlineLevel="2" x14ac:dyDescent="0.25">
      <c r="A808" s="201">
        <v>46021</v>
      </c>
      <c r="D808" s="198" t="s">
        <v>54</v>
      </c>
      <c r="E808" s="202">
        <v>124512019.28</v>
      </c>
      <c r="K808" s="198" t="s">
        <v>1867</v>
      </c>
      <c r="L808" s="198" t="s">
        <v>137</v>
      </c>
      <c r="P808" s="201"/>
      <c r="R808" s="202">
        <v>124512019.28</v>
      </c>
      <c r="U808" s="198" t="s">
        <v>137</v>
      </c>
      <c r="AA808" s="198" t="s">
        <v>51</v>
      </c>
      <c r="AB808" s="202">
        <v>124512019.28</v>
      </c>
      <c r="AC808" s="202">
        <v>124512019.28</v>
      </c>
    </row>
    <row r="809" spans="1:29" outlineLevel="2" x14ac:dyDescent="0.25">
      <c r="A809" s="201">
        <v>46021</v>
      </c>
      <c r="D809" s="198" t="s">
        <v>54</v>
      </c>
      <c r="E809" s="202">
        <v>24770380</v>
      </c>
      <c r="K809" s="198" t="s">
        <v>1867</v>
      </c>
      <c r="L809" s="198" t="s">
        <v>137</v>
      </c>
      <c r="P809" s="201"/>
      <c r="R809" s="202">
        <v>24770380</v>
      </c>
      <c r="U809" s="198" t="s">
        <v>137</v>
      </c>
      <c r="AA809" s="198" t="s">
        <v>51</v>
      </c>
      <c r="AB809" s="202">
        <v>24770380</v>
      </c>
      <c r="AC809" s="202">
        <v>24770380</v>
      </c>
    </row>
    <row r="810" spans="1:29" outlineLevel="2" x14ac:dyDescent="0.25">
      <c r="A810" s="201">
        <v>46022</v>
      </c>
      <c r="D810" s="198" t="s">
        <v>54</v>
      </c>
      <c r="E810" s="202">
        <v>1229620</v>
      </c>
      <c r="K810" s="198" t="s">
        <v>1867</v>
      </c>
      <c r="L810" s="198" t="s">
        <v>137</v>
      </c>
      <c r="P810" s="201"/>
      <c r="R810" s="202">
        <v>1229620</v>
      </c>
      <c r="U810" s="198" t="s">
        <v>137</v>
      </c>
      <c r="AA810" s="198" t="s">
        <v>51</v>
      </c>
      <c r="AB810" s="202">
        <v>1229620</v>
      </c>
      <c r="AC810" s="202">
        <v>1229620</v>
      </c>
    </row>
    <row r="811" spans="1:29" outlineLevel="2" x14ac:dyDescent="0.25">
      <c r="A811" s="201">
        <v>46022</v>
      </c>
      <c r="D811" s="198" t="s">
        <v>54</v>
      </c>
      <c r="E811" s="202">
        <v>16485534593</v>
      </c>
      <c r="K811" s="198" t="s">
        <v>1867</v>
      </c>
      <c r="L811" s="198" t="s">
        <v>137</v>
      </c>
      <c r="P811" s="201"/>
      <c r="R811" s="202">
        <v>16485534593</v>
      </c>
      <c r="U811" s="198" t="s">
        <v>137</v>
      </c>
      <c r="AA811" s="198" t="s">
        <v>51</v>
      </c>
      <c r="AB811" s="202">
        <v>16485534593</v>
      </c>
      <c r="AC811" s="202">
        <v>16485534593</v>
      </c>
    </row>
    <row r="812" spans="1:29" outlineLevel="2" x14ac:dyDescent="0.25">
      <c r="A812" s="201">
        <v>46023</v>
      </c>
      <c r="D812" s="198" t="s">
        <v>54</v>
      </c>
      <c r="E812" s="202">
        <v>17145000</v>
      </c>
      <c r="K812" s="198" t="s">
        <v>1867</v>
      </c>
      <c r="L812" s="198" t="s">
        <v>137</v>
      </c>
      <c r="P812" s="201"/>
      <c r="R812" s="202">
        <v>17145000</v>
      </c>
      <c r="U812" s="198" t="s">
        <v>137</v>
      </c>
      <c r="AA812" s="198" t="s">
        <v>51</v>
      </c>
      <c r="AB812" s="202">
        <v>17145000</v>
      </c>
      <c r="AC812" s="202">
        <v>17145000</v>
      </c>
    </row>
    <row r="813" spans="1:29" outlineLevel="2" x14ac:dyDescent="0.25">
      <c r="A813" s="201">
        <v>46034</v>
      </c>
      <c r="D813" s="198" t="s">
        <v>54</v>
      </c>
      <c r="E813" s="202">
        <v>54000000.719999999</v>
      </c>
      <c r="K813" s="198" t="s">
        <v>1867</v>
      </c>
      <c r="L813" s="198" t="s">
        <v>137</v>
      </c>
      <c r="P813" s="201"/>
      <c r="R813" s="202">
        <v>54000000.719999999</v>
      </c>
      <c r="U813" s="198" t="s">
        <v>137</v>
      </c>
      <c r="AA813" s="198" t="s">
        <v>51</v>
      </c>
      <c r="AB813" s="202">
        <v>54000000.719999999</v>
      </c>
      <c r="AC813" s="202">
        <v>54000000.719999999</v>
      </c>
    </row>
    <row r="814" spans="1:29" outlineLevel="2" x14ac:dyDescent="0.25">
      <c r="A814" s="201">
        <v>46035</v>
      </c>
      <c r="D814" s="198" t="s">
        <v>54</v>
      </c>
      <c r="E814" s="202">
        <v>1000000</v>
      </c>
      <c r="K814" s="198" t="s">
        <v>1867</v>
      </c>
      <c r="L814" s="198" t="s">
        <v>137</v>
      </c>
      <c r="P814" s="201"/>
      <c r="R814" s="202">
        <v>1000000</v>
      </c>
      <c r="U814" s="198" t="s">
        <v>137</v>
      </c>
      <c r="AA814" s="198" t="s">
        <v>51</v>
      </c>
      <c r="AB814" s="202">
        <v>1000000</v>
      </c>
      <c r="AC814" s="202">
        <v>1000000</v>
      </c>
    </row>
    <row r="815" spans="1:29" outlineLevel="2" x14ac:dyDescent="0.25">
      <c r="A815" s="201">
        <v>46071</v>
      </c>
      <c r="D815" s="198" t="s">
        <v>54</v>
      </c>
      <c r="E815" s="202">
        <v>5689453.2000000002</v>
      </c>
      <c r="K815" s="198" t="s">
        <v>1867</v>
      </c>
      <c r="L815" s="198" t="s">
        <v>137</v>
      </c>
      <c r="P815" s="201"/>
      <c r="R815" s="202">
        <v>5689453.2000000002</v>
      </c>
      <c r="U815" s="198" t="s">
        <v>137</v>
      </c>
      <c r="AA815" s="198" t="s">
        <v>51</v>
      </c>
      <c r="AB815" s="202">
        <v>5689453.2000000002</v>
      </c>
      <c r="AC815" s="202">
        <v>5689453.2000000002</v>
      </c>
    </row>
    <row r="816" spans="1:29" outlineLevel="2" x14ac:dyDescent="0.25">
      <c r="A816" s="201">
        <v>46092</v>
      </c>
      <c r="D816" s="198" t="s">
        <v>54</v>
      </c>
      <c r="E816" s="202">
        <v>-208438805</v>
      </c>
      <c r="K816" s="198" t="s">
        <v>1867</v>
      </c>
      <c r="L816" s="198" t="s">
        <v>137</v>
      </c>
      <c r="P816" s="201"/>
      <c r="R816" s="202">
        <v>-208438805</v>
      </c>
      <c r="U816" s="198" t="s">
        <v>137</v>
      </c>
      <c r="AA816" s="198" t="s">
        <v>51</v>
      </c>
      <c r="AB816" s="202">
        <v>-208438805</v>
      </c>
      <c r="AC816" s="202">
        <v>-208438805</v>
      </c>
    </row>
    <row r="817" spans="1:29" outlineLevel="2" x14ac:dyDescent="0.25">
      <c r="A817" s="201">
        <v>46115</v>
      </c>
      <c r="D817" s="198" t="s">
        <v>54</v>
      </c>
      <c r="E817" s="202">
        <v>269107507.62</v>
      </c>
      <c r="K817" s="198" t="s">
        <v>1867</v>
      </c>
      <c r="L817" s="198" t="s">
        <v>137</v>
      </c>
      <c r="P817" s="201"/>
      <c r="R817" s="202">
        <v>269107507.62</v>
      </c>
      <c r="U817" s="198" t="s">
        <v>137</v>
      </c>
      <c r="AA817" s="198" t="s">
        <v>51</v>
      </c>
      <c r="AB817" s="202">
        <v>269107507.62</v>
      </c>
      <c r="AC817" s="202">
        <v>269107507.62</v>
      </c>
    </row>
    <row r="818" spans="1:29" outlineLevel="2" x14ac:dyDescent="0.25">
      <c r="A818" s="201">
        <v>46117</v>
      </c>
      <c r="D818" s="198" t="s">
        <v>54</v>
      </c>
      <c r="E818" s="202">
        <v>1578178</v>
      </c>
      <c r="K818" s="198" t="s">
        <v>1867</v>
      </c>
      <c r="L818" s="198" t="s">
        <v>137</v>
      </c>
      <c r="P818" s="201"/>
      <c r="R818" s="202">
        <v>1578178</v>
      </c>
      <c r="U818" s="198" t="s">
        <v>137</v>
      </c>
      <c r="AA818" s="198" t="s">
        <v>51</v>
      </c>
      <c r="AB818" s="202">
        <v>1578178</v>
      </c>
      <c r="AC818" s="202">
        <v>1578178</v>
      </c>
    </row>
    <row r="819" spans="1:29" outlineLevel="2" x14ac:dyDescent="0.25">
      <c r="A819" s="201">
        <v>46150</v>
      </c>
      <c r="D819" s="198" t="s">
        <v>54</v>
      </c>
      <c r="E819" s="202">
        <v>23466</v>
      </c>
      <c r="K819" s="198" t="s">
        <v>1867</v>
      </c>
      <c r="L819" s="198" t="s">
        <v>137</v>
      </c>
      <c r="P819" s="201"/>
      <c r="R819" s="202">
        <v>23466</v>
      </c>
      <c r="U819" s="198" t="s">
        <v>137</v>
      </c>
      <c r="AA819" s="198" t="s">
        <v>51</v>
      </c>
      <c r="AB819" s="202">
        <v>23466</v>
      </c>
      <c r="AC819" s="202">
        <v>23466</v>
      </c>
    </row>
    <row r="820" spans="1:29" outlineLevel="1" x14ac:dyDescent="0.25">
      <c r="A820" s="210"/>
      <c r="B820" s="209"/>
      <c r="C820" s="209"/>
      <c r="D820" s="209" t="s">
        <v>54</v>
      </c>
      <c r="E820" s="211">
        <v>20329332136.82</v>
      </c>
      <c r="F820" s="209"/>
      <c r="G820" s="209"/>
      <c r="H820" s="209"/>
      <c r="I820" s="209"/>
      <c r="J820" s="209"/>
      <c r="K820" s="209" t="s">
        <v>54</v>
      </c>
      <c r="L820" s="209" t="s">
        <v>54</v>
      </c>
      <c r="M820" s="209"/>
      <c r="N820" s="209"/>
      <c r="O820" s="209"/>
      <c r="P820" s="210"/>
      <c r="Q820" s="209"/>
      <c r="R820" s="212"/>
      <c r="S820" s="209"/>
      <c r="T820" s="209"/>
      <c r="U820" s="209" t="s">
        <v>54</v>
      </c>
      <c r="V820" s="209"/>
      <c r="W820" s="209"/>
      <c r="X820" s="209"/>
      <c r="Y820" s="209"/>
      <c r="Z820" s="209"/>
      <c r="AA820" s="209" t="s">
        <v>54</v>
      </c>
      <c r="AB820" s="212"/>
      <c r="AC820" s="212"/>
    </row>
    <row r="821" spans="1:29" outlineLevel="2" x14ac:dyDescent="0.25">
      <c r="A821" s="201">
        <v>46022</v>
      </c>
      <c r="D821" s="198" t="s">
        <v>54</v>
      </c>
      <c r="E821" s="202">
        <v>16485534593</v>
      </c>
      <c r="K821" s="198" t="s">
        <v>1868</v>
      </c>
      <c r="L821" s="198" t="s">
        <v>137</v>
      </c>
      <c r="P821" s="201"/>
      <c r="R821" s="202">
        <v>16485534593</v>
      </c>
      <c r="U821" s="198" t="s">
        <v>992</v>
      </c>
      <c r="AA821" s="198" t="s">
        <v>51</v>
      </c>
      <c r="AB821" s="202">
        <v>16485534593</v>
      </c>
      <c r="AC821" s="202">
        <v>16485534593</v>
      </c>
    </row>
    <row r="822" spans="1:29" outlineLevel="1" x14ac:dyDescent="0.25">
      <c r="A822" s="210"/>
      <c r="B822" s="209"/>
      <c r="C822" s="209"/>
      <c r="D822" s="209" t="s">
        <v>54</v>
      </c>
      <c r="E822" s="211">
        <v>16485534593</v>
      </c>
      <c r="F822" s="209"/>
      <c r="G822" s="209"/>
      <c r="H822" s="209"/>
      <c r="I822" s="209"/>
      <c r="J822" s="209"/>
      <c r="K822" s="209" t="s">
        <v>54</v>
      </c>
      <c r="L822" s="209" t="s">
        <v>54</v>
      </c>
      <c r="M822" s="209"/>
      <c r="N822" s="209"/>
      <c r="O822" s="209"/>
      <c r="P822" s="210"/>
      <c r="Q822" s="209"/>
      <c r="R822" s="212"/>
      <c r="S822" s="209"/>
      <c r="T822" s="209"/>
      <c r="U822" s="209" t="s">
        <v>54</v>
      </c>
      <c r="V822" s="209"/>
      <c r="W822" s="209"/>
      <c r="X822" s="209"/>
      <c r="Y822" s="209"/>
      <c r="Z822" s="209"/>
      <c r="AA822" s="209" t="s">
        <v>54</v>
      </c>
      <c r="AB822" s="212"/>
      <c r="AC822" s="212"/>
    </row>
    <row r="823" spans="1:29" outlineLevel="2" x14ac:dyDescent="0.25">
      <c r="A823" s="201">
        <v>46022</v>
      </c>
      <c r="D823" s="198" t="s">
        <v>54</v>
      </c>
      <c r="E823" s="202">
        <v>16485534593</v>
      </c>
      <c r="K823" s="198" t="s">
        <v>1869</v>
      </c>
      <c r="L823" s="198" t="s">
        <v>137</v>
      </c>
      <c r="P823" s="201"/>
      <c r="R823" s="202">
        <v>16485534593</v>
      </c>
      <c r="U823" s="198" t="s">
        <v>716</v>
      </c>
      <c r="AA823" s="198" t="s">
        <v>51</v>
      </c>
      <c r="AB823" s="202">
        <v>16485534593</v>
      </c>
      <c r="AC823" s="202">
        <v>16485534593</v>
      </c>
    </row>
    <row r="824" spans="1:29" outlineLevel="1" x14ac:dyDescent="0.25">
      <c r="A824" s="210"/>
      <c r="B824" s="209"/>
      <c r="C824" s="209"/>
      <c r="D824" s="209" t="s">
        <v>54</v>
      </c>
      <c r="E824" s="211">
        <v>16485534593</v>
      </c>
      <c r="F824" s="209"/>
      <c r="G824" s="209"/>
      <c r="H824" s="209"/>
      <c r="I824" s="209"/>
      <c r="J824" s="209"/>
      <c r="K824" s="209" t="s">
        <v>54</v>
      </c>
      <c r="L824" s="209" t="s">
        <v>54</v>
      </c>
      <c r="M824" s="209"/>
      <c r="N824" s="209"/>
      <c r="O824" s="209"/>
      <c r="P824" s="210"/>
      <c r="Q824" s="209"/>
      <c r="R824" s="212"/>
      <c r="S824" s="209"/>
      <c r="T824" s="209"/>
      <c r="U824" s="209" t="s">
        <v>54</v>
      </c>
      <c r="V824" s="209"/>
      <c r="W824" s="209"/>
      <c r="X824" s="209"/>
      <c r="Y824" s="209"/>
      <c r="Z824" s="209"/>
      <c r="AA824" s="209" t="s">
        <v>54</v>
      </c>
      <c r="AB824" s="212"/>
      <c r="AC824" s="212"/>
    </row>
    <row r="825" spans="1:29" outlineLevel="2" x14ac:dyDescent="0.25">
      <c r="A825" s="201">
        <v>46018</v>
      </c>
      <c r="D825" s="198" t="s">
        <v>54</v>
      </c>
      <c r="E825" s="202">
        <v>1192320000</v>
      </c>
      <c r="K825" s="198" t="s">
        <v>1870</v>
      </c>
      <c r="L825" s="198" t="s">
        <v>137</v>
      </c>
      <c r="P825" s="201"/>
      <c r="R825" s="202">
        <v>1192320000</v>
      </c>
      <c r="U825" s="198" t="s">
        <v>993</v>
      </c>
      <c r="AA825" s="198" t="s">
        <v>51</v>
      </c>
      <c r="AB825" s="202">
        <v>1192320000</v>
      </c>
      <c r="AC825" s="202">
        <v>1192320000</v>
      </c>
    </row>
    <row r="826" spans="1:29" outlineLevel="2" x14ac:dyDescent="0.25">
      <c r="A826" s="201">
        <v>46092</v>
      </c>
      <c r="D826" s="198" t="s">
        <v>54</v>
      </c>
      <c r="E826" s="202">
        <v>-86943780</v>
      </c>
      <c r="K826" s="198" t="s">
        <v>1870</v>
      </c>
      <c r="L826" s="198" t="s">
        <v>137</v>
      </c>
      <c r="P826" s="201"/>
      <c r="R826" s="202">
        <v>-86943780</v>
      </c>
      <c r="U826" s="198" t="s">
        <v>993</v>
      </c>
      <c r="AA826" s="198" t="s">
        <v>51</v>
      </c>
      <c r="AB826" s="202">
        <v>-86943780</v>
      </c>
      <c r="AC826" s="202">
        <v>-86943780</v>
      </c>
    </row>
    <row r="827" spans="1:29" outlineLevel="1" x14ac:dyDescent="0.25">
      <c r="A827" s="210"/>
      <c r="B827" s="209"/>
      <c r="C827" s="209"/>
      <c r="D827" s="209" t="s">
        <v>54</v>
      </c>
      <c r="E827" s="211">
        <v>1105376220</v>
      </c>
      <c r="F827" s="209"/>
      <c r="G827" s="209"/>
      <c r="H827" s="209"/>
      <c r="I827" s="209"/>
      <c r="J827" s="209"/>
      <c r="K827" s="209" t="s">
        <v>54</v>
      </c>
      <c r="L827" s="209" t="s">
        <v>54</v>
      </c>
      <c r="M827" s="209"/>
      <c r="N827" s="209"/>
      <c r="O827" s="209"/>
      <c r="P827" s="210"/>
      <c r="Q827" s="209"/>
      <c r="R827" s="212"/>
      <c r="S827" s="209"/>
      <c r="T827" s="209"/>
      <c r="U827" s="209" t="s">
        <v>54</v>
      </c>
      <c r="V827" s="209"/>
      <c r="W827" s="209"/>
      <c r="X827" s="209"/>
      <c r="Y827" s="209"/>
      <c r="Z827" s="209"/>
      <c r="AA827" s="209" t="s">
        <v>54</v>
      </c>
      <c r="AB827" s="212"/>
      <c r="AC827" s="212"/>
    </row>
    <row r="828" spans="1:29" outlineLevel="2" x14ac:dyDescent="0.25">
      <c r="A828" s="201">
        <v>46018</v>
      </c>
      <c r="D828" s="198" t="s">
        <v>54</v>
      </c>
      <c r="E828" s="202">
        <v>1192320000</v>
      </c>
      <c r="K828" s="198" t="s">
        <v>1871</v>
      </c>
      <c r="L828" s="198" t="s">
        <v>137</v>
      </c>
      <c r="P828" s="201"/>
      <c r="R828" s="202">
        <v>1192320000</v>
      </c>
      <c r="U828" s="198" t="s">
        <v>700</v>
      </c>
      <c r="AA828" s="198" t="s">
        <v>51</v>
      </c>
      <c r="AB828" s="202">
        <v>1192320000</v>
      </c>
      <c r="AC828" s="202">
        <v>1192320000</v>
      </c>
    </row>
    <row r="829" spans="1:29" outlineLevel="2" x14ac:dyDescent="0.25">
      <c r="A829" s="201">
        <v>46092</v>
      </c>
      <c r="D829" s="198" t="s">
        <v>54</v>
      </c>
      <c r="E829" s="202">
        <v>-86943780</v>
      </c>
      <c r="K829" s="198" t="s">
        <v>1871</v>
      </c>
      <c r="L829" s="198" t="s">
        <v>137</v>
      </c>
      <c r="P829" s="201"/>
      <c r="R829" s="202">
        <v>-86943780</v>
      </c>
      <c r="U829" s="198" t="s">
        <v>700</v>
      </c>
      <c r="AA829" s="198" t="s">
        <v>51</v>
      </c>
      <c r="AB829" s="202">
        <v>-86943780</v>
      </c>
      <c r="AC829" s="202">
        <v>-86943780</v>
      </c>
    </row>
    <row r="830" spans="1:29" outlineLevel="1" x14ac:dyDescent="0.25">
      <c r="A830" s="210"/>
      <c r="B830" s="209"/>
      <c r="C830" s="209"/>
      <c r="D830" s="209" t="s">
        <v>54</v>
      </c>
      <c r="E830" s="211">
        <v>1105376220</v>
      </c>
      <c r="F830" s="209"/>
      <c r="G830" s="209"/>
      <c r="H830" s="209"/>
      <c r="I830" s="209"/>
      <c r="J830" s="209"/>
      <c r="K830" s="209" t="s">
        <v>54</v>
      </c>
      <c r="L830" s="209" t="s">
        <v>54</v>
      </c>
      <c r="M830" s="209"/>
      <c r="N830" s="209"/>
      <c r="O830" s="209"/>
      <c r="P830" s="210"/>
      <c r="Q830" s="209"/>
      <c r="R830" s="212"/>
      <c r="S830" s="209"/>
      <c r="T830" s="209"/>
      <c r="U830" s="209" t="s">
        <v>54</v>
      </c>
      <c r="V830" s="209"/>
      <c r="W830" s="209"/>
      <c r="X830" s="209"/>
      <c r="Y830" s="209"/>
      <c r="Z830" s="209"/>
      <c r="AA830" s="209" t="s">
        <v>54</v>
      </c>
      <c r="AB830" s="212"/>
      <c r="AC830" s="212"/>
    </row>
    <row r="831" spans="1:29" outlineLevel="2" x14ac:dyDescent="0.25">
      <c r="A831" s="201">
        <v>46020</v>
      </c>
      <c r="D831" s="198" t="s">
        <v>54</v>
      </c>
      <c r="E831" s="202">
        <v>118000000</v>
      </c>
      <c r="K831" s="198" t="s">
        <v>1872</v>
      </c>
      <c r="L831" s="198" t="s">
        <v>137</v>
      </c>
      <c r="P831" s="201"/>
      <c r="R831" s="202">
        <v>118000000</v>
      </c>
      <c r="U831" s="198" t="s">
        <v>994</v>
      </c>
      <c r="AA831" s="198" t="s">
        <v>51</v>
      </c>
      <c r="AB831" s="202">
        <v>118000000</v>
      </c>
      <c r="AC831" s="202">
        <v>118000000</v>
      </c>
    </row>
    <row r="832" spans="1:29" outlineLevel="2" x14ac:dyDescent="0.25">
      <c r="A832" s="201">
        <v>46092</v>
      </c>
      <c r="D832" s="198" t="s">
        <v>54</v>
      </c>
      <c r="E832" s="202">
        <v>-200000</v>
      </c>
      <c r="K832" s="198" t="s">
        <v>1872</v>
      </c>
      <c r="L832" s="198" t="s">
        <v>137</v>
      </c>
      <c r="P832" s="201"/>
      <c r="R832" s="202">
        <v>-200000</v>
      </c>
      <c r="U832" s="198" t="s">
        <v>994</v>
      </c>
      <c r="AA832" s="198" t="s">
        <v>51</v>
      </c>
      <c r="AB832" s="202">
        <v>-200000</v>
      </c>
      <c r="AC832" s="202">
        <v>-200000</v>
      </c>
    </row>
    <row r="833" spans="1:29" outlineLevel="1" x14ac:dyDescent="0.25">
      <c r="A833" s="210"/>
      <c r="B833" s="209"/>
      <c r="C833" s="209"/>
      <c r="D833" s="209" t="s">
        <v>54</v>
      </c>
      <c r="E833" s="211">
        <v>117800000</v>
      </c>
      <c r="F833" s="209"/>
      <c r="G833" s="209"/>
      <c r="H833" s="209"/>
      <c r="I833" s="209"/>
      <c r="J833" s="209"/>
      <c r="K833" s="209" t="s">
        <v>54</v>
      </c>
      <c r="L833" s="209" t="s">
        <v>54</v>
      </c>
      <c r="M833" s="209"/>
      <c r="N833" s="209"/>
      <c r="O833" s="209"/>
      <c r="P833" s="210"/>
      <c r="Q833" s="209"/>
      <c r="R833" s="212"/>
      <c r="S833" s="209"/>
      <c r="T833" s="209"/>
      <c r="U833" s="209" t="s">
        <v>54</v>
      </c>
      <c r="V833" s="209"/>
      <c r="W833" s="209"/>
      <c r="X833" s="209"/>
      <c r="Y833" s="209"/>
      <c r="Z833" s="209"/>
      <c r="AA833" s="209" t="s">
        <v>54</v>
      </c>
      <c r="AB833" s="212"/>
      <c r="AC833" s="212"/>
    </row>
    <row r="834" spans="1:29" outlineLevel="2" x14ac:dyDescent="0.25">
      <c r="A834" s="201">
        <v>46020</v>
      </c>
      <c r="D834" s="198" t="s">
        <v>54</v>
      </c>
      <c r="E834" s="202">
        <v>118000000</v>
      </c>
      <c r="K834" s="198" t="s">
        <v>1873</v>
      </c>
      <c r="L834" s="198" t="s">
        <v>137</v>
      </c>
      <c r="P834" s="201"/>
      <c r="R834" s="202">
        <v>118000000</v>
      </c>
      <c r="U834" s="198" t="s">
        <v>535</v>
      </c>
      <c r="AA834" s="198" t="s">
        <v>51</v>
      </c>
      <c r="AB834" s="202">
        <v>118000000</v>
      </c>
      <c r="AC834" s="202">
        <v>118000000</v>
      </c>
    </row>
    <row r="835" spans="1:29" outlineLevel="2" x14ac:dyDescent="0.25">
      <c r="A835" s="201">
        <v>46092</v>
      </c>
      <c r="D835" s="198" t="s">
        <v>54</v>
      </c>
      <c r="E835" s="202">
        <v>-200000</v>
      </c>
      <c r="K835" s="198" t="s">
        <v>1873</v>
      </c>
      <c r="L835" s="198" t="s">
        <v>137</v>
      </c>
      <c r="P835" s="201"/>
      <c r="R835" s="202">
        <v>-200000</v>
      </c>
      <c r="U835" s="198" t="s">
        <v>535</v>
      </c>
      <c r="AA835" s="198" t="s">
        <v>51</v>
      </c>
      <c r="AB835" s="202">
        <v>-200000</v>
      </c>
      <c r="AC835" s="202">
        <v>-200000</v>
      </c>
    </row>
    <row r="836" spans="1:29" outlineLevel="1" x14ac:dyDescent="0.25">
      <c r="A836" s="210"/>
      <c r="B836" s="209"/>
      <c r="C836" s="209"/>
      <c r="D836" s="209" t="s">
        <v>54</v>
      </c>
      <c r="E836" s="211">
        <v>117800000</v>
      </c>
      <c r="F836" s="209"/>
      <c r="G836" s="209"/>
      <c r="H836" s="209"/>
      <c r="I836" s="209"/>
      <c r="J836" s="209"/>
      <c r="K836" s="209" t="s">
        <v>54</v>
      </c>
      <c r="L836" s="209" t="s">
        <v>54</v>
      </c>
      <c r="M836" s="209"/>
      <c r="N836" s="209"/>
      <c r="O836" s="209"/>
      <c r="P836" s="210"/>
      <c r="Q836" s="209"/>
      <c r="R836" s="212"/>
      <c r="S836" s="209"/>
      <c r="T836" s="209"/>
      <c r="U836" s="209" t="s">
        <v>54</v>
      </c>
      <c r="V836" s="209"/>
      <c r="W836" s="209"/>
      <c r="X836" s="209"/>
      <c r="Y836" s="209"/>
      <c r="Z836" s="209"/>
      <c r="AA836" s="209" t="s">
        <v>54</v>
      </c>
      <c r="AB836" s="212"/>
      <c r="AC836" s="212"/>
    </row>
    <row r="837" spans="1:29" outlineLevel="2" x14ac:dyDescent="0.25">
      <c r="A837" s="201">
        <v>46018</v>
      </c>
      <c r="D837" s="198" t="s">
        <v>54</v>
      </c>
      <c r="E837" s="202">
        <v>1077300000</v>
      </c>
      <c r="K837" s="198" t="s">
        <v>1874</v>
      </c>
      <c r="L837" s="198" t="s">
        <v>137</v>
      </c>
      <c r="P837" s="201"/>
      <c r="R837" s="202">
        <v>1077300000</v>
      </c>
      <c r="U837" s="198" t="s">
        <v>559</v>
      </c>
      <c r="AA837" s="198" t="s">
        <v>51</v>
      </c>
      <c r="AB837" s="202">
        <v>1077300000</v>
      </c>
      <c r="AC837" s="202">
        <v>1077300000</v>
      </c>
    </row>
    <row r="838" spans="1:29" outlineLevel="2" x14ac:dyDescent="0.25">
      <c r="A838" s="201">
        <v>46092</v>
      </c>
      <c r="D838" s="198" t="s">
        <v>54</v>
      </c>
      <c r="E838" s="202">
        <v>-121295025</v>
      </c>
      <c r="K838" s="198" t="s">
        <v>1874</v>
      </c>
      <c r="L838" s="198" t="s">
        <v>137</v>
      </c>
      <c r="P838" s="201"/>
      <c r="R838" s="202">
        <v>-121295025</v>
      </c>
      <c r="U838" s="198" t="s">
        <v>559</v>
      </c>
      <c r="AA838" s="198" t="s">
        <v>51</v>
      </c>
      <c r="AB838" s="202">
        <v>-121295025</v>
      </c>
      <c r="AC838" s="202">
        <v>-121295025</v>
      </c>
    </row>
    <row r="839" spans="1:29" outlineLevel="1" x14ac:dyDescent="0.25">
      <c r="A839" s="210"/>
      <c r="B839" s="209"/>
      <c r="C839" s="209"/>
      <c r="D839" s="209" t="s">
        <v>54</v>
      </c>
      <c r="E839" s="211">
        <v>956004975</v>
      </c>
      <c r="F839" s="209"/>
      <c r="G839" s="209"/>
      <c r="H839" s="209"/>
      <c r="I839" s="209"/>
      <c r="J839" s="209"/>
      <c r="K839" s="209" t="s">
        <v>54</v>
      </c>
      <c r="L839" s="209" t="s">
        <v>54</v>
      </c>
      <c r="M839" s="209"/>
      <c r="N839" s="209"/>
      <c r="O839" s="209"/>
      <c r="P839" s="210"/>
      <c r="Q839" s="209"/>
      <c r="R839" s="212"/>
      <c r="S839" s="209"/>
      <c r="T839" s="209"/>
      <c r="U839" s="209" t="s">
        <v>54</v>
      </c>
      <c r="V839" s="209"/>
      <c r="W839" s="209"/>
      <c r="X839" s="209"/>
      <c r="Y839" s="209"/>
      <c r="Z839" s="209"/>
      <c r="AA839" s="209" t="s">
        <v>54</v>
      </c>
      <c r="AB839" s="212"/>
      <c r="AC839" s="212"/>
    </row>
    <row r="840" spans="1:29" outlineLevel="2" x14ac:dyDescent="0.25">
      <c r="A840" s="201">
        <v>46018</v>
      </c>
      <c r="D840" s="198" t="s">
        <v>54</v>
      </c>
      <c r="E840" s="202">
        <v>1165560724</v>
      </c>
      <c r="K840" s="198" t="s">
        <v>1875</v>
      </c>
      <c r="L840" s="198" t="s">
        <v>137</v>
      </c>
      <c r="P840" s="201"/>
      <c r="R840" s="202">
        <v>1165560724</v>
      </c>
      <c r="U840" s="198" t="s">
        <v>995</v>
      </c>
      <c r="AA840" s="198" t="s">
        <v>51</v>
      </c>
      <c r="AB840" s="202">
        <v>1165560724</v>
      </c>
      <c r="AC840" s="202">
        <v>1165560724</v>
      </c>
    </row>
    <row r="841" spans="1:29" outlineLevel="2" x14ac:dyDescent="0.25">
      <c r="A841" s="201">
        <v>46021</v>
      </c>
      <c r="D841" s="198" t="s">
        <v>54</v>
      </c>
      <c r="E841" s="202">
        <v>124512019.28</v>
      </c>
      <c r="K841" s="198" t="s">
        <v>1875</v>
      </c>
      <c r="L841" s="198" t="s">
        <v>137</v>
      </c>
      <c r="P841" s="201"/>
      <c r="R841" s="202">
        <v>124512019.28</v>
      </c>
      <c r="U841" s="198" t="s">
        <v>995</v>
      </c>
      <c r="AA841" s="198" t="s">
        <v>51</v>
      </c>
      <c r="AB841" s="202">
        <v>124512019.28</v>
      </c>
      <c r="AC841" s="202">
        <v>124512019.28</v>
      </c>
    </row>
    <row r="842" spans="1:29" outlineLevel="2" x14ac:dyDescent="0.25">
      <c r="A842" s="201">
        <v>46021</v>
      </c>
      <c r="D842" s="198" t="s">
        <v>54</v>
      </c>
      <c r="E842" s="202">
        <v>24770380</v>
      </c>
      <c r="K842" s="198" t="s">
        <v>1875</v>
      </c>
      <c r="L842" s="198" t="s">
        <v>137</v>
      </c>
      <c r="P842" s="201"/>
      <c r="R842" s="202">
        <v>24770380</v>
      </c>
      <c r="U842" s="198" t="s">
        <v>995</v>
      </c>
      <c r="AA842" s="198" t="s">
        <v>51</v>
      </c>
      <c r="AB842" s="202">
        <v>24770380</v>
      </c>
      <c r="AC842" s="202">
        <v>24770380</v>
      </c>
    </row>
    <row r="843" spans="1:29" outlineLevel="2" x14ac:dyDescent="0.25">
      <c r="A843" s="201">
        <v>46022</v>
      </c>
      <c r="D843" s="198" t="s">
        <v>54</v>
      </c>
      <c r="E843" s="202">
        <v>1229620</v>
      </c>
      <c r="K843" s="198" t="s">
        <v>1875</v>
      </c>
      <c r="L843" s="198" t="s">
        <v>137</v>
      </c>
      <c r="P843" s="201"/>
      <c r="R843" s="202">
        <v>1229620</v>
      </c>
      <c r="U843" s="198" t="s">
        <v>995</v>
      </c>
      <c r="AA843" s="198" t="s">
        <v>51</v>
      </c>
      <c r="AB843" s="202">
        <v>1229620</v>
      </c>
      <c r="AC843" s="202">
        <v>1229620</v>
      </c>
    </row>
    <row r="844" spans="1:29" outlineLevel="2" x14ac:dyDescent="0.25">
      <c r="A844" s="201">
        <v>46034</v>
      </c>
      <c r="D844" s="198" t="s">
        <v>54</v>
      </c>
      <c r="E844" s="202">
        <v>54000000.719999999</v>
      </c>
      <c r="K844" s="198" t="s">
        <v>1875</v>
      </c>
      <c r="L844" s="198" t="s">
        <v>137</v>
      </c>
      <c r="P844" s="201"/>
      <c r="R844" s="202">
        <v>54000000.719999999</v>
      </c>
      <c r="U844" s="198" t="s">
        <v>995</v>
      </c>
      <c r="AA844" s="198" t="s">
        <v>51</v>
      </c>
      <c r="AB844" s="202">
        <v>54000000.719999999</v>
      </c>
      <c r="AC844" s="202">
        <v>54000000.719999999</v>
      </c>
    </row>
    <row r="845" spans="1:29" outlineLevel="2" x14ac:dyDescent="0.25">
      <c r="A845" s="201">
        <v>46071</v>
      </c>
      <c r="D845" s="198" t="s">
        <v>54</v>
      </c>
      <c r="E845" s="202">
        <v>5689453.2000000002</v>
      </c>
      <c r="K845" s="198" t="s">
        <v>1875</v>
      </c>
      <c r="L845" s="198" t="s">
        <v>137</v>
      </c>
      <c r="P845" s="201"/>
      <c r="R845" s="202">
        <v>5689453.2000000002</v>
      </c>
      <c r="U845" s="198" t="s">
        <v>995</v>
      </c>
      <c r="AA845" s="198" t="s">
        <v>51</v>
      </c>
      <c r="AB845" s="202">
        <v>5689453.2000000002</v>
      </c>
      <c r="AC845" s="202">
        <v>5689453.2000000002</v>
      </c>
    </row>
    <row r="846" spans="1:29" outlineLevel="1" x14ac:dyDescent="0.25">
      <c r="A846" s="210"/>
      <c r="B846" s="209"/>
      <c r="C846" s="209"/>
      <c r="D846" s="209" t="s">
        <v>54</v>
      </c>
      <c r="E846" s="211">
        <v>1375762197.2</v>
      </c>
      <c r="F846" s="209"/>
      <c r="G846" s="209"/>
      <c r="H846" s="209"/>
      <c r="I846" s="209"/>
      <c r="J846" s="209"/>
      <c r="K846" s="209" t="s">
        <v>54</v>
      </c>
      <c r="L846" s="209" t="s">
        <v>54</v>
      </c>
      <c r="M846" s="209"/>
      <c r="N846" s="209"/>
      <c r="O846" s="209"/>
      <c r="P846" s="210"/>
      <c r="Q846" s="209"/>
      <c r="R846" s="212"/>
      <c r="S846" s="209"/>
      <c r="T846" s="209"/>
      <c r="U846" s="209" t="s">
        <v>54</v>
      </c>
      <c r="V846" s="209"/>
      <c r="W846" s="209"/>
      <c r="X846" s="209"/>
      <c r="Y846" s="209"/>
      <c r="Z846" s="209"/>
      <c r="AA846" s="209" t="s">
        <v>54</v>
      </c>
      <c r="AB846" s="212"/>
      <c r="AC846" s="212"/>
    </row>
    <row r="847" spans="1:29" outlineLevel="2" x14ac:dyDescent="0.25">
      <c r="A847" s="201">
        <v>46018</v>
      </c>
      <c r="D847" s="198" t="s">
        <v>54</v>
      </c>
      <c r="E847" s="202">
        <v>145530000</v>
      </c>
      <c r="K847" s="198" t="s">
        <v>1876</v>
      </c>
      <c r="L847" s="198" t="s">
        <v>137</v>
      </c>
      <c r="P847" s="201"/>
      <c r="R847" s="202">
        <v>145530000</v>
      </c>
      <c r="U847" s="198" t="s">
        <v>525</v>
      </c>
      <c r="AA847" s="198" t="s">
        <v>51</v>
      </c>
      <c r="AB847" s="202">
        <v>145530000</v>
      </c>
      <c r="AC847" s="202">
        <v>145530000</v>
      </c>
    </row>
    <row r="848" spans="1:29" outlineLevel="1" x14ac:dyDescent="0.25">
      <c r="A848" s="210"/>
      <c r="B848" s="209"/>
      <c r="C848" s="209"/>
      <c r="D848" s="209" t="s">
        <v>54</v>
      </c>
      <c r="E848" s="211">
        <v>145530000</v>
      </c>
      <c r="F848" s="209"/>
      <c r="G848" s="209"/>
      <c r="H848" s="209"/>
      <c r="I848" s="209"/>
      <c r="J848" s="209"/>
      <c r="K848" s="209" t="s">
        <v>54</v>
      </c>
      <c r="L848" s="209" t="s">
        <v>54</v>
      </c>
      <c r="M848" s="209"/>
      <c r="N848" s="209"/>
      <c r="O848" s="209"/>
      <c r="P848" s="210"/>
      <c r="Q848" s="209"/>
      <c r="R848" s="212"/>
      <c r="S848" s="209"/>
      <c r="T848" s="209"/>
      <c r="U848" s="209" t="s">
        <v>54</v>
      </c>
      <c r="V848" s="209"/>
      <c r="W848" s="209"/>
      <c r="X848" s="209"/>
      <c r="Y848" s="209"/>
      <c r="Z848" s="209"/>
      <c r="AA848" s="209" t="s">
        <v>54</v>
      </c>
      <c r="AB848" s="212"/>
      <c r="AC848" s="212"/>
    </row>
    <row r="849" spans="1:29" outlineLevel="2" x14ac:dyDescent="0.25">
      <c r="A849" s="201">
        <v>46018</v>
      </c>
      <c r="D849" s="198" t="s">
        <v>54</v>
      </c>
      <c r="E849" s="202">
        <v>608243844</v>
      </c>
      <c r="K849" s="198" t="s">
        <v>1877</v>
      </c>
      <c r="L849" s="198" t="s">
        <v>137</v>
      </c>
      <c r="P849" s="201"/>
      <c r="R849" s="202">
        <v>608243844</v>
      </c>
      <c r="U849" s="198" t="s">
        <v>843</v>
      </c>
      <c r="AA849" s="198" t="s">
        <v>51</v>
      </c>
      <c r="AB849" s="202">
        <v>608243844</v>
      </c>
      <c r="AC849" s="202">
        <v>608243844</v>
      </c>
    </row>
    <row r="850" spans="1:29" outlineLevel="1" x14ac:dyDescent="0.25">
      <c r="A850" s="210"/>
      <c r="B850" s="209"/>
      <c r="C850" s="209"/>
      <c r="D850" s="209" t="s">
        <v>54</v>
      </c>
      <c r="E850" s="211">
        <v>608243844</v>
      </c>
      <c r="F850" s="209"/>
      <c r="G850" s="209"/>
      <c r="H850" s="209"/>
      <c r="I850" s="209"/>
      <c r="J850" s="209"/>
      <c r="K850" s="209" t="s">
        <v>54</v>
      </c>
      <c r="L850" s="209" t="s">
        <v>54</v>
      </c>
      <c r="M850" s="209"/>
      <c r="N850" s="209"/>
      <c r="O850" s="209"/>
      <c r="P850" s="210"/>
      <c r="Q850" s="209"/>
      <c r="R850" s="212"/>
      <c r="S850" s="209"/>
      <c r="T850" s="209"/>
      <c r="U850" s="209" t="s">
        <v>54</v>
      </c>
      <c r="V850" s="209"/>
      <c r="W850" s="209"/>
      <c r="X850" s="209"/>
      <c r="Y850" s="209"/>
      <c r="Z850" s="209"/>
      <c r="AA850" s="209" t="s">
        <v>54</v>
      </c>
      <c r="AB850" s="212"/>
      <c r="AC850" s="212"/>
    </row>
    <row r="851" spans="1:29" outlineLevel="2" x14ac:dyDescent="0.25">
      <c r="A851" s="201">
        <v>46018</v>
      </c>
      <c r="D851" s="198" t="s">
        <v>54</v>
      </c>
      <c r="E851" s="202">
        <v>195686880</v>
      </c>
      <c r="K851" s="198" t="s">
        <v>1878</v>
      </c>
      <c r="L851" s="198" t="s">
        <v>137</v>
      </c>
      <c r="P851" s="201"/>
      <c r="R851" s="202">
        <v>195686880</v>
      </c>
      <c r="U851" s="198" t="s">
        <v>845</v>
      </c>
      <c r="AA851" s="198" t="s">
        <v>51</v>
      </c>
      <c r="AB851" s="202">
        <v>195686880</v>
      </c>
      <c r="AC851" s="202">
        <v>195686880</v>
      </c>
    </row>
    <row r="852" spans="1:29" outlineLevel="1" x14ac:dyDescent="0.25">
      <c r="A852" s="210"/>
      <c r="B852" s="209"/>
      <c r="C852" s="209"/>
      <c r="D852" s="209" t="s">
        <v>54</v>
      </c>
      <c r="E852" s="211">
        <v>195686880</v>
      </c>
      <c r="F852" s="209"/>
      <c r="G852" s="209"/>
      <c r="H852" s="209"/>
      <c r="I852" s="209"/>
      <c r="J852" s="209"/>
      <c r="K852" s="209" t="s">
        <v>54</v>
      </c>
      <c r="L852" s="209" t="s">
        <v>54</v>
      </c>
      <c r="M852" s="209"/>
      <c r="N852" s="209"/>
      <c r="O852" s="209"/>
      <c r="P852" s="210"/>
      <c r="Q852" s="209"/>
      <c r="R852" s="212"/>
      <c r="S852" s="209"/>
      <c r="T852" s="209"/>
      <c r="U852" s="209" t="s">
        <v>54</v>
      </c>
      <c r="V852" s="209"/>
      <c r="W852" s="209"/>
      <c r="X852" s="209"/>
      <c r="Y852" s="209"/>
      <c r="Z852" s="209"/>
      <c r="AA852" s="209" t="s">
        <v>54</v>
      </c>
      <c r="AB852" s="212"/>
      <c r="AC852" s="212"/>
    </row>
    <row r="853" spans="1:29" outlineLevel="2" x14ac:dyDescent="0.25">
      <c r="A853" s="201">
        <v>46018</v>
      </c>
      <c r="D853" s="198" t="s">
        <v>54</v>
      </c>
      <c r="E853" s="202">
        <v>206100000</v>
      </c>
      <c r="K853" s="198" t="s">
        <v>1879</v>
      </c>
      <c r="L853" s="198" t="s">
        <v>137</v>
      </c>
      <c r="P853" s="201"/>
      <c r="R853" s="202">
        <v>206100000</v>
      </c>
      <c r="U853" s="198" t="s">
        <v>136</v>
      </c>
      <c r="AA853" s="198" t="s">
        <v>51</v>
      </c>
      <c r="AB853" s="202">
        <v>206100000</v>
      </c>
      <c r="AC853" s="202">
        <v>206100000</v>
      </c>
    </row>
    <row r="854" spans="1:29" outlineLevel="2" x14ac:dyDescent="0.25">
      <c r="A854" s="201">
        <v>46021</v>
      </c>
      <c r="D854" s="198" t="s">
        <v>54</v>
      </c>
      <c r="E854" s="202">
        <v>124512019.28</v>
      </c>
      <c r="K854" s="198" t="s">
        <v>1879</v>
      </c>
      <c r="L854" s="198" t="s">
        <v>137</v>
      </c>
      <c r="P854" s="201"/>
      <c r="R854" s="202">
        <v>124512019.28</v>
      </c>
      <c r="U854" s="198" t="s">
        <v>136</v>
      </c>
      <c r="AA854" s="198" t="s">
        <v>51</v>
      </c>
      <c r="AB854" s="202">
        <v>124512019.28</v>
      </c>
      <c r="AC854" s="202">
        <v>124512019.28</v>
      </c>
    </row>
    <row r="855" spans="1:29" outlineLevel="2" x14ac:dyDescent="0.25">
      <c r="A855" s="201">
        <v>46034</v>
      </c>
      <c r="D855" s="198" t="s">
        <v>54</v>
      </c>
      <c r="E855" s="202">
        <v>54000000.719999999</v>
      </c>
      <c r="K855" s="198" t="s">
        <v>1879</v>
      </c>
      <c r="L855" s="198" t="s">
        <v>137</v>
      </c>
      <c r="P855" s="201"/>
      <c r="R855" s="202">
        <v>54000000.719999999</v>
      </c>
      <c r="U855" s="198" t="s">
        <v>136</v>
      </c>
      <c r="AA855" s="198" t="s">
        <v>51</v>
      </c>
      <c r="AB855" s="202">
        <v>54000000.719999999</v>
      </c>
      <c r="AC855" s="202">
        <v>54000000.719999999</v>
      </c>
    </row>
    <row r="856" spans="1:29" outlineLevel="2" x14ac:dyDescent="0.25">
      <c r="A856" s="201">
        <v>46071</v>
      </c>
      <c r="D856" s="198" t="s">
        <v>54</v>
      </c>
      <c r="E856" s="202">
        <v>5689453.2000000002</v>
      </c>
      <c r="K856" s="198" t="s">
        <v>1879</v>
      </c>
      <c r="L856" s="198" t="s">
        <v>137</v>
      </c>
      <c r="P856" s="201"/>
      <c r="R856" s="202">
        <v>5689453.2000000002</v>
      </c>
      <c r="U856" s="198" t="s">
        <v>136</v>
      </c>
      <c r="AA856" s="198" t="s">
        <v>51</v>
      </c>
      <c r="AB856" s="202">
        <v>5689453.2000000002</v>
      </c>
      <c r="AC856" s="202">
        <v>5689453.2000000002</v>
      </c>
    </row>
    <row r="857" spans="1:29" outlineLevel="1" x14ac:dyDescent="0.25">
      <c r="A857" s="210"/>
      <c r="B857" s="209"/>
      <c r="C857" s="209"/>
      <c r="D857" s="209" t="s">
        <v>54</v>
      </c>
      <c r="E857" s="211">
        <v>390301473.19999999</v>
      </c>
      <c r="F857" s="209"/>
      <c r="G857" s="209"/>
      <c r="H857" s="209"/>
      <c r="I857" s="209"/>
      <c r="J857" s="209"/>
      <c r="K857" s="209" t="s">
        <v>54</v>
      </c>
      <c r="L857" s="209" t="s">
        <v>54</v>
      </c>
      <c r="M857" s="209"/>
      <c r="N857" s="209"/>
      <c r="O857" s="209"/>
      <c r="P857" s="210"/>
      <c r="Q857" s="209"/>
      <c r="R857" s="212"/>
      <c r="S857" s="209"/>
      <c r="T857" s="209"/>
      <c r="U857" s="209" t="s">
        <v>54</v>
      </c>
      <c r="V857" s="209"/>
      <c r="W857" s="209"/>
      <c r="X857" s="209"/>
      <c r="Y857" s="209"/>
      <c r="Z857" s="209"/>
      <c r="AA857" s="209" t="s">
        <v>54</v>
      </c>
      <c r="AB857" s="212"/>
      <c r="AC857" s="212"/>
    </row>
    <row r="858" spans="1:29" outlineLevel="2" x14ac:dyDescent="0.25">
      <c r="A858" s="201">
        <v>46018</v>
      </c>
      <c r="D858" s="198" t="s">
        <v>54</v>
      </c>
      <c r="E858" s="202">
        <v>10000000</v>
      </c>
      <c r="K858" s="198" t="s">
        <v>1880</v>
      </c>
      <c r="L858" s="198" t="s">
        <v>137</v>
      </c>
      <c r="P858" s="201"/>
      <c r="R858" s="202">
        <v>10000000</v>
      </c>
      <c r="U858" s="198" t="s">
        <v>532</v>
      </c>
      <c r="AA858" s="198" t="s">
        <v>51</v>
      </c>
      <c r="AB858" s="202">
        <v>10000000</v>
      </c>
      <c r="AC858" s="202">
        <v>10000000</v>
      </c>
    </row>
    <row r="859" spans="1:29" outlineLevel="2" x14ac:dyDescent="0.25">
      <c r="A859" s="201">
        <v>46021</v>
      </c>
      <c r="D859" s="198" t="s">
        <v>54</v>
      </c>
      <c r="E859" s="202">
        <v>24770380</v>
      </c>
      <c r="K859" s="198" t="s">
        <v>1880</v>
      </c>
      <c r="L859" s="198" t="s">
        <v>137</v>
      </c>
      <c r="P859" s="201"/>
      <c r="R859" s="202">
        <v>24770380</v>
      </c>
      <c r="U859" s="198" t="s">
        <v>532</v>
      </c>
      <c r="AA859" s="198" t="s">
        <v>51</v>
      </c>
      <c r="AB859" s="202">
        <v>24770380</v>
      </c>
      <c r="AC859" s="202">
        <v>24770380</v>
      </c>
    </row>
    <row r="860" spans="1:29" outlineLevel="2" x14ac:dyDescent="0.25">
      <c r="A860" s="201">
        <v>46022</v>
      </c>
      <c r="D860" s="198" t="s">
        <v>54</v>
      </c>
      <c r="E860" s="202">
        <v>1229620</v>
      </c>
      <c r="K860" s="198" t="s">
        <v>1880</v>
      </c>
      <c r="L860" s="198" t="s">
        <v>137</v>
      </c>
      <c r="P860" s="201"/>
      <c r="R860" s="202">
        <v>1229620</v>
      </c>
      <c r="U860" s="198" t="s">
        <v>532</v>
      </c>
      <c r="AA860" s="198" t="s">
        <v>51</v>
      </c>
      <c r="AB860" s="202">
        <v>1229620</v>
      </c>
      <c r="AC860" s="202">
        <v>1229620</v>
      </c>
    </row>
    <row r="861" spans="1:29" outlineLevel="1" x14ac:dyDescent="0.25">
      <c r="A861" s="210"/>
      <c r="B861" s="209"/>
      <c r="C861" s="209"/>
      <c r="D861" s="209" t="s">
        <v>54</v>
      </c>
      <c r="E861" s="211">
        <v>36000000</v>
      </c>
      <c r="F861" s="209"/>
      <c r="G861" s="209"/>
      <c r="H861" s="209"/>
      <c r="I861" s="209"/>
      <c r="J861" s="209"/>
      <c r="K861" s="209" t="s">
        <v>54</v>
      </c>
      <c r="L861" s="209" t="s">
        <v>54</v>
      </c>
      <c r="M861" s="209"/>
      <c r="N861" s="209"/>
      <c r="O861" s="209"/>
      <c r="P861" s="210"/>
      <c r="Q861" s="209"/>
      <c r="R861" s="212"/>
      <c r="S861" s="209"/>
      <c r="T861" s="209"/>
      <c r="U861" s="209" t="s">
        <v>54</v>
      </c>
      <c r="V861" s="209"/>
      <c r="W861" s="209"/>
      <c r="X861" s="209"/>
      <c r="Y861" s="209"/>
      <c r="Z861" s="209"/>
      <c r="AA861" s="209" t="s">
        <v>54</v>
      </c>
      <c r="AB861" s="212"/>
      <c r="AC861" s="212"/>
    </row>
    <row r="862" spans="1:29" outlineLevel="2" x14ac:dyDescent="0.25">
      <c r="A862" s="201">
        <v>46117</v>
      </c>
      <c r="D862" s="198" t="s">
        <v>54</v>
      </c>
      <c r="E862" s="202">
        <v>1578178</v>
      </c>
      <c r="K862" s="198" t="s">
        <v>1881</v>
      </c>
      <c r="L862" s="198" t="s">
        <v>137</v>
      </c>
      <c r="P862" s="201"/>
      <c r="R862" s="202">
        <v>1578178</v>
      </c>
      <c r="U862" s="198" t="s">
        <v>996</v>
      </c>
      <c r="AA862" s="198" t="s">
        <v>51</v>
      </c>
      <c r="AB862" s="202">
        <v>1578178</v>
      </c>
      <c r="AC862" s="202">
        <v>1578178</v>
      </c>
    </row>
    <row r="863" spans="1:29" outlineLevel="2" x14ac:dyDescent="0.25">
      <c r="A863" s="201">
        <v>46150</v>
      </c>
      <c r="D863" s="198" t="s">
        <v>54</v>
      </c>
      <c r="E863" s="202">
        <v>23466</v>
      </c>
      <c r="K863" s="198" t="s">
        <v>1881</v>
      </c>
      <c r="L863" s="198" t="s">
        <v>137</v>
      </c>
      <c r="P863" s="201"/>
      <c r="R863" s="202">
        <v>23466</v>
      </c>
      <c r="U863" s="198" t="s">
        <v>996</v>
      </c>
      <c r="AA863" s="198" t="s">
        <v>51</v>
      </c>
      <c r="AB863" s="202">
        <v>23466</v>
      </c>
      <c r="AC863" s="202">
        <v>23466</v>
      </c>
    </row>
    <row r="864" spans="1:29" outlineLevel="1" x14ac:dyDescent="0.25">
      <c r="A864" s="210"/>
      <c r="B864" s="209"/>
      <c r="C864" s="209"/>
      <c r="D864" s="209" t="s">
        <v>54</v>
      </c>
      <c r="E864" s="211">
        <v>1601644</v>
      </c>
      <c r="F864" s="209"/>
      <c r="G864" s="209"/>
      <c r="H864" s="209"/>
      <c r="I864" s="209"/>
      <c r="J864" s="209"/>
      <c r="K864" s="209" t="s">
        <v>54</v>
      </c>
      <c r="L864" s="209" t="s">
        <v>54</v>
      </c>
      <c r="M864" s="209"/>
      <c r="N864" s="209"/>
      <c r="O864" s="209"/>
      <c r="P864" s="210"/>
      <c r="Q864" s="209"/>
      <c r="R864" s="212"/>
      <c r="S864" s="209"/>
      <c r="T864" s="209"/>
      <c r="U864" s="209" t="s">
        <v>54</v>
      </c>
      <c r="V864" s="209"/>
      <c r="W864" s="209"/>
      <c r="X864" s="209"/>
      <c r="Y864" s="209"/>
      <c r="Z864" s="209"/>
      <c r="AA864" s="209" t="s">
        <v>54</v>
      </c>
      <c r="AB864" s="212"/>
      <c r="AC864" s="212"/>
    </row>
    <row r="865" spans="1:29" outlineLevel="2" x14ac:dyDescent="0.25">
      <c r="A865" s="201">
        <v>46117</v>
      </c>
      <c r="D865" s="198" t="s">
        <v>54</v>
      </c>
      <c r="E865" s="202">
        <v>1578178</v>
      </c>
      <c r="K865" s="198" t="s">
        <v>1882</v>
      </c>
      <c r="L865" s="198" t="s">
        <v>137</v>
      </c>
      <c r="P865" s="201"/>
      <c r="R865" s="202">
        <v>1578178</v>
      </c>
      <c r="U865" s="198" t="s">
        <v>870</v>
      </c>
      <c r="AA865" s="198" t="s">
        <v>51</v>
      </c>
      <c r="AB865" s="202">
        <v>1578178</v>
      </c>
      <c r="AC865" s="202">
        <v>1578178</v>
      </c>
    </row>
    <row r="866" spans="1:29" outlineLevel="2" x14ac:dyDescent="0.25">
      <c r="A866" s="201">
        <v>46150</v>
      </c>
      <c r="D866" s="198" t="s">
        <v>54</v>
      </c>
      <c r="E866" s="202">
        <v>23466</v>
      </c>
      <c r="K866" s="198" t="s">
        <v>1882</v>
      </c>
      <c r="L866" s="198" t="s">
        <v>137</v>
      </c>
      <c r="P866" s="201"/>
      <c r="R866" s="202">
        <v>23466</v>
      </c>
      <c r="U866" s="198" t="s">
        <v>870</v>
      </c>
      <c r="AA866" s="198" t="s">
        <v>51</v>
      </c>
      <c r="AB866" s="202">
        <v>23466</v>
      </c>
      <c r="AC866" s="202">
        <v>23466</v>
      </c>
    </row>
    <row r="867" spans="1:29" outlineLevel="1" x14ac:dyDescent="0.25">
      <c r="A867" s="210"/>
      <c r="B867" s="209"/>
      <c r="C867" s="209"/>
      <c r="D867" s="209" t="s">
        <v>54</v>
      </c>
      <c r="E867" s="211">
        <v>1601644</v>
      </c>
      <c r="F867" s="209"/>
      <c r="G867" s="209"/>
      <c r="H867" s="209"/>
      <c r="I867" s="209"/>
      <c r="J867" s="209"/>
      <c r="K867" s="209" t="s">
        <v>54</v>
      </c>
      <c r="L867" s="209" t="s">
        <v>54</v>
      </c>
      <c r="M867" s="209"/>
      <c r="N867" s="209"/>
      <c r="O867" s="209"/>
      <c r="P867" s="210"/>
      <c r="Q867" s="209"/>
      <c r="R867" s="212"/>
      <c r="S867" s="209"/>
      <c r="T867" s="209"/>
      <c r="U867" s="209" t="s">
        <v>54</v>
      </c>
      <c r="V867" s="209"/>
      <c r="W867" s="209"/>
      <c r="X867" s="209"/>
      <c r="Y867" s="209"/>
      <c r="Z867" s="209"/>
      <c r="AA867" s="209" t="s">
        <v>54</v>
      </c>
      <c r="AB867" s="212"/>
      <c r="AC867" s="212"/>
    </row>
    <row r="868" spans="1:29" outlineLevel="2" x14ac:dyDescent="0.25">
      <c r="A868" s="201">
        <v>46023</v>
      </c>
      <c r="D868" s="198" t="s">
        <v>54</v>
      </c>
      <c r="E868" s="202">
        <v>17145000</v>
      </c>
      <c r="K868" s="198" t="s">
        <v>1883</v>
      </c>
      <c r="L868" s="198" t="s">
        <v>137</v>
      </c>
      <c r="P868" s="201"/>
      <c r="R868" s="202">
        <v>17145000</v>
      </c>
      <c r="U868" s="198" t="s">
        <v>565</v>
      </c>
      <c r="AA868" s="198" t="s">
        <v>51</v>
      </c>
      <c r="AB868" s="202">
        <v>17145000</v>
      </c>
      <c r="AC868" s="202">
        <v>17145000</v>
      </c>
    </row>
    <row r="869" spans="1:29" outlineLevel="2" x14ac:dyDescent="0.25">
      <c r="A869" s="201">
        <v>46035</v>
      </c>
      <c r="D869" s="198" t="s">
        <v>54</v>
      </c>
      <c r="E869" s="202">
        <v>1000000</v>
      </c>
      <c r="K869" s="198" t="s">
        <v>1883</v>
      </c>
      <c r="L869" s="198" t="s">
        <v>137</v>
      </c>
      <c r="P869" s="201"/>
      <c r="R869" s="202">
        <v>1000000</v>
      </c>
      <c r="U869" s="198" t="s">
        <v>565</v>
      </c>
      <c r="AA869" s="198" t="s">
        <v>51</v>
      </c>
      <c r="AB869" s="202">
        <v>1000000</v>
      </c>
      <c r="AC869" s="202">
        <v>1000000</v>
      </c>
    </row>
    <row r="870" spans="1:29" outlineLevel="1" x14ac:dyDescent="0.25">
      <c r="A870" s="210"/>
      <c r="B870" s="209"/>
      <c r="C870" s="209"/>
      <c r="D870" s="209" t="s">
        <v>54</v>
      </c>
      <c r="E870" s="211">
        <v>18145000</v>
      </c>
      <c r="F870" s="209"/>
      <c r="G870" s="209"/>
      <c r="H870" s="209"/>
      <c r="I870" s="209"/>
      <c r="J870" s="209"/>
      <c r="K870" s="209" t="s">
        <v>54</v>
      </c>
      <c r="L870" s="209" t="s">
        <v>54</v>
      </c>
      <c r="M870" s="209"/>
      <c r="N870" s="209"/>
      <c r="O870" s="209"/>
      <c r="P870" s="210"/>
      <c r="Q870" s="209"/>
      <c r="R870" s="212"/>
      <c r="S870" s="209"/>
      <c r="T870" s="209"/>
      <c r="U870" s="209" t="s">
        <v>54</v>
      </c>
      <c r="V870" s="209"/>
      <c r="W870" s="209"/>
      <c r="X870" s="209"/>
      <c r="Y870" s="209"/>
      <c r="Z870" s="209"/>
      <c r="AA870" s="209" t="s">
        <v>54</v>
      </c>
      <c r="AB870" s="212"/>
      <c r="AC870" s="212"/>
    </row>
    <row r="871" spans="1:29" outlineLevel="2" x14ac:dyDescent="0.25">
      <c r="A871" s="201">
        <v>46115</v>
      </c>
      <c r="D871" s="198" t="s">
        <v>54</v>
      </c>
      <c r="E871" s="202">
        <v>269107507.62</v>
      </c>
      <c r="K871" s="198" t="s">
        <v>1884</v>
      </c>
      <c r="L871" s="198" t="s">
        <v>137</v>
      </c>
      <c r="P871" s="201"/>
      <c r="R871" s="202">
        <v>269107507.62</v>
      </c>
      <c r="U871" s="198" t="s">
        <v>847</v>
      </c>
      <c r="AA871" s="198" t="s">
        <v>51</v>
      </c>
      <c r="AB871" s="202">
        <v>269107507.62</v>
      </c>
      <c r="AC871" s="202">
        <v>269107507.62</v>
      </c>
    </row>
    <row r="872" spans="1:29" outlineLevel="1" x14ac:dyDescent="0.25">
      <c r="A872" s="210"/>
      <c r="B872" s="209"/>
      <c r="C872" s="209"/>
      <c r="D872" s="209" t="s">
        <v>54</v>
      </c>
      <c r="E872" s="211">
        <v>269107507.62</v>
      </c>
      <c r="F872" s="209"/>
      <c r="G872" s="209"/>
      <c r="H872" s="209"/>
      <c r="I872" s="209"/>
      <c r="J872" s="209"/>
      <c r="K872" s="209" t="s">
        <v>54</v>
      </c>
      <c r="L872" s="209" t="s">
        <v>54</v>
      </c>
      <c r="M872" s="209"/>
      <c r="N872" s="209"/>
      <c r="O872" s="209"/>
      <c r="P872" s="210"/>
      <c r="Q872" s="209"/>
      <c r="R872" s="212"/>
      <c r="S872" s="209"/>
      <c r="T872" s="209"/>
      <c r="U872" s="209" t="s">
        <v>54</v>
      </c>
      <c r="V872" s="209"/>
      <c r="W872" s="209"/>
      <c r="X872" s="209"/>
      <c r="Y872" s="209"/>
      <c r="Z872" s="209"/>
      <c r="AA872" s="209" t="s">
        <v>54</v>
      </c>
      <c r="AB872" s="212"/>
      <c r="AC872" s="212"/>
    </row>
    <row r="873" spans="1:29" outlineLevel="2" x14ac:dyDescent="0.25">
      <c r="A873" s="201">
        <v>46018</v>
      </c>
      <c r="D873" s="198" t="s">
        <v>54</v>
      </c>
      <c r="E873" s="202">
        <v>14450000</v>
      </c>
      <c r="K873" s="198" t="s">
        <v>997</v>
      </c>
      <c r="L873" s="198" t="s">
        <v>143</v>
      </c>
      <c r="P873" s="201"/>
      <c r="R873" s="202">
        <v>14450000</v>
      </c>
      <c r="U873" s="198" t="s">
        <v>143</v>
      </c>
      <c r="AA873" s="198" t="s">
        <v>51</v>
      </c>
      <c r="AB873" s="202">
        <v>14450000</v>
      </c>
      <c r="AC873" s="202">
        <v>14450000</v>
      </c>
    </row>
    <row r="874" spans="1:29" outlineLevel="2" x14ac:dyDescent="0.25">
      <c r="A874" s="201">
        <v>46018</v>
      </c>
      <c r="D874" s="198" t="s">
        <v>54</v>
      </c>
      <c r="E874" s="202">
        <v>1100000</v>
      </c>
      <c r="K874" s="198" t="s">
        <v>997</v>
      </c>
      <c r="L874" s="198" t="s">
        <v>143</v>
      </c>
      <c r="P874" s="201"/>
      <c r="R874" s="202">
        <v>1100000</v>
      </c>
      <c r="U874" s="198" t="s">
        <v>143</v>
      </c>
      <c r="AA874" s="198" t="s">
        <v>51</v>
      </c>
      <c r="AB874" s="202">
        <v>1100000</v>
      </c>
      <c r="AC874" s="202">
        <v>1100000</v>
      </c>
    </row>
    <row r="875" spans="1:29" outlineLevel="2" x14ac:dyDescent="0.25">
      <c r="A875" s="201">
        <v>46021</v>
      </c>
      <c r="D875" s="198" t="s">
        <v>54</v>
      </c>
      <c r="E875" s="202">
        <v>190000</v>
      </c>
      <c r="K875" s="198" t="s">
        <v>997</v>
      </c>
      <c r="L875" s="198" t="s">
        <v>143</v>
      </c>
      <c r="P875" s="201"/>
      <c r="R875" s="202">
        <v>190000</v>
      </c>
      <c r="U875" s="198" t="s">
        <v>143</v>
      </c>
      <c r="AA875" s="198" t="s">
        <v>51</v>
      </c>
      <c r="AB875" s="202">
        <v>190000</v>
      </c>
      <c r="AC875" s="202">
        <v>190000</v>
      </c>
    </row>
    <row r="876" spans="1:29" outlineLevel="2" x14ac:dyDescent="0.25">
      <c r="A876" s="201">
        <v>46022</v>
      </c>
      <c r="D876" s="198" t="s">
        <v>54</v>
      </c>
      <c r="E876" s="202">
        <v>209000</v>
      </c>
      <c r="K876" s="198" t="s">
        <v>997</v>
      </c>
      <c r="L876" s="198" t="s">
        <v>143</v>
      </c>
      <c r="P876" s="201"/>
      <c r="R876" s="202">
        <v>209000</v>
      </c>
      <c r="U876" s="198" t="s">
        <v>143</v>
      </c>
      <c r="AA876" s="198" t="s">
        <v>51</v>
      </c>
      <c r="AB876" s="202">
        <v>209000</v>
      </c>
      <c r="AC876" s="202">
        <v>209000</v>
      </c>
    </row>
    <row r="877" spans="1:29" outlineLevel="2" x14ac:dyDescent="0.25">
      <c r="A877" s="201">
        <v>46023</v>
      </c>
      <c r="D877" s="198" t="s">
        <v>54</v>
      </c>
      <c r="E877" s="202">
        <v>190000</v>
      </c>
      <c r="K877" s="198" t="s">
        <v>997</v>
      </c>
      <c r="L877" s="198" t="s">
        <v>143</v>
      </c>
      <c r="P877" s="201"/>
      <c r="R877" s="202">
        <v>190000</v>
      </c>
      <c r="U877" s="198" t="s">
        <v>143</v>
      </c>
      <c r="AA877" s="198" t="s">
        <v>51</v>
      </c>
      <c r="AB877" s="202">
        <v>190000</v>
      </c>
      <c r="AC877" s="202">
        <v>190000</v>
      </c>
    </row>
    <row r="878" spans="1:29" outlineLevel="2" x14ac:dyDescent="0.25">
      <c r="A878" s="201">
        <v>46024</v>
      </c>
      <c r="D878" s="198" t="s">
        <v>54</v>
      </c>
      <c r="E878" s="202">
        <v>14500</v>
      </c>
      <c r="K878" s="198" t="s">
        <v>997</v>
      </c>
      <c r="L878" s="198" t="s">
        <v>143</v>
      </c>
      <c r="P878" s="201"/>
      <c r="R878" s="202">
        <v>14500</v>
      </c>
      <c r="U878" s="198" t="s">
        <v>143</v>
      </c>
      <c r="AA878" s="198" t="s">
        <v>51</v>
      </c>
      <c r="AB878" s="202">
        <v>14500</v>
      </c>
      <c r="AC878" s="202">
        <v>14500</v>
      </c>
    </row>
    <row r="879" spans="1:29" outlineLevel="2" x14ac:dyDescent="0.25">
      <c r="A879" s="201">
        <v>46027</v>
      </c>
      <c r="D879" s="198" t="s">
        <v>54</v>
      </c>
      <c r="E879" s="202">
        <v>5000</v>
      </c>
      <c r="K879" s="198" t="s">
        <v>997</v>
      </c>
      <c r="L879" s="198" t="s">
        <v>143</v>
      </c>
      <c r="P879" s="201"/>
      <c r="R879" s="202">
        <v>5000</v>
      </c>
      <c r="U879" s="198" t="s">
        <v>143</v>
      </c>
      <c r="AA879" s="198" t="s">
        <v>51</v>
      </c>
      <c r="AB879" s="202">
        <v>5000</v>
      </c>
      <c r="AC879" s="202">
        <v>5000</v>
      </c>
    </row>
    <row r="880" spans="1:29" outlineLevel="2" x14ac:dyDescent="0.25">
      <c r="A880" s="201">
        <v>46031</v>
      </c>
      <c r="D880" s="198" t="s">
        <v>54</v>
      </c>
      <c r="E880" s="202">
        <v>2940001</v>
      </c>
      <c r="K880" s="198" t="s">
        <v>997</v>
      </c>
      <c r="L880" s="198" t="s">
        <v>143</v>
      </c>
      <c r="P880" s="201"/>
      <c r="R880" s="202">
        <v>2940001</v>
      </c>
      <c r="U880" s="198" t="s">
        <v>143</v>
      </c>
      <c r="AA880" s="198" t="s">
        <v>51</v>
      </c>
      <c r="AB880" s="202">
        <v>2940001</v>
      </c>
      <c r="AC880" s="202">
        <v>2940001</v>
      </c>
    </row>
    <row r="881" spans="1:29" outlineLevel="2" x14ac:dyDescent="0.25">
      <c r="A881" s="201">
        <v>46031</v>
      </c>
      <c r="D881" s="198" t="s">
        <v>54</v>
      </c>
      <c r="E881" s="202">
        <v>2124000</v>
      </c>
      <c r="K881" s="198" t="s">
        <v>997</v>
      </c>
      <c r="L881" s="198" t="s">
        <v>143</v>
      </c>
      <c r="P881" s="201"/>
      <c r="R881" s="202">
        <v>2124000</v>
      </c>
      <c r="U881" s="198" t="s">
        <v>143</v>
      </c>
      <c r="AA881" s="198" t="s">
        <v>51</v>
      </c>
      <c r="AB881" s="202">
        <v>2124000</v>
      </c>
      <c r="AC881" s="202">
        <v>2124000</v>
      </c>
    </row>
    <row r="882" spans="1:29" outlineLevel="2" x14ac:dyDescent="0.25">
      <c r="A882" s="201">
        <v>46043</v>
      </c>
      <c r="D882" s="198" t="s">
        <v>54</v>
      </c>
      <c r="E882" s="202">
        <v>300000</v>
      </c>
      <c r="K882" s="198" t="s">
        <v>997</v>
      </c>
      <c r="L882" s="198" t="s">
        <v>143</v>
      </c>
      <c r="P882" s="201"/>
      <c r="R882" s="202">
        <v>300000</v>
      </c>
      <c r="U882" s="198" t="s">
        <v>143</v>
      </c>
      <c r="AA882" s="198" t="s">
        <v>51</v>
      </c>
      <c r="AB882" s="202">
        <v>300000</v>
      </c>
      <c r="AC882" s="202">
        <v>300000</v>
      </c>
    </row>
    <row r="883" spans="1:29" outlineLevel="2" x14ac:dyDescent="0.25">
      <c r="A883" s="201">
        <v>46045</v>
      </c>
      <c r="D883" s="198" t="s">
        <v>54</v>
      </c>
      <c r="E883" s="202">
        <v>100000</v>
      </c>
      <c r="K883" s="198" t="s">
        <v>997</v>
      </c>
      <c r="L883" s="198" t="s">
        <v>143</v>
      </c>
      <c r="P883" s="201"/>
      <c r="R883" s="202">
        <v>100000</v>
      </c>
      <c r="U883" s="198" t="s">
        <v>143</v>
      </c>
      <c r="AA883" s="198" t="s">
        <v>51</v>
      </c>
      <c r="AB883" s="202">
        <v>100000</v>
      </c>
      <c r="AC883" s="202">
        <v>100000</v>
      </c>
    </row>
    <row r="884" spans="1:29" outlineLevel="2" x14ac:dyDescent="0.25">
      <c r="A884" s="201">
        <v>46056</v>
      </c>
      <c r="D884" s="198" t="s">
        <v>54</v>
      </c>
      <c r="E884" s="202">
        <v>306320</v>
      </c>
      <c r="K884" s="198" t="s">
        <v>997</v>
      </c>
      <c r="L884" s="198" t="s">
        <v>143</v>
      </c>
      <c r="P884" s="201"/>
      <c r="R884" s="202">
        <v>306320</v>
      </c>
      <c r="U884" s="198" t="s">
        <v>143</v>
      </c>
      <c r="AA884" s="198" t="s">
        <v>51</v>
      </c>
      <c r="AB884" s="202">
        <v>306320</v>
      </c>
      <c r="AC884" s="202">
        <v>306320</v>
      </c>
    </row>
    <row r="885" spans="1:29" outlineLevel="2" x14ac:dyDescent="0.25">
      <c r="A885" s="201">
        <v>46058</v>
      </c>
      <c r="D885" s="198" t="s">
        <v>54</v>
      </c>
      <c r="E885" s="202">
        <v>1140000</v>
      </c>
      <c r="K885" s="198" t="s">
        <v>997</v>
      </c>
      <c r="L885" s="198" t="s">
        <v>143</v>
      </c>
      <c r="P885" s="201"/>
      <c r="R885" s="202">
        <v>1140000</v>
      </c>
      <c r="U885" s="198" t="s">
        <v>143</v>
      </c>
      <c r="AA885" s="198" t="s">
        <v>51</v>
      </c>
      <c r="AB885" s="202">
        <v>1140000</v>
      </c>
      <c r="AC885" s="202">
        <v>1140000</v>
      </c>
    </row>
    <row r="886" spans="1:29" outlineLevel="2" x14ac:dyDescent="0.25">
      <c r="A886" s="201">
        <v>46058</v>
      </c>
      <c r="D886" s="198" t="s">
        <v>54</v>
      </c>
      <c r="E886" s="202">
        <v>981120</v>
      </c>
      <c r="K886" s="198" t="s">
        <v>997</v>
      </c>
      <c r="L886" s="198" t="s">
        <v>143</v>
      </c>
      <c r="P886" s="201"/>
      <c r="R886" s="202">
        <v>981120</v>
      </c>
      <c r="U886" s="198" t="s">
        <v>143</v>
      </c>
      <c r="AA886" s="198" t="s">
        <v>51</v>
      </c>
      <c r="AB886" s="202">
        <v>981120</v>
      </c>
      <c r="AC886" s="202">
        <v>981120</v>
      </c>
    </row>
    <row r="887" spans="1:29" outlineLevel="2" x14ac:dyDescent="0.25">
      <c r="A887" s="201">
        <v>46058</v>
      </c>
      <c r="D887" s="198" t="s">
        <v>54</v>
      </c>
      <c r="E887" s="202">
        <v>760008</v>
      </c>
      <c r="K887" s="198" t="s">
        <v>997</v>
      </c>
      <c r="L887" s="198" t="s">
        <v>143</v>
      </c>
      <c r="P887" s="201"/>
      <c r="R887" s="202">
        <v>760008</v>
      </c>
      <c r="U887" s="198" t="s">
        <v>143</v>
      </c>
      <c r="AA887" s="198" t="s">
        <v>51</v>
      </c>
      <c r="AB887" s="202">
        <v>760008</v>
      </c>
      <c r="AC887" s="202">
        <v>760008</v>
      </c>
    </row>
    <row r="888" spans="1:29" outlineLevel="2" x14ac:dyDescent="0.25">
      <c r="A888" s="201">
        <v>46059</v>
      </c>
      <c r="D888" s="198" t="s">
        <v>54</v>
      </c>
      <c r="E888" s="202">
        <v>964000</v>
      </c>
      <c r="K888" s="198" t="s">
        <v>997</v>
      </c>
      <c r="L888" s="198" t="s">
        <v>143</v>
      </c>
      <c r="P888" s="201"/>
      <c r="R888" s="202">
        <v>964000</v>
      </c>
      <c r="U888" s="198" t="s">
        <v>143</v>
      </c>
      <c r="AA888" s="198" t="s">
        <v>51</v>
      </c>
      <c r="AB888" s="202">
        <v>964000</v>
      </c>
      <c r="AC888" s="202">
        <v>964000</v>
      </c>
    </row>
    <row r="889" spans="1:29" outlineLevel="2" x14ac:dyDescent="0.25">
      <c r="A889" s="201">
        <v>46060</v>
      </c>
      <c r="D889" s="198" t="s">
        <v>54</v>
      </c>
      <c r="E889" s="202">
        <v>8818300</v>
      </c>
      <c r="K889" s="198" t="s">
        <v>997</v>
      </c>
      <c r="L889" s="198" t="s">
        <v>143</v>
      </c>
      <c r="P889" s="201"/>
      <c r="R889" s="202">
        <v>8818300</v>
      </c>
      <c r="U889" s="198" t="s">
        <v>143</v>
      </c>
      <c r="AA889" s="198" t="s">
        <v>51</v>
      </c>
      <c r="AB889" s="202">
        <v>8818300</v>
      </c>
      <c r="AC889" s="202">
        <v>8818300</v>
      </c>
    </row>
    <row r="890" spans="1:29" outlineLevel="2" x14ac:dyDescent="0.25">
      <c r="A890" s="201">
        <v>46060</v>
      </c>
      <c r="D890" s="198" t="s">
        <v>54</v>
      </c>
      <c r="E890" s="202">
        <v>374220</v>
      </c>
      <c r="K890" s="198" t="s">
        <v>997</v>
      </c>
      <c r="L890" s="198" t="s">
        <v>143</v>
      </c>
      <c r="P890" s="201"/>
      <c r="R890" s="202">
        <v>374220</v>
      </c>
      <c r="U890" s="198" t="s">
        <v>143</v>
      </c>
      <c r="AA890" s="198" t="s">
        <v>51</v>
      </c>
      <c r="AB890" s="202">
        <v>374220</v>
      </c>
      <c r="AC890" s="202">
        <v>374220</v>
      </c>
    </row>
    <row r="891" spans="1:29" outlineLevel="2" x14ac:dyDescent="0.25">
      <c r="A891" s="201">
        <v>46064</v>
      </c>
      <c r="D891" s="198" t="s">
        <v>54</v>
      </c>
      <c r="E891" s="202">
        <v>1125000</v>
      </c>
      <c r="K891" s="198" t="s">
        <v>997</v>
      </c>
      <c r="L891" s="198" t="s">
        <v>143</v>
      </c>
      <c r="P891" s="201"/>
      <c r="R891" s="202">
        <v>1125000</v>
      </c>
      <c r="U891" s="198" t="s">
        <v>143</v>
      </c>
      <c r="AA891" s="198" t="s">
        <v>51</v>
      </c>
      <c r="AB891" s="202">
        <v>1125000</v>
      </c>
      <c r="AC891" s="202">
        <v>1125000</v>
      </c>
    </row>
    <row r="892" spans="1:29" outlineLevel="2" x14ac:dyDescent="0.25">
      <c r="A892" s="201">
        <v>46064</v>
      </c>
      <c r="D892" s="198" t="s">
        <v>54</v>
      </c>
      <c r="E892" s="202">
        <v>-1125000</v>
      </c>
      <c r="K892" s="198" t="s">
        <v>997</v>
      </c>
      <c r="L892" s="198" t="s">
        <v>143</v>
      </c>
      <c r="P892" s="201"/>
      <c r="R892" s="202">
        <v>-1125000</v>
      </c>
      <c r="U892" s="198" t="s">
        <v>143</v>
      </c>
      <c r="AA892" s="198" t="s">
        <v>51</v>
      </c>
      <c r="AB892" s="202">
        <v>-1125000</v>
      </c>
      <c r="AC892" s="202">
        <v>-1125000</v>
      </c>
    </row>
    <row r="893" spans="1:29" outlineLevel="2" x14ac:dyDescent="0.25">
      <c r="A893" s="201">
        <v>46064</v>
      </c>
      <c r="D893" s="198" t="s">
        <v>54</v>
      </c>
      <c r="E893" s="202">
        <v>375000</v>
      </c>
      <c r="K893" s="198" t="s">
        <v>997</v>
      </c>
      <c r="L893" s="198" t="s">
        <v>143</v>
      </c>
      <c r="P893" s="201"/>
      <c r="R893" s="202">
        <v>375000</v>
      </c>
      <c r="U893" s="198" t="s">
        <v>143</v>
      </c>
      <c r="AA893" s="198" t="s">
        <v>51</v>
      </c>
      <c r="AB893" s="202">
        <v>375000</v>
      </c>
      <c r="AC893" s="202">
        <v>375000</v>
      </c>
    </row>
    <row r="894" spans="1:29" outlineLevel="2" x14ac:dyDescent="0.25">
      <c r="A894" s="201">
        <v>46064</v>
      </c>
      <c r="D894" s="198" t="s">
        <v>54</v>
      </c>
      <c r="E894" s="202">
        <v>-375000</v>
      </c>
      <c r="K894" s="198" t="s">
        <v>997</v>
      </c>
      <c r="L894" s="198" t="s">
        <v>143</v>
      </c>
      <c r="P894" s="201"/>
      <c r="R894" s="202">
        <v>-375000</v>
      </c>
      <c r="U894" s="198" t="s">
        <v>143</v>
      </c>
      <c r="AA894" s="198" t="s">
        <v>51</v>
      </c>
      <c r="AB894" s="202">
        <v>-375000</v>
      </c>
      <c r="AC894" s="202">
        <v>-375000</v>
      </c>
    </row>
    <row r="895" spans="1:29" outlineLevel="2" x14ac:dyDescent="0.25">
      <c r="A895" s="201">
        <v>46066</v>
      </c>
      <c r="D895" s="198" t="s">
        <v>54</v>
      </c>
      <c r="E895" s="202">
        <v>2991525424</v>
      </c>
      <c r="K895" s="198" t="s">
        <v>997</v>
      </c>
      <c r="L895" s="198" t="s">
        <v>143</v>
      </c>
      <c r="P895" s="201"/>
      <c r="R895" s="202">
        <v>2991525424</v>
      </c>
      <c r="U895" s="198" t="s">
        <v>143</v>
      </c>
      <c r="AA895" s="198" t="s">
        <v>51</v>
      </c>
      <c r="AB895" s="202">
        <v>2991525424</v>
      </c>
      <c r="AC895" s="202">
        <v>2991525424</v>
      </c>
    </row>
    <row r="896" spans="1:29" outlineLevel="2" x14ac:dyDescent="0.25">
      <c r="A896" s="201">
        <v>46067</v>
      </c>
      <c r="D896" s="198" t="s">
        <v>54</v>
      </c>
      <c r="E896" s="202">
        <v>227220</v>
      </c>
      <c r="K896" s="198" t="s">
        <v>997</v>
      </c>
      <c r="L896" s="198" t="s">
        <v>143</v>
      </c>
      <c r="P896" s="201"/>
      <c r="R896" s="202">
        <v>227220</v>
      </c>
      <c r="U896" s="198" t="s">
        <v>143</v>
      </c>
      <c r="AA896" s="198" t="s">
        <v>51</v>
      </c>
      <c r="AB896" s="202">
        <v>227220</v>
      </c>
      <c r="AC896" s="202">
        <v>227220</v>
      </c>
    </row>
    <row r="897" spans="1:29" outlineLevel="2" x14ac:dyDescent="0.25">
      <c r="A897" s="201">
        <v>46067</v>
      </c>
      <c r="D897" s="198" t="s">
        <v>54</v>
      </c>
      <c r="E897" s="202">
        <v>-227220</v>
      </c>
      <c r="K897" s="198" t="s">
        <v>997</v>
      </c>
      <c r="L897" s="198" t="s">
        <v>143</v>
      </c>
      <c r="P897" s="201"/>
      <c r="R897" s="202">
        <v>-227220</v>
      </c>
      <c r="U897" s="198" t="s">
        <v>143</v>
      </c>
      <c r="AA897" s="198" t="s">
        <v>51</v>
      </c>
      <c r="AB897" s="202">
        <v>-227220</v>
      </c>
      <c r="AC897" s="202">
        <v>-227220</v>
      </c>
    </row>
    <row r="898" spans="1:29" outlineLevel="2" x14ac:dyDescent="0.25">
      <c r="A898" s="201">
        <v>46067</v>
      </c>
      <c r="D898" s="198" t="s">
        <v>54</v>
      </c>
      <c r="E898" s="202">
        <v>300000</v>
      </c>
      <c r="K898" s="198" t="s">
        <v>997</v>
      </c>
      <c r="L898" s="198" t="s">
        <v>143</v>
      </c>
      <c r="P898" s="201"/>
      <c r="R898" s="202">
        <v>300000</v>
      </c>
      <c r="U898" s="198" t="s">
        <v>143</v>
      </c>
      <c r="AA898" s="198" t="s">
        <v>51</v>
      </c>
      <c r="AB898" s="202">
        <v>300000</v>
      </c>
      <c r="AC898" s="202">
        <v>300000</v>
      </c>
    </row>
    <row r="899" spans="1:29" outlineLevel="2" x14ac:dyDescent="0.25">
      <c r="A899" s="201">
        <v>46069</v>
      </c>
      <c r="D899" s="198" t="s">
        <v>54</v>
      </c>
      <c r="E899" s="202">
        <v>23441.599999999999</v>
      </c>
      <c r="K899" s="198" t="s">
        <v>997</v>
      </c>
      <c r="L899" s="198" t="s">
        <v>143</v>
      </c>
      <c r="P899" s="201"/>
      <c r="R899" s="202">
        <v>23441.599999999999</v>
      </c>
      <c r="U899" s="198" t="s">
        <v>143</v>
      </c>
      <c r="AA899" s="198" t="s">
        <v>51</v>
      </c>
      <c r="AB899" s="202">
        <v>23441.599999999999</v>
      </c>
      <c r="AC899" s="202">
        <v>23441.599999999999</v>
      </c>
    </row>
    <row r="900" spans="1:29" outlineLevel="2" x14ac:dyDescent="0.25">
      <c r="A900" s="201">
        <v>46070</v>
      </c>
      <c r="D900" s="198" t="s">
        <v>54</v>
      </c>
      <c r="E900" s="202">
        <v>32137.599999999999</v>
      </c>
      <c r="K900" s="198" t="s">
        <v>997</v>
      </c>
      <c r="L900" s="198" t="s">
        <v>143</v>
      </c>
      <c r="P900" s="201"/>
      <c r="R900" s="202">
        <v>32137.599999999999</v>
      </c>
      <c r="U900" s="198" t="s">
        <v>143</v>
      </c>
      <c r="AA900" s="198" t="s">
        <v>51</v>
      </c>
      <c r="AB900" s="202">
        <v>32137.599999999999</v>
      </c>
      <c r="AC900" s="202">
        <v>32137.599999999999</v>
      </c>
    </row>
    <row r="901" spans="1:29" outlineLevel="2" x14ac:dyDescent="0.25">
      <c r="A901" s="201">
        <v>46073</v>
      </c>
      <c r="D901" s="198" t="s">
        <v>54</v>
      </c>
      <c r="E901" s="202">
        <v>300000</v>
      </c>
      <c r="K901" s="198" t="s">
        <v>997</v>
      </c>
      <c r="L901" s="198" t="s">
        <v>143</v>
      </c>
      <c r="P901" s="201"/>
      <c r="R901" s="202">
        <v>300000</v>
      </c>
      <c r="U901" s="198" t="s">
        <v>143</v>
      </c>
      <c r="AA901" s="198" t="s">
        <v>51</v>
      </c>
      <c r="AB901" s="202">
        <v>300000</v>
      </c>
      <c r="AC901" s="202">
        <v>300000</v>
      </c>
    </row>
    <row r="902" spans="1:29" outlineLevel="2" x14ac:dyDescent="0.25">
      <c r="A902" s="201">
        <v>46078</v>
      </c>
      <c r="D902" s="198" t="s">
        <v>54</v>
      </c>
      <c r="E902" s="202">
        <v>1305290.3999999999</v>
      </c>
      <c r="K902" s="198" t="s">
        <v>997</v>
      </c>
      <c r="L902" s="198" t="s">
        <v>143</v>
      </c>
      <c r="P902" s="201"/>
      <c r="R902" s="202">
        <v>1305290.3999999999</v>
      </c>
      <c r="U902" s="198" t="s">
        <v>143</v>
      </c>
      <c r="AA902" s="198" t="s">
        <v>51</v>
      </c>
      <c r="AB902" s="202">
        <v>1305290.3999999999</v>
      </c>
      <c r="AC902" s="202">
        <v>1305290.3999999999</v>
      </c>
    </row>
    <row r="903" spans="1:29" outlineLevel="2" x14ac:dyDescent="0.25">
      <c r="A903" s="201">
        <v>46081</v>
      </c>
      <c r="D903" s="198" t="s">
        <v>54</v>
      </c>
      <c r="E903" s="202">
        <v>50559820</v>
      </c>
      <c r="K903" s="198" t="s">
        <v>997</v>
      </c>
      <c r="L903" s="198" t="s">
        <v>143</v>
      </c>
      <c r="P903" s="201"/>
      <c r="R903" s="202">
        <v>50559820</v>
      </c>
      <c r="U903" s="198" t="s">
        <v>143</v>
      </c>
      <c r="AA903" s="198" t="s">
        <v>51</v>
      </c>
      <c r="AB903" s="202">
        <v>50559820</v>
      </c>
      <c r="AC903" s="202">
        <v>50559820</v>
      </c>
    </row>
    <row r="904" spans="1:29" outlineLevel="2" x14ac:dyDescent="0.25">
      <c r="A904" s="201">
        <v>46098</v>
      </c>
      <c r="D904" s="198" t="s">
        <v>54</v>
      </c>
      <c r="E904" s="202">
        <v>1045984</v>
      </c>
      <c r="K904" s="198" t="s">
        <v>997</v>
      </c>
      <c r="L904" s="198" t="s">
        <v>143</v>
      </c>
      <c r="P904" s="201"/>
      <c r="R904" s="202">
        <v>1045984</v>
      </c>
      <c r="U904" s="198" t="s">
        <v>143</v>
      </c>
      <c r="AA904" s="198" t="s">
        <v>51</v>
      </c>
      <c r="AB904" s="202">
        <v>1045984</v>
      </c>
      <c r="AC904" s="202">
        <v>1045984</v>
      </c>
    </row>
    <row r="905" spans="1:29" outlineLevel="2" x14ac:dyDescent="0.25">
      <c r="A905" s="201">
        <v>46104</v>
      </c>
      <c r="D905" s="198" t="s">
        <v>54</v>
      </c>
      <c r="E905" s="202">
        <v>1900000000</v>
      </c>
      <c r="K905" s="198" t="s">
        <v>997</v>
      </c>
      <c r="L905" s="198" t="s">
        <v>143</v>
      </c>
      <c r="P905" s="201"/>
      <c r="R905" s="202">
        <v>1900000000</v>
      </c>
      <c r="U905" s="198" t="s">
        <v>143</v>
      </c>
      <c r="AA905" s="198" t="s">
        <v>51</v>
      </c>
      <c r="AB905" s="202">
        <v>1900000000</v>
      </c>
      <c r="AC905" s="202">
        <v>1900000000</v>
      </c>
    </row>
    <row r="906" spans="1:29" outlineLevel="2" x14ac:dyDescent="0.25">
      <c r="A906" s="201">
        <v>46104</v>
      </c>
      <c r="D906" s="198" t="s">
        <v>54</v>
      </c>
      <c r="E906" s="202">
        <v>150000000</v>
      </c>
      <c r="K906" s="198" t="s">
        <v>997</v>
      </c>
      <c r="L906" s="198" t="s">
        <v>143</v>
      </c>
      <c r="P906" s="201"/>
      <c r="R906" s="202">
        <v>150000000</v>
      </c>
      <c r="U906" s="198" t="s">
        <v>143</v>
      </c>
      <c r="AA906" s="198" t="s">
        <v>51</v>
      </c>
      <c r="AB906" s="202">
        <v>150000000</v>
      </c>
      <c r="AC906" s="202">
        <v>150000000</v>
      </c>
    </row>
    <row r="907" spans="1:29" outlineLevel="2" x14ac:dyDescent="0.25">
      <c r="A907" s="201">
        <v>46108</v>
      </c>
      <c r="D907" s="198" t="s">
        <v>54</v>
      </c>
      <c r="E907" s="202">
        <v>24091.4</v>
      </c>
      <c r="K907" s="198" t="s">
        <v>997</v>
      </c>
      <c r="L907" s="198" t="s">
        <v>143</v>
      </c>
      <c r="P907" s="201"/>
      <c r="R907" s="202">
        <v>24091.4</v>
      </c>
      <c r="U907" s="198" t="s">
        <v>143</v>
      </c>
      <c r="AA907" s="198" t="s">
        <v>51</v>
      </c>
      <c r="AB907" s="202">
        <v>24091.4</v>
      </c>
      <c r="AC907" s="202">
        <v>24091.4</v>
      </c>
    </row>
    <row r="908" spans="1:29" outlineLevel="2" x14ac:dyDescent="0.25">
      <c r="A908" s="201">
        <v>46111</v>
      </c>
      <c r="D908" s="198" t="s">
        <v>54</v>
      </c>
      <c r="E908" s="202">
        <v>41152</v>
      </c>
      <c r="K908" s="198" t="s">
        <v>997</v>
      </c>
      <c r="L908" s="198" t="s">
        <v>143</v>
      </c>
      <c r="P908" s="201"/>
      <c r="R908" s="202">
        <v>41152</v>
      </c>
      <c r="U908" s="198" t="s">
        <v>143</v>
      </c>
      <c r="AA908" s="198" t="s">
        <v>51</v>
      </c>
      <c r="AB908" s="202">
        <v>41152</v>
      </c>
      <c r="AC908" s="202">
        <v>41152</v>
      </c>
    </row>
    <row r="909" spans="1:29" outlineLevel="2" x14ac:dyDescent="0.25">
      <c r="A909" s="201">
        <v>46112</v>
      </c>
      <c r="D909" s="198" t="s">
        <v>54</v>
      </c>
      <c r="E909" s="202">
        <v>2940050</v>
      </c>
      <c r="K909" s="198" t="s">
        <v>997</v>
      </c>
      <c r="L909" s="198" t="s">
        <v>143</v>
      </c>
      <c r="P909" s="201"/>
      <c r="R909" s="202">
        <v>2940050</v>
      </c>
      <c r="U909" s="198" t="s">
        <v>143</v>
      </c>
      <c r="AA909" s="198" t="s">
        <v>51</v>
      </c>
      <c r="AB909" s="202">
        <v>2940050</v>
      </c>
      <c r="AC909" s="202">
        <v>2940050</v>
      </c>
    </row>
    <row r="910" spans="1:29" outlineLevel="2" x14ac:dyDescent="0.25">
      <c r="A910" s="201">
        <v>46115</v>
      </c>
      <c r="D910" s="198" t="s">
        <v>54</v>
      </c>
      <c r="E910" s="202">
        <v>3235429.36</v>
      </c>
      <c r="K910" s="198" t="s">
        <v>997</v>
      </c>
      <c r="L910" s="198" t="s">
        <v>143</v>
      </c>
      <c r="P910" s="201"/>
      <c r="R910" s="202">
        <v>3235429.36</v>
      </c>
      <c r="U910" s="198" t="s">
        <v>143</v>
      </c>
      <c r="AA910" s="198" t="s">
        <v>51</v>
      </c>
      <c r="AB910" s="202">
        <v>3235429.36</v>
      </c>
      <c r="AC910" s="202">
        <v>3235429.36</v>
      </c>
    </row>
    <row r="911" spans="1:29" outlineLevel="2" x14ac:dyDescent="0.25">
      <c r="A911" s="201">
        <v>46116</v>
      </c>
      <c r="D911" s="198" t="s">
        <v>54</v>
      </c>
      <c r="E911" s="202">
        <v>316000</v>
      </c>
      <c r="K911" s="198" t="s">
        <v>997</v>
      </c>
      <c r="L911" s="198" t="s">
        <v>143</v>
      </c>
      <c r="P911" s="201"/>
      <c r="R911" s="202">
        <v>316000</v>
      </c>
      <c r="U911" s="198" t="s">
        <v>143</v>
      </c>
      <c r="AA911" s="198" t="s">
        <v>51</v>
      </c>
      <c r="AB911" s="202">
        <v>316000</v>
      </c>
      <c r="AC911" s="202">
        <v>316000</v>
      </c>
    </row>
    <row r="912" spans="1:29" outlineLevel="2" x14ac:dyDescent="0.25">
      <c r="A912" s="201">
        <v>46117</v>
      </c>
      <c r="D912" s="198" t="s">
        <v>54</v>
      </c>
      <c r="E912" s="202">
        <v>173830.63</v>
      </c>
      <c r="K912" s="198" t="s">
        <v>997</v>
      </c>
      <c r="L912" s="198" t="s">
        <v>143</v>
      </c>
      <c r="P912" s="201"/>
      <c r="R912" s="202">
        <v>173830.63</v>
      </c>
      <c r="U912" s="198" t="s">
        <v>143</v>
      </c>
      <c r="AA912" s="198" t="s">
        <v>51</v>
      </c>
      <c r="AB912" s="202">
        <v>173830.63</v>
      </c>
      <c r="AC912" s="202">
        <v>173830.63</v>
      </c>
    </row>
    <row r="913" spans="1:29" outlineLevel="2" x14ac:dyDescent="0.25">
      <c r="A913" s="201">
        <v>46117</v>
      </c>
      <c r="D913" s="198" t="s">
        <v>54</v>
      </c>
      <c r="E913" s="202">
        <v>55479.59</v>
      </c>
      <c r="K913" s="198" t="s">
        <v>997</v>
      </c>
      <c r="L913" s="198" t="s">
        <v>143</v>
      </c>
      <c r="P913" s="201"/>
      <c r="R913" s="202">
        <v>55479.59</v>
      </c>
      <c r="U913" s="198" t="s">
        <v>143</v>
      </c>
      <c r="AA913" s="198" t="s">
        <v>51</v>
      </c>
      <c r="AB913" s="202">
        <v>55479.59</v>
      </c>
      <c r="AC913" s="202">
        <v>55479.59</v>
      </c>
    </row>
    <row r="914" spans="1:29" outlineLevel="2" x14ac:dyDescent="0.25">
      <c r="A914" s="201">
        <v>46118</v>
      </c>
      <c r="D914" s="198" t="s">
        <v>54</v>
      </c>
      <c r="E914" s="202">
        <v>2561584</v>
      </c>
      <c r="K914" s="198" t="s">
        <v>997</v>
      </c>
      <c r="L914" s="198" t="s">
        <v>143</v>
      </c>
      <c r="P914" s="201"/>
      <c r="R914" s="202">
        <v>2561584</v>
      </c>
      <c r="U914" s="198" t="s">
        <v>143</v>
      </c>
      <c r="AA914" s="198" t="s">
        <v>51</v>
      </c>
      <c r="AB914" s="202">
        <v>2561584</v>
      </c>
      <c r="AC914" s="202">
        <v>2561584</v>
      </c>
    </row>
    <row r="915" spans="1:29" outlineLevel="2" x14ac:dyDescent="0.25">
      <c r="A915" s="201">
        <v>46122</v>
      </c>
      <c r="D915" s="198" t="s">
        <v>54</v>
      </c>
      <c r="E915" s="202">
        <v>311030</v>
      </c>
      <c r="K915" s="198" t="s">
        <v>997</v>
      </c>
      <c r="L915" s="198" t="s">
        <v>143</v>
      </c>
      <c r="P915" s="201"/>
      <c r="R915" s="202">
        <v>311030</v>
      </c>
      <c r="U915" s="198" t="s">
        <v>143</v>
      </c>
      <c r="AA915" s="198" t="s">
        <v>51</v>
      </c>
      <c r="AB915" s="202">
        <v>311030</v>
      </c>
      <c r="AC915" s="202">
        <v>311030</v>
      </c>
    </row>
    <row r="916" spans="1:29" outlineLevel="2" x14ac:dyDescent="0.25">
      <c r="A916" s="201">
        <v>46142</v>
      </c>
      <c r="D916" s="198" t="s">
        <v>54</v>
      </c>
      <c r="E916" s="202">
        <v>9001000</v>
      </c>
      <c r="K916" s="198" t="s">
        <v>997</v>
      </c>
      <c r="L916" s="198" t="s">
        <v>143</v>
      </c>
      <c r="P916" s="201"/>
      <c r="R916" s="202">
        <v>9001000</v>
      </c>
      <c r="U916" s="198" t="s">
        <v>143</v>
      </c>
      <c r="AA916" s="198" t="s">
        <v>51</v>
      </c>
      <c r="AB916" s="202">
        <v>9001000</v>
      </c>
      <c r="AC916" s="202">
        <v>9001000</v>
      </c>
    </row>
    <row r="917" spans="1:29" outlineLevel="2" x14ac:dyDescent="0.25">
      <c r="A917" s="201">
        <v>46146</v>
      </c>
      <c r="D917" s="198" t="s">
        <v>54</v>
      </c>
      <c r="E917" s="202">
        <v>7011000</v>
      </c>
      <c r="K917" s="198" t="s">
        <v>997</v>
      </c>
      <c r="L917" s="198" t="s">
        <v>143</v>
      </c>
      <c r="P917" s="201"/>
      <c r="R917" s="202">
        <v>7011000</v>
      </c>
      <c r="U917" s="198" t="s">
        <v>143</v>
      </c>
      <c r="AA917" s="198" t="s">
        <v>51</v>
      </c>
      <c r="AB917" s="202">
        <v>7011000</v>
      </c>
      <c r="AC917" s="202">
        <v>7011000</v>
      </c>
    </row>
    <row r="918" spans="1:29" outlineLevel="2" x14ac:dyDescent="0.25">
      <c r="A918" s="201">
        <v>46150</v>
      </c>
      <c r="D918" s="198" t="s">
        <v>54</v>
      </c>
      <c r="E918" s="202">
        <v>600</v>
      </c>
      <c r="K918" s="198" t="s">
        <v>997</v>
      </c>
      <c r="L918" s="198" t="s">
        <v>143</v>
      </c>
      <c r="P918" s="201"/>
      <c r="R918" s="202">
        <v>600</v>
      </c>
      <c r="U918" s="198" t="s">
        <v>143</v>
      </c>
      <c r="AA918" s="198" t="s">
        <v>51</v>
      </c>
      <c r="AB918" s="202">
        <v>600</v>
      </c>
      <c r="AC918" s="202">
        <v>600</v>
      </c>
    </row>
    <row r="919" spans="1:29" outlineLevel="2" x14ac:dyDescent="0.25">
      <c r="A919" s="201">
        <v>46150</v>
      </c>
      <c r="D919" s="198" t="s">
        <v>54</v>
      </c>
      <c r="E919" s="202">
        <v>49429</v>
      </c>
      <c r="K919" s="198" t="s">
        <v>997</v>
      </c>
      <c r="L919" s="198" t="s">
        <v>143</v>
      </c>
      <c r="P919" s="201"/>
      <c r="R919" s="202">
        <v>49429</v>
      </c>
      <c r="U919" s="198" t="s">
        <v>143</v>
      </c>
      <c r="AA919" s="198" t="s">
        <v>51</v>
      </c>
      <c r="AB919" s="202">
        <v>49429</v>
      </c>
      <c r="AC919" s="202">
        <v>49429</v>
      </c>
    </row>
    <row r="920" spans="1:29" outlineLevel="2" x14ac:dyDescent="0.25">
      <c r="A920" s="201">
        <v>46150</v>
      </c>
      <c r="D920" s="198" t="s">
        <v>54</v>
      </c>
      <c r="E920" s="202">
        <v>700</v>
      </c>
      <c r="K920" s="198" t="s">
        <v>997</v>
      </c>
      <c r="L920" s="198" t="s">
        <v>143</v>
      </c>
      <c r="P920" s="201"/>
      <c r="R920" s="202">
        <v>700</v>
      </c>
      <c r="U920" s="198" t="s">
        <v>143</v>
      </c>
      <c r="AA920" s="198" t="s">
        <v>51</v>
      </c>
      <c r="AB920" s="202">
        <v>700</v>
      </c>
      <c r="AC920" s="202">
        <v>700</v>
      </c>
    </row>
    <row r="921" spans="1:29" outlineLevel="2" x14ac:dyDescent="0.25">
      <c r="A921" s="201">
        <v>46150</v>
      </c>
      <c r="D921" s="198" t="s">
        <v>54</v>
      </c>
      <c r="E921" s="202">
        <v>49528.79</v>
      </c>
      <c r="K921" s="198" t="s">
        <v>997</v>
      </c>
      <c r="L921" s="198" t="s">
        <v>143</v>
      </c>
      <c r="P921" s="201"/>
      <c r="R921" s="202">
        <v>49528.79</v>
      </c>
      <c r="U921" s="198" t="s">
        <v>143</v>
      </c>
      <c r="AA921" s="198" t="s">
        <v>51</v>
      </c>
      <c r="AB921" s="202">
        <v>49528.79</v>
      </c>
      <c r="AC921" s="202">
        <v>49528.79</v>
      </c>
    </row>
    <row r="922" spans="1:29" outlineLevel="2" x14ac:dyDescent="0.25">
      <c r="A922" s="201">
        <v>46150</v>
      </c>
      <c r="D922" s="198" t="s">
        <v>54</v>
      </c>
      <c r="E922" s="202">
        <v>82147.850000000006</v>
      </c>
      <c r="K922" s="198" t="s">
        <v>997</v>
      </c>
      <c r="L922" s="198" t="s">
        <v>143</v>
      </c>
      <c r="P922" s="201"/>
      <c r="R922" s="202">
        <v>82147.850000000006</v>
      </c>
      <c r="U922" s="198" t="s">
        <v>143</v>
      </c>
      <c r="AA922" s="198" t="s">
        <v>51</v>
      </c>
      <c r="AB922" s="202">
        <v>82147.850000000006</v>
      </c>
      <c r="AC922" s="202">
        <v>82147.850000000006</v>
      </c>
    </row>
    <row r="923" spans="1:29" outlineLevel="2" x14ac:dyDescent="0.25">
      <c r="A923" s="201">
        <v>46174</v>
      </c>
      <c r="D923" s="198" t="s">
        <v>54</v>
      </c>
      <c r="E923" s="202">
        <v>17946171840</v>
      </c>
      <c r="K923" s="198" t="s">
        <v>997</v>
      </c>
      <c r="L923" s="198" t="s">
        <v>143</v>
      </c>
      <c r="P923" s="201"/>
      <c r="R923" s="202">
        <v>17946171840</v>
      </c>
      <c r="U923" s="198" t="s">
        <v>143</v>
      </c>
      <c r="AA923" s="198" t="s">
        <v>51</v>
      </c>
      <c r="AB923" s="202">
        <v>17946171840</v>
      </c>
      <c r="AC923" s="202">
        <v>17946171840</v>
      </c>
    </row>
    <row r="924" spans="1:29" outlineLevel="2" x14ac:dyDescent="0.25">
      <c r="A924" s="201">
        <v>46174</v>
      </c>
      <c r="D924" s="198" t="s">
        <v>54</v>
      </c>
      <c r="E924" s="202">
        <v>1254575958</v>
      </c>
      <c r="K924" s="198" t="s">
        <v>997</v>
      </c>
      <c r="L924" s="198" t="s">
        <v>143</v>
      </c>
      <c r="P924" s="201"/>
      <c r="R924" s="202">
        <v>1254575958</v>
      </c>
      <c r="U924" s="198" t="s">
        <v>143</v>
      </c>
      <c r="AA924" s="198" t="s">
        <v>51</v>
      </c>
      <c r="AB924" s="202">
        <v>1254575958</v>
      </c>
      <c r="AC924" s="202">
        <v>1254575958</v>
      </c>
    </row>
    <row r="925" spans="1:29" outlineLevel="2" x14ac:dyDescent="0.25">
      <c r="A925" s="201">
        <v>46174</v>
      </c>
      <c r="D925" s="198" t="s">
        <v>54</v>
      </c>
      <c r="E925" s="202">
        <v>1692116187.4000001</v>
      </c>
      <c r="K925" s="198" t="s">
        <v>997</v>
      </c>
      <c r="L925" s="198" t="s">
        <v>143</v>
      </c>
      <c r="P925" s="201"/>
      <c r="R925" s="202">
        <v>1692116187.4000001</v>
      </c>
      <c r="U925" s="198" t="s">
        <v>143</v>
      </c>
      <c r="AA925" s="198" t="s">
        <v>51</v>
      </c>
      <c r="AB925" s="202">
        <v>1692116187.4000001</v>
      </c>
      <c r="AC925" s="202">
        <v>1692116187.4000001</v>
      </c>
    </row>
    <row r="926" spans="1:29" outlineLevel="2" x14ac:dyDescent="0.25">
      <c r="A926" s="201">
        <v>46174</v>
      </c>
      <c r="D926" s="198" t="s">
        <v>54</v>
      </c>
      <c r="E926" s="202">
        <v>4201584230</v>
      </c>
      <c r="K926" s="198" t="s">
        <v>997</v>
      </c>
      <c r="L926" s="198" t="s">
        <v>143</v>
      </c>
      <c r="P926" s="201"/>
      <c r="R926" s="202">
        <v>4201584230</v>
      </c>
      <c r="U926" s="198" t="s">
        <v>143</v>
      </c>
      <c r="AA926" s="198" t="s">
        <v>51</v>
      </c>
      <c r="AB926" s="202">
        <v>4201584230</v>
      </c>
      <c r="AC926" s="202">
        <v>4201584230</v>
      </c>
    </row>
    <row r="927" spans="1:29" outlineLevel="2" x14ac:dyDescent="0.25">
      <c r="A927" s="201">
        <v>46174</v>
      </c>
      <c r="D927" s="198" t="s">
        <v>54</v>
      </c>
      <c r="E927" s="202">
        <v>1115286586</v>
      </c>
      <c r="K927" s="198" t="s">
        <v>997</v>
      </c>
      <c r="L927" s="198" t="s">
        <v>143</v>
      </c>
      <c r="P927" s="201"/>
      <c r="R927" s="202">
        <v>1115286586</v>
      </c>
      <c r="U927" s="198" t="s">
        <v>143</v>
      </c>
      <c r="AA927" s="198" t="s">
        <v>51</v>
      </c>
      <c r="AB927" s="202">
        <v>1115286586</v>
      </c>
      <c r="AC927" s="202">
        <v>1115286586</v>
      </c>
    </row>
    <row r="928" spans="1:29" outlineLevel="1" x14ac:dyDescent="0.25">
      <c r="A928" s="210"/>
      <c r="B928" s="209"/>
      <c r="C928" s="209"/>
      <c r="D928" s="209" t="s">
        <v>54</v>
      </c>
      <c r="E928" s="211">
        <v>31365646420.619999</v>
      </c>
      <c r="F928" s="209"/>
      <c r="G928" s="209"/>
      <c r="H928" s="209"/>
      <c r="I928" s="209"/>
      <c r="J928" s="209"/>
      <c r="K928" s="209" t="s">
        <v>54</v>
      </c>
      <c r="L928" s="209" t="s">
        <v>54</v>
      </c>
      <c r="M928" s="209"/>
      <c r="N928" s="209"/>
      <c r="O928" s="209"/>
      <c r="P928" s="210"/>
      <c r="Q928" s="209"/>
      <c r="R928" s="212"/>
      <c r="S928" s="209"/>
      <c r="T928" s="209"/>
      <c r="U928" s="209" t="s">
        <v>54</v>
      </c>
      <c r="V928" s="209"/>
      <c r="W928" s="209"/>
      <c r="X928" s="209"/>
      <c r="Y928" s="209"/>
      <c r="Z928" s="209"/>
      <c r="AA928" s="209" t="s">
        <v>54</v>
      </c>
      <c r="AB928" s="212"/>
      <c r="AC928" s="212"/>
    </row>
    <row r="929" spans="1:29" outlineLevel="2" x14ac:dyDescent="0.25">
      <c r="A929" s="201">
        <v>46174</v>
      </c>
      <c r="D929" s="198" t="s">
        <v>54</v>
      </c>
      <c r="E929" s="202">
        <v>17946171840</v>
      </c>
      <c r="K929" s="198" t="s">
        <v>1885</v>
      </c>
      <c r="L929" s="198" t="s">
        <v>143</v>
      </c>
      <c r="P929" s="201"/>
      <c r="R929" s="202">
        <v>17946171840</v>
      </c>
      <c r="U929" s="198" t="s">
        <v>1257</v>
      </c>
      <c r="AA929" s="198" t="s">
        <v>51</v>
      </c>
      <c r="AB929" s="202">
        <v>17946171840</v>
      </c>
      <c r="AC929" s="202">
        <v>17946171840</v>
      </c>
    </row>
    <row r="930" spans="1:29" outlineLevel="1" x14ac:dyDescent="0.25">
      <c r="A930" s="210"/>
      <c r="B930" s="209"/>
      <c r="C930" s="209"/>
      <c r="D930" s="209" t="s">
        <v>54</v>
      </c>
      <c r="E930" s="211">
        <v>17946171840</v>
      </c>
      <c r="F930" s="209"/>
      <c r="G930" s="209"/>
      <c r="H930" s="209"/>
      <c r="I930" s="209"/>
      <c r="J930" s="209"/>
      <c r="K930" s="209" t="s">
        <v>54</v>
      </c>
      <c r="L930" s="209" t="s">
        <v>54</v>
      </c>
      <c r="M930" s="209"/>
      <c r="N930" s="209"/>
      <c r="O930" s="209"/>
      <c r="P930" s="210"/>
      <c r="Q930" s="209"/>
      <c r="R930" s="212"/>
      <c r="S930" s="209"/>
      <c r="T930" s="209"/>
      <c r="U930" s="209" t="s">
        <v>54</v>
      </c>
      <c r="V930" s="209"/>
      <c r="W930" s="209"/>
      <c r="X930" s="209"/>
      <c r="Y930" s="209"/>
      <c r="Z930" s="209"/>
      <c r="AA930" s="209" t="s">
        <v>54</v>
      </c>
      <c r="AB930" s="212"/>
      <c r="AC930" s="212"/>
    </row>
    <row r="931" spans="1:29" outlineLevel="2" x14ac:dyDescent="0.25">
      <c r="A931" s="201">
        <v>46174</v>
      </c>
      <c r="D931" s="198" t="s">
        <v>54</v>
      </c>
      <c r="E931" s="202">
        <v>17946171840</v>
      </c>
      <c r="K931" s="198" t="s">
        <v>1886</v>
      </c>
      <c r="L931" s="198" t="s">
        <v>143</v>
      </c>
      <c r="P931" s="201"/>
      <c r="R931" s="202">
        <v>17946171840</v>
      </c>
      <c r="U931" s="198" t="s">
        <v>1260</v>
      </c>
      <c r="AA931" s="198" t="s">
        <v>51</v>
      </c>
      <c r="AB931" s="202">
        <v>17946171840</v>
      </c>
      <c r="AC931" s="202">
        <v>17946171840</v>
      </c>
    </row>
    <row r="932" spans="1:29" outlineLevel="1" x14ac:dyDescent="0.25">
      <c r="A932" s="210"/>
      <c r="B932" s="209"/>
      <c r="C932" s="209"/>
      <c r="D932" s="209" t="s">
        <v>54</v>
      </c>
      <c r="E932" s="211">
        <v>17946171840</v>
      </c>
      <c r="F932" s="209"/>
      <c r="G932" s="209"/>
      <c r="H932" s="209"/>
      <c r="I932" s="209"/>
      <c r="J932" s="209"/>
      <c r="K932" s="209" t="s">
        <v>54</v>
      </c>
      <c r="L932" s="209" t="s">
        <v>54</v>
      </c>
      <c r="M932" s="209"/>
      <c r="N932" s="209"/>
      <c r="O932" s="209"/>
      <c r="P932" s="210"/>
      <c r="Q932" s="209"/>
      <c r="R932" s="212"/>
      <c r="S932" s="209"/>
      <c r="T932" s="209"/>
      <c r="U932" s="209" t="s">
        <v>54</v>
      </c>
      <c r="V932" s="209"/>
      <c r="W932" s="209"/>
      <c r="X932" s="209"/>
      <c r="Y932" s="209"/>
      <c r="Z932" s="209"/>
      <c r="AA932" s="209" t="s">
        <v>54</v>
      </c>
      <c r="AB932" s="212"/>
      <c r="AC932" s="212"/>
    </row>
    <row r="933" spans="1:29" outlineLevel="2" x14ac:dyDescent="0.25">
      <c r="A933" s="201">
        <v>46174</v>
      </c>
      <c r="D933" s="198" t="s">
        <v>54</v>
      </c>
      <c r="E933" s="202">
        <v>1254575958</v>
      </c>
      <c r="K933" s="198" t="s">
        <v>1887</v>
      </c>
      <c r="L933" s="198" t="s">
        <v>143</v>
      </c>
      <c r="P933" s="201"/>
      <c r="R933" s="202">
        <v>1254575958</v>
      </c>
      <c r="U933" s="198" t="s">
        <v>1273</v>
      </c>
      <c r="AA933" s="198" t="s">
        <v>51</v>
      </c>
      <c r="AB933" s="202">
        <v>1254575958</v>
      </c>
      <c r="AC933" s="202">
        <v>1254575958</v>
      </c>
    </row>
    <row r="934" spans="1:29" outlineLevel="1" x14ac:dyDescent="0.25">
      <c r="A934" s="210"/>
      <c r="B934" s="209"/>
      <c r="C934" s="209"/>
      <c r="D934" s="209" t="s">
        <v>54</v>
      </c>
      <c r="E934" s="211">
        <v>1254575958</v>
      </c>
      <c r="F934" s="209"/>
      <c r="G934" s="209"/>
      <c r="H934" s="209"/>
      <c r="I934" s="209"/>
      <c r="J934" s="209"/>
      <c r="K934" s="209" t="s">
        <v>54</v>
      </c>
      <c r="L934" s="209" t="s">
        <v>54</v>
      </c>
      <c r="M934" s="209"/>
      <c r="N934" s="209"/>
      <c r="O934" s="209"/>
      <c r="P934" s="210"/>
      <c r="Q934" s="209"/>
      <c r="R934" s="212"/>
      <c r="S934" s="209"/>
      <c r="T934" s="209"/>
      <c r="U934" s="209" t="s">
        <v>54</v>
      </c>
      <c r="V934" s="209"/>
      <c r="W934" s="209"/>
      <c r="X934" s="209"/>
      <c r="Y934" s="209"/>
      <c r="Z934" s="209"/>
      <c r="AA934" s="209" t="s">
        <v>54</v>
      </c>
      <c r="AB934" s="212"/>
      <c r="AC934" s="212"/>
    </row>
    <row r="935" spans="1:29" outlineLevel="2" x14ac:dyDescent="0.25">
      <c r="A935" s="201">
        <v>46174</v>
      </c>
      <c r="D935" s="198" t="s">
        <v>54</v>
      </c>
      <c r="E935" s="202">
        <v>1254575958</v>
      </c>
      <c r="K935" s="198" t="s">
        <v>1888</v>
      </c>
      <c r="L935" s="198" t="s">
        <v>143</v>
      </c>
      <c r="P935" s="201"/>
      <c r="R935" s="202">
        <v>1254575958</v>
      </c>
      <c r="U935" s="198" t="s">
        <v>1276</v>
      </c>
      <c r="AA935" s="198" t="s">
        <v>51</v>
      </c>
      <c r="AB935" s="202">
        <v>1254575958</v>
      </c>
      <c r="AC935" s="202">
        <v>1254575958</v>
      </c>
    </row>
    <row r="936" spans="1:29" outlineLevel="1" x14ac:dyDescent="0.25">
      <c r="A936" s="210"/>
      <c r="B936" s="209"/>
      <c r="C936" s="209"/>
      <c r="D936" s="209" t="s">
        <v>54</v>
      </c>
      <c r="E936" s="211">
        <v>1254575958</v>
      </c>
      <c r="F936" s="209"/>
      <c r="G936" s="209"/>
      <c r="H936" s="209"/>
      <c r="I936" s="209"/>
      <c r="J936" s="209"/>
      <c r="K936" s="209" t="s">
        <v>54</v>
      </c>
      <c r="L936" s="209" t="s">
        <v>54</v>
      </c>
      <c r="M936" s="209"/>
      <c r="N936" s="209"/>
      <c r="O936" s="209"/>
      <c r="P936" s="210"/>
      <c r="Q936" s="209"/>
      <c r="R936" s="212"/>
      <c r="S936" s="209"/>
      <c r="T936" s="209"/>
      <c r="U936" s="209" t="s">
        <v>54</v>
      </c>
      <c r="V936" s="209"/>
      <c r="W936" s="209"/>
      <c r="X936" s="209"/>
      <c r="Y936" s="209"/>
      <c r="Z936" s="209"/>
      <c r="AA936" s="209" t="s">
        <v>54</v>
      </c>
      <c r="AB936" s="212"/>
      <c r="AC936" s="212"/>
    </row>
    <row r="937" spans="1:29" outlineLevel="2" x14ac:dyDescent="0.25">
      <c r="A937" s="201">
        <v>46174</v>
      </c>
      <c r="D937" s="198" t="s">
        <v>54</v>
      </c>
      <c r="E937" s="202">
        <v>929073443.5</v>
      </c>
      <c r="K937" s="198" t="s">
        <v>1889</v>
      </c>
      <c r="L937" s="198" t="s">
        <v>143</v>
      </c>
      <c r="P937" s="201"/>
      <c r="R937" s="202">
        <v>929073443.5</v>
      </c>
      <c r="U937" s="198" t="s">
        <v>1295</v>
      </c>
      <c r="AA937" s="198" t="s">
        <v>51</v>
      </c>
      <c r="AB937" s="202">
        <v>929073443.5</v>
      </c>
      <c r="AC937" s="202">
        <v>929073443.5</v>
      </c>
    </row>
    <row r="938" spans="1:29" outlineLevel="1" x14ac:dyDescent="0.25">
      <c r="A938" s="210"/>
      <c r="B938" s="209"/>
      <c r="C938" s="209"/>
      <c r="D938" s="209" t="s">
        <v>54</v>
      </c>
      <c r="E938" s="211">
        <v>929073443.5</v>
      </c>
      <c r="F938" s="209"/>
      <c r="G938" s="209"/>
      <c r="H938" s="209"/>
      <c r="I938" s="209"/>
      <c r="J938" s="209"/>
      <c r="K938" s="209" t="s">
        <v>54</v>
      </c>
      <c r="L938" s="209" t="s">
        <v>54</v>
      </c>
      <c r="M938" s="209"/>
      <c r="N938" s="209"/>
      <c r="O938" s="209"/>
      <c r="P938" s="210"/>
      <c r="Q938" s="209"/>
      <c r="R938" s="212"/>
      <c r="S938" s="209"/>
      <c r="T938" s="209"/>
      <c r="U938" s="209" t="s">
        <v>54</v>
      </c>
      <c r="V938" s="209"/>
      <c r="W938" s="209"/>
      <c r="X938" s="209"/>
      <c r="Y938" s="209"/>
      <c r="Z938" s="209"/>
      <c r="AA938" s="209" t="s">
        <v>54</v>
      </c>
      <c r="AB938" s="212"/>
      <c r="AC938" s="212"/>
    </row>
    <row r="939" spans="1:29" outlineLevel="2" x14ac:dyDescent="0.25">
      <c r="A939" s="201">
        <v>46018</v>
      </c>
      <c r="D939" s="198" t="s">
        <v>54</v>
      </c>
      <c r="E939" s="202">
        <v>14050000</v>
      </c>
      <c r="K939" s="198" t="s">
        <v>999</v>
      </c>
      <c r="L939" s="198" t="s">
        <v>143</v>
      </c>
      <c r="P939" s="201"/>
      <c r="R939" s="202">
        <v>14050000</v>
      </c>
      <c r="U939" s="198" t="s">
        <v>998</v>
      </c>
      <c r="AA939" s="198" t="s">
        <v>51</v>
      </c>
      <c r="AB939" s="202">
        <v>14050000</v>
      </c>
      <c r="AC939" s="202">
        <v>14050000</v>
      </c>
    </row>
    <row r="940" spans="1:29" outlineLevel="2" x14ac:dyDescent="0.25">
      <c r="A940" s="201">
        <v>46021</v>
      </c>
      <c r="D940" s="198" t="s">
        <v>54</v>
      </c>
      <c r="E940" s="202">
        <v>190000</v>
      </c>
      <c r="K940" s="198" t="s">
        <v>999</v>
      </c>
      <c r="L940" s="198" t="s">
        <v>143</v>
      </c>
      <c r="P940" s="201"/>
      <c r="R940" s="202">
        <v>190000</v>
      </c>
      <c r="U940" s="198" t="s">
        <v>998</v>
      </c>
      <c r="AA940" s="198" t="s">
        <v>51</v>
      </c>
      <c r="AB940" s="202">
        <v>190000</v>
      </c>
      <c r="AC940" s="202">
        <v>190000</v>
      </c>
    </row>
    <row r="941" spans="1:29" outlineLevel="2" x14ac:dyDescent="0.25">
      <c r="A941" s="201">
        <v>46022</v>
      </c>
      <c r="D941" s="198" t="s">
        <v>54</v>
      </c>
      <c r="E941" s="202">
        <v>209000</v>
      </c>
      <c r="K941" s="198" t="s">
        <v>999</v>
      </c>
      <c r="L941" s="198" t="s">
        <v>143</v>
      </c>
      <c r="P941" s="201"/>
      <c r="R941" s="202">
        <v>209000</v>
      </c>
      <c r="U941" s="198" t="s">
        <v>998</v>
      </c>
      <c r="AA941" s="198" t="s">
        <v>51</v>
      </c>
      <c r="AB941" s="202">
        <v>209000</v>
      </c>
      <c r="AC941" s="202">
        <v>209000</v>
      </c>
    </row>
    <row r="942" spans="1:29" outlineLevel="2" x14ac:dyDescent="0.25">
      <c r="A942" s="201">
        <v>46023</v>
      </c>
      <c r="D942" s="198" t="s">
        <v>54</v>
      </c>
      <c r="E942" s="202">
        <v>190000</v>
      </c>
      <c r="K942" s="198" t="s">
        <v>999</v>
      </c>
      <c r="L942" s="198" t="s">
        <v>143</v>
      </c>
      <c r="P942" s="201"/>
      <c r="R942" s="202">
        <v>190000</v>
      </c>
      <c r="U942" s="198" t="s">
        <v>998</v>
      </c>
      <c r="AA942" s="198" t="s">
        <v>51</v>
      </c>
      <c r="AB942" s="202">
        <v>190000</v>
      </c>
      <c r="AC942" s="202">
        <v>190000</v>
      </c>
    </row>
    <row r="943" spans="1:29" outlineLevel="2" x14ac:dyDescent="0.25">
      <c r="A943" s="201">
        <v>46024</v>
      </c>
      <c r="D943" s="198" t="s">
        <v>54</v>
      </c>
      <c r="E943" s="202">
        <v>14500</v>
      </c>
      <c r="K943" s="198" t="s">
        <v>999</v>
      </c>
      <c r="L943" s="198" t="s">
        <v>143</v>
      </c>
      <c r="P943" s="201"/>
      <c r="R943" s="202">
        <v>14500</v>
      </c>
      <c r="U943" s="198" t="s">
        <v>998</v>
      </c>
      <c r="AA943" s="198" t="s">
        <v>51</v>
      </c>
      <c r="AB943" s="202">
        <v>14500</v>
      </c>
      <c r="AC943" s="202">
        <v>14500</v>
      </c>
    </row>
    <row r="944" spans="1:29" outlineLevel="2" x14ac:dyDescent="0.25">
      <c r="A944" s="201">
        <v>46027</v>
      </c>
      <c r="D944" s="198" t="s">
        <v>54</v>
      </c>
      <c r="E944" s="202">
        <v>5000</v>
      </c>
      <c r="K944" s="198" t="s">
        <v>999</v>
      </c>
      <c r="L944" s="198" t="s">
        <v>143</v>
      </c>
      <c r="P944" s="201"/>
      <c r="R944" s="202">
        <v>5000</v>
      </c>
      <c r="U944" s="198" t="s">
        <v>998</v>
      </c>
      <c r="AA944" s="198" t="s">
        <v>51</v>
      </c>
      <c r="AB944" s="202">
        <v>5000</v>
      </c>
      <c r="AC944" s="202">
        <v>5000</v>
      </c>
    </row>
    <row r="945" spans="1:29" outlineLevel="2" x14ac:dyDescent="0.25">
      <c r="A945" s="201">
        <v>46031</v>
      </c>
      <c r="D945" s="198" t="s">
        <v>54</v>
      </c>
      <c r="E945" s="202">
        <v>2940001</v>
      </c>
      <c r="K945" s="198" t="s">
        <v>999</v>
      </c>
      <c r="L945" s="198" t="s">
        <v>143</v>
      </c>
      <c r="P945" s="201"/>
      <c r="R945" s="202">
        <v>2940001</v>
      </c>
      <c r="U945" s="198" t="s">
        <v>998</v>
      </c>
      <c r="AA945" s="198" t="s">
        <v>51</v>
      </c>
      <c r="AB945" s="202">
        <v>2940001</v>
      </c>
      <c r="AC945" s="202">
        <v>2940001</v>
      </c>
    </row>
    <row r="946" spans="1:29" outlineLevel="2" x14ac:dyDescent="0.25">
      <c r="A946" s="201">
        <v>46043</v>
      </c>
      <c r="D946" s="198" t="s">
        <v>54</v>
      </c>
      <c r="E946" s="202">
        <v>300000</v>
      </c>
      <c r="K946" s="198" t="s">
        <v>999</v>
      </c>
      <c r="L946" s="198" t="s">
        <v>143</v>
      </c>
      <c r="P946" s="201"/>
      <c r="R946" s="202">
        <v>300000</v>
      </c>
      <c r="U946" s="198" t="s">
        <v>998</v>
      </c>
      <c r="AA946" s="198" t="s">
        <v>51</v>
      </c>
      <c r="AB946" s="202">
        <v>300000</v>
      </c>
      <c r="AC946" s="202">
        <v>300000</v>
      </c>
    </row>
    <row r="947" spans="1:29" outlineLevel="2" x14ac:dyDescent="0.25">
      <c r="A947" s="201">
        <v>46067</v>
      </c>
      <c r="D947" s="198" t="s">
        <v>54</v>
      </c>
      <c r="E947" s="202">
        <v>300000</v>
      </c>
      <c r="K947" s="198" t="s">
        <v>999</v>
      </c>
      <c r="L947" s="198" t="s">
        <v>143</v>
      </c>
      <c r="P947" s="201"/>
      <c r="R947" s="202">
        <v>300000</v>
      </c>
      <c r="U947" s="198" t="s">
        <v>998</v>
      </c>
      <c r="AA947" s="198" t="s">
        <v>51</v>
      </c>
      <c r="AB947" s="202">
        <v>300000</v>
      </c>
      <c r="AC947" s="202">
        <v>300000</v>
      </c>
    </row>
    <row r="948" spans="1:29" outlineLevel="2" x14ac:dyDescent="0.25">
      <c r="A948" s="201">
        <v>46142</v>
      </c>
      <c r="D948" s="198" t="s">
        <v>54</v>
      </c>
      <c r="E948" s="202">
        <v>9001000</v>
      </c>
      <c r="K948" s="198" t="s">
        <v>999</v>
      </c>
      <c r="L948" s="198" t="s">
        <v>143</v>
      </c>
      <c r="P948" s="201"/>
      <c r="R948" s="202">
        <v>9001000</v>
      </c>
      <c r="U948" s="198" t="s">
        <v>998</v>
      </c>
      <c r="AA948" s="198" t="s">
        <v>51</v>
      </c>
      <c r="AB948" s="202">
        <v>9001000</v>
      </c>
      <c r="AC948" s="202">
        <v>9001000</v>
      </c>
    </row>
    <row r="949" spans="1:29" outlineLevel="1" x14ac:dyDescent="0.25">
      <c r="A949" s="210"/>
      <c r="B949" s="209"/>
      <c r="C949" s="209"/>
      <c r="D949" s="209" t="s">
        <v>54</v>
      </c>
      <c r="E949" s="211">
        <v>27199501</v>
      </c>
      <c r="F949" s="209"/>
      <c r="G949" s="209"/>
      <c r="H949" s="209"/>
      <c r="I949" s="209"/>
      <c r="J949" s="209"/>
      <c r="K949" s="209" t="s">
        <v>54</v>
      </c>
      <c r="L949" s="209" t="s">
        <v>54</v>
      </c>
      <c r="M949" s="209"/>
      <c r="N949" s="209"/>
      <c r="O949" s="209"/>
      <c r="P949" s="210"/>
      <c r="Q949" s="209"/>
      <c r="R949" s="212"/>
      <c r="S949" s="209"/>
      <c r="T949" s="209"/>
      <c r="U949" s="209" t="s">
        <v>54</v>
      </c>
      <c r="V949" s="209"/>
      <c r="W949" s="209"/>
      <c r="X949" s="209"/>
      <c r="Y949" s="209"/>
      <c r="Z949" s="209"/>
      <c r="AA949" s="209" t="s">
        <v>54</v>
      </c>
      <c r="AB949" s="212"/>
      <c r="AC949" s="212"/>
    </row>
    <row r="950" spans="1:29" outlineLevel="2" x14ac:dyDescent="0.25">
      <c r="A950" s="201">
        <v>46018</v>
      </c>
      <c r="D950" s="198" t="s">
        <v>54</v>
      </c>
      <c r="E950" s="202">
        <v>8100000</v>
      </c>
      <c r="K950" s="198" t="s">
        <v>1000</v>
      </c>
      <c r="L950" s="198" t="s">
        <v>143</v>
      </c>
      <c r="P950" s="201"/>
      <c r="R950" s="202">
        <v>8100000</v>
      </c>
      <c r="U950" s="198" t="s">
        <v>190</v>
      </c>
      <c r="AA950" s="198" t="s">
        <v>51</v>
      </c>
      <c r="AB950" s="202">
        <v>8100000</v>
      </c>
      <c r="AC950" s="202">
        <v>8100000</v>
      </c>
    </row>
    <row r="951" spans="1:29" outlineLevel="2" x14ac:dyDescent="0.25">
      <c r="A951" s="201">
        <v>46043</v>
      </c>
      <c r="D951" s="198" t="s">
        <v>54</v>
      </c>
      <c r="E951" s="202">
        <v>300000</v>
      </c>
      <c r="K951" s="198" t="s">
        <v>1000</v>
      </c>
      <c r="L951" s="198" t="s">
        <v>143</v>
      </c>
      <c r="P951" s="201"/>
      <c r="R951" s="202">
        <v>300000</v>
      </c>
      <c r="U951" s="198" t="s">
        <v>190</v>
      </c>
      <c r="AA951" s="198" t="s">
        <v>51</v>
      </c>
      <c r="AB951" s="202">
        <v>300000</v>
      </c>
      <c r="AC951" s="202">
        <v>300000</v>
      </c>
    </row>
    <row r="952" spans="1:29" outlineLevel="2" x14ac:dyDescent="0.25">
      <c r="A952" s="201">
        <v>46067</v>
      </c>
      <c r="D952" s="198" t="s">
        <v>54</v>
      </c>
      <c r="E952" s="202">
        <v>300000</v>
      </c>
      <c r="K952" s="198" t="s">
        <v>1000</v>
      </c>
      <c r="L952" s="198" t="s">
        <v>143</v>
      </c>
      <c r="P952" s="201"/>
      <c r="R952" s="202">
        <v>300000</v>
      </c>
      <c r="U952" s="198" t="s">
        <v>190</v>
      </c>
      <c r="AA952" s="198" t="s">
        <v>51</v>
      </c>
      <c r="AB952" s="202">
        <v>300000</v>
      </c>
      <c r="AC952" s="202">
        <v>300000</v>
      </c>
    </row>
    <row r="953" spans="1:29" outlineLevel="2" x14ac:dyDescent="0.25">
      <c r="A953" s="201">
        <v>46142</v>
      </c>
      <c r="D953" s="198" t="s">
        <v>54</v>
      </c>
      <c r="E953" s="202">
        <v>9001000</v>
      </c>
      <c r="K953" s="198" t="s">
        <v>1000</v>
      </c>
      <c r="L953" s="198" t="s">
        <v>143</v>
      </c>
      <c r="P953" s="201"/>
      <c r="R953" s="202">
        <v>9001000</v>
      </c>
      <c r="U953" s="198" t="s">
        <v>190</v>
      </c>
      <c r="AA953" s="198" t="s">
        <v>51</v>
      </c>
      <c r="AB953" s="202">
        <v>9001000</v>
      </c>
      <c r="AC953" s="202">
        <v>9001000</v>
      </c>
    </row>
    <row r="954" spans="1:29" outlineLevel="1" x14ac:dyDescent="0.25">
      <c r="A954" s="210"/>
      <c r="B954" s="209"/>
      <c r="C954" s="209"/>
      <c r="D954" s="209" t="s">
        <v>54</v>
      </c>
      <c r="E954" s="211">
        <v>17701000</v>
      </c>
      <c r="F954" s="209"/>
      <c r="G954" s="209"/>
      <c r="H954" s="209"/>
      <c r="I954" s="209"/>
      <c r="J954" s="209"/>
      <c r="K954" s="209" t="s">
        <v>54</v>
      </c>
      <c r="L954" s="209" t="s">
        <v>54</v>
      </c>
      <c r="M954" s="209"/>
      <c r="N954" s="209"/>
      <c r="O954" s="209"/>
      <c r="P954" s="210"/>
      <c r="Q954" s="209"/>
      <c r="R954" s="212"/>
      <c r="S954" s="209"/>
      <c r="T954" s="209"/>
      <c r="U954" s="209" t="s">
        <v>54</v>
      </c>
      <c r="V954" s="209"/>
      <c r="W954" s="209"/>
      <c r="X954" s="209"/>
      <c r="Y954" s="209"/>
      <c r="Z954" s="209"/>
      <c r="AA954" s="209" t="s">
        <v>54</v>
      </c>
      <c r="AB954" s="212"/>
      <c r="AC954" s="212"/>
    </row>
    <row r="955" spans="1:29" outlineLevel="2" x14ac:dyDescent="0.25">
      <c r="A955" s="201">
        <v>46018</v>
      </c>
      <c r="D955" s="198" t="s">
        <v>54</v>
      </c>
      <c r="E955" s="202">
        <v>5950000</v>
      </c>
      <c r="K955" s="198" t="s">
        <v>1001</v>
      </c>
      <c r="L955" s="198" t="s">
        <v>143</v>
      </c>
      <c r="P955" s="201"/>
      <c r="R955" s="202">
        <v>5950000</v>
      </c>
      <c r="U955" s="198" t="s">
        <v>753</v>
      </c>
      <c r="AA955" s="198" t="s">
        <v>51</v>
      </c>
      <c r="AB955" s="202">
        <v>5950000</v>
      </c>
      <c r="AC955" s="202">
        <v>5950000</v>
      </c>
    </row>
    <row r="956" spans="1:29" outlineLevel="1" x14ac:dyDescent="0.25">
      <c r="A956" s="210"/>
      <c r="B956" s="209"/>
      <c r="C956" s="209"/>
      <c r="D956" s="209" t="s">
        <v>54</v>
      </c>
      <c r="E956" s="211">
        <v>5950000</v>
      </c>
      <c r="F956" s="209"/>
      <c r="G956" s="209"/>
      <c r="H956" s="209"/>
      <c r="I956" s="209"/>
      <c r="J956" s="209"/>
      <c r="K956" s="209" t="s">
        <v>54</v>
      </c>
      <c r="L956" s="209" t="s">
        <v>54</v>
      </c>
      <c r="M956" s="209"/>
      <c r="N956" s="209"/>
      <c r="O956" s="209"/>
      <c r="P956" s="210"/>
      <c r="Q956" s="209"/>
      <c r="R956" s="212"/>
      <c r="S956" s="209"/>
      <c r="T956" s="209"/>
      <c r="U956" s="209" t="s">
        <v>54</v>
      </c>
      <c r="V956" s="209"/>
      <c r="W956" s="209"/>
      <c r="X956" s="209"/>
      <c r="Y956" s="209"/>
      <c r="Z956" s="209"/>
      <c r="AA956" s="209" t="s">
        <v>54</v>
      </c>
      <c r="AB956" s="212"/>
      <c r="AC956" s="212"/>
    </row>
    <row r="957" spans="1:29" outlineLevel="2" x14ac:dyDescent="0.25">
      <c r="A957" s="201">
        <v>46021</v>
      </c>
      <c r="D957" s="198" t="s">
        <v>54</v>
      </c>
      <c r="E957" s="202">
        <v>190000</v>
      </c>
      <c r="K957" s="198" t="s">
        <v>1002</v>
      </c>
      <c r="L957" s="198" t="s">
        <v>143</v>
      </c>
      <c r="P957" s="201"/>
      <c r="R957" s="202">
        <v>190000</v>
      </c>
      <c r="U957" s="198" t="s">
        <v>682</v>
      </c>
      <c r="AA957" s="198" t="s">
        <v>51</v>
      </c>
      <c r="AB957" s="202">
        <v>190000</v>
      </c>
      <c r="AC957" s="202">
        <v>190000</v>
      </c>
    </row>
    <row r="958" spans="1:29" outlineLevel="2" x14ac:dyDescent="0.25">
      <c r="A958" s="201">
        <v>46022</v>
      </c>
      <c r="D958" s="198" t="s">
        <v>54</v>
      </c>
      <c r="E958" s="202">
        <v>209000</v>
      </c>
      <c r="K958" s="198" t="s">
        <v>1002</v>
      </c>
      <c r="L958" s="198" t="s">
        <v>143</v>
      </c>
      <c r="P958" s="201"/>
      <c r="R958" s="202">
        <v>209000</v>
      </c>
      <c r="U958" s="198" t="s">
        <v>682</v>
      </c>
      <c r="AA958" s="198" t="s">
        <v>51</v>
      </c>
      <c r="AB958" s="202">
        <v>209000</v>
      </c>
      <c r="AC958" s="202">
        <v>209000</v>
      </c>
    </row>
    <row r="959" spans="1:29" outlineLevel="2" x14ac:dyDescent="0.25">
      <c r="A959" s="201">
        <v>46023</v>
      </c>
      <c r="D959" s="198" t="s">
        <v>54</v>
      </c>
      <c r="E959" s="202">
        <v>190000</v>
      </c>
      <c r="K959" s="198" t="s">
        <v>1002</v>
      </c>
      <c r="L959" s="198" t="s">
        <v>143</v>
      </c>
      <c r="P959" s="201"/>
      <c r="R959" s="202">
        <v>190000</v>
      </c>
      <c r="U959" s="198" t="s">
        <v>682</v>
      </c>
      <c r="AA959" s="198" t="s">
        <v>51</v>
      </c>
      <c r="AB959" s="202">
        <v>190000</v>
      </c>
      <c r="AC959" s="202">
        <v>190000</v>
      </c>
    </row>
    <row r="960" spans="1:29" outlineLevel="2" x14ac:dyDescent="0.25">
      <c r="A960" s="201">
        <v>46024</v>
      </c>
      <c r="D960" s="198" t="s">
        <v>54</v>
      </c>
      <c r="E960" s="202">
        <v>14500</v>
      </c>
      <c r="K960" s="198" t="s">
        <v>1002</v>
      </c>
      <c r="L960" s="198" t="s">
        <v>143</v>
      </c>
      <c r="P960" s="201"/>
      <c r="R960" s="202">
        <v>14500</v>
      </c>
      <c r="U960" s="198" t="s">
        <v>682</v>
      </c>
      <c r="AA960" s="198" t="s">
        <v>51</v>
      </c>
      <c r="AB960" s="202">
        <v>14500</v>
      </c>
      <c r="AC960" s="202">
        <v>14500</v>
      </c>
    </row>
    <row r="961" spans="1:29" outlineLevel="2" x14ac:dyDescent="0.25">
      <c r="A961" s="201">
        <v>46027</v>
      </c>
      <c r="D961" s="198" t="s">
        <v>54</v>
      </c>
      <c r="E961" s="202">
        <v>5000</v>
      </c>
      <c r="K961" s="198" t="s">
        <v>1002</v>
      </c>
      <c r="L961" s="198" t="s">
        <v>143</v>
      </c>
      <c r="P961" s="201"/>
      <c r="R961" s="202">
        <v>5000</v>
      </c>
      <c r="U961" s="198" t="s">
        <v>682</v>
      </c>
      <c r="AA961" s="198" t="s">
        <v>51</v>
      </c>
      <c r="AB961" s="202">
        <v>5000</v>
      </c>
      <c r="AC961" s="202">
        <v>5000</v>
      </c>
    </row>
    <row r="962" spans="1:29" outlineLevel="2" x14ac:dyDescent="0.25">
      <c r="A962" s="201">
        <v>46031</v>
      </c>
      <c r="D962" s="198" t="s">
        <v>54</v>
      </c>
      <c r="E962" s="202">
        <v>2940001</v>
      </c>
      <c r="K962" s="198" t="s">
        <v>1002</v>
      </c>
      <c r="L962" s="198" t="s">
        <v>143</v>
      </c>
      <c r="P962" s="201"/>
      <c r="R962" s="202">
        <v>2940001</v>
      </c>
      <c r="U962" s="198" t="s">
        <v>682</v>
      </c>
      <c r="AA962" s="198" t="s">
        <v>51</v>
      </c>
      <c r="AB962" s="202">
        <v>2940001</v>
      </c>
      <c r="AC962" s="202">
        <v>2940001</v>
      </c>
    </row>
    <row r="963" spans="1:29" outlineLevel="1" x14ac:dyDescent="0.25">
      <c r="A963" s="210"/>
      <c r="B963" s="209"/>
      <c r="C963" s="209"/>
      <c r="D963" s="209" t="s">
        <v>54</v>
      </c>
      <c r="E963" s="211">
        <v>3548501</v>
      </c>
      <c r="F963" s="209"/>
      <c r="G963" s="209"/>
      <c r="H963" s="209"/>
      <c r="I963" s="209"/>
      <c r="J963" s="209"/>
      <c r="K963" s="209" t="s">
        <v>54</v>
      </c>
      <c r="L963" s="209" t="s">
        <v>54</v>
      </c>
      <c r="M963" s="209"/>
      <c r="N963" s="209"/>
      <c r="O963" s="209"/>
      <c r="P963" s="210"/>
      <c r="Q963" s="209"/>
      <c r="R963" s="212"/>
      <c r="S963" s="209"/>
      <c r="T963" s="209"/>
      <c r="U963" s="209" t="s">
        <v>54</v>
      </c>
      <c r="V963" s="209"/>
      <c r="W963" s="209"/>
      <c r="X963" s="209"/>
      <c r="Y963" s="209"/>
      <c r="Z963" s="209"/>
      <c r="AA963" s="209" t="s">
        <v>54</v>
      </c>
      <c r="AB963" s="212"/>
      <c r="AC963" s="212"/>
    </row>
    <row r="964" spans="1:29" outlineLevel="2" x14ac:dyDescent="0.25">
      <c r="A964" s="201">
        <v>46045</v>
      </c>
      <c r="D964" s="198" t="s">
        <v>54</v>
      </c>
      <c r="E964" s="202">
        <v>100000</v>
      </c>
      <c r="K964" s="198" t="s">
        <v>1004</v>
      </c>
      <c r="L964" s="198" t="s">
        <v>143</v>
      </c>
      <c r="P964" s="201"/>
      <c r="R964" s="202">
        <v>100000</v>
      </c>
      <c r="U964" s="198" t="s">
        <v>1003</v>
      </c>
      <c r="AA964" s="198" t="s">
        <v>51</v>
      </c>
      <c r="AB964" s="202">
        <v>100000</v>
      </c>
      <c r="AC964" s="202">
        <v>100000</v>
      </c>
    </row>
    <row r="965" spans="1:29" outlineLevel="2" x14ac:dyDescent="0.25">
      <c r="A965" s="201">
        <v>46104</v>
      </c>
      <c r="D965" s="198" t="s">
        <v>54</v>
      </c>
      <c r="E965" s="202">
        <v>1900000000</v>
      </c>
      <c r="K965" s="198" t="s">
        <v>1004</v>
      </c>
      <c r="L965" s="198" t="s">
        <v>143</v>
      </c>
      <c r="P965" s="201"/>
      <c r="R965" s="202">
        <v>1900000000</v>
      </c>
      <c r="U965" s="198" t="s">
        <v>1003</v>
      </c>
      <c r="AA965" s="198" t="s">
        <v>51</v>
      </c>
      <c r="AB965" s="202">
        <v>1900000000</v>
      </c>
      <c r="AC965" s="202">
        <v>1900000000</v>
      </c>
    </row>
    <row r="966" spans="1:29" outlineLevel="2" x14ac:dyDescent="0.25">
      <c r="A966" s="201">
        <v>46104</v>
      </c>
      <c r="D966" s="198" t="s">
        <v>54</v>
      </c>
      <c r="E966" s="202">
        <v>150000000</v>
      </c>
      <c r="K966" s="198" t="s">
        <v>1004</v>
      </c>
      <c r="L966" s="198" t="s">
        <v>143</v>
      </c>
      <c r="P966" s="201"/>
      <c r="R966" s="202">
        <v>150000000</v>
      </c>
      <c r="U966" s="198" t="s">
        <v>1003</v>
      </c>
      <c r="AA966" s="198" t="s">
        <v>51</v>
      </c>
      <c r="AB966" s="202">
        <v>150000000</v>
      </c>
      <c r="AC966" s="202">
        <v>150000000</v>
      </c>
    </row>
    <row r="967" spans="1:29" outlineLevel="2" x14ac:dyDescent="0.25">
      <c r="A967" s="201">
        <v>46117</v>
      </c>
      <c r="D967" s="198" t="s">
        <v>54</v>
      </c>
      <c r="E967" s="202">
        <v>173830.63</v>
      </c>
      <c r="K967" s="198" t="s">
        <v>1004</v>
      </c>
      <c r="L967" s="198" t="s">
        <v>143</v>
      </c>
      <c r="P967" s="201"/>
      <c r="R967" s="202">
        <v>173830.63</v>
      </c>
      <c r="U967" s="198" t="s">
        <v>1003</v>
      </c>
      <c r="AA967" s="198" t="s">
        <v>51</v>
      </c>
      <c r="AB967" s="202">
        <v>173830.63</v>
      </c>
      <c r="AC967" s="202">
        <v>173830.63</v>
      </c>
    </row>
    <row r="968" spans="1:29" outlineLevel="2" x14ac:dyDescent="0.25">
      <c r="A968" s="201">
        <v>46150</v>
      </c>
      <c r="D968" s="198" t="s">
        <v>54</v>
      </c>
      <c r="E968" s="202">
        <v>82147.850000000006</v>
      </c>
      <c r="K968" s="198" t="s">
        <v>1004</v>
      </c>
      <c r="L968" s="198" t="s">
        <v>143</v>
      </c>
      <c r="P968" s="201"/>
      <c r="R968" s="202">
        <v>82147.850000000006</v>
      </c>
      <c r="U968" s="198" t="s">
        <v>1003</v>
      </c>
      <c r="AA968" s="198" t="s">
        <v>51</v>
      </c>
      <c r="AB968" s="202">
        <v>82147.850000000006</v>
      </c>
      <c r="AC968" s="202">
        <v>82147.850000000006</v>
      </c>
    </row>
    <row r="969" spans="1:29" outlineLevel="1" x14ac:dyDescent="0.25">
      <c r="A969" s="210"/>
      <c r="B969" s="209"/>
      <c r="C969" s="209"/>
      <c r="D969" s="209" t="s">
        <v>54</v>
      </c>
      <c r="E969" s="211">
        <v>2050355978.48</v>
      </c>
      <c r="F969" s="209"/>
      <c r="G969" s="209"/>
      <c r="H969" s="209"/>
      <c r="I969" s="209"/>
      <c r="J969" s="209"/>
      <c r="K969" s="209" t="s">
        <v>54</v>
      </c>
      <c r="L969" s="209" t="s">
        <v>54</v>
      </c>
      <c r="M969" s="209"/>
      <c r="N969" s="209"/>
      <c r="O969" s="209"/>
      <c r="P969" s="210"/>
      <c r="Q969" s="209"/>
      <c r="R969" s="212"/>
      <c r="S969" s="209"/>
      <c r="T969" s="209"/>
      <c r="U969" s="209" t="s">
        <v>54</v>
      </c>
      <c r="V969" s="209"/>
      <c r="W969" s="209"/>
      <c r="X969" s="209"/>
      <c r="Y969" s="209"/>
      <c r="Z969" s="209"/>
      <c r="AA969" s="209" t="s">
        <v>54</v>
      </c>
      <c r="AB969" s="212"/>
      <c r="AC969" s="212"/>
    </row>
    <row r="970" spans="1:29" outlineLevel="2" x14ac:dyDescent="0.25">
      <c r="A970" s="201">
        <v>46045</v>
      </c>
      <c r="D970" s="198" t="s">
        <v>54</v>
      </c>
      <c r="E970" s="202">
        <v>100000</v>
      </c>
      <c r="K970" s="198" t="s">
        <v>1005</v>
      </c>
      <c r="L970" s="198" t="s">
        <v>143</v>
      </c>
      <c r="P970" s="201"/>
      <c r="R970" s="202">
        <v>100000</v>
      </c>
      <c r="U970" s="198" t="s">
        <v>865</v>
      </c>
      <c r="AA970" s="198" t="s">
        <v>51</v>
      </c>
      <c r="AB970" s="202">
        <v>100000</v>
      </c>
      <c r="AC970" s="202">
        <v>100000</v>
      </c>
    </row>
    <row r="971" spans="1:29" outlineLevel="2" x14ac:dyDescent="0.25">
      <c r="A971" s="201">
        <v>46117</v>
      </c>
      <c r="D971" s="198" t="s">
        <v>54</v>
      </c>
      <c r="E971" s="202">
        <v>166930.63</v>
      </c>
      <c r="K971" s="198" t="s">
        <v>1005</v>
      </c>
      <c r="L971" s="198" t="s">
        <v>143</v>
      </c>
      <c r="P971" s="201"/>
      <c r="R971" s="202">
        <v>166930.63</v>
      </c>
      <c r="U971" s="198" t="s">
        <v>865</v>
      </c>
      <c r="AA971" s="198" t="s">
        <v>51</v>
      </c>
      <c r="AB971" s="202">
        <v>166930.63</v>
      </c>
      <c r="AC971" s="202">
        <v>166930.63</v>
      </c>
    </row>
    <row r="972" spans="1:29" outlineLevel="2" x14ac:dyDescent="0.25">
      <c r="A972" s="201">
        <v>46150</v>
      </c>
      <c r="D972" s="198" t="s">
        <v>54</v>
      </c>
      <c r="E972" s="202">
        <v>82147.850000000006</v>
      </c>
      <c r="K972" s="198" t="s">
        <v>1005</v>
      </c>
      <c r="L972" s="198" t="s">
        <v>143</v>
      </c>
      <c r="P972" s="201"/>
      <c r="R972" s="202">
        <v>82147.850000000006</v>
      </c>
      <c r="U972" s="198" t="s">
        <v>865</v>
      </c>
      <c r="AA972" s="198" t="s">
        <v>51</v>
      </c>
      <c r="AB972" s="202">
        <v>82147.850000000006</v>
      </c>
      <c r="AC972" s="202">
        <v>82147.850000000006</v>
      </c>
    </row>
    <row r="973" spans="1:29" outlineLevel="1" x14ac:dyDescent="0.25">
      <c r="A973" s="210"/>
      <c r="B973" s="209"/>
      <c r="C973" s="209"/>
      <c r="D973" s="209" t="s">
        <v>54</v>
      </c>
      <c r="E973" s="211">
        <v>349078.48</v>
      </c>
      <c r="F973" s="209"/>
      <c r="G973" s="209"/>
      <c r="H973" s="209"/>
      <c r="I973" s="209"/>
      <c r="J973" s="209"/>
      <c r="K973" s="209" t="s">
        <v>54</v>
      </c>
      <c r="L973" s="209" t="s">
        <v>54</v>
      </c>
      <c r="M973" s="209"/>
      <c r="N973" s="209"/>
      <c r="O973" s="209"/>
      <c r="P973" s="210"/>
      <c r="Q973" s="209"/>
      <c r="R973" s="212"/>
      <c r="S973" s="209"/>
      <c r="T973" s="209"/>
      <c r="U973" s="209" t="s">
        <v>54</v>
      </c>
      <c r="V973" s="209"/>
      <c r="W973" s="209"/>
      <c r="X973" s="209"/>
      <c r="Y973" s="209"/>
      <c r="Z973" s="209"/>
      <c r="AA973" s="209" t="s">
        <v>54</v>
      </c>
      <c r="AB973" s="212"/>
      <c r="AC973" s="212"/>
    </row>
    <row r="974" spans="1:29" outlineLevel="2" x14ac:dyDescent="0.25">
      <c r="A974" s="201">
        <v>46104</v>
      </c>
      <c r="D974" s="198" t="s">
        <v>54</v>
      </c>
      <c r="E974" s="202">
        <v>150000000</v>
      </c>
      <c r="K974" s="198" t="s">
        <v>1006</v>
      </c>
      <c r="L974" s="198" t="s">
        <v>143</v>
      </c>
      <c r="P974" s="201"/>
      <c r="R974" s="202">
        <v>150000000</v>
      </c>
      <c r="U974" s="198" t="s">
        <v>793</v>
      </c>
      <c r="AA974" s="198" t="s">
        <v>51</v>
      </c>
      <c r="AB974" s="202">
        <v>150000000</v>
      </c>
      <c r="AC974" s="202">
        <v>150000000</v>
      </c>
    </row>
    <row r="975" spans="1:29" outlineLevel="1" x14ac:dyDescent="0.25">
      <c r="A975" s="210"/>
      <c r="B975" s="209"/>
      <c r="C975" s="209"/>
      <c r="D975" s="209" t="s">
        <v>54</v>
      </c>
      <c r="E975" s="211">
        <v>150000000</v>
      </c>
      <c r="F975" s="209"/>
      <c r="G975" s="209"/>
      <c r="H975" s="209"/>
      <c r="I975" s="209"/>
      <c r="J975" s="209"/>
      <c r="K975" s="209" t="s">
        <v>54</v>
      </c>
      <c r="L975" s="209" t="s">
        <v>54</v>
      </c>
      <c r="M975" s="209"/>
      <c r="N975" s="209"/>
      <c r="O975" s="209"/>
      <c r="P975" s="210"/>
      <c r="Q975" s="209"/>
      <c r="R975" s="212"/>
      <c r="S975" s="209"/>
      <c r="T975" s="209"/>
      <c r="U975" s="209" t="s">
        <v>54</v>
      </c>
      <c r="V975" s="209"/>
      <c r="W975" s="209"/>
      <c r="X975" s="209"/>
      <c r="Y975" s="209"/>
      <c r="Z975" s="209"/>
      <c r="AA975" s="209" t="s">
        <v>54</v>
      </c>
      <c r="AB975" s="212"/>
      <c r="AC975" s="212"/>
    </row>
    <row r="976" spans="1:29" outlineLevel="2" x14ac:dyDescent="0.25">
      <c r="A976" s="201">
        <v>46104</v>
      </c>
      <c r="D976" s="198" t="s">
        <v>54</v>
      </c>
      <c r="E976" s="202">
        <v>1900000000</v>
      </c>
      <c r="K976" s="198" t="s">
        <v>1007</v>
      </c>
      <c r="L976" s="198" t="s">
        <v>143</v>
      </c>
      <c r="P976" s="201"/>
      <c r="R976" s="202">
        <v>1900000000</v>
      </c>
      <c r="U976" s="198" t="s">
        <v>802</v>
      </c>
      <c r="AA976" s="198" t="s">
        <v>51</v>
      </c>
      <c r="AB976" s="202">
        <v>1900000000</v>
      </c>
      <c r="AC976" s="202">
        <v>1900000000</v>
      </c>
    </row>
    <row r="977" spans="1:29" outlineLevel="1" x14ac:dyDescent="0.25">
      <c r="A977" s="210"/>
      <c r="B977" s="209"/>
      <c r="C977" s="209"/>
      <c r="D977" s="209" t="s">
        <v>54</v>
      </c>
      <c r="E977" s="211">
        <v>1900000000</v>
      </c>
      <c r="F977" s="209"/>
      <c r="G977" s="209"/>
      <c r="H977" s="209"/>
      <c r="I977" s="209"/>
      <c r="J977" s="209"/>
      <c r="K977" s="209" t="s">
        <v>54</v>
      </c>
      <c r="L977" s="209" t="s">
        <v>54</v>
      </c>
      <c r="M977" s="209"/>
      <c r="N977" s="209"/>
      <c r="O977" s="209"/>
      <c r="P977" s="210"/>
      <c r="Q977" s="209"/>
      <c r="R977" s="212"/>
      <c r="S977" s="209"/>
      <c r="T977" s="209"/>
      <c r="U977" s="209" t="s">
        <v>54</v>
      </c>
      <c r="V977" s="209"/>
      <c r="W977" s="209"/>
      <c r="X977" s="209"/>
      <c r="Y977" s="209"/>
      <c r="Z977" s="209"/>
      <c r="AA977" s="209" t="s">
        <v>54</v>
      </c>
      <c r="AB977" s="212"/>
      <c r="AC977" s="212"/>
    </row>
    <row r="978" spans="1:29" outlineLevel="2" x14ac:dyDescent="0.25">
      <c r="A978" s="201">
        <v>46117</v>
      </c>
      <c r="D978" s="198" t="s">
        <v>54</v>
      </c>
      <c r="E978" s="202">
        <v>6900</v>
      </c>
      <c r="K978" s="198" t="s">
        <v>1009</v>
      </c>
      <c r="L978" s="198" t="s">
        <v>143</v>
      </c>
      <c r="P978" s="201"/>
      <c r="R978" s="202">
        <v>6900</v>
      </c>
      <c r="U978" s="198" t="s">
        <v>1008</v>
      </c>
      <c r="AA978" s="198" t="s">
        <v>51</v>
      </c>
      <c r="AB978" s="202">
        <v>6900</v>
      </c>
      <c r="AC978" s="202">
        <v>6900</v>
      </c>
    </row>
    <row r="979" spans="1:29" outlineLevel="1" x14ac:dyDescent="0.25">
      <c r="A979" s="210"/>
      <c r="B979" s="209"/>
      <c r="C979" s="209"/>
      <c r="D979" s="209" t="s">
        <v>54</v>
      </c>
      <c r="E979" s="211">
        <v>6900</v>
      </c>
      <c r="F979" s="209"/>
      <c r="G979" s="209"/>
      <c r="H979" s="209"/>
      <c r="I979" s="209"/>
      <c r="J979" s="209"/>
      <c r="K979" s="209" t="s">
        <v>54</v>
      </c>
      <c r="L979" s="209" t="s">
        <v>54</v>
      </c>
      <c r="M979" s="209"/>
      <c r="N979" s="209"/>
      <c r="O979" s="209"/>
      <c r="P979" s="210"/>
      <c r="Q979" s="209"/>
      <c r="R979" s="212"/>
      <c r="S979" s="209"/>
      <c r="T979" s="209"/>
      <c r="U979" s="209" t="s">
        <v>54</v>
      </c>
      <c r="V979" s="209"/>
      <c r="W979" s="209"/>
      <c r="X979" s="209"/>
      <c r="Y979" s="209"/>
      <c r="Z979" s="209"/>
      <c r="AA979" s="209" t="s">
        <v>54</v>
      </c>
      <c r="AB979" s="212"/>
      <c r="AC979" s="212"/>
    </row>
    <row r="980" spans="1:29" outlineLevel="2" x14ac:dyDescent="0.25">
      <c r="A980" s="201">
        <v>46018</v>
      </c>
      <c r="D980" s="198" t="s">
        <v>54</v>
      </c>
      <c r="E980" s="202">
        <v>400000</v>
      </c>
      <c r="K980" s="198" t="s">
        <v>1012</v>
      </c>
      <c r="L980" s="198" t="s">
        <v>143</v>
      </c>
      <c r="P980" s="201"/>
      <c r="R980" s="202">
        <v>400000</v>
      </c>
      <c r="U980" s="198" t="s">
        <v>1011</v>
      </c>
      <c r="AA980" s="198" t="s">
        <v>51</v>
      </c>
      <c r="AB980" s="202">
        <v>400000</v>
      </c>
      <c r="AC980" s="202">
        <v>400000</v>
      </c>
    </row>
    <row r="981" spans="1:29" outlineLevel="2" x14ac:dyDescent="0.25">
      <c r="A981" s="201">
        <v>46018</v>
      </c>
      <c r="D981" s="198" t="s">
        <v>54</v>
      </c>
      <c r="E981" s="202">
        <v>1100000</v>
      </c>
      <c r="K981" s="198" t="s">
        <v>1012</v>
      </c>
      <c r="L981" s="198" t="s">
        <v>143</v>
      </c>
      <c r="P981" s="201"/>
      <c r="R981" s="202">
        <v>1100000</v>
      </c>
      <c r="U981" s="198" t="s">
        <v>1011</v>
      </c>
      <c r="AA981" s="198" t="s">
        <v>51</v>
      </c>
      <c r="AB981" s="202">
        <v>1100000</v>
      </c>
      <c r="AC981" s="202">
        <v>1100000</v>
      </c>
    </row>
    <row r="982" spans="1:29" outlineLevel="2" x14ac:dyDescent="0.25">
      <c r="A982" s="201">
        <v>46031</v>
      </c>
      <c r="D982" s="198" t="s">
        <v>54</v>
      </c>
      <c r="E982" s="202">
        <v>2124000</v>
      </c>
      <c r="K982" s="198" t="s">
        <v>1012</v>
      </c>
      <c r="L982" s="198" t="s">
        <v>143</v>
      </c>
      <c r="P982" s="201"/>
      <c r="R982" s="202">
        <v>2124000</v>
      </c>
      <c r="U982" s="198" t="s">
        <v>1011</v>
      </c>
      <c r="AA982" s="198" t="s">
        <v>51</v>
      </c>
      <c r="AB982" s="202">
        <v>2124000</v>
      </c>
      <c r="AC982" s="202">
        <v>2124000</v>
      </c>
    </row>
    <row r="983" spans="1:29" outlineLevel="2" x14ac:dyDescent="0.25">
      <c r="A983" s="201">
        <v>46056</v>
      </c>
      <c r="D983" s="198" t="s">
        <v>54</v>
      </c>
      <c r="E983" s="202">
        <v>306320</v>
      </c>
      <c r="K983" s="198" t="s">
        <v>1012</v>
      </c>
      <c r="L983" s="198" t="s">
        <v>143</v>
      </c>
      <c r="P983" s="201"/>
      <c r="R983" s="202">
        <v>306320</v>
      </c>
      <c r="U983" s="198" t="s">
        <v>1011</v>
      </c>
      <c r="AA983" s="198" t="s">
        <v>51</v>
      </c>
      <c r="AB983" s="202">
        <v>306320</v>
      </c>
      <c r="AC983" s="202">
        <v>306320</v>
      </c>
    </row>
    <row r="984" spans="1:29" outlineLevel="2" x14ac:dyDescent="0.25">
      <c r="A984" s="201">
        <v>46058</v>
      </c>
      <c r="D984" s="198" t="s">
        <v>54</v>
      </c>
      <c r="E984" s="202">
        <v>1140000</v>
      </c>
      <c r="K984" s="198" t="s">
        <v>1012</v>
      </c>
      <c r="L984" s="198" t="s">
        <v>143</v>
      </c>
      <c r="P984" s="201"/>
      <c r="R984" s="202">
        <v>1140000</v>
      </c>
      <c r="U984" s="198" t="s">
        <v>1011</v>
      </c>
      <c r="AA984" s="198" t="s">
        <v>51</v>
      </c>
      <c r="AB984" s="202">
        <v>1140000</v>
      </c>
      <c r="AC984" s="202">
        <v>1140000</v>
      </c>
    </row>
    <row r="985" spans="1:29" outlineLevel="2" x14ac:dyDescent="0.25">
      <c r="A985" s="201">
        <v>46058</v>
      </c>
      <c r="D985" s="198" t="s">
        <v>54</v>
      </c>
      <c r="E985" s="202">
        <v>981120</v>
      </c>
      <c r="K985" s="198" t="s">
        <v>1012</v>
      </c>
      <c r="L985" s="198" t="s">
        <v>143</v>
      </c>
      <c r="P985" s="201"/>
      <c r="R985" s="202">
        <v>981120</v>
      </c>
      <c r="U985" s="198" t="s">
        <v>1011</v>
      </c>
      <c r="AA985" s="198" t="s">
        <v>51</v>
      </c>
      <c r="AB985" s="202">
        <v>981120</v>
      </c>
      <c r="AC985" s="202">
        <v>981120</v>
      </c>
    </row>
    <row r="986" spans="1:29" outlineLevel="2" x14ac:dyDescent="0.25">
      <c r="A986" s="201">
        <v>46058</v>
      </c>
      <c r="D986" s="198" t="s">
        <v>54</v>
      </c>
      <c r="E986" s="202">
        <v>760008</v>
      </c>
      <c r="K986" s="198" t="s">
        <v>1012</v>
      </c>
      <c r="L986" s="198" t="s">
        <v>143</v>
      </c>
      <c r="P986" s="201"/>
      <c r="R986" s="202">
        <v>760008</v>
      </c>
      <c r="U986" s="198" t="s">
        <v>1011</v>
      </c>
      <c r="AA986" s="198" t="s">
        <v>51</v>
      </c>
      <c r="AB986" s="202">
        <v>760008</v>
      </c>
      <c r="AC986" s="202">
        <v>760008</v>
      </c>
    </row>
    <row r="987" spans="1:29" outlineLevel="2" x14ac:dyDescent="0.25">
      <c r="A987" s="201">
        <v>46059</v>
      </c>
      <c r="D987" s="198" t="s">
        <v>54</v>
      </c>
      <c r="E987" s="202">
        <v>964000</v>
      </c>
      <c r="K987" s="198" t="s">
        <v>1012</v>
      </c>
      <c r="L987" s="198" t="s">
        <v>143</v>
      </c>
      <c r="P987" s="201"/>
      <c r="R987" s="202">
        <v>964000</v>
      </c>
      <c r="U987" s="198" t="s">
        <v>1011</v>
      </c>
      <c r="AA987" s="198" t="s">
        <v>51</v>
      </c>
      <c r="AB987" s="202">
        <v>964000</v>
      </c>
      <c r="AC987" s="202">
        <v>964000</v>
      </c>
    </row>
    <row r="988" spans="1:29" outlineLevel="2" x14ac:dyDescent="0.25">
      <c r="A988" s="201">
        <v>46060</v>
      </c>
      <c r="D988" s="198" t="s">
        <v>54</v>
      </c>
      <c r="E988" s="202">
        <v>8818300</v>
      </c>
      <c r="K988" s="198" t="s">
        <v>1012</v>
      </c>
      <c r="L988" s="198" t="s">
        <v>143</v>
      </c>
      <c r="P988" s="201"/>
      <c r="R988" s="202">
        <v>8818300</v>
      </c>
      <c r="U988" s="198" t="s">
        <v>1011</v>
      </c>
      <c r="AA988" s="198" t="s">
        <v>51</v>
      </c>
      <c r="AB988" s="202">
        <v>8818300</v>
      </c>
      <c r="AC988" s="202">
        <v>8818300</v>
      </c>
    </row>
    <row r="989" spans="1:29" outlineLevel="2" x14ac:dyDescent="0.25">
      <c r="A989" s="201">
        <v>46060</v>
      </c>
      <c r="D989" s="198" t="s">
        <v>54</v>
      </c>
      <c r="E989" s="202">
        <v>374220</v>
      </c>
      <c r="K989" s="198" t="s">
        <v>1012</v>
      </c>
      <c r="L989" s="198" t="s">
        <v>143</v>
      </c>
      <c r="P989" s="201"/>
      <c r="R989" s="202">
        <v>374220</v>
      </c>
      <c r="U989" s="198" t="s">
        <v>1011</v>
      </c>
      <c r="AA989" s="198" t="s">
        <v>51</v>
      </c>
      <c r="AB989" s="202">
        <v>374220</v>
      </c>
      <c r="AC989" s="202">
        <v>374220</v>
      </c>
    </row>
    <row r="990" spans="1:29" outlineLevel="2" x14ac:dyDescent="0.25">
      <c r="A990" s="201">
        <v>46064</v>
      </c>
      <c r="D990" s="198" t="s">
        <v>54</v>
      </c>
      <c r="E990" s="202">
        <v>1125000</v>
      </c>
      <c r="K990" s="198" t="s">
        <v>1012</v>
      </c>
      <c r="L990" s="198" t="s">
        <v>143</v>
      </c>
      <c r="P990" s="201"/>
      <c r="R990" s="202">
        <v>1125000</v>
      </c>
      <c r="U990" s="198" t="s">
        <v>1011</v>
      </c>
      <c r="AA990" s="198" t="s">
        <v>51</v>
      </c>
      <c r="AB990" s="202">
        <v>1125000</v>
      </c>
      <c r="AC990" s="202">
        <v>1125000</v>
      </c>
    </row>
    <row r="991" spans="1:29" outlineLevel="2" x14ac:dyDescent="0.25">
      <c r="A991" s="201">
        <v>46064</v>
      </c>
      <c r="D991" s="198" t="s">
        <v>54</v>
      </c>
      <c r="E991" s="202">
        <v>-1125000</v>
      </c>
      <c r="K991" s="198" t="s">
        <v>1012</v>
      </c>
      <c r="L991" s="198" t="s">
        <v>143</v>
      </c>
      <c r="P991" s="201"/>
      <c r="R991" s="202">
        <v>-1125000</v>
      </c>
      <c r="U991" s="198" t="s">
        <v>1011</v>
      </c>
      <c r="AA991" s="198" t="s">
        <v>51</v>
      </c>
      <c r="AB991" s="202">
        <v>-1125000</v>
      </c>
      <c r="AC991" s="202">
        <v>-1125000</v>
      </c>
    </row>
    <row r="992" spans="1:29" outlineLevel="2" x14ac:dyDescent="0.25">
      <c r="A992" s="201">
        <v>46064</v>
      </c>
      <c r="D992" s="198" t="s">
        <v>54</v>
      </c>
      <c r="E992" s="202">
        <v>375000</v>
      </c>
      <c r="K992" s="198" t="s">
        <v>1012</v>
      </c>
      <c r="L992" s="198" t="s">
        <v>143</v>
      </c>
      <c r="P992" s="201"/>
      <c r="R992" s="202">
        <v>375000</v>
      </c>
      <c r="U992" s="198" t="s">
        <v>1011</v>
      </c>
      <c r="AA992" s="198" t="s">
        <v>51</v>
      </c>
      <c r="AB992" s="202">
        <v>375000</v>
      </c>
      <c r="AC992" s="202">
        <v>375000</v>
      </c>
    </row>
    <row r="993" spans="1:29" outlineLevel="2" x14ac:dyDescent="0.25">
      <c r="A993" s="201">
        <v>46064</v>
      </c>
      <c r="D993" s="198" t="s">
        <v>54</v>
      </c>
      <c r="E993" s="202">
        <v>-375000</v>
      </c>
      <c r="K993" s="198" t="s">
        <v>1012</v>
      </c>
      <c r="L993" s="198" t="s">
        <v>143</v>
      </c>
      <c r="P993" s="201"/>
      <c r="R993" s="202">
        <v>-375000</v>
      </c>
      <c r="U993" s="198" t="s">
        <v>1011</v>
      </c>
      <c r="AA993" s="198" t="s">
        <v>51</v>
      </c>
      <c r="AB993" s="202">
        <v>-375000</v>
      </c>
      <c r="AC993" s="202">
        <v>-375000</v>
      </c>
    </row>
    <row r="994" spans="1:29" outlineLevel="2" x14ac:dyDescent="0.25">
      <c r="A994" s="201">
        <v>46067</v>
      </c>
      <c r="D994" s="198" t="s">
        <v>54</v>
      </c>
      <c r="E994" s="202">
        <v>227220</v>
      </c>
      <c r="K994" s="198" t="s">
        <v>1012</v>
      </c>
      <c r="L994" s="198" t="s">
        <v>143</v>
      </c>
      <c r="P994" s="201"/>
      <c r="R994" s="202">
        <v>227220</v>
      </c>
      <c r="U994" s="198" t="s">
        <v>1011</v>
      </c>
      <c r="AA994" s="198" t="s">
        <v>51</v>
      </c>
      <c r="AB994" s="202">
        <v>227220</v>
      </c>
      <c r="AC994" s="202">
        <v>227220</v>
      </c>
    </row>
    <row r="995" spans="1:29" outlineLevel="2" x14ac:dyDescent="0.25">
      <c r="A995" s="201">
        <v>46067</v>
      </c>
      <c r="D995" s="198" t="s">
        <v>54</v>
      </c>
      <c r="E995" s="202">
        <v>-227220</v>
      </c>
      <c r="K995" s="198" t="s">
        <v>1012</v>
      </c>
      <c r="L995" s="198" t="s">
        <v>143</v>
      </c>
      <c r="P995" s="201"/>
      <c r="R995" s="202">
        <v>-227220</v>
      </c>
      <c r="U995" s="198" t="s">
        <v>1011</v>
      </c>
      <c r="AA995" s="198" t="s">
        <v>51</v>
      </c>
      <c r="AB995" s="202">
        <v>-227220</v>
      </c>
      <c r="AC995" s="202">
        <v>-227220</v>
      </c>
    </row>
    <row r="996" spans="1:29" outlineLevel="2" x14ac:dyDescent="0.25">
      <c r="A996" s="201">
        <v>46069</v>
      </c>
      <c r="D996" s="198" t="s">
        <v>54</v>
      </c>
      <c r="E996" s="202">
        <v>23441.599999999999</v>
      </c>
      <c r="K996" s="198" t="s">
        <v>1012</v>
      </c>
      <c r="L996" s="198" t="s">
        <v>143</v>
      </c>
      <c r="P996" s="201"/>
      <c r="R996" s="202">
        <v>23441.599999999999</v>
      </c>
      <c r="U996" s="198" t="s">
        <v>1011</v>
      </c>
      <c r="AA996" s="198" t="s">
        <v>51</v>
      </c>
      <c r="AB996" s="202">
        <v>23441.599999999999</v>
      </c>
      <c r="AC996" s="202">
        <v>23441.599999999999</v>
      </c>
    </row>
    <row r="997" spans="1:29" outlineLevel="2" x14ac:dyDescent="0.25">
      <c r="A997" s="201">
        <v>46070</v>
      </c>
      <c r="D997" s="198" t="s">
        <v>54</v>
      </c>
      <c r="E997" s="202">
        <v>32137.599999999999</v>
      </c>
      <c r="K997" s="198" t="s">
        <v>1012</v>
      </c>
      <c r="L997" s="198" t="s">
        <v>143</v>
      </c>
      <c r="P997" s="201"/>
      <c r="R997" s="202">
        <v>32137.599999999999</v>
      </c>
      <c r="U997" s="198" t="s">
        <v>1011</v>
      </c>
      <c r="AA997" s="198" t="s">
        <v>51</v>
      </c>
      <c r="AB997" s="202">
        <v>32137.599999999999</v>
      </c>
      <c r="AC997" s="202">
        <v>32137.599999999999</v>
      </c>
    </row>
    <row r="998" spans="1:29" outlineLevel="2" x14ac:dyDescent="0.25">
      <c r="A998" s="201">
        <v>46073</v>
      </c>
      <c r="D998" s="198" t="s">
        <v>54</v>
      </c>
      <c r="E998" s="202">
        <v>300000</v>
      </c>
      <c r="K998" s="198" t="s">
        <v>1012</v>
      </c>
      <c r="L998" s="198" t="s">
        <v>143</v>
      </c>
      <c r="P998" s="201"/>
      <c r="R998" s="202">
        <v>300000</v>
      </c>
      <c r="U998" s="198" t="s">
        <v>1011</v>
      </c>
      <c r="AA998" s="198" t="s">
        <v>51</v>
      </c>
      <c r="AB998" s="202">
        <v>300000</v>
      </c>
      <c r="AC998" s="202">
        <v>300000</v>
      </c>
    </row>
    <row r="999" spans="1:29" outlineLevel="2" x14ac:dyDescent="0.25">
      <c r="A999" s="201">
        <v>46078</v>
      </c>
      <c r="D999" s="198" t="s">
        <v>54</v>
      </c>
      <c r="E999" s="202">
        <v>1305290.3999999999</v>
      </c>
      <c r="K999" s="198" t="s">
        <v>1012</v>
      </c>
      <c r="L999" s="198" t="s">
        <v>143</v>
      </c>
      <c r="P999" s="201"/>
      <c r="R999" s="202">
        <v>1305290.3999999999</v>
      </c>
      <c r="U999" s="198" t="s">
        <v>1011</v>
      </c>
      <c r="AA999" s="198" t="s">
        <v>51</v>
      </c>
      <c r="AB999" s="202">
        <v>1305290.3999999999</v>
      </c>
      <c r="AC999" s="202">
        <v>1305290.3999999999</v>
      </c>
    </row>
    <row r="1000" spans="1:29" outlineLevel="2" x14ac:dyDescent="0.25">
      <c r="A1000" s="201">
        <v>46081</v>
      </c>
      <c r="D1000" s="198" t="s">
        <v>54</v>
      </c>
      <c r="E1000" s="202">
        <v>50559820</v>
      </c>
      <c r="K1000" s="198" t="s">
        <v>1012</v>
      </c>
      <c r="L1000" s="198" t="s">
        <v>143</v>
      </c>
      <c r="P1000" s="201"/>
      <c r="R1000" s="202">
        <v>50559820</v>
      </c>
      <c r="U1000" s="198" t="s">
        <v>1011</v>
      </c>
      <c r="AA1000" s="198" t="s">
        <v>51</v>
      </c>
      <c r="AB1000" s="202">
        <v>50559820</v>
      </c>
      <c r="AC1000" s="202">
        <v>50559820</v>
      </c>
    </row>
    <row r="1001" spans="1:29" outlineLevel="2" x14ac:dyDescent="0.25">
      <c r="A1001" s="201">
        <v>46098</v>
      </c>
      <c r="D1001" s="198" t="s">
        <v>54</v>
      </c>
      <c r="E1001" s="202">
        <v>1045984</v>
      </c>
      <c r="K1001" s="198" t="s">
        <v>1012</v>
      </c>
      <c r="L1001" s="198" t="s">
        <v>143</v>
      </c>
      <c r="P1001" s="201"/>
      <c r="R1001" s="202">
        <v>1045984</v>
      </c>
      <c r="U1001" s="198" t="s">
        <v>1011</v>
      </c>
      <c r="AA1001" s="198" t="s">
        <v>51</v>
      </c>
      <c r="AB1001" s="202">
        <v>1045984</v>
      </c>
      <c r="AC1001" s="202">
        <v>1045984</v>
      </c>
    </row>
    <row r="1002" spans="1:29" outlineLevel="2" x14ac:dyDescent="0.25">
      <c r="A1002" s="201">
        <v>46108</v>
      </c>
      <c r="D1002" s="198" t="s">
        <v>54</v>
      </c>
      <c r="E1002" s="202">
        <v>24091.4</v>
      </c>
      <c r="K1002" s="198" t="s">
        <v>1012</v>
      </c>
      <c r="L1002" s="198" t="s">
        <v>143</v>
      </c>
      <c r="P1002" s="201"/>
      <c r="R1002" s="202">
        <v>24091.4</v>
      </c>
      <c r="U1002" s="198" t="s">
        <v>1011</v>
      </c>
      <c r="AA1002" s="198" t="s">
        <v>51</v>
      </c>
      <c r="AB1002" s="202">
        <v>24091.4</v>
      </c>
      <c r="AC1002" s="202">
        <v>24091.4</v>
      </c>
    </row>
    <row r="1003" spans="1:29" outlineLevel="2" x14ac:dyDescent="0.25">
      <c r="A1003" s="201">
        <v>46111</v>
      </c>
      <c r="D1003" s="198" t="s">
        <v>54</v>
      </c>
      <c r="E1003" s="202">
        <v>41152</v>
      </c>
      <c r="K1003" s="198" t="s">
        <v>1012</v>
      </c>
      <c r="L1003" s="198" t="s">
        <v>143</v>
      </c>
      <c r="P1003" s="201"/>
      <c r="R1003" s="202">
        <v>41152</v>
      </c>
      <c r="U1003" s="198" t="s">
        <v>1011</v>
      </c>
      <c r="AA1003" s="198" t="s">
        <v>51</v>
      </c>
      <c r="AB1003" s="202">
        <v>41152</v>
      </c>
      <c r="AC1003" s="202">
        <v>41152</v>
      </c>
    </row>
    <row r="1004" spans="1:29" outlineLevel="2" x14ac:dyDescent="0.25">
      <c r="A1004" s="201">
        <v>46112</v>
      </c>
      <c r="D1004" s="198" t="s">
        <v>54</v>
      </c>
      <c r="E1004" s="202">
        <v>2940050</v>
      </c>
      <c r="K1004" s="198" t="s">
        <v>1012</v>
      </c>
      <c r="L1004" s="198" t="s">
        <v>143</v>
      </c>
      <c r="P1004" s="201"/>
      <c r="R1004" s="202">
        <v>2940050</v>
      </c>
      <c r="U1004" s="198" t="s">
        <v>1011</v>
      </c>
      <c r="AA1004" s="198" t="s">
        <v>51</v>
      </c>
      <c r="AB1004" s="202">
        <v>2940050</v>
      </c>
      <c r="AC1004" s="202">
        <v>2940050</v>
      </c>
    </row>
    <row r="1005" spans="1:29" outlineLevel="2" x14ac:dyDescent="0.25">
      <c r="A1005" s="201">
        <v>46116</v>
      </c>
      <c r="D1005" s="198" t="s">
        <v>54</v>
      </c>
      <c r="E1005" s="202">
        <v>316000</v>
      </c>
      <c r="K1005" s="198" t="s">
        <v>1012</v>
      </c>
      <c r="L1005" s="198" t="s">
        <v>143</v>
      </c>
      <c r="P1005" s="201"/>
      <c r="R1005" s="202">
        <v>316000</v>
      </c>
      <c r="U1005" s="198" t="s">
        <v>1011</v>
      </c>
      <c r="AA1005" s="198" t="s">
        <v>51</v>
      </c>
      <c r="AB1005" s="202">
        <v>316000</v>
      </c>
      <c r="AC1005" s="202">
        <v>316000</v>
      </c>
    </row>
    <row r="1006" spans="1:29" outlineLevel="2" x14ac:dyDescent="0.25">
      <c r="A1006" s="201">
        <v>46122</v>
      </c>
      <c r="D1006" s="198" t="s">
        <v>54</v>
      </c>
      <c r="E1006" s="202">
        <v>311030</v>
      </c>
      <c r="K1006" s="198" t="s">
        <v>1012</v>
      </c>
      <c r="L1006" s="198" t="s">
        <v>143</v>
      </c>
      <c r="P1006" s="201"/>
      <c r="R1006" s="202">
        <v>311030</v>
      </c>
      <c r="U1006" s="198" t="s">
        <v>1011</v>
      </c>
      <c r="AA1006" s="198" t="s">
        <v>51</v>
      </c>
      <c r="AB1006" s="202">
        <v>311030</v>
      </c>
      <c r="AC1006" s="202">
        <v>311030</v>
      </c>
    </row>
    <row r="1007" spans="1:29" outlineLevel="2" x14ac:dyDescent="0.25">
      <c r="A1007" s="201">
        <v>46146</v>
      </c>
      <c r="D1007" s="198" t="s">
        <v>54</v>
      </c>
      <c r="E1007" s="202">
        <v>7011000</v>
      </c>
      <c r="K1007" s="198" t="s">
        <v>1012</v>
      </c>
      <c r="L1007" s="198" t="s">
        <v>143</v>
      </c>
      <c r="P1007" s="201"/>
      <c r="R1007" s="202">
        <v>7011000</v>
      </c>
      <c r="U1007" s="198" t="s">
        <v>1011</v>
      </c>
      <c r="AA1007" s="198" t="s">
        <v>51</v>
      </c>
      <c r="AB1007" s="202">
        <v>7011000</v>
      </c>
      <c r="AC1007" s="202">
        <v>7011000</v>
      </c>
    </row>
    <row r="1008" spans="1:29" outlineLevel="2" x14ac:dyDescent="0.25">
      <c r="A1008" s="201">
        <v>46150</v>
      </c>
      <c r="D1008" s="198" t="s">
        <v>54</v>
      </c>
      <c r="E1008" s="202">
        <v>600</v>
      </c>
      <c r="K1008" s="198" t="s">
        <v>1012</v>
      </c>
      <c r="L1008" s="198" t="s">
        <v>143</v>
      </c>
      <c r="P1008" s="201"/>
      <c r="R1008" s="202">
        <v>600</v>
      </c>
      <c r="U1008" s="198" t="s">
        <v>1011</v>
      </c>
      <c r="AA1008" s="198" t="s">
        <v>51</v>
      </c>
      <c r="AB1008" s="202">
        <v>600</v>
      </c>
      <c r="AC1008" s="202">
        <v>600</v>
      </c>
    </row>
    <row r="1009" spans="1:29" outlineLevel="2" x14ac:dyDescent="0.25">
      <c r="A1009" s="201">
        <v>46150</v>
      </c>
      <c r="D1009" s="198" t="s">
        <v>54</v>
      </c>
      <c r="E1009" s="202">
        <v>49429</v>
      </c>
      <c r="K1009" s="198" t="s">
        <v>1012</v>
      </c>
      <c r="L1009" s="198" t="s">
        <v>143</v>
      </c>
      <c r="P1009" s="201"/>
      <c r="R1009" s="202">
        <v>49429</v>
      </c>
      <c r="U1009" s="198" t="s">
        <v>1011</v>
      </c>
      <c r="AA1009" s="198" t="s">
        <v>51</v>
      </c>
      <c r="AB1009" s="202">
        <v>49429</v>
      </c>
      <c r="AC1009" s="202">
        <v>49429</v>
      </c>
    </row>
    <row r="1010" spans="1:29" outlineLevel="2" x14ac:dyDescent="0.25">
      <c r="A1010" s="201">
        <v>46150</v>
      </c>
      <c r="D1010" s="198" t="s">
        <v>54</v>
      </c>
      <c r="E1010" s="202">
        <v>700</v>
      </c>
      <c r="K1010" s="198" t="s">
        <v>1012</v>
      </c>
      <c r="L1010" s="198" t="s">
        <v>143</v>
      </c>
      <c r="P1010" s="201"/>
      <c r="R1010" s="202">
        <v>700</v>
      </c>
      <c r="U1010" s="198" t="s">
        <v>1011</v>
      </c>
      <c r="AA1010" s="198" t="s">
        <v>51</v>
      </c>
      <c r="AB1010" s="202">
        <v>700</v>
      </c>
      <c r="AC1010" s="202">
        <v>700</v>
      </c>
    </row>
    <row r="1011" spans="1:29" outlineLevel="2" x14ac:dyDescent="0.25">
      <c r="A1011" s="201">
        <v>46150</v>
      </c>
      <c r="D1011" s="198" t="s">
        <v>54</v>
      </c>
      <c r="E1011" s="202">
        <v>49528.79</v>
      </c>
      <c r="K1011" s="198" t="s">
        <v>1012</v>
      </c>
      <c r="L1011" s="198" t="s">
        <v>143</v>
      </c>
      <c r="P1011" s="201"/>
      <c r="R1011" s="202">
        <v>49528.79</v>
      </c>
      <c r="U1011" s="198" t="s">
        <v>1011</v>
      </c>
      <c r="AA1011" s="198" t="s">
        <v>51</v>
      </c>
      <c r="AB1011" s="202">
        <v>49528.79</v>
      </c>
      <c r="AC1011" s="202">
        <v>49528.79</v>
      </c>
    </row>
    <row r="1012" spans="1:29" outlineLevel="1" x14ac:dyDescent="0.25">
      <c r="A1012" s="210"/>
      <c r="B1012" s="209"/>
      <c r="C1012" s="209"/>
      <c r="D1012" s="209" t="s">
        <v>54</v>
      </c>
      <c r="E1012" s="211">
        <v>80978222.790000007</v>
      </c>
      <c r="F1012" s="209"/>
      <c r="G1012" s="209"/>
      <c r="H1012" s="209"/>
      <c r="I1012" s="209"/>
      <c r="J1012" s="209"/>
      <c r="K1012" s="209" t="s">
        <v>54</v>
      </c>
      <c r="L1012" s="209" t="s">
        <v>54</v>
      </c>
      <c r="M1012" s="209"/>
      <c r="N1012" s="209"/>
      <c r="O1012" s="209"/>
      <c r="P1012" s="210"/>
      <c r="Q1012" s="209"/>
      <c r="R1012" s="212"/>
      <c r="S1012" s="209"/>
      <c r="T1012" s="209"/>
      <c r="U1012" s="209" t="s">
        <v>54</v>
      </c>
      <c r="V1012" s="209"/>
      <c r="W1012" s="209"/>
      <c r="X1012" s="209"/>
      <c r="Y1012" s="209"/>
      <c r="Z1012" s="209"/>
      <c r="AA1012" s="209" t="s">
        <v>54</v>
      </c>
      <c r="AB1012" s="212"/>
      <c r="AC1012" s="212"/>
    </row>
    <row r="1013" spans="1:29" outlineLevel="2" x14ac:dyDescent="0.25">
      <c r="A1013" s="201">
        <v>46018</v>
      </c>
      <c r="D1013" s="198" t="s">
        <v>54</v>
      </c>
      <c r="E1013" s="202">
        <v>400000</v>
      </c>
      <c r="K1013" s="198" t="s">
        <v>1013</v>
      </c>
      <c r="L1013" s="198" t="s">
        <v>143</v>
      </c>
      <c r="P1013" s="201"/>
      <c r="R1013" s="202">
        <v>400000</v>
      </c>
      <c r="U1013" s="198" t="s">
        <v>138</v>
      </c>
      <c r="AA1013" s="198" t="s">
        <v>51</v>
      </c>
      <c r="AB1013" s="202">
        <v>400000</v>
      </c>
      <c r="AC1013" s="202">
        <v>400000</v>
      </c>
    </row>
    <row r="1014" spans="1:29" outlineLevel="2" x14ac:dyDescent="0.25">
      <c r="A1014" s="201">
        <v>46070</v>
      </c>
      <c r="D1014" s="198" t="s">
        <v>54</v>
      </c>
      <c r="E1014" s="202">
        <v>32137.599999999999</v>
      </c>
      <c r="K1014" s="198" t="s">
        <v>1013</v>
      </c>
      <c r="L1014" s="198" t="s">
        <v>143</v>
      </c>
      <c r="P1014" s="201"/>
      <c r="R1014" s="202">
        <v>32137.599999999999</v>
      </c>
      <c r="U1014" s="198" t="s">
        <v>138</v>
      </c>
      <c r="AA1014" s="198" t="s">
        <v>51</v>
      </c>
      <c r="AB1014" s="202">
        <v>32137.599999999999</v>
      </c>
      <c r="AC1014" s="202">
        <v>32137.599999999999</v>
      </c>
    </row>
    <row r="1015" spans="1:29" outlineLevel="2" x14ac:dyDescent="0.25">
      <c r="A1015" s="201">
        <v>46108</v>
      </c>
      <c r="D1015" s="198" t="s">
        <v>54</v>
      </c>
      <c r="E1015" s="202">
        <v>24091.4</v>
      </c>
      <c r="K1015" s="198" t="s">
        <v>1013</v>
      </c>
      <c r="L1015" s="198" t="s">
        <v>143</v>
      </c>
      <c r="P1015" s="201"/>
      <c r="R1015" s="202">
        <v>24091.4</v>
      </c>
      <c r="U1015" s="198" t="s">
        <v>138</v>
      </c>
      <c r="AA1015" s="198" t="s">
        <v>51</v>
      </c>
      <c r="AB1015" s="202">
        <v>24091.4</v>
      </c>
      <c r="AC1015" s="202">
        <v>24091.4</v>
      </c>
    </row>
    <row r="1016" spans="1:29" outlineLevel="2" x14ac:dyDescent="0.25">
      <c r="A1016" s="201">
        <v>46111</v>
      </c>
      <c r="D1016" s="198" t="s">
        <v>54</v>
      </c>
      <c r="E1016" s="202">
        <v>41152</v>
      </c>
      <c r="K1016" s="198" t="s">
        <v>1013</v>
      </c>
      <c r="L1016" s="198" t="s">
        <v>143</v>
      </c>
      <c r="P1016" s="201"/>
      <c r="R1016" s="202">
        <v>41152</v>
      </c>
      <c r="U1016" s="198" t="s">
        <v>138</v>
      </c>
      <c r="AA1016" s="198" t="s">
        <v>51</v>
      </c>
      <c r="AB1016" s="202">
        <v>41152</v>
      </c>
      <c r="AC1016" s="202">
        <v>41152</v>
      </c>
    </row>
    <row r="1017" spans="1:29" outlineLevel="1" x14ac:dyDescent="0.25">
      <c r="A1017" s="210"/>
      <c r="B1017" s="209"/>
      <c r="C1017" s="209"/>
      <c r="D1017" s="209" t="s">
        <v>54</v>
      </c>
      <c r="E1017" s="211">
        <v>497381</v>
      </c>
      <c r="F1017" s="209"/>
      <c r="G1017" s="209"/>
      <c r="H1017" s="209"/>
      <c r="I1017" s="209"/>
      <c r="J1017" s="209"/>
      <c r="K1017" s="209" t="s">
        <v>54</v>
      </c>
      <c r="L1017" s="209" t="s">
        <v>54</v>
      </c>
      <c r="M1017" s="209"/>
      <c r="N1017" s="209"/>
      <c r="O1017" s="209"/>
      <c r="P1017" s="210"/>
      <c r="Q1017" s="209"/>
      <c r="R1017" s="212"/>
      <c r="S1017" s="209"/>
      <c r="T1017" s="209"/>
      <c r="U1017" s="209" t="s">
        <v>54</v>
      </c>
      <c r="V1017" s="209"/>
      <c r="W1017" s="209"/>
      <c r="X1017" s="209"/>
      <c r="Y1017" s="209"/>
      <c r="Z1017" s="209"/>
      <c r="AA1017" s="209" t="s">
        <v>54</v>
      </c>
      <c r="AB1017" s="212"/>
      <c r="AC1017" s="212"/>
    </row>
    <row r="1018" spans="1:29" outlineLevel="2" x14ac:dyDescent="0.25">
      <c r="A1018" s="201">
        <v>46058</v>
      </c>
      <c r="D1018" s="198" t="s">
        <v>54</v>
      </c>
      <c r="E1018" s="202">
        <v>1140000</v>
      </c>
      <c r="K1018" s="198" t="s">
        <v>1014</v>
      </c>
      <c r="L1018" s="198" t="s">
        <v>143</v>
      </c>
      <c r="P1018" s="201"/>
      <c r="R1018" s="202">
        <v>1140000</v>
      </c>
      <c r="U1018" s="198" t="s">
        <v>763</v>
      </c>
      <c r="AA1018" s="198" t="s">
        <v>51</v>
      </c>
      <c r="AB1018" s="202">
        <v>1140000</v>
      </c>
      <c r="AC1018" s="202">
        <v>1140000</v>
      </c>
    </row>
    <row r="1019" spans="1:29" outlineLevel="2" x14ac:dyDescent="0.25">
      <c r="A1019" s="201">
        <v>46060</v>
      </c>
      <c r="D1019" s="198" t="s">
        <v>54</v>
      </c>
      <c r="E1019" s="202">
        <v>8818300</v>
      </c>
      <c r="K1019" s="198" t="s">
        <v>1014</v>
      </c>
      <c r="L1019" s="198" t="s">
        <v>143</v>
      </c>
      <c r="P1019" s="201"/>
      <c r="R1019" s="202">
        <v>8818300</v>
      </c>
      <c r="U1019" s="198" t="s">
        <v>763</v>
      </c>
      <c r="AA1019" s="198" t="s">
        <v>51</v>
      </c>
      <c r="AB1019" s="202">
        <v>8818300</v>
      </c>
      <c r="AC1019" s="202">
        <v>8818300</v>
      </c>
    </row>
    <row r="1020" spans="1:29" outlineLevel="2" x14ac:dyDescent="0.25">
      <c r="A1020" s="201">
        <v>46073</v>
      </c>
      <c r="D1020" s="198" t="s">
        <v>54</v>
      </c>
      <c r="E1020" s="202">
        <v>300000</v>
      </c>
      <c r="K1020" s="198" t="s">
        <v>1014</v>
      </c>
      <c r="L1020" s="198" t="s">
        <v>143</v>
      </c>
      <c r="P1020" s="201"/>
      <c r="R1020" s="202">
        <v>300000</v>
      </c>
      <c r="U1020" s="198" t="s">
        <v>763</v>
      </c>
      <c r="AA1020" s="198" t="s">
        <v>51</v>
      </c>
      <c r="AB1020" s="202">
        <v>300000</v>
      </c>
      <c r="AC1020" s="202">
        <v>300000</v>
      </c>
    </row>
    <row r="1021" spans="1:29" outlineLevel="1" x14ac:dyDescent="0.25">
      <c r="A1021" s="210"/>
      <c r="B1021" s="209"/>
      <c r="C1021" s="209"/>
      <c r="D1021" s="209" t="s">
        <v>54</v>
      </c>
      <c r="E1021" s="211">
        <v>10258300</v>
      </c>
      <c r="F1021" s="209"/>
      <c r="G1021" s="209"/>
      <c r="H1021" s="209"/>
      <c r="I1021" s="209"/>
      <c r="J1021" s="209"/>
      <c r="K1021" s="209" t="s">
        <v>54</v>
      </c>
      <c r="L1021" s="209" t="s">
        <v>54</v>
      </c>
      <c r="M1021" s="209"/>
      <c r="N1021" s="209"/>
      <c r="O1021" s="209"/>
      <c r="P1021" s="210"/>
      <c r="Q1021" s="209"/>
      <c r="R1021" s="212"/>
      <c r="S1021" s="209"/>
      <c r="T1021" s="209"/>
      <c r="U1021" s="209" t="s">
        <v>54</v>
      </c>
      <c r="V1021" s="209"/>
      <c r="W1021" s="209"/>
      <c r="X1021" s="209"/>
      <c r="Y1021" s="209"/>
      <c r="Z1021" s="209"/>
      <c r="AA1021" s="209" t="s">
        <v>54</v>
      </c>
      <c r="AB1021" s="212"/>
      <c r="AC1021" s="212"/>
    </row>
    <row r="1022" spans="1:29" outlineLevel="2" x14ac:dyDescent="0.25">
      <c r="A1022" s="201">
        <v>46060</v>
      </c>
      <c r="D1022" s="198" t="s">
        <v>54</v>
      </c>
      <c r="E1022" s="202">
        <v>374220</v>
      </c>
      <c r="K1022" s="198" t="s">
        <v>1015</v>
      </c>
      <c r="L1022" s="198" t="s">
        <v>143</v>
      </c>
      <c r="P1022" s="201"/>
      <c r="R1022" s="202">
        <v>374220</v>
      </c>
      <c r="U1022" s="198" t="s">
        <v>157</v>
      </c>
      <c r="AA1022" s="198" t="s">
        <v>51</v>
      </c>
      <c r="AB1022" s="202">
        <v>374220</v>
      </c>
      <c r="AC1022" s="202">
        <v>374220</v>
      </c>
    </row>
    <row r="1023" spans="1:29" outlineLevel="2" x14ac:dyDescent="0.25">
      <c r="A1023" s="201">
        <v>46067</v>
      </c>
      <c r="D1023" s="198" t="s">
        <v>54</v>
      </c>
      <c r="E1023" s="202">
        <v>227220</v>
      </c>
      <c r="K1023" s="198" t="s">
        <v>1015</v>
      </c>
      <c r="L1023" s="198" t="s">
        <v>143</v>
      </c>
      <c r="P1023" s="201"/>
      <c r="R1023" s="202">
        <v>227220</v>
      </c>
      <c r="U1023" s="198" t="s">
        <v>157</v>
      </c>
      <c r="AA1023" s="198" t="s">
        <v>51</v>
      </c>
      <c r="AB1023" s="202">
        <v>227220</v>
      </c>
      <c r="AC1023" s="202">
        <v>227220</v>
      </c>
    </row>
    <row r="1024" spans="1:29" outlineLevel="2" x14ac:dyDescent="0.25">
      <c r="A1024" s="201">
        <v>46067</v>
      </c>
      <c r="D1024" s="198" t="s">
        <v>54</v>
      </c>
      <c r="E1024" s="202">
        <v>-227220</v>
      </c>
      <c r="K1024" s="198" t="s">
        <v>1015</v>
      </c>
      <c r="L1024" s="198" t="s">
        <v>143</v>
      </c>
      <c r="P1024" s="201"/>
      <c r="R1024" s="202">
        <v>-227220</v>
      </c>
      <c r="U1024" s="198" t="s">
        <v>157</v>
      </c>
      <c r="AA1024" s="198" t="s">
        <v>51</v>
      </c>
      <c r="AB1024" s="202">
        <v>-227220</v>
      </c>
      <c r="AC1024" s="202">
        <v>-227220</v>
      </c>
    </row>
    <row r="1025" spans="1:29" outlineLevel="2" x14ac:dyDescent="0.25">
      <c r="A1025" s="201">
        <v>46098</v>
      </c>
      <c r="D1025" s="198" t="s">
        <v>54</v>
      </c>
      <c r="E1025" s="202">
        <v>1045984</v>
      </c>
      <c r="K1025" s="198" t="s">
        <v>1015</v>
      </c>
      <c r="L1025" s="198" t="s">
        <v>143</v>
      </c>
      <c r="P1025" s="201"/>
      <c r="R1025" s="202">
        <v>1045984</v>
      </c>
      <c r="U1025" s="198" t="s">
        <v>157</v>
      </c>
      <c r="AA1025" s="198" t="s">
        <v>51</v>
      </c>
      <c r="AB1025" s="202">
        <v>1045984</v>
      </c>
      <c r="AC1025" s="202">
        <v>1045984</v>
      </c>
    </row>
    <row r="1026" spans="1:29" outlineLevel="2" x14ac:dyDescent="0.25">
      <c r="A1026" s="201">
        <v>46116</v>
      </c>
      <c r="D1026" s="198" t="s">
        <v>54</v>
      </c>
      <c r="E1026" s="202">
        <v>316000</v>
      </c>
      <c r="K1026" s="198" t="s">
        <v>1015</v>
      </c>
      <c r="L1026" s="198" t="s">
        <v>143</v>
      </c>
      <c r="P1026" s="201"/>
      <c r="R1026" s="202">
        <v>316000</v>
      </c>
      <c r="U1026" s="198" t="s">
        <v>157</v>
      </c>
      <c r="AA1026" s="198" t="s">
        <v>51</v>
      </c>
      <c r="AB1026" s="202">
        <v>316000</v>
      </c>
      <c r="AC1026" s="202">
        <v>316000</v>
      </c>
    </row>
    <row r="1027" spans="1:29" outlineLevel="1" x14ac:dyDescent="0.25">
      <c r="A1027" s="210"/>
      <c r="B1027" s="209"/>
      <c r="C1027" s="209"/>
      <c r="D1027" s="209" t="s">
        <v>54</v>
      </c>
      <c r="E1027" s="211">
        <v>1736204</v>
      </c>
      <c r="F1027" s="209"/>
      <c r="G1027" s="209"/>
      <c r="H1027" s="209"/>
      <c r="I1027" s="209"/>
      <c r="J1027" s="209"/>
      <c r="K1027" s="209" t="s">
        <v>54</v>
      </c>
      <c r="L1027" s="209" t="s">
        <v>54</v>
      </c>
      <c r="M1027" s="209"/>
      <c r="N1027" s="209"/>
      <c r="O1027" s="209"/>
      <c r="P1027" s="210"/>
      <c r="Q1027" s="209"/>
      <c r="R1027" s="212"/>
      <c r="S1027" s="209"/>
      <c r="T1027" s="209"/>
      <c r="U1027" s="209" t="s">
        <v>54</v>
      </c>
      <c r="V1027" s="209"/>
      <c r="W1027" s="209"/>
      <c r="X1027" s="209"/>
      <c r="Y1027" s="209"/>
      <c r="Z1027" s="209"/>
      <c r="AA1027" s="209" t="s">
        <v>54</v>
      </c>
      <c r="AB1027" s="212"/>
      <c r="AC1027" s="212"/>
    </row>
    <row r="1028" spans="1:29" outlineLevel="2" x14ac:dyDescent="0.25">
      <c r="A1028" s="201">
        <v>46064</v>
      </c>
      <c r="D1028" s="198" t="s">
        <v>54</v>
      </c>
      <c r="E1028" s="202">
        <v>1125000</v>
      </c>
      <c r="K1028" s="198" t="s">
        <v>1017</v>
      </c>
      <c r="L1028" s="198" t="s">
        <v>143</v>
      </c>
      <c r="P1028" s="201"/>
      <c r="R1028" s="202">
        <v>1125000</v>
      </c>
      <c r="U1028" s="198" t="s">
        <v>1016</v>
      </c>
      <c r="AA1028" s="198" t="s">
        <v>51</v>
      </c>
      <c r="AB1028" s="202">
        <v>1125000</v>
      </c>
      <c r="AC1028" s="202">
        <v>1125000</v>
      </c>
    </row>
    <row r="1029" spans="1:29" outlineLevel="2" x14ac:dyDescent="0.25">
      <c r="A1029" s="201">
        <v>46064</v>
      </c>
      <c r="D1029" s="198" t="s">
        <v>54</v>
      </c>
      <c r="E1029" s="202">
        <v>-1125000</v>
      </c>
      <c r="K1029" s="198" t="s">
        <v>1017</v>
      </c>
      <c r="L1029" s="198" t="s">
        <v>143</v>
      </c>
      <c r="P1029" s="201"/>
      <c r="R1029" s="202">
        <v>-1125000</v>
      </c>
      <c r="U1029" s="198" t="s">
        <v>1016</v>
      </c>
      <c r="AA1029" s="198" t="s">
        <v>51</v>
      </c>
      <c r="AB1029" s="202">
        <v>-1125000</v>
      </c>
      <c r="AC1029" s="202">
        <v>-1125000</v>
      </c>
    </row>
    <row r="1030" spans="1:29" outlineLevel="2" x14ac:dyDescent="0.25">
      <c r="A1030" s="201">
        <v>46064</v>
      </c>
      <c r="D1030" s="198" t="s">
        <v>54</v>
      </c>
      <c r="E1030" s="202">
        <v>375000</v>
      </c>
      <c r="K1030" s="198" t="s">
        <v>1017</v>
      </c>
      <c r="L1030" s="198" t="s">
        <v>143</v>
      </c>
      <c r="P1030" s="201"/>
      <c r="R1030" s="202">
        <v>375000</v>
      </c>
      <c r="U1030" s="198" t="s">
        <v>1016</v>
      </c>
      <c r="AA1030" s="198" t="s">
        <v>51</v>
      </c>
      <c r="AB1030" s="202">
        <v>375000</v>
      </c>
      <c r="AC1030" s="202">
        <v>375000</v>
      </c>
    </row>
    <row r="1031" spans="1:29" outlineLevel="2" x14ac:dyDescent="0.25">
      <c r="A1031" s="201">
        <v>46064</v>
      </c>
      <c r="D1031" s="198" t="s">
        <v>54</v>
      </c>
      <c r="E1031" s="202">
        <v>-375000</v>
      </c>
      <c r="K1031" s="198" t="s">
        <v>1017</v>
      </c>
      <c r="L1031" s="198" t="s">
        <v>143</v>
      </c>
      <c r="P1031" s="201"/>
      <c r="R1031" s="202">
        <v>-375000</v>
      </c>
      <c r="U1031" s="198" t="s">
        <v>1016</v>
      </c>
      <c r="AA1031" s="198" t="s">
        <v>51</v>
      </c>
      <c r="AB1031" s="202">
        <v>-375000</v>
      </c>
      <c r="AC1031" s="202">
        <v>-375000</v>
      </c>
    </row>
    <row r="1032" spans="1:29" outlineLevel="1" x14ac:dyDescent="0.25">
      <c r="A1032" s="210"/>
      <c r="B1032" s="209"/>
      <c r="C1032" s="209"/>
      <c r="D1032" s="209" t="s">
        <v>54</v>
      </c>
      <c r="E1032" s="211">
        <v>0</v>
      </c>
      <c r="F1032" s="209"/>
      <c r="G1032" s="209"/>
      <c r="H1032" s="209"/>
      <c r="I1032" s="209"/>
      <c r="J1032" s="209"/>
      <c r="K1032" s="209" t="s">
        <v>54</v>
      </c>
      <c r="L1032" s="209" t="s">
        <v>54</v>
      </c>
      <c r="M1032" s="209"/>
      <c r="N1032" s="209"/>
      <c r="O1032" s="209"/>
      <c r="P1032" s="210"/>
      <c r="Q1032" s="209"/>
      <c r="R1032" s="212"/>
      <c r="S1032" s="209"/>
      <c r="T1032" s="209"/>
      <c r="U1032" s="209" t="s">
        <v>54</v>
      </c>
      <c r="V1032" s="209"/>
      <c r="W1032" s="209"/>
      <c r="X1032" s="209"/>
      <c r="Y1032" s="209"/>
      <c r="Z1032" s="209"/>
      <c r="AA1032" s="209" t="s">
        <v>54</v>
      </c>
      <c r="AB1032" s="212"/>
      <c r="AC1032" s="212"/>
    </row>
    <row r="1033" spans="1:29" outlineLevel="2" x14ac:dyDescent="0.25">
      <c r="A1033" s="201">
        <v>46112</v>
      </c>
      <c r="D1033" s="198" t="s">
        <v>54</v>
      </c>
      <c r="E1033" s="202">
        <v>2940050</v>
      </c>
      <c r="K1033" s="198" t="s">
        <v>1018</v>
      </c>
      <c r="L1033" s="198" t="s">
        <v>143</v>
      </c>
      <c r="P1033" s="201"/>
      <c r="R1033" s="202">
        <v>2940050</v>
      </c>
      <c r="U1033" s="198" t="s">
        <v>804</v>
      </c>
      <c r="AA1033" s="198" t="s">
        <v>51</v>
      </c>
      <c r="AB1033" s="202">
        <v>2940050</v>
      </c>
      <c r="AC1033" s="202">
        <v>2940050</v>
      </c>
    </row>
    <row r="1034" spans="1:29" outlineLevel="2" x14ac:dyDescent="0.25">
      <c r="A1034" s="201">
        <v>46122</v>
      </c>
      <c r="D1034" s="198" t="s">
        <v>54</v>
      </c>
      <c r="E1034" s="202">
        <v>311030</v>
      </c>
      <c r="K1034" s="198" t="s">
        <v>1018</v>
      </c>
      <c r="L1034" s="198" t="s">
        <v>143</v>
      </c>
      <c r="P1034" s="201"/>
      <c r="R1034" s="202">
        <v>311030</v>
      </c>
      <c r="U1034" s="198" t="s">
        <v>804</v>
      </c>
      <c r="AA1034" s="198" t="s">
        <v>51</v>
      </c>
      <c r="AB1034" s="202">
        <v>311030</v>
      </c>
      <c r="AC1034" s="202">
        <v>311030</v>
      </c>
    </row>
    <row r="1035" spans="1:29" outlineLevel="1" x14ac:dyDescent="0.25">
      <c r="A1035" s="210"/>
      <c r="B1035" s="209"/>
      <c r="C1035" s="209"/>
      <c r="D1035" s="209" t="s">
        <v>54</v>
      </c>
      <c r="E1035" s="211">
        <v>3251080</v>
      </c>
      <c r="F1035" s="209"/>
      <c r="G1035" s="209"/>
      <c r="H1035" s="209"/>
      <c r="I1035" s="209"/>
      <c r="J1035" s="209"/>
      <c r="K1035" s="209" t="s">
        <v>54</v>
      </c>
      <c r="L1035" s="209" t="s">
        <v>54</v>
      </c>
      <c r="M1035" s="209"/>
      <c r="N1035" s="209"/>
      <c r="O1035" s="209"/>
      <c r="P1035" s="210"/>
      <c r="Q1035" s="209"/>
      <c r="R1035" s="212"/>
      <c r="S1035" s="209"/>
      <c r="T1035" s="209"/>
      <c r="U1035" s="209" t="s">
        <v>54</v>
      </c>
      <c r="V1035" s="209"/>
      <c r="W1035" s="209"/>
      <c r="X1035" s="209"/>
      <c r="Y1035" s="209"/>
      <c r="Z1035" s="209"/>
      <c r="AA1035" s="209" t="s">
        <v>54</v>
      </c>
      <c r="AB1035" s="212"/>
      <c r="AC1035" s="212"/>
    </row>
    <row r="1036" spans="1:29" outlineLevel="2" x14ac:dyDescent="0.25">
      <c r="A1036" s="201">
        <v>46018</v>
      </c>
      <c r="D1036" s="198" t="s">
        <v>54</v>
      </c>
      <c r="E1036" s="202">
        <v>1100000</v>
      </c>
      <c r="K1036" s="198" t="s">
        <v>1019</v>
      </c>
      <c r="L1036" s="198" t="s">
        <v>143</v>
      </c>
      <c r="P1036" s="201"/>
      <c r="R1036" s="202">
        <v>1100000</v>
      </c>
      <c r="U1036" s="198" t="s">
        <v>276</v>
      </c>
      <c r="AA1036" s="198" t="s">
        <v>51</v>
      </c>
      <c r="AB1036" s="202">
        <v>1100000</v>
      </c>
      <c r="AC1036" s="202">
        <v>1100000</v>
      </c>
    </row>
    <row r="1037" spans="1:29" outlineLevel="2" x14ac:dyDescent="0.25">
      <c r="A1037" s="201">
        <v>46056</v>
      </c>
      <c r="D1037" s="198" t="s">
        <v>54</v>
      </c>
      <c r="E1037" s="202">
        <v>306320</v>
      </c>
      <c r="K1037" s="198" t="s">
        <v>1019</v>
      </c>
      <c r="L1037" s="198" t="s">
        <v>143</v>
      </c>
      <c r="P1037" s="201"/>
      <c r="R1037" s="202">
        <v>306320</v>
      </c>
      <c r="U1037" s="198" t="s">
        <v>276</v>
      </c>
      <c r="AA1037" s="198" t="s">
        <v>51</v>
      </c>
      <c r="AB1037" s="202">
        <v>306320</v>
      </c>
      <c r="AC1037" s="202">
        <v>306320</v>
      </c>
    </row>
    <row r="1038" spans="1:29" outlineLevel="2" x14ac:dyDescent="0.25">
      <c r="A1038" s="201">
        <v>46058</v>
      </c>
      <c r="D1038" s="198" t="s">
        <v>54</v>
      </c>
      <c r="E1038" s="202">
        <v>981120</v>
      </c>
      <c r="K1038" s="198" t="s">
        <v>1019</v>
      </c>
      <c r="L1038" s="198" t="s">
        <v>143</v>
      </c>
      <c r="P1038" s="201"/>
      <c r="R1038" s="202">
        <v>981120</v>
      </c>
      <c r="U1038" s="198" t="s">
        <v>276</v>
      </c>
      <c r="AA1038" s="198" t="s">
        <v>51</v>
      </c>
      <c r="AB1038" s="202">
        <v>981120</v>
      </c>
      <c r="AC1038" s="202">
        <v>981120</v>
      </c>
    </row>
    <row r="1039" spans="1:29" outlineLevel="2" x14ac:dyDescent="0.25">
      <c r="A1039" s="201">
        <v>46058</v>
      </c>
      <c r="D1039" s="198" t="s">
        <v>54</v>
      </c>
      <c r="E1039" s="202">
        <v>760008</v>
      </c>
      <c r="K1039" s="198" t="s">
        <v>1019</v>
      </c>
      <c r="L1039" s="198" t="s">
        <v>143</v>
      </c>
      <c r="P1039" s="201"/>
      <c r="R1039" s="202">
        <v>760008</v>
      </c>
      <c r="U1039" s="198" t="s">
        <v>276</v>
      </c>
      <c r="AA1039" s="198" t="s">
        <v>51</v>
      </c>
      <c r="AB1039" s="202">
        <v>760008</v>
      </c>
      <c r="AC1039" s="202">
        <v>760008</v>
      </c>
    </row>
    <row r="1040" spans="1:29" outlineLevel="2" x14ac:dyDescent="0.25">
      <c r="A1040" s="201">
        <v>46059</v>
      </c>
      <c r="D1040" s="198" t="s">
        <v>54</v>
      </c>
      <c r="E1040" s="202">
        <v>964000</v>
      </c>
      <c r="K1040" s="198" t="s">
        <v>1019</v>
      </c>
      <c r="L1040" s="198" t="s">
        <v>143</v>
      </c>
      <c r="P1040" s="201"/>
      <c r="R1040" s="202">
        <v>964000</v>
      </c>
      <c r="U1040" s="198" t="s">
        <v>276</v>
      </c>
      <c r="AA1040" s="198" t="s">
        <v>51</v>
      </c>
      <c r="AB1040" s="202">
        <v>964000</v>
      </c>
      <c r="AC1040" s="202">
        <v>964000</v>
      </c>
    </row>
    <row r="1041" spans="1:29" outlineLevel="2" x14ac:dyDescent="0.25">
      <c r="A1041" s="201">
        <v>46069</v>
      </c>
      <c r="D1041" s="198" t="s">
        <v>54</v>
      </c>
      <c r="E1041" s="202">
        <v>23441.599999999999</v>
      </c>
      <c r="K1041" s="198" t="s">
        <v>1019</v>
      </c>
      <c r="L1041" s="198" t="s">
        <v>143</v>
      </c>
      <c r="P1041" s="201"/>
      <c r="R1041" s="202">
        <v>23441.599999999999</v>
      </c>
      <c r="U1041" s="198" t="s">
        <v>276</v>
      </c>
      <c r="AA1041" s="198" t="s">
        <v>51</v>
      </c>
      <c r="AB1041" s="202">
        <v>23441.599999999999</v>
      </c>
      <c r="AC1041" s="202">
        <v>23441.599999999999</v>
      </c>
    </row>
    <row r="1042" spans="1:29" outlineLevel="2" x14ac:dyDescent="0.25">
      <c r="A1042" s="201">
        <v>46078</v>
      </c>
      <c r="D1042" s="198" t="s">
        <v>54</v>
      </c>
      <c r="E1042" s="202">
        <v>1305290.3999999999</v>
      </c>
      <c r="K1042" s="198" t="s">
        <v>1019</v>
      </c>
      <c r="L1042" s="198" t="s">
        <v>143</v>
      </c>
      <c r="P1042" s="201"/>
      <c r="R1042" s="202">
        <v>1305290.3999999999</v>
      </c>
      <c r="U1042" s="198" t="s">
        <v>276</v>
      </c>
      <c r="AA1042" s="198" t="s">
        <v>51</v>
      </c>
      <c r="AB1042" s="202">
        <v>1305290.3999999999</v>
      </c>
      <c r="AC1042" s="202">
        <v>1305290.3999999999</v>
      </c>
    </row>
    <row r="1043" spans="1:29" outlineLevel="2" x14ac:dyDescent="0.25">
      <c r="A1043" s="201">
        <v>46081</v>
      </c>
      <c r="D1043" s="198" t="s">
        <v>54</v>
      </c>
      <c r="E1043" s="202">
        <v>50559820</v>
      </c>
      <c r="K1043" s="198" t="s">
        <v>1019</v>
      </c>
      <c r="L1043" s="198" t="s">
        <v>143</v>
      </c>
      <c r="P1043" s="201"/>
      <c r="R1043" s="202">
        <v>50559820</v>
      </c>
      <c r="U1043" s="198" t="s">
        <v>276</v>
      </c>
      <c r="AA1043" s="198" t="s">
        <v>51</v>
      </c>
      <c r="AB1043" s="202">
        <v>50559820</v>
      </c>
      <c r="AC1043" s="202">
        <v>50559820</v>
      </c>
    </row>
    <row r="1044" spans="1:29" outlineLevel="1" x14ac:dyDescent="0.25">
      <c r="A1044" s="210"/>
      <c r="B1044" s="209"/>
      <c r="C1044" s="209"/>
      <c r="D1044" s="209" t="s">
        <v>54</v>
      </c>
      <c r="E1044" s="211">
        <v>56000000</v>
      </c>
      <c r="F1044" s="209"/>
      <c r="G1044" s="209"/>
      <c r="H1044" s="209"/>
      <c r="I1044" s="209"/>
      <c r="J1044" s="209"/>
      <c r="K1044" s="209" t="s">
        <v>54</v>
      </c>
      <c r="L1044" s="209" t="s">
        <v>54</v>
      </c>
      <c r="M1044" s="209"/>
      <c r="N1044" s="209"/>
      <c r="O1044" s="209"/>
      <c r="P1044" s="210"/>
      <c r="Q1044" s="209"/>
      <c r="R1044" s="212"/>
      <c r="S1044" s="209"/>
      <c r="T1044" s="209"/>
      <c r="U1044" s="209" t="s">
        <v>54</v>
      </c>
      <c r="V1044" s="209"/>
      <c r="W1044" s="209"/>
      <c r="X1044" s="209"/>
      <c r="Y1044" s="209"/>
      <c r="Z1044" s="209"/>
      <c r="AA1044" s="209" t="s">
        <v>54</v>
      </c>
      <c r="AB1044" s="212"/>
      <c r="AC1044" s="212"/>
    </row>
    <row r="1045" spans="1:29" outlineLevel="2" x14ac:dyDescent="0.25">
      <c r="A1045" s="201">
        <v>46150</v>
      </c>
      <c r="D1045" s="198" t="s">
        <v>54</v>
      </c>
      <c r="E1045" s="202">
        <v>600</v>
      </c>
      <c r="K1045" s="198" t="s">
        <v>1762</v>
      </c>
      <c r="L1045" s="198" t="s">
        <v>143</v>
      </c>
      <c r="P1045" s="201"/>
      <c r="R1045" s="202">
        <v>600</v>
      </c>
      <c r="U1045" s="198" t="s">
        <v>1436</v>
      </c>
      <c r="AA1045" s="198" t="s">
        <v>51</v>
      </c>
      <c r="AB1045" s="202">
        <v>600</v>
      </c>
      <c r="AC1045" s="202">
        <v>600</v>
      </c>
    </row>
    <row r="1046" spans="1:29" outlineLevel="2" x14ac:dyDescent="0.25">
      <c r="A1046" s="201">
        <v>46150</v>
      </c>
      <c r="D1046" s="198" t="s">
        <v>54</v>
      </c>
      <c r="E1046" s="202">
        <v>700</v>
      </c>
      <c r="K1046" s="198" t="s">
        <v>1762</v>
      </c>
      <c r="L1046" s="198" t="s">
        <v>143</v>
      </c>
      <c r="P1046" s="201"/>
      <c r="R1046" s="202">
        <v>700</v>
      </c>
      <c r="U1046" s="198" t="s">
        <v>1436</v>
      </c>
      <c r="AA1046" s="198" t="s">
        <v>51</v>
      </c>
      <c r="AB1046" s="202">
        <v>700</v>
      </c>
      <c r="AC1046" s="202">
        <v>700</v>
      </c>
    </row>
    <row r="1047" spans="1:29" outlineLevel="1" x14ac:dyDescent="0.25">
      <c r="A1047" s="210"/>
      <c r="B1047" s="209"/>
      <c r="C1047" s="209"/>
      <c r="D1047" s="209" t="s">
        <v>54</v>
      </c>
      <c r="E1047" s="211">
        <v>1300</v>
      </c>
      <c r="F1047" s="209"/>
      <c r="G1047" s="209"/>
      <c r="H1047" s="209"/>
      <c r="I1047" s="209"/>
      <c r="J1047" s="209"/>
      <c r="K1047" s="209" t="s">
        <v>54</v>
      </c>
      <c r="L1047" s="209" t="s">
        <v>54</v>
      </c>
      <c r="M1047" s="209"/>
      <c r="N1047" s="209"/>
      <c r="O1047" s="209"/>
      <c r="P1047" s="210"/>
      <c r="Q1047" s="209"/>
      <c r="R1047" s="212"/>
      <c r="S1047" s="209"/>
      <c r="T1047" s="209"/>
      <c r="U1047" s="209" t="s">
        <v>54</v>
      </c>
      <c r="V1047" s="209"/>
      <c r="W1047" s="209"/>
      <c r="X1047" s="209"/>
      <c r="Y1047" s="209"/>
      <c r="Z1047" s="209"/>
      <c r="AA1047" s="209" t="s">
        <v>54</v>
      </c>
      <c r="AB1047" s="212"/>
      <c r="AC1047" s="212"/>
    </row>
    <row r="1048" spans="1:29" outlineLevel="2" x14ac:dyDescent="0.25">
      <c r="A1048" s="201">
        <v>46146</v>
      </c>
      <c r="D1048" s="198" t="s">
        <v>54</v>
      </c>
      <c r="E1048" s="202">
        <v>7011000</v>
      </c>
      <c r="K1048" s="198" t="s">
        <v>1763</v>
      </c>
      <c r="L1048" s="198" t="s">
        <v>143</v>
      </c>
      <c r="P1048" s="201"/>
      <c r="R1048" s="202">
        <v>7011000</v>
      </c>
      <c r="U1048" s="198" t="s">
        <v>1440</v>
      </c>
      <c r="AA1048" s="198" t="s">
        <v>51</v>
      </c>
      <c r="AB1048" s="202">
        <v>7011000</v>
      </c>
      <c r="AC1048" s="202">
        <v>7011000</v>
      </c>
    </row>
    <row r="1049" spans="1:29" outlineLevel="1" x14ac:dyDescent="0.25">
      <c r="A1049" s="210"/>
      <c r="B1049" s="209"/>
      <c r="C1049" s="209"/>
      <c r="D1049" s="209" t="s">
        <v>54</v>
      </c>
      <c r="E1049" s="211">
        <v>7011000</v>
      </c>
      <c r="F1049" s="209"/>
      <c r="G1049" s="209"/>
      <c r="H1049" s="209"/>
      <c r="I1049" s="209"/>
      <c r="J1049" s="209"/>
      <c r="K1049" s="209" t="s">
        <v>54</v>
      </c>
      <c r="L1049" s="209" t="s">
        <v>54</v>
      </c>
      <c r="M1049" s="209"/>
      <c r="N1049" s="209"/>
      <c r="O1049" s="209"/>
      <c r="P1049" s="210"/>
      <c r="Q1049" s="209"/>
      <c r="R1049" s="212"/>
      <c r="S1049" s="209"/>
      <c r="T1049" s="209"/>
      <c r="U1049" s="209" t="s">
        <v>54</v>
      </c>
      <c r="V1049" s="209"/>
      <c r="W1049" s="209"/>
      <c r="X1049" s="209"/>
      <c r="Y1049" s="209"/>
      <c r="Z1049" s="209"/>
      <c r="AA1049" s="209" t="s">
        <v>54</v>
      </c>
      <c r="AB1049" s="212"/>
      <c r="AC1049" s="212"/>
    </row>
    <row r="1050" spans="1:29" outlineLevel="2" x14ac:dyDescent="0.25">
      <c r="A1050" s="201">
        <v>46031</v>
      </c>
      <c r="D1050" s="198" t="s">
        <v>54</v>
      </c>
      <c r="E1050" s="202">
        <v>2124000</v>
      </c>
      <c r="K1050" s="198" t="s">
        <v>1021</v>
      </c>
      <c r="L1050" s="198" t="s">
        <v>143</v>
      </c>
      <c r="P1050" s="201"/>
      <c r="R1050" s="202">
        <v>2124000</v>
      </c>
      <c r="U1050" s="198" t="s">
        <v>1020</v>
      </c>
      <c r="AA1050" s="198" t="s">
        <v>51</v>
      </c>
      <c r="AB1050" s="202">
        <v>2124000</v>
      </c>
      <c r="AC1050" s="202">
        <v>2124000</v>
      </c>
    </row>
    <row r="1051" spans="1:29" outlineLevel="1" x14ac:dyDescent="0.25">
      <c r="A1051" s="210"/>
      <c r="B1051" s="209"/>
      <c r="C1051" s="209"/>
      <c r="D1051" s="209" t="s">
        <v>54</v>
      </c>
      <c r="E1051" s="211">
        <v>2124000</v>
      </c>
      <c r="F1051" s="209"/>
      <c r="G1051" s="209"/>
      <c r="H1051" s="209"/>
      <c r="I1051" s="209"/>
      <c r="J1051" s="209"/>
      <c r="K1051" s="209" t="s">
        <v>54</v>
      </c>
      <c r="L1051" s="209" t="s">
        <v>54</v>
      </c>
      <c r="M1051" s="209"/>
      <c r="N1051" s="209"/>
      <c r="O1051" s="209"/>
      <c r="P1051" s="210"/>
      <c r="Q1051" s="209"/>
      <c r="R1051" s="212"/>
      <c r="S1051" s="209"/>
      <c r="T1051" s="209"/>
      <c r="U1051" s="209" t="s">
        <v>54</v>
      </c>
      <c r="V1051" s="209"/>
      <c r="W1051" s="209"/>
      <c r="X1051" s="209"/>
      <c r="Y1051" s="209"/>
      <c r="Z1051" s="209"/>
      <c r="AA1051" s="209" t="s">
        <v>54</v>
      </c>
      <c r="AB1051" s="212"/>
      <c r="AC1051" s="212"/>
    </row>
    <row r="1052" spans="1:29" outlineLevel="2" x14ac:dyDescent="0.25">
      <c r="A1052" s="201">
        <v>46031</v>
      </c>
      <c r="D1052" s="198" t="s">
        <v>54</v>
      </c>
      <c r="E1052" s="202">
        <v>2124000</v>
      </c>
      <c r="K1052" s="198" t="s">
        <v>1022</v>
      </c>
      <c r="L1052" s="198" t="s">
        <v>143</v>
      </c>
      <c r="P1052" s="201"/>
      <c r="R1052" s="202">
        <v>2124000</v>
      </c>
      <c r="U1052" s="198" t="s">
        <v>786</v>
      </c>
      <c r="AA1052" s="198" t="s">
        <v>51</v>
      </c>
      <c r="AB1052" s="202">
        <v>2124000</v>
      </c>
      <c r="AC1052" s="202">
        <v>2124000</v>
      </c>
    </row>
    <row r="1053" spans="1:29" outlineLevel="1" x14ac:dyDescent="0.25">
      <c r="A1053" s="210"/>
      <c r="B1053" s="209"/>
      <c r="C1053" s="209"/>
      <c r="D1053" s="209" t="s">
        <v>54</v>
      </c>
      <c r="E1053" s="211">
        <v>2124000</v>
      </c>
      <c r="F1053" s="209"/>
      <c r="G1053" s="209"/>
      <c r="H1053" s="209"/>
      <c r="I1053" s="209"/>
      <c r="J1053" s="209"/>
      <c r="K1053" s="209" t="s">
        <v>54</v>
      </c>
      <c r="L1053" s="209" t="s">
        <v>54</v>
      </c>
      <c r="M1053" s="209"/>
      <c r="N1053" s="209"/>
      <c r="O1053" s="209"/>
      <c r="P1053" s="210"/>
      <c r="Q1053" s="209"/>
      <c r="R1053" s="212"/>
      <c r="S1053" s="209"/>
      <c r="T1053" s="209"/>
      <c r="U1053" s="209" t="s">
        <v>54</v>
      </c>
      <c r="V1053" s="209"/>
      <c r="W1053" s="209"/>
      <c r="X1053" s="209"/>
      <c r="Y1053" s="209"/>
      <c r="Z1053" s="209"/>
      <c r="AA1053" s="209" t="s">
        <v>54</v>
      </c>
      <c r="AB1053" s="212"/>
      <c r="AC1053" s="212"/>
    </row>
    <row r="1054" spans="1:29" outlineLevel="2" x14ac:dyDescent="0.25">
      <c r="A1054" s="201">
        <v>46150</v>
      </c>
      <c r="D1054" s="198" t="s">
        <v>54</v>
      </c>
      <c r="E1054" s="202">
        <v>49429</v>
      </c>
      <c r="K1054" s="198" t="s">
        <v>1764</v>
      </c>
      <c r="L1054" s="198" t="s">
        <v>143</v>
      </c>
      <c r="P1054" s="201"/>
      <c r="R1054" s="202">
        <v>49429</v>
      </c>
      <c r="U1054" s="198" t="s">
        <v>1480</v>
      </c>
      <c r="AA1054" s="198" t="s">
        <v>51</v>
      </c>
      <c r="AB1054" s="202">
        <v>49429</v>
      </c>
      <c r="AC1054" s="202">
        <v>49429</v>
      </c>
    </row>
    <row r="1055" spans="1:29" outlineLevel="2" x14ac:dyDescent="0.25">
      <c r="A1055" s="201">
        <v>46150</v>
      </c>
      <c r="D1055" s="198" t="s">
        <v>54</v>
      </c>
      <c r="E1055" s="202">
        <v>49528.79</v>
      </c>
      <c r="K1055" s="198" t="s">
        <v>1764</v>
      </c>
      <c r="L1055" s="198" t="s">
        <v>143</v>
      </c>
      <c r="P1055" s="201"/>
      <c r="R1055" s="202">
        <v>49528.79</v>
      </c>
      <c r="U1055" s="198" t="s">
        <v>1480</v>
      </c>
      <c r="AA1055" s="198" t="s">
        <v>51</v>
      </c>
      <c r="AB1055" s="202">
        <v>49528.79</v>
      </c>
      <c r="AC1055" s="202">
        <v>49528.79</v>
      </c>
    </row>
    <row r="1056" spans="1:29" outlineLevel="1" x14ac:dyDescent="0.25">
      <c r="A1056" s="210"/>
      <c r="B1056" s="209"/>
      <c r="C1056" s="209"/>
      <c r="D1056" s="209" t="s">
        <v>54</v>
      </c>
      <c r="E1056" s="211">
        <v>98957.79</v>
      </c>
      <c r="F1056" s="209"/>
      <c r="G1056" s="209"/>
      <c r="H1056" s="209"/>
      <c r="I1056" s="209"/>
      <c r="J1056" s="209"/>
      <c r="K1056" s="209" t="s">
        <v>54</v>
      </c>
      <c r="L1056" s="209" t="s">
        <v>54</v>
      </c>
      <c r="M1056" s="209"/>
      <c r="N1056" s="209"/>
      <c r="O1056" s="209"/>
      <c r="P1056" s="210"/>
      <c r="Q1056" s="209"/>
      <c r="R1056" s="212"/>
      <c r="S1056" s="209"/>
      <c r="T1056" s="209"/>
      <c r="U1056" s="209" t="s">
        <v>54</v>
      </c>
      <c r="V1056" s="209"/>
      <c r="W1056" s="209"/>
      <c r="X1056" s="209"/>
      <c r="Y1056" s="209"/>
      <c r="Z1056" s="209"/>
      <c r="AA1056" s="209" t="s">
        <v>54</v>
      </c>
      <c r="AB1056" s="212"/>
      <c r="AC1056" s="212"/>
    </row>
    <row r="1057" spans="1:29" outlineLevel="2" x14ac:dyDescent="0.25">
      <c r="A1057" s="201">
        <v>46066</v>
      </c>
      <c r="D1057" s="198" t="s">
        <v>54</v>
      </c>
      <c r="E1057" s="202">
        <v>2991525424</v>
      </c>
      <c r="K1057" s="198" t="s">
        <v>1023</v>
      </c>
      <c r="L1057" s="198" t="s">
        <v>143</v>
      </c>
      <c r="P1057" s="201"/>
      <c r="R1057" s="202">
        <v>2991525424</v>
      </c>
      <c r="U1057" s="198" t="s">
        <v>768</v>
      </c>
      <c r="AA1057" s="198" t="s">
        <v>51</v>
      </c>
      <c r="AB1057" s="202">
        <v>2991525424</v>
      </c>
      <c r="AC1057" s="202">
        <v>2991525424</v>
      </c>
    </row>
    <row r="1058" spans="1:29" outlineLevel="1" x14ac:dyDescent="0.25">
      <c r="A1058" s="210"/>
      <c r="B1058" s="209"/>
      <c r="C1058" s="209"/>
      <c r="D1058" s="209" t="s">
        <v>54</v>
      </c>
      <c r="E1058" s="211">
        <v>2991525424</v>
      </c>
      <c r="F1058" s="209"/>
      <c r="G1058" s="209"/>
      <c r="H1058" s="209"/>
      <c r="I1058" s="209"/>
      <c r="J1058" s="209"/>
      <c r="K1058" s="209" t="s">
        <v>54</v>
      </c>
      <c r="L1058" s="209" t="s">
        <v>54</v>
      </c>
      <c r="M1058" s="209"/>
      <c r="N1058" s="209"/>
      <c r="O1058" s="209"/>
      <c r="P1058" s="210"/>
      <c r="Q1058" s="209"/>
      <c r="R1058" s="212"/>
      <c r="S1058" s="209"/>
      <c r="T1058" s="209"/>
      <c r="U1058" s="209" t="s">
        <v>54</v>
      </c>
      <c r="V1058" s="209"/>
      <c r="W1058" s="209"/>
      <c r="X1058" s="209"/>
      <c r="Y1058" s="209"/>
      <c r="Z1058" s="209"/>
      <c r="AA1058" s="209" t="s">
        <v>54</v>
      </c>
      <c r="AB1058" s="212"/>
      <c r="AC1058" s="212"/>
    </row>
    <row r="1059" spans="1:29" outlineLevel="2" x14ac:dyDescent="0.25">
      <c r="A1059" s="201">
        <v>46115</v>
      </c>
      <c r="D1059" s="198" t="s">
        <v>54</v>
      </c>
      <c r="E1059" s="202">
        <v>3235429.36</v>
      </c>
      <c r="K1059" s="198" t="s">
        <v>1024</v>
      </c>
      <c r="L1059" s="198" t="s">
        <v>143</v>
      </c>
      <c r="P1059" s="201"/>
      <c r="R1059" s="202">
        <v>3235429.36</v>
      </c>
      <c r="U1059" s="198" t="s">
        <v>854</v>
      </c>
      <c r="AA1059" s="198" t="s">
        <v>51</v>
      </c>
      <c r="AB1059" s="202">
        <v>3235429.36</v>
      </c>
      <c r="AC1059" s="202">
        <v>3235429.36</v>
      </c>
    </row>
    <row r="1060" spans="1:29" outlineLevel="1" x14ac:dyDescent="0.25">
      <c r="A1060" s="210"/>
      <c r="B1060" s="209"/>
      <c r="C1060" s="209"/>
      <c r="D1060" s="209" t="s">
        <v>54</v>
      </c>
      <c r="E1060" s="211">
        <v>3235429.36</v>
      </c>
      <c r="F1060" s="209"/>
      <c r="G1060" s="209"/>
      <c r="H1060" s="209"/>
      <c r="I1060" s="209"/>
      <c r="J1060" s="209"/>
      <c r="K1060" s="209" t="s">
        <v>54</v>
      </c>
      <c r="L1060" s="209" t="s">
        <v>54</v>
      </c>
      <c r="M1060" s="209"/>
      <c r="N1060" s="209"/>
      <c r="O1060" s="209"/>
      <c r="P1060" s="210"/>
      <c r="Q1060" s="209"/>
      <c r="R1060" s="212"/>
      <c r="S1060" s="209"/>
      <c r="T1060" s="209"/>
      <c r="U1060" s="209" t="s">
        <v>54</v>
      </c>
      <c r="V1060" s="209"/>
      <c r="W1060" s="209"/>
      <c r="X1060" s="209"/>
      <c r="Y1060" s="209"/>
      <c r="Z1060" s="209"/>
      <c r="AA1060" s="209" t="s">
        <v>54</v>
      </c>
      <c r="AB1060" s="212"/>
      <c r="AC1060" s="212"/>
    </row>
    <row r="1061" spans="1:29" outlineLevel="2" x14ac:dyDescent="0.25">
      <c r="A1061" s="201">
        <v>46117</v>
      </c>
      <c r="D1061" s="198" t="s">
        <v>54</v>
      </c>
      <c r="E1061" s="202">
        <v>55479.59</v>
      </c>
      <c r="K1061" s="198" t="s">
        <v>1025</v>
      </c>
      <c r="L1061" s="198" t="s">
        <v>143</v>
      </c>
      <c r="P1061" s="201"/>
      <c r="R1061" s="202">
        <v>55479.59</v>
      </c>
      <c r="U1061" s="198" t="s">
        <v>866</v>
      </c>
      <c r="AA1061" s="198" t="s">
        <v>51</v>
      </c>
      <c r="AB1061" s="202">
        <v>55479.59</v>
      </c>
      <c r="AC1061" s="202">
        <v>55479.59</v>
      </c>
    </row>
    <row r="1062" spans="1:29" outlineLevel="1" x14ac:dyDescent="0.25">
      <c r="A1062" s="210"/>
      <c r="B1062" s="209"/>
      <c r="C1062" s="209"/>
      <c r="D1062" s="209" t="s">
        <v>54</v>
      </c>
      <c r="E1062" s="211">
        <v>55479.59</v>
      </c>
      <c r="F1062" s="209"/>
      <c r="G1062" s="209"/>
      <c r="H1062" s="209"/>
      <c r="I1062" s="209"/>
      <c r="J1062" s="209"/>
      <c r="K1062" s="209" t="s">
        <v>54</v>
      </c>
      <c r="L1062" s="209" t="s">
        <v>54</v>
      </c>
      <c r="M1062" s="209"/>
      <c r="N1062" s="209"/>
      <c r="O1062" s="209"/>
      <c r="P1062" s="210"/>
      <c r="Q1062" s="209"/>
      <c r="R1062" s="212"/>
      <c r="S1062" s="209"/>
      <c r="T1062" s="209"/>
      <c r="U1062" s="209" t="s">
        <v>54</v>
      </c>
      <c r="V1062" s="209"/>
      <c r="W1062" s="209"/>
      <c r="X1062" s="209"/>
      <c r="Y1062" s="209"/>
      <c r="Z1062" s="209"/>
      <c r="AA1062" s="209" t="s">
        <v>54</v>
      </c>
      <c r="AB1062" s="212"/>
      <c r="AC1062" s="212"/>
    </row>
    <row r="1063" spans="1:29" outlineLevel="2" x14ac:dyDescent="0.25">
      <c r="A1063" s="201">
        <v>46118</v>
      </c>
      <c r="D1063" s="198" t="s">
        <v>54</v>
      </c>
      <c r="E1063" s="202">
        <v>2561584</v>
      </c>
      <c r="K1063" s="198" t="s">
        <v>1027</v>
      </c>
      <c r="L1063" s="198" t="s">
        <v>143</v>
      </c>
      <c r="P1063" s="201"/>
      <c r="R1063" s="202">
        <v>2561584</v>
      </c>
      <c r="U1063" s="198" t="s">
        <v>1026</v>
      </c>
      <c r="AA1063" s="198" t="s">
        <v>51</v>
      </c>
      <c r="AB1063" s="202">
        <v>2561584</v>
      </c>
      <c r="AC1063" s="202">
        <v>2561584</v>
      </c>
    </row>
    <row r="1064" spans="1:29" outlineLevel="1" x14ac:dyDescent="0.25">
      <c r="A1064" s="210"/>
      <c r="B1064" s="209"/>
      <c r="C1064" s="209"/>
      <c r="D1064" s="209" t="s">
        <v>54</v>
      </c>
      <c r="E1064" s="211">
        <v>2561584</v>
      </c>
      <c r="F1064" s="209"/>
      <c r="G1064" s="209"/>
      <c r="H1064" s="209"/>
      <c r="I1064" s="209"/>
      <c r="J1064" s="209"/>
      <c r="K1064" s="209" t="s">
        <v>54</v>
      </c>
      <c r="L1064" s="209" t="s">
        <v>54</v>
      </c>
      <c r="M1064" s="209"/>
      <c r="N1064" s="209"/>
      <c r="O1064" s="209"/>
      <c r="P1064" s="210"/>
      <c r="Q1064" s="209"/>
      <c r="R1064" s="212"/>
      <c r="S1064" s="209"/>
      <c r="T1064" s="209"/>
      <c r="U1064" s="209" t="s">
        <v>54</v>
      </c>
      <c r="V1064" s="209"/>
      <c r="W1064" s="209"/>
      <c r="X1064" s="209"/>
      <c r="Y1064" s="209"/>
      <c r="Z1064" s="209"/>
      <c r="AA1064" s="209" t="s">
        <v>54</v>
      </c>
      <c r="AB1064" s="212"/>
      <c r="AC1064" s="212"/>
    </row>
    <row r="1065" spans="1:29" outlineLevel="2" x14ac:dyDescent="0.25">
      <c r="A1065" s="201">
        <v>46174</v>
      </c>
      <c r="D1065" s="198" t="s">
        <v>54</v>
      </c>
      <c r="E1065" s="202">
        <v>182515169.69999999</v>
      </c>
      <c r="K1065" s="198" t="s">
        <v>1891</v>
      </c>
      <c r="L1065" s="198" t="s">
        <v>143</v>
      </c>
      <c r="P1065" s="201"/>
      <c r="R1065" s="202">
        <v>182515169.69999999</v>
      </c>
      <c r="U1065" s="198" t="s">
        <v>1890</v>
      </c>
      <c r="AA1065" s="198" t="s">
        <v>51</v>
      </c>
      <c r="AB1065" s="202">
        <v>182515169.69999999</v>
      </c>
      <c r="AC1065" s="202">
        <v>182515169.69999999</v>
      </c>
    </row>
    <row r="1066" spans="1:29" outlineLevel="1" x14ac:dyDescent="0.25">
      <c r="A1066" s="210"/>
      <c r="B1066" s="209"/>
      <c r="C1066" s="209"/>
      <c r="D1066" s="209" t="s">
        <v>54</v>
      </c>
      <c r="E1066" s="211">
        <v>182515169.69999999</v>
      </c>
      <c r="F1066" s="209"/>
      <c r="G1066" s="209"/>
      <c r="H1066" s="209"/>
      <c r="I1066" s="209"/>
      <c r="J1066" s="209"/>
      <c r="K1066" s="209" t="s">
        <v>54</v>
      </c>
      <c r="L1066" s="209" t="s">
        <v>54</v>
      </c>
      <c r="M1066" s="209"/>
      <c r="N1066" s="209"/>
      <c r="O1066" s="209"/>
      <c r="P1066" s="210"/>
      <c r="Q1066" s="209"/>
      <c r="R1066" s="212"/>
      <c r="S1066" s="209"/>
      <c r="T1066" s="209"/>
      <c r="U1066" s="209" t="s">
        <v>54</v>
      </c>
      <c r="V1066" s="209"/>
      <c r="W1066" s="209"/>
      <c r="X1066" s="209"/>
      <c r="Y1066" s="209"/>
      <c r="Z1066" s="209"/>
      <c r="AA1066" s="209" t="s">
        <v>54</v>
      </c>
      <c r="AB1066" s="212"/>
      <c r="AC1066" s="212"/>
    </row>
    <row r="1067" spans="1:29" outlineLevel="2" x14ac:dyDescent="0.25">
      <c r="A1067" s="201">
        <v>46174</v>
      </c>
      <c r="D1067" s="198" t="s">
        <v>54</v>
      </c>
      <c r="E1067" s="202">
        <v>129791625</v>
      </c>
      <c r="K1067" s="198" t="s">
        <v>1893</v>
      </c>
      <c r="L1067" s="198" t="s">
        <v>143</v>
      </c>
      <c r="P1067" s="201"/>
      <c r="R1067" s="202">
        <v>129791625</v>
      </c>
      <c r="U1067" s="198" t="s">
        <v>1892</v>
      </c>
      <c r="AA1067" s="198" t="s">
        <v>51</v>
      </c>
      <c r="AB1067" s="202">
        <v>129791625</v>
      </c>
      <c r="AC1067" s="202">
        <v>129791625</v>
      </c>
    </row>
    <row r="1068" spans="1:29" outlineLevel="1" x14ac:dyDescent="0.25">
      <c r="A1068" s="210"/>
      <c r="B1068" s="209"/>
      <c r="C1068" s="209"/>
      <c r="D1068" s="209" t="s">
        <v>54</v>
      </c>
      <c r="E1068" s="211">
        <v>129791625</v>
      </c>
      <c r="F1068" s="209"/>
      <c r="G1068" s="209"/>
      <c r="H1068" s="209"/>
      <c r="I1068" s="209"/>
      <c r="J1068" s="209"/>
      <c r="K1068" s="209" t="s">
        <v>54</v>
      </c>
      <c r="L1068" s="209" t="s">
        <v>54</v>
      </c>
      <c r="M1068" s="209"/>
      <c r="N1068" s="209"/>
      <c r="O1068" s="209"/>
      <c r="P1068" s="210"/>
      <c r="Q1068" s="209"/>
      <c r="R1068" s="212"/>
      <c r="S1068" s="209"/>
      <c r="T1068" s="209"/>
      <c r="U1068" s="209" t="s">
        <v>54</v>
      </c>
      <c r="V1068" s="209"/>
      <c r="W1068" s="209"/>
      <c r="X1068" s="209"/>
      <c r="Y1068" s="209"/>
      <c r="Z1068" s="209"/>
      <c r="AA1068" s="209" t="s">
        <v>54</v>
      </c>
      <c r="AB1068" s="212"/>
      <c r="AC1068" s="212"/>
    </row>
    <row r="1069" spans="1:29" outlineLevel="2" x14ac:dyDescent="0.25">
      <c r="A1069" s="201">
        <v>46174</v>
      </c>
      <c r="D1069" s="198" t="s">
        <v>54</v>
      </c>
      <c r="E1069" s="202">
        <v>269783793.10000002</v>
      </c>
      <c r="K1069" s="198" t="s">
        <v>1895</v>
      </c>
      <c r="L1069" s="198" t="s">
        <v>143</v>
      </c>
      <c r="P1069" s="201"/>
      <c r="R1069" s="202">
        <v>269783793.10000002</v>
      </c>
      <c r="U1069" s="198" t="s">
        <v>1894</v>
      </c>
      <c r="AA1069" s="198" t="s">
        <v>51</v>
      </c>
      <c r="AB1069" s="202">
        <v>269783793.10000002</v>
      </c>
      <c r="AC1069" s="202">
        <v>269783793.10000002</v>
      </c>
    </row>
    <row r="1070" spans="1:29" outlineLevel="1" x14ac:dyDescent="0.25">
      <c r="A1070" s="210"/>
      <c r="B1070" s="209"/>
      <c r="C1070" s="209"/>
      <c r="D1070" s="209" t="s">
        <v>54</v>
      </c>
      <c r="E1070" s="211">
        <v>269783793.10000002</v>
      </c>
      <c r="F1070" s="209"/>
      <c r="G1070" s="209"/>
      <c r="H1070" s="209"/>
      <c r="I1070" s="209"/>
      <c r="J1070" s="209"/>
      <c r="K1070" s="209" t="s">
        <v>54</v>
      </c>
      <c r="L1070" s="209" t="s">
        <v>54</v>
      </c>
      <c r="M1070" s="209"/>
      <c r="N1070" s="209"/>
      <c r="O1070" s="209"/>
      <c r="P1070" s="210"/>
      <c r="Q1070" s="209"/>
      <c r="R1070" s="212"/>
      <c r="S1070" s="209"/>
      <c r="T1070" s="209"/>
      <c r="U1070" s="209" t="s">
        <v>54</v>
      </c>
      <c r="V1070" s="209"/>
      <c r="W1070" s="209"/>
      <c r="X1070" s="209"/>
      <c r="Y1070" s="209"/>
      <c r="Z1070" s="209"/>
      <c r="AA1070" s="209" t="s">
        <v>54</v>
      </c>
      <c r="AB1070" s="212"/>
      <c r="AC1070" s="212"/>
    </row>
    <row r="1071" spans="1:29" outlineLevel="2" x14ac:dyDescent="0.25">
      <c r="A1071" s="201">
        <v>46174</v>
      </c>
      <c r="D1071" s="198" t="s">
        <v>54</v>
      </c>
      <c r="E1071" s="202">
        <v>180952156.09999999</v>
      </c>
      <c r="K1071" s="198" t="s">
        <v>1897</v>
      </c>
      <c r="L1071" s="198" t="s">
        <v>143</v>
      </c>
      <c r="P1071" s="201"/>
      <c r="R1071" s="202">
        <v>180952156.09999999</v>
      </c>
      <c r="U1071" s="198" t="s">
        <v>1896</v>
      </c>
      <c r="AA1071" s="198" t="s">
        <v>51</v>
      </c>
      <c r="AB1071" s="202">
        <v>180952156.09999999</v>
      </c>
      <c r="AC1071" s="202">
        <v>180952156.09999999</v>
      </c>
    </row>
    <row r="1072" spans="1:29" outlineLevel="1" x14ac:dyDescent="0.25">
      <c r="A1072" s="210"/>
      <c r="B1072" s="209"/>
      <c r="C1072" s="209"/>
      <c r="D1072" s="209" t="s">
        <v>54</v>
      </c>
      <c r="E1072" s="211">
        <v>180952156.09999999</v>
      </c>
      <c r="F1072" s="209"/>
      <c r="G1072" s="209"/>
      <c r="H1072" s="209"/>
      <c r="I1072" s="209"/>
      <c r="J1072" s="209"/>
      <c r="K1072" s="209" t="s">
        <v>54</v>
      </c>
      <c r="L1072" s="209" t="s">
        <v>54</v>
      </c>
      <c r="M1072" s="209"/>
      <c r="N1072" s="209"/>
      <c r="O1072" s="209"/>
      <c r="P1072" s="210"/>
      <c r="Q1072" s="209"/>
      <c r="R1072" s="212"/>
      <c r="S1072" s="209"/>
      <c r="T1072" s="209"/>
      <c r="U1072" s="209" t="s">
        <v>54</v>
      </c>
      <c r="V1072" s="209"/>
      <c r="W1072" s="209"/>
      <c r="X1072" s="209"/>
      <c r="Y1072" s="209"/>
      <c r="Z1072" s="209"/>
      <c r="AA1072" s="209" t="s">
        <v>54</v>
      </c>
      <c r="AB1072" s="212"/>
      <c r="AC1072" s="212"/>
    </row>
    <row r="1073" spans="1:29" outlineLevel="2" x14ac:dyDescent="0.25">
      <c r="A1073" s="201">
        <v>46174</v>
      </c>
      <c r="D1073" s="198" t="s">
        <v>54</v>
      </c>
      <c r="E1073" s="202">
        <v>4201584230</v>
      </c>
      <c r="K1073" s="198" t="s">
        <v>1899</v>
      </c>
      <c r="L1073" s="198" t="s">
        <v>143</v>
      </c>
      <c r="P1073" s="201"/>
      <c r="R1073" s="202">
        <v>4201584230</v>
      </c>
      <c r="U1073" s="198" t="s">
        <v>1898</v>
      </c>
      <c r="AA1073" s="198" t="s">
        <v>51</v>
      </c>
      <c r="AB1073" s="202">
        <v>4201584230</v>
      </c>
      <c r="AC1073" s="202">
        <v>4201584230</v>
      </c>
    </row>
    <row r="1074" spans="1:29" outlineLevel="1" x14ac:dyDescent="0.25">
      <c r="A1074" s="210"/>
      <c r="B1074" s="209"/>
      <c r="C1074" s="209"/>
      <c r="D1074" s="209" t="s">
        <v>54</v>
      </c>
      <c r="E1074" s="211">
        <v>4201584230</v>
      </c>
      <c r="F1074" s="209"/>
      <c r="G1074" s="209"/>
      <c r="H1074" s="209"/>
      <c r="I1074" s="209"/>
      <c r="J1074" s="209"/>
      <c r="K1074" s="209" t="s">
        <v>54</v>
      </c>
      <c r="L1074" s="209" t="s">
        <v>54</v>
      </c>
      <c r="M1074" s="209"/>
      <c r="N1074" s="209"/>
      <c r="O1074" s="209"/>
      <c r="P1074" s="210"/>
      <c r="Q1074" s="209"/>
      <c r="R1074" s="212"/>
      <c r="S1074" s="209"/>
      <c r="T1074" s="209"/>
      <c r="U1074" s="209" t="s">
        <v>54</v>
      </c>
      <c r="V1074" s="209"/>
      <c r="W1074" s="209"/>
      <c r="X1074" s="209"/>
      <c r="Y1074" s="209"/>
      <c r="Z1074" s="209"/>
      <c r="AA1074" s="209" t="s">
        <v>54</v>
      </c>
      <c r="AB1074" s="212"/>
      <c r="AC1074" s="212"/>
    </row>
    <row r="1075" spans="1:29" outlineLevel="2" x14ac:dyDescent="0.25">
      <c r="A1075" s="201">
        <v>46174</v>
      </c>
      <c r="D1075" s="198" t="s">
        <v>54</v>
      </c>
      <c r="E1075" s="202">
        <v>1115286586</v>
      </c>
      <c r="K1075" s="198" t="s">
        <v>1901</v>
      </c>
      <c r="L1075" s="198" t="s">
        <v>143</v>
      </c>
      <c r="P1075" s="201"/>
      <c r="R1075" s="202">
        <v>1115286586</v>
      </c>
      <c r="U1075" s="198" t="s">
        <v>1900</v>
      </c>
      <c r="AA1075" s="198" t="s">
        <v>51</v>
      </c>
      <c r="AB1075" s="202">
        <v>1115286586</v>
      </c>
      <c r="AC1075" s="202">
        <v>1115286586</v>
      </c>
    </row>
    <row r="1076" spans="1:29" outlineLevel="1" x14ac:dyDescent="0.25">
      <c r="A1076" s="210"/>
      <c r="B1076" s="209"/>
      <c r="C1076" s="209"/>
      <c r="D1076" s="209" t="s">
        <v>54</v>
      </c>
      <c r="E1076" s="211">
        <v>1115286586</v>
      </c>
      <c r="F1076" s="209"/>
      <c r="G1076" s="209"/>
      <c r="H1076" s="209"/>
      <c r="I1076" s="209"/>
      <c r="J1076" s="209"/>
      <c r="K1076" s="209" t="s">
        <v>54</v>
      </c>
      <c r="L1076" s="209" t="s">
        <v>54</v>
      </c>
      <c r="M1076" s="209"/>
      <c r="N1076" s="209"/>
      <c r="O1076" s="209"/>
      <c r="P1076" s="210"/>
      <c r="Q1076" s="209"/>
      <c r="R1076" s="212"/>
      <c r="S1076" s="209"/>
      <c r="T1076" s="209"/>
      <c r="U1076" s="209" t="s">
        <v>54</v>
      </c>
      <c r="V1076" s="209"/>
      <c r="W1076" s="209"/>
      <c r="X1076" s="209"/>
      <c r="Y1076" s="209"/>
      <c r="Z1076" s="209"/>
      <c r="AA1076" s="209" t="s">
        <v>54</v>
      </c>
      <c r="AB1076" s="212"/>
      <c r="AC1076" s="212"/>
    </row>
    <row r="1077" spans="1:29" outlineLevel="2" x14ac:dyDescent="0.25">
      <c r="A1077" s="201">
        <v>46008</v>
      </c>
      <c r="D1077" s="198" t="s">
        <v>54</v>
      </c>
      <c r="E1077" s="202">
        <v>404352820</v>
      </c>
      <c r="K1077" s="198" t="s">
        <v>1028</v>
      </c>
      <c r="L1077" s="198" t="s">
        <v>65</v>
      </c>
      <c r="P1077" s="201"/>
      <c r="R1077" s="202">
        <v>404352820</v>
      </c>
      <c r="U1077" s="198" t="s">
        <v>65</v>
      </c>
      <c r="AA1077" s="198" t="s">
        <v>51</v>
      </c>
      <c r="AB1077" s="202">
        <v>404352820</v>
      </c>
      <c r="AC1077" s="202">
        <v>404352820</v>
      </c>
    </row>
    <row r="1078" spans="1:29" outlineLevel="2" x14ac:dyDescent="0.25">
      <c r="A1078" s="201">
        <v>46009</v>
      </c>
      <c r="D1078" s="198" t="s">
        <v>54</v>
      </c>
      <c r="E1078" s="202">
        <v>214477142.69999999</v>
      </c>
      <c r="K1078" s="198" t="s">
        <v>1028</v>
      </c>
      <c r="L1078" s="198" t="s">
        <v>65</v>
      </c>
      <c r="P1078" s="201"/>
      <c r="R1078" s="202">
        <v>214477142.69999999</v>
      </c>
      <c r="U1078" s="198" t="s">
        <v>65</v>
      </c>
      <c r="AA1078" s="198" t="s">
        <v>51</v>
      </c>
      <c r="AB1078" s="202">
        <v>214477142.69999999</v>
      </c>
      <c r="AC1078" s="202">
        <v>214477142.69999999</v>
      </c>
    </row>
    <row r="1079" spans="1:29" outlineLevel="2" x14ac:dyDescent="0.25">
      <c r="A1079" s="201">
        <v>46009</v>
      </c>
      <c r="D1079" s="198" t="s">
        <v>54</v>
      </c>
      <c r="E1079" s="202">
        <v>2</v>
      </c>
      <c r="K1079" s="198" t="s">
        <v>1028</v>
      </c>
      <c r="L1079" s="198" t="s">
        <v>65</v>
      </c>
      <c r="P1079" s="201"/>
      <c r="R1079" s="202">
        <v>2</v>
      </c>
      <c r="U1079" s="198" t="s">
        <v>65</v>
      </c>
      <c r="AA1079" s="198" t="s">
        <v>51</v>
      </c>
      <c r="AB1079" s="202">
        <v>2</v>
      </c>
      <c r="AC1079" s="202">
        <v>2</v>
      </c>
    </row>
    <row r="1080" spans="1:29" outlineLevel="2" x14ac:dyDescent="0.25">
      <c r="A1080" s="201">
        <v>46013</v>
      </c>
      <c r="D1080" s="198" t="s">
        <v>54</v>
      </c>
      <c r="E1080" s="202">
        <v>51848672.609999999</v>
      </c>
      <c r="K1080" s="198" t="s">
        <v>1028</v>
      </c>
      <c r="L1080" s="198" t="s">
        <v>65</v>
      </c>
      <c r="P1080" s="201"/>
      <c r="R1080" s="202">
        <v>51848672.609999999</v>
      </c>
      <c r="U1080" s="198" t="s">
        <v>65</v>
      </c>
      <c r="AA1080" s="198" t="s">
        <v>51</v>
      </c>
      <c r="AB1080" s="202">
        <v>51848672.609999999</v>
      </c>
      <c r="AC1080" s="202">
        <v>51848672.609999999</v>
      </c>
    </row>
    <row r="1081" spans="1:29" outlineLevel="2" x14ac:dyDescent="0.25">
      <c r="A1081" s="201">
        <v>46014</v>
      </c>
      <c r="D1081" s="198" t="s">
        <v>54</v>
      </c>
      <c r="E1081" s="202">
        <v>-6502002.5</v>
      </c>
      <c r="K1081" s="198" t="s">
        <v>1028</v>
      </c>
      <c r="L1081" s="198" t="s">
        <v>65</v>
      </c>
      <c r="P1081" s="201"/>
      <c r="R1081" s="202">
        <v>-6502002.5</v>
      </c>
      <c r="U1081" s="198" t="s">
        <v>65</v>
      </c>
      <c r="AA1081" s="198" t="s">
        <v>51</v>
      </c>
      <c r="AB1081" s="202">
        <v>-6502002.5</v>
      </c>
      <c r="AC1081" s="202">
        <v>-6502002.5</v>
      </c>
    </row>
    <row r="1082" spans="1:29" outlineLevel="2" x14ac:dyDescent="0.25">
      <c r="A1082" s="201">
        <v>46014</v>
      </c>
      <c r="D1082" s="198" t="s">
        <v>54</v>
      </c>
      <c r="E1082" s="202">
        <v>0.11</v>
      </c>
      <c r="K1082" s="198" t="s">
        <v>1028</v>
      </c>
      <c r="L1082" s="198" t="s">
        <v>65</v>
      </c>
      <c r="P1082" s="201"/>
      <c r="R1082" s="202">
        <v>0.11</v>
      </c>
      <c r="U1082" s="198" t="s">
        <v>65</v>
      </c>
      <c r="AA1082" s="198" t="s">
        <v>51</v>
      </c>
      <c r="AB1082" s="202">
        <v>0.11</v>
      </c>
      <c r="AC1082" s="202">
        <v>0.11</v>
      </c>
    </row>
    <row r="1083" spans="1:29" outlineLevel="2" x14ac:dyDescent="0.25">
      <c r="A1083" s="201">
        <v>46017</v>
      </c>
      <c r="D1083" s="198" t="s">
        <v>54</v>
      </c>
      <c r="E1083" s="202">
        <v>-7519369.0800000001</v>
      </c>
      <c r="K1083" s="198" t="s">
        <v>1028</v>
      </c>
      <c r="L1083" s="198" t="s">
        <v>65</v>
      </c>
      <c r="P1083" s="201"/>
      <c r="R1083" s="202">
        <v>-7519369.0800000001</v>
      </c>
      <c r="U1083" s="198" t="s">
        <v>65</v>
      </c>
      <c r="AA1083" s="198" t="s">
        <v>51</v>
      </c>
      <c r="AB1083" s="202">
        <v>-7519369.0800000001</v>
      </c>
      <c r="AC1083" s="202">
        <v>-7519369.0800000001</v>
      </c>
    </row>
    <row r="1084" spans="1:29" outlineLevel="2" x14ac:dyDescent="0.25">
      <c r="A1084" s="201">
        <v>46017</v>
      </c>
      <c r="D1084" s="198" t="s">
        <v>54</v>
      </c>
      <c r="E1084" s="202">
        <v>-4297065.84</v>
      </c>
      <c r="K1084" s="198" t="s">
        <v>1028</v>
      </c>
      <c r="L1084" s="198" t="s">
        <v>65</v>
      </c>
      <c r="P1084" s="201"/>
      <c r="R1084" s="202">
        <v>-4297065.84</v>
      </c>
      <c r="U1084" s="198" t="s">
        <v>65</v>
      </c>
      <c r="AA1084" s="198" t="s">
        <v>51</v>
      </c>
      <c r="AB1084" s="202">
        <v>-4297065.84</v>
      </c>
      <c r="AC1084" s="202">
        <v>-4297065.84</v>
      </c>
    </row>
    <row r="1085" spans="1:29" outlineLevel="2" x14ac:dyDescent="0.25">
      <c r="A1085" s="201">
        <v>46020</v>
      </c>
      <c r="D1085" s="198" t="s">
        <v>54</v>
      </c>
      <c r="E1085" s="202">
        <v>464000</v>
      </c>
      <c r="K1085" s="198" t="s">
        <v>1028</v>
      </c>
      <c r="L1085" s="198" t="s">
        <v>65</v>
      </c>
      <c r="P1085" s="201"/>
      <c r="R1085" s="202">
        <v>464000</v>
      </c>
      <c r="U1085" s="198" t="s">
        <v>65</v>
      </c>
      <c r="AA1085" s="198" t="s">
        <v>51</v>
      </c>
      <c r="AB1085" s="202">
        <v>464000</v>
      </c>
      <c r="AC1085" s="202">
        <v>464000</v>
      </c>
    </row>
    <row r="1086" spans="1:29" outlineLevel="2" x14ac:dyDescent="0.25">
      <c r="A1086" s="201">
        <v>46020</v>
      </c>
      <c r="D1086" s="198" t="s">
        <v>54</v>
      </c>
      <c r="E1086" s="202">
        <v>13092437.25</v>
      </c>
      <c r="K1086" s="198" t="s">
        <v>1028</v>
      </c>
      <c r="L1086" s="198" t="s">
        <v>65</v>
      </c>
      <c r="P1086" s="201"/>
      <c r="R1086" s="202">
        <v>13092437.25</v>
      </c>
      <c r="U1086" s="198" t="s">
        <v>65</v>
      </c>
      <c r="AA1086" s="198" t="s">
        <v>51</v>
      </c>
      <c r="AB1086" s="202">
        <v>13092437.25</v>
      </c>
      <c r="AC1086" s="202">
        <v>13092437.25</v>
      </c>
    </row>
    <row r="1087" spans="1:29" outlineLevel="2" x14ac:dyDescent="0.25">
      <c r="A1087" s="201">
        <v>46021</v>
      </c>
      <c r="D1087" s="198" t="s">
        <v>54</v>
      </c>
      <c r="E1087" s="202">
        <v>300000</v>
      </c>
      <c r="K1087" s="198" t="s">
        <v>1028</v>
      </c>
      <c r="L1087" s="198" t="s">
        <v>65</v>
      </c>
      <c r="P1087" s="201"/>
      <c r="R1087" s="202">
        <v>300000</v>
      </c>
      <c r="U1087" s="198" t="s">
        <v>65</v>
      </c>
      <c r="AA1087" s="198" t="s">
        <v>51</v>
      </c>
      <c r="AB1087" s="202">
        <v>300000</v>
      </c>
      <c r="AC1087" s="202">
        <v>300000</v>
      </c>
    </row>
    <row r="1088" spans="1:29" outlineLevel="2" x14ac:dyDescent="0.25">
      <c r="A1088" s="201">
        <v>46021</v>
      </c>
      <c r="D1088" s="198" t="s">
        <v>54</v>
      </c>
      <c r="E1088" s="202">
        <v>166459962.22</v>
      </c>
      <c r="K1088" s="198" t="s">
        <v>1028</v>
      </c>
      <c r="L1088" s="198" t="s">
        <v>65</v>
      </c>
      <c r="P1088" s="201"/>
      <c r="R1088" s="202">
        <v>166459962.22</v>
      </c>
      <c r="U1088" s="198" t="s">
        <v>65</v>
      </c>
      <c r="AA1088" s="198" t="s">
        <v>51</v>
      </c>
      <c r="AB1088" s="202">
        <v>166459962.22</v>
      </c>
      <c r="AC1088" s="202">
        <v>166459962.22</v>
      </c>
    </row>
    <row r="1089" spans="1:29" outlineLevel="2" x14ac:dyDescent="0.25">
      <c r="A1089" s="201">
        <v>46022</v>
      </c>
      <c r="D1089" s="198" t="s">
        <v>54</v>
      </c>
      <c r="E1089" s="202">
        <v>243670</v>
      </c>
      <c r="K1089" s="198" t="s">
        <v>1028</v>
      </c>
      <c r="L1089" s="198" t="s">
        <v>65</v>
      </c>
      <c r="P1089" s="201"/>
      <c r="R1089" s="202">
        <v>243670</v>
      </c>
      <c r="U1089" s="198" t="s">
        <v>65</v>
      </c>
      <c r="AA1089" s="198" t="s">
        <v>51</v>
      </c>
      <c r="AB1089" s="202">
        <v>243670</v>
      </c>
      <c r="AC1089" s="202">
        <v>243670</v>
      </c>
    </row>
    <row r="1090" spans="1:29" outlineLevel="2" x14ac:dyDescent="0.25">
      <c r="A1090" s="201">
        <v>46023</v>
      </c>
      <c r="D1090" s="198" t="s">
        <v>54</v>
      </c>
      <c r="E1090" s="202">
        <v>6682300</v>
      </c>
      <c r="K1090" s="198" t="s">
        <v>1028</v>
      </c>
      <c r="L1090" s="198" t="s">
        <v>65</v>
      </c>
      <c r="P1090" s="201"/>
      <c r="R1090" s="202">
        <v>6682300</v>
      </c>
      <c r="U1090" s="198" t="s">
        <v>65</v>
      </c>
      <c r="AA1090" s="198" t="s">
        <v>51</v>
      </c>
      <c r="AB1090" s="202">
        <v>6682300</v>
      </c>
      <c r="AC1090" s="202">
        <v>6682300</v>
      </c>
    </row>
    <row r="1091" spans="1:29" outlineLevel="2" x14ac:dyDescent="0.25">
      <c r="A1091" s="201">
        <v>46035</v>
      </c>
      <c r="D1091" s="198" t="s">
        <v>54</v>
      </c>
      <c r="E1091" s="202">
        <v>1996000</v>
      </c>
      <c r="K1091" s="198" t="s">
        <v>1028</v>
      </c>
      <c r="L1091" s="198" t="s">
        <v>65</v>
      </c>
      <c r="P1091" s="201"/>
      <c r="R1091" s="202">
        <v>1996000</v>
      </c>
      <c r="U1091" s="198" t="s">
        <v>65</v>
      </c>
      <c r="AA1091" s="198" t="s">
        <v>51</v>
      </c>
      <c r="AB1091" s="202">
        <v>1996000</v>
      </c>
      <c r="AC1091" s="202">
        <v>1996000</v>
      </c>
    </row>
    <row r="1092" spans="1:29" outlineLevel="2" x14ac:dyDescent="0.25">
      <c r="A1092" s="201">
        <v>46037</v>
      </c>
      <c r="D1092" s="198" t="s">
        <v>54</v>
      </c>
      <c r="E1092" s="202">
        <v>5529130</v>
      </c>
      <c r="K1092" s="198" t="s">
        <v>1028</v>
      </c>
      <c r="L1092" s="198" t="s">
        <v>65</v>
      </c>
      <c r="P1092" s="201"/>
      <c r="R1092" s="202">
        <v>5529130</v>
      </c>
      <c r="U1092" s="198" t="s">
        <v>65</v>
      </c>
      <c r="AA1092" s="198" t="s">
        <v>51</v>
      </c>
      <c r="AB1092" s="202">
        <v>5529130</v>
      </c>
      <c r="AC1092" s="202">
        <v>5529130</v>
      </c>
    </row>
    <row r="1093" spans="1:29" outlineLevel="2" x14ac:dyDescent="0.25">
      <c r="A1093" s="201">
        <v>46043</v>
      </c>
      <c r="D1093" s="198" t="s">
        <v>54</v>
      </c>
      <c r="E1093" s="202">
        <v>7400000</v>
      </c>
      <c r="K1093" s="198" t="s">
        <v>1028</v>
      </c>
      <c r="L1093" s="198" t="s">
        <v>65</v>
      </c>
      <c r="P1093" s="201"/>
      <c r="R1093" s="202">
        <v>7400000</v>
      </c>
      <c r="U1093" s="198" t="s">
        <v>65</v>
      </c>
      <c r="AA1093" s="198" t="s">
        <v>51</v>
      </c>
      <c r="AB1093" s="202">
        <v>7400000</v>
      </c>
      <c r="AC1093" s="202">
        <v>7400000</v>
      </c>
    </row>
    <row r="1094" spans="1:29" outlineLevel="2" x14ac:dyDescent="0.25">
      <c r="A1094" s="201">
        <v>46059</v>
      </c>
      <c r="D1094" s="198" t="s">
        <v>54</v>
      </c>
      <c r="E1094" s="202">
        <v>2400000</v>
      </c>
      <c r="K1094" s="198" t="s">
        <v>1028</v>
      </c>
      <c r="L1094" s="198" t="s">
        <v>65</v>
      </c>
      <c r="P1094" s="201"/>
      <c r="R1094" s="202">
        <v>2400000</v>
      </c>
      <c r="U1094" s="198" t="s">
        <v>65</v>
      </c>
      <c r="AA1094" s="198" t="s">
        <v>51</v>
      </c>
      <c r="AB1094" s="202">
        <v>2400000</v>
      </c>
      <c r="AC1094" s="202">
        <v>2400000</v>
      </c>
    </row>
    <row r="1095" spans="1:29" outlineLevel="2" x14ac:dyDescent="0.25">
      <c r="A1095" s="201">
        <v>46065</v>
      </c>
      <c r="D1095" s="198" t="s">
        <v>54</v>
      </c>
      <c r="E1095" s="202">
        <v>10602880</v>
      </c>
      <c r="K1095" s="198" t="s">
        <v>1028</v>
      </c>
      <c r="L1095" s="198" t="s">
        <v>65</v>
      </c>
      <c r="P1095" s="201"/>
      <c r="R1095" s="202">
        <v>10602880</v>
      </c>
      <c r="U1095" s="198" t="s">
        <v>65</v>
      </c>
      <c r="AA1095" s="198" t="s">
        <v>51</v>
      </c>
      <c r="AB1095" s="202">
        <v>10602880</v>
      </c>
      <c r="AC1095" s="202">
        <v>10602880</v>
      </c>
    </row>
    <row r="1096" spans="1:29" outlineLevel="2" x14ac:dyDescent="0.25">
      <c r="A1096" s="201">
        <v>46066</v>
      </c>
      <c r="D1096" s="198" t="s">
        <v>54</v>
      </c>
      <c r="E1096" s="202">
        <v>3567000</v>
      </c>
      <c r="K1096" s="198" t="s">
        <v>1028</v>
      </c>
      <c r="L1096" s="198" t="s">
        <v>65</v>
      </c>
      <c r="P1096" s="201"/>
      <c r="R1096" s="202">
        <v>3567000</v>
      </c>
      <c r="U1096" s="198" t="s">
        <v>65</v>
      </c>
      <c r="AA1096" s="198" t="s">
        <v>51</v>
      </c>
      <c r="AB1096" s="202">
        <v>3567000</v>
      </c>
      <c r="AC1096" s="202">
        <v>3567000</v>
      </c>
    </row>
    <row r="1097" spans="1:29" outlineLevel="2" x14ac:dyDescent="0.25">
      <c r="A1097" s="201">
        <v>46071</v>
      </c>
      <c r="D1097" s="198" t="s">
        <v>54</v>
      </c>
      <c r="E1097" s="202">
        <v>2527734.52</v>
      </c>
      <c r="K1097" s="198" t="s">
        <v>1028</v>
      </c>
      <c r="L1097" s="198" t="s">
        <v>65</v>
      </c>
      <c r="P1097" s="201"/>
      <c r="R1097" s="202">
        <v>2527734.52</v>
      </c>
      <c r="U1097" s="198" t="s">
        <v>65</v>
      </c>
      <c r="AA1097" s="198" t="s">
        <v>51</v>
      </c>
      <c r="AB1097" s="202">
        <v>2527734.52</v>
      </c>
      <c r="AC1097" s="202">
        <v>2527734.52</v>
      </c>
    </row>
    <row r="1098" spans="1:29" outlineLevel="2" x14ac:dyDescent="0.25">
      <c r="A1098" s="201">
        <v>46076</v>
      </c>
      <c r="D1098" s="198" t="s">
        <v>54</v>
      </c>
      <c r="E1098" s="202">
        <v>30</v>
      </c>
      <c r="K1098" s="198" t="s">
        <v>1028</v>
      </c>
      <c r="L1098" s="198" t="s">
        <v>65</v>
      </c>
      <c r="P1098" s="201"/>
      <c r="R1098" s="202">
        <v>30</v>
      </c>
      <c r="U1098" s="198" t="s">
        <v>65</v>
      </c>
      <c r="AA1098" s="198" t="s">
        <v>51</v>
      </c>
      <c r="AB1098" s="202">
        <v>30</v>
      </c>
      <c r="AC1098" s="202">
        <v>30</v>
      </c>
    </row>
    <row r="1099" spans="1:29" outlineLevel="2" x14ac:dyDescent="0.25">
      <c r="A1099" s="201">
        <v>46077</v>
      </c>
      <c r="D1099" s="198" t="s">
        <v>54</v>
      </c>
      <c r="E1099" s="202">
        <v>321900</v>
      </c>
      <c r="K1099" s="198" t="s">
        <v>1028</v>
      </c>
      <c r="L1099" s="198" t="s">
        <v>65</v>
      </c>
      <c r="P1099" s="201"/>
      <c r="R1099" s="202">
        <v>321900</v>
      </c>
      <c r="U1099" s="198" t="s">
        <v>65</v>
      </c>
      <c r="AA1099" s="198" t="s">
        <v>51</v>
      </c>
      <c r="AB1099" s="202">
        <v>321900</v>
      </c>
      <c r="AC1099" s="202">
        <v>321900</v>
      </c>
    </row>
    <row r="1100" spans="1:29" outlineLevel="2" x14ac:dyDescent="0.25">
      <c r="A1100" s="201">
        <v>46108</v>
      </c>
      <c r="D1100" s="198" t="s">
        <v>54</v>
      </c>
      <c r="E1100" s="202">
        <v>67210050</v>
      </c>
      <c r="K1100" s="198" t="s">
        <v>1028</v>
      </c>
      <c r="L1100" s="198" t="s">
        <v>65</v>
      </c>
      <c r="P1100" s="201"/>
      <c r="R1100" s="202">
        <v>67210050</v>
      </c>
      <c r="U1100" s="198" t="s">
        <v>65</v>
      </c>
      <c r="AA1100" s="198" t="s">
        <v>51</v>
      </c>
      <c r="AB1100" s="202">
        <v>67210050</v>
      </c>
      <c r="AC1100" s="202">
        <v>67210050</v>
      </c>
    </row>
    <row r="1101" spans="1:29" outlineLevel="2" x14ac:dyDescent="0.25">
      <c r="A1101" s="201">
        <v>46112</v>
      </c>
      <c r="D1101" s="198" t="s">
        <v>54</v>
      </c>
      <c r="E1101" s="202">
        <v>-11735755.210000001</v>
      </c>
      <c r="K1101" s="198" t="s">
        <v>1028</v>
      </c>
      <c r="L1101" s="198" t="s">
        <v>65</v>
      </c>
      <c r="P1101" s="201"/>
      <c r="R1101" s="202">
        <v>-11735755.210000001</v>
      </c>
      <c r="U1101" s="198" t="s">
        <v>65</v>
      </c>
      <c r="AA1101" s="198" t="s">
        <v>51</v>
      </c>
      <c r="AB1101" s="202">
        <v>-11735755.210000001</v>
      </c>
      <c r="AC1101" s="202">
        <v>-11735755.210000001</v>
      </c>
    </row>
    <row r="1102" spans="1:29" outlineLevel="2" x14ac:dyDescent="0.25">
      <c r="A1102" s="201">
        <v>46115</v>
      </c>
      <c r="D1102" s="198" t="s">
        <v>54</v>
      </c>
      <c r="E1102" s="202">
        <v>76182186.819999993</v>
      </c>
      <c r="K1102" s="198" t="s">
        <v>1028</v>
      </c>
      <c r="L1102" s="198" t="s">
        <v>65</v>
      </c>
      <c r="P1102" s="201"/>
      <c r="R1102" s="202">
        <v>76182186.819999993</v>
      </c>
      <c r="U1102" s="198" t="s">
        <v>65</v>
      </c>
      <c r="AA1102" s="198" t="s">
        <v>51</v>
      </c>
      <c r="AB1102" s="202">
        <v>76182186.819999993</v>
      </c>
      <c r="AC1102" s="202">
        <v>76182186.819999993</v>
      </c>
    </row>
    <row r="1103" spans="1:29" outlineLevel="2" x14ac:dyDescent="0.25">
      <c r="A1103" s="201">
        <v>46119</v>
      </c>
      <c r="D1103" s="198" t="s">
        <v>54</v>
      </c>
      <c r="E1103" s="202">
        <v>1173637.3600000001</v>
      </c>
      <c r="K1103" s="198" t="s">
        <v>1028</v>
      </c>
      <c r="L1103" s="198" t="s">
        <v>65</v>
      </c>
      <c r="P1103" s="201"/>
      <c r="R1103" s="202">
        <v>1173637.3600000001</v>
      </c>
      <c r="U1103" s="198" t="s">
        <v>65</v>
      </c>
      <c r="AA1103" s="198" t="s">
        <v>51</v>
      </c>
      <c r="AB1103" s="202">
        <v>1173637.3600000001</v>
      </c>
      <c r="AC1103" s="202">
        <v>1173637.3600000001</v>
      </c>
    </row>
    <row r="1104" spans="1:29" outlineLevel="2" x14ac:dyDescent="0.25">
      <c r="A1104" s="201">
        <v>46126</v>
      </c>
      <c r="D1104" s="198" t="s">
        <v>54</v>
      </c>
      <c r="E1104" s="202">
        <v>30</v>
      </c>
      <c r="K1104" s="198" t="s">
        <v>1028</v>
      </c>
      <c r="L1104" s="198" t="s">
        <v>65</v>
      </c>
      <c r="P1104" s="201"/>
      <c r="R1104" s="202">
        <v>30</v>
      </c>
      <c r="U1104" s="198" t="s">
        <v>65</v>
      </c>
      <c r="AA1104" s="198" t="s">
        <v>51</v>
      </c>
      <c r="AB1104" s="202">
        <v>30</v>
      </c>
      <c r="AC1104" s="202">
        <v>30</v>
      </c>
    </row>
    <row r="1105" spans="1:29" outlineLevel="2" x14ac:dyDescent="0.25">
      <c r="A1105" s="201">
        <v>46134</v>
      </c>
      <c r="D1105" s="198" t="s">
        <v>54</v>
      </c>
      <c r="E1105" s="202">
        <v>22501000</v>
      </c>
      <c r="K1105" s="198" t="s">
        <v>1028</v>
      </c>
      <c r="L1105" s="198" t="s">
        <v>65</v>
      </c>
      <c r="P1105" s="201"/>
      <c r="R1105" s="202">
        <v>22501000</v>
      </c>
      <c r="U1105" s="198" t="s">
        <v>65</v>
      </c>
      <c r="AA1105" s="198" t="s">
        <v>51</v>
      </c>
      <c r="AB1105" s="202">
        <v>22501000</v>
      </c>
      <c r="AC1105" s="202">
        <v>22501000</v>
      </c>
    </row>
    <row r="1106" spans="1:29" outlineLevel="2" x14ac:dyDescent="0.25">
      <c r="A1106" s="201">
        <v>46136</v>
      </c>
      <c r="D1106" s="198" t="s">
        <v>54</v>
      </c>
      <c r="E1106" s="202">
        <v>2247092.3199999998</v>
      </c>
      <c r="K1106" s="198" t="s">
        <v>1028</v>
      </c>
      <c r="L1106" s="198" t="s">
        <v>65</v>
      </c>
      <c r="P1106" s="201"/>
      <c r="R1106" s="202">
        <v>2247092.3199999998</v>
      </c>
      <c r="U1106" s="198" t="s">
        <v>65</v>
      </c>
      <c r="AA1106" s="198" t="s">
        <v>51</v>
      </c>
      <c r="AB1106" s="202">
        <v>2247092.3199999998</v>
      </c>
      <c r="AC1106" s="202">
        <v>2247092.3199999998</v>
      </c>
    </row>
    <row r="1107" spans="1:29" outlineLevel="2" x14ac:dyDescent="0.25">
      <c r="A1107" s="201">
        <v>46136</v>
      </c>
      <c r="D1107" s="198" t="s">
        <v>54</v>
      </c>
      <c r="E1107" s="202">
        <v>1047731.59</v>
      </c>
      <c r="K1107" s="198" t="s">
        <v>1028</v>
      </c>
      <c r="L1107" s="198" t="s">
        <v>65</v>
      </c>
      <c r="P1107" s="201"/>
      <c r="R1107" s="202">
        <v>1047731.59</v>
      </c>
      <c r="U1107" s="198" t="s">
        <v>65</v>
      </c>
      <c r="AA1107" s="198" t="s">
        <v>51</v>
      </c>
      <c r="AB1107" s="202">
        <v>1047731.59</v>
      </c>
      <c r="AC1107" s="202">
        <v>1047731.59</v>
      </c>
    </row>
    <row r="1108" spans="1:29" outlineLevel="2" x14ac:dyDescent="0.25">
      <c r="A1108" s="201">
        <v>46136</v>
      </c>
      <c r="D1108" s="198" t="s">
        <v>54</v>
      </c>
      <c r="E1108" s="202">
        <v>138062.95000000001</v>
      </c>
      <c r="K1108" s="198" t="s">
        <v>1028</v>
      </c>
      <c r="L1108" s="198" t="s">
        <v>65</v>
      </c>
      <c r="P1108" s="201"/>
      <c r="R1108" s="202">
        <v>138062.95000000001</v>
      </c>
      <c r="U1108" s="198" t="s">
        <v>65</v>
      </c>
      <c r="AA1108" s="198" t="s">
        <v>51</v>
      </c>
      <c r="AB1108" s="202">
        <v>138062.95000000001</v>
      </c>
      <c r="AC1108" s="202">
        <v>138062.95000000001</v>
      </c>
    </row>
    <row r="1109" spans="1:29" outlineLevel="2" x14ac:dyDescent="0.25">
      <c r="A1109" s="201">
        <v>46136</v>
      </c>
      <c r="D1109" s="198" t="s">
        <v>54</v>
      </c>
      <c r="E1109" s="202">
        <v>13854020</v>
      </c>
      <c r="K1109" s="198" t="s">
        <v>1028</v>
      </c>
      <c r="L1109" s="198" t="s">
        <v>65</v>
      </c>
      <c r="P1109" s="201"/>
      <c r="R1109" s="202">
        <v>13854020</v>
      </c>
      <c r="U1109" s="198" t="s">
        <v>65</v>
      </c>
      <c r="AA1109" s="198" t="s">
        <v>51</v>
      </c>
      <c r="AB1109" s="202">
        <v>13854020</v>
      </c>
      <c r="AC1109" s="202">
        <v>13854020</v>
      </c>
    </row>
    <row r="1110" spans="1:29" outlineLevel="2" x14ac:dyDescent="0.25">
      <c r="A1110" s="201">
        <v>46137</v>
      </c>
      <c r="D1110" s="198" t="s">
        <v>54</v>
      </c>
      <c r="E1110" s="202">
        <v>43000.05</v>
      </c>
      <c r="K1110" s="198" t="s">
        <v>1028</v>
      </c>
      <c r="L1110" s="198" t="s">
        <v>65</v>
      </c>
      <c r="P1110" s="201"/>
      <c r="R1110" s="202">
        <v>43000.05</v>
      </c>
      <c r="U1110" s="198" t="s">
        <v>65</v>
      </c>
      <c r="AA1110" s="198" t="s">
        <v>51</v>
      </c>
      <c r="AB1110" s="202">
        <v>43000.05</v>
      </c>
      <c r="AC1110" s="202">
        <v>43000.05</v>
      </c>
    </row>
    <row r="1111" spans="1:29" outlineLevel="2" x14ac:dyDescent="0.25">
      <c r="A1111" s="201">
        <v>46137</v>
      </c>
      <c r="D1111" s="198" t="s">
        <v>54</v>
      </c>
      <c r="E1111" s="202">
        <v>1614442.53</v>
      </c>
      <c r="K1111" s="198" t="s">
        <v>1028</v>
      </c>
      <c r="L1111" s="198" t="s">
        <v>65</v>
      </c>
      <c r="P1111" s="201"/>
      <c r="R1111" s="202">
        <v>1614442.53</v>
      </c>
      <c r="U1111" s="198" t="s">
        <v>65</v>
      </c>
      <c r="AA1111" s="198" t="s">
        <v>51</v>
      </c>
      <c r="AB1111" s="202">
        <v>1614442.53</v>
      </c>
      <c r="AC1111" s="202">
        <v>1614442.53</v>
      </c>
    </row>
    <row r="1112" spans="1:29" outlineLevel="2" x14ac:dyDescent="0.25">
      <c r="A1112" s="201">
        <v>46139</v>
      </c>
      <c r="D1112" s="198" t="s">
        <v>54</v>
      </c>
      <c r="E1112" s="202">
        <v>13539221.6</v>
      </c>
      <c r="K1112" s="198" t="s">
        <v>1028</v>
      </c>
      <c r="L1112" s="198" t="s">
        <v>65</v>
      </c>
      <c r="P1112" s="201"/>
      <c r="R1112" s="202">
        <v>13539221.6</v>
      </c>
      <c r="U1112" s="198" t="s">
        <v>65</v>
      </c>
      <c r="AA1112" s="198" t="s">
        <v>51</v>
      </c>
      <c r="AB1112" s="202">
        <v>13539221.6</v>
      </c>
      <c r="AC1112" s="202">
        <v>13539221.6</v>
      </c>
    </row>
    <row r="1113" spans="1:29" outlineLevel="2" x14ac:dyDescent="0.25">
      <c r="A1113" s="201">
        <v>46141</v>
      </c>
      <c r="D1113" s="198" t="s">
        <v>54</v>
      </c>
      <c r="E1113" s="202">
        <v>13681000.41</v>
      </c>
      <c r="K1113" s="198" t="s">
        <v>1028</v>
      </c>
      <c r="L1113" s="198" t="s">
        <v>65</v>
      </c>
      <c r="P1113" s="201"/>
      <c r="R1113" s="202">
        <v>13681000.41</v>
      </c>
      <c r="U1113" s="198" t="s">
        <v>65</v>
      </c>
      <c r="AA1113" s="198" t="s">
        <v>51</v>
      </c>
      <c r="AB1113" s="202">
        <v>13681000.41</v>
      </c>
      <c r="AC1113" s="202">
        <v>13681000.41</v>
      </c>
    </row>
    <row r="1114" spans="1:29" outlineLevel="2" x14ac:dyDescent="0.25">
      <c r="A1114" s="201">
        <v>46155</v>
      </c>
      <c r="D1114" s="198" t="s">
        <v>54</v>
      </c>
      <c r="E1114" s="202">
        <v>2099305.0499999998</v>
      </c>
      <c r="K1114" s="198" t="s">
        <v>1028</v>
      </c>
      <c r="L1114" s="198" t="s">
        <v>65</v>
      </c>
      <c r="P1114" s="201"/>
      <c r="R1114" s="202">
        <v>2099305.0499999998</v>
      </c>
      <c r="U1114" s="198" t="s">
        <v>65</v>
      </c>
      <c r="AA1114" s="198" t="s">
        <v>51</v>
      </c>
      <c r="AB1114" s="202">
        <v>2099305.0499999998</v>
      </c>
      <c r="AC1114" s="202">
        <v>2099305.0499999998</v>
      </c>
    </row>
    <row r="1115" spans="1:29" outlineLevel="2" x14ac:dyDescent="0.25">
      <c r="A1115" s="201">
        <v>46155</v>
      </c>
      <c r="D1115" s="198" t="s">
        <v>54</v>
      </c>
      <c r="E1115" s="202">
        <v>4905299.09</v>
      </c>
      <c r="K1115" s="198" t="s">
        <v>1028</v>
      </c>
      <c r="L1115" s="198" t="s">
        <v>65</v>
      </c>
      <c r="P1115" s="201"/>
      <c r="R1115" s="202">
        <v>4905299.09</v>
      </c>
      <c r="U1115" s="198" t="s">
        <v>65</v>
      </c>
      <c r="AA1115" s="198" t="s">
        <v>51</v>
      </c>
      <c r="AB1115" s="202">
        <v>4905299.09</v>
      </c>
      <c r="AC1115" s="202">
        <v>4905299.09</v>
      </c>
    </row>
    <row r="1116" spans="1:29" outlineLevel="2" x14ac:dyDescent="0.25">
      <c r="A1116" s="201">
        <v>46157</v>
      </c>
      <c r="D1116" s="198" t="s">
        <v>54</v>
      </c>
      <c r="E1116" s="202">
        <v>3375000</v>
      </c>
      <c r="K1116" s="198" t="s">
        <v>1028</v>
      </c>
      <c r="L1116" s="198" t="s">
        <v>65</v>
      </c>
      <c r="P1116" s="201"/>
      <c r="R1116" s="202">
        <v>3375000</v>
      </c>
      <c r="U1116" s="198" t="s">
        <v>65</v>
      </c>
      <c r="AA1116" s="198" t="s">
        <v>51</v>
      </c>
      <c r="AB1116" s="202">
        <v>3375000</v>
      </c>
      <c r="AC1116" s="202">
        <v>3375000</v>
      </c>
    </row>
    <row r="1117" spans="1:29" outlineLevel="1" x14ac:dyDescent="0.25">
      <c r="A1117" s="210"/>
      <c r="B1117" s="209"/>
      <c r="C1117" s="209"/>
      <c r="D1117" s="209" t="s">
        <v>54</v>
      </c>
      <c r="E1117" s="211">
        <v>1085822568.55</v>
      </c>
      <c r="F1117" s="209"/>
      <c r="G1117" s="209"/>
      <c r="H1117" s="209"/>
      <c r="I1117" s="209"/>
      <c r="J1117" s="209"/>
      <c r="K1117" s="209" t="s">
        <v>54</v>
      </c>
      <c r="L1117" s="209" t="s">
        <v>54</v>
      </c>
      <c r="M1117" s="209"/>
      <c r="N1117" s="209"/>
      <c r="O1117" s="209"/>
      <c r="P1117" s="210"/>
      <c r="Q1117" s="209"/>
      <c r="R1117" s="212"/>
      <c r="S1117" s="209"/>
      <c r="T1117" s="209"/>
      <c r="U1117" s="209" t="s">
        <v>54</v>
      </c>
      <c r="V1117" s="209"/>
      <c r="W1117" s="209"/>
      <c r="X1117" s="209"/>
      <c r="Y1117" s="209"/>
      <c r="Z1117" s="209"/>
      <c r="AA1117" s="209" t="s">
        <v>54</v>
      </c>
      <c r="AB1117" s="212"/>
      <c r="AC1117" s="212"/>
    </row>
    <row r="1118" spans="1:29" outlineLevel="2" x14ac:dyDescent="0.25">
      <c r="A1118" s="201">
        <v>46008</v>
      </c>
      <c r="D1118" s="198" t="s">
        <v>54</v>
      </c>
      <c r="E1118" s="202">
        <v>3646000</v>
      </c>
      <c r="K1118" s="198" t="s">
        <v>1029</v>
      </c>
      <c r="L1118" s="198" t="s">
        <v>65</v>
      </c>
      <c r="P1118" s="201"/>
      <c r="R1118" s="202">
        <v>3646000</v>
      </c>
      <c r="U1118" s="198" t="s">
        <v>158</v>
      </c>
      <c r="AA1118" s="198" t="s">
        <v>51</v>
      </c>
      <c r="AB1118" s="202">
        <v>3646000</v>
      </c>
      <c r="AC1118" s="202">
        <v>3646000</v>
      </c>
    </row>
    <row r="1119" spans="1:29" outlineLevel="2" x14ac:dyDescent="0.25">
      <c r="A1119" s="201">
        <v>46021</v>
      </c>
      <c r="D1119" s="198" t="s">
        <v>54</v>
      </c>
      <c r="E1119" s="202">
        <v>17582400</v>
      </c>
      <c r="K1119" s="198" t="s">
        <v>1029</v>
      </c>
      <c r="L1119" s="198" t="s">
        <v>65</v>
      </c>
      <c r="P1119" s="201"/>
      <c r="R1119" s="202">
        <v>17582400</v>
      </c>
      <c r="U1119" s="198" t="s">
        <v>158</v>
      </c>
      <c r="AA1119" s="198" t="s">
        <v>51</v>
      </c>
      <c r="AB1119" s="202">
        <v>17582400</v>
      </c>
      <c r="AC1119" s="202">
        <v>17582400</v>
      </c>
    </row>
    <row r="1120" spans="1:29" outlineLevel="2" x14ac:dyDescent="0.25">
      <c r="A1120" s="201">
        <v>46035</v>
      </c>
      <c r="D1120" s="198" t="s">
        <v>54</v>
      </c>
      <c r="E1120" s="202">
        <v>1996000</v>
      </c>
      <c r="K1120" s="198" t="s">
        <v>1029</v>
      </c>
      <c r="L1120" s="198" t="s">
        <v>65</v>
      </c>
      <c r="P1120" s="201"/>
      <c r="R1120" s="202">
        <v>1996000</v>
      </c>
      <c r="U1120" s="198" t="s">
        <v>158</v>
      </c>
      <c r="AA1120" s="198" t="s">
        <v>51</v>
      </c>
      <c r="AB1120" s="202">
        <v>1996000</v>
      </c>
      <c r="AC1120" s="202">
        <v>1996000</v>
      </c>
    </row>
    <row r="1121" spans="1:29" outlineLevel="1" x14ac:dyDescent="0.25">
      <c r="A1121" s="210"/>
      <c r="B1121" s="209"/>
      <c r="C1121" s="209"/>
      <c r="D1121" s="209" t="s">
        <v>54</v>
      </c>
      <c r="E1121" s="211">
        <v>23224400</v>
      </c>
      <c r="F1121" s="209"/>
      <c r="G1121" s="209"/>
      <c r="H1121" s="209"/>
      <c r="I1121" s="209"/>
      <c r="J1121" s="209"/>
      <c r="K1121" s="209" t="s">
        <v>54</v>
      </c>
      <c r="L1121" s="209" t="s">
        <v>54</v>
      </c>
      <c r="M1121" s="209"/>
      <c r="N1121" s="209"/>
      <c r="O1121" s="209"/>
      <c r="P1121" s="210"/>
      <c r="Q1121" s="209"/>
      <c r="R1121" s="212"/>
      <c r="S1121" s="209"/>
      <c r="T1121" s="209"/>
      <c r="U1121" s="209" t="s">
        <v>54</v>
      </c>
      <c r="V1121" s="209"/>
      <c r="W1121" s="209"/>
      <c r="X1121" s="209"/>
      <c r="Y1121" s="209"/>
      <c r="Z1121" s="209"/>
      <c r="AA1121" s="209" t="s">
        <v>54</v>
      </c>
      <c r="AB1121" s="212"/>
      <c r="AC1121" s="212"/>
    </row>
    <row r="1122" spans="1:29" outlineLevel="2" x14ac:dyDescent="0.25">
      <c r="A1122" s="201">
        <v>46021</v>
      </c>
      <c r="D1122" s="198" t="s">
        <v>54</v>
      </c>
      <c r="E1122" s="202">
        <v>24171264</v>
      </c>
      <c r="K1122" s="198" t="s">
        <v>1031</v>
      </c>
      <c r="L1122" s="198" t="s">
        <v>65</v>
      </c>
      <c r="P1122" s="201"/>
      <c r="R1122" s="202">
        <v>24171264</v>
      </c>
      <c r="U1122" s="198" t="s">
        <v>1030</v>
      </c>
      <c r="AA1122" s="198" t="s">
        <v>51</v>
      </c>
      <c r="AB1122" s="202">
        <v>24171264</v>
      </c>
      <c r="AC1122" s="202">
        <v>24171264</v>
      </c>
    </row>
    <row r="1123" spans="1:29" outlineLevel="2" x14ac:dyDescent="0.25">
      <c r="A1123" s="201">
        <v>46059</v>
      </c>
      <c r="D1123" s="198" t="s">
        <v>54</v>
      </c>
      <c r="E1123" s="202">
        <v>2400000</v>
      </c>
      <c r="K1123" s="198" t="s">
        <v>1031</v>
      </c>
      <c r="L1123" s="198" t="s">
        <v>65</v>
      </c>
      <c r="P1123" s="201"/>
      <c r="R1123" s="202">
        <v>2400000</v>
      </c>
      <c r="U1123" s="198" t="s">
        <v>1030</v>
      </c>
      <c r="AA1123" s="198" t="s">
        <v>51</v>
      </c>
      <c r="AB1123" s="202">
        <v>2400000</v>
      </c>
      <c r="AC1123" s="202">
        <v>2400000</v>
      </c>
    </row>
    <row r="1124" spans="1:29" outlineLevel="2" x14ac:dyDescent="0.25">
      <c r="A1124" s="201">
        <v>46108</v>
      </c>
      <c r="D1124" s="198" t="s">
        <v>54</v>
      </c>
      <c r="E1124" s="202">
        <v>67210050</v>
      </c>
      <c r="K1124" s="198" t="s">
        <v>1031</v>
      </c>
      <c r="L1124" s="198" t="s">
        <v>65</v>
      </c>
      <c r="P1124" s="201"/>
      <c r="R1124" s="202">
        <v>67210050</v>
      </c>
      <c r="U1124" s="198" t="s">
        <v>1030</v>
      </c>
      <c r="AA1124" s="198" t="s">
        <v>51</v>
      </c>
      <c r="AB1124" s="202">
        <v>67210050</v>
      </c>
      <c r="AC1124" s="202">
        <v>67210050</v>
      </c>
    </row>
    <row r="1125" spans="1:29" outlineLevel="2" x14ac:dyDescent="0.25">
      <c r="A1125" s="201">
        <v>46134</v>
      </c>
      <c r="D1125" s="198" t="s">
        <v>54</v>
      </c>
      <c r="E1125" s="202">
        <v>22501000</v>
      </c>
      <c r="K1125" s="198" t="s">
        <v>1031</v>
      </c>
      <c r="L1125" s="198" t="s">
        <v>65</v>
      </c>
      <c r="P1125" s="201"/>
      <c r="R1125" s="202">
        <v>22501000</v>
      </c>
      <c r="U1125" s="198" t="s">
        <v>1030</v>
      </c>
      <c r="AA1125" s="198" t="s">
        <v>51</v>
      </c>
      <c r="AB1125" s="202">
        <v>22501000</v>
      </c>
      <c r="AC1125" s="202">
        <v>22501000</v>
      </c>
    </row>
    <row r="1126" spans="1:29" outlineLevel="2" x14ac:dyDescent="0.25">
      <c r="A1126" s="201">
        <v>46157</v>
      </c>
      <c r="D1126" s="198" t="s">
        <v>54</v>
      </c>
      <c r="E1126" s="202">
        <v>3375000</v>
      </c>
      <c r="K1126" s="198" t="s">
        <v>1031</v>
      </c>
      <c r="L1126" s="198" t="s">
        <v>65</v>
      </c>
      <c r="P1126" s="201"/>
      <c r="R1126" s="202">
        <v>3375000</v>
      </c>
      <c r="U1126" s="198" t="s">
        <v>1030</v>
      </c>
      <c r="AA1126" s="198" t="s">
        <v>51</v>
      </c>
      <c r="AB1126" s="202">
        <v>3375000</v>
      </c>
      <c r="AC1126" s="202">
        <v>3375000</v>
      </c>
    </row>
    <row r="1127" spans="1:29" outlineLevel="1" x14ac:dyDescent="0.25">
      <c r="A1127" s="210"/>
      <c r="B1127" s="209"/>
      <c r="C1127" s="209"/>
      <c r="D1127" s="209" t="s">
        <v>54</v>
      </c>
      <c r="E1127" s="211">
        <v>119657314</v>
      </c>
      <c r="F1127" s="209"/>
      <c r="G1127" s="209"/>
      <c r="H1127" s="209"/>
      <c r="I1127" s="209"/>
      <c r="J1127" s="209"/>
      <c r="K1127" s="209" t="s">
        <v>54</v>
      </c>
      <c r="L1127" s="209" t="s">
        <v>54</v>
      </c>
      <c r="M1127" s="209"/>
      <c r="N1127" s="209"/>
      <c r="O1127" s="209"/>
      <c r="P1127" s="210"/>
      <c r="Q1127" s="209"/>
      <c r="R1127" s="212"/>
      <c r="S1127" s="209"/>
      <c r="T1127" s="209"/>
      <c r="U1127" s="209" t="s">
        <v>54</v>
      </c>
      <c r="V1127" s="209"/>
      <c r="W1127" s="209"/>
      <c r="X1127" s="209"/>
      <c r="Y1127" s="209"/>
      <c r="Z1127" s="209"/>
      <c r="AA1127" s="209" t="s">
        <v>54</v>
      </c>
      <c r="AB1127" s="212"/>
      <c r="AC1127" s="212"/>
    </row>
    <row r="1128" spans="1:29" outlineLevel="2" x14ac:dyDescent="0.25">
      <c r="A1128" s="201">
        <v>46059</v>
      </c>
      <c r="D1128" s="198" t="s">
        <v>54</v>
      </c>
      <c r="E1128" s="202">
        <v>2400000</v>
      </c>
      <c r="K1128" s="198" t="s">
        <v>1032</v>
      </c>
      <c r="L1128" s="198" t="s">
        <v>65</v>
      </c>
      <c r="P1128" s="201"/>
      <c r="R1128" s="202">
        <v>2400000</v>
      </c>
      <c r="U1128" s="198" t="s">
        <v>285</v>
      </c>
      <c r="AA1128" s="198" t="s">
        <v>51</v>
      </c>
      <c r="AB1128" s="202">
        <v>2400000</v>
      </c>
      <c r="AC1128" s="202">
        <v>2400000</v>
      </c>
    </row>
    <row r="1129" spans="1:29" outlineLevel="2" x14ac:dyDescent="0.25">
      <c r="A1129" s="201">
        <v>46108</v>
      </c>
      <c r="D1129" s="198" t="s">
        <v>54</v>
      </c>
      <c r="E1129" s="202">
        <v>67210050</v>
      </c>
      <c r="K1129" s="198" t="s">
        <v>1032</v>
      </c>
      <c r="L1129" s="198" t="s">
        <v>65</v>
      </c>
      <c r="P1129" s="201"/>
      <c r="R1129" s="202">
        <v>67210050</v>
      </c>
      <c r="U1129" s="198" t="s">
        <v>285</v>
      </c>
      <c r="AA1129" s="198" t="s">
        <v>51</v>
      </c>
      <c r="AB1129" s="202">
        <v>67210050</v>
      </c>
      <c r="AC1129" s="202">
        <v>67210050</v>
      </c>
    </row>
    <row r="1130" spans="1:29" outlineLevel="1" x14ac:dyDescent="0.25">
      <c r="A1130" s="210"/>
      <c r="B1130" s="209"/>
      <c r="C1130" s="209"/>
      <c r="D1130" s="209" t="s">
        <v>54</v>
      </c>
      <c r="E1130" s="211">
        <v>69610050</v>
      </c>
      <c r="F1130" s="209"/>
      <c r="G1130" s="209"/>
      <c r="H1130" s="209"/>
      <c r="I1130" s="209"/>
      <c r="J1130" s="209"/>
      <c r="K1130" s="209" t="s">
        <v>54</v>
      </c>
      <c r="L1130" s="209" t="s">
        <v>54</v>
      </c>
      <c r="M1130" s="209"/>
      <c r="N1130" s="209"/>
      <c r="O1130" s="209"/>
      <c r="P1130" s="210"/>
      <c r="Q1130" s="209"/>
      <c r="R1130" s="212"/>
      <c r="S1130" s="209"/>
      <c r="T1130" s="209"/>
      <c r="U1130" s="209" t="s">
        <v>54</v>
      </c>
      <c r="V1130" s="209"/>
      <c r="W1130" s="209"/>
      <c r="X1130" s="209"/>
      <c r="Y1130" s="209"/>
      <c r="Z1130" s="209"/>
      <c r="AA1130" s="209" t="s">
        <v>54</v>
      </c>
      <c r="AB1130" s="212"/>
      <c r="AC1130" s="212"/>
    </row>
    <row r="1131" spans="1:29" outlineLevel="2" x14ac:dyDescent="0.25">
      <c r="A1131" s="201">
        <v>46134</v>
      </c>
      <c r="D1131" s="198" t="s">
        <v>54</v>
      </c>
      <c r="E1131" s="202">
        <v>22501000</v>
      </c>
      <c r="K1131" s="198" t="s">
        <v>1033</v>
      </c>
      <c r="L1131" s="198" t="s">
        <v>65</v>
      </c>
      <c r="P1131" s="201"/>
      <c r="R1131" s="202">
        <v>22501000</v>
      </c>
      <c r="U1131" s="198" t="s">
        <v>288</v>
      </c>
      <c r="AA1131" s="198" t="s">
        <v>51</v>
      </c>
      <c r="AB1131" s="202">
        <v>22501000</v>
      </c>
      <c r="AC1131" s="202">
        <v>22501000</v>
      </c>
    </row>
    <row r="1132" spans="1:29" outlineLevel="2" x14ac:dyDescent="0.25">
      <c r="A1132" s="201">
        <v>46157</v>
      </c>
      <c r="D1132" s="198" t="s">
        <v>54</v>
      </c>
      <c r="E1132" s="202">
        <v>3375000</v>
      </c>
      <c r="K1132" s="198" t="s">
        <v>1033</v>
      </c>
      <c r="L1132" s="198" t="s">
        <v>65</v>
      </c>
      <c r="P1132" s="201"/>
      <c r="R1132" s="202">
        <v>3375000</v>
      </c>
      <c r="U1132" s="198" t="s">
        <v>288</v>
      </c>
      <c r="AA1132" s="198" t="s">
        <v>51</v>
      </c>
      <c r="AB1132" s="202">
        <v>3375000</v>
      </c>
      <c r="AC1132" s="202">
        <v>3375000</v>
      </c>
    </row>
    <row r="1133" spans="1:29" outlineLevel="1" x14ac:dyDescent="0.25">
      <c r="A1133" s="210"/>
      <c r="B1133" s="209"/>
      <c r="C1133" s="209"/>
      <c r="D1133" s="209" t="s">
        <v>54</v>
      </c>
      <c r="E1133" s="211">
        <v>25876000</v>
      </c>
      <c r="F1133" s="209"/>
      <c r="G1133" s="209"/>
      <c r="H1133" s="209"/>
      <c r="I1133" s="209"/>
      <c r="J1133" s="209"/>
      <c r="K1133" s="209" t="s">
        <v>54</v>
      </c>
      <c r="L1133" s="209" t="s">
        <v>54</v>
      </c>
      <c r="M1133" s="209"/>
      <c r="N1133" s="209"/>
      <c r="O1133" s="209"/>
      <c r="P1133" s="210"/>
      <c r="Q1133" s="209"/>
      <c r="R1133" s="212"/>
      <c r="S1133" s="209"/>
      <c r="T1133" s="209"/>
      <c r="U1133" s="209" t="s">
        <v>54</v>
      </c>
      <c r="V1133" s="209"/>
      <c r="W1133" s="209"/>
      <c r="X1133" s="209"/>
      <c r="Y1133" s="209"/>
      <c r="Z1133" s="209"/>
      <c r="AA1133" s="209" t="s">
        <v>54</v>
      </c>
      <c r="AB1133" s="212"/>
      <c r="AC1133" s="212"/>
    </row>
    <row r="1134" spans="1:29" outlineLevel="2" x14ac:dyDescent="0.25">
      <c r="A1134" s="201">
        <v>46021</v>
      </c>
      <c r="D1134" s="198" t="s">
        <v>54</v>
      </c>
      <c r="E1134" s="202">
        <v>24171264</v>
      </c>
      <c r="K1134" s="198" t="s">
        <v>1034</v>
      </c>
      <c r="L1134" s="198" t="s">
        <v>65</v>
      </c>
      <c r="P1134" s="201"/>
      <c r="R1134" s="202">
        <v>24171264</v>
      </c>
      <c r="U1134" s="198" t="s">
        <v>254</v>
      </c>
      <c r="AA1134" s="198" t="s">
        <v>51</v>
      </c>
      <c r="AB1134" s="202">
        <v>24171264</v>
      </c>
      <c r="AC1134" s="202">
        <v>24171264</v>
      </c>
    </row>
    <row r="1135" spans="1:29" outlineLevel="1" x14ac:dyDescent="0.25">
      <c r="A1135" s="210"/>
      <c r="B1135" s="209"/>
      <c r="C1135" s="209"/>
      <c r="D1135" s="209" t="s">
        <v>54</v>
      </c>
      <c r="E1135" s="211">
        <v>24171264</v>
      </c>
      <c r="F1135" s="209"/>
      <c r="G1135" s="209"/>
      <c r="H1135" s="209"/>
      <c r="I1135" s="209"/>
      <c r="J1135" s="209"/>
      <c r="K1135" s="209" t="s">
        <v>54</v>
      </c>
      <c r="L1135" s="209" t="s">
        <v>54</v>
      </c>
      <c r="M1135" s="209"/>
      <c r="N1135" s="209"/>
      <c r="O1135" s="209"/>
      <c r="P1135" s="210"/>
      <c r="Q1135" s="209"/>
      <c r="R1135" s="212"/>
      <c r="S1135" s="209"/>
      <c r="T1135" s="209"/>
      <c r="U1135" s="209" t="s">
        <v>54</v>
      </c>
      <c r="V1135" s="209"/>
      <c r="W1135" s="209"/>
      <c r="X1135" s="209"/>
      <c r="Y1135" s="209"/>
      <c r="Z1135" s="209"/>
      <c r="AA1135" s="209" t="s">
        <v>54</v>
      </c>
      <c r="AB1135" s="212"/>
      <c r="AC1135" s="212"/>
    </row>
    <row r="1136" spans="1:29" outlineLevel="2" x14ac:dyDescent="0.25">
      <c r="A1136" s="201">
        <v>46021</v>
      </c>
      <c r="D1136" s="198" t="s">
        <v>54</v>
      </c>
      <c r="E1136" s="202">
        <v>124706298.22</v>
      </c>
      <c r="K1136" s="198" t="s">
        <v>1036</v>
      </c>
      <c r="L1136" s="198" t="s">
        <v>65</v>
      </c>
      <c r="P1136" s="201"/>
      <c r="R1136" s="202">
        <v>124706298.22</v>
      </c>
      <c r="U1136" s="198" t="s">
        <v>1035</v>
      </c>
      <c r="AA1136" s="198" t="s">
        <v>51</v>
      </c>
      <c r="AB1136" s="202">
        <v>124706298.22</v>
      </c>
      <c r="AC1136" s="202">
        <v>124706298.22</v>
      </c>
    </row>
    <row r="1137" spans="1:29" outlineLevel="2" x14ac:dyDescent="0.25">
      <c r="A1137" s="201">
        <v>46071</v>
      </c>
      <c r="D1137" s="198" t="s">
        <v>54</v>
      </c>
      <c r="E1137" s="202">
        <v>2527734.52</v>
      </c>
      <c r="K1137" s="198" t="s">
        <v>1036</v>
      </c>
      <c r="L1137" s="198" t="s">
        <v>65</v>
      </c>
      <c r="P1137" s="201"/>
      <c r="R1137" s="202">
        <v>2527734.52</v>
      </c>
      <c r="U1137" s="198" t="s">
        <v>1035</v>
      </c>
      <c r="AA1137" s="198" t="s">
        <v>51</v>
      </c>
      <c r="AB1137" s="202">
        <v>2527734.52</v>
      </c>
      <c r="AC1137" s="202">
        <v>2527734.52</v>
      </c>
    </row>
    <row r="1138" spans="1:29" outlineLevel="2" x14ac:dyDescent="0.25">
      <c r="A1138" s="201">
        <v>46076</v>
      </c>
      <c r="D1138" s="198" t="s">
        <v>54</v>
      </c>
      <c r="E1138" s="202">
        <v>30</v>
      </c>
      <c r="K1138" s="198" t="s">
        <v>1036</v>
      </c>
      <c r="L1138" s="198" t="s">
        <v>65</v>
      </c>
      <c r="P1138" s="201"/>
      <c r="R1138" s="202">
        <v>30</v>
      </c>
      <c r="U1138" s="198" t="s">
        <v>1035</v>
      </c>
      <c r="AA1138" s="198" t="s">
        <v>51</v>
      </c>
      <c r="AB1138" s="202">
        <v>30</v>
      </c>
      <c r="AC1138" s="202">
        <v>30</v>
      </c>
    </row>
    <row r="1139" spans="1:29" outlineLevel="2" x14ac:dyDescent="0.25">
      <c r="A1139" s="201">
        <v>46136</v>
      </c>
      <c r="D1139" s="198" t="s">
        <v>54</v>
      </c>
      <c r="E1139" s="202">
        <v>13854020</v>
      </c>
      <c r="K1139" s="198" t="s">
        <v>1036</v>
      </c>
      <c r="L1139" s="198" t="s">
        <v>65</v>
      </c>
      <c r="P1139" s="201"/>
      <c r="R1139" s="202">
        <v>13854020</v>
      </c>
      <c r="U1139" s="198" t="s">
        <v>1035</v>
      </c>
      <c r="AA1139" s="198" t="s">
        <v>51</v>
      </c>
      <c r="AB1139" s="202">
        <v>13854020</v>
      </c>
      <c r="AC1139" s="202">
        <v>13854020</v>
      </c>
    </row>
    <row r="1140" spans="1:29" outlineLevel="1" x14ac:dyDescent="0.25">
      <c r="A1140" s="210"/>
      <c r="B1140" s="209"/>
      <c r="C1140" s="209"/>
      <c r="D1140" s="209" t="s">
        <v>54</v>
      </c>
      <c r="E1140" s="211">
        <v>141088082.74000001</v>
      </c>
      <c r="F1140" s="209"/>
      <c r="G1140" s="209"/>
      <c r="H1140" s="209"/>
      <c r="I1140" s="209"/>
      <c r="J1140" s="209"/>
      <c r="K1140" s="209" t="s">
        <v>54</v>
      </c>
      <c r="L1140" s="209" t="s">
        <v>54</v>
      </c>
      <c r="M1140" s="209"/>
      <c r="N1140" s="209"/>
      <c r="O1140" s="209"/>
      <c r="P1140" s="210"/>
      <c r="Q1140" s="209"/>
      <c r="R1140" s="212"/>
      <c r="S1140" s="209"/>
      <c r="T1140" s="209"/>
      <c r="U1140" s="209" t="s">
        <v>54</v>
      </c>
      <c r="V1140" s="209"/>
      <c r="W1140" s="209"/>
      <c r="X1140" s="209"/>
      <c r="Y1140" s="209"/>
      <c r="Z1140" s="209"/>
      <c r="AA1140" s="209" t="s">
        <v>54</v>
      </c>
      <c r="AB1140" s="212"/>
      <c r="AC1140" s="212"/>
    </row>
    <row r="1141" spans="1:29" outlineLevel="2" x14ac:dyDescent="0.25">
      <c r="A1141" s="201">
        <v>46021</v>
      </c>
      <c r="D1141" s="198" t="s">
        <v>54</v>
      </c>
      <c r="E1141" s="202">
        <v>2070000</v>
      </c>
      <c r="K1141" s="198" t="s">
        <v>1037</v>
      </c>
      <c r="L1141" s="198" t="s">
        <v>65</v>
      </c>
      <c r="P1141" s="201"/>
      <c r="R1141" s="202">
        <v>2070000</v>
      </c>
      <c r="U1141" s="198" t="s">
        <v>255</v>
      </c>
      <c r="AA1141" s="198" t="s">
        <v>51</v>
      </c>
      <c r="AB1141" s="202">
        <v>2070000</v>
      </c>
      <c r="AC1141" s="202">
        <v>2070000</v>
      </c>
    </row>
    <row r="1142" spans="1:29" outlineLevel="1" x14ac:dyDescent="0.25">
      <c r="A1142" s="210"/>
      <c r="B1142" s="209"/>
      <c r="C1142" s="209"/>
      <c r="D1142" s="209" t="s">
        <v>54</v>
      </c>
      <c r="E1142" s="211">
        <v>2070000</v>
      </c>
      <c r="F1142" s="209"/>
      <c r="G1142" s="209"/>
      <c r="H1142" s="209"/>
      <c r="I1142" s="209"/>
      <c r="J1142" s="209"/>
      <c r="K1142" s="209" t="s">
        <v>54</v>
      </c>
      <c r="L1142" s="209" t="s">
        <v>54</v>
      </c>
      <c r="M1142" s="209"/>
      <c r="N1142" s="209"/>
      <c r="O1142" s="209"/>
      <c r="P1142" s="210"/>
      <c r="Q1142" s="209"/>
      <c r="R1142" s="212"/>
      <c r="S1142" s="209"/>
      <c r="T1142" s="209"/>
      <c r="U1142" s="209" t="s">
        <v>54</v>
      </c>
      <c r="V1142" s="209"/>
      <c r="W1142" s="209"/>
      <c r="X1142" s="209"/>
      <c r="Y1142" s="209"/>
      <c r="Z1142" s="209"/>
      <c r="AA1142" s="209" t="s">
        <v>54</v>
      </c>
      <c r="AB1142" s="212"/>
      <c r="AC1142" s="212"/>
    </row>
    <row r="1143" spans="1:29" outlineLevel="2" x14ac:dyDescent="0.25">
      <c r="A1143" s="201">
        <v>46021</v>
      </c>
      <c r="D1143" s="198" t="s">
        <v>54</v>
      </c>
      <c r="E1143" s="202">
        <v>42524910</v>
      </c>
      <c r="K1143" s="198" t="s">
        <v>1038</v>
      </c>
      <c r="L1143" s="198" t="s">
        <v>65</v>
      </c>
      <c r="P1143" s="201"/>
      <c r="R1143" s="202">
        <v>42524910</v>
      </c>
      <c r="U1143" s="198" t="s">
        <v>258</v>
      </c>
      <c r="AA1143" s="198" t="s">
        <v>51</v>
      </c>
      <c r="AB1143" s="202">
        <v>42524910</v>
      </c>
      <c r="AC1143" s="202">
        <v>42524910</v>
      </c>
    </row>
    <row r="1144" spans="1:29" outlineLevel="1" x14ac:dyDescent="0.25">
      <c r="A1144" s="210"/>
      <c r="B1144" s="209"/>
      <c r="C1144" s="209"/>
      <c r="D1144" s="209" t="s">
        <v>54</v>
      </c>
      <c r="E1144" s="211">
        <v>42524910</v>
      </c>
      <c r="F1144" s="209"/>
      <c r="G1144" s="209"/>
      <c r="H1144" s="209"/>
      <c r="I1144" s="209"/>
      <c r="J1144" s="209"/>
      <c r="K1144" s="209" t="s">
        <v>54</v>
      </c>
      <c r="L1144" s="209" t="s">
        <v>54</v>
      </c>
      <c r="M1144" s="209"/>
      <c r="N1144" s="209"/>
      <c r="O1144" s="209"/>
      <c r="P1144" s="210"/>
      <c r="Q1144" s="209"/>
      <c r="R1144" s="212"/>
      <c r="S1144" s="209"/>
      <c r="T1144" s="209"/>
      <c r="U1144" s="209" t="s">
        <v>54</v>
      </c>
      <c r="V1144" s="209"/>
      <c r="W1144" s="209"/>
      <c r="X1144" s="209"/>
      <c r="Y1144" s="209"/>
      <c r="Z1144" s="209"/>
      <c r="AA1144" s="209" t="s">
        <v>54</v>
      </c>
      <c r="AB1144" s="212"/>
      <c r="AC1144" s="212"/>
    </row>
    <row r="1145" spans="1:29" outlineLevel="2" x14ac:dyDescent="0.25">
      <c r="A1145" s="201">
        <v>46021</v>
      </c>
      <c r="D1145" s="198" t="s">
        <v>54</v>
      </c>
      <c r="E1145" s="202">
        <v>8562069</v>
      </c>
      <c r="K1145" s="198" t="s">
        <v>1039</v>
      </c>
      <c r="L1145" s="198" t="s">
        <v>65</v>
      </c>
      <c r="P1145" s="201"/>
      <c r="R1145" s="202">
        <v>8562069</v>
      </c>
      <c r="U1145" s="198" t="s">
        <v>745</v>
      </c>
      <c r="AA1145" s="198" t="s">
        <v>51</v>
      </c>
      <c r="AB1145" s="202">
        <v>8562069</v>
      </c>
      <c r="AC1145" s="202">
        <v>8562069</v>
      </c>
    </row>
    <row r="1146" spans="1:29" outlineLevel="1" x14ac:dyDescent="0.25">
      <c r="A1146" s="210"/>
      <c r="B1146" s="209"/>
      <c r="C1146" s="209"/>
      <c r="D1146" s="209" t="s">
        <v>54</v>
      </c>
      <c r="E1146" s="211">
        <v>8562069</v>
      </c>
      <c r="F1146" s="209"/>
      <c r="G1146" s="209"/>
      <c r="H1146" s="209"/>
      <c r="I1146" s="209"/>
      <c r="J1146" s="209"/>
      <c r="K1146" s="209" t="s">
        <v>54</v>
      </c>
      <c r="L1146" s="209" t="s">
        <v>54</v>
      </c>
      <c r="M1146" s="209"/>
      <c r="N1146" s="209"/>
      <c r="O1146" s="209"/>
      <c r="P1146" s="210"/>
      <c r="Q1146" s="209"/>
      <c r="R1146" s="212"/>
      <c r="S1146" s="209"/>
      <c r="T1146" s="209"/>
      <c r="U1146" s="209" t="s">
        <v>54</v>
      </c>
      <c r="V1146" s="209"/>
      <c r="W1146" s="209"/>
      <c r="X1146" s="209"/>
      <c r="Y1146" s="209"/>
      <c r="Z1146" s="209"/>
      <c r="AA1146" s="209" t="s">
        <v>54</v>
      </c>
      <c r="AB1146" s="212"/>
      <c r="AC1146" s="212"/>
    </row>
    <row r="1147" spans="1:29" outlineLevel="2" x14ac:dyDescent="0.25">
      <c r="A1147" s="201">
        <v>46021</v>
      </c>
      <c r="D1147" s="198" t="s">
        <v>54</v>
      </c>
      <c r="E1147" s="202">
        <v>64453336.219999999</v>
      </c>
      <c r="K1147" s="198" t="s">
        <v>1040</v>
      </c>
      <c r="L1147" s="198" t="s">
        <v>65</v>
      </c>
      <c r="P1147" s="201"/>
      <c r="R1147" s="202">
        <v>64453336.219999999</v>
      </c>
      <c r="U1147" s="198" t="s">
        <v>256</v>
      </c>
      <c r="AA1147" s="198" t="s">
        <v>51</v>
      </c>
      <c r="AB1147" s="202">
        <v>64453336.219999999</v>
      </c>
      <c r="AC1147" s="202">
        <v>64453336.219999999</v>
      </c>
    </row>
    <row r="1148" spans="1:29" outlineLevel="2" x14ac:dyDescent="0.25">
      <c r="A1148" s="201">
        <v>46071</v>
      </c>
      <c r="D1148" s="198" t="s">
        <v>54</v>
      </c>
      <c r="E1148" s="202">
        <v>2527734.52</v>
      </c>
      <c r="K1148" s="198" t="s">
        <v>1040</v>
      </c>
      <c r="L1148" s="198" t="s">
        <v>65</v>
      </c>
      <c r="P1148" s="201"/>
      <c r="R1148" s="202">
        <v>2527734.52</v>
      </c>
      <c r="U1148" s="198" t="s">
        <v>256</v>
      </c>
      <c r="AA1148" s="198" t="s">
        <v>51</v>
      </c>
      <c r="AB1148" s="202">
        <v>2527734.52</v>
      </c>
      <c r="AC1148" s="202">
        <v>2527734.52</v>
      </c>
    </row>
    <row r="1149" spans="1:29" outlineLevel="2" x14ac:dyDescent="0.25">
      <c r="A1149" s="201">
        <v>46076</v>
      </c>
      <c r="D1149" s="198" t="s">
        <v>54</v>
      </c>
      <c r="E1149" s="202">
        <v>30</v>
      </c>
      <c r="K1149" s="198" t="s">
        <v>1040</v>
      </c>
      <c r="L1149" s="198" t="s">
        <v>65</v>
      </c>
      <c r="P1149" s="201"/>
      <c r="R1149" s="202">
        <v>30</v>
      </c>
      <c r="U1149" s="198" t="s">
        <v>256</v>
      </c>
      <c r="AA1149" s="198" t="s">
        <v>51</v>
      </c>
      <c r="AB1149" s="202">
        <v>30</v>
      </c>
      <c r="AC1149" s="202">
        <v>30</v>
      </c>
    </row>
    <row r="1150" spans="1:29" outlineLevel="1" x14ac:dyDescent="0.25">
      <c r="A1150" s="210"/>
      <c r="B1150" s="209"/>
      <c r="C1150" s="209"/>
      <c r="D1150" s="209" t="s">
        <v>54</v>
      </c>
      <c r="E1150" s="211">
        <v>66981100.740000002</v>
      </c>
      <c r="F1150" s="209"/>
      <c r="G1150" s="209"/>
      <c r="H1150" s="209"/>
      <c r="I1150" s="209"/>
      <c r="J1150" s="209"/>
      <c r="K1150" s="209" t="s">
        <v>54</v>
      </c>
      <c r="L1150" s="209" t="s">
        <v>54</v>
      </c>
      <c r="M1150" s="209"/>
      <c r="N1150" s="209"/>
      <c r="O1150" s="209"/>
      <c r="P1150" s="210"/>
      <c r="Q1150" s="209"/>
      <c r="R1150" s="212"/>
      <c r="S1150" s="209"/>
      <c r="T1150" s="209"/>
      <c r="U1150" s="209" t="s">
        <v>54</v>
      </c>
      <c r="V1150" s="209"/>
      <c r="W1150" s="209"/>
      <c r="X1150" s="209"/>
      <c r="Y1150" s="209"/>
      <c r="Z1150" s="209"/>
      <c r="AA1150" s="209" t="s">
        <v>54</v>
      </c>
      <c r="AB1150" s="212"/>
      <c r="AC1150" s="212"/>
    </row>
    <row r="1151" spans="1:29" outlineLevel="2" x14ac:dyDescent="0.25">
      <c r="A1151" s="201">
        <v>46021</v>
      </c>
      <c r="D1151" s="198" t="s">
        <v>54</v>
      </c>
      <c r="E1151" s="202">
        <v>7095983</v>
      </c>
      <c r="K1151" s="198" t="s">
        <v>1041</v>
      </c>
      <c r="L1151" s="198" t="s">
        <v>65</v>
      </c>
      <c r="P1151" s="201"/>
      <c r="R1151" s="202">
        <v>7095983</v>
      </c>
      <c r="U1151" s="198" t="s">
        <v>257</v>
      </c>
      <c r="AA1151" s="198" t="s">
        <v>51</v>
      </c>
      <c r="AB1151" s="202">
        <v>7095983</v>
      </c>
      <c r="AC1151" s="202">
        <v>7095983</v>
      </c>
    </row>
    <row r="1152" spans="1:29" outlineLevel="1" x14ac:dyDescent="0.25">
      <c r="A1152" s="210"/>
      <c r="B1152" s="209"/>
      <c r="C1152" s="209"/>
      <c r="D1152" s="209" t="s">
        <v>54</v>
      </c>
      <c r="E1152" s="211">
        <v>7095983</v>
      </c>
      <c r="F1152" s="209"/>
      <c r="G1152" s="209"/>
      <c r="H1152" s="209"/>
      <c r="I1152" s="209"/>
      <c r="J1152" s="209"/>
      <c r="K1152" s="209" t="s">
        <v>54</v>
      </c>
      <c r="L1152" s="209" t="s">
        <v>54</v>
      </c>
      <c r="M1152" s="209"/>
      <c r="N1152" s="209"/>
      <c r="O1152" s="209"/>
      <c r="P1152" s="210"/>
      <c r="Q1152" s="209"/>
      <c r="R1152" s="212"/>
      <c r="S1152" s="209"/>
      <c r="T1152" s="209"/>
      <c r="U1152" s="209" t="s">
        <v>54</v>
      </c>
      <c r="V1152" s="209"/>
      <c r="W1152" s="209"/>
      <c r="X1152" s="209"/>
      <c r="Y1152" s="209"/>
      <c r="Z1152" s="209"/>
      <c r="AA1152" s="209" t="s">
        <v>54</v>
      </c>
      <c r="AB1152" s="212"/>
      <c r="AC1152" s="212"/>
    </row>
    <row r="1153" spans="1:29" outlineLevel="2" x14ac:dyDescent="0.25">
      <c r="A1153" s="201">
        <v>46136</v>
      </c>
      <c r="D1153" s="198" t="s">
        <v>54</v>
      </c>
      <c r="E1153" s="202">
        <v>13854020</v>
      </c>
      <c r="K1153" s="198" t="s">
        <v>1042</v>
      </c>
      <c r="L1153" s="198" t="s">
        <v>65</v>
      </c>
      <c r="P1153" s="201"/>
      <c r="R1153" s="202">
        <v>13854020</v>
      </c>
      <c r="U1153" s="198" t="s">
        <v>290</v>
      </c>
      <c r="AA1153" s="198" t="s">
        <v>51</v>
      </c>
      <c r="AB1153" s="202">
        <v>13854020</v>
      </c>
      <c r="AC1153" s="202">
        <v>13854020</v>
      </c>
    </row>
    <row r="1154" spans="1:29" outlineLevel="1" x14ac:dyDescent="0.25">
      <c r="A1154" s="210"/>
      <c r="B1154" s="209"/>
      <c r="C1154" s="209"/>
      <c r="D1154" s="209" t="s">
        <v>54</v>
      </c>
      <c r="E1154" s="211">
        <v>13854020</v>
      </c>
      <c r="F1154" s="209"/>
      <c r="G1154" s="209"/>
      <c r="H1154" s="209"/>
      <c r="I1154" s="209"/>
      <c r="J1154" s="209"/>
      <c r="K1154" s="209" t="s">
        <v>54</v>
      </c>
      <c r="L1154" s="209" t="s">
        <v>54</v>
      </c>
      <c r="M1154" s="209"/>
      <c r="N1154" s="209"/>
      <c r="O1154" s="209"/>
      <c r="P1154" s="210"/>
      <c r="Q1154" s="209"/>
      <c r="R1154" s="212"/>
      <c r="S1154" s="209"/>
      <c r="T1154" s="209"/>
      <c r="U1154" s="209" t="s">
        <v>54</v>
      </c>
      <c r="V1154" s="209"/>
      <c r="W1154" s="209"/>
      <c r="X1154" s="209"/>
      <c r="Y1154" s="209"/>
      <c r="Z1154" s="209"/>
      <c r="AA1154" s="209" t="s">
        <v>54</v>
      </c>
      <c r="AB1154" s="212"/>
      <c r="AC1154" s="212"/>
    </row>
    <row r="1155" spans="1:29" outlineLevel="2" x14ac:dyDescent="0.25">
      <c r="A1155" s="201">
        <v>46008</v>
      </c>
      <c r="D1155" s="198" t="s">
        <v>54</v>
      </c>
      <c r="E1155" s="202">
        <v>400706820</v>
      </c>
      <c r="K1155" s="198" t="s">
        <v>1044</v>
      </c>
      <c r="L1155" s="198" t="s">
        <v>65</v>
      </c>
      <c r="P1155" s="201"/>
      <c r="R1155" s="202">
        <v>400706820</v>
      </c>
      <c r="U1155" s="198" t="s">
        <v>1043</v>
      </c>
      <c r="AA1155" s="198" t="s">
        <v>51</v>
      </c>
      <c r="AB1155" s="202">
        <v>400706820</v>
      </c>
      <c r="AC1155" s="202">
        <v>400706820</v>
      </c>
    </row>
    <row r="1156" spans="1:29" outlineLevel="2" x14ac:dyDescent="0.25">
      <c r="A1156" s="201">
        <v>46009</v>
      </c>
      <c r="D1156" s="198" t="s">
        <v>54</v>
      </c>
      <c r="E1156" s="202">
        <v>214477142.69999999</v>
      </c>
      <c r="K1156" s="198" t="s">
        <v>1044</v>
      </c>
      <c r="L1156" s="198" t="s">
        <v>65</v>
      </c>
      <c r="P1156" s="201"/>
      <c r="R1156" s="202">
        <v>214477142.69999999</v>
      </c>
      <c r="U1156" s="198" t="s">
        <v>1043</v>
      </c>
      <c r="AA1156" s="198" t="s">
        <v>51</v>
      </c>
      <c r="AB1156" s="202">
        <v>214477142.69999999</v>
      </c>
      <c r="AC1156" s="202">
        <v>214477142.69999999</v>
      </c>
    </row>
    <row r="1157" spans="1:29" outlineLevel="2" x14ac:dyDescent="0.25">
      <c r="A1157" s="201">
        <v>46009</v>
      </c>
      <c r="D1157" s="198" t="s">
        <v>54</v>
      </c>
      <c r="E1157" s="202">
        <v>2</v>
      </c>
      <c r="K1157" s="198" t="s">
        <v>1044</v>
      </c>
      <c r="L1157" s="198" t="s">
        <v>65</v>
      </c>
      <c r="P1157" s="201"/>
      <c r="R1157" s="202">
        <v>2</v>
      </c>
      <c r="U1157" s="198" t="s">
        <v>1043</v>
      </c>
      <c r="AA1157" s="198" t="s">
        <v>51</v>
      </c>
      <c r="AB1157" s="202">
        <v>2</v>
      </c>
      <c r="AC1157" s="202">
        <v>2</v>
      </c>
    </row>
    <row r="1158" spans="1:29" outlineLevel="2" x14ac:dyDescent="0.25">
      <c r="A1158" s="201">
        <v>46013</v>
      </c>
      <c r="D1158" s="198" t="s">
        <v>54</v>
      </c>
      <c r="E1158" s="202">
        <v>51848672.609999999</v>
      </c>
      <c r="K1158" s="198" t="s">
        <v>1044</v>
      </c>
      <c r="L1158" s="198" t="s">
        <v>65</v>
      </c>
      <c r="P1158" s="201"/>
      <c r="R1158" s="202">
        <v>51848672.609999999</v>
      </c>
      <c r="U1158" s="198" t="s">
        <v>1043</v>
      </c>
      <c r="AA1158" s="198" t="s">
        <v>51</v>
      </c>
      <c r="AB1158" s="202">
        <v>51848672.609999999</v>
      </c>
      <c r="AC1158" s="202">
        <v>51848672.609999999</v>
      </c>
    </row>
    <row r="1159" spans="1:29" outlineLevel="2" x14ac:dyDescent="0.25">
      <c r="A1159" s="201">
        <v>46014</v>
      </c>
      <c r="D1159" s="198" t="s">
        <v>54</v>
      </c>
      <c r="E1159" s="202">
        <v>-6502002.5</v>
      </c>
      <c r="K1159" s="198" t="s">
        <v>1044</v>
      </c>
      <c r="L1159" s="198" t="s">
        <v>65</v>
      </c>
      <c r="P1159" s="201"/>
      <c r="R1159" s="202">
        <v>-6502002.5</v>
      </c>
      <c r="U1159" s="198" t="s">
        <v>1043</v>
      </c>
      <c r="AA1159" s="198" t="s">
        <v>51</v>
      </c>
      <c r="AB1159" s="202">
        <v>-6502002.5</v>
      </c>
      <c r="AC1159" s="202">
        <v>-6502002.5</v>
      </c>
    </row>
    <row r="1160" spans="1:29" outlineLevel="2" x14ac:dyDescent="0.25">
      <c r="A1160" s="201">
        <v>46014</v>
      </c>
      <c r="D1160" s="198" t="s">
        <v>54</v>
      </c>
      <c r="E1160" s="202">
        <v>0.11</v>
      </c>
      <c r="K1160" s="198" t="s">
        <v>1044</v>
      </c>
      <c r="L1160" s="198" t="s">
        <v>65</v>
      </c>
      <c r="P1160" s="201"/>
      <c r="R1160" s="202">
        <v>0.11</v>
      </c>
      <c r="U1160" s="198" t="s">
        <v>1043</v>
      </c>
      <c r="AA1160" s="198" t="s">
        <v>51</v>
      </c>
      <c r="AB1160" s="202">
        <v>0.11</v>
      </c>
      <c r="AC1160" s="202">
        <v>0.11</v>
      </c>
    </row>
    <row r="1161" spans="1:29" outlineLevel="2" x14ac:dyDescent="0.25">
      <c r="A1161" s="201">
        <v>46017</v>
      </c>
      <c r="D1161" s="198" t="s">
        <v>54</v>
      </c>
      <c r="E1161" s="202">
        <v>-7519369.0800000001</v>
      </c>
      <c r="K1161" s="198" t="s">
        <v>1044</v>
      </c>
      <c r="L1161" s="198" t="s">
        <v>65</v>
      </c>
      <c r="P1161" s="201"/>
      <c r="R1161" s="202">
        <v>-7519369.0800000001</v>
      </c>
      <c r="U1161" s="198" t="s">
        <v>1043</v>
      </c>
      <c r="AA1161" s="198" t="s">
        <v>51</v>
      </c>
      <c r="AB1161" s="202">
        <v>-7519369.0800000001</v>
      </c>
      <c r="AC1161" s="202">
        <v>-7519369.0800000001</v>
      </c>
    </row>
    <row r="1162" spans="1:29" outlineLevel="2" x14ac:dyDescent="0.25">
      <c r="A1162" s="201">
        <v>46017</v>
      </c>
      <c r="D1162" s="198" t="s">
        <v>54</v>
      </c>
      <c r="E1162" s="202">
        <v>-4297065.84</v>
      </c>
      <c r="K1162" s="198" t="s">
        <v>1044</v>
      </c>
      <c r="L1162" s="198" t="s">
        <v>65</v>
      </c>
      <c r="P1162" s="201"/>
      <c r="R1162" s="202">
        <v>-4297065.84</v>
      </c>
      <c r="U1162" s="198" t="s">
        <v>1043</v>
      </c>
      <c r="AA1162" s="198" t="s">
        <v>51</v>
      </c>
      <c r="AB1162" s="202">
        <v>-4297065.84</v>
      </c>
      <c r="AC1162" s="202">
        <v>-4297065.84</v>
      </c>
    </row>
    <row r="1163" spans="1:29" outlineLevel="2" x14ac:dyDescent="0.25">
      <c r="A1163" s="201">
        <v>46020</v>
      </c>
      <c r="D1163" s="198" t="s">
        <v>54</v>
      </c>
      <c r="E1163" s="202">
        <v>464000</v>
      </c>
      <c r="K1163" s="198" t="s">
        <v>1044</v>
      </c>
      <c r="L1163" s="198" t="s">
        <v>65</v>
      </c>
      <c r="P1163" s="201"/>
      <c r="R1163" s="202">
        <v>464000</v>
      </c>
      <c r="U1163" s="198" t="s">
        <v>1043</v>
      </c>
      <c r="AA1163" s="198" t="s">
        <v>51</v>
      </c>
      <c r="AB1163" s="202">
        <v>464000</v>
      </c>
      <c r="AC1163" s="202">
        <v>464000</v>
      </c>
    </row>
    <row r="1164" spans="1:29" outlineLevel="2" x14ac:dyDescent="0.25">
      <c r="A1164" s="201">
        <v>46020</v>
      </c>
      <c r="D1164" s="198" t="s">
        <v>54</v>
      </c>
      <c r="E1164" s="202">
        <v>13092437.25</v>
      </c>
      <c r="K1164" s="198" t="s">
        <v>1044</v>
      </c>
      <c r="L1164" s="198" t="s">
        <v>65</v>
      </c>
      <c r="P1164" s="201"/>
      <c r="R1164" s="202">
        <v>13092437.25</v>
      </c>
      <c r="U1164" s="198" t="s">
        <v>1043</v>
      </c>
      <c r="AA1164" s="198" t="s">
        <v>51</v>
      </c>
      <c r="AB1164" s="202">
        <v>13092437.25</v>
      </c>
      <c r="AC1164" s="202">
        <v>13092437.25</v>
      </c>
    </row>
    <row r="1165" spans="1:29" outlineLevel="2" x14ac:dyDescent="0.25">
      <c r="A1165" s="201">
        <v>46021</v>
      </c>
      <c r="D1165" s="198" t="s">
        <v>54</v>
      </c>
      <c r="E1165" s="202">
        <v>300000</v>
      </c>
      <c r="K1165" s="198" t="s">
        <v>1044</v>
      </c>
      <c r="L1165" s="198" t="s">
        <v>65</v>
      </c>
      <c r="P1165" s="201"/>
      <c r="R1165" s="202">
        <v>300000</v>
      </c>
      <c r="U1165" s="198" t="s">
        <v>1043</v>
      </c>
      <c r="AA1165" s="198" t="s">
        <v>51</v>
      </c>
      <c r="AB1165" s="202">
        <v>300000</v>
      </c>
      <c r="AC1165" s="202">
        <v>300000</v>
      </c>
    </row>
    <row r="1166" spans="1:29" outlineLevel="2" x14ac:dyDescent="0.25">
      <c r="A1166" s="201">
        <v>46022</v>
      </c>
      <c r="D1166" s="198" t="s">
        <v>54</v>
      </c>
      <c r="E1166" s="202">
        <v>243670</v>
      </c>
      <c r="K1166" s="198" t="s">
        <v>1044</v>
      </c>
      <c r="L1166" s="198" t="s">
        <v>65</v>
      </c>
      <c r="P1166" s="201"/>
      <c r="R1166" s="202">
        <v>243670</v>
      </c>
      <c r="U1166" s="198" t="s">
        <v>1043</v>
      </c>
      <c r="AA1166" s="198" t="s">
        <v>51</v>
      </c>
      <c r="AB1166" s="202">
        <v>243670</v>
      </c>
      <c r="AC1166" s="202">
        <v>243670</v>
      </c>
    </row>
    <row r="1167" spans="1:29" outlineLevel="2" x14ac:dyDescent="0.25">
      <c r="A1167" s="201">
        <v>46023</v>
      </c>
      <c r="D1167" s="198" t="s">
        <v>54</v>
      </c>
      <c r="E1167" s="202">
        <v>6682300</v>
      </c>
      <c r="K1167" s="198" t="s">
        <v>1044</v>
      </c>
      <c r="L1167" s="198" t="s">
        <v>65</v>
      </c>
      <c r="P1167" s="201"/>
      <c r="R1167" s="202">
        <v>6682300</v>
      </c>
      <c r="U1167" s="198" t="s">
        <v>1043</v>
      </c>
      <c r="AA1167" s="198" t="s">
        <v>51</v>
      </c>
      <c r="AB1167" s="202">
        <v>6682300</v>
      </c>
      <c r="AC1167" s="202">
        <v>6682300</v>
      </c>
    </row>
    <row r="1168" spans="1:29" outlineLevel="2" x14ac:dyDescent="0.25">
      <c r="A1168" s="201">
        <v>46037</v>
      </c>
      <c r="D1168" s="198" t="s">
        <v>54</v>
      </c>
      <c r="E1168" s="202">
        <v>5529130</v>
      </c>
      <c r="K1168" s="198" t="s">
        <v>1044</v>
      </c>
      <c r="L1168" s="198" t="s">
        <v>65</v>
      </c>
      <c r="P1168" s="201"/>
      <c r="R1168" s="202">
        <v>5529130</v>
      </c>
      <c r="U1168" s="198" t="s">
        <v>1043</v>
      </c>
      <c r="AA1168" s="198" t="s">
        <v>51</v>
      </c>
      <c r="AB1168" s="202">
        <v>5529130</v>
      </c>
      <c r="AC1168" s="202">
        <v>5529130</v>
      </c>
    </row>
    <row r="1169" spans="1:29" outlineLevel="2" x14ac:dyDescent="0.25">
      <c r="A1169" s="201">
        <v>46043</v>
      </c>
      <c r="D1169" s="198" t="s">
        <v>54</v>
      </c>
      <c r="E1169" s="202">
        <v>7400000</v>
      </c>
      <c r="K1169" s="198" t="s">
        <v>1044</v>
      </c>
      <c r="L1169" s="198" t="s">
        <v>65</v>
      </c>
      <c r="P1169" s="201"/>
      <c r="R1169" s="202">
        <v>7400000</v>
      </c>
      <c r="U1169" s="198" t="s">
        <v>1043</v>
      </c>
      <c r="AA1169" s="198" t="s">
        <v>51</v>
      </c>
      <c r="AB1169" s="202">
        <v>7400000</v>
      </c>
      <c r="AC1169" s="202">
        <v>7400000</v>
      </c>
    </row>
    <row r="1170" spans="1:29" outlineLevel="2" x14ac:dyDescent="0.25">
      <c r="A1170" s="201">
        <v>46065</v>
      </c>
      <c r="D1170" s="198" t="s">
        <v>54</v>
      </c>
      <c r="E1170" s="202">
        <v>10602880</v>
      </c>
      <c r="K1170" s="198" t="s">
        <v>1044</v>
      </c>
      <c r="L1170" s="198" t="s">
        <v>65</v>
      </c>
      <c r="P1170" s="201"/>
      <c r="R1170" s="202">
        <v>10602880</v>
      </c>
      <c r="U1170" s="198" t="s">
        <v>1043</v>
      </c>
      <c r="AA1170" s="198" t="s">
        <v>51</v>
      </c>
      <c r="AB1170" s="202">
        <v>10602880</v>
      </c>
      <c r="AC1170" s="202">
        <v>10602880</v>
      </c>
    </row>
    <row r="1171" spans="1:29" outlineLevel="2" x14ac:dyDescent="0.25">
      <c r="A1171" s="201">
        <v>46066</v>
      </c>
      <c r="D1171" s="198" t="s">
        <v>54</v>
      </c>
      <c r="E1171" s="202">
        <v>3567000</v>
      </c>
      <c r="K1171" s="198" t="s">
        <v>1044</v>
      </c>
      <c r="L1171" s="198" t="s">
        <v>65</v>
      </c>
      <c r="P1171" s="201"/>
      <c r="R1171" s="202">
        <v>3567000</v>
      </c>
      <c r="U1171" s="198" t="s">
        <v>1043</v>
      </c>
      <c r="AA1171" s="198" t="s">
        <v>51</v>
      </c>
      <c r="AB1171" s="202">
        <v>3567000</v>
      </c>
      <c r="AC1171" s="202">
        <v>3567000</v>
      </c>
    </row>
    <row r="1172" spans="1:29" outlineLevel="2" x14ac:dyDescent="0.25">
      <c r="A1172" s="201">
        <v>46077</v>
      </c>
      <c r="D1172" s="198" t="s">
        <v>54</v>
      </c>
      <c r="E1172" s="202">
        <v>321900</v>
      </c>
      <c r="K1172" s="198" t="s">
        <v>1044</v>
      </c>
      <c r="L1172" s="198" t="s">
        <v>65</v>
      </c>
      <c r="P1172" s="201"/>
      <c r="R1172" s="202">
        <v>321900</v>
      </c>
      <c r="U1172" s="198" t="s">
        <v>1043</v>
      </c>
      <c r="AA1172" s="198" t="s">
        <v>51</v>
      </c>
      <c r="AB1172" s="202">
        <v>321900</v>
      </c>
      <c r="AC1172" s="202">
        <v>321900</v>
      </c>
    </row>
    <row r="1173" spans="1:29" outlineLevel="2" x14ac:dyDescent="0.25">
      <c r="A1173" s="201">
        <v>46112</v>
      </c>
      <c r="D1173" s="198" t="s">
        <v>54</v>
      </c>
      <c r="E1173" s="202">
        <v>-11735755.210000001</v>
      </c>
      <c r="K1173" s="198" t="s">
        <v>1044</v>
      </c>
      <c r="L1173" s="198" t="s">
        <v>65</v>
      </c>
      <c r="P1173" s="201"/>
      <c r="R1173" s="202">
        <v>-11735755.210000001</v>
      </c>
      <c r="U1173" s="198" t="s">
        <v>1043</v>
      </c>
      <c r="AA1173" s="198" t="s">
        <v>51</v>
      </c>
      <c r="AB1173" s="202">
        <v>-11735755.210000001</v>
      </c>
      <c r="AC1173" s="202">
        <v>-11735755.210000001</v>
      </c>
    </row>
    <row r="1174" spans="1:29" outlineLevel="2" x14ac:dyDescent="0.25">
      <c r="A1174" s="201">
        <v>46119</v>
      </c>
      <c r="D1174" s="198" t="s">
        <v>54</v>
      </c>
      <c r="E1174" s="202">
        <v>1173637.3600000001</v>
      </c>
      <c r="K1174" s="198" t="s">
        <v>1044</v>
      </c>
      <c r="L1174" s="198" t="s">
        <v>65</v>
      </c>
      <c r="P1174" s="201"/>
      <c r="R1174" s="202">
        <v>1173637.3600000001</v>
      </c>
      <c r="U1174" s="198" t="s">
        <v>1043</v>
      </c>
      <c r="AA1174" s="198" t="s">
        <v>51</v>
      </c>
      <c r="AB1174" s="202">
        <v>1173637.3600000001</v>
      </c>
      <c r="AC1174" s="202">
        <v>1173637.3600000001</v>
      </c>
    </row>
    <row r="1175" spans="1:29" outlineLevel="2" x14ac:dyDescent="0.25">
      <c r="A1175" s="201">
        <v>46126</v>
      </c>
      <c r="D1175" s="198" t="s">
        <v>54</v>
      </c>
      <c r="E1175" s="202">
        <v>30</v>
      </c>
      <c r="K1175" s="198" t="s">
        <v>1044</v>
      </c>
      <c r="L1175" s="198" t="s">
        <v>65</v>
      </c>
      <c r="P1175" s="201"/>
      <c r="R1175" s="202">
        <v>30</v>
      </c>
      <c r="U1175" s="198" t="s">
        <v>1043</v>
      </c>
      <c r="AA1175" s="198" t="s">
        <v>51</v>
      </c>
      <c r="AB1175" s="202">
        <v>30</v>
      </c>
      <c r="AC1175" s="202">
        <v>30</v>
      </c>
    </row>
    <row r="1176" spans="1:29" outlineLevel="2" x14ac:dyDescent="0.25">
      <c r="A1176" s="201">
        <v>46136</v>
      </c>
      <c r="D1176" s="198" t="s">
        <v>54</v>
      </c>
      <c r="E1176" s="202">
        <v>2247092.3199999998</v>
      </c>
      <c r="K1176" s="198" t="s">
        <v>1044</v>
      </c>
      <c r="L1176" s="198" t="s">
        <v>65</v>
      </c>
      <c r="P1176" s="201"/>
      <c r="R1176" s="202">
        <v>2247092.3199999998</v>
      </c>
      <c r="U1176" s="198" t="s">
        <v>1043</v>
      </c>
      <c r="AA1176" s="198" t="s">
        <v>51</v>
      </c>
      <c r="AB1176" s="202">
        <v>2247092.3199999998</v>
      </c>
      <c r="AC1176" s="202">
        <v>2247092.3199999998</v>
      </c>
    </row>
    <row r="1177" spans="1:29" outlineLevel="2" x14ac:dyDescent="0.25">
      <c r="A1177" s="201">
        <v>46136</v>
      </c>
      <c r="D1177" s="198" t="s">
        <v>54</v>
      </c>
      <c r="E1177" s="202">
        <v>1047731.59</v>
      </c>
      <c r="K1177" s="198" t="s">
        <v>1044</v>
      </c>
      <c r="L1177" s="198" t="s">
        <v>65</v>
      </c>
      <c r="P1177" s="201"/>
      <c r="R1177" s="202">
        <v>1047731.59</v>
      </c>
      <c r="U1177" s="198" t="s">
        <v>1043</v>
      </c>
      <c r="AA1177" s="198" t="s">
        <v>51</v>
      </c>
      <c r="AB1177" s="202">
        <v>1047731.59</v>
      </c>
      <c r="AC1177" s="202">
        <v>1047731.59</v>
      </c>
    </row>
    <row r="1178" spans="1:29" outlineLevel="2" x14ac:dyDescent="0.25">
      <c r="A1178" s="201">
        <v>46136</v>
      </c>
      <c r="D1178" s="198" t="s">
        <v>54</v>
      </c>
      <c r="E1178" s="202">
        <v>138062.95000000001</v>
      </c>
      <c r="K1178" s="198" t="s">
        <v>1044</v>
      </c>
      <c r="L1178" s="198" t="s">
        <v>65</v>
      </c>
      <c r="P1178" s="201"/>
      <c r="R1178" s="202">
        <v>138062.95000000001</v>
      </c>
      <c r="U1178" s="198" t="s">
        <v>1043</v>
      </c>
      <c r="AA1178" s="198" t="s">
        <v>51</v>
      </c>
      <c r="AB1178" s="202">
        <v>138062.95000000001</v>
      </c>
      <c r="AC1178" s="202">
        <v>138062.95000000001</v>
      </c>
    </row>
    <row r="1179" spans="1:29" outlineLevel="2" x14ac:dyDescent="0.25">
      <c r="A1179" s="201">
        <v>46137</v>
      </c>
      <c r="D1179" s="198" t="s">
        <v>54</v>
      </c>
      <c r="E1179" s="202">
        <v>43000.05</v>
      </c>
      <c r="K1179" s="198" t="s">
        <v>1044</v>
      </c>
      <c r="L1179" s="198" t="s">
        <v>65</v>
      </c>
      <c r="P1179" s="201"/>
      <c r="R1179" s="202">
        <v>43000.05</v>
      </c>
      <c r="U1179" s="198" t="s">
        <v>1043</v>
      </c>
      <c r="AA1179" s="198" t="s">
        <v>51</v>
      </c>
      <c r="AB1179" s="202">
        <v>43000.05</v>
      </c>
      <c r="AC1179" s="202">
        <v>43000.05</v>
      </c>
    </row>
    <row r="1180" spans="1:29" outlineLevel="2" x14ac:dyDescent="0.25">
      <c r="A1180" s="201">
        <v>46137</v>
      </c>
      <c r="D1180" s="198" t="s">
        <v>54</v>
      </c>
      <c r="E1180" s="202">
        <v>1614442.53</v>
      </c>
      <c r="K1180" s="198" t="s">
        <v>1044</v>
      </c>
      <c r="L1180" s="198" t="s">
        <v>65</v>
      </c>
      <c r="P1180" s="201"/>
      <c r="R1180" s="202">
        <v>1614442.53</v>
      </c>
      <c r="U1180" s="198" t="s">
        <v>1043</v>
      </c>
      <c r="AA1180" s="198" t="s">
        <v>51</v>
      </c>
      <c r="AB1180" s="202">
        <v>1614442.53</v>
      </c>
      <c r="AC1180" s="202">
        <v>1614442.53</v>
      </c>
    </row>
    <row r="1181" spans="1:29" outlineLevel="2" x14ac:dyDescent="0.25">
      <c r="A1181" s="201">
        <v>46139</v>
      </c>
      <c r="D1181" s="198" t="s">
        <v>54</v>
      </c>
      <c r="E1181" s="202">
        <v>13539221.6</v>
      </c>
      <c r="K1181" s="198" t="s">
        <v>1044</v>
      </c>
      <c r="L1181" s="198" t="s">
        <v>65</v>
      </c>
      <c r="P1181" s="201"/>
      <c r="R1181" s="202">
        <v>13539221.6</v>
      </c>
      <c r="U1181" s="198" t="s">
        <v>1043</v>
      </c>
      <c r="AA1181" s="198" t="s">
        <v>51</v>
      </c>
      <c r="AB1181" s="202">
        <v>13539221.6</v>
      </c>
      <c r="AC1181" s="202">
        <v>13539221.6</v>
      </c>
    </row>
    <row r="1182" spans="1:29" outlineLevel="2" x14ac:dyDescent="0.25">
      <c r="A1182" s="201">
        <v>46141</v>
      </c>
      <c r="D1182" s="198" t="s">
        <v>54</v>
      </c>
      <c r="E1182" s="202">
        <v>13681000.41</v>
      </c>
      <c r="K1182" s="198" t="s">
        <v>1044</v>
      </c>
      <c r="L1182" s="198" t="s">
        <v>65</v>
      </c>
      <c r="P1182" s="201"/>
      <c r="R1182" s="202">
        <v>13681000.41</v>
      </c>
      <c r="U1182" s="198" t="s">
        <v>1043</v>
      </c>
      <c r="AA1182" s="198" t="s">
        <v>51</v>
      </c>
      <c r="AB1182" s="202">
        <v>13681000.41</v>
      </c>
      <c r="AC1182" s="202">
        <v>13681000.41</v>
      </c>
    </row>
    <row r="1183" spans="1:29" outlineLevel="2" x14ac:dyDescent="0.25">
      <c r="A1183" s="201">
        <v>46155</v>
      </c>
      <c r="D1183" s="198" t="s">
        <v>54</v>
      </c>
      <c r="E1183" s="202">
        <v>2099305.0499999998</v>
      </c>
      <c r="K1183" s="198" t="s">
        <v>1044</v>
      </c>
      <c r="L1183" s="198" t="s">
        <v>65</v>
      </c>
      <c r="P1183" s="201"/>
      <c r="R1183" s="202">
        <v>2099305.0499999998</v>
      </c>
      <c r="U1183" s="198" t="s">
        <v>1043</v>
      </c>
      <c r="AA1183" s="198" t="s">
        <v>51</v>
      </c>
      <c r="AB1183" s="202">
        <v>2099305.0499999998</v>
      </c>
      <c r="AC1183" s="202">
        <v>2099305.0499999998</v>
      </c>
    </row>
    <row r="1184" spans="1:29" outlineLevel="2" x14ac:dyDescent="0.25">
      <c r="A1184" s="201">
        <v>46155</v>
      </c>
      <c r="D1184" s="198" t="s">
        <v>54</v>
      </c>
      <c r="E1184" s="202">
        <v>4905299.09</v>
      </c>
      <c r="K1184" s="198" t="s">
        <v>1044</v>
      </c>
      <c r="L1184" s="198" t="s">
        <v>65</v>
      </c>
      <c r="P1184" s="201"/>
      <c r="R1184" s="202">
        <v>4905299.09</v>
      </c>
      <c r="U1184" s="198" t="s">
        <v>1043</v>
      </c>
      <c r="AA1184" s="198" t="s">
        <v>51</v>
      </c>
      <c r="AB1184" s="202">
        <v>4905299.09</v>
      </c>
      <c r="AC1184" s="202">
        <v>4905299.09</v>
      </c>
    </row>
    <row r="1185" spans="1:29" outlineLevel="1" x14ac:dyDescent="0.25">
      <c r="A1185" s="210"/>
      <c r="B1185" s="209"/>
      <c r="C1185" s="209"/>
      <c r="D1185" s="209" t="s">
        <v>54</v>
      </c>
      <c r="E1185" s="211">
        <v>725670584.99000001</v>
      </c>
      <c r="F1185" s="209"/>
      <c r="G1185" s="209"/>
      <c r="H1185" s="209"/>
      <c r="I1185" s="209"/>
      <c r="J1185" s="209"/>
      <c r="K1185" s="209" t="s">
        <v>54</v>
      </c>
      <c r="L1185" s="209" t="s">
        <v>54</v>
      </c>
      <c r="M1185" s="209"/>
      <c r="N1185" s="209"/>
      <c r="O1185" s="209"/>
      <c r="P1185" s="210"/>
      <c r="Q1185" s="209"/>
      <c r="R1185" s="212"/>
      <c r="S1185" s="209"/>
      <c r="T1185" s="209"/>
      <c r="U1185" s="209" t="s">
        <v>54</v>
      </c>
      <c r="V1185" s="209"/>
      <c r="W1185" s="209"/>
      <c r="X1185" s="209"/>
      <c r="Y1185" s="209"/>
      <c r="Z1185" s="209"/>
      <c r="AA1185" s="209" t="s">
        <v>54</v>
      </c>
      <c r="AB1185" s="212"/>
      <c r="AC1185" s="212"/>
    </row>
    <row r="1186" spans="1:29" outlineLevel="2" x14ac:dyDescent="0.25">
      <c r="A1186" s="201">
        <v>46008</v>
      </c>
      <c r="D1186" s="198" t="s">
        <v>54</v>
      </c>
      <c r="E1186" s="202">
        <v>400706820</v>
      </c>
      <c r="K1186" s="198" t="s">
        <v>1047</v>
      </c>
      <c r="L1186" s="198" t="s">
        <v>65</v>
      </c>
      <c r="P1186" s="201"/>
      <c r="R1186" s="202">
        <v>400706820</v>
      </c>
      <c r="U1186" s="198" t="s">
        <v>1046</v>
      </c>
      <c r="AA1186" s="198" t="s">
        <v>51</v>
      </c>
      <c r="AB1186" s="202">
        <v>400706820</v>
      </c>
      <c r="AC1186" s="202">
        <v>400706820</v>
      </c>
    </row>
    <row r="1187" spans="1:29" outlineLevel="2" x14ac:dyDescent="0.25">
      <c r="A1187" s="201">
        <v>46009</v>
      </c>
      <c r="D1187" s="198" t="s">
        <v>54</v>
      </c>
      <c r="E1187" s="202">
        <v>176499523.19999999</v>
      </c>
      <c r="K1187" s="198" t="s">
        <v>1047</v>
      </c>
      <c r="L1187" s="198" t="s">
        <v>65</v>
      </c>
      <c r="P1187" s="201"/>
      <c r="R1187" s="202">
        <v>176499523.19999999</v>
      </c>
      <c r="U1187" s="198" t="s">
        <v>1046</v>
      </c>
      <c r="AA1187" s="198" t="s">
        <v>51</v>
      </c>
      <c r="AB1187" s="202">
        <v>176499523.19999999</v>
      </c>
      <c r="AC1187" s="202">
        <v>176499523.19999999</v>
      </c>
    </row>
    <row r="1188" spans="1:29" outlineLevel="2" x14ac:dyDescent="0.25">
      <c r="A1188" s="201">
        <v>46013</v>
      </c>
      <c r="D1188" s="198" t="s">
        <v>54</v>
      </c>
      <c r="E1188" s="202">
        <v>51848672.609999999</v>
      </c>
      <c r="K1188" s="198" t="s">
        <v>1047</v>
      </c>
      <c r="L1188" s="198" t="s">
        <v>65</v>
      </c>
      <c r="P1188" s="201"/>
      <c r="R1188" s="202">
        <v>51848672.609999999</v>
      </c>
      <c r="U1188" s="198" t="s">
        <v>1046</v>
      </c>
      <c r="AA1188" s="198" t="s">
        <v>51</v>
      </c>
      <c r="AB1188" s="202">
        <v>51848672.609999999</v>
      </c>
      <c r="AC1188" s="202">
        <v>51848672.609999999</v>
      </c>
    </row>
    <row r="1189" spans="1:29" outlineLevel="2" x14ac:dyDescent="0.25">
      <c r="A1189" s="201">
        <v>46014</v>
      </c>
      <c r="D1189" s="198" t="s">
        <v>54</v>
      </c>
      <c r="E1189" s="202">
        <v>-6502002.5</v>
      </c>
      <c r="K1189" s="198" t="s">
        <v>1047</v>
      </c>
      <c r="L1189" s="198" t="s">
        <v>65</v>
      </c>
      <c r="P1189" s="201"/>
      <c r="R1189" s="202">
        <v>-6502002.5</v>
      </c>
      <c r="U1189" s="198" t="s">
        <v>1046</v>
      </c>
      <c r="AA1189" s="198" t="s">
        <v>51</v>
      </c>
      <c r="AB1189" s="202">
        <v>-6502002.5</v>
      </c>
      <c r="AC1189" s="202">
        <v>-6502002.5</v>
      </c>
    </row>
    <row r="1190" spans="1:29" outlineLevel="2" x14ac:dyDescent="0.25">
      <c r="A1190" s="201">
        <v>46014</v>
      </c>
      <c r="D1190" s="198" t="s">
        <v>54</v>
      </c>
      <c r="E1190" s="202">
        <v>0.11</v>
      </c>
      <c r="K1190" s="198" t="s">
        <v>1047</v>
      </c>
      <c r="L1190" s="198" t="s">
        <v>65</v>
      </c>
      <c r="P1190" s="201"/>
      <c r="R1190" s="202">
        <v>0.11</v>
      </c>
      <c r="U1190" s="198" t="s">
        <v>1046</v>
      </c>
      <c r="AA1190" s="198" t="s">
        <v>51</v>
      </c>
      <c r="AB1190" s="202">
        <v>0.11</v>
      </c>
      <c r="AC1190" s="202">
        <v>0.11</v>
      </c>
    </row>
    <row r="1191" spans="1:29" outlineLevel="2" x14ac:dyDescent="0.25">
      <c r="A1191" s="201">
        <v>46017</v>
      </c>
      <c r="D1191" s="198" t="s">
        <v>54</v>
      </c>
      <c r="E1191" s="202">
        <v>-7520347.5800000001</v>
      </c>
      <c r="K1191" s="198" t="s">
        <v>1047</v>
      </c>
      <c r="L1191" s="198" t="s">
        <v>65</v>
      </c>
      <c r="P1191" s="201"/>
      <c r="R1191" s="202">
        <v>-7520347.5800000001</v>
      </c>
      <c r="U1191" s="198" t="s">
        <v>1046</v>
      </c>
      <c r="AA1191" s="198" t="s">
        <v>51</v>
      </c>
      <c r="AB1191" s="202">
        <v>-7520347.5800000001</v>
      </c>
      <c r="AC1191" s="202">
        <v>-7520347.5800000001</v>
      </c>
    </row>
    <row r="1192" spans="1:29" outlineLevel="2" x14ac:dyDescent="0.25">
      <c r="A1192" s="201">
        <v>46017</v>
      </c>
      <c r="D1192" s="198" t="s">
        <v>54</v>
      </c>
      <c r="E1192" s="202">
        <v>-4297065.84</v>
      </c>
      <c r="K1192" s="198" t="s">
        <v>1047</v>
      </c>
      <c r="L1192" s="198" t="s">
        <v>65</v>
      </c>
      <c r="P1192" s="201"/>
      <c r="R1192" s="202">
        <v>-4297065.84</v>
      </c>
      <c r="U1192" s="198" t="s">
        <v>1046</v>
      </c>
      <c r="AA1192" s="198" t="s">
        <v>51</v>
      </c>
      <c r="AB1192" s="202">
        <v>-4297065.84</v>
      </c>
      <c r="AC1192" s="202">
        <v>-4297065.84</v>
      </c>
    </row>
    <row r="1193" spans="1:29" outlineLevel="2" x14ac:dyDescent="0.25">
      <c r="A1193" s="201">
        <v>46020</v>
      </c>
      <c r="D1193" s="198" t="s">
        <v>54</v>
      </c>
      <c r="E1193" s="202">
        <v>464000</v>
      </c>
      <c r="K1193" s="198" t="s">
        <v>1047</v>
      </c>
      <c r="L1193" s="198" t="s">
        <v>65</v>
      </c>
      <c r="P1193" s="201"/>
      <c r="R1193" s="202">
        <v>464000</v>
      </c>
      <c r="U1193" s="198" t="s">
        <v>1046</v>
      </c>
      <c r="AA1193" s="198" t="s">
        <v>51</v>
      </c>
      <c r="AB1193" s="202">
        <v>464000</v>
      </c>
      <c r="AC1193" s="202">
        <v>464000</v>
      </c>
    </row>
    <row r="1194" spans="1:29" outlineLevel="2" x14ac:dyDescent="0.25">
      <c r="A1194" s="201">
        <v>46020</v>
      </c>
      <c r="D1194" s="198" t="s">
        <v>54</v>
      </c>
      <c r="E1194" s="202">
        <v>13092437.25</v>
      </c>
      <c r="K1194" s="198" t="s">
        <v>1047</v>
      </c>
      <c r="L1194" s="198" t="s">
        <v>65</v>
      </c>
      <c r="P1194" s="201"/>
      <c r="R1194" s="202">
        <v>13092437.25</v>
      </c>
      <c r="U1194" s="198" t="s">
        <v>1046</v>
      </c>
      <c r="AA1194" s="198" t="s">
        <v>51</v>
      </c>
      <c r="AB1194" s="202">
        <v>13092437.25</v>
      </c>
      <c r="AC1194" s="202">
        <v>13092437.25</v>
      </c>
    </row>
    <row r="1195" spans="1:29" outlineLevel="2" x14ac:dyDescent="0.25">
      <c r="A1195" s="201">
        <v>46021</v>
      </c>
      <c r="D1195" s="198" t="s">
        <v>54</v>
      </c>
      <c r="E1195" s="202">
        <v>300000</v>
      </c>
      <c r="K1195" s="198" t="s">
        <v>1047</v>
      </c>
      <c r="L1195" s="198" t="s">
        <v>65</v>
      </c>
      <c r="P1195" s="201"/>
      <c r="R1195" s="202">
        <v>300000</v>
      </c>
      <c r="U1195" s="198" t="s">
        <v>1046</v>
      </c>
      <c r="AA1195" s="198" t="s">
        <v>51</v>
      </c>
      <c r="AB1195" s="202">
        <v>300000</v>
      </c>
      <c r="AC1195" s="202">
        <v>300000</v>
      </c>
    </row>
    <row r="1196" spans="1:29" outlineLevel="2" x14ac:dyDescent="0.25">
      <c r="A1196" s="201">
        <v>46022</v>
      </c>
      <c r="D1196" s="198" t="s">
        <v>54</v>
      </c>
      <c r="E1196" s="202">
        <v>243670</v>
      </c>
      <c r="K1196" s="198" t="s">
        <v>1047</v>
      </c>
      <c r="L1196" s="198" t="s">
        <v>65</v>
      </c>
      <c r="P1196" s="201"/>
      <c r="R1196" s="202">
        <v>243670</v>
      </c>
      <c r="U1196" s="198" t="s">
        <v>1046</v>
      </c>
      <c r="AA1196" s="198" t="s">
        <v>51</v>
      </c>
      <c r="AB1196" s="202">
        <v>243670</v>
      </c>
      <c r="AC1196" s="202">
        <v>243670</v>
      </c>
    </row>
    <row r="1197" spans="1:29" outlineLevel="2" x14ac:dyDescent="0.25">
      <c r="A1197" s="201">
        <v>46037</v>
      </c>
      <c r="D1197" s="198" t="s">
        <v>54</v>
      </c>
      <c r="E1197" s="202">
        <v>5529130</v>
      </c>
      <c r="K1197" s="198" t="s">
        <v>1047</v>
      </c>
      <c r="L1197" s="198" t="s">
        <v>65</v>
      </c>
      <c r="P1197" s="201"/>
      <c r="R1197" s="202">
        <v>5529130</v>
      </c>
      <c r="U1197" s="198" t="s">
        <v>1046</v>
      </c>
      <c r="AA1197" s="198" t="s">
        <v>51</v>
      </c>
      <c r="AB1197" s="202">
        <v>5529130</v>
      </c>
      <c r="AC1197" s="202">
        <v>5529130</v>
      </c>
    </row>
    <row r="1198" spans="1:29" outlineLevel="2" x14ac:dyDescent="0.25">
      <c r="A1198" s="201">
        <v>46043</v>
      </c>
      <c r="D1198" s="198" t="s">
        <v>54</v>
      </c>
      <c r="E1198" s="202">
        <v>7400000</v>
      </c>
      <c r="K1198" s="198" t="s">
        <v>1047</v>
      </c>
      <c r="L1198" s="198" t="s">
        <v>65</v>
      </c>
      <c r="P1198" s="201"/>
      <c r="R1198" s="202">
        <v>7400000</v>
      </c>
      <c r="U1198" s="198" t="s">
        <v>1046</v>
      </c>
      <c r="AA1198" s="198" t="s">
        <v>51</v>
      </c>
      <c r="AB1198" s="202">
        <v>7400000</v>
      </c>
      <c r="AC1198" s="202">
        <v>7400000</v>
      </c>
    </row>
    <row r="1199" spans="1:29" outlineLevel="2" x14ac:dyDescent="0.25">
      <c r="A1199" s="201">
        <v>46065</v>
      </c>
      <c r="D1199" s="198" t="s">
        <v>54</v>
      </c>
      <c r="E1199" s="202">
        <v>10602880</v>
      </c>
      <c r="K1199" s="198" t="s">
        <v>1047</v>
      </c>
      <c r="L1199" s="198" t="s">
        <v>65</v>
      </c>
      <c r="P1199" s="201"/>
      <c r="R1199" s="202">
        <v>10602880</v>
      </c>
      <c r="U1199" s="198" t="s">
        <v>1046</v>
      </c>
      <c r="AA1199" s="198" t="s">
        <v>51</v>
      </c>
      <c r="AB1199" s="202">
        <v>10602880</v>
      </c>
      <c r="AC1199" s="202">
        <v>10602880</v>
      </c>
    </row>
    <row r="1200" spans="1:29" outlineLevel="2" x14ac:dyDescent="0.25">
      <c r="A1200" s="201">
        <v>46066</v>
      </c>
      <c r="D1200" s="198" t="s">
        <v>54</v>
      </c>
      <c r="E1200" s="202">
        <v>3567000</v>
      </c>
      <c r="K1200" s="198" t="s">
        <v>1047</v>
      </c>
      <c r="L1200" s="198" t="s">
        <v>65</v>
      </c>
      <c r="P1200" s="201"/>
      <c r="R1200" s="202">
        <v>3567000</v>
      </c>
      <c r="U1200" s="198" t="s">
        <v>1046</v>
      </c>
      <c r="AA1200" s="198" t="s">
        <v>51</v>
      </c>
      <c r="AB1200" s="202">
        <v>3567000</v>
      </c>
      <c r="AC1200" s="202">
        <v>3567000</v>
      </c>
    </row>
    <row r="1201" spans="1:29" outlineLevel="2" x14ac:dyDescent="0.25">
      <c r="A1201" s="201">
        <v>46077</v>
      </c>
      <c r="D1201" s="198" t="s">
        <v>54</v>
      </c>
      <c r="E1201" s="202">
        <v>321900</v>
      </c>
      <c r="K1201" s="198" t="s">
        <v>1047</v>
      </c>
      <c r="L1201" s="198" t="s">
        <v>65</v>
      </c>
      <c r="P1201" s="201"/>
      <c r="R1201" s="202">
        <v>321900</v>
      </c>
      <c r="U1201" s="198" t="s">
        <v>1046</v>
      </c>
      <c r="AA1201" s="198" t="s">
        <v>51</v>
      </c>
      <c r="AB1201" s="202">
        <v>321900</v>
      </c>
      <c r="AC1201" s="202">
        <v>321900</v>
      </c>
    </row>
    <row r="1202" spans="1:29" outlineLevel="2" x14ac:dyDescent="0.25">
      <c r="A1202" s="201">
        <v>46112</v>
      </c>
      <c r="D1202" s="198" t="s">
        <v>54</v>
      </c>
      <c r="E1202" s="202">
        <v>-11735755.210000001</v>
      </c>
      <c r="K1202" s="198" t="s">
        <v>1047</v>
      </c>
      <c r="L1202" s="198" t="s">
        <v>65</v>
      </c>
      <c r="P1202" s="201"/>
      <c r="R1202" s="202">
        <v>-11735755.210000001</v>
      </c>
      <c r="U1202" s="198" t="s">
        <v>1046</v>
      </c>
      <c r="AA1202" s="198" t="s">
        <v>51</v>
      </c>
      <c r="AB1202" s="202">
        <v>-11735755.210000001</v>
      </c>
      <c r="AC1202" s="202">
        <v>-11735755.210000001</v>
      </c>
    </row>
    <row r="1203" spans="1:29" outlineLevel="2" x14ac:dyDescent="0.25">
      <c r="A1203" s="201">
        <v>46119</v>
      </c>
      <c r="D1203" s="198" t="s">
        <v>54</v>
      </c>
      <c r="E1203" s="202">
        <v>1173637.3600000001</v>
      </c>
      <c r="K1203" s="198" t="s">
        <v>1047</v>
      </c>
      <c r="L1203" s="198" t="s">
        <v>65</v>
      </c>
      <c r="P1203" s="201"/>
      <c r="R1203" s="202">
        <v>1173637.3600000001</v>
      </c>
      <c r="U1203" s="198" t="s">
        <v>1046</v>
      </c>
      <c r="AA1203" s="198" t="s">
        <v>51</v>
      </c>
      <c r="AB1203" s="202">
        <v>1173637.3600000001</v>
      </c>
      <c r="AC1203" s="202">
        <v>1173637.3600000001</v>
      </c>
    </row>
    <row r="1204" spans="1:29" outlineLevel="2" x14ac:dyDescent="0.25">
      <c r="A1204" s="201">
        <v>46126</v>
      </c>
      <c r="D1204" s="198" t="s">
        <v>54</v>
      </c>
      <c r="E1204" s="202">
        <v>30</v>
      </c>
      <c r="K1204" s="198" t="s">
        <v>1047</v>
      </c>
      <c r="L1204" s="198" t="s">
        <v>65</v>
      </c>
      <c r="P1204" s="201"/>
      <c r="R1204" s="202">
        <v>30</v>
      </c>
      <c r="U1204" s="198" t="s">
        <v>1046</v>
      </c>
      <c r="AA1204" s="198" t="s">
        <v>51</v>
      </c>
      <c r="AB1204" s="202">
        <v>30</v>
      </c>
      <c r="AC1204" s="202">
        <v>30</v>
      </c>
    </row>
    <row r="1205" spans="1:29" outlineLevel="2" x14ac:dyDescent="0.25">
      <c r="A1205" s="201">
        <v>46136</v>
      </c>
      <c r="D1205" s="198" t="s">
        <v>54</v>
      </c>
      <c r="E1205" s="202">
        <v>2247092.3199999998</v>
      </c>
      <c r="K1205" s="198" t="s">
        <v>1047</v>
      </c>
      <c r="L1205" s="198" t="s">
        <v>65</v>
      </c>
      <c r="P1205" s="201"/>
      <c r="R1205" s="202">
        <v>2247092.3199999998</v>
      </c>
      <c r="U1205" s="198" t="s">
        <v>1046</v>
      </c>
      <c r="AA1205" s="198" t="s">
        <v>51</v>
      </c>
      <c r="AB1205" s="202">
        <v>2247092.3199999998</v>
      </c>
      <c r="AC1205" s="202">
        <v>2247092.3199999998</v>
      </c>
    </row>
    <row r="1206" spans="1:29" outlineLevel="2" x14ac:dyDescent="0.25">
      <c r="A1206" s="201">
        <v>46136</v>
      </c>
      <c r="D1206" s="198" t="s">
        <v>54</v>
      </c>
      <c r="E1206" s="202">
        <v>1047731.59</v>
      </c>
      <c r="K1206" s="198" t="s">
        <v>1047</v>
      </c>
      <c r="L1206" s="198" t="s">
        <v>65</v>
      </c>
      <c r="P1206" s="201"/>
      <c r="R1206" s="202">
        <v>1047731.59</v>
      </c>
      <c r="U1206" s="198" t="s">
        <v>1046</v>
      </c>
      <c r="AA1206" s="198" t="s">
        <v>51</v>
      </c>
      <c r="AB1206" s="202">
        <v>1047731.59</v>
      </c>
      <c r="AC1206" s="202">
        <v>1047731.59</v>
      </c>
    </row>
    <row r="1207" spans="1:29" outlineLevel="2" x14ac:dyDescent="0.25">
      <c r="A1207" s="201">
        <v>46136</v>
      </c>
      <c r="D1207" s="198" t="s">
        <v>54</v>
      </c>
      <c r="E1207" s="202">
        <v>138062.95000000001</v>
      </c>
      <c r="K1207" s="198" t="s">
        <v>1047</v>
      </c>
      <c r="L1207" s="198" t="s">
        <v>65</v>
      </c>
      <c r="P1207" s="201"/>
      <c r="R1207" s="202">
        <v>138062.95000000001</v>
      </c>
      <c r="U1207" s="198" t="s">
        <v>1046</v>
      </c>
      <c r="AA1207" s="198" t="s">
        <v>51</v>
      </c>
      <c r="AB1207" s="202">
        <v>138062.95000000001</v>
      </c>
      <c r="AC1207" s="202">
        <v>138062.95000000001</v>
      </c>
    </row>
    <row r="1208" spans="1:29" outlineLevel="2" x14ac:dyDescent="0.25">
      <c r="A1208" s="201">
        <v>46137</v>
      </c>
      <c r="D1208" s="198" t="s">
        <v>54</v>
      </c>
      <c r="E1208" s="202">
        <v>43000.05</v>
      </c>
      <c r="K1208" s="198" t="s">
        <v>1047</v>
      </c>
      <c r="L1208" s="198" t="s">
        <v>65</v>
      </c>
      <c r="P1208" s="201"/>
      <c r="R1208" s="202">
        <v>43000.05</v>
      </c>
      <c r="U1208" s="198" t="s">
        <v>1046</v>
      </c>
      <c r="AA1208" s="198" t="s">
        <v>51</v>
      </c>
      <c r="AB1208" s="202">
        <v>43000.05</v>
      </c>
      <c r="AC1208" s="202">
        <v>43000.05</v>
      </c>
    </row>
    <row r="1209" spans="1:29" outlineLevel="2" x14ac:dyDescent="0.25">
      <c r="A1209" s="201">
        <v>46137</v>
      </c>
      <c r="D1209" s="198" t="s">
        <v>54</v>
      </c>
      <c r="E1209" s="202">
        <v>1614442.53</v>
      </c>
      <c r="K1209" s="198" t="s">
        <v>1047</v>
      </c>
      <c r="L1209" s="198" t="s">
        <v>65</v>
      </c>
      <c r="P1209" s="201"/>
      <c r="R1209" s="202">
        <v>1614442.53</v>
      </c>
      <c r="U1209" s="198" t="s">
        <v>1046</v>
      </c>
      <c r="AA1209" s="198" t="s">
        <v>51</v>
      </c>
      <c r="AB1209" s="202">
        <v>1614442.53</v>
      </c>
      <c r="AC1209" s="202">
        <v>1614442.53</v>
      </c>
    </row>
    <row r="1210" spans="1:29" outlineLevel="2" x14ac:dyDescent="0.25">
      <c r="A1210" s="201">
        <v>46139</v>
      </c>
      <c r="D1210" s="198" t="s">
        <v>54</v>
      </c>
      <c r="E1210" s="202">
        <v>13539221.6</v>
      </c>
      <c r="K1210" s="198" t="s">
        <v>1047</v>
      </c>
      <c r="L1210" s="198" t="s">
        <v>65</v>
      </c>
      <c r="P1210" s="201"/>
      <c r="R1210" s="202">
        <v>13539221.6</v>
      </c>
      <c r="U1210" s="198" t="s">
        <v>1046</v>
      </c>
      <c r="AA1210" s="198" t="s">
        <v>51</v>
      </c>
      <c r="AB1210" s="202">
        <v>13539221.6</v>
      </c>
      <c r="AC1210" s="202">
        <v>13539221.6</v>
      </c>
    </row>
    <row r="1211" spans="1:29" outlineLevel="2" x14ac:dyDescent="0.25">
      <c r="A1211" s="201">
        <v>46141</v>
      </c>
      <c r="D1211" s="198" t="s">
        <v>54</v>
      </c>
      <c r="E1211" s="202">
        <v>13681000.41</v>
      </c>
      <c r="K1211" s="198" t="s">
        <v>1047</v>
      </c>
      <c r="L1211" s="198" t="s">
        <v>65</v>
      </c>
      <c r="P1211" s="201"/>
      <c r="R1211" s="202">
        <v>13681000.41</v>
      </c>
      <c r="U1211" s="198" t="s">
        <v>1046</v>
      </c>
      <c r="AA1211" s="198" t="s">
        <v>51</v>
      </c>
      <c r="AB1211" s="202">
        <v>13681000.41</v>
      </c>
      <c r="AC1211" s="202">
        <v>13681000.41</v>
      </c>
    </row>
    <row r="1212" spans="1:29" outlineLevel="2" x14ac:dyDescent="0.25">
      <c r="A1212" s="201">
        <v>46155</v>
      </c>
      <c r="D1212" s="198" t="s">
        <v>54</v>
      </c>
      <c r="E1212" s="202">
        <v>2099305.0499999998</v>
      </c>
      <c r="K1212" s="198" t="s">
        <v>1047</v>
      </c>
      <c r="L1212" s="198" t="s">
        <v>65</v>
      </c>
      <c r="P1212" s="201"/>
      <c r="R1212" s="202">
        <v>2099305.0499999998</v>
      </c>
      <c r="U1212" s="198" t="s">
        <v>1046</v>
      </c>
      <c r="AA1212" s="198" t="s">
        <v>51</v>
      </c>
      <c r="AB1212" s="202">
        <v>2099305.0499999998</v>
      </c>
      <c r="AC1212" s="202">
        <v>2099305.0499999998</v>
      </c>
    </row>
    <row r="1213" spans="1:29" outlineLevel="2" x14ac:dyDescent="0.25">
      <c r="A1213" s="201">
        <v>46155</v>
      </c>
      <c r="D1213" s="198" t="s">
        <v>54</v>
      </c>
      <c r="E1213" s="202">
        <v>4905299.09</v>
      </c>
      <c r="K1213" s="198" t="s">
        <v>1047</v>
      </c>
      <c r="L1213" s="198" t="s">
        <v>65</v>
      </c>
      <c r="P1213" s="201"/>
      <c r="R1213" s="202">
        <v>4905299.09</v>
      </c>
      <c r="U1213" s="198" t="s">
        <v>1046</v>
      </c>
      <c r="AA1213" s="198" t="s">
        <v>51</v>
      </c>
      <c r="AB1213" s="202">
        <v>4905299.09</v>
      </c>
      <c r="AC1213" s="202">
        <v>4905299.09</v>
      </c>
    </row>
    <row r="1214" spans="1:29" outlineLevel="1" x14ac:dyDescent="0.25">
      <c r="A1214" s="210"/>
      <c r="B1214" s="209"/>
      <c r="C1214" s="209"/>
      <c r="D1214" s="209" t="s">
        <v>54</v>
      </c>
      <c r="E1214" s="211">
        <v>681009684.99000001</v>
      </c>
      <c r="F1214" s="209"/>
      <c r="G1214" s="209"/>
      <c r="H1214" s="209"/>
      <c r="I1214" s="209"/>
      <c r="J1214" s="209"/>
      <c r="K1214" s="209" t="s">
        <v>54</v>
      </c>
      <c r="L1214" s="209" t="s">
        <v>54</v>
      </c>
      <c r="M1214" s="209"/>
      <c r="N1214" s="209"/>
      <c r="O1214" s="209"/>
      <c r="P1214" s="210"/>
      <c r="Q1214" s="209"/>
      <c r="R1214" s="212"/>
      <c r="S1214" s="209"/>
      <c r="T1214" s="209"/>
      <c r="U1214" s="209" t="s">
        <v>54</v>
      </c>
      <c r="V1214" s="209"/>
      <c r="W1214" s="209"/>
      <c r="X1214" s="209"/>
      <c r="Y1214" s="209"/>
      <c r="Z1214" s="209"/>
      <c r="AA1214" s="209" t="s">
        <v>54</v>
      </c>
      <c r="AB1214" s="212"/>
      <c r="AC1214" s="212"/>
    </row>
    <row r="1215" spans="1:29" outlineLevel="2" x14ac:dyDescent="0.25">
      <c r="A1215" s="201">
        <v>46008</v>
      </c>
      <c r="D1215" s="198" t="s">
        <v>54</v>
      </c>
      <c r="E1215" s="202">
        <v>220588725</v>
      </c>
      <c r="K1215" s="198" t="s">
        <v>1049</v>
      </c>
      <c r="L1215" s="198" t="s">
        <v>65</v>
      </c>
      <c r="P1215" s="201"/>
      <c r="R1215" s="202">
        <v>220588725</v>
      </c>
      <c r="U1215" s="198" t="s">
        <v>202</v>
      </c>
      <c r="AA1215" s="198" t="s">
        <v>51</v>
      </c>
      <c r="AB1215" s="202">
        <v>220588725</v>
      </c>
      <c r="AC1215" s="202">
        <v>220588725</v>
      </c>
    </row>
    <row r="1216" spans="1:29" outlineLevel="2" x14ac:dyDescent="0.25">
      <c r="A1216" s="201">
        <v>46017</v>
      </c>
      <c r="D1216" s="198" t="s">
        <v>54</v>
      </c>
      <c r="E1216" s="202">
        <v>26118375</v>
      </c>
      <c r="K1216" s="198" t="s">
        <v>1049</v>
      </c>
      <c r="L1216" s="198" t="s">
        <v>65</v>
      </c>
      <c r="P1216" s="201"/>
      <c r="R1216" s="202">
        <v>26118375</v>
      </c>
      <c r="U1216" s="198" t="s">
        <v>202</v>
      </c>
      <c r="AA1216" s="198" t="s">
        <v>51</v>
      </c>
      <c r="AB1216" s="202">
        <v>26118375</v>
      </c>
      <c r="AC1216" s="202">
        <v>26118375</v>
      </c>
    </row>
    <row r="1217" spans="1:29" outlineLevel="2" x14ac:dyDescent="0.25">
      <c r="A1217" s="201">
        <v>46037</v>
      </c>
      <c r="D1217" s="198" t="s">
        <v>54</v>
      </c>
      <c r="E1217" s="202">
        <v>5529130</v>
      </c>
      <c r="K1217" s="198" t="s">
        <v>1049</v>
      </c>
      <c r="L1217" s="198" t="s">
        <v>65</v>
      </c>
      <c r="P1217" s="201"/>
      <c r="R1217" s="202">
        <v>5529130</v>
      </c>
      <c r="U1217" s="198" t="s">
        <v>202</v>
      </c>
      <c r="AA1217" s="198" t="s">
        <v>51</v>
      </c>
      <c r="AB1217" s="202">
        <v>5529130</v>
      </c>
      <c r="AC1217" s="202">
        <v>5529130</v>
      </c>
    </row>
    <row r="1218" spans="1:29" outlineLevel="2" x14ac:dyDescent="0.25">
      <c r="A1218" s="201">
        <v>46043</v>
      </c>
      <c r="D1218" s="198" t="s">
        <v>54</v>
      </c>
      <c r="E1218" s="202">
        <v>6500000</v>
      </c>
      <c r="K1218" s="198" t="s">
        <v>1049</v>
      </c>
      <c r="L1218" s="198" t="s">
        <v>65</v>
      </c>
      <c r="P1218" s="201"/>
      <c r="R1218" s="202">
        <v>6500000</v>
      </c>
      <c r="U1218" s="198" t="s">
        <v>202</v>
      </c>
      <c r="AA1218" s="198" t="s">
        <v>51</v>
      </c>
      <c r="AB1218" s="202">
        <v>6500000</v>
      </c>
      <c r="AC1218" s="202">
        <v>6500000</v>
      </c>
    </row>
    <row r="1219" spans="1:29" outlineLevel="2" x14ac:dyDescent="0.25">
      <c r="A1219" s="201">
        <v>46065</v>
      </c>
      <c r="D1219" s="198" t="s">
        <v>54</v>
      </c>
      <c r="E1219" s="202">
        <v>10602880</v>
      </c>
      <c r="K1219" s="198" t="s">
        <v>1049</v>
      </c>
      <c r="L1219" s="198" t="s">
        <v>65</v>
      </c>
      <c r="P1219" s="201"/>
      <c r="R1219" s="202">
        <v>10602880</v>
      </c>
      <c r="U1219" s="198" t="s">
        <v>202</v>
      </c>
      <c r="AA1219" s="198" t="s">
        <v>51</v>
      </c>
      <c r="AB1219" s="202">
        <v>10602880</v>
      </c>
      <c r="AC1219" s="202">
        <v>10602880</v>
      </c>
    </row>
    <row r="1220" spans="1:29" outlineLevel="2" x14ac:dyDescent="0.25">
      <c r="A1220" s="201">
        <v>46066</v>
      </c>
      <c r="D1220" s="198" t="s">
        <v>54</v>
      </c>
      <c r="E1220" s="202">
        <v>3567000</v>
      </c>
      <c r="K1220" s="198" t="s">
        <v>1049</v>
      </c>
      <c r="L1220" s="198" t="s">
        <v>65</v>
      </c>
      <c r="P1220" s="201"/>
      <c r="R1220" s="202">
        <v>3567000</v>
      </c>
      <c r="U1220" s="198" t="s">
        <v>202</v>
      </c>
      <c r="AA1220" s="198" t="s">
        <v>51</v>
      </c>
      <c r="AB1220" s="202">
        <v>3567000</v>
      </c>
      <c r="AC1220" s="202">
        <v>3567000</v>
      </c>
    </row>
    <row r="1221" spans="1:29" outlineLevel="2" x14ac:dyDescent="0.25">
      <c r="A1221" s="201">
        <v>46077</v>
      </c>
      <c r="D1221" s="198" t="s">
        <v>54</v>
      </c>
      <c r="E1221" s="202">
        <v>321900</v>
      </c>
      <c r="K1221" s="198" t="s">
        <v>1049</v>
      </c>
      <c r="L1221" s="198" t="s">
        <v>65</v>
      </c>
      <c r="P1221" s="201"/>
      <c r="R1221" s="202">
        <v>321900</v>
      </c>
      <c r="U1221" s="198" t="s">
        <v>202</v>
      </c>
      <c r="AA1221" s="198" t="s">
        <v>51</v>
      </c>
      <c r="AB1221" s="202">
        <v>321900</v>
      </c>
      <c r="AC1221" s="202">
        <v>321900</v>
      </c>
    </row>
    <row r="1222" spans="1:29" outlineLevel="2" x14ac:dyDescent="0.25">
      <c r="A1222" s="201">
        <v>46139</v>
      </c>
      <c r="D1222" s="198" t="s">
        <v>54</v>
      </c>
      <c r="E1222" s="202">
        <v>3589600</v>
      </c>
      <c r="K1222" s="198" t="s">
        <v>1049</v>
      </c>
      <c r="L1222" s="198" t="s">
        <v>65</v>
      </c>
      <c r="P1222" s="201"/>
      <c r="R1222" s="202">
        <v>3589600</v>
      </c>
      <c r="U1222" s="198" t="s">
        <v>202</v>
      </c>
      <c r="AA1222" s="198" t="s">
        <v>51</v>
      </c>
      <c r="AB1222" s="202">
        <v>3589600</v>
      </c>
      <c r="AC1222" s="202">
        <v>3589600</v>
      </c>
    </row>
    <row r="1223" spans="1:29" outlineLevel="1" x14ac:dyDescent="0.25">
      <c r="A1223" s="210"/>
      <c r="B1223" s="209"/>
      <c r="C1223" s="209"/>
      <c r="D1223" s="209" t="s">
        <v>54</v>
      </c>
      <c r="E1223" s="211">
        <v>276817610</v>
      </c>
      <c r="F1223" s="209"/>
      <c r="G1223" s="209"/>
      <c r="H1223" s="209"/>
      <c r="I1223" s="209"/>
      <c r="J1223" s="209"/>
      <c r="K1223" s="209" t="s">
        <v>54</v>
      </c>
      <c r="L1223" s="209" t="s">
        <v>54</v>
      </c>
      <c r="M1223" s="209"/>
      <c r="N1223" s="209"/>
      <c r="O1223" s="209"/>
      <c r="P1223" s="210"/>
      <c r="Q1223" s="209"/>
      <c r="R1223" s="212"/>
      <c r="S1223" s="209"/>
      <c r="T1223" s="209"/>
      <c r="U1223" s="209" t="s">
        <v>54</v>
      </c>
      <c r="V1223" s="209"/>
      <c r="W1223" s="209"/>
      <c r="X1223" s="209"/>
      <c r="Y1223" s="209"/>
      <c r="Z1223" s="209"/>
      <c r="AA1223" s="209" t="s">
        <v>54</v>
      </c>
      <c r="AB1223" s="212"/>
      <c r="AC1223" s="212"/>
    </row>
    <row r="1224" spans="1:29" outlineLevel="2" x14ac:dyDescent="0.25">
      <c r="A1224" s="201">
        <v>46008</v>
      </c>
      <c r="D1224" s="198" t="s">
        <v>54</v>
      </c>
      <c r="E1224" s="202">
        <v>53798880</v>
      </c>
      <c r="K1224" s="198" t="s">
        <v>1050</v>
      </c>
      <c r="L1224" s="198" t="s">
        <v>65</v>
      </c>
      <c r="P1224" s="201"/>
      <c r="R1224" s="202">
        <v>53798880</v>
      </c>
      <c r="U1224" s="198" t="s">
        <v>180</v>
      </c>
      <c r="AA1224" s="198" t="s">
        <v>51</v>
      </c>
      <c r="AB1224" s="202">
        <v>53798880</v>
      </c>
      <c r="AC1224" s="202">
        <v>53798880</v>
      </c>
    </row>
    <row r="1225" spans="1:29" outlineLevel="2" x14ac:dyDescent="0.25">
      <c r="A1225" s="201">
        <v>46009</v>
      </c>
      <c r="D1225" s="198" t="s">
        <v>54</v>
      </c>
      <c r="E1225" s="202">
        <v>45393992.700000003</v>
      </c>
      <c r="K1225" s="198" t="s">
        <v>1050</v>
      </c>
      <c r="L1225" s="198" t="s">
        <v>65</v>
      </c>
      <c r="P1225" s="201"/>
      <c r="R1225" s="202">
        <v>45393992.700000003</v>
      </c>
      <c r="U1225" s="198" t="s">
        <v>180</v>
      </c>
      <c r="AA1225" s="198" t="s">
        <v>51</v>
      </c>
      <c r="AB1225" s="202">
        <v>45393992.700000003</v>
      </c>
      <c r="AC1225" s="202">
        <v>45393992.700000003</v>
      </c>
    </row>
    <row r="1226" spans="1:29" outlineLevel="2" x14ac:dyDescent="0.25">
      <c r="A1226" s="201">
        <v>46017</v>
      </c>
      <c r="D1226" s="198" t="s">
        <v>54</v>
      </c>
      <c r="E1226" s="202">
        <v>-15981072.699999999</v>
      </c>
      <c r="K1226" s="198" t="s">
        <v>1050</v>
      </c>
      <c r="L1226" s="198" t="s">
        <v>65</v>
      </c>
      <c r="P1226" s="201"/>
      <c r="R1226" s="202">
        <v>-15981072.699999999</v>
      </c>
      <c r="U1226" s="198" t="s">
        <v>180</v>
      </c>
      <c r="AA1226" s="198" t="s">
        <v>51</v>
      </c>
      <c r="AB1226" s="202">
        <v>-15981072.699999999</v>
      </c>
      <c r="AC1226" s="202">
        <v>-15981072.699999999</v>
      </c>
    </row>
    <row r="1227" spans="1:29" outlineLevel="2" x14ac:dyDescent="0.25">
      <c r="A1227" s="201">
        <v>46020</v>
      </c>
      <c r="D1227" s="198" t="s">
        <v>54</v>
      </c>
      <c r="E1227" s="202">
        <v>464000</v>
      </c>
      <c r="K1227" s="198" t="s">
        <v>1050</v>
      </c>
      <c r="L1227" s="198" t="s">
        <v>65</v>
      </c>
      <c r="P1227" s="201"/>
      <c r="R1227" s="202">
        <v>464000</v>
      </c>
      <c r="U1227" s="198" t="s">
        <v>180</v>
      </c>
      <c r="AA1227" s="198" t="s">
        <v>51</v>
      </c>
      <c r="AB1227" s="202">
        <v>464000</v>
      </c>
      <c r="AC1227" s="202">
        <v>464000</v>
      </c>
    </row>
    <row r="1228" spans="1:29" outlineLevel="2" x14ac:dyDescent="0.25">
      <c r="A1228" s="201">
        <v>46043</v>
      </c>
      <c r="D1228" s="198" t="s">
        <v>54</v>
      </c>
      <c r="E1228" s="202">
        <v>100000</v>
      </c>
      <c r="K1228" s="198" t="s">
        <v>1050</v>
      </c>
      <c r="L1228" s="198" t="s">
        <v>65</v>
      </c>
      <c r="P1228" s="201"/>
      <c r="R1228" s="202">
        <v>100000</v>
      </c>
      <c r="U1228" s="198" t="s">
        <v>180</v>
      </c>
      <c r="AA1228" s="198" t="s">
        <v>51</v>
      </c>
      <c r="AB1228" s="202">
        <v>100000</v>
      </c>
      <c r="AC1228" s="202">
        <v>100000</v>
      </c>
    </row>
    <row r="1229" spans="1:29" outlineLevel="2" x14ac:dyDescent="0.25">
      <c r="A1229" s="201">
        <v>46112</v>
      </c>
      <c r="D1229" s="198" t="s">
        <v>54</v>
      </c>
      <c r="E1229" s="202">
        <v>-43489.599999999999</v>
      </c>
      <c r="K1229" s="198" t="s">
        <v>1050</v>
      </c>
      <c r="L1229" s="198" t="s">
        <v>65</v>
      </c>
      <c r="P1229" s="201"/>
      <c r="R1229" s="202">
        <v>-43489.599999999999</v>
      </c>
      <c r="U1229" s="198" t="s">
        <v>180</v>
      </c>
      <c r="AA1229" s="198" t="s">
        <v>51</v>
      </c>
      <c r="AB1229" s="202">
        <v>-43489.599999999999</v>
      </c>
      <c r="AC1229" s="202">
        <v>-43489.599999999999</v>
      </c>
    </row>
    <row r="1230" spans="1:29" outlineLevel="2" x14ac:dyDescent="0.25">
      <c r="A1230" s="201">
        <v>46139</v>
      </c>
      <c r="D1230" s="198" t="s">
        <v>54</v>
      </c>
      <c r="E1230" s="202">
        <v>2298597.6</v>
      </c>
      <c r="K1230" s="198" t="s">
        <v>1050</v>
      </c>
      <c r="L1230" s="198" t="s">
        <v>65</v>
      </c>
      <c r="P1230" s="201"/>
      <c r="R1230" s="202">
        <v>2298597.6</v>
      </c>
      <c r="U1230" s="198" t="s">
        <v>180</v>
      </c>
      <c r="AA1230" s="198" t="s">
        <v>51</v>
      </c>
      <c r="AB1230" s="202">
        <v>2298597.6</v>
      </c>
      <c r="AC1230" s="202">
        <v>2298597.6</v>
      </c>
    </row>
    <row r="1231" spans="1:29" outlineLevel="1" x14ac:dyDescent="0.25">
      <c r="A1231" s="210"/>
      <c r="B1231" s="209"/>
      <c r="C1231" s="209"/>
      <c r="D1231" s="209" t="s">
        <v>54</v>
      </c>
      <c r="E1231" s="211">
        <v>86030908</v>
      </c>
      <c r="F1231" s="209"/>
      <c r="G1231" s="209"/>
      <c r="H1231" s="209"/>
      <c r="I1231" s="209"/>
      <c r="J1231" s="209"/>
      <c r="K1231" s="209" t="s">
        <v>54</v>
      </c>
      <c r="L1231" s="209" t="s">
        <v>54</v>
      </c>
      <c r="M1231" s="209"/>
      <c r="N1231" s="209"/>
      <c r="O1231" s="209"/>
      <c r="P1231" s="210"/>
      <c r="Q1231" s="209"/>
      <c r="R1231" s="212"/>
      <c r="S1231" s="209"/>
      <c r="T1231" s="209"/>
      <c r="U1231" s="209" t="s">
        <v>54</v>
      </c>
      <c r="V1231" s="209"/>
      <c r="W1231" s="209"/>
      <c r="X1231" s="209"/>
      <c r="Y1231" s="209"/>
      <c r="Z1231" s="209"/>
      <c r="AA1231" s="209" t="s">
        <v>54</v>
      </c>
      <c r="AB1231" s="212"/>
      <c r="AC1231" s="212"/>
    </row>
    <row r="1232" spans="1:29" outlineLevel="2" x14ac:dyDescent="0.25">
      <c r="A1232" s="201">
        <v>46008</v>
      </c>
      <c r="D1232" s="198" t="s">
        <v>54</v>
      </c>
      <c r="E1232" s="202">
        <v>101040890</v>
      </c>
      <c r="K1232" s="198" t="s">
        <v>1052</v>
      </c>
      <c r="L1232" s="198" t="s">
        <v>65</v>
      </c>
      <c r="P1232" s="201"/>
      <c r="R1232" s="202">
        <v>101040890</v>
      </c>
      <c r="U1232" s="198" t="s">
        <v>1051</v>
      </c>
      <c r="AA1232" s="198" t="s">
        <v>51</v>
      </c>
      <c r="AB1232" s="202">
        <v>101040890</v>
      </c>
      <c r="AC1232" s="202">
        <v>101040890</v>
      </c>
    </row>
    <row r="1233" spans="1:29" outlineLevel="2" x14ac:dyDescent="0.25">
      <c r="A1233" s="201">
        <v>46009</v>
      </c>
      <c r="D1233" s="198" t="s">
        <v>54</v>
      </c>
      <c r="E1233" s="202">
        <v>110015356</v>
      </c>
      <c r="K1233" s="198" t="s">
        <v>1052</v>
      </c>
      <c r="L1233" s="198" t="s">
        <v>65</v>
      </c>
      <c r="P1233" s="201"/>
      <c r="R1233" s="202">
        <v>110015356</v>
      </c>
      <c r="U1233" s="198" t="s">
        <v>1051</v>
      </c>
      <c r="AA1233" s="198" t="s">
        <v>51</v>
      </c>
      <c r="AB1233" s="202">
        <v>110015356</v>
      </c>
      <c r="AC1233" s="202">
        <v>110015356</v>
      </c>
    </row>
    <row r="1234" spans="1:29" outlineLevel="2" x14ac:dyDescent="0.25">
      <c r="A1234" s="201">
        <v>46013</v>
      </c>
      <c r="D1234" s="198" t="s">
        <v>54</v>
      </c>
      <c r="E1234" s="202">
        <v>39051659.009999998</v>
      </c>
      <c r="K1234" s="198" t="s">
        <v>1052</v>
      </c>
      <c r="L1234" s="198" t="s">
        <v>65</v>
      </c>
      <c r="P1234" s="201"/>
      <c r="R1234" s="202">
        <v>39051659.009999998</v>
      </c>
      <c r="U1234" s="198" t="s">
        <v>1051</v>
      </c>
      <c r="AA1234" s="198" t="s">
        <v>51</v>
      </c>
      <c r="AB1234" s="202">
        <v>39051659.009999998</v>
      </c>
      <c r="AC1234" s="202">
        <v>39051659.009999998</v>
      </c>
    </row>
    <row r="1235" spans="1:29" outlineLevel="2" x14ac:dyDescent="0.25">
      <c r="A1235" s="201">
        <v>46014</v>
      </c>
      <c r="D1235" s="198" t="s">
        <v>54</v>
      </c>
      <c r="E1235" s="202">
        <v>0.11</v>
      </c>
      <c r="K1235" s="198" t="s">
        <v>1052</v>
      </c>
      <c r="L1235" s="198" t="s">
        <v>65</v>
      </c>
      <c r="P1235" s="201"/>
      <c r="R1235" s="202">
        <v>0.11</v>
      </c>
      <c r="U1235" s="198" t="s">
        <v>1051</v>
      </c>
      <c r="AA1235" s="198" t="s">
        <v>51</v>
      </c>
      <c r="AB1235" s="202">
        <v>0.11</v>
      </c>
      <c r="AC1235" s="202">
        <v>0.11</v>
      </c>
    </row>
    <row r="1236" spans="1:29" outlineLevel="2" x14ac:dyDescent="0.25">
      <c r="A1236" s="201">
        <v>46017</v>
      </c>
      <c r="D1236" s="198" t="s">
        <v>54</v>
      </c>
      <c r="E1236" s="202">
        <v>-22191905.120000001</v>
      </c>
      <c r="K1236" s="198" t="s">
        <v>1052</v>
      </c>
      <c r="L1236" s="198" t="s">
        <v>65</v>
      </c>
      <c r="P1236" s="201"/>
      <c r="R1236" s="202">
        <v>-22191905.120000001</v>
      </c>
      <c r="U1236" s="198" t="s">
        <v>1051</v>
      </c>
      <c r="AA1236" s="198" t="s">
        <v>51</v>
      </c>
      <c r="AB1236" s="202">
        <v>-22191905.120000001</v>
      </c>
      <c r="AC1236" s="202">
        <v>-22191905.120000001</v>
      </c>
    </row>
    <row r="1237" spans="1:29" outlineLevel="2" x14ac:dyDescent="0.25">
      <c r="A1237" s="201">
        <v>46020</v>
      </c>
      <c r="D1237" s="198" t="s">
        <v>54</v>
      </c>
      <c r="E1237" s="202">
        <v>13092437.25</v>
      </c>
      <c r="K1237" s="198" t="s">
        <v>1052</v>
      </c>
      <c r="L1237" s="198" t="s">
        <v>65</v>
      </c>
      <c r="P1237" s="201"/>
      <c r="R1237" s="202">
        <v>13092437.25</v>
      </c>
      <c r="U1237" s="198" t="s">
        <v>1051</v>
      </c>
      <c r="AA1237" s="198" t="s">
        <v>51</v>
      </c>
      <c r="AB1237" s="202">
        <v>13092437.25</v>
      </c>
      <c r="AC1237" s="202">
        <v>13092437.25</v>
      </c>
    </row>
    <row r="1238" spans="1:29" outlineLevel="2" x14ac:dyDescent="0.25">
      <c r="A1238" s="201">
        <v>46112</v>
      </c>
      <c r="D1238" s="198" t="s">
        <v>54</v>
      </c>
      <c r="E1238" s="202">
        <v>-10437765.720000001</v>
      </c>
      <c r="K1238" s="198" t="s">
        <v>1052</v>
      </c>
      <c r="L1238" s="198" t="s">
        <v>65</v>
      </c>
      <c r="P1238" s="201"/>
      <c r="R1238" s="202">
        <v>-10437765.720000001</v>
      </c>
      <c r="U1238" s="198" t="s">
        <v>1051</v>
      </c>
      <c r="AA1238" s="198" t="s">
        <v>51</v>
      </c>
      <c r="AB1238" s="202">
        <v>-10437765.720000001</v>
      </c>
      <c r="AC1238" s="202">
        <v>-10437765.720000001</v>
      </c>
    </row>
    <row r="1239" spans="1:29" outlineLevel="2" x14ac:dyDescent="0.25">
      <c r="A1239" s="201">
        <v>46119</v>
      </c>
      <c r="D1239" s="198" t="s">
        <v>54</v>
      </c>
      <c r="E1239" s="202">
        <v>1030099.72</v>
      </c>
      <c r="K1239" s="198" t="s">
        <v>1052</v>
      </c>
      <c r="L1239" s="198" t="s">
        <v>65</v>
      </c>
      <c r="P1239" s="201"/>
      <c r="R1239" s="202">
        <v>1030099.72</v>
      </c>
      <c r="U1239" s="198" t="s">
        <v>1051</v>
      </c>
      <c r="AA1239" s="198" t="s">
        <v>51</v>
      </c>
      <c r="AB1239" s="202">
        <v>1030099.72</v>
      </c>
      <c r="AC1239" s="202">
        <v>1030099.72</v>
      </c>
    </row>
    <row r="1240" spans="1:29" outlineLevel="2" x14ac:dyDescent="0.25">
      <c r="A1240" s="201">
        <v>46126</v>
      </c>
      <c r="D1240" s="198" t="s">
        <v>54</v>
      </c>
      <c r="E1240" s="202">
        <v>30</v>
      </c>
      <c r="K1240" s="198" t="s">
        <v>1052</v>
      </c>
      <c r="L1240" s="198" t="s">
        <v>65</v>
      </c>
      <c r="P1240" s="201"/>
      <c r="R1240" s="202">
        <v>30</v>
      </c>
      <c r="U1240" s="198" t="s">
        <v>1051</v>
      </c>
      <c r="AA1240" s="198" t="s">
        <v>51</v>
      </c>
      <c r="AB1240" s="202">
        <v>30</v>
      </c>
      <c r="AC1240" s="202">
        <v>30</v>
      </c>
    </row>
    <row r="1241" spans="1:29" outlineLevel="2" x14ac:dyDescent="0.25">
      <c r="A1241" s="201">
        <v>46136</v>
      </c>
      <c r="D1241" s="198" t="s">
        <v>54</v>
      </c>
      <c r="E1241" s="202">
        <v>2247092.3199999998</v>
      </c>
      <c r="K1241" s="198" t="s">
        <v>1052</v>
      </c>
      <c r="L1241" s="198" t="s">
        <v>65</v>
      </c>
      <c r="P1241" s="201"/>
      <c r="R1241" s="202">
        <v>2247092.3199999998</v>
      </c>
      <c r="U1241" s="198" t="s">
        <v>1051</v>
      </c>
      <c r="AA1241" s="198" t="s">
        <v>51</v>
      </c>
      <c r="AB1241" s="202">
        <v>2247092.3199999998</v>
      </c>
      <c r="AC1241" s="202">
        <v>2247092.3199999998</v>
      </c>
    </row>
    <row r="1242" spans="1:29" outlineLevel="2" x14ac:dyDescent="0.25">
      <c r="A1242" s="201">
        <v>46137</v>
      </c>
      <c r="D1242" s="198" t="s">
        <v>54</v>
      </c>
      <c r="E1242" s="202">
        <v>1614442.53</v>
      </c>
      <c r="K1242" s="198" t="s">
        <v>1052</v>
      </c>
      <c r="L1242" s="198" t="s">
        <v>65</v>
      </c>
      <c r="P1242" s="201"/>
      <c r="R1242" s="202">
        <v>1614442.53</v>
      </c>
      <c r="U1242" s="198" t="s">
        <v>1051</v>
      </c>
      <c r="AA1242" s="198" t="s">
        <v>51</v>
      </c>
      <c r="AB1242" s="202">
        <v>1614442.53</v>
      </c>
      <c r="AC1242" s="202">
        <v>1614442.53</v>
      </c>
    </row>
    <row r="1243" spans="1:29" outlineLevel="2" x14ac:dyDescent="0.25">
      <c r="A1243" s="201">
        <v>46139</v>
      </c>
      <c r="D1243" s="198" t="s">
        <v>54</v>
      </c>
      <c r="E1243" s="202">
        <v>2047739.75</v>
      </c>
      <c r="K1243" s="198" t="s">
        <v>1052</v>
      </c>
      <c r="L1243" s="198" t="s">
        <v>65</v>
      </c>
      <c r="P1243" s="201"/>
      <c r="R1243" s="202">
        <v>2047739.75</v>
      </c>
      <c r="U1243" s="198" t="s">
        <v>1051</v>
      </c>
      <c r="AA1243" s="198" t="s">
        <v>51</v>
      </c>
      <c r="AB1243" s="202">
        <v>2047739.75</v>
      </c>
      <c r="AC1243" s="202">
        <v>2047739.75</v>
      </c>
    </row>
    <row r="1244" spans="1:29" outlineLevel="2" x14ac:dyDescent="0.25">
      <c r="A1244" s="201">
        <v>46155</v>
      </c>
      <c r="D1244" s="198" t="s">
        <v>54</v>
      </c>
      <c r="E1244" s="202">
        <v>4905299.09</v>
      </c>
      <c r="K1244" s="198" t="s">
        <v>1052</v>
      </c>
      <c r="L1244" s="198" t="s">
        <v>65</v>
      </c>
      <c r="P1244" s="201"/>
      <c r="R1244" s="202">
        <v>4905299.09</v>
      </c>
      <c r="U1244" s="198" t="s">
        <v>1051</v>
      </c>
      <c r="AA1244" s="198" t="s">
        <v>51</v>
      </c>
      <c r="AB1244" s="202">
        <v>4905299.09</v>
      </c>
      <c r="AC1244" s="202">
        <v>4905299.09</v>
      </c>
    </row>
    <row r="1245" spans="1:29" outlineLevel="1" x14ac:dyDescent="0.25">
      <c r="A1245" s="210"/>
      <c r="B1245" s="209"/>
      <c r="C1245" s="209"/>
      <c r="D1245" s="209" t="s">
        <v>54</v>
      </c>
      <c r="E1245" s="211">
        <v>242415374.94</v>
      </c>
      <c r="F1245" s="209"/>
      <c r="G1245" s="209"/>
      <c r="H1245" s="209"/>
      <c r="I1245" s="209"/>
      <c r="J1245" s="209"/>
      <c r="K1245" s="209" t="s">
        <v>54</v>
      </c>
      <c r="L1245" s="209" t="s">
        <v>54</v>
      </c>
      <c r="M1245" s="209"/>
      <c r="N1245" s="209"/>
      <c r="O1245" s="209"/>
      <c r="P1245" s="210"/>
      <c r="Q1245" s="209"/>
      <c r="R1245" s="212"/>
      <c r="S1245" s="209"/>
      <c r="T1245" s="209"/>
      <c r="U1245" s="209" t="s">
        <v>54</v>
      </c>
      <c r="V1245" s="209"/>
      <c r="W1245" s="209"/>
      <c r="X1245" s="209"/>
      <c r="Y1245" s="209"/>
      <c r="Z1245" s="209"/>
      <c r="AA1245" s="209" t="s">
        <v>54</v>
      </c>
      <c r="AB1245" s="212"/>
      <c r="AC1245" s="212"/>
    </row>
    <row r="1246" spans="1:29" outlineLevel="2" x14ac:dyDescent="0.25">
      <c r="A1246" s="201">
        <v>46008</v>
      </c>
      <c r="D1246" s="198" t="s">
        <v>54</v>
      </c>
      <c r="E1246" s="202">
        <v>101040890</v>
      </c>
      <c r="K1246" s="198" t="s">
        <v>1054</v>
      </c>
      <c r="L1246" s="198" t="s">
        <v>65</v>
      </c>
      <c r="P1246" s="201"/>
      <c r="R1246" s="202">
        <v>101040890</v>
      </c>
      <c r="U1246" s="198" t="s">
        <v>181</v>
      </c>
      <c r="AA1246" s="198" t="s">
        <v>51</v>
      </c>
      <c r="AB1246" s="202">
        <v>101040890</v>
      </c>
      <c r="AC1246" s="202">
        <v>101040890</v>
      </c>
    </row>
    <row r="1247" spans="1:29" outlineLevel="2" x14ac:dyDescent="0.25">
      <c r="A1247" s="201">
        <v>46009</v>
      </c>
      <c r="D1247" s="198" t="s">
        <v>54</v>
      </c>
      <c r="E1247" s="202">
        <v>95947393.140000001</v>
      </c>
      <c r="K1247" s="198" t="s">
        <v>1054</v>
      </c>
      <c r="L1247" s="198" t="s">
        <v>65</v>
      </c>
      <c r="P1247" s="201"/>
      <c r="R1247" s="202">
        <v>95947393.140000001</v>
      </c>
      <c r="U1247" s="198" t="s">
        <v>181</v>
      </c>
      <c r="AA1247" s="198" t="s">
        <v>51</v>
      </c>
      <c r="AB1247" s="202">
        <v>95947393.140000001</v>
      </c>
      <c r="AC1247" s="202">
        <v>95947393.140000001</v>
      </c>
    </row>
    <row r="1248" spans="1:29" outlineLevel="2" x14ac:dyDescent="0.25">
      <c r="A1248" s="201">
        <v>46014</v>
      </c>
      <c r="D1248" s="198" t="s">
        <v>54</v>
      </c>
      <c r="E1248" s="202">
        <v>-35967499.890000001</v>
      </c>
      <c r="K1248" s="198" t="s">
        <v>1054</v>
      </c>
      <c r="L1248" s="198" t="s">
        <v>65</v>
      </c>
      <c r="P1248" s="201"/>
      <c r="R1248" s="202">
        <v>-35967499.890000001</v>
      </c>
      <c r="U1248" s="198" t="s">
        <v>181</v>
      </c>
      <c r="AA1248" s="198" t="s">
        <v>51</v>
      </c>
      <c r="AB1248" s="202">
        <v>-35967499.890000001</v>
      </c>
      <c r="AC1248" s="202">
        <v>-35967499.890000001</v>
      </c>
    </row>
    <row r="1249" spans="1:29" outlineLevel="2" x14ac:dyDescent="0.25">
      <c r="A1249" s="201">
        <v>46017</v>
      </c>
      <c r="D1249" s="198" t="s">
        <v>54</v>
      </c>
      <c r="E1249" s="202">
        <v>1420316.75</v>
      </c>
      <c r="K1249" s="198" t="s">
        <v>1054</v>
      </c>
      <c r="L1249" s="198" t="s">
        <v>65</v>
      </c>
      <c r="P1249" s="201"/>
      <c r="R1249" s="202">
        <v>1420316.75</v>
      </c>
      <c r="U1249" s="198" t="s">
        <v>181</v>
      </c>
      <c r="AA1249" s="198" t="s">
        <v>51</v>
      </c>
      <c r="AB1249" s="202">
        <v>1420316.75</v>
      </c>
      <c r="AC1249" s="202">
        <v>1420316.75</v>
      </c>
    </row>
    <row r="1250" spans="1:29" outlineLevel="2" x14ac:dyDescent="0.25">
      <c r="A1250" s="201">
        <v>46020</v>
      </c>
      <c r="D1250" s="198" t="s">
        <v>54</v>
      </c>
      <c r="E1250" s="202">
        <v>13092437.25</v>
      </c>
      <c r="K1250" s="198" t="s">
        <v>1054</v>
      </c>
      <c r="L1250" s="198" t="s">
        <v>65</v>
      </c>
      <c r="P1250" s="201"/>
      <c r="R1250" s="202">
        <v>13092437.25</v>
      </c>
      <c r="U1250" s="198" t="s">
        <v>181</v>
      </c>
      <c r="AA1250" s="198" t="s">
        <v>51</v>
      </c>
      <c r="AB1250" s="202">
        <v>13092437.25</v>
      </c>
      <c r="AC1250" s="202">
        <v>13092437.25</v>
      </c>
    </row>
    <row r="1251" spans="1:29" outlineLevel="2" x14ac:dyDescent="0.25">
      <c r="A1251" s="201">
        <v>46112</v>
      </c>
      <c r="D1251" s="198" t="s">
        <v>54</v>
      </c>
      <c r="E1251" s="202">
        <v>-8192108</v>
      </c>
      <c r="K1251" s="198" t="s">
        <v>1054</v>
      </c>
      <c r="L1251" s="198" t="s">
        <v>65</v>
      </c>
      <c r="P1251" s="201"/>
      <c r="R1251" s="202">
        <v>-8192108</v>
      </c>
      <c r="U1251" s="198" t="s">
        <v>181</v>
      </c>
      <c r="AA1251" s="198" t="s">
        <v>51</v>
      </c>
      <c r="AB1251" s="202">
        <v>-8192108</v>
      </c>
      <c r="AC1251" s="202">
        <v>-8192108</v>
      </c>
    </row>
    <row r="1252" spans="1:29" outlineLevel="2" x14ac:dyDescent="0.25">
      <c r="A1252" s="201">
        <v>46139</v>
      </c>
      <c r="D1252" s="198" t="s">
        <v>54</v>
      </c>
      <c r="E1252" s="202">
        <v>2047739.75</v>
      </c>
      <c r="K1252" s="198" t="s">
        <v>1054</v>
      </c>
      <c r="L1252" s="198" t="s">
        <v>65</v>
      </c>
      <c r="P1252" s="201"/>
      <c r="R1252" s="202">
        <v>2047739.75</v>
      </c>
      <c r="U1252" s="198" t="s">
        <v>181</v>
      </c>
      <c r="AA1252" s="198" t="s">
        <v>51</v>
      </c>
      <c r="AB1252" s="202">
        <v>2047739.75</v>
      </c>
      <c r="AC1252" s="202">
        <v>2047739.75</v>
      </c>
    </row>
    <row r="1253" spans="1:29" outlineLevel="1" x14ac:dyDescent="0.25">
      <c r="A1253" s="210"/>
      <c r="B1253" s="209"/>
      <c r="C1253" s="209"/>
      <c r="D1253" s="209" t="s">
        <v>54</v>
      </c>
      <c r="E1253" s="211">
        <v>169389169</v>
      </c>
      <c r="F1253" s="209"/>
      <c r="G1253" s="209"/>
      <c r="H1253" s="209"/>
      <c r="I1253" s="209"/>
      <c r="J1253" s="209"/>
      <c r="K1253" s="209" t="s">
        <v>54</v>
      </c>
      <c r="L1253" s="209" t="s">
        <v>54</v>
      </c>
      <c r="M1253" s="209"/>
      <c r="N1253" s="209"/>
      <c r="O1253" s="209"/>
      <c r="P1253" s="210"/>
      <c r="Q1253" s="209"/>
      <c r="R1253" s="212"/>
      <c r="S1253" s="209"/>
      <c r="T1253" s="209"/>
      <c r="U1253" s="209" t="s">
        <v>54</v>
      </c>
      <c r="V1253" s="209"/>
      <c r="W1253" s="209"/>
      <c r="X1253" s="209"/>
      <c r="Y1253" s="209"/>
      <c r="Z1253" s="209"/>
      <c r="AA1253" s="209" t="s">
        <v>54</v>
      </c>
      <c r="AB1253" s="212"/>
      <c r="AC1253" s="212"/>
    </row>
    <row r="1254" spans="1:29" outlineLevel="2" x14ac:dyDescent="0.25">
      <c r="A1254" s="201">
        <v>46009</v>
      </c>
      <c r="D1254" s="198" t="s">
        <v>54</v>
      </c>
      <c r="E1254" s="202">
        <v>14067962.859999999</v>
      </c>
      <c r="K1254" s="198" t="s">
        <v>1055</v>
      </c>
      <c r="L1254" s="198" t="s">
        <v>65</v>
      </c>
      <c r="P1254" s="201"/>
      <c r="R1254" s="202">
        <v>14067962.859999999</v>
      </c>
      <c r="U1254" s="198" t="s">
        <v>77</v>
      </c>
      <c r="AA1254" s="198" t="s">
        <v>51</v>
      </c>
      <c r="AB1254" s="202">
        <v>14067962.859999999</v>
      </c>
      <c r="AC1254" s="202">
        <v>14067962.859999999</v>
      </c>
    </row>
    <row r="1255" spans="1:29" outlineLevel="2" x14ac:dyDescent="0.25">
      <c r="A1255" s="201">
        <v>46013</v>
      </c>
      <c r="D1255" s="198" t="s">
        <v>54</v>
      </c>
      <c r="E1255" s="202">
        <v>39051659.009999998</v>
      </c>
      <c r="K1255" s="198" t="s">
        <v>1055</v>
      </c>
      <c r="L1255" s="198" t="s">
        <v>65</v>
      </c>
      <c r="P1255" s="201"/>
      <c r="R1255" s="202">
        <v>39051659.009999998</v>
      </c>
      <c r="U1255" s="198" t="s">
        <v>77</v>
      </c>
      <c r="AA1255" s="198" t="s">
        <v>51</v>
      </c>
      <c r="AB1255" s="202">
        <v>39051659.009999998</v>
      </c>
      <c r="AC1255" s="202">
        <v>39051659.009999998</v>
      </c>
    </row>
    <row r="1256" spans="1:29" outlineLevel="2" x14ac:dyDescent="0.25">
      <c r="A1256" s="201">
        <v>46014</v>
      </c>
      <c r="D1256" s="198" t="s">
        <v>54</v>
      </c>
      <c r="E1256" s="202">
        <v>35967500</v>
      </c>
      <c r="K1256" s="198" t="s">
        <v>1055</v>
      </c>
      <c r="L1256" s="198" t="s">
        <v>65</v>
      </c>
      <c r="P1256" s="201"/>
      <c r="R1256" s="202">
        <v>35967500</v>
      </c>
      <c r="U1256" s="198" t="s">
        <v>77</v>
      </c>
      <c r="AA1256" s="198" t="s">
        <v>51</v>
      </c>
      <c r="AB1256" s="202">
        <v>35967500</v>
      </c>
      <c r="AC1256" s="202">
        <v>35967500</v>
      </c>
    </row>
    <row r="1257" spans="1:29" outlineLevel="2" x14ac:dyDescent="0.25">
      <c r="A1257" s="201">
        <v>46017</v>
      </c>
      <c r="D1257" s="198" t="s">
        <v>54</v>
      </c>
      <c r="E1257" s="202">
        <v>-23612221.870000001</v>
      </c>
      <c r="K1257" s="198" t="s">
        <v>1055</v>
      </c>
      <c r="L1257" s="198" t="s">
        <v>65</v>
      </c>
      <c r="P1257" s="201"/>
      <c r="R1257" s="202">
        <v>-23612221.870000001</v>
      </c>
      <c r="U1257" s="198" t="s">
        <v>77</v>
      </c>
      <c r="AA1257" s="198" t="s">
        <v>51</v>
      </c>
      <c r="AB1257" s="202">
        <v>-23612221.870000001</v>
      </c>
      <c r="AC1257" s="202">
        <v>-23612221.870000001</v>
      </c>
    </row>
    <row r="1258" spans="1:29" outlineLevel="2" x14ac:dyDescent="0.25">
      <c r="A1258" s="201">
        <v>46112</v>
      </c>
      <c r="D1258" s="198" t="s">
        <v>54</v>
      </c>
      <c r="E1258" s="202">
        <v>-2245657.7200000002</v>
      </c>
      <c r="K1258" s="198" t="s">
        <v>1055</v>
      </c>
      <c r="L1258" s="198" t="s">
        <v>65</v>
      </c>
      <c r="P1258" s="201"/>
      <c r="R1258" s="202">
        <v>-2245657.7200000002</v>
      </c>
      <c r="U1258" s="198" t="s">
        <v>77</v>
      </c>
      <c r="AA1258" s="198" t="s">
        <v>51</v>
      </c>
      <c r="AB1258" s="202">
        <v>-2245657.7200000002</v>
      </c>
      <c r="AC1258" s="202">
        <v>-2245657.7200000002</v>
      </c>
    </row>
    <row r="1259" spans="1:29" outlineLevel="2" x14ac:dyDescent="0.25">
      <c r="A1259" s="201">
        <v>46119</v>
      </c>
      <c r="D1259" s="198" t="s">
        <v>54</v>
      </c>
      <c r="E1259" s="202">
        <v>1030099.72</v>
      </c>
      <c r="K1259" s="198" t="s">
        <v>1055</v>
      </c>
      <c r="L1259" s="198" t="s">
        <v>65</v>
      </c>
      <c r="P1259" s="201"/>
      <c r="R1259" s="202">
        <v>1030099.72</v>
      </c>
      <c r="U1259" s="198" t="s">
        <v>77</v>
      </c>
      <c r="AA1259" s="198" t="s">
        <v>51</v>
      </c>
      <c r="AB1259" s="202">
        <v>1030099.72</v>
      </c>
      <c r="AC1259" s="202">
        <v>1030099.72</v>
      </c>
    </row>
    <row r="1260" spans="1:29" outlineLevel="2" x14ac:dyDescent="0.25">
      <c r="A1260" s="201">
        <v>46126</v>
      </c>
      <c r="D1260" s="198" t="s">
        <v>54</v>
      </c>
      <c r="E1260" s="202">
        <v>30</v>
      </c>
      <c r="K1260" s="198" t="s">
        <v>1055</v>
      </c>
      <c r="L1260" s="198" t="s">
        <v>65</v>
      </c>
      <c r="P1260" s="201"/>
      <c r="R1260" s="202">
        <v>30</v>
      </c>
      <c r="U1260" s="198" t="s">
        <v>77</v>
      </c>
      <c r="AA1260" s="198" t="s">
        <v>51</v>
      </c>
      <c r="AB1260" s="202">
        <v>30</v>
      </c>
      <c r="AC1260" s="202">
        <v>30</v>
      </c>
    </row>
    <row r="1261" spans="1:29" outlineLevel="2" x14ac:dyDescent="0.25">
      <c r="A1261" s="201">
        <v>46136</v>
      </c>
      <c r="D1261" s="198" t="s">
        <v>54</v>
      </c>
      <c r="E1261" s="202">
        <v>2247092.3199999998</v>
      </c>
      <c r="K1261" s="198" t="s">
        <v>1055</v>
      </c>
      <c r="L1261" s="198" t="s">
        <v>65</v>
      </c>
      <c r="P1261" s="201"/>
      <c r="R1261" s="202">
        <v>2247092.3199999998</v>
      </c>
      <c r="U1261" s="198" t="s">
        <v>77</v>
      </c>
      <c r="AA1261" s="198" t="s">
        <v>51</v>
      </c>
      <c r="AB1261" s="202">
        <v>2247092.3199999998</v>
      </c>
      <c r="AC1261" s="202">
        <v>2247092.3199999998</v>
      </c>
    </row>
    <row r="1262" spans="1:29" outlineLevel="2" x14ac:dyDescent="0.25">
      <c r="A1262" s="201">
        <v>46137</v>
      </c>
      <c r="D1262" s="198" t="s">
        <v>54</v>
      </c>
      <c r="E1262" s="202">
        <v>1614442.53</v>
      </c>
      <c r="K1262" s="198" t="s">
        <v>1055</v>
      </c>
      <c r="L1262" s="198" t="s">
        <v>65</v>
      </c>
      <c r="P1262" s="201"/>
      <c r="R1262" s="202">
        <v>1614442.53</v>
      </c>
      <c r="U1262" s="198" t="s">
        <v>77</v>
      </c>
      <c r="AA1262" s="198" t="s">
        <v>51</v>
      </c>
      <c r="AB1262" s="202">
        <v>1614442.53</v>
      </c>
      <c r="AC1262" s="202">
        <v>1614442.53</v>
      </c>
    </row>
    <row r="1263" spans="1:29" outlineLevel="2" x14ac:dyDescent="0.25">
      <c r="A1263" s="201">
        <v>46155</v>
      </c>
      <c r="D1263" s="198" t="s">
        <v>54</v>
      </c>
      <c r="E1263" s="202">
        <v>4905299.09</v>
      </c>
      <c r="K1263" s="198" t="s">
        <v>1055</v>
      </c>
      <c r="L1263" s="198" t="s">
        <v>65</v>
      </c>
      <c r="P1263" s="201"/>
      <c r="R1263" s="202">
        <v>4905299.09</v>
      </c>
      <c r="U1263" s="198" t="s">
        <v>77</v>
      </c>
      <c r="AA1263" s="198" t="s">
        <v>51</v>
      </c>
      <c r="AB1263" s="202">
        <v>4905299.09</v>
      </c>
      <c r="AC1263" s="202">
        <v>4905299.09</v>
      </c>
    </row>
    <row r="1264" spans="1:29" outlineLevel="1" x14ac:dyDescent="0.25">
      <c r="A1264" s="210"/>
      <c r="B1264" s="209"/>
      <c r="C1264" s="209"/>
      <c r="D1264" s="209" t="s">
        <v>54</v>
      </c>
      <c r="E1264" s="211">
        <v>73026205.939999998</v>
      </c>
      <c r="F1264" s="209"/>
      <c r="G1264" s="209"/>
      <c r="H1264" s="209"/>
      <c r="I1264" s="209"/>
      <c r="J1264" s="209"/>
      <c r="K1264" s="209" t="s">
        <v>54</v>
      </c>
      <c r="L1264" s="209" t="s">
        <v>54</v>
      </c>
      <c r="M1264" s="209"/>
      <c r="N1264" s="209"/>
      <c r="O1264" s="209"/>
      <c r="P1264" s="210"/>
      <c r="Q1264" s="209"/>
      <c r="R1264" s="212"/>
      <c r="S1264" s="209"/>
      <c r="T1264" s="209"/>
      <c r="U1264" s="209" t="s">
        <v>54</v>
      </c>
      <c r="V1264" s="209"/>
      <c r="W1264" s="209"/>
      <c r="X1264" s="209"/>
      <c r="Y1264" s="209"/>
      <c r="Z1264" s="209"/>
      <c r="AA1264" s="209" t="s">
        <v>54</v>
      </c>
      <c r="AB1264" s="212"/>
      <c r="AC1264" s="212"/>
    </row>
    <row r="1265" spans="1:29" outlineLevel="2" x14ac:dyDescent="0.25">
      <c r="A1265" s="201">
        <v>46008</v>
      </c>
      <c r="D1265" s="198" t="s">
        <v>54</v>
      </c>
      <c r="E1265" s="202">
        <v>11250925</v>
      </c>
      <c r="K1265" s="198" t="s">
        <v>1056</v>
      </c>
      <c r="L1265" s="198" t="s">
        <v>65</v>
      </c>
      <c r="P1265" s="201"/>
      <c r="R1265" s="202">
        <v>11250925</v>
      </c>
      <c r="U1265" s="198" t="s">
        <v>185</v>
      </c>
      <c r="AA1265" s="198" t="s">
        <v>51</v>
      </c>
      <c r="AB1265" s="202">
        <v>11250925</v>
      </c>
      <c r="AC1265" s="202">
        <v>11250925</v>
      </c>
    </row>
    <row r="1266" spans="1:29" outlineLevel="2" x14ac:dyDescent="0.25">
      <c r="A1266" s="201">
        <v>46009</v>
      </c>
      <c r="D1266" s="198" t="s">
        <v>54</v>
      </c>
      <c r="E1266" s="202">
        <v>978500</v>
      </c>
      <c r="K1266" s="198" t="s">
        <v>1056</v>
      </c>
      <c r="L1266" s="198" t="s">
        <v>65</v>
      </c>
      <c r="P1266" s="201"/>
      <c r="R1266" s="202">
        <v>978500</v>
      </c>
      <c r="U1266" s="198" t="s">
        <v>185</v>
      </c>
      <c r="AA1266" s="198" t="s">
        <v>51</v>
      </c>
      <c r="AB1266" s="202">
        <v>978500</v>
      </c>
      <c r="AC1266" s="202">
        <v>978500</v>
      </c>
    </row>
    <row r="1267" spans="1:29" outlineLevel="2" x14ac:dyDescent="0.25">
      <c r="A1267" s="201">
        <v>46013</v>
      </c>
      <c r="D1267" s="198" t="s">
        <v>54</v>
      </c>
      <c r="E1267" s="202">
        <v>768375</v>
      </c>
      <c r="K1267" s="198" t="s">
        <v>1056</v>
      </c>
      <c r="L1267" s="198" t="s">
        <v>65</v>
      </c>
      <c r="P1267" s="201"/>
      <c r="R1267" s="202">
        <v>768375</v>
      </c>
      <c r="U1267" s="198" t="s">
        <v>185</v>
      </c>
      <c r="AA1267" s="198" t="s">
        <v>51</v>
      </c>
      <c r="AB1267" s="202">
        <v>768375</v>
      </c>
      <c r="AC1267" s="202">
        <v>768375</v>
      </c>
    </row>
    <row r="1268" spans="1:29" outlineLevel="2" x14ac:dyDescent="0.25">
      <c r="A1268" s="201">
        <v>46017</v>
      </c>
      <c r="D1268" s="198" t="s">
        <v>54</v>
      </c>
      <c r="E1268" s="202">
        <v>100</v>
      </c>
      <c r="K1268" s="198" t="s">
        <v>1056</v>
      </c>
      <c r="L1268" s="198" t="s">
        <v>65</v>
      </c>
      <c r="P1268" s="201"/>
      <c r="R1268" s="202">
        <v>100</v>
      </c>
      <c r="U1268" s="198" t="s">
        <v>185</v>
      </c>
      <c r="AA1268" s="198" t="s">
        <v>51</v>
      </c>
      <c r="AB1268" s="202">
        <v>100</v>
      </c>
      <c r="AC1268" s="202">
        <v>100</v>
      </c>
    </row>
    <row r="1269" spans="1:29" outlineLevel="2" x14ac:dyDescent="0.25">
      <c r="A1269" s="201">
        <v>46139</v>
      </c>
      <c r="D1269" s="198" t="s">
        <v>54</v>
      </c>
      <c r="E1269" s="202">
        <v>2809200</v>
      </c>
      <c r="K1269" s="198" t="s">
        <v>1056</v>
      </c>
      <c r="L1269" s="198" t="s">
        <v>65</v>
      </c>
      <c r="P1269" s="201"/>
      <c r="R1269" s="202">
        <v>2809200</v>
      </c>
      <c r="U1269" s="198" t="s">
        <v>185</v>
      </c>
      <c r="AA1269" s="198" t="s">
        <v>51</v>
      </c>
      <c r="AB1269" s="202">
        <v>2809200</v>
      </c>
      <c r="AC1269" s="202">
        <v>2809200</v>
      </c>
    </row>
    <row r="1270" spans="1:29" outlineLevel="1" x14ac:dyDescent="0.25">
      <c r="A1270" s="210"/>
      <c r="B1270" s="209"/>
      <c r="C1270" s="209"/>
      <c r="D1270" s="209" t="s">
        <v>54</v>
      </c>
      <c r="E1270" s="211">
        <v>15807100</v>
      </c>
      <c r="F1270" s="209"/>
      <c r="G1270" s="209"/>
      <c r="H1270" s="209"/>
      <c r="I1270" s="209"/>
      <c r="J1270" s="209"/>
      <c r="K1270" s="209" t="s">
        <v>54</v>
      </c>
      <c r="L1270" s="209" t="s">
        <v>54</v>
      </c>
      <c r="M1270" s="209"/>
      <c r="N1270" s="209"/>
      <c r="O1270" s="209"/>
      <c r="P1270" s="210"/>
      <c r="Q1270" s="209"/>
      <c r="R1270" s="212"/>
      <c r="S1270" s="209"/>
      <c r="T1270" s="209"/>
      <c r="U1270" s="209" t="s">
        <v>54</v>
      </c>
      <c r="V1270" s="209"/>
      <c r="W1270" s="209"/>
      <c r="X1270" s="209"/>
      <c r="Y1270" s="209"/>
      <c r="Z1270" s="209"/>
      <c r="AA1270" s="209" t="s">
        <v>54</v>
      </c>
      <c r="AB1270" s="212"/>
      <c r="AC1270" s="212"/>
    </row>
    <row r="1271" spans="1:29" outlineLevel="2" x14ac:dyDescent="0.25">
      <c r="A1271" s="201">
        <v>46008</v>
      </c>
      <c r="D1271" s="198" t="s">
        <v>54</v>
      </c>
      <c r="E1271" s="202">
        <v>4461295</v>
      </c>
      <c r="K1271" s="198" t="s">
        <v>1058</v>
      </c>
      <c r="L1271" s="198" t="s">
        <v>65</v>
      </c>
      <c r="P1271" s="201"/>
      <c r="R1271" s="202">
        <v>4461295</v>
      </c>
      <c r="U1271" s="198" t="s">
        <v>1057</v>
      </c>
      <c r="AA1271" s="198" t="s">
        <v>51</v>
      </c>
      <c r="AB1271" s="202">
        <v>4461295</v>
      </c>
      <c r="AC1271" s="202">
        <v>4461295</v>
      </c>
    </row>
    <row r="1272" spans="1:29" outlineLevel="2" x14ac:dyDescent="0.25">
      <c r="A1272" s="201">
        <v>46009</v>
      </c>
      <c r="D1272" s="198" t="s">
        <v>54</v>
      </c>
      <c r="E1272" s="202">
        <v>12779681</v>
      </c>
      <c r="K1272" s="198" t="s">
        <v>1058</v>
      </c>
      <c r="L1272" s="198" t="s">
        <v>65</v>
      </c>
      <c r="P1272" s="201"/>
      <c r="R1272" s="202">
        <v>12779681</v>
      </c>
      <c r="U1272" s="198" t="s">
        <v>1057</v>
      </c>
      <c r="AA1272" s="198" t="s">
        <v>51</v>
      </c>
      <c r="AB1272" s="202">
        <v>12779681</v>
      </c>
      <c r="AC1272" s="202">
        <v>12779681</v>
      </c>
    </row>
    <row r="1273" spans="1:29" outlineLevel="2" x14ac:dyDescent="0.25">
      <c r="A1273" s="201">
        <v>46013</v>
      </c>
      <c r="D1273" s="198" t="s">
        <v>54</v>
      </c>
      <c r="E1273" s="202">
        <v>9653996.2699999996</v>
      </c>
      <c r="K1273" s="198" t="s">
        <v>1058</v>
      </c>
      <c r="L1273" s="198" t="s">
        <v>65</v>
      </c>
      <c r="P1273" s="201"/>
      <c r="R1273" s="202">
        <v>9653996.2699999996</v>
      </c>
      <c r="U1273" s="198" t="s">
        <v>1057</v>
      </c>
      <c r="AA1273" s="198" t="s">
        <v>51</v>
      </c>
      <c r="AB1273" s="202">
        <v>9653996.2699999996</v>
      </c>
      <c r="AC1273" s="202">
        <v>9653996.2699999996</v>
      </c>
    </row>
    <row r="1274" spans="1:29" outlineLevel="2" x14ac:dyDescent="0.25">
      <c r="A1274" s="201">
        <v>46014</v>
      </c>
      <c r="D1274" s="198" t="s">
        <v>54</v>
      </c>
      <c r="E1274" s="202">
        <v>-7319428.5</v>
      </c>
      <c r="K1274" s="198" t="s">
        <v>1058</v>
      </c>
      <c r="L1274" s="198" t="s">
        <v>65</v>
      </c>
      <c r="P1274" s="201"/>
      <c r="R1274" s="202">
        <v>-7319428.5</v>
      </c>
      <c r="U1274" s="198" t="s">
        <v>1057</v>
      </c>
      <c r="AA1274" s="198" t="s">
        <v>51</v>
      </c>
      <c r="AB1274" s="202">
        <v>-7319428.5</v>
      </c>
      <c r="AC1274" s="202">
        <v>-7319428.5</v>
      </c>
    </row>
    <row r="1275" spans="1:29" outlineLevel="2" x14ac:dyDescent="0.25">
      <c r="A1275" s="201">
        <v>46017</v>
      </c>
      <c r="D1275" s="198" t="s">
        <v>54</v>
      </c>
      <c r="E1275" s="202">
        <v>156.22999999999999</v>
      </c>
      <c r="K1275" s="198" t="s">
        <v>1058</v>
      </c>
      <c r="L1275" s="198" t="s">
        <v>65</v>
      </c>
      <c r="P1275" s="201"/>
      <c r="R1275" s="202">
        <v>156.22999999999999</v>
      </c>
      <c r="U1275" s="198" t="s">
        <v>1057</v>
      </c>
      <c r="AA1275" s="198" t="s">
        <v>51</v>
      </c>
      <c r="AB1275" s="202">
        <v>156.22999999999999</v>
      </c>
      <c r="AC1275" s="202">
        <v>156.22999999999999</v>
      </c>
    </row>
    <row r="1276" spans="1:29" outlineLevel="2" x14ac:dyDescent="0.25">
      <c r="A1276" s="201">
        <v>46021</v>
      </c>
      <c r="D1276" s="198" t="s">
        <v>54</v>
      </c>
      <c r="E1276" s="202">
        <v>300000</v>
      </c>
      <c r="K1276" s="198" t="s">
        <v>1058</v>
      </c>
      <c r="L1276" s="198" t="s">
        <v>65</v>
      </c>
      <c r="P1276" s="201"/>
      <c r="R1276" s="202">
        <v>300000</v>
      </c>
      <c r="U1276" s="198" t="s">
        <v>1057</v>
      </c>
      <c r="AA1276" s="198" t="s">
        <v>51</v>
      </c>
      <c r="AB1276" s="202">
        <v>300000</v>
      </c>
      <c r="AC1276" s="202">
        <v>300000</v>
      </c>
    </row>
    <row r="1277" spans="1:29" outlineLevel="2" x14ac:dyDescent="0.25">
      <c r="A1277" s="201">
        <v>46022</v>
      </c>
      <c r="D1277" s="198" t="s">
        <v>54</v>
      </c>
      <c r="E1277" s="202">
        <v>243670</v>
      </c>
      <c r="K1277" s="198" t="s">
        <v>1058</v>
      </c>
      <c r="L1277" s="198" t="s">
        <v>65</v>
      </c>
      <c r="P1277" s="201"/>
      <c r="R1277" s="202">
        <v>243670</v>
      </c>
      <c r="U1277" s="198" t="s">
        <v>1057</v>
      </c>
      <c r="AA1277" s="198" t="s">
        <v>51</v>
      </c>
      <c r="AB1277" s="202">
        <v>243670</v>
      </c>
      <c r="AC1277" s="202">
        <v>243670</v>
      </c>
    </row>
    <row r="1278" spans="1:29" outlineLevel="2" x14ac:dyDescent="0.25">
      <c r="A1278" s="201">
        <v>46112</v>
      </c>
      <c r="D1278" s="198" t="s">
        <v>54</v>
      </c>
      <c r="E1278" s="202">
        <v>-618651.63</v>
      </c>
      <c r="K1278" s="198" t="s">
        <v>1058</v>
      </c>
      <c r="L1278" s="198" t="s">
        <v>65</v>
      </c>
      <c r="P1278" s="201"/>
      <c r="R1278" s="202">
        <v>-618651.63</v>
      </c>
      <c r="U1278" s="198" t="s">
        <v>1057</v>
      </c>
      <c r="AA1278" s="198" t="s">
        <v>51</v>
      </c>
      <c r="AB1278" s="202">
        <v>-618651.63</v>
      </c>
      <c r="AC1278" s="202">
        <v>-618651.63</v>
      </c>
    </row>
    <row r="1279" spans="1:29" outlineLevel="2" x14ac:dyDescent="0.25">
      <c r="A1279" s="201">
        <v>46119</v>
      </c>
      <c r="D1279" s="198" t="s">
        <v>54</v>
      </c>
      <c r="E1279" s="202">
        <v>73174.63</v>
      </c>
      <c r="K1279" s="198" t="s">
        <v>1058</v>
      </c>
      <c r="L1279" s="198" t="s">
        <v>65</v>
      </c>
      <c r="P1279" s="201"/>
      <c r="R1279" s="202">
        <v>73174.63</v>
      </c>
      <c r="U1279" s="198" t="s">
        <v>1057</v>
      </c>
      <c r="AA1279" s="198" t="s">
        <v>51</v>
      </c>
      <c r="AB1279" s="202">
        <v>73174.63</v>
      </c>
      <c r="AC1279" s="202">
        <v>73174.63</v>
      </c>
    </row>
    <row r="1280" spans="1:29" outlineLevel="2" x14ac:dyDescent="0.25">
      <c r="A1280" s="201">
        <v>46136</v>
      </c>
      <c r="D1280" s="198" t="s">
        <v>54</v>
      </c>
      <c r="E1280" s="202">
        <v>1047731.59</v>
      </c>
      <c r="K1280" s="198" t="s">
        <v>1058</v>
      </c>
      <c r="L1280" s="198" t="s">
        <v>65</v>
      </c>
      <c r="P1280" s="201"/>
      <c r="R1280" s="202">
        <v>1047731.59</v>
      </c>
      <c r="U1280" s="198" t="s">
        <v>1057</v>
      </c>
      <c r="AA1280" s="198" t="s">
        <v>51</v>
      </c>
      <c r="AB1280" s="202">
        <v>1047731.59</v>
      </c>
      <c r="AC1280" s="202">
        <v>1047731.59</v>
      </c>
    </row>
    <row r="1281" spans="1:29" outlineLevel="2" x14ac:dyDescent="0.25">
      <c r="A1281" s="201">
        <v>46139</v>
      </c>
      <c r="D1281" s="198" t="s">
        <v>54</v>
      </c>
      <c r="E1281" s="202">
        <v>1628495</v>
      </c>
      <c r="K1281" s="198" t="s">
        <v>1058</v>
      </c>
      <c r="L1281" s="198" t="s">
        <v>65</v>
      </c>
      <c r="P1281" s="201"/>
      <c r="R1281" s="202">
        <v>1628495</v>
      </c>
      <c r="U1281" s="198" t="s">
        <v>1057</v>
      </c>
      <c r="AA1281" s="198" t="s">
        <v>51</v>
      </c>
      <c r="AB1281" s="202">
        <v>1628495</v>
      </c>
      <c r="AC1281" s="202">
        <v>1628495</v>
      </c>
    </row>
    <row r="1282" spans="1:29" outlineLevel="2" x14ac:dyDescent="0.25">
      <c r="A1282" s="201">
        <v>46141</v>
      </c>
      <c r="D1282" s="198" t="s">
        <v>54</v>
      </c>
      <c r="E1282" s="202">
        <v>13681000.41</v>
      </c>
      <c r="K1282" s="198" t="s">
        <v>1058</v>
      </c>
      <c r="L1282" s="198" t="s">
        <v>65</v>
      </c>
      <c r="P1282" s="201"/>
      <c r="R1282" s="202">
        <v>13681000.41</v>
      </c>
      <c r="U1282" s="198" t="s">
        <v>1057</v>
      </c>
      <c r="AA1282" s="198" t="s">
        <v>51</v>
      </c>
      <c r="AB1282" s="202">
        <v>13681000.41</v>
      </c>
      <c r="AC1282" s="202">
        <v>13681000.41</v>
      </c>
    </row>
    <row r="1283" spans="1:29" outlineLevel="1" x14ac:dyDescent="0.25">
      <c r="A1283" s="210"/>
      <c r="B1283" s="209"/>
      <c r="C1283" s="209"/>
      <c r="D1283" s="209" t="s">
        <v>54</v>
      </c>
      <c r="E1283" s="211">
        <v>35931120</v>
      </c>
      <c r="F1283" s="209"/>
      <c r="G1283" s="209"/>
      <c r="H1283" s="209"/>
      <c r="I1283" s="209"/>
      <c r="J1283" s="209"/>
      <c r="K1283" s="209" t="s">
        <v>54</v>
      </c>
      <c r="L1283" s="209" t="s">
        <v>54</v>
      </c>
      <c r="M1283" s="209"/>
      <c r="N1283" s="209"/>
      <c r="O1283" s="209"/>
      <c r="P1283" s="210"/>
      <c r="Q1283" s="209"/>
      <c r="R1283" s="212"/>
      <c r="S1283" s="209"/>
      <c r="T1283" s="209"/>
      <c r="U1283" s="209" t="s">
        <v>54</v>
      </c>
      <c r="V1283" s="209"/>
      <c r="W1283" s="209"/>
      <c r="X1283" s="209"/>
      <c r="Y1283" s="209"/>
      <c r="Z1283" s="209"/>
      <c r="AA1283" s="209" t="s">
        <v>54</v>
      </c>
      <c r="AB1283" s="212"/>
      <c r="AC1283" s="212"/>
    </row>
    <row r="1284" spans="1:29" outlineLevel="2" x14ac:dyDescent="0.25">
      <c r="A1284" s="201">
        <v>46008</v>
      </c>
      <c r="D1284" s="198" t="s">
        <v>54</v>
      </c>
      <c r="E1284" s="202">
        <v>4461295</v>
      </c>
      <c r="K1284" s="198" t="s">
        <v>1060</v>
      </c>
      <c r="L1284" s="198" t="s">
        <v>65</v>
      </c>
      <c r="P1284" s="201"/>
      <c r="R1284" s="202">
        <v>4461295</v>
      </c>
      <c r="U1284" s="198" t="s">
        <v>720</v>
      </c>
      <c r="AA1284" s="198" t="s">
        <v>51</v>
      </c>
      <c r="AB1284" s="202">
        <v>4461295</v>
      </c>
      <c r="AC1284" s="202">
        <v>4461295</v>
      </c>
    </row>
    <row r="1285" spans="1:29" outlineLevel="2" x14ac:dyDescent="0.25">
      <c r="A1285" s="201">
        <v>46009</v>
      </c>
      <c r="D1285" s="198" t="s">
        <v>54</v>
      </c>
      <c r="E1285" s="202">
        <v>12779681</v>
      </c>
      <c r="K1285" s="198" t="s">
        <v>1060</v>
      </c>
      <c r="L1285" s="198" t="s">
        <v>65</v>
      </c>
      <c r="P1285" s="201"/>
      <c r="R1285" s="202">
        <v>12779681</v>
      </c>
      <c r="U1285" s="198" t="s">
        <v>720</v>
      </c>
      <c r="AA1285" s="198" t="s">
        <v>51</v>
      </c>
      <c r="AB1285" s="202">
        <v>12779681</v>
      </c>
      <c r="AC1285" s="202">
        <v>12779681</v>
      </c>
    </row>
    <row r="1286" spans="1:29" outlineLevel="2" x14ac:dyDescent="0.25">
      <c r="A1286" s="201">
        <v>46014</v>
      </c>
      <c r="D1286" s="198" t="s">
        <v>54</v>
      </c>
      <c r="E1286" s="202">
        <v>-7319428.5</v>
      </c>
      <c r="K1286" s="198" t="s">
        <v>1060</v>
      </c>
      <c r="L1286" s="198" t="s">
        <v>65</v>
      </c>
      <c r="P1286" s="201"/>
      <c r="R1286" s="202">
        <v>-7319428.5</v>
      </c>
      <c r="U1286" s="198" t="s">
        <v>720</v>
      </c>
      <c r="AA1286" s="198" t="s">
        <v>51</v>
      </c>
      <c r="AB1286" s="202">
        <v>-7319428.5</v>
      </c>
      <c r="AC1286" s="202">
        <v>-7319428.5</v>
      </c>
    </row>
    <row r="1287" spans="1:29" outlineLevel="2" x14ac:dyDescent="0.25">
      <c r="A1287" s="201">
        <v>46017</v>
      </c>
      <c r="D1287" s="198" t="s">
        <v>54</v>
      </c>
      <c r="E1287" s="202">
        <v>52.5</v>
      </c>
      <c r="K1287" s="198" t="s">
        <v>1060</v>
      </c>
      <c r="L1287" s="198" t="s">
        <v>65</v>
      </c>
      <c r="P1287" s="201"/>
      <c r="R1287" s="202">
        <v>52.5</v>
      </c>
      <c r="U1287" s="198" t="s">
        <v>720</v>
      </c>
      <c r="AA1287" s="198" t="s">
        <v>51</v>
      </c>
      <c r="AB1287" s="202">
        <v>52.5</v>
      </c>
      <c r="AC1287" s="202">
        <v>52.5</v>
      </c>
    </row>
    <row r="1288" spans="1:29" outlineLevel="2" x14ac:dyDescent="0.25">
      <c r="A1288" s="201">
        <v>46139</v>
      </c>
      <c r="D1288" s="198" t="s">
        <v>54</v>
      </c>
      <c r="E1288" s="202">
        <v>1628495</v>
      </c>
      <c r="K1288" s="198" t="s">
        <v>1060</v>
      </c>
      <c r="L1288" s="198" t="s">
        <v>65</v>
      </c>
      <c r="P1288" s="201"/>
      <c r="R1288" s="202">
        <v>1628495</v>
      </c>
      <c r="U1288" s="198" t="s">
        <v>720</v>
      </c>
      <c r="AA1288" s="198" t="s">
        <v>51</v>
      </c>
      <c r="AB1288" s="202">
        <v>1628495</v>
      </c>
      <c r="AC1288" s="202">
        <v>1628495</v>
      </c>
    </row>
    <row r="1289" spans="1:29" outlineLevel="1" x14ac:dyDescent="0.25">
      <c r="A1289" s="210"/>
      <c r="B1289" s="209"/>
      <c r="C1289" s="209"/>
      <c r="D1289" s="209" t="s">
        <v>54</v>
      </c>
      <c r="E1289" s="211">
        <v>11550095</v>
      </c>
      <c r="F1289" s="209"/>
      <c r="G1289" s="209"/>
      <c r="H1289" s="209"/>
      <c r="I1289" s="209"/>
      <c r="J1289" s="209"/>
      <c r="K1289" s="209" t="s">
        <v>54</v>
      </c>
      <c r="L1289" s="209" t="s">
        <v>54</v>
      </c>
      <c r="M1289" s="209"/>
      <c r="N1289" s="209"/>
      <c r="O1289" s="209"/>
      <c r="P1289" s="210"/>
      <c r="Q1289" s="209"/>
      <c r="R1289" s="212"/>
      <c r="S1289" s="209"/>
      <c r="T1289" s="209"/>
      <c r="U1289" s="209" t="s">
        <v>54</v>
      </c>
      <c r="V1289" s="209"/>
      <c r="W1289" s="209"/>
      <c r="X1289" s="209"/>
      <c r="Y1289" s="209"/>
      <c r="Z1289" s="209"/>
      <c r="AA1289" s="209" t="s">
        <v>54</v>
      </c>
      <c r="AB1289" s="212"/>
      <c r="AC1289" s="212"/>
    </row>
    <row r="1290" spans="1:29" outlineLevel="2" x14ac:dyDescent="0.25">
      <c r="A1290" s="201">
        <v>46013</v>
      </c>
      <c r="D1290" s="198" t="s">
        <v>54</v>
      </c>
      <c r="E1290" s="202">
        <v>9653996.2699999996</v>
      </c>
      <c r="K1290" s="198" t="s">
        <v>1061</v>
      </c>
      <c r="L1290" s="198" t="s">
        <v>65</v>
      </c>
      <c r="P1290" s="201"/>
      <c r="R1290" s="202">
        <v>9653996.2699999996</v>
      </c>
      <c r="U1290" s="198" t="s">
        <v>188</v>
      </c>
      <c r="AA1290" s="198" t="s">
        <v>51</v>
      </c>
      <c r="AB1290" s="202">
        <v>9653996.2699999996</v>
      </c>
      <c r="AC1290" s="202">
        <v>9653996.2699999996</v>
      </c>
    </row>
    <row r="1291" spans="1:29" outlineLevel="2" x14ac:dyDescent="0.25">
      <c r="A1291" s="201">
        <v>46017</v>
      </c>
      <c r="D1291" s="198" t="s">
        <v>54</v>
      </c>
      <c r="E1291" s="202">
        <v>103.73</v>
      </c>
      <c r="K1291" s="198" t="s">
        <v>1061</v>
      </c>
      <c r="L1291" s="198" t="s">
        <v>65</v>
      </c>
      <c r="P1291" s="201"/>
      <c r="R1291" s="202">
        <v>103.73</v>
      </c>
      <c r="U1291" s="198" t="s">
        <v>188</v>
      </c>
      <c r="AA1291" s="198" t="s">
        <v>51</v>
      </c>
      <c r="AB1291" s="202">
        <v>103.73</v>
      </c>
      <c r="AC1291" s="202">
        <v>103.73</v>
      </c>
    </row>
    <row r="1292" spans="1:29" outlineLevel="2" x14ac:dyDescent="0.25">
      <c r="A1292" s="201">
        <v>46021</v>
      </c>
      <c r="D1292" s="198" t="s">
        <v>54</v>
      </c>
      <c r="E1292" s="202">
        <v>300000</v>
      </c>
      <c r="K1292" s="198" t="s">
        <v>1061</v>
      </c>
      <c r="L1292" s="198" t="s">
        <v>65</v>
      </c>
      <c r="P1292" s="201"/>
      <c r="R1292" s="202">
        <v>300000</v>
      </c>
      <c r="U1292" s="198" t="s">
        <v>188</v>
      </c>
      <c r="AA1292" s="198" t="s">
        <v>51</v>
      </c>
      <c r="AB1292" s="202">
        <v>300000</v>
      </c>
      <c r="AC1292" s="202">
        <v>300000</v>
      </c>
    </row>
    <row r="1293" spans="1:29" outlineLevel="2" x14ac:dyDescent="0.25">
      <c r="A1293" s="201">
        <v>46022</v>
      </c>
      <c r="D1293" s="198" t="s">
        <v>54</v>
      </c>
      <c r="E1293" s="202">
        <v>243670</v>
      </c>
      <c r="K1293" s="198" t="s">
        <v>1061</v>
      </c>
      <c r="L1293" s="198" t="s">
        <v>65</v>
      </c>
      <c r="P1293" s="201"/>
      <c r="R1293" s="202">
        <v>243670</v>
      </c>
      <c r="U1293" s="198" t="s">
        <v>188</v>
      </c>
      <c r="AA1293" s="198" t="s">
        <v>51</v>
      </c>
      <c r="AB1293" s="202">
        <v>243670</v>
      </c>
      <c r="AC1293" s="202">
        <v>243670</v>
      </c>
    </row>
    <row r="1294" spans="1:29" outlineLevel="2" x14ac:dyDescent="0.25">
      <c r="A1294" s="201">
        <v>46112</v>
      </c>
      <c r="D1294" s="198" t="s">
        <v>54</v>
      </c>
      <c r="E1294" s="202">
        <v>-618651.63</v>
      </c>
      <c r="K1294" s="198" t="s">
        <v>1061</v>
      </c>
      <c r="L1294" s="198" t="s">
        <v>65</v>
      </c>
      <c r="P1294" s="201"/>
      <c r="R1294" s="202">
        <v>-618651.63</v>
      </c>
      <c r="U1294" s="198" t="s">
        <v>188</v>
      </c>
      <c r="AA1294" s="198" t="s">
        <v>51</v>
      </c>
      <c r="AB1294" s="202">
        <v>-618651.63</v>
      </c>
      <c r="AC1294" s="202">
        <v>-618651.63</v>
      </c>
    </row>
    <row r="1295" spans="1:29" outlineLevel="2" x14ac:dyDescent="0.25">
      <c r="A1295" s="201">
        <v>46119</v>
      </c>
      <c r="D1295" s="198" t="s">
        <v>54</v>
      </c>
      <c r="E1295" s="202">
        <v>73174.63</v>
      </c>
      <c r="K1295" s="198" t="s">
        <v>1061</v>
      </c>
      <c r="L1295" s="198" t="s">
        <v>65</v>
      </c>
      <c r="P1295" s="201"/>
      <c r="R1295" s="202">
        <v>73174.63</v>
      </c>
      <c r="U1295" s="198" t="s">
        <v>188</v>
      </c>
      <c r="AA1295" s="198" t="s">
        <v>51</v>
      </c>
      <c r="AB1295" s="202">
        <v>73174.63</v>
      </c>
      <c r="AC1295" s="202">
        <v>73174.63</v>
      </c>
    </row>
    <row r="1296" spans="1:29" outlineLevel="2" x14ac:dyDescent="0.25">
      <c r="A1296" s="201">
        <v>46136</v>
      </c>
      <c r="D1296" s="198" t="s">
        <v>54</v>
      </c>
      <c r="E1296" s="202">
        <v>1047731.59</v>
      </c>
      <c r="K1296" s="198" t="s">
        <v>1061</v>
      </c>
      <c r="L1296" s="198" t="s">
        <v>65</v>
      </c>
      <c r="P1296" s="201"/>
      <c r="R1296" s="202">
        <v>1047731.59</v>
      </c>
      <c r="U1296" s="198" t="s">
        <v>188</v>
      </c>
      <c r="AA1296" s="198" t="s">
        <v>51</v>
      </c>
      <c r="AB1296" s="202">
        <v>1047731.59</v>
      </c>
      <c r="AC1296" s="202">
        <v>1047731.59</v>
      </c>
    </row>
    <row r="1297" spans="1:29" outlineLevel="2" x14ac:dyDescent="0.25">
      <c r="A1297" s="201">
        <v>46141</v>
      </c>
      <c r="D1297" s="198" t="s">
        <v>54</v>
      </c>
      <c r="E1297" s="202">
        <v>13681000.41</v>
      </c>
      <c r="K1297" s="198" t="s">
        <v>1061</v>
      </c>
      <c r="L1297" s="198" t="s">
        <v>65</v>
      </c>
      <c r="P1297" s="201"/>
      <c r="R1297" s="202">
        <v>13681000.41</v>
      </c>
      <c r="U1297" s="198" t="s">
        <v>188</v>
      </c>
      <c r="AA1297" s="198" t="s">
        <v>51</v>
      </c>
      <c r="AB1297" s="202">
        <v>13681000.41</v>
      </c>
      <c r="AC1297" s="202">
        <v>13681000.41</v>
      </c>
    </row>
    <row r="1298" spans="1:29" outlineLevel="1" x14ac:dyDescent="0.25">
      <c r="A1298" s="210"/>
      <c r="B1298" s="209"/>
      <c r="C1298" s="209"/>
      <c r="D1298" s="209" t="s">
        <v>54</v>
      </c>
      <c r="E1298" s="211">
        <v>24381025</v>
      </c>
      <c r="F1298" s="209"/>
      <c r="G1298" s="209"/>
      <c r="H1298" s="209"/>
      <c r="I1298" s="209"/>
      <c r="J1298" s="209"/>
      <c r="K1298" s="209" t="s">
        <v>54</v>
      </c>
      <c r="L1298" s="209" t="s">
        <v>54</v>
      </c>
      <c r="M1298" s="209"/>
      <c r="N1298" s="209"/>
      <c r="O1298" s="209"/>
      <c r="P1298" s="210"/>
      <c r="Q1298" s="209"/>
      <c r="R1298" s="212"/>
      <c r="S1298" s="209"/>
      <c r="T1298" s="209"/>
      <c r="U1298" s="209" t="s">
        <v>54</v>
      </c>
      <c r="V1298" s="209"/>
      <c r="W1298" s="209"/>
      <c r="X1298" s="209"/>
      <c r="Y1298" s="209"/>
      <c r="Z1298" s="209"/>
      <c r="AA1298" s="209" t="s">
        <v>54</v>
      </c>
      <c r="AB1298" s="212"/>
      <c r="AC1298" s="212"/>
    </row>
    <row r="1299" spans="1:29" outlineLevel="2" x14ac:dyDescent="0.25">
      <c r="A1299" s="201">
        <v>46008</v>
      </c>
      <c r="D1299" s="198" t="s">
        <v>54</v>
      </c>
      <c r="E1299" s="202">
        <v>9566105</v>
      </c>
      <c r="K1299" s="198" t="s">
        <v>1063</v>
      </c>
      <c r="L1299" s="198" t="s">
        <v>65</v>
      </c>
      <c r="P1299" s="201"/>
      <c r="R1299" s="202">
        <v>9566105</v>
      </c>
      <c r="U1299" s="198" t="s">
        <v>1062</v>
      </c>
      <c r="AA1299" s="198" t="s">
        <v>51</v>
      </c>
      <c r="AB1299" s="202">
        <v>9566105</v>
      </c>
      <c r="AC1299" s="202">
        <v>9566105</v>
      </c>
    </row>
    <row r="1300" spans="1:29" outlineLevel="2" x14ac:dyDescent="0.25">
      <c r="A1300" s="201">
        <v>46009</v>
      </c>
      <c r="D1300" s="198" t="s">
        <v>54</v>
      </c>
      <c r="E1300" s="202">
        <v>7331993.5</v>
      </c>
      <c r="K1300" s="198" t="s">
        <v>1063</v>
      </c>
      <c r="L1300" s="198" t="s">
        <v>65</v>
      </c>
      <c r="P1300" s="201"/>
      <c r="R1300" s="202">
        <v>7331993.5</v>
      </c>
      <c r="U1300" s="198" t="s">
        <v>1062</v>
      </c>
      <c r="AA1300" s="198" t="s">
        <v>51</v>
      </c>
      <c r="AB1300" s="202">
        <v>7331993.5</v>
      </c>
      <c r="AC1300" s="202">
        <v>7331993.5</v>
      </c>
    </row>
    <row r="1301" spans="1:29" outlineLevel="2" x14ac:dyDescent="0.25">
      <c r="A1301" s="201">
        <v>46013</v>
      </c>
      <c r="D1301" s="198" t="s">
        <v>54</v>
      </c>
      <c r="E1301" s="202">
        <v>2374642.33</v>
      </c>
      <c r="K1301" s="198" t="s">
        <v>1063</v>
      </c>
      <c r="L1301" s="198" t="s">
        <v>65</v>
      </c>
      <c r="P1301" s="201"/>
      <c r="R1301" s="202">
        <v>2374642.33</v>
      </c>
      <c r="U1301" s="198" t="s">
        <v>1062</v>
      </c>
      <c r="AA1301" s="198" t="s">
        <v>51</v>
      </c>
      <c r="AB1301" s="202">
        <v>2374642.33</v>
      </c>
      <c r="AC1301" s="202">
        <v>2374642.33</v>
      </c>
    </row>
    <row r="1302" spans="1:29" outlineLevel="2" x14ac:dyDescent="0.25">
      <c r="A1302" s="201">
        <v>46014</v>
      </c>
      <c r="D1302" s="198" t="s">
        <v>54</v>
      </c>
      <c r="E1302" s="202">
        <v>817426</v>
      </c>
      <c r="K1302" s="198" t="s">
        <v>1063</v>
      </c>
      <c r="L1302" s="198" t="s">
        <v>65</v>
      </c>
      <c r="P1302" s="201"/>
      <c r="R1302" s="202">
        <v>817426</v>
      </c>
      <c r="U1302" s="198" t="s">
        <v>1062</v>
      </c>
      <c r="AA1302" s="198" t="s">
        <v>51</v>
      </c>
      <c r="AB1302" s="202">
        <v>817426</v>
      </c>
      <c r="AC1302" s="202">
        <v>817426</v>
      </c>
    </row>
    <row r="1303" spans="1:29" outlineLevel="2" x14ac:dyDescent="0.25">
      <c r="A1303" s="201">
        <v>46017</v>
      </c>
      <c r="D1303" s="198" t="s">
        <v>54</v>
      </c>
      <c r="E1303" s="202">
        <v>4533999.01</v>
      </c>
      <c r="K1303" s="198" t="s">
        <v>1063</v>
      </c>
      <c r="L1303" s="198" t="s">
        <v>65</v>
      </c>
      <c r="P1303" s="201"/>
      <c r="R1303" s="202">
        <v>4533999.01</v>
      </c>
      <c r="U1303" s="198" t="s">
        <v>1062</v>
      </c>
      <c r="AA1303" s="198" t="s">
        <v>51</v>
      </c>
      <c r="AB1303" s="202">
        <v>4533999.01</v>
      </c>
      <c r="AC1303" s="202">
        <v>4533999.01</v>
      </c>
    </row>
    <row r="1304" spans="1:29" outlineLevel="2" x14ac:dyDescent="0.25">
      <c r="A1304" s="201">
        <v>46017</v>
      </c>
      <c r="D1304" s="198" t="s">
        <v>54</v>
      </c>
      <c r="E1304" s="202">
        <v>-4297065.84</v>
      </c>
      <c r="K1304" s="198" t="s">
        <v>1063</v>
      </c>
      <c r="L1304" s="198" t="s">
        <v>65</v>
      </c>
      <c r="P1304" s="201"/>
      <c r="R1304" s="202">
        <v>-4297065.84</v>
      </c>
      <c r="U1304" s="198" t="s">
        <v>1062</v>
      </c>
      <c r="AA1304" s="198" t="s">
        <v>51</v>
      </c>
      <c r="AB1304" s="202">
        <v>-4297065.84</v>
      </c>
      <c r="AC1304" s="202">
        <v>-4297065.84</v>
      </c>
    </row>
    <row r="1305" spans="1:29" outlineLevel="2" x14ac:dyDescent="0.25">
      <c r="A1305" s="201">
        <v>46043</v>
      </c>
      <c r="D1305" s="198" t="s">
        <v>54</v>
      </c>
      <c r="E1305" s="202">
        <v>800000</v>
      </c>
      <c r="K1305" s="198" t="s">
        <v>1063</v>
      </c>
      <c r="L1305" s="198" t="s">
        <v>65</v>
      </c>
      <c r="P1305" s="201"/>
      <c r="R1305" s="202">
        <v>800000</v>
      </c>
      <c r="U1305" s="198" t="s">
        <v>1062</v>
      </c>
      <c r="AA1305" s="198" t="s">
        <v>51</v>
      </c>
      <c r="AB1305" s="202">
        <v>800000</v>
      </c>
      <c r="AC1305" s="202">
        <v>800000</v>
      </c>
    </row>
    <row r="1306" spans="1:29" outlineLevel="2" x14ac:dyDescent="0.25">
      <c r="A1306" s="201">
        <v>46112</v>
      </c>
      <c r="D1306" s="198" t="s">
        <v>54</v>
      </c>
      <c r="E1306" s="202">
        <v>-635848.26</v>
      </c>
      <c r="K1306" s="198" t="s">
        <v>1063</v>
      </c>
      <c r="L1306" s="198" t="s">
        <v>65</v>
      </c>
      <c r="P1306" s="201"/>
      <c r="R1306" s="202">
        <v>-635848.26</v>
      </c>
      <c r="U1306" s="198" t="s">
        <v>1062</v>
      </c>
      <c r="AA1306" s="198" t="s">
        <v>51</v>
      </c>
      <c r="AB1306" s="202">
        <v>-635848.26</v>
      </c>
      <c r="AC1306" s="202">
        <v>-635848.26</v>
      </c>
    </row>
    <row r="1307" spans="1:29" outlineLevel="2" x14ac:dyDescent="0.25">
      <c r="A1307" s="201">
        <v>46119</v>
      </c>
      <c r="D1307" s="198" t="s">
        <v>54</v>
      </c>
      <c r="E1307" s="202">
        <v>70363.009999999995</v>
      </c>
      <c r="K1307" s="198" t="s">
        <v>1063</v>
      </c>
      <c r="L1307" s="198" t="s">
        <v>65</v>
      </c>
      <c r="P1307" s="201"/>
      <c r="R1307" s="202">
        <v>70363.009999999995</v>
      </c>
      <c r="U1307" s="198" t="s">
        <v>1062</v>
      </c>
      <c r="AA1307" s="198" t="s">
        <v>51</v>
      </c>
      <c r="AB1307" s="202">
        <v>70363.009999999995</v>
      </c>
      <c r="AC1307" s="202">
        <v>70363.009999999995</v>
      </c>
    </row>
    <row r="1308" spans="1:29" outlineLevel="2" x14ac:dyDescent="0.25">
      <c r="A1308" s="201">
        <v>46136</v>
      </c>
      <c r="D1308" s="198" t="s">
        <v>54</v>
      </c>
      <c r="E1308" s="202">
        <v>138062.95000000001</v>
      </c>
      <c r="K1308" s="198" t="s">
        <v>1063</v>
      </c>
      <c r="L1308" s="198" t="s">
        <v>65</v>
      </c>
      <c r="P1308" s="201"/>
      <c r="R1308" s="202">
        <v>138062.95000000001</v>
      </c>
      <c r="U1308" s="198" t="s">
        <v>1062</v>
      </c>
      <c r="AA1308" s="198" t="s">
        <v>51</v>
      </c>
      <c r="AB1308" s="202">
        <v>138062.95000000001</v>
      </c>
      <c r="AC1308" s="202">
        <v>138062.95000000001</v>
      </c>
    </row>
    <row r="1309" spans="1:29" outlineLevel="2" x14ac:dyDescent="0.25">
      <c r="A1309" s="201">
        <v>46137</v>
      </c>
      <c r="D1309" s="198" t="s">
        <v>54</v>
      </c>
      <c r="E1309" s="202">
        <v>43000.05</v>
      </c>
      <c r="K1309" s="198" t="s">
        <v>1063</v>
      </c>
      <c r="L1309" s="198" t="s">
        <v>65</v>
      </c>
      <c r="P1309" s="201"/>
      <c r="R1309" s="202">
        <v>43000.05</v>
      </c>
      <c r="U1309" s="198" t="s">
        <v>1062</v>
      </c>
      <c r="AA1309" s="198" t="s">
        <v>51</v>
      </c>
      <c r="AB1309" s="202">
        <v>43000.05</v>
      </c>
      <c r="AC1309" s="202">
        <v>43000.05</v>
      </c>
    </row>
    <row r="1310" spans="1:29" outlineLevel="2" x14ac:dyDescent="0.25">
      <c r="A1310" s="201">
        <v>46139</v>
      </c>
      <c r="D1310" s="198" t="s">
        <v>54</v>
      </c>
      <c r="E1310" s="202">
        <v>1165589.25</v>
      </c>
      <c r="K1310" s="198" t="s">
        <v>1063</v>
      </c>
      <c r="L1310" s="198" t="s">
        <v>65</v>
      </c>
      <c r="P1310" s="201"/>
      <c r="R1310" s="202">
        <v>1165589.25</v>
      </c>
      <c r="U1310" s="198" t="s">
        <v>1062</v>
      </c>
      <c r="AA1310" s="198" t="s">
        <v>51</v>
      </c>
      <c r="AB1310" s="202">
        <v>1165589.25</v>
      </c>
      <c r="AC1310" s="202">
        <v>1165589.25</v>
      </c>
    </row>
    <row r="1311" spans="1:29" outlineLevel="2" x14ac:dyDescent="0.25">
      <c r="A1311" s="201">
        <v>46155</v>
      </c>
      <c r="D1311" s="198" t="s">
        <v>54</v>
      </c>
      <c r="E1311" s="202">
        <v>2099305.0499999998</v>
      </c>
      <c r="K1311" s="198" t="s">
        <v>1063</v>
      </c>
      <c r="L1311" s="198" t="s">
        <v>65</v>
      </c>
      <c r="P1311" s="201"/>
      <c r="R1311" s="202">
        <v>2099305.0499999998</v>
      </c>
      <c r="U1311" s="198" t="s">
        <v>1062</v>
      </c>
      <c r="AA1311" s="198" t="s">
        <v>51</v>
      </c>
      <c r="AB1311" s="202">
        <v>2099305.0499999998</v>
      </c>
      <c r="AC1311" s="202">
        <v>2099305.0499999998</v>
      </c>
    </row>
    <row r="1312" spans="1:29" outlineLevel="1" x14ac:dyDescent="0.25">
      <c r="A1312" s="210"/>
      <c r="B1312" s="209"/>
      <c r="C1312" s="209"/>
      <c r="D1312" s="209" t="s">
        <v>54</v>
      </c>
      <c r="E1312" s="211">
        <v>24007572.050000001</v>
      </c>
      <c r="F1312" s="209"/>
      <c r="G1312" s="209"/>
      <c r="H1312" s="209"/>
      <c r="I1312" s="209"/>
      <c r="J1312" s="209"/>
      <c r="K1312" s="209" t="s">
        <v>54</v>
      </c>
      <c r="L1312" s="209" t="s">
        <v>54</v>
      </c>
      <c r="M1312" s="209"/>
      <c r="N1312" s="209"/>
      <c r="O1312" s="209"/>
      <c r="P1312" s="210"/>
      <c r="Q1312" s="209"/>
      <c r="R1312" s="212"/>
      <c r="S1312" s="209"/>
      <c r="T1312" s="209"/>
      <c r="U1312" s="209" t="s">
        <v>54</v>
      </c>
      <c r="V1312" s="209"/>
      <c r="W1312" s="209"/>
      <c r="X1312" s="209"/>
      <c r="Y1312" s="209"/>
      <c r="Z1312" s="209"/>
      <c r="AA1312" s="209" t="s">
        <v>54</v>
      </c>
      <c r="AB1312" s="212"/>
      <c r="AC1312" s="212"/>
    </row>
    <row r="1313" spans="1:29" outlineLevel="2" x14ac:dyDescent="0.25">
      <c r="A1313" s="201">
        <v>46008</v>
      </c>
      <c r="D1313" s="198" t="s">
        <v>54</v>
      </c>
      <c r="E1313" s="202">
        <v>9566105</v>
      </c>
      <c r="K1313" s="198" t="s">
        <v>1064</v>
      </c>
      <c r="L1313" s="198" t="s">
        <v>65</v>
      </c>
      <c r="P1313" s="201"/>
      <c r="R1313" s="202">
        <v>9566105</v>
      </c>
      <c r="U1313" s="198" t="s">
        <v>203</v>
      </c>
      <c r="AA1313" s="198" t="s">
        <v>51</v>
      </c>
      <c r="AB1313" s="202">
        <v>9566105</v>
      </c>
      <c r="AC1313" s="202">
        <v>9566105</v>
      </c>
    </row>
    <row r="1314" spans="1:29" outlineLevel="2" x14ac:dyDescent="0.25">
      <c r="A1314" s="201">
        <v>46009</v>
      </c>
      <c r="D1314" s="198" t="s">
        <v>54</v>
      </c>
      <c r="E1314" s="202">
        <v>7331993.5</v>
      </c>
      <c r="K1314" s="198" t="s">
        <v>1064</v>
      </c>
      <c r="L1314" s="198" t="s">
        <v>65</v>
      </c>
      <c r="P1314" s="201"/>
      <c r="R1314" s="202">
        <v>7331993.5</v>
      </c>
      <c r="U1314" s="198" t="s">
        <v>203</v>
      </c>
      <c r="AA1314" s="198" t="s">
        <v>51</v>
      </c>
      <c r="AB1314" s="202">
        <v>7331993.5</v>
      </c>
      <c r="AC1314" s="202">
        <v>7331993.5</v>
      </c>
    </row>
    <row r="1315" spans="1:29" outlineLevel="2" x14ac:dyDescent="0.25">
      <c r="A1315" s="201">
        <v>46013</v>
      </c>
      <c r="D1315" s="198" t="s">
        <v>54</v>
      </c>
      <c r="E1315" s="202">
        <v>2374642.33</v>
      </c>
      <c r="K1315" s="198" t="s">
        <v>1064</v>
      </c>
      <c r="L1315" s="198" t="s">
        <v>65</v>
      </c>
      <c r="P1315" s="201"/>
      <c r="R1315" s="202">
        <v>2374642.33</v>
      </c>
      <c r="U1315" s="198" t="s">
        <v>203</v>
      </c>
      <c r="AA1315" s="198" t="s">
        <v>51</v>
      </c>
      <c r="AB1315" s="202">
        <v>2374642.33</v>
      </c>
      <c r="AC1315" s="202">
        <v>2374642.33</v>
      </c>
    </row>
    <row r="1316" spans="1:29" outlineLevel="2" x14ac:dyDescent="0.25">
      <c r="A1316" s="201">
        <v>46014</v>
      </c>
      <c r="D1316" s="198" t="s">
        <v>54</v>
      </c>
      <c r="E1316" s="202">
        <v>817426</v>
      </c>
      <c r="K1316" s="198" t="s">
        <v>1064</v>
      </c>
      <c r="L1316" s="198" t="s">
        <v>65</v>
      </c>
      <c r="P1316" s="201"/>
      <c r="R1316" s="202">
        <v>817426</v>
      </c>
      <c r="U1316" s="198" t="s">
        <v>203</v>
      </c>
      <c r="AA1316" s="198" t="s">
        <v>51</v>
      </c>
      <c r="AB1316" s="202">
        <v>817426</v>
      </c>
      <c r="AC1316" s="202">
        <v>817426</v>
      </c>
    </row>
    <row r="1317" spans="1:29" outlineLevel="2" x14ac:dyDescent="0.25">
      <c r="A1317" s="201">
        <v>46017</v>
      </c>
      <c r="D1317" s="198" t="s">
        <v>54</v>
      </c>
      <c r="E1317" s="202">
        <v>-0.99</v>
      </c>
      <c r="K1317" s="198" t="s">
        <v>1064</v>
      </c>
      <c r="L1317" s="198" t="s">
        <v>65</v>
      </c>
      <c r="P1317" s="201"/>
      <c r="R1317" s="202">
        <v>-0.99</v>
      </c>
      <c r="U1317" s="198" t="s">
        <v>203</v>
      </c>
      <c r="AA1317" s="198" t="s">
        <v>51</v>
      </c>
      <c r="AB1317" s="202">
        <v>-0.99</v>
      </c>
      <c r="AC1317" s="202">
        <v>-0.99</v>
      </c>
    </row>
    <row r="1318" spans="1:29" outlineLevel="2" x14ac:dyDescent="0.25">
      <c r="A1318" s="201">
        <v>46017</v>
      </c>
      <c r="D1318" s="198" t="s">
        <v>54</v>
      </c>
      <c r="E1318" s="202">
        <v>-4297065.84</v>
      </c>
      <c r="K1318" s="198" t="s">
        <v>1064</v>
      </c>
      <c r="L1318" s="198" t="s">
        <v>65</v>
      </c>
      <c r="P1318" s="201"/>
      <c r="R1318" s="202">
        <v>-4297065.84</v>
      </c>
      <c r="U1318" s="198" t="s">
        <v>203</v>
      </c>
      <c r="AA1318" s="198" t="s">
        <v>51</v>
      </c>
      <c r="AB1318" s="202">
        <v>-4297065.84</v>
      </c>
      <c r="AC1318" s="202">
        <v>-4297065.84</v>
      </c>
    </row>
    <row r="1319" spans="1:29" outlineLevel="2" x14ac:dyDescent="0.25">
      <c r="A1319" s="201">
        <v>46043</v>
      </c>
      <c r="D1319" s="198" t="s">
        <v>54</v>
      </c>
      <c r="E1319" s="202">
        <v>800000</v>
      </c>
      <c r="K1319" s="198" t="s">
        <v>1064</v>
      </c>
      <c r="L1319" s="198" t="s">
        <v>65</v>
      </c>
      <c r="P1319" s="201"/>
      <c r="R1319" s="202">
        <v>800000</v>
      </c>
      <c r="U1319" s="198" t="s">
        <v>203</v>
      </c>
      <c r="AA1319" s="198" t="s">
        <v>51</v>
      </c>
      <c r="AB1319" s="202">
        <v>800000</v>
      </c>
      <c r="AC1319" s="202">
        <v>800000</v>
      </c>
    </row>
    <row r="1320" spans="1:29" outlineLevel="2" x14ac:dyDescent="0.25">
      <c r="A1320" s="201">
        <v>46112</v>
      </c>
      <c r="D1320" s="198" t="s">
        <v>54</v>
      </c>
      <c r="E1320" s="202">
        <v>-498619.25</v>
      </c>
      <c r="K1320" s="198" t="s">
        <v>1064</v>
      </c>
      <c r="L1320" s="198" t="s">
        <v>65</v>
      </c>
      <c r="P1320" s="201"/>
      <c r="R1320" s="202">
        <v>-498619.25</v>
      </c>
      <c r="U1320" s="198" t="s">
        <v>203</v>
      </c>
      <c r="AA1320" s="198" t="s">
        <v>51</v>
      </c>
      <c r="AB1320" s="202">
        <v>-498619.25</v>
      </c>
      <c r="AC1320" s="202">
        <v>-498619.25</v>
      </c>
    </row>
    <row r="1321" spans="1:29" outlineLevel="2" x14ac:dyDescent="0.25">
      <c r="A1321" s="201">
        <v>46139</v>
      </c>
      <c r="D1321" s="198" t="s">
        <v>54</v>
      </c>
      <c r="E1321" s="202">
        <v>1165589.25</v>
      </c>
      <c r="K1321" s="198" t="s">
        <v>1064</v>
      </c>
      <c r="L1321" s="198" t="s">
        <v>65</v>
      </c>
      <c r="P1321" s="201"/>
      <c r="R1321" s="202">
        <v>1165589.25</v>
      </c>
      <c r="U1321" s="198" t="s">
        <v>203</v>
      </c>
      <c r="AA1321" s="198" t="s">
        <v>51</v>
      </c>
      <c r="AB1321" s="202">
        <v>1165589.25</v>
      </c>
      <c r="AC1321" s="202">
        <v>1165589.25</v>
      </c>
    </row>
    <row r="1322" spans="1:29" outlineLevel="1" x14ac:dyDescent="0.25">
      <c r="A1322" s="210"/>
      <c r="B1322" s="209"/>
      <c r="C1322" s="209"/>
      <c r="D1322" s="209" t="s">
        <v>54</v>
      </c>
      <c r="E1322" s="211">
        <v>17260070</v>
      </c>
      <c r="F1322" s="209"/>
      <c r="G1322" s="209"/>
      <c r="H1322" s="209"/>
      <c r="I1322" s="209"/>
      <c r="J1322" s="209"/>
      <c r="K1322" s="209" t="s">
        <v>54</v>
      </c>
      <c r="L1322" s="209" t="s">
        <v>54</v>
      </c>
      <c r="M1322" s="209"/>
      <c r="N1322" s="209"/>
      <c r="O1322" s="209"/>
      <c r="P1322" s="210"/>
      <c r="Q1322" s="209"/>
      <c r="R1322" s="212"/>
      <c r="S1322" s="209"/>
      <c r="T1322" s="209"/>
      <c r="U1322" s="209" t="s">
        <v>54</v>
      </c>
      <c r="V1322" s="209"/>
      <c r="W1322" s="209"/>
      <c r="X1322" s="209"/>
      <c r="Y1322" s="209"/>
      <c r="Z1322" s="209"/>
      <c r="AA1322" s="209" t="s">
        <v>54</v>
      </c>
      <c r="AB1322" s="212"/>
      <c r="AC1322" s="212"/>
    </row>
    <row r="1323" spans="1:29" outlineLevel="2" x14ac:dyDescent="0.25">
      <c r="A1323" s="201">
        <v>46017</v>
      </c>
      <c r="D1323" s="198" t="s">
        <v>54</v>
      </c>
      <c r="E1323" s="202">
        <v>4534000</v>
      </c>
      <c r="K1323" s="198" t="s">
        <v>1065</v>
      </c>
      <c r="L1323" s="198" t="s">
        <v>65</v>
      </c>
      <c r="P1323" s="201"/>
      <c r="R1323" s="202">
        <v>4534000</v>
      </c>
      <c r="U1323" s="198" t="s">
        <v>48</v>
      </c>
      <c r="AA1323" s="198" t="s">
        <v>51</v>
      </c>
      <c r="AB1323" s="202">
        <v>4534000</v>
      </c>
      <c r="AC1323" s="202">
        <v>4534000</v>
      </c>
    </row>
    <row r="1324" spans="1:29" outlineLevel="2" x14ac:dyDescent="0.25">
      <c r="A1324" s="201">
        <v>46112</v>
      </c>
      <c r="D1324" s="198" t="s">
        <v>54</v>
      </c>
      <c r="E1324" s="202">
        <v>-137229.01</v>
      </c>
      <c r="K1324" s="198" t="s">
        <v>1065</v>
      </c>
      <c r="L1324" s="198" t="s">
        <v>65</v>
      </c>
      <c r="P1324" s="201"/>
      <c r="R1324" s="202">
        <v>-137229.01</v>
      </c>
      <c r="U1324" s="198" t="s">
        <v>48</v>
      </c>
      <c r="AA1324" s="198" t="s">
        <v>51</v>
      </c>
      <c r="AB1324" s="202">
        <v>-137229.01</v>
      </c>
      <c r="AC1324" s="202">
        <v>-137229.01</v>
      </c>
    </row>
    <row r="1325" spans="1:29" outlineLevel="2" x14ac:dyDescent="0.25">
      <c r="A1325" s="201">
        <v>46119</v>
      </c>
      <c r="D1325" s="198" t="s">
        <v>54</v>
      </c>
      <c r="E1325" s="202">
        <v>70363.009999999995</v>
      </c>
      <c r="K1325" s="198" t="s">
        <v>1065</v>
      </c>
      <c r="L1325" s="198" t="s">
        <v>65</v>
      </c>
      <c r="P1325" s="201"/>
      <c r="R1325" s="202">
        <v>70363.009999999995</v>
      </c>
      <c r="U1325" s="198" t="s">
        <v>48</v>
      </c>
      <c r="AA1325" s="198" t="s">
        <v>51</v>
      </c>
      <c r="AB1325" s="202">
        <v>70363.009999999995</v>
      </c>
      <c r="AC1325" s="202">
        <v>70363.009999999995</v>
      </c>
    </row>
    <row r="1326" spans="1:29" outlineLevel="2" x14ac:dyDescent="0.25">
      <c r="A1326" s="201">
        <v>46136</v>
      </c>
      <c r="D1326" s="198" t="s">
        <v>54</v>
      </c>
      <c r="E1326" s="202">
        <v>138062.95000000001</v>
      </c>
      <c r="K1326" s="198" t="s">
        <v>1065</v>
      </c>
      <c r="L1326" s="198" t="s">
        <v>65</v>
      </c>
      <c r="P1326" s="201"/>
      <c r="R1326" s="202">
        <v>138062.95000000001</v>
      </c>
      <c r="U1326" s="198" t="s">
        <v>48</v>
      </c>
      <c r="AA1326" s="198" t="s">
        <v>51</v>
      </c>
      <c r="AB1326" s="202">
        <v>138062.95000000001</v>
      </c>
      <c r="AC1326" s="202">
        <v>138062.95000000001</v>
      </c>
    </row>
    <row r="1327" spans="1:29" outlineLevel="2" x14ac:dyDescent="0.25">
      <c r="A1327" s="201">
        <v>46137</v>
      </c>
      <c r="D1327" s="198" t="s">
        <v>54</v>
      </c>
      <c r="E1327" s="202">
        <v>43000.05</v>
      </c>
      <c r="K1327" s="198" t="s">
        <v>1065</v>
      </c>
      <c r="L1327" s="198" t="s">
        <v>65</v>
      </c>
      <c r="P1327" s="201"/>
      <c r="R1327" s="202">
        <v>43000.05</v>
      </c>
      <c r="U1327" s="198" t="s">
        <v>48</v>
      </c>
      <c r="AA1327" s="198" t="s">
        <v>51</v>
      </c>
      <c r="AB1327" s="202">
        <v>43000.05</v>
      </c>
      <c r="AC1327" s="202">
        <v>43000.05</v>
      </c>
    </row>
    <row r="1328" spans="1:29" outlineLevel="2" x14ac:dyDescent="0.25">
      <c r="A1328" s="201">
        <v>46155</v>
      </c>
      <c r="D1328" s="198" t="s">
        <v>54</v>
      </c>
      <c r="E1328" s="202">
        <v>2099305.0499999998</v>
      </c>
      <c r="K1328" s="198" t="s">
        <v>1065</v>
      </c>
      <c r="L1328" s="198" t="s">
        <v>65</v>
      </c>
      <c r="P1328" s="201"/>
      <c r="R1328" s="202">
        <v>2099305.0499999998</v>
      </c>
      <c r="U1328" s="198" t="s">
        <v>48</v>
      </c>
      <c r="AA1328" s="198" t="s">
        <v>51</v>
      </c>
      <c r="AB1328" s="202">
        <v>2099305.0499999998</v>
      </c>
      <c r="AC1328" s="202">
        <v>2099305.0499999998</v>
      </c>
    </row>
    <row r="1329" spans="1:29" outlineLevel="1" x14ac:dyDescent="0.25">
      <c r="A1329" s="210"/>
      <c r="B1329" s="209"/>
      <c r="C1329" s="209"/>
      <c r="D1329" s="209" t="s">
        <v>54</v>
      </c>
      <c r="E1329" s="211">
        <v>6747502.0499999998</v>
      </c>
      <c r="F1329" s="209"/>
      <c r="G1329" s="209"/>
      <c r="H1329" s="209"/>
      <c r="I1329" s="209"/>
      <c r="J1329" s="209"/>
      <c r="K1329" s="209" t="s">
        <v>54</v>
      </c>
      <c r="L1329" s="209" t="s">
        <v>54</v>
      </c>
      <c r="M1329" s="209"/>
      <c r="N1329" s="209"/>
      <c r="O1329" s="209"/>
      <c r="P1329" s="210"/>
      <c r="Q1329" s="209"/>
      <c r="R1329" s="212"/>
      <c r="S1329" s="209"/>
      <c r="T1329" s="209"/>
      <c r="U1329" s="209" t="s">
        <v>54</v>
      </c>
      <c r="V1329" s="209"/>
      <c r="W1329" s="209"/>
      <c r="X1329" s="209"/>
      <c r="Y1329" s="209"/>
      <c r="Z1329" s="209"/>
      <c r="AA1329" s="209" t="s">
        <v>54</v>
      </c>
      <c r="AB1329" s="212"/>
      <c r="AC1329" s="212"/>
    </row>
    <row r="1330" spans="1:29" outlineLevel="2" x14ac:dyDescent="0.25">
      <c r="A1330" s="201">
        <v>46009</v>
      </c>
      <c r="D1330" s="198" t="s">
        <v>54</v>
      </c>
      <c r="E1330" s="202">
        <v>4652629.5</v>
      </c>
      <c r="K1330" s="198" t="s">
        <v>1067</v>
      </c>
      <c r="L1330" s="198" t="s">
        <v>65</v>
      </c>
      <c r="P1330" s="201"/>
      <c r="R1330" s="202">
        <v>4652629.5</v>
      </c>
      <c r="U1330" s="198" t="s">
        <v>1066</v>
      </c>
      <c r="AA1330" s="198" t="s">
        <v>51</v>
      </c>
      <c r="AB1330" s="202">
        <v>4652629.5</v>
      </c>
      <c r="AC1330" s="202">
        <v>4652629.5</v>
      </c>
    </row>
    <row r="1331" spans="1:29" outlineLevel="2" x14ac:dyDescent="0.25">
      <c r="A1331" s="201">
        <v>46009</v>
      </c>
      <c r="D1331" s="198" t="s">
        <v>54</v>
      </c>
      <c r="E1331" s="202">
        <v>2</v>
      </c>
      <c r="K1331" s="198" t="s">
        <v>1067</v>
      </c>
      <c r="L1331" s="198" t="s">
        <v>65</v>
      </c>
      <c r="P1331" s="201"/>
      <c r="R1331" s="202">
        <v>2</v>
      </c>
      <c r="U1331" s="198" t="s">
        <v>1066</v>
      </c>
      <c r="AA1331" s="198" t="s">
        <v>51</v>
      </c>
      <c r="AB1331" s="202">
        <v>2</v>
      </c>
      <c r="AC1331" s="202">
        <v>2</v>
      </c>
    </row>
    <row r="1332" spans="1:29" outlineLevel="2" x14ac:dyDescent="0.25">
      <c r="A1332" s="201">
        <v>46017</v>
      </c>
      <c r="D1332" s="198" t="s">
        <v>54</v>
      </c>
      <c r="E1332" s="202">
        <v>168.5</v>
      </c>
      <c r="K1332" s="198" t="s">
        <v>1067</v>
      </c>
      <c r="L1332" s="198" t="s">
        <v>65</v>
      </c>
      <c r="P1332" s="201"/>
      <c r="R1332" s="202">
        <v>168.5</v>
      </c>
      <c r="U1332" s="198" t="s">
        <v>1066</v>
      </c>
      <c r="AA1332" s="198" t="s">
        <v>51</v>
      </c>
      <c r="AB1332" s="202">
        <v>168.5</v>
      </c>
      <c r="AC1332" s="202">
        <v>168.5</v>
      </c>
    </row>
    <row r="1333" spans="1:29" outlineLevel="1" x14ac:dyDescent="0.25">
      <c r="A1333" s="210"/>
      <c r="B1333" s="209"/>
      <c r="C1333" s="209"/>
      <c r="D1333" s="209" t="s">
        <v>54</v>
      </c>
      <c r="E1333" s="211">
        <v>4652800</v>
      </c>
      <c r="F1333" s="209"/>
      <c r="G1333" s="209"/>
      <c r="H1333" s="209"/>
      <c r="I1333" s="209"/>
      <c r="J1333" s="209"/>
      <c r="K1333" s="209" t="s">
        <v>54</v>
      </c>
      <c r="L1333" s="209" t="s">
        <v>54</v>
      </c>
      <c r="M1333" s="209"/>
      <c r="N1333" s="209"/>
      <c r="O1333" s="209"/>
      <c r="P1333" s="210"/>
      <c r="Q1333" s="209"/>
      <c r="R1333" s="212"/>
      <c r="S1333" s="209"/>
      <c r="T1333" s="209"/>
      <c r="U1333" s="209" t="s">
        <v>54</v>
      </c>
      <c r="V1333" s="209"/>
      <c r="W1333" s="209"/>
      <c r="X1333" s="209"/>
      <c r="Y1333" s="209"/>
      <c r="Z1333" s="209"/>
      <c r="AA1333" s="209" t="s">
        <v>54</v>
      </c>
      <c r="AB1333" s="212"/>
      <c r="AC1333" s="212"/>
    </row>
    <row r="1334" spans="1:29" outlineLevel="2" x14ac:dyDescent="0.25">
      <c r="A1334" s="201">
        <v>46009</v>
      </c>
      <c r="D1334" s="198" t="s">
        <v>54</v>
      </c>
      <c r="E1334" s="202">
        <v>1864650</v>
      </c>
      <c r="K1334" s="198" t="s">
        <v>1069</v>
      </c>
      <c r="L1334" s="198" t="s">
        <v>65</v>
      </c>
      <c r="P1334" s="201"/>
      <c r="R1334" s="202">
        <v>1864650</v>
      </c>
      <c r="U1334" s="198" t="s">
        <v>1068</v>
      </c>
      <c r="AA1334" s="198" t="s">
        <v>51</v>
      </c>
      <c r="AB1334" s="202">
        <v>1864650</v>
      </c>
      <c r="AC1334" s="202">
        <v>1864650</v>
      </c>
    </row>
    <row r="1335" spans="1:29" outlineLevel="2" x14ac:dyDescent="0.25">
      <c r="A1335" s="201">
        <v>46017</v>
      </c>
      <c r="D1335" s="198" t="s">
        <v>54</v>
      </c>
      <c r="E1335" s="202">
        <v>50</v>
      </c>
      <c r="K1335" s="198" t="s">
        <v>1069</v>
      </c>
      <c r="L1335" s="198" t="s">
        <v>65</v>
      </c>
      <c r="P1335" s="201"/>
      <c r="R1335" s="202">
        <v>50</v>
      </c>
      <c r="U1335" s="198" t="s">
        <v>1068</v>
      </c>
      <c r="AA1335" s="198" t="s">
        <v>51</v>
      </c>
      <c r="AB1335" s="202">
        <v>50</v>
      </c>
      <c r="AC1335" s="202">
        <v>50</v>
      </c>
    </row>
    <row r="1336" spans="1:29" outlineLevel="1" x14ac:dyDescent="0.25">
      <c r="A1336" s="210"/>
      <c r="B1336" s="209"/>
      <c r="C1336" s="209"/>
      <c r="D1336" s="209" t="s">
        <v>54</v>
      </c>
      <c r="E1336" s="211">
        <v>1864700</v>
      </c>
      <c r="F1336" s="209"/>
      <c r="G1336" s="209"/>
      <c r="H1336" s="209"/>
      <c r="I1336" s="209"/>
      <c r="J1336" s="209"/>
      <c r="K1336" s="209" t="s">
        <v>54</v>
      </c>
      <c r="L1336" s="209" t="s">
        <v>54</v>
      </c>
      <c r="M1336" s="209"/>
      <c r="N1336" s="209"/>
      <c r="O1336" s="209"/>
      <c r="P1336" s="210"/>
      <c r="Q1336" s="209"/>
      <c r="R1336" s="212"/>
      <c r="S1336" s="209"/>
      <c r="T1336" s="209"/>
      <c r="U1336" s="209" t="s">
        <v>54</v>
      </c>
      <c r="V1336" s="209"/>
      <c r="W1336" s="209"/>
      <c r="X1336" s="209"/>
      <c r="Y1336" s="209"/>
      <c r="Z1336" s="209"/>
      <c r="AA1336" s="209" t="s">
        <v>54</v>
      </c>
      <c r="AB1336" s="212"/>
      <c r="AC1336" s="212"/>
    </row>
    <row r="1337" spans="1:29" outlineLevel="2" x14ac:dyDescent="0.25">
      <c r="A1337" s="201">
        <v>46009</v>
      </c>
      <c r="D1337" s="198" t="s">
        <v>54</v>
      </c>
      <c r="E1337" s="202">
        <v>2787979.5</v>
      </c>
      <c r="K1337" s="198" t="s">
        <v>1072</v>
      </c>
      <c r="L1337" s="198" t="s">
        <v>65</v>
      </c>
      <c r="P1337" s="201"/>
      <c r="R1337" s="202">
        <v>2787979.5</v>
      </c>
      <c r="U1337" s="198" t="s">
        <v>1071</v>
      </c>
      <c r="AA1337" s="198" t="s">
        <v>51</v>
      </c>
      <c r="AB1337" s="202">
        <v>2787979.5</v>
      </c>
      <c r="AC1337" s="202">
        <v>2787979.5</v>
      </c>
    </row>
    <row r="1338" spans="1:29" outlineLevel="2" x14ac:dyDescent="0.25">
      <c r="A1338" s="201">
        <v>46009</v>
      </c>
      <c r="D1338" s="198" t="s">
        <v>54</v>
      </c>
      <c r="E1338" s="202">
        <v>2</v>
      </c>
      <c r="K1338" s="198" t="s">
        <v>1072</v>
      </c>
      <c r="L1338" s="198" t="s">
        <v>65</v>
      </c>
      <c r="P1338" s="201"/>
      <c r="R1338" s="202">
        <v>2</v>
      </c>
      <c r="U1338" s="198" t="s">
        <v>1071</v>
      </c>
      <c r="AA1338" s="198" t="s">
        <v>51</v>
      </c>
      <c r="AB1338" s="202">
        <v>2</v>
      </c>
      <c r="AC1338" s="202">
        <v>2</v>
      </c>
    </row>
    <row r="1339" spans="1:29" outlineLevel="2" x14ac:dyDescent="0.25">
      <c r="A1339" s="201">
        <v>46017</v>
      </c>
      <c r="D1339" s="198" t="s">
        <v>54</v>
      </c>
      <c r="E1339" s="202">
        <v>118.5</v>
      </c>
      <c r="K1339" s="198" t="s">
        <v>1072</v>
      </c>
      <c r="L1339" s="198" t="s">
        <v>65</v>
      </c>
      <c r="P1339" s="201"/>
      <c r="R1339" s="202">
        <v>118.5</v>
      </c>
      <c r="U1339" s="198" t="s">
        <v>1071</v>
      </c>
      <c r="AA1339" s="198" t="s">
        <v>51</v>
      </c>
      <c r="AB1339" s="202">
        <v>118.5</v>
      </c>
      <c r="AC1339" s="202">
        <v>118.5</v>
      </c>
    </row>
    <row r="1340" spans="1:29" outlineLevel="1" x14ac:dyDescent="0.25">
      <c r="A1340" s="210"/>
      <c r="B1340" s="209"/>
      <c r="C1340" s="209"/>
      <c r="D1340" s="209" t="s">
        <v>54</v>
      </c>
      <c r="E1340" s="211">
        <v>2788100</v>
      </c>
      <c r="F1340" s="209"/>
      <c r="G1340" s="209"/>
      <c r="H1340" s="209"/>
      <c r="I1340" s="209"/>
      <c r="J1340" s="209"/>
      <c r="K1340" s="209" t="s">
        <v>54</v>
      </c>
      <c r="L1340" s="209" t="s">
        <v>54</v>
      </c>
      <c r="M1340" s="209"/>
      <c r="N1340" s="209"/>
      <c r="O1340" s="209"/>
      <c r="P1340" s="210"/>
      <c r="Q1340" s="209"/>
      <c r="R1340" s="212"/>
      <c r="S1340" s="209"/>
      <c r="T1340" s="209"/>
      <c r="U1340" s="209" t="s">
        <v>54</v>
      </c>
      <c r="V1340" s="209"/>
      <c r="W1340" s="209"/>
      <c r="X1340" s="209"/>
      <c r="Y1340" s="209"/>
      <c r="Z1340" s="209"/>
      <c r="AA1340" s="209" t="s">
        <v>54</v>
      </c>
      <c r="AB1340" s="212"/>
      <c r="AC1340" s="212"/>
    </row>
    <row r="1341" spans="1:29" outlineLevel="2" x14ac:dyDescent="0.25">
      <c r="A1341" s="201">
        <v>46009</v>
      </c>
      <c r="D1341" s="198" t="s">
        <v>54</v>
      </c>
      <c r="E1341" s="202">
        <v>21850695</v>
      </c>
      <c r="K1341" s="198" t="s">
        <v>1073</v>
      </c>
      <c r="L1341" s="198" t="s">
        <v>65</v>
      </c>
      <c r="P1341" s="201"/>
      <c r="R1341" s="202">
        <v>21850695</v>
      </c>
      <c r="U1341" s="198" t="s">
        <v>186</v>
      </c>
      <c r="AA1341" s="198" t="s">
        <v>51</v>
      </c>
      <c r="AB1341" s="202">
        <v>21850695</v>
      </c>
      <c r="AC1341" s="202">
        <v>21850695</v>
      </c>
    </row>
    <row r="1342" spans="1:29" outlineLevel="2" x14ac:dyDescent="0.25">
      <c r="A1342" s="201">
        <v>46017</v>
      </c>
      <c r="D1342" s="198" t="s">
        <v>54</v>
      </c>
      <c r="E1342" s="202">
        <v>5</v>
      </c>
      <c r="K1342" s="198" t="s">
        <v>1073</v>
      </c>
      <c r="L1342" s="198" t="s">
        <v>65</v>
      </c>
      <c r="P1342" s="201"/>
      <c r="R1342" s="202">
        <v>5</v>
      </c>
      <c r="U1342" s="198" t="s">
        <v>186</v>
      </c>
      <c r="AA1342" s="198" t="s">
        <v>51</v>
      </c>
      <c r="AB1342" s="202">
        <v>5</v>
      </c>
      <c r="AC1342" s="202">
        <v>5</v>
      </c>
    </row>
    <row r="1343" spans="1:29" outlineLevel="2" x14ac:dyDescent="0.25">
      <c r="A1343" s="201">
        <v>46023</v>
      </c>
      <c r="D1343" s="198" t="s">
        <v>54</v>
      </c>
      <c r="E1343" s="202">
        <v>6682300</v>
      </c>
      <c r="K1343" s="198" t="s">
        <v>1073</v>
      </c>
      <c r="L1343" s="198" t="s">
        <v>65</v>
      </c>
      <c r="P1343" s="201"/>
      <c r="R1343" s="202">
        <v>6682300</v>
      </c>
      <c r="U1343" s="198" t="s">
        <v>186</v>
      </c>
      <c r="AA1343" s="198" t="s">
        <v>51</v>
      </c>
      <c r="AB1343" s="202">
        <v>6682300</v>
      </c>
      <c r="AC1343" s="202">
        <v>6682300</v>
      </c>
    </row>
    <row r="1344" spans="1:29" outlineLevel="1" x14ac:dyDescent="0.25">
      <c r="A1344" s="210"/>
      <c r="B1344" s="209"/>
      <c r="C1344" s="209"/>
      <c r="D1344" s="209" t="s">
        <v>54</v>
      </c>
      <c r="E1344" s="211">
        <v>28533000</v>
      </c>
      <c r="F1344" s="209"/>
      <c r="G1344" s="209"/>
      <c r="H1344" s="209"/>
      <c r="I1344" s="209"/>
      <c r="J1344" s="209"/>
      <c r="K1344" s="209" t="s">
        <v>54</v>
      </c>
      <c r="L1344" s="209" t="s">
        <v>54</v>
      </c>
      <c r="M1344" s="209"/>
      <c r="N1344" s="209"/>
      <c r="O1344" s="209"/>
      <c r="P1344" s="210"/>
      <c r="Q1344" s="209"/>
      <c r="R1344" s="212"/>
      <c r="S1344" s="209"/>
      <c r="T1344" s="209"/>
      <c r="U1344" s="209" t="s">
        <v>54</v>
      </c>
      <c r="V1344" s="209"/>
      <c r="W1344" s="209"/>
      <c r="X1344" s="209"/>
      <c r="Y1344" s="209"/>
      <c r="Z1344" s="209"/>
      <c r="AA1344" s="209" t="s">
        <v>54</v>
      </c>
      <c r="AB1344" s="212"/>
      <c r="AC1344" s="212"/>
    </row>
    <row r="1345" spans="1:29" outlineLevel="2" x14ac:dyDescent="0.25">
      <c r="A1345" s="201">
        <v>46009</v>
      </c>
      <c r="D1345" s="198" t="s">
        <v>54</v>
      </c>
      <c r="E1345" s="202">
        <v>11474295</v>
      </c>
      <c r="K1345" s="198" t="s">
        <v>1074</v>
      </c>
      <c r="L1345" s="198" t="s">
        <v>65</v>
      </c>
      <c r="P1345" s="201"/>
      <c r="R1345" s="202">
        <v>11474295</v>
      </c>
      <c r="U1345" s="198" t="s">
        <v>187</v>
      </c>
      <c r="AA1345" s="198" t="s">
        <v>51</v>
      </c>
      <c r="AB1345" s="202">
        <v>11474295</v>
      </c>
      <c r="AC1345" s="202">
        <v>11474295</v>
      </c>
    </row>
    <row r="1346" spans="1:29" outlineLevel="2" x14ac:dyDescent="0.25">
      <c r="A1346" s="201">
        <v>46017</v>
      </c>
      <c r="D1346" s="198" t="s">
        <v>54</v>
      </c>
      <c r="E1346" s="202">
        <v>805</v>
      </c>
      <c r="K1346" s="198" t="s">
        <v>1074</v>
      </c>
      <c r="L1346" s="198" t="s">
        <v>65</v>
      </c>
      <c r="P1346" s="201"/>
      <c r="R1346" s="202">
        <v>805</v>
      </c>
      <c r="U1346" s="198" t="s">
        <v>187</v>
      </c>
      <c r="AA1346" s="198" t="s">
        <v>51</v>
      </c>
      <c r="AB1346" s="202">
        <v>805</v>
      </c>
      <c r="AC1346" s="202">
        <v>805</v>
      </c>
    </row>
    <row r="1347" spans="1:29" outlineLevel="1" x14ac:dyDescent="0.25">
      <c r="A1347" s="210"/>
      <c r="B1347" s="209"/>
      <c r="C1347" s="209"/>
      <c r="D1347" s="209" t="s">
        <v>54</v>
      </c>
      <c r="E1347" s="211">
        <v>11475100</v>
      </c>
      <c r="F1347" s="209"/>
      <c r="G1347" s="209"/>
      <c r="H1347" s="209"/>
      <c r="I1347" s="209"/>
      <c r="J1347" s="209"/>
      <c r="K1347" s="209" t="s">
        <v>54</v>
      </c>
      <c r="L1347" s="209" t="s">
        <v>54</v>
      </c>
      <c r="M1347" s="209"/>
      <c r="N1347" s="209"/>
      <c r="O1347" s="209"/>
      <c r="P1347" s="210"/>
      <c r="Q1347" s="209"/>
      <c r="R1347" s="212"/>
      <c r="S1347" s="209"/>
      <c r="T1347" s="209"/>
      <c r="U1347" s="209" t="s">
        <v>54</v>
      </c>
      <c r="V1347" s="209"/>
      <c r="W1347" s="209"/>
      <c r="X1347" s="209"/>
      <c r="Y1347" s="209"/>
      <c r="Z1347" s="209"/>
      <c r="AA1347" s="209" t="s">
        <v>54</v>
      </c>
      <c r="AB1347" s="212"/>
      <c r="AC1347" s="212"/>
    </row>
    <row r="1348" spans="1:29" outlineLevel="2" x14ac:dyDescent="0.25">
      <c r="A1348" s="201">
        <v>46115</v>
      </c>
      <c r="D1348" s="198" t="s">
        <v>54</v>
      </c>
      <c r="E1348" s="202">
        <v>76182186.819999993</v>
      </c>
      <c r="K1348" s="198" t="s">
        <v>1075</v>
      </c>
      <c r="L1348" s="198" t="s">
        <v>65</v>
      </c>
      <c r="P1348" s="201"/>
      <c r="R1348" s="202">
        <v>76182186.819999993</v>
      </c>
      <c r="U1348" s="198" t="s">
        <v>852</v>
      </c>
      <c r="AA1348" s="198" t="s">
        <v>51</v>
      </c>
      <c r="AB1348" s="202">
        <v>76182186.819999993</v>
      </c>
      <c r="AC1348" s="202">
        <v>76182186.819999993</v>
      </c>
    </row>
    <row r="1349" spans="1:29" outlineLevel="1" x14ac:dyDescent="0.25">
      <c r="A1349" s="210"/>
      <c r="B1349" s="209"/>
      <c r="C1349" s="209"/>
      <c r="D1349" s="209" t="s">
        <v>54</v>
      </c>
      <c r="E1349" s="211">
        <v>76182186.819999993</v>
      </c>
      <c r="F1349" s="209"/>
      <c r="G1349" s="209"/>
      <c r="H1349" s="209"/>
      <c r="I1349" s="209"/>
      <c r="J1349" s="209"/>
      <c r="K1349" s="209" t="s">
        <v>54</v>
      </c>
      <c r="L1349" s="209" t="s">
        <v>54</v>
      </c>
      <c r="M1349" s="209"/>
      <c r="N1349" s="209"/>
      <c r="O1349" s="209"/>
      <c r="P1349" s="210"/>
      <c r="Q1349" s="209"/>
      <c r="R1349" s="212"/>
      <c r="S1349" s="209"/>
      <c r="T1349" s="209"/>
      <c r="U1349" s="209" t="s">
        <v>54</v>
      </c>
      <c r="V1349" s="209"/>
      <c r="W1349" s="209"/>
      <c r="X1349" s="209"/>
      <c r="Y1349" s="209"/>
      <c r="Z1349" s="209"/>
      <c r="AA1349" s="209" t="s">
        <v>54</v>
      </c>
      <c r="AB1349" s="212"/>
      <c r="AC1349" s="212"/>
    </row>
    <row r="1350" spans="1:29" outlineLevel="2" x14ac:dyDescent="0.25">
      <c r="A1350" s="201">
        <v>46008</v>
      </c>
      <c r="D1350" s="198" t="s">
        <v>54</v>
      </c>
      <c r="E1350" s="202">
        <v>5270000</v>
      </c>
      <c r="K1350" s="198" t="s">
        <v>1076</v>
      </c>
      <c r="L1350" s="198" t="s">
        <v>167</v>
      </c>
      <c r="P1350" s="201"/>
      <c r="R1350" s="202">
        <v>5270000</v>
      </c>
      <c r="U1350" s="198" t="s">
        <v>167</v>
      </c>
      <c r="AA1350" s="198" t="s">
        <v>51</v>
      </c>
      <c r="AB1350" s="202">
        <v>5270000</v>
      </c>
      <c r="AC1350" s="202">
        <v>5270000</v>
      </c>
    </row>
    <row r="1351" spans="1:29" outlineLevel="2" x14ac:dyDescent="0.25">
      <c r="A1351" s="201">
        <v>46008</v>
      </c>
      <c r="D1351" s="198" t="s">
        <v>54</v>
      </c>
      <c r="E1351" s="202">
        <v>356767580</v>
      </c>
      <c r="K1351" s="198" t="s">
        <v>1076</v>
      </c>
      <c r="L1351" s="198" t="s">
        <v>167</v>
      </c>
      <c r="P1351" s="201"/>
      <c r="R1351" s="202">
        <v>356767580</v>
      </c>
      <c r="U1351" s="198" t="s">
        <v>167</v>
      </c>
      <c r="AA1351" s="198" t="s">
        <v>51</v>
      </c>
      <c r="AB1351" s="202">
        <v>356767580</v>
      </c>
      <c r="AC1351" s="202">
        <v>356767580</v>
      </c>
    </row>
    <row r="1352" spans="1:29" outlineLevel="2" x14ac:dyDescent="0.25">
      <c r="A1352" s="201">
        <v>46009</v>
      </c>
      <c r="D1352" s="198" t="s">
        <v>54</v>
      </c>
      <c r="E1352" s="202">
        <v>180660673.22999999</v>
      </c>
      <c r="K1352" s="198" t="s">
        <v>1076</v>
      </c>
      <c r="L1352" s="198" t="s">
        <v>167</v>
      </c>
      <c r="P1352" s="201"/>
      <c r="R1352" s="202">
        <v>180660673.22999999</v>
      </c>
      <c r="U1352" s="198" t="s">
        <v>167</v>
      </c>
      <c r="AA1352" s="198" t="s">
        <v>51</v>
      </c>
      <c r="AB1352" s="202">
        <v>180660673.22999999</v>
      </c>
      <c r="AC1352" s="202">
        <v>180660673.22999999</v>
      </c>
    </row>
    <row r="1353" spans="1:29" outlineLevel="2" x14ac:dyDescent="0.25">
      <c r="A1353" s="201">
        <v>46013</v>
      </c>
      <c r="D1353" s="198" t="s">
        <v>54</v>
      </c>
      <c r="E1353" s="202">
        <v>65524965.600000001</v>
      </c>
      <c r="K1353" s="198" t="s">
        <v>1076</v>
      </c>
      <c r="L1353" s="198" t="s">
        <v>167</v>
      </c>
      <c r="P1353" s="201"/>
      <c r="R1353" s="202">
        <v>65524965.600000001</v>
      </c>
      <c r="U1353" s="198" t="s">
        <v>167</v>
      </c>
      <c r="AA1353" s="198" t="s">
        <v>51</v>
      </c>
      <c r="AB1353" s="202">
        <v>65524965.600000001</v>
      </c>
      <c r="AC1353" s="202">
        <v>65524965.600000001</v>
      </c>
    </row>
    <row r="1354" spans="1:29" outlineLevel="2" x14ac:dyDescent="0.25">
      <c r="A1354" s="201">
        <v>46014</v>
      </c>
      <c r="D1354" s="198" t="s">
        <v>54</v>
      </c>
      <c r="E1354" s="202">
        <v>-261643</v>
      </c>
      <c r="K1354" s="198" t="s">
        <v>1076</v>
      </c>
      <c r="L1354" s="198" t="s">
        <v>167</v>
      </c>
      <c r="P1354" s="201"/>
      <c r="R1354" s="202">
        <v>-261643</v>
      </c>
      <c r="U1354" s="198" t="s">
        <v>167</v>
      </c>
      <c r="AA1354" s="198" t="s">
        <v>51</v>
      </c>
      <c r="AB1354" s="202">
        <v>-261643</v>
      </c>
      <c r="AC1354" s="202">
        <v>-261643</v>
      </c>
    </row>
    <row r="1355" spans="1:29" outlineLevel="2" x14ac:dyDescent="0.25">
      <c r="A1355" s="201">
        <v>46014</v>
      </c>
      <c r="D1355" s="198" t="s">
        <v>54</v>
      </c>
      <c r="E1355" s="202">
        <v>600000</v>
      </c>
      <c r="K1355" s="198" t="s">
        <v>1076</v>
      </c>
      <c r="L1355" s="198" t="s">
        <v>167</v>
      </c>
      <c r="P1355" s="201"/>
      <c r="R1355" s="202">
        <v>600000</v>
      </c>
      <c r="U1355" s="198" t="s">
        <v>167</v>
      </c>
      <c r="AA1355" s="198" t="s">
        <v>51</v>
      </c>
      <c r="AB1355" s="202">
        <v>600000</v>
      </c>
      <c r="AC1355" s="202">
        <v>600000</v>
      </c>
    </row>
    <row r="1356" spans="1:29" outlineLevel="2" x14ac:dyDescent="0.25">
      <c r="A1356" s="201">
        <v>46017</v>
      </c>
      <c r="D1356" s="198" t="s">
        <v>54</v>
      </c>
      <c r="E1356" s="202">
        <v>-16053182.859999999</v>
      </c>
      <c r="K1356" s="198" t="s">
        <v>1076</v>
      </c>
      <c r="L1356" s="198" t="s">
        <v>167</v>
      </c>
      <c r="P1356" s="201"/>
      <c r="R1356" s="202">
        <v>-16053182.859999999</v>
      </c>
      <c r="U1356" s="198" t="s">
        <v>167</v>
      </c>
      <c r="AA1356" s="198" t="s">
        <v>51</v>
      </c>
      <c r="AB1356" s="202">
        <v>-16053182.859999999</v>
      </c>
      <c r="AC1356" s="202">
        <v>-16053182.859999999</v>
      </c>
    </row>
    <row r="1357" spans="1:29" outlineLevel="2" x14ac:dyDescent="0.25">
      <c r="A1357" s="201">
        <v>46017</v>
      </c>
      <c r="D1357" s="198" t="s">
        <v>54</v>
      </c>
      <c r="E1357" s="202">
        <v>15100000</v>
      </c>
      <c r="K1357" s="198" t="s">
        <v>1076</v>
      </c>
      <c r="L1357" s="198" t="s">
        <v>167</v>
      </c>
      <c r="P1357" s="201"/>
      <c r="R1357" s="202">
        <v>15100000</v>
      </c>
      <c r="U1357" s="198" t="s">
        <v>167</v>
      </c>
      <c r="AA1357" s="198" t="s">
        <v>51</v>
      </c>
      <c r="AB1357" s="202">
        <v>15100000</v>
      </c>
      <c r="AC1357" s="202">
        <v>15100000</v>
      </c>
    </row>
    <row r="1358" spans="1:29" outlineLevel="2" x14ac:dyDescent="0.25">
      <c r="A1358" s="201">
        <v>46018</v>
      </c>
      <c r="D1358" s="198" t="s">
        <v>54</v>
      </c>
      <c r="E1358" s="202">
        <v>4000000</v>
      </c>
      <c r="K1358" s="198" t="s">
        <v>1076</v>
      </c>
      <c r="L1358" s="198" t="s">
        <v>167</v>
      </c>
      <c r="P1358" s="201"/>
      <c r="R1358" s="202">
        <v>4000000</v>
      </c>
      <c r="U1358" s="198" t="s">
        <v>167</v>
      </c>
      <c r="AA1358" s="198" t="s">
        <v>51</v>
      </c>
      <c r="AB1358" s="202">
        <v>4000000</v>
      </c>
      <c r="AC1358" s="202">
        <v>4000000</v>
      </c>
    </row>
    <row r="1359" spans="1:29" outlineLevel="2" x14ac:dyDescent="0.25">
      <c r="A1359" s="201">
        <v>46018</v>
      </c>
      <c r="D1359" s="198" t="s">
        <v>54</v>
      </c>
      <c r="E1359" s="202">
        <v>200000</v>
      </c>
      <c r="K1359" s="198" t="s">
        <v>1076</v>
      </c>
      <c r="L1359" s="198" t="s">
        <v>167</v>
      </c>
      <c r="P1359" s="201"/>
      <c r="R1359" s="202">
        <v>200000</v>
      </c>
      <c r="U1359" s="198" t="s">
        <v>167</v>
      </c>
      <c r="AA1359" s="198" t="s">
        <v>51</v>
      </c>
      <c r="AB1359" s="202">
        <v>200000</v>
      </c>
      <c r="AC1359" s="202">
        <v>200000</v>
      </c>
    </row>
    <row r="1360" spans="1:29" outlineLevel="2" x14ac:dyDescent="0.25">
      <c r="A1360" s="201">
        <v>46020</v>
      </c>
      <c r="D1360" s="198" t="s">
        <v>54</v>
      </c>
      <c r="E1360" s="202">
        <v>2320630</v>
      </c>
      <c r="K1360" s="198" t="s">
        <v>1076</v>
      </c>
      <c r="L1360" s="198" t="s">
        <v>167</v>
      </c>
      <c r="P1360" s="201"/>
      <c r="R1360" s="202">
        <v>2320630</v>
      </c>
      <c r="U1360" s="198" t="s">
        <v>167</v>
      </c>
      <c r="AA1360" s="198" t="s">
        <v>51</v>
      </c>
      <c r="AB1360" s="202">
        <v>2320630</v>
      </c>
      <c r="AC1360" s="202">
        <v>2320630</v>
      </c>
    </row>
    <row r="1361" spans="1:29" outlineLevel="2" x14ac:dyDescent="0.25">
      <c r="A1361" s="201">
        <v>46020</v>
      </c>
      <c r="D1361" s="198" t="s">
        <v>54</v>
      </c>
      <c r="E1361" s="202">
        <v>68000000</v>
      </c>
      <c r="K1361" s="198" t="s">
        <v>1076</v>
      </c>
      <c r="L1361" s="198" t="s">
        <v>167</v>
      </c>
      <c r="P1361" s="201"/>
      <c r="R1361" s="202">
        <v>68000000</v>
      </c>
      <c r="U1361" s="198" t="s">
        <v>167</v>
      </c>
      <c r="AA1361" s="198" t="s">
        <v>51</v>
      </c>
      <c r="AB1361" s="202">
        <v>68000000</v>
      </c>
      <c r="AC1361" s="202">
        <v>68000000</v>
      </c>
    </row>
    <row r="1362" spans="1:29" outlineLevel="2" x14ac:dyDescent="0.25">
      <c r="A1362" s="201">
        <v>46020</v>
      </c>
      <c r="D1362" s="198" t="s">
        <v>54</v>
      </c>
      <c r="E1362" s="202">
        <v>-55937024.32</v>
      </c>
      <c r="K1362" s="198" t="s">
        <v>1076</v>
      </c>
      <c r="L1362" s="198" t="s">
        <v>167</v>
      </c>
      <c r="P1362" s="201"/>
      <c r="R1362" s="202">
        <v>-55937024.32</v>
      </c>
      <c r="U1362" s="198" t="s">
        <v>167</v>
      </c>
      <c r="AA1362" s="198" t="s">
        <v>51</v>
      </c>
      <c r="AB1362" s="202">
        <v>-55937024.32</v>
      </c>
      <c r="AC1362" s="202">
        <v>-55937024.32</v>
      </c>
    </row>
    <row r="1363" spans="1:29" outlineLevel="2" x14ac:dyDescent="0.25">
      <c r="A1363" s="201">
        <v>46021</v>
      </c>
      <c r="D1363" s="198" t="s">
        <v>54</v>
      </c>
      <c r="E1363" s="202">
        <v>300000</v>
      </c>
      <c r="K1363" s="198" t="s">
        <v>1076</v>
      </c>
      <c r="L1363" s="198" t="s">
        <v>167</v>
      </c>
      <c r="P1363" s="201"/>
      <c r="R1363" s="202">
        <v>300000</v>
      </c>
      <c r="U1363" s="198" t="s">
        <v>167</v>
      </c>
      <c r="AA1363" s="198" t="s">
        <v>51</v>
      </c>
      <c r="AB1363" s="202">
        <v>300000</v>
      </c>
      <c r="AC1363" s="202">
        <v>300000</v>
      </c>
    </row>
    <row r="1364" spans="1:29" outlineLevel="2" x14ac:dyDescent="0.25">
      <c r="A1364" s="201">
        <v>46021</v>
      </c>
      <c r="D1364" s="198" t="s">
        <v>54</v>
      </c>
      <c r="E1364" s="202">
        <v>153317522.5</v>
      </c>
      <c r="K1364" s="198" t="s">
        <v>1076</v>
      </c>
      <c r="L1364" s="198" t="s">
        <v>167</v>
      </c>
      <c r="P1364" s="201"/>
      <c r="R1364" s="202">
        <v>153317522.5</v>
      </c>
      <c r="U1364" s="198" t="s">
        <v>167</v>
      </c>
      <c r="AA1364" s="198" t="s">
        <v>51</v>
      </c>
      <c r="AB1364" s="202">
        <v>153317522.5</v>
      </c>
      <c r="AC1364" s="202">
        <v>153317522.5</v>
      </c>
    </row>
    <row r="1365" spans="1:29" outlineLevel="2" x14ac:dyDescent="0.25">
      <c r="A1365" s="201">
        <v>46022</v>
      </c>
      <c r="D1365" s="198" t="s">
        <v>54</v>
      </c>
      <c r="E1365" s="202">
        <v>142000</v>
      </c>
      <c r="K1365" s="198" t="s">
        <v>1076</v>
      </c>
      <c r="L1365" s="198" t="s">
        <v>167</v>
      </c>
      <c r="P1365" s="201"/>
      <c r="R1365" s="202">
        <v>142000</v>
      </c>
      <c r="U1365" s="198" t="s">
        <v>167</v>
      </c>
      <c r="AA1365" s="198" t="s">
        <v>51</v>
      </c>
      <c r="AB1365" s="202">
        <v>142000</v>
      </c>
      <c r="AC1365" s="202">
        <v>142000</v>
      </c>
    </row>
    <row r="1366" spans="1:29" outlineLevel="2" x14ac:dyDescent="0.25">
      <c r="A1366" s="201">
        <v>46022</v>
      </c>
      <c r="D1366" s="198" t="s">
        <v>54</v>
      </c>
      <c r="E1366" s="202">
        <v>5961420</v>
      </c>
      <c r="K1366" s="198" t="s">
        <v>1076</v>
      </c>
      <c r="L1366" s="198" t="s">
        <v>167</v>
      </c>
      <c r="P1366" s="201"/>
      <c r="R1366" s="202">
        <v>5961420</v>
      </c>
      <c r="U1366" s="198" t="s">
        <v>167</v>
      </c>
      <c r="AA1366" s="198" t="s">
        <v>51</v>
      </c>
      <c r="AB1366" s="202">
        <v>5961420</v>
      </c>
      <c r="AC1366" s="202">
        <v>5961420</v>
      </c>
    </row>
    <row r="1367" spans="1:29" outlineLevel="2" x14ac:dyDescent="0.25">
      <c r="A1367" s="201">
        <v>46037</v>
      </c>
      <c r="D1367" s="198" t="s">
        <v>54</v>
      </c>
      <c r="E1367" s="202">
        <v>4914810</v>
      </c>
      <c r="K1367" s="198" t="s">
        <v>1076</v>
      </c>
      <c r="L1367" s="198" t="s">
        <v>167</v>
      </c>
      <c r="P1367" s="201"/>
      <c r="R1367" s="202">
        <v>4914810</v>
      </c>
      <c r="U1367" s="198" t="s">
        <v>167</v>
      </c>
      <c r="AA1367" s="198" t="s">
        <v>51</v>
      </c>
      <c r="AB1367" s="202">
        <v>4914810</v>
      </c>
      <c r="AC1367" s="202">
        <v>4914810</v>
      </c>
    </row>
    <row r="1368" spans="1:29" outlineLevel="2" x14ac:dyDescent="0.25">
      <c r="A1368" s="201">
        <v>46043</v>
      </c>
      <c r="D1368" s="198" t="s">
        <v>54</v>
      </c>
      <c r="E1368" s="202">
        <v>6000000</v>
      </c>
      <c r="K1368" s="198" t="s">
        <v>1076</v>
      </c>
      <c r="L1368" s="198" t="s">
        <v>167</v>
      </c>
      <c r="P1368" s="201"/>
      <c r="R1368" s="202">
        <v>6000000</v>
      </c>
      <c r="U1368" s="198" t="s">
        <v>167</v>
      </c>
      <c r="AA1368" s="198" t="s">
        <v>51</v>
      </c>
      <c r="AB1368" s="202">
        <v>6000000</v>
      </c>
      <c r="AC1368" s="202">
        <v>6000000</v>
      </c>
    </row>
    <row r="1369" spans="1:29" outlineLevel="2" x14ac:dyDescent="0.25">
      <c r="A1369" s="201">
        <v>46065</v>
      </c>
      <c r="D1369" s="198" t="s">
        <v>54</v>
      </c>
      <c r="E1369" s="202">
        <v>9202560</v>
      </c>
      <c r="K1369" s="198" t="s">
        <v>1076</v>
      </c>
      <c r="L1369" s="198" t="s">
        <v>167</v>
      </c>
      <c r="P1369" s="201"/>
      <c r="R1369" s="202">
        <v>9202560</v>
      </c>
      <c r="U1369" s="198" t="s">
        <v>167</v>
      </c>
      <c r="AA1369" s="198" t="s">
        <v>51</v>
      </c>
      <c r="AB1369" s="202">
        <v>9202560</v>
      </c>
      <c r="AC1369" s="202">
        <v>9202560</v>
      </c>
    </row>
    <row r="1370" spans="1:29" outlineLevel="2" x14ac:dyDescent="0.25">
      <c r="A1370" s="201">
        <v>46066</v>
      </c>
      <c r="D1370" s="198" t="s">
        <v>54</v>
      </c>
      <c r="E1370" s="202">
        <v>3157000</v>
      </c>
      <c r="K1370" s="198" t="s">
        <v>1076</v>
      </c>
      <c r="L1370" s="198" t="s">
        <v>167</v>
      </c>
      <c r="P1370" s="201"/>
      <c r="R1370" s="202">
        <v>3157000</v>
      </c>
      <c r="U1370" s="198" t="s">
        <v>167</v>
      </c>
      <c r="AA1370" s="198" t="s">
        <v>51</v>
      </c>
      <c r="AB1370" s="202">
        <v>3157000</v>
      </c>
      <c r="AC1370" s="202">
        <v>3157000</v>
      </c>
    </row>
    <row r="1371" spans="1:29" outlineLevel="2" x14ac:dyDescent="0.25">
      <c r="A1371" s="201">
        <v>46071</v>
      </c>
      <c r="D1371" s="198" t="s">
        <v>54</v>
      </c>
      <c r="E1371" s="202">
        <v>2083419.55</v>
      </c>
      <c r="K1371" s="198" t="s">
        <v>1076</v>
      </c>
      <c r="L1371" s="198" t="s">
        <v>167</v>
      </c>
      <c r="P1371" s="201"/>
      <c r="R1371" s="202">
        <v>2083419.55</v>
      </c>
      <c r="U1371" s="198" t="s">
        <v>167</v>
      </c>
      <c r="AA1371" s="198" t="s">
        <v>51</v>
      </c>
      <c r="AB1371" s="202">
        <v>2083419.55</v>
      </c>
      <c r="AC1371" s="202">
        <v>2083419.55</v>
      </c>
    </row>
    <row r="1372" spans="1:29" outlineLevel="2" x14ac:dyDescent="0.25">
      <c r="A1372" s="201">
        <v>46076</v>
      </c>
      <c r="D1372" s="198" t="s">
        <v>54</v>
      </c>
      <c r="E1372" s="202">
        <v>25</v>
      </c>
      <c r="K1372" s="198" t="s">
        <v>1076</v>
      </c>
      <c r="L1372" s="198" t="s">
        <v>167</v>
      </c>
      <c r="P1372" s="201"/>
      <c r="R1372" s="202">
        <v>25</v>
      </c>
      <c r="U1372" s="198" t="s">
        <v>167</v>
      </c>
      <c r="AA1372" s="198" t="s">
        <v>51</v>
      </c>
      <c r="AB1372" s="202">
        <v>25</v>
      </c>
      <c r="AC1372" s="202">
        <v>25</v>
      </c>
    </row>
    <row r="1373" spans="1:29" outlineLevel="2" x14ac:dyDescent="0.25">
      <c r="A1373" s="201">
        <v>46077</v>
      </c>
      <c r="D1373" s="198" t="s">
        <v>54</v>
      </c>
      <c r="E1373" s="202">
        <v>284900</v>
      </c>
      <c r="K1373" s="198" t="s">
        <v>1076</v>
      </c>
      <c r="L1373" s="198" t="s">
        <v>167</v>
      </c>
      <c r="P1373" s="201"/>
      <c r="R1373" s="202">
        <v>284900</v>
      </c>
      <c r="U1373" s="198" t="s">
        <v>167</v>
      </c>
      <c r="AA1373" s="198" t="s">
        <v>51</v>
      </c>
      <c r="AB1373" s="202">
        <v>284900</v>
      </c>
      <c r="AC1373" s="202">
        <v>284900</v>
      </c>
    </row>
    <row r="1374" spans="1:29" outlineLevel="2" x14ac:dyDescent="0.25">
      <c r="A1374" s="201">
        <v>46078</v>
      </c>
      <c r="D1374" s="198" t="s">
        <v>54</v>
      </c>
      <c r="E1374" s="202">
        <v>8500000</v>
      </c>
      <c r="K1374" s="198" t="s">
        <v>1076</v>
      </c>
      <c r="L1374" s="198" t="s">
        <v>167</v>
      </c>
      <c r="P1374" s="201"/>
      <c r="R1374" s="202">
        <v>8500000</v>
      </c>
      <c r="U1374" s="198" t="s">
        <v>167</v>
      </c>
      <c r="AA1374" s="198" t="s">
        <v>51</v>
      </c>
      <c r="AB1374" s="202">
        <v>8500000</v>
      </c>
      <c r="AC1374" s="202">
        <v>8500000</v>
      </c>
    </row>
    <row r="1375" spans="1:29" outlineLevel="2" x14ac:dyDescent="0.25">
      <c r="A1375" s="201">
        <v>46078</v>
      </c>
      <c r="D1375" s="198" t="s">
        <v>54</v>
      </c>
      <c r="E1375" s="202">
        <v>-8500000</v>
      </c>
      <c r="K1375" s="198" t="s">
        <v>1076</v>
      </c>
      <c r="L1375" s="198" t="s">
        <v>167</v>
      </c>
      <c r="P1375" s="201"/>
      <c r="R1375" s="202">
        <v>-8500000</v>
      </c>
      <c r="U1375" s="198" t="s">
        <v>167</v>
      </c>
      <c r="AA1375" s="198" t="s">
        <v>51</v>
      </c>
      <c r="AB1375" s="202">
        <v>-8500000</v>
      </c>
      <c r="AC1375" s="202">
        <v>-8500000</v>
      </c>
    </row>
    <row r="1376" spans="1:29" outlineLevel="2" x14ac:dyDescent="0.25">
      <c r="A1376" s="201">
        <v>46084</v>
      </c>
      <c r="D1376" s="198" t="s">
        <v>54</v>
      </c>
      <c r="E1376" s="202">
        <v>2083420</v>
      </c>
      <c r="K1376" s="198" t="s">
        <v>1076</v>
      </c>
      <c r="L1376" s="198" t="s">
        <v>167</v>
      </c>
      <c r="P1376" s="201"/>
      <c r="R1376" s="202">
        <v>2083420</v>
      </c>
      <c r="U1376" s="198" t="s">
        <v>167</v>
      </c>
      <c r="AA1376" s="198" t="s">
        <v>51</v>
      </c>
      <c r="AB1376" s="202">
        <v>2083420</v>
      </c>
      <c r="AC1376" s="202">
        <v>2083420</v>
      </c>
    </row>
    <row r="1377" spans="1:29" outlineLevel="2" x14ac:dyDescent="0.25">
      <c r="A1377" s="201">
        <v>46108</v>
      </c>
      <c r="D1377" s="198" t="s">
        <v>54</v>
      </c>
      <c r="E1377" s="202">
        <v>59690050</v>
      </c>
      <c r="K1377" s="198" t="s">
        <v>1076</v>
      </c>
      <c r="L1377" s="198" t="s">
        <v>167</v>
      </c>
      <c r="P1377" s="201"/>
      <c r="R1377" s="202">
        <v>59690050</v>
      </c>
      <c r="U1377" s="198" t="s">
        <v>167</v>
      </c>
      <c r="AA1377" s="198" t="s">
        <v>51</v>
      </c>
      <c r="AB1377" s="202">
        <v>59690050</v>
      </c>
      <c r="AC1377" s="202">
        <v>59690050</v>
      </c>
    </row>
    <row r="1378" spans="1:29" outlineLevel="2" x14ac:dyDescent="0.25">
      <c r="A1378" s="201">
        <v>46112</v>
      </c>
      <c r="D1378" s="198" t="s">
        <v>54</v>
      </c>
      <c r="E1378" s="202">
        <v>-12106140.359999999</v>
      </c>
      <c r="K1378" s="198" t="s">
        <v>1076</v>
      </c>
      <c r="L1378" s="198" t="s">
        <v>167</v>
      </c>
      <c r="P1378" s="201"/>
      <c r="R1378" s="202">
        <v>-12106140.359999999</v>
      </c>
      <c r="U1378" s="198" t="s">
        <v>167</v>
      </c>
      <c r="AA1378" s="198" t="s">
        <v>51</v>
      </c>
      <c r="AB1378" s="202">
        <v>-12106140.359999999</v>
      </c>
      <c r="AC1378" s="202">
        <v>-12106140.359999999</v>
      </c>
    </row>
    <row r="1379" spans="1:29" outlineLevel="2" x14ac:dyDescent="0.25">
      <c r="A1379" s="201">
        <v>46115</v>
      </c>
      <c r="D1379" s="198" t="s">
        <v>54</v>
      </c>
      <c r="E1379" s="202">
        <v>57785716.859999999</v>
      </c>
      <c r="K1379" s="198" t="s">
        <v>1076</v>
      </c>
      <c r="L1379" s="198" t="s">
        <v>167</v>
      </c>
      <c r="P1379" s="201"/>
      <c r="R1379" s="202">
        <v>57785716.859999999</v>
      </c>
      <c r="U1379" s="198" t="s">
        <v>167</v>
      </c>
      <c r="AA1379" s="198" t="s">
        <v>51</v>
      </c>
      <c r="AB1379" s="202">
        <v>57785716.859999999</v>
      </c>
      <c r="AC1379" s="202">
        <v>57785716.859999999</v>
      </c>
    </row>
    <row r="1380" spans="1:29" outlineLevel="2" x14ac:dyDescent="0.25">
      <c r="A1380" s="201">
        <v>46119</v>
      </c>
      <c r="D1380" s="198" t="s">
        <v>54</v>
      </c>
      <c r="E1380" s="202">
        <v>1039250.32</v>
      </c>
      <c r="K1380" s="198" t="s">
        <v>1076</v>
      </c>
      <c r="L1380" s="198" t="s">
        <v>167</v>
      </c>
      <c r="P1380" s="201"/>
      <c r="R1380" s="202">
        <v>1039250.32</v>
      </c>
      <c r="U1380" s="198" t="s">
        <v>167</v>
      </c>
      <c r="AA1380" s="198" t="s">
        <v>51</v>
      </c>
      <c r="AB1380" s="202">
        <v>1039250.32</v>
      </c>
      <c r="AC1380" s="202">
        <v>1039250.32</v>
      </c>
    </row>
    <row r="1381" spans="1:29" outlineLevel="2" x14ac:dyDescent="0.25">
      <c r="A1381" s="201">
        <v>46132</v>
      </c>
      <c r="D1381" s="198" t="s">
        <v>54</v>
      </c>
      <c r="E1381" s="202">
        <v>1</v>
      </c>
      <c r="K1381" s="198" t="s">
        <v>1076</v>
      </c>
      <c r="L1381" s="198" t="s">
        <v>167</v>
      </c>
      <c r="P1381" s="201"/>
      <c r="R1381" s="202">
        <v>1</v>
      </c>
      <c r="U1381" s="198" t="s">
        <v>167</v>
      </c>
      <c r="AA1381" s="198" t="s">
        <v>51</v>
      </c>
      <c r="AB1381" s="202">
        <v>1</v>
      </c>
      <c r="AC1381" s="202">
        <v>1</v>
      </c>
    </row>
    <row r="1382" spans="1:29" outlineLevel="2" x14ac:dyDescent="0.25">
      <c r="A1382" s="201">
        <v>46134</v>
      </c>
      <c r="D1382" s="198" t="s">
        <v>54</v>
      </c>
      <c r="E1382" s="202">
        <v>22501000</v>
      </c>
      <c r="K1382" s="198" t="s">
        <v>1076</v>
      </c>
      <c r="L1382" s="198" t="s">
        <v>167</v>
      </c>
      <c r="P1382" s="201"/>
      <c r="R1382" s="202">
        <v>22501000</v>
      </c>
      <c r="U1382" s="198" t="s">
        <v>167</v>
      </c>
      <c r="AA1382" s="198" t="s">
        <v>51</v>
      </c>
      <c r="AB1382" s="202">
        <v>22501000</v>
      </c>
      <c r="AC1382" s="202">
        <v>22501000</v>
      </c>
    </row>
    <row r="1383" spans="1:29" outlineLevel="2" x14ac:dyDescent="0.25">
      <c r="A1383" s="201">
        <v>46135</v>
      </c>
      <c r="D1383" s="198" t="s">
        <v>54</v>
      </c>
      <c r="E1383" s="202">
        <v>381188</v>
      </c>
      <c r="K1383" s="198" t="s">
        <v>1076</v>
      </c>
      <c r="L1383" s="198" t="s">
        <v>167</v>
      </c>
      <c r="P1383" s="201"/>
      <c r="R1383" s="202">
        <v>381188</v>
      </c>
      <c r="U1383" s="198" t="s">
        <v>167</v>
      </c>
      <c r="AA1383" s="198" t="s">
        <v>51</v>
      </c>
      <c r="AB1383" s="202">
        <v>381188</v>
      </c>
      <c r="AC1383" s="202">
        <v>381188</v>
      </c>
    </row>
    <row r="1384" spans="1:29" outlineLevel="2" x14ac:dyDescent="0.25">
      <c r="A1384" s="201">
        <v>46136</v>
      </c>
      <c r="D1384" s="198" t="s">
        <v>54</v>
      </c>
      <c r="E1384" s="202">
        <v>12880162</v>
      </c>
      <c r="K1384" s="198" t="s">
        <v>1076</v>
      </c>
      <c r="L1384" s="198" t="s">
        <v>167</v>
      </c>
      <c r="P1384" s="201"/>
      <c r="R1384" s="202">
        <v>12880162</v>
      </c>
      <c r="U1384" s="198" t="s">
        <v>167</v>
      </c>
      <c r="AA1384" s="198" t="s">
        <v>51</v>
      </c>
      <c r="AB1384" s="202">
        <v>12880162</v>
      </c>
      <c r="AC1384" s="202">
        <v>12880162</v>
      </c>
    </row>
    <row r="1385" spans="1:29" outlineLevel="2" x14ac:dyDescent="0.25">
      <c r="A1385" s="201">
        <v>46139</v>
      </c>
      <c r="D1385" s="198" t="s">
        <v>54</v>
      </c>
      <c r="E1385" s="202">
        <v>18945367.390000001</v>
      </c>
      <c r="K1385" s="198" t="s">
        <v>1076</v>
      </c>
      <c r="L1385" s="198" t="s">
        <v>167</v>
      </c>
      <c r="P1385" s="201"/>
      <c r="R1385" s="202">
        <v>18945367.390000001</v>
      </c>
      <c r="U1385" s="198" t="s">
        <v>167</v>
      </c>
      <c r="AA1385" s="198" t="s">
        <v>51</v>
      </c>
      <c r="AB1385" s="202">
        <v>18945367.390000001</v>
      </c>
      <c r="AC1385" s="202">
        <v>18945367.390000001</v>
      </c>
    </row>
    <row r="1386" spans="1:29" outlineLevel="2" x14ac:dyDescent="0.25">
      <c r="A1386" s="201">
        <v>46141</v>
      </c>
      <c r="D1386" s="198" t="s">
        <v>54</v>
      </c>
      <c r="E1386" s="202">
        <v>12161000</v>
      </c>
      <c r="K1386" s="198" t="s">
        <v>1076</v>
      </c>
      <c r="L1386" s="198" t="s">
        <v>167</v>
      </c>
      <c r="P1386" s="201"/>
      <c r="R1386" s="202">
        <v>12161000</v>
      </c>
      <c r="U1386" s="198" t="s">
        <v>167</v>
      </c>
      <c r="AA1386" s="198" t="s">
        <v>51</v>
      </c>
      <c r="AB1386" s="202">
        <v>12161000</v>
      </c>
      <c r="AC1386" s="202">
        <v>12161000</v>
      </c>
    </row>
    <row r="1387" spans="1:29" outlineLevel="2" x14ac:dyDescent="0.25">
      <c r="A1387" s="201">
        <v>46155</v>
      </c>
      <c r="D1387" s="198" t="s">
        <v>54</v>
      </c>
      <c r="E1387" s="202">
        <v>3098647.2</v>
      </c>
      <c r="K1387" s="198" t="s">
        <v>1076</v>
      </c>
      <c r="L1387" s="198" t="s">
        <v>167</v>
      </c>
      <c r="P1387" s="201"/>
      <c r="R1387" s="202">
        <v>3098647.2</v>
      </c>
      <c r="U1387" s="198" t="s">
        <v>167</v>
      </c>
      <c r="AA1387" s="198" t="s">
        <v>51</v>
      </c>
      <c r="AB1387" s="202">
        <v>3098647.2</v>
      </c>
      <c r="AC1387" s="202">
        <v>3098647.2</v>
      </c>
    </row>
    <row r="1388" spans="1:29" outlineLevel="2" x14ac:dyDescent="0.25">
      <c r="A1388" s="201">
        <v>46157</v>
      </c>
      <c r="D1388" s="198" t="s">
        <v>54</v>
      </c>
      <c r="E1388" s="202">
        <v>3375000</v>
      </c>
      <c r="K1388" s="198" t="s">
        <v>1076</v>
      </c>
      <c r="L1388" s="198" t="s">
        <v>167</v>
      </c>
      <c r="P1388" s="201"/>
      <c r="R1388" s="202">
        <v>3375000</v>
      </c>
      <c r="U1388" s="198" t="s">
        <v>167</v>
      </c>
      <c r="AA1388" s="198" t="s">
        <v>51</v>
      </c>
      <c r="AB1388" s="202">
        <v>3375000</v>
      </c>
      <c r="AC1388" s="202">
        <v>3375000</v>
      </c>
    </row>
    <row r="1389" spans="1:29" outlineLevel="2" x14ac:dyDescent="0.25">
      <c r="A1389" s="201">
        <v>46160</v>
      </c>
      <c r="D1389" s="198" t="s">
        <v>54</v>
      </c>
      <c r="E1389" s="202">
        <v>14413.8</v>
      </c>
      <c r="K1389" s="198" t="s">
        <v>1076</v>
      </c>
      <c r="L1389" s="198" t="s">
        <v>167</v>
      </c>
      <c r="P1389" s="201"/>
      <c r="R1389" s="202">
        <v>14413.8</v>
      </c>
      <c r="U1389" s="198" t="s">
        <v>167</v>
      </c>
      <c r="AA1389" s="198" t="s">
        <v>51</v>
      </c>
      <c r="AB1389" s="202">
        <v>14413.8</v>
      </c>
      <c r="AC1389" s="202">
        <v>14413.8</v>
      </c>
    </row>
    <row r="1390" spans="1:29" outlineLevel="2" x14ac:dyDescent="0.25">
      <c r="A1390" s="201">
        <v>46160</v>
      </c>
      <c r="D1390" s="198" t="s">
        <v>54</v>
      </c>
      <c r="E1390" s="202">
        <v>7500</v>
      </c>
      <c r="K1390" s="198" t="s">
        <v>1076</v>
      </c>
      <c r="L1390" s="198" t="s">
        <v>167</v>
      </c>
      <c r="P1390" s="201"/>
      <c r="R1390" s="202">
        <v>7500</v>
      </c>
      <c r="U1390" s="198" t="s">
        <v>167</v>
      </c>
      <c r="AA1390" s="198" t="s">
        <v>51</v>
      </c>
      <c r="AB1390" s="202">
        <v>7500</v>
      </c>
      <c r="AC1390" s="202">
        <v>7500</v>
      </c>
    </row>
    <row r="1391" spans="1:29" outlineLevel="1" x14ac:dyDescent="0.25">
      <c r="A1391" s="210"/>
      <c r="B1391" s="209"/>
      <c r="C1391" s="209"/>
      <c r="D1391" s="209" t="s">
        <v>54</v>
      </c>
      <c r="E1391" s="211">
        <v>993412231.90999997</v>
      </c>
      <c r="F1391" s="209"/>
      <c r="G1391" s="209"/>
      <c r="H1391" s="209"/>
      <c r="I1391" s="209"/>
      <c r="J1391" s="209"/>
      <c r="K1391" s="209" t="s">
        <v>54</v>
      </c>
      <c r="L1391" s="209" t="s">
        <v>54</v>
      </c>
      <c r="M1391" s="209"/>
      <c r="N1391" s="209"/>
      <c r="O1391" s="209"/>
      <c r="P1391" s="210"/>
      <c r="Q1391" s="209"/>
      <c r="R1391" s="212"/>
      <c r="S1391" s="209"/>
      <c r="T1391" s="209"/>
      <c r="U1391" s="209" t="s">
        <v>54</v>
      </c>
      <c r="V1391" s="209"/>
      <c r="W1391" s="209"/>
      <c r="X1391" s="209"/>
      <c r="Y1391" s="209"/>
      <c r="Z1391" s="209"/>
      <c r="AA1391" s="209" t="s">
        <v>54</v>
      </c>
      <c r="AB1391" s="212"/>
      <c r="AC1391" s="212"/>
    </row>
    <row r="1392" spans="1:29" outlineLevel="2" x14ac:dyDescent="0.25">
      <c r="A1392" s="201">
        <v>46132</v>
      </c>
      <c r="D1392" s="198" t="s">
        <v>54</v>
      </c>
      <c r="E1392" s="202">
        <v>1</v>
      </c>
      <c r="K1392" s="198" t="s">
        <v>1078</v>
      </c>
      <c r="L1392" s="198" t="s">
        <v>167</v>
      </c>
      <c r="P1392" s="201"/>
      <c r="R1392" s="202">
        <v>1</v>
      </c>
      <c r="U1392" s="198" t="s">
        <v>1077</v>
      </c>
      <c r="AA1392" s="198" t="s">
        <v>51</v>
      </c>
      <c r="AB1392" s="202">
        <v>1</v>
      </c>
      <c r="AC1392" s="202">
        <v>1</v>
      </c>
    </row>
    <row r="1393" spans="1:29" outlineLevel="1" x14ac:dyDescent="0.25">
      <c r="A1393" s="210"/>
      <c r="B1393" s="209"/>
      <c r="C1393" s="209"/>
      <c r="D1393" s="209" t="s">
        <v>54</v>
      </c>
      <c r="E1393" s="211">
        <v>1</v>
      </c>
      <c r="F1393" s="209"/>
      <c r="G1393" s="209"/>
      <c r="H1393" s="209"/>
      <c r="I1393" s="209"/>
      <c r="J1393" s="209"/>
      <c r="K1393" s="209" t="s">
        <v>54</v>
      </c>
      <c r="L1393" s="209" t="s">
        <v>54</v>
      </c>
      <c r="M1393" s="209"/>
      <c r="N1393" s="209"/>
      <c r="O1393" s="209"/>
      <c r="P1393" s="210"/>
      <c r="Q1393" s="209"/>
      <c r="R1393" s="212"/>
      <c r="S1393" s="209"/>
      <c r="T1393" s="209"/>
      <c r="U1393" s="209" t="s">
        <v>54</v>
      </c>
      <c r="V1393" s="209"/>
      <c r="W1393" s="209"/>
      <c r="X1393" s="209"/>
      <c r="Y1393" s="209"/>
      <c r="Z1393" s="209"/>
      <c r="AA1393" s="209" t="s">
        <v>54</v>
      </c>
      <c r="AB1393" s="212"/>
      <c r="AC1393" s="212"/>
    </row>
    <row r="1394" spans="1:29" outlineLevel="2" x14ac:dyDescent="0.25">
      <c r="A1394" s="201">
        <v>46132</v>
      </c>
      <c r="D1394" s="198" t="s">
        <v>54</v>
      </c>
      <c r="E1394" s="202">
        <v>1</v>
      </c>
      <c r="K1394" s="198" t="s">
        <v>1080</v>
      </c>
      <c r="L1394" s="198" t="s">
        <v>167</v>
      </c>
      <c r="P1394" s="201"/>
      <c r="R1394" s="202">
        <v>1</v>
      </c>
      <c r="U1394" s="198" t="s">
        <v>1079</v>
      </c>
      <c r="AA1394" s="198" t="s">
        <v>51</v>
      </c>
      <c r="AB1394" s="202">
        <v>1</v>
      </c>
      <c r="AC1394" s="202">
        <v>1</v>
      </c>
    </row>
    <row r="1395" spans="1:29" outlineLevel="2" x14ac:dyDescent="0.25">
      <c r="A1395" s="201">
        <v>46132</v>
      </c>
      <c r="D1395" s="198" t="s">
        <v>54</v>
      </c>
      <c r="E1395" s="202">
        <v>-1</v>
      </c>
      <c r="K1395" s="198" t="s">
        <v>1080</v>
      </c>
      <c r="L1395" s="198" t="s">
        <v>167</v>
      </c>
      <c r="P1395" s="201"/>
      <c r="R1395" s="202">
        <v>-1</v>
      </c>
      <c r="U1395" s="198" t="s">
        <v>1079</v>
      </c>
      <c r="AA1395" s="198" t="s">
        <v>51</v>
      </c>
      <c r="AB1395" s="202">
        <v>-1</v>
      </c>
      <c r="AC1395" s="202">
        <v>-1</v>
      </c>
    </row>
    <row r="1396" spans="1:29" outlineLevel="1" x14ac:dyDescent="0.25">
      <c r="A1396" s="210"/>
      <c r="B1396" s="209"/>
      <c r="C1396" s="209"/>
      <c r="D1396" s="209" t="s">
        <v>54</v>
      </c>
      <c r="E1396" s="211">
        <v>0</v>
      </c>
      <c r="F1396" s="209"/>
      <c r="G1396" s="209"/>
      <c r="H1396" s="209"/>
      <c r="I1396" s="209"/>
      <c r="J1396" s="209"/>
      <c r="K1396" s="209" t="s">
        <v>54</v>
      </c>
      <c r="L1396" s="209" t="s">
        <v>54</v>
      </c>
      <c r="M1396" s="209"/>
      <c r="N1396" s="209"/>
      <c r="O1396" s="209"/>
      <c r="P1396" s="210"/>
      <c r="Q1396" s="209"/>
      <c r="R1396" s="212"/>
      <c r="S1396" s="209"/>
      <c r="T1396" s="209"/>
      <c r="U1396" s="209" t="s">
        <v>54</v>
      </c>
      <c r="V1396" s="209"/>
      <c r="W1396" s="209"/>
      <c r="X1396" s="209"/>
      <c r="Y1396" s="209"/>
      <c r="Z1396" s="209"/>
      <c r="AA1396" s="209" t="s">
        <v>54</v>
      </c>
      <c r="AB1396" s="212"/>
      <c r="AC1396" s="212"/>
    </row>
    <row r="1397" spans="1:29" outlineLevel="2" x14ac:dyDescent="0.25">
      <c r="A1397" s="201">
        <v>46008</v>
      </c>
      <c r="D1397" s="198" t="s">
        <v>54</v>
      </c>
      <c r="E1397" s="202">
        <v>5270000</v>
      </c>
      <c r="K1397" s="198" t="s">
        <v>1081</v>
      </c>
      <c r="L1397" s="198" t="s">
        <v>167</v>
      </c>
      <c r="P1397" s="201"/>
      <c r="R1397" s="202">
        <v>5270000</v>
      </c>
      <c r="U1397" s="198" t="s">
        <v>259</v>
      </c>
      <c r="AA1397" s="198" t="s">
        <v>51</v>
      </c>
      <c r="AB1397" s="202">
        <v>5270000</v>
      </c>
      <c r="AC1397" s="202">
        <v>5270000</v>
      </c>
    </row>
    <row r="1398" spans="1:29" outlineLevel="2" x14ac:dyDescent="0.25">
      <c r="A1398" s="201">
        <v>46021</v>
      </c>
      <c r="D1398" s="198" t="s">
        <v>54</v>
      </c>
      <c r="E1398" s="202">
        <v>15628800</v>
      </c>
      <c r="K1398" s="198" t="s">
        <v>1081</v>
      </c>
      <c r="L1398" s="198" t="s">
        <v>167</v>
      </c>
      <c r="P1398" s="201"/>
      <c r="R1398" s="202">
        <v>15628800</v>
      </c>
      <c r="U1398" s="198" t="s">
        <v>259</v>
      </c>
      <c r="AA1398" s="198" t="s">
        <v>51</v>
      </c>
      <c r="AB1398" s="202">
        <v>15628800</v>
      </c>
      <c r="AC1398" s="202">
        <v>15628800</v>
      </c>
    </row>
    <row r="1399" spans="1:29" outlineLevel="1" x14ac:dyDescent="0.25">
      <c r="A1399" s="210"/>
      <c r="B1399" s="209"/>
      <c r="C1399" s="209"/>
      <c r="D1399" s="209" t="s">
        <v>54</v>
      </c>
      <c r="E1399" s="211">
        <v>20898800</v>
      </c>
      <c r="F1399" s="209"/>
      <c r="G1399" s="209"/>
      <c r="H1399" s="209"/>
      <c r="I1399" s="209"/>
      <c r="J1399" s="209"/>
      <c r="K1399" s="209" t="s">
        <v>54</v>
      </c>
      <c r="L1399" s="209" t="s">
        <v>54</v>
      </c>
      <c r="M1399" s="209"/>
      <c r="N1399" s="209"/>
      <c r="O1399" s="209"/>
      <c r="P1399" s="210"/>
      <c r="Q1399" s="209"/>
      <c r="R1399" s="212"/>
      <c r="S1399" s="209"/>
      <c r="T1399" s="209"/>
      <c r="U1399" s="209" t="s">
        <v>54</v>
      </c>
      <c r="V1399" s="209"/>
      <c r="W1399" s="209"/>
      <c r="X1399" s="209"/>
      <c r="Y1399" s="209"/>
      <c r="Z1399" s="209"/>
      <c r="AA1399" s="209" t="s">
        <v>54</v>
      </c>
      <c r="AB1399" s="212"/>
      <c r="AC1399" s="212"/>
    </row>
    <row r="1400" spans="1:29" outlineLevel="2" x14ac:dyDescent="0.25">
      <c r="A1400" s="201">
        <v>46021</v>
      </c>
      <c r="D1400" s="198" t="s">
        <v>54</v>
      </c>
      <c r="E1400" s="202">
        <v>21485568</v>
      </c>
      <c r="K1400" s="198" t="s">
        <v>1083</v>
      </c>
      <c r="L1400" s="198" t="s">
        <v>167</v>
      </c>
      <c r="P1400" s="201"/>
      <c r="R1400" s="202">
        <v>21485568</v>
      </c>
      <c r="U1400" s="198" t="s">
        <v>1082</v>
      </c>
      <c r="AA1400" s="198" t="s">
        <v>51</v>
      </c>
      <c r="AB1400" s="202">
        <v>21485568</v>
      </c>
      <c r="AC1400" s="202">
        <v>21485568</v>
      </c>
    </row>
    <row r="1401" spans="1:29" outlineLevel="2" x14ac:dyDescent="0.25">
      <c r="A1401" s="201">
        <v>46078</v>
      </c>
      <c r="D1401" s="198" t="s">
        <v>54</v>
      </c>
      <c r="E1401" s="202">
        <v>8500000</v>
      </c>
      <c r="K1401" s="198" t="s">
        <v>1083</v>
      </c>
      <c r="L1401" s="198" t="s">
        <v>167</v>
      </c>
      <c r="P1401" s="201"/>
      <c r="R1401" s="202">
        <v>8500000</v>
      </c>
      <c r="U1401" s="198" t="s">
        <v>1082</v>
      </c>
      <c r="AA1401" s="198" t="s">
        <v>51</v>
      </c>
      <c r="AB1401" s="202">
        <v>8500000</v>
      </c>
      <c r="AC1401" s="202">
        <v>8500000</v>
      </c>
    </row>
    <row r="1402" spans="1:29" outlineLevel="2" x14ac:dyDescent="0.25">
      <c r="A1402" s="201">
        <v>46078</v>
      </c>
      <c r="D1402" s="198" t="s">
        <v>54</v>
      </c>
      <c r="E1402" s="202">
        <v>-8500000</v>
      </c>
      <c r="K1402" s="198" t="s">
        <v>1083</v>
      </c>
      <c r="L1402" s="198" t="s">
        <v>167</v>
      </c>
      <c r="P1402" s="201"/>
      <c r="R1402" s="202">
        <v>-8500000</v>
      </c>
      <c r="U1402" s="198" t="s">
        <v>1082</v>
      </c>
      <c r="AA1402" s="198" t="s">
        <v>51</v>
      </c>
      <c r="AB1402" s="202">
        <v>-8500000</v>
      </c>
      <c r="AC1402" s="202">
        <v>-8500000</v>
      </c>
    </row>
    <row r="1403" spans="1:29" outlineLevel="2" x14ac:dyDescent="0.25">
      <c r="A1403" s="201">
        <v>46108</v>
      </c>
      <c r="D1403" s="198" t="s">
        <v>54</v>
      </c>
      <c r="E1403" s="202">
        <v>59690050</v>
      </c>
      <c r="K1403" s="198" t="s">
        <v>1083</v>
      </c>
      <c r="L1403" s="198" t="s">
        <v>167</v>
      </c>
      <c r="P1403" s="201"/>
      <c r="R1403" s="202">
        <v>59690050</v>
      </c>
      <c r="U1403" s="198" t="s">
        <v>1082</v>
      </c>
      <c r="AA1403" s="198" t="s">
        <v>51</v>
      </c>
      <c r="AB1403" s="202">
        <v>59690050</v>
      </c>
      <c r="AC1403" s="202">
        <v>59690050</v>
      </c>
    </row>
    <row r="1404" spans="1:29" outlineLevel="2" x14ac:dyDescent="0.25">
      <c r="A1404" s="201">
        <v>46134</v>
      </c>
      <c r="D1404" s="198" t="s">
        <v>54</v>
      </c>
      <c r="E1404" s="202">
        <v>22501000</v>
      </c>
      <c r="K1404" s="198" t="s">
        <v>1083</v>
      </c>
      <c r="L1404" s="198" t="s">
        <v>167</v>
      </c>
      <c r="P1404" s="201"/>
      <c r="R1404" s="202">
        <v>22501000</v>
      </c>
      <c r="U1404" s="198" t="s">
        <v>1082</v>
      </c>
      <c r="AA1404" s="198" t="s">
        <v>51</v>
      </c>
      <c r="AB1404" s="202">
        <v>22501000</v>
      </c>
      <c r="AC1404" s="202">
        <v>22501000</v>
      </c>
    </row>
    <row r="1405" spans="1:29" outlineLevel="2" x14ac:dyDescent="0.25">
      <c r="A1405" s="201">
        <v>46135</v>
      </c>
      <c r="D1405" s="198" t="s">
        <v>54</v>
      </c>
      <c r="E1405" s="202">
        <v>381188</v>
      </c>
      <c r="K1405" s="198" t="s">
        <v>1083</v>
      </c>
      <c r="L1405" s="198" t="s">
        <v>167</v>
      </c>
      <c r="P1405" s="201"/>
      <c r="R1405" s="202">
        <v>381188</v>
      </c>
      <c r="U1405" s="198" t="s">
        <v>1082</v>
      </c>
      <c r="AA1405" s="198" t="s">
        <v>51</v>
      </c>
      <c r="AB1405" s="202">
        <v>381188</v>
      </c>
      <c r="AC1405" s="202">
        <v>381188</v>
      </c>
    </row>
    <row r="1406" spans="1:29" outlineLevel="2" x14ac:dyDescent="0.25">
      <c r="A1406" s="201">
        <v>46157</v>
      </c>
      <c r="D1406" s="198" t="s">
        <v>54</v>
      </c>
      <c r="E1406" s="202">
        <v>3375000</v>
      </c>
      <c r="K1406" s="198" t="s">
        <v>1083</v>
      </c>
      <c r="L1406" s="198" t="s">
        <v>167</v>
      </c>
      <c r="P1406" s="201"/>
      <c r="R1406" s="202">
        <v>3375000</v>
      </c>
      <c r="U1406" s="198" t="s">
        <v>1082</v>
      </c>
      <c r="AA1406" s="198" t="s">
        <v>51</v>
      </c>
      <c r="AB1406" s="202">
        <v>3375000</v>
      </c>
      <c r="AC1406" s="202">
        <v>3375000</v>
      </c>
    </row>
    <row r="1407" spans="1:29" outlineLevel="1" x14ac:dyDescent="0.25">
      <c r="A1407" s="210"/>
      <c r="B1407" s="209"/>
      <c r="C1407" s="209"/>
      <c r="D1407" s="209" t="s">
        <v>54</v>
      </c>
      <c r="E1407" s="211">
        <v>107432806</v>
      </c>
      <c r="F1407" s="209"/>
      <c r="G1407" s="209"/>
      <c r="H1407" s="209"/>
      <c r="I1407" s="209"/>
      <c r="J1407" s="209"/>
      <c r="K1407" s="209" t="s">
        <v>54</v>
      </c>
      <c r="L1407" s="209" t="s">
        <v>54</v>
      </c>
      <c r="M1407" s="209"/>
      <c r="N1407" s="209"/>
      <c r="O1407" s="209"/>
      <c r="P1407" s="210"/>
      <c r="Q1407" s="209"/>
      <c r="R1407" s="212"/>
      <c r="S1407" s="209"/>
      <c r="T1407" s="209"/>
      <c r="U1407" s="209" t="s">
        <v>54</v>
      </c>
      <c r="V1407" s="209"/>
      <c r="W1407" s="209"/>
      <c r="X1407" s="209"/>
      <c r="Y1407" s="209"/>
      <c r="Z1407" s="209"/>
      <c r="AA1407" s="209" t="s">
        <v>54</v>
      </c>
      <c r="AB1407" s="212"/>
      <c r="AC1407" s="212"/>
    </row>
    <row r="1408" spans="1:29" outlineLevel="2" x14ac:dyDescent="0.25">
      <c r="A1408" s="201">
        <v>46078</v>
      </c>
      <c r="D1408" s="198" t="s">
        <v>54</v>
      </c>
      <c r="E1408" s="202">
        <v>8500000</v>
      </c>
      <c r="K1408" s="198" t="s">
        <v>1084</v>
      </c>
      <c r="L1408" s="198" t="s">
        <v>167</v>
      </c>
      <c r="P1408" s="201"/>
      <c r="R1408" s="202">
        <v>8500000</v>
      </c>
      <c r="U1408" s="198" t="s">
        <v>714</v>
      </c>
      <c r="AA1408" s="198" t="s">
        <v>51</v>
      </c>
      <c r="AB1408" s="202">
        <v>8500000</v>
      </c>
      <c r="AC1408" s="202">
        <v>8500000</v>
      </c>
    </row>
    <row r="1409" spans="1:29" outlineLevel="2" x14ac:dyDescent="0.25">
      <c r="A1409" s="201">
        <v>46078</v>
      </c>
      <c r="D1409" s="198" t="s">
        <v>54</v>
      </c>
      <c r="E1409" s="202">
        <v>-8500000</v>
      </c>
      <c r="K1409" s="198" t="s">
        <v>1084</v>
      </c>
      <c r="L1409" s="198" t="s">
        <v>167</v>
      </c>
      <c r="P1409" s="201"/>
      <c r="R1409" s="202">
        <v>-8500000</v>
      </c>
      <c r="U1409" s="198" t="s">
        <v>714</v>
      </c>
      <c r="AA1409" s="198" t="s">
        <v>51</v>
      </c>
      <c r="AB1409" s="202">
        <v>-8500000</v>
      </c>
      <c r="AC1409" s="202">
        <v>-8500000</v>
      </c>
    </row>
    <row r="1410" spans="1:29" outlineLevel="2" x14ac:dyDescent="0.25">
      <c r="A1410" s="201">
        <v>46108</v>
      </c>
      <c r="D1410" s="198" t="s">
        <v>54</v>
      </c>
      <c r="E1410" s="202">
        <v>59690050</v>
      </c>
      <c r="K1410" s="198" t="s">
        <v>1084</v>
      </c>
      <c r="L1410" s="198" t="s">
        <v>167</v>
      </c>
      <c r="P1410" s="201"/>
      <c r="R1410" s="202">
        <v>59690050</v>
      </c>
      <c r="U1410" s="198" t="s">
        <v>714</v>
      </c>
      <c r="AA1410" s="198" t="s">
        <v>51</v>
      </c>
      <c r="AB1410" s="202">
        <v>59690050</v>
      </c>
      <c r="AC1410" s="202">
        <v>59690050</v>
      </c>
    </row>
    <row r="1411" spans="1:29" outlineLevel="2" x14ac:dyDescent="0.25">
      <c r="A1411" s="201">
        <v>46135</v>
      </c>
      <c r="D1411" s="198" t="s">
        <v>54</v>
      </c>
      <c r="E1411" s="202">
        <v>381188</v>
      </c>
      <c r="K1411" s="198" t="s">
        <v>1084</v>
      </c>
      <c r="L1411" s="198" t="s">
        <v>167</v>
      </c>
      <c r="P1411" s="201"/>
      <c r="R1411" s="202">
        <v>381188</v>
      </c>
      <c r="U1411" s="198" t="s">
        <v>714</v>
      </c>
      <c r="AA1411" s="198" t="s">
        <v>51</v>
      </c>
      <c r="AB1411" s="202">
        <v>381188</v>
      </c>
      <c r="AC1411" s="202">
        <v>381188</v>
      </c>
    </row>
    <row r="1412" spans="1:29" outlineLevel="1" x14ac:dyDescent="0.25">
      <c r="A1412" s="210"/>
      <c r="B1412" s="209"/>
      <c r="C1412" s="209"/>
      <c r="D1412" s="209" t="s">
        <v>54</v>
      </c>
      <c r="E1412" s="211">
        <v>60071238</v>
      </c>
      <c r="F1412" s="209"/>
      <c r="G1412" s="209"/>
      <c r="H1412" s="209"/>
      <c r="I1412" s="209"/>
      <c r="J1412" s="209"/>
      <c r="K1412" s="209" t="s">
        <v>54</v>
      </c>
      <c r="L1412" s="209" t="s">
        <v>54</v>
      </c>
      <c r="M1412" s="209"/>
      <c r="N1412" s="209"/>
      <c r="O1412" s="209"/>
      <c r="P1412" s="210"/>
      <c r="Q1412" s="209"/>
      <c r="R1412" s="212"/>
      <c r="S1412" s="209"/>
      <c r="T1412" s="209"/>
      <c r="U1412" s="209" t="s">
        <v>54</v>
      </c>
      <c r="V1412" s="209"/>
      <c r="W1412" s="209"/>
      <c r="X1412" s="209"/>
      <c r="Y1412" s="209"/>
      <c r="Z1412" s="209"/>
      <c r="AA1412" s="209" t="s">
        <v>54</v>
      </c>
      <c r="AB1412" s="212"/>
      <c r="AC1412" s="212"/>
    </row>
    <row r="1413" spans="1:29" outlineLevel="2" x14ac:dyDescent="0.25">
      <c r="A1413" s="201">
        <v>46134</v>
      </c>
      <c r="D1413" s="198" t="s">
        <v>54</v>
      </c>
      <c r="E1413" s="202">
        <v>22501000</v>
      </c>
      <c r="K1413" s="198" t="s">
        <v>1085</v>
      </c>
      <c r="L1413" s="198" t="s">
        <v>167</v>
      </c>
      <c r="P1413" s="201"/>
      <c r="R1413" s="202">
        <v>22501000</v>
      </c>
      <c r="U1413" s="198" t="s">
        <v>289</v>
      </c>
      <c r="AA1413" s="198" t="s">
        <v>51</v>
      </c>
      <c r="AB1413" s="202">
        <v>22501000</v>
      </c>
      <c r="AC1413" s="202">
        <v>22501000</v>
      </c>
    </row>
    <row r="1414" spans="1:29" outlineLevel="2" x14ac:dyDescent="0.25">
      <c r="A1414" s="201">
        <v>46157</v>
      </c>
      <c r="D1414" s="198" t="s">
        <v>54</v>
      </c>
      <c r="E1414" s="202">
        <v>3375000</v>
      </c>
      <c r="K1414" s="198" t="s">
        <v>1085</v>
      </c>
      <c r="L1414" s="198" t="s">
        <v>167</v>
      </c>
      <c r="P1414" s="201"/>
      <c r="R1414" s="202">
        <v>3375000</v>
      </c>
      <c r="U1414" s="198" t="s">
        <v>289</v>
      </c>
      <c r="AA1414" s="198" t="s">
        <v>51</v>
      </c>
      <c r="AB1414" s="202">
        <v>3375000</v>
      </c>
      <c r="AC1414" s="202">
        <v>3375000</v>
      </c>
    </row>
    <row r="1415" spans="1:29" outlineLevel="1" x14ac:dyDescent="0.25">
      <c r="A1415" s="210"/>
      <c r="B1415" s="209"/>
      <c r="C1415" s="209"/>
      <c r="D1415" s="209" t="s">
        <v>54</v>
      </c>
      <c r="E1415" s="211">
        <v>25876000</v>
      </c>
      <c r="F1415" s="209"/>
      <c r="G1415" s="209"/>
      <c r="H1415" s="209"/>
      <c r="I1415" s="209"/>
      <c r="J1415" s="209"/>
      <c r="K1415" s="209" t="s">
        <v>54</v>
      </c>
      <c r="L1415" s="209" t="s">
        <v>54</v>
      </c>
      <c r="M1415" s="209"/>
      <c r="N1415" s="209"/>
      <c r="O1415" s="209"/>
      <c r="P1415" s="210"/>
      <c r="Q1415" s="209"/>
      <c r="R1415" s="212"/>
      <c r="S1415" s="209"/>
      <c r="T1415" s="209"/>
      <c r="U1415" s="209" t="s">
        <v>54</v>
      </c>
      <c r="V1415" s="209"/>
      <c r="W1415" s="209"/>
      <c r="X1415" s="209"/>
      <c r="Y1415" s="209"/>
      <c r="Z1415" s="209"/>
      <c r="AA1415" s="209" t="s">
        <v>54</v>
      </c>
      <c r="AB1415" s="212"/>
      <c r="AC1415" s="212"/>
    </row>
    <row r="1416" spans="1:29" outlineLevel="2" x14ac:dyDescent="0.25">
      <c r="A1416" s="201">
        <v>46021</v>
      </c>
      <c r="D1416" s="198" t="s">
        <v>54</v>
      </c>
      <c r="E1416" s="202">
        <v>21485568</v>
      </c>
      <c r="K1416" s="198" t="s">
        <v>1086</v>
      </c>
      <c r="L1416" s="198" t="s">
        <v>167</v>
      </c>
      <c r="P1416" s="201"/>
      <c r="R1416" s="202">
        <v>21485568</v>
      </c>
      <c r="U1416" s="198" t="s">
        <v>261</v>
      </c>
      <c r="AA1416" s="198" t="s">
        <v>51</v>
      </c>
      <c r="AB1416" s="202">
        <v>21485568</v>
      </c>
      <c r="AC1416" s="202">
        <v>21485568</v>
      </c>
    </row>
    <row r="1417" spans="1:29" outlineLevel="1" x14ac:dyDescent="0.25">
      <c r="A1417" s="210"/>
      <c r="B1417" s="209"/>
      <c r="C1417" s="209"/>
      <c r="D1417" s="209" t="s">
        <v>54</v>
      </c>
      <c r="E1417" s="211">
        <v>21485568</v>
      </c>
      <c r="F1417" s="209"/>
      <c r="G1417" s="209"/>
      <c r="H1417" s="209"/>
      <c r="I1417" s="209"/>
      <c r="J1417" s="209"/>
      <c r="K1417" s="209" t="s">
        <v>54</v>
      </c>
      <c r="L1417" s="209" t="s">
        <v>54</v>
      </c>
      <c r="M1417" s="209"/>
      <c r="N1417" s="209"/>
      <c r="O1417" s="209"/>
      <c r="P1417" s="210"/>
      <c r="Q1417" s="209"/>
      <c r="R1417" s="212"/>
      <c r="S1417" s="209"/>
      <c r="T1417" s="209"/>
      <c r="U1417" s="209" t="s">
        <v>54</v>
      </c>
      <c r="V1417" s="209"/>
      <c r="W1417" s="209"/>
      <c r="X1417" s="209"/>
      <c r="Y1417" s="209"/>
      <c r="Z1417" s="209"/>
      <c r="AA1417" s="209" t="s">
        <v>54</v>
      </c>
      <c r="AB1417" s="212"/>
      <c r="AC1417" s="212"/>
    </row>
    <row r="1418" spans="1:29" outlineLevel="2" x14ac:dyDescent="0.25">
      <c r="A1418" s="201">
        <v>46021</v>
      </c>
      <c r="D1418" s="198" t="s">
        <v>54</v>
      </c>
      <c r="E1418" s="202">
        <v>116203154.5</v>
      </c>
      <c r="K1418" s="198" t="s">
        <v>1088</v>
      </c>
      <c r="L1418" s="198" t="s">
        <v>167</v>
      </c>
      <c r="P1418" s="201"/>
      <c r="R1418" s="202">
        <v>116203154.5</v>
      </c>
      <c r="U1418" s="198" t="s">
        <v>1087</v>
      </c>
      <c r="AA1418" s="198" t="s">
        <v>51</v>
      </c>
      <c r="AB1418" s="202">
        <v>116203154.5</v>
      </c>
      <c r="AC1418" s="202">
        <v>116203154.5</v>
      </c>
    </row>
    <row r="1419" spans="1:29" outlineLevel="2" x14ac:dyDescent="0.25">
      <c r="A1419" s="201">
        <v>46071</v>
      </c>
      <c r="D1419" s="198" t="s">
        <v>54</v>
      </c>
      <c r="E1419" s="202">
        <v>2083419.55</v>
      </c>
      <c r="K1419" s="198" t="s">
        <v>1088</v>
      </c>
      <c r="L1419" s="198" t="s">
        <v>167</v>
      </c>
      <c r="P1419" s="201"/>
      <c r="R1419" s="202">
        <v>2083419.55</v>
      </c>
      <c r="U1419" s="198" t="s">
        <v>1087</v>
      </c>
      <c r="AA1419" s="198" t="s">
        <v>51</v>
      </c>
      <c r="AB1419" s="202">
        <v>2083419.55</v>
      </c>
      <c r="AC1419" s="202">
        <v>2083419.55</v>
      </c>
    </row>
    <row r="1420" spans="1:29" outlineLevel="2" x14ac:dyDescent="0.25">
      <c r="A1420" s="201">
        <v>46076</v>
      </c>
      <c r="D1420" s="198" t="s">
        <v>54</v>
      </c>
      <c r="E1420" s="202">
        <v>25</v>
      </c>
      <c r="K1420" s="198" t="s">
        <v>1088</v>
      </c>
      <c r="L1420" s="198" t="s">
        <v>167</v>
      </c>
      <c r="P1420" s="201"/>
      <c r="R1420" s="202">
        <v>25</v>
      </c>
      <c r="U1420" s="198" t="s">
        <v>1087</v>
      </c>
      <c r="AA1420" s="198" t="s">
        <v>51</v>
      </c>
      <c r="AB1420" s="202">
        <v>25</v>
      </c>
      <c r="AC1420" s="202">
        <v>25</v>
      </c>
    </row>
    <row r="1421" spans="1:29" outlineLevel="2" x14ac:dyDescent="0.25">
      <c r="A1421" s="201">
        <v>46084</v>
      </c>
      <c r="D1421" s="198" t="s">
        <v>54</v>
      </c>
      <c r="E1421" s="202">
        <v>2083420</v>
      </c>
      <c r="K1421" s="198" t="s">
        <v>1088</v>
      </c>
      <c r="L1421" s="198" t="s">
        <v>167</v>
      </c>
      <c r="P1421" s="201"/>
      <c r="R1421" s="202">
        <v>2083420</v>
      </c>
      <c r="U1421" s="198" t="s">
        <v>1087</v>
      </c>
      <c r="AA1421" s="198" t="s">
        <v>51</v>
      </c>
      <c r="AB1421" s="202">
        <v>2083420</v>
      </c>
      <c r="AC1421" s="202">
        <v>2083420</v>
      </c>
    </row>
    <row r="1422" spans="1:29" outlineLevel="2" x14ac:dyDescent="0.25">
      <c r="A1422" s="201">
        <v>46136</v>
      </c>
      <c r="D1422" s="198" t="s">
        <v>54</v>
      </c>
      <c r="E1422" s="202">
        <v>12880162</v>
      </c>
      <c r="K1422" s="198" t="s">
        <v>1088</v>
      </c>
      <c r="L1422" s="198" t="s">
        <v>167</v>
      </c>
      <c r="P1422" s="201"/>
      <c r="R1422" s="202">
        <v>12880162</v>
      </c>
      <c r="U1422" s="198" t="s">
        <v>1087</v>
      </c>
      <c r="AA1422" s="198" t="s">
        <v>51</v>
      </c>
      <c r="AB1422" s="202">
        <v>12880162</v>
      </c>
      <c r="AC1422" s="202">
        <v>12880162</v>
      </c>
    </row>
    <row r="1423" spans="1:29" outlineLevel="1" x14ac:dyDescent="0.25">
      <c r="A1423" s="210"/>
      <c r="B1423" s="209"/>
      <c r="C1423" s="209"/>
      <c r="D1423" s="209" t="s">
        <v>54</v>
      </c>
      <c r="E1423" s="211">
        <v>133250181.05</v>
      </c>
      <c r="F1423" s="209"/>
      <c r="G1423" s="209"/>
      <c r="H1423" s="209"/>
      <c r="I1423" s="209"/>
      <c r="J1423" s="209"/>
      <c r="K1423" s="209" t="s">
        <v>54</v>
      </c>
      <c r="L1423" s="209" t="s">
        <v>54</v>
      </c>
      <c r="M1423" s="209"/>
      <c r="N1423" s="209"/>
      <c r="O1423" s="209"/>
      <c r="P1423" s="210"/>
      <c r="Q1423" s="209"/>
      <c r="R1423" s="212"/>
      <c r="S1423" s="209"/>
      <c r="T1423" s="209"/>
      <c r="U1423" s="209" t="s">
        <v>54</v>
      </c>
      <c r="V1423" s="209"/>
      <c r="W1423" s="209"/>
      <c r="X1423" s="209"/>
      <c r="Y1423" s="209"/>
      <c r="Z1423" s="209"/>
      <c r="AA1423" s="209" t="s">
        <v>54</v>
      </c>
      <c r="AB1423" s="212"/>
      <c r="AC1423" s="212"/>
    </row>
    <row r="1424" spans="1:29" outlineLevel="2" x14ac:dyDescent="0.25">
      <c r="A1424" s="201">
        <v>46021</v>
      </c>
      <c r="D1424" s="198" t="s">
        <v>54</v>
      </c>
      <c r="E1424" s="202">
        <v>1840000</v>
      </c>
      <c r="K1424" s="198" t="s">
        <v>1089</v>
      </c>
      <c r="L1424" s="198" t="s">
        <v>167</v>
      </c>
      <c r="P1424" s="201"/>
      <c r="R1424" s="202">
        <v>1840000</v>
      </c>
      <c r="U1424" s="198" t="s">
        <v>260</v>
      </c>
      <c r="AA1424" s="198" t="s">
        <v>51</v>
      </c>
      <c r="AB1424" s="202">
        <v>1840000</v>
      </c>
      <c r="AC1424" s="202">
        <v>1840000</v>
      </c>
    </row>
    <row r="1425" spans="1:29" outlineLevel="1" x14ac:dyDescent="0.25">
      <c r="A1425" s="210"/>
      <c r="B1425" s="209"/>
      <c r="C1425" s="209"/>
      <c r="D1425" s="209" t="s">
        <v>54</v>
      </c>
      <c r="E1425" s="211">
        <v>1840000</v>
      </c>
      <c r="F1425" s="209"/>
      <c r="G1425" s="209"/>
      <c r="H1425" s="209"/>
      <c r="I1425" s="209"/>
      <c r="J1425" s="209"/>
      <c r="K1425" s="209" t="s">
        <v>54</v>
      </c>
      <c r="L1425" s="209" t="s">
        <v>54</v>
      </c>
      <c r="M1425" s="209"/>
      <c r="N1425" s="209"/>
      <c r="O1425" s="209"/>
      <c r="P1425" s="210"/>
      <c r="Q1425" s="209"/>
      <c r="R1425" s="212"/>
      <c r="S1425" s="209"/>
      <c r="T1425" s="209"/>
      <c r="U1425" s="209" t="s">
        <v>54</v>
      </c>
      <c r="V1425" s="209"/>
      <c r="W1425" s="209"/>
      <c r="X1425" s="209"/>
      <c r="Y1425" s="209"/>
      <c r="Z1425" s="209"/>
      <c r="AA1425" s="209" t="s">
        <v>54</v>
      </c>
      <c r="AB1425" s="212"/>
      <c r="AC1425" s="212"/>
    </row>
    <row r="1426" spans="1:29" outlineLevel="2" x14ac:dyDescent="0.25">
      <c r="A1426" s="201">
        <v>46021</v>
      </c>
      <c r="D1426" s="198" t="s">
        <v>54</v>
      </c>
      <c r="E1426" s="202">
        <v>39434977.25</v>
      </c>
      <c r="K1426" s="198" t="s">
        <v>1090</v>
      </c>
      <c r="L1426" s="198" t="s">
        <v>167</v>
      </c>
      <c r="P1426" s="201"/>
      <c r="R1426" s="202">
        <v>39434977.25</v>
      </c>
      <c r="U1426" s="198" t="s">
        <v>262</v>
      </c>
      <c r="AA1426" s="198" t="s">
        <v>51</v>
      </c>
      <c r="AB1426" s="202">
        <v>39434977.25</v>
      </c>
      <c r="AC1426" s="202">
        <v>39434977.25</v>
      </c>
    </row>
    <row r="1427" spans="1:29" outlineLevel="1" x14ac:dyDescent="0.25">
      <c r="A1427" s="210"/>
      <c r="B1427" s="209"/>
      <c r="C1427" s="209"/>
      <c r="D1427" s="209" t="s">
        <v>54</v>
      </c>
      <c r="E1427" s="211">
        <v>39434977.25</v>
      </c>
      <c r="F1427" s="209"/>
      <c r="G1427" s="209"/>
      <c r="H1427" s="209"/>
      <c r="I1427" s="209"/>
      <c r="J1427" s="209"/>
      <c r="K1427" s="209" t="s">
        <v>54</v>
      </c>
      <c r="L1427" s="209" t="s">
        <v>54</v>
      </c>
      <c r="M1427" s="209"/>
      <c r="N1427" s="209"/>
      <c r="O1427" s="209"/>
      <c r="P1427" s="210"/>
      <c r="Q1427" s="209"/>
      <c r="R1427" s="212"/>
      <c r="S1427" s="209"/>
      <c r="T1427" s="209"/>
      <c r="U1427" s="209" t="s">
        <v>54</v>
      </c>
      <c r="V1427" s="209"/>
      <c r="W1427" s="209"/>
      <c r="X1427" s="209"/>
      <c r="Y1427" s="209"/>
      <c r="Z1427" s="209"/>
      <c r="AA1427" s="209" t="s">
        <v>54</v>
      </c>
      <c r="AB1427" s="212"/>
      <c r="AC1427" s="212"/>
    </row>
    <row r="1428" spans="1:29" outlineLevel="2" x14ac:dyDescent="0.25">
      <c r="A1428" s="201">
        <v>46021</v>
      </c>
      <c r="D1428" s="198" t="s">
        <v>54</v>
      </c>
      <c r="E1428" s="202">
        <v>7514948</v>
      </c>
      <c r="K1428" s="198" t="s">
        <v>1091</v>
      </c>
      <c r="L1428" s="198" t="s">
        <v>167</v>
      </c>
      <c r="P1428" s="201"/>
      <c r="R1428" s="202">
        <v>7514948</v>
      </c>
      <c r="U1428" s="198" t="s">
        <v>746</v>
      </c>
      <c r="AA1428" s="198" t="s">
        <v>51</v>
      </c>
      <c r="AB1428" s="202">
        <v>7514948</v>
      </c>
      <c r="AC1428" s="202">
        <v>7514948</v>
      </c>
    </row>
    <row r="1429" spans="1:29" outlineLevel="1" x14ac:dyDescent="0.25">
      <c r="A1429" s="210"/>
      <c r="B1429" s="209"/>
      <c r="C1429" s="209"/>
      <c r="D1429" s="209" t="s">
        <v>54</v>
      </c>
      <c r="E1429" s="211">
        <v>7514948</v>
      </c>
      <c r="F1429" s="209"/>
      <c r="G1429" s="209"/>
      <c r="H1429" s="209"/>
      <c r="I1429" s="209"/>
      <c r="J1429" s="209"/>
      <c r="K1429" s="209" t="s">
        <v>54</v>
      </c>
      <c r="L1429" s="209" t="s">
        <v>54</v>
      </c>
      <c r="M1429" s="209"/>
      <c r="N1429" s="209"/>
      <c r="O1429" s="209"/>
      <c r="P1429" s="210"/>
      <c r="Q1429" s="209"/>
      <c r="R1429" s="212"/>
      <c r="S1429" s="209"/>
      <c r="T1429" s="209"/>
      <c r="U1429" s="209" t="s">
        <v>54</v>
      </c>
      <c r="V1429" s="209"/>
      <c r="W1429" s="209"/>
      <c r="X1429" s="209"/>
      <c r="Y1429" s="209"/>
      <c r="Z1429" s="209"/>
      <c r="AA1429" s="209" t="s">
        <v>54</v>
      </c>
      <c r="AB1429" s="212"/>
      <c r="AC1429" s="212"/>
    </row>
    <row r="1430" spans="1:29" outlineLevel="2" x14ac:dyDescent="0.25">
      <c r="A1430" s="201">
        <v>46021</v>
      </c>
      <c r="D1430" s="198" t="s">
        <v>54</v>
      </c>
      <c r="E1430" s="202">
        <v>61103056.25</v>
      </c>
      <c r="K1430" s="198" t="s">
        <v>1092</v>
      </c>
      <c r="L1430" s="198" t="s">
        <v>167</v>
      </c>
      <c r="P1430" s="201"/>
      <c r="R1430" s="202">
        <v>61103056.25</v>
      </c>
      <c r="U1430" s="198" t="s">
        <v>263</v>
      </c>
      <c r="AA1430" s="198" t="s">
        <v>51</v>
      </c>
      <c r="AB1430" s="202">
        <v>61103056.25</v>
      </c>
      <c r="AC1430" s="202">
        <v>61103056.25</v>
      </c>
    </row>
    <row r="1431" spans="1:29" outlineLevel="2" x14ac:dyDescent="0.25">
      <c r="A1431" s="201">
        <v>46071</v>
      </c>
      <c r="D1431" s="198" t="s">
        <v>54</v>
      </c>
      <c r="E1431" s="202">
        <v>2083419.55</v>
      </c>
      <c r="K1431" s="198" t="s">
        <v>1092</v>
      </c>
      <c r="L1431" s="198" t="s">
        <v>167</v>
      </c>
      <c r="P1431" s="201"/>
      <c r="R1431" s="202">
        <v>2083419.55</v>
      </c>
      <c r="U1431" s="198" t="s">
        <v>263</v>
      </c>
      <c r="AA1431" s="198" t="s">
        <v>51</v>
      </c>
      <c r="AB1431" s="202">
        <v>2083419.55</v>
      </c>
      <c r="AC1431" s="202">
        <v>2083419.55</v>
      </c>
    </row>
    <row r="1432" spans="1:29" outlineLevel="2" x14ac:dyDescent="0.25">
      <c r="A1432" s="201">
        <v>46076</v>
      </c>
      <c r="D1432" s="198" t="s">
        <v>54</v>
      </c>
      <c r="E1432" s="202">
        <v>25</v>
      </c>
      <c r="K1432" s="198" t="s">
        <v>1092</v>
      </c>
      <c r="L1432" s="198" t="s">
        <v>167</v>
      </c>
      <c r="P1432" s="201"/>
      <c r="R1432" s="202">
        <v>25</v>
      </c>
      <c r="U1432" s="198" t="s">
        <v>263</v>
      </c>
      <c r="AA1432" s="198" t="s">
        <v>51</v>
      </c>
      <c r="AB1432" s="202">
        <v>25</v>
      </c>
      <c r="AC1432" s="202">
        <v>25</v>
      </c>
    </row>
    <row r="1433" spans="1:29" outlineLevel="2" x14ac:dyDescent="0.25">
      <c r="A1433" s="201">
        <v>46084</v>
      </c>
      <c r="D1433" s="198" t="s">
        <v>54</v>
      </c>
      <c r="E1433" s="202">
        <v>2083420</v>
      </c>
      <c r="K1433" s="198" t="s">
        <v>1092</v>
      </c>
      <c r="L1433" s="198" t="s">
        <v>167</v>
      </c>
      <c r="P1433" s="201"/>
      <c r="R1433" s="202">
        <v>2083420</v>
      </c>
      <c r="U1433" s="198" t="s">
        <v>263</v>
      </c>
      <c r="AA1433" s="198" t="s">
        <v>51</v>
      </c>
      <c r="AB1433" s="202">
        <v>2083420</v>
      </c>
      <c r="AC1433" s="202">
        <v>2083420</v>
      </c>
    </row>
    <row r="1434" spans="1:29" outlineLevel="1" x14ac:dyDescent="0.25">
      <c r="A1434" s="210"/>
      <c r="B1434" s="209"/>
      <c r="C1434" s="209"/>
      <c r="D1434" s="209" t="s">
        <v>54</v>
      </c>
      <c r="E1434" s="211">
        <v>65269920.799999997</v>
      </c>
      <c r="F1434" s="209"/>
      <c r="G1434" s="209"/>
      <c r="H1434" s="209"/>
      <c r="I1434" s="209"/>
      <c r="J1434" s="209"/>
      <c r="K1434" s="209" t="s">
        <v>54</v>
      </c>
      <c r="L1434" s="209" t="s">
        <v>54</v>
      </c>
      <c r="M1434" s="209"/>
      <c r="N1434" s="209"/>
      <c r="O1434" s="209"/>
      <c r="P1434" s="210"/>
      <c r="Q1434" s="209"/>
      <c r="R1434" s="212"/>
      <c r="S1434" s="209"/>
      <c r="T1434" s="209"/>
      <c r="U1434" s="209" t="s">
        <v>54</v>
      </c>
      <c r="V1434" s="209"/>
      <c r="W1434" s="209"/>
      <c r="X1434" s="209"/>
      <c r="Y1434" s="209"/>
      <c r="Z1434" s="209"/>
      <c r="AA1434" s="209" t="s">
        <v>54</v>
      </c>
      <c r="AB1434" s="212"/>
      <c r="AC1434" s="212"/>
    </row>
    <row r="1435" spans="1:29" outlineLevel="2" x14ac:dyDescent="0.25">
      <c r="A1435" s="201">
        <v>46021</v>
      </c>
      <c r="D1435" s="198" t="s">
        <v>54</v>
      </c>
      <c r="E1435" s="202">
        <v>6310173</v>
      </c>
      <c r="K1435" s="198" t="s">
        <v>1093</v>
      </c>
      <c r="L1435" s="198" t="s">
        <v>167</v>
      </c>
      <c r="P1435" s="201"/>
      <c r="R1435" s="202">
        <v>6310173</v>
      </c>
      <c r="U1435" s="198" t="s">
        <v>264</v>
      </c>
      <c r="AA1435" s="198" t="s">
        <v>51</v>
      </c>
      <c r="AB1435" s="202">
        <v>6310173</v>
      </c>
      <c r="AC1435" s="202">
        <v>6310173</v>
      </c>
    </row>
    <row r="1436" spans="1:29" outlineLevel="1" x14ac:dyDescent="0.25">
      <c r="A1436" s="210"/>
      <c r="B1436" s="209"/>
      <c r="C1436" s="209"/>
      <c r="D1436" s="209" t="s">
        <v>54</v>
      </c>
      <c r="E1436" s="211">
        <v>6310173</v>
      </c>
      <c r="F1436" s="209"/>
      <c r="G1436" s="209"/>
      <c r="H1436" s="209"/>
      <c r="I1436" s="209"/>
      <c r="J1436" s="209"/>
      <c r="K1436" s="209" t="s">
        <v>54</v>
      </c>
      <c r="L1436" s="209" t="s">
        <v>54</v>
      </c>
      <c r="M1436" s="209"/>
      <c r="N1436" s="209"/>
      <c r="O1436" s="209"/>
      <c r="P1436" s="210"/>
      <c r="Q1436" s="209"/>
      <c r="R1436" s="212"/>
      <c r="S1436" s="209"/>
      <c r="T1436" s="209"/>
      <c r="U1436" s="209" t="s">
        <v>54</v>
      </c>
      <c r="V1436" s="209"/>
      <c r="W1436" s="209"/>
      <c r="X1436" s="209"/>
      <c r="Y1436" s="209"/>
      <c r="Z1436" s="209"/>
      <c r="AA1436" s="209" t="s">
        <v>54</v>
      </c>
      <c r="AB1436" s="212"/>
      <c r="AC1436" s="212"/>
    </row>
    <row r="1437" spans="1:29" outlineLevel="2" x14ac:dyDescent="0.25">
      <c r="A1437" s="201">
        <v>46136</v>
      </c>
      <c r="D1437" s="198" t="s">
        <v>54</v>
      </c>
      <c r="E1437" s="202">
        <v>12880162</v>
      </c>
      <c r="K1437" s="198" t="s">
        <v>1094</v>
      </c>
      <c r="L1437" s="198" t="s">
        <v>167</v>
      </c>
      <c r="P1437" s="201"/>
      <c r="R1437" s="202">
        <v>12880162</v>
      </c>
      <c r="U1437" s="198" t="s">
        <v>349</v>
      </c>
      <c r="AA1437" s="198" t="s">
        <v>51</v>
      </c>
      <c r="AB1437" s="202">
        <v>12880162</v>
      </c>
      <c r="AC1437" s="202">
        <v>12880162</v>
      </c>
    </row>
    <row r="1438" spans="1:29" outlineLevel="1" x14ac:dyDescent="0.25">
      <c r="A1438" s="210"/>
      <c r="B1438" s="209"/>
      <c r="C1438" s="209"/>
      <c r="D1438" s="209" t="s">
        <v>54</v>
      </c>
      <c r="E1438" s="211">
        <v>12880162</v>
      </c>
      <c r="F1438" s="209"/>
      <c r="G1438" s="209"/>
      <c r="H1438" s="209"/>
      <c r="I1438" s="209"/>
      <c r="J1438" s="209"/>
      <c r="K1438" s="209" t="s">
        <v>54</v>
      </c>
      <c r="L1438" s="209" t="s">
        <v>54</v>
      </c>
      <c r="M1438" s="209"/>
      <c r="N1438" s="209"/>
      <c r="O1438" s="209"/>
      <c r="P1438" s="210"/>
      <c r="Q1438" s="209"/>
      <c r="R1438" s="212"/>
      <c r="S1438" s="209"/>
      <c r="T1438" s="209"/>
      <c r="U1438" s="209" t="s">
        <v>54</v>
      </c>
      <c r="V1438" s="209"/>
      <c r="W1438" s="209"/>
      <c r="X1438" s="209"/>
      <c r="Y1438" s="209"/>
      <c r="Z1438" s="209"/>
      <c r="AA1438" s="209" t="s">
        <v>54</v>
      </c>
      <c r="AB1438" s="212"/>
      <c r="AC1438" s="212"/>
    </row>
    <row r="1439" spans="1:29" outlineLevel="2" x14ac:dyDescent="0.25">
      <c r="A1439" s="201">
        <v>46008</v>
      </c>
      <c r="D1439" s="198" t="s">
        <v>54</v>
      </c>
      <c r="E1439" s="202">
        <v>356767580</v>
      </c>
      <c r="K1439" s="198" t="s">
        <v>1096</v>
      </c>
      <c r="L1439" s="198" t="s">
        <v>167</v>
      </c>
      <c r="P1439" s="201"/>
      <c r="R1439" s="202">
        <v>356767580</v>
      </c>
      <c r="U1439" s="198" t="s">
        <v>1095</v>
      </c>
      <c r="AA1439" s="198" t="s">
        <v>51</v>
      </c>
      <c r="AB1439" s="202">
        <v>356767580</v>
      </c>
      <c r="AC1439" s="202">
        <v>356767580</v>
      </c>
    </row>
    <row r="1440" spans="1:29" outlineLevel="2" x14ac:dyDescent="0.25">
      <c r="A1440" s="201">
        <v>46009</v>
      </c>
      <c r="D1440" s="198" t="s">
        <v>54</v>
      </c>
      <c r="E1440" s="202">
        <v>180660673.22999999</v>
      </c>
      <c r="K1440" s="198" t="s">
        <v>1096</v>
      </c>
      <c r="L1440" s="198" t="s">
        <v>167</v>
      </c>
      <c r="P1440" s="201"/>
      <c r="R1440" s="202">
        <v>180660673.22999999</v>
      </c>
      <c r="U1440" s="198" t="s">
        <v>1095</v>
      </c>
      <c r="AA1440" s="198" t="s">
        <v>51</v>
      </c>
      <c r="AB1440" s="202">
        <v>180660673.22999999</v>
      </c>
      <c r="AC1440" s="202">
        <v>180660673.22999999</v>
      </c>
    </row>
    <row r="1441" spans="1:29" outlineLevel="2" x14ac:dyDescent="0.25">
      <c r="A1441" s="201">
        <v>46013</v>
      </c>
      <c r="D1441" s="198" t="s">
        <v>54</v>
      </c>
      <c r="E1441" s="202">
        <v>65524965.600000001</v>
      </c>
      <c r="K1441" s="198" t="s">
        <v>1096</v>
      </c>
      <c r="L1441" s="198" t="s">
        <v>167</v>
      </c>
      <c r="P1441" s="201"/>
      <c r="R1441" s="202">
        <v>65524965.600000001</v>
      </c>
      <c r="U1441" s="198" t="s">
        <v>1095</v>
      </c>
      <c r="AA1441" s="198" t="s">
        <v>51</v>
      </c>
      <c r="AB1441" s="202">
        <v>65524965.600000001</v>
      </c>
      <c r="AC1441" s="202">
        <v>65524965.600000001</v>
      </c>
    </row>
    <row r="1442" spans="1:29" outlineLevel="2" x14ac:dyDescent="0.25">
      <c r="A1442" s="201">
        <v>46014</v>
      </c>
      <c r="D1442" s="198" t="s">
        <v>54</v>
      </c>
      <c r="E1442" s="202">
        <v>-261643</v>
      </c>
      <c r="K1442" s="198" t="s">
        <v>1096</v>
      </c>
      <c r="L1442" s="198" t="s">
        <v>167</v>
      </c>
      <c r="P1442" s="201"/>
      <c r="R1442" s="202">
        <v>-261643</v>
      </c>
      <c r="U1442" s="198" t="s">
        <v>1095</v>
      </c>
      <c r="AA1442" s="198" t="s">
        <v>51</v>
      </c>
      <c r="AB1442" s="202">
        <v>-261643</v>
      </c>
      <c r="AC1442" s="202">
        <v>-261643</v>
      </c>
    </row>
    <row r="1443" spans="1:29" outlineLevel="2" x14ac:dyDescent="0.25">
      <c r="A1443" s="201">
        <v>46014</v>
      </c>
      <c r="D1443" s="198" t="s">
        <v>54</v>
      </c>
      <c r="E1443" s="202">
        <v>600000</v>
      </c>
      <c r="K1443" s="198" t="s">
        <v>1096</v>
      </c>
      <c r="L1443" s="198" t="s">
        <v>167</v>
      </c>
      <c r="P1443" s="201"/>
      <c r="R1443" s="202">
        <v>600000</v>
      </c>
      <c r="U1443" s="198" t="s">
        <v>1095</v>
      </c>
      <c r="AA1443" s="198" t="s">
        <v>51</v>
      </c>
      <c r="AB1443" s="202">
        <v>600000</v>
      </c>
      <c r="AC1443" s="202">
        <v>600000</v>
      </c>
    </row>
    <row r="1444" spans="1:29" outlineLevel="2" x14ac:dyDescent="0.25">
      <c r="A1444" s="201">
        <v>46017</v>
      </c>
      <c r="D1444" s="198" t="s">
        <v>54</v>
      </c>
      <c r="E1444" s="202">
        <v>-16053182.859999999</v>
      </c>
      <c r="K1444" s="198" t="s">
        <v>1096</v>
      </c>
      <c r="L1444" s="198" t="s">
        <v>167</v>
      </c>
      <c r="P1444" s="201"/>
      <c r="R1444" s="202">
        <v>-16053182.859999999</v>
      </c>
      <c r="U1444" s="198" t="s">
        <v>1095</v>
      </c>
      <c r="AA1444" s="198" t="s">
        <v>51</v>
      </c>
      <c r="AB1444" s="202">
        <v>-16053182.859999999</v>
      </c>
      <c r="AC1444" s="202">
        <v>-16053182.859999999</v>
      </c>
    </row>
    <row r="1445" spans="1:29" outlineLevel="2" x14ac:dyDescent="0.25">
      <c r="A1445" s="201">
        <v>46017</v>
      </c>
      <c r="D1445" s="198" t="s">
        <v>54</v>
      </c>
      <c r="E1445" s="202">
        <v>15100000</v>
      </c>
      <c r="K1445" s="198" t="s">
        <v>1096</v>
      </c>
      <c r="L1445" s="198" t="s">
        <v>167</v>
      </c>
      <c r="P1445" s="201"/>
      <c r="R1445" s="202">
        <v>15100000</v>
      </c>
      <c r="U1445" s="198" t="s">
        <v>1095</v>
      </c>
      <c r="AA1445" s="198" t="s">
        <v>51</v>
      </c>
      <c r="AB1445" s="202">
        <v>15100000</v>
      </c>
      <c r="AC1445" s="202">
        <v>15100000</v>
      </c>
    </row>
    <row r="1446" spans="1:29" outlineLevel="2" x14ac:dyDescent="0.25">
      <c r="A1446" s="201">
        <v>46018</v>
      </c>
      <c r="D1446" s="198" t="s">
        <v>54</v>
      </c>
      <c r="E1446" s="202">
        <v>4000000</v>
      </c>
      <c r="K1446" s="198" t="s">
        <v>1096</v>
      </c>
      <c r="L1446" s="198" t="s">
        <v>167</v>
      </c>
      <c r="P1446" s="201"/>
      <c r="R1446" s="202">
        <v>4000000</v>
      </c>
      <c r="U1446" s="198" t="s">
        <v>1095</v>
      </c>
      <c r="AA1446" s="198" t="s">
        <v>51</v>
      </c>
      <c r="AB1446" s="202">
        <v>4000000</v>
      </c>
      <c r="AC1446" s="202">
        <v>4000000</v>
      </c>
    </row>
    <row r="1447" spans="1:29" outlineLevel="2" x14ac:dyDescent="0.25">
      <c r="A1447" s="201">
        <v>46018</v>
      </c>
      <c r="D1447" s="198" t="s">
        <v>54</v>
      </c>
      <c r="E1447" s="202">
        <v>200000</v>
      </c>
      <c r="K1447" s="198" t="s">
        <v>1096</v>
      </c>
      <c r="L1447" s="198" t="s">
        <v>167</v>
      </c>
      <c r="P1447" s="201"/>
      <c r="R1447" s="202">
        <v>200000</v>
      </c>
      <c r="U1447" s="198" t="s">
        <v>1095</v>
      </c>
      <c r="AA1447" s="198" t="s">
        <v>51</v>
      </c>
      <c r="AB1447" s="202">
        <v>200000</v>
      </c>
      <c r="AC1447" s="202">
        <v>200000</v>
      </c>
    </row>
    <row r="1448" spans="1:29" outlineLevel="2" x14ac:dyDescent="0.25">
      <c r="A1448" s="201">
        <v>46020</v>
      </c>
      <c r="D1448" s="198" t="s">
        <v>54</v>
      </c>
      <c r="E1448" s="202">
        <v>2320630</v>
      </c>
      <c r="K1448" s="198" t="s">
        <v>1096</v>
      </c>
      <c r="L1448" s="198" t="s">
        <v>167</v>
      </c>
      <c r="P1448" s="201"/>
      <c r="R1448" s="202">
        <v>2320630</v>
      </c>
      <c r="U1448" s="198" t="s">
        <v>1095</v>
      </c>
      <c r="AA1448" s="198" t="s">
        <v>51</v>
      </c>
      <c r="AB1448" s="202">
        <v>2320630</v>
      </c>
      <c r="AC1448" s="202">
        <v>2320630</v>
      </c>
    </row>
    <row r="1449" spans="1:29" outlineLevel="2" x14ac:dyDescent="0.25">
      <c r="A1449" s="201">
        <v>46020</v>
      </c>
      <c r="D1449" s="198" t="s">
        <v>54</v>
      </c>
      <c r="E1449" s="202">
        <v>68000000</v>
      </c>
      <c r="K1449" s="198" t="s">
        <v>1096</v>
      </c>
      <c r="L1449" s="198" t="s">
        <v>167</v>
      </c>
      <c r="P1449" s="201"/>
      <c r="R1449" s="202">
        <v>68000000</v>
      </c>
      <c r="U1449" s="198" t="s">
        <v>1095</v>
      </c>
      <c r="AA1449" s="198" t="s">
        <v>51</v>
      </c>
      <c r="AB1449" s="202">
        <v>68000000</v>
      </c>
      <c r="AC1449" s="202">
        <v>68000000</v>
      </c>
    </row>
    <row r="1450" spans="1:29" outlineLevel="2" x14ac:dyDescent="0.25">
      <c r="A1450" s="201">
        <v>46020</v>
      </c>
      <c r="D1450" s="198" t="s">
        <v>54</v>
      </c>
      <c r="E1450" s="202">
        <v>-55937024.32</v>
      </c>
      <c r="K1450" s="198" t="s">
        <v>1096</v>
      </c>
      <c r="L1450" s="198" t="s">
        <v>167</v>
      </c>
      <c r="P1450" s="201"/>
      <c r="R1450" s="202">
        <v>-55937024.32</v>
      </c>
      <c r="U1450" s="198" t="s">
        <v>1095</v>
      </c>
      <c r="AA1450" s="198" t="s">
        <v>51</v>
      </c>
      <c r="AB1450" s="202">
        <v>-55937024.32</v>
      </c>
      <c r="AC1450" s="202">
        <v>-55937024.32</v>
      </c>
    </row>
    <row r="1451" spans="1:29" outlineLevel="2" x14ac:dyDescent="0.25">
      <c r="A1451" s="201">
        <v>46021</v>
      </c>
      <c r="D1451" s="198" t="s">
        <v>54</v>
      </c>
      <c r="E1451" s="202">
        <v>300000</v>
      </c>
      <c r="K1451" s="198" t="s">
        <v>1096</v>
      </c>
      <c r="L1451" s="198" t="s">
        <v>167</v>
      </c>
      <c r="P1451" s="201"/>
      <c r="R1451" s="202">
        <v>300000</v>
      </c>
      <c r="U1451" s="198" t="s">
        <v>1095</v>
      </c>
      <c r="AA1451" s="198" t="s">
        <v>51</v>
      </c>
      <c r="AB1451" s="202">
        <v>300000</v>
      </c>
      <c r="AC1451" s="202">
        <v>300000</v>
      </c>
    </row>
    <row r="1452" spans="1:29" outlineLevel="2" x14ac:dyDescent="0.25">
      <c r="A1452" s="201">
        <v>46022</v>
      </c>
      <c r="D1452" s="198" t="s">
        <v>54</v>
      </c>
      <c r="E1452" s="202">
        <v>142000</v>
      </c>
      <c r="K1452" s="198" t="s">
        <v>1096</v>
      </c>
      <c r="L1452" s="198" t="s">
        <v>167</v>
      </c>
      <c r="P1452" s="201"/>
      <c r="R1452" s="202">
        <v>142000</v>
      </c>
      <c r="U1452" s="198" t="s">
        <v>1095</v>
      </c>
      <c r="AA1452" s="198" t="s">
        <v>51</v>
      </c>
      <c r="AB1452" s="202">
        <v>142000</v>
      </c>
      <c r="AC1452" s="202">
        <v>142000</v>
      </c>
    </row>
    <row r="1453" spans="1:29" outlineLevel="2" x14ac:dyDescent="0.25">
      <c r="A1453" s="201">
        <v>46022</v>
      </c>
      <c r="D1453" s="198" t="s">
        <v>54</v>
      </c>
      <c r="E1453" s="202">
        <v>5961420</v>
      </c>
      <c r="K1453" s="198" t="s">
        <v>1096</v>
      </c>
      <c r="L1453" s="198" t="s">
        <v>167</v>
      </c>
      <c r="P1453" s="201"/>
      <c r="R1453" s="202">
        <v>5961420</v>
      </c>
      <c r="U1453" s="198" t="s">
        <v>1095</v>
      </c>
      <c r="AA1453" s="198" t="s">
        <v>51</v>
      </c>
      <c r="AB1453" s="202">
        <v>5961420</v>
      </c>
      <c r="AC1453" s="202">
        <v>5961420</v>
      </c>
    </row>
    <row r="1454" spans="1:29" outlineLevel="2" x14ac:dyDescent="0.25">
      <c r="A1454" s="201">
        <v>46037</v>
      </c>
      <c r="D1454" s="198" t="s">
        <v>54</v>
      </c>
      <c r="E1454" s="202">
        <v>4914810</v>
      </c>
      <c r="K1454" s="198" t="s">
        <v>1096</v>
      </c>
      <c r="L1454" s="198" t="s">
        <v>167</v>
      </c>
      <c r="P1454" s="201"/>
      <c r="R1454" s="202">
        <v>4914810</v>
      </c>
      <c r="U1454" s="198" t="s">
        <v>1095</v>
      </c>
      <c r="AA1454" s="198" t="s">
        <v>51</v>
      </c>
      <c r="AB1454" s="202">
        <v>4914810</v>
      </c>
      <c r="AC1454" s="202">
        <v>4914810</v>
      </c>
    </row>
    <row r="1455" spans="1:29" outlineLevel="2" x14ac:dyDescent="0.25">
      <c r="A1455" s="201">
        <v>46043</v>
      </c>
      <c r="D1455" s="198" t="s">
        <v>54</v>
      </c>
      <c r="E1455" s="202">
        <v>6000000</v>
      </c>
      <c r="K1455" s="198" t="s">
        <v>1096</v>
      </c>
      <c r="L1455" s="198" t="s">
        <v>167</v>
      </c>
      <c r="P1455" s="201"/>
      <c r="R1455" s="202">
        <v>6000000</v>
      </c>
      <c r="U1455" s="198" t="s">
        <v>1095</v>
      </c>
      <c r="AA1455" s="198" t="s">
        <v>51</v>
      </c>
      <c r="AB1455" s="202">
        <v>6000000</v>
      </c>
      <c r="AC1455" s="202">
        <v>6000000</v>
      </c>
    </row>
    <row r="1456" spans="1:29" outlineLevel="2" x14ac:dyDescent="0.25">
      <c r="A1456" s="201">
        <v>46065</v>
      </c>
      <c r="D1456" s="198" t="s">
        <v>54</v>
      </c>
      <c r="E1456" s="202">
        <v>9202560</v>
      </c>
      <c r="K1456" s="198" t="s">
        <v>1096</v>
      </c>
      <c r="L1456" s="198" t="s">
        <v>167</v>
      </c>
      <c r="P1456" s="201"/>
      <c r="R1456" s="202">
        <v>9202560</v>
      </c>
      <c r="U1456" s="198" t="s">
        <v>1095</v>
      </c>
      <c r="AA1456" s="198" t="s">
        <v>51</v>
      </c>
      <c r="AB1456" s="202">
        <v>9202560</v>
      </c>
      <c r="AC1456" s="202">
        <v>9202560</v>
      </c>
    </row>
    <row r="1457" spans="1:29" outlineLevel="2" x14ac:dyDescent="0.25">
      <c r="A1457" s="201">
        <v>46066</v>
      </c>
      <c r="D1457" s="198" t="s">
        <v>54</v>
      </c>
      <c r="E1457" s="202">
        <v>3157000</v>
      </c>
      <c r="K1457" s="198" t="s">
        <v>1096</v>
      </c>
      <c r="L1457" s="198" t="s">
        <v>167</v>
      </c>
      <c r="P1457" s="201"/>
      <c r="R1457" s="202">
        <v>3157000</v>
      </c>
      <c r="U1457" s="198" t="s">
        <v>1095</v>
      </c>
      <c r="AA1457" s="198" t="s">
        <v>51</v>
      </c>
      <c r="AB1457" s="202">
        <v>3157000</v>
      </c>
      <c r="AC1457" s="202">
        <v>3157000</v>
      </c>
    </row>
    <row r="1458" spans="1:29" outlineLevel="2" x14ac:dyDescent="0.25">
      <c r="A1458" s="201">
        <v>46077</v>
      </c>
      <c r="D1458" s="198" t="s">
        <v>54</v>
      </c>
      <c r="E1458" s="202">
        <v>284900</v>
      </c>
      <c r="K1458" s="198" t="s">
        <v>1096</v>
      </c>
      <c r="L1458" s="198" t="s">
        <v>167</v>
      </c>
      <c r="P1458" s="201"/>
      <c r="R1458" s="202">
        <v>284900</v>
      </c>
      <c r="U1458" s="198" t="s">
        <v>1095</v>
      </c>
      <c r="AA1458" s="198" t="s">
        <v>51</v>
      </c>
      <c r="AB1458" s="202">
        <v>284900</v>
      </c>
      <c r="AC1458" s="202">
        <v>284900</v>
      </c>
    </row>
    <row r="1459" spans="1:29" outlineLevel="2" x14ac:dyDescent="0.25">
      <c r="A1459" s="201">
        <v>46112</v>
      </c>
      <c r="D1459" s="198" t="s">
        <v>54</v>
      </c>
      <c r="E1459" s="202">
        <v>-12106140.359999999</v>
      </c>
      <c r="K1459" s="198" t="s">
        <v>1096</v>
      </c>
      <c r="L1459" s="198" t="s">
        <v>167</v>
      </c>
      <c r="P1459" s="201"/>
      <c r="R1459" s="202">
        <v>-12106140.359999999</v>
      </c>
      <c r="U1459" s="198" t="s">
        <v>1095</v>
      </c>
      <c r="AA1459" s="198" t="s">
        <v>51</v>
      </c>
      <c r="AB1459" s="202">
        <v>-12106140.359999999</v>
      </c>
      <c r="AC1459" s="202">
        <v>-12106140.359999999</v>
      </c>
    </row>
    <row r="1460" spans="1:29" outlineLevel="2" x14ac:dyDescent="0.25">
      <c r="A1460" s="201">
        <v>46119</v>
      </c>
      <c r="D1460" s="198" t="s">
        <v>54</v>
      </c>
      <c r="E1460" s="202">
        <v>1039250.32</v>
      </c>
      <c r="K1460" s="198" t="s">
        <v>1096</v>
      </c>
      <c r="L1460" s="198" t="s">
        <v>167</v>
      </c>
      <c r="P1460" s="201"/>
      <c r="R1460" s="202">
        <v>1039250.32</v>
      </c>
      <c r="U1460" s="198" t="s">
        <v>1095</v>
      </c>
      <c r="AA1460" s="198" t="s">
        <v>51</v>
      </c>
      <c r="AB1460" s="202">
        <v>1039250.32</v>
      </c>
      <c r="AC1460" s="202">
        <v>1039250.32</v>
      </c>
    </row>
    <row r="1461" spans="1:29" outlineLevel="2" x14ac:dyDescent="0.25">
      <c r="A1461" s="201">
        <v>46139</v>
      </c>
      <c r="D1461" s="198" t="s">
        <v>54</v>
      </c>
      <c r="E1461" s="202">
        <v>18945367.390000001</v>
      </c>
      <c r="K1461" s="198" t="s">
        <v>1096</v>
      </c>
      <c r="L1461" s="198" t="s">
        <v>167</v>
      </c>
      <c r="P1461" s="201"/>
      <c r="R1461" s="202">
        <v>18945367.390000001</v>
      </c>
      <c r="U1461" s="198" t="s">
        <v>1095</v>
      </c>
      <c r="AA1461" s="198" t="s">
        <v>51</v>
      </c>
      <c r="AB1461" s="202">
        <v>18945367.390000001</v>
      </c>
      <c r="AC1461" s="202">
        <v>18945367.390000001</v>
      </c>
    </row>
    <row r="1462" spans="1:29" outlineLevel="2" x14ac:dyDescent="0.25">
      <c r="A1462" s="201">
        <v>46141</v>
      </c>
      <c r="D1462" s="198" t="s">
        <v>54</v>
      </c>
      <c r="E1462" s="202">
        <v>12161000</v>
      </c>
      <c r="K1462" s="198" t="s">
        <v>1096</v>
      </c>
      <c r="L1462" s="198" t="s">
        <v>167</v>
      </c>
      <c r="P1462" s="201"/>
      <c r="R1462" s="202">
        <v>12161000</v>
      </c>
      <c r="U1462" s="198" t="s">
        <v>1095</v>
      </c>
      <c r="AA1462" s="198" t="s">
        <v>51</v>
      </c>
      <c r="AB1462" s="202">
        <v>12161000</v>
      </c>
      <c r="AC1462" s="202">
        <v>12161000</v>
      </c>
    </row>
    <row r="1463" spans="1:29" outlineLevel="2" x14ac:dyDescent="0.25">
      <c r="A1463" s="201">
        <v>46155</v>
      </c>
      <c r="D1463" s="198" t="s">
        <v>54</v>
      </c>
      <c r="E1463" s="202">
        <v>3098647.2</v>
      </c>
      <c r="K1463" s="198" t="s">
        <v>1096</v>
      </c>
      <c r="L1463" s="198" t="s">
        <v>167</v>
      </c>
      <c r="P1463" s="201"/>
      <c r="R1463" s="202">
        <v>3098647.2</v>
      </c>
      <c r="U1463" s="198" t="s">
        <v>1095</v>
      </c>
      <c r="AA1463" s="198" t="s">
        <v>51</v>
      </c>
      <c r="AB1463" s="202">
        <v>3098647.2</v>
      </c>
      <c r="AC1463" s="202">
        <v>3098647.2</v>
      </c>
    </row>
    <row r="1464" spans="1:29" outlineLevel="2" x14ac:dyDescent="0.25">
      <c r="A1464" s="201">
        <v>46160</v>
      </c>
      <c r="D1464" s="198" t="s">
        <v>54</v>
      </c>
      <c r="E1464" s="202">
        <v>14413.8</v>
      </c>
      <c r="K1464" s="198" t="s">
        <v>1096</v>
      </c>
      <c r="L1464" s="198" t="s">
        <v>167</v>
      </c>
      <c r="P1464" s="201"/>
      <c r="R1464" s="202">
        <v>14413.8</v>
      </c>
      <c r="U1464" s="198" t="s">
        <v>1095</v>
      </c>
      <c r="AA1464" s="198" t="s">
        <v>51</v>
      </c>
      <c r="AB1464" s="202">
        <v>14413.8</v>
      </c>
      <c r="AC1464" s="202">
        <v>14413.8</v>
      </c>
    </row>
    <row r="1465" spans="1:29" outlineLevel="2" x14ac:dyDescent="0.25">
      <c r="A1465" s="201">
        <v>46160</v>
      </c>
      <c r="D1465" s="198" t="s">
        <v>54</v>
      </c>
      <c r="E1465" s="202">
        <v>7500</v>
      </c>
      <c r="K1465" s="198" t="s">
        <v>1096</v>
      </c>
      <c r="L1465" s="198" t="s">
        <v>167</v>
      </c>
      <c r="P1465" s="201"/>
      <c r="R1465" s="202">
        <v>7500</v>
      </c>
      <c r="U1465" s="198" t="s">
        <v>1095</v>
      </c>
      <c r="AA1465" s="198" t="s">
        <v>51</v>
      </c>
      <c r="AB1465" s="202">
        <v>7500</v>
      </c>
      <c r="AC1465" s="202">
        <v>7500</v>
      </c>
    </row>
    <row r="1466" spans="1:29" outlineLevel="1" x14ac:dyDescent="0.25">
      <c r="A1466" s="210"/>
      <c r="B1466" s="209"/>
      <c r="C1466" s="209"/>
      <c r="D1466" s="209" t="s">
        <v>54</v>
      </c>
      <c r="E1466" s="211">
        <v>674044727</v>
      </c>
      <c r="F1466" s="209"/>
      <c r="G1466" s="209"/>
      <c r="H1466" s="209"/>
      <c r="I1466" s="209"/>
      <c r="J1466" s="209"/>
      <c r="K1466" s="209" t="s">
        <v>54</v>
      </c>
      <c r="L1466" s="209" t="s">
        <v>54</v>
      </c>
      <c r="M1466" s="209"/>
      <c r="N1466" s="209"/>
      <c r="O1466" s="209"/>
      <c r="P1466" s="210"/>
      <c r="Q1466" s="209"/>
      <c r="R1466" s="212"/>
      <c r="S1466" s="209"/>
      <c r="T1466" s="209"/>
      <c r="U1466" s="209" t="s">
        <v>54</v>
      </c>
      <c r="V1466" s="209"/>
      <c r="W1466" s="209"/>
      <c r="X1466" s="209"/>
      <c r="Y1466" s="209"/>
      <c r="Z1466" s="209"/>
      <c r="AA1466" s="209" t="s">
        <v>54</v>
      </c>
      <c r="AB1466" s="212"/>
      <c r="AC1466" s="212"/>
    </row>
    <row r="1467" spans="1:29" outlineLevel="2" x14ac:dyDescent="0.25">
      <c r="A1467" s="201">
        <v>46008</v>
      </c>
      <c r="D1467" s="198" t="s">
        <v>54</v>
      </c>
      <c r="E1467" s="202">
        <v>356767580</v>
      </c>
      <c r="K1467" s="198" t="s">
        <v>1098</v>
      </c>
      <c r="L1467" s="198" t="s">
        <v>167</v>
      </c>
      <c r="P1467" s="201"/>
      <c r="R1467" s="202">
        <v>356767580</v>
      </c>
      <c r="U1467" s="198" t="s">
        <v>1097</v>
      </c>
      <c r="AA1467" s="198" t="s">
        <v>51</v>
      </c>
      <c r="AB1467" s="202">
        <v>356767580</v>
      </c>
      <c r="AC1467" s="202">
        <v>356767580</v>
      </c>
    </row>
    <row r="1468" spans="1:29" outlineLevel="2" x14ac:dyDescent="0.25">
      <c r="A1468" s="201">
        <v>46009</v>
      </c>
      <c r="D1468" s="198" t="s">
        <v>54</v>
      </c>
      <c r="E1468" s="202">
        <v>144084413.22999999</v>
      </c>
      <c r="K1468" s="198" t="s">
        <v>1098</v>
      </c>
      <c r="L1468" s="198" t="s">
        <v>167</v>
      </c>
      <c r="P1468" s="201"/>
      <c r="R1468" s="202">
        <v>144084413.22999999</v>
      </c>
      <c r="U1468" s="198" t="s">
        <v>1097</v>
      </c>
      <c r="AA1468" s="198" t="s">
        <v>51</v>
      </c>
      <c r="AB1468" s="202">
        <v>144084413.22999999</v>
      </c>
      <c r="AC1468" s="202">
        <v>144084413.22999999</v>
      </c>
    </row>
    <row r="1469" spans="1:29" outlineLevel="2" x14ac:dyDescent="0.25">
      <c r="A1469" s="201">
        <v>46013</v>
      </c>
      <c r="D1469" s="198" t="s">
        <v>54</v>
      </c>
      <c r="E1469" s="202">
        <v>65431221.600000001</v>
      </c>
      <c r="K1469" s="198" t="s">
        <v>1098</v>
      </c>
      <c r="L1469" s="198" t="s">
        <v>167</v>
      </c>
      <c r="P1469" s="201"/>
      <c r="R1469" s="202">
        <v>65431221.600000001</v>
      </c>
      <c r="U1469" s="198" t="s">
        <v>1097</v>
      </c>
      <c r="AA1469" s="198" t="s">
        <v>51</v>
      </c>
      <c r="AB1469" s="202">
        <v>65431221.600000001</v>
      </c>
      <c r="AC1469" s="202">
        <v>65431221.600000001</v>
      </c>
    </row>
    <row r="1470" spans="1:29" outlineLevel="2" x14ac:dyDescent="0.25">
      <c r="A1470" s="201">
        <v>46014</v>
      </c>
      <c r="D1470" s="198" t="s">
        <v>54</v>
      </c>
      <c r="E1470" s="202">
        <v>-1264650</v>
      </c>
      <c r="K1470" s="198" t="s">
        <v>1098</v>
      </c>
      <c r="L1470" s="198" t="s">
        <v>167</v>
      </c>
      <c r="P1470" s="201"/>
      <c r="R1470" s="202">
        <v>-1264650</v>
      </c>
      <c r="U1470" s="198" t="s">
        <v>1097</v>
      </c>
      <c r="AA1470" s="198" t="s">
        <v>51</v>
      </c>
      <c r="AB1470" s="202">
        <v>-1264650</v>
      </c>
      <c r="AC1470" s="202">
        <v>-1264650</v>
      </c>
    </row>
    <row r="1471" spans="1:29" outlineLevel="2" x14ac:dyDescent="0.25">
      <c r="A1471" s="201">
        <v>46014</v>
      </c>
      <c r="D1471" s="198" t="s">
        <v>54</v>
      </c>
      <c r="E1471" s="202">
        <v>600000</v>
      </c>
      <c r="K1471" s="198" t="s">
        <v>1098</v>
      </c>
      <c r="L1471" s="198" t="s">
        <v>167</v>
      </c>
      <c r="P1471" s="201"/>
      <c r="R1471" s="202">
        <v>600000</v>
      </c>
      <c r="U1471" s="198" t="s">
        <v>1097</v>
      </c>
      <c r="AA1471" s="198" t="s">
        <v>51</v>
      </c>
      <c r="AB1471" s="202">
        <v>600000</v>
      </c>
      <c r="AC1471" s="202">
        <v>600000</v>
      </c>
    </row>
    <row r="1472" spans="1:29" outlineLevel="2" x14ac:dyDescent="0.25">
      <c r="A1472" s="201">
        <v>46017</v>
      </c>
      <c r="D1472" s="198" t="s">
        <v>54</v>
      </c>
      <c r="E1472" s="202">
        <v>-13433671.859999999</v>
      </c>
      <c r="K1472" s="198" t="s">
        <v>1098</v>
      </c>
      <c r="L1472" s="198" t="s">
        <v>167</v>
      </c>
      <c r="P1472" s="201"/>
      <c r="R1472" s="202">
        <v>-13433671.859999999</v>
      </c>
      <c r="U1472" s="198" t="s">
        <v>1097</v>
      </c>
      <c r="AA1472" s="198" t="s">
        <v>51</v>
      </c>
      <c r="AB1472" s="202">
        <v>-13433671.859999999</v>
      </c>
      <c r="AC1472" s="202">
        <v>-13433671.859999999</v>
      </c>
    </row>
    <row r="1473" spans="1:29" outlineLevel="2" x14ac:dyDescent="0.25">
      <c r="A1473" s="201">
        <v>46017</v>
      </c>
      <c r="D1473" s="198" t="s">
        <v>54</v>
      </c>
      <c r="E1473" s="202">
        <v>15100000</v>
      </c>
      <c r="K1473" s="198" t="s">
        <v>1098</v>
      </c>
      <c r="L1473" s="198" t="s">
        <v>167</v>
      </c>
      <c r="P1473" s="201"/>
      <c r="R1473" s="202">
        <v>15100000</v>
      </c>
      <c r="U1473" s="198" t="s">
        <v>1097</v>
      </c>
      <c r="AA1473" s="198" t="s">
        <v>51</v>
      </c>
      <c r="AB1473" s="202">
        <v>15100000</v>
      </c>
      <c r="AC1473" s="202">
        <v>15100000</v>
      </c>
    </row>
    <row r="1474" spans="1:29" outlineLevel="2" x14ac:dyDescent="0.25">
      <c r="A1474" s="201">
        <v>46018</v>
      </c>
      <c r="D1474" s="198" t="s">
        <v>54</v>
      </c>
      <c r="E1474" s="202">
        <v>4000000</v>
      </c>
      <c r="K1474" s="198" t="s">
        <v>1098</v>
      </c>
      <c r="L1474" s="198" t="s">
        <v>167</v>
      </c>
      <c r="P1474" s="201"/>
      <c r="R1474" s="202">
        <v>4000000</v>
      </c>
      <c r="U1474" s="198" t="s">
        <v>1097</v>
      </c>
      <c r="AA1474" s="198" t="s">
        <v>51</v>
      </c>
      <c r="AB1474" s="202">
        <v>4000000</v>
      </c>
      <c r="AC1474" s="202">
        <v>4000000</v>
      </c>
    </row>
    <row r="1475" spans="1:29" outlineLevel="2" x14ac:dyDescent="0.25">
      <c r="A1475" s="201">
        <v>46018</v>
      </c>
      <c r="D1475" s="198" t="s">
        <v>54</v>
      </c>
      <c r="E1475" s="202">
        <v>200000</v>
      </c>
      <c r="K1475" s="198" t="s">
        <v>1098</v>
      </c>
      <c r="L1475" s="198" t="s">
        <v>167</v>
      </c>
      <c r="P1475" s="201"/>
      <c r="R1475" s="202">
        <v>200000</v>
      </c>
      <c r="U1475" s="198" t="s">
        <v>1097</v>
      </c>
      <c r="AA1475" s="198" t="s">
        <v>51</v>
      </c>
      <c r="AB1475" s="202">
        <v>200000</v>
      </c>
      <c r="AC1475" s="202">
        <v>200000</v>
      </c>
    </row>
    <row r="1476" spans="1:29" outlineLevel="2" x14ac:dyDescent="0.25">
      <c r="A1476" s="201">
        <v>46020</v>
      </c>
      <c r="D1476" s="198" t="s">
        <v>54</v>
      </c>
      <c r="E1476" s="202">
        <v>2320630</v>
      </c>
      <c r="K1476" s="198" t="s">
        <v>1098</v>
      </c>
      <c r="L1476" s="198" t="s">
        <v>167</v>
      </c>
      <c r="P1476" s="201"/>
      <c r="R1476" s="202">
        <v>2320630</v>
      </c>
      <c r="U1476" s="198" t="s">
        <v>1097</v>
      </c>
      <c r="AA1476" s="198" t="s">
        <v>51</v>
      </c>
      <c r="AB1476" s="202">
        <v>2320630</v>
      </c>
      <c r="AC1476" s="202">
        <v>2320630</v>
      </c>
    </row>
    <row r="1477" spans="1:29" outlineLevel="2" x14ac:dyDescent="0.25">
      <c r="A1477" s="201">
        <v>46020</v>
      </c>
      <c r="D1477" s="198" t="s">
        <v>54</v>
      </c>
      <c r="E1477" s="202">
        <v>60000000</v>
      </c>
      <c r="K1477" s="198" t="s">
        <v>1098</v>
      </c>
      <c r="L1477" s="198" t="s">
        <v>167</v>
      </c>
      <c r="P1477" s="201"/>
      <c r="R1477" s="202">
        <v>60000000</v>
      </c>
      <c r="U1477" s="198" t="s">
        <v>1097</v>
      </c>
      <c r="AA1477" s="198" t="s">
        <v>51</v>
      </c>
      <c r="AB1477" s="202">
        <v>60000000</v>
      </c>
      <c r="AC1477" s="202">
        <v>60000000</v>
      </c>
    </row>
    <row r="1478" spans="1:29" outlineLevel="2" x14ac:dyDescent="0.25">
      <c r="A1478" s="201">
        <v>46020</v>
      </c>
      <c r="D1478" s="198" t="s">
        <v>54</v>
      </c>
      <c r="E1478" s="202">
        <v>-55937024.32</v>
      </c>
      <c r="K1478" s="198" t="s">
        <v>1098</v>
      </c>
      <c r="L1478" s="198" t="s">
        <v>167</v>
      </c>
      <c r="P1478" s="201"/>
      <c r="R1478" s="202">
        <v>-55937024.32</v>
      </c>
      <c r="U1478" s="198" t="s">
        <v>1097</v>
      </c>
      <c r="AA1478" s="198" t="s">
        <v>51</v>
      </c>
      <c r="AB1478" s="202">
        <v>-55937024.32</v>
      </c>
      <c r="AC1478" s="202">
        <v>-55937024.32</v>
      </c>
    </row>
    <row r="1479" spans="1:29" outlineLevel="2" x14ac:dyDescent="0.25">
      <c r="A1479" s="201">
        <v>46021</v>
      </c>
      <c r="D1479" s="198" t="s">
        <v>54</v>
      </c>
      <c r="E1479" s="202">
        <v>300000</v>
      </c>
      <c r="K1479" s="198" t="s">
        <v>1098</v>
      </c>
      <c r="L1479" s="198" t="s">
        <v>167</v>
      </c>
      <c r="P1479" s="201"/>
      <c r="R1479" s="202">
        <v>300000</v>
      </c>
      <c r="U1479" s="198" t="s">
        <v>1097</v>
      </c>
      <c r="AA1479" s="198" t="s">
        <v>51</v>
      </c>
      <c r="AB1479" s="202">
        <v>300000</v>
      </c>
      <c r="AC1479" s="202">
        <v>300000</v>
      </c>
    </row>
    <row r="1480" spans="1:29" outlineLevel="2" x14ac:dyDescent="0.25">
      <c r="A1480" s="201">
        <v>46022</v>
      </c>
      <c r="D1480" s="198" t="s">
        <v>54</v>
      </c>
      <c r="E1480" s="202">
        <v>142000</v>
      </c>
      <c r="K1480" s="198" t="s">
        <v>1098</v>
      </c>
      <c r="L1480" s="198" t="s">
        <v>167</v>
      </c>
      <c r="P1480" s="201"/>
      <c r="R1480" s="202">
        <v>142000</v>
      </c>
      <c r="U1480" s="198" t="s">
        <v>1097</v>
      </c>
      <c r="AA1480" s="198" t="s">
        <v>51</v>
      </c>
      <c r="AB1480" s="202">
        <v>142000</v>
      </c>
      <c r="AC1480" s="202">
        <v>142000</v>
      </c>
    </row>
    <row r="1481" spans="1:29" outlineLevel="2" x14ac:dyDescent="0.25">
      <c r="A1481" s="201">
        <v>46037</v>
      </c>
      <c r="D1481" s="198" t="s">
        <v>54</v>
      </c>
      <c r="E1481" s="202">
        <v>4914810</v>
      </c>
      <c r="K1481" s="198" t="s">
        <v>1098</v>
      </c>
      <c r="L1481" s="198" t="s">
        <v>167</v>
      </c>
      <c r="P1481" s="201"/>
      <c r="R1481" s="202">
        <v>4914810</v>
      </c>
      <c r="U1481" s="198" t="s">
        <v>1097</v>
      </c>
      <c r="AA1481" s="198" t="s">
        <v>51</v>
      </c>
      <c r="AB1481" s="202">
        <v>4914810</v>
      </c>
      <c r="AC1481" s="202">
        <v>4914810</v>
      </c>
    </row>
    <row r="1482" spans="1:29" outlineLevel="2" x14ac:dyDescent="0.25">
      <c r="A1482" s="201">
        <v>46043</v>
      </c>
      <c r="D1482" s="198" t="s">
        <v>54</v>
      </c>
      <c r="E1482" s="202">
        <v>6000000</v>
      </c>
      <c r="K1482" s="198" t="s">
        <v>1098</v>
      </c>
      <c r="L1482" s="198" t="s">
        <v>167</v>
      </c>
      <c r="P1482" s="201"/>
      <c r="R1482" s="202">
        <v>6000000</v>
      </c>
      <c r="U1482" s="198" t="s">
        <v>1097</v>
      </c>
      <c r="AA1482" s="198" t="s">
        <v>51</v>
      </c>
      <c r="AB1482" s="202">
        <v>6000000</v>
      </c>
      <c r="AC1482" s="202">
        <v>6000000</v>
      </c>
    </row>
    <row r="1483" spans="1:29" outlineLevel="2" x14ac:dyDescent="0.25">
      <c r="A1483" s="201">
        <v>46065</v>
      </c>
      <c r="D1483" s="198" t="s">
        <v>54</v>
      </c>
      <c r="E1483" s="202">
        <v>9202560</v>
      </c>
      <c r="K1483" s="198" t="s">
        <v>1098</v>
      </c>
      <c r="L1483" s="198" t="s">
        <v>167</v>
      </c>
      <c r="P1483" s="201"/>
      <c r="R1483" s="202">
        <v>9202560</v>
      </c>
      <c r="U1483" s="198" t="s">
        <v>1097</v>
      </c>
      <c r="AA1483" s="198" t="s">
        <v>51</v>
      </c>
      <c r="AB1483" s="202">
        <v>9202560</v>
      </c>
      <c r="AC1483" s="202">
        <v>9202560</v>
      </c>
    </row>
    <row r="1484" spans="1:29" outlineLevel="2" x14ac:dyDescent="0.25">
      <c r="A1484" s="201">
        <v>46066</v>
      </c>
      <c r="D1484" s="198" t="s">
        <v>54</v>
      </c>
      <c r="E1484" s="202">
        <v>3157000</v>
      </c>
      <c r="K1484" s="198" t="s">
        <v>1098</v>
      </c>
      <c r="L1484" s="198" t="s">
        <v>167</v>
      </c>
      <c r="P1484" s="201"/>
      <c r="R1484" s="202">
        <v>3157000</v>
      </c>
      <c r="U1484" s="198" t="s">
        <v>1097</v>
      </c>
      <c r="AA1484" s="198" t="s">
        <v>51</v>
      </c>
      <c r="AB1484" s="202">
        <v>3157000</v>
      </c>
      <c r="AC1484" s="202">
        <v>3157000</v>
      </c>
    </row>
    <row r="1485" spans="1:29" outlineLevel="2" x14ac:dyDescent="0.25">
      <c r="A1485" s="201">
        <v>46077</v>
      </c>
      <c r="D1485" s="198" t="s">
        <v>54</v>
      </c>
      <c r="E1485" s="202">
        <v>284900</v>
      </c>
      <c r="K1485" s="198" t="s">
        <v>1098</v>
      </c>
      <c r="L1485" s="198" t="s">
        <v>167</v>
      </c>
      <c r="P1485" s="201"/>
      <c r="R1485" s="202">
        <v>284900</v>
      </c>
      <c r="U1485" s="198" t="s">
        <v>1097</v>
      </c>
      <c r="AA1485" s="198" t="s">
        <v>51</v>
      </c>
      <c r="AB1485" s="202">
        <v>284900</v>
      </c>
      <c r="AC1485" s="202">
        <v>284900</v>
      </c>
    </row>
    <row r="1486" spans="1:29" outlineLevel="2" x14ac:dyDescent="0.25">
      <c r="A1486" s="201">
        <v>46112</v>
      </c>
      <c r="D1486" s="198" t="s">
        <v>54</v>
      </c>
      <c r="E1486" s="202">
        <v>-12106140.359999999</v>
      </c>
      <c r="K1486" s="198" t="s">
        <v>1098</v>
      </c>
      <c r="L1486" s="198" t="s">
        <v>167</v>
      </c>
      <c r="P1486" s="201"/>
      <c r="R1486" s="202">
        <v>-12106140.359999999</v>
      </c>
      <c r="U1486" s="198" t="s">
        <v>1097</v>
      </c>
      <c r="AA1486" s="198" t="s">
        <v>51</v>
      </c>
      <c r="AB1486" s="202">
        <v>-12106140.359999999</v>
      </c>
      <c r="AC1486" s="202">
        <v>-12106140.359999999</v>
      </c>
    </row>
    <row r="1487" spans="1:29" outlineLevel="2" x14ac:dyDescent="0.25">
      <c r="A1487" s="201">
        <v>46119</v>
      </c>
      <c r="D1487" s="198" t="s">
        <v>54</v>
      </c>
      <c r="E1487" s="202">
        <v>1039250.32</v>
      </c>
      <c r="K1487" s="198" t="s">
        <v>1098</v>
      </c>
      <c r="L1487" s="198" t="s">
        <v>167</v>
      </c>
      <c r="P1487" s="201"/>
      <c r="R1487" s="202">
        <v>1039250.32</v>
      </c>
      <c r="U1487" s="198" t="s">
        <v>1097</v>
      </c>
      <c r="AA1487" s="198" t="s">
        <v>51</v>
      </c>
      <c r="AB1487" s="202">
        <v>1039250.32</v>
      </c>
      <c r="AC1487" s="202">
        <v>1039250.32</v>
      </c>
    </row>
    <row r="1488" spans="1:29" outlineLevel="2" x14ac:dyDescent="0.25">
      <c r="A1488" s="201">
        <v>46139</v>
      </c>
      <c r="D1488" s="198" t="s">
        <v>54</v>
      </c>
      <c r="E1488" s="202">
        <v>18945367.390000001</v>
      </c>
      <c r="K1488" s="198" t="s">
        <v>1098</v>
      </c>
      <c r="L1488" s="198" t="s">
        <v>167</v>
      </c>
      <c r="P1488" s="201"/>
      <c r="R1488" s="202">
        <v>18945367.390000001</v>
      </c>
      <c r="U1488" s="198" t="s">
        <v>1097</v>
      </c>
      <c r="AA1488" s="198" t="s">
        <v>51</v>
      </c>
      <c r="AB1488" s="202">
        <v>18945367.390000001</v>
      </c>
      <c r="AC1488" s="202">
        <v>18945367.390000001</v>
      </c>
    </row>
    <row r="1489" spans="1:29" outlineLevel="2" x14ac:dyDescent="0.25">
      <c r="A1489" s="201">
        <v>46141</v>
      </c>
      <c r="D1489" s="198" t="s">
        <v>54</v>
      </c>
      <c r="E1489" s="202">
        <v>12161000</v>
      </c>
      <c r="K1489" s="198" t="s">
        <v>1098</v>
      </c>
      <c r="L1489" s="198" t="s">
        <v>167</v>
      </c>
      <c r="P1489" s="201"/>
      <c r="R1489" s="202">
        <v>12161000</v>
      </c>
      <c r="U1489" s="198" t="s">
        <v>1097</v>
      </c>
      <c r="AA1489" s="198" t="s">
        <v>51</v>
      </c>
      <c r="AB1489" s="202">
        <v>12161000</v>
      </c>
      <c r="AC1489" s="202">
        <v>12161000</v>
      </c>
    </row>
    <row r="1490" spans="1:29" outlineLevel="2" x14ac:dyDescent="0.25">
      <c r="A1490" s="201">
        <v>46155</v>
      </c>
      <c r="D1490" s="198" t="s">
        <v>54</v>
      </c>
      <c r="E1490" s="202">
        <v>3098647.2</v>
      </c>
      <c r="K1490" s="198" t="s">
        <v>1098</v>
      </c>
      <c r="L1490" s="198" t="s">
        <v>167</v>
      </c>
      <c r="P1490" s="201"/>
      <c r="R1490" s="202">
        <v>3098647.2</v>
      </c>
      <c r="U1490" s="198" t="s">
        <v>1097</v>
      </c>
      <c r="AA1490" s="198" t="s">
        <v>51</v>
      </c>
      <c r="AB1490" s="202">
        <v>3098647.2</v>
      </c>
      <c r="AC1490" s="202">
        <v>3098647.2</v>
      </c>
    </row>
    <row r="1491" spans="1:29" outlineLevel="2" x14ac:dyDescent="0.25">
      <c r="A1491" s="201">
        <v>46160</v>
      </c>
      <c r="D1491" s="198" t="s">
        <v>54</v>
      </c>
      <c r="E1491" s="202">
        <v>14413.8</v>
      </c>
      <c r="K1491" s="198" t="s">
        <v>1098</v>
      </c>
      <c r="L1491" s="198" t="s">
        <v>167</v>
      </c>
      <c r="P1491" s="201"/>
      <c r="R1491" s="202">
        <v>14413.8</v>
      </c>
      <c r="U1491" s="198" t="s">
        <v>1097</v>
      </c>
      <c r="AA1491" s="198" t="s">
        <v>51</v>
      </c>
      <c r="AB1491" s="202">
        <v>14413.8</v>
      </c>
      <c r="AC1491" s="202">
        <v>14413.8</v>
      </c>
    </row>
    <row r="1492" spans="1:29" outlineLevel="2" x14ac:dyDescent="0.25">
      <c r="A1492" s="201">
        <v>46160</v>
      </c>
      <c r="D1492" s="198" t="s">
        <v>54</v>
      </c>
      <c r="E1492" s="202">
        <v>7500</v>
      </c>
      <c r="K1492" s="198" t="s">
        <v>1098</v>
      </c>
      <c r="L1492" s="198" t="s">
        <v>167</v>
      </c>
      <c r="P1492" s="201"/>
      <c r="R1492" s="202">
        <v>7500</v>
      </c>
      <c r="U1492" s="198" t="s">
        <v>1097</v>
      </c>
      <c r="AA1492" s="198" t="s">
        <v>51</v>
      </c>
      <c r="AB1492" s="202">
        <v>7500</v>
      </c>
      <c r="AC1492" s="202">
        <v>7500</v>
      </c>
    </row>
    <row r="1493" spans="1:29" outlineLevel="1" x14ac:dyDescent="0.25">
      <c r="A1493" s="210"/>
      <c r="B1493" s="209"/>
      <c r="C1493" s="209"/>
      <c r="D1493" s="209" t="s">
        <v>54</v>
      </c>
      <c r="E1493" s="211">
        <v>625029807</v>
      </c>
      <c r="F1493" s="209"/>
      <c r="G1493" s="209"/>
      <c r="H1493" s="209"/>
      <c r="I1493" s="209"/>
      <c r="J1493" s="209"/>
      <c r="K1493" s="209" t="s">
        <v>54</v>
      </c>
      <c r="L1493" s="209" t="s">
        <v>54</v>
      </c>
      <c r="M1493" s="209"/>
      <c r="N1493" s="209"/>
      <c r="O1493" s="209"/>
      <c r="P1493" s="210"/>
      <c r="Q1493" s="209"/>
      <c r="R1493" s="212"/>
      <c r="S1493" s="209"/>
      <c r="T1493" s="209"/>
      <c r="U1493" s="209" t="s">
        <v>54</v>
      </c>
      <c r="V1493" s="209"/>
      <c r="W1493" s="209"/>
      <c r="X1493" s="209"/>
      <c r="Y1493" s="209"/>
      <c r="Z1493" s="209"/>
      <c r="AA1493" s="209" t="s">
        <v>54</v>
      </c>
      <c r="AB1493" s="212"/>
      <c r="AC1493" s="212"/>
    </row>
    <row r="1494" spans="1:29" outlineLevel="2" x14ac:dyDescent="0.25">
      <c r="A1494" s="201">
        <v>46008</v>
      </c>
      <c r="D1494" s="198" t="s">
        <v>54</v>
      </c>
      <c r="E1494" s="202">
        <v>196682685</v>
      </c>
      <c r="K1494" s="198" t="s">
        <v>1099</v>
      </c>
      <c r="L1494" s="198" t="s">
        <v>167</v>
      </c>
      <c r="P1494" s="201"/>
      <c r="R1494" s="202">
        <v>196682685</v>
      </c>
      <c r="U1494" s="198" t="s">
        <v>199</v>
      </c>
      <c r="AA1494" s="198" t="s">
        <v>51</v>
      </c>
      <c r="AB1494" s="202">
        <v>196682685</v>
      </c>
      <c r="AC1494" s="202">
        <v>196682685</v>
      </c>
    </row>
    <row r="1495" spans="1:29" outlineLevel="2" x14ac:dyDescent="0.25">
      <c r="A1495" s="201">
        <v>46017</v>
      </c>
      <c r="D1495" s="198" t="s">
        <v>54</v>
      </c>
      <c r="E1495" s="202">
        <v>12097515</v>
      </c>
      <c r="K1495" s="198" t="s">
        <v>1099</v>
      </c>
      <c r="L1495" s="198" t="s">
        <v>167</v>
      </c>
      <c r="P1495" s="201"/>
      <c r="R1495" s="202">
        <v>12097515</v>
      </c>
      <c r="U1495" s="198" t="s">
        <v>199</v>
      </c>
      <c r="AA1495" s="198" t="s">
        <v>51</v>
      </c>
      <c r="AB1495" s="202">
        <v>12097515</v>
      </c>
      <c r="AC1495" s="202">
        <v>12097515</v>
      </c>
    </row>
    <row r="1496" spans="1:29" outlineLevel="2" x14ac:dyDescent="0.25">
      <c r="A1496" s="201">
        <v>46037</v>
      </c>
      <c r="D1496" s="198" t="s">
        <v>54</v>
      </c>
      <c r="E1496" s="202">
        <v>4914810</v>
      </c>
      <c r="K1496" s="198" t="s">
        <v>1099</v>
      </c>
      <c r="L1496" s="198" t="s">
        <v>167</v>
      </c>
      <c r="P1496" s="201"/>
      <c r="R1496" s="202">
        <v>4914810</v>
      </c>
      <c r="U1496" s="198" t="s">
        <v>199</v>
      </c>
      <c r="AA1496" s="198" t="s">
        <v>51</v>
      </c>
      <c r="AB1496" s="202">
        <v>4914810</v>
      </c>
      <c r="AC1496" s="202">
        <v>4914810</v>
      </c>
    </row>
    <row r="1497" spans="1:29" outlineLevel="2" x14ac:dyDescent="0.25">
      <c r="A1497" s="201">
        <v>46043</v>
      </c>
      <c r="D1497" s="198" t="s">
        <v>54</v>
      </c>
      <c r="E1497" s="202">
        <v>6000000</v>
      </c>
      <c r="K1497" s="198" t="s">
        <v>1099</v>
      </c>
      <c r="L1497" s="198" t="s">
        <v>167</v>
      </c>
      <c r="P1497" s="201"/>
      <c r="R1497" s="202">
        <v>6000000</v>
      </c>
      <c r="U1497" s="198" t="s">
        <v>199</v>
      </c>
      <c r="AA1497" s="198" t="s">
        <v>51</v>
      </c>
      <c r="AB1497" s="202">
        <v>6000000</v>
      </c>
      <c r="AC1497" s="202">
        <v>6000000</v>
      </c>
    </row>
    <row r="1498" spans="1:29" outlineLevel="2" x14ac:dyDescent="0.25">
      <c r="A1498" s="201">
        <v>46065</v>
      </c>
      <c r="D1498" s="198" t="s">
        <v>54</v>
      </c>
      <c r="E1498" s="202">
        <v>9202560</v>
      </c>
      <c r="K1498" s="198" t="s">
        <v>1099</v>
      </c>
      <c r="L1498" s="198" t="s">
        <v>167</v>
      </c>
      <c r="P1498" s="201"/>
      <c r="R1498" s="202">
        <v>9202560</v>
      </c>
      <c r="U1498" s="198" t="s">
        <v>199</v>
      </c>
      <c r="AA1498" s="198" t="s">
        <v>51</v>
      </c>
      <c r="AB1498" s="202">
        <v>9202560</v>
      </c>
      <c r="AC1498" s="202">
        <v>9202560</v>
      </c>
    </row>
    <row r="1499" spans="1:29" outlineLevel="2" x14ac:dyDescent="0.25">
      <c r="A1499" s="201">
        <v>46066</v>
      </c>
      <c r="D1499" s="198" t="s">
        <v>54</v>
      </c>
      <c r="E1499" s="202">
        <v>3157000</v>
      </c>
      <c r="K1499" s="198" t="s">
        <v>1099</v>
      </c>
      <c r="L1499" s="198" t="s">
        <v>167</v>
      </c>
      <c r="P1499" s="201"/>
      <c r="R1499" s="202">
        <v>3157000</v>
      </c>
      <c r="U1499" s="198" t="s">
        <v>199</v>
      </c>
      <c r="AA1499" s="198" t="s">
        <v>51</v>
      </c>
      <c r="AB1499" s="202">
        <v>3157000</v>
      </c>
      <c r="AC1499" s="202">
        <v>3157000</v>
      </c>
    </row>
    <row r="1500" spans="1:29" outlineLevel="2" x14ac:dyDescent="0.25">
      <c r="A1500" s="201">
        <v>46077</v>
      </c>
      <c r="D1500" s="198" t="s">
        <v>54</v>
      </c>
      <c r="E1500" s="202">
        <v>284900</v>
      </c>
      <c r="K1500" s="198" t="s">
        <v>1099</v>
      </c>
      <c r="L1500" s="198" t="s">
        <v>167</v>
      </c>
      <c r="P1500" s="201"/>
      <c r="R1500" s="202">
        <v>284900</v>
      </c>
      <c r="U1500" s="198" t="s">
        <v>199</v>
      </c>
      <c r="AA1500" s="198" t="s">
        <v>51</v>
      </c>
      <c r="AB1500" s="202">
        <v>284900</v>
      </c>
      <c r="AC1500" s="202">
        <v>284900</v>
      </c>
    </row>
    <row r="1501" spans="1:29" outlineLevel="2" x14ac:dyDescent="0.25">
      <c r="A1501" s="201">
        <v>46139</v>
      </c>
      <c r="D1501" s="198" t="s">
        <v>54</v>
      </c>
      <c r="E1501" s="202">
        <v>3190600</v>
      </c>
      <c r="K1501" s="198" t="s">
        <v>1099</v>
      </c>
      <c r="L1501" s="198" t="s">
        <v>167</v>
      </c>
      <c r="P1501" s="201"/>
      <c r="R1501" s="202">
        <v>3190600</v>
      </c>
      <c r="U1501" s="198" t="s">
        <v>199</v>
      </c>
      <c r="AA1501" s="198" t="s">
        <v>51</v>
      </c>
      <c r="AB1501" s="202">
        <v>3190600</v>
      </c>
      <c r="AC1501" s="202">
        <v>3190600</v>
      </c>
    </row>
    <row r="1502" spans="1:29" outlineLevel="1" x14ac:dyDescent="0.25">
      <c r="A1502" s="210"/>
      <c r="B1502" s="209"/>
      <c r="C1502" s="209"/>
      <c r="D1502" s="209" t="s">
        <v>54</v>
      </c>
      <c r="E1502" s="211">
        <v>235530070</v>
      </c>
      <c r="F1502" s="209"/>
      <c r="G1502" s="209"/>
      <c r="H1502" s="209"/>
      <c r="I1502" s="209"/>
      <c r="J1502" s="209"/>
      <c r="K1502" s="209" t="s">
        <v>54</v>
      </c>
      <c r="L1502" s="209" t="s">
        <v>54</v>
      </c>
      <c r="M1502" s="209"/>
      <c r="N1502" s="209"/>
      <c r="O1502" s="209"/>
      <c r="P1502" s="210"/>
      <c r="Q1502" s="209"/>
      <c r="R1502" s="212"/>
      <c r="S1502" s="209"/>
      <c r="T1502" s="209"/>
      <c r="U1502" s="209" t="s">
        <v>54</v>
      </c>
      <c r="V1502" s="209"/>
      <c r="W1502" s="209"/>
      <c r="X1502" s="209"/>
      <c r="Y1502" s="209"/>
      <c r="Z1502" s="209"/>
      <c r="AA1502" s="209" t="s">
        <v>54</v>
      </c>
      <c r="AB1502" s="212"/>
      <c r="AC1502" s="212"/>
    </row>
    <row r="1503" spans="1:29" outlineLevel="2" x14ac:dyDescent="0.25">
      <c r="A1503" s="201">
        <v>46008</v>
      </c>
      <c r="D1503" s="198" t="s">
        <v>54</v>
      </c>
      <c r="E1503" s="202">
        <v>47870635</v>
      </c>
      <c r="K1503" s="198" t="s">
        <v>1100</v>
      </c>
      <c r="L1503" s="198" t="s">
        <v>167</v>
      </c>
      <c r="P1503" s="201"/>
      <c r="R1503" s="202">
        <v>47870635</v>
      </c>
      <c r="U1503" s="198" t="s">
        <v>164</v>
      </c>
      <c r="AA1503" s="198" t="s">
        <v>51</v>
      </c>
      <c r="AB1503" s="202">
        <v>47870635</v>
      </c>
      <c r="AC1503" s="202">
        <v>47870635</v>
      </c>
    </row>
    <row r="1504" spans="1:29" outlineLevel="2" x14ac:dyDescent="0.25">
      <c r="A1504" s="201">
        <v>46009</v>
      </c>
      <c r="D1504" s="198" t="s">
        <v>54</v>
      </c>
      <c r="E1504" s="202">
        <v>40300807</v>
      </c>
      <c r="K1504" s="198" t="s">
        <v>1100</v>
      </c>
      <c r="L1504" s="198" t="s">
        <v>167</v>
      </c>
      <c r="P1504" s="201"/>
      <c r="R1504" s="202">
        <v>40300807</v>
      </c>
      <c r="U1504" s="198" t="s">
        <v>164</v>
      </c>
      <c r="AA1504" s="198" t="s">
        <v>51</v>
      </c>
      <c r="AB1504" s="202">
        <v>40300807</v>
      </c>
      <c r="AC1504" s="202">
        <v>40300807</v>
      </c>
    </row>
    <row r="1505" spans="1:29" outlineLevel="2" x14ac:dyDescent="0.25">
      <c r="A1505" s="201">
        <v>46017</v>
      </c>
      <c r="D1505" s="198" t="s">
        <v>54</v>
      </c>
      <c r="E1505" s="202">
        <v>-39417.68</v>
      </c>
      <c r="K1505" s="198" t="s">
        <v>1100</v>
      </c>
      <c r="L1505" s="198" t="s">
        <v>167</v>
      </c>
      <c r="P1505" s="201"/>
      <c r="R1505" s="202">
        <v>-39417.68</v>
      </c>
      <c r="U1505" s="198" t="s">
        <v>164</v>
      </c>
      <c r="AA1505" s="198" t="s">
        <v>51</v>
      </c>
      <c r="AB1505" s="202">
        <v>-39417.68</v>
      </c>
      <c r="AC1505" s="202">
        <v>-39417.68</v>
      </c>
    </row>
    <row r="1506" spans="1:29" outlineLevel="2" x14ac:dyDescent="0.25">
      <c r="A1506" s="201">
        <v>46017</v>
      </c>
      <c r="D1506" s="198" t="s">
        <v>54</v>
      </c>
      <c r="E1506" s="202">
        <v>10000000</v>
      </c>
      <c r="K1506" s="198" t="s">
        <v>1100</v>
      </c>
      <c r="L1506" s="198" t="s">
        <v>167</v>
      </c>
      <c r="P1506" s="201"/>
      <c r="R1506" s="202">
        <v>10000000</v>
      </c>
      <c r="U1506" s="198" t="s">
        <v>164</v>
      </c>
      <c r="AA1506" s="198" t="s">
        <v>51</v>
      </c>
      <c r="AB1506" s="202">
        <v>10000000</v>
      </c>
      <c r="AC1506" s="202">
        <v>10000000</v>
      </c>
    </row>
    <row r="1507" spans="1:29" outlineLevel="2" x14ac:dyDescent="0.25">
      <c r="A1507" s="201">
        <v>46020</v>
      </c>
      <c r="D1507" s="198" t="s">
        <v>54</v>
      </c>
      <c r="E1507" s="202">
        <v>60000000</v>
      </c>
      <c r="K1507" s="198" t="s">
        <v>1100</v>
      </c>
      <c r="L1507" s="198" t="s">
        <v>167</v>
      </c>
      <c r="P1507" s="201"/>
      <c r="R1507" s="202">
        <v>60000000</v>
      </c>
      <c r="U1507" s="198" t="s">
        <v>164</v>
      </c>
      <c r="AA1507" s="198" t="s">
        <v>51</v>
      </c>
      <c r="AB1507" s="202">
        <v>60000000</v>
      </c>
      <c r="AC1507" s="202">
        <v>60000000</v>
      </c>
    </row>
    <row r="1508" spans="1:29" outlineLevel="2" x14ac:dyDescent="0.25">
      <c r="A1508" s="201">
        <v>46020</v>
      </c>
      <c r="D1508" s="198" t="s">
        <v>54</v>
      </c>
      <c r="E1508" s="202">
        <v>-55937024.32</v>
      </c>
      <c r="K1508" s="198" t="s">
        <v>1100</v>
      </c>
      <c r="L1508" s="198" t="s">
        <v>167</v>
      </c>
      <c r="P1508" s="201"/>
      <c r="R1508" s="202">
        <v>-55937024.32</v>
      </c>
      <c r="U1508" s="198" t="s">
        <v>164</v>
      </c>
      <c r="AA1508" s="198" t="s">
        <v>51</v>
      </c>
      <c r="AB1508" s="202">
        <v>-55937024.32</v>
      </c>
      <c r="AC1508" s="202">
        <v>-55937024.32</v>
      </c>
    </row>
    <row r="1509" spans="1:29" outlineLevel="2" x14ac:dyDescent="0.25">
      <c r="A1509" s="201">
        <v>46112</v>
      </c>
      <c r="D1509" s="198" t="s">
        <v>54</v>
      </c>
      <c r="E1509" s="202">
        <v>-4157688.04</v>
      </c>
      <c r="K1509" s="198" t="s">
        <v>1100</v>
      </c>
      <c r="L1509" s="198" t="s">
        <v>167</v>
      </c>
      <c r="P1509" s="201"/>
      <c r="R1509" s="202">
        <v>-4157688.04</v>
      </c>
      <c r="U1509" s="198" t="s">
        <v>164</v>
      </c>
      <c r="AA1509" s="198" t="s">
        <v>51</v>
      </c>
      <c r="AB1509" s="202">
        <v>-4157688.04</v>
      </c>
      <c r="AC1509" s="202">
        <v>-4157688.04</v>
      </c>
    </row>
    <row r="1510" spans="1:29" outlineLevel="2" x14ac:dyDescent="0.25">
      <c r="A1510" s="201">
        <v>46139</v>
      </c>
      <c r="D1510" s="198" t="s">
        <v>54</v>
      </c>
      <c r="E1510" s="202">
        <v>256289.04</v>
      </c>
      <c r="K1510" s="198" t="s">
        <v>1100</v>
      </c>
      <c r="L1510" s="198" t="s">
        <v>167</v>
      </c>
      <c r="P1510" s="201"/>
      <c r="R1510" s="202">
        <v>256289.04</v>
      </c>
      <c r="U1510" s="198" t="s">
        <v>164</v>
      </c>
      <c r="AA1510" s="198" t="s">
        <v>51</v>
      </c>
      <c r="AB1510" s="202">
        <v>256289.04</v>
      </c>
      <c r="AC1510" s="202">
        <v>256289.04</v>
      </c>
    </row>
    <row r="1511" spans="1:29" outlineLevel="1" x14ac:dyDescent="0.25">
      <c r="A1511" s="210"/>
      <c r="B1511" s="209"/>
      <c r="C1511" s="209"/>
      <c r="D1511" s="209" t="s">
        <v>54</v>
      </c>
      <c r="E1511" s="211">
        <v>98293601</v>
      </c>
      <c r="F1511" s="209"/>
      <c r="G1511" s="209"/>
      <c r="H1511" s="209"/>
      <c r="I1511" s="209"/>
      <c r="J1511" s="209"/>
      <c r="K1511" s="209" t="s">
        <v>54</v>
      </c>
      <c r="L1511" s="209" t="s">
        <v>54</v>
      </c>
      <c r="M1511" s="209"/>
      <c r="N1511" s="209"/>
      <c r="O1511" s="209"/>
      <c r="P1511" s="210"/>
      <c r="Q1511" s="209"/>
      <c r="R1511" s="212"/>
      <c r="S1511" s="209"/>
      <c r="T1511" s="209"/>
      <c r="U1511" s="209" t="s">
        <v>54</v>
      </c>
      <c r="V1511" s="209"/>
      <c r="W1511" s="209"/>
      <c r="X1511" s="209"/>
      <c r="Y1511" s="209"/>
      <c r="Z1511" s="209"/>
      <c r="AA1511" s="209" t="s">
        <v>54</v>
      </c>
      <c r="AB1511" s="212"/>
      <c r="AC1511" s="212"/>
    </row>
    <row r="1512" spans="1:29" outlineLevel="2" x14ac:dyDescent="0.25">
      <c r="A1512" s="201">
        <v>46008</v>
      </c>
      <c r="D1512" s="198" t="s">
        <v>54</v>
      </c>
      <c r="E1512" s="202">
        <v>89845615</v>
      </c>
      <c r="K1512" s="198" t="s">
        <v>1102</v>
      </c>
      <c r="L1512" s="198" t="s">
        <v>167</v>
      </c>
      <c r="P1512" s="201"/>
      <c r="R1512" s="202">
        <v>89845615</v>
      </c>
      <c r="U1512" s="198" t="s">
        <v>1101</v>
      </c>
      <c r="AA1512" s="198" t="s">
        <v>51</v>
      </c>
      <c r="AB1512" s="202">
        <v>89845615</v>
      </c>
      <c r="AC1512" s="202">
        <v>89845615</v>
      </c>
    </row>
    <row r="1513" spans="1:29" outlineLevel="2" x14ac:dyDescent="0.25">
      <c r="A1513" s="201">
        <v>46009</v>
      </c>
      <c r="D1513" s="198" t="s">
        <v>54</v>
      </c>
      <c r="E1513" s="202">
        <v>85842127.230000004</v>
      </c>
      <c r="K1513" s="198" t="s">
        <v>1102</v>
      </c>
      <c r="L1513" s="198" t="s">
        <v>167</v>
      </c>
      <c r="P1513" s="201"/>
      <c r="R1513" s="202">
        <v>85842127.230000004</v>
      </c>
      <c r="U1513" s="198" t="s">
        <v>1101</v>
      </c>
      <c r="AA1513" s="198" t="s">
        <v>51</v>
      </c>
      <c r="AB1513" s="202">
        <v>85842127.230000004</v>
      </c>
      <c r="AC1513" s="202">
        <v>85842127.230000004</v>
      </c>
    </row>
    <row r="1514" spans="1:29" outlineLevel="2" x14ac:dyDescent="0.25">
      <c r="A1514" s="201">
        <v>46013</v>
      </c>
      <c r="D1514" s="198" t="s">
        <v>54</v>
      </c>
      <c r="E1514" s="202">
        <v>58459089.600000001</v>
      </c>
      <c r="K1514" s="198" t="s">
        <v>1102</v>
      </c>
      <c r="L1514" s="198" t="s">
        <v>167</v>
      </c>
      <c r="P1514" s="201"/>
      <c r="R1514" s="202">
        <v>58459089.600000001</v>
      </c>
      <c r="U1514" s="198" t="s">
        <v>1101</v>
      </c>
      <c r="AA1514" s="198" t="s">
        <v>51</v>
      </c>
      <c r="AB1514" s="202">
        <v>58459089.600000001</v>
      </c>
      <c r="AC1514" s="202">
        <v>58459089.600000001</v>
      </c>
    </row>
    <row r="1515" spans="1:29" outlineLevel="2" x14ac:dyDescent="0.25">
      <c r="A1515" s="201">
        <v>46017</v>
      </c>
      <c r="D1515" s="198" t="s">
        <v>54</v>
      </c>
      <c r="E1515" s="202">
        <v>-30709163.18</v>
      </c>
      <c r="K1515" s="198" t="s">
        <v>1102</v>
      </c>
      <c r="L1515" s="198" t="s">
        <v>167</v>
      </c>
      <c r="P1515" s="201"/>
      <c r="R1515" s="202">
        <v>-30709163.18</v>
      </c>
      <c r="U1515" s="198" t="s">
        <v>1101</v>
      </c>
      <c r="AA1515" s="198" t="s">
        <v>51</v>
      </c>
      <c r="AB1515" s="202">
        <v>-30709163.18</v>
      </c>
      <c r="AC1515" s="202">
        <v>-30709163.18</v>
      </c>
    </row>
    <row r="1516" spans="1:29" outlineLevel="2" x14ac:dyDescent="0.25">
      <c r="A1516" s="201">
        <v>46017</v>
      </c>
      <c r="D1516" s="198" t="s">
        <v>54</v>
      </c>
      <c r="E1516" s="202">
        <v>5100000</v>
      </c>
      <c r="K1516" s="198" t="s">
        <v>1102</v>
      </c>
      <c r="L1516" s="198" t="s">
        <v>167</v>
      </c>
      <c r="P1516" s="201"/>
      <c r="R1516" s="202">
        <v>5100000</v>
      </c>
      <c r="U1516" s="198" t="s">
        <v>1101</v>
      </c>
      <c r="AA1516" s="198" t="s">
        <v>51</v>
      </c>
      <c r="AB1516" s="202">
        <v>5100000</v>
      </c>
      <c r="AC1516" s="202">
        <v>5100000</v>
      </c>
    </row>
    <row r="1517" spans="1:29" outlineLevel="2" x14ac:dyDescent="0.25">
      <c r="A1517" s="201">
        <v>46112</v>
      </c>
      <c r="D1517" s="198" t="s">
        <v>54</v>
      </c>
      <c r="E1517" s="202">
        <v>-5704225.2800000003</v>
      </c>
      <c r="K1517" s="198" t="s">
        <v>1102</v>
      </c>
      <c r="L1517" s="198" t="s">
        <v>167</v>
      </c>
      <c r="P1517" s="201"/>
      <c r="R1517" s="202">
        <v>-5704225.2800000003</v>
      </c>
      <c r="U1517" s="198" t="s">
        <v>1101</v>
      </c>
      <c r="AA1517" s="198" t="s">
        <v>51</v>
      </c>
      <c r="AB1517" s="202">
        <v>-5704225.2800000003</v>
      </c>
      <c r="AC1517" s="202">
        <v>-5704225.2800000003</v>
      </c>
    </row>
    <row r="1518" spans="1:29" outlineLevel="2" x14ac:dyDescent="0.25">
      <c r="A1518" s="201">
        <v>46119</v>
      </c>
      <c r="D1518" s="198" t="s">
        <v>54</v>
      </c>
      <c r="E1518" s="202">
        <v>915650.28</v>
      </c>
      <c r="K1518" s="198" t="s">
        <v>1102</v>
      </c>
      <c r="L1518" s="198" t="s">
        <v>167</v>
      </c>
      <c r="P1518" s="201"/>
      <c r="R1518" s="202">
        <v>915650.28</v>
      </c>
      <c r="U1518" s="198" t="s">
        <v>1101</v>
      </c>
      <c r="AA1518" s="198" t="s">
        <v>51</v>
      </c>
      <c r="AB1518" s="202">
        <v>915650.28</v>
      </c>
      <c r="AC1518" s="202">
        <v>915650.28</v>
      </c>
    </row>
    <row r="1519" spans="1:29" outlineLevel="2" x14ac:dyDescent="0.25">
      <c r="A1519" s="201">
        <v>46139</v>
      </c>
      <c r="D1519" s="198" t="s">
        <v>54</v>
      </c>
      <c r="E1519" s="202">
        <v>8489985.3499999996</v>
      </c>
      <c r="K1519" s="198" t="s">
        <v>1102</v>
      </c>
      <c r="L1519" s="198" t="s">
        <v>167</v>
      </c>
      <c r="P1519" s="201"/>
      <c r="R1519" s="202">
        <v>8489985.3499999996</v>
      </c>
      <c r="U1519" s="198" t="s">
        <v>1101</v>
      </c>
      <c r="AA1519" s="198" t="s">
        <v>51</v>
      </c>
      <c r="AB1519" s="202">
        <v>8489985.3499999996</v>
      </c>
      <c r="AC1519" s="202">
        <v>8489985.3499999996</v>
      </c>
    </row>
    <row r="1520" spans="1:29" outlineLevel="1" x14ac:dyDescent="0.25">
      <c r="A1520" s="210"/>
      <c r="B1520" s="209"/>
      <c r="C1520" s="209"/>
      <c r="D1520" s="209" t="s">
        <v>54</v>
      </c>
      <c r="E1520" s="211">
        <v>212239079</v>
      </c>
      <c r="F1520" s="209"/>
      <c r="G1520" s="209"/>
      <c r="H1520" s="209"/>
      <c r="I1520" s="209"/>
      <c r="J1520" s="209"/>
      <c r="K1520" s="209" t="s">
        <v>54</v>
      </c>
      <c r="L1520" s="209" t="s">
        <v>54</v>
      </c>
      <c r="M1520" s="209"/>
      <c r="N1520" s="209"/>
      <c r="O1520" s="209"/>
      <c r="P1520" s="210"/>
      <c r="Q1520" s="209"/>
      <c r="R1520" s="212"/>
      <c r="S1520" s="209"/>
      <c r="T1520" s="209"/>
      <c r="U1520" s="209" t="s">
        <v>54</v>
      </c>
      <c r="V1520" s="209"/>
      <c r="W1520" s="209"/>
      <c r="X1520" s="209"/>
      <c r="Y1520" s="209"/>
      <c r="Z1520" s="209"/>
      <c r="AA1520" s="209" t="s">
        <v>54</v>
      </c>
      <c r="AB1520" s="212"/>
      <c r="AC1520" s="212"/>
    </row>
    <row r="1521" spans="1:29" outlineLevel="2" x14ac:dyDescent="0.25">
      <c r="A1521" s="201">
        <v>46008</v>
      </c>
      <c r="D1521" s="198" t="s">
        <v>54</v>
      </c>
      <c r="E1521" s="202">
        <v>89845615</v>
      </c>
      <c r="K1521" s="198" t="s">
        <v>1103</v>
      </c>
      <c r="L1521" s="198" t="s">
        <v>167</v>
      </c>
      <c r="P1521" s="201"/>
      <c r="R1521" s="202">
        <v>89845615</v>
      </c>
      <c r="U1521" s="198" t="s">
        <v>201</v>
      </c>
      <c r="AA1521" s="198" t="s">
        <v>51</v>
      </c>
      <c r="AB1521" s="202">
        <v>89845615</v>
      </c>
      <c r="AC1521" s="202">
        <v>89845615</v>
      </c>
    </row>
    <row r="1522" spans="1:29" outlineLevel="2" x14ac:dyDescent="0.25">
      <c r="A1522" s="201">
        <v>46009</v>
      </c>
      <c r="D1522" s="198" t="s">
        <v>54</v>
      </c>
      <c r="E1522" s="202">
        <v>85842127.230000004</v>
      </c>
      <c r="K1522" s="198" t="s">
        <v>1103</v>
      </c>
      <c r="L1522" s="198" t="s">
        <v>167</v>
      </c>
      <c r="P1522" s="201"/>
      <c r="R1522" s="202">
        <v>85842127.230000004</v>
      </c>
      <c r="U1522" s="198" t="s">
        <v>201</v>
      </c>
      <c r="AA1522" s="198" t="s">
        <v>51</v>
      </c>
      <c r="AB1522" s="202">
        <v>85842127.230000004</v>
      </c>
      <c r="AC1522" s="202">
        <v>85842127.230000004</v>
      </c>
    </row>
    <row r="1523" spans="1:29" outlineLevel="2" x14ac:dyDescent="0.25">
      <c r="A1523" s="201">
        <v>46017</v>
      </c>
      <c r="D1523" s="198" t="s">
        <v>54</v>
      </c>
      <c r="E1523" s="202">
        <v>-30709173.579999998</v>
      </c>
      <c r="K1523" s="198" t="s">
        <v>1103</v>
      </c>
      <c r="L1523" s="198" t="s">
        <v>167</v>
      </c>
      <c r="P1523" s="201"/>
      <c r="R1523" s="202">
        <v>-30709173.579999998</v>
      </c>
      <c r="U1523" s="198" t="s">
        <v>201</v>
      </c>
      <c r="AA1523" s="198" t="s">
        <v>51</v>
      </c>
      <c r="AB1523" s="202">
        <v>-30709173.579999998</v>
      </c>
      <c r="AC1523" s="202">
        <v>-30709173.579999998</v>
      </c>
    </row>
    <row r="1524" spans="1:29" outlineLevel="2" x14ac:dyDescent="0.25">
      <c r="A1524" s="201">
        <v>46017</v>
      </c>
      <c r="D1524" s="198" t="s">
        <v>54</v>
      </c>
      <c r="E1524" s="202">
        <v>5100000</v>
      </c>
      <c r="K1524" s="198" t="s">
        <v>1103</v>
      </c>
      <c r="L1524" s="198" t="s">
        <v>167</v>
      </c>
      <c r="P1524" s="201"/>
      <c r="R1524" s="202">
        <v>5100000</v>
      </c>
      <c r="U1524" s="198" t="s">
        <v>201</v>
      </c>
      <c r="AA1524" s="198" t="s">
        <v>51</v>
      </c>
      <c r="AB1524" s="202">
        <v>5100000</v>
      </c>
      <c r="AC1524" s="202">
        <v>5100000</v>
      </c>
    </row>
    <row r="1525" spans="1:29" outlineLevel="2" x14ac:dyDescent="0.25">
      <c r="A1525" s="201">
        <v>46112</v>
      </c>
      <c r="D1525" s="198" t="s">
        <v>54</v>
      </c>
      <c r="E1525" s="202">
        <v>-3492096</v>
      </c>
      <c r="K1525" s="198" t="s">
        <v>1103</v>
      </c>
      <c r="L1525" s="198" t="s">
        <v>167</v>
      </c>
      <c r="P1525" s="201"/>
      <c r="R1525" s="202">
        <v>-3492096</v>
      </c>
      <c r="U1525" s="198" t="s">
        <v>201</v>
      </c>
      <c r="AA1525" s="198" t="s">
        <v>51</v>
      </c>
      <c r="AB1525" s="202">
        <v>-3492096</v>
      </c>
      <c r="AC1525" s="202">
        <v>-3492096</v>
      </c>
    </row>
    <row r="1526" spans="1:29" outlineLevel="2" x14ac:dyDescent="0.25">
      <c r="A1526" s="201">
        <v>46139</v>
      </c>
      <c r="D1526" s="198" t="s">
        <v>54</v>
      </c>
      <c r="E1526" s="202">
        <v>8489985.3499999996</v>
      </c>
      <c r="K1526" s="198" t="s">
        <v>1103</v>
      </c>
      <c r="L1526" s="198" t="s">
        <v>167</v>
      </c>
      <c r="P1526" s="201"/>
      <c r="R1526" s="202">
        <v>8489985.3499999996</v>
      </c>
      <c r="U1526" s="198" t="s">
        <v>201</v>
      </c>
      <c r="AA1526" s="198" t="s">
        <v>51</v>
      </c>
      <c r="AB1526" s="202">
        <v>8489985.3499999996</v>
      </c>
      <c r="AC1526" s="202">
        <v>8489985.3499999996</v>
      </c>
    </row>
    <row r="1527" spans="1:29" outlineLevel="1" x14ac:dyDescent="0.25">
      <c r="A1527" s="210"/>
      <c r="B1527" s="209"/>
      <c r="C1527" s="209"/>
      <c r="D1527" s="209" t="s">
        <v>54</v>
      </c>
      <c r="E1527" s="211">
        <v>155076458</v>
      </c>
      <c r="F1527" s="209"/>
      <c r="G1527" s="209"/>
      <c r="H1527" s="209"/>
      <c r="I1527" s="209"/>
      <c r="J1527" s="209"/>
      <c r="K1527" s="209" t="s">
        <v>54</v>
      </c>
      <c r="L1527" s="209" t="s">
        <v>54</v>
      </c>
      <c r="M1527" s="209"/>
      <c r="N1527" s="209"/>
      <c r="O1527" s="209"/>
      <c r="P1527" s="210"/>
      <c r="Q1527" s="209"/>
      <c r="R1527" s="212"/>
      <c r="S1527" s="209"/>
      <c r="T1527" s="209"/>
      <c r="U1527" s="209" t="s">
        <v>54</v>
      </c>
      <c r="V1527" s="209"/>
      <c r="W1527" s="209"/>
      <c r="X1527" s="209"/>
      <c r="Y1527" s="209"/>
      <c r="Z1527" s="209"/>
      <c r="AA1527" s="209" t="s">
        <v>54</v>
      </c>
      <c r="AB1527" s="212"/>
      <c r="AC1527" s="212"/>
    </row>
    <row r="1528" spans="1:29" outlineLevel="2" x14ac:dyDescent="0.25">
      <c r="A1528" s="201">
        <v>46013</v>
      </c>
      <c r="D1528" s="198" t="s">
        <v>54</v>
      </c>
      <c r="E1528" s="202">
        <v>58459089.600000001</v>
      </c>
      <c r="K1528" s="198" t="s">
        <v>1104</v>
      </c>
      <c r="L1528" s="198" t="s">
        <v>167</v>
      </c>
      <c r="P1528" s="201"/>
      <c r="R1528" s="202">
        <v>58459089.600000001</v>
      </c>
      <c r="U1528" s="198" t="s">
        <v>178</v>
      </c>
      <c r="AA1528" s="198" t="s">
        <v>51</v>
      </c>
      <c r="AB1528" s="202">
        <v>58459089.600000001</v>
      </c>
      <c r="AC1528" s="202">
        <v>58459089.600000001</v>
      </c>
    </row>
    <row r="1529" spans="1:29" outlineLevel="2" x14ac:dyDescent="0.25">
      <c r="A1529" s="201">
        <v>46017</v>
      </c>
      <c r="D1529" s="198" t="s">
        <v>54</v>
      </c>
      <c r="E1529" s="202">
        <v>10.4</v>
      </c>
      <c r="K1529" s="198" t="s">
        <v>1104</v>
      </c>
      <c r="L1529" s="198" t="s">
        <v>167</v>
      </c>
      <c r="P1529" s="201"/>
      <c r="R1529" s="202">
        <v>10.4</v>
      </c>
      <c r="U1529" s="198" t="s">
        <v>178</v>
      </c>
      <c r="AA1529" s="198" t="s">
        <v>51</v>
      </c>
      <c r="AB1529" s="202">
        <v>10.4</v>
      </c>
      <c r="AC1529" s="202">
        <v>10.4</v>
      </c>
    </row>
    <row r="1530" spans="1:29" outlineLevel="2" x14ac:dyDescent="0.25">
      <c r="A1530" s="201">
        <v>46112</v>
      </c>
      <c r="D1530" s="198" t="s">
        <v>54</v>
      </c>
      <c r="E1530" s="202">
        <v>-2212129.2799999998</v>
      </c>
      <c r="K1530" s="198" t="s">
        <v>1104</v>
      </c>
      <c r="L1530" s="198" t="s">
        <v>167</v>
      </c>
      <c r="P1530" s="201"/>
      <c r="R1530" s="202">
        <v>-2212129.2799999998</v>
      </c>
      <c r="U1530" s="198" t="s">
        <v>178</v>
      </c>
      <c r="AA1530" s="198" t="s">
        <v>51</v>
      </c>
      <c r="AB1530" s="202">
        <v>-2212129.2799999998</v>
      </c>
      <c r="AC1530" s="202">
        <v>-2212129.2799999998</v>
      </c>
    </row>
    <row r="1531" spans="1:29" outlineLevel="2" x14ac:dyDescent="0.25">
      <c r="A1531" s="201">
        <v>46119</v>
      </c>
      <c r="D1531" s="198" t="s">
        <v>54</v>
      </c>
      <c r="E1531" s="202">
        <v>915650.28</v>
      </c>
      <c r="K1531" s="198" t="s">
        <v>1104</v>
      </c>
      <c r="L1531" s="198" t="s">
        <v>167</v>
      </c>
      <c r="P1531" s="201"/>
      <c r="R1531" s="202">
        <v>915650.28</v>
      </c>
      <c r="U1531" s="198" t="s">
        <v>178</v>
      </c>
      <c r="AA1531" s="198" t="s">
        <v>51</v>
      </c>
      <c r="AB1531" s="202">
        <v>915650.28</v>
      </c>
      <c r="AC1531" s="202">
        <v>915650.28</v>
      </c>
    </row>
    <row r="1532" spans="1:29" outlineLevel="1" x14ac:dyDescent="0.25">
      <c r="A1532" s="210"/>
      <c r="B1532" s="209"/>
      <c r="C1532" s="209"/>
      <c r="D1532" s="209" t="s">
        <v>54</v>
      </c>
      <c r="E1532" s="211">
        <v>57162621</v>
      </c>
      <c r="F1532" s="209"/>
      <c r="G1532" s="209"/>
      <c r="H1532" s="209"/>
      <c r="I1532" s="209"/>
      <c r="J1532" s="209"/>
      <c r="K1532" s="209" t="s">
        <v>54</v>
      </c>
      <c r="L1532" s="209" t="s">
        <v>54</v>
      </c>
      <c r="M1532" s="209"/>
      <c r="N1532" s="209"/>
      <c r="O1532" s="209"/>
      <c r="P1532" s="210"/>
      <c r="Q1532" s="209"/>
      <c r="R1532" s="212"/>
      <c r="S1532" s="209"/>
      <c r="T1532" s="209"/>
      <c r="U1532" s="209" t="s">
        <v>54</v>
      </c>
      <c r="V1532" s="209"/>
      <c r="W1532" s="209"/>
      <c r="X1532" s="209"/>
      <c r="Y1532" s="209"/>
      <c r="Z1532" s="209"/>
      <c r="AA1532" s="209" t="s">
        <v>54</v>
      </c>
      <c r="AB1532" s="212"/>
      <c r="AC1532" s="212"/>
    </row>
    <row r="1533" spans="1:29" outlineLevel="2" x14ac:dyDescent="0.25">
      <c r="A1533" s="201">
        <v>46008</v>
      </c>
      <c r="D1533" s="198" t="s">
        <v>54</v>
      </c>
      <c r="E1533" s="202">
        <v>9964280</v>
      </c>
      <c r="K1533" s="198" t="s">
        <v>1105</v>
      </c>
      <c r="L1533" s="198" t="s">
        <v>167</v>
      </c>
      <c r="P1533" s="201"/>
      <c r="R1533" s="202">
        <v>9964280</v>
      </c>
      <c r="U1533" s="198" t="s">
        <v>170</v>
      </c>
      <c r="AA1533" s="198" t="s">
        <v>51</v>
      </c>
      <c r="AB1533" s="202">
        <v>9964280</v>
      </c>
      <c r="AC1533" s="202">
        <v>9964280</v>
      </c>
    </row>
    <row r="1534" spans="1:29" outlineLevel="2" x14ac:dyDescent="0.25">
      <c r="A1534" s="201">
        <v>46013</v>
      </c>
      <c r="D1534" s="198" t="s">
        <v>54</v>
      </c>
      <c r="E1534" s="202">
        <v>1589320</v>
      </c>
      <c r="K1534" s="198" t="s">
        <v>1105</v>
      </c>
      <c r="L1534" s="198" t="s">
        <v>167</v>
      </c>
      <c r="P1534" s="201"/>
      <c r="R1534" s="202">
        <v>1589320</v>
      </c>
      <c r="U1534" s="198" t="s">
        <v>170</v>
      </c>
      <c r="AA1534" s="198" t="s">
        <v>51</v>
      </c>
      <c r="AB1534" s="202">
        <v>1589320</v>
      </c>
      <c r="AC1534" s="202">
        <v>1589320</v>
      </c>
    </row>
    <row r="1535" spans="1:29" outlineLevel="2" x14ac:dyDescent="0.25">
      <c r="A1535" s="201">
        <v>46017</v>
      </c>
      <c r="D1535" s="198" t="s">
        <v>54</v>
      </c>
      <c r="E1535" s="202">
        <v>100</v>
      </c>
      <c r="K1535" s="198" t="s">
        <v>1105</v>
      </c>
      <c r="L1535" s="198" t="s">
        <v>167</v>
      </c>
      <c r="P1535" s="201"/>
      <c r="R1535" s="202">
        <v>100</v>
      </c>
      <c r="U1535" s="198" t="s">
        <v>170</v>
      </c>
      <c r="AA1535" s="198" t="s">
        <v>51</v>
      </c>
      <c r="AB1535" s="202">
        <v>100</v>
      </c>
      <c r="AC1535" s="202">
        <v>100</v>
      </c>
    </row>
    <row r="1536" spans="1:29" outlineLevel="2" x14ac:dyDescent="0.25">
      <c r="A1536" s="201">
        <v>46018</v>
      </c>
      <c r="D1536" s="198" t="s">
        <v>54</v>
      </c>
      <c r="E1536" s="202">
        <v>4000000</v>
      </c>
      <c r="K1536" s="198" t="s">
        <v>1105</v>
      </c>
      <c r="L1536" s="198" t="s">
        <v>167</v>
      </c>
      <c r="P1536" s="201"/>
      <c r="R1536" s="202">
        <v>4000000</v>
      </c>
      <c r="U1536" s="198" t="s">
        <v>170</v>
      </c>
      <c r="AA1536" s="198" t="s">
        <v>51</v>
      </c>
      <c r="AB1536" s="202">
        <v>4000000</v>
      </c>
      <c r="AC1536" s="202">
        <v>4000000</v>
      </c>
    </row>
    <row r="1537" spans="1:29" outlineLevel="2" x14ac:dyDescent="0.25">
      <c r="A1537" s="201">
        <v>46018</v>
      </c>
      <c r="D1537" s="198" t="s">
        <v>54</v>
      </c>
      <c r="E1537" s="202">
        <v>200000</v>
      </c>
      <c r="K1537" s="198" t="s">
        <v>1105</v>
      </c>
      <c r="L1537" s="198" t="s">
        <v>167</v>
      </c>
      <c r="P1537" s="201"/>
      <c r="R1537" s="202">
        <v>200000</v>
      </c>
      <c r="U1537" s="198" t="s">
        <v>170</v>
      </c>
      <c r="AA1537" s="198" t="s">
        <v>51</v>
      </c>
      <c r="AB1537" s="202">
        <v>200000</v>
      </c>
      <c r="AC1537" s="202">
        <v>200000</v>
      </c>
    </row>
    <row r="1538" spans="1:29" outlineLevel="2" x14ac:dyDescent="0.25">
      <c r="A1538" s="201">
        <v>46112</v>
      </c>
      <c r="D1538" s="198" t="s">
        <v>54</v>
      </c>
      <c r="E1538" s="202">
        <v>-148780</v>
      </c>
      <c r="K1538" s="198" t="s">
        <v>1105</v>
      </c>
      <c r="L1538" s="198" t="s">
        <v>167</v>
      </c>
      <c r="P1538" s="201"/>
      <c r="R1538" s="202">
        <v>-148780</v>
      </c>
      <c r="U1538" s="198" t="s">
        <v>170</v>
      </c>
      <c r="AA1538" s="198" t="s">
        <v>51</v>
      </c>
      <c r="AB1538" s="202">
        <v>-148780</v>
      </c>
      <c r="AC1538" s="202">
        <v>-148780</v>
      </c>
    </row>
    <row r="1539" spans="1:29" outlineLevel="2" x14ac:dyDescent="0.25">
      <c r="A1539" s="201">
        <v>46139</v>
      </c>
      <c r="D1539" s="198" t="s">
        <v>54</v>
      </c>
      <c r="E1539" s="202">
        <v>2979427</v>
      </c>
      <c r="K1539" s="198" t="s">
        <v>1105</v>
      </c>
      <c r="L1539" s="198" t="s">
        <v>167</v>
      </c>
      <c r="P1539" s="201"/>
      <c r="R1539" s="202">
        <v>2979427</v>
      </c>
      <c r="U1539" s="198" t="s">
        <v>170</v>
      </c>
      <c r="AA1539" s="198" t="s">
        <v>51</v>
      </c>
      <c r="AB1539" s="202">
        <v>2979427</v>
      </c>
      <c r="AC1539" s="202">
        <v>2979427</v>
      </c>
    </row>
    <row r="1540" spans="1:29" outlineLevel="1" x14ac:dyDescent="0.25">
      <c r="A1540" s="210"/>
      <c r="B1540" s="209"/>
      <c r="C1540" s="209"/>
      <c r="D1540" s="209" t="s">
        <v>54</v>
      </c>
      <c r="E1540" s="211">
        <v>18584347</v>
      </c>
      <c r="F1540" s="209"/>
      <c r="G1540" s="209"/>
      <c r="H1540" s="209"/>
      <c r="I1540" s="209"/>
      <c r="J1540" s="209"/>
      <c r="K1540" s="209" t="s">
        <v>54</v>
      </c>
      <c r="L1540" s="209" t="s">
        <v>54</v>
      </c>
      <c r="M1540" s="209"/>
      <c r="N1540" s="209"/>
      <c r="O1540" s="209"/>
      <c r="P1540" s="210"/>
      <c r="Q1540" s="209"/>
      <c r="R1540" s="212"/>
      <c r="S1540" s="209"/>
      <c r="T1540" s="209"/>
      <c r="U1540" s="209" t="s">
        <v>54</v>
      </c>
      <c r="V1540" s="209"/>
      <c r="W1540" s="209"/>
      <c r="X1540" s="209"/>
      <c r="Y1540" s="209"/>
      <c r="Z1540" s="209"/>
      <c r="AA1540" s="209" t="s">
        <v>54</v>
      </c>
      <c r="AB1540" s="212"/>
      <c r="AC1540" s="212"/>
    </row>
    <row r="1541" spans="1:29" outlineLevel="2" x14ac:dyDescent="0.25">
      <c r="A1541" s="201">
        <v>46008</v>
      </c>
      <c r="D1541" s="198" t="s">
        <v>54</v>
      </c>
      <c r="E1541" s="202">
        <v>3944035</v>
      </c>
      <c r="K1541" s="198" t="s">
        <v>1107</v>
      </c>
      <c r="L1541" s="198" t="s">
        <v>167</v>
      </c>
      <c r="P1541" s="201"/>
      <c r="R1541" s="202">
        <v>3944035</v>
      </c>
      <c r="U1541" s="198" t="s">
        <v>1106</v>
      </c>
      <c r="AA1541" s="198" t="s">
        <v>51</v>
      </c>
      <c r="AB1541" s="202">
        <v>3944035</v>
      </c>
      <c r="AC1541" s="202">
        <v>3944035</v>
      </c>
    </row>
    <row r="1542" spans="1:29" outlineLevel="2" x14ac:dyDescent="0.25">
      <c r="A1542" s="201">
        <v>46009</v>
      </c>
      <c r="D1542" s="198" t="s">
        <v>54</v>
      </c>
      <c r="E1542" s="202">
        <v>11381277</v>
      </c>
      <c r="K1542" s="198" t="s">
        <v>1107</v>
      </c>
      <c r="L1542" s="198" t="s">
        <v>167</v>
      </c>
      <c r="P1542" s="201"/>
      <c r="R1542" s="202">
        <v>11381277</v>
      </c>
      <c r="U1542" s="198" t="s">
        <v>1106</v>
      </c>
      <c r="AA1542" s="198" t="s">
        <v>51</v>
      </c>
      <c r="AB1542" s="202">
        <v>11381277</v>
      </c>
      <c r="AC1542" s="202">
        <v>11381277</v>
      </c>
    </row>
    <row r="1543" spans="1:29" outlineLevel="2" x14ac:dyDescent="0.25">
      <c r="A1543" s="201">
        <v>46013</v>
      </c>
      <c r="D1543" s="198" t="s">
        <v>54</v>
      </c>
      <c r="E1543" s="202">
        <v>2529300</v>
      </c>
      <c r="K1543" s="198" t="s">
        <v>1107</v>
      </c>
      <c r="L1543" s="198" t="s">
        <v>167</v>
      </c>
      <c r="P1543" s="201"/>
      <c r="R1543" s="202">
        <v>2529300</v>
      </c>
      <c r="U1543" s="198" t="s">
        <v>1106</v>
      </c>
      <c r="AA1543" s="198" t="s">
        <v>51</v>
      </c>
      <c r="AB1543" s="202">
        <v>2529300</v>
      </c>
      <c r="AC1543" s="202">
        <v>2529300</v>
      </c>
    </row>
    <row r="1544" spans="1:29" outlineLevel="2" x14ac:dyDescent="0.25">
      <c r="A1544" s="201">
        <v>46014</v>
      </c>
      <c r="D1544" s="198" t="s">
        <v>54</v>
      </c>
      <c r="E1544" s="202">
        <v>-1264650</v>
      </c>
      <c r="K1544" s="198" t="s">
        <v>1107</v>
      </c>
      <c r="L1544" s="198" t="s">
        <v>167</v>
      </c>
      <c r="P1544" s="201"/>
      <c r="R1544" s="202">
        <v>-1264650</v>
      </c>
      <c r="U1544" s="198" t="s">
        <v>1106</v>
      </c>
      <c r="AA1544" s="198" t="s">
        <v>51</v>
      </c>
      <c r="AB1544" s="202">
        <v>-1264650</v>
      </c>
      <c r="AC1544" s="202">
        <v>-1264650</v>
      </c>
    </row>
    <row r="1545" spans="1:29" outlineLevel="2" x14ac:dyDescent="0.25">
      <c r="A1545" s="201">
        <v>46014</v>
      </c>
      <c r="D1545" s="198" t="s">
        <v>54</v>
      </c>
      <c r="E1545" s="202">
        <v>600000</v>
      </c>
      <c r="K1545" s="198" t="s">
        <v>1107</v>
      </c>
      <c r="L1545" s="198" t="s">
        <v>167</v>
      </c>
      <c r="P1545" s="201"/>
      <c r="R1545" s="202">
        <v>600000</v>
      </c>
      <c r="U1545" s="198" t="s">
        <v>1106</v>
      </c>
      <c r="AA1545" s="198" t="s">
        <v>51</v>
      </c>
      <c r="AB1545" s="202">
        <v>600000</v>
      </c>
      <c r="AC1545" s="202">
        <v>600000</v>
      </c>
    </row>
    <row r="1546" spans="1:29" outlineLevel="2" x14ac:dyDescent="0.25">
      <c r="A1546" s="201">
        <v>46017</v>
      </c>
      <c r="D1546" s="198" t="s">
        <v>54</v>
      </c>
      <c r="E1546" s="202">
        <v>945438</v>
      </c>
      <c r="K1546" s="198" t="s">
        <v>1107</v>
      </c>
      <c r="L1546" s="198" t="s">
        <v>167</v>
      </c>
      <c r="P1546" s="201"/>
      <c r="R1546" s="202">
        <v>945438</v>
      </c>
      <c r="U1546" s="198" t="s">
        <v>1106</v>
      </c>
      <c r="AA1546" s="198" t="s">
        <v>51</v>
      </c>
      <c r="AB1546" s="202">
        <v>945438</v>
      </c>
      <c r="AC1546" s="202">
        <v>945438</v>
      </c>
    </row>
    <row r="1547" spans="1:29" outlineLevel="2" x14ac:dyDescent="0.25">
      <c r="A1547" s="201">
        <v>46020</v>
      </c>
      <c r="D1547" s="198" t="s">
        <v>54</v>
      </c>
      <c r="E1547" s="202">
        <v>2320630</v>
      </c>
      <c r="K1547" s="198" t="s">
        <v>1107</v>
      </c>
      <c r="L1547" s="198" t="s">
        <v>167</v>
      </c>
      <c r="P1547" s="201"/>
      <c r="R1547" s="202">
        <v>2320630</v>
      </c>
      <c r="U1547" s="198" t="s">
        <v>1106</v>
      </c>
      <c r="AA1547" s="198" t="s">
        <v>51</v>
      </c>
      <c r="AB1547" s="202">
        <v>2320630</v>
      </c>
      <c r="AC1547" s="202">
        <v>2320630</v>
      </c>
    </row>
    <row r="1548" spans="1:29" outlineLevel="2" x14ac:dyDescent="0.25">
      <c r="A1548" s="201">
        <v>46021</v>
      </c>
      <c r="D1548" s="198" t="s">
        <v>54</v>
      </c>
      <c r="E1548" s="202">
        <v>300000</v>
      </c>
      <c r="K1548" s="198" t="s">
        <v>1107</v>
      </c>
      <c r="L1548" s="198" t="s">
        <v>167</v>
      </c>
      <c r="P1548" s="201"/>
      <c r="R1548" s="202">
        <v>300000</v>
      </c>
      <c r="U1548" s="198" t="s">
        <v>1106</v>
      </c>
      <c r="AA1548" s="198" t="s">
        <v>51</v>
      </c>
      <c r="AB1548" s="202">
        <v>300000</v>
      </c>
      <c r="AC1548" s="202">
        <v>300000</v>
      </c>
    </row>
    <row r="1549" spans="1:29" outlineLevel="2" x14ac:dyDescent="0.25">
      <c r="A1549" s="201">
        <v>46022</v>
      </c>
      <c r="D1549" s="198" t="s">
        <v>54</v>
      </c>
      <c r="E1549" s="202">
        <v>142000</v>
      </c>
      <c r="K1549" s="198" t="s">
        <v>1107</v>
      </c>
      <c r="L1549" s="198" t="s">
        <v>167</v>
      </c>
      <c r="P1549" s="201"/>
      <c r="R1549" s="202">
        <v>142000</v>
      </c>
      <c r="U1549" s="198" t="s">
        <v>1106</v>
      </c>
      <c r="AA1549" s="198" t="s">
        <v>51</v>
      </c>
      <c r="AB1549" s="202">
        <v>142000</v>
      </c>
      <c r="AC1549" s="202">
        <v>142000</v>
      </c>
    </row>
    <row r="1550" spans="1:29" outlineLevel="2" x14ac:dyDescent="0.25">
      <c r="A1550" s="201">
        <v>46112</v>
      </c>
      <c r="D1550" s="198" t="s">
        <v>54</v>
      </c>
      <c r="E1550" s="202">
        <v>-1327769.8400000001</v>
      </c>
      <c r="K1550" s="198" t="s">
        <v>1107</v>
      </c>
      <c r="L1550" s="198" t="s">
        <v>167</v>
      </c>
      <c r="P1550" s="201"/>
      <c r="R1550" s="202">
        <v>-1327769.8400000001</v>
      </c>
      <c r="U1550" s="198" t="s">
        <v>1106</v>
      </c>
      <c r="AA1550" s="198" t="s">
        <v>51</v>
      </c>
      <c r="AB1550" s="202">
        <v>-1327769.8400000001</v>
      </c>
      <c r="AC1550" s="202">
        <v>-1327769.8400000001</v>
      </c>
    </row>
    <row r="1551" spans="1:29" outlineLevel="2" x14ac:dyDescent="0.25">
      <c r="A1551" s="201">
        <v>46119</v>
      </c>
      <c r="D1551" s="198" t="s">
        <v>54</v>
      </c>
      <c r="E1551" s="202">
        <v>61049.84</v>
      </c>
      <c r="K1551" s="198" t="s">
        <v>1107</v>
      </c>
      <c r="L1551" s="198" t="s">
        <v>167</v>
      </c>
      <c r="P1551" s="201"/>
      <c r="R1551" s="202">
        <v>61049.84</v>
      </c>
      <c r="U1551" s="198" t="s">
        <v>1106</v>
      </c>
      <c r="AA1551" s="198" t="s">
        <v>51</v>
      </c>
      <c r="AB1551" s="202">
        <v>61049.84</v>
      </c>
      <c r="AC1551" s="202">
        <v>61049.84</v>
      </c>
    </row>
    <row r="1552" spans="1:29" outlineLevel="2" x14ac:dyDescent="0.25">
      <c r="A1552" s="201">
        <v>46139</v>
      </c>
      <c r="D1552" s="198" t="s">
        <v>54</v>
      </c>
      <c r="E1552" s="202">
        <v>2078460</v>
      </c>
      <c r="K1552" s="198" t="s">
        <v>1107</v>
      </c>
      <c r="L1552" s="198" t="s">
        <v>167</v>
      </c>
      <c r="P1552" s="201"/>
      <c r="R1552" s="202">
        <v>2078460</v>
      </c>
      <c r="U1552" s="198" t="s">
        <v>1106</v>
      </c>
      <c r="AA1552" s="198" t="s">
        <v>51</v>
      </c>
      <c r="AB1552" s="202">
        <v>2078460</v>
      </c>
      <c r="AC1552" s="202">
        <v>2078460</v>
      </c>
    </row>
    <row r="1553" spans="1:29" outlineLevel="2" x14ac:dyDescent="0.25">
      <c r="A1553" s="201">
        <v>46141</v>
      </c>
      <c r="D1553" s="198" t="s">
        <v>54</v>
      </c>
      <c r="E1553" s="202">
        <v>12161000</v>
      </c>
      <c r="K1553" s="198" t="s">
        <v>1107</v>
      </c>
      <c r="L1553" s="198" t="s">
        <v>167</v>
      </c>
      <c r="P1553" s="201"/>
      <c r="R1553" s="202">
        <v>12161000</v>
      </c>
      <c r="U1553" s="198" t="s">
        <v>1106</v>
      </c>
      <c r="AA1553" s="198" t="s">
        <v>51</v>
      </c>
      <c r="AB1553" s="202">
        <v>12161000</v>
      </c>
      <c r="AC1553" s="202">
        <v>12161000</v>
      </c>
    </row>
    <row r="1554" spans="1:29" outlineLevel="1" x14ac:dyDescent="0.25">
      <c r="A1554" s="210"/>
      <c r="B1554" s="209"/>
      <c r="C1554" s="209"/>
      <c r="D1554" s="209" t="s">
        <v>54</v>
      </c>
      <c r="E1554" s="211">
        <v>33870770</v>
      </c>
      <c r="F1554" s="209"/>
      <c r="G1554" s="209"/>
      <c r="H1554" s="209"/>
      <c r="I1554" s="209"/>
      <c r="J1554" s="209"/>
      <c r="K1554" s="209" t="s">
        <v>54</v>
      </c>
      <c r="L1554" s="209" t="s">
        <v>54</v>
      </c>
      <c r="M1554" s="209"/>
      <c r="N1554" s="209"/>
      <c r="O1554" s="209"/>
      <c r="P1554" s="210"/>
      <c r="Q1554" s="209"/>
      <c r="R1554" s="212"/>
      <c r="S1554" s="209"/>
      <c r="T1554" s="209"/>
      <c r="U1554" s="209" t="s">
        <v>54</v>
      </c>
      <c r="V1554" s="209"/>
      <c r="W1554" s="209"/>
      <c r="X1554" s="209"/>
      <c r="Y1554" s="209"/>
      <c r="Z1554" s="209"/>
      <c r="AA1554" s="209" t="s">
        <v>54</v>
      </c>
      <c r="AB1554" s="212"/>
      <c r="AC1554" s="212"/>
    </row>
    <row r="1555" spans="1:29" outlineLevel="2" x14ac:dyDescent="0.25">
      <c r="A1555" s="201">
        <v>46008</v>
      </c>
      <c r="D1555" s="198" t="s">
        <v>54</v>
      </c>
      <c r="E1555" s="202">
        <v>3944035</v>
      </c>
      <c r="K1555" s="198" t="s">
        <v>1108</v>
      </c>
      <c r="L1555" s="198" t="s">
        <v>167</v>
      </c>
      <c r="P1555" s="201"/>
      <c r="R1555" s="202">
        <v>3944035</v>
      </c>
      <c r="U1555" s="198" t="s">
        <v>171</v>
      </c>
      <c r="AA1555" s="198" t="s">
        <v>51</v>
      </c>
      <c r="AB1555" s="202">
        <v>3944035</v>
      </c>
      <c r="AC1555" s="202">
        <v>3944035</v>
      </c>
    </row>
    <row r="1556" spans="1:29" outlineLevel="2" x14ac:dyDescent="0.25">
      <c r="A1556" s="201">
        <v>46009</v>
      </c>
      <c r="D1556" s="198" t="s">
        <v>54</v>
      </c>
      <c r="E1556" s="202">
        <v>11381277</v>
      </c>
      <c r="K1556" s="198" t="s">
        <v>1108</v>
      </c>
      <c r="L1556" s="198" t="s">
        <v>167</v>
      </c>
      <c r="P1556" s="201"/>
      <c r="R1556" s="202">
        <v>11381277</v>
      </c>
      <c r="U1556" s="198" t="s">
        <v>171</v>
      </c>
      <c r="AA1556" s="198" t="s">
        <v>51</v>
      </c>
      <c r="AB1556" s="202">
        <v>11381277</v>
      </c>
      <c r="AC1556" s="202">
        <v>11381277</v>
      </c>
    </row>
    <row r="1557" spans="1:29" outlineLevel="2" x14ac:dyDescent="0.25">
      <c r="A1557" s="201">
        <v>46014</v>
      </c>
      <c r="D1557" s="198" t="s">
        <v>54</v>
      </c>
      <c r="E1557" s="202">
        <v>-6545022</v>
      </c>
      <c r="K1557" s="198" t="s">
        <v>1108</v>
      </c>
      <c r="L1557" s="198" t="s">
        <v>167</v>
      </c>
      <c r="P1557" s="201"/>
      <c r="R1557" s="202">
        <v>-6545022</v>
      </c>
      <c r="U1557" s="198" t="s">
        <v>171</v>
      </c>
      <c r="AA1557" s="198" t="s">
        <v>51</v>
      </c>
      <c r="AB1557" s="202">
        <v>-6545022</v>
      </c>
      <c r="AC1557" s="202">
        <v>-6545022</v>
      </c>
    </row>
    <row r="1558" spans="1:29" outlineLevel="2" x14ac:dyDescent="0.25">
      <c r="A1558" s="201">
        <v>46017</v>
      </c>
      <c r="D1558" s="198" t="s">
        <v>54</v>
      </c>
      <c r="E1558" s="202">
        <v>110</v>
      </c>
      <c r="K1558" s="198" t="s">
        <v>1108</v>
      </c>
      <c r="L1558" s="198" t="s">
        <v>167</v>
      </c>
      <c r="P1558" s="201"/>
      <c r="R1558" s="202">
        <v>110</v>
      </c>
      <c r="U1558" s="198" t="s">
        <v>171</v>
      </c>
      <c r="AA1558" s="198" t="s">
        <v>51</v>
      </c>
      <c r="AB1558" s="202">
        <v>110</v>
      </c>
      <c r="AC1558" s="202">
        <v>110</v>
      </c>
    </row>
    <row r="1559" spans="1:29" outlineLevel="2" x14ac:dyDescent="0.25">
      <c r="A1559" s="201">
        <v>46020</v>
      </c>
      <c r="D1559" s="198" t="s">
        <v>54</v>
      </c>
      <c r="E1559" s="202">
        <v>2320630</v>
      </c>
      <c r="K1559" s="198" t="s">
        <v>1108</v>
      </c>
      <c r="L1559" s="198" t="s">
        <v>167</v>
      </c>
      <c r="P1559" s="201"/>
      <c r="R1559" s="202">
        <v>2320630</v>
      </c>
      <c r="U1559" s="198" t="s">
        <v>171</v>
      </c>
      <c r="AA1559" s="198" t="s">
        <v>51</v>
      </c>
      <c r="AB1559" s="202">
        <v>2320630</v>
      </c>
      <c r="AC1559" s="202">
        <v>2320630</v>
      </c>
    </row>
    <row r="1560" spans="1:29" outlineLevel="2" x14ac:dyDescent="0.25">
      <c r="A1560" s="201">
        <v>46139</v>
      </c>
      <c r="D1560" s="198" t="s">
        <v>54</v>
      </c>
      <c r="E1560" s="202">
        <v>2078460</v>
      </c>
      <c r="K1560" s="198" t="s">
        <v>1108</v>
      </c>
      <c r="L1560" s="198" t="s">
        <v>167</v>
      </c>
      <c r="P1560" s="201"/>
      <c r="R1560" s="202">
        <v>2078460</v>
      </c>
      <c r="U1560" s="198" t="s">
        <v>171</v>
      </c>
      <c r="AA1560" s="198" t="s">
        <v>51</v>
      </c>
      <c r="AB1560" s="202">
        <v>2078460</v>
      </c>
      <c r="AC1560" s="202">
        <v>2078460</v>
      </c>
    </row>
    <row r="1561" spans="1:29" outlineLevel="1" x14ac:dyDescent="0.25">
      <c r="A1561" s="210"/>
      <c r="B1561" s="209"/>
      <c r="C1561" s="209"/>
      <c r="D1561" s="209" t="s">
        <v>54</v>
      </c>
      <c r="E1561" s="211">
        <v>13179490</v>
      </c>
      <c r="F1561" s="209"/>
      <c r="G1561" s="209"/>
      <c r="H1561" s="209"/>
      <c r="I1561" s="209"/>
      <c r="J1561" s="209"/>
      <c r="K1561" s="209" t="s">
        <v>54</v>
      </c>
      <c r="L1561" s="209" t="s">
        <v>54</v>
      </c>
      <c r="M1561" s="209"/>
      <c r="N1561" s="209"/>
      <c r="O1561" s="209"/>
      <c r="P1561" s="210"/>
      <c r="Q1561" s="209"/>
      <c r="R1561" s="212"/>
      <c r="S1561" s="209"/>
      <c r="T1561" s="209"/>
      <c r="U1561" s="209" t="s">
        <v>54</v>
      </c>
      <c r="V1561" s="209"/>
      <c r="W1561" s="209"/>
      <c r="X1561" s="209"/>
      <c r="Y1561" s="209"/>
      <c r="Z1561" s="209"/>
      <c r="AA1561" s="209" t="s">
        <v>54</v>
      </c>
      <c r="AB1561" s="212"/>
      <c r="AC1561" s="212"/>
    </row>
    <row r="1562" spans="1:29" outlineLevel="2" x14ac:dyDescent="0.25">
      <c r="A1562" s="201">
        <v>46013</v>
      </c>
      <c r="D1562" s="198" t="s">
        <v>54</v>
      </c>
      <c r="E1562" s="202">
        <v>2529300</v>
      </c>
      <c r="K1562" s="198" t="s">
        <v>1109</v>
      </c>
      <c r="L1562" s="198" t="s">
        <v>167</v>
      </c>
      <c r="P1562" s="201"/>
      <c r="R1562" s="202">
        <v>2529300</v>
      </c>
      <c r="U1562" s="198" t="s">
        <v>176</v>
      </c>
      <c r="AA1562" s="198" t="s">
        <v>51</v>
      </c>
      <c r="AB1562" s="202">
        <v>2529300</v>
      </c>
      <c r="AC1562" s="202">
        <v>2529300</v>
      </c>
    </row>
    <row r="1563" spans="1:29" outlineLevel="2" x14ac:dyDescent="0.25">
      <c r="A1563" s="201">
        <v>46014</v>
      </c>
      <c r="D1563" s="198" t="s">
        <v>54</v>
      </c>
      <c r="E1563" s="202">
        <v>5280372</v>
      </c>
      <c r="K1563" s="198" t="s">
        <v>1109</v>
      </c>
      <c r="L1563" s="198" t="s">
        <v>167</v>
      </c>
      <c r="P1563" s="201"/>
      <c r="R1563" s="202">
        <v>5280372</v>
      </c>
      <c r="U1563" s="198" t="s">
        <v>176</v>
      </c>
      <c r="AA1563" s="198" t="s">
        <v>51</v>
      </c>
      <c r="AB1563" s="202">
        <v>5280372</v>
      </c>
      <c r="AC1563" s="202">
        <v>5280372</v>
      </c>
    </row>
    <row r="1564" spans="1:29" outlineLevel="2" x14ac:dyDescent="0.25">
      <c r="A1564" s="201">
        <v>46014</v>
      </c>
      <c r="D1564" s="198" t="s">
        <v>54</v>
      </c>
      <c r="E1564" s="202">
        <v>600000</v>
      </c>
      <c r="K1564" s="198" t="s">
        <v>1109</v>
      </c>
      <c r="L1564" s="198" t="s">
        <v>167</v>
      </c>
      <c r="P1564" s="201"/>
      <c r="R1564" s="202">
        <v>600000</v>
      </c>
      <c r="U1564" s="198" t="s">
        <v>176</v>
      </c>
      <c r="AA1564" s="198" t="s">
        <v>51</v>
      </c>
      <c r="AB1564" s="202">
        <v>600000</v>
      </c>
      <c r="AC1564" s="202">
        <v>600000</v>
      </c>
    </row>
    <row r="1565" spans="1:29" outlineLevel="2" x14ac:dyDescent="0.25">
      <c r="A1565" s="201">
        <v>46017</v>
      </c>
      <c r="D1565" s="198" t="s">
        <v>54</v>
      </c>
      <c r="E1565" s="202">
        <v>945328</v>
      </c>
      <c r="K1565" s="198" t="s">
        <v>1109</v>
      </c>
      <c r="L1565" s="198" t="s">
        <v>167</v>
      </c>
      <c r="P1565" s="201"/>
      <c r="R1565" s="202">
        <v>945328</v>
      </c>
      <c r="U1565" s="198" t="s">
        <v>176</v>
      </c>
      <c r="AA1565" s="198" t="s">
        <v>51</v>
      </c>
      <c r="AB1565" s="202">
        <v>945328</v>
      </c>
      <c r="AC1565" s="202">
        <v>945328</v>
      </c>
    </row>
    <row r="1566" spans="1:29" outlineLevel="2" x14ac:dyDescent="0.25">
      <c r="A1566" s="201">
        <v>46021</v>
      </c>
      <c r="D1566" s="198" t="s">
        <v>54</v>
      </c>
      <c r="E1566" s="202">
        <v>300000</v>
      </c>
      <c r="K1566" s="198" t="s">
        <v>1109</v>
      </c>
      <c r="L1566" s="198" t="s">
        <v>167</v>
      </c>
      <c r="P1566" s="201"/>
      <c r="R1566" s="202">
        <v>300000</v>
      </c>
      <c r="U1566" s="198" t="s">
        <v>176</v>
      </c>
      <c r="AA1566" s="198" t="s">
        <v>51</v>
      </c>
      <c r="AB1566" s="202">
        <v>300000</v>
      </c>
      <c r="AC1566" s="202">
        <v>300000</v>
      </c>
    </row>
    <row r="1567" spans="1:29" outlineLevel="2" x14ac:dyDescent="0.25">
      <c r="A1567" s="201">
        <v>46022</v>
      </c>
      <c r="D1567" s="198" t="s">
        <v>54</v>
      </c>
      <c r="E1567" s="202">
        <v>142000</v>
      </c>
      <c r="K1567" s="198" t="s">
        <v>1109</v>
      </c>
      <c r="L1567" s="198" t="s">
        <v>167</v>
      </c>
      <c r="P1567" s="201"/>
      <c r="R1567" s="202">
        <v>142000</v>
      </c>
      <c r="U1567" s="198" t="s">
        <v>176</v>
      </c>
      <c r="AA1567" s="198" t="s">
        <v>51</v>
      </c>
      <c r="AB1567" s="202">
        <v>142000</v>
      </c>
      <c r="AC1567" s="202">
        <v>142000</v>
      </c>
    </row>
    <row r="1568" spans="1:29" outlineLevel="2" x14ac:dyDescent="0.25">
      <c r="A1568" s="201">
        <v>46112</v>
      </c>
      <c r="D1568" s="198" t="s">
        <v>54</v>
      </c>
      <c r="E1568" s="202">
        <v>-1327769.8400000001</v>
      </c>
      <c r="K1568" s="198" t="s">
        <v>1109</v>
      </c>
      <c r="L1568" s="198" t="s">
        <v>167</v>
      </c>
      <c r="P1568" s="201"/>
      <c r="R1568" s="202">
        <v>-1327769.8400000001</v>
      </c>
      <c r="U1568" s="198" t="s">
        <v>176</v>
      </c>
      <c r="AA1568" s="198" t="s">
        <v>51</v>
      </c>
      <c r="AB1568" s="202">
        <v>-1327769.8400000001</v>
      </c>
      <c r="AC1568" s="202">
        <v>-1327769.8400000001</v>
      </c>
    </row>
    <row r="1569" spans="1:29" outlineLevel="2" x14ac:dyDescent="0.25">
      <c r="A1569" s="201">
        <v>46119</v>
      </c>
      <c r="D1569" s="198" t="s">
        <v>54</v>
      </c>
      <c r="E1569" s="202">
        <v>61049.84</v>
      </c>
      <c r="K1569" s="198" t="s">
        <v>1109</v>
      </c>
      <c r="L1569" s="198" t="s">
        <v>167</v>
      </c>
      <c r="P1569" s="201"/>
      <c r="R1569" s="202">
        <v>61049.84</v>
      </c>
      <c r="U1569" s="198" t="s">
        <v>176</v>
      </c>
      <c r="AA1569" s="198" t="s">
        <v>51</v>
      </c>
      <c r="AB1569" s="202">
        <v>61049.84</v>
      </c>
      <c r="AC1569" s="202">
        <v>61049.84</v>
      </c>
    </row>
    <row r="1570" spans="1:29" outlineLevel="2" x14ac:dyDescent="0.25">
      <c r="A1570" s="201">
        <v>46141</v>
      </c>
      <c r="D1570" s="198" t="s">
        <v>54</v>
      </c>
      <c r="E1570" s="202">
        <v>12161000</v>
      </c>
      <c r="K1570" s="198" t="s">
        <v>1109</v>
      </c>
      <c r="L1570" s="198" t="s">
        <v>167</v>
      </c>
      <c r="P1570" s="201"/>
      <c r="R1570" s="202">
        <v>12161000</v>
      </c>
      <c r="U1570" s="198" t="s">
        <v>176</v>
      </c>
      <c r="AA1570" s="198" t="s">
        <v>51</v>
      </c>
      <c r="AB1570" s="202">
        <v>12161000</v>
      </c>
      <c r="AC1570" s="202">
        <v>12161000</v>
      </c>
    </row>
    <row r="1571" spans="1:29" outlineLevel="1" x14ac:dyDescent="0.25">
      <c r="A1571" s="210"/>
      <c r="B1571" s="209"/>
      <c r="C1571" s="209"/>
      <c r="D1571" s="209" t="s">
        <v>54</v>
      </c>
      <c r="E1571" s="211">
        <v>20691280</v>
      </c>
      <c r="F1571" s="209"/>
      <c r="G1571" s="209"/>
      <c r="H1571" s="209"/>
      <c r="I1571" s="209"/>
      <c r="J1571" s="209"/>
      <c r="K1571" s="209" t="s">
        <v>54</v>
      </c>
      <c r="L1571" s="209" t="s">
        <v>54</v>
      </c>
      <c r="M1571" s="209"/>
      <c r="N1571" s="209"/>
      <c r="O1571" s="209"/>
      <c r="P1571" s="210"/>
      <c r="Q1571" s="209"/>
      <c r="R1571" s="212"/>
      <c r="S1571" s="209"/>
      <c r="T1571" s="209"/>
      <c r="U1571" s="209" t="s">
        <v>54</v>
      </c>
      <c r="V1571" s="209"/>
      <c r="W1571" s="209"/>
      <c r="X1571" s="209"/>
      <c r="Y1571" s="209"/>
      <c r="Z1571" s="209"/>
      <c r="AA1571" s="209" t="s">
        <v>54</v>
      </c>
      <c r="AB1571" s="212"/>
      <c r="AC1571" s="212"/>
    </row>
    <row r="1572" spans="1:29" outlineLevel="2" x14ac:dyDescent="0.25">
      <c r="A1572" s="201">
        <v>46008</v>
      </c>
      <c r="D1572" s="198" t="s">
        <v>54</v>
      </c>
      <c r="E1572" s="202">
        <v>8460330</v>
      </c>
      <c r="K1572" s="198" t="s">
        <v>1111</v>
      </c>
      <c r="L1572" s="198" t="s">
        <v>167</v>
      </c>
      <c r="P1572" s="201"/>
      <c r="R1572" s="202">
        <v>8460330</v>
      </c>
      <c r="U1572" s="198" t="s">
        <v>1110</v>
      </c>
      <c r="AA1572" s="198" t="s">
        <v>51</v>
      </c>
      <c r="AB1572" s="202">
        <v>8460330</v>
      </c>
      <c r="AC1572" s="202">
        <v>8460330</v>
      </c>
    </row>
    <row r="1573" spans="1:29" outlineLevel="2" x14ac:dyDescent="0.25">
      <c r="A1573" s="201">
        <v>46009</v>
      </c>
      <c r="D1573" s="198" t="s">
        <v>54</v>
      </c>
      <c r="E1573" s="202">
        <v>6560202</v>
      </c>
      <c r="K1573" s="198" t="s">
        <v>1111</v>
      </c>
      <c r="L1573" s="198" t="s">
        <v>167</v>
      </c>
      <c r="P1573" s="201"/>
      <c r="R1573" s="202">
        <v>6560202</v>
      </c>
      <c r="U1573" s="198" t="s">
        <v>1110</v>
      </c>
      <c r="AA1573" s="198" t="s">
        <v>51</v>
      </c>
      <c r="AB1573" s="202">
        <v>6560202</v>
      </c>
      <c r="AC1573" s="202">
        <v>6560202</v>
      </c>
    </row>
    <row r="1574" spans="1:29" outlineLevel="2" x14ac:dyDescent="0.25">
      <c r="A1574" s="201">
        <v>46013</v>
      </c>
      <c r="D1574" s="198" t="s">
        <v>54</v>
      </c>
      <c r="E1574" s="202">
        <v>2853512</v>
      </c>
      <c r="K1574" s="198" t="s">
        <v>1111</v>
      </c>
      <c r="L1574" s="198" t="s">
        <v>167</v>
      </c>
      <c r="P1574" s="201"/>
      <c r="R1574" s="202">
        <v>2853512</v>
      </c>
      <c r="U1574" s="198" t="s">
        <v>1110</v>
      </c>
      <c r="AA1574" s="198" t="s">
        <v>51</v>
      </c>
      <c r="AB1574" s="202">
        <v>2853512</v>
      </c>
      <c r="AC1574" s="202">
        <v>2853512</v>
      </c>
    </row>
    <row r="1575" spans="1:29" outlineLevel="2" x14ac:dyDescent="0.25">
      <c r="A1575" s="201">
        <v>46017</v>
      </c>
      <c r="D1575" s="198" t="s">
        <v>54</v>
      </c>
      <c r="E1575" s="202">
        <v>4271856</v>
      </c>
      <c r="K1575" s="198" t="s">
        <v>1111</v>
      </c>
      <c r="L1575" s="198" t="s">
        <v>167</v>
      </c>
      <c r="P1575" s="201"/>
      <c r="R1575" s="202">
        <v>4271856</v>
      </c>
      <c r="U1575" s="198" t="s">
        <v>1110</v>
      </c>
      <c r="AA1575" s="198" t="s">
        <v>51</v>
      </c>
      <c r="AB1575" s="202">
        <v>4271856</v>
      </c>
      <c r="AC1575" s="202">
        <v>4271856</v>
      </c>
    </row>
    <row r="1576" spans="1:29" outlineLevel="2" x14ac:dyDescent="0.25">
      <c r="A1576" s="201">
        <v>46112</v>
      </c>
      <c r="D1576" s="198" t="s">
        <v>54</v>
      </c>
      <c r="E1576" s="202">
        <v>-767677.2</v>
      </c>
      <c r="K1576" s="198" t="s">
        <v>1111</v>
      </c>
      <c r="L1576" s="198" t="s">
        <v>167</v>
      </c>
      <c r="P1576" s="201"/>
      <c r="R1576" s="202">
        <v>-767677.2</v>
      </c>
      <c r="U1576" s="198" t="s">
        <v>1110</v>
      </c>
      <c r="AA1576" s="198" t="s">
        <v>51</v>
      </c>
      <c r="AB1576" s="202">
        <v>-767677.2</v>
      </c>
      <c r="AC1576" s="202">
        <v>-767677.2</v>
      </c>
    </row>
    <row r="1577" spans="1:29" outlineLevel="2" x14ac:dyDescent="0.25">
      <c r="A1577" s="201">
        <v>46119</v>
      </c>
      <c r="D1577" s="198" t="s">
        <v>54</v>
      </c>
      <c r="E1577" s="202">
        <v>62550.2</v>
      </c>
      <c r="K1577" s="198" t="s">
        <v>1111</v>
      </c>
      <c r="L1577" s="198" t="s">
        <v>167</v>
      </c>
      <c r="P1577" s="201"/>
      <c r="R1577" s="202">
        <v>62550.2</v>
      </c>
      <c r="U1577" s="198" t="s">
        <v>1110</v>
      </c>
      <c r="AA1577" s="198" t="s">
        <v>51</v>
      </c>
      <c r="AB1577" s="202">
        <v>62550.2</v>
      </c>
      <c r="AC1577" s="202">
        <v>62550.2</v>
      </c>
    </row>
    <row r="1578" spans="1:29" outlineLevel="2" x14ac:dyDescent="0.25">
      <c r="A1578" s="201">
        <v>46139</v>
      </c>
      <c r="D1578" s="198" t="s">
        <v>54</v>
      </c>
      <c r="E1578" s="202">
        <v>1950606</v>
      </c>
      <c r="K1578" s="198" t="s">
        <v>1111</v>
      </c>
      <c r="L1578" s="198" t="s">
        <v>167</v>
      </c>
      <c r="P1578" s="201"/>
      <c r="R1578" s="202">
        <v>1950606</v>
      </c>
      <c r="U1578" s="198" t="s">
        <v>1110</v>
      </c>
      <c r="AA1578" s="198" t="s">
        <v>51</v>
      </c>
      <c r="AB1578" s="202">
        <v>1950606</v>
      </c>
      <c r="AC1578" s="202">
        <v>1950606</v>
      </c>
    </row>
    <row r="1579" spans="1:29" outlineLevel="2" x14ac:dyDescent="0.25">
      <c r="A1579" s="201">
        <v>46155</v>
      </c>
      <c r="D1579" s="198" t="s">
        <v>54</v>
      </c>
      <c r="E1579" s="202">
        <v>3098647.2</v>
      </c>
      <c r="K1579" s="198" t="s">
        <v>1111</v>
      </c>
      <c r="L1579" s="198" t="s">
        <v>167</v>
      </c>
      <c r="P1579" s="201"/>
      <c r="R1579" s="202">
        <v>3098647.2</v>
      </c>
      <c r="U1579" s="198" t="s">
        <v>1110</v>
      </c>
      <c r="AA1579" s="198" t="s">
        <v>51</v>
      </c>
      <c r="AB1579" s="202">
        <v>3098647.2</v>
      </c>
      <c r="AC1579" s="202">
        <v>3098647.2</v>
      </c>
    </row>
    <row r="1580" spans="1:29" outlineLevel="2" x14ac:dyDescent="0.25">
      <c r="A1580" s="201">
        <v>46160</v>
      </c>
      <c r="D1580" s="198" t="s">
        <v>54</v>
      </c>
      <c r="E1580" s="202">
        <v>14413.8</v>
      </c>
      <c r="K1580" s="198" t="s">
        <v>1111</v>
      </c>
      <c r="L1580" s="198" t="s">
        <v>167</v>
      </c>
      <c r="P1580" s="201"/>
      <c r="R1580" s="202">
        <v>14413.8</v>
      </c>
      <c r="U1580" s="198" t="s">
        <v>1110</v>
      </c>
      <c r="AA1580" s="198" t="s">
        <v>51</v>
      </c>
      <c r="AB1580" s="202">
        <v>14413.8</v>
      </c>
      <c r="AC1580" s="202">
        <v>14413.8</v>
      </c>
    </row>
    <row r="1581" spans="1:29" outlineLevel="2" x14ac:dyDescent="0.25">
      <c r="A1581" s="201">
        <v>46160</v>
      </c>
      <c r="D1581" s="198" t="s">
        <v>54</v>
      </c>
      <c r="E1581" s="202">
        <v>7500</v>
      </c>
      <c r="K1581" s="198" t="s">
        <v>1111</v>
      </c>
      <c r="L1581" s="198" t="s">
        <v>167</v>
      </c>
      <c r="P1581" s="201"/>
      <c r="R1581" s="202">
        <v>7500</v>
      </c>
      <c r="U1581" s="198" t="s">
        <v>1110</v>
      </c>
      <c r="AA1581" s="198" t="s">
        <v>51</v>
      </c>
      <c r="AB1581" s="202">
        <v>7500</v>
      </c>
      <c r="AC1581" s="202">
        <v>7500</v>
      </c>
    </row>
    <row r="1582" spans="1:29" outlineLevel="1" x14ac:dyDescent="0.25">
      <c r="A1582" s="210"/>
      <c r="B1582" s="209"/>
      <c r="C1582" s="209"/>
      <c r="D1582" s="209" t="s">
        <v>54</v>
      </c>
      <c r="E1582" s="211">
        <v>26511940</v>
      </c>
      <c r="F1582" s="209"/>
      <c r="G1582" s="209"/>
      <c r="H1582" s="209"/>
      <c r="I1582" s="209"/>
      <c r="J1582" s="209"/>
      <c r="K1582" s="209" t="s">
        <v>54</v>
      </c>
      <c r="L1582" s="209" t="s">
        <v>54</v>
      </c>
      <c r="M1582" s="209"/>
      <c r="N1582" s="209"/>
      <c r="O1582" s="209"/>
      <c r="P1582" s="210"/>
      <c r="Q1582" s="209"/>
      <c r="R1582" s="212"/>
      <c r="S1582" s="209"/>
      <c r="T1582" s="209"/>
      <c r="U1582" s="209" t="s">
        <v>54</v>
      </c>
      <c r="V1582" s="209"/>
      <c r="W1582" s="209"/>
      <c r="X1582" s="209"/>
      <c r="Y1582" s="209"/>
      <c r="Z1582" s="209"/>
      <c r="AA1582" s="209" t="s">
        <v>54</v>
      </c>
      <c r="AB1582" s="212"/>
      <c r="AC1582" s="212"/>
    </row>
    <row r="1583" spans="1:29" outlineLevel="2" x14ac:dyDescent="0.25">
      <c r="A1583" s="201">
        <v>46008</v>
      </c>
      <c r="D1583" s="198" t="s">
        <v>54</v>
      </c>
      <c r="E1583" s="202">
        <v>8460330</v>
      </c>
      <c r="K1583" s="198" t="s">
        <v>1112</v>
      </c>
      <c r="L1583" s="198" t="s">
        <v>167</v>
      </c>
      <c r="P1583" s="201"/>
      <c r="R1583" s="202">
        <v>8460330</v>
      </c>
      <c r="U1583" s="198" t="s">
        <v>173</v>
      </c>
      <c r="AA1583" s="198" t="s">
        <v>51</v>
      </c>
      <c r="AB1583" s="202">
        <v>8460330</v>
      </c>
      <c r="AC1583" s="202">
        <v>8460330</v>
      </c>
    </row>
    <row r="1584" spans="1:29" outlineLevel="2" x14ac:dyDescent="0.25">
      <c r="A1584" s="201">
        <v>46009</v>
      </c>
      <c r="D1584" s="198" t="s">
        <v>54</v>
      </c>
      <c r="E1584" s="202">
        <v>6560202</v>
      </c>
      <c r="K1584" s="198" t="s">
        <v>1112</v>
      </c>
      <c r="L1584" s="198" t="s">
        <v>167</v>
      </c>
      <c r="P1584" s="201"/>
      <c r="R1584" s="202">
        <v>6560202</v>
      </c>
      <c r="U1584" s="198" t="s">
        <v>173</v>
      </c>
      <c r="AA1584" s="198" t="s">
        <v>51</v>
      </c>
      <c r="AB1584" s="202">
        <v>6560202</v>
      </c>
      <c r="AC1584" s="202">
        <v>6560202</v>
      </c>
    </row>
    <row r="1585" spans="1:29" outlineLevel="2" x14ac:dyDescent="0.25">
      <c r="A1585" s="201">
        <v>46013</v>
      </c>
      <c r="D1585" s="198" t="s">
        <v>54</v>
      </c>
      <c r="E1585" s="202">
        <v>2853512</v>
      </c>
      <c r="K1585" s="198" t="s">
        <v>1112</v>
      </c>
      <c r="L1585" s="198" t="s">
        <v>167</v>
      </c>
      <c r="P1585" s="201"/>
      <c r="R1585" s="202">
        <v>2853512</v>
      </c>
      <c r="U1585" s="198" t="s">
        <v>173</v>
      </c>
      <c r="AA1585" s="198" t="s">
        <v>51</v>
      </c>
      <c r="AB1585" s="202">
        <v>2853512</v>
      </c>
      <c r="AC1585" s="202">
        <v>2853512</v>
      </c>
    </row>
    <row r="1586" spans="1:29" outlineLevel="2" x14ac:dyDescent="0.25">
      <c r="A1586" s="201">
        <v>46017</v>
      </c>
      <c r="D1586" s="198" t="s">
        <v>54</v>
      </c>
      <c r="E1586" s="202">
        <v>210456</v>
      </c>
      <c r="K1586" s="198" t="s">
        <v>1112</v>
      </c>
      <c r="L1586" s="198" t="s">
        <v>167</v>
      </c>
      <c r="P1586" s="201"/>
      <c r="R1586" s="202">
        <v>210456</v>
      </c>
      <c r="U1586" s="198" t="s">
        <v>173</v>
      </c>
      <c r="AA1586" s="198" t="s">
        <v>51</v>
      </c>
      <c r="AB1586" s="202">
        <v>210456</v>
      </c>
      <c r="AC1586" s="202">
        <v>210456</v>
      </c>
    </row>
    <row r="1587" spans="1:29" outlineLevel="2" x14ac:dyDescent="0.25">
      <c r="A1587" s="201">
        <v>46112</v>
      </c>
      <c r="D1587" s="198" t="s">
        <v>54</v>
      </c>
      <c r="E1587" s="202">
        <v>-619718</v>
      </c>
      <c r="K1587" s="198" t="s">
        <v>1112</v>
      </c>
      <c r="L1587" s="198" t="s">
        <v>167</v>
      </c>
      <c r="P1587" s="201"/>
      <c r="R1587" s="202">
        <v>-619718</v>
      </c>
      <c r="U1587" s="198" t="s">
        <v>173</v>
      </c>
      <c r="AA1587" s="198" t="s">
        <v>51</v>
      </c>
      <c r="AB1587" s="202">
        <v>-619718</v>
      </c>
      <c r="AC1587" s="202">
        <v>-619718</v>
      </c>
    </row>
    <row r="1588" spans="1:29" outlineLevel="2" x14ac:dyDescent="0.25">
      <c r="A1588" s="201">
        <v>46139</v>
      </c>
      <c r="D1588" s="198" t="s">
        <v>54</v>
      </c>
      <c r="E1588" s="202">
        <v>1950606</v>
      </c>
      <c r="K1588" s="198" t="s">
        <v>1112</v>
      </c>
      <c r="L1588" s="198" t="s">
        <v>167</v>
      </c>
      <c r="P1588" s="201"/>
      <c r="R1588" s="202">
        <v>1950606</v>
      </c>
      <c r="U1588" s="198" t="s">
        <v>173</v>
      </c>
      <c r="AA1588" s="198" t="s">
        <v>51</v>
      </c>
      <c r="AB1588" s="202">
        <v>1950606</v>
      </c>
      <c r="AC1588" s="202">
        <v>1950606</v>
      </c>
    </row>
    <row r="1589" spans="1:29" outlineLevel="1" x14ac:dyDescent="0.25">
      <c r="A1589" s="210"/>
      <c r="B1589" s="209"/>
      <c r="C1589" s="209"/>
      <c r="D1589" s="209" t="s">
        <v>54</v>
      </c>
      <c r="E1589" s="211">
        <v>19415388</v>
      </c>
      <c r="F1589" s="209"/>
      <c r="G1589" s="209"/>
      <c r="H1589" s="209"/>
      <c r="I1589" s="209"/>
      <c r="J1589" s="209"/>
      <c r="K1589" s="209" t="s">
        <v>54</v>
      </c>
      <c r="L1589" s="209" t="s">
        <v>54</v>
      </c>
      <c r="M1589" s="209"/>
      <c r="N1589" s="209"/>
      <c r="O1589" s="209"/>
      <c r="P1589" s="210"/>
      <c r="Q1589" s="209"/>
      <c r="R1589" s="212"/>
      <c r="S1589" s="209"/>
      <c r="T1589" s="209"/>
      <c r="U1589" s="209" t="s">
        <v>54</v>
      </c>
      <c r="V1589" s="209"/>
      <c r="W1589" s="209"/>
      <c r="X1589" s="209"/>
      <c r="Y1589" s="209"/>
      <c r="Z1589" s="209"/>
      <c r="AA1589" s="209" t="s">
        <v>54</v>
      </c>
      <c r="AB1589" s="212"/>
      <c r="AC1589" s="212"/>
    </row>
    <row r="1590" spans="1:29" outlineLevel="2" x14ac:dyDescent="0.25">
      <c r="A1590" s="201">
        <v>46017</v>
      </c>
      <c r="D1590" s="198" t="s">
        <v>54</v>
      </c>
      <c r="E1590" s="202">
        <v>4061400</v>
      </c>
      <c r="K1590" s="198" t="s">
        <v>1113</v>
      </c>
      <c r="L1590" s="198" t="s">
        <v>167</v>
      </c>
      <c r="P1590" s="201"/>
      <c r="R1590" s="202">
        <v>4061400</v>
      </c>
      <c r="U1590" s="198" t="s">
        <v>177</v>
      </c>
      <c r="AA1590" s="198" t="s">
        <v>51</v>
      </c>
      <c r="AB1590" s="202">
        <v>4061400</v>
      </c>
      <c r="AC1590" s="202">
        <v>4061400</v>
      </c>
    </row>
    <row r="1591" spans="1:29" outlineLevel="2" x14ac:dyDescent="0.25">
      <c r="A1591" s="201">
        <v>46112</v>
      </c>
      <c r="D1591" s="198" t="s">
        <v>54</v>
      </c>
      <c r="E1591" s="202">
        <v>-147959.20000000001</v>
      </c>
      <c r="K1591" s="198" t="s">
        <v>1113</v>
      </c>
      <c r="L1591" s="198" t="s">
        <v>167</v>
      </c>
      <c r="P1591" s="201"/>
      <c r="R1591" s="202">
        <v>-147959.20000000001</v>
      </c>
      <c r="U1591" s="198" t="s">
        <v>177</v>
      </c>
      <c r="AA1591" s="198" t="s">
        <v>51</v>
      </c>
      <c r="AB1591" s="202">
        <v>-147959.20000000001</v>
      </c>
      <c r="AC1591" s="202">
        <v>-147959.20000000001</v>
      </c>
    </row>
    <row r="1592" spans="1:29" outlineLevel="2" x14ac:dyDescent="0.25">
      <c r="A1592" s="201">
        <v>46119</v>
      </c>
      <c r="D1592" s="198" t="s">
        <v>54</v>
      </c>
      <c r="E1592" s="202">
        <v>62550.2</v>
      </c>
      <c r="K1592" s="198" t="s">
        <v>1113</v>
      </c>
      <c r="L1592" s="198" t="s">
        <v>167</v>
      </c>
      <c r="P1592" s="201"/>
      <c r="R1592" s="202">
        <v>62550.2</v>
      </c>
      <c r="U1592" s="198" t="s">
        <v>177</v>
      </c>
      <c r="AA1592" s="198" t="s">
        <v>51</v>
      </c>
      <c r="AB1592" s="202">
        <v>62550.2</v>
      </c>
      <c r="AC1592" s="202">
        <v>62550.2</v>
      </c>
    </row>
    <row r="1593" spans="1:29" outlineLevel="2" x14ac:dyDescent="0.25">
      <c r="A1593" s="201">
        <v>46155</v>
      </c>
      <c r="D1593" s="198" t="s">
        <v>54</v>
      </c>
      <c r="E1593" s="202">
        <v>3098647.2</v>
      </c>
      <c r="K1593" s="198" t="s">
        <v>1113</v>
      </c>
      <c r="L1593" s="198" t="s">
        <v>167</v>
      </c>
      <c r="P1593" s="201"/>
      <c r="R1593" s="202">
        <v>3098647.2</v>
      </c>
      <c r="U1593" s="198" t="s">
        <v>177</v>
      </c>
      <c r="AA1593" s="198" t="s">
        <v>51</v>
      </c>
      <c r="AB1593" s="202">
        <v>3098647.2</v>
      </c>
      <c r="AC1593" s="202">
        <v>3098647.2</v>
      </c>
    </row>
    <row r="1594" spans="1:29" outlineLevel="2" x14ac:dyDescent="0.25">
      <c r="A1594" s="201">
        <v>46160</v>
      </c>
      <c r="D1594" s="198" t="s">
        <v>54</v>
      </c>
      <c r="E1594" s="202">
        <v>14413.8</v>
      </c>
      <c r="K1594" s="198" t="s">
        <v>1113</v>
      </c>
      <c r="L1594" s="198" t="s">
        <v>167</v>
      </c>
      <c r="P1594" s="201"/>
      <c r="R1594" s="202">
        <v>14413.8</v>
      </c>
      <c r="U1594" s="198" t="s">
        <v>177</v>
      </c>
      <c r="AA1594" s="198" t="s">
        <v>51</v>
      </c>
      <c r="AB1594" s="202">
        <v>14413.8</v>
      </c>
      <c r="AC1594" s="202">
        <v>14413.8</v>
      </c>
    </row>
    <row r="1595" spans="1:29" outlineLevel="2" x14ac:dyDescent="0.25">
      <c r="A1595" s="201">
        <v>46160</v>
      </c>
      <c r="D1595" s="198" t="s">
        <v>54</v>
      </c>
      <c r="E1595" s="202">
        <v>7500</v>
      </c>
      <c r="K1595" s="198" t="s">
        <v>1113</v>
      </c>
      <c r="L1595" s="198" t="s">
        <v>167</v>
      </c>
      <c r="P1595" s="201"/>
      <c r="R1595" s="202">
        <v>7500</v>
      </c>
      <c r="U1595" s="198" t="s">
        <v>177</v>
      </c>
      <c r="AA1595" s="198" t="s">
        <v>51</v>
      </c>
      <c r="AB1595" s="202">
        <v>7500</v>
      </c>
      <c r="AC1595" s="202">
        <v>7500</v>
      </c>
    </row>
    <row r="1596" spans="1:29" outlineLevel="1" x14ac:dyDescent="0.25">
      <c r="A1596" s="210"/>
      <c r="B1596" s="209"/>
      <c r="C1596" s="209"/>
      <c r="D1596" s="209" t="s">
        <v>54</v>
      </c>
      <c r="E1596" s="211">
        <v>7096552</v>
      </c>
      <c r="F1596" s="209"/>
      <c r="G1596" s="209"/>
      <c r="H1596" s="209"/>
      <c r="I1596" s="209"/>
      <c r="J1596" s="209"/>
      <c r="K1596" s="209" t="s">
        <v>54</v>
      </c>
      <c r="L1596" s="209" t="s">
        <v>54</v>
      </c>
      <c r="M1596" s="209"/>
      <c r="N1596" s="209"/>
      <c r="O1596" s="209"/>
      <c r="P1596" s="210"/>
      <c r="Q1596" s="209"/>
      <c r="R1596" s="212"/>
      <c r="S1596" s="209"/>
      <c r="T1596" s="209"/>
      <c r="U1596" s="209" t="s">
        <v>54</v>
      </c>
      <c r="V1596" s="209"/>
      <c r="W1596" s="209"/>
      <c r="X1596" s="209"/>
      <c r="Y1596" s="209"/>
      <c r="Z1596" s="209"/>
      <c r="AA1596" s="209" t="s">
        <v>54</v>
      </c>
      <c r="AB1596" s="212"/>
      <c r="AC1596" s="212"/>
    </row>
    <row r="1597" spans="1:29" outlineLevel="2" x14ac:dyDescent="0.25">
      <c r="A1597" s="201">
        <v>46009</v>
      </c>
      <c r="D1597" s="198" t="s">
        <v>54</v>
      </c>
      <c r="E1597" s="202">
        <v>4555570</v>
      </c>
      <c r="K1597" s="198" t="s">
        <v>1115</v>
      </c>
      <c r="L1597" s="198" t="s">
        <v>167</v>
      </c>
      <c r="P1597" s="201"/>
      <c r="R1597" s="202">
        <v>4555570</v>
      </c>
      <c r="U1597" s="198" t="s">
        <v>1114</v>
      </c>
      <c r="AA1597" s="198" t="s">
        <v>51</v>
      </c>
      <c r="AB1597" s="202">
        <v>4555570</v>
      </c>
      <c r="AC1597" s="202">
        <v>4555570</v>
      </c>
    </row>
    <row r="1598" spans="1:29" outlineLevel="2" x14ac:dyDescent="0.25">
      <c r="A1598" s="201">
        <v>46013</v>
      </c>
      <c r="D1598" s="198" t="s">
        <v>54</v>
      </c>
      <c r="E1598" s="202">
        <v>93744</v>
      </c>
      <c r="K1598" s="198" t="s">
        <v>1115</v>
      </c>
      <c r="L1598" s="198" t="s">
        <v>167</v>
      </c>
      <c r="P1598" s="201"/>
      <c r="R1598" s="202">
        <v>93744</v>
      </c>
      <c r="U1598" s="198" t="s">
        <v>1114</v>
      </c>
      <c r="AA1598" s="198" t="s">
        <v>51</v>
      </c>
      <c r="AB1598" s="202">
        <v>93744</v>
      </c>
      <c r="AC1598" s="202">
        <v>93744</v>
      </c>
    </row>
    <row r="1599" spans="1:29" outlineLevel="2" x14ac:dyDescent="0.25">
      <c r="A1599" s="201">
        <v>46017</v>
      </c>
      <c r="D1599" s="198" t="s">
        <v>54</v>
      </c>
      <c r="E1599" s="202">
        <v>-493114</v>
      </c>
      <c r="K1599" s="198" t="s">
        <v>1115</v>
      </c>
      <c r="L1599" s="198" t="s">
        <v>167</v>
      </c>
      <c r="P1599" s="201"/>
      <c r="R1599" s="202">
        <v>-493114</v>
      </c>
      <c r="U1599" s="198" t="s">
        <v>1114</v>
      </c>
      <c r="AA1599" s="198" t="s">
        <v>51</v>
      </c>
      <c r="AB1599" s="202">
        <v>-493114</v>
      </c>
      <c r="AC1599" s="202">
        <v>-493114</v>
      </c>
    </row>
    <row r="1600" spans="1:29" outlineLevel="1" x14ac:dyDescent="0.25">
      <c r="A1600" s="210"/>
      <c r="B1600" s="209"/>
      <c r="C1600" s="209"/>
      <c r="D1600" s="209" t="s">
        <v>54</v>
      </c>
      <c r="E1600" s="211">
        <v>4156200</v>
      </c>
      <c r="F1600" s="209"/>
      <c r="G1600" s="209"/>
      <c r="H1600" s="209"/>
      <c r="I1600" s="209"/>
      <c r="J1600" s="209"/>
      <c r="K1600" s="209" t="s">
        <v>54</v>
      </c>
      <c r="L1600" s="209" t="s">
        <v>54</v>
      </c>
      <c r="M1600" s="209"/>
      <c r="N1600" s="209"/>
      <c r="O1600" s="209"/>
      <c r="P1600" s="210"/>
      <c r="Q1600" s="209"/>
      <c r="R1600" s="212"/>
      <c r="S1600" s="209"/>
      <c r="T1600" s="209"/>
      <c r="U1600" s="209" t="s">
        <v>54</v>
      </c>
      <c r="V1600" s="209"/>
      <c r="W1600" s="209"/>
      <c r="X1600" s="209"/>
      <c r="Y1600" s="209"/>
      <c r="Z1600" s="209"/>
      <c r="AA1600" s="209" t="s">
        <v>54</v>
      </c>
      <c r="AB1600" s="212"/>
      <c r="AC1600" s="212"/>
    </row>
    <row r="1601" spans="1:29" outlineLevel="2" x14ac:dyDescent="0.25">
      <c r="A1601" s="201">
        <v>46009</v>
      </c>
      <c r="D1601" s="198" t="s">
        <v>54</v>
      </c>
      <c r="E1601" s="202">
        <v>2171110</v>
      </c>
      <c r="K1601" s="198" t="s">
        <v>1117</v>
      </c>
      <c r="L1601" s="198" t="s">
        <v>167</v>
      </c>
      <c r="P1601" s="201"/>
      <c r="R1601" s="202">
        <v>2171110</v>
      </c>
      <c r="U1601" s="198" t="s">
        <v>1116</v>
      </c>
      <c r="AA1601" s="198" t="s">
        <v>51</v>
      </c>
      <c r="AB1601" s="202">
        <v>2171110</v>
      </c>
      <c r="AC1601" s="202">
        <v>2171110</v>
      </c>
    </row>
    <row r="1602" spans="1:29" outlineLevel="2" x14ac:dyDescent="0.25">
      <c r="A1602" s="201">
        <v>46017</v>
      </c>
      <c r="D1602" s="198" t="s">
        <v>54</v>
      </c>
      <c r="E1602" s="202">
        <v>-493210</v>
      </c>
      <c r="K1602" s="198" t="s">
        <v>1117</v>
      </c>
      <c r="L1602" s="198" t="s">
        <v>167</v>
      </c>
      <c r="P1602" s="201"/>
      <c r="R1602" s="202">
        <v>-493210</v>
      </c>
      <c r="U1602" s="198" t="s">
        <v>1116</v>
      </c>
      <c r="AA1602" s="198" t="s">
        <v>51</v>
      </c>
      <c r="AB1602" s="202">
        <v>-493210</v>
      </c>
      <c r="AC1602" s="202">
        <v>-493210</v>
      </c>
    </row>
    <row r="1603" spans="1:29" outlineLevel="1" x14ac:dyDescent="0.25">
      <c r="A1603" s="210"/>
      <c r="B1603" s="209"/>
      <c r="C1603" s="209"/>
      <c r="D1603" s="209" t="s">
        <v>54</v>
      </c>
      <c r="E1603" s="211">
        <v>1677900</v>
      </c>
      <c r="F1603" s="209"/>
      <c r="G1603" s="209"/>
      <c r="H1603" s="209"/>
      <c r="I1603" s="209"/>
      <c r="J1603" s="209"/>
      <c r="K1603" s="209" t="s">
        <v>54</v>
      </c>
      <c r="L1603" s="209" t="s">
        <v>54</v>
      </c>
      <c r="M1603" s="209"/>
      <c r="N1603" s="209"/>
      <c r="O1603" s="209"/>
      <c r="P1603" s="210"/>
      <c r="Q1603" s="209"/>
      <c r="R1603" s="212"/>
      <c r="S1603" s="209"/>
      <c r="T1603" s="209"/>
      <c r="U1603" s="209" t="s">
        <v>54</v>
      </c>
      <c r="V1603" s="209"/>
      <c r="W1603" s="209"/>
      <c r="X1603" s="209"/>
      <c r="Y1603" s="209"/>
      <c r="Z1603" s="209"/>
      <c r="AA1603" s="209" t="s">
        <v>54</v>
      </c>
      <c r="AB1603" s="212"/>
      <c r="AC1603" s="212"/>
    </row>
    <row r="1604" spans="1:29" outlineLevel="2" x14ac:dyDescent="0.25">
      <c r="A1604" s="201">
        <v>46009</v>
      </c>
      <c r="D1604" s="198" t="s">
        <v>54</v>
      </c>
      <c r="E1604" s="202">
        <v>2384460</v>
      </c>
      <c r="K1604" s="198" t="s">
        <v>1119</v>
      </c>
      <c r="L1604" s="198" t="s">
        <v>167</v>
      </c>
      <c r="P1604" s="201"/>
      <c r="R1604" s="202">
        <v>2384460</v>
      </c>
      <c r="U1604" s="198" t="s">
        <v>1118</v>
      </c>
      <c r="AA1604" s="198" t="s">
        <v>51</v>
      </c>
      <c r="AB1604" s="202">
        <v>2384460</v>
      </c>
      <c r="AC1604" s="202">
        <v>2384460</v>
      </c>
    </row>
    <row r="1605" spans="1:29" outlineLevel="2" x14ac:dyDescent="0.25">
      <c r="A1605" s="201">
        <v>46013</v>
      </c>
      <c r="D1605" s="198" t="s">
        <v>54</v>
      </c>
      <c r="E1605" s="202">
        <v>93744</v>
      </c>
      <c r="K1605" s="198" t="s">
        <v>1119</v>
      </c>
      <c r="L1605" s="198" t="s">
        <v>167</v>
      </c>
      <c r="P1605" s="201"/>
      <c r="R1605" s="202">
        <v>93744</v>
      </c>
      <c r="U1605" s="198" t="s">
        <v>1118</v>
      </c>
      <c r="AA1605" s="198" t="s">
        <v>51</v>
      </c>
      <c r="AB1605" s="202">
        <v>93744</v>
      </c>
      <c r="AC1605" s="202">
        <v>93744</v>
      </c>
    </row>
    <row r="1606" spans="1:29" outlineLevel="2" x14ac:dyDescent="0.25">
      <c r="A1606" s="201">
        <v>46017</v>
      </c>
      <c r="D1606" s="198" t="s">
        <v>54</v>
      </c>
      <c r="E1606" s="202">
        <v>96</v>
      </c>
      <c r="K1606" s="198" t="s">
        <v>1119</v>
      </c>
      <c r="L1606" s="198" t="s">
        <v>167</v>
      </c>
      <c r="P1606" s="201"/>
      <c r="R1606" s="202">
        <v>96</v>
      </c>
      <c r="U1606" s="198" t="s">
        <v>1118</v>
      </c>
      <c r="AA1606" s="198" t="s">
        <v>51</v>
      </c>
      <c r="AB1606" s="202">
        <v>96</v>
      </c>
      <c r="AC1606" s="202">
        <v>96</v>
      </c>
    </row>
    <row r="1607" spans="1:29" outlineLevel="1" x14ac:dyDescent="0.25">
      <c r="A1607" s="210"/>
      <c r="B1607" s="209"/>
      <c r="C1607" s="209"/>
      <c r="D1607" s="209" t="s">
        <v>54</v>
      </c>
      <c r="E1607" s="211">
        <v>2478300</v>
      </c>
      <c r="F1607" s="209"/>
      <c r="G1607" s="209"/>
      <c r="H1607" s="209"/>
      <c r="I1607" s="209"/>
      <c r="J1607" s="209"/>
      <c r="K1607" s="209" t="s">
        <v>54</v>
      </c>
      <c r="L1607" s="209" t="s">
        <v>54</v>
      </c>
      <c r="M1607" s="209"/>
      <c r="N1607" s="209"/>
      <c r="O1607" s="209"/>
      <c r="P1607" s="210"/>
      <c r="Q1607" s="209"/>
      <c r="R1607" s="212"/>
      <c r="S1607" s="209"/>
      <c r="T1607" s="209"/>
      <c r="U1607" s="209" t="s">
        <v>54</v>
      </c>
      <c r="V1607" s="209"/>
      <c r="W1607" s="209"/>
      <c r="X1607" s="209"/>
      <c r="Y1607" s="209"/>
      <c r="Z1607" s="209"/>
      <c r="AA1607" s="209" t="s">
        <v>54</v>
      </c>
      <c r="AB1607" s="212"/>
      <c r="AC1607" s="212"/>
    </row>
    <row r="1608" spans="1:29" outlineLevel="2" x14ac:dyDescent="0.25">
      <c r="A1608" s="201">
        <v>46009</v>
      </c>
      <c r="D1608" s="198" t="s">
        <v>54</v>
      </c>
      <c r="E1608" s="202">
        <v>21559230</v>
      </c>
      <c r="K1608" s="198" t="s">
        <v>1120</v>
      </c>
      <c r="L1608" s="198" t="s">
        <v>167</v>
      </c>
      <c r="P1608" s="201"/>
      <c r="R1608" s="202">
        <v>21559230</v>
      </c>
      <c r="U1608" s="198" t="s">
        <v>735</v>
      </c>
      <c r="AA1608" s="198" t="s">
        <v>51</v>
      </c>
      <c r="AB1608" s="202">
        <v>21559230</v>
      </c>
      <c r="AC1608" s="202">
        <v>21559230</v>
      </c>
    </row>
    <row r="1609" spans="1:29" outlineLevel="2" x14ac:dyDescent="0.25">
      <c r="A1609" s="201">
        <v>46017</v>
      </c>
      <c r="D1609" s="198" t="s">
        <v>54</v>
      </c>
      <c r="E1609" s="202">
        <v>-2136330</v>
      </c>
      <c r="K1609" s="198" t="s">
        <v>1120</v>
      </c>
      <c r="L1609" s="198" t="s">
        <v>167</v>
      </c>
      <c r="P1609" s="201"/>
      <c r="R1609" s="202">
        <v>-2136330</v>
      </c>
      <c r="U1609" s="198" t="s">
        <v>735</v>
      </c>
      <c r="AA1609" s="198" t="s">
        <v>51</v>
      </c>
      <c r="AB1609" s="202">
        <v>-2136330</v>
      </c>
      <c r="AC1609" s="202">
        <v>-2136330</v>
      </c>
    </row>
    <row r="1610" spans="1:29" outlineLevel="2" x14ac:dyDescent="0.25">
      <c r="A1610" s="201">
        <v>46022</v>
      </c>
      <c r="D1610" s="198" t="s">
        <v>54</v>
      </c>
      <c r="E1610" s="202">
        <v>5961420</v>
      </c>
      <c r="K1610" s="198" t="s">
        <v>1120</v>
      </c>
      <c r="L1610" s="198" t="s">
        <v>167</v>
      </c>
      <c r="P1610" s="201"/>
      <c r="R1610" s="202">
        <v>5961420</v>
      </c>
      <c r="U1610" s="198" t="s">
        <v>735</v>
      </c>
      <c r="AA1610" s="198" t="s">
        <v>51</v>
      </c>
      <c r="AB1610" s="202">
        <v>5961420</v>
      </c>
      <c r="AC1610" s="202">
        <v>5961420</v>
      </c>
    </row>
    <row r="1611" spans="1:29" outlineLevel="1" x14ac:dyDescent="0.25">
      <c r="A1611" s="210"/>
      <c r="B1611" s="209"/>
      <c r="C1611" s="209"/>
      <c r="D1611" s="209" t="s">
        <v>54</v>
      </c>
      <c r="E1611" s="211">
        <v>25384320</v>
      </c>
      <c r="F1611" s="209"/>
      <c r="G1611" s="209"/>
      <c r="H1611" s="209"/>
      <c r="I1611" s="209"/>
      <c r="J1611" s="209"/>
      <c r="K1611" s="209" t="s">
        <v>54</v>
      </c>
      <c r="L1611" s="209" t="s">
        <v>54</v>
      </c>
      <c r="M1611" s="209"/>
      <c r="N1611" s="209"/>
      <c r="O1611" s="209"/>
      <c r="P1611" s="210"/>
      <c r="Q1611" s="209"/>
      <c r="R1611" s="212"/>
      <c r="S1611" s="209"/>
      <c r="T1611" s="209"/>
      <c r="U1611" s="209" t="s">
        <v>54</v>
      </c>
      <c r="V1611" s="209"/>
      <c r="W1611" s="209"/>
      <c r="X1611" s="209"/>
      <c r="Y1611" s="209"/>
      <c r="Z1611" s="209"/>
      <c r="AA1611" s="209" t="s">
        <v>54</v>
      </c>
      <c r="AB1611" s="212"/>
      <c r="AC1611" s="212"/>
    </row>
    <row r="1612" spans="1:29" outlineLevel="2" x14ac:dyDescent="0.25">
      <c r="A1612" s="201">
        <v>46009</v>
      </c>
      <c r="D1612" s="198" t="s">
        <v>54</v>
      </c>
      <c r="E1612" s="202">
        <v>10461460</v>
      </c>
      <c r="K1612" s="198" t="s">
        <v>1121</v>
      </c>
      <c r="L1612" s="198" t="s">
        <v>167</v>
      </c>
      <c r="P1612" s="201"/>
      <c r="R1612" s="202">
        <v>10461460</v>
      </c>
      <c r="U1612" s="198" t="s">
        <v>175</v>
      </c>
      <c r="AA1612" s="198" t="s">
        <v>51</v>
      </c>
      <c r="AB1612" s="202">
        <v>10461460</v>
      </c>
      <c r="AC1612" s="202">
        <v>10461460</v>
      </c>
    </row>
    <row r="1613" spans="1:29" outlineLevel="2" x14ac:dyDescent="0.25">
      <c r="A1613" s="201">
        <v>46014</v>
      </c>
      <c r="D1613" s="198" t="s">
        <v>54</v>
      </c>
      <c r="E1613" s="202">
        <v>1003007</v>
      </c>
      <c r="K1613" s="198" t="s">
        <v>1121</v>
      </c>
      <c r="L1613" s="198" t="s">
        <v>167</v>
      </c>
      <c r="P1613" s="201"/>
      <c r="R1613" s="202">
        <v>1003007</v>
      </c>
      <c r="U1613" s="198" t="s">
        <v>175</v>
      </c>
      <c r="AA1613" s="198" t="s">
        <v>51</v>
      </c>
      <c r="AB1613" s="202">
        <v>1003007</v>
      </c>
      <c r="AC1613" s="202">
        <v>1003007</v>
      </c>
    </row>
    <row r="1614" spans="1:29" outlineLevel="2" x14ac:dyDescent="0.25">
      <c r="A1614" s="201">
        <v>46017</v>
      </c>
      <c r="D1614" s="198" t="s">
        <v>54</v>
      </c>
      <c r="E1614" s="202">
        <v>9933</v>
      </c>
      <c r="K1614" s="198" t="s">
        <v>1121</v>
      </c>
      <c r="L1614" s="198" t="s">
        <v>167</v>
      </c>
      <c r="P1614" s="201"/>
      <c r="R1614" s="202">
        <v>9933</v>
      </c>
      <c r="U1614" s="198" t="s">
        <v>175</v>
      </c>
      <c r="AA1614" s="198" t="s">
        <v>51</v>
      </c>
      <c r="AB1614" s="202">
        <v>9933</v>
      </c>
      <c r="AC1614" s="202">
        <v>9933</v>
      </c>
    </row>
    <row r="1615" spans="1:29" outlineLevel="2" x14ac:dyDescent="0.25">
      <c r="A1615" s="201">
        <v>46020</v>
      </c>
      <c r="D1615" s="198" t="s">
        <v>54</v>
      </c>
      <c r="E1615" s="202">
        <v>8000000</v>
      </c>
      <c r="K1615" s="198" t="s">
        <v>1121</v>
      </c>
      <c r="L1615" s="198" t="s">
        <v>167</v>
      </c>
      <c r="P1615" s="201"/>
      <c r="R1615" s="202">
        <v>8000000</v>
      </c>
      <c r="U1615" s="198" t="s">
        <v>175</v>
      </c>
      <c r="AA1615" s="198" t="s">
        <v>51</v>
      </c>
      <c r="AB1615" s="202">
        <v>8000000</v>
      </c>
      <c r="AC1615" s="202">
        <v>8000000</v>
      </c>
    </row>
    <row r="1616" spans="1:29" outlineLevel="1" x14ac:dyDescent="0.25">
      <c r="A1616" s="210"/>
      <c r="B1616" s="209"/>
      <c r="C1616" s="209"/>
      <c r="D1616" s="209" t="s">
        <v>54</v>
      </c>
      <c r="E1616" s="211">
        <v>19474400</v>
      </c>
      <c r="F1616" s="209"/>
      <c r="G1616" s="209"/>
      <c r="H1616" s="209"/>
      <c r="I1616" s="209"/>
      <c r="J1616" s="209"/>
      <c r="K1616" s="209" t="s">
        <v>54</v>
      </c>
      <c r="L1616" s="209" t="s">
        <v>54</v>
      </c>
      <c r="M1616" s="209"/>
      <c r="N1616" s="209"/>
      <c r="O1616" s="209"/>
      <c r="P1616" s="210"/>
      <c r="Q1616" s="209"/>
      <c r="R1616" s="212"/>
      <c r="S1616" s="209"/>
      <c r="T1616" s="209"/>
      <c r="U1616" s="209" t="s">
        <v>54</v>
      </c>
      <c r="V1616" s="209"/>
      <c r="W1616" s="209"/>
      <c r="X1616" s="209"/>
      <c r="Y1616" s="209"/>
      <c r="Z1616" s="209"/>
      <c r="AA1616" s="209" t="s">
        <v>54</v>
      </c>
      <c r="AB1616" s="212"/>
      <c r="AC1616" s="212"/>
    </row>
    <row r="1617" spans="1:29" outlineLevel="2" x14ac:dyDescent="0.25">
      <c r="A1617" s="201">
        <v>46115</v>
      </c>
      <c r="D1617" s="198" t="s">
        <v>54</v>
      </c>
      <c r="E1617" s="202">
        <v>57785716.859999999</v>
      </c>
      <c r="K1617" s="198" t="s">
        <v>1122</v>
      </c>
      <c r="L1617" s="198" t="s">
        <v>167</v>
      </c>
      <c r="P1617" s="201"/>
      <c r="R1617" s="202">
        <v>57785716.859999999</v>
      </c>
      <c r="U1617" s="198" t="s">
        <v>853</v>
      </c>
      <c r="AA1617" s="198" t="s">
        <v>51</v>
      </c>
      <c r="AB1617" s="202">
        <v>57785716.859999999</v>
      </c>
      <c r="AC1617" s="202">
        <v>57785716.859999999</v>
      </c>
    </row>
    <row r="1618" spans="1:29" outlineLevel="1" x14ac:dyDescent="0.25">
      <c r="A1618" s="210"/>
      <c r="B1618" s="209"/>
      <c r="C1618" s="209"/>
      <c r="D1618" s="209" t="s">
        <v>54</v>
      </c>
      <c r="E1618" s="211">
        <v>57785716.859999999</v>
      </c>
      <c r="F1618" s="209"/>
      <c r="G1618" s="209"/>
      <c r="H1618" s="209"/>
      <c r="I1618" s="209"/>
      <c r="J1618" s="209"/>
      <c r="K1618" s="209" t="s">
        <v>54</v>
      </c>
      <c r="L1618" s="209" t="s">
        <v>54</v>
      </c>
      <c r="M1618" s="209"/>
      <c r="N1618" s="209"/>
      <c r="O1618" s="209"/>
      <c r="P1618" s="210"/>
      <c r="Q1618" s="209"/>
      <c r="R1618" s="212"/>
      <c r="S1618" s="209"/>
      <c r="T1618" s="209"/>
      <c r="U1618" s="209" t="s">
        <v>54</v>
      </c>
      <c r="V1618" s="209"/>
      <c r="W1618" s="209"/>
      <c r="X1618" s="209"/>
      <c r="Y1618" s="209"/>
      <c r="Z1618" s="209"/>
      <c r="AA1618" s="209" t="s">
        <v>54</v>
      </c>
      <c r="AB1618" s="212"/>
      <c r="AC1618" s="212"/>
    </row>
    <row r="1619" spans="1:29" outlineLevel="2" x14ac:dyDescent="0.25">
      <c r="A1619" s="201">
        <v>46021</v>
      </c>
      <c r="D1619" s="198" t="s">
        <v>54</v>
      </c>
      <c r="E1619" s="202">
        <v>643765311.60000002</v>
      </c>
      <c r="K1619" s="198" t="s">
        <v>1902</v>
      </c>
      <c r="L1619" s="198" t="s">
        <v>112</v>
      </c>
      <c r="P1619" s="201"/>
      <c r="R1619" s="202">
        <v>643765311.60000002</v>
      </c>
      <c r="U1619" s="198" t="s">
        <v>112</v>
      </c>
      <c r="AA1619" s="198" t="s">
        <v>51</v>
      </c>
      <c r="AB1619" s="202">
        <v>643765311.60000002</v>
      </c>
      <c r="AC1619" s="202">
        <v>643765311.60000002</v>
      </c>
    </row>
    <row r="1620" spans="1:29" outlineLevel="2" x14ac:dyDescent="0.25">
      <c r="A1620" s="201">
        <v>46021</v>
      </c>
      <c r="D1620" s="198" t="s">
        <v>54</v>
      </c>
      <c r="E1620" s="202">
        <v>205537620.00999999</v>
      </c>
      <c r="K1620" s="198" t="s">
        <v>1902</v>
      </c>
      <c r="L1620" s="198" t="s">
        <v>112</v>
      </c>
      <c r="P1620" s="201"/>
      <c r="R1620" s="202">
        <v>205537620.00999999</v>
      </c>
      <c r="U1620" s="198" t="s">
        <v>112</v>
      </c>
      <c r="AA1620" s="198" t="s">
        <v>51</v>
      </c>
      <c r="AB1620" s="202">
        <v>205537620.00999999</v>
      </c>
      <c r="AC1620" s="202">
        <v>205537620.00999999</v>
      </c>
    </row>
    <row r="1621" spans="1:29" outlineLevel="2" x14ac:dyDescent="0.25">
      <c r="A1621" s="201">
        <v>46021</v>
      </c>
      <c r="D1621" s="198" t="s">
        <v>54</v>
      </c>
      <c r="E1621" s="202">
        <v>88006888.400000006</v>
      </c>
      <c r="K1621" s="198" t="s">
        <v>1902</v>
      </c>
      <c r="L1621" s="198" t="s">
        <v>112</v>
      </c>
      <c r="P1621" s="201"/>
      <c r="R1621" s="202">
        <v>88006888.400000006</v>
      </c>
      <c r="U1621" s="198" t="s">
        <v>112</v>
      </c>
      <c r="AA1621" s="198" t="s">
        <v>51</v>
      </c>
      <c r="AB1621" s="202">
        <v>88006888.400000006</v>
      </c>
      <c r="AC1621" s="202">
        <v>88006888.400000006</v>
      </c>
    </row>
    <row r="1622" spans="1:29" outlineLevel="2" x14ac:dyDescent="0.25">
      <c r="A1622" s="201">
        <v>46022</v>
      </c>
      <c r="D1622" s="198" t="s">
        <v>54</v>
      </c>
      <c r="E1622" s="202">
        <v>3966000</v>
      </c>
      <c r="K1622" s="198" t="s">
        <v>1902</v>
      </c>
      <c r="L1622" s="198" t="s">
        <v>112</v>
      </c>
      <c r="P1622" s="201"/>
      <c r="R1622" s="202">
        <v>3966000</v>
      </c>
      <c r="U1622" s="198" t="s">
        <v>112</v>
      </c>
      <c r="AA1622" s="198" t="s">
        <v>51</v>
      </c>
      <c r="AB1622" s="202">
        <v>3966000</v>
      </c>
      <c r="AC1622" s="202">
        <v>3966000</v>
      </c>
    </row>
    <row r="1623" spans="1:29" outlineLevel="2" x14ac:dyDescent="0.25">
      <c r="A1623" s="201">
        <v>46023</v>
      </c>
      <c r="D1623" s="198" t="s">
        <v>54</v>
      </c>
      <c r="E1623" s="202">
        <v>8229100</v>
      </c>
      <c r="K1623" s="198" t="s">
        <v>1902</v>
      </c>
      <c r="L1623" s="198" t="s">
        <v>112</v>
      </c>
      <c r="P1623" s="201"/>
      <c r="R1623" s="202">
        <v>8229100</v>
      </c>
      <c r="U1623" s="198" t="s">
        <v>112</v>
      </c>
      <c r="AA1623" s="198" t="s">
        <v>51</v>
      </c>
      <c r="AB1623" s="202">
        <v>8229100</v>
      </c>
      <c r="AC1623" s="202">
        <v>8229100</v>
      </c>
    </row>
    <row r="1624" spans="1:29" outlineLevel="2" x14ac:dyDescent="0.25">
      <c r="A1624" s="201">
        <v>46037</v>
      </c>
      <c r="D1624" s="198" t="s">
        <v>54</v>
      </c>
      <c r="E1624" s="202">
        <v>5733950</v>
      </c>
      <c r="K1624" s="198" t="s">
        <v>1902</v>
      </c>
      <c r="L1624" s="198" t="s">
        <v>112</v>
      </c>
      <c r="P1624" s="201"/>
      <c r="R1624" s="202">
        <v>5733950</v>
      </c>
      <c r="U1624" s="198" t="s">
        <v>112</v>
      </c>
      <c r="AA1624" s="198" t="s">
        <v>51</v>
      </c>
      <c r="AB1624" s="202">
        <v>5733950</v>
      </c>
      <c r="AC1624" s="202">
        <v>5733950</v>
      </c>
    </row>
    <row r="1625" spans="1:29" outlineLevel="2" x14ac:dyDescent="0.25">
      <c r="A1625" s="201">
        <v>46043</v>
      </c>
      <c r="D1625" s="198" t="s">
        <v>54</v>
      </c>
      <c r="E1625" s="202">
        <v>10400000</v>
      </c>
      <c r="K1625" s="198" t="s">
        <v>1902</v>
      </c>
      <c r="L1625" s="198" t="s">
        <v>112</v>
      </c>
      <c r="P1625" s="201"/>
      <c r="R1625" s="202">
        <v>10400000</v>
      </c>
      <c r="U1625" s="198" t="s">
        <v>112</v>
      </c>
      <c r="AA1625" s="198" t="s">
        <v>51</v>
      </c>
      <c r="AB1625" s="202">
        <v>10400000</v>
      </c>
      <c r="AC1625" s="202">
        <v>10400000</v>
      </c>
    </row>
    <row r="1626" spans="1:29" outlineLevel="2" x14ac:dyDescent="0.25">
      <c r="A1626" s="201">
        <v>46051</v>
      </c>
      <c r="D1626" s="198" t="s">
        <v>54</v>
      </c>
      <c r="E1626" s="202">
        <v>10800000</v>
      </c>
      <c r="K1626" s="198" t="s">
        <v>1902</v>
      </c>
      <c r="L1626" s="198" t="s">
        <v>112</v>
      </c>
      <c r="P1626" s="201"/>
      <c r="R1626" s="202">
        <v>10800000</v>
      </c>
      <c r="U1626" s="198" t="s">
        <v>112</v>
      </c>
      <c r="AA1626" s="198" t="s">
        <v>51</v>
      </c>
      <c r="AB1626" s="202">
        <v>10800000</v>
      </c>
      <c r="AC1626" s="202">
        <v>10800000</v>
      </c>
    </row>
    <row r="1627" spans="1:29" outlineLevel="2" x14ac:dyDescent="0.25">
      <c r="A1627" s="201">
        <v>46052</v>
      </c>
      <c r="D1627" s="198" t="s">
        <v>54</v>
      </c>
      <c r="E1627" s="202">
        <v>407542</v>
      </c>
      <c r="K1627" s="198" t="s">
        <v>1902</v>
      </c>
      <c r="L1627" s="198" t="s">
        <v>112</v>
      </c>
      <c r="P1627" s="201"/>
      <c r="R1627" s="202">
        <v>407542</v>
      </c>
      <c r="U1627" s="198" t="s">
        <v>112</v>
      </c>
      <c r="AA1627" s="198" t="s">
        <v>51</v>
      </c>
      <c r="AB1627" s="202">
        <v>407542</v>
      </c>
      <c r="AC1627" s="202">
        <v>407542</v>
      </c>
    </row>
    <row r="1628" spans="1:29" outlineLevel="2" x14ac:dyDescent="0.25">
      <c r="A1628" s="201">
        <v>46056</v>
      </c>
      <c r="D1628" s="198" t="s">
        <v>54</v>
      </c>
      <c r="E1628" s="202">
        <v>788150</v>
      </c>
      <c r="K1628" s="198" t="s">
        <v>1902</v>
      </c>
      <c r="L1628" s="198" t="s">
        <v>112</v>
      </c>
      <c r="P1628" s="201"/>
      <c r="R1628" s="202">
        <v>788150</v>
      </c>
      <c r="U1628" s="198" t="s">
        <v>112</v>
      </c>
      <c r="AA1628" s="198" t="s">
        <v>51</v>
      </c>
      <c r="AB1628" s="202">
        <v>788150</v>
      </c>
      <c r="AC1628" s="202">
        <v>788150</v>
      </c>
    </row>
    <row r="1629" spans="1:29" outlineLevel="2" x14ac:dyDescent="0.25">
      <c r="A1629" s="201">
        <v>46056</v>
      </c>
      <c r="D1629" s="198" t="s">
        <v>54</v>
      </c>
      <c r="E1629" s="202">
        <v>116750</v>
      </c>
      <c r="K1629" s="198" t="s">
        <v>1902</v>
      </c>
      <c r="L1629" s="198" t="s">
        <v>112</v>
      </c>
      <c r="P1629" s="201"/>
      <c r="R1629" s="202">
        <v>116750</v>
      </c>
      <c r="U1629" s="198" t="s">
        <v>112</v>
      </c>
      <c r="AA1629" s="198" t="s">
        <v>51</v>
      </c>
      <c r="AB1629" s="202">
        <v>116750</v>
      </c>
      <c r="AC1629" s="202">
        <v>116750</v>
      </c>
    </row>
    <row r="1630" spans="1:29" outlineLevel="2" x14ac:dyDescent="0.25">
      <c r="A1630" s="201">
        <v>46056</v>
      </c>
      <c r="D1630" s="198" t="s">
        <v>54</v>
      </c>
      <c r="E1630" s="202">
        <v>2507040</v>
      </c>
      <c r="K1630" s="198" t="s">
        <v>1902</v>
      </c>
      <c r="L1630" s="198" t="s">
        <v>112</v>
      </c>
      <c r="P1630" s="201"/>
      <c r="R1630" s="202">
        <v>2507040</v>
      </c>
      <c r="U1630" s="198" t="s">
        <v>112</v>
      </c>
      <c r="AA1630" s="198" t="s">
        <v>51</v>
      </c>
      <c r="AB1630" s="202">
        <v>2507040</v>
      </c>
      <c r="AC1630" s="202">
        <v>2507040</v>
      </c>
    </row>
    <row r="1631" spans="1:29" outlineLevel="2" x14ac:dyDescent="0.25">
      <c r="A1631" s="201">
        <v>46057</v>
      </c>
      <c r="D1631" s="198" t="s">
        <v>54</v>
      </c>
      <c r="E1631" s="202">
        <v>1835968.84</v>
      </c>
      <c r="K1631" s="198" t="s">
        <v>1902</v>
      </c>
      <c r="L1631" s="198" t="s">
        <v>112</v>
      </c>
      <c r="P1631" s="201"/>
      <c r="R1631" s="202">
        <v>1835968.84</v>
      </c>
      <c r="U1631" s="198" t="s">
        <v>112</v>
      </c>
      <c r="AA1631" s="198" t="s">
        <v>51</v>
      </c>
      <c r="AB1631" s="202">
        <v>1835968.84</v>
      </c>
      <c r="AC1631" s="202">
        <v>1835968.84</v>
      </c>
    </row>
    <row r="1632" spans="1:29" outlineLevel="2" x14ac:dyDescent="0.25">
      <c r="A1632" s="201">
        <v>46058</v>
      </c>
      <c r="D1632" s="198" t="s">
        <v>54</v>
      </c>
      <c r="E1632" s="202">
        <v>554362</v>
      </c>
      <c r="K1632" s="198" t="s">
        <v>1902</v>
      </c>
      <c r="L1632" s="198" t="s">
        <v>112</v>
      </c>
      <c r="P1632" s="201"/>
      <c r="R1632" s="202">
        <v>554362</v>
      </c>
      <c r="U1632" s="198" t="s">
        <v>112</v>
      </c>
      <c r="AA1632" s="198" t="s">
        <v>51</v>
      </c>
      <c r="AB1632" s="202">
        <v>554362</v>
      </c>
      <c r="AC1632" s="202">
        <v>554362</v>
      </c>
    </row>
    <row r="1633" spans="1:29" outlineLevel="2" x14ac:dyDescent="0.25">
      <c r="A1633" s="201">
        <v>46058</v>
      </c>
      <c r="D1633" s="198" t="s">
        <v>54</v>
      </c>
      <c r="E1633" s="202">
        <v>3</v>
      </c>
      <c r="K1633" s="198" t="s">
        <v>1902</v>
      </c>
      <c r="L1633" s="198" t="s">
        <v>112</v>
      </c>
      <c r="P1633" s="201"/>
      <c r="R1633" s="202">
        <v>3</v>
      </c>
      <c r="U1633" s="198" t="s">
        <v>112</v>
      </c>
      <c r="AA1633" s="198" t="s">
        <v>51</v>
      </c>
      <c r="AB1633" s="202">
        <v>3</v>
      </c>
      <c r="AC1633" s="202">
        <v>3</v>
      </c>
    </row>
    <row r="1634" spans="1:29" outlineLevel="2" x14ac:dyDescent="0.25">
      <c r="A1634" s="201">
        <v>46065</v>
      </c>
      <c r="D1634" s="198" t="s">
        <v>54</v>
      </c>
      <c r="E1634" s="202">
        <v>10561856</v>
      </c>
      <c r="K1634" s="198" t="s">
        <v>1902</v>
      </c>
      <c r="L1634" s="198" t="s">
        <v>112</v>
      </c>
      <c r="P1634" s="201"/>
      <c r="R1634" s="202">
        <v>10561856</v>
      </c>
      <c r="U1634" s="198" t="s">
        <v>112</v>
      </c>
      <c r="AA1634" s="198" t="s">
        <v>51</v>
      </c>
      <c r="AB1634" s="202">
        <v>10561856</v>
      </c>
      <c r="AC1634" s="202">
        <v>10561856</v>
      </c>
    </row>
    <row r="1635" spans="1:29" outlineLevel="2" x14ac:dyDescent="0.25">
      <c r="A1635" s="201">
        <v>46071</v>
      </c>
      <c r="D1635" s="198" t="s">
        <v>54</v>
      </c>
      <c r="E1635" s="202">
        <v>2235298</v>
      </c>
      <c r="K1635" s="198" t="s">
        <v>1902</v>
      </c>
      <c r="L1635" s="198" t="s">
        <v>112</v>
      </c>
      <c r="P1635" s="201"/>
      <c r="R1635" s="202">
        <v>2235298</v>
      </c>
      <c r="U1635" s="198" t="s">
        <v>112</v>
      </c>
      <c r="AA1635" s="198" t="s">
        <v>51</v>
      </c>
      <c r="AB1635" s="202">
        <v>2235298</v>
      </c>
      <c r="AC1635" s="202">
        <v>2235298</v>
      </c>
    </row>
    <row r="1636" spans="1:29" outlineLevel="2" x14ac:dyDescent="0.25">
      <c r="A1636" s="201">
        <v>46113</v>
      </c>
      <c r="D1636" s="198" t="s">
        <v>54</v>
      </c>
      <c r="E1636" s="202">
        <v>-5479707.4400000004</v>
      </c>
      <c r="K1636" s="198" t="s">
        <v>1902</v>
      </c>
      <c r="L1636" s="198" t="s">
        <v>112</v>
      </c>
      <c r="P1636" s="201"/>
      <c r="R1636" s="202">
        <v>-5479707.4400000004</v>
      </c>
      <c r="U1636" s="198" t="s">
        <v>112</v>
      </c>
      <c r="AA1636" s="198" t="s">
        <v>51</v>
      </c>
      <c r="AB1636" s="202">
        <v>-5479707.4400000004</v>
      </c>
      <c r="AC1636" s="202">
        <v>-5479707.4400000004</v>
      </c>
    </row>
    <row r="1637" spans="1:29" outlineLevel="2" x14ac:dyDescent="0.25">
      <c r="A1637" s="201">
        <v>46115</v>
      </c>
      <c r="D1637" s="198" t="s">
        <v>54</v>
      </c>
      <c r="E1637" s="202">
        <v>212232660.71000001</v>
      </c>
      <c r="K1637" s="198" t="s">
        <v>1902</v>
      </c>
      <c r="L1637" s="198" t="s">
        <v>112</v>
      </c>
      <c r="P1637" s="201"/>
      <c r="R1637" s="202">
        <v>212232660.71000001</v>
      </c>
      <c r="U1637" s="198" t="s">
        <v>112</v>
      </c>
      <c r="AA1637" s="198" t="s">
        <v>51</v>
      </c>
      <c r="AB1637" s="202">
        <v>212232660.71000001</v>
      </c>
      <c r="AC1637" s="202">
        <v>212232660.71000001</v>
      </c>
    </row>
    <row r="1638" spans="1:29" outlineLevel="2" x14ac:dyDescent="0.25">
      <c r="A1638" s="201">
        <v>46136</v>
      </c>
      <c r="D1638" s="198" t="s">
        <v>54</v>
      </c>
      <c r="E1638" s="202">
        <v>14126229</v>
      </c>
      <c r="K1638" s="198" t="s">
        <v>1902</v>
      </c>
      <c r="L1638" s="198" t="s">
        <v>112</v>
      </c>
      <c r="P1638" s="201"/>
      <c r="R1638" s="202">
        <v>14126229</v>
      </c>
      <c r="U1638" s="198" t="s">
        <v>112</v>
      </c>
      <c r="AA1638" s="198" t="s">
        <v>51</v>
      </c>
      <c r="AB1638" s="202">
        <v>14126229</v>
      </c>
      <c r="AC1638" s="202">
        <v>14126229</v>
      </c>
    </row>
    <row r="1639" spans="1:29" outlineLevel="2" x14ac:dyDescent="0.25">
      <c r="A1639" s="201">
        <v>46141</v>
      </c>
      <c r="D1639" s="198" t="s">
        <v>54</v>
      </c>
      <c r="E1639" s="202">
        <v>15201000</v>
      </c>
      <c r="K1639" s="198" t="s">
        <v>1902</v>
      </c>
      <c r="L1639" s="198" t="s">
        <v>112</v>
      </c>
      <c r="P1639" s="201"/>
      <c r="R1639" s="202">
        <v>15201000</v>
      </c>
      <c r="U1639" s="198" t="s">
        <v>112</v>
      </c>
      <c r="AA1639" s="198" t="s">
        <v>51</v>
      </c>
      <c r="AB1639" s="202">
        <v>15201000</v>
      </c>
      <c r="AC1639" s="202">
        <v>15201000</v>
      </c>
    </row>
    <row r="1640" spans="1:29" outlineLevel="2" x14ac:dyDescent="0.25">
      <c r="A1640" s="201">
        <v>46155</v>
      </c>
      <c r="D1640" s="198" t="s">
        <v>54</v>
      </c>
      <c r="E1640" s="202">
        <v>3668986.9</v>
      </c>
      <c r="K1640" s="198" t="s">
        <v>1902</v>
      </c>
      <c r="L1640" s="198" t="s">
        <v>112</v>
      </c>
      <c r="P1640" s="201"/>
      <c r="R1640" s="202">
        <v>3668986.9</v>
      </c>
      <c r="U1640" s="198" t="s">
        <v>112</v>
      </c>
      <c r="AA1640" s="198" t="s">
        <v>51</v>
      </c>
      <c r="AB1640" s="202">
        <v>3668986.9</v>
      </c>
      <c r="AC1640" s="202">
        <v>3668986.9</v>
      </c>
    </row>
    <row r="1641" spans="1:29" outlineLevel="2" x14ac:dyDescent="0.25">
      <c r="A1641" s="201">
        <v>46155</v>
      </c>
      <c r="D1641" s="198" t="s">
        <v>54</v>
      </c>
      <c r="E1641" s="202">
        <v>2332450.06</v>
      </c>
      <c r="K1641" s="198" t="s">
        <v>1902</v>
      </c>
      <c r="L1641" s="198" t="s">
        <v>112</v>
      </c>
      <c r="P1641" s="201"/>
      <c r="R1641" s="202">
        <v>2332450.06</v>
      </c>
      <c r="U1641" s="198" t="s">
        <v>112</v>
      </c>
      <c r="AA1641" s="198" t="s">
        <v>51</v>
      </c>
      <c r="AB1641" s="202">
        <v>2332450.06</v>
      </c>
      <c r="AC1641" s="202">
        <v>2332450.06</v>
      </c>
    </row>
    <row r="1642" spans="1:29" outlineLevel="2" x14ac:dyDescent="0.25">
      <c r="A1642" s="201">
        <v>46155</v>
      </c>
      <c r="D1642" s="198" t="s">
        <v>54</v>
      </c>
      <c r="E1642" s="202">
        <v>4803599.87</v>
      </c>
      <c r="K1642" s="198" t="s">
        <v>1902</v>
      </c>
      <c r="L1642" s="198" t="s">
        <v>112</v>
      </c>
      <c r="P1642" s="201"/>
      <c r="R1642" s="202">
        <v>4803599.87</v>
      </c>
      <c r="U1642" s="198" t="s">
        <v>112</v>
      </c>
      <c r="AA1642" s="198" t="s">
        <v>51</v>
      </c>
      <c r="AB1642" s="202">
        <v>4803599.87</v>
      </c>
      <c r="AC1642" s="202">
        <v>4803599.87</v>
      </c>
    </row>
    <row r="1643" spans="1:29" outlineLevel="2" x14ac:dyDescent="0.25">
      <c r="A1643" s="201">
        <v>46163</v>
      </c>
      <c r="D1643" s="198" t="s">
        <v>54</v>
      </c>
      <c r="E1643" s="202">
        <v>5041000.4000000004</v>
      </c>
      <c r="K1643" s="198" t="s">
        <v>1902</v>
      </c>
      <c r="L1643" s="198" t="s">
        <v>112</v>
      </c>
      <c r="P1643" s="201"/>
      <c r="R1643" s="202">
        <v>5041000.4000000004</v>
      </c>
      <c r="U1643" s="198" t="s">
        <v>112</v>
      </c>
      <c r="AA1643" s="198" t="s">
        <v>51</v>
      </c>
      <c r="AB1643" s="202">
        <v>5041000.4000000004</v>
      </c>
      <c r="AC1643" s="202">
        <v>5041000.4000000004</v>
      </c>
    </row>
    <row r="1644" spans="1:29" outlineLevel="2" x14ac:dyDescent="0.25">
      <c r="A1644" s="201">
        <v>46163</v>
      </c>
      <c r="D1644" s="198" t="s">
        <v>54</v>
      </c>
      <c r="E1644" s="202">
        <v>20041977</v>
      </c>
      <c r="K1644" s="198" t="s">
        <v>1902</v>
      </c>
      <c r="L1644" s="198" t="s">
        <v>112</v>
      </c>
      <c r="P1644" s="201"/>
      <c r="R1644" s="202">
        <v>20041977</v>
      </c>
      <c r="U1644" s="198" t="s">
        <v>112</v>
      </c>
      <c r="AA1644" s="198" t="s">
        <v>51</v>
      </c>
      <c r="AB1644" s="202">
        <v>20041977</v>
      </c>
      <c r="AC1644" s="202">
        <v>20041977</v>
      </c>
    </row>
    <row r="1645" spans="1:29" outlineLevel="2" x14ac:dyDescent="0.25">
      <c r="A1645" s="201">
        <v>46163</v>
      </c>
      <c r="D1645" s="198" t="s">
        <v>54</v>
      </c>
      <c r="E1645" s="202">
        <v>2638023</v>
      </c>
      <c r="K1645" s="198" t="s">
        <v>1902</v>
      </c>
      <c r="L1645" s="198" t="s">
        <v>112</v>
      </c>
      <c r="P1645" s="201"/>
      <c r="R1645" s="202">
        <v>2638023</v>
      </c>
      <c r="U1645" s="198" t="s">
        <v>112</v>
      </c>
      <c r="AA1645" s="198" t="s">
        <v>51</v>
      </c>
      <c r="AB1645" s="202">
        <v>2638023</v>
      </c>
      <c r="AC1645" s="202">
        <v>2638023</v>
      </c>
    </row>
    <row r="1646" spans="1:29" outlineLevel="2" x14ac:dyDescent="0.25">
      <c r="A1646" s="201">
        <v>46169</v>
      </c>
      <c r="D1646" s="198" t="s">
        <v>54</v>
      </c>
      <c r="E1646" s="202">
        <v>2394705</v>
      </c>
      <c r="K1646" s="198" t="s">
        <v>1902</v>
      </c>
      <c r="L1646" s="198" t="s">
        <v>112</v>
      </c>
      <c r="P1646" s="201"/>
      <c r="R1646" s="202">
        <v>2394705</v>
      </c>
      <c r="U1646" s="198" t="s">
        <v>112</v>
      </c>
      <c r="AA1646" s="198" t="s">
        <v>51</v>
      </c>
      <c r="AB1646" s="202">
        <v>2394705</v>
      </c>
      <c r="AC1646" s="202">
        <v>2394705</v>
      </c>
    </row>
    <row r="1647" spans="1:29" outlineLevel="1" x14ac:dyDescent="0.25">
      <c r="A1647" s="210"/>
      <c r="B1647" s="209"/>
      <c r="C1647" s="209"/>
      <c r="D1647" s="209" t="s">
        <v>54</v>
      </c>
      <c r="E1647" s="211">
        <v>1272446764.3499999</v>
      </c>
      <c r="F1647" s="209"/>
      <c r="G1647" s="209"/>
      <c r="H1647" s="209"/>
      <c r="I1647" s="209"/>
      <c r="J1647" s="209"/>
      <c r="K1647" s="209" t="s">
        <v>54</v>
      </c>
      <c r="L1647" s="209" t="s">
        <v>54</v>
      </c>
      <c r="M1647" s="209"/>
      <c r="N1647" s="209"/>
      <c r="O1647" s="209"/>
      <c r="P1647" s="210"/>
      <c r="Q1647" s="209"/>
      <c r="R1647" s="212"/>
      <c r="S1647" s="209"/>
      <c r="T1647" s="209"/>
      <c r="U1647" s="209" t="s">
        <v>54</v>
      </c>
      <c r="V1647" s="209"/>
      <c r="W1647" s="209"/>
      <c r="X1647" s="209"/>
      <c r="Y1647" s="209"/>
      <c r="Z1647" s="209"/>
      <c r="AA1647" s="209" t="s">
        <v>54</v>
      </c>
      <c r="AB1647" s="212"/>
      <c r="AC1647" s="212"/>
    </row>
    <row r="1648" spans="1:29" outlineLevel="2" x14ac:dyDescent="0.25">
      <c r="A1648" s="201">
        <v>46021</v>
      </c>
      <c r="D1648" s="198" t="s">
        <v>54</v>
      </c>
      <c r="E1648" s="202">
        <v>18233600</v>
      </c>
      <c r="K1648" s="198" t="s">
        <v>1903</v>
      </c>
      <c r="L1648" s="198" t="s">
        <v>112</v>
      </c>
      <c r="P1648" s="201"/>
      <c r="R1648" s="202">
        <v>18233600</v>
      </c>
      <c r="U1648" s="198" t="s">
        <v>246</v>
      </c>
      <c r="AA1648" s="198" t="s">
        <v>51</v>
      </c>
      <c r="AB1648" s="202">
        <v>18233600</v>
      </c>
      <c r="AC1648" s="202">
        <v>18233600</v>
      </c>
    </row>
    <row r="1649" spans="1:29" outlineLevel="2" x14ac:dyDescent="0.25">
      <c r="A1649" s="201">
        <v>46022</v>
      </c>
      <c r="D1649" s="198" t="s">
        <v>54</v>
      </c>
      <c r="E1649" s="202">
        <v>3966000</v>
      </c>
      <c r="K1649" s="198" t="s">
        <v>1903</v>
      </c>
      <c r="L1649" s="198" t="s">
        <v>112</v>
      </c>
      <c r="P1649" s="201"/>
      <c r="R1649" s="202">
        <v>3966000</v>
      </c>
      <c r="U1649" s="198" t="s">
        <v>246</v>
      </c>
      <c r="AA1649" s="198" t="s">
        <v>51</v>
      </c>
      <c r="AB1649" s="202">
        <v>3966000</v>
      </c>
      <c r="AC1649" s="202">
        <v>3966000</v>
      </c>
    </row>
    <row r="1650" spans="1:29" outlineLevel="1" x14ac:dyDescent="0.25">
      <c r="A1650" s="210"/>
      <c r="B1650" s="209"/>
      <c r="C1650" s="209"/>
      <c r="D1650" s="209" t="s">
        <v>54</v>
      </c>
      <c r="E1650" s="211">
        <v>22199600</v>
      </c>
      <c r="F1650" s="209"/>
      <c r="G1650" s="209"/>
      <c r="H1650" s="209"/>
      <c r="I1650" s="209"/>
      <c r="J1650" s="209"/>
      <c r="K1650" s="209" t="s">
        <v>54</v>
      </c>
      <c r="L1650" s="209" t="s">
        <v>54</v>
      </c>
      <c r="M1650" s="209"/>
      <c r="N1650" s="209"/>
      <c r="O1650" s="209"/>
      <c r="P1650" s="210"/>
      <c r="Q1650" s="209"/>
      <c r="R1650" s="212"/>
      <c r="S1650" s="209"/>
      <c r="T1650" s="209"/>
      <c r="U1650" s="209" t="s">
        <v>54</v>
      </c>
      <c r="V1650" s="209"/>
      <c r="W1650" s="209"/>
      <c r="X1650" s="209"/>
      <c r="Y1650" s="209"/>
      <c r="Z1650" s="209"/>
      <c r="AA1650" s="209" t="s">
        <v>54</v>
      </c>
      <c r="AB1650" s="212"/>
      <c r="AC1650" s="212"/>
    </row>
    <row r="1651" spans="1:29" outlineLevel="2" x14ac:dyDescent="0.25">
      <c r="A1651" s="201">
        <v>46021</v>
      </c>
      <c r="D1651" s="198" t="s">
        <v>54</v>
      </c>
      <c r="E1651" s="202">
        <v>25066496</v>
      </c>
      <c r="K1651" s="198" t="s">
        <v>1904</v>
      </c>
      <c r="L1651" s="198" t="s">
        <v>112</v>
      </c>
      <c r="P1651" s="201"/>
      <c r="R1651" s="202">
        <v>25066496</v>
      </c>
      <c r="U1651" s="198" t="s">
        <v>1123</v>
      </c>
      <c r="AA1651" s="198" t="s">
        <v>51</v>
      </c>
      <c r="AB1651" s="202">
        <v>25066496</v>
      </c>
      <c r="AC1651" s="202">
        <v>25066496</v>
      </c>
    </row>
    <row r="1652" spans="1:29" outlineLevel="1" x14ac:dyDescent="0.25">
      <c r="A1652" s="210"/>
      <c r="B1652" s="209"/>
      <c r="C1652" s="209"/>
      <c r="D1652" s="209" t="s">
        <v>54</v>
      </c>
      <c r="E1652" s="211">
        <v>25066496</v>
      </c>
      <c r="F1652" s="209"/>
      <c r="G1652" s="209"/>
      <c r="H1652" s="209"/>
      <c r="I1652" s="209"/>
      <c r="J1652" s="209"/>
      <c r="K1652" s="209" t="s">
        <v>54</v>
      </c>
      <c r="L1652" s="209" t="s">
        <v>54</v>
      </c>
      <c r="M1652" s="209"/>
      <c r="N1652" s="209"/>
      <c r="O1652" s="209"/>
      <c r="P1652" s="210"/>
      <c r="Q1652" s="209"/>
      <c r="R1652" s="212"/>
      <c r="S1652" s="209"/>
      <c r="T1652" s="209"/>
      <c r="U1652" s="209" t="s">
        <v>54</v>
      </c>
      <c r="V1652" s="209"/>
      <c r="W1652" s="209"/>
      <c r="X1652" s="209"/>
      <c r="Y1652" s="209"/>
      <c r="Z1652" s="209"/>
      <c r="AA1652" s="209" t="s">
        <v>54</v>
      </c>
      <c r="AB1652" s="212"/>
      <c r="AC1652" s="212"/>
    </row>
    <row r="1653" spans="1:29" outlineLevel="2" x14ac:dyDescent="0.25">
      <c r="A1653" s="201">
        <v>46021</v>
      </c>
      <c r="D1653" s="198" t="s">
        <v>54</v>
      </c>
      <c r="E1653" s="202">
        <v>25066496</v>
      </c>
      <c r="K1653" s="198" t="s">
        <v>1905</v>
      </c>
      <c r="L1653" s="198" t="s">
        <v>112</v>
      </c>
      <c r="P1653" s="201"/>
      <c r="R1653" s="202">
        <v>25066496</v>
      </c>
      <c r="U1653" s="198" t="s">
        <v>249</v>
      </c>
      <c r="AA1653" s="198" t="s">
        <v>51</v>
      </c>
      <c r="AB1653" s="202">
        <v>25066496</v>
      </c>
      <c r="AC1653" s="202">
        <v>25066496</v>
      </c>
    </row>
    <row r="1654" spans="1:29" outlineLevel="1" x14ac:dyDescent="0.25">
      <c r="A1654" s="210"/>
      <c r="B1654" s="209"/>
      <c r="C1654" s="209"/>
      <c r="D1654" s="209" t="s">
        <v>54</v>
      </c>
      <c r="E1654" s="211">
        <v>25066496</v>
      </c>
      <c r="F1654" s="209"/>
      <c r="G1654" s="209"/>
      <c r="H1654" s="209"/>
      <c r="I1654" s="209"/>
      <c r="J1654" s="209"/>
      <c r="K1654" s="209" t="s">
        <v>54</v>
      </c>
      <c r="L1654" s="209" t="s">
        <v>54</v>
      </c>
      <c r="M1654" s="209"/>
      <c r="N1654" s="209"/>
      <c r="O1654" s="209"/>
      <c r="P1654" s="210"/>
      <c r="Q1654" s="209"/>
      <c r="R1654" s="212"/>
      <c r="S1654" s="209"/>
      <c r="T1654" s="209"/>
      <c r="U1654" s="209" t="s">
        <v>54</v>
      </c>
      <c r="V1654" s="209"/>
      <c r="W1654" s="209"/>
      <c r="X1654" s="209"/>
      <c r="Y1654" s="209"/>
      <c r="Z1654" s="209"/>
      <c r="AA1654" s="209" t="s">
        <v>54</v>
      </c>
      <c r="AB1654" s="212"/>
      <c r="AC1654" s="212"/>
    </row>
    <row r="1655" spans="1:29" outlineLevel="2" x14ac:dyDescent="0.25">
      <c r="A1655" s="201">
        <v>46021</v>
      </c>
      <c r="D1655" s="198" t="s">
        <v>54</v>
      </c>
      <c r="E1655" s="202">
        <v>162237524.00999999</v>
      </c>
      <c r="K1655" s="198" t="s">
        <v>1906</v>
      </c>
      <c r="L1655" s="198" t="s">
        <v>112</v>
      </c>
      <c r="P1655" s="201"/>
      <c r="R1655" s="202">
        <v>162237524.00999999</v>
      </c>
      <c r="U1655" s="198" t="s">
        <v>1124</v>
      </c>
      <c r="AA1655" s="198" t="s">
        <v>51</v>
      </c>
      <c r="AB1655" s="202">
        <v>162237524.00999999</v>
      </c>
      <c r="AC1655" s="202">
        <v>162237524.00999999</v>
      </c>
    </row>
    <row r="1656" spans="1:29" outlineLevel="2" x14ac:dyDescent="0.25">
      <c r="A1656" s="201">
        <v>46071</v>
      </c>
      <c r="D1656" s="198" t="s">
        <v>54</v>
      </c>
      <c r="E1656" s="202">
        <v>2235298</v>
      </c>
      <c r="K1656" s="198" t="s">
        <v>1906</v>
      </c>
      <c r="L1656" s="198" t="s">
        <v>112</v>
      </c>
      <c r="P1656" s="201"/>
      <c r="R1656" s="202">
        <v>2235298</v>
      </c>
      <c r="U1656" s="198" t="s">
        <v>1124</v>
      </c>
      <c r="AA1656" s="198" t="s">
        <v>51</v>
      </c>
      <c r="AB1656" s="202">
        <v>2235298</v>
      </c>
      <c r="AC1656" s="202">
        <v>2235298</v>
      </c>
    </row>
    <row r="1657" spans="1:29" outlineLevel="2" x14ac:dyDescent="0.25">
      <c r="A1657" s="201">
        <v>46136</v>
      </c>
      <c r="D1657" s="198" t="s">
        <v>54</v>
      </c>
      <c r="E1657" s="202">
        <v>14126229</v>
      </c>
      <c r="K1657" s="198" t="s">
        <v>1906</v>
      </c>
      <c r="L1657" s="198" t="s">
        <v>112</v>
      </c>
      <c r="P1657" s="201"/>
      <c r="R1657" s="202">
        <v>14126229</v>
      </c>
      <c r="U1657" s="198" t="s">
        <v>1124</v>
      </c>
      <c r="AA1657" s="198" t="s">
        <v>51</v>
      </c>
      <c r="AB1657" s="202">
        <v>14126229</v>
      </c>
      <c r="AC1657" s="202">
        <v>14126229</v>
      </c>
    </row>
    <row r="1658" spans="1:29" outlineLevel="1" x14ac:dyDescent="0.25">
      <c r="A1658" s="210"/>
      <c r="B1658" s="209"/>
      <c r="C1658" s="209"/>
      <c r="D1658" s="209" t="s">
        <v>54</v>
      </c>
      <c r="E1658" s="211">
        <v>178599051.00999999</v>
      </c>
      <c r="F1658" s="209"/>
      <c r="G1658" s="209"/>
      <c r="H1658" s="209"/>
      <c r="I1658" s="209"/>
      <c r="J1658" s="209"/>
      <c r="K1658" s="209" t="s">
        <v>54</v>
      </c>
      <c r="L1658" s="209" t="s">
        <v>54</v>
      </c>
      <c r="M1658" s="209"/>
      <c r="N1658" s="209"/>
      <c r="O1658" s="209"/>
      <c r="P1658" s="210"/>
      <c r="Q1658" s="209"/>
      <c r="R1658" s="212"/>
      <c r="S1658" s="209"/>
      <c r="T1658" s="209"/>
      <c r="U1658" s="209" t="s">
        <v>54</v>
      </c>
      <c r="V1658" s="209"/>
      <c r="W1658" s="209"/>
      <c r="X1658" s="209"/>
      <c r="Y1658" s="209"/>
      <c r="Z1658" s="209"/>
      <c r="AA1658" s="209" t="s">
        <v>54</v>
      </c>
      <c r="AB1658" s="212"/>
      <c r="AC1658" s="212"/>
    </row>
    <row r="1659" spans="1:29" outlineLevel="2" x14ac:dyDescent="0.25">
      <c r="A1659" s="201">
        <v>46021</v>
      </c>
      <c r="D1659" s="198" t="s">
        <v>54</v>
      </c>
      <c r="E1659" s="202">
        <v>2300000</v>
      </c>
      <c r="K1659" s="198" t="s">
        <v>1907</v>
      </c>
      <c r="L1659" s="198" t="s">
        <v>112</v>
      </c>
      <c r="P1659" s="201"/>
      <c r="R1659" s="202">
        <v>2300000</v>
      </c>
      <c r="U1659" s="198" t="s">
        <v>247</v>
      </c>
      <c r="AA1659" s="198" t="s">
        <v>51</v>
      </c>
      <c r="AB1659" s="202">
        <v>2300000</v>
      </c>
      <c r="AC1659" s="202">
        <v>2300000</v>
      </c>
    </row>
    <row r="1660" spans="1:29" outlineLevel="1" x14ac:dyDescent="0.25">
      <c r="A1660" s="210"/>
      <c r="B1660" s="209"/>
      <c r="C1660" s="209"/>
      <c r="D1660" s="209" t="s">
        <v>54</v>
      </c>
      <c r="E1660" s="211">
        <v>2300000</v>
      </c>
      <c r="F1660" s="209"/>
      <c r="G1660" s="209"/>
      <c r="H1660" s="209"/>
      <c r="I1660" s="209"/>
      <c r="J1660" s="209"/>
      <c r="K1660" s="209" t="s">
        <v>54</v>
      </c>
      <c r="L1660" s="209" t="s">
        <v>54</v>
      </c>
      <c r="M1660" s="209"/>
      <c r="N1660" s="209"/>
      <c r="O1660" s="209"/>
      <c r="P1660" s="210"/>
      <c r="Q1660" s="209"/>
      <c r="R1660" s="212"/>
      <c r="S1660" s="209"/>
      <c r="T1660" s="209"/>
      <c r="U1660" s="209" t="s">
        <v>54</v>
      </c>
      <c r="V1660" s="209"/>
      <c r="W1660" s="209"/>
      <c r="X1660" s="209"/>
      <c r="Y1660" s="209"/>
      <c r="Z1660" s="209"/>
      <c r="AA1660" s="209" t="s">
        <v>54</v>
      </c>
      <c r="AB1660" s="212"/>
      <c r="AC1660" s="212"/>
    </row>
    <row r="1661" spans="1:29" outlineLevel="2" x14ac:dyDescent="0.25">
      <c r="A1661" s="201">
        <v>46021</v>
      </c>
      <c r="D1661" s="198" t="s">
        <v>54</v>
      </c>
      <c r="E1661" s="202">
        <v>51190546</v>
      </c>
      <c r="K1661" s="198" t="s">
        <v>1908</v>
      </c>
      <c r="L1661" s="198" t="s">
        <v>112</v>
      </c>
      <c r="P1661" s="201"/>
      <c r="R1661" s="202">
        <v>51190546</v>
      </c>
      <c r="U1661" s="198" t="s">
        <v>251</v>
      </c>
      <c r="AA1661" s="198" t="s">
        <v>51</v>
      </c>
      <c r="AB1661" s="202">
        <v>51190546</v>
      </c>
      <c r="AC1661" s="202">
        <v>51190546</v>
      </c>
    </row>
    <row r="1662" spans="1:29" outlineLevel="1" x14ac:dyDescent="0.25">
      <c r="A1662" s="210"/>
      <c r="B1662" s="209"/>
      <c r="C1662" s="209"/>
      <c r="D1662" s="209" t="s">
        <v>54</v>
      </c>
      <c r="E1662" s="211">
        <v>51190546</v>
      </c>
      <c r="F1662" s="209"/>
      <c r="G1662" s="209"/>
      <c r="H1662" s="209"/>
      <c r="I1662" s="209"/>
      <c r="J1662" s="209"/>
      <c r="K1662" s="209" t="s">
        <v>54</v>
      </c>
      <c r="L1662" s="209" t="s">
        <v>54</v>
      </c>
      <c r="M1662" s="209"/>
      <c r="N1662" s="209"/>
      <c r="O1662" s="209"/>
      <c r="P1662" s="210"/>
      <c r="Q1662" s="209"/>
      <c r="R1662" s="212"/>
      <c r="S1662" s="209"/>
      <c r="T1662" s="209"/>
      <c r="U1662" s="209" t="s">
        <v>54</v>
      </c>
      <c r="V1662" s="209"/>
      <c r="W1662" s="209"/>
      <c r="X1662" s="209"/>
      <c r="Y1662" s="209"/>
      <c r="Z1662" s="209"/>
      <c r="AA1662" s="209" t="s">
        <v>54</v>
      </c>
      <c r="AB1662" s="212"/>
      <c r="AC1662" s="212"/>
    </row>
    <row r="1663" spans="1:29" outlineLevel="2" x14ac:dyDescent="0.25">
      <c r="A1663" s="201">
        <v>46021</v>
      </c>
      <c r="D1663" s="198" t="s">
        <v>54</v>
      </c>
      <c r="E1663" s="202">
        <v>19917434</v>
      </c>
      <c r="K1663" s="198" t="s">
        <v>1909</v>
      </c>
      <c r="L1663" s="198" t="s">
        <v>112</v>
      </c>
      <c r="P1663" s="201"/>
      <c r="R1663" s="202">
        <v>19917434</v>
      </c>
      <c r="U1663" s="198" t="s">
        <v>747</v>
      </c>
      <c r="AA1663" s="198" t="s">
        <v>51</v>
      </c>
      <c r="AB1663" s="202">
        <v>19917434</v>
      </c>
      <c r="AC1663" s="202">
        <v>19917434</v>
      </c>
    </row>
    <row r="1664" spans="1:29" outlineLevel="1" x14ac:dyDescent="0.25">
      <c r="A1664" s="210"/>
      <c r="B1664" s="209"/>
      <c r="C1664" s="209"/>
      <c r="D1664" s="209" t="s">
        <v>54</v>
      </c>
      <c r="E1664" s="211">
        <v>19917434</v>
      </c>
      <c r="F1664" s="209"/>
      <c r="G1664" s="209"/>
      <c r="H1664" s="209"/>
      <c r="I1664" s="209"/>
      <c r="J1664" s="209"/>
      <c r="K1664" s="209" t="s">
        <v>54</v>
      </c>
      <c r="L1664" s="209" t="s">
        <v>54</v>
      </c>
      <c r="M1664" s="209"/>
      <c r="N1664" s="209"/>
      <c r="O1664" s="209"/>
      <c r="P1664" s="210"/>
      <c r="Q1664" s="209"/>
      <c r="R1664" s="212"/>
      <c r="S1664" s="209"/>
      <c r="T1664" s="209"/>
      <c r="U1664" s="209" t="s">
        <v>54</v>
      </c>
      <c r="V1664" s="209"/>
      <c r="W1664" s="209"/>
      <c r="X1664" s="209"/>
      <c r="Y1664" s="209"/>
      <c r="Z1664" s="209"/>
      <c r="AA1664" s="209" t="s">
        <v>54</v>
      </c>
      <c r="AB1664" s="212"/>
      <c r="AC1664" s="212"/>
    </row>
    <row r="1665" spans="1:29" outlineLevel="2" x14ac:dyDescent="0.25">
      <c r="A1665" s="201">
        <v>46021</v>
      </c>
      <c r="D1665" s="198" t="s">
        <v>54</v>
      </c>
      <c r="E1665" s="202">
        <v>81718428.010000005</v>
      </c>
      <c r="K1665" s="198" t="s">
        <v>1910</v>
      </c>
      <c r="L1665" s="198" t="s">
        <v>112</v>
      </c>
      <c r="P1665" s="201"/>
      <c r="R1665" s="202">
        <v>81718428.010000005</v>
      </c>
      <c r="U1665" s="198" t="s">
        <v>252</v>
      </c>
      <c r="AA1665" s="198" t="s">
        <v>51</v>
      </c>
      <c r="AB1665" s="202">
        <v>81718428.010000005</v>
      </c>
      <c r="AC1665" s="202">
        <v>81718428.010000005</v>
      </c>
    </row>
    <row r="1666" spans="1:29" outlineLevel="2" x14ac:dyDescent="0.25">
      <c r="A1666" s="201">
        <v>46071</v>
      </c>
      <c r="D1666" s="198" t="s">
        <v>54</v>
      </c>
      <c r="E1666" s="202">
        <v>2235298</v>
      </c>
      <c r="K1666" s="198" t="s">
        <v>1910</v>
      </c>
      <c r="L1666" s="198" t="s">
        <v>112</v>
      </c>
      <c r="P1666" s="201"/>
      <c r="R1666" s="202">
        <v>2235298</v>
      </c>
      <c r="U1666" s="198" t="s">
        <v>252</v>
      </c>
      <c r="AA1666" s="198" t="s">
        <v>51</v>
      </c>
      <c r="AB1666" s="202">
        <v>2235298</v>
      </c>
      <c r="AC1666" s="202">
        <v>2235298</v>
      </c>
    </row>
    <row r="1667" spans="1:29" outlineLevel="1" x14ac:dyDescent="0.25">
      <c r="A1667" s="210"/>
      <c r="B1667" s="209"/>
      <c r="C1667" s="209"/>
      <c r="D1667" s="209" t="s">
        <v>54</v>
      </c>
      <c r="E1667" s="211">
        <v>83953726.010000005</v>
      </c>
      <c r="F1667" s="209"/>
      <c r="G1667" s="209"/>
      <c r="H1667" s="209"/>
      <c r="I1667" s="209"/>
      <c r="J1667" s="209"/>
      <c r="K1667" s="209" t="s">
        <v>54</v>
      </c>
      <c r="L1667" s="209" t="s">
        <v>54</v>
      </c>
      <c r="M1667" s="209"/>
      <c r="N1667" s="209"/>
      <c r="O1667" s="209"/>
      <c r="P1667" s="210"/>
      <c r="Q1667" s="209"/>
      <c r="R1667" s="212"/>
      <c r="S1667" s="209"/>
      <c r="T1667" s="209"/>
      <c r="U1667" s="209" t="s">
        <v>54</v>
      </c>
      <c r="V1667" s="209"/>
      <c r="W1667" s="209"/>
      <c r="X1667" s="209"/>
      <c r="Y1667" s="209"/>
      <c r="Z1667" s="209"/>
      <c r="AA1667" s="209" t="s">
        <v>54</v>
      </c>
      <c r="AB1667" s="212"/>
      <c r="AC1667" s="212"/>
    </row>
    <row r="1668" spans="1:29" outlineLevel="2" x14ac:dyDescent="0.25">
      <c r="A1668" s="201">
        <v>46021</v>
      </c>
      <c r="D1668" s="198" t="s">
        <v>54</v>
      </c>
      <c r="E1668" s="202">
        <v>7111116</v>
      </c>
      <c r="K1668" s="198" t="s">
        <v>1911</v>
      </c>
      <c r="L1668" s="198" t="s">
        <v>112</v>
      </c>
      <c r="P1668" s="201"/>
      <c r="R1668" s="202">
        <v>7111116</v>
      </c>
      <c r="U1668" s="198" t="s">
        <v>253</v>
      </c>
      <c r="AA1668" s="198" t="s">
        <v>51</v>
      </c>
      <c r="AB1668" s="202">
        <v>7111116</v>
      </c>
      <c r="AC1668" s="202">
        <v>7111116</v>
      </c>
    </row>
    <row r="1669" spans="1:29" outlineLevel="1" x14ac:dyDescent="0.25">
      <c r="A1669" s="210"/>
      <c r="B1669" s="209"/>
      <c r="C1669" s="209"/>
      <c r="D1669" s="209" t="s">
        <v>54</v>
      </c>
      <c r="E1669" s="211">
        <v>7111116</v>
      </c>
      <c r="F1669" s="209"/>
      <c r="G1669" s="209"/>
      <c r="H1669" s="209"/>
      <c r="I1669" s="209"/>
      <c r="J1669" s="209"/>
      <c r="K1669" s="209" t="s">
        <v>54</v>
      </c>
      <c r="L1669" s="209" t="s">
        <v>54</v>
      </c>
      <c r="M1669" s="209"/>
      <c r="N1669" s="209"/>
      <c r="O1669" s="209"/>
      <c r="P1669" s="210"/>
      <c r="Q1669" s="209"/>
      <c r="R1669" s="212"/>
      <c r="S1669" s="209"/>
      <c r="T1669" s="209"/>
      <c r="U1669" s="209" t="s">
        <v>54</v>
      </c>
      <c r="V1669" s="209"/>
      <c r="W1669" s="209"/>
      <c r="X1669" s="209"/>
      <c r="Y1669" s="209"/>
      <c r="Z1669" s="209"/>
      <c r="AA1669" s="209" t="s">
        <v>54</v>
      </c>
      <c r="AB1669" s="212"/>
      <c r="AC1669" s="212"/>
    </row>
    <row r="1670" spans="1:29" outlineLevel="2" x14ac:dyDescent="0.25">
      <c r="A1670" s="201">
        <v>46136</v>
      </c>
      <c r="D1670" s="198" t="s">
        <v>54</v>
      </c>
      <c r="E1670" s="202">
        <v>14126229</v>
      </c>
      <c r="K1670" s="198" t="s">
        <v>1912</v>
      </c>
      <c r="L1670" s="198" t="s">
        <v>112</v>
      </c>
      <c r="P1670" s="201"/>
      <c r="R1670" s="202">
        <v>14126229</v>
      </c>
      <c r="U1670" s="198" t="s">
        <v>351</v>
      </c>
      <c r="AA1670" s="198" t="s">
        <v>51</v>
      </c>
      <c r="AB1670" s="202">
        <v>14126229</v>
      </c>
      <c r="AC1670" s="202">
        <v>14126229</v>
      </c>
    </row>
    <row r="1671" spans="1:29" outlineLevel="1" x14ac:dyDescent="0.25">
      <c r="A1671" s="210"/>
      <c r="B1671" s="209"/>
      <c r="C1671" s="209"/>
      <c r="D1671" s="209" t="s">
        <v>54</v>
      </c>
      <c r="E1671" s="211">
        <v>14126229</v>
      </c>
      <c r="F1671" s="209"/>
      <c r="G1671" s="209"/>
      <c r="H1671" s="209"/>
      <c r="I1671" s="209"/>
      <c r="J1671" s="209"/>
      <c r="K1671" s="209" t="s">
        <v>54</v>
      </c>
      <c r="L1671" s="209" t="s">
        <v>54</v>
      </c>
      <c r="M1671" s="209"/>
      <c r="N1671" s="209"/>
      <c r="O1671" s="209"/>
      <c r="P1671" s="210"/>
      <c r="Q1671" s="209"/>
      <c r="R1671" s="212"/>
      <c r="S1671" s="209"/>
      <c r="T1671" s="209"/>
      <c r="U1671" s="209" t="s">
        <v>54</v>
      </c>
      <c r="V1671" s="209"/>
      <c r="W1671" s="209"/>
      <c r="X1671" s="209"/>
      <c r="Y1671" s="209"/>
      <c r="Z1671" s="209"/>
      <c r="AA1671" s="209" t="s">
        <v>54</v>
      </c>
      <c r="AB1671" s="212"/>
      <c r="AC1671" s="212"/>
    </row>
    <row r="1672" spans="1:29" outlineLevel="2" x14ac:dyDescent="0.25">
      <c r="A1672" s="201">
        <v>46021</v>
      </c>
      <c r="D1672" s="198" t="s">
        <v>54</v>
      </c>
      <c r="E1672" s="202">
        <v>643765311.60000002</v>
      </c>
      <c r="K1672" s="198" t="s">
        <v>1913</v>
      </c>
      <c r="L1672" s="198" t="s">
        <v>112</v>
      </c>
      <c r="P1672" s="201"/>
      <c r="R1672" s="202">
        <v>643765311.60000002</v>
      </c>
      <c r="U1672" s="198" t="s">
        <v>1125</v>
      </c>
      <c r="AA1672" s="198" t="s">
        <v>51</v>
      </c>
      <c r="AB1672" s="202">
        <v>643765311.60000002</v>
      </c>
      <c r="AC1672" s="202">
        <v>643765311.60000002</v>
      </c>
    </row>
    <row r="1673" spans="1:29" outlineLevel="2" x14ac:dyDescent="0.25">
      <c r="A1673" s="201">
        <v>46021</v>
      </c>
      <c r="D1673" s="198" t="s">
        <v>54</v>
      </c>
      <c r="E1673" s="202">
        <v>88006888.400000006</v>
      </c>
      <c r="K1673" s="198" t="s">
        <v>1913</v>
      </c>
      <c r="L1673" s="198" t="s">
        <v>112</v>
      </c>
      <c r="P1673" s="201"/>
      <c r="R1673" s="202">
        <v>88006888.400000006</v>
      </c>
      <c r="U1673" s="198" t="s">
        <v>1125</v>
      </c>
      <c r="AA1673" s="198" t="s">
        <v>51</v>
      </c>
      <c r="AB1673" s="202">
        <v>88006888.400000006</v>
      </c>
      <c r="AC1673" s="202">
        <v>88006888.400000006</v>
      </c>
    </row>
    <row r="1674" spans="1:29" outlineLevel="2" x14ac:dyDescent="0.25">
      <c r="A1674" s="201">
        <v>46023</v>
      </c>
      <c r="D1674" s="198" t="s">
        <v>54</v>
      </c>
      <c r="E1674" s="202">
        <v>8229100</v>
      </c>
      <c r="K1674" s="198" t="s">
        <v>1913</v>
      </c>
      <c r="L1674" s="198" t="s">
        <v>112</v>
      </c>
      <c r="P1674" s="201"/>
      <c r="R1674" s="202">
        <v>8229100</v>
      </c>
      <c r="U1674" s="198" t="s">
        <v>1125</v>
      </c>
      <c r="AA1674" s="198" t="s">
        <v>51</v>
      </c>
      <c r="AB1674" s="202">
        <v>8229100</v>
      </c>
      <c r="AC1674" s="202">
        <v>8229100</v>
      </c>
    </row>
    <row r="1675" spans="1:29" outlineLevel="2" x14ac:dyDescent="0.25">
      <c r="A1675" s="201">
        <v>46037</v>
      </c>
      <c r="D1675" s="198" t="s">
        <v>54</v>
      </c>
      <c r="E1675" s="202">
        <v>5733950</v>
      </c>
      <c r="K1675" s="198" t="s">
        <v>1913</v>
      </c>
      <c r="L1675" s="198" t="s">
        <v>112</v>
      </c>
      <c r="P1675" s="201"/>
      <c r="R1675" s="202">
        <v>5733950</v>
      </c>
      <c r="U1675" s="198" t="s">
        <v>1125</v>
      </c>
      <c r="AA1675" s="198" t="s">
        <v>51</v>
      </c>
      <c r="AB1675" s="202">
        <v>5733950</v>
      </c>
      <c r="AC1675" s="202">
        <v>5733950</v>
      </c>
    </row>
    <row r="1676" spans="1:29" outlineLevel="2" x14ac:dyDescent="0.25">
      <c r="A1676" s="201">
        <v>46043</v>
      </c>
      <c r="D1676" s="198" t="s">
        <v>54</v>
      </c>
      <c r="E1676" s="202">
        <v>10400000</v>
      </c>
      <c r="K1676" s="198" t="s">
        <v>1913</v>
      </c>
      <c r="L1676" s="198" t="s">
        <v>112</v>
      </c>
      <c r="P1676" s="201"/>
      <c r="R1676" s="202">
        <v>10400000</v>
      </c>
      <c r="U1676" s="198" t="s">
        <v>1125</v>
      </c>
      <c r="AA1676" s="198" t="s">
        <v>51</v>
      </c>
      <c r="AB1676" s="202">
        <v>10400000</v>
      </c>
      <c r="AC1676" s="202">
        <v>10400000</v>
      </c>
    </row>
    <row r="1677" spans="1:29" outlineLevel="2" x14ac:dyDescent="0.25">
      <c r="A1677" s="201">
        <v>46051</v>
      </c>
      <c r="D1677" s="198" t="s">
        <v>54</v>
      </c>
      <c r="E1677" s="202">
        <v>10800000</v>
      </c>
      <c r="K1677" s="198" t="s">
        <v>1913</v>
      </c>
      <c r="L1677" s="198" t="s">
        <v>112</v>
      </c>
      <c r="P1677" s="201"/>
      <c r="R1677" s="202">
        <v>10800000</v>
      </c>
      <c r="U1677" s="198" t="s">
        <v>1125</v>
      </c>
      <c r="AA1677" s="198" t="s">
        <v>51</v>
      </c>
      <c r="AB1677" s="202">
        <v>10800000</v>
      </c>
      <c r="AC1677" s="202">
        <v>10800000</v>
      </c>
    </row>
    <row r="1678" spans="1:29" outlineLevel="2" x14ac:dyDescent="0.25">
      <c r="A1678" s="201">
        <v>46052</v>
      </c>
      <c r="D1678" s="198" t="s">
        <v>54</v>
      </c>
      <c r="E1678" s="202">
        <v>407542</v>
      </c>
      <c r="K1678" s="198" t="s">
        <v>1913</v>
      </c>
      <c r="L1678" s="198" t="s">
        <v>112</v>
      </c>
      <c r="P1678" s="201"/>
      <c r="R1678" s="202">
        <v>407542</v>
      </c>
      <c r="U1678" s="198" t="s">
        <v>1125</v>
      </c>
      <c r="AA1678" s="198" t="s">
        <v>51</v>
      </c>
      <c r="AB1678" s="202">
        <v>407542</v>
      </c>
      <c r="AC1678" s="202">
        <v>407542</v>
      </c>
    </row>
    <row r="1679" spans="1:29" outlineLevel="2" x14ac:dyDescent="0.25">
      <c r="A1679" s="201">
        <v>46056</v>
      </c>
      <c r="D1679" s="198" t="s">
        <v>54</v>
      </c>
      <c r="E1679" s="202">
        <v>788150</v>
      </c>
      <c r="K1679" s="198" t="s">
        <v>1913</v>
      </c>
      <c r="L1679" s="198" t="s">
        <v>112</v>
      </c>
      <c r="P1679" s="201"/>
      <c r="R1679" s="202">
        <v>788150</v>
      </c>
      <c r="U1679" s="198" t="s">
        <v>1125</v>
      </c>
      <c r="AA1679" s="198" t="s">
        <v>51</v>
      </c>
      <c r="AB1679" s="202">
        <v>788150</v>
      </c>
      <c r="AC1679" s="202">
        <v>788150</v>
      </c>
    </row>
    <row r="1680" spans="1:29" outlineLevel="2" x14ac:dyDescent="0.25">
      <c r="A1680" s="201">
        <v>46056</v>
      </c>
      <c r="D1680" s="198" t="s">
        <v>54</v>
      </c>
      <c r="E1680" s="202">
        <v>116750</v>
      </c>
      <c r="K1680" s="198" t="s">
        <v>1913</v>
      </c>
      <c r="L1680" s="198" t="s">
        <v>112</v>
      </c>
      <c r="P1680" s="201"/>
      <c r="R1680" s="202">
        <v>116750</v>
      </c>
      <c r="U1680" s="198" t="s">
        <v>1125</v>
      </c>
      <c r="AA1680" s="198" t="s">
        <v>51</v>
      </c>
      <c r="AB1680" s="202">
        <v>116750</v>
      </c>
      <c r="AC1680" s="202">
        <v>116750</v>
      </c>
    </row>
    <row r="1681" spans="1:29" outlineLevel="2" x14ac:dyDescent="0.25">
      <c r="A1681" s="201">
        <v>46056</v>
      </c>
      <c r="D1681" s="198" t="s">
        <v>54</v>
      </c>
      <c r="E1681" s="202">
        <v>2507040</v>
      </c>
      <c r="K1681" s="198" t="s">
        <v>1913</v>
      </c>
      <c r="L1681" s="198" t="s">
        <v>112</v>
      </c>
      <c r="P1681" s="201"/>
      <c r="R1681" s="202">
        <v>2507040</v>
      </c>
      <c r="U1681" s="198" t="s">
        <v>1125</v>
      </c>
      <c r="AA1681" s="198" t="s">
        <v>51</v>
      </c>
      <c r="AB1681" s="202">
        <v>2507040</v>
      </c>
      <c r="AC1681" s="202">
        <v>2507040</v>
      </c>
    </row>
    <row r="1682" spans="1:29" outlineLevel="2" x14ac:dyDescent="0.25">
      <c r="A1682" s="201">
        <v>46057</v>
      </c>
      <c r="D1682" s="198" t="s">
        <v>54</v>
      </c>
      <c r="E1682" s="202">
        <v>1835968.84</v>
      </c>
      <c r="K1682" s="198" t="s">
        <v>1913</v>
      </c>
      <c r="L1682" s="198" t="s">
        <v>112</v>
      </c>
      <c r="P1682" s="201"/>
      <c r="R1682" s="202">
        <v>1835968.84</v>
      </c>
      <c r="U1682" s="198" t="s">
        <v>1125</v>
      </c>
      <c r="AA1682" s="198" t="s">
        <v>51</v>
      </c>
      <c r="AB1682" s="202">
        <v>1835968.84</v>
      </c>
      <c r="AC1682" s="202">
        <v>1835968.84</v>
      </c>
    </row>
    <row r="1683" spans="1:29" outlineLevel="2" x14ac:dyDescent="0.25">
      <c r="A1683" s="201">
        <v>46058</v>
      </c>
      <c r="D1683" s="198" t="s">
        <v>54</v>
      </c>
      <c r="E1683" s="202">
        <v>554362</v>
      </c>
      <c r="K1683" s="198" t="s">
        <v>1913</v>
      </c>
      <c r="L1683" s="198" t="s">
        <v>112</v>
      </c>
      <c r="P1683" s="201"/>
      <c r="R1683" s="202">
        <v>554362</v>
      </c>
      <c r="U1683" s="198" t="s">
        <v>1125</v>
      </c>
      <c r="AA1683" s="198" t="s">
        <v>51</v>
      </c>
      <c r="AB1683" s="202">
        <v>554362</v>
      </c>
      <c r="AC1683" s="202">
        <v>554362</v>
      </c>
    </row>
    <row r="1684" spans="1:29" outlineLevel="2" x14ac:dyDescent="0.25">
      <c r="A1684" s="201">
        <v>46058</v>
      </c>
      <c r="D1684" s="198" t="s">
        <v>54</v>
      </c>
      <c r="E1684" s="202">
        <v>3</v>
      </c>
      <c r="K1684" s="198" t="s">
        <v>1913</v>
      </c>
      <c r="L1684" s="198" t="s">
        <v>112</v>
      </c>
      <c r="P1684" s="201"/>
      <c r="R1684" s="202">
        <v>3</v>
      </c>
      <c r="U1684" s="198" t="s">
        <v>1125</v>
      </c>
      <c r="AA1684" s="198" t="s">
        <v>51</v>
      </c>
      <c r="AB1684" s="202">
        <v>3</v>
      </c>
      <c r="AC1684" s="202">
        <v>3</v>
      </c>
    </row>
    <row r="1685" spans="1:29" outlineLevel="2" x14ac:dyDescent="0.25">
      <c r="A1685" s="201">
        <v>46065</v>
      </c>
      <c r="D1685" s="198" t="s">
        <v>54</v>
      </c>
      <c r="E1685" s="202">
        <v>10561856</v>
      </c>
      <c r="K1685" s="198" t="s">
        <v>1913</v>
      </c>
      <c r="L1685" s="198" t="s">
        <v>112</v>
      </c>
      <c r="P1685" s="201"/>
      <c r="R1685" s="202">
        <v>10561856</v>
      </c>
      <c r="U1685" s="198" t="s">
        <v>1125</v>
      </c>
      <c r="AA1685" s="198" t="s">
        <v>51</v>
      </c>
      <c r="AB1685" s="202">
        <v>10561856</v>
      </c>
      <c r="AC1685" s="202">
        <v>10561856</v>
      </c>
    </row>
    <row r="1686" spans="1:29" outlineLevel="2" x14ac:dyDescent="0.25">
      <c r="A1686" s="201">
        <v>46113</v>
      </c>
      <c r="D1686" s="198" t="s">
        <v>54</v>
      </c>
      <c r="E1686" s="202">
        <v>-5479707.4400000004</v>
      </c>
      <c r="K1686" s="198" t="s">
        <v>1913</v>
      </c>
      <c r="L1686" s="198" t="s">
        <v>112</v>
      </c>
      <c r="P1686" s="201"/>
      <c r="R1686" s="202">
        <v>-5479707.4400000004</v>
      </c>
      <c r="U1686" s="198" t="s">
        <v>1125</v>
      </c>
      <c r="AA1686" s="198" t="s">
        <v>51</v>
      </c>
      <c r="AB1686" s="202">
        <v>-5479707.4400000004</v>
      </c>
      <c r="AC1686" s="202">
        <v>-5479707.4400000004</v>
      </c>
    </row>
    <row r="1687" spans="1:29" outlineLevel="2" x14ac:dyDescent="0.25">
      <c r="A1687" s="201">
        <v>46141</v>
      </c>
      <c r="D1687" s="198" t="s">
        <v>54</v>
      </c>
      <c r="E1687" s="202">
        <v>15201000</v>
      </c>
      <c r="K1687" s="198" t="s">
        <v>1913</v>
      </c>
      <c r="L1687" s="198" t="s">
        <v>112</v>
      </c>
      <c r="P1687" s="201"/>
      <c r="R1687" s="202">
        <v>15201000</v>
      </c>
      <c r="U1687" s="198" t="s">
        <v>1125</v>
      </c>
      <c r="AA1687" s="198" t="s">
        <v>51</v>
      </c>
      <c r="AB1687" s="202">
        <v>15201000</v>
      </c>
      <c r="AC1687" s="202">
        <v>15201000</v>
      </c>
    </row>
    <row r="1688" spans="1:29" outlineLevel="2" x14ac:dyDescent="0.25">
      <c r="A1688" s="201">
        <v>46155</v>
      </c>
      <c r="D1688" s="198" t="s">
        <v>54</v>
      </c>
      <c r="E1688" s="202">
        <v>3668986.9</v>
      </c>
      <c r="K1688" s="198" t="s">
        <v>1913</v>
      </c>
      <c r="L1688" s="198" t="s">
        <v>112</v>
      </c>
      <c r="P1688" s="201"/>
      <c r="R1688" s="202">
        <v>3668986.9</v>
      </c>
      <c r="U1688" s="198" t="s">
        <v>1125</v>
      </c>
      <c r="AA1688" s="198" t="s">
        <v>51</v>
      </c>
      <c r="AB1688" s="202">
        <v>3668986.9</v>
      </c>
      <c r="AC1688" s="202">
        <v>3668986.9</v>
      </c>
    </row>
    <row r="1689" spans="1:29" outlineLevel="2" x14ac:dyDescent="0.25">
      <c r="A1689" s="201">
        <v>46155</v>
      </c>
      <c r="D1689" s="198" t="s">
        <v>54</v>
      </c>
      <c r="E1689" s="202">
        <v>2332450.06</v>
      </c>
      <c r="K1689" s="198" t="s">
        <v>1913</v>
      </c>
      <c r="L1689" s="198" t="s">
        <v>112</v>
      </c>
      <c r="P1689" s="201"/>
      <c r="R1689" s="202">
        <v>2332450.06</v>
      </c>
      <c r="U1689" s="198" t="s">
        <v>1125</v>
      </c>
      <c r="AA1689" s="198" t="s">
        <v>51</v>
      </c>
      <c r="AB1689" s="202">
        <v>2332450.06</v>
      </c>
      <c r="AC1689" s="202">
        <v>2332450.06</v>
      </c>
    </row>
    <row r="1690" spans="1:29" outlineLevel="2" x14ac:dyDescent="0.25">
      <c r="A1690" s="201">
        <v>46155</v>
      </c>
      <c r="D1690" s="198" t="s">
        <v>54</v>
      </c>
      <c r="E1690" s="202">
        <v>4803599.87</v>
      </c>
      <c r="K1690" s="198" t="s">
        <v>1913</v>
      </c>
      <c r="L1690" s="198" t="s">
        <v>112</v>
      </c>
      <c r="P1690" s="201"/>
      <c r="R1690" s="202">
        <v>4803599.87</v>
      </c>
      <c r="U1690" s="198" t="s">
        <v>1125</v>
      </c>
      <c r="AA1690" s="198" t="s">
        <v>51</v>
      </c>
      <c r="AB1690" s="202">
        <v>4803599.87</v>
      </c>
      <c r="AC1690" s="202">
        <v>4803599.87</v>
      </c>
    </row>
    <row r="1691" spans="1:29" outlineLevel="2" x14ac:dyDescent="0.25">
      <c r="A1691" s="201">
        <v>46163</v>
      </c>
      <c r="D1691" s="198" t="s">
        <v>54</v>
      </c>
      <c r="E1691" s="202">
        <v>5041000.4000000004</v>
      </c>
      <c r="K1691" s="198" t="s">
        <v>1913</v>
      </c>
      <c r="L1691" s="198" t="s">
        <v>112</v>
      </c>
      <c r="P1691" s="201"/>
      <c r="R1691" s="202">
        <v>5041000.4000000004</v>
      </c>
      <c r="U1691" s="198" t="s">
        <v>1125</v>
      </c>
      <c r="AA1691" s="198" t="s">
        <v>51</v>
      </c>
      <c r="AB1691" s="202">
        <v>5041000.4000000004</v>
      </c>
      <c r="AC1691" s="202">
        <v>5041000.4000000004</v>
      </c>
    </row>
    <row r="1692" spans="1:29" outlineLevel="2" x14ac:dyDescent="0.25">
      <c r="A1692" s="201">
        <v>46163</v>
      </c>
      <c r="D1692" s="198" t="s">
        <v>54</v>
      </c>
      <c r="E1692" s="202">
        <v>20041977</v>
      </c>
      <c r="K1692" s="198" t="s">
        <v>1913</v>
      </c>
      <c r="L1692" s="198" t="s">
        <v>112</v>
      </c>
      <c r="P1692" s="201"/>
      <c r="R1692" s="202">
        <v>20041977</v>
      </c>
      <c r="U1692" s="198" t="s">
        <v>1125</v>
      </c>
      <c r="AA1692" s="198" t="s">
        <v>51</v>
      </c>
      <c r="AB1692" s="202">
        <v>20041977</v>
      </c>
      <c r="AC1692" s="202">
        <v>20041977</v>
      </c>
    </row>
    <row r="1693" spans="1:29" outlineLevel="2" x14ac:dyDescent="0.25">
      <c r="A1693" s="201">
        <v>46163</v>
      </c>
      <c r="D1693" s="198" t="s">
        <v>54</v>
      </c>
      <c r="E1693" s="202">
        <v>2638023</v>
      </c>
      <c r="K1693" s="198" t="s">
        <v>1913</v>
      </c>
      <c r="L1693" s="198" t="s">
        <v>112</v>
      </c>
      <c r="P1693" s="201"/>
      <c r="R1693" s="202">
        <v>2638023</v>
      </c>
      <c r="U1693" s="198" t="s">
        <v>1125</v>
      </c>
      <c r="AA1693" s="198" t="s">
        <v>51</v>
      </c>
      <c r="AB1693" s="202">
        <v>2638023</v>
      </c>
      <c r="AC1693" s="202">
        <v>2638023</v>
      </c>
    </row>
    <row r="1694" spans="1:29" outlineLevel="2" x14ac:dyDescent="0.25">
      <c r="A1694" s="201">
        <v>46169</v>
      </c>
      <c r="D1694" s="198" t="s">
        <v>54</v>
      </c>
      <c r="E1694" s="202">
        <v>2394705</v>
      </c>
      <c r="K1694" s="198" t="s">
        <v>1913</v>
      </c>
      <c r="L1694" s="198" t="s">
        <v>112</v>
      </c>
      <c r="P1694" s="201"/>
      <c r="R1694" s="202">
        <v>2394705</v>
      </c>
      <c r="U1694" s="198" t="s">
        <v>1125</v>
      </c>
      <c r="AA1694" s="198" t="s">
        <v>51</v>
      </c>
      <c r="AB1694" s="202">
        <v>2394705</v>
      </c>
      <c r="AC1694" s="202">
        <v>2394705</v>
      </c>
    </row>
    <row r="1695" spans="1:29" outlineLevel="1" x14ac:dyDescent="0.25">
      <c r="A1695" s="210"/>
      <c r="B1695" s="209"/>
      <c r="C1695" s="209"/>
      <c r="D1695" s="209" t="s">
        <v>54</v>
      </c>
      <c r="E1695" s="211">
        <v>834348956.63</v>
      </c>
      <c r="F1695" s="209"/>
      <c r="G1695" s="209"/>
      <c r="H1695" s="209"/>
      <c r="I1695" s="209"/>
      <c r="J1695" s="209"/>
      <c r="K1695" s="209" t="s">
        <v>54</v>
      </c>
      <c r="L1695" s="209" t="s">
        <v>54</v>
      </c>
      <c r="M1695" s="209"/>
      <c r="N1695" s="209"/>
      <c r="O1695" s="209"/>
      <c r="P1695" s="210"/>
      <c r="Q1695" s="209"/>
      <c r="R1695" s="212"/>
      <c r="S1695" s="209"/>
      <c r="T1695" s="209"/>
      <c r="U1695" s="209" t="s">
        <v>54</v>
      </c>
      <c r="V1695" s="209"/>
      <c r="W1695" s="209"/>
      <c r="X1695" s="209"/>
      <c r="Y1695" s="209"/>
      <c r="Z1695" s="209"/>
      <c r="AA1695" s="209" t="s">
        <v>54</v>
      </c>
      <c r="AB1695" s="212"/>
      <c r="AC1695" s="212"/>
    </row>
    <row r="1696" spans="1:29" outlineLevel="2" x14ac:dyDescent="0.25">
      <c r="A1696" s="201">
        <v>46021</v>
      </c>
      <c r="D1696" s="198" t="s">
        <v>54</v>
      </c>
      <c r="E1696" s="202">
        <v>606853311.60000002</v>
      </c>
      <c r="K1696" s="198" t="s">
        <v>1914</v>
      </c>
      <c r="L1696" s="198" t="s">
        <v>112</v>
      </c>
      <c r="P1696" s="201"/>
      <c r="R1696" s="202">
        <v>606853311.60000002</v>
      </c>
      <c r="U1696" s="198" t="s">
        <v>1126</v>
      </c>
      <c r="AA1696" s="198" t="s">
        <v>51</v>
      </c>
      <c r="AB1696" s="202">
        <v>606853311.60000002</v>
      </c>
      <c r="AC1696" s="202">
        <v>606853311.60000002</v>
      </c>
    </row>
    <row r="1697" spans="1:29" outlineLevel="2" x14ac:dyDescent="0.25">
      <c r="A1697" s="201">
        <v>46021</v>
      </c>
      <c r="D1697" s="198" t="s">
        <v>54</v>
      </c>
      <c r="E1697" s="202">
        <v>88008188.400000006</v>
      </c>
      <c r="K1697" s="198" t="s">
        <v>1914</v>
      </c>
      <c r="L1697" s="198" t="s">
        <v>112</v>
      </c>
      <c r="P1697" s="201"/>
      <c r="R1697" s="202">
        <v>88008188.400000006</v>
      </c>
      <c r="U1697" s="198" t="s">
        <v>1126</v>
      </c>
      <c r="AA1697" s="198" t="s">
        <v>51</v>
      </c>
      <c r="AB1697" s="202">
        <v>88008188.400000006</v>
      </c>
      <c r="AC1697" s="202">
        <v>88008188.400000006</v>
      </c>
    </row>
    <row r="1698" spans="1:29" outlineLevel="2" x14ac:dyDescent="0.25">
      <c r="A1698" s="201">
        <v>46037</v>
      </c>
      <c r="D1698" s="198" t="s">
        <v>54</v>
      </c>
      <c r="E1698" s="202">
        <v>5733950</v>
      </c>
      <c r="K1698" s="198" t="s">
        <v>1914</v>
      </c>
      <c r="L1698" s="198" t="s">
        <v>112</v>
      </c>
      <c r="P1698" s="201"/>
      <c r="R1698" s="202">
        <v>5733950</v>
      </c>
      <c r="U1698" s="198" t="s">
        <v>1126</v>
      </c>
      <c r="AA1698" s="198" t="s">
        <v>51</v>
      </c>
      <c r="AB1698" s="202">
        <v>5733950</v>
      </c>
      <c r="AC1698" s="202">
        <v>5733950</v>
      </c>
    </row>
    <row r="1699" spans="1:29" outlineLevel="2" x14ac:dyDescent="0.25">
      <c r="A1699" s="201">
        <v>46043</v>
      </c>
      <c r="D1699" s="198" t="s">
        <v>54</v>
      </c>
      <c r="E1699" s="202">
        <v>10400000</v>
      </c>
      <c r="K1699" s="198" t="s">
        <v>1914</v>
      </c>
      <c r="L1699" s="198" t="s">
        <v>112</v>
      </c>
      <c r="P1699" s="201"/>
      <c r="R1699" s="202">
        <v>10400000</v>
      </c>
      <c r="U1699" s="198" t="s">
        <v>1126</v>
      </c>
      <c r="AA1699" s="198" t="s">
        <v>51</v>
      </c>
      <c r="AB1699" s="202">
        <v>10400000</v>
      </c>
      <c r="AC1699" s="202">
        <v>10400000</v>
      </c>
    </row>
    <row r="1700" spans="1:29" outlineLevel="2" x14ac:dyDescent="0.25">
      <c r="A1700" s="201">
        <v>46051</v>
      </c>
      <c r="D1700" s="198" t="s">
        <v>54</v>
      </c>
      <c r="E1700" s="202">
        <v>2100000</v>
      </c>
      <c r="K1700" s="198" t="s">
        <v>1914</v>
      </c>
      <c r="L1700" s="198" t="s">
        <v>112</v>
      </c>
      <c r="P1700" s="201"/>
      <c r="R1700" s="202">
        <v>2100000</v>
      </c>
      <c r="U1700" s="198" t="s">
        <v>1126</v>
      </c>
      <c r="AA1700" s="198" t="s">
        <v>51</v>
      </c>
      <c r="AB1700" s="202">
        <v>2100000</v>
      </c>
      <c r="AC1700" s="202">
        <v>2100000</v>
      </c>
    </row>
    <row r="1701" spans="1:29" outlineLevel="2" x14ac:dyDescent="0.25">
      <c r="A1701" s="201">
        <v>46056</v>
      </c>
      <c r="D1701" s="198" t="s">
        <v>54</v>
      </c>
      <c r="E1701" s="202">
        <v>788150</v>
      </c>
      <c r="K1701" s="198" t="s">
        <v>1914</v>
      </c>
      <c r="L1701" s="198" t="s">
        <v>112</v>
      </c>
      <c r="P1701" s="201"/>
      <c r="R1701" s="202">
        <v>788150</v>
      </c>
      <c r="U1701" s="198" t="s">
        <v>1126</v>
      </c>
      <c r="AA1701" s="198" t="s">
        <v>51</v>
      </c>
      <c r="AB1701" s="202">
        <v>788150</v>
      </c>
      <c r="AC1701" s="202">
        <v>788150</v>
      </c>
    </row>
    <row r="1702" spans="1:29" outlineLevel="2" x14ac:dyDescent="0.25">
      <c r="A1702" s="201">
        <v>46056</v>
      </c>
      <c r="D1702" s="198" t="s">
        <v>54</v>
      </c>
      <c r="E1702" s="202">
        <v>116750</v>
      </c>
      <c r="K1702" s="198" t="s">
        <v>1914</v>
      </c>
      <c r="L1702" s="198" t="s">
        <v>112</v>
      </c>
      <c r="P1702" s="201"/>
      <c r="R1702" s="202">
        <v>116750</v>
      </c>
      <c r="U1702" s="198" t="s">
        <v>1126</v>
      </c>
      <c r="AA1702" s="198" t="s">
        <v>51</v>
      </c>
      <c r="AB1702" s="202">
        <v>116750</v>
      </c>
      <c r="AC1702" s="202">
        <v>116750</v>
      </c>
    </row>
    <row r="1703" spans="1:29" outlineLevel="2" x14ac:dyDescent="0.25">
      <c r="A1703" s="201">
        <v>46056</v>
      </c>
      <c r="D1703" s="198" t="s">
        <v>54</v>
      </c>
      <c r="E1703" s="202">
        <v>2507040</v>
      </c>
      <c r="K1703" s="198" t="s">
        <v>1914</v>
      </c>
      <c r="L1703" s="198" t="s">
        <v>112</v>
      </c>
      <c r="P1703" s="201"/>
      <c r="R1703" s="202">
        <v>2507040</v>
      </c>
      <c r="U1703" s="198" t="s">
        <v>1126</v>
      </c>
      <c r="AA1703" s="198" t="s">
        <v>51</v>
      </c>
      <c r="AB1703" s="202">
        <v>2507040</v>
      </c>
      <c r="AC1703" s="202">
        <v>2507040</v>
      </c>
    </row>
    <row r="1704" spans="1:29" outlineLevel="2" x14ac:dyDescent="0.25">
      <c r="A1704" s="201">
        <v>46057</v>
      </c>
      <c r="D1704" s="198" t="s">
        <v>54</v>
      </c>
      <c r="E1704" s="202">
        <v>1835968.84</v>
      </c>
      <c r="K1704" s="198" t="s">
        <v>1914</v>
      </c>
      <c r="L1704" s="198" t="s">
        <v>112</v>
      </c>
      <c r="P1704" s="201"/>
      <c r="R1704" s="202">
        <v>1835968.84</v>
      </c>
      <c r="U1704" s="198" t="s">
        <v>1126</v>
      </c>
      <c r="AA1704" s="198" t="s">
        <v>51</v>
      </c>
      <c r="AB1704" s="202">
        <v>1835968.84</v>
      </c>
      <c r="AC1704" s="202">
        <v>1835968.84</v>
      </c>
    </row>
    <row r="1705" spans="1:29" outlineLevel="2" x14ac:dyDescent="0.25">
      <c r="A1705" s="201">
        <v>46058</v>
      </c>
      <c r="D1705" s="198" t="s">
        <v>54</v>
      </c>
      <c r="E1705" s="202">
        <v>554362</v>
      </c>
      <c r="K1705" s="198" t="s">
        <v>1914</v>
      </c>
      <c r="L1705" s="198" t="s">
        <v>112</v>
      </c>
      <c r="P1705" s="201"/>
      <c r="R1705" s="202">
        <v>554362</v>
      </c>
      <c r="U1705" s="198" t="s">
        <v>1126</v>
      </c>
      <c r="AA1705" s="198" t="s">
        <v>51</v>
      </c>
      <c r="AB1705" s="202">
        <v>554362</v>
      </c>
      <c r="AC1705" s="202">
        <v>554362</v>
      </c>
    </row>
    <row r="1706" spans="1:29" outlineLevel="2" x14ac:dyDescent="0.25">
      <c r="A1706" s="201">
        <v>46058</v>
      </c>
      <c r="D1706" s="198" t="s">
        <v>54</v>
      </c>
      <c r="E1706" s="202">
        <v>3</v>
      </c>
      <c r="K1706" s="198" t="s">
        <v>1914</v>
      </c>
      <c r="L1706" s="198" t="s">
        <v>112</v>
      </c>
      <c r="P1706" s="201"/>
      <c r="R1706" s="202">
        <v>3</v>
      </c>
      <c r="U1706" s="198" t="s">
        <v>1126</v>
      </c>
      <c r="AA1706" s="198" t="s">
        <v>51</v>
      </c>
      <c r="AB1706" s="202">
        <v>3</v>
      </c>
      <c r="AC1706" s="202">
        <v>3</v>
      </c>
    </row>
    <row r="1707" spans="1:29" outlineLevel="2" x14ac:dyDescent="0.25">
      <c r="A1707" s="201">
        <v>46065</v>
      </c>
      <c r="D1707" s="198" t="s">
        <v>54</v>
      </c>
      <c r="E1707" s="202">
        <v>10561856</v>
      </c>
      <c r="K1707" s="198" t="s">
        <v>1914</v>
      </c>
      <c r="L1707" s="198" t="s">
        <v>112</v>
      </c>
      <c r="P1707" s="201"/>
      <c r="R1707" s="202">
        <v>10561856</v>
      </c>
      <c r="U1707" s="198" t="s">
        <v>1126</v>
      </c>
      <c r="AA1707" s="198" t="s">
        <v>51</v>
      </c>
      <c r="AB1707" s="202">
        <v>10561856</v>
      </c>
      <c r="AC1707" s="202">
        <v>10561856</v>
      </c>
    </row>
    <row r="1708" spans="1:29" outlineLevel="2" x14ac:dyDescent="0.25">
      <c r="A1708" s="201">
        <v>46113</v>
      </c>
      <c r="D1708" s="198" t="s">
        <v>54</v>
      </c>
      <c r="E1708" s="202">
        <v>-5479707.4400000004</v>
      </c>
      <c r="K1708" s="198" t="s">
        <v>1914</v>
      </c>
      <c r="L1708" s="198" t="s">
        <v>112</v>
      </c>
      <c r="P1708" s="201"/>
      <c r="R1708" s="202">
        <v>-5479707.4400000004</v>
      </c>
      <c r="U1708" s="198" t="s">
        <v>1126</v>
      </c>
      <c r="AA1708" s="198" t="s">
        <v>51</v>
      </c>
      <c r="AB1708" s="202">
        <v>-5479707.4400000004</v>
      </c>
      <c r="AC1708" s="202">
        <v>-5479707.4400000004</v>
      </c>
    </row>
    <row r="1709" spans="1:29" outlineLevel="2" x14ac:dyDescent="0.25">
      <c r="A1709" s="201">
        <v>46141</v>
      </c>
      <c r="D1709" s="198" t="s">
        <v>54</v>
      </c>
      <c r="E1709" s="202">
        <v>15201000</v>
      </c>
      <c r="K1709" s="198" t="s">
        <v>1914</v>
      </c>
      <c r="L1709" s="198" t="s">
        <v>112</v>
      </c>
      <c r="P1709" s="201"/>
      <c r="R1709" s="202">
        <v>15201000</v>
      </c>
      <c r="U1709" s="198" t="s">
        <v>1126</v>
      </c>
      <c r="AA1709" s="198" t="s">
        <v>51</v>
      </c>
      <c r="AB1709" s="202">
        <v>15201000</v>
      </c>
      <c r="AC1709" s="202">
        <v>15201000</v>
      </c>
    </row>
    <row r="1710" spans="1:29" outlineLevel="2" x14ac:dyDescent="0.25">
      <c r="A1710" s="201">
        <v>46155</v>
      </c>
      <c r="D1710" s="198" t="s">
        <v>54</v>
      </c>
      <c r="E1710" s="202">
        <v>3668986.9</v>
      </c>
      <c r="K1710" s="198" t="s">
        <v>1914</v>
      </c>
      <c r="L1710" s="198" t="s">
        <v>112</v>
      </c>
      <c r="P1710" s="201"/>
      <c r="R1710" s="202">
        <v>3668986.9</v>
      </c>
      <c r="U1710" s="198" t="s">
        <v>1126</v>
      </c>
      <c r="AA1710" s="198" t="s">
        <v>51</v>
      </c>
      <c r="AB1710" s="202">
        <v>3668986.9</v>
      </c>
      <c r="AC1710" s="202">
        <v>3668986.9</v>
      </c>
    </row>
    <row r="1711" spans="1:29" outlineLevel="2" x14ac:dyDescent="0.25">
      <c r="A1711" s="201">
        <v>46155</v>
      </c>
      <c r="D1711" s="198" t="s">
        <v>54</v>
      </c>
      <c r="E1711" s="202">
        <v>2332450.06</v>
      </c>
      <c r="K1711" s="198" t="s">
        <v>1914</v>
      </c>
      <c r="L1711" s="198" t="s">
        <v>112</v>
      </c>
      <c r="P1711" s="201"/>
      <c r="R1711" s="202">
        <v>2332450.06</v>
      </c>
      <c r="U1711" s="198" t="s">
        <v>1126</v>
      </c>
      <c r="AA1711" s="198" t="s">
        <v>51</v>
      </c>
      <c r="AB1711" s="202">
        <v>2332450.06</v>
      </c>
      <c r="AC1711" s="202">
        <v>2332450.06</v>
      </c>
    </row>
    <row r="1712" spans="1:29" outlineLevel="2" x14ac:dyDescent="0.25">
      <c r="A1712" s="201">
        <v>46155</v>
      </c>
      <c r="D1712" s="198" t="s">
        <v>54</v>
      </c>
      <c r="E1712" s="202">
        <v>4803599.87</v>
      </c>
      <c r="K1712" s="198" t="s">
        <v>1914</v>
      </c>
      <c r="L1712" s="198" t="s">
        <v>112</v>
      </c>
      <c r="P1712" s="201"/>
      <c r="R1712" s="202">
        <v>4803599.87</v>
      </c>
      <c r="U1712" s="198" t="s">
        <v>1126</v>
      </c>
      <c r="AA1712" s="198" t="s">
        <v>51</v>
      </c>
      <c r="AB1712" s="202">
        <v>4803599.87</v>
      </c>
      <c r="AC1712" s="202">
        <v>4803599.87</v>
      </c>
    </row>
    <row r="1713" spans="1:29" outlineLevel="2" x14ac:dyDescent="0.25">
      <c r="A1713" s="201">
        <v>46163</v>
      </c>
      <c r="D1713" s="198" t="s">
        <v>54</v>
      </c>
      <c r="E1713" s="202">
        <v>5041000.4000000004</v>
      </c>
      <c r="K1713" s="198" t="s">
        <v>1914</v>
      </c>
      <c r="L1713" s="198" t="s">
        <v>112</v>
      </c>
      <c r="P1713" s="201"/>
      <c r="R1713" s="202">
        <v>5041000.4000000004</v>
      </c>
      <c r="U1713" s="198" t="s">
        <v>1126</v>
      </c>
      <c r="AA1713" s="198" t="s">
        <v>51</v>
      </c>
      <c r="AB1713" s="202">
        <v>5041000.4000000004</v>
      </c>
      <c r="AC1713" s="202">
        <v>5041000.4000000004</v>
      </c>
    </row>
    <row r="1714" spans="1:29" outlineLevel="2" x14ac:dyDescent="0.25">
      <c r="A1714" s="201">
        <v>46163</v>
      </c>
      <c r="D1714" s="198" t="s">
        <v>54</v>
      </c>
      <c r="E1714" s="202">
        <v>20041977</v>
      </c>
      <c r="K1714" s="198" t="s">
        <v>1914</v>
      </c>
      <c r="L1714" s="198" t="s">
        <v>112</v>
      </c>
      <c r="P1714" s="201"/>
      <c r="R1714" s="202">
        <v>20041977</v>
      </c>
      <c r="U1714" s="198" t="s">
        <v>1126</v>
      </c>
      <c r="AA1714" s="198" t="s">
        <v>51</v>
      </c>
      <c r="AB1714" s="202">
        <v>20041977</v>
      </c>
      <c r="AC1714" s="202">
        <v>20041977</v>
      </c>
    </row>
    <row r="1715" spans="1:29" outlineLevel="2" x14ac:dyDescent="0.25">
      <c r="A1715" s="201">
        <v>46163</v>
      </c>
      <c r="D1715" s="198" t="s">
        <v>54</v>
      </c>
      <c r="E1715" s="202">
        <v>2638023</v>
      </c>
      <c r="K1715" s="198" t="s">
        <v>1914</v>
      </c>
      <c r="L1715" s="198" t="s">
        <v>112</v>
      </c>
      <c r="P1715" s="201"/>
      <c r="R1715" s="202">
        <v>2638023</v>
      </c>
      <c r="U1715" s="198" t="s">
        <v>1126</v>
      </c>
      <c r="AA1715" s="198" t="s">
        <v>51</v>
      </c>
      <c r="AB1715" s="202">
        <v>2638023</v>
      </c>
      <c r="AC1715" s="202">
        <v>2638023</v>
      </c>
    </row>
    <row r="1716" spans="1:29" outlineLevel="2" x14ac:dyDescent="0.25">
      <c r="A1716" s="201">
        <v>46169</v>
      </c>
      <c r="D1716" s="198" t="s">
        <v>54</v>
      </c>
      <c r="E1716" s="202">
        <v>2394705</v>
      </c>
      <c r="K1716" s="198" t="s">
        <v>1914</v>
      </c>
      <c r="L1716" s="198" t="s">
        <v>112</v>
      </c>
      <c r="P1716" s="201"/>
      <c r="R1716" s="202">
        <v>2394705</v>
      </c>
      <c r="U1716" s="198" t="s">
        <v>1126</v>
      </c>
      <c r="AA1716" s="198" t="s">
        <v>51</v>
      </c>
      <c r="AB1716" s="202">
        <v>2394705</v>
      </c>
      <c r="AC1716" s="202">
        <v>2394705</v>
      </c>
    </row>
    <row r="1717" spans="1:29" outlineLevel="1" x14ac:dyDescent="0.25">
      <c r="A1717" s="210"/>
      <c r="B1717" s="209"/>
      <c r="C1717" s="209"/>
      <c r="D1717" s="209" t="s">
        <v>54</v>
      </c>
      <c r="E1717" s="211">
        <v>780101614.63</v>
      </c>
      <c r="F1717" s="209"/>
      <c r="G1717" s="209"/>
      <c r="H1717" s="209"/>
      <c r="I1717" s="209"/>
      <c r="J1717" s="209"/>
      <c r="K1717" s="209" t="s">
        <v>54</v>
      </c>
      <c r="L1717" s="209" t="s">
        <v>54</v>
      </c>
      <c r="M1717" s="209"/>
      <c r="N1717" s="209"/>
      <c r="O1717" s="209"/>
      <c r="P1717" s="210"/>
      <c r="Q1717" s="209"/>
      <c r="R1717" s="212"/>
      <c r="S1717" s="209"/>
      <c r="T1717" s="209"/>
      <c r="U1717" s="209" t="s">
        <v>54</v>
      </c>
      <c r="V1717" s="209"/>
      <c r="W1717" s="209"/>
      <c r="X1717" s="209"/>
      <c r="Y1717" s="209"/>
      <c r="Z1717" s="209"/>
      <c r="AA1717" s="209" t="s">
        <v>54</v>
      </c>
      <c r="AB1717" s="212"/>
      <c r="AC1717" s="212"/>
    </row>
    <row r="1718" spans="1:29" outlineLevel="2" x14ac:dyDescent="0.25">
      <c r="A1718" s="201">
        <v>46021</v>
      </c>
      <c r="D1718" s="198" t="s">
        <v>54</v>
      </c>
      <c r="E1718" s="202">
        <v>271900864</v>
      </c>
      <c r="K1718" s="198" t="s">
        <v>1915</v>
      </c>
      <c r="L1718" s="198" t="s">
        <v>112</v>
      </c>
      <c r="P1718" s="201"/>
      <c r="R1718" s="202">
        <v>271900864</v>
      </c>
      <c r="U1718" s="198" t="s">
        <v>221</v>
      </c>
      <c r="AA1718" s="198" t="s">
        <v>51</v>
      </c>
      <c r="AB1718" s="202">
        <v>271900864</v>
      </c>
      <c r="AC1718" s="202">
        <v>271900864</v>
      </c>
    </row>
    <row r="1719" spans="1:29" outlineLevel="2" x14ac:dyDescent="0.25">
      <c r="A1719" s="201">
        <v>46021</v>
      </c>
      <c r="D1719" s="198" t="s">
        <v>54</v>
      </c>
      <c r="E1719" s="202">
        <v>-13871564</v>
      </c>
      <c r="K1719" s="198" t="s">
        <v>1915</v>
      </c>
      <c r="L1719" s="198" t="s">
        <v>112</v>
      </c>
      <c r="P1719" s="201"/>
      <c r="R1719" s="202">
        <v>-13871564</v>
      </c>
      <c r="U1719" s="198" t="s">
        <v>221</v>
      </c>
      <c r="AA1719" s="198" t="s">
        <v>51</v>
      </c>
      <c r="AB1719" s="202">
        <v>-13871564</v>
      </c>
      <c r="AC1719" s="202">
        <v>-13871564</v>
      </c>
    </row>
    <row r="1720" spans="1:29" outlineLevel="2" x14ac:dyDescent="0.25">
      <c r="A1720" s="201">
        <v>46037</v>
      </c>
      <c r="D1720" s="198" t="s">
        <v>54</v>
      </c>
      <c r="E1720" s="202">
        <v>5733950</v>
      </c>
      <c r="K1720" s="198" t="s">
        <v>1915</v>
      </c>
      <c r="L1720" s="198" t="s">
        <v>112</v>
      </c>
      <c r="P1720" s="201"/>
      <c r="R1720" s="202">
        <v>5733950</v>
      </c>
      <c r="U1720" s="198" t="s">
        <v>221</v>
      </c>
      <c r="AA1720" s="198" t="s">
        <v>51</v>
      </c>
      <c r="AB1720" s="202">
        <v>5733950</v>
      </c>
      <c r="AC1720" s="202">
        <v>5733950</v>
      </c>
    </row>
    <row r="1721" spans="1:29" outlineLevel="2" x14ac:dyDescent="0.25">
      <c r="A1721" s="201">
        <v>46043</v>
      </c>
      <c r="D1721" s="198" t="s">
        <v>54</v>
      </c>
      <c r="E1721" s="202">
        <v>10000000</v>
      </c>
      <c r="K1721" s="198" t="s">
        <v>1915</v>
      </c>
      <c r="L1721" s="198" t="s">
        <v>112</v>
      </c>
      <c r="P1721" s="201"/>
      <c r="R1721" s="202">
        <v>10000000</v>
      </c>
      <c r="U1721" s="198" t="s">
        <v>221</v>
      </c>
      <c r="AA1721" s="198" t="s">
        <v>51</v>
      </c>
      <c r="AB1721" s="202">
        <v>10000000</v>
      </c>
      <c r="AC1721" s="202">
        <v>10000000</v>
      </c>
    </row>
    <row r="1722" spans="1:29" outlineLevel="2" x14ac:dyDescent="0.25">
      <c r="A1722" s="201">
        <v>46065</v>
      </c>
      <c r="D1722" s="198" t="s">
        <v>54</v>
      </c>
      <c r="E1722" s="202">
        <v>10561856</v>
      </c>
      <c r="K1722" s="198" t="s">
        <v>1915</v>
      </c>
      <c r="L1722" s="198" t="s">
        <v>112</v>
      </c>
      <c r="P1722" s="201"/>
      <c r="R1722" s="202">
        <v>10561856</v>
      </c>
      <c r="U1722" s="198" t="s">
        <v>221</v>
      </c>
      <c r="AA1722" s="198" t="s">
        <v>51</v>
      </c>
      <c r="AB1722" s="202">
        <v>10561856</v>
      </c>
      <c r="AC1722" s="202">
        <v>10561856</v>
      </c>
    </row>
    <row r="1723" spans="1:29" outlineLevel="1" x14ac:dyDescent="0.25">
      <c r="A1723" s="210"/>
      <c r="B1723" s="209"/>
      <c r="C1723" s="209"/>
      <c r="D1723" s="209" t="s">
        <v>54</v>
      </c>
      <c r="E1723" s="211">
        <v>284325106</v>
      </c>
      <c r="F1723" s="209"/>
      <c r="G1723" s="209"/>
      <c r="H1723" s="209"/>
      <c r="I1723" s="209"/>
      <c r="J1723" s="209"/>
      <c r="K1723" s="209" t="s">
        <v>54</v>
      </c>
      <c r="L1723" s="209" t="s">
        <v>54</v>
      </c>
      <c r="M1723" s="209"/>
      <c r="N1723" s="209"/>
      <c r="O1723" s="209"/>
      <c r="P1723" s="210"/>
      <c r="Q1723" s="209"/>
      <c r="R1723" s="212"/>
      <c r="S1723" s="209"/>
      <c r="T1723" s="209"/>
      <c r="U1723" s="209" t="s">
        <v>54</v>
      </c>
      <c r="V1723" s="209"/>
      <c r="W1723" s="209"/>
      <c r="X1723" s="209"/>
      <c r="Y1723" s="209"/>
      <c r="Z1723" s="209"/>
      <c r="AA1723" s="209" t="s">
        <v>54</v>
      </c>
      <c r="AB1723" s="212"/>
      <c r="AC1723" s="212"/>
    </row>
    <row r="1724" spans="1:29" outlineLevel="2" x14ac:dyDescent="0.25">
      <c r="A1724" s="201">
        <v>46021</v>
      </c>
      <c r="D1724" s="198" t="s">
        <v>54</v>
      </c>
      <c r="E1724" s="202">
        <v>90350447.599999994</v>
      </c>
      <c r="K1724" s="198" t="s">
        <v>1916</v>
      </c>
      <c r="L1724" s="198" t="s">
        <v>112</v>
      </c>
      <c r="P1724" s="201"/>
      <c r="R1724" s="202">
        <v>90350447.599999994</v>
      </c>
      <c r="U1724" s="198" t="s">
        <v>212</v>
      </c>
      <c r="AA1724" s="198" t="s">
        <v>51</v>
      </c>
      <c r="AB1724" s="202">
        <v>90350447.599999994</v>
      </c>
      <c r="AC1724" s="202">
        <v>90350447.599999994</v>
      </c>
    </row>
    <row r="1725" spans="1:29" outlineLevel="2" x14ac:dyDescent="0.25">
      <c r="A1725" s="201">
        <v>46021</v>
      </c>
      <c r="D1725" s="198" t="s">
        <v>54</v>
      </c>
      <c r="E1725" s="202">
        <v>-25892447.600000001</v>
      </c>
      <c r="K1725" s="198" t="s">
        <v>1916</v>
      </c>
      <c r="L1725" s="198" t="s">
        <v>112</v>
      </c>
      <c r="P1725" s="201"/>
      <c r="R1725" s="202">
        <v>-25892447.600000001</v>
      </c>
      <c r="U1725" s="198" t="s">
        <v>212</v>
      </c>
      <c r="AA1725" s="198" t="s">
        <v>51</v>
      </c>
      <c r="AB1725" s="202">
        <v>-25892447.600000001</v>
      </c>
      <c r="AC1725" s="202">
        <v>-25892447.600000001</v>
      </c>
    </row>
    <row r="1726" spans="1:29" outlineLevel="2" x14ac:dyDescent="0.25">
      <c r="A1726" s="201">
        <v>46051</v>
      </c>
      <c r="D1726" s="198" t="s">
        <v>54</v>
      </c>
      <c r="E1726" s="202">
        <v>200000</v>
      </c>
      <c r="K1726" s="198" t="s">
        <v>1916</v>
      </c>
      <c r="L1726" s="198" t="s">
        <v>112</v>
      </c>
      <c r="P1726" s="201"/>
      <c r="R1726" s="202">
        <v>200000</v>
      </c>
      <c r="U1726" s="198" t="s">
        <v>212</v>
      </c>
      <c r="AA1726" s="198" t="s">
        <v>51</v>
      </c>
      <c r="AB1726" s="202">
        <v>200000</v>
      </c>
      <c r="AC1726" s="202">
        <v>200000</v>
      </c>
    </row>
    <row r="1727" spans="1:29" outlineLevel="2" x14ac:dyDescent="0.25">
      <c r="A1727" s="201">
        <v>46113</v>
      </c>
      <c r="D1727" s="198" t="s">
        <v>54</v>
      </c>
      <c r="E1727" s="202">
        <v>-29747.4</v>
      </c>
      <c r="K1727" s="198" t="s">
        <v>1916</v>
      </c>
      <c r="L1727" s="198" t="s">
        <v>112</v>
      </c>
      <c r="P1727" s="201"/>
      <c r="R1727" s="202">
        <v>-29747.4</v>
      </c>
      <c r="U1727" s="198" t="s">
        <v>212</v>
      </c>
      <c r="AA1727" s="198" t="s">
        <v>51</v>
      </c>
      <c r="AB1727" s="202">
        <v>-29747.4</v>
      </c>
      <c r="AC1727" s="202">
        <v>-29747.4</v>
      </c>
    </row>
    <row r="1728" spans="1:29" outlineLevel="2" x14ac:dyDescent="0.25">
      <c r="A1728" s="201">
        <v>46163</v>
      </c>
      <c r="D1728" s="198" t="s">
        <v>54</v>
      </c>
      <c r="E1728" s="202">
        <v>5041000.4000000004</v>
      </c>
      <c r="K1728" s="198" t="s">
        <v>1916</v>
      </c>
      <c r="L1728" s="198" t="s">
        <v>112</v>
      </c>
      <c r="P1728" s="201"/>
      <c r="R1728" s="202">
        <v>5041000.4000000004</v>
      </c>
      <c r="U1728" s="198" t="s">
        <v>212</v>
      </c>
      <c r="AA1728" s="198" t="s">
        <v>51</v>
      </c>
      <c r="AB1728" s="202">
        <v>5041000.4000000004</v>
      </c>
      <c r="AC1728" s="202">
        <v>5041000.4000000004</v>
      </c>
    </row>
    <row r="1729" spans="1:29" outlineLevel="2" x14ac:dyDescent="0.25">
      <c r="A1729" s="201">
        <v>46163</v>
      </c>
      <c r="D1729" s="198" t="s">
        <v>54</v>
      </c>
      <c r="E1729" s="202">
        <v>20041977</v>
      </c>
      <c r="K1729" s="198" t="s">
        <v>1916</v>
      </c>
      <c r="L1729" s="198" t="s">
        <v>112</v>
      </c>
      <c r="P1729" s="201"/>
      <c r="R1729" s="202">
        <v>20041977</v>
      </c>
      <c r="U1729" s="198" t="s">
        <v>212</v>
      </c>
      <c r="AA1729" s="198" t="s">
        <v>51</v>
      </c>
      <c r="AB1729" s="202">
        <v>20041977</v>
      </c>
      <c r="AC1729" s="202">
        <v>20041977</v>
      </c>
    </row>
    <row r="1730" spans="1:29" outlineLevel="2" x14ac:dyDescent="0.25">
      <c r="A1730" s="201">
        <v>46163</v>
      </c>
      <c r="D1730" s="198" t="s">
        <v>54</v>
      </c>
      <c r="E1730" s="202">
        <v>2638023</v>
      </c>
      <c r="K1730" s="198" t="s">
        <v>1916</v>
      </c>
      <c r="L1730" s="198" t="s">
        <v>112</v>
      </c>
      <c r="P1730" s="201"/>
      <c r="R1730" s="202">
        <v>2638023</v>
      </c>
      <c r="U1730" s="198" t="s">
        <v>212</v>
      </c>
      <c r="AA1730" s="198" t="s">
        <v>51</v>
      </c>
      <c r="AB1730" s="202">
        <v>2638023</v>
      </c>
      <c r="AC1730" s="202">
        <v>2638023</v>
      </c>
    </row>
    <row r="1731" spans="1:29" outlineLevel="2" x14ac:dyDescent="0.25">
      <c r="A1731" s="201">
        <v>46169</v>
      </c>
      <c r="D1731" s="198" t="s">
        <v>54</v>
      </c>
      <c r="E1731" s="202">
        <v>2394705</v>
      </c>
      <c r="K1731" s="198" t="s">
        <v>1916</v>
      </c>
      <c r="L1731" s="198" t="s">
        <v>112</v>
      </c>
      <c r="P1731" s="201"/>
      <c r="R1731" s="202">
        <v>2394705</v>
      </c>
      <c r="U1731" s="198" t="s">
        <v>212</v>
      </c>
      <c r="AA1731" s="198" t="s">
        <v>51</v>
      </c>
      <c r="AB1731" s="202">
        <v>2394705</v>
      </c>
      <c r="AC1731" s="202">
        <v>2394705</v>
      </c>
    </row>
    <row r="1732" spans="1:29" outlineLevel="1" x14ac:dyDescent="0.25">
      <c r="A1732" s="210"/>
      <c r="B1732" s="209"/>
      <c r="C1732" s="209"/>
      <c r="D1732" s="209" t="s">
        <v>54</v>
      </c>
      <c r="E1732" s="211">
        <v>94743958</v>
      </c>
      <c r="F1732" s="209"/>
      <c r="G1732" s="209"/>
      <c r="H1732" s="209"/>
      <c r="I1732" s="209"/>
      <c r="J1732" s="209"/>
      <c r="K1732" s="209" t="s">
        <v>54</v>
      </c>
      <c r="L1732" s="209" t="s">
        <v>54</v>
      </c>
      <c r="M1732" s="209"/>
      <c r="N1732" s="209"/>
      <c r="O1732" s="209"/>
      <c r="P1732" s="210"/>
      <c r="Q1732" s="209"/>
      <c r="R1732" s="212"/>
      <c r="S1732" s="209"/>
      <c r="T1732" s="209"/>
      <c r="U1732" s="209" t="s">
        <v>54</v>
      </c>
      <c r="V1732" s="209"/>
      <c r="W1732" s="209"/>
      <c r="X1732" s="209"/>
      <c r="Y1732" s="209"/>
      <c r="Z1732" s="209"/>
      <c r="AA1732" s="209" t="s">
        <v>54</v>
      </c>
      <c r="AB1732" s="212"/>
      <c r="AC1732" s="212"/>
    </row>
    <row r="1733" spans="1:29" outlineLevel="2" x14ac:dyDescent="0.25">
      <c r="A1733" s="201">
        <v>46021</v>
      </c>
      <c r="D1733" s="198" t="s">
        <v>54</v>
      </c>
      <c r="E1733" s="202">
        <v>194133000</v>
      </c>
      <c r="K1733" s="198" t="s">
        <v>1917</v>
      </c>
      <c r="L1733" s="198" t="s">
        <v>112</v>
      </c>
      <c r="P1733" s="201"/>
      <c r="R1733" s="202">
        <v>194133000</v>
      </c>
      <c r="U1733" s="198" t="s">
        <v>1127</v>
      </c>
      <c r="AA1733" s="198" t="s">
        <v>51</v>
      </c>
      <c r="AB1733" s="202">
        <v>194133000</v>
      </c>
      <c r="AC1733" s="202">
        <v>194133000</v>
      </c>
    </row>
    <row r="1734" spans="1:29" outlineLevel="2" x14ac:dyDescent="0.25">
      <c r="A1734" s="201">
        <v>46021</v>
      </c>
      <c r="D1734" s="198" t="s">
        <v>54</v>
      </c>
      <c r="E1734" s="202">
        <v>119509900</v>
      </c>
      <c r="K1734" s="198" t="s">
        <v>1917</v>
      </c>
      <c r="L1734" s="198" t="s">
        <v>112</v>
      </c>
      <c r="P1734" s="201"/>
      <c r="R1734" s="202">
        <v>119509900</v>
      </c>
      <c r="U1734" s="198" t="s">
        <v>1127</v>
      </c>
      <c r="AA1734" s="198" t="s">
        <v>51</v>
      </c>
      <c r="AB1734" s="202">
        <v>119509900</v>
      </c>
      <c r="AC1734" s="202">
        <v>119509900</v>
      </c>
    </row>
    <row r="1735" spans="1:29" outlineLevel="2" x14ac:dyDescent="0.25">
      <c r="A1735" s="201">
        <v>46051</v>
      </c>
      <c r="D1735" s="198" t="s">
        <v>54</v>
      </c>
      <c r="E1735" s="202">
        <v>1900000</v>
      </c>
      <c r="K1735" s="198" t="s">
        <v>1917</v>
      </c>
      <c r="L1735" s="198" t="s">
        <v>112</v>
      </c>
      <c r="P1735" s="201"/>
      <c r="R1735" s="202">
        <v>1900000</v>
      </c>
      <c r="U1735" s="198" t="s">
        <v>1127</v>
      </c>
      <c r="AA1735" s="198" t="s">
        <v>51</v>
      </c>
      <c r="AB1735" s="202">
        <v>1900000</v>
      </c>
      <c r="AC1735" s="202">
        <v>1900000</v>
      </c>
    </row>
    <row r="1736" spans="1:29" outlineLevel="2" x14ac:dyDescent="0.25">
      <c r="A1736" s="201">
        <v>46056</v>
      </c>
      <c r="D1736" s="198" t="s">
        <v>54</v>
      </c>
      <c r="E1736" s="202">
        <v>2507040</v>
      </c>
      <c r="K1736" s="198" t="s">
        <v>1917</v>
      </c>
      <c r="L1736" s="198" t="s">
        <v>112</v>
      </c>
      <c r="P1736" s="201"/>
      <c r="R1736" s="202">
        <v>2507040</v>
      </c>
      <c r="U1736" s="198" t="s">
        <v>1127</v>
      </c>
      <c r="AA1736" s="198" t="s">
        <v>51</v>
      </c>
      <c r="AB1736" s="202">
        <v>2507040</v>
      </c>
      <c r="AC1736" s="202">
        <v>2507040</v>
      </c>
    </row>
    <row r="1737" spans="1:29" outlineLevel="2" x14ac:dyDescent="0.25">
      <c r="A1737" s="201">
        <v>46057</v>
      </c>
      <c r="D1737" s="198" t="s">
        <v>54</v>
      </c>
      <c r="E1737" s="202">
        <v>1742847.84</v>
      </c>
      <c r="K1737" s="198" t="s">
        <v>1917</v>
      </c>
      <c r="L1737" s="198" t="s">
        <v>112</v>
      </c>
      <c r="P1737" s="201"/>
      <c r="R1737" s="202">
        <v>1742847.84</v>
      </c>
      <c r="U1737" s="198" t="s">
        <v>1127</v>
      </c>
      <c r="AA1737" s="198" t="s">
        <v>51</v>
      </c>
      <c r="AB1737" s="202">
        <v>1742847.84</v>
      </c>
      <c r="AC1737" s="202">
        <v>1742847.84</v>
      </c>
    </row>
    <row r="1738" spans="1:29" outlineLevel="2" x14ac:dyDescent="0.25">
      <c r="A1738" s="201">
        <v>46113</v>
      </c>
      <c r="D1738" s="198" t="s">
        <v>54</v>
      </c>
      <c r="E1738" s="202">
        <v>-3760644.04</v>
      </c>
      <c r="K1738" s="198" t="s">
        <v>1917</v>
      </c>
      <c r="L1738" s="198" t="s">
        <v>112</v>
      </c>
      <c r="P1738" s="201"/>
      <c r="R1738" s="202">
        <v>-3760644.04</v>
      </c>
      <c r="U1738" s="198" t="s">
        <v>1127</v>
      </c>
      <c r="AA1738" s="198" t="s">
        <v>51</v>
      </c>
      <c r="AB1738" s="202">
        <v>-3760644.04</v>
      </c>
      <c r="AC1738" s="202">
        <v>-3760644.04</v>
      </c>
    </row>
    <row r="1739" spans="1:29" outlineLevel="2" x14ac:dyDescent="0.25">
      <c r="A1739" s="201">
        <v>46155</v>
      </c>
      <c r="D1739" s="198" t="s">
        <v>54</v>
      </c>
      <c r="E1739" s="202">
        <v>4803599.87</v>
      </c>
      <c r="K1739" s="198" t="s">
        <v>1917</v>
      </c>
      <c r="L1739" s="198" t="s">
        <v>112</v>
      </c>
      <c r="P1739" s="201"/>
      <c r="R1739" s="202">
        <v>4803599.87</v>
      </c>
      <c r="U1739" s="198" t="s">
        <v>1127</v>
      </c>
      <c r="AA1739" s="198" t="s">
        <v>51</v>
      </c>
      <c r="AB1739" s="202">
        <v>4803599.87</v>
      </c>
      <c r="AC1739" s="202">
        <v>4803599.87</v>
      </c>
    </row>
    <row r="1740" spans="1:29" outlineLevel="1" x14ac:dyDescent="0.25">
      <c r="A1740" s="210"/>
      <c r="B1740" s="209"/>
      <c r="C1740" s="209"/>
      <c r="D1740" s="209" t="s">
        <v>54</v>
      </c>
      <c r="E1740" s="211">
        <v>320835743.67000002</v>
      </c>
      <c r="F1740" s="209"/>
      <c r="G1740" s="209"/>
      <c r="H1740" s="209"/>
      <c r="I1740" s="209"/>
      <c r="J1740" s="209"/>
      <c r="K1740" s="209" t="s">
        <v>54</v>
      </c>
      <c r="L1740" s="209" t="s">
        <v>54</v>
      </c>
      <c r="M1740" s="209"/>
      <c r="N1740" s="209"/>
      <c r="O1740" s="209"/>
      <c r="P1740" s="210"/>
      <c r="Q1740" s="209"/>
      <c r="R1740" s="212"/>
      <c r="S1740" s="209"/>
      <c r="T1740" s="209"/>
      <c r="U1740" s="209" t="s">
        <v>54</v>
      </c>
      <c r="V1740" s="209"/>
      <c r="W1740" s="209"/>
      <c r="X1740" s="209"/>
      <c r="Y1740" s="209"/>
      <c r="Z1740" s="209"/>
      <c r="AA1740" s="209" t="s">
        <v>54</v>
      </c>
      <c r="AB1740" s="212"/>
      <c r="AC1740" s="212"/>
    </row>
    <row r="1741" spans="1:29" outlineLevel="2" x14ac:dyDescent="0.25">
      <c r="A1741" s="201">
        <v>46021</v>
      </c>
      <c r="D1741" s="198" t="s">
        <v>54</v>
      </c>
      <c r="E1741" s="202">
        <v>194133000</v>
      </c>
      <c r="K1741" s="198" t="s">
        <v>1918</v>
      </c>
      <c r="L1741" s="198" t="s">
        <v>112</v>
      </c>
      <c r="P1741" s="201"/>
      <c r="R1741" s="202">
        <v>194133000</v>
      </c>
      <c r="U1741" s="198" t="s">
        <v>222</v>
      </c>
      <c r="AA1741" s="198" t="s">
        <v>51</v>
      </c>
      <c r="AB1741" s="202">
        <v>194133000</v>
      </c>
      <c r="AC1741" s="202">
        <v>194133000</v>
      </c>
    </row>
    <row r="1742" spans="1:29" outlineLevel="2" x14ac:dyDescent="0.25">
      <c r="A1742" s="201">
        <v>46021</v>
      </c>
      <c r="D1742" s="198" t="s">
        <v>54</v>
      </c>
      <c r="E1742" s="202">
        <v>55145500</v>
      </c>
      <c r="K1742" s="198" t="s">
        <v>1918</v>
      </c>
      <c r="L1742" s="198" t="s">
        <v>112</v>
      </c>
      <c r="P1742" s="201"/>
      <c r="R1742" s="202">
        <v>55145500</v>
      </c>
      <c r="U1742" s="198" t="s">
        <v>222</v>
      </c>
      <c r="AA1742" s="198" t="s">
        <v>51</v>
      </c>
      <c r="AB1742" s="202">
        <v>55145500</v>
      </c>
      <c r="AC1742" s="202">
        <v>55145500</v>
      </c>
    </row>
    <row r="1743" spans="1:29" outlineLevel="2" x14ac:dyDescent="0.25">
      <c r="A1743" s="201">
        <v>46051</v>
      </c>
      <c r="D1743" s="198" t="s">
        <v>54</v>
      </c>
      <c r="E1743" s="202">
        <v>1900000</v>
      </c>
      <c r="K1743" s="198" t="s">
        <v>1918</v>
      </c>
      <c r="L1743" s="198" t="s">
        <v>112</v>
      </c>
      <c r="P1743" s="201"/>
      <c r="R1743" s="202">
        <v>1900000</v>
      </c>
      <c r="U1743" s="198" t="s">
        <v>222</v>
      </c>
      <c r="AA1743" s="198" t="s">
        <v>51</v>
      </c>
      <c r="AB1743" s="202">
        <v>1900000</v>
      </c>
      <c r="AC1743" s="202">
        <v>1900000</v>
      </c>
    </row>
    <row r="1744" spans="1:29" outlineLevel="2" x14ac:dyDescent="0.25">
      <c r="A1744" s="201">
        <v>46113</v>
      </c>
      <c r="D1744" s="198" t="s">
        <v>54</v>
      </c>
      <c r="E1744" s="202">
        <v>-2152137.2000000002</v>
      </c>
      <c r="K1744" s="198" t="s">
        <v>1918</v>
      </c>
      <c r="L1744" s="198" t="s">
        <v>112</v>
      </c>
      <c r="P1744" s="201"/>
      <c r="R1744" s="202">
        <v>-2152137.2000000002</v>
      </c>
      <c r="U1744" s="198" t="s">
        <v>222</v>
      </c>
      <c r="AA1744" s="198" t="s">
        <v>51</v>
      </c>
      <c r="AB1744" s="202">
        <v>-2152137.2000000002</v>
      </c>
      <c r="AC1744" s="202">
        <v>-2152137.2000000002</v>
      </c>
    </row>
    <row r="1745" spans="1:29" outlineLevel="1" x14ac:dyDescent="0.25">
      <c r="A1745" s="210"/>
      <c r="B1745" s="209"/>
      <c r="C1745" s="209"/>
      <c r="D1745" s="209" t="s">
        <v>54</v>
      </c>
      <c r="E1745" s="211">
        <v>249026362.80000001</v>
      </c>
      <c r="F1745" s="209"/>
      <c r="G1745" s="209"/>
      <c r="H1745" s="209"/>
      <c r="I1745" s="209"/>
      <c r="J1745" s="209"/>
      <c r="K1745" s="209" t="s">
        <v>54</v>
      </c>
      <c r="L1745" s="209" t="s">
        <v>54</v>
      </c>
      <c r="M1745" s="209"/>
      <c r="N1745" s="209"/>
      <c r="O1745" s="209"/>
      <c r="P1745" s="210"/>
      <c r="Q1745" s="209"/>
      <c r="R1745" s="212"/>
      <c r="S1745" s="209"/>
      <c r="T1745" s="209"/>
      <c r="U1745" s="209" t="s">
        <v>54</v>
      </c>
      <c r="V1745" s="209"/>
      <c r="W1745" s="209"/>
      <c r="X1745" s="209"/>
      <c r="Y1745" s="209"/>
      <c r="Z1745" s="209"/>
      <c r="AA1745" s="209" t="s">
        <v>54</v>
      </c>
      <c r="AB1745" s="212"/>
      <c r="AC1745" s="212"/>
    </row>
    <row r="1746" spans="1:29" outlineLevel="2" x14ac:dyDescent="0.25">
      <c r="A1746" s="201">
        <v>46021</v>
      </c>
      <c r="D1746" s="198" t="s">
        <v>54</v>
      </c>
      <c r="E1746" s="202">
        <v>64364400</v>
      </c>
      <c r="K1746" s="198" t="s">
        <v>1919</v>
      </c>
      <c r="L1746" s="198" t="s">
        <v>112</v>
      </c>
      <c r="P1746" s="201"/>
      <c r="R1746" s="202">
        <v>64364400</v>
      </c>
      <c r="U1746" s="198" t="s">
        <v>669</v>
      </c>
      <c r="AA1746" s="198" t="s">
        <v>51</v>
      </c>
      <c r="AB1746" s="202">
        <v>64364400</v>
      </c>
      <c r="AC1746" s="202">
        <v>64364400</v>
      </c>
    </row>
    <row r="1747" spans="1:29" outlineLevel="2" x14ac:dyDescent="0.25">
      <c r="A1747" s="201">
        <v>46056</v>
      </c>
      <c r="D1747" s="198" t="s">
        <v>54</v>
      </c>
      <c r="E1747" s="202">
        <v>2507040</v>
      </c>
      <c r="K1747" s="198" t="s">
        <v>1919</v>
      </c>
      <c r="L1747" s="198" t="s">
        <v>112</v>
      </c>
      <c r="P1747" s="201"/>
      <c r="R1747" s="202">
        <v>2507040</v>
      </c>
      <c r="U1747" s="198" t="s">
        <v>669</v>
      </c>
      <c r="AA1747" s="198" t="s">
        <v>51</v>
      </c>
      <c r="AB1747" s="202">
        <v>2507040</v>
      </c>
      <c r="AC1747" s="202">
        <v>2507040</v>
      </c>
    </row>
    <row r="1748" spans="1:29" outlineLevel="2" x14ac:dyDescent="0.25">
      <c r="A1748" s="201">
        <v>46057</v>
      </c>
      <c r="D1748" s="198" t="s">
        <v>54</v>
      </c>
      <c r="E1748" s="202">
        <v>1742847.84</v>
      </c>
      <c r="K1748" s="198" t="s">
        <v>1919</v>
      </c>
      <c r="L1748" s="198" t="s">
        <v>112</v>
      </c>
      <c r="P1748" s="201"/>
      <c r="R1748" s="202">
        <v>1742847.84</v>
      </c>
      <c r="U1748" s="198" t="s">
        <v>669</v>
      </c>
      <c r="AA1748" s="198" t="s">
        <v>51</v>
      </c>
      <c r="AB1748" s="202">
        <v>1742847.84</v>
      </c>
      <c r="AC1748" s="202">
        <v>1742847.84</v>
      </c>
    </row>
    <row r="1749" spans="1:29" outlineLevel="2" x14ac:dyDescent="0.25">
      <c r="A1749" s="201">
        <v>46113</v>
      </c>
      <c r="D1749" s="198" t="s">
        <v>54</v>
      </c>
      <c r="E1749" s="202">
        <v>-1608506.84</v>
      </c>
      <c r="K1749" s="198" t="s">
        <v>1919</v>
      </c>
      <c r="L1749" s="198" t="s">
        <v>112</v>
      </c>
      <c r="P1749" s="201"/>
      <c r="R1749" s="202">
        <v>-1608506.84</v>
      </c>
      <c r="U1749" s="198" t="s">
        <v>669</v>
      </c>
      <c r="AA1749" s="198" t="s">
        <v>51</v>
      </c>
      <c r="AB1749" s="202">
        <v>-1608506.84</v>
      </c>
      <c r="AC1749" s="202">
        <v>-1608506.84</v>
      </c>
    </row>
    <row r="1750" spans="1:29" outlineLevel="2" x14ac:dyDescent="0.25">
      <c r="A1750" s="201">
        <v>46155</v>
      </c>
      <c r="D1750" s="198" t="s">
        <v>54</v>
      </c>
      <c r="E1750" s="202">
        <v>4803599.87</v>
      </c>
      <c r="K1750" s="198" t="s">
        <v>1919</v>
      </c>
      <c r="L1750" s="198" t="s">
        <v>112</v>
      </c>
      <c r="P1750" s="201"/>
      <c r="R1750" s="202">
        <v>4803599.87</v>
      </c>
      <c r="U1750" s="198" t="s">
        <v>669</v>
      </c>
      <c r="AA1750" s="198" t="s">
        <v>51</v>
      </c>
      <c r="AB1750" s="202">
        <v>4803599.87</v>
      </c>
      <c r="AC1750" s="202">
        <v>4803599.87</v>
      </c>
    </row>
    <row r="1751" spans="1:29" outlineLevel="1" x14ac:dyDescent="0.25">
      <c r="A1751" s="210"/>
      <c r="B1751" s="209"/>
      <c r="C1751" s="209"/>
      <c r="D1751" s="209" t="s">
        <v>54</v>
      </c>
      <c r="E1751" s="211">
        <v>71809380.870000005</v>
      </c>
      <c r="F1751" s="209"/>
      <c r="G1751" s="209"/>
      <c r="H1751" s="209"/>
      <c r="I1751" s="209"/>
      <c r="J1751" s="209"/>
      <c r="K1751" s="209" t="s">
        <v>54</v>
      </c>
      <c r="L1751" s="209" t="s">
        <v>54</v>
      </c>
      <c r="M1751" s="209"/>
      <c r="N1751" s="209"/>
      <c r="O1751" s="209"/>
      <c r="P1751" s="210"/>
      <c r="Q1751" s="209"/>
      <c r="R1751" s="212"/>
      <c r="S1751" s="209"/>
      <c r="T1751" s="209"/>
      <c r="U1751" s="209" t="s">
        <v>54</v>
      </c>
      <c r="V1751" s="209"/>
      <c r="W1751" s="209"/>
      <c r="X1751" s="209"/>
      <c r="Y1751" s="209"/>
      <c r="Z1751" s="209"/>
      <c r="AA1751" s="209" t="s">
        <v>54</v>
      </c>
      <c r="AB1751" s="212"/>
      <c r="AC1751" s="212"/>
    </row>
    <row r="1752" spans="1:29" outlineLevel="2" x14ac:dyDescent="0.25">
      <c r="A1752" s="201">
        <v>46021</v>
      </c>
      <c r="D1752" s="198" t="s">
        <v>54</v>
      </c>
      <c r="E1752" s="202">
        <v>14411000</v>
      </c>
      <c r="K1752" s="198" t="s">
        <v>1920</v>
      </c>
      <c r="L1752" s="198" t="s">
        <v>112</v>
      </c>
      <c r="P1752" s="201"/>
      <c r="R1752" s="202">
        <v>14411000</v>
      </c>
      <c r="U1752" s="198" t="s">
        <v>224</v>
      </c>
      <c r="AA1752" s="198" t="s">
        <v>51</v>
      </c>
      <c r="AB1752" s="202">
        <v>14411000</v>
      </c>
      <c r="AC1752" s="202">
        <v>14411000</v>
      </c>
    </row>
    <row r="1753" spans="1:29" outlineLevel="2" x14ac:dyDescent="0.25">
      <c r="A1753" s="201">
        <v>46021</v>
      </c>
      <c r="D1753" s="198" t="s">
        <v>54</v>
      </c>
      <c r="E1753" s="202">
        <v>-500</v>
      </c>
      <c r="K1753" s="198" t="s">
        <v>1920</v>
      </c>
      <c r="L1753" s="198" t="s">
        <v>112</v>
      </c>
      <c r="P1753" s="201"/>
      <c r="R1753" s="202">
        <v>-500</v>
      </c>
      <c r="U1753" s="198" t="s">
        <v>224</v>
      </c>
      <c r="AA1753" s="198" t="s">
        <v>51</v>
      </c>
      <c r="AB1753" s="202">
        <v>-500</v>
      </c>
      <c r="AC1753" s="202">
        <v>-500</v>
      </c>
    </row>
    <row r="1754" spans="1:29" outlineLevel="2" x14ac:dyDescent="0.25">
      <c r="A1754" s="201">
        <v>46113</v>
      </c>
      <c r="D1754" s="198" t="s">
        <v>54</v>
      </c>
      <c r="E1754" s="202">
        <v>100</v>
      </c>
      <c r="K1754" s="198" t="s">
        <v>1920</v>
      </c>
      <c r="L1754" s="198" t="s">
        <v>112</v>
      </c>
      <c r="P1754" s="201"/>
      <c r="R1754" s="202">
        <v>100</v>
      </c>
      <c r="U1754" s="198" t="s">
        <v>224</v>
      </c>
      <c r="AA1754" s="198" t="s">
        <v>51</v>
      </c>
      <c r="AB1754" s="202">
        <v>100</v>
      </c>
      <c r="AC1754" s="202">
        <v>100</v>
      </c>
    </row>
    <row r="1755" spans="1:29" outlineLevel="1" x14ac:dyDescent="0.25">
      <c r="A1755" s="210"/>
      <c r="B1755" s="209"/>
      <c r="C1755" s="209"/>
      <c r="D1755" s="209" t="s">
        <v>54</v>
      </c>
      <c r="E1755" s="211">
        <v>14410600</v>
      </c>
      <c r="F1755" s="209"/>
      <c r="G1755" s="209"/>
      <c r="H1755" s="209"/>
      <c r="I1755" s="209"/>
      <c r="J1755" s="209"/>
      <c r="K1755" s="209" t="s">
        <v>54</v>
      </c>
      <c r="L1755" s="209" t="s">
        <v>54</v>
      </c>
      <c r="M1755" s="209"/>
      <c r="N1755" s="209"/>
      <c r="O1755" s="209"/>
      <c r="P1755" s="210"/>
      <c r="Q1755" s="209"/>
      <c r="R1755" s="212"/>
      <c r="S1755" s="209"/>
      <c r="T1755" s="209"/>
      <c r="U1755" s="209" t="s">
        <v>54</v>
      </c>
      <c r="V1755" s="209"/>
      <c r="W1755" s="209"/>
      <c r="X1755" s="209"/>
      <c r="Y1755" s="209"/>
      <c r="Z1755" s="209"/>
      <c r="AA1755" s="209" t="s">
        <v>54</v>
      </c>
      <c r="AB1755" s="212"/>
      <c r="AC1755" s="212"/>
    </row>
    <row r="1756" spans="1:29" outlineLevel="2" x14ac:dyDescent="0.25">
      <c r="A1756" s="201">
        <v>46021</v>
      </c>
      <c r="D1756" s="198" t="s">
        <v>54</v>
      </c>
      <c r="E1756" s="202">
        <v>17236000</v>
      </c>
      <c r="K1756" s="198" t="s">
        <v>1921</v>
      </c>
      <c r="L1756" s="198" t="s">
        <v>112</v>
      </c>
      <c r="P1756" s="201"/>
      <c r="R1756" s="202">
        <v>17236000</v>
      </c>
      <c r="U1756" s="198" t="s">
        <v>1128</v>
      </c>
      <c r="AA1756" s="198" t="s">
        <v>51</v>
      </c>
      <c r="AB1756" s="202">
        <v>17236000</v>
      </c>
      <c r="AC1756" s="202">
        <v>17236000</v>
      </c>
    </row>
    <row r="1757" spans="1:29" outlineLevel="2" x14ac:dyDescent="0.25">
      <c r="A1757" s="201">
        <v>46021</v>
      </c>
      <c r="D1757" s="198" t="s">
        <v>54</v>
      </c>
      <c r="E1757" s="202">
        <v>4744500</v>
      </c>
      <c r="K1757" s="198" t="s">
        <v>1921</v>
      </c>
      <c r="L1757" s="198" t="s">
        <v>112</v>
      </c>
      <c r="P1757" s="201"/>
      <c r="R1757" s="202">
        <v>4744500</v>
      </c>
      <c r="U1757" s="198" t="s">
        <v>1128</v>
      </c>
      <c r="AA1757" s="198" t="s">
        <v>51</v>
      </c>
      <c r="AB1757" s="202">
        <v>4744500</v>
      </c>
      <c r="AC1757" s="202">
        <v>4744500</v>
      </c>
    </row>
    <row r="1758" spans="1:29" outlineLevel="2" x14ac:dyDescent="0.25">
      <c r="A1758" s="201">
        <v>46056</v>
      </c>
      <c r="D1758" s="198" t="s">
        <v>54</v>
      </c>
      <c r="E1758" s="202">
        <v>788150</v>
      </c>
      <c r="K1758" s="198" t="s">
        <v>1921</v>
      </c>
      <c r="L1758" s="198" t="s">
        <v>112</v>
      </c>
      <c r="P1758" s="201"/>
      <c r="R1758" s="202">
        <v>788150</v>
      </c>
      <c r="U1758" s="198" t="s">
        <v>1128</v>
      </c>
      <c r="AA1758" s="198" t="s">
        <v>51</v>
      </c>
      <c r="AB1758" s="202">
        <v>788150</v>
      </c>
      <c r="AC1758" s="202">
        <v>788150</v>
      </c>
    </row>
    <row r="1759" spans="1:29" outlineLevel="2" x14ac:dyDescent="0.25">
      <c r="A1759" s="201">
        <v>46113</v>
      </c>
      <c r="D1759" s="198" t="s">
        <v>54</v>
      </c>
      <c r="E1759" s="202">
        <v>-259580</v>
      </c>
      <c r="K1759" s="198" t="s">
        <v>1921</v>
      </c>
      <c r="L1759" s="198" t="s">
        <v>112</v>
      </c>
      <c r="P1759" s="201"/>
      <c r="R1759" s="202">
        <v>-259580</v>
      </c>
      <c r="U1759" s="198" t="s">
        <v>1128</v>
      </c>
      <c r="AA1759" s="198" t="s">
        <v>51</v>
      </c>
      <c r="AB1759" s="202">
        <v>-259580</v>
      </c>
      <c r="AC1759" s="202">
        <v>-259580</v>
      </c>
    </row>
    <row r="1760" spans="1:29" outlineLevel="2" x14ac:dyDescent="0.25">
      <c r="A1760" s="201">
        <v>46141</v>
      </c>
      <c r="D1760" s="198" t="s">
        <v>54</v>
      </c>
      <c r="E1760" s="202">
        <v>15201000</v>
      </c>
      <c r="K1760" s="198" t="s">
        <v>1921</v>
      </c>
      <c r="L1760" s="198" t="s">
        <v>112</v>
      </c>
      <c r="P1760" s="201"/>
      <c r="R1760" s="202">
        <v>15201000</v>
      </c>
      <c r="U1760" s="198" t="s">
        <v>1128</v>
      </c>
      <c r="AA1760" s="198" t="s">
        <v>51</v>
      </c>
      <c r="AB1760" s="202">
        <v>15201000</v>
      </c>
      <c r="AC1760" s="202">
        <v>15201000</v>
      </c>
    </row>
    <row r="1761" spans="1:29" outlineLevel="1" x14ac:dyDescent="0.25">
      <c r="A1761" s="210"/>
      <c r="B1761" s="209"/>
      <c r="C1761" s="209"/>
      <c r="D1761" s="209" t="s">
        <v>54</v>
      </c>
      <c r="E1761" s="211">
        <v>37710070</v>
      </c>
      <c r="F1761" s="209"/>
      <c r="G1761" s="209"/>
      <c r="H1761" s="209"/>
      <c r="I1761" s="209"/>
      <c r="J1761" s="209"/>
      <c r="K1761" s="209" t="s">
        <v>54</v>
      </c>
      <c r="L1761" s="209" t="s">
        <v>54</v>
      </c>
      <c r="M1761" s="209"/>
      <c r="N1761" s="209"/>
      <c r="O1761" s="209"/>
      <c r="P1761" s="210"/>
      <c r="Q1761" s="209"/>
      <c r="R1761" s="212"/>
      <c r="S1761" s="209"/>
      <c r="T1761" s="209"/>
      <c r="U1761" s="209" t="s">
        <v>54</v>
      </c>
      <c r="V1761" s="209"/>
      <c r="W1761" s="209"/>
      <c r="X1761" s="209"/>
      <c r="Y1761" s="209"/>
      <c r="Z1761" s="209"/>
      <c r="AA1761" s="209" t="s">
        <v>54</v>
      </c>
      <c r="AB1761" s="212"/>
      <c r="AC1761" s="212"/>
    </row>
    <row r="1762" spans="1:29" outlineLevel="2" x14ac:dyDescent="0.25">
      <c r="A1762" s="201">
        <v>46021</v>
      </c>
      <c r="D1762" s="198" t="s">
        <v>54</v>
      </c>
      <c r="E1762" s="202">
        <v>17236000</v>
      </c>
      <c r="K1762" s="198" t="s">
        <v>1922</v>
      </c>
      <c r="L1762" s="198" t="s">
        <v>112</v>
      </c>
      <c r="P1762" s="201"/>
      <c r="R1762" s="202">
        <v>17236000</v>
      </c>
      <c r="U1762" s="198" t="s">
        <v>225</v>
      </c>
      <c r="AA1762" s="198" t="s">
        <v>51</v>
      </c>
      <c r="AB1762" s="202">
        <v>17236000</v>
      </c>
      <c r="AC1762" s="202">
        <v>17236000</v>
      </c>
    </row>
    <row r="1763" spans="1:29" outlineLevel="2" x14ac:dyDescent="0.25">
      <c r="A1763" s="201">
        <v>46021</v>
      </c>
      <c r="D1763" s="198" t="s">
        <v>54</v>
      </c>
      <c r="E1763" s="202">
        <v>-5872600</v>
      </c>
      <c r="K1763" s="198" t="s">
        <v>1922</v>
      </c>
      <c r="L1763" s="198" t="s">
        <v>112</v>
      </c>
      <c r="P1763" s="201"/>
      <c r="R1763" s="202">
        <v>-5872600</v>
      </c>
      <c r="U1763" s="198" t="s">
        <v>225</v>
      </c>
      <c r="AA1763" s="198" t="s">
        <v>51</v>
      </c>
      <c r="AB1763" s="202">
        <v>-5872600</v>
      </c>
      <c r="AC1763" s="202">
        <v>-5872600</v>
      </c>
    </row>
    <row r="1764" spans="1:29" outlineLevel="1" x14ac:dyDescent="0.25">
      <c r="A1764" s="210"/>
      <c r="B1764" s="209"/>
      <c r="C1764" s="209"/>
      <c r="D1764" s="209" t="s">
        <v>54</v>
      </c>
      <c r="E1764" s="211">
        <v>11363400</v>
      </c>
      <c r="F1764" s="209"/>
      <c r="G1764" s="209"/>
      <c r="H1764" s="209"/>
      <c r="I1764" s="209"/>
      <c r="J1764" s="209"/>
      <c r="K1764" s="209" t="s">
        <v>54</v>
      </c>
      <c r="L1764" s="209" t="s">
        <v>54</v>
      </c>
      <c r="M1764" s="209"/>
      <c r="N1764" s="209"/>
      <c r="O1764" s="209"/>
      <c r="P1764" s="210"/>
      <c r="Q1764" s="209"/>
      <c r="R1764" s="212"/>
      <c r="S1764" s="209"/>
      <c r="T1764" s="209"/>
      <c r="U1764" s="209" t="s">
        <v>54</v>
      </c>
      <c r="V1764" s="209"/>
      <c r="W1764" s="209"/>
      <c r="X1764" s="209"/>
      <c r="Y1764" s="209"/>
      <c r="Z1764" s="209"/>
      <c r="AA1764" s="209" t="s">
        <v>54</v>
      </c>
      <c r="AB1764" s="212"/>
      <c r="AC1764" s="212"/>
    </row>
    <row r="1765" spans="1:29" outlineLevel="2" x14ac:dyDescent="0.25">
      <c r="A1765" s="201">
        <v>46021</v>
      </c>
      <c r="D1765" s="198" t="s">
        <v>54</v>
      </c>
      <c r="E1765" s="202">
        <v>10617100</v>
      </c>
      <c r="K1765" s="198" t="s">
        <v>1923</v>
      </c>
      <c r="L1765" s="198" t="s">
        <v>112</v>
      </c>
      <c r="P1765" s="201"/>
      <c r="R1765" s="202">
        <v>10617100</v>
      </c>
      <c r="U1765" s="198" t="s">
        <v>111</v>
      </c>
      <c r="AA1765" s="198" t="s">
        <v>51</v>
      </c>
      <c r="AB1765" s="202">
        <v>10617100</v>
      </c>
      <c r="AC1765" s="202">
        <v>10617100</v>
      </c>
    </row>
    <row r="1766" spans="1:29" outlineLevel="2" x14ac:dyDescent="0.25">
      <c r="A1766" s="201">
        <v>46056</v>
      </c>
      <c r="D1766" s="198" t="s">
        <v>54</v>
      </c>
      <c r="E1766" s="202">
        <v>788150</v>
      </c>
      <c r="K1766" s="198" t="s">
        <v>1923</v>
      </c>
      <c r="L1766" s="198" t="s">
        <v>112</v>
      </c>
      <c r="P1766" s="201"/>
      <c r="R1766" s="202">
        <v>788150</v>
      </c>
      <c r="U1766" s="198" t="s">
        <v>111</v>
      </c>
      <c r="AA1766" s="198" t="s">
        <v>51</v>
      </c>
      <c r="AB1766" s="202">
        <v>788150</v>
      </c>
      <c r="AC1766" s="202">
        <v>788150</v>
      </c>
    </row>
    <row r="1767" spans="1:29" outlineLevel="2" x14ac:dyDescent="0.25">
      <c r="A1767" s="201">
        <v>46113</v>
      </c>
      <c r="D1767" s="198" t="s">
        <v>54</v>
      </c>
      <c r="E1767" s="202">
        <v>-259580</v>
      </c>
      <c r="K1767" s="198" t="s">
        <v>1923</v>
      </c>
      <c r="L1767" s="198" t="s">
        <v>112</v>
      </c>
      <c r="P1767" s="201"/>
      <c r="R1767" s="202">
        <v>-259580</v>
      </c>
      <c r="U1767" s="198" t="s">
        <v>111</v>
      </c>
      <c r="AA1767" s="198" t="s">
        <v>51</v>
      </c>
      <c r="AB1767" s="202">
        <v>-259580</v>
      </c>
      <c r="AC1767" s="202">
        <v>-259580</v>
      </c>
    </row>
    <row r="1768" spans="1:29" outlineLevel="2" x14ac:dyDescent="0.25">
      <c r="A1768" s="201">
        <v>46141</v>
      </c>
      <c r="D1768" s="198" t="s">
        <v>54</v>
      </c>
      <c r="E1768" s="202">
        <v>15201000</v>
      </c>
      <c r="K1768" s="198" t="s">
        <v>1923</v>
      </c>
      <c r="L1768" s="198" t="s">
        <v>112</v>
      </c>
      <c r="P1768" s="201"/>
      <c r="R1768" s="202">
        <v>15201000</v>
      </c>
      <c r="U1768" s="198" t="s">
        <v>111</v>
      </c>
      <c r="AA1768" s="198" t="s">
        <v>51</v>
      </c>
      <c r="AB1768" s="202">
        <v>15201000</v>
      </c>
      <c r="AC1768" s="202">
        <v>15201000</v>
      </c>
    </row>
    <row r="1769" spans="1:29" outlineLevel="1" x14ac:dyDescent="0.25">
      <c r="A1769" s="210"/>
      <c r="B1769" s="209"/>
      <c r="C1769" s="209"/>
      <c r="D1769" s="209" t="s">
        <v>54</v>
      </c>
      <c r="E1769" s="211">
        <v>26346670</v>
      </c>
      <c r="F1769" s="209"/>
      <c r="G1769" s="209"/>
      <c r="H1769" s="209"/>
      <c r="I1769" s="209"/>
      <c r="J1769" s="209"/>
      <c r="K1769" s="209" t="s">
        <v>54</v>
      </c>
      <c r="L1769" s="209" t="s">
        <v>54</v>
      </c>
      <c r="M1769" s="209"/>
      <c r="N1769" s="209"/>
      <c r="O1769" s="209"/>
      <c r="P1769" s="210"/>
      <c r="Q1769" s="209"/>
      <c r="R1769" s="212"/>
      <c r="S1769" s="209"/>
      <c r="T1769" s="209"/>
      <c r="U1769" s="209" t="s">
        <v>54</v>
      </c>
      <c r="V1769" s="209"/>
      <c r="W1769" s="209"/>
      <c r="X1769" s="209"/>
      <c r="Y1769" s="209"/>
      <c r="Z1769" s="209"/>
      <c r="AA1769" s="209" t="s">
        <v>54</v>
      </c>
      <c r="AB1769" s="212"/>
      <c r="AC1769" s="212"/>
    </row>
    <row r="1770" spans="1:29" outlineLevel="2" x14ac:dyDescent="0.25">
      <c r="A1770" s="201">
        <v>46021</v>
      </c>
      <c r="D1770" s="198" t="s">
        <v>54</v>
      </c>
      <c r="E1770" s="202">
        <v>18822000</v>
      </c>
      <c r="K1770" s="198" t="s">
        <v>1924</v>
      </c>
      <c r="L1770" s="198" t="s">
        <v>112</v>
      </c>
      <c r="P1770" s="201"/>
      <c r="R1770" s="202">
        <v>18822000</v>
      </c>
      <c r="U1770" s="198" t="s">
        <v>1129</v>
      </c>
      <c r="AA1770" s="198" t="s">
        <v>51</v>
      </c>
      <c r="AB1770" s="202">
        <v>18822000</v>
      </c>
      <c r="AC1770" s="202">
        <v>18822000</v>
      </c>
    </row>
    <row r="1771" spans="1:29" outlineLevel="2" x14ac:dyDescent="0.25">
      <c r="A1771" s="201">
        <v>46021</v>
      </c>
      <c r="D1771" s="198" t="s">
        <v>54</v>
      </c>
      <c r="E1771" s="202">
        <v>3518300</v>
      </c>
      <c r="K1771" s="198" t="s">
        <v>1924</v>
      </c>
      <c r="L1771" s="198" t="s">
        <v>112</v>
      </c>
      <c r="P1771" s="201"/>
      <c r="R1771" s="202">
        <v>3518300</v>
      </c>
      <c r="U1771" s="198" t="s">
        <v>1129</v>
      </c>
      <c r="AA1771" s="198" t="s">
        <v>51</v>
      </c>
      <c r="AB1771" s="202">
        <v>3518300</v>
      </c>
      <c r="AC1771" s="202">
        <v>3518300</v>
      </c>
    </row>
    <row r="1772" spans="1:29" outlineLevel="2" x14ac:dyDescent="0.25">
      <c r="A1772" s="201">
        <v>46043</v>
      </c>
      <c r="D1772" s="198" t="s">
        <v>54</v>
      </c>
      <c r="E1772" s="202">
        <v>400000</v>
      </c>
      <c r="K1772" s="198" t="s">
        <v>1924</v>
      </c>
      <c r="L1772" s="198" t="s">
        <v>112</v>
      </c>
      <c r="P1772" s="201"/>
      <c r="R1772" s="202">
        <v>400000</v>
      </c>
      <c r="U1772" s="198" t="s">
        <v>1129</v>
      </c>
      <c r="AA1772" s="198" t="s">
        <v>51</v>
      </c>
      <c r="AB1772" s="202">
        <v>400000</v>
      </c>
      <c r="AC1772" s="202">
        <v>400000</v>
      </c>
    </row>
    <row r="1773" spans="1:29" outlineLevel="2" x14ac:dyDescent="0.25">
      <c r="A1773" s="201">
        <v>46056</v>
      </c>
      <c r="D1773" s="198" t="s">
        <v>54</v>
      </c>
      <c r="E1773" s="202">
        <v>116750</v>
      </c>
      <c r="K1773" s="198" t="s">
        <v>1924</v>
      </c>
      <c r="L1773" s="198" t="s">
        <v>112</v>
      </c>
      <c r="P1773" s="201"/>
      <c r="R1773" s="202">
        <v>116750</v>
      </c>
      <c r="U1773" s="198" t="s">
        <v>1129</v>
      </c>
      <c r="AA1773" s="198" t="s">
        <v>51</v>
      </c>
      <c r="AB1773" s="202">
        <v>116750</v>
      </c>
      <c r="AC1773" s="202">
        <v>116750</v>
      </c>
    </row>
    <row r="1774" spans="1:29" outlineLevel="2" x14ac:dyDescent="0.25">
      <c r="A1774" s="201">
        <v>46057</v>
      </c>
      <c r="D1774" s="198" t="s">
        <v>54</v>
      </c>
      <c r="E1774" s="202">
        <v>93121</v>
      </c>
      <c r="K1774" s="198" t="s">
        <v>1924</v>
      </c>
      <c r="L1774" s="198" t="s">
        <v>112</v>
      </c>
      <c r="P1774" s="201"/>
      <c r="R1774" s="202">
        <v>93121</v>
      </c>
      <c r="U1774" s="198" t="s">
        <v>1129</v>
      </c>
      <c r="AA1774" s="198" t="s">
        <v>51</v>
      </c>
      <c r="AB1774" s="202">
        <v>93121</v>
      </c>
      <c r="AC1774" s="202">
        <v>93121</v>
      </c>
    </row>
    <row r="1775" spans="1:29" outlineLevel="2" x14ac:dyDescent="0.25">
      <c r="A1775" s="201">
        <v>46058</v>
      </c>
      <c r="D1775" s="198" t="s">
        <v>54</v>
      </c>
      <c r="E1775" s="202">
        <v>554362</v>
      </c>
      <c r="K1775" s="198" t="s">
        <v>1924</v>
      </c>
      <c r="L1775" s="198" t="s">
        <v>112</v>
      </c>
      <c r="P1775" s="201"/>
      <c r="R1775" s="202">
        <v>554362</v>
      </c>
      <c r="U1775" s="198" t="s">
        <v>1129</v>
      </c>
      <c r="AA1775" s="198" t="s">
        <v>51</v>
      </c>
      <c r="AB1775" s="202">
        <v>554362</v>
      </c>
      <c r="AC1775" s="202">
        <v>554362</v>
      </c>
    </row>
    <row r="1776" spans="1:29" outlineLevel="2" x14ac:dyDescent="0.25">
      <c r="A1776" s="201">
        <v>46058</v>
      </c>
      <c r="D1776" s="198" t="s">
        <v>54</v>
      </c>
      <c r="E1776" s="202">
        <v>3</v>
      </c>
      <c r="K1776" s="198" t="s">
        <v>1924</v>
      </c>
      <c r="L1776" s="198" t="s">
        <v>112</v>
      </c>
      <c r="P1776" s="201"/>
      <c r="R1776" s="202">
        <v>3</v>
      </c>
      <c r="U1776" s="198" t="s">
        <v>1129</v>
      </c>
      <c r="AA1776" s="198" t="s">
        <v>51</v>
      </c>
      <c r="AB1776" s="202">
        <v>3</v>
      </c>
      <c r="AC1776" s="202">
        <v>3</v>
      </c>
    </row>
    <row r="1777" spans="1:29" outlineLevel="2" x14ac:dyDescent="0.25">
      <c r="A1777" s="201">
        <v>46113</v>
      </c>
      <c r="D1777" s="198" t="s">
        <v>54</v>
      </c>
      <c r="E1777" s="202">
        <v>-1429836</v>
      </c>
      <c r="K1777" s="198" t="s">
        <v>1924</v>
      </c>
      <c r="L1777" s="198" t="s">
        <v>112</v>
      </c>
      <c r="P1777" s="201"/>
      <c r="R1777" s="202">
        <v>-1429836</v>
      </c>
      <c r="U1777" s="198" t="s">
        <v>1129</v>
      </c>
      <c r="AA1777" s="198" t="s">
        <v>51</v>
      </c>
      <c r="AB1777" s="202">
        <v>-1429836</v>
      </c>
      <c r="AC1777" s="202">
        <v>-1429836</v>
      </c>
    </row>
    <row r="1778" spans="1:29" outlineLevel="2" x14ac:dyDescent="0.25">
      <c r="A1778" s="201">
        <v>46155</v>
      </c>
      <c r="D1778" s="198" t="s">
        <v>54</v>
      </c>
      <c r="E1778" s="202">
        <v>3668986.9</v>
      </c>
      <c r="K1778" s="198" t="s">
        <v>1924</v>
      </c>
      <c r="L1778" s="198" t="s">
        <v>112</v>
      </c>
      <c r="P1778" s="201"/>
      <c r="R1778" s="202">
        <v>3668986.9</v>
      </c>
      <c r="U1778" s="198" t="s">
        <v>1129</v>
      </c>
      <c r="AA1778" s="198" t="s">
        <v>51</v>
      </c>
      <c r="AB1778" s="202">
        <v>3668986.9</v>
      </c>
      <c r="AC1778" s="202">
        <v>3668986.9</v>
      </c>
    </row>
    <row r="1779" spans="1:29" outlineLevel="2" x14ac:dyDescent="0.25">
      <c r="A1779" s="201">
        <v>46155</v>
      </c>
      <c r="D1779" s="198" t="s">
        <v>54</v>
      </c>
      <c r="E1779" s="202">
        <v>2332450.06</v>
      </c>
      <c r="K1779" s="198" t="s">
        <v>1924</v>
      </c>
      <c r="L1779" s="198" t="s">
        <v>112</v>
      </c>
      <c r="P1779" s="201"/>
      <c r="R1779" s="202">
        <v>2332450.06</v>
      </c>
      <c r="U1779" s="198" t="s">
        <v>1129</v>
      </c>
      <c r="AA1779" s="198" t="s">
        <v>51</v>
      </c>
      <c r="AB1779" s="202">
        <v>2332450.06</v>
      </c>
      <c r="AC1779" s="202">
        <v>2332450.06</v>
      </c>
    </row>
    <row r="1780" spans="1:29" outlineLevel="1" x14ac:dyDescent="0.25">
      <c r="A1780" s="210"/>
      <c r="B1780" s="209"/>
      <c r="C1780" s="209"/>
      <c r="D1780" s="209" t="s">
        <v>54</v>
      </c>
      <c r="E1780" s="211">
        <v>28076136.960000001</v>
      </c>
      <c r="F1780" s="209"/>
      <c r="G1780" s="209"/>
      <c r="H1780" s="209"/>
      <c r="I1780" s="209"/>
      <c r="J1780" s="209"/>
      <c r="K1780" s="209" t="s">
        <v>54</v>
      </c>
      <c r="L1780" s="209" t="s">
        <v>54</v>
      </c>
      <c r="M1780" s="209"/>
      <c r="N1780" s="209"/>
      <c r="O1780" s="209"/>
      <c r="P1780" s="210"/>
      <c r="Q1780" s="209"/>
      <c r="R1780" s="212"/>
      <c r="S1780" s="209"/>
      <c r="T1780" s="209"/>
      <c r="U1780" s="209" t="s">
        <v>54</v>
      </c>
      <c r="V1780" s="209"/>
      <c r="W1780" s="209"/>
      <c r="X1780" s="209"/>
      <c r="Y1780" s="209"/>
      <c r="Z1780" s="209"/>
      <c r="AA1780" s="209" t="s">
        <v>54</v>
      </c>
      <c r="AB1780" s="212"/>
      <c r="AC1780" s="212"/>
    </row>
    <row r="1781" spans="1:29" outlineLevel="2" x14ac:dyDescent="0.25">
      <c r="A1781" s="201">
        <v>46021</v>
      </c>
      <c r="D1781" s="198" t="s">
        <v>54</v>
      </c>
      <c r="E1781" s="202">
        <v>18822000</v>
      </c>
      <c r="K1781" s="198" t="s">
        <v>1925</v>
      </c>
      <c r="L1781" s="198" t="s">
        <v>112</v>
      </c>
      <c r="P1781" s="201"/>
      <c r="R1781" s="202">
        <v>18822000</v>
      </c>
      <c r="U1781" s="198" t="s">
        <v>223</v>
      </c>
      <c r="AA1781" s="198" t="s">
        <v>51</v>
      </c>
      <c r="AB1781" s="202">
        <v>18822000</v>
      </c>
      <c r="AC1781" s="202">
        <v>18822000</v>
      </c>
    </row>
    <row r="1782" spans="1:29" outlineLevel="2" x14ac:dyDescent="0.25">
      <c r="A1782" s="201">
        <v>46021</v>
      </c>
      <c r="D1782" s="198" t="s">
        <v>54</v>
      </c>
      <c r="E1782" s="202">
        <v>-1375200</v>
      </c>
      <c r="K1782" s="198" t="s">
        <v>1925</v>
      </c>
      <c r="L1782" s="198" t="s">
        <v>112</v>
      </c>
      <c r="P1782" s="201"/>
      <c r="R1782" s="202">
        <v>-1375200</v>
      </c>
      <c r="U1782" s="198" t="s">
        <v>223</v>
      </c>
      <c r="AA1782" s="198" t="s">
        <v>51</v>
      </c>
      <c r="AB1782" s="202">
        <v>-1375200</v>
      </c>
      <c r="AC1782" s="202">
        <v>-1375200</v>
      </c>
    </row>
    <row r="1783" spans="1:29" outlineLevel="2" x14ac:dyDescent="0.25">
      <c r="A1783" s="201">
        <v>46043</v>
      </c>
      <c r="D1783" s="198" t="s">
        <v>54</v>
      </c>
      <c r="E1783" s="202">
        <v>400000</v>
      </c>
      <c r="K1783" s="198" t="s">
        <v>1925</v>
      </c>
      <c r="L1783" s="198" t="s">
        <v>112</v>
      </c>
      <c r="P1783" s="201"/>
      <c r="R1783" s="202">
        <v>400000</v>
      </c>
      <c r="U1783" s="198" t="s">
        <v>223</v>
      </c>
      <c r="AA1783" s="198" t="s">
        <v>51</v>
      </c>
      <c r="AB1783" s="202">
        <v>400000</v>
      </c>
      <c r="AC1783" s="202">
        <v>400000</v>
      </c>
    </row>
    <row r="1784" spans="1:29" outlineLevel="2" x14ac:dyDescent="0.25">
      <c r="A1784" s="201">
        <v>46058</v>
      </c>
      <c r="D1784" s="198" t="s">
        <v>54</v>
      </c>
      <c r="E1784" s="202">
        <v>554362</v>
      </c>
      <c r="K1784" s="198" t="s">
        <v>1925</v>
      </c>
      <c r="L1784" s="198" t="s">
        <v>112</v>
      </c>
      <c r="P1784" s="201"/>
      <c r="R1784" s="202">
        <v>554362</v>
      </c>
      <c r="U1784" s="198" t="s">
        <v>223</v>
      </c>
      <c r="AA1784" s="198" t="s">
        <v>51</v>
      </c>
      <c r="AB1784" s="202">
        <v>554362</v>
      </c>
      <c r="AC1784" s="202">
        <v>554362</v>
      </c>
    </row>
    <row r="1785" spans="1:29" outlineLevel="2" x14ac:dyDescent="0.25">
      <c r="A1785" s="201">
        <v>46058</v>
      </c>
      <c r="D1785" s="198" t="s">
        <v>54</v>
      </c>
      <c r="E1785" s="202">
        <v>3</v>
      </c>
      <c r="K1785" s="198" t="s">
        <v>1925</v>
      </c>
      <c r="L1785" s="198" t="s">
        <v>112</v>
      </c>
      <c r="P1785" s="201"/>
      <c r="R1785" s="202">
        <v>3</v>
      </c>
      <c r="U1785" s="198" t="s">
        <v>223</v>
      </c>
      <c r="AA1785" s="198" t="s">
        <v>51</v>
      </c>
      <c r="AB1785" s="202">
        <v>3</v>
      </c>
      <c r="AC1785" s="202">
        <v>3</v>
      </c>
    </row>
    <row r="1786" spans="1:29" outlineLevel="2" x14ac:dyDescent="0.25">
      <c r="A1786" s="201">
        <v>46113</v>
      </c>
      <c r="D1786" s="198" t="s">
        <v>54</v>
      </c>
      <c r="E1786" s="202">
        <v>-1308965</v>
      </c>
      <c r="K1786" s="198" t="s">
        <v>1925</v>
      </c>
      <c r="L1786" s="198" t="s">
        <v>112</v>
      </c>
      <c r="P1786" s="201"/>
      <c r="R1786" s="202">
        <v>-1308965</v>
      </c>
      <c r="U1786" s="198" t="s">
        <v>223</v>
      </c>
      <c r="AA1786" s="198" t="s">
        <v>51</v>
      </c>
      <c r="AB1786" s="202">
        <v>-1308965</v>
      </c>
      <c r="AC1786" s="202">
        <v>-1308965</v>
      </c>
    </row>
    <row r="1787" spans="1:29" outlineLevel="1" x14ac:dyDescent="0.25">
      <c r="A1787" s="210"/>
      <c r="B1787" s="209"/>
      <c r="C1787" s="209"/>
      <c r="D1787" s="209" t="s">
        <v>54</v>
      </c>
      <c r="E1787" s="211">
        <v>17092200</v>
      </c>
      <c r="F1787" s="209"/>
      <c r="G1787" s="209"/>
      <c r="H1787" s="209"/>
      <c r="I1787" s="209"/>
      <c r="J1787" s="209"/>
      <c r="K1787" s="209" t="s">
        <v>54</v>
      </c>
      <c r="L1787" s="209" t="s">
        <v>54</v>
      </c>
      <c r="M1787" s="209"/>
      <c r="N1787" s="209"/>
      <c r="O1787" s="209"/>
      <c r="P1787" s="210"/>
      <c r="Q1787" s="209"/>
      <c r="R1787" s="212"/>
      <c r="S1787" s="209"/>
      <c r="T1787" s="209"/>
      <c r="U1787" s="209" t="s">
        <v>54</v>
      </c>
      <c r="V1787" s="209"/>
      <c r="W1787" s="209"/>
      <c r="X1787" s="209"/>
      <c r="Y1787" s="209"/>
      <c r="Z1787" s="209"/>
      <c r="AA1787" s="209" t="s">
        <v>54</v>
      </c>
      <c r="AB1787" s="212"/>
      <c r="AC1787" s="212"/>
    </row>
    <row r="1788" spans="1:29" outlineLevel="2" x14ac:dyDescent="0.25">
      <c r="A1788" s="201">
        <v>46021</v>
      </c>
      <c r="D1788" s="198" t="s">
        <v>54</v>
      </c>
      <c r="E1788" s="202">
        <v>4893500</v>
      </c>
      <c r="K1788" s="198" t="s">
        <v>1926</v>
      </c>
      <c r="L1788" s="198" t="s">
        <v>112</v>
      </c>
      <c r="P1788" s="201"/>
      <c r="R1788" s="202">
        <v>4893500</v>
      </c>
      <c r="U1788" s="198" t="s">
        <v>668</v>
      </c>
      <c r="AA1788" s="198" t="s">
        <v>51</v>
      </c>
      <c r="AB1788" s="202">
        <v>4893500</v>
      </c>
      <c r="AC1788" s="202">
        <v>4893500</v>
      </c>
    </row>
    <row r="1789" spans="1:29" outlineLevel="2" x14ac:dyDescent="0.25">
      <c r="A1789" s="201">
        <v>46056</v>
      </c>
      <c r="D1789" s="198" t="s">
        <v>54</v>
      </c>
      <c r="E1789" s="202">
        <v>116750</v>
      </c>
      <c r="K1789" s="198" t="s">
        <v>1926</v>
      </c>
      <c r="L1789" s="198" t="s">
        <v>112</v>
      </c>
      <c r="P1789" s="201"/>
      <c r="R1789" s="202">
        <v>116750</v>
      </c>
      <c r="U1789" s="198" t="s">
        <v>668</v>
      </c>
      <c r="AA1789" s="198" t="s">
        <v>51</v>
      </c>
      <c r="AB1789" s="202">
        <v>116750</v>
      </c>
      <c r="AC1789" s="202">
        <v>116750</v>
      </c>
    </row>
    <row r="1790" spans="1:29" outlineLevel="2" x14ac:dyDescent="0.25">
      <c r="A1790" s="201">
        <v>46057</v>
      </c>
      <c r="D1790" s="198" t="s">
        <v>54</v>
      </c>
      <c r="E1790" s="202">
        <v>93121</v>
      </c>
      <c r="K1790" s="198" t="s">
        <v>1926</v>
      </c>
      <c r="L1790" s="198" t="s">
        <v>112</v>
      </c>
      <c r="P1790" s="201"/>
      <c r="R1790" s="202">
        <v>93121</v>
      </c>
      <c r="U1790" s="198" t="s">
        <v>668</v>
      </c>
      <c r="AA1790" s="198" t="s">
        <v>51</v>
      </c>
      <c r="AB1790" s="202">
        <v>93121</v>
      </c>
      <c r="AC1790" s="202">
        <v>93121</v>
      </c>
    </row>
    <row r="1791" spans="1:29" outlineLevel="2" x14ac:dyDescent="0.25">
      <c r="A1791" s="201">
        <v>46113</v>
      </c>
      <c r="D1791" s="198" t="s">
        <v>54</v>
      </c>
      <c r="E1791" s="202">
        <v>-120871</v>
      </c>
      <c r="K1791" s="198" t="s">
        <v>1926</v>
      </c>
      <c r="L1791" s="198" t="s">
        <v>112</v>
      </c>
      <c r="P1791" s="201"/>
      <c r="R1791" s="202">
        <v>-120871</v>
      </c>
      <c r="U1791" s="198" t="s">
        <v>668</v>
      </c>
      <c r="AA1791" s="198" t="s">
        <v>51</v>
      </c>
      <c r="AB1791" s="202">
        <v>-120871</v>
      </c>
      <c r="AC1791" s="202">
        <v>-120871</v>
      </c>
    </row>
    <row r="1792" spans="1:29" outlineLevel="2" x14ac:dyDescent="0.25">
      <c r="A1792" s="201">
        <v>46155</v>
      </c>
      <c r="D1792" s="198" t="s">
        <v>54</v>
      </c>
      <c r="E1792" s="202">
        <v>3668986.9</v>
      </c>
      <c r="K1792" s="198" t="s">
        <v>1926</v>
      </c>
      <c r="L1792" s="198" t="s">
        <v>112</v>
      </c>
      <c r="P1792" s="201"/>
      <c r="R1792" s="202">
        <v>3668986.9</v>
      </c>
      <c r="U1792" s="198" t="s">
        <v>668</v>
      </c>
      <c r="AA1792" s="198" t="s">
        <v>51</v>
      </c>
      <c r="AB1792" s="202">
        <v>3668986.9</v>
      </c>
      <c r="AC1792" s="202">
        <v>3668986.9</v>
      </c>
    </row>
    <row r="1793" spans="1:29" outlineLevel="2" x14ac:dyDescent="0.25">
      <c r="A1793" s="201">
        <v>46155</v>
      </c>
      <c r="D1793" s="198" t="s">
        <v>54</v>
      </c>
      <c r="E1793" s="202">
        <v>2332450.06</v>
      </c>
      <c r="K1793" s="198" t="s">
        <v>1926</v>
      </c>
      <c r="L1793" s="198" t="s">
        <v>112</v>
      </c>
      <c r="P1793" s="201"/>
      <c r="R1793" s="202">
        <v>2332450.06</v>
      </c>
      <c r="U1793" s="198" t="s">
        <v>668</v>
      </c>
      <c r="AA1793" s="198" t="s">
        <v>51</v>
      </c>
      <c r="AB1793" s="202">
        <v>2332450.06</v>
      </c>
      <c r="AC1793" s="202">
        <v>2332450.06</v>
      </c>
    </row>
    <row r="1794" spans="1:29" outlineLevel="1" x14ac:dyDescent="0.25">
      <c r="A1794" s="210"/>
      <c r="B1794" s="209"/>
      <c r="C1794" s="209"/>
      <c r="D1794" s="209" t="s">
        <v>54</v>
      </c>
      <c r="E1794" s="211">
        <v>10983936.960000001</v>
      </c>
      <c r="F1794" s="209"/>
      <c r="G1794" s="209"/>
      <c r="H1794" s="209"/>
      <c r="I1794" s="209"/>
      <c r="J1794" s="209"/>
      <c r="K1794" s="209" t="s">
        <v>54</v>
      </c>
      <c r="L1794" s="209" t="s">
        <v>54</v>
      </c>
      <c r="M1794" s="209"/>
      <c r="N1794" s="209"/>
      <c r="O1794" s="209"/>
      <c r="P1794" s="210"/>
      <c r="Q1794" s="209"/>
      <c r="R1794" s="212"/>
      <c r="S1794" s="209"/>
      <c r="T1794" s="209"/>
      <c r="U1794" s="209" t="s">
        <v>54</v>
      </c>
      <c r="V1794" s="209"/>
      <c r="W1794" s="209"/>
      <c r="X1794" s="209"/>
      <c r="Y1794" s="209"/>
      <c r="Z1794" s="209"/>
      <c r="AA1794" s="209" t="s">
        <v>54</v>
      </c>
      <c r="AB1794" s="212"/>
      <c r="AC1794" s="212"/>
    </row>
    <row r="1795" spans="1:29" outlineLevel="2" x14ac:dyDescent="0.25">
      <c r="A1795" s="201">
        <v>46021</v>
      </c>
      <c r="D1795" s="198" t="s">
        <v>54</v>
      </c>
      <c r="E1795" s="202">
        <v>4799000</v>
      </c>
      <c r="K1795" s="198" t="s">
        <v>1927</v>
      </c>
      <c r="L1795" s="198" t="s">
        <v>112</v>
      </c>
      <c r="P1795" s="201"/>
      <c r="R1795" s="202">
        <v>4799000</v>
      </c>
      <c r="U1795" s="198" t="s">
        <v>1130</v>
      </c>
      <c r="AA1795" s="198" t="s">
        <v>51</v>
      </c>
      <c r="AB1795" s="202">
        <v>4799000</v>
      </c>
      <c r="AC1795" s="202">
        <v>4799000</v>
      </c>
    </row>
    <row r="1796" spans="1:29" outlineLevel="2" x14ac:dyDescent="0.25">
      <c r="A1796" s="201">
        <v>46021</v>
      </c>
      <c r="D1796" s="198" t="s">
        <v>54</v>
      </c>
      <c r="E1796" s="202">
        <v>-100</v>
      </c>
      <c r="K1796" s="198" t="s">
        <v>1927</v>
      </c>
      <c r="L1796" s="198" t="s">
        <v>112</v>
      </c>
      <c r="P1796" s="201"/>
      <c r="R1796" s="202">
        <v>-100</v>
      </c>
      <c r="U1796" s="198" t="s">
        <v>1130</v>
      </c>
      <c r="AA1796" s="198" t="s">
        <v>51</v>
      </c>
      <c r="AB1796" s="202">
        <v>-100</v>
      </c>
      <c r="AC1796" s="202">
        <v>-100</v>
      </c>
    </row>
    <row r="1797" spans="1:29" outlineLevel="1" x14ac:dyDescent="0.25">
      <c r="A1797" s="210"/>
      <c r="B1797" s="209"/>
      <c r="C1797" s="209"/>
      <c r="D1797" s="209" t="s">
        <v>54</v>
      </c>
      <c r="E1797" s="211">
        <v>4798900</v>
      </c>
      <c r="F1797" s="209"/>
      <c r="G1797" s="209"/>
      <c r="H1797" s="209"/>
      <c r="I1797" s="209"/>
      <c r="J1797" s="209"/>
      <c r="K1797" s="209" t="s">
        <v>54</v>
      </c>
      <c r="L1797" s="209" t="s">
        <v>54</v>
      </c>
      <c r="M1797" s="209"/>
      <c r="N1797" s="209"/>
      <c r="O1797" s="209"/>
      <c r="P1797" s="210"/>
      <c r="Q1797" s="209"/>
      <c r="R1797" s="212"/>
      <c r="S1797" s="209"/>
      <c r="T1797" s="209"/>
      <c r="U1797" s="209" t="s">
        <v>54</v>
      </c>
      <c r="V1797" s="209"/>
      <c r="W1797" s="209"/>
      <c r="X1797" s="209"/>
      <c r="Y1797" s="209"/>
      <c r="Z1797" s="209"/>
      <c r="AA1797" s="209" t="s">
        <v>54</v>
      </c>
      <c r="AB1797" s="212"/>
      <c r="AC1797" s="212"/>
    </row>
    <row r="1798" spans="1:29" outlineLevel="2" x14ac:dyDescent="0.25">
      <c r="A1798" s="201">
        <v>46021</v>
      </c>
      <c r="D1798" s="198" t="s">
        <v>54</v>
      </c>
      <c r="E1798" s="202">
        <v>4799000</v>
      </c>
      <c r="K1798" s="198" t="s">
        <v>1928</v>
      </c>
      <c r="L1798" s="198" t="s">
        <v>112</v>
      </c>
      <c r="P1798" s="201"/>
      <c r="R1798" s="202">
        <v>4799000</v>
      </c>
      <c r="U1798" s="198" t="s">
        <v>209</v>
      </c>
      <c r="AA1798" s="198" t="s">
        <v>51</v>
      </c>
      <c r="AB1798" s="202">
        <v>4799000</v>
      </c>
      <c r="AC1798" s="202">
        <v>4799000</v>
      </c>
    </row>
    <row r="1799" spans="1:29" outlineLevel="2" x14ac:dyDescent="0.25">
      <c r="A1799" s="201">
        <v>46021</v>
      </c>
      <c r="D1799" s="198" t="s">
        <v>54</v>
      </c>
      <c r="E1799" s="202">
        <v>-100</v>
      </c>
      <c r="K1799" s="198" t="s">
        <v>1928</v>
      </c>
      <c r="L1799" s="198" t="s">
        <v>112</v>
      </c>
      <c r="P1799" s="201"/>
      <c r="R1799" s="202">
        <v>-100</v>
      </c>
      <c r="U1799" s="198" t="s">
        <v>209</v>
      </c>
      <c r="AA1799" s="198" t="s">
        <v>51</v>
      </c>
      <c r="AB1799" s="202">
        <v>-100</v>
      </c>
      <c r="AC1799" s="202">
        <v>-100</v>
      </c>
    </row>
    <row r="1800" spans="1:29" outlineLevel="1" x14ac:dyDescent="0.25">
      <c r="A1800" s="210"/>
      <c r="B1800" s="209"/>
      <c r="C1800" s="209"/>
      <c r="D1800" s="209" t="s">
        <v>54</v>
      </c>
      <c r="E1800" s="211">
        <v>4798900</v>
      </c>
      <c r="F1800" s="209"/>
      <c r="G1800" s="209"/>
      <c r="H1800" s="209"/>
      <c r="I1800" s="209"/>
      <c r="J1800" s="209"/>
      <c r="K1800" s="209" t="s">
        <v>54</v>
      </c>
      <c r="L1800" s="209" t="s">
        <v>54</v>
      </c>
      <c r="M1800" s="209"/>
      <c r="N1800" s="209"/>
      <c r="O1800" s="209"/>
      <c r="P1800" s="210"/>
      <c r="Q1800" s="209"/>
      <c r="R1800" s="212"/>
      <c r="S1800" s="209"/>
      <c r="T1800" s="209"/>
      <c r="U1800" s="209" t="s">
        <v>54</v>
      </c>
      <c r="V1800" s="209"/>
      <c r="W1800" s="209"/>
      <c r="X1800" s="209"/>
      <c r="Y1800" s="209"/>
      <c r="Z1800" s="209"/>
      <c r="AA1800" s="209" t="s">
        <v>54</v>
      </c>
      <c r="AB1800" s="212"/>
      <c r="AC1800" s="212"/>
    </row>
    <row r="1801" spans="1:29" outlineLevel="2" x14ac:dyDescent="0.25">
      <c r="A1801" s="201">
        <v>46021</v>
      </c>
      <c r="D1801" s="198" t="s">
        <v>54</v>
      </c>
      <c r="E1801" s="202">
        <v>21578000</v>
      </c>
      <c r="K1801" s="198" t="s">
        <v>1929</v>
      </c>
      <c r="L1801" s="198" t="s">
        <v>112</v>
      </c>
      <c r="P1801" s="201"/>
      <c r="R1801" s="202">
        <v>21578000</v>
      </c>
      <c r="U1801" s="198" t="s">
        <v>211</v>
      </c>
      <c r="AA1801" s="198" t="s">
        <v>51</v>
      </c>
      <c r="AB1801" s="202">
        <v>21578000</v>
      </c>
      <c r="AC1801" s="202">
        <v>21578000</v>
      </c>
    </row>
    <row r="1802" spans="1:29" outlineLevel="2" x14ac:dyDescent="0.25">
      <c r="A1802" s="201">
        <v>46021</v>
      </c>
      <c r="D1802" s="198" t="s">
        <v>54</v>
      </c>
      <c r="E1802" s="202">
        <v>-400</v>
      </c>
      <c r="K1802" s="198" t="s">
        <v>1929</v>
      </c>
      <c r="L1802" s="198" t="s">
        <v>112</v>
      </c>
      <c r="P1802" s="201"/>
      <c r="R1802" s="202">
        <v>-400</v>
      </c>
      <c r="U1802" s="198" t="s">
        <v>211</v>
      </c>
      <c r="AA1802" s="198" t="s">
        <v>51</v>
      </c>
      <c r="AB1802" s="202">
        <v>-400</v>
      </c>
      <c r="AC1802" s="202">
        <v>-400</v>
      </c>
    </row>
    <row r="1803" spans="1:29" outlineLevel="2" x14ac:dyDescent="0.25">
      <c r="A1803" s="201">
        <v>46023</v>
      </c>
      <c r="D1803" s="198" t="s">
        <v>54</v>
      </c>
      <c r="E1803" s="202">
        <v>8229100</v>
      </c>
      <c r="K1803" s="198" t="s">
        <v>1929</v>
      </c>
      <c r="L1803" s="198" t="s">
        <v>112</v>
      </c>
      <c r="P1803" s="201"/>
      <c r="R1803" s="202">
        <v>8229100</v>
      </c>
      <c r="U1803" s="198" t="s">
        <v>211</v>
      </c>
      <c r="AA1803" s="198" t="s">
        <v>51</v>
      </c>
      <c r="AB1803" s="202">
        <v>8229100</v>
      </c>
      <c r="AC1803" s="202">
        <v>8229100</v>
      </c>
    </row>
    <row r="1804" spans="1:29" outlineLevel="1" x14ac:dyDescent="0.25">
      <c r="A1804" s="210"/>
      <c r="B1804" s="209"/>
      <c r="C1804" s="209"/>
      <c r="D1804" s="209" t="s">
        <v>54</v>
      </c>
      <c r="E1804" s="211">
        <v>29806700</v>
      </c>
      <c r="F1804" s="209"/>
      <c r="G1804" s="209"/>
      <c r="H1804" s="209"/>
      <c r="I1804" s="209"/>
      <c r="J1804" s="209"/>
      <c r="K1804" s="209" t="s">
        <v>54</v>
      </c>
      <c r="L1804" s="209" t="s">
        <v>54</v>
      </c>
      <c r="M1804" s="209"/>
      <c r="N1804" s="209"/>
      <c r="O1804" s="209"/>
      <c r="P1804" s="210"/>
      <c r="Q1804" s="209"/>
      <c r="R1804" s="212"/>
      <c r="S1804" s="209"/>
      <c r="T1804" s="209"/>
      <c r="U1804" s="209" t="s">
        <v>54</v>
      </c>
      <c r="V1804" s="209"/>
      <c r="W1804" s="209"/>
      <c r="X1804" s="209"/>
      <c r="Y1804" s="209"/>
      <c r="Z1804" s="209"/>
      <c r="AA1804" s="209" t="s">
        <v>54</v>
      </c>
      <c r="AB1804" s="212"/>
      <c r="AC1804" s="212"/>
    </row>
    <row r="1805" spans="1:29" outlineLevel="2" x14ac:dyDescent="0.25">
      <c r="A1805" s="201">
        <v>46021</v>
      </c>
      <c r="D1805" s="198" t="s">
        <v>54</v>
      </c>
      <c r="E1805" s="202">
        <v>10535000</v>
      </c>
      <c r="K1805" s="198" t="s">
        <v>1930</v>
      </c>
      <c r="L1805" s="198" t="s">
        <v>112</v>
      </c>
      <c r="P1805" s="201"/>
      <c r="R1805" s="202">
        <v>10535000</v>
      </c>
      <c r="U1805" s="198" t="s">
        <v>748</v>
      </c>
      <c r="AA1805" s="198" t="s">
        <v>51</v>
      </c>
      <c r="AB1805" s="202">
        <v>10535000</v>
      </c>
      <c r="AC1805" s="202">
        <v>10535000</v>
      </c>
    </row>
    <row r="1806" spans="1:29" outlineLevel="2" x14ac:dyDescent="0.25">
      <c r="A1806" s="201">
        <v>46021</v>
      </c>
      <c r="D1806" s="198" t="s">
        <v>54</v>
      </c>
      <c r="E1806" s="202">
        <v>-800</v>
      </c>
      <c r="K1806" s="198" t="s">
        <v>1930</v>
      </c>
      <c r="L1806" s="198" t="s">
        <v>112</v>
      </c>
      <c r="P1806" s="201"/>
      <c r="R1806" s="202">
        <v>-800</v>
      </c>
      <c r="U1806" s="198" t="s">
        <v>748</v>
      </c>
      <c r="AA1806" s="198" t="s">
        <v>51</v>
      </c>
      <c r="AB1806" s="202">
        <v>-800</v>
      </c>
      <c r="AC1806" s="202">
        <v>-800</v>
      </c>
    </row>
    <row r="1807" spans="1:29" outlineLevel="2" x14ac:dyDescent="0.25">
      <c r="A1807" s="201">
        <v>46051</v>
      </c>
      <c r="D1807" s="198" t="s">
        <v>54</v>
      </c>
      <c r="E1807" s="202">
        <v>8700000</v>
      </c>
      <c r="K1807" s="198" t="s">
        <v>1930</v>
      </c>
      <c r="L1807" s="198" t="s">
        <v>112</v>
      </c>
      <c r="P1807" s="201"/>
      <c r="R1807" s="202">
        <v>8700000</v>
      </c>
      <c r="U1807" s="198" t="s">
        <v>748</v>
      </c>
      <c r="AA1807" s="198" t="s">
        <v>51</v>
      </c>
      <c r="AB1807" s="202">
        <v>8700000</v>
      </c>
      <c r="AC1807" s="202">
        <v>8700000</v>
      </c>
    </row>
    <row r="1808" spans="1:29" outlineLevel="2" x14ac:dyDescent="0.25">
      <c r="A1808" s="201">
        <v>46052</v>
      </c>
      <c r="D1808" s="198" t="s">
        <v>54</v>
      </c>
      <c r="E1808" s="202">
        <v>407542</v>
      </c>
      <c r="K1808" s="198" t="s">
        <v>1930</v>
      </c>
      <c r="L1808" s="198" t="s">
        <v>112</v>
      </c>
      <c r="P1808" s="201"/>
      <c r="R1808" s="202">
        <v>407542</v>
      </c>
      <c r="U1808" s="198" t="s">
        <v>748</v>
      </c>
      <c r="AA1808" s="198" t="s">
        <v>51</v>
      </c>
      <c r="AB1808" s="202">
        <v>407542</v>
      </c>
      <c r="AC1808" s="202">
        <v>407542</v>
      </c>
    </row>
    <row r="1809" spans="1:29" outlineLevel="1" x14ac:dyDescent="0.25">
      <c r="A1809" s="210"/>
      <c r="B1809" s="209"/>
      <c r="C1809" s="209"/>
      <c r="D1809" s="209" t="s">
        <v>54</v>
      </c>
      <c r="E1809" s="211">
        <v>19641742</v>
      </c>
      <c r="F1809" s="209"/>
      <c r="G1809" s="209"/>
      <c r="H1809" s="209"/>
      <c r="I1809" s="209"/>
      <c r="J1809" s="209"/>
      <c r="K1809" s="209" t="s">
        <v>54</v>
      </c>
      <c r="L1809" s="209" t="s">
        <v>54</v>
      </c>
      <c r="M1809" s="209"/>
      <c r="N1809" s="209"/>
      <c r="O1809" s="209"/>
      <c r="P1809" s="210"/>
      <c r="Q1809" s="209"/>
      <c r="R1809" s="212"/>
      <c r="S1809" s="209"/>
      <c r="T1809" s="209"/>
      <c r="U1809" s="209" t="s">
        <v>54</v>
      </c>
      <c r="V1809" s="209"/>
      <c r="W1809" s="209"/>
      <c r="X1809" s="209"/>
      <c r="Y1809" s="209"/>
      <c r="Z1809" s="209"/>
      <c r="AA1809" s="209" t="s">
        <v>54</v>
      </c>
      <c r="AB1809" s="212"/>
      <c r="AC1809" s="212"/>
    </row>
    <row r="1810" spans="1:29" outlineLevel="2" x14ac:dyDescent="0.25">
      <c r="A1810" s="201">
        <v>46115</v>
      </c>
      <c r="D1810" s="198" t="s">
        <v>54</v>
      </c>
      <c r="E1810" s="202">
        <v>212232660.71000001</v>
      </c>
      <c r="K1810" s="198" t="s">
        <v>1931</v>
      </c>
      <c r="L1810" s="198" t="s">
        <v>112</v>
      </c>
      <c r="P1810" s="201"/>
      <c r="R1810" s="202">
        <v>212232660.71000001</v>
      </c>
      <c r="U1810" s="198" t="s">
        <v>856</v>
      </c>
      <c r="AA1810" s="198" t="s">
        <v>51</v>
      </c>
      <c r="AB1810" s="202">
        <v>212232660.71000001</v>
      </c>
      <c r="AC1810" s="202">
        <v>212232660.71000001</v>
      </c>
    </row>
    <row r="1811" spans="1:29" outlineLevel="1" x14ac:dyDescent="0.25">
      <c r="A1811" s="210"/>
      <c r="B1811" s="209"/>
      <c r="C1811" s="209"/>
      <c r="D1811" s="209" t="s">
        <v>54</v>
      </c>
      <c r="E1811" s="211">
        <v>212232660.71000001</v>
      </c>
      <c r="F1811" s="209"/>
      <c r="G1811" s="209"/>
      <c r="H1811" s="209"/>
      <c r="I1811" s="209"/>
      <c r="J1811" s="209"/>
      <c r="K1811" s="209" t="s">
        <v>54</v>
      </c>
      <c r="L1811" s="209" t="s">
        <v>54</v>
      </c>
      <c r="M1811" s="209"/>
      <c r="N1811" s="209"/>
      <c r="O1811" s="209"/>
      <c r="P1811" s="210"/>
      <c r="Q1811" s="209"/>
      <c r="R1811" s="212"/>
      <c r="S1811" s="209"/>
      <c r="T1811" s="209"/>
      <c r="U1811" s="209" t="s">
        <v>54</v>
      </c>
      <c r="V1811" s="209"/>
      <c r="W1811" s="209"/>
      <c r="X1811" s="209"/>
      <c r="Y1811" s="209"/>
      <c r="Z1811" s="209"/>
      <c r="AA1811" s="209" t="s">
        <v>54</v>
      </c>
      <c r="AB1811" s="212"/>
      <c r="AC1811" s="212"/>
    </row>
    <row r="1812" spans="1:29" outlineLevel="2" x14ac:dyDescent="0.25">
      <c r="A1812" s="201">
        <v>46021</v>
      </c>
      <c r="D1812" s="198" t="s">
        <v>54</v>
      </c>
      <c r="E1812" s="202">
        <v>272575741.85000002</v>
      </c>
      <c r="K1812" s="198" t="s">
        <v>1932</v>
      </c>
      <c r="L1812" s="198" t="s">
        <v>95</v>
      </c>
      <c r="P1812" s="201"/>
      <c r="R1812" s="202">
        <v>272575741.85000002</v>
      </c>
      <c r="U1812" s="198" t="s">
        <v>95</v>
      </c>
      <c r="AA1812" s="198" t="s">
        <v>51</v>
      </c>
      <c r="AB1812" s="202">
        <v>272575741.85000002</v>
      </c>
      <c r="AC1812" s="202">
        <v>272575741.85000002</v>
      </c>
    </row>
    <row r="1813" spans="1:29" outlineLevel="2" x14ac:dyDescent="0.25">
      <c r="A1813" s="201">
        <v>46021</v>
      </c>
      <c r="D1813" s="198" t="s">
        <v>54</v>
      </c>
      <c r="E1813" s="202">
        <v>70506183.390000001</v>
      </c>
      <c r="K1813" s="198" t="s">
        <v>1932</v>
      </c>
      <c r="L1813" s="198" t="s">
        <v>95</v>
      </c>
      <c r="P1813" s="201"/>
      <c r="R1813" s="202">
        <v>70506183.390000001</v>
      </c>
      <c r="U1813" s="198" t="s">
        <v>95</v>
      </c>
      <c r="AA1813" s="198" t="s">
        <v>51</v>
      </c>
      <c r="AB1813" s="202">
        <v>70506183.390000001</v>
      </c>
      <c r="AC1813" s="202">
        <v>70506183.390000001</v>
      </c>
    </row>
    <row r="1814" spans="1:29" outlineLevel="2" x14ac:dyDescent="0.25">
      <c r="A1814" s="201">
        <v>46021</v>
      </c>
      <c r="D1814" s="198" t="s">
        <v>54</v>
      </c>
      <c r="E1814" s="202">
        <v>36712958.149999999</v>
      </c>
      <c r="K1814" s="198" t="s">
        <v>1932</v>
      </c>
      <c r="L1814" s="198" t="s">
        <v>95</v>
      </c>
      <c r="P1814" s="201"/>
      <c r="R1814" s="202">
        <v>36712958.149999999</v>
      </c>
      <c r="U1814" s="198" t="s">
        <v>95</v>
      </c>
      <c r="AA1814" s="198" t="s">
        <v>51</v>
      </c>
      <c r="AB1814" s="202">
        <v>36712958.149999999</v>
      </c>
      <c r="AC1814" s="202">
        <v>36712958.149999999</v>
      </c>
    </row>
    <row r="1815" spans="1:29" outlineLevel="2" x14ac:dyDescent="0.25">
      <c r="A1815" s="201">
        <v>46022</v>
      </c>
      <c r="D1815" s="198" t="s">
        <v>54</v>
      </c>
      <c r="E1815" s="202">
        <v>2430000</v>
      </c>
      <c r="K1815" s="198" t="s">
        <v>1932</v>
      </c>
      <c r="L1815" s="198" t="s">
        <v>95</v>
      </c>
      <c r="P1815" s="201"/>
      <c r="R1815" s="202">
        <v>2430000</v>
      </c>
      <c r="U1815" s="198" t="s">
        <v>95</v>
      </c>
      <c r="AA1815" s="198" t="s">
        <v>51</v>
      </c>
      <c r="AB1815" s="202">
        <v>2430000</v>
      </c>
      <c r="AC1815" s="202">
        <v>2430000</v>
      </c>
    </row>
    <row r="1816" spans="1:29" outlineLevel="2" x14ac:dyDescent="0.25">
      <c r="A1816" s="201">
        <v>46037</v>
      </c>
      <c r="D1816" s="198" t="s">
        <v>54</v>
      </c>
      <c r="E1816" s="202">
        <v>3813540</v>
      </c>
      <c r="K1816" s="198" t="s">
        <v>1932</v>
      </c>
      <c r="L1816" s="198" t="s">
        <v>95</v>
      </c>
      <c r="P1816" s="201"/>
      <c r="R1816" s="202">
        <v>3813540</v>
      </c>
      <c r="U1816" s="198" t="s">
        <v>95</v>
      </c>
      <c r="AA1816" s="198" t="s">
        <v>51</v>
      </c>
      <c r="AB1816" s="202">
        <v>3813540</v>
      </c>
      <c r="AC1816" s="202">
        <v>3813540</v>
      </c>
    </row>
    <row r="1817" spans="1:29" outlineLevel="2" x14ac:dyDescent="0.25">
      <c r="A1817" s="201">
        <v>46056</v>
      </c>
      <c r="D1817" s="198" t="s">
        <v>54</v>
      </c>
      <c r="E1817" s="202">
        <v>1393240</v>
      </c>
      <c r="K1817" s="198" t="s">
        <v>1932</v>
      </c>
      <c r="L1817" s="198" t="s">
        <v>95</v>
      </c>
      <c r="P1817" s="201"/>
      <c r="R1817" s="202">
        <v>1393240</v>
      </c>
      <c r="U1817" s="198" t="s">
        <v>95</v>
      </c>
      <c r="AA1817" s="198" t="s">
        <v>51</v>
      </c>
      <c r="AB1817" s="202">
        <v>1393240</v>
      </c>
      <c r="AC1817" s="202">
        <v>1393240</v>
      </c>
    </row>
    <row r="1818" spans="1:29" outlineLevel="2" x14ac:dyDescent="0.25">
      <c r="A1818" s="201">
        <v>46057</v>
      </c>
      <c r="D1818" s="198" t="s">
        <v>54</v>
      </c>
      <c r="E1818" s="202">
        <v>629566.34</v>
      </c>
      <c r="K1818" s="198" t="s">
        <v>1932</v>
      </c>
      <c r="L1818" s="198" t="s">
        <v>95</v>
      </c>
      <c r="P1818" s="201"/>
      <c r="R1818" s="202">
        <v>629566.34</v>
      </c>
      <c r="U1818" s="198" t="s">
        <v>95</v>
      </c>
      <c r="AA1818" s="198" t="s">
        <v>51</v>
      </c>
      <c r="AB1818" s="202">
        <v>629566.34</v>
      </c>
      <c r="AC1818" s="202">
        <v>629566.34</v>
      </c>
    </row>
    <row r="1819" spans="1:29" outlineLevel="2" x14ac:dyDescent="0.25">
      <c r="A1819" s="201">
        <v>46059</v>
      </c>
      <c r="D1819" s="198" t="s">
        <v>54</v>
      </c>
      <c r="E1819" s="202">
        <v>4443600</v>
      </c>
      <c r="K1819" s="198" t="s">
        <v>1932</v>
      </c>
      <c r="L1819" s="198" t="s">
        <v>95</v>
      </c>
      <c r="P1819" s="201"/>
      <c r="R1819" s="202">
        <v>4443600</v>
      </c>
      <c r="U1819" s="198" t="s">
        <v>95</v>
      </c>
      <c r="AA1819" s="198" t="s">
        <v>51</v>
      </c>
      <c r="AB1819" s="202">
        <v>4443600</v>
      </c>
      <c r="AC1819" s="202">
        <v>4443600</v>
      </c>
    </row>
    <row r="1820" spans="1:29" outlineLevel="2" x14ac:dyDescent="0.25">
      <c r="A1820" s="201">
        <v>46065</v>
      </c>
      <c r="D1820" s="198" t="s">
        <v>54</v>
      </c>
      <c r="E1820" s="202">
        <v>4199998</v>
      </c>
      <c r="K1820" s="198" t="s">
        <v>1932</v>
      </c>
      <c r="L1820" s="198" t="s">
        <v>95</v>
      </c>
      <c r="P1820" s="201"/>
      <c r="R1820" s="202">
        <v>4199998</v>
      </c>
      <c r="U1820" s="198" t="s">
        <v>95</v>
      </c>
      <c r="AA1820" s="198" t="s">
        <v>51</v>
      </c>
      <c r="AB1820" s="202">
        <v>4199998</v>
      </c>
      <c r="AC1820" s="202">
        <v>4199998</v>
      </c>
    </row>
    <row r="1821" spans="1:29" outlineLevel="2" x14ac:dyDescent="0.25">
      <c r="A1821" s="201">
        <v>46071</v>
      </c>
      <c r="D1821" s="198" t="s">
        <v>54</v>
      </c>
      <c r="E1821" s="202">
        <v>1506690.46</v>
      </c>
      <c r="K1821" s="198" t="s">
        <v>1932</v>
      </c>
      <c r="L1821" s="198" t="s">
        <v>95</v>
      </c>
      <c r="P1821" s="201"/>
      <c r="R1821" s="202">
        <v>1506690.46</v>
      </c>
      <c r="U1821" s="198" t="s">
        <v>95</v>
      </c>
      <c r="AA1821" s="198" t="s">
        <v>51</v>
      </c>
      <c r="AB1821" s="202">
        <v>1506690.46</v>
      </c>
      <c r="AC1821" s="202">
        <v>1506690.46</v>
      </c>
    </row>
    <row r="1822" spans="1:29" outlineLevel="2" x14ac:dyDescent="0.25">
      <c r="A1822" s="201">
        <v>46112</v>
      </c>
      <c r="D1822" s="198" t="s">
        <v>54</v>
      </c>
      <c r="E1822" s="202">
        <v>-9919533.5500000007</v>
      </c>
      <c r="K1822" s="198" t="s">
        <v>1932</v>
      </c>
      <c r="L1822" s="198" t="s">
        <v>95</v>
      </c>
      <c r="P1822" s="201"/>
      <c r="R1822" s="202">
        <v>-9919533.5500000007</v>
      </c>
      <c r="U1822" s="198" t="s">
        <v>95</v>
      </c>
      <c r="AA1822" s="198" t="s">
        <v>51</v>
      </c>
      <c r="AB1822" s="202">
        <v>-9919533.5500000007</v>
      </c>
      <c r="AC1822" s="202">
        <v>-9919533.5500000007</v>
      </c>
    </row>
    <row r="1823" spans="1:29" outlineLevel="2" x14ac:dyDescent="0.25">
      <c r="A1823" s="201">
        <v>46117</v>
      </c>
      <c r="D1823" s="198" t="s">
        <v>54</v>
      </c>
      <c r="E1823" s="202">
        <v>75666165</v>
      </c>
      <c r="K1823" s="198" t="s">
        <v>1932</v>
      </c>
      <c r="L1823" s="198" t="s">
        <v>95</v>
      </c>
      <c r="P1823" s="201"/>
      <c r="R1823" s="202">
        <v>75666165</v>
      </c>
      <c r="U1823" s="198" t="s">
        <v>95</v>
      </c>
      <c r="AA1823" s="198" t="s">
        <v>51</v>
      </c>
      <c r="AB1823" s="202">
        <v>75666165</v>
      </c>
      <c r="AC1823" s="202">
        <v>75666165</v>
      </c>
    </row>
    <row r="1824" spans="1:29" outlineLevel="2" x14ac:dyDescent="0.25">
      <c r="A1824" s="201">
        <v>46136</v>
      </c>
      <c r="D1824" s="198" t="s">
        <v>54</v>
      </c>
      <c r="E1824" s="202">
        <v>6962027</v>
      </c>
      <c r="K1824" s="198" t="s">
        <v>1932</v>
      </c>
      <c r="L1824" s="198" t="s">
        <v>95</v>
      </c>
      <c r="P1824" s="201"/>
      <c r="R1824" s="202">
        <v>6962027</v>
      </c>
      <c r="U1824" s="198" t="s">
        <v>95</v>
      </c>
      <c r="AA1824" s="198" t="s">
        <v>51</v>
      </c>
      <c r="AB1824" s="202">
        <v>6962027</v>
      </c>
      <c r="AC1824" s="202">
        <v>6962027</v>
      </c>
    </row>
    <row r="1825" spans="1:29" outlineLevel="2" x14ac:dyDescent="0.25">
      <c r="A1825" s="201">
        <v>46141</v>
      </c>
      <c r="D1825" s="198" t="s">
        <v>54</v>
      </c>
      <c r="E1825" s="202">
        <v>6081000.2000000002</v>
      </c>
      <c r="K1825" s="198" t="s">
        <v>1932</v>
      </c>
      <c r="L1825" s="198" t="s">
        <v>95</v>
      </c>
      <c r="P1825" s="201"/>
      <c r="R1825" s="202">
        <v>6081000.2000000002</v>
      </c>
      <c r="U1825" s="198" t="s">
        <v>95</v>
      </c>
      <c r="AA1825" s="198" t="s">
        <v>51</v>
      </c>
      <c r="AB1825" s="202">
        <v>6081000.2000000002</v>
      </c>
      <c r="AC1825" s="202">
        <v>6081000.2000000002</v>
      </c>
    </row>
    <row r="1826" spans="1:29" outlineLevel="2" x14ac:dyDescent="0.25">
      <c r="A1826" s="201">
        <v>46155</v>
      </c>
      <c r="D1826" s="198" t="s">
        <v>54</v>
      </c>
      <c r="E1826" s="202">
        <v>933580.6</v>
      </c>
      <c r="K1826" s="198" t="s">
        <v>1932</v>
      </c>
      <c r="L1826" s="198" t="s">
        <v>95</v>
      </c>
      <c r="P1826" s="201"/>
      <c r="R1826" s="202">
        <v>933580.6</v>
      </c>
      <c r="U1826" s="198" t="s">
        <v>95</v>
      </c>
      <c r="AA1826" s="198" t="s">
        <v>51</v>
      </c>
      <c r="AB1826" s="202">
        <v>933580.6</v>
      </c>
      <c r="AC1826" s="202">
        <v>933580.6</v>
      </c>
    </row>
    <row r="1827" spans="1:29" outlineLevel="2" x14ac:dyDescent="0.25">
      <c r="A1827" s="201">
        <v>46155</v>
      </c>
      <c r="D1827" s="198" t="s">
        <v>54</v>
      </c>
      <c r="E1827" s="202">
        <v>2756280.22</v>
      </c>
      <c r="K1827" s="198" t="s">
        <v>1932</v>
      </c>
      <c r="L1827" s="198" t="s">
        <v>95</v>
      </c>
      <c r="P1827" s="201"/>
      <c r="R1827" s="202">
        <v>2756280.22</v>
      </c>
      <c r="U1827" s="198" t="s">
        <v>95</v>
      </c>
      <c r="AA1827" s="198" t="s">
        <v>51</v>
      </c>
      <c r="AB1827" s="202">
        <v>2756280.22</v>
      </c>
      <c r="AC1827" s="202">
        <v>2756280.22</v>
      </c>
    </row>
    <row r="1828" spans="1:29" outlineLevel="1" x14ac:dyDescent="0.25">
      <c r="A1828" s="210"/>
      <c r="B1828" s="209"/>
      <c r="C1828" s="209"/>
      <c r="D1828" s="209" t="s">
        <v>54</v>
      </c>
      <c r="E1828" s="211">
        <v>480691037.66000003</v>
      </c>
      <c r="F1828" s="209"/>
      <c r="G1828" s="209"/>
      <c r="H1828" s="209"/>
      <c r="I1828" s="209"/>
      <c r="J1828" s="209"/>
      <c r="K1828" s="209" t="s">
        <v>54</v>
      </c>
      <c r="L1828" s="209" t="s">
        <v>54</v>
      </c>
      <c r="M1828" s="209"/>
      <c r="N1828" s="209"/>
      <c r="O1828" s="209"/>
      <c r="P1828" s="210"/>
      <c r="Q1828" s="209"/>
      <c r="R1828" s="212"/>
      <c r="S1828" s="209"/>
      <c r="T1828" s="209"/>
      <c r="U1828" s="209" t="s">
        <v>54</v>
      </c>
      <c r="V1828" s="209"/>
      <c r="W1828" s="209"/>
      <c r="X1828" s="209"/>
      <c r="Y1828" s="209"/>
      <c r="Z1828" s="209"/>
      <c r="AA1828" s="209" t="s">
        <v>54</v>
      </c>
      <c r="AB1828" s="212"/>
      <c r="AC1828" s="212"/>
    </row>
    <row r="1829" spans="1:29" outlineLevel="2" x14ac:dyDescent="0.25">
      <c r="A1829" s="201">
        <v>46021</v>
      </c>
      <c r="D1829" s="198" t="s">
        <v>54</v>
      </c>
      <c r="E1829" s="202">
        <v>6837600</v>
      </c>
      <c r="K1829" s="198" t="s">
        <v>1933</v>
      </c>
      <c r="L1829" s="198" t="s">
        <v>95</v>
      </c>
      <c r="P1829" s="201"/>
      <c r="R1829" s="202">
        <v>6837600</v>
      </c>
      <c r="U1829" s="198" t="s">
        <v>231</v>
      </c>
      <c r="AA1829" s="198" t="s">
        <v>51</v>
      </c>
      <c r="AB1829" s="202">
        <v>6837600</v>
      </c>
      <c r="AC1829" s="202">
        <v>6837600</v>
      </c>
    </row>
    <row r="1830" spans="1:29" outlineLevel="2" x14ac:dyDescent="0.25">
      <c r="A1830" s="201">
        <v>46022</v>
      </c>
      <c r="D1830" s="198" t="s">
        <v>54</v>
      </c>
      <c r="E1830" s="202">
        <v>2430000</v>
      </c>
      <c r="K1830" s="198" t="s">
        <v>1933</v>
      </c>
      <c r="L1830" s="198" t="s">
        <v>95</v>
      </c>
      <c r="P1830" s="201"/>
      <c r="R1830" s="202">
        <v>2430000</v>
      </c>
      <c r="U1830" s="198" t="s">
        <v>231</v>
      </c>
      <c r="AA1830" s="198" t="s">
        <v>51</v>
      </c>
      <c r="AB1830" s="202">
        <v>2430000</v>
      </c>
      <c r="AC1830" s="202">
        <v>2430000</v>
      </c>
    </row>
    <row r="1831" spans="1:29" outlineLevel="2" x14ac:dyDescent="0.25">
      <c r="A1831" s="201">
        <v>46059</v>
      </c>
      <c r="D1831" s="198" t="s">
        <v>54</v>
      </c>
      <c r="E1831" s="202">
        <v>4443600</v>
      </c>
      <c r="K1831" s="198" t="s">
        <v>1933</v>
      </c>
      <c r="L1831" s="198" t="s">
        <v>95</v>
      </c>
      <c r="P1831" s="201"/>
      <c r="R1831" s="202">
        <v>4443600</v>
      </c>
      <c r="U1831" s="198" t="s">
        <v>231</v>
      </c>
      <c r="AA1831" s="198" t="s">
        <v>51</v>
      </c>
      <c r="AB1831" s="202">
        <v>4443600</v>
      </c>
      <c r="AC1831" s="202">
        <v>4443600</v>
      </c>
    </row>
    <row r="1832" spans="1:29" outlineLevel="1" x14ac:dyDescent="0.25">
      <c r="A1832" s="210"/>
      <c r="B1832" s="209"/>
      <c r="C1832" s="209"/>
      <c r="D1832" s="209" t="s">
        <v>54</v>
      </c>
      <c r="E1832" s="211">
        <v>13711200</v>
      </c>
      <c r="F1832" s="209"/>
      <c r="G1832" s="209"/>
      <c r="H1832" s="209"/>
      <c r="I1832" s="209"/>
      <c r="J1832" s="209"/>
      <c r="K1832" s="209" t="s">
        <v>54</v>
      </c>
      <c r="L1832" s="209" t="s">
        <v>54</v>
      </c>
      <c r="M1832" s="209"/>
      <c r="N1832" s="209"/>
      <c r="O1832" s="209"/>
      <c r="P1832" s="210"/>
      <c r="Q1832" s="209"/>
      <c r="R1832" s="212"/>
      <c r="S1832" s="209"/>
      <c r="T1832" s="209"/>
      <c r="U1832" s="209" t="s">
        <v>54</v>
      </c>
      <c r="V1832" s="209"/>
      <c r="W1832" s="209"/>
      <c r="X1832" s="209"/>
      <c r="Y1832" s="209"/>
      <c r="Z1832" s="209"/>
      <c r="AA1832" s="209" t="s">
        <v>54</v>
      </c>
      <c r="AB1832" s="212"/>
      <c r="AC1832" s="212"/>
    </row>
    <row r="1833" spans="1:29" outlineLevel="2" x14ac:dyDescent="0.25">
      <c r="A1833" s="201">
        <v>46021</v>
      </c>
      <c r="D1833" s="198" t="s">
        <v>54</v>
      </c>
      <c r="E1833" s="202">
        <v>9399936</v>
      </c>
      <c r="K1833" s="198" t="s">
        <v>1934</v>
      </c>
      <c r="L1833" s="198" t="s">
        <v>95</v>
      </c>
      <c r="P1833" s="201"/>
      <c r="R1833" s="202">
        <v>9399936</v>
      </c>
      <c r="U1833" s="198" t="s">
        <v>1131</v>
      </c>
      <c r="AA1833" s="198" t="s">
        <v>51</v>
      </c>
      <c r="AB1833" s="202">
        <v>9399936</v>
      </c>
      <c r="AC1833" s="202">
        <v>9399936</v>
      </c>
    </row>
    <row r="1834" spans="1:29" outlineLevel="1" x14ac:dyDescent="0.25">
      <c r="A1834" s="210"/>
      <c r="B1834" s="209"/>
      <c r="C1834" s="209"/>
      <c r="D1834" s="209" t="s">
        <v>54</v>
      </c>
      <c r="E1834" s="211">
        <v>9399936</v>
      </c>
      <c r="F1834" s="209"/>
      <c r="G1834" s="209"/>
      <c r="H1834" s="209"/>
      <c r="I1834" s="209"/>
      <c r="J1834" s="209"/>
      <c r="K1834" s="209" t="s">
        <v>54</v>
      </c>
      <c r="L1834" s="209" t="s">
        <v>54</v>
      </c>
      <c r="M1834" s="209"/>
      <c r="N1834" s="209"/>
      <c r="O1834" s="209"/>
      <c r="P1834" s="210"/>
      <c r="Q1834" s="209"/>
      <c r="R1834" s="212"/>
      <c r="S1834" s="209"/>
      <c r="T1834" s="209"/>
      <c r="U1834" s="209" t="s">
        <v>54</v>
      </c>
      <c r="V1834" s="209"/>
      <c r="W1834" s="209"/>
      <c r="X1834" s="209"/>
      <c r="Y1834" s="209"/>
      <c r="Z1834" s="209"/>
      <c r="AA1834" s="209" t="s">
        <v>54</v>
      </c>
      <c r="AB1834" s="212"/>
      <c r="AC1834" s="212"/>
    </row>
    <row r="1835" spans="1:29" outlineLevel="2" x14ac:dyDescent="0.25">
      <c r="A1835" s="201">
        <v>46021</v>
      </c>
      <c r="D1835" s="198" t="s">
        <v>54</v>
      </c>
      <c r="E1835" s="202">
        <v>9399936</v>
      </c>
      <c r="K1835" s="198" t="s">
        <v>1935</v>
      </c>
      <c r="L1835" s="198" t="s">
        <v>95</v>
      </c>
      <c r="P1835" s="201"/>
      <c r="R1835" s="202">
        <v>9399936</v>
      </c>
      <c r="U1835" s="198" t="s">
        <v>233</v>
      </c>
      <c r="AA1835" s="198" t="s">
        <v>51</v>
      </c>
      <c r="AB1835" s="202">
        <v>9399936</v>
      </c>
      <c r="AC1835" s="202">
        <v>9399936</v>
      </c>
    </row>
    <row r="1836" spans="1:29" outlineLevel="1" x14ac:dyDescent="0.25">
      <c r="A1836" s="210"/>
      <c r="B1836" s="209"/>
      <c r="C1836" s="209"/>
      <c r="D1836" s="209" t="s">
        <v>54</v>
      </c>
      <c r="E1836" s="211">
        <v>9399936</v>
      </c>
      <c r="F1836" s="209"/>
      <c r="G1836" s="209"/>
      <c r="H1836" s="209"/>
      <c r="I1836" s="209"/>
      <c r="J1836" s="209"/>
      <c r="K1836" s="209" t="s">
        <v>54</v>
      </c>
      <c r="L1836" s="209" t="s">
        <v>54</v>
      </c>
      <c r="M1836" s="209"/>
      <c r="N1836" s="209"/>
      <c r="O1836" s="209"/>
      <c r="P1836" s="210"/>
      <c r="Q1836" s="209"/>
      <c r="R1836" s="212"/>
      <c r="S1836" s="209"/>
      <c r="T1836" s="209"/>
      <c r="U1836" s="209" t="s">
        <v>54</v>
      </c>
      <c r="V1836" s="209"/>
      <c r="W1836" s="209"/>
      <c r="X1836" s="209"/>
      <c r="Y1836" s="209"/>
      <c r="Z1836" s="209"/>
      <c r="AA1836" s="209" t="s">
        <v>54</v>
      </c>
      <c r="AB1836" s="212"/>
      <c r="AC1836" s="212"/>
    </row>
    <row r="1837" spans="1:29" outlineLevel="2" x14ac:dyDescent="0.25">
      <c r="A1837" s="201">
        <v>46021</v>
      </c>
      <c r="D1837" s="198" t="s">
        <v>54</v>
      </c>
      <c r="E1837" s="202">
        <v>54268647.390000001</v>
      </c>
      <c r="K1837" s="198" t="s">
        <v>1936</v>
      </c>
      <c r="L1837" s="198" t="s">
        <v>95</v>
      </c>
      <c r="P1837" s="201"/>
      <c r="R1837" s="202">
        <v>54268647.390000001</v>
      </c>
      <c r="U1837" s="198" t="s">
        <v>1132</v>
      </c>
      <c r="AA1837" s="198" t="s">
        <v>51</v>
      </c>
      <c r="AB1837" s="202">
        <v>54268647.390000001</v>
      </c>
      <c r="AC1837" s="202">
        <v>54268647.390000001</v>
      </c>
    </row>
    <row r="1838" spans="1:29" outlineLevel="2" x14ac:dyDescent="0.25">
      <c r="A1838" s="201">
        <v>46071</v>
      </c>
      <c r="D1838" s="198" t="s">
        <v>54</v>
      </c>
      <c r="E1838" s="202">
        <v>1506690.46</v>
      </c>
      <c r="K1838" s="198" t="s">
        <v>1936</v>
      </c>
      <c r="L1838" s="198" t="s">
        <v>95</v>
      </c>
      <c r="P1838" s="201"/>
      <c r="R1838" s="202">
        <v>1506690.46</v>
      </c>
      <c r="U1838" s="198" t="s">
        <v>1132</v>
      </c>
      <c r="AA1838" s="198" t="s">
        <v>51</v>
      </c>
      <c r="AB1838" s="202">
        <v>1506690.46</v>
      </c>
      <c r="AC1838" s="202">
        <v>1506690.46</v>
      </c>
    </row>
    <row r="1839" spans="1:29" outlineLevel="2" x14ac:dyDescent="0.25">
      <c r="A1839" s="201">
        <v>46136</v>
      </c>
      <c r="D1839" s="198" t="s">
        <v>54</v>
      </c>
      <c r="E1839" s="202">
        <v>6962027</v>
      </c>
      <c r="K1839" s="198" t="s">
        <v>1936</v>
      </c>
      <c r="L1839" s="198" t="s">
        <v>95</v>
      </c>
      <c r="P1839" s="201"/>
      <c r="R1839" s="202">
        <v>6962027</v>
      </c>
      <c r="U1839" s="198" t="s">
        <v>1132</v>
      </c>
      <c r="AA1839" s="198" t="s">
        <v>51</v>
      </c>
      <c r="AB1839" s="202">
        <v>6962027</v>
      </c>
      <c r="AC1839" s="202">
        <v>6962027</v>
      </c>
    </row>
    <row r="1840" spans="1:29" outlineLevel="1" x14ac:dyDescent="0.25">
      <c r="A1840" s="210"/>
      <c r="B1840" s="209"/>
      <c r="C1840" s="209"/>
      <c r="D1840" s="209" t="s">
        <v>54</v>
      </c>
      <c r="E1840" s="211">
        <v>62737364.850000001</v>
      </c>
      <c r="F1840" s="209"/>
      <c r="G1840" s="209"/>
      <c r="H1840" s="209"/>
      <c r="I1840" s="209"/>
      <c r="J1840" s="209"/>
      <c r="K1840" s="209" t="s">
        <v>54</v>
      </c>
      <c r="L1840" s="209" t="s">
        <v>54</v>
      </c>
      <c r="M1840" s="209"/>
      <c r="N1840" s="209"/>
      <c r="O1840" s="209"/>
      <c r="P1840" s="210"/>
      <c r="Q1840" s="209"/>
      <c r="R1840" s="212"/>
      <c r="S1840" s="209"/>
      <c r="T1840" s="209"/>
      <c r="U1840" s="209" t="s">
        <v>54</v>
      </c>
      <c r="V1840" s="209"/>
      <c r="W1840" s="209"/>
      <c r="X1840" s="209"/>
      <c r="Y1840" s="209"/>
      <c r="Z1840" s="209"/>
      <c r="AA1840" s="209" t="s">
        <v>54</v>
      </c>
      <c r="AB1840" s="212"/>
      <c r="AC1840" s="212"/>
    </row>
    <row r="1841" spans="1:29" outlineLevel="2" x14ac:dyDescent="0.25">
      <c r="A1841" s="201">
        <v>46021</v>
      </c>
      <c r="D1841" s="198" t="s">
        <v>54</v>
      </c>
      <c r="E1841" s="202">
        <v>920000</v>
      </c>
      <c r="K1841" s="198" t="s">
        <v>1937</v>
      </c>
      <c r="L1841" s="198" t="s">
        <v>95</v>
      </c>
      <c r="P1841" s="201"/>
      <c r="R1841" s="202">
        <v>920000</v>
      </c>
      <c r="U1841" s="198" t="s">
        <v>234</v>
      </c>
      <c r="AA1841" s="198" t="s">
        <v>51</v>
      </c>
      <c r="AB1841" s="202">
        <v>920000</v>
      </c>
      <c r="AC1841" s="202">
        <v>920000</v>
      </c>
    </row>
    <row r="1842" spans="1:29" outlineLevel="1" x14ac:dyDescent="0.25">
      <c r="A1842" s="210"/>
      <c r="B1842" s="209"/>
      <c r="C1842" s="209"/>
      <c r="D1842" s="209" t="s">
        <v>54</v>
      </c>
      <c r="E1842" s="211">
        <v>920000</v>
      </c>
      <c r="F1842" s="209"/>
      <c r="G1842" s="209"/>
      <c r="H1842" s="209"/>
      <c r="I1842" s="209"/>
      <c r="J1842" s="209"/>
      <c r="K1842" s="209" t="s">
        <v>54</v>
      </c>
      <c r="L1842" s="209" t="s">
        <v>54</v>
      </c>
      <c r="M1842" s="209"/>
      <c r="N1842" s="209"/>
      <c r="O1842" s="209"/>
      <c r="P1842" s="210"/>
      <c r="Q1842" s="209"/>
      <c r="R1842" s="212"/>
      <c r="S1842" s="209"/>
      <c r="T1842" s="209"/>
      <c r="U1842" s="209" t="s">
        <v>54</v>
      </c>
      <c r="V1842" s="209"/>
      <c r="W1842" s="209"/>
      <c r="X1842" s="209"/>
      <c r="Y1842" s="209"/>
      <c r="Z1842" s="209"/>
      <c r="AA1842" s="209" t="s">
        <v>54</v>
      </c>
      <c r="AB1842" s="212"/>
      <c r="AC1842" s="212"/>
    </row>
    <row r="1843" spans="1:29" outlineLevel="2" x14ac:dyDescent="0.25">
      <c r="A1843" s="201">
        <v>46021</v>
      </c>
      <c r="D1843" s="198" t="s">
        <v>54</v>
      </c>
      <c r="E1843" s="202">
        <v>19534736</v>
      </c>
      <c r="K1843" s="198" t="s">
        <v>1938</v>
      </c>
      <c r="L1843" s="198" t="s">
        <v>95</v>
      </c>
      <c r="P1843" s="201"/>
      <c r="R1843" s="202">
        <v>19534736</v>
      </c>
      <c r="U1843" s="198" t="s">
        <v>238</v>
      </c>
      <c r="AA1843" s="198" t="s">
        <v>51</v>
      </c>
      <c r="AB1843" s="202">
        <v>19534736</v>
      </c>
      <c r="AC1843" s="202">
        <v>19534736</v>
      </c>
    </row>
    <row r="1844" spans="1:29" outlineLevel="1" x14ac:dyDescent="0.25">
      <c r="A1844" s="210"/>
      <c r="B1844" s="209"/>
      <c r="C1844" s="209"/>
      <c r="D1844" s="209" t="s">
        <v>54</v>
      </c>
      <c r="E1844" s="211">
        <v>19534736</v>
      </c>
      <c r="F1844" s="209"/>
      <c r="G1844" s="209"/>
      <c r="H1844" s="209"/>
      <c r="I1844" s="209"/>
      <c r="J1844" s="209"/>
      <c r="K1844" s="209" t="s">
        <v>54</v>
      </c>
      <c r="L1844" s="209" t="s">
        <v>54</v>
      </c>
      <c r="M1844" s="209"/>
      <c r="N1844" s="209"/>
      <c r="O1844" s="209"/>
      <c r="P1844" s="210"/>
      <c r="Q1844" s="209"/>
      <c r="R1844" s="212"/>
      <c r="S1844" s="209"/>
      <c r="T1844" s="209"/>
      <c r="U1844" s="209" t="s">
        <v>54</v>
      </c>
      <c r="V1844" s="209"/>
      <c r="W1844" s="209"/>
      <c r="X1844" s="209"/>
      <c r="Y1844" s="209"/>
      <c r="Z1844" s="209"/>
      <c r="AA1844" s="209" t="s">
        <v>54</v>
      </c>
      <c r="AB1844" s="212"/>
      <c r="AC1844" s="212"/>
    </row>
    <row r="1845" spans="1:29" outlineLevel="2" x14ac:dyDescent="0.25">
      <c r="A1845" s="201">
        <v>46021</v>
      </c>
      <c r="D1845" s="198" t="s">
        <v>54</v>
      </c>
      <c r="E1845" s="202">
        <v>4766960</v>
      </c>
      <c r="K1845" s="198" t="s">
        <v>1939</v>
      </c>
      <c r="L1845" s="198" t="s">
        <v>95</v>
      </c>
      <c r="P1845" s="201"/>
      <c r="R1845" s="202">
        <v>4766960</v>
      </c>
      <c r="U1845" s="198" t="s">
        <v>751</v>
      </c>
      <c r="AA1845" s="198" t="s">
        <v>51</v>
      </c>
      <c r="AB1845" s="202">
        <v>4766960</v>
      </c>
      <c r="AC1845" s="202">
        <v>4766960</v>
      </c>
    </row>
    <row r="1846" spans="1:29" outlineLevel="1" x14ac:dyDescent="0.25">
      <c r="A1846" s="210"/>
      <c r="B1846" s="209"/>
      <c r="C1846" s="209"/>
      <c r="D1846" s="209" t="s">
        <v>54</v>
      </c>
      <c r="E1846" s="211">
        <v>4766960</v>
      </c>
      <c r="F1846" s="209"/>
      <c r="G1846" s="209"/>
      <c r="H1846" s="209"/>
      <c r="I1846" s="209"/>
      <c r="J1846" s="209"/>
      <c r="K1846" s="209" t="s">
        <v>54</v>
      </c>
      <c r="L1846" s="209" t="s">
        <v>54</v>
      </c>
      <c r="M1846" s="209"/>
      <c r="N1846" s="209"/>
      <c r="O1846" s="209"/>
      <c r="P1846" s="210"/>
      <c r="Q1846" s="209"/>
      <c r="R1846" s="212"/>
      <c r="S1846" s="209"/>
      <c r="T1846" s="209"/>
      <c r="U1846" s="209" t="s">
        <v>54</v>
      </c>
      <c r="V1846" s="209"/>
      <c r="W1846" s="209"/>
      <c r="X1846" s="209"/>
      <c r="Y1846" s="209"/>
      <c r="Z1846" s="209"/>
      <c r="AA1846" s="209" t="s">
        <v>54</v>
      </c>
      <c r="AB1846" s="212"/>
      <c r="AC1846" s="212"/>
    </row>
    <row r="1847" spans="1:29" outlineLevel="2" x14ac:dyDescent="0.25">
      <c r="A1847" s="201">
        <v>46021</v>
      </c>
      <c r="D1847" s="198" t="s">
        <v>54</v>
      </c>
      <c r="E1847" s="202">
        <v>25269119.390000001</v>
      </c>
      <c r="K1847" s="198" t="s">
        <v>1940</v>
      </c>
      <c r="L1847" s="198" t="s">
        <v>95</v>
      </c>
      <c r="P1847" s="201"/>
      <c r="R1847" s="202">
        <v>25269119.390000001</v>
      </c>
      <c r="U1847" s="198" t="s">
        <v>236</v>
      </c>
      <c r="AA1847" s="198" t="s">
        <v>51</v>
      </c>
      <c r="AB1847" s="202">
        <v>25269119.390000001</v>
      </c>
      <c r="AC1847" s="202">
        <v>25269119.390000001</v>
      </c>
    </row>
    <row r="1848" spans="1:29" outlineLevel="2" x14ac:dyDescent="0.25">
      <c r="A1848" s="201">
        <v>46071</v>
      </c>
      <c r="D1848" s="198" t="s">
        <v>54</v>
      </c>
      <c r="E1848" s="202">
        <v>1506690.46</v>
      </c>
      <c r="K1848" s="198" t="s">
        <v>1940</v>
      </c>
      <c r="L1848" s="198" t="s">
        <v>95</v>
      </c>
      <c r="P1848" s="201"/>
      <c r="R1848" s="202">
        <v>1506690.46</v>
      </c>
      <c r="U1848" s="198" t="s">
        <v>236</v>
      </c>
      <c r="AA1848" s="198" t="s">
        <v>51</v>
      </c>
      <c r="AB1848" s="202">
        <v>1506690.46</v>
      </c>
      <c r="AC1848" s="202">
        <v>1506690.46</v>
      </c>
    </row>
    <row r="1849" spans="1:29" outlineLevel="1" x14ac:dyDescent="0.25">
      <c r="A1849" s="210"/>
      <c r="B1849" s="209"/>
      <c r="C1849" s="209"/>
      <c r="D1849" s="209" t="s">
        <v>54</v>
      </c>
      <c r="E1849" s="211">
        <v>26775809.850000001</v>
      </c>
      <c r="F1849" s="209"/>
      <c r="G1849" s="209"/>
      <c r="H1849" s="209"/>
      <c r="I1849" s="209"/>
      <c r="J1849" s="209"/>
      <c r="K1849" s="209" t="s">
        <v>54</v>
      </c>
      <c r="L1849" s="209" t="s">
        <v>54</v>
      </c>
      <c r="M1849" s="209"/>
      <c r="N1849" s="209"/>
      <c r="O1849" s="209"/>
      <c r="P1849" s="210"/>
      <c r="Q1849" s="209"/>
      <c r="R1849" s="212"/>
      <c r="S1849" s="209"/>
      <c r="T1849" s="209"/>
      <c r="U1849" s="209" t="s">
        <v>54</v>
      </c>
      <c r="V1849" s="209"/>
      <c r="W1849" s="209"/>
      <c r="X1849" s="209"/>
      <c r="Y1849" s="209"/>
      <c r="Z1849" s="209"/>
      <c r="AA1849" s="209" t="s">
        <v>54</v>
      </c>
      <c r="AB1849" s="212"/>
      <c r="AC1849" s="212"/>
    </row>
    <row r="1850" spans="1:29" outlineLevel="2" x14ac:dyDescent="0.25">
      <c r="A1850" s="201">
        <v>46021</v>
      </c>
      <c r="D1850" s="198" t="s">
        <v>54</v>
      </c>
      <c r="E1850" s="202">
        <v>3777832</v>
      </c>
      <c r="K1850" s="198" t="s">
        <v>1941</v>
      </c>
      <c r="L1850" s="198" t="s">
        <v>95</v>
      </c>
      <c r="P1850" s="201"/>
      <c r="R1850" s="202">
        <v>3777832</v>
      </c>
      <c r="U1850" s="198" t="s">
        <v>237</v>
      </c>
      <c r="AA1850" s="198" t="s">
        <v>51</v>
      </c>
      <c r="AB1850" s="202">
        <v>3777832</v>
      </c>
      <c r="AC1850" s="202">
        <v>3777832</v>
      </c>
    </row>
    <row r="1851" spans="1:29" outlineLevel="1" x14ac:dyDescent="0.25">
      <c r="A1851" s="210"/>
      <c r="B1851" s="209"/>
      <c r="C1851" s="209"/>
      <c r="D1851" s="209" t="s">
        <v>54</v>
      </c>
      <c r="E1851" s="211">
        <v>3777832</v>
      </c>
      <c r="F1851" s="209"/>
      <c r="G1851" s="209"/>
      <c r="H1851" s="209"/>
      <c r="I1851" s="209"/>
      <c r="J1851" s="209"/>
      <c r="K1851" s="209" t="s">
        <v>54</v>
      </c>
      <c r="L1851" s="209" t="s">
        <v>54</v>
      </c>
      <c r="M1851" s="209"/>
      <c r="N1851" s="209"/>
      <c r="O1851" s="209"/>
      <c r="P1851" s="210"/>
      <c r="Q1851" s="209"/>
      <c r="R1851" s="212"/>
      <c r="S1851" s="209"/>
      <c r="T1851" s="209"/>
      <c r="U1851" s="209" t="s">
        <v>54</v>
      </c>
      <c r="V1851" s="209"/>
      <c r="W1851" s="209"/>
      <c r="X1851" s="209"/>
      <c r="Y1851" s="209"/>
      <c r="Z1851" s="209"/>
      <c r="AA1851" s="209" t="s">
        <v>54</v>
      </c>
      <c r="AB1851" s="212"/>
      <c r="AC1851" s="212"/>
    </row>
    <row r="1852" spans="1:29" outlineLevel="2" x14ac:dyDescent="0.25">
      <c r="A1852" s="201">
        <v>46136</v>
      </c>
      <c r="D1852" s="198" t="s">
        <v>54</v>
      </c>
      <c r="E1852" s="202">
        <v>6962027</v>
      </c>
      <c r="K1852" s="198" t="s">
        <v>1942</v>
      </c>
      <c r="L1852" s="198" t="s">
        <v>95</v>
      </c>
      <c r="P1852" s="201"/>
      <c r="R1852" s="202">
        <v>6962027</v>
      </c>
      <c r="U1852" s="198" t="s">
        <v>350</v>
      </c>
      <c r="AA1852" s="198" t="s">
        <v>51</v>
      </c>
      <c r="AB1852" s="202">
        <v>6962027</v>
      </c>
      <c r="AC1852" s="202">
        <v>6962027</v>
      </c>
    </row>
    <row r="1853" spans="1:29" outlineLevel="1" x14ac:dyDescent="0.25">
      <c r="A1853" s="210"/>
      <c r="B1853" s="209"/>
      <c r="C1853" s="209"/>
      <c r="D1853" s="209" t="s">
        <v>54</v>
      </c>
      <c r="E1853" s="211">
        <v>6962027</v>
      </c>
      <c r="F1853" s="209"/>
      <c r="G1853" s="209"/>
      <c r="H1853" s="209"/>
      <c r="I1853" s="209"/>
      <c r="J1853" s="209"/>
      <c r="K1853" s="209" t="s">
        <v>54</v>
      </c>
      <c r="L1853" s="209" t="s">
        <v>54</v>
      </c>
      <c r="M1853" s="209"/>
      <c r="N1853" s="209"/>
      <c r="O1853" s="209"/>
      <c r="P1853" s="210"/>
      <c r="Q1853" s="209"/>
      <c r="R1853" s="212"/>
      <c r="S1853" s="209"/>
      <c r="T1853" s="209"/>
      <c r="U1853" s="209" t="s">
        <v>54</v>
      </c>
      <c r="V1853" s="209"/>
      <c r="W1853" s="209"/>
      <c r="X1853" s="209"/>
      <c r="Y1853" s="209"/>
      <c r="Z1853" s="209"/>
      <c r="AA1853" s="209" t="s">
        <v>54</v>
      </c>
      <c r="AB1853" s="212"/>
      <c r="AC1853" s="212"/>
    </row>
    <row r="1854" spans="1:29" outlineLevel="2" x14ac:dyDescent="0.25">
      <c r="A1854" s="201">
        <v>46021</v>
      </c>
      <c r="D1854" s="198" t="s">
        <v>54</v>
      </c>
      <c r="E1854" s="202">
        <v>272575741.85000002</v>
      </c>
      <c r="K1854" s="198" t="s">
        <v>1943</v>
      </c>
      <c r="L1854" s="198" t="s">
        <v>95</v>
      </c>
      <c r="P1854" s="201"/>
      <c r="R1854" s="202">
        <v>272575741.85000002</v>
      </c>
      <c r="U1854" s="198" t="s">
        <v>1133</v>
      </c>
      <c r="AA1854" s="198" t="s">
        <v>51</v>
      </c>
      <c r="AB1854" s="202">
        <v>272575741.85000002</v>
      </c>
      <c r="AC1854" s="202">
        <v>272575741.85000002</v>
      </c>
    </row>
    <row r="1855" spans="1:29" outlineLevel="2" x14ac:dyDescent="0.25">
      <c r="A1855" s="201">
        <v>46021</v>
      </c>
      <c r="D1855" s="198" t="s">
        <v>54</v>
      </c>
      <c r="E1855" s="202">
        <v>36712958.149999999</v>
      </c>
      <c r="K1855" s="198" t="s">
        <v>1943</v>
      </c>
      <c r="L1855" s="198" t="s">
        <v>95</v>
      </c>
      <c r="P1855" s="201"/>
      <c r="R1855" s="202">
        <v>36712958.149999999</v>
      </c>
      <c r="U1855" s="198" t="s">
        <v>1133</v>
      </c>
      <c r="AA1855" s="198" t="s">
        <v>51</v>
      </c>
      <c r="AB1855" s="202">
        <v>36712958.149999999</v>
      </c>
      <c r="AC1855" s="202">
        <v>36712958.149999999</v>
      </c>
    </row>
    <row r="1856" spans="1:29" outlineLevel="2" x14ac:dyDescent="0.25">
      <c r="A1856" s="201">
        <v>46037</v>
      </c>
      <c r="D1856" s="198" t="s">
        <v>54</v>
      </c>
      <c r="E1856" s="202">
        <v>3813540</v>
      </c>
      <c r="K1856" s="198" t="s">
        <v>1943</v>
      </c>
      <c r="L1856" s="198" t="s">
        <v>95</v>
      </c>
      <c r="P1856" s="201"/>
      <c r="R1856" s="202">
        <v>3813540</v>
      </c>
      <c r="U1856" s="198" t="s">
        <v>1133</v>
      </c>
      <c r="AA1856" s="198" t="s">
        <v>51</v>
      </c>
      <c r="AB1856" s="202">
        <v>3813540</v>
      </c>
      <c r="AC1856" s="202">
        <v>3813540</v>
      </c>
    </row>
    <row r="1857" spans="1:29" outlineLevel="2" x14ac:dyDescent="0.25">
      <c r="A1857" s="201">
        <v>46056</v>
      </c>
      <c r="D1857" s="198" t="s">
        <v>54</v>
      </c>
      <c r="E1857" s="202">
        <v>1393240</v>
      </c>
      <c r="K1857" s="198" t="s">
        <v>1943</v>
      </c>
      <c r="L1857" s="198" t="s">
        <v>95</v>
      </c>
      <c r="P1857" s="201"/>
      <c r="R1857" s="202">
        <v>1393240</v>
      </c>
      <c r="U1857" s="198" t="s">
        <v>1133</v>
      </c>
      <c r="AA1857" s="198" t="s">
        <v>51</v>
      </c>
      <c r="AB1857" s="202">
        <v>1393240</v>
      </c>
      <c r="AC1857" s="202">
        <v>1393240</v>
      </c>
    </row>
    <row r="1858" spans="1:29" outlineLevel="2" x14ac:dyDescent="0.25">
      <c r="A1858" s="201">
        <v>46057</v>
      </c>
      <c r="D1858" s="198" t="s">
        <v>54</v>
      </c>
      <c r="E1858" s="202">
        <v>629566.34</v>
      </c>
      <c r="K1858" s="198" t="s">
        <v>1943</v>
      </c>
      <c r="L1858" s="198" t="s">
        <v>95</v>
      </c>
      <c r="P1858" s="201"/>
      <c r="R1858" s="202">
        <v>629566.34</v>
      </c>
      <c r="U1858" s="198" t="s">
        <v>1133</v>
      </c>
      <c r="AA1858" s="198" t="s">
        <v>51</v>
      </c>
      <c r="AB1858" s="202">
        <v>629566.34</v>
      </c>
      <c r="AC1858" s="202">
        <v>629566.34</v>
      </c>
    </row>
    <row r="1859" spans="1:29" outlineLevel="2" x14ac:dyDescent="0.25">
      <c r="A1859" s="201">
        <v>46065</v>
      </c>
      <c r="D1859" s="198" t="s">
        <v>54</v>
      </c>
      <c r="E1859" s="202">
        <v>4199998</v>
      </c>
      <c r="K1859" s="198" t="s">
        <v>1943</v>
      </c>
      <c r="L1859" s="198" t="s">
        <v>95</v>
      </c>
      <c r="P1859" s="201"/>
      <c r="R1859" s="202">
        <v>4199998</v>
      </c>
      <c r="U1859" s="198" t="s">
        <v>1133</v>
      </c>
      <c r="AA1859" s="198" t="s">
        <v>51</v>
      </c>
      <c r="AB1859" s="202">
        <v>4199998</v>
      </c>
      <c r="AC1859" s="202">
        <v>4199998</v>
      </c>
    </row>
    <row r="1860" spans="1:29" outlineLevel="2" x14ac:dyDescent="0.25">
      <c r="A1860" s="201">
        <v>46112</v>
      </c>
      <c r="D1860" s="198" t="s">
        <v>54</v>
      </c>
      <c r="E1860" s="202">
        <v>-9919533.5500000007</v>
      </c>
      <c r="K1860" s="198" t="s">
        <v>1943</v>
      </c>
      <c r="L1860" s="198" t="s">
        <v>95</v>
      </c>
      <c r="P1860" s="201"/>
      <c r="R1860" s="202">
        <v>-9919533.5500000007</v>
      </c>
      <c r="U1860" s="198" t="s">
        <v>1133</v>
      </c>
      <c r="AA1860" s="198" t="s">
        <v>51</v>
      </c>
      <c r="AB1860" s="202">
        <v>-9919533.5500000007</v>
      </c>
      <c r="AC1860" s="202">
        <v>-9919533.5500000007</v>
      </c>
    </row>
    <row r="1861" spans="1:29" outlineLevel="2" x14ac:dyDescent="0.25">
      <c r="A1861" s="201">
        <v>46117</v>
      </c>
      <c r="D1861" s="198" t="s">
        <v>54</v>
      </c>
      <c r="E1861" s="202">
        <v>75666165</v>
      </c>
      <c r="K1861" s="198" t="s">
        <v>1943</v>
      </c>
      <c r="L1861" s="198" t="s">
        <v>95</v>
      </c>
      <c r="P1861" s="201"/>
      <c r="R1861" s="202">
        <v>75666165</v>
      </c>
      <c r="U1861" s="198" t="s">
        <v>1133</v>
      </c>
      <c r="AA1861" s="198" t="s">
        <v>51</v>
      </c>
      <c r="AB1861" s="202">
        <v>75666165</v>
      </c>
      <c r="AC1861" s="202">
        <v>75666165</v>
      </c>
    </row>
    <row r="1862" spans="1:29" outlineLevel="2" x14ac:dyDescent="0.25">
      <c r="A1862" s="201">
        <v>46141</v>
      </c>
      <c r="D1862" s="198" t="s">
        <v>54</v>
      </c>
      <c r="E1862" s="202">
        <v>6081000.2000000002</v>
      </c>
      <c r="K1862" s="198" t="s">
        <v>1943</v>
      </c>
      <c r="L1862" s="198" t="s">
        <v>95</v>
      </c>
      <c r="P1862" s="201"/>
      <c r="R1862" s="202">
        <v>6081000.2000000002</v>
      </c>
      <c r="U1862" s="198" t="s">
        <v>1133</v>
      </c>
      <c r="AA1862" s="198" t="s">
        <v>51</v>
      </c>
      <c r="AB1862" s="202">
        <v>6081000.2000000002</v>
      </c>
      <c r="AC1862" s="202">
        <v>6081000.2000000002</v>
      </c>
    </row>
    <row r="1863" spans="1:29" outlineLevel="2" x14ac:dyDescent="0.25">
      <c r="A1863" s="201">
        <v>46155</v>
      </c>
      <c r="D1863" s="198" t="s">
        <v>54</v>
      </c>
      <c r="E1863" s="202">
        <v>933580.6</v>
      </c>
      <c r="K1863" s="198" t="s">
        <v>1943</v>
      </c>
      <c r="L1863" s="198" t="s">
        <v>95</v>
      </c>
      <c r="P1863" s="201"/>
      <c r="R1863" s="202">
        <v>933580.6</v>
      </c>
      <c r="U1863" s="198" t="s">
        <v>1133</v>
      </c>
      <c r="AA1863" s="198" t="s">
        <v>51</v>
      </c>
      <c r="AB1863" s="202">
        <v>933580.6</v>
      </c>
      <c r="AC1863" s="202">
        <v>933580.6</v>
      </c>
    </row>
    <row r="1864" spans="1:29" outlineLevel="2" x14ac:dyDescent="0.25">
      <c r="A1864" s="201">
        <v>46155</v>
      </c>
      <c r="D1864" s="198" t="s">
        <v>54</v>
      </c>
      <c r="E1864" s="202">
        <v>2756280.22</v>
      </c>
      <c r="K1864" s="198" t="s">
        <v>1943</v>
      </c>
      <c r="L1864" s="198" t="s">
        <v>95</v>
      </c>
      <c r="P1864" s="201"/>
      <c r="R1864" s="202">
        <v>2756280.22</v>
      </c>
      <c r="U1864" s="198" t="s">
        <v>1133</v>
      </c>
      <c r="AA1864" s="198" t="s">
        <v>51</v>
      </c>
      <c r="AB1864" s="202">
        <v>2756280.22</v>
      </c>
      <c r="AC1864" s="202">
        <v>2756280.22</v>
      </c>
    </row>
    <row r="1865" spans="1:29" outlineLevel="1" x14ac:dyDescent="0.25">
      <c r="A1865" s="210"/>
      <c r="B1865" s="209"/>
      <c r="C1865" s="209"/>
      <c r="D1865" s="209" t="s">
        <v>54</v>
      </c>
      <c r="E1865" s="211">
        <v>394842536.81</v>
      </c>
      <c r="F1865" s="209"/>
      <c r="G1865" s="209"/>
      <c r="H1865" s="209"/>
      <c r="I1865" s="209"/>
      <c r="J1865" s="209"/>
      <c r="K1865" s="209" t="s">
        <v>54</v>
      </c>
      <c r="L1865" s="209" t="s">
        <v>54</v>
      </c>
      <c r="M1865" s="209"/>
      <c r="N1865" s="209"/>
      <c r="O1865" s="209"/>
      <c r="P1865" s="210"/>
      <c r="Q1865" s="209"/>
      <c r="R1865" s="212"/>
      <c r="S1865" s="209"/>
      <c r="T1865" s="209"/>
      <c r="U1865" s="209" t="s">
        <v>54</v>
      </c>
      <c r="V1865" s="209"/>
      <c r="W1865" s="209"/>
      <c r="X1865" s="209"/>
      <c r="Y1865" s="209"/>
      <c r="Z1865" s="209"/>
      <c r="AA1865" s="209" t="s">
        <v>54</v>
      </c>
      <c r="AB1865" s="212"/>
      <c r="AC1865" s="212"/>
    </row>
    <row r="1866" spans="1:29" outlineLevel="2" x14ac:dyDescent="0.25">
      <c r="A1866" s="201">
        <v>46021</v>
      </c>
      <c r="D1866" s="198" t="s">
        <v>54</v>
      </c>
      <c r="E1866" s="202">
        <v>238096741.84999999</v>
      </c>
      <c r="K1866" s="198" t="s">
        <v>1944</v>
      </c>
      <c r="L1866" s="198" t="s">
        <v>95</v>
      </c>
      <c r="P1866" s="201"/>
      <c r="R1866" s="202">
        <v>238096741.84999999</v>
      </c>
      <c r="U1866" s="198" t="s">
        <v>1134</v>
      </c>
      <c r="AA1866" s="198" t="s">
        <v>51</v>
      </c>
      <c r="AB1866" s="202">
        <v>238096741.84999999</v>
      </c>
      <c r="AC1866" s="202">
        <v>238096741.84999999</v>
      </c>
    </row>
    <row r="1867" spans="1:29" outlineLevel="2" x14ac:dyDescent="0.25">
      <c r="A1867" s="201">
        <v>46021</v>
      </c>
      <c r="D1867" s="198" t="s">
        <v>54</v>
      </c>
      <c r="E1867" s="202">
        <v>36714558.149999999</v>
      </c>
      <c r="K1867" s="198" t="s">
        <v>1944</v>
      </c>
      <c r="L1867" s="198" t="s">
        <v>95</v>
      </c>
      <c r="P1867" s="201"/>
      <c r="R1867" s="202">
        <v>36714558.149999999</v>
      </c>
      <c r="U1867" s="198" t="s">
        <v>1134</v>
      </c>
      <c r="AA1867" s="198" t="s">
        <v>51</v>
      </c>
      <c r="AB1867" s="202">
        <v>36714558.149999999</v>
      </c>
      <c r="AC1867" s="202">
        <v>36714558.149999999</v>
      </c>
    </row>
    <row r="1868" spans="1:29" outlineLevel="2" x14ac:dyDescent="0.25">
      <c r="A1868" s="201">
        <v>46037</v>
      </c>
      <c r="D1868" s="198" t="s">
        <v>54</v>
      </c>
      <c r="E1868" s="202">
        <v>3813540</v>
      </c>
      <c r="K1868" s="198" t="s">
        <v>1944</v>
      </c>
      <c r="L1868" s="198" t="s">
        <v>95</v>
      </c>
      <c r="P1868" s="201"/>
      <c r="R1868" s="202">
        <v>3813540</v>
      </c>
      <c r="U1868" s="198" t="s">
        <v>1134</v>
      </c>
      <c r="AA1868" s="198" t="s">
        <v>51</v>
      </c>
      <c r="AB1868" s="202">
        <v>3813540</v>
      </c>
      <c r="AC1868" s="202">
        <v>3813540</v>
      </c>
    </row>
    <row r="1869" spans="1:29" outlineLevel="2" x14ac:dyDescent="0.25">
      <c r="A1869" s="201">
        <v>46056</v>
      </c>
      <c r="D1869" s="198" t="s">
        <v>54</v>
      </c>
      <c r="E1869" s="202">
        <v>1393240</v>
      </c>
      <c r="K1869" s="198" t="s">
        <v>1944</v>
      </c>
      <c r="L1869" s="198" t="s">
        <v>95</v>
      </c>
      <c r="P1869" s="201"/>
      <c r="R1869" s="202">
        <v>1393240</v>
      </c>
      <c r="U1869" s="198" t="s">
        <v>1134</v>
      </c>
      <c r="AA1869" s="198" t="s">
        <v>51</v>
      </c>
      <c r="AB1869" s="202">
        <v>1393240</v>
      </c>
      <c r="AC1869" s="202">
        <v>1393240</v>
      </c>
    </row>
    <row r="1870" spans="1:29" outlineLevel="2" x14ac:dyDescent="0.25">
      <c r="A1870" s="201">
        <v>46057</v>
      </c>
      <c r="D1870" s="198" t="s">
        <v>54</v>
      </c>
      <c r="E1870" s="202">
        <v>629566.34</v>
      </c>
      <c r="K1870" s="198" t="s">
        <v>1944</v>
      </c>
      <c r="L1870" s="198" t="s">
        <v>95</v>
      </c>
      <c r="P1870" s="201"/>
      <c r="R1870" s="202">
        <v>629566.34</v>
      </c>
      <c r="U1870" s="198" t="s">
        <v>1134</v>
      </c>
      <c r="AA1870" s="198" t="s">
        <v>51</v>
      </c>
      <c r="AB1870" s="202">
        <v>629566.34</v>
      </c>
      <c r="AC1870" s="202">
        <v>629566.34</v>
      </c>
    </row>
    <row r="1871" spans="1:29" outlineLevel="2" x14ac:dyDescent="0.25">
      <c r="A1871" s="201">
        <v>46065</v>
      </c>
      <c r="D1871" s="198" t="s">
        <v>54</v>
      </c>
      <c r="E1871" s="202">
        <v>4199998</v>
      </c>
      <c r="K1871" s="198" t="s">
        <v>1944</v>
      </c>
      <c r="L1871" s="198" t="s">
        <v>95</v>
      </c>
      <c r="P1871" s="201"/>
      <c r="R1871" s="202">
        <v>4199998</v>
      </c>
      <c r="U1871" s="198" t="s">
        <v>1134</v>
      </c>
      <c r="AA1871" s="198" t="s">
        <v>51</v>
      </c>
      <c r="AB1871" s="202">
        <v>4199998</v>
      </c>
      <c r="AC1871" s="202">
        <v>4199998</v>
      </c>
    </row>
    <row r="1872" spans="1:29" outlineLevel="2" x14ac:dyDescent="0.25">
      <c r="A1872" s="201">
        <v>46112</v>
      </c>
      <c r="D1872" s="198" t="s">
        <v>54</v>
      </c>
      <c r="E1872" s="202">
        <v>-9919533.5500000007</v>
      </c>
      <c r="K1872" s="198" t="s">
        <v>1944</v>
      </c>
      <c r="L1872" s="198" t="s">
        <v>95</v>
      </c>
      <c r="P1872" s="201"/>
      <c r="R1872" s="202">
        <v>-9919533.5500000007</v>
      </c>
      <c r="U1872" s="198" t="s">
        <v>1134</v>
      </c>
      <c r="AA1872" s="198" t="s">
        <v>51</v>
      </c>
      <c r="AB1872" s="202">
        <v>-9919533.5500000007</v>
      </c>
      <c r="AC1872" s="202">
        <v>-9919533.5500000007</v>
      </c>
    </row>
    <row r="1873" spans="1:29" outlineLevel="2" x14ac:dyDescent="0.25">
      <c r="A1873" s="201">
        <v>46117</v>
      </c>
      <c r="D1873" s="198" t="s">
        <v>54</v>
      </c>
      <c r="E1873" s="202">
        <v>75666165</v>
      </c>
      <c r="K1873" s="198" t="s">
        <v>1944</v>
      </c>
      <c r="L1873" s="198" t="s">
        <v>95</v>
      </c>
      <c r="P1873" s="201"/>
      <c r="R1873" s="202">
        <v>75666165</v>
      </c>
      <c r="U1873" s="198" t="s">
        <v>1134</v>
      </c>
      <c r="AA1873" s="198" t="s">
        <v>51</v>
      </c>
      <c r="AB1873" s="202">
        <v>75666165</v>
      </c>
      <c r="AC1873" s="202">
        <v>75666165</v>
      </c>
    </row>
    <row r="1874" spans="1:29" outlineLevel="2" x14ac:dyDescent="0.25">
      <c r="A1874" s="201">
        <v>46141</v>
      </c>
      <c r="D1874" s="198" t="s">
        <v>54</v>
      </c>
      <c r="E1874" s="202">
        <v>6081000.2000000002</v>
      </c>
      <c r="K1874" s="198" t="s">
        <v>1944</v>
      </c>
      <c r="L1874" s="198" t="s">
        <v>95</v>
      </c>
      <c r="P1874" s="201"/>
      <c r="R1874" s="202">
        <v>6081000.2000000002</v>
      </c>
      <c r="U1874" s="198" t="s">
        <v>1134</v>
      </c>
      <c r="AA1874" s="198" t="s">
        <v>51</v>
      </c>
      <c r="AB1874" s="202">
        <v>6081000.2000000002</v>
      </c>
      <c r="AC1874" s="202">
        <v>6081000.2000000002</v>
      </c>
    </row>
    <row r="1875" spans="1:29" outlineLevel="2" x14ac:dyDescent="0.25">
      <c r="A1875" s="201">
        <v>46155</v>
      </c>
      <c r="D1875" s="198" t="s">
        <v>54</v>
      </c>
      <c r="E1875" s="202">
        <v>933580.6</v>
      </c>
      <c r="K1875" s="198" t="s">
        <v>1944</v>
      </c>
      <c r="L1875" s="198" t="s">
        <v>95</v>
      </c>
      <c r="P1875" s="201"/>
      <c r="R1875" s="202">
        <v>933580.6</v>
      </c>
      <c r="U1875" s="198" t="s">
        <v>1134</v>
      </c>
      <c r="AA1875" s="198" t="s">
        <v>51</v>
      </c>
      <c r="AB1875" s="202">
        <v>933580.6</v>
      </c>
      <c r="AC1875" s="202">
        <v>933580.6</v>
      </c>
    </row>
    <row r="1876" spans="1:29" outlineLevel="2" x14ac:dyDescent="0.25">
      <c r="A1876" s="201">
        <v>46155</v>
      </c>
      <c r="D1876" s="198" t="s">
        <v>54</v>
      </c>
      <c r="E1876" s="202">
        <v>2756280.22</v>
      </c>
      <c r="K1876" s="198" t="s">
        <v>1944</v>
      </c>
      <c r="L1876" s="198" t="s">
        <v>95</v>
      </c>
      <c r="P1876" s="201"/>
      <c r="R1876" s="202">
        <v>2756280.22</v>
      </c>
      <c r="U1876" s="198" t="s">
        <v>1134</v>
      </c>
      <c r="AA1876" s="198" t="s">
        <v>51</v>
      </c>
      <c r="AB1876" s="202">
        <v>2756280.22</v>
      </c>
      <c r="AC1876" s="202">
        <v>2756280.22</v>
      </c>
    </row>
    <row r="1877" spans="1:29" outlineLevel="1" x14ac:dyDescent="0.25">
      <c r="A1877" s="210"/>
      <c r="B1877" s="209"/>
      <c r="C1877" s="209"/>
      <c r="D1877" s="209" t="s">
        <v>54</v>
      </c>
      <c r="E1877" s="211">
        <v>360365136.81</v>
      </c>
      <c r="F1877" s="209"/>
      <c r="G1877" s="209"/>
      <c r="H1877" s="209"/>
      <c r="I1877" s="209"/>
      <c r="J1877" s="209"/>
      <c r="K1877" s="209" t="s">
        <v>54</v>
      </c>
      <c r="L1877" s="209" t="s">
        <v>54</v>
      </c>
      <c r="M1877" s="209"/>
      <c r="N1877" s="209"/>
      <c r="O1877" s="209"/>
      <c r="P1877" s="210"/>
      <c r="Q1877" s="209"/>
      <c r="R1877" s="212"/>
      <c r="S1877" s="209"/>
      <c r="T1877" s="209"/>
      <c r="U1877" s="209" t="s">
        <v>54</v>
      </c>
      <c r="V1877" s="209"/>
      <c r="W1877" s="209"/>
      <c r="X1877" s="209"/>
      <c r="Y1877" s="209"/>
      <c r="Z1877" s="209"/>
      <c r="AA1877" s="209" t="s">
        <v>54</v>
      </c>
      <c r="AB1877" s="212"/>
      <c r="AC1877" s="212"/>
    </row>
    <row r="1878" spans="1:29" outlineLevel="2" x14ac:dyDescent="0.25">
      <c r="A1878" s="201">
        <v>46021</v>
      </c>
      <c r="D1878" s="198" t="s">
        <v>54</v>
      </c>
      <c r="E1878" s="202">
        <v>105450324</v>
      </c>
      <c r="K1878" s="198" t="s">
        <v>1945</v>
      </c>
      <c r="L1878" s="198" t="s">
        <v>95</v>
      </c>
      <c r="P1878" s="201"/>
      <c r="R1878" s="202">
        <v>105450324</v>
      </c>
      <c r="U1878" s="198" t="s">
        <v>218</v>
      </c>
      <c r="AA1878" s="198" t="s">
        <v>51</v>
      </c>
      <c r="AB1878" s="202">
        <v>105450324</v>
      </c>
      <c r="AC1878" s="202">
        <v>105450324</v>
      </c>
    </row>
    <row r="1879" spans="1:29" outlineLevel="2" x14ac:dyDescent="0.25">
      <c r="A1879" s="201">
        <v>46021</v>
      </c>
      <c r="D1879" s="198" t="s">
        <v>54</v>
      </c>
      <c r="E1879" s="202">
        <v>-4965324</v>
      </c>
      <c r="K1879" s="198" t="s">
        <v>1945</v>
      </c>
      <c r="L1879" s="198" t="s">
        <v>95</v>
      </c>
      <c r="P1879" s="201"/>
      <c r="R1879" s="202">
        <v>-4965324</v>
      </c>
      <c r="U1879" s="198" t="s">
        <v>218</v>
      </c>
      <c r="AA1879" s="198" t="s">
        <v>51</v>
      </c>
      <c r="AB1879" s="202">
        <v>-4965324</v>
      </c>
      <c r="AC1879" s="202">
        <v>-4965324</v>
      </c>
    </row>
    <row r="1880" spans="1:29" outlineLevel="2" x14ac:dyDescent="0.25">
      <c r="A1880" s="201">
        <v>46037</v>
      </c>
      <c r="D1880" s="198" t="s">
        <v>54</v>
      </c>
      <c r="E1880" s="202">
        <v>3813540</v>
      </c>
      <c r="K1880" s="198" t="s">
        <v>1945</v>
      </c>
      <c r="L1880" s="198" t="s">
        <v>95</v>
      </c>
      <c r="P1880" s="201"/>
      <c r="R1880" s="202">
        <v>3813540</v>
      </c>
      <c r="U1880" s="198" t="s">
        <v>218</v>
      </c>
      <c r="AA1880" s="198" t="s">
        <v>51</v>
      </c>
      <c r="AB1880" s="202">
        <v>3813540</v>
      </c>
      <c r="AC1880" s="202">
        <v>3813540</v>
      </c>
    </row>
    <row r="1881" spans="1:29" outlineLevel="2" x14ac:dyDescent="0.25">
      <c r="A1881" s="201">
        <v>46065</v>
      </c>
      <c r="D1881" s="198" t="s">
        <v>54</v>
      </c>
      <c r="E1881" s="202">
        <v>4199998</v>
      </c>
      <c r="K1881" s="198" t="s">
        <v>1945</v>
      </c>
      <c r="L1881" s="198" t="s">
        <v>95</v>
      </c>
      <c r="P1881" s="201"/>
      <c r="R1881" s="202">
        <v>4199998</v>
      </c>
      <c r="U1881" s="198" t="s">
        <v>218</v>
      </c>
      <c r="AA1881" s="198" t="s">
        <v>51</v>
      </c>
      <c r="AB1881" s="202">
        <v>4199998</v>
      </c>
      <c r="AC1881" s="202">
        <v>4199998</v>
      </c>
    </row>
    <row r="1882" spans="1:29" outlineLevel="2" x14ac:dyDescent="0.25">
      <c r="A1882" s="201">
        <v>46112</v>
      </c>
      <c r="D1882" s="198" t="s">
        <v>54</v>
      </c>
      <c r="E1882" s="202">
        <v>-504000</v>
      </c>
      <c r="K1882" s="198" t="s">
        <v>1945</v>
      </c>
      <c r="L1882" s="198" t="s">
        <v>95</v>
      </c>
      <c r="P1882" s="201"/>
      <c r="R1882" s="202">
        <v>-504000</v>
      </c>
      <c r="U1882" s="198" t="s">
        <v>218</v>
      </c>
      <c r="AA1882" s="198" t="s">
        <v>51</v>
      </c>
      <c r="AB1882" s="202">
        <v>-504000</v>
      </c>
      <c r="AC1882" s="202">
        <v>-504000</v>
      </c>
    </row>
    <row r="1883" spans="1:29" outlineLevel="2" x14ac:dyDescent="0.25">
      <c r="A1883" s="201">
        <v>46117</v>
      </c>
      <c r="D1883" s="198" t="s">
        <v>54</v>
      </c>
      <c r="E1883" s="202">
        <v>75666165</v>
      </c>
      <c r="K1883" s="198" t="s">
        <v>1945</v>
      </c>
      <c r="L1883" s="198" t="s">
        <v>95</v>
      </c>
      <c r="P1883" s="201"/>
      <c r="R1883" s="202">
        <v>75666165</v>
      </c>
      <c r="U1883" s="198" t="s">
        <v>218</v>
      </c>
      <c r="AA1883" s="198" t="s">
        <v>51</v>
      </c>
      <c r="AB1883" s="202">
        <v>75666165</v>
      </c>
      <c r="AC1883" s="202">
        <v>75666165</v>
      </c>
    </row>
    <row r="1884" spans="1:29" outlineLevel="1" x14ac:dyDescent="0.25">
      <c r="A1884" s="210"/>
      <c r="B1884" s="209"/>
      <c r="C1884" s="209"/>
      <c r="D1884" s="209" t="s">
        <v>54</v>
      </c>
      <c r="E1884" s="211">
        <v>183660703</v>
      </c>
      <c r="F1884" s="209"/>
      <c r="G1884" s="209"/>
      <c r="H1884" s="209"/>
      <c r="I1884" s="209"/>
      <c r="J1884" s="209"/>
      <c r="K1884" s="209" t="s">
        <v>54</v>
      </c>
      <c r="L1884" s="209" t="s">
        <v>54</v>
      </c>
      <c r="M1884" s="209"/>
      <c r="N1884" s="209"/>
      <c r="O1884" s="209"/>
      <c r="P1884" s="210"/>
      <c r="Q1884" s="209"/>
      <c r="R1884" s="212"/>
      <c r="S1884" s="209"/>
      <c r="T1884" s="209"/>
      <c r="U1884" s="209" t="s">
        <v>54</v>
      </c>
      <c r="V1884" s="209"/>
      <c r="W1884" s="209"/>
      <c r="X1884" s="209"/>
      <c r="Y1884" s="209"/>
      <c r="Z1884" s="209"/>
      <c r="AA1884" s="209" t="s">
        <v>54</v>
      </c>
      <c r="AB1884" s="212"/>
      <c r="AC1884" s="212"/>
    </row>
    <row r="1885" spans="1:29" outlineLevel="2" x14ac:dyDescent="0.25">
      <c r="A1885" s="201">
        <v>46021</v>
      </c>
      <c r="D1885" s="198" t="s">
        <v>54</v>
      </c>
      <c r="E1885" s="202">
        <v>33881417.850000001</v>
      </c>
      <c r="K1885" s="198" t="s">
        <v>1946</v>
      </c>
      <c r="L1885" s="198" t="s">
        <v>95</v>
      </c>
      <c r="P1885" s="201"/>
      <c r="R1885" s="202">
        <v>33881417.850000001</v>
      </c>
      <c r="U1885" s="198" t="s">
        <v>91</v>
      </c>
      <c r="AA1885" s="198" t="s">
        <v>51</v>
      </c>
      <c r="AB1885" s="202">
        <v>33881417.850000001</v>
      </c>
      <c r="AC1885" s="202">
        <v>33881417.850000001</v>
      </c>
    </row>
    <row r="1886" spans="1:29" outlineLevel="2" x14ac:dyDescent="0.25">
      <c r="A1886" s="201">
        <v>46021</v>
      </c>
      <c r="D1886" s="198" t="s">
        <v>54</v>
      </c>
      <c r="E1886" s="202">
        <v>-6407017.8499999996</v>
      </c>
      <c r="K1886" s="198" t="s">
        <v>1946</v>
      </c>
      <c r="L1886" s="198" t="s">
        <v>95</v>
      </c>
      <c r="P1886" s="201"/>
      <c r="R1886" s="202">
        <v>-6407017.8499999996</v>
      </c>
      <c r="U1886" s="198" t="s">
        <v>91</v>
      </c>
      <c r="AA1886" s="198" t="s">
        <v>51</v>
      </c>
      <c r="AB1886" s="202">
        <v>-6407017.8499999996</v>
      </c>
      <c r="AC1886" s="202">
        <v>-6407017.8499999996</v>
      </c>
    </row>
    <row r="1887" spans="1:29" outlineLevel="2" x14ac:dyDescent="0.25">
      <c r="A1887" s="201">
        <v>46112</v>
      </c>
      <c r="D1887" s="198" t="s">
        <v>54</v>
      </c>
      <c r="E1887" s="202">
        <v>-5621479.0999999996</v>
      </c>
      <c r="K1887" s="198" t="s">
        <v>1946</v>
      </c>
      <c r="L1887" s="198" t="s">
        <v>95</v>
      </c>
      <c r="P1887" s="201"/>
      <c r="R1887" s="202">
        <v>-5621479.0999999996</v>
      </c>
      <c r="U1887" s="198" t="s">
        <v>91</v>
      </c>
      <c r="AA1887" s="198" t="s">
        <v>51</v>
      </c>
      <c r="AB1887" s="202">
        <v>-5621479.0999999996</v>
      </c>
      <c r="AC1887" s="202">
        <v>-5621479.0999999996</v>
      </c>
    </row>
    <row r="1888" spans="1:29" outlineLevel="1" x14ac:dyDescent="0.25">
      <c r="A1888" s="210"/>
      <c r="B1888" s="209"/>
      <c r="C1888" s="209"/>
      <c r="D1888" s="209" t="s">
        <v>54</v>
      </c>
      <c r="E1888" s="211">
        <v>21852920.899999999</v>
      </c>
      <c r="F1888" s="209"/>
      <c r="G1888" s="209"/>
      <c r="H1888" s="209"/>
      <c r="I1888" s="209"/>
      <c r="J1888" s="209"/>
      <c r="K1888" s="209" t="s">
        <v>54</v>
      </c>
      <c r="L1888" s="209" t="s">
        <v>54</v>
      </c>
      <c r="M1888" s="209"/>
      <c r="N1888" s="209"/>
      <c r="O1888" s="209"/>
      <c r="P1888" s="210"/>
      <c r="Q1888" s="209"/>
      <c r="R1888" s="212"/>
      <c r="S1888" s="209"/>
      <c r="T1888" s="209"/>
      <c r="U1888" s="209" t="s">
        <v>54</v>
      </c>
      <c r="V1888" s="209"/>
      <c r="W1888" s="209"/>
      <c r="X1888" s="209"/>
      <c r="Y1888" s="209"/>
      <c r="Z1888" s="209"/>
      <c r="AA1888" s="209" t="s">
        <v>54</v>
      </c>
      <c r="AB1888" s="212"/>
      <c r="AC1888" s="212"/>
    </row>
    <row r="1889" spans="1:29" outlineLevel="2" x14ac:dyDescent="0.25">
      <c r="A1889" s="201">
        <v>46021</v>
      </c>
      <c r="D1889" s="198" t="s">
        <v>54</v>
      </c>
      <c r="E1889" s="202">
        <v>80000000</v>
      </c>
      <c r="K1889" s="198" t="s">
        <v>1947</v>
      </c>
      <c r="L1889" s="198" t="s">
        <v>95</v>
      </c>
      <c r="P1889" s="201"/>
      <c r="R1889" s="202">
        <v>80000000</v>
      </c>
      <c r="U1889" s="198" t="s">
        <v>1135</v>
      </c>
      <c r="AA1889" s="198" t="s">
        <v>51</v>
      </c>
      <c r="AB1889" s="202">
        <v>80000000</v>
      </c>
      <c r="AC1889" s="202">
        <v>80000000</v>
      </c>
    </row>
    <row r="1890" spans="1:29" outlineLevel="2" x14ac:dyDescent="0.25">
      <c r="A1890" s="201">
        <v>46021</v>
      </c>
      <c r="D1890" s="198" t="s">
        <v>54</v>
      </c>
      <c r="E1890" s="202">
        <v>43194700</v>
      </c>
      <c r="K1890" s="198" t="s">
        <v>1947</v>
      </c>
      <c r="L1890" s="198" t="s">
        <v>95</v>
      </c>
      <c r="P1890" s="201"/>
      <c r="R1890" s="202">
        <v>43194700</v>
      </c>
      <c r="U1890" s="198" t="s">
        <v>1135</v>
      </c>
      <c r="AA1890" s="198" t="s">
        <v>51</v>
      </c>
      <c r="AB1890" s="202">
        <v>43194700</v>
      </c>
      <c r="AC1890" s="202">
        <v>43194700</v>
      </c>
    </row>
    <row r="1891" spans="1:29" outlineLevel="2" x14ac:dyDescent="0.25">
      <c r="A1891" s="201">
        <v>46056</v>
      </c>
      <c r="D1891" s="198" t="s">
        <v>54</v>
      </c>
      <c r="E1891" s="202">
        <v>971340</v>
      </c>
      <c r="K1891" s="198" t="s">
        <v>1947</v>
      </c>
      <c r="L1891" s="198" t="s">
        <v>95</v>
      </c>
      <c r="P1891" s="201"/>
      <c r="R1891" s="202">
        <v>971340</v>
      </c>
      <c r="U1891" s="198" t="s">
        <v>1135</v>
      </c>
      <c r="AA1891" s="198" t="s">
        <v>51</v>
      </c>
      <c r="AB1891" s="202">
        <v>971340</v>
      </c>
      <c r="AC1891" s="202">
        <v>971340</v>
      </c>
    </row>
    <row r="1892" spans="1:29" outlineLevel="2" x14ac:dyDescent="0.25">
      <c r="A1892" s="201">
        <v>46057</v>
      </c>
      <c r="D1892" s="198" t="s">
        <v>54</v>
      </c>
      <c r="E1892" s="202">
        <v>622317.93999999994</v>
      </c>
      <c r="K1892" s="198" t="s">
        <v>1947</v>
      </c>
      <c r="L1892" s="198" t="s">
        <v>95</v>
      </c>
      <c r="P1892" s="201"/>
      <c r="R1892" s="202">
        <v>622317.93999999994</v>
      </c>
      <c r="U1892" s="198" t="s">
        <v>1135</v>
      </c>
      <c r="AA1892" s="198" t="s">
        <v>51</v>
      </c>
      <c r="AB1892" s="202">
        <v>622317.93999999994</v>
      </c>
      <c r="AC1892" s="202">
        <v>622317.93999999994</v>
      </c>
    </row>
    <row r="1893" spans="1:29" outlineLevel="2" x14ac:dyDescent="0.25">
      <c r="A1893" s="201">
        <v>46112</v>
      </c>
      <c r="D1893" s="198" t="s">
        <v>54</v>
      </c>
      <c r="E1893" s="202">
        <v>-3125645.25</v>
      </c>
      <c r="K1893" s="198" t="s">
        <v>1947</v>
      </c>
      <c r="L1893" s="198" t="s">
        <v>95</v>
      </c>
      <c r="P1893" s="201"/>
      <c r="R1893" s="202">
        <v>-3125645.25</v>
      </c>
      <c r="U1893" s="198" t="s">
        <v>1135</v>
      </c>
      <c r="AA1893" s="198" t="s">
        <v>51</v>
      </c>
      <c r="AB1893" s="202">
        <v>-3125645.25</v>
      </c>
      <c r="AC1893" s="202">
        <v>-3125645.25</v>
      </c>
    </row>
    <row r="1894" spans="1:29" outlineLevel="2" x14ac:dyDescent="0.25">
      <c r="A1894" s="201">
        <v>46155</v>
      </c>
      <c r="D1894" s="198" t="s">
        <v>54</v>
      </c>
      <c r="E1894" s="202">
        <v>2756280.22</v>
      </c>
      <c r="K1894" s="198" t="s">
        <v>1947</v>
      </c>
      <c r="L1894" s="198" t="s">
        <v>95</v>
      </c>
      <c r="P1894" s="201"/>
      <c r="R1894" s="202">
        <v>2756280.22</v>
      </c>
      <c r="U1894" s="198" t="s">
        <v>1135</v>
      </c>
      <c r="AA1894" s="198" t="s">
        <v>51</v>
      </c>
      <c r="AB1894" s="202">
        <v>2756280.22</v>
      </c>
      <c r="AC1894" s="202">
        <v>2756280.22</v>
      </c>
    </row>
    <row r="1895" spans="1:29" outlineLevel="1" x14ac:dyDescent="0.25">
      <c r="A1895" s="210"/>
      <c r="B1895" s="209"/>
      <c r="C1895" s="209"/>
      <c r="D1895" s="209" t="s">
        <v>54</v>
      </c>
      <c r="E1895" s="211">
        <v>124418992.91</v>
      </c>
      <c r="F1895" s="209"/>
      <c r="G1895" s="209"/>
      <c r="H1895" s="209"/>
      <c r="I1895" s="209"/>
      <c r="J1895" s="209"/>
      <c r="K1895" s="209" t="s">
        <v>54</v>
      </c>
      <c r="L1895" s="209" t="s">
        <v>54</v>
      </c>
      <c r="M1895" s="209"/>
      <c r="N1895" s="209"/>
      <c r="O1895" s="209"/>
      <c r="P1895" s="210"/>
      <c r="Q1895" s="209"/>
      <c r="R1895" s="212"/>
      <c r="S1895" s="209"/>
      <c r="T1895" s="209"/>
      <c r="U1895" s="209" t="s">
        <v>54</v>
      </c>
      <c r="V1895" s="209"/>
      <c r="W1895" s="209"/>
      <c r="X1895" s="209"/>
      <c r="Y1895" s="209"/>
      <c r="Z1895" s="209"/>
      <c r="AA1895" s="209" t="s">
        <v>54</v>
      </c>
      <c r="AB1895" s="212"/>
      <c r="AC1895" s="212"/>
    </row>
    <row r="1896" spans="1:29" outlineLevel="2" x14ac:dyDescent="0.25">
      <c r="A1896" s="201">
        <v>46021</v>
      </c>
      <c r="D1896" s="198" t="s">
        <v>54</v>
      </c>
      <c r="E1896" s="202">
        <v>80000000</v>
      </c>
      <c r="K1896" s="198" t="s">
        <v>1948</v>
      </c>
      <c r="L1896" s="198" t="s">
        <v>95</v>
      </c>
      <c r="P1896" s="201"/>
      <c r="R1896" s="202">
        <v>80000000</v>
      </c>
      <c r="U1896" s="198" t="s">
        <v>219</v>
      </c>
      <c r="AA1896" s="198" t="s">
        <v>51</v>
      </c>
      <c r="AB1896" s="202">
        <v>80000000</v>
      </c>
      <c r="AC1896" s="202">
        <v>80000000</v>
      </c>
    </row>
    <row r="1897" spans="1:29" outlineLevel="2" x14ac:dyDescent="0.25">
      <c r="A1897" s="201">
        <v>46021</v>
      </c>
      <c r="D1897" s="198" t="s">
        <v>54</v>
      </c>
      <c r="E1897" s="202">
        <v>19058000</v>
      </c>
      <c r="K1897" s="198" t="s">
        <v>1948</v>
      </c>
      <c r="L1897" s="198" t="s">
        <v>95</v>
      </c>
      <c r="P1897" s="201"/>
      <c r="R1897" s="202">
        <v>19058000</v>
      </c>
      <c r="U1897" s="198" t="s">
        <v>219</v>
      </c>
      <c r="AA1897" s="198" t="s">
        <v>51</v>
      </c>
      <c r="AB1897" s="202">
        <v>19058000</v>
      </c>
      <c r="AC1897" s="202">
        <v>19058000</v>
      </c>
    </row>
    <row r="1898" spans="1:29" outlineLevel="2" x14ac:dyDescent="0.25">
      <c r="A1898" s="201">
        <v>46112</v>
      </c>
      <c r="D1898" s="198" t="s">
        <v>54</v>
      </c>
      <c r="E1898" s="202">
        <v>-2522420.25</v>
      </c>
      <c r="K1898" s="198" t="s">
        <v>1948</v>
      </c>
      <c r="L1898" s="198" t="s">
        <v>95</v>
      </c>
      <c r="P1898" s="201"/>
      <c r="R1898" s="202">
        <v>-2522420.25</v>
      </c>
      <c r="U1898" s="198" t="s">
        <v>219</v>
      </c>
      <c r="AA1898" s="198" t="s">
        <v>51</v>
      </c>
      <c r="AB1898" s="202">
        <v>-2522420.25</v>
      </c>
      <c r="AC1898" s="202">
        <v>-2522420.25</v>
      </c>
    </row>
    <row r="1899" spans="1:29" outlineLevel="1" x14ac:dyDescent="0.25">
      <c r="A1899" s="210"/>
      <c r="B1899" s="209"/>
      <c r="C1899" s="209"/>
      <c r="D1899" s="209" t="s">
        <v>54</v>
      </c>
      <c r="E1899" s="211">
        <v>96535579.75</v>
      </c>
      <c r="F1899" s="209"/>
      <c r="G1899" s="209"/>
      <c r="H1899" s="209"/>
      <c r="I1899" s="209"/>
      <c r="J1899" s="209"/>
      <c r="K1899" s="209" t="s">
        <v>54</v>
      </c>
      <c r="L1899" s="209" t="s">
        <v>54</v>
      </c>
      <c r="M1899" s="209"/>
      <c r="N1899" s="209"/>
      <c r="O1899" s="209"/>
      <c r="P1899" s="210"/>
      <c r="Q1899" s="209"/>
      <c r="R1899" s="212"/>
      <c r="S1899" s="209"/>
      <c r="T1899" s="209"/>
      <c r="U1899" s="209" t="s">
        <v>54</v>
      </c>
      <c r="V1899" s="209"/>
      <c r="W1899" s="209"/>
      <c r="X1899" s="209"/>
      <c r="Y1899" s="209"/>
      <c r="Z1899" s="209"/>
      <c r="AA1899" s="209" t="s">
        <v>54</v>
      </c>
      <c r="AB1899" s="212"/>
      <c r="AC1899" s="212"/>
    </row>
    <row r="1900" spans="1:29" outlineLevel="2" x14ac:dyDescent="0.25">
      <c r="A1900" s="201">
        <v>46021</v>
      </c>
      <c r="D1900" s="198" t="s">
        <v>54</v>
      </c>
      <c r="E1900" s="202">
        <v>24136700</v>
      </c>
      <c r="K1900" s="198" t="s">
        <v>1949</v>
      </c>
      <c r="L1900" s="198" t="s">
        <v>95</v>
      </c>
      <c r="P1900" s="201"/>
      <c r="R1900" s="202">
        <v>24136700</v>
      </c>
      <c r="U1900" s="198" t="s">
        <v>672</v>
      </c>
      <c r="AA1900" s="198" t="s">
        <v>51</v>
      </c>
      <c r="AB1900" s="202">
        <v>24136700</v>
      </c>
      <c r="AC1900" s="202">
        <v>24136700</v>
      </c>
    </row>
    <row r="1901" spans="1:29" outlineLevel="2" x14ac:dyDescent="0.25">
      <c r="A1901" s="201">
        <v>46056</v>
      </c>
      <c r="D1901" s="198" t="s">
        <v>54</v>
      </c>
      <c r="E1901" s="202">
        <v>971340</v>
      </c>
      <c r="K1901" s="198" t="s">
        <v>1949</v>
      </c>
      <c r="L1901" s="198" t="s">
        <v>95</v>
      </c>
      <c r="P1901" s="201"/>
      <c r="R1901" s="202">
        <v>971340</v>
      </c>
      <c r="U1901" s="198" t="s">
        <v>672</v>
      </c>
      <c r="AA1901" s="198" t="s">
        <v>51</v>
      </c>
      <c r="AB1901" s="202">
        <v>971340</v>
      </c>
      <c r="AC1901" s="202">
        <v>971340</v>
      </c>
    </row>
    <row r="1902" spans="1:29" outlineLevel="2" x14ac:dyDescent="0.25">
      <c r="A1902" s="201">
        <v>46057</v>
      </c>
      <c r="D1902" s="198" t="s">
        <v>54</v>
      </c>
      <c r="E1902" s="202">
        <v>622317.93999999994</v>
      </c>
      <c r="K1902" s="198" t="s">
        <v>1949</v>
      </c>
      <c r="L1902" s="198" t="s">
        <v>95</v>
      </c>
      <c r="P1902" s="201"/>
      <c r="R1902" s="202">
        <v>622317.93999999994</v>
      </c>
      <c r="U1902" s="198" t="s">
        <v>672</v>
      </c>
      <c r="AA1902" s="198" t="s">
        <v>51</v>
      </c>
      <c r="AB1902" s="202">
        <v>622317.93999999994</v>
      </c>
      <c r="AC1902" s="202">
        <v>622317.93999999994</v>
      </c>
    </row>
    <row r="1903" spans="1:29" outlineLevel="2" x14ac:dyDescent="0.25">
      <c r="A1903" s="201">
        <v>46112</v>
      </c>
      <c r="D1903" s="198" t="s">
        <v>54</v>
      </c>
      <c r="E1903" s="202">
        <v>-603225</v>
      </c>
      <c r="K1903" s="198" t="s">
        <v>1949</v>
      </c>
      <c r="L1903" s="198" t="s">
        <v>95</v>
      </c>
      <c r="P1903" s="201"/>
      <c r="R1903" s="202">
        <v>-603225</v>
      </c>
      <c r="U1903" s="198" t="s">
        <v>672</v>
      </c>
      <c r="AA1903" s="198" t="s">
        <v>51</v>
      </c>
      <c r="AB1903" s="202">
        <v>-603225</v>
      </c>
      <c r="AC1903" s="202">
        <v>-603225</v>
      </c>
    </row>
    <row r="1904" spans="1:29" outlineLevel="2" x14ac:dyDescent="0.25">
      <c r="A1904" s="201">
        <v>46155</v>
      </c>
      <c r="D1904" s="198" t="s">
        <v>54</v>
      </c>
      <c r="E1904" s="202">
        <v>2756280.22</v>
      </c>
      <c r="K1904" s="198" t="s">
        <v>1949</v>
      </c>
      <c r="L1904" s="198" t="s">
        <v>95</v>
      </c>
      <c r="P1904" s="201"/>
      <c r="R1904" s="202">
        <v>2756280.22</v>
      </c>
      <c r="U1904" s="198" t="s">
        <v>672</v>
      </c>
      <c r="AA1904" s="198" t="s">
        <v>51</v>
      </c>
      <c r="AB1904" s="202">
        <v>2756280.22</v>
      </c>
      <c r="AC1904" s="202">
        <v>2756280.22</v>
      </c>
    </row>
    <row r="1905" spans="1:29" outlineLevel="1" x14ac:dyDescent="0.25">
      <c r="A1905" s="210"/>
      <c r="B1905" s="209"/>
      <c r="C1905" s="209"/>
      <c r="D1905" s="209" t="s">
        <v>54</v>
      </c>
      <c r="E1905" s="211">
        <v>27883413.16</v>
      </c>
      <c r="F1905" s="209"/>
      <c r="G1905" s="209"/>
      <c r="H1905" s="209"/>
      <c r="I1905" s="209"/>
      <c r="J1905" s="209"/>
      <c r="K1905" s="209" t="s">
        <v>54</v>
      </c>
      <c r="L1905" s="209" t="s">
        <v>54</v>
      </c>
      <c r="M1905" s="209"/>
      <c r="N1905" s="209"/>
      <c r="O1905" s="209"/>
      <c r="P1905" s="210"/>
      <c r="Q1905" s="209"/>
      <c r="R1905" s="212"/>
      <c r="S1905" s="209"/>
      <c r="T1905" s="209"/>
      <c r="U1905" s="209" t="s">
        <v>54</v>
      </c>
      <c r="V1905" s="209"/>
      <c r="W1905" s="209"/>
      <c r="X1905" s="209"/>
      <c r="Y1905" s="209"/>
      <c r="Z1905" s="209"/>
      <c r="AA1905" s="209" t="s">
        <v>54</v>
      </c>
      <c r="AB1905" s="212"/>
      <c r="AC1905" s="212"/>
    </row>
    <row r="1906" spans="1:29" outlineLevel="2" x14ac:dyDescent="0.25">
      <c r="A1906" s="201">
        <v>46021</v>
      </c>
      <c r="D1906" s="198" t="s">
        <v>54</v>
      </c>
      <c r="E1906" s="202">
        <v>5765000</v>
      </c>
      <c r="K1906" s="198" t="s">
        <v>1950</v>
      </c>
      <c r="L1906" s="198" t="s">
        <v>95</v>
      </c>
      <c r="P1906" s="201"/>
      <c r="R1906" s="202">
        <v>5765000</v>
      </c>
      <c r="U1906" s="198" t="s">
        <v>734</v>
      </c>
      <c r="AA1906" s="198" t="s">
        <v>51</v>
      </c>
      <c r="AB1906" s="202">
        <v>5765000</v>
      </c>
      <c r="AC1906" s="202">
        <v>5765000</v>
      </c>
    </row>
    <row r="1907" spans="1:29" outlineLevel="2" x14ac:dyDescent="0.25">
      <c r="A1907" s="201">
        <v>46021</v>
      </c>
      <c r="D1907" s="198" t="s">
        <v>54</v>
      </c>
      <c r="E1907" s="202">
        <v>-800</v>
      </c>
      <c r="K1907" s="198" t="s">
        <v>1950</v>
      </c>
      <c r="L1907" s="198" t="s">
        <v>95</v>
      </c>
      <c r="P1907" s="201"/>
      <c r="R1907" s="202">
        <v>-800</v>
      </c>
      <c r="U1907" s="198" t="s">
        <v>734</v>
      </c>
      <c r="AA1907" s="198" t="s">
        <v>51</v>
      </c>
      <c r="AB1907" s="202">
        <v>-800</v>
      </c>
      <c r="AC1907" s="202">
        <v>-800</v>
      </c>
    </row>
    <row r="1908" spans="1:29" outlineLevel="2" x14ac:dyDescent="0.25">
      <c r="A1908" s="201">
        <v>46112</v>
      </c>
      <c r="D1908" s="198" t="s">
        <v>54</v>
      </c>
      <c r="E1908" s="202">
        <v>-271700</v>
      </c>
      <c r="K1908" s="198" t="s">
        <v>1950</v>
      </c>
      <c r="L1908" s="198" t="s">
        <v>95</v>
      </c>
      <c r="P1908" s="201"/>
      <c r="R1908" s="202">
        <v>-271700</v>
      </c>
      <c r="U1908" s="198" t="s">
        <v>734</v>
      </c>
      <c r="AA1908" s="198" t="s">
        <v>51</v>
      </c>
      <c r="AB1908" s="202">
        <v>-271700</v>
      </c>
      <c r="AC1908" s="202">
        <v>-271700</v>
      </c>
    </row>
    <row r="1909" spans="1:29" outlineLevel="1" x14ac:dyDescent="0.25">
      <c r="A1909" s="210"/>
      <c r="B1909" s="209"/>
      <c r="C1909" s="209"/>
      <c r="D1909" s="209" t="s">
        <v>54</v>
      </c>
      <c r="E1909" s="211">
        <v>5492500</v>
      </c>
      <c r="F1909" s="209"/>
      <c r="G1909" s="209"/>
      <c r="H1909" s="209"/>
      <c r="I1909" s="209"/>
      <c r="J1909" s="209"/>
      <c r="K1909" s="209" t="s">
        <v>54</v>
      </c>
      <c r="L1909" s="209" t="s">
        <v>54</v>
      </c>
      <c r="M1909" s="209"/>
      <c r="N1909" s="209"/>
      <c r="O1909" s="209"/>
      <c r="P1909" s="210"/>
      <c r="Q1909" s="209"/>
      <c r="R1909" s="212"/>
      <c r="S1909" s="209"/>
      <c r="T1909" s="209"/>
      <c r="U1909" s="209" t="s">
        <v>54</v>
      </c>
      <c r="V1909" s="209"/>
      <c r="W1909" s="209"/>
      <c r="X1909" s="209"/>
      <c r="Y1909" s="209"/>
      <c r="Z1909" s="209"/>
      <c r="AA1909" s="209" t="s">
        <v>54</v>
      </c>
      <c r="AB1909" s="212"/>
      <c r="AC1909" s="212"/>
    </row>
    <row r="1910" spans="1:29" outlineLevel="2" x14ac:dyDescent="0.25">
      <c r="A1910" s="201">
        <v>46021</v>
      </c>
      <c r="D1910" s="198" t="s">
        <v>54</v>
      </c>
      <c r="E1910" s="202">
        <v>6000000</v>
      </c>
      <c r="K1910" s="198" t="s">
        <v>1951</v>
      </c>
      <c r="L1910" s="198" t="s">
        <v>95</v>
      </c>
      <c r="P1910" s="201"/>
      <c r="R1910" s="202">
        <v>6000000</v>
      </c>
      <c r="U1910" s="198" t="s">
        <v>1136</v>
      </c>
      <c r="AA1910" s="198" t="s">
        <v>51</v>
      </c>
      <c r="AB1910" s="202">
        <v>6000000</v>
      </c>
      <c r="AC1910" s="202">
        <v>6000000</v>
      </c>
    </row>
    <row r="1911" spans="1:29" outlineLevel="2" x14ac:dyDescent="0.25">
      <c r="A1911" s="201">
        <v>46021</v>
      </c>
      <c r="D1911" s="198" t="s">
        <v>54</v>
      </c>
      <c r="E1911" s="202">
        <v>2981200</v>
      </c>
      <c r="K1911" s="198" t="s">
        <v>1951</v>
      </c>
      <c r="L1911" s="198" t="s">
        <v>95</v>
      </c>
      <c r="P1911" s="201"/>
      <c r="R1911" s="202">
        <v>2981200</v>
      </c>
      <c r="U1911" s="198" t="s">
        <v>1136</v>
      </c>
      <c r="AA1911" s="198" t="s">
        <v>51</v>
      </c>
      <c r="AB1911" s="202">
        <v>2981200</v>
      </c>
      <c r="AC1911" s="202">
        <v>2981200</v>
      </c>
    </row>
    <row r="1912" spans="1:29" outlineLevel="2" x14ac:dyDescent="0.25">
      <c r="A1912" s="201">
        <v>46056</v>
      </c>
      <c r="D1912" s="198" t="s">
        <v>54</v>
      </c>
      <c r="E1912" s="202">
        <v>345200</v>
      </c>
      <c r="K1912" s="198" t="s">
        <v>1951</v>
      </c>
      <c r="L1912" s="198" t="s">
        <v>95</v>
      </c>
      <c r="P1912" s="201"/>
      <c r="R1912" s="202">
        <v>345200</v>
      </c>
      <c r="U1912" s="198" t="s">
        <v>1136</v>
      </c>
      <c r="AA1912" s="198" t="s">
        <v>51</v>
      </c>
      <c r="AB1912" s="202">
        <v>345200</v>
      </c>
      <c r="AC1912" s="202">
        <v>345200</v>
      </c>
    </row>
    <row r="1913" spans="1:29" outlineLevel="2" x14ac:dyDescent="0.25">
      <c r="A1913" s="201">
        <v>46112</v>
      </c>
      <c r="D1913" s="198" t="s">
        <v>54</v>
      </c>
      <c r="E1913" s="202">
        <v>-229159.2</v>
      </c>
      <c r="K1913" s="198" t="s">
        <v>1951</v>
      </c>
      <c r="L1913" s="198" t="s">
        <v>95</v>
      </c>
      <c r="P1913" s="201"/>
      <c r="R1913" s="202">
        <v>-229159.2</v>
      </c>
      <c r="U1913" s="198" t="s">
        <v>1136</v>
      </c>
      <c r="AA1913" s="198" t="s">
        <v>51</v>
      </c>
      <c r="AB1913" s="202">
        <v>-229159.2</v>
      </c>
      <c r="AC1913" s="202">
        <v>-229159.2</v>
      </c>
    </row>
    <row r="1914" spans="1:29" outlineLevel="2" x14ac:dyDescent="0.25">
      <c r="A1914" s="201">
        <v>46141</v>
      </c>
      <c r="D1914" s="198" t="s">
        <v>54</v>
      </c>
      <c r="E1914" s="202">
        <v>6081000.2000000002</v>
      </c>
      <c r="K1914" s="198" t="s">
        <v>1951</v>
      </c>
      <c r="L1914" s="198" t="s">
        <v>95</v>
      </c>
      <c r="P1914" s="201"/>
      <c r="R1914" s="202">
        <v>6081000.2000000002</v>
      </c>
      <c r="U1914" s="198" t="s">
        <v>1136</v>
      </c>
      <c r="AA1914" s="198" t="s">
        <v>51</v>
      </c>
      <c r="AB1914" s="202">
        <v>6081000.2000000002</v>
      </c>
      <c r="AC1914" s="202">
        <v>6081000.2000000002</v>
      </c>
    </row>
    <row r="1915" spans="1:29" outlineLevel="1" x14ac:dyDescent="0.25">
      <c r="A1915" s="210"/>
      <c r="B1915" s="209"/>
      <c r="C1915" s="209"/>
      <c r="D1915" s="209" t="s">
        <v>54</v>
      </c>
      <c r="E1915" s="211">
        <v>15178241</v>
      </c>
      <c r="F1915" s="209"/>
      <c r="G1915" s="209"/>
      <c r="H1915" s="209"/>
      <c r="I1915" s="209"/>
      <c r="J1915" s="209"/>
      <c r="K1915" s="209" t="s">
        <v>54</v>
      </c>
      <c r="L1915" s="209" t="s">
        <v>54</v>
      </c>
      <c r="M1915" s="209"/>
      <c r="N1915" s="209"/>
      <c r="O1915" s="209"/>
      <c r="P1915" s="210"/>
      <c r="Q1915" s="209"/>
      <c r="R1915" s="212"/>
      <c r="S1915" s="209"/>
      <c r="T1915" s="209"/>
      <c r="U1915" s="209" t="s">
        <v>54</v>
      </c>
      <c r="V1915" s="209"/>
      <c r="W1915" s="209"/>
      <c r="X1915" s="209"/>
      <c r="Y1915" s="209"/>
      <c r="Z1915" s="209"/>
      <c r="AA1915" s="209" t="s">
        <v>54</v>
      </c>
      <c r="AB1915" s="212"/>
      <c r="AC1915" s="212"/>
    </row>
    <row r="1916" spans="1:29" outlineLevel="2" x14ac:dyDescent="0.25">
      <c r="A1916" s="201">
        <v>46021</v>
      </c>
      <c r="D1916" s="198" t="s">
        <v>54</v>
      </c>
      <c r="E1916" s="202">
        <v>6000000</v>
      </c>
      <c r="K1916" s="198" t="s">
        <v>1952</v>
      </c>
      <c r="L1916" s="198" t="s">
        <v>95</v>
      </c>
      <c r="P1916" s="201"/>
      <c r="R1916" s="202">
        <v>6000000</v>
      </c>
      <c r="U1916" s="198" t="s">
        <v>229</v>
      </c>
      <c r="AA1916" s="198" t="s">
        <v>51</v>
      </c>
      <c r="AB1916" s="202">
        <v>6000000</v>
      </c>
      <c r="AC1916" s="202">
        <v>6000000</v>
      </c>
    </row>
    <row r="1917" spans="1:29" outlineLevel="2" x14ac:dyDescent="0.25">
      <c r="A1917" s="201">
        <v>46021</v>
      </c>
      <c r="D1917" s="198" t="s">
        <v>54</v>
      </c>
      <c r="E1917" s="202">
        <v>-1265700</v>
      </c>
      <c r="K1917" s="198" t="s">
        <v>1952</v>
      </c>
      <c r="L1917" s="198" t="s">
        <v>95</v>
      </c>
      <c r="P1917" s="201"/>
      <c r="R1917" s="202">
        <v>-1265700</v>
      </c>
      <c r="U1917" s="198" t="s">
        <v>229</v>
      </c>
      <c r="AA1917" s="198" t="s">
        <v>51</v>
      </c>
      <c r="AB1917" s="202">
        <v>-1265700</v>
      </c>
      <c r="AC1917" s="202">
        <v>-1265700</v>
      </c>
    </row>
    <row r="1918" spans="1:29" outlineLevel="2" x14ac:dyDescent="0.25">
      <c r="A1918" s="201">
        <v>46112</v>
      </c>
      <c r="D1918" s="198" t="s">
        <v>54</v>
      </c>
      <c r="E1918" s="202">
        <v>-95290</v>
      </c>
      <c r="K1918" s="198" t="s">
        <v>1952</v>
      </c>
      <c r="L1918" s="198" t="s">
        <v>95</v>
      </c>
      <c r="P1918" s="201"/>
      <c r="R1918" s="202">
        <v>-95290</v>
      </c>
      <c r="U1918" s="198" t="s">
        <v>229</v>
      </c>
      <c r="AA1918" s="198" t="s">
        <v>51</v>
      </c>
      <c r="AB1918" s="202">
        <v>-95290</v>
      </c>
      <c r="AC1918" s="202">
        <v>-95290</v>
      </c>
    </row>
    <row r="1919" spans="1:29" outlineLevel="1" x14ac:dyDescent="0.25">
      <c r="A1919" s="210"/>
      <c r="B1919" s="209"/>
      <c r="C1919" s="209"/>
      <c r="D1919" s="209" t="s">
        <v>54</v>
      </c>
      <c r="E1919" s="211">
        <v>4639010</v>
      </c>
      <c r="F1919" s="209"/>
      <c r="G1919" s="209"/>
      <c r="H1919" s="209"/>
      <c r="I1919" s="209"/>
      <c r="J1919" s="209"/>
      <c r="K1919" s="209" t="s">
        <v>54</v>
      </c>
      <c r="L1919" s="209" t="s">
        <v>54</v>
      </c>
      <c r="M1919" s="209"/>
      <c r="N1919" s="209"/>
      <c r="O1919" s="209"/>
      <c r="P1919" s="210"/>
      <c r="Q1919" s="209"/>
      <c r="R1919" s="212"/>
      <c r="S1919" s="209"/>
      <c r="T1919" s="209"/>
      <c r="U1919" s="209" t="s">
        <v>54</v>
      </c>
      <c r="V1919" s="209"/>
      <c r="W1919" s="209"/>
      <c r="X1919" s="209"/>
      <c r="Y1919" s="209"/>
      <c r="Z1919" s="209"/>
      <c r="AA1919" s="209" t="s">
        <v>54</v>
      </c>
      <c r="AB1919" s="212"/>
      <c r="AC1919" s="212"/>
    </row>
    <row r="1920" spans="1:29" outlineLevel="2" x14ac:dyDescent="0.25">
      <c r="A1920" s="201">
        <v>46021</v>
      </c>
      <c r="D1920" s="198" t="s">
        <v>54</v>
      </c>
      <c r="E1920" s="202">
        <v>4246900</v>
      </c>
      <c r="K1920" s="198" t="s">
        <v>1953</v>
      </c>
      <c r="L1920" s="198" t="s">
        <v>95</v>
      </c>
      <c r="P1920" s="201"/>
      <c r="R1920" s="202">
        <v>4246900</v>
      </c>
      <c r="U1920" s="198" t="s">
        <v>670</v>
      </c>
      <c r="AA1920" s="198" t="s">
        <v>51</v>
      </c>
      <c r="AB1920" s="202">
        <v>4246900</v>
      </c>
      <c r="AC1920" s="202">
        <v>4246900</v>
      </c>
    </row>
    <row r="1921" spans="1:29" outlineLevel="2" x14ac:dyDescent="0.25">
      <c r="A1921" s="201">
        <v>46056</v>
      </c>
      <c r="D1921" s="198" t="s">
        <v>54</v>
      </c>
      <c r="E1921" s="202">
        <v>345200</v>
      </c>
      <c r="K1921" s="198" t="s">
        <v>1953</v>
      </c>
      <c r="L1921" s="198" t="s">
        <v>95</v>
      </c>
      <c r="P1921" s="201"/>
      <c r="R1921" s="202">
        <v>345200</v>
      </c>
      <c r="U1921" s="198" t="s">
        <v>670</v>
      </c>
      <c r="AA1921" s="198" t="s">
        <v>51</v>
      </c>
      <c r="AB1921" s="202">
        <v>345200</v>
      </c>
      <c r="AC1921" s="202">
        <v>345200</v>
      </c>
    </row>
    <row r="1922" spans="1:29" outlineLevel="2" x14ac:dyDescent="0.25">
      <c r="A1922" s="201">
        <v>46112</v>
      </c>
      <c r="D1922" s="198" t="s">
        <v>54</v>
      </c>
      <c r="E1922" s="202">
        <v>-133869.20000000001</v>
      </c>
      <c r="K1922" s="198" t="s">
        <v>1953</v>
      </c>
      <c r="L1922" s="198" t="s">
        <v>95</v>
      </c>
      <c r="P1922" s="201"/>
      <c r="R1922" s="202">
        <v>-133869.20000000001</v>
      </c>
      <c r="U1922" s="198" t="s">
        <v>670</v>
      </c>
      <c r="AA1922" s="198" t="s">
        <v>51</v>
      </c>
      <c r="AB1922" s="202">
        <v>-133869.20000000001</v>
      </c>
      <c r="AC1922" s="202">
        <v>-133869.20000000001</v>
      </c>
    </row>
    <row r="1923" spans="1:29" outlineLevel="2" x14ac:dyDescent="0.25">
      <c r="A1923" s="201">
        <v>46141</v>
      </c>
      <c r="D1923" s="198" t="s">
        <v>54</v>
      </c>
      <c r="E1923" s="202">
        <v>6081000.2000000002</v>
      </c>
      <c r="K1923" s="198" t="s">
        <v>1953</v>
      </c>
      <c r="L1923" s="198" t="s">
        <v>95</v>
      </c>
      <c r="P1923" s="201"/>
      <c r="R1923" s="202">
        <v>6081000.2000000002</v>
      </c>
      <c r="U1923" s="198" t="s">
        <v>670</v>
      </c>
      <c r="AA1923" s="198" t="s">
        <v>51</v>
      </c>
      <c r="AB1923" s="202">
        <v>6081000.2000000002</v>
      </c>
      <c r="AC1923" s="202">
        <v>6081000.2000000002</v>
      </c>
    </row>
    <row r="1924" spans="1:29" outlineLevel="1" x14ac:dyDescent="0.25">
      <c r="A1924" s="210"/>
      <c r="B1924" s="209"/>
      <c r="C1924" s="209"/>
      <c r="D1924" s="209" t="s">
        <v>54</v>
      </c>
      <c r="E1924" s="211">
        <v>10539231</v>
      </c>
      <c r="F1924" s="209"/>
      <c r="G1924" s="209"/>
      <c r="H1924" s="209"/>
      <c r="I1924" s="209"/>
      <c r="J1924" s="209"/>
      <c r="K1924" s="209" t="s">
        <v>54</v>
      </c>
      <c r="L1924" s="209" t="s">
        <v>54</v>
      </c>
      <c r="M1924" s="209"/>
      <c r="N1924" s="209"/>
      <c r="O1924" s="209"/>
      <c r="P1924" s="210"/>
      <c r="Q1924" s="209"/>
      <c r="R1924" s="212"/>
      <c r="S1924" s="209"/>
      <c r="T1924" s="209"/>
      <c r="U1924" s="209" t="s">
        <v>54</v>
      </c>
      <c r="V1924" s="209"/>
      <c r="W1924" s="209"/>
      <c r="X1924" s="209"/>
      <c r="Y1924" s="209"/>
      <c r="Z1924" s="209"/>
      <c r="AA1924" s="209" t="s">
        <v>54</v>
      </c>
      <c r="AB1924" s="212"/>
      <c r="AC1924" s="212"/>
    </row>
    <row r="1925" spans="1:29" outlineLevel="2" x14ac:dyDescent="0.25">
      <c r="A1925" s="201">
        <v>46021</v>
      </c>
      <c r="D1925" s="198" t="s">
        <v>54</v>
      </c>
      <c r="E1925" s="202">
        <v>7000000</v>
      </c>
      <c r="K1925" s="198" t="s">
        <v>1954</v>
      </c>
      <c r="L1925" s="198" t="s">
        <v>95</v>
      </c>
      <c r="P1925" s="201"/>
      <c r="R1925" s="202">
        <v>7000000</v>
      </c>
      <c r="U1925" s="198" t="s">
        <v>1137</v>
      </c>
      <c r="AA1925" s="198" t="s">
        <v>51</v>
      </c>
      <c r="AB1925" s="202">
        <v>7000000</v>
      </c>
      <c r="AC1925" s="202">
        <v>7000000</v>
      </c>
    </row>
    <row r="1926" spans="1:29" outlineLevel="2" x14ac:dyDescent="0.25">
      <c r="A1926" s="201">
        <v>46021</v>
      </c>
      <c r="D1926" s="198" t="s">
        <v>54</v>
      </c>
      <c r="E1926" s="202">
        <v>1911800</v>
      </c>
      <c r="K1926" s="198" t="s">
        <v>1954</v>
      </c>
      <c r="L1926" s="198" t="s">
        <v>95</v>
      </c>
      <c r="P1926" s="201"/>
      <c r="R1926" s="202">
        <v>1911800</v>
      </c>
      <c r="U1926" s="198" t="s">
        <v>1137</v>
      </c>
      <c r="AA1926" s="198" t="s">
        <v>51</v>
      </c>
      <c r="AB1926" s="202">
        <v>1911800</v>
      </c>
      <c r="AC1926" s="202">
        <v>1911800</v>
      </c>
    </row>
    <row r="1927" spans="1:29" outlineLevel="2" x14ac:dyDescent="0.25">
      <c r="A1927" s="201">
        <v>46056</v>
      </c>
      <c r="D1927" s="198" t="s">
        <v>54</v>
      </c>
      <c r="E1927" s="202">
        <v>76700</v>
      </c>
      <c r="K1927" s="198" t="s">
        <v>1954</v>
      </c>
      <c r="L1927" s="198" t="s">
        <v>95</v>
      </c>
      <c r="P1927" s="201"/>
      <c r="R1927" s="202">
        <v>76700</v>
      </c>
      <c r="U1927" s="198" t="s">
        <v>1137</v>
      </c>
      <c r="AA1927" s="198" t="s">
        <v>51</v>
      </c>
      <c r="AB1927" s="202">
        <v>76700</v>
      </c>
      <c r="AC1927" s="202">
        <v>76700</v>
      </c>
    </row>
    <row r="1928" spans="1:29" outlineLevel="2" x14ac:dyDescent="0.25">
      <c r="A1928" s="201">
        <v>46057</v>
      </c>
      <c r="D1928" s="198" t="s">
        <v>54</v>
      </c>
      <c r="E1928" s="202">
        <v>7248.4</v>
      </c>
      <c r="K1928" s="198" t="s">
        <v>1954</v>
      </c>
      <c r="L1928" s="198" t="s">
        <v>95</v>
      </c>
      <c r="P1928" s="201"/>
      <c r="R1928" s="202">
        <v>7248.4</v>
      </c>
      <c r="U1928" s="198" t="s">
        <v>1137</v>
      </c>
      <c r="AA1928" s="198" t="s">
        <v>51</v>
      </c>
      <c r="AB1928" s="202">
        <v>7248.4</v>
      </c>
      <c r="AC1928" s="202">
        <v>7248.4</v>
      </c>
    </row>
    <row r="1929" spans="1:29" outlineLevel="2" x14ac:dyDescent="0.25">
      <c r="A1929" s="201">
        <v>46112</v>
      </c>
      <c r="D1929" s="198" t="s">
        <v>54</v>
      </c>
      <c r="E1929" s="202">
        <v>-167550</v>
      </c>
      <c r="K1929" s="198" t="s">
        <v>1954</v>
      </c>
      <c r="L1929" s="198" t="s">
        <v>95</v>
      </c>
      <c r="P1929" s="201"/>
      <c r="R1929" s="202">
        <v>-167550</v>
      </c>
      <c r="U1929" s="198" t="s">
        <v>1137</v>
      </c>
      <c r="AA1929" s="198" t="s">
        <v>51</v>
      </c>
      <c r="AB1929" s="202">
        <v>-167550</v>
      </c>
      <c r="AC1929" s="202">
        <v>-167550</v>
      </c>
    </row>
    <row r="1930" spans="1:29" outlineLevel="2" x14ac:dyDescent="0.25">
      <c r="A1930" s="201">
        <v>46155</v>
      </c>
      <c r="D1930" s="198" t="s">
        <v>54</v>
      </c>
      <c r="E1930" s="202">
        <v>933580.6</v>
      </c>
      <c r="K1930" s="198" t="s">
        <v>1954</v>
      </c>
      <c r="L1930" s="198" t="s">
        <v>95</v>
      </c>
      <c r="P1930" s="201"/>
      <c r="R1930" s="202">
        <v>933580.6</v>
      </c>
      <c r="U1930" s="198" t="s">
        <v>1137</v>
      </c>
      <c r="AA1930" s="198" t="s">
        <v>51</v>
      </c>
      <c r="AB1930" s="202">
        <v>933580.6</v>
      </c>
      <c r="AC1930" s="202">
        <v>933580.6</v>
      </c>
    </row>
    <row r="1931" spans="1:29" outlineLevel="1" x14ac:dyDescent="0.25">
      <c r="A1931" s="210"/>
      <c r="B1931" s="209"/>
      <c r="C1931" s="209"/>
      <c r="D1931" s="209" t="s">
        <v>54</v>
      </c>
      <c r="E1931" s="211">
        <v>9761779</v>
      </c>
      <c r="F1931" s="209"/>
      <c r="G1931" s="209"/>
      <c r="H1931" s="209"/>
      <c r="I1931" s="209"/>
      <c r="J1931" s="209"/>
      <c r="K1931" s="209" t="s">
        <v>54</v>
      </c>
      <c r="L1931" s="209" t="s">
        <v>54</v>
      </c>
      <c r="M1931" s="209"/>
      <c r="N1931" s="209"/>
      <c r="O1931" s="209"/>
      <c r="P1931" s="210"/>
      <c r="Q1931" s="209"/>
      <c r="R1931" s="212"/>
      <c r="S1931" s="209"/>
      <c r="T1931" s="209"/>
      <c r="U1931" s="209" t="s">
        <v>54</v>
      </c>
      <c r="V1931" s="209"/>
      <c r="W1931" s="209"/>
      <c r="X1931" s="209"/>
      <c r="Y1931" s="209"/>
      <c r="Z1931" s="209"/>
      <c r="AA1931" s="209" t="s">
        <v>54</v>
      </c>
      <c r="AB1931" s="212"/>
      <c r="AC1931" s="212"/>
    </row>
    <row r="1932" spans="1:29" outlineLevel="2" x14ac:dyDescent="0.25">
      <c r="A1932" s="201">
        <v>46021</v>
      </c>
      <c r="D1932" s="198" t="s">
        <v>54</v>
      </c>
      <c r="E1932" s="202">
        <v>7000000</v>
      </c>
      <c r="K1932" s="198" t="s">
        <v>1955</v>
      </c>
      <c r="L1932" s="198" t="s">
        <v>95</v>
      </c>
      <c r="P1932" s="201"/>
      <c r="R1932" s="202">
        <v>7000000</v>
      </c>
      <c r="U1932" s="198" t="s">
        <v>220</v>
      </c>
      <c r="AA1932" s="198" t="s">
        <v>51</v>
      </c>
      <c r="AB1932" s="202">
        <v>7000000</v>
      </c>
      <c r="AC1932" s="202">
        <v>7000000</v>
      </c>
    </row>
    <row r="1933" spans="1:29" outlineLevel="2" x14ac:dyDescent="0.25">
      <c r="A1933" s="201">
        <v>46021</v>
      </c>
      <c r="D1933" s="198" t="s">
        <v>54</v>
      </c>
      <c r="E1933" s="202">
        <v>-45600</v>
      </c>
      <c r="K1933" s="198" t="s">
        <v>1955</v>
      </c>
      <c r="L1933" s="198" t="s">
        <v>95</v>
      </c>
      <c r="P1933" s="201"/>
      <c r="R1933" s="202">
        <v>-45600</v>
      </c>
      <c r="U1933" s="198" t="s">
        <v>220</v>
      </c>
      <c r="AA1933" s="198" t="s">
        <v>51</v>
      </c>
      <c r="AB1933" s="202">
        <v>-45600</v>
      </c>
      <c r="AC1933" s="202">
        <v>-45600</v>
      </c>
    </row>
    <row r="1934" spans="1:29" outlineLevel="2" x14ac:dyDescent="0.25">
      <c r="A1934" s="201">
        <v>46112</v>
      </c>
      <c r="D1934" s="198" t="s">
        <v>54</v>
      </c>
      <c r="E1934" s="202">
        <v>-119175</v>
      </c>
      <c r="K1934" s="198" t="s">
        <v>1955</v>
      </c>
      <c r="L1934" s="198" t="s">
        <v>95</v>
      </c>
      <c r="P1934" s="201"/>
      <c r="R1934" s="202">
        <v>-119175</v>
      </c>
      <c r="U1934" s="198" t="s">
        <v>220</v>
      </c>
      <c r="AA1934" s="198" t="s">
        <v>51</v>
      </c>
      <c r="AB1934" s="202">
        <v>-119175</v>
      </c>
      <c r="AC1934" s="202">
        <v>-119175</v>
      </c>
    </row>
    <row r="1935" spans="1:29" outlineLevel="1" x14ac:dyDescent="0.25">
      <c r="A1935" s="210"/>
      <c r="B1935" s="209"/>
      <c r="C1935" s="209"/>
      <c r="D1935" s="209" t="s">
        <v>54</v>
      </c>
      <c r="E1935" s="211">
        <v>6835225</v>
      </c>
      <c r="F1935" s="209"/>
      <c r="G1935" s="209"/>
      <c r="H1935" s="209"/>
      <c r="I1935" s="209"/>
      <c r="J1935" s="209"/>
      <c r="K1935" s="209" t="s">
        <v>54</v>
      </c>
      <c r="L1935" s="209" t="s">
        <v>54</v>
      </c>
      <c r="M1935" s="209"/>
      <c r="N1935" s="209"/>
      <c r="O1935" s="209"/>
      <c r="P1935" s="210"/>
      <c r="Q1935" s="209"/>
      <c r="R1935" s="212"/>
      <c r="S1935" s="209"/>
      <c r="T1935" s="209"/>
      <c r="U1935" s="209" t="s">
        <v>54</v>
      </c>
      <c r="V1935" s="209"/>
      <c r="W1935" s="209"/>
      <c r="X1935" s="209"/>
      <c r="Y1935" s="209"/>
      <c r="Z1935" s="209"/>
      <c r="AA1935" s="209" t="s">
        <v>54</v>
      </c>
      <c r="AB1935" s="212"/>
      <c r="AC1935" s="212"/>
    </row>
    <row r="1936" spans="1:29" outlineLevel="2" x14ac:dyDescent="0.25">
      <c r="A1936" s="201">
        <v>46021</v>
      </c>
      <c r="D1936" s="198" t="s">
        <v>54</v>
      </c>
      <c r="E1936" s="202">
        <v>1957400</v>
      </c>
      <c r="K1936" s="198" t="s">
        <v>1956</v>
      </c>
      <c r="L1936" s="198" t="s">
        <v>95</v>
      </c>
      <c r="P1936" s="201"/>
      <c r="R1936" s="202">
        <v>1957400</v>
      </c>
      <c r="U1936" s="198" t="s">
        <v>671</v>
      </c>
      <c r="AA1936" s="198" t="s">
        <v>51</v>
      </c>
      <c r="AB1936" s="202">
        <v>1957400</v>
      </c>
      <c r="AC1936" s="202">
        <v>1957400</v>
      </c>
    </row>
    <row r="1937" spans="1:29" outlineLevel="2" x14ac:dyDescent="0.25">
      <c r="A1937" s="201">
        <v>46056</v>
      </c>
      <c r="D1937" s="198" t="s">
        <v>54</v>
      </c>
      <c r="E1937" s="202">
        <v>76700</v>
      </c>
      <c r="K1937" s="198" t="s">
        <v>1956</v>
      </c>
      <c r="L1937" s="198" t="s">
        <v>95</v>
      </c>
      <c r="P1937" s="201"/>
      <c r="R1937" s="202">
        <v>76700</v>
      </c>
      <c r="U1937" s="198" t="s">
        <v>671</v>
      </c>
      <c r="AA1937" s="198" t="s">
        <v>51</v>
      </c>
      <c r="AB1937" s="202">
        <v>76700</v>
      </c>
      <c r="AC1937" s="202">
        <v>76700</v>
      </c>
    </row>
    <row r="1938" spans="1:29" outlineLevel="2" x14ac:dyDescent="0.25">
      <c r="A1938" s="201">
        <v>46057</v>
      </c>
      <c r="D1938" s="198" t="s">
        <v>54</v>
      </c>
      <c r="E1938" s="202">
        <v>7248.4</v>
      </c>
      <c r="K1938" s="198" t="s">
        <v>1956</v>
      </c>
      <c r="L1938" s="198" t="s">
        <v>95</v>
      </c>
      <c r="P1938" s="201"/>
      <c r="R1938" s="202">
        <v>7248.4</v>
      </c>
      <c r="U1938" s="198" t="s">
        <v>671</v>
      </c>
      <c r="AA1938" s="198" t="s">
        <v>51</v>
      </c>
      <c r="AB1938" s="202">
        <v>7248.4</v>
      </c>
      <c r="AC1938" s="202">
        <v>7248.4</v>
      </c>
    </row>
    <row r="1939" spans="1:29" outlineLevel="2" x14ac:dyDescent="0.25">
      <c r="A1939" s="201">
        <v>46112</v>
      </c>
      <c r="D1939" s="198" t="s">
        <v>54</v>
      </c>
      <c r="E1939" s="202">
        <v>-48375</v>
      </c>
      <c r="K1939" s="198" t="s">
        <v>1956</v>
      </c>
      <c r="L1939" s="198" t="s">
        <v>95</v>
      </c>
      <c r="P1939" s="201"/>
      <c r="R1939" s="202">
        <v>-48375</v>
      </c>
      <c r="U1939" s="198" t="s">
        <v>671</v>
      </c>
      <c r="AA1939" s="198" t="s">
        <v>51</v>
      </c>
      <c r="AB1939" s="202">
        <v>-48375</v>
      </c>
      <c r="AC1939" s="202">
        <v>-48375</v>
      </c>
    </row>
    <row r="1940" spans="1:29" outlineLevel="2" x14ac:dyDescent="0.25">
      <c r="A1940" s="201">
        <v>46155</v>
      </c>
      <c r="D1940" s="198" t="s">
        <v>54</v>
      </c>
      <c r="E1940" s="202">
        <v>933580.6</v>
      </c>
      <c r="K1940" s="198" t="s">
        <v>1956</v>
      </c>
      <c r="L1940" s="198" t="s">
        <v>95</v>
      </c>
      <c r="P1940" s="201"/>
      <c r="R1940" s="202">
        <v>933580.6</v>
      </c>
      <c r="U1940" s="198" t="s">
        <v>671</v>
      </c>
      <c r="AA1940" s="198" t="s">
        <v>51</v>
      </c>
      <c r="AB1940" s="202">
        <v>933580.6</v>
      </c>
      <c r="AC1940" s="202">
        <v>933580.6</v>
      </c>
    </row>
    <row r="1941" spans="1:29" outlineLevel="1" x14ac:dyDescent="0.25">
      <c r="A1941" s="210"/>
      <c r="B1941" s="209"/>
      <c r="C1941" s="209"/>
      <c r="D1941" s="209" t="s">
        <v>54</v>
      </c>
      <c r="E1941" s="211">
        <v>2926554</v>
      </c>
      <c r="F1941" s="209"/>
      <c r="G1941" s="209"/>
      <c r="H1941" s="209"/>
      <c r="I1941" s="209"/>
      <c r="J1941" s="209"/>
      <c r="K1941" s="209" t="s">
        <v>54</v>
      </c>
      <c r="L1941" s="209" t="s">
        <v>54</v>
      </c>
      <c r="M1941" s="209"/>
      <c r="N1941" s="209"/>
      <c r="O1941" s="209"/>
      <c r="P1941" s="210"/>
      <c r="Q1941" s="209"/>
      <c r="R1941" s="212"/>
      <c r="S1941" s="209"/>
      <c r="T1941" s="209"/>
      <c r="U1941" s="209" t="s">
        <v>54</v>
      </c>
      <c r="V1941" s="209"/>
      <c r="W1941" s="209"/>
      <c r="X1941" s="209"/>
      <c r="Y1941" s="209"/>
      <c r="Z1941" s="209"/>
      <c r="AA1941" s="209" t="s">
        <v>54</v>
      </c>
      <c r="AB1941" s="212"/>
      <c r="AC1941" s="212"/>
    </row>
    <row r="1942" spans="1:29" outlineLevel="2" x14ac:dyDescent="0.25">
      <c r="A1942" s="201">
        <v>46021</v>
      </c>
      <c r="D1942" s="198" t="s">
        <v>54</v>
      </c>
      <c r="E1942" s="202">
        <v>1987000</v>
      </c>
      <c r="K1942" s="198" t="s">
        <v>1957</v>
      </c>
      <c r="L1942" s="198" t="s">
        <v>95</v>
      </c>
      <c r="P1942" s="201"/>
      <c r="R1942" s="202">
        <v>1987000</v>
      </c>
      <c r="U1942" s="198" t="s">
        <v>1138</v>
      </c>
      <c r="AA1942" s="198" t="s">
        <v>51</v>
      </c>
      <c r="AB1942" s="202">
        <v>1987000</v>
      </c>
      <c r="AC1942" s="202">
        <v>1987000</v>
      </c>
    </row>
    <row r="1943" spans="1:29" outlineLevel="2" x14ac:dyDescent="0.25">
      <c r="A1943" s="201">
        <v>46021</v>
      </c>
      <c r="D1943" s="198" t="s">
        <v>54</v>
      </c>
      <c r="E1943" s="202">
        <v>-300</v>
      </c>
      <c r="K1943" s="198" t="s">
        <v>1957</v>
      </c>
      <c r="L1943" s="198" t="s">
        <v>95</v>
      </c>
      <c r="P1943" s="201"/>
      <c r="R1943" s="202">
        <v>-300</v>
      </c>
      <c r="U1943" s="198" t="s">
        <v>1138</v>
      </c>
      <c r="AA1943" s="198" t="s">
        <v>51</v>
      </c>
      <c r="AB1943" s="202">
        <v>-300</v>
      </c>
      <c r="AC1943" s="202">
        <v>-300</v>
      </c>
    </row>
    <row r="1944" spans="1:29" outlineLevel="1" x14ac:dyDescent="0.25">
      <c r="A1944" s="210"/>
      <c r="B1944" s="209"/>
      <c r="C1944" s="209"/>
      <c r="D1944" s="209" t="s">
        <v>54</v>
      </c>
      <c r="E1944" s="211">
        <v>1986700</v>
      </c>
      <c r="F1944" s="209"/>
      <c r="G1944" s="209"/>
      <c r="H1944" s="209"/>
      <c r="I1944" s="209"/>
      <c r="J1944" s="209"/>
      <c r="K1944" s="209" t="s">
        <v>54</v>
      </c>
      <c r="L1944" s="209" t="s">
        <v>54</v>
      </c>
      <c r="M1944" s="209"/>
      <c r="N1944" s="209"/>
      <c r="O1944" s="209"/>
      <c r="P1944" s="210"/>
      <c r="Q1944" s="209"/>
      <c r="R1944" s="212"/>
      <c r="S1944" s="209"/>
      <c r="T1944" s="209"/>
      <c r="U1944" s="209" t="s">
        <v>54</v>
      </c>
      <c r="V1944" s="209"/>
      <c r="W1944" s="209"/>
      <c r="X1944" s="209"/>
      <c r="Y1944" s="209"/>
      <c r="Z1944" s="209"/>
      <c r="AA1944" s="209" t="s">
        <v>54</v>
      </c>
      <c r="AB1944" s="212"/>
      <c r="AC1944" s="212"/>
    </row>
    <row r="1945" spans="1:29" outlineLevel="2" x14ac:dyDescent="0.25">
      <c r="A1945" s="201">
        <v>46021</v>
      </c>
      <c r="D1945" s="198" t="s">
        <v>54</v>
      </c>
      <c r="E1945" s="202">
        <v>1987000</v>
      </c>
      <c r="K1945" s="198" t="s">
        <v>1958</v>
      </c>
      <c r="L1945" s="198" t="s">
        <v>95</v>
      </c>
      <c r="P1945" s="201"/>
      <c r="R1945" s="202">
        <v>1987000</v>
      </c>
      <c r="U1945" s="198" t="s">
        <v>1139</v>
      </c>
      <c r="AA1945" s="198" t="s">
        <v>51</v>
      </c>
      <c r="AB1945" s="202">
        <v>1987000</v>
      </c>
      <c r="AC1945" s="202">
        <v>1987000</v>
      </c>
    </row>
    <row r="1946" spans="1:29" outlineLevel="2" x14ac:dyDescent="0.25">
      <c r="A1946" s="201">
        <v>46021</v>
      </c>
      <c r="D1946" s="198" t="s">
        <v>54</v>
      </c>
      <c r="E1946" s="202">
        <v>-300</v>
      </c>
      <c r="K1946" s="198" t="s">
        <v>1958</v>
      </c>
      <c r="L1946" s="198" t="s">
        <v>95</v>
      </c>
      <c r="P1946" s="201"/>
      <c r="R1946" s="202">
        <v>-300</v>
      </c>
      <c r="U1946" s="198" t="s">
        <v>1139</v>
      </c>
      <c r="AA1946" s="198" t="s">
        <v>51</v>
      </c>
      <c r="AB1946" s="202">
        <v>-300</v>
      </c>
      <c r="AC1946" s="202">
        <v>-300</v>
      </c>
    </row>
    <row r="1947" spans="1:29" outlineLevel="1" x14ac:dyDescent="0.25">
      <c r="A1947" s="210"/>
      <c r="B1947" s="209"/>
      <c r="C1947" s="209"/>
      <c r="D1947" s="209" t="s">
        <v>54</v>
      </c>
      <c r="E1947" s="211">
        <v>1986700</v>
      </c>
      <c r="F1947" s="209"/>
      <c r="G1947" s="209"/>
      <c r="H1947" s="209"/>
      <c r="I1947" s="209"/>
      <c r="J1947" s="209"/>
      <c r="K1947" s="209" t="s">
        <v>54</v>
      </c>
      <c r="L1947" s="209" t="s">
        <v>54</v>
      </c>
      <c r="M1947" s="209"/>
      <c r="N1947" s="209"/>
      <c r="O1947" s="209"/>
      <c r="P1947" s="210"/>
      <c r="Q1947" s="209"/>
      <c r="R1947" s="212"/>
      <c r="S1947" s="209"/>
      <c r="T1947" s="209"/>
      <c r="U1947" s="209" t="s">
        <v>54</v>
      </c>
      <c r="V1947" s="209"/>
      <c r="W1947" s="209"/>
      <c r="X1947" s="209"/>
      <c r="Y1947" s="209"/>
      <c r="Z1947" s="209"/>
      <c r="AA1947" s="209" t="s">
        <v>54</v>
      </c>
      <c r="AB1947" s="212"/>
      <c r="AC1947" s="212"/>
    </row>
    <row r="1948" spans="1:29" outlineLevel="2" x14ac:dyDescent="0.25">
      <c r="A1948" s="201">
        <v>46021</v>
      </c>
      <c r="D1948" s="198" t="s">
        <v>54</v>
      </c>
      <c r="E1948" s="202">
        <v>21957000</v>
      </c>
      <c r="K1948" s="198" t="s">
        <v>1959</v>
      </c>
      <c r="L1948" s="198" t="s">
        <v>95</v>
      </c>
      <c r="P1948" s="201"/>
      <c r="R1948" s="202">
        <v>21957000</v>
      </c>
      <c r="U1948" s="198" t="s">
        <v>208</v>
      </c>
      <c r="AA1948" s="198" t="s">
        <v>51</v>
      </c>
      <c r="AB1948" s="202">
        <v>21957000</v>
      </c>
      <c r="AC1948" s="202">
        <v>21957000</v>
      </c>
    </row>
    <row r="1949" spans="1:29" outlineLevel="2" x14ac:dyDescent="0.25">
      <c r="A1949" s="201">
        <v>46021</v>
      </c>
      <c r="D1949" s="198" t="s">
        <v>54</v>
      </c>
      <c r="E1949" s="202">
        <v>-500</v>
      </c>
      <c r="K1949" s="198" t="s">
        <v>1959</v>
      </c>
      <c r="L1949" s="198" t="s">
        <v>95</v>
      </c>
      <c r="P1949" s="201"/>
      <c r="R1949" s="202">
        <v>-500</v>
      </c>
      <c r="U1949" s="198" t="s">
        <v>208</v>
      </c>
      <c r="AA1949" s="198" t="s">
        <v>51</v>
      </c>
      <c r="AB1949" s="202">
        <v>-500</v>
      </c>
      <c r="AC1949" s="202">
        <v>-500</v>
      </c>
    </row>
    <row r="1950" spans="1:29" outlineLevel="1" x14ac:dyDescent="0.25">
      <c r="A1950" s="210"/>
      <c r="B1950" s="209"/>
      <c r="C1950" s="209"/>
      <c r="D1950" s="209" t="s">
        <v>54</v>
      </c>
      <c r="E1950" s="211">
        <v>21956500</v>
      </c>
      <c r="F1950" s="209"/>
      <c r="G1950" s="209"/>
      <c r="H1950" s="209"/>
      <c r="I1950" s="209"/>
      <c r="J1950" s="209"/>
      <c r="K1950" s="209" t="s">
        <v>54</v>
      </c>
      <c r="L1950" s="209" t="s">
        <v>54</v>
      </c>
      <c r="M1950" s="209"/>
      <c r="N1950" s="209"/>
      <c r="O1950" s="209"/>
      <c r="P1950" s="210"/>
      <c r="Q1950" s="209"/>
      <c r="R1950" s="212"/>
      <c r="S1950" s="209"/>
      <c r="T1950" s="209"/>
      <c r="U1950" s="209" t="s">
        <v>54</v>
      </c>
      <c r="V1950" s="209"/>
      <c r="W1950" s="209"/>
      <c r="X1950" s="209"/>
      <c r="Y1950" s="209"/>
      <c r="Z1950" s="209"/>
      <c r="AA1950" s="209" t="s">
        <v>54</v>
      </c>
      <c r="AB1950" s="212"/>
      <c r="AC1950" s="212"/>
    </row>
    <row r="1951" spans="1:29" outlineLevel="2" x14ac:dyDescent="0.25">
      <c r="A1951" s="201">
        <v>46021</v>
      </c>
      <c r="D1951" s="198" t="s">
        <v>54</v>
      </c>
      <c r="E1951" s="202">
        <v>10535000</v>
      </c>
      <c r="K1951" s="198" t="s">
        <v>1960</v>
      </c>
      <c r="L1951" s="198" t="s">
        <v>95</v>
      </c>
      <c r="P1951" s="201"/>
      <c r="R1951" s="202">
        <v>10535000</v>
      </c>
      <c r="U1951" s="198" t="s">
        <v>733</v>
      </c>
      <c r="AA1951" s="198" t="s">
        <v>51</v>
      </c>
      <c r="AB1951" s="202">
        <v>10535000</v>
      </c>
      <c r="AC1951" s="202">
        <v>10535000</v>
      </c>
    </row>
    <row r="1952" spans="1:29" outlineLevel="2" x14ac:dyDescent="0.25">
      <c r="A1952" s="201">
        <v>46021</v>
      </c>
      <c r="D1952" s="198" t="s">
        <v>54</v>
      </c>
      <c r="E1952" s="202">
        <v>-800</v>
      </c>
      <c r="K1952" s="198" t="s">
        <v>1960</v>
      </c>
      <c r="L1952" s="198" t="s">
        <v>95</v>
      </c>
      <c r="P1952" s="201"/>
      <c r="R1952" s="202">
        <v>-800</v>
      </c>
      <c r="U1952" s="198" t="s">
        <v>733</v>
      </c>
      <c r="AA1952" s="198" t="s">
        <v>51</v>
      </c>
      <c r="AB1952" s="202">
        <v>-800</v>
      </c>
      <c r="AC1952" s="202">
        <v>-800</v>
      </c>
    </row>
    <row r="1953" spans="1:29" outlineLevel="1" x14ac:dyDescent="0.25">
      <c r="A1953" s="210"/>
      <c r="B1953" s="209"/>
      <c r="C1953" s="209"/>
      <c r="D1953" s="209" t="s">
        <v>54</v>
      </c>
      <c r="E1953" s="211">
        <v>10534200</v>
      </c>
      <c r="F1953" s="209"/>
      <c r="G1953" s="209"/>
      <c r="H1953" s="209"/>
      <c r="I1953" s="209"/>
      <c r="J1953" s="209"/>
      <c r="K1953" s="209" t="s">
        <v>54</v>
      </c>
      <c r="L1953" s="209" t="s">
        <v>54</v>
      </c>
      <c r="M1953" s="209"/>
      <c r="N1953" s="209"/>
      <c r="O1953" s="209"/>
      <c r="P1953" s="210"/>
      <c r="Q1953" s="209"/>
      <c r="R1953" s="212"/>
      <c r="S1953" s="209"/>
      <c r="T1953" s="209"/>
      <c r="U1953" s="209" t="s">
        <v>54</v>
      </c>
      <c r="V1953" s="209"/>
      <c r="W1953" s="209"/>
      <c r="X1953" s="209"/>
      <c r="Y1953" s="209"/>
      <c r="Z1953" s="209"/>
      <c r="AA1953" s="209" t="s">
        <v>54</v>
      </c>
      <c r="AB1953" s="212"/>
      <c r="AC1953" s="212"/>
    </row>
    <row r="1954" spans="1:29" outlineLevel="2" x14ac:dyDescent="0.25">
      <c r="A1954" s="201">
        <v>46021</v>
      </c>
      <c r="D1954" s="198" t="s">
        <v>54</v>
      </c>
      <c r="E1954" s="202">
        <v>630115621.89999998</v>
      </c>
      <c r="K1954" s="198" t="s">
        <v>1961</v>
      </c>
      <c r="L1954" s="198" t="s">
        <v>89</v>
      </c>
      <c r="P1954" s="201"/>
      <c r="R1954" s="202">
        <v>630115621.89999998</v>
      </c>
      <c r="U1954" s="198" t="s">
        <v>89</v>
      </c>
      <c r="AA1954" s="198" t="s">
        <v>51</v>
      </c>
      <c r="AB1954" s="202">
        <v>630115621.89999998</v>
      </c>
      <c r="AC1954" s="202">
        <v>630115621.89999998</v>
      </c>
    </row>
    <row r="1955" spans="1:29" outlineLevel="2" x14ac:dyDescent="0.25">
      <c r="A1955" s="201">
        <v>46021</v>
      </c>
      <c r="D1955" s="198" t="s">
        <v>54</v>
      </c>
      <c r="E1955" s="202">
        <v>172061730.22</v>
      </c>
      <c r="K1955" s="198" t="s">
        <v>1961</v>
      </c>
      <c r="L1955" s="198" t="s">
        <v>89</v>
      </c>
      <c r="P1955" s="201"/>
      <c r="R1955" s="202">
        <v>172061730.22</v>
      </c>
      <c r="U1955" s="198" t="s">
        <v>89</v>
      </c>
      <c r="AA1955" s="198" t="s">
        <v>51</v>
      </c>
      <c r="AB1955" s="202">
        <v>172061730.22</v>
      </c>
      <c r="AC1955" s="202">
        <v>172061730.22</v>
      </c>
    </row>
    <row r="1956" spans="1:29" outlineLevel="2" x14ac:dyDescent="0.25">
      <c r="A1956" s="201">
        <v>46021</v>
      </c>
      <c r="D1956" s="198" t="s">
        <v>54</v>
      </c>
      <c r="E1956" s="202">
        <v>69800278.099999994</v>
      </c>
      <c r="K1956" s="198" t="s">
        <v>1961</v>
      </c>
      <c r="L1956" s="198" t="s">
        <v>89</v>
      </c>
      <c r="P1956" s="201"/>
      <c r="R1956" s="202">
        <v>69800278.099999994</v>
      </c>
      <c r="U1956" s="198" t="s">
        <v>89</v>
      </c>
      <c r="AA1956" s="198" t="s">
        <v>51</v>
      </c>
      <c r="AB1956" s="202">
        <v>69800278.099999994</v>
      </c>
      <c r="AC1956" s="202">
        <v>69800278.099999994</v>
      </c>
    </row>
    <row r="1957" spans="1:29" outlineLevel="2" x14ac:dyDescent="0.25">
      <c r="A1957" s="201">
        <v>46022</v>
      </c>
      <c r="D1957" s="198" t="s">
        <v>54</v>
      </c>
      <c r="E1957" s="202">
        <v>4096000</v>
      </c>
      <c r="K1957" s="198" t="s">
        <v>1961</v>
      </c>
      <c r="L1957" s="198" t="s">
        <v>89</v>
      </c>
      <c r="P1957" s="201"/>
      <c r="R1957" s="202">
        <v>4096000</v>
      </c>
      <c r="U1957" s="198" t="s">
        <v>89</v>
      </c>
      <c r="AA1957" s="198" t="s">
        <v>51</v>
      </c>
      <c r="AB1957" s="202">
        <v>4096000</v>
      </c>
      <c r="AC1957" s="202">
        <v>4096000</v>
      </c>
    </row>
    <row r="1958" spans="1:29" outlineLevel="2" x14ac:dyDescent="0.25">
      <c r="A1958" s="201">
        <v>46022</v>
      </c>
      <c r="D1958" s="198" t="s">
        <v>54</v>
      </c>
      <c r="E1958" s="202">
        <v>6935235</v>
      </c>
      <c r="K1958" s="198" t="s">
        <v>1961</v>
      </c>
      <c r="L1958" s="198" t="s">
        <v>89</v>
      </c>
      <c r="P1958" s="201"/>
      <c r="R1958" s="202">
        <v>6935235</v>
      </c>
      <c r="U1958" s="198" t="s">
        <v>89</v>
      </c>
      <c r="AA1958" s="198" t="s">
        <v>51</v>
      </c>
      <c r="AB1958" s="202">
        <v>6935235</v>
      </c>
      <c r="AC1958" s="202">
        <v>6935235</v>
      </c>
    </row>
    <row r="1959" spans="1:29" outlineLevel="2" x14ac:dyDescent="0.25">
      <c r="A1959" s="201">
        <v>46037</v>
      </c>
      <c r="D1959" s="198" t="s">
        <v>54</v>
      </c>
      <c r="E1959" s="202">
        <v>5529080</v>
      </c>
      <c r="K1959" s="198" t="s">
        <v>1961</v>
      </c>
      <c r="L1959" s="198" t="s">
        <v>89</v>
      </c>
      <c r="P1959" s="201"/>
      <c r="R1959" s="202">
        <v>5529080</v>
      </c>
      <c r="U1959" s="198" t="s">
        <v>89</v>
      </c>
      <c r="AA1959" s="198" t="s">
        <v>51</v>
      </c>
      <c r="AB1959" s="202">
        <v>5529080</v>
      </c>
      <c r="AC1959" s="202">
        <v>5529080</v>
      </c>
    </row>
    <row r="1960" spans="1:29" outlineLevel="2" x14ac:dyDescent="0.25">
      <c r="A1960" s="201">
        <v>46043</v>
      </c>
      <c r="D1960" s="198" t="s">
        <v>54</v>
      </c>
      <c r="E1960" s="202">
        <v>10400000</v>
      </c>
      <c r="K1960" s="198" t="s">
        <v>1961</v>
      </c>
      <c r="L1960" s="198" t="s">
        <v>89</v>
      </c>
      <c r="P1960" s="201"/>
      <c r="R1960" s="202">
        <v>10400000</v>
      </c>
      <c r="U1960" s="198" t="s">
        <v>89</v>
      </c>
      <c r="AA1960" s="198" t="s">
        <v>51</v>
      </c>
      <c r="AB1960" s="202">
        <v>10400000</v>
      </c>
      <c r="AC1960" s="202">
        <v>10400000</v>
      </c>
    </row>
    <row r="1961" spans="1:29" outlineLevel="2" x14ac:dyDescent="0.25">
      <c r="A1961" s="201">
        <v>46044</v>
      </c>
      <c r="D1961" s="198" t="s">
        <v>54</v>
      </c>
      <c r="E1961" s="202">
        <v>2000000</v>
      </c>
      <c r="K1961" s="198" t="s">
        <v>1961</v>
      </c>
      <c r="L1961" s="198" t="s">
        <v>89</v>
      </c>
      <c r="P1961" s="201"/>
      <c r="R1961" s="202">
        <v>2000000</v>
      </c>
      <c r="U1961" s="198" t="s">
        <v>89</v>
      </c>
      <c r="AA1961" s="198" t="s">
        <v>51</v>
      </c>
      <c r="AB1961" s="202">
        <v>2000000</v>
      </c>
      <c r="AC1961" s="202">
        <v>2000000</v>
      </c>
    </row>
    <row r="1962" spans="1:29" outlineLevel="2" x14ac:dyDescent="0.25">
      <c r="A1962" s="201">
        <v>46052</v>
      </c>
      <c r="D1962" s="198" t="s">
        <v>54</v>
      </c>
      <c r="E1962" s="202">
        <v>437370</v>
      </c>
      <c r="K1962" s="198" t="s">
        <v>1961</v>
      </c>
      <c r="L1962" s="198" t="s">
        <v>89</v>
      </c>
      <c r="P1962" s="201"/>
      <c r="R1962" s="202">
        <v>437370</v>
      </c>
      <c r="U1962" s="198" t="s">
        <v>89</v>
      </c>
      <c r="AA1962" s="198" t="s">
        <v>51</v>
      </c>
      <c r="AB1962" s="202">
        <v>437370</v>
      </c>
      <c r="AC1962" s="202">
        <v>437370</v>
      </c>
    </row>
    <row r="1963" spans="1:29" outlineLevel="2" x14ac:dyDescent="0.25">
      <c r="A1963" s="201">
        <v>46052</v>
      </c>
      <c r="D1963" s="198" t="s">
        <v>54</v>
      </c>
      <c r="E1963" s="202">
        <v>107935</v>
      </c>
      <c r="K1963" s="198" t="s">
        <v>1961</v>
      </c>
      <c r="L1963" s="198" t="s">
        <v>89</v>
      </c>
      <c r="P1963" s="201"/>
      <c r="R1963" s="202">
        <v>107935</v>
      </c>
      <c r="U1963" s="198" t="s">
        <v>89</v>
      </c>
      <c r="AA1963" s="198" t="s">
        <v>51</v>
      </c>
      <c r="AB1963" s="202">
        <v>107935</v>
      </c>
      <c r="AC1963" s="202">
        <v>107935</v>
      </c>
    </row>
    <row r="1964" spans="1:29" outlineLevel="2" x14ac:dyDescent="0.25">
      <c r="A1964" s="201">
        <v>46052</v>
      </c>
      <c r="D1964" s="198" t="s">
        <v>54</v>
      </c>
      <c r="E1964" s="202">
        <v>2882735</v>
      </c>
      <c r="K1964" s="198" t="s">
        <v>1961</v>
      </c>
      <c r="L1964" s="198" t="s">
        <v>89</v>
      </c>
      <c r="P1964" s="201"/>
      <c r="R1964" s="202">
        <v>2882735</v>
      </c>
      <c r="U1964" s="198" t="s">
        <v>89</v>
      </c>
      <c r="AA1964" s="198" t="s">
        <v>51</v>
      </c>
      <c r="AB1964" s="202">
        <v>2882735</v>
      </c>
      <c r="AC1964" s="202">
        <v>2882735</v>
      </c>
    </row>
    <row r="1965" spans="1:29" outlineLevel="2" x14ac:dyDescent="0.25">
      <c r="A1965" s="201">
        <v>46057</v>
      </c>
      <c r="D1965" s="198" t="s">
        <v>54</v>
      </c>
      <c r="E1965" s="202">
        <v>1514759.62</v>
      </c>
      <c r="K1965" s="198" t="s">
        <v>1961</v>
      </c>
      <c r="L1965" s="198" t="s">
        <v>89</v>
      </c>
      <c r="P1965" s="201"/>
      <c r="R1965" s="202">
        <v>1514759.62</v>
      </c>
      <c r="U1965" s="198" t="s">
        <v>89</v>
      </c>
      <c r="AA1965" s="198" t="s">
        <v>51</v>
      </c>
      <c r="AB1965" s="202">
        <v>1514759.62</v>
      </c>
      <c r="AC1965" s="202">
        <v>1514759.62</v>
      </c>
    </row>
    <row r="1966" spans="1:29" outlineLevel="2" x14ac:dyDescent="0.25">
      <c r="A1966" s="201">
        <v>46059</v>
      </c>
      <c r="D1966" s="198" t="s">
        <v>54</v>
      </c>
      <c r="E1966" s="202">
        <v>11426400</v>
      </c>
      <c r="K1966" s="198" t="s">
        <v>1961</v>
      </c>
      <c r="L1966" s="198" t="s">
        <v>89</v>
      </c>
      <c r="P1966" s="201"/>
      <c r="R1966" s="202">
        <v>11426400</v>
      </c>
      <c r="U1966" s="198" t="s">
        <v>89</v>
      </c>
      <c r="AA1966" s="198" t="s">
        <v>51</v>
      </c>
      <c r="AB1966" s="202">
        <v>11426400</v>
      </c>
      <c r="AC1966" s="202">
        <v>11426400</v>
      </c>
    </row>
    <row r="1967" spans="1:29" outlineLevel="2" x14ac:dyDescent="0.25">
      <c r="A1967" s="201">
        <v>46065</v>
      </c>
      <c r="D1967" s="198" t="s">
        <v>54</v>
      </c>
      <c r="E1967" s="202">
        <v>9827504</v>
      </c>
      <c r="K1967" s="198" t="s">
        <v>1961</v>
      </c>
      <c r="L1967" s="198" t="s">
        <v>89</v>
      </c>
      <c r="P1967" s="201"/>
      <c r="R1967" s="202">
        <v>9827504</v>
      </c>
      <c r="U1967" s="198" t="s">
        <v>89</v>
      </c>
      <c r="AA1967" s="198" t="s">
        <v>51</v>
      </c>
      <c r="AB1967" s="202">
        <v>9827504</v>
      </c>
      <c r="AC1967" s="202">
        <v>9827504</v>
      </c>
    </row>
    <row r="1968" spans="1:29" outlineLevel="2" x14ac:dyDescent="0.25">
      <c r="A1968" s="201">
        <v>46066</v>
      </c>
      <c r="D1968" s="198" t="s">
        <v>54</v>
      </c>
      <c r="E1968" s="202">
        <v>7488000</v>
      </c>
      <c r="K1968" s="198" t="s">
        <v>1961</v>
      </c>
      <c r="L1968" s="198" t="s">
        <v>89</v>
      </c>
      <c r="P1968" s="201"/>
      <c r="R1968" s="202">
        <v>7488000</v>
      </c>
      <c r="U1968" s="198" t="s">
        <v>89</v>
      </c>
      <c r="AA1968" s="198" t="s">
        <v>51</v>
      </c>
      <c r="AB1968" s="202">
        <v>7488000</v>
      </c>
      <c r="AC1968" s="202">
        <v>7488000</v>
      </c>
    </row>
    <row r="1969" spans="1:29" outlineLevel="2" x14ac:dyDescent="0.25">
      <c r="A1969" s="201">
        <v>46071</v>
      </c>
      <c r="D1969" s="198" t="s">
        <v>54</v>
      </c>
      <c r="E1969" s="202">
        <v>2076462.55</v>
      </c>
      <c r="K1969" s="198" t="s">
        <v>1961</v>
      </c>
      <c r="L1969" s="198" t="s">
        <v>89</v>
      </c>
      <c r="P1969" s="201"/>
      <c r="R1969" s="202">
        <v>2076462.55</v>
      </c>
      <c r="U1969" s="198" t="s">
        <v>89</v>
      </c>
      <c r="AA1969" s="198" t="s">
        <v>51</v>
      </c>
      <c r="AB1969" s="202">
        <v>2076462.55</v>
      </c>
      <c r="AC1969" s="202">
        <v>2076462.55</v>
      </c>
    </row>
    <row r="1970" spans="1:29" outlineLevel="2" x14ac:dyDescent="0.25">
      <c r="A1970" s="201">
        <v>46077</v>
      </c>
      <c r="D1970" s="198" t="s">
        <v>54</v>
      </c>
      <c r="E1970" s="202">
        <v>345000</v>
      </c>
      <c r="K1970" s="198" t="s">
        <v>1961</v>
      </c>
      <c r="L1970" s="198" t="s">
        <v>89</v>
      </c>
      <c r="P1970" s="201"/>
      <c r="R1970" s="202">
        <v>345000</v>
      </c>
      <c r="U1970" s="198" t="s">
        <v>89</v>
      </c>
      <c r="AA1970" s="198" t="s">
        <v>51</v>
      </c>
      <c r="AB1970" s="202">
        <v>345000</v>
      </c>
      <c r="AC1970" s="202">
        <v>345000</v>
      </c>
    </row>
    <row r="1971" spans="1:29" outlineLevel="2" x14ac:dyDescent="0.25">
      <c r="A1971" s="201">
        <v>46077</v>
      </c>
      <c r="D1971" s="198" t="s">
        <v>54</v>
      </c>
      <c r="E1971" s="202">
        <v>330200</v>
      </c>
      <c r="K1971" s="198" t="s">
        <v>1961</v>
      </c>
      <c r="L1971" s="198" t="s">
        <v>89</v>
      </c>
      <c r="P1971" s="201"/>
      <c r="R1971" s="202">
        <v>330200</v>
      </c>
      <c r="U1971" s="198" t="s">
        <v>89</v>
      </c>
      <c r="AA1971" s="198" t="s">
        <v>51</v>
      </c>
      <c r="AB1971" s="202">
        <v>330200</v>
      </c>
      <c r="AC1971" s="202">
        <v>330200</v>
      </c>
    </row>
    <row r="1972" spans="1:29" outlineLevel="2" x14ac:dyDescent="0.25">
      <c r="A1972" s="201">
        <v>46113</v>
      </c>
      <c r="D1972" s="198" t="s">
        <v>54</v>
      </c>
      <c r="E1972" s="202">
        <v>-2129666.31</v>
      </c>
      <c r="K1972" s="198" t="s">
        <v>1961</v>
      </c>
      <c r="L1972" s="198" t="s">
        <v>89</v>
      </c>
      <c r="P1972" s="201"/>
      <c r="R1972" s="202">
        <v>-2129666.31</v>
      </c>
      <c r="U1972" s="198" t="s">
        <v>89</v>
      </c>
      <c r="AA1972" s="198" t="s">
        <v>51</v>
      </c>
      <c r="AB1972" s="202">
        <v>-2129666.31</v>
      </c>
      <c r="AC1972" s="202">
        <v>-2129666.31</v>
      </c>
    </row>
    <row r="1973" spans="1:29" outlineLevel="2" x14ac:dyDescent="0.25">
      <c r="A1973" s="201">
        <v>46115</v>
      </c>
      <c r="D1973" s="198" t="s">
        <v>54</v>
      </c>
      <c r="E1973" s="202">
        <v>282870621.68000001</v>
      </c>
      <c r="K1973" s="198" t="s">
        <v>1961</v>
      </c>
      <c r="L1973" s="198" t="s">
        <v>89</v>
      </c>
      <c r="P1973" s="201"/>
      <c r="R1973" s="202">
        <v>282870621.68000001</v>
      </c>
      <c r="U1973" s="198" t="s">
        <v>89</v>
      </c>
      <c r="AA1973" s="198" t="s">
        <v>51</v>
      </c>
      <c r="AB1973" s="202">
        <v>282870621.68000001</v>
      </c>
      <c r="AC1973" s="202">
        <v>282870621.68000001</v>
      </c>
    </row>
    <row r="1974" spans="1:29" outlineLevel="2" x14ac:dyDescent="0.25">
      <c r="A1974" s="201">
        <v>46136</v>
      </c>
      <c r="D1974" s="198" t="s">
        <v>54</v>
      </c>
      <c r="E1974" s="202">
        <v>13889270</v>
      </c>
      <c r="K1974" s="198" t="s">
        <v>1961</v>
      </c>
      <c r="L1974" s="198" t="s">
        <v>89</v>
      </c>
      <c r="P1974" s="201"/>
      <c r="R1974" s="202">
        <v>13889270</v>
      </c>
      <c r="U1974" s="198" t="s">
        <v>89</v>
      </c>
      <c r="AA1974" s="198" t="s">
        <v>51</v>
      </c>
      <c r="AB1974" s="202">
        <v>13889270</v>
      </c>
      <c r="AC1974" s="202">
        <v>13889270</v>
      </c>
    </row>
    <row r="1975" spans="1:29" outlineLevel="2" x14ac:dyDescent="0.25">
      <c r="A1975" s="201">
        <v>46139</v>
      </c>
      <c r="D1975" s="198" t="s">
        <v>54</v>
      </c>
      <c r="E1975" s="202">
        <v>3589600</v>
      </c>
      <c r="K1975" s="198" t="s">
        <v>1961</v>
      </c>
      <c r="L1975" s="198" t="s">
        <v>89</v>
      </c>
      <c r="P1975" s="201"/>
      <c r="R1975" s="202">
        <v>3589600</v>
      </c>
      <c r="U1975" s="198" t="s">
        <v>89</v>
      </c>
      <c r="AA1975" s="198" t="s">
        <v>51</v>
      </c>
      <c r="AB1975" s="202">
        <v>3589600</v>
      </c>
      <c r="AC1975" s="202">
        <v>3589600</v>
      </c>
    </row>
    <row r="1976" spans="1:29" outlineLevel="2" x14ac:dyDescent="0.25">
      <c r="A1976" s="201">
        <v>46139</v>
      </c>
      <c r="D1976" s="198" t="s">
        <v>54</v>
      </c>
      <c r="E1976" s="202">
        <v>9545140</v>
      </c>
      <c r="K1976" s="198" t="s">
        <v>1961</v>
      </c>
      <c r="L1976" s="198" t="s">
        <v>89</v>
      </c>
      <c r="P1976" s="201"/>
      <c r="R1976" s="202">
        <v>9545140</v>
      </c>
      <c r="U1976" s="198" t="s">
        <v>89</v>
      </c>
      <c r="AA1976" s="198" t="s">
        <v>51</v>
      </c>
      <c r="AB1976" s="202">
        <v>9545140</v>
      </c>
      <c r="AC1976" s="202">
        <v>9545140</v>
      </c>
    </row>
    <row r="1977" spans="1:29" outlineLevel="2" x14ac:dyDescent="0.25">
      <c r="A1977" s="201">
        <v>46139</v>
      </c>
      <c r="D1977" s="198" t="s">
        <v>54</v>
      </c>
      <c r="E1977" s="202">
        <v>2809200</v>
      </c>
      <c r="K1977" s="198" t="s">
        <v>1961</v>
      </c>
      <c r="L1977" s="198" t="s">
        <v>89</v>
      </c>
      <c r="P1977" s="201"/>
      <c r="R1977" s="202">
        <v>2809200</v>
      </c>
      <c r="U1977" s="198" t="s">
        <v>89</v>
      </c>
      <c r="AA1977" s="198" t="s">
        <v>51</v>
      </c>
      <c r="AB1977" s="202">
        <v>2809200</v>
      </c>
      <c r="AC1977" s="202">
        <v>2809200</v>
      </c>
    </row>
    <row r="1978" spans="1:29" outlineLevel="2" x14ac:dyDescent="0.25">
      <c r="A1978" s="201">
        <v>46139</v>
      </c>
      <c r="D1978" s="198" t="s">
        <v>54</v>
      </c>
      <c r="E1978" s="202">
        <v>4510865.25</v>
      </c>
      <c r="K1978" s="198" t="s">
        <v>1961</v>
      </c>
      <c r="L1978" s="198" t="s">
        <v>89</v>
      </c>
      <c r="P1978" s="201"/>
      <c r="R1978" s="202">
        <v>4510865.25</v>
      </c>
      <c r="U1978" s="198" t="s">
        <v>89</v>
      </c>
      <c r="AA1978" s="198" t="s">
        <v>51</v>
      </c>
      <c r="AB1978" s="202">
        <v>4510865.25</v>
      </c>
      <c r="AC1978" s="202">
        <v>4510865.25</v>
      </c>
    </row>
    <row r="1979" spans="1:29" outlineLevel="2" x14ac:dyDescent="0.25">
      <c r="A1979" s="201">
        <v>46141</v>
      </c>
      <c r="D1979" s="198" t="s">
        <v>54</v>
      </c>
      <c r="E1979" s="202">
        <v>13681000</v>
      </c>
      <c r="K1979" s="198" t="s">
        <v>1961</v>
      </c>
      <c r="L1979" s="198" t="s">
        <v>89</v>
      </c>
      <c r="P1979" s="201"/>
      <c r="R1979" s="202">
        <v>13681000</v>
      </c>
      <c r="U1979" s="198" t="s">
        <v>89</v>
      </c>
      <c r="AA1979" s="198" t="s">
        <v>51</v>
      </c>
      <c r="AB1979" s="202">
        <v>13681000</v>
      </c>
      <c r="AC1979" s="202">
        <v>13681000</v>
      </c>
    </row>
    <row r="1980" spans="1:29" outlineLevel="2" x14ac:dyDescent="0.25">
      <c r="A1980" s="201">
        <v>46147</v>
      </c>
      <c r="D1980" s="198" t="s">
        <v>54</v>
      </c>
      <c r="E1980" s="202">
        <v>24433945</v>
      </c>
      <c r="K1980" s="198" t="s">
        <v>1961</v>
      </c>
      <c r="L1980" s="198" t="s">
        <v>89</v>
      </c>
      <c r="P1980" s="201"/>
      <c r="R1980" s="202">
        <v>24433945</v>
      </c>
      <c r="U1980" s="198" t="s">
        <v>89</v>
      </c>
      <c r="AA1980" s="198" t="s">
        <v>51</v>
      </c>
      <c r="AB1980" s="202">
        <v>24433945</v>
      </c>
      <c r="AC1980" s="202">
        <v>24433945</v>
      </c>
    </row>
    <row r="1981" spans="1:29" outlineLevel="2" x14ac:dyDescent="0.25">
      <c r="A1981" s="201">
        <v>46147</v>
      </c>
      <c r="D1981" s="198" t="s">
        <v>54</v>
      </c>
      <c r="E1981" s="202">
        <v>17432249.699999999</v>
      </c>
      <c r="K1981" s="198" t="s">
        <v>1961</v>
      </c>
      <c r="L1981" s="198" t="s">
        <v>89</v>
      </c>
      <c r="P1981" s="201"/>
      <c r="R1981" s="202">
        <v>17432249.699999999</v>
      </c>
      <c r="U1981" s="198" t="s">
        <v>89</v>
      </c>
      <c r="AA1981" s="198" t="s">
        <v>51</v>
      </c>
      <c r="AB1981" s="202">
        <v>17432249.699999999</v>
      </c>
      <c r="AC1981" s="202">
        <v>17432249.699999999</v>
      </c>
    </row>
    <row r="1982" spans="1:29" outlineLevel="2" x14ac:dyDescent="0.25">
      <c r="A1982" s="201">
        <v>46162</v>
      </c>
      <c r="D1982" s="198" t="s">
        <v>54</v>
      </c>
      <c r="E1982" s="202">
        <v>47461500</v>
      </c>
      <c r="K1982" s="198" t="s">
        <v>1961</v>
      </c>
      <c r="L1982" s="198" t="s">
        <v>89</v>
      </c>
      <c r="P1982" s="201"/>
      <c r="R1982" s="202">
        <v>47461500</v>
      </c>
      <c r="U1982" s="198" t="s">
        <v>89</v>
      </c>
      <c r="AA1982" s="198" t="s">
        <v>51</v>
      </c>
      <c r="AB1982" s="202">
        <v>47461500</v>
      </c>
      <c r="AC1982" s="202">
        <v>47461500</v>
      </c>
    </row>
    <row r="1983" spans="1:29" outlineLevel="2" x14ac:dyDescent="0.25">
      <c r="A1983" s="201">
        <v>46162</v>
      </c>
      <c r="D1983" s="198" t="s">
        <v>54</v>
      </c>
      <c r="E1983" s="202">
        <v>1000</v>
      </c>
      <c r="K1983" s="198" t="s">
        <v>1961</v>
      </c>
      <c r="L1983" s="198" t="s">
        <v>89</v>
      </c>
      <c r="P1983" s="201"/>
      <c r="R1983" s="202">
        <v>1000</v>
      </c>
      <c r="U1983" s="198" t="s">
        <v>89</v>
      </c>
      <c r="AA1983" s="198" t="s">
        <v>51</v>
      </c>
      <c r="AB1983" s="202">
        <v>1000</v>
      </c>
      <c r="AC1983" s="202">
        <v>1000</v>
      </c>
    </row>
    <row r="1984" spans="1:29" outlineLevel="2" x14ac:dyDescent="0.25">
      <c r="A1984" s="201">
        <v>46168</v>
      </c>
      <c r="D1984" s="198" t="s">
        <v>54</v>
      </c>
      <c r="E1984" s="202">
        <v>3668986.9</v>
      </c>
      <c r="K1984" s="198" t="s">
        <v>1961</v>
      </c>
      <c r="L1984" s="198" t="s">
        <v>89</v>
      </c>
      <c r="P1984" s="201"/>
      <c r="R1984" s="202">
        <v>3668986.9</v>
      </c>
      <c r="U1984" s="198" t="s">
        <v>89</v>
      </c>
      <c r="AA1984" s="198" t="s">
        <v>51</v>
      </c>
      <c r="AB1984" s="202">
        <v>3668986.9</v>
      </c>
      <c r="AC1984" s="202">
        <v>3668986.9</v>
      </c>
    </row>
    <row r="1985" spans="1:29" outlineLevel="1" x14ac:dyDescent="0.25">
      <c r="A1985" s="210"/>
      <c r="B1985" s="209"/>
      <c r="C1985" s="209"/>
      <c r="D1985" s="209" t="s">
        <v>54</v>
      </c>
      <c r="E1985" s="211">
        <v>1359138023.6099999</v>
      </c>
      <c r="F1985" s="209"/>
      <c r="G1985" s="209"/>
      <c r="H1985" s="209"/>
      <c r="I1985" s="209"/>
      <c r="J1985" s="209"/>
      <c r="K1985" s="209" t="s">
        <v>54</v>
      </c>
      <c r="L1985" s="209" t="s">
        <v>54</v>
      </c>
      <c r="M1985" s="209"/>
      <c r="N1985" s="209"/>
      <c r="O1985" s="209"/>
      <c r="P1985" s="210"/>
      <c r="Q1985" s="209"/>
      <c r="R1985" s="212"/>
      <c r="S1985" s="209"/>
      <c r="T1985" s="209"/>
      <c r="U1985" s="209" t="s">
        <v>54</v>
      </c>
      <c r="V1985" s="209"/>
      <c r="W1985" s="209"/>
      <c r="X1985" s="209"/>
      <c r="Y1985" s="209"/>
      <c r="Z1985" s="209"/>
      <c r="AA1985" s="209" t="s">
        <v>54</v>
      </c>
      <c r="AB1985" s="212"/>
      <c r="AC1985" s="212"/>
    </row>
    <row r="1986" spans="1:29" outlineLevel="2" x14ac:dyDescent="0.25">
      <c r="A1986" s="201">
        <v>46021</v>
      </c>
      <c r="D1986" s="198" t="s">
        <v>54</v>
      </c>
      <c r="E1986" s="202">
        <v>17582400</v>
      </c>
      <c r="K1986" s="198" t="s">
        <v>1962</v>
      </c>
      <c r="L1986" s="198" t="s">
        <v>89</v>
      </c>
      <c r="P1986" s="201"/>
      <c r="R1986" s="202">
        <v>17582400</v>
      </c>
      <c r="U1986" s="198" t="s">
        <v>241</v>
      </c>
      <c r="AA1986" s="198" t="s">
        <v>51</v>
      </c>
      <c r="AB1986" s="202">
        <v>17582400</v>
      </c>
      <c r="AC1986" s="202">
        <v>17582400</v>
      </c>
    </row>
    <row r="1987" spans="1:29" outlineLevel="2" x14ac:dyDescent="0.25">
      <c r="A1987" s="201">
        <v>46022</v>
      </c>
      <c r="D1987" s="198" t="s">
        <v>54</v>
      </c>
      <c r="E1987" s="202">
        <v>4096000</v>
      </c>
      <c r="K1987" s="198" t="s">
        <v>1962</v>
      </c>
      <c r="L1987" s="198" t="s">
        <v>89</v>
      </c>
      <c r="P1987" s="201"/>
      <c r="R1987" s="202">
        <v>4096000</v>
      </c>
      <c r="U1987" s="198" t="s">
        <v>241</v>
      </c>
      <c r="AA1987" s="198" t="s">
        <v>51</v>
      </c>
      <c r="AB1987" s="202">
        <v>4096000</v>
      </c>
      <c r="AC1987" s="202">
        <v>4096000</v>
      </c>
    </row>
    <row r="1988" spans="1:29" outlineLevel="2" x14ac:dyDescent="0.25">
      <c r="A1988" s="201">
        <v>46059</v>
      </c>
      <c r="D1988" s="198" t="s">
        <v>54</v>
      </c>
      <c r="E1988" s="202">
        <v>11426400</v>
      </c>
      <c r="K1988" s="198" t="s">
        <v>1962</v>
      </c>
      <c r="L1988" s="198" t="s">
        <v>89</v>
      </c>
      <c r="P1988" s="201"/>
      <c r="R1988" s="202">
        <v>11426400</v>
      </c>
      <c r="U1988" s="198" t="s">
        <v>241</v>
      </c>
      <c r="AA1988" s="198" t="s">
        <v>51</v>
      </c>
      <c r="AB1988" s="202">
        <v>11426400</v>
      </c>
      <c r="AC1988" s="202">
        <v>11426400</v>
      </c>
    </row>
    <row r="1989" spans="1:29" outlineLevel="1" x14ac:dyDescent="0.25">
      <c r="A1989" s="210"/>
      <c r="B1989" s="209"/>
      <c r="C1989" s="209"/>
      <c r="D1989" s="209" t="s">
        <v>54</v>
      </c>
      <c r="E1989" s="211">
        <v>33104800</v>
      </c>
      <c r="F1989" s="209"/>
      <c r="G1989" s="209"/>
      <c r="H1989" s="209"/>
      <c r="I1989" s="209"/>
      <c r="J1989" s="209"/>
      <c r="K1989" s="209" t="s">
        <v>54</v>
      </c>
      <c r="L1989" s="209" t="s">
        <v>54</v>
      </c>
      <c r="M1989" s="209"/>
      <c r="N1989" s="209"/>
      <c r="O1989" s="209"/>
      <c r="P1989" s="210"/>
      <c r="Q1989" s="209"/>
      <c r="R1989" s="212"/>
      <c r="S1989" s="209"/>
      <c r="T1989" s="209"/>
      <c r="U1989" s="209" t="s">
        <v>54</v>
      </c>
      <c r="V1989" s="209"/>
      <c r="W1989" s="209"/>
      <c r="X1989" s="209"/>
      <c r="Y1989" s="209"/>
      <c r="Z1989" s="209"/>
      <c r="AA1989" s="209" t="s">
        <v>54</v>
      </c>
      <c r="AB1989" s="212"/>
      <c r="AC1989" s="212"/>
    </row>
    <row r="1990" spans="1:29" outlineLevel="2" x14ac:dyDescent="0.25">
      <c r="A1990" s="201">
        <v>46021</v>
      </c>
      <c r="D1990" s="198" t="s">
        <v>54</v>
      </c>
      <c r="E1990" s="202">
        <v>24171264</v>
      </c>
      <c r="K1990" s="198" t="s">
        <v>1963</v>
      </c>
      <c r="L1990" s="198" t="s">
        <v>89</v>
      </c>
      <c r="P1990" s="201"/>
      <c r="R1990" s="202">
        <v>24171264</v>
      </c>
      <c r="U1990" s="198" t="s">
        <v>1140</v>
      </c>
      <c r="AA1990" s="198" t="s">
        <v>51</v>
      </c>
      <c r="AB1990" s="202">
        <v>24171264</v>
      </c>
      <c r="AC1990" s="202">
        <v>24171264</v>
      </c>
    </row>
    <row r="1991" spans="1:29" outlineLevel="2" x14ac:dyDescent="0.25">
      <c r="A1991" s="201">
        <v>46162</v>
      </c>
      <c r="D1991" s="198" t="s">
        <v>54</v>
      </c>
      <c r="E1991" s="202">
        <v>47461500</v>
      </c>
      <c r="K1991" s="198" t="s">
        <v>1963</v>
      </c>
      <c r="L1991" s="198" t="s">
        <v>89</v>
      </c>
      <c r="P1991" s="201"/>
      <c r="R1991" s="202">
        <v>47461500</v>
      </c>
      <c r="U1991" s="198" t="s">
        <v>1140</v>
      </c>
      <c r="AA1991" s="198" t="s">
        <v>51</v>
      </c>
      <c r="AB1991" s="202">
        <v>47461500</v>
      </c>
      <c r="AC1991" s="202">
        <v>47461500</v>
      </c>
    </row>
    <row r="1992" spans="1:29" outlineLevel="2" x14ac:dyDescent="0.25">
      <c r="A1992" s="201">
        <v>46162</v>
      </c>
      <c r="D1992" s="198" t="s">
        <v>54</v>
      </c>
      <c r="E1992" s="202">
        <v>1000</v>
      </c>
      <c r="K1992" s="198" t="s">
        <v>1963</v>
      </c>
      <c r="L1992" s="198" t="s">
        <v>89</v>
      </c>
      <c r="P1992" s="201"/>
      <c r="R1992" s="202">
        <v>1000</v>
      </c>
      <c r="U1992" s="198" t="s">
        <v>1140</v>
      </c>
      <c r="AA1992" s="198" t="s">
        <v>51</v>
      </c>
      <c r="AB1992" s="202">
        <v>1000</v>
      </c>
      <c r="AC1992" s="202">
        <v>1000</v>
      </c>
    </row>
    <row r="1993" spans="1:29" outlineLevel="1" x14ac:dyDescent="0.25">
      <c r="A1993" s="210"/>
      <c r="B1993" s="209"/>
      <c r="C1993" s="209"/>
      <c r="D1993" s="209" t="s">
        <v>54</v>
      </c>
      <c r="E1993" s="211">
        <v>71633764</v>
      </c>
      <c r="F1993" s="209"/>
      <c r="G1993" s="209"/>
      <c r="H1993" s="209"/>
      <c r="I1993" s="209"/>
      <c r="J1993" s="209"/>
      <c r="K1993" s="209" t="s">
        <v>54</v>
      </c>
      <c r="L1993" s="209" t="s">
        <v>54</v>
      </c>
      <c r="M1993" s="209"/>
      <c r="N1993" s="209"/>
      <c r="O1993" s="209"/>
      <c r="P1993" s="210"/>
      <c r="Q1993" s="209"/>
      <c r="R1993" s="212"/>
      <c r="S1993" s="209"/>
      <c r="T1993" s="209"/>
      <c r="U1993" s="209" t="s">
        <v>54</v>
      </c>
      <c r="V1993" s="209"/>
      <c r="W1993" s="209"/>
      <c r="X1993" s="209"/>
      <c r="Y1993" s="209"/>
      <c r="Z1993" s="209"/>
      <c r="AA1993" s="209" t="s">
        <v>54</v>
      </c>
      <c r="AB1993" s="212"/>
      <c r="AC1993" s="212"/>
    </row>
    <row r="1994" spans="1:29" outlineLevel="2" x14ac:dyDescent="0.25">
      <c r="A1994" s="201">
        <v>46162</v>
      </c>
      <c r="D1994" s="198" t="s">
        <v>54</v>
      </c>
      <c r="E1994" s="202">
        <v>47461500</v>
      </c>
      <c r="K1994" s="198" t="s">
        <v>1964</v>
      </c>
      <c r="L1994" s="198" t="s">
        <v>89</v>
      </c>
      <c r="P1994" s="201"/>
      <c r="R1994" s="202">
        <v>47461500</v>
      </c>
      <c r="U1994" s="198" t="s">
        <v>1532</v>
      </c>
      <c r="AA1994" s="198" t="s">
        <v>51</v>
      </c>
      <c r="AB1994" s="202">
        <v>47461500</v>
      </c>
      <c r="AC1994" s="202">
        <v>47461500</v>
      </c>
    </row>
    <row r="1995" spans="1:29" outlineLevel="2" x14ac:dyDescent="0.25">
      <c r="A1995" s="201">
        <v>46162</v>
      </c>
      <c r="D1995" s="198" t="s">
        <v>54</v>
      </c>
      <c r="E1995" s="202">
        <v>1000</v>
      </c>
      <c r="K1995" s="198" t="s">
        <v>1964</v>
      </c>
      <c r="L1995" s="198" t="s">
        <v>89</v>
      </c>
      <c r="P1995" s="201"/>
      <c r="R1995" s="202">
        <v>1000</v>
      </c>
      <c r="U1995" s="198" t="s">
        <v>1532</v>
      </c>
      <c r="AA1995" s="198" t="s">
        <v>51</v>
      </c>
      <c r="AB1995" s="202">
        <v>1000</v>
      </c>
      <c r="AC1995" s="202">
        <v>1000</v>
      </c>
    </row>
    <row r="1996" spans="1:29" outlineLevel="1" x14ac:dyDescent="0.25">
      <c r="A1996" s="210"/>
      <c r="B1996" s="209"/>
      <c r="C1996" s="209"/>
      <c r="D1996" s="209" t="s">
        <v>54</v>
      </c>
      <c r="E1996" s="211">
        <v>47462500</v>
      </c>
      <c r="F1996" s="209"/>
      <c r="G1996" s="209"/>
      <c r="H1996" s="209"/>
      <c r="I1996" s="209"/>
      <c r="J1996" s="209"/>
      <c r="K1996" s="209" t="s">
        <v>54</v>
      </c>
      <c r="L1996" s="209" t="s">
        <v>54</v>
      </c>
      <c r="M1996" s="209"/>
      <c r="N1996" s="209"/>
      <c r="O1996" s="209"/>
      <c r="P1996" s="210"/>
      <c r="Q1996" s="209"/>
      <c r="R1996" s="212"/>
      <c r="S1996" s="209"/>
      <c r="T1996" s="209"/>
      <c r="U1996" s="209" t="s">
        <v>54</v>
      </c>
      <c r="V1996" s="209"/>
      <c r="W1996" s="209"/>
      <c r="X1996" s="209"/>
      <c r="Y1996" s="209"/>
      <c r="Z1996" s="209"/>
      <c r="AA1996" s="209" t="s">
        <v>54</v>
      </c>
      <c r="AB1996" s="212"/>
      <c r="AC1996" s="212"/>
    </row>
    <row r="1997" spans="1:29" outlineLevel="2" x14ac:dyDescent="0.25">
      <c r="A1997" s="201">
        <v>46021</v>
      </c>
      <c r="D1997" s="198" t="s">
        <v>54</v>
      </c>
      <c r="E1997" s="202">
        <v>24171264</v>
      </c>
      <c r="K1997" s="198" t="s">
        <v>1965</v>
      </c>
      <c r="L1997" s="198" t="s">
        <v>89</v>
      </c>
      <c r="P1997" s="201"/>
      <c r="R1997" s="202">
        <v>24171264</v>
      </c>
      <c r="U1997" s="198" t="s">
        <v>240</v>
      </c>
      <c r="AA1997" s="198" t="s">
        <v>51</v>
      </c>
      <c r="AB1997" s="202">
        <v>24171264</v>
      </c>
      <c r="AC1997" s="202">
        <v>24171264</v>
      </c>
    </row>
    <row r="1998" spans="1:29" outlineLevel="1" x14ac:dyDescent="0.25">
      <c r="A1998" s="210"/>
      <c r="B1998" s="209"/>
      <c r="C1998" s="209"/>
      <c r="D1998" s="209" t="s">
        <v>54</v>
      </c>
      <c r="E1998" s="211">
        <v>24171264</v>
      </c>
      <c r="F1998" s="209"/>
      <c r="G1998" s="209"/>
      <c r="H1998" s="209"/>
      <c r="I1998" s="209"/>
      <c r="J1998" s="209"/>
      <c r="K1998" s="209" t="s">
        <v>54</v>
      </c>
      <c r="L1998" s="209" t="s">
        <v>54</v>
      </c>
      <c r="M1998" s="209"/>
      <c r="N1998" s="209"/>
      <c r="O1998" s="209"/>
      <c r="P1998" s="210"/>
      <c r="Q1998" s="209"/>
      <c r="R1998" s="212"/>
      <c r="S1998" s="209"/>
      <c r="T1998" s="209"/>
      <c r="U1998" s="209" t="s">
        <v>54</v>
      </c>
      <c r="V1998" s="209"/>
      <c r="W1998" s="209"/>
      <c r="X1998" s="209"/>
      <c r="Y1998" s="209"/>
      <c r="Z1998" s="209"/>
      <c r="AA1998" s="209" t="s">
        <v>54</v>
      </c>
      <c r="AB1998" s="212"/>
      <c r="AC1998" s="212"/>
    </row>
    <row r="1999" spans="1:29" outlineLevel="2" x14ac:dyDescent="0.25">
      <c r="A1999" s="201">
        <v>46021</v>
      </c>
      <c r="D1999" s="198" t="s">
        <v>54</v>
      </c>
      <c r="E1999" s="202">
        <v>130308066.22</v>
      </c>
      <c r="K1999" s="198" t="s">
        <v>1966</v>
      </c>
      <c r="L1999" s="198" t="s">
        <v>89</v>
      </c>
      <c r="P1999" s="201"/>
      <c r="R1999" s="202">
        <v>130308066.22</v>
      </c>
      <c r="U1999" s="198" t="s">
        <v>1141</v>
      </c>
      <c r="AA1999" s="198" t="s">
        <v>51</v>
      </c>
      <c r="AB1999" s="202">
        <v>130308066.22</v>
      </c>
      <c r="AC1999" s="202">
        <v>130308066.22</v>
      </c>
    </row>
    <row r="2000" spans="1:29" outlineLevel="2" x14ac:dyDescent="0.25">
      <c r="A2000" s="201">
        <v>46071</v>
      </c>
      <c r="D2000" s="198" t="s">
        <v>54</v>
      </c>
      <c r="E2000" s="202">
        <v>2076462.55</v>
      </c>
      <c r="K2000" s="198" t="s">
        <v>1966</v>
      </c>
      <c r="L2000" s="198" t="s">
        <v>89</v>
      </c>
      <c r="P2000" s="201"/>
      <c r="R2000" s="202">
        <v>2076462.55</v>
      </c>
      <c r="U2000" s="198" t="s">
        <v>1141</v>
      </c>
      <c r="AA2000" s="198" t="s">
        <v>51</v>
      </c>
      <c r="AB2000" s="202">
        <v>2076462.55</v>
      </c>
      <c r="AC2000" s="202">
        <v>2076462.55</v>
      </c>
    </row>
    <row r="2001" spans="1:29" outlineLevel="2" x14ac:dyDescent="0.25">
      <c r="A2001" s="201">
        <v>46136</v>
      </c>
      <c r="D2001" s="198" t="s">
        <v>54</v>
      </c>
      <c r="E2001" s="202">
        <v>13889270</v>
      </c>
      <c r="K2001" s="198" t="s">
        <v>1966</v>
      </c>
      <c r="L2001" s="198" t="s">
        <v>89</v>
      </c>
      <c r="P2001" s="201"/>
      <c r="R2001" s="202">
        <v>13889270</v>
      </c>
      <c r="U2001" s="198" t="s">
        <v>1141</v>
      </c>
      <c r="AA2001" s="198" t="s">
        <v>51</v>
      </c>
      <c r="AB2001" s="202">
        <v>13889270</v>
      </c>
      <c r="AC2001" s="202">
        <v>13889270</v>
      </c>
    </row>
    <row r="2002" spans="1:29" outlineLevel="1" x14ac:dyDescent="0.25">
      <c r="A2002" s="210"/>
      <c r="B2002" s="209"/>
      <c r="C2002" s="209"/>
      <c r="D2002" s="209" t="s">
        <v>54</v>
      </c>
      <c r="E2002" s="211">
        <v>146273798.77000001</v>
      </c>
      <c r="F2002" s="209"/>
      <c r="G2002" s="209"/>
      <c r="H2002" s="209"/>
      <c r="I2002" s="209"/>
      <c r="J2002" s="209"/>
      <c r="K2002" s="209" t="s">
        <v>54</v>
      </c>
      <c r="L2002" s="209" t="s">
        <v>54</v>
      </c>
      <c r="M2002" s="209"/>
      <c r="N2002" s="209"/>
      <c r="O2002" s="209"/>
      <c r="P2002" s="210"/>
      <c r="Q2002" s="209"/>
      <c r="R2002" s="212"/>
      <c r="S2002" s="209"/>
      <c r="T2002" s="209"/>
      <c r="U2002" s="209" t="s">
        <v>54</v>
      </c>
      <c r="V2002" s="209"/>
      <c r="W2002" s="209"/>
      <c r="X2002" s="209"/>
      <c r="Y2002" s="209"/>
      <c r="Z2002" s="209"/>
      <c r="AA2002" s="209" t="s">
        <v>54</v>
      </c>
      <c r="AB2002" s="212"/>
      <c r="AC2002" s="212"/>
    </row>
    <row r="2003" spans="1:29" outlineLevel="2" x14ac:dyDescent="0.25">
      <c r="A2003" s="201">
        <v>46021</v>
      </c>
      <c r="D2003" s="198" t="s">
        <v>54</v>
      </c>
      <c r="E2003" s="202">
        <v>2070000</v>
      </c>
      <c r="K2003" s="198" t="s">
        <v>1967</v>
      </c>
      <c r="L2003" s="198" t="s">
        <v>89</v>
      </c>
      <c r="P2003" s="201"/>
      <c r="R2003" s="202">
        <v>2070000</v>
      </c>
      <c r="U2003" s="198" t="s">
        <v>244</v>
      </c>
      <c r="AA2003" s="198" t="s">
        <v>51</v>
      </c>
      <c r="AB2003" s="202">
        <v>2070000</v>
      </c>
      <c r="AC2003" s="202">
        <v>2070000</v>
      </c>
    </row>
    <row r="2004" spans="1:29" outlineLevel="1" x14ac:dyDescent="0.25">
      <c r="A2004" s="210"/>
      <c r="B2004" s="209"/>
      <c r="C2004" s="209"/>
      <c r="D2004" s="209" t="s">
        <v>54</v>
      </c>
      <c r="E2004" s="211">
        <v>2070000</v>
      </c>
      <c r="F2004" s="209"/>
      <c r="G2004" s="209"/>
      <c r="H2004" s="209"/>
      <c r="I2004" s="209"/>
      <c r="J2004" s="209"/>
      <c r="K2004" s="209" t="s">
        <v>54</v>
      </c>
      <c r="L2004" s="209" t="s">
        <v>54</v>
      </c>
      <c r="M2004" s="209"/>
      <c r="N2004" s="209"/>
      <c r="O2004" s="209"/>
      <c r="P2004" s="210"/>
      <c r="Q2004" s="209"/>
      <c r="R2004" s="212"/>
      <c r="S2004" s="209"/>
      <c r="T2004" s="209"/>
      <c r="U2004" s="209" t="s">
        <v>54</v>
      </c>
      <c r="V2004" s="209"/>
      <c r="W2004" s="209"/>
      <c r="X2004" s="209"/>
      <c r="Y2004" s="209"/>
      <c r="Z2004" s="209"/>
      <c r="AA2004" s="209" t="s">
        <v>54</v>
      </c>
      <c r="AB2004" s="212"/>
      <c r="AC2004" s="212"/>
    </row>
    <row r="2005" spans="1:29" outlineLevel="2" x14ac:dyDescent="0.25">
      <c r="A2005" s="201">
        <v>46021</v>
      </c>
      <c r="D2005" s="198" t="s">
        <v>54</v>
      </c>
      <c r="E2005" s="202">
        <v>49158764</v>
      </c>
      <c r="K2005" s="198" t="s">
        <v>1968</v>
      </c>
      <c r="L2005" s="198" t="s">
        <v>89</v>
      </c>
      <c r="P2005" s="201"/>
      <c r="R2005" s="202">
        <v>49158764</v>
      </c>
      <c r="U2005" s="198" t="s">
        <v>243</v>
      </c>
      <c r="AA2005" s="198" t="s">
        <v>51</v>
      </c>
      <c r="AB2005" s="202">
        <v>49158764</v>
      </c>
      <c r="AC2005" s="202">
        <v>49158764</v>
      </c>
    </row>
    <row r="2006" spans="1:29" outlineLevel="1" x14ac:dyDescent="0.25">
      <c r="A2006" s="210"/>
      <c r="B2006" s="209"/>
      <c r="C2006" s="209"/>
      <c r="D2006" s="209" t="s">
        <v>54</v>
      </c>
      <c r="E2006" s="211">
        <v>49158764</v>
      </c>
      <c r="F2006" s="209"/>
      <c r="G2006" s="209"/>
      <c r="H2006" s="209"/>
      <c r="I2006" s="209"/>
      <c r="J2006" s="209"/>
      <c r="K2006" s="209" t="s">
        <v>54</v>
      </c>
      <c r="L2006" s="209" t="s">
        <v>54</v>
      </c>
      <c r="M2006" s="209"/>
      <c r="N2006" s="209"/>
      <c r="O2006" s="209"/>
      <c r="P2006" s="210"/>
      <c r="Q2006" s="209"/>
      <c r="R2006" s="212"/>
      <c r="S2006" s="209"/>
      <c r="T2006" s="209"/>
      <c r="U2006" s="209" t="s">
        <v>54</v>
      </c>
      <c r="V2006" s="209"/>
      <c r="W2006" s="209"/>
      <c r="X2006" s="209"/>
      <c r="Y2006" s="209"/>
      <c r="Z2006" s="209"/>
      <c r="AA2006" s="209" t="s">
        <v>54</v>
      </c>
      <c r="AB2006" s="212"/>
      <c r="AC2006" s="212"/>
    </row>
    <row r="2007" spans="1:29" outlineLevel="2" x14ac:dyDescent="0.25">
      <c r="A2007" s="201">
        <v>46021</v>
      </c>
      <c r="D2007" s="198" t="s">
        <v>54</v>
      </c>
      <c r="E2007" s="202">
        <v>9321120</v>
      </c>
      <c r="K2007" s="198" t="s">
        <v>1969</v>
      </c>
      <c r="L2007" s="198" t="s">
        <v>89</v>
      </c>
      <c r="P2007" s="201"/>
      <c r="R2007" s="202">
        <v>9321120</v>
      </c>
      <c r="U2007" s="198" t="s">
        <v>752</v>
      </c>
      <c r="AA2007" s="198" t="s">
        <v>51</v>
      </c>
      <c r="AB2007" s="202">
        <v>9321120</v>
      </c>
      <c r="AC2007" s="202">
        <v>9321120</v>
      </c>
    </row>
    <row r="2008" spans="1:29" outlineLevel="1" x14ac:dyDescent="0.25">
      <c r="A2008" s="210"/>
      <c r="B2008" s="209"/>
      <c r="C2008" s="209"/>
      <c r="D2008" s="209" t="s">
        <v>54</v>
      </c>
      <c r="E2008" s="211">
        <v>9321120</v>
      </c>
      <c r="F2008" s="209"/>
      <c r="G2008" s="209"/>
      <c r="H2008" s="209"/>
      <c r="I2008" s="209"/>
      <c r="J2008" s="209"/>
      <c r="K2008" s="209" t="s">
        <v>54</v>
      </c>
      <c r="L2008" s="209" t="s">
        <v>54</v>
      </c>
      <c r="M2008" s="209"/>
      <c r="N2008" s="209"/>
      <c r="O2008" s="209"/>
      <c r="P2008" s="210"/>
      <c r="Q2008" s="209"/>
      <c r="R2008" s="212"/>
      <c r="S2008" s="209"/>
      <c r="T2008" s="209"/>
      <c r="U2008" s="209" t="s">
        <v>54</v>
      </c>
      <c r="V2008" s="209"/>
      <c r="W2008" s="209"/>
      <c r="X2008" s="209"/>
      <c r="Y2008" s="209"/>
      <c r="Z2008" s="209"/>
      <c r="AA2008" s="209" t="s">
        <v>54</v>
      </c>
      <c r="AB2008" s="212"/>
      <c r="AC2008" s="212"/>
    </row>
    <row r="2009" spans="1:29" outlineLevel="2" x14ac:dyDescent="0.25">
      <c r="A2009" s="201">
        <v>46021</v>
      </c>
      <c r="D2009" s="198" t="s">
        <v>54</v>
      </c>
      <c r="E2009" s="202">
        <v>62683899.219999999</v>
      </c>
      <c r="K2009" s="198" t="s">
        <v>1970</v>
      </c>
      <c r="L2009" s="198" t="s">
        <v>89</v>
      </c>
      <c r="P2009" s="201"/>
      <c r="R2009" s="202">
        <v>62683899.219999999</v>
      </c>
      <c r="U2009" s="198" t="s">
        <v>242</v>
      </c>
      <c r="AA2009" s="198" t="s">
        <v>51</v>
      </c>
      <c r="AB2009" s="202">
        <v>62683899.219999999</v>
      </c>
      <c r="AC2009" s="202">
        <v>62683899.219999999</v>
      </c>
    </row>
    <row r="2010" spans="1:29" outlineLevel="2" x14ac:dyDescent="0.25">
      <c r="A2010" s="201">
        <v>46071</v>
      </c>
      <c r="D2010" s="198" t="s">
        <v>54</v>
      </c>
      <c r="E2010" s="202">
        <v>2076462.55</v>
      </c>
      <c r="K2010" s="198" t="s">
        <v>1970</v>
      </c>
      <c r="L2010" s="198" t="s">
        <v>89</v>
      </c>
      <c r="P2010" s="201"/>
      <c r="R2010" s="202">
        <v>2076462.55</v>
      </c>
      <c r="U2010" s="198" t="s">
        <v>242</v>
      </c>
      <c r="AA2010" s="198" t="s">
        <v>51</v>
      </c>
      <c r="AB2010" s="202">
        <v>2076462.55</v>
      </c>
      <c r="AC2010" s="202">
        <v>2076462.55</v>
      </c>
    </row>
    <row r="2011" spans="1:29" outlineLevel="1" x14ac:dyDescent="0.25">
      <c r="A2011" s="210"/>
      <c r="B2011" s="209"/>
      <c r="C2011" s="209"/>
      <c r="D2011" s="209" t="s">
        <v>54</v>
      </c>
      <c r="E2011" s="211">
        <v>64760361.770000003</v>
      </c>
      <c r="F2011" s="209"/>
      <c r="G2011" s="209"/>
      <c r="H2011" s="209"/>
      <c r="I2011" s="209"/>
      <c r="J2011" s="209"/>
      <c r="K2011" s="209" t="s">
        <v>54</v>
      </c>
      <c r="L2011" s="209" t="s">
        <v>54</v>
      </c>
      <c r="M2011" s="209"/>
      <c r="N2011" s="209"/>
      <c r="O2011" s="209"/>
      <c r="P2011" s="210"/>
      <c r="Q2011" s="209"/>
      <c r="R2011" s="212"/>
      <c r="S2011" s="209"/>
      <c r="T2011" s="209"/>
      <c r="U2011" s="209" t="s">
        <v>54</v>
      </c>
      <c r="V2011" s="209"/>
      <c r="W2011" s="209"/>
      <c r="X2011" s="209"/>
      <c r="Y2011" s="209"/>
      <c r="Z2011" s="209"/>
      <c r="AA2011" s="209" t="s">
        <v>54</v>
      </c>
      <c r="AB2011" s="212"/>
      <c r="AC2011" s="212"/>
    </row>
    <row r="2012" spans="1:29" outlineLevel="2" x14ac:dyDescent="0.25">
      <c r="A2012" s="201">
        <v>46021</v>
      </c>
      <c r="D2012" s="198" t="s">
        <v>54</v>
      </c>
      <c r="E2012" s="202">
        <v>7074283</v>
      </c>
      <c r="K2012" s="198" t="s">
        <v>1971</v>
      </c>
      <c r="L2012" s="198" t="s">
        <v>89</v>
      </c>
      <c r="P2012" s="201"/>
      <c r="R2012" s="202">
        <v>7074283</v>
      </c>
      <c r="U2012" s="198" t="s">
        <v>245</v>
      </c>
      <c r="AA2012" s="198" t="s">
        <v>51</v>
      </c>
      <c r="AB2012" s="202">
        <v>7074283</v>
      </c>
      <c r="AC2012" s="202">
        <v>7074283</v>
      </c>
    </row>
    <row r="2013" spans="1:29" outlineLevel="1" x14ac:dyDescent="0.25">
      <c r="A2013" s="210"/>
      <c r="B2013" s="209"/>
      <c r="C2013" s="209"/>
      <c r="D2013" s="209" t="s">
        <v>54</v>
      </c>
      <c r="E2013" s="211">
        <v>7074283</v>
      </c>
      <c r="F2013" s="209"/>
      <c r="G2013" s="209"/>
      <c r="H2013" s="209"/>
      <c r="I2013" s="209"/>
      <c r="J2013" s="209"/>
      <c r="K2013" s="209" t="s">
        <v>54</v>
      </c>
      <c r="L2013" s="209" t="s">
        <v>54</v>
      </c>
      <c r="M2013" s="209"/>
      <c r="N2013" s="209"/>
      <c r="O2013" s="209"/>
      <c r="P2013" s="210"/>
      <c r="Q2013" s="209"/>
      <c r="R2013" s="212"/>
      <c r="S2013" s="209"/>
      <c r="T2013" s="209"/>
      <c r="U2013" s="209" t="s">
        <v>54</v>
      </c>
      <c r="V2013" s="209"/>
      <c r="W2013" s="209"/>
      <c r="X2013" s="209"/>
      <c r="Y2013" s="209"/>
      <c r="Z2013" s="209"/>
      <c r="AA2013" s="209" t="s">
        <v>54</v>
      </c>
      <c r="AB2013" s="212"/>
      <c r="AC2013" s="212"/>
    </row>
    <row r="2014" spans="1:29" outlineLevel="2" x14ac:dyDescent="0.25">
      <c r="A2014" s="201">
        <v>46136</v>
      </c>
      <c r="D2014" s="198" t="s">
        <v>54</v>
      </c>
      <c r="E2014" s="202">
        <v>13889270</v>
      </c>
      <c r="K2014" s="198" t="s">
        <v>1972</v>
      </c>
      <c r="L2014" s="198" t="s">
        <v>89</v>
      </c>
      <c r="P2014" s="201"/>
      <c r="R2014" s="202">
        <v>13889270</v>
      </c>
      <c r="U2014" s="198" t="s">
        <v>348</v>
      </c>
      <c r="AA2014" s="198" t="s">
        <v>51</v>
      </c>
      <c r="AB2014" s="202">
        <v>13889270</v>
      </c>
      <c r="AC2014" s="202">
        <v>13889270</v>
      </c>
    </row>
    <row r="2015" spans="1:29" outlineLevel="1" x14ac:dyDescent="0.25">
      <c r="A2015" s="210"/>
      <c r="B2015" s="209"/>
      <c r="C2015" s="209"/>
      <c r="D2015" s="209" t="s">
        <v>54</v>
      </c>
      <c r="E2015" s="211">
        <v>13889270</v>
      </c>
      <c r="F2015" s="209"/>
      <c r="G2015" s="209"/>
      <c r="H2015" s="209"/>
      <c r="I2015" s="209"/>
      <c r="J2015" s="209"/>
      <c r="K2015" s="209" t="s">
        <v>54</v>
      </c>
      <c r="L2015" s="209" t="s">
        <v>54</v>
      </c>
      <c r="M2015" s="209"/>
      <c r="N2015" s="209"/>
      <c r="O2015" s="209"/>
      <c r="P2015" s="210"/>
      <c r="Q2015" s="209"/>
      <c r="R2015" s="212"/>
      <c r="S2015" s="209"/>
      <c r="T2015" s="209"/>
      <c r="U2015" s="209" t="s">
        <v>54</v>
      </c>
      <c r="V2015" s="209"/>
      <c r="W2015" s="209"/>
      <c r="X2015" s="209"/>
      <c r="Y2015" s="209"/>
      <c r="Z2015" s="209"/>
      <c r="AA2015" s="209" t="s">
        <v>54</v>
      </c>
      <c r="AB2015" s="212"/>
      <c r="AC2015" s="212"/>
    </row>
    <row r="2016" spans="1:29" outlineLevel="2" x14ac:dyDescent="0.25">
      <c r="A2016" s="201">
        <v>46021</v>
      </c>
      <c r="D2016" s="198" t="s">
        <v>54</v>
      </c>
      <c r="E2016" s="202">
        <v>630115621.89999998</v>
      </c>
      <c r="K2016" s="198" t="s">
        <v>1973</v>
      </c>
      <c r="L2016" s="198" t="s">
        <v>89</v>
      </c>
      <c r="P2016" s="201"/>
      <c r="R2016" s="202">
        <v>630115621.89999998</v>
      </c>
      <c r="U2016" s="198" t="s">
        <v>1142</v>
      </c>
      <c r="AA2016" s="198" t="s">
        <v>51</v>
      </c>
      <c r="AB2016" s="202">
        <v>630115621.89999998</v>
      </c>
      <c r="AC2016" s="202">
        <v>630115621.89999998</v>
      </c>
    </row>
    <row r="2017" spans="1:29" outlineLevel="2" x14ac:dyDescent="0.25">
      <c r="A2017" s="201">
        <v>46021</v>
      </c>
      <c r="D2017" s="198" t="s">
        <v>54</v>
      </c>
      <c r="E2017" s="202">
        <v>69800278.099999994</v>
      </c>
      <c r="K2017" s="198" t="s">
        <v>1973</v>
      </c>
      <c r="L2017" s="198" t="s">
        <v>89</v>
      </c>
      <c r="P2017" s="201"/>
      <c r="R2017" s="202">
        <v>69800278.099999994</v>
      </c>
      <c r="U2017" s="198" t="s">
        <v>1142</v>
      </c>
      <c r="AA2017" s="198" t="s">
        <v>51</v>
      </c>
      <c r="AB2017" s="202">
        <v>69800278.099999994</v>
      </c>
      <c r="AC2017" s="202">
        <v>69800278.099999994</v>
      </c>
    </row>
    <row r="2018" spans="1:29" outlineLevel="2" x14ac:dyDescent="0.25">
      <c r="A2018" s="201">
        <v>46022</v>
      </c>
      <c r="D2018" s="198" t="s">
        <v>54</v>
      </c>
      <c r="E2018" s="202">
        <v>6935235</v>
      </c>
      <c r="K2018" s="198" t="s">
        <v>1973</v>
      </c>
      <c r="L2018" s="198" t="s">
        <v>89</v>
      </c>
      <c r="P2018" s="201"/>
      <c r="R2018" s="202">
        <v>6935235</v>
      </c>
      <c r="U2018" s="198" t="s">
        <v>1142</v>
      </c>
      <c r="AA2018" s="198" t="s">
        <v>51</v>
      </c>
      <c r="AB2018" s="202">
        <v>6935235</v>
      </c>
      <c r="AC2018" s="202">
        <v>6935235</v>
      </c>
    </row>
    <row r="2019" spans="1:29" outlineLevel="2" x14ac:dyDescent="0.25">
      <c r="A2019" s="201">
        <v>46037</v>
      </c>
      <c r="D2019" s="198" t="s">
        <v>54</v>
      </c>
      <c r="E2019" s="202">
        <v>5529080</v>
      </c>
      <c r="K2019" s="198" t="s">
        <v>1973</v>
      </c>
      <c r="L2019" s="198" t="s">
        <v>89</v>
      </c>
      <c r="P2019" s="201"/>
      <c r="R2019" s="202">
        <v>5529080</v>
      </c>
      <c r="U2019" s="198" t="s">
        <v>1142</v>
      </c>
      <c r="AA2019" s="198" t="s">
        <v>51</v>
      </c>
      <c r="AB2019" s="202">
        <v>5529080</v>
      </c>
      <c r="AC2019" s="202">
        <v>5529080</v>
      </c>
    </row>
    <row r="2020" spans="1:29" outlineLevel="2" x14ac:dyDescent="0.25">
      <c r="A2020" s="201">
        <v>46043</v>
      </c>
      <c r="D2020" s="198" t="s">
        <v>54</v>
      </c>
      <c r="E2020" s="202">
        <v>10400000</v>
      </c>
      <c r="K2020" s="198" t="s">
        <v>1973</v>
      </c>
      <c r="L2020" s="198" t="s">
        <v>89</v>
      </c>
      <c r="P2020" s="201"/>
      <c r="R2020" s="202">
        <v>10400000</v>
      </c>
      <c r="U2020" s="198" t="s">
        <v>1142</v>
      </c>
      <c r="AA2020" s="198" t="s">
        <v>51</v>
      </c>
      <c r="AB2020" s="202">
        <v>10400000</v>
      </c>
      <c r="AC2020" s="202">
        <v>10400000</v>
      </c>
    </row>
    <row r="2021" spans="1:29" outlineLevel="2" x14ac:dyDescent="0.25">
      <c r="A2021" s="201">
        <v>46044</v>
      </c>
      <c r="D2021" s="198" t="s">
        <v>54</v>
      </c>
      <c r="E2021" s="202">
        <v>2000000</v>
      </c>
      <c r="K2021" s="198" t="s">
        <v>1973</v>
      </c>
      <c r="L2021" s="198" t="s">
        <v>89</v>
      </c>
      <c r="P2021" s="201"/>
      <c r="R2021" s="202">
        <v>2000000</v>
      </c>
      <c r="U2021" s="198" t="s">
        <v>1142</v>
      </c>
      <c r="AA2021" s="198" t="s">
        <v>51</v>
      </c>
      <c r="AB2021" s="202">
        <v>2000000</v>
      </c>
      <c r="AC2021" s="202">
        <v>2000000</v>
      </c>
    </row>
    <row r="2022" spans="1:29" outlineLevel="2" x14ac:dyDescent="0.25">
      <c r="A2022" s="201">
        <v>46052</v>
      </c>
      <c r="D2022" s="198" t="s">
        <v>54</v>
      </c>
      <c r="E2022" s="202">
        <v>437370</v>
      </c>
      <c r="K2022" s="198" t="s">
        <v>1973</v>
      </c>
      <c r="L2022" s="198" t="s">
        <v>89</v>
      </c>
      <c r="P2022" s="201"/>
      <c r="R2022" s="202">
        <v>437370</v>
      </c>
      <c r="U2022" s="198" t="s">
        <v>1142</v>
      </c>
      <c r="AA2022" s="198" t="s">
        <v>51</v>
      </c>
      <c r="AB2022" s="202">
        <v>437370</v>
      </c>
      <c r="AC2022" s="202">
        <v>437370</v>
      </c>
    </row>
    <row r="2023" spans="1:29" outlineLevel="2" x14ac:dyDescent="0.25">
      <c r="A2023" s="201">
        <v>46052</v>
      </c>
      <c r="D2023" s="198" t="s">
        <v>54</v>
      </c>
      <c r="E2023" s="202">
        <v>107935</v>
      </c>
      <c r="K2023" s="198" t="s">
        <v>1973</v>
      </c>
      <c r="L2023" s="198" t="s">
        <v>89</v>
      </c>
      <c r="P2023" s="201"/>
      <c r="R2023" s="202">
        <v>107935</v>
      </c>
      <c r="U2023" s="198" t="s">
        <v>1142</v>
      </c>
      <c r="AA2023" s="198" t="s">
        <v>51</v>
      </c>
      <c r="AB2023" s="202">
        <v>107935</v>
      </c>
      <c r="AC2023" s="202">
        <v>107935</v>
      </c>
    </row>
    <row r="2024" spans="1:29" outlineLevel="2" x14ac:dyDescent="0.25">
      <c r="A2024" s="201">
        <v>46052</v>
      </c>
      <c r="D2024" s="198" t="s">
        <v>54</v>
      </c>
      <c r="E2024" s="202">
        <v>2882735</v>
      </c>
      <c r="K2024" s="198" t="s">
        <v>1973</v>
      </c>
      <c r="L2024" s="198" t="s">
        <v>89</v>
      </c>
      <c r="P2024" s="201"/>
      <c r="R2024" s="202">
        <v>2882735</v>
      </c>
      <c r="U2024" s="198" t="s">
        <v>1142</v>
      </c>
      <c r="AA2024" s="198" t="s">
        <v>51</v>
      </c>
      <c r="AB2024" s="202">
        <v>2882735</v>
      </c>
      <c r="AC2024" s="202">
        <v>2882735</v>
      </c>
    </row>
    <row r="2025" spans="1:29" outlineLevel="2" x14ac:dyDescent="0.25">
      <c r="A2025" s="201">
        <v>46057</v>
      </c>
      <c r="D2025" s="198" t="s">
        <v>54</v>
      </c>
      <c r="E2025" s="202">
        <v>1514759.62</v>
      </c>
      <c r="K2025" s="198" t="s">
        <v>1973</v>
      </c>
      <c r="L2025" s="198" t="s">
        <v>89</v>
      </c>
      <c r="P2025" s="201"/>
      <c r="R2025" s="202">
        <v>1514759.62</v>
      </c>
      <c r="U2025" s="198" t="s">
        <v>1142</v>
      </c>
      <c r="AA2025" s="198" t="s">
        <v>51</v>
      </c>
      <c r="AB2025" s="202">
        <v>1514759.62</v>
      </c>
      <c r="AC2025" s="202">
        <v>1514759.62</v>
      </c>
    </row>
    <row r="2026" spans="1:29" outlineLevel="2" x14ac:dyDescent="0.25">
      <c r="A2026" s="201">
        <v>46065</v>
      </c>
      <c r="D2026" s="198" t="s">
        <v>54</v>
      </c>
      <c r="E2026" s="202">
        <v>9827504</v>
      </c>
      <c r="K2026" s="198" t="s">
        <v>1973</v>
      </c>
      <c r="L2026" s="198" t="s">
        <v>89</v>
      </c>
      <c r="P2026" s="201"/>
      <c r="R2026" s="202">
        <v>9827504</v>
      </c>
      <c r="U2026" s="198" t="s">
        <v>1142</v>
      </c>
      <c r="AA2026" s="198" t="s">
        <v>51</v>
      </c>
      <c r="AB2026" s="202">
        <v>9827504</v>
      </c>
      <c r="AC2026" s="202">
        <v>9827504</v>
      </c>
    </row>
    <row r="2027" spans="1:29" outlineLevel="2" x14ac:dyDescent="0.25">
      <c r="A2027" s="201">
        <v>46066</v>
      </c>
      <c r="D2027" s="198" t="s">
        <v>54</v>
      </c>
      <c r="E2027" s="202">
        <v>7488000</v>
      </c>
      <c r="K2027" s="198" t="s">
        <v>1973</v>
      </c>
      <c r="L2027" s="198" t="s">
        <v>89</v>
      </c>
      <c r="P2027" s="201"/>
      <c r="R2027" s="202">
        <v>7488000</v>
      </c>
      <c r="U2027" s="198" t="s">
        <v>1142</v>
      </c>
      <c r="AA2027" s="198" t="s">
        <v>51</v>
      </c>
      <c r="AB2027" s="202">
        <v>7488000</v>
      </c>
      <c r="AC2027" s="202">
        <v>7488000</v>
      </c>
    </row>
    <row r="2028" spans="1:29" outlineLevel="2" x14ac:dyDescent="0.25">
      <c r="A2028" s="201">
        <v>46077</v>
      </c>
      <c r="D2028" s="198" t="s">
        <v>54</v>
      </c>
      <c r="E2028" s="202">
        <v>345000</v>
      </c>
      <c r="K2028" s="198" t="s">
        <v>1973</v>
      </c>
      <c r="L2028" s="198" t="s">
        <v>89</v>
      </c>
      <c r="P2028" s="201"/>
      <c r="R2028" s="202">
        <v>345000</v>
      </c>
      <c r="U2028" s="198" t="s">
        <v>1142</v>
      </c>
      <c r="AA2028" s="198" t="s">
        <v>51</v>
      </c>
      <c r="AB2028" s="202">
        <v>345000</v>
      </c>
      <c r="AC2028" s="202">
        <v>345000</v>
      </c>
    </row>
    <row r="2029" spans="1:29" outlineLevel="2" x14ac:dyDescent="0.25">
      <c r="A2029" s="201">
        <v>46077</v>
      </c>
      <c r="D2029" s="198" t="s">
        <v>54</v>
      </c>
      <c r="E2029" s="202">
        <v>330200</v>
      </c>
      <c r="K2029" s="198" t="s">
        <v>1973</v>
      </c>
      <c r="L2029" s="198" t="s">
        <v>89</v>
      </c>
      <c r="P2029" s="201"/>
      <c r="R2029" s="202">
        <v>330200</v>
      </c>
      <c r="U2029" s="198" t="s">
        <v>1142</v>
      </c>
      <c r="AA2029" s="198" t="s">
        <v>51</v>
      </c>
      <c r="AB2029" s="202">
        <v>330200</v>
      </c>
      <c r="AC2029" s="202">
        <v>330200</v>
      </c>
    </row>
    <row r="2030" spans="1:29" outlineLevel="2" x14ac:dyDescent="0.25">
      <c r="A2030" s="201">
        <v>46113</v>
      </c>
      <c r="D2030" s="198" t="s">
        <v>54</v>
      </c>
      <c r="E2030" s="202">
        <v>-2129666.31</v>
      </c>
      <c r="K2030" s="198" t="s">
        <v>1973</v>
      </c>
      <c r="L2030" s="198" t="s">
        <v>89</v>
      </c>
      <c r="P2030" s="201"/>
      <c r="R2030" s="202">
        <v>-2129666.31</v>
      </c>
      <c r="U2030" s="198" t="s">
        <v>1142</v>
      </c>
      <c r="AA2030" s="198" t="s">
        <v>51</v>
      </c>
      <c r="AB2030" s="202">
        <v>-2129666.31</v>
      </c>
      <c r="AC2030" s="202">
        <v>-2129666.31</v>
      </c>
    </row>
    <row r="2031" spans="1:29" outlineLevel="2" x14ac:dyDescent="0.25">
      <c r="A2031" s="201">
        <v>46139</v>
      </c>
      <c r="D2031" s="198" t="s">
        <v>54</v>
      </c>
      <c r="E2031" s="202">
        <v>3589600</v>
      </c>
      <c r="K2031" s="198" t="s">
        <v>1973</v>
      </c>
      <c r="L2031" s="198" t="s">
        <v>89</v>
      </c>
      <c r="P2031" s="201"/>
      <c r="R2031" s="202">
        <v>3589600</v>
      </c>
      <c r="U2031" s="198" t="s">
        <v>1142</v>
      </c>
      <c r="AA2031" s="198" t="s">
        <v>51</v>
      </c>
      <c r="AB2031" s="202">
        <v>3589600</v>
      </c>
      <c r="AC2031" s="202">
        <v>3589600</v>
      </c>
    </row>
    <row r="2032" spans="1:29" outlineLevel="2" x14ac:dyDescent="0.25">
      <c r="A2032" s="201">
        <v>46139</v>
      </c>
      <c r="D2032" s="198" t="s">
        <v>54</v>
      </c>
      <c r="E2032" s="202">
        <v>9545140</v>
      </c>
      <c r="K2032" s="198" t="s">
        <v>1973</v>
      </c>
      <c r="L2032" s="198" t="s">
        <v>89</v>
      </c>
      <c r="P2032" s="201"/>
      <c r="R2032" s="202">
        <v>9545140</v>
      </c>
      <c r="U2032" s="198" t="s">
        <v>1142</v>
      </c>
      <c r="AA2032" s="198" t="s">
        <v>51</v>
      </c>
      <c r="AB2032" s="202">
        <v>9545140</v>
      </c>
      <c r="AC2032" s="202">
        <v>9545140</v>
      </c>
    </row>
    <row r="2033" spans="1:29" outlineLevel="2" x14ac:dyDescent="0.25">
      <c r="A2033" s="201">
        <v>46139</v>
      </c>
      <c r="D2033" s="198" t="s">
        <v>54</v>
      </c>
      <c r="E2033" s="202">
        <v>2809200</v>
      </c>
      <c r="K2033" s="198" t="s">
        <v>1973</v>
      </c>
      <c r="L2033" s="198" t="s">
        <v>89</v>
      </c>
      <c r="P2033" s="201"/>
      <c r="R2033" s="202">
        <v>2809200</v>
      </c>
      <c r="U2033" s="198" t="s">
        <v>1142</v>
      </c>
      <c r="AA2033" s="198" t="s">
        <v>51</v>
      </c>
      <c r="AB2033" s="202">
        <v>2809200</v>
      </c>
      <c r="AC2033" s="202">
        <v>2809200</v>
      </c>
    </row>
    <row r="2034" spans="1:29" outlineLevel="2" x14ac:dyDescent="0.25">
      <c r="A2034" s="201">
        <v>46139</v>
      </c>
      <c r="D2034" s="198" t="s">
        <v>54</v>
      </c>
      <c r="E2034" s="202">
        <v>4510865.25</v>
      </c>
      <c r="K2034" s="198" t="s">
        <v>1973</v>
      </c>
      <c r="L2034" s="198" t="s">
        <v>89</v>
      </c>
      <c r="P2034" s="201"/>
      <c r="R2034" s="202">
        <v>4510865.25</v>
      </c>
      <c r="U2034" s="198" t="s">
        <v>1142</v>
      </c>
      <c r="AA2034" s="198" t="s">
        <v>51</v>
      </c>
      <c r="AB2034" s="202">
        <v>4510865.25</v>
      </c>
      <c r="AC2034" s="202">
        <v>4510865.25</v>
      </c>
    </row>
    <row r="2035" spans="1:29" outlineLevel="2" x14ac:dyDescent="0.25">
      <c r="A2035" s="201">
        <v>46141</v>
      </c>
      <c r="D2035" s="198" t="s">
        <v>54</v>
      </c>
      <c r="E2035" s="202">
        <v>13681000</v>
      </c>
      <c r="K2035" s="198" t="s">
        <v>1973</v>
      </c>
      <c r="L2035" s="198" t="s">
        <v>89</v>
      </c>
      <c r="P2035" s="201"/>
      <c r="R2035" s="202">
        <v>13681000</v>
      </c>
      <c r="U2035" s="198" t="s">
        <v>1142</v>
      </c>
      <c r="AA2035" s="198" t="s">
        <v>51</v>
      </c>
      <c r="AB2035" s="202">
        <v>13681000</v>
      </c>
      <c r="AC2035" s="202">
        <v>13681000</v>
      </c>
    </row>
    <row r="2036" spans="1:29" outlineLevel="2" x14ac:dyDescent="0.25">
      <c r="A2036" s="201">
        <v>46147</v>
      </c>
      <c r="D2036" s="198" t="s">
        <v>54</v>
      </c>
      <c r="E2036" s="202">
        <v>24433945</v>
      </c>
      <c r="K2036" s="198" t="s">
        <v>1973</v>
      </c>
      <c r="L2036" s="198" t="s">
        <v>89</v>
      </c>
      <c r="P2036" s="201"/>
      <c r="R2036" s="202">
        <v>24433945</v>
      </c>
      <c r="U2036" s="198" t="s">
        <v>1142</v>
      </c>
      <c r="AA2036" s="198" t="s">
        <v>51</v>
      </c>
      <c r="AB2036" s="202">
        <v>24433945</v>
      </c>
      <c r="AC2036" s="202">
        <v>24433945</v>
      </c>
    </row>
    <row r="2037" spans="1:29" outlineLevel="2" x14ac:dyDescent="0.25">
      <c r="A2037" s="201">
        <v>46147</v>
      </c>
      <c r="D2037" s="198" t="s">
        <v>54</v>
      </c>
      <c r="E2037" s="202">
        <v>17432249.699999999</v>
      </c>
      <c r="K2037" s="198" t="s">
        <v>1973</v>
      </c>
      <c r="L2037" s="198" t="s">
        <v>89</v>
      </c>
      <c r="P2037" s="201"/>
      <c r="R2037" s="202">
        <v>17432249.699999999</v>
      </c>
      <c r="U2037" s="198" t="s">
        <v>1142</v>
      </c>
      <c r="AA2037" s="198" t="s">
        <v>51</v>
      </c>
      <c r="AB2037" s="202">
        <v>17432249.699999999</v>
      </c>
      <c r="AC2037" s="202">
        <v>17432249.699999999</v>
      </c>
    </row>
    <row r="2038" spans="1:29" outlineLevel="2" x14ac:dyDescent="0.25">
      <c r="A2038" s="201">
        <v>46168</v>
      </c>
      <c r="D2038" s="198" t="s">
        <v>54</v>
      </c>
      <c r="E2038" s="202">
        <v>3668986.9</v>
      </c>
      <c r="K2038" s="198" t="s">
        <v>1973</v>
      </c>
      <c r="L2038" s="198" t="s">
        <v>89</v>
      </c>
      <c r="P2038" s="201"/>
      <c r="R2038" s="202">
        <v>3668986.9</v>
      </c>
      <c r="U2038" s="198" t="s">
        <v>1142</v>
      </c>
      <c r="AA2038" s="198" t="s">
        <v>51</v>
      </c>
      <c r="AB2038" s="202">
        <v>3668986.9</v>
      </c>
      <c r="AC2038" s="202">
        <v>3668986.9</v>
      </c>
    </row>
    <row r="2039" spans="1:29" outlineLevel="1" x14ac:dyDescent="0.25">
      <c r="A2039" s="210"/>
      <c r="B2039" s="209"/>
      <c r="C2039" s="209"/>
      <c r="D2039" s="209" t="s">
        <v>54</v>
      </c>
      <c r="E2039" s="211">
        <v>825255039.15999997</v>
      </c>
      <c r="F2039" s="209"/>
      <c r="G2039" s="209"/>
      <c r="H2039" s="209"/>
      <c r="I2039" s="209"/>
      <c r="J2039" s="209"/>
      <c r="K2039" s="209" t="s">
        <v>54</v>
      </c>
      <c r="L2039" s="209" t="s">
        <v>54</v>
      </c>
      <c r="M2039" s="209"/>
      <c r="N2039" s="209"/>
      <c r="O2039" s="209"/>
      <c r="P2039" s="210"/>
      <c r="Q2039" s="209"/>
      <c r="R2039" s="212"/>
      <c r="S2039" s="209"/>
      <c r="T2039" s="209"/>
      <c r="U2039" s="209" t="s">
        <v>54</v>
      </c>
      <c r="V2039" s="209"/>
      <c r="W2039" s="209"/>
      <c r="X2039" s="209"/>
      <c r="Y2039" s="209"/>
      <c r="Z2039" s="209"/>
      <c r="AA2039" s="209" t="s">
        <v>54</v>
      </c>
      <c r="AB2039" s="212"/>
      <c r="AC2039" s="212"/>
    </row>
    <row r="2040" spans="1:29" outlineLevel="2" x14ac:dyDescent="0.25">
      <c r="A2040" s="201">
        <v>46021</v>
      </c>
      <c r="D2040" s="198" t="s">
        <v>54</v>
      </c>
      <c r="E2040" s="202">
        <v>593551621.89999998</v>
      </c>
      <c r="K2040" s="198" t="s">
        <v>1974</v>
      </c>
      <c r="L2040" s="198" t="s">
        <v>89</v>
      </c>
      <c r="P2040" s="201"/>
      <c r="R2040" s="202">
        <v>593551621.89999998</v>
      </c>
      <c r="U2040" s="198" t="s">
        <v>1143</v>
      </c>
      <c r="AA2040" s="198" t="s">
        <v>51</v>
      </c>
      <c r="AB2040" s="202">
        <v>593551621.89999998</v>
      </c>
      <c r="AC2040" s="202">
        <v>593551621.89999998</v>
      </c>
    </row>
    <row r="2041" spans="1:29" outlineLevel="2" x14ac:dyDescent="0.25">
      <c r="A2041" s="201">
        <v>46021</v>
      </c>
      <c r="D2041" s="198" t="s">
        <v>54</v>
      </c>
      <c r="E2041" s="202">
        <v>69802178.099999994</v>
      </c>
      <c r="K2041" s="198" t="s">
        <v>1974</v>
      </c>
      <c r="L2041" s="198" t="s">
        <v>89</v>
      </c>
      <c r="P2041" s="201"/>
      <c r="R2041" s="202">
        <v>69802178.099999994</v>
      </c>
      <c r="U2041" s="198" t="s">
        <v>1143</v>
      </c>
      <c r="AA2041" s="198" t="s">
        <v>51</v>
      </c>
      <c r="AB2041" s="202">
        <v>69802178.099999994</v>
      </c>
      <c r="AC2041" s="202">
        <v>69802178.099999994</v>
      </c>
    </row>
    <row r="2042" spans="1:29" outlineLevel="2" x14ac:dyDescent="0.25">
      <c r="A2042" s="201">
        <v>46037</v>
      </c>
      <c r="D2042" s="198" t="s">
        <v>54</v>
      </c>
      <c r="E2042" s="202">
        <v>5529080</v>
      </c>
      <c r="K2042" s="198" t="s">
        <v>1974</v>
      </c>
      <c r="L2042" s="198" t="s">
        <v>89</v>
      </c>
      <c r="P2042" s="201"/>
      <c r="R2042" s="202">
        <v>5529080</v>
      </c>
      <c r="U2042" s="198" t="s">
        <v>1143</v>
      </c>
      <c r="AA2042" s="198" t="s">
        <v>51</v>
      </c>
      <c r="AB2042" s="202">
        <v>5529080</v>
      </c>
      <c r="AC2042" s="202">
        <v>5529080</v>
      </c>
    </row>
    <row r="2043" spans="1:29" outlineLevel="2" x14ac:dyDescent="0.25">
      <c r="A2043" s="201">
        <v>46043</v>
      </c>
      <c r="D2043" s="198" t="s">
        <v>54</v>
      </c>
      <c r="E2043" s="202">
        <v>10400000</v>
      </c>
      <c r="K2043" s="198" t="s">
        <v>1974</v>
      </c>
      <c r="L2043" s="198" t="s">
        <v>89</v>
      </c>
      <c r="P2043" s="201"/>
      <c r="R2043" s="202">
        <v>10400000</v>
      </c>
      <c r="U2043" s="198" t="s">
        <v>1143</v>
      </c>
      <c r="AA2043" s="198" t="s">
        <v>51</v>
      </c>
      <c r="AB2043" s="202">
        <v>10400000</v>
      </c>
      <c r="AC2043" s="202">
        <v>10400000</v>
      </c>
    </row>
    <row r="2044" spans="1:29" outlineLevel="2" x14ac:dyDescent="0.25">
      <c r="A2044" s="201">
        <v>46044</v>
      </c>
      <c r="D2044" s="198" t="s">
        <v>54</v>
      </c>
      <c r="E2044" s="202">
        <v>2000000</v>
      </c>
      <c r="K2044" s="198" t="s">
        <v>1974</v>
      </c>
      <c r="L2044" s="198" t="s">
        <v>89</v>
      </c>
      <c r="P2044" s="201"/>
      <c r="R2044" s="202">
        <v>2000000</v>
      </c>
      <c r="U2044" s="198" t="s">
        <v>1143</v>
      </c>
      <c r="AA2044" s="198" t="s">
        <v>51</v>
      </c>
      <c r="AB2044" s="202">
        <v>2000000</v>
      </c>
      <c r="AC2044" s="202">
        <v>2000000</v>
      </c>
    </row>
    <row r="2045" spans="1:29" outlineLevel="2" x14ac:dyDescent="0.25">
      <c r="A2045" s="201">
        <v>46052</v>
      </c>
      <c r="D2045" s="198" t="s">
        <v>54</v>
      </c>
      <c r="E2045" s="202">
        <v>437370</v>
      </c>
      <c r="K2045" s="198" t="s">
        <v>1974</v>
      </c>
      <c r="L2045" s="198" t="s">
        <v>89</v>
      </c>
      <c r="P2045" s="201"/>
      <c r="R2045" s="202">
        <v>437370</v>
      </c>
      <c r="U2045" s="198" t="s">
        <v>1143</v>
      </c>
      <c r="AA2045" s="198" t="s">
        <v>51</v>
      </c>
      <c r="AB2045" s="202">
        <v>437370</v>
      </c>
      <c r="AC2045" s="202">
        <v>437370</v>
      </c>
    </row>
    <row r="2046" spans="1:29" outlineLevel="2" x14ac:dyDescent="0.25">
      <c r="A2046" s="201">
        <v>46052</v>
      </c>
      <c r="D2046" s="198" t="s">
        <v>54</v>
      </c>
      <c r="E2046" s="202">
        <v>107935</v>
      </c>
      <c r="K2046" s="198" t="s">
        <v>1974</v>
      </c>
      <c r="L2046" s="198" t="s">
        <v>89</v>
      </c>
      <c r="P2046" s="201"/>
      <c r="R2046" s="202">
        <v>107935</v>
      </c>
      <c r="U2046" s="198" t="s">
        <v>1143</v>
      </c>
      <c r="AA2046" s="198" t="s">
        <v>51</v>
      </c>
      <c r="AB2046" s="202">
        <v>107935</v>
      </c>
      <c r="AC2046" s="202">
        <v>107935</v>
      </c>
    </row>
    <row r="2047" spans="1:29" outlineLevel="2" x14ac:dyDescent="0.25">
      <c r="A2047" s="201">
        <v>46052</v>
      </c>
      <c r="D2047" s="198" t="s">
        <v>54</v>
      </c>
      <c r="E2047" s="202">
        <v>2882735</v>
      </c>
      <c r="K2047" s="198" t="s">
        <v>1974</v>
      </c>
      <c r="L2047" s="198" t="s">
        <v>89</v>
      </c>
      <c r="P2047" s="201"/>
      <c r="R2047" s="202">
        <v>2882735</v>
      </c>
      <c r="U2047" s="198" t="s">
        <v>1143</v>
      </c>
      <c r="AA2047" s="198" t="s">
        <v>51</v>
      </c>
      <c r="AB2047" s="202">
        <v>2882735</v>
      </c>
      <c r="AC2047" s="202">
        <v>2882735</v>
      </c>
    </row>
    <row r="2048" spans="1:29" outlineLevel="2" x14ac:dyDescent="0.25">
      <c r="A2048" s="201">
        <v>46057</v>
      </c>
      <c r="D2048" s="198" t="s">
        <v>54</v>
      </c>
      <c r="E2048" s="202">
        <v>1514759.62</v>
      </c>
      <c r="K2048" s="198" t="s">
        <v>1974</v>
      </c>
      <c r="L2048" s="198" t="s">
        <v>89</v>
      </c>
      <c r="P2048" s="201"/>
      <c r="R2048" s="202">
        <v>1514759.62</v>
      </c>
      <c r="U2048" s="198" t="s">
        <v>1143</v>
      </c>
      <c r="AA2048" s="198" t="s">
        <v>51</v>
      </c>
      <c r="AB2048" s="202">
        <v>1514759.62</v>
      </c>
      <c r="AC2048" s="202">
        <v>1514759.62</v>
      </c>
    </row>
    <row r="2049" spans="1:29" outlineLevel="2" x14ac:dyDescent="0.25">
      <c r="A2049" s="201">
        <v>46065</v>
      </c>
      <c r="D2049" s="198" t="s">
        <v>54</v>
      </c>
      <c r="E2049" s="202">
        <v>9827504</v>
      </c>
      <c r="K2049" s="198" t="s">
        <v>1974</v>
      </c>
      <c r="L2049" s="198" t="s">
        <v>89</v>
      </c>
      <c r="P2049" s="201"/>
      <c r="R2049" s="202">
        <v>9827504</v>
      </c>
      <c r="U2049" s="198" t="s">
        <v>1143</v>
      </c>
      <c r="AA2049" s="198" t="s">
        <v>51</v>
      </c>
      <c r="AB2049" s="202">
        <v>9827504</v>
      </c>
      <c r="AC2049" s="202">
        <v>9827504</v>
      </c>
    </row>
    <row r="2050" spans="1:29" outlineLevel="2" x14ac:dyDescent="0.25">
      <c r="A2050" s="201">
        <v>46066</v>
      </c>
      <c r="D2050" s="198" t="s">
        <v>54</v>
      </c>
      <c r="E2050" s="202">
        <v>7488000</v>
      </c>
      <c r="K2050" s="198" t="s">
        <v>1974</v>
      </c>
      <c r="L2050" s="198" t="s">
        <v>89</v>
      </c>
      <c r="P2050" s="201"/>
      <c r="R2050" s="202">
        <v>7488000</v>
      </c>
      <c r="U2050" s="198" t="s">
        <v>1143</v>
      </c>
      <c r="AA2050" s="198" t="s">
        <v>51</v>
      </c>
      <c r="AB2050" s="202">
        <v>7488000</v>
      </c>
      <c r="AC2050" s="202">
        <v>7488000</v>
      </c>
    </row>
    <row r="2051" spans="1:29" outlineLevel="2" x14ac:dyDescent="0.25">
      <c r="A2051" s="201">
        <v>46077</v>
      </c>
      <c r="D2051" s="198" t="s">
        <v>54</v>
      </c>
      <c r="E2051" s="202">
        <v>345000</v>
      </c>
      <c r="K2051" s="198" t="s">
        <v>1974</v>
      </c>
      <c r="L2051" s="198" t="s">
        <v>89</v>
      </c>
      <c r="P2051" s="201"/>
      <c r="R2051" s="202">
        <v>345000</v>
      </c>
      <c r="U2051" s="198" t="s">
        <v>1143</v>
      </c>
      <c r="AA2051" s="198" t="s">
        <v>51</v>
      </c>
      <c r="AB2051" s="202">
        <v>345000</v>
      </c>
      <c r="AC2051" s="202">
        <v>345000</v>
      </c>
    </row>
    <row r="2052" spans="1:29" outlineLevel="2" x14ac:dyDescent="0.25">
      <c r="A2052" s="201">
        <v>46077</v>
      </c>
      <c r="D2052" s="198" t="s">
        <v>54</v>
      </c>
      <c r="E2052" s="202">
        <v>330200</v>
      </c>
      <c r="K2052" s="198" t="s">
        <v>1974</v>
      </c>
      <c r="L2052" s="198" t="s">
        <v>89</v>
      </c>
      <c r="P2052" s="201"/>
      <c r="R2052" s="202">
        <v>330200</v>
      </c>
      <c r="U2052" s="198" t="s">
        <v>1143</v>
      </c>
      <c r="AA2052" s="198" t="s">
        <v>51</v>
      </c>
      <c r="AB2052" s="202">
        <v>330200</v>
      </c>
      <c r="AC2052" s="202">
        <v>330200</v>
      </c>
    </row>
    <row r="2053" spans="1:29" outlineLevel="2" x14ac:dyDescent="0.25">
      <c r="A2053" s="201">
        <v>46113</v>
      </c>
      <c r="D2053" s="198" t="s">
        <v>54</v>
      </c>
      <c r="E2053" s="202">
        <v>-2129666.31</v>
      </c>
      <c r="K2053" s="198" t="s">
        <v>1974</v>
      </c>
      <c r="L2053" s="198" t="s">
        <v>89</v>
      </c>
      <c r="P2053" s="201"/>
      <c r="R2053" s="202">
        <v>-2129666.31</v>
      </c>
      <c r="U2053" s="198" t="s">
        <v>1143</v>
      </c>
      <c r="AA2053" s="198" t="s">
        <v>51</v>
      </c>
      <c r="AB2053" s="202">
        <v>-2129666.31</v>
      </c>
      <c r="AC2053" s="202">
        <v>-2129666.31</v>
      </c>
    </row>
    <row r="2054" spans="1:29" outlineLevel="2" x14ac:dyDescent="0.25">
      <c r="A2054" s="201">
        <v>46139</v>
      </c>
      <c r="D2054" s="198" t="s">
        <v>54</v>
      </c>
      <c r="E2054" s="202">
        <v>3589600</v>
      </c>
      <c r="K2054" s="198" t="s">
        <v>1974</v>
      </c>
      <c r="L2054" s="198" t="s">
        <v>89</v>
      </c>
      <c r="P2054" s="201"/>
      <c r="R2054" s="202">
        <v>3589600</v>
      </c>
      <c r="U2054" s="198" t="s">
        <v>1143</v>
      </c>
      <c r="AA2054" s="198" t="s">
        <v>51</v>
      </c>
      <c r="AB2054" s="202">
        <v>3589600</v>
      </c>
      <c r="AC2054" s="202">
        <v>3589600</v>
      </c>
    </row>
    <row r="2055" spans="1:29" outlineLevel="2" x14ac:dyDescent="0.25">
      <c r="A2055" s="201">
        <v>46139</v>
      </c>
      <c r="D2055" s="198" t="s">
        <v>54</v>
      </c>
      <c r="E2055" s="202">
        <v>9545140</v>
      </c>
      <c r="K2055" s="198" t="s">
        <v>1974</v>
      </c>
      <c r="L2055" s="198" t="s">
        <v>89</v>
      </c>
      <c r="P2055" s="201"/>
      <c r="R2055" s="202">
        <v>9545140</v>
      </c>
      <c r="U2055" s="198" t="s">
        <v>1143</v>
      </c>
      <c r="AA2055" s="198" t="s">
        <v>51</v>
      </c>
      <c r="AB2055" s="202">
        <v>9545140</v>
      </c>
      <c r="AC2055" s="202">
        <v>9545140</v>
      </c>
    </row>
    <row r="2056" spans="1:29" outlineLevel="2" x14ac:dyDescent="0.25">
      <c r="A2056" s="201">
        <v>46139</v>
      </c>
      <c r="D2056" s="198" t="s">
        <v>54</v>
      </c>
      <c r="E2056" s="202">
        <v>2809200</v>
      </c>
      <c r="K2056" s="198" t="s">
        <v>1974</v>
      </c>
      <c r="L2056" s="198" t="s">
        <v>89</v>
      </c>
      <c r="P2056" s="201"/>
      <c r="R2056" s="202">
        <v>2809200</v>
      </c>
      <c r="U2056" s="198" t="s">
        <v>1143</v>
      </c>
      <c r="AA2056" s="198" t="s">
        <v>51</v>
      </c>
      <c r="AB2056" s="202">
        <v>2809200</v>
      </c>
      <c r="AC2056" s="202">
        <v>2809200</v>
      </c>
    </row>
    <row r="2057" spans="1:29" outlineLevel="2" x14ac:dyDescent="0.25">
      <c r="A2057" s="201">
        <v>46139</v>
      </c>
      <c r="D2057" s="198" t="s">
        <v>54</v>
      </c>
      <c r="E2057" s="202">
        <v>4510865.25</v>
      </c>
      <c r="K2057" s="198" t="s">
        <v>1974</v>
      </c>
      <c r="L2057" s="198" t="s">
        <v>89</v>
      </c>
      <c r="P2057" s="201"/>
      <c r="R2057" s="202">
        <v>4510865.25</v>
      </c>
      <c r="U2057" s="198" t="s">
        <v>1143</v>
      </c>
      <c r="AA2057" s="198" t="s">
        <v>51</v>
      </c>
      <c r="AB2057" s="202">
        <v>4510865.25</v>
      </c>
      <c r="AC2057" s="202">
        <v>4510865.25</v>
      </c>
    </row>
    <row r="2058" spans="1:29" outlineLevel="2" x14ac:dyDescent="0.25">
      <c r="A2058" s="201">
        <v>46141</v>
      </c>
      <c r="D2058" s="198" t="s">
        <v>54</v>
      </c>
      <c r="E2058" s="202">
        <v>13681000</v>
      </c>
      <c r="K2058" s="198" t="s">
        <v>1974</v>
      </c>
      <c r="L2058" s="198" t="s">
        <v>89</v>
      </c>
      <c r="P2058" s="201"/>
      <c r="R2058" s="202">
        <v>13681000</v>
      </c>
      <c r="U2058" s="198" t="s">
        <v>1143</v>
      </c>
      <c r="AA2058" s="198" t="s">
        <v>51</v>
      </c>
      <c r="AB2058" s="202">
        <v>13681000</v>
      </c>
      <c r="AC2058" s="202">
        <v>13681000</v>
      </c>
    </row>
    <row r="2059" spans="1:29" outlineLevel="2" x14ac:dyDescent="0.25">
      <c r="A2059" s="201">
        <v>46147</v>
      </c>
      <c r="D2059" s="198" t="s">
        <v>54</v>
      </c>
      <c r="E2059" s="202">
        <v>24433945</v>
      </c>
      <c r="K2059" s="198" t="s">
        <v>1974</v>
      </c>
      <c r="L2059" s="198" t="s">
        <v>89</v>
      </c>
      <c r="P2059" s="201"/>
      <c r="R2059" s="202">
        <v>24433945</v>
      </c>
      <c r="U2059" s="198" t="s">
        <v>1143</v>
      </c>
      <c r="AA2059" s="198" t="s">
        <v>51</v>
      </c>
      <c r="AB2059" s="202">
        <v>24433945</v>
      </c>
      <c r="AC2059" s="202">
        <v>24433945</v>
      </c>
    </row>
    <row r="2060" spans="1:29" outlineLevel="2" x14ac:dyDescent="0.25">
      <c r="A2060" s="201">
        <v>46147</v>
      </c>
      <c r="D2060" s="198" t="s">
        <v>54</v>
      </c>
      <c r="E2060" s="202">
        <v>17432249.699999999</v>
      </c>
      <c r="K2060" s="198" t="s">
        <v>1974</v>
      </c>
      <c r="L2060" s="198" t="s">
        <v>89</v>
      </c>
      <c r="P2060" s="201"/>
      <c r="R2060" s="202">
        <v>17432249.699999999</v>
      </c>
      <c r="U2060" s="198" t="s">
        <v>1143</v>
      </c>
      <c r="AA2060" s="198" t="s">
        <v>51</v>
      </c>
      <c r="AB2060" s="202">
        <v>17432249.699999999</v>
      </c>
      <c r="AC2060" s="202">
        <v>17432249.699999999</v>
      </c>
    </row>
    <row r="2061" spans="1:29" outlineLevel="2" x14ac:dyDescent="0.25">
      <c r="A2061" s="201">
        <v>46168</v>
      </c>
      <c r="D2061" s="198" t="s">
        <v>54</v>
      </c>
      <c r="E2061" s="202">
        <v>3668986.9</v>
      </c>
      <c r="K2061" s="198" t="s">
        <v>1974</v>
      </c>
      <c r="L2061" s="198" t="s">
        <v>89</v>
      </c>
      <c r="P2061" s="201"/>
      <c r="R2061" s="202">
        <v>3668986.9</v>
      </c>
      <c r="U2061" s="198" t="s">
        <v>1143</v>
      </c>
      <c r="AA2061" s="198" t="s">
        <v>51</v>
      </c>
      <c r="AB2061" s="202">
        <v>3668986.9</v>
      </c>
      <c r="AC2061" s="202">
        <v>3668986.9</v>
      </c>
    </row>
    <row r="2062" spans="1:29" outlineLevel="1" x14ac:dyDescent="0.25">
      <c r="A2062" s="210"/>
      <c r="B2062" s="209"/>
      <c r="C2062" s="209"/>
      <c r="D2062" s="209" t="s">
        <v>54</v>
      </c>
      <c r="E2062" s="211">
        <v>781757704.15999997</v>
      </c>
      <c r="F2062" s="209"/>
      <c r="G2062" s="209"/>
      <c r="H2062" s="209"/>
      <c r="I2062" s="209"/>
      <c r="J2062" s="209"/>
      <c r="K2062" s="209" t="s">
        <v>54</v>
      </c>
      <c r="L2062" s="209" t="s">
        <v>54</v>
      </c>
      <c r="M2062" s="209"/>
      <c r="N2062" s="209"/>
      <c r="O2062" s="209"/>
      <c r="P2062" s="210"/>
      <c r="Q2062" s="209"/>
      <c r="R2062" s="212"/>
      <c r="S2062" s="209"/>
      <c r="T2062" s="209"/>
      <c r="U2062" s="209" t="s">
        <v>54</v>
      </c>
      <c r="V2062" s="209"/>
      <c r="W2062" s="209"/>
      <c r="X2062" s="209"/>
      <c r="Y2062" s="209"/>
      <c r="Z2062" s="209"/>
      <c r="AA2062" s="209" t="s">
        <v>54</v>
      </c>
      <c r="AB2062" s="212"/>
      <c r="AC2062" s="212"/>
    </row>
    <row r="2063" spans="1:29" outlineLevel="2" x14ac:dyDescent="0.25">
      <c r="A2063" s="201">
        <v>46021</v>
      </c>
      <c r="D2063" s="198" t="s">
        <v>54</v>
      </c>
      <c r="E2063" s="202">
        <v>262457976</v>
      </c>
      <c r="K2063" s="198" t="s">
        <v>1975</v>
      </c>
      <c r="L2063" s="198" t="s">
        <v>89</v>
      </c>
      <c r="P2063" s="201"/>
      <c r="R2063" s="202">
        <v>262457976</v>
      </c>
      <c r="U2063" s="198" t="s">
        <v>215</v>
      </c>
      <c r="AA2063" s="198" t="s">
        <v>51</v>
      </c>
      <c r="AB2063" s="202">
        <v>262457976</v>
      </c>
      <c r="AC2063" s="202">
        <v>262457976</v>
      </c>
    </row>
    <row r="2064" spans="1:29" outlineLevel="2" x14ac:dyDescent="0.25">
      <c r="A2064" s="201">
        <v>46021</v>
      </c>
      <c r="D2064" s="198" t="s">
        <v>54</v>
      </c>
      <c r="E2064" s="202">
        <v>-13504576</v>
      </c>
      <c r="K2064" s="198" t="s">
        <v>1975</v>
      </c>
      <c r="L2064" s="198" t="s">
        <v>89</v>
      </c>
      <c r="P2064" s="201"/>
      <c r="R2064" s="202">
        <v>-13504576</v>
      </c>
      <c r="U2064" s="198" t="s">
        <v>215</v>
      </c>
      <c r="AA2064" s="198" t="s">
        <v>51</v>
      </c>
      <c r="AB2064" s="202">
        <v>-13504576</v>
      </c>
      <c r="AC2064" s="202">
        <v>-13504576</v>
      </c>
    </row>
    <row r="2065" spans="1:29" outlineLevel="2" x14ac:dyDescent="0.25">
      <c r="A2065" s="201">
        <v>46037</v>
      </c>
      <c r="D2065" s="198" t="s">
        <v>54</v>
      </c>
      <c r="E2065" s="202">
        <v>5529080</v>
      </c>
      <c r="K2065" s="198" t="s">
        <v>1975</v>
      </c>
      <c r="L2065" s="198" t="s">
        <v>89</v>
      </c>
      <c r="P2065" s="201"/>
      <c r="R2065" s="202">
        <v>5529080</v>
      </c>
      <c r="U2065" s="198" t="s">
        <v>215</v>
      </c>
      <c r="AA2065" s="198" t="s">
        <v>51</v>
      </c>
      <c r="AB2065" s="202">
        <v>5529080</v>
      </c>
      <c r="AC2065" s="202">
        <v>5529080</v>
      </c>
    </row>
    <row r="2066" spans="1:29" outlineLevel="2" x14ac:dyDescent="0.25">
      <c r="A2066" s="201">
        <v>46043</v>
      </c>
      <c r="D2066" s="198" t="s">
        <v>54</v>
      </c>
      <c r="E2066" s="202">
        <v>10000000</v>
      </c>
      <c r="K2066" s="198" t="s">
        <v>1975</v>
      </c>
      <c r="L2066" s="198" t="s">
        <v>89</v>
      </c>
      <c r="P2066" s="201"/>
      <c r="R2066" s="202">
        <v>10000000</v>
      </c>
      <c r="U2066" s="198" t="s">
        <v>215</v>
      </c>
      <c r="AA2066" s="198" t="s">
        <v>51</v>
      </c>
      <c r="AB2066" s="202">
        <v>10000000</v>
      </c>
      <c r="AC2066" s="202">
        <v>10000000</v>
      </c>
    </row>
    <row r="2067" spans="1:29" outlineLevel="2" x14ac:dyDescent="0.25">
      <c r="A2067" s="201">
        <v>46065</v>
      </c>
      <c r="D2067" s="198" t="s">
        <v>54</v>
      </c>
      <c r="E2067" s="202">
        <v>9827504</v>
      </c>
      <c r="K2067" s="198" t="s">
        <v>1975</v>
      </c>
      <c r="L2067" s="198" t="s">
        <v>89</v>
      </c>
      <c r="P2067" s="201"/>
      <c r="R2067" s="202">
        <v>9827504</v>
      </c>
      <c r="U2067" s="198" t="s">
        <v>215</v>
      </c>
      <c r="AA2067" s="198" t="s">
        <v>51</v>
      </c>
      <c r="AB2067" s="202">
        <v>9827504</v>
      </c>
      <c r="AC2067" s="202">
        <v>9827504</v>
      </c>
    </row>
    <row r="2068" spans="1:29" outlineLevel="2" x14ac:dyDescent="0.25">
      <c r="A2068" s="201">
        <v>46066</v>
      </c>
      <c r="D2068" s="198" t="s">
        <v>54</v>
      </c>
      <c r="E2068" s="202">
        <v>7488000</v>
      </c>
      <c r="K2068" s="198" t="s">
        <v>1975</v>
      </c>
      <c r="L2068" s="198" t="s">
        <v>89</v>
      </c>
      <c r="P2068" s="201"/>
      <c r="R2068" s="202">
        <v>7488000</v>
      </c>
      <c r="U2068" s="198" t="s">
        <v>215</v>
      </c>
      <c r="AA2068" s="198" t="s">
        <v>51</v>
      </c>
      <c r="AB2068" s="202">
        <v>7488000</v>
      </c>
      <c r="AC2068" s="202">
        <v>7488000</v>
      </c>
    </row>
    <row r="2069" spans="1:29" outlineLevel="2" x14ac:dyDescent="0.25">
      <c r="A2069" s="201">
        <v>46077</v>
      </c>
      <c r="D2069" s="198" t="s">
        <v>54</v>
      </c>
      <c r="E2069" s="202">
        <v>345000</v>
      </c>
      <c r="K2069" s="198" t="s">
        <v>1975</v>
      </c>
      <c r="L2069" s="198" t="s">
        <v>89</v>
      </c>
      <c r="P2069" s="201"/>
      <c r="R2069" s="202">
        <v>345000</v>
      </c>
      <c r="U2069" s="198" t="s">
        <v>215</v>
      </c>
      <c r="AA2069" s="198" t="s">
        <v>51</v>
      </c>
      <c r="AB2069" s="202">
        <v>345000</v>
      </c>
      <c r="AC2069" s="202">
        <v>345000</v>
      </c>
    </row>
    <row r="2070" spans="1:29" outlineLevel="2" x14ac:dyDescent="0.25">
      <c r="A2070" s="201">
        <v>46077</v>
      </c>
      <c r="D2070" s="198" t="s">
        <v>54</v>
      </c>
      <c r="E2070" s="202">
        <v>330200</v>
      </c>
      <c r="K2070" s="198" t="s">
        <v>1975</v>
      </c>
      <c r="L2070" s="198" t="s">
        <v>89</v>
      </c>
      <c r="P2070" s="201"/>
      <c r="R2070" s="202">
        <v>330200</v>
      </c>
      <c r="U2070" s="198" t="s">
        <v>215</v>
      </c>
      <c r="AA2070" s="198" t="s">
        <v>51</v>
      </c>
      <c r="AB2070" s="202">
        <v>330200</v>
      </c>
      <c r="AC2070" s="202">
        <v>330200</v>
      </c>
    </row>
    <row r="2071" spans="1:29" outlineLevel="2" x14ac:dyDescent="0.25">
      <c r="A2071" s="201">
        <v>46139</v>
      </c>
      <c r="D2071" s="198" t="s">
        <v>54</v>
      </c>
      <c r="E2071" s="202">
        <v>3589600</v>
      </c>
      <c r="K2071" s="198" t="s">
        <v>1975</v>
      </c>
      <c r="L2071" s="198" t="s">
        <v>89</v>
      </c>
      <c r="P2071" s="201"/>
      <c r="R2071" s="202">
        <v>3589600</v>
      </c>
      <c r="U2071" s="198" t="s">
        <v>215</v>
      </c>
      <c r="AA2071" s="198" t="s">
        <v>51</v>
      </c>
      <c r="AB2071" s="202">
        <v>3589600</v>
      </c>
      <c r="AC2071" s="202">
        <v>3589600</v>
      </c>
    </row>
    <row r="2072" spans="1:29" outlineLevel="1" x14ac:dyDescent="0.25">
      <c r="A2072" s="210"/>
      <c r="B2072" s="209"/>
      <c r="C2072" s="209"/>
      <c r="D2072" s="209" t="s">
        <v>54</v>
      </c>
      <c r="E2072" s="211">
        <v>286062784</v>
      </c>
      <c r="F2072" s="209"/>
      <c r="G2072" s="209"/>
      <c r="H2072" s="209"/>
      <c r="I2072" s="209"/>
      <c r="J2072" s="209"/>
      <c r="K2072" s="209" t="s">
        <v>54</v>
      </c>
      <c r="L2072" s="209" t="s">
        <v>54</v>
      </c>
      <c r="M2072" s="209"/>
      <c r="N2072" s="209"/>
      <c r="O2072" s="209"/>
      <c r="P2072" s="210"/>
      <c r="Q2072" s="209"/>
      <c r="R2072" s="212"/>
      <c r="S2072" s="209"/>
      <c r="T2072" s="209"/>
      <c r="U2072" s="209" t="s">
        <v>54</v>
      </c>
      <c r="V2072" s="209"/>
      <c r="W2072" s="209"/>
      <c r="X2072" s="209"/>
      <c r="Y2072" s="209"/>
      <c r="Z2072" s="209"/>
      <c r="AA2072" s="209" t="s">
        <v>54</v>
      </c>
      <c r="AB2072" s="212"/>
      <c r="AC2072" s="212"/>
    </row>
    <row r="2073" spans="1:29" outlineLevel="2" x14ac:dyDescent="0.25">
      <c r="A2073" s="201">
        <v>46021</v>
      </c>
      <c r="D2073" s="198" t="s">
        <v>54</v>
      </c>
      <c r="E2073" s="202">
        <v>87123645.900000006</v>
      </c>
      <c r="K2073" s="198" t="s">
        <v>1976</v>
      </c>
      <c r="L2073" s="198" t="s">
        <v>89</v>
      </c>
      <c r="P2073" s="201"/>
      <c r="R2073" s="202">
        <v>87123645.900000006</v>
      </c>
      <c r="U2073" s="198" t="s">
        <v>82</v>
      </c>
      <c r="AA2073" s="198" t="s">
        <v>51</v>
      </c>
      <c r="AB2073" s="202">
        <v>87123645.900000006</v>
      </c>
      <c r="AC2073" s="202">
        <v>87123645.900000006</v>
      </c>
    </row>
    <row r="2074" spans="1:29" outlineLevel="2" x14ac:dyDescent="0.25">
      <c r="A2074" s="201">
        <v>46021</v>
      </c>
      <c r="D2074" s="198" t="s">
        <v>54</v>
      </c>
      <c r="E2074" s="202">
        <v>-24433945.899999999</v>
      </c>
      <c r="K2074" s="198" t="s">
        <v>1976</v>
      </c>
      <c r="L2074" s="198" t="s">
        <v>89</v>
      </c>
      <c r="P2074" s="201"/>
      <c r="R2074" s="202">
        <v>-24433945.899999999</v>
      </c>
      <c r="U2074" s="198" t="s">
        <v>82</v>
      </c>
      <c r="AA2074" s="198" t="s">
        <v>51</v>
      </c>
      <c r="AB2074" s="202">
        <v>-24433945.899999999</v>
      </c>
      <c r="AC2074" s="202">
        <v>-24433945.899999999</v>
      </c>
    </row>
    <row r="2075" spans="1:29" outlineLevel="2" x14ac:dyDescent="0.25">
      <c r="A2075" s="201">
        <v>46147</v>
      </c>
      <c r="D2075" s="198" t="s">
        <v>54</v>
      </c>
      <c r="E2075" s="202">
        <v>24433945</v>
      </c>
      <c r="K2075" s="198" t="s">
        <v>1976</v>
      </c>
      <c r="L2075" s="198" t="s">
        <v>89</v>
      </c>
      <c r="P2075" s="201"/>
      <c r="R2075" s="202">
        <v>24433945</v>
      </c>
      <c r="U2075" s="198" t="s">
        <v>82</v>
      </c>
      <c r="AA2075" s="198" t="s">
        <v>51</v>
      </c>
      <c r="AB2075" s="202">
        <v>24433945</v>
      </c>
      <c r="AC2075" s="202">
        <v>24433945</v>
      </c>
    </row>
    <row r="2076" spans="1:29" outlineLevel="2" x14ac:dyDescent="0.25">
      <c r="A2076" s="201">
        <v>46147</v>
      </c>
      <c r="D2076" s="198" t="s">
        <v>54</v>
      </c>
      <c r="E2076" s="202">
        <v>17432249.699999999</v>
      </c>
      <c r="K2076" s="198" t="s">
        <v>1976</v>
      </c>
      <c r="L2076" s="198" t="s">
        <v>89</v>
      </c>
      <c r="P2076" s="201"/>
      <c r="R2076" s="202">
        <v>17432249.699999999</v>
      </c>
      <c r="U2076" s="198" t="s">
        <v>82</v>
      </c>
      <c r="AA2076" s="198" t="s">
        <v>51</v>
      </c>
      <c r="AB2076" s="202">
        <v>17432249.699999999</v>
      </c>
      <c r="AC2076" s="202">
        <v>17432249.699999999</v>
      </c>
    </row>
    <row r="2077" spans="1:29" outlineLevel="1" x14ac:dyDescent="0.25">
      <c r="A2077" s="210"/>
      <c r="B2077" s="209"/>
      <c r="C2077" s="209"/>
      <c r="D2077" s="209" t="s">
        <v>54</v>
      </c>
      <c r="E2077" s="211">
        <v>104555894.7</v>
      </c>
      <c r="F2077" s="209"/>
      <c r="G2077" s="209"/>
      <c r="H2077" s="209"/>
      <c r="I2077" s="209"/>
      <c r="J2077" s="209"/>
      <c r="K2077" s="209" t="s">
        <v>54</v>
      </c>
      <c r="L2077" s="209" t="s">
        <v>54</v>
      </c>
      <c r="M2077" s="209"/>
      <c r="N2077" s="209"/>
      <c r="O2077" s="209"/>
      <c r="P2077" s="210"/>
      <c r="Q2077" s="209"/>
      <c r="R2077" s="212"/>
      <c r="S2077" s="209"/>
      <c r="T2077" s="209"/>
      <c r="U2077" s="209" t="s">
        <v>54</v>
      </c>
      <c r="V2077" s="209"/>
      <c r="W2077" s="209"/>
      <c r="X2077" s="209"/>
      <c r="Y2077" s="209"/>
      <c r="Z2077" s="209"/>
      <c r="AA2077" s="209" t="s">
        <v>54</v>
      </c>
      <c r="AB2077" s="212"/>
      <c r="AC2077" s="212"/>
    </row>
    <row r="2078" spans="1:29" outlineLevel="2" x14ac:dyDescent="0.25">
      <c r="A2078" s="201">
        <v>46021</v>
      </c>
      <c r="D2078" s="198" t="s">
        <v>54</v>
      </c>
      <c r="E2078" s="202">
        <v>200000000</v>
      </c>
      <c r="K2078" s="198" t="s">
        <v>1977</v>
      </c>
      <c r="L2078" s="198" t="s">
        <v>89</v>
      </c>
      <c r="P2078" s="201"/>
      <c r="R2078" s="202">
        <v>200000000</v>
      </c>
      <c r="U2078" s="198" t="s">
        <v>1144</v>
      </c>
      <c r="AA2078" s="198" t="s">
        <v>51</v>
      </c>
      <c r="AB2078" s="202">
        <v>200000000</v>
      </c>
      <c r="AC2078" s="202">
        <v>200000000</v>
      </c>
    </row>
    <row r="2079" spans="1:29" outlineLevel="2" x14ac:dyDescent="0.25">
      <c r="A2079" s="201">
        <v>46021</v>
      </c>
      <c r="D2079" s="198" t="s">
        <v>54</v>
      </c>
      <c r="E2079" s="202">
        <v>97810700</v>
      </c>
      <c r="K2079" s="198" t="s">
        <v>1977</v>
      </c>
      <c r="L2079" s="198" t="s">
        <v>89</v>
      </c>
      <c r="P2079" s="201"/>
      <c r="R2079" s="202">
        <v>97810700</v>
      </c>
      <c r="U2079" s="198" t="s">
        <v>1144</v>
      </c>
      <c r="AA2079" s="198" t="s">
        <v>51</v>
      </c>
      <c r="AB2079" s="202">
        <v>97810700</v>
      </c>
      <c r="AC2079" s="202">
        <v>97810700</v>
      </c>
    </row>
    <row r="2080" spans="1:29" outlineLevel="2" x14ac:dyDescent="0.25">
      <c r="A2080" s="201">
        <v>46044</v>
      </c>
      <c r="D2080" s="198" t="s">
        <v>54</v>
      </c>
      <c r="E2080" s="202">
        <v>2000000</v>
      </c>
      <c r="K2080" s="198" t="s">
        <v>1977</v>
      </c>
      <c r="L2080" s="198" t="s">
        <v>89</v>
      </c>
      <c r="P2080" s="201"/>
      <c r="R2080" s="202">
        <v>2000000</v>
      </c>
      <c r="U2080" s="198" t="s">
        <v>1144</v>
      </c>
      <c r="AA2080" s="198" t="s">
        <v>51</v>
      </c>
      <c r="AB2080" s="202">
        <v>2000000</v>
      </c>
      <c r="AC2080" s="202">
        <v>2000000</v>
      </c>
    </row>
    <row r="2081" spans="1:29" outlineLevel="2" x14ac:dyDescent="0.25">
      <c r="A2081" s="201">
        <v>46052</v>
      </c>
      <c r="D2081" s="198" t="s">
        <v>54</v>
      </c>
      <c r="E2081" s="202">
        <v>2882735</v>
      </c>
      <c r="K2081" s="198" t="s">
        <v>1977</v>
      </c>
      <c r="L2081" s="198" t="s">
        <v>89</v>
      </c>
      <c r="P2081" s="201"/>
      <c r="R2081" s="202">
        <v>2882735</v>
      </c>
      <c r="U2081" s="198" t="s">
        <v>1144</v>
      </c>
      <c r="AA2081" s="198" t="s">
        <v>51</v>
      </c>
      <c r="AB2081" s="202">
        <v>2882735</v>
      </c>
      <c r="AC2081" s="202">
        <v>2882735</v>
      </c>
    </row>
    <row r="2082" spans="1:29" outlineLevel="2" x14ac:dyDescent="0.25">
      <c r="A2082" s="201">
        <v>46057</v>
      </c>
      <c r="D2082" s="198" t="s">
        <v>54</v>
      </c>
      <c r="E2082" s="202">
        <v>1215342.56</v>
      </c>
      <c r="K2082" s="198" t="s">
        <v>1977</v>
      </c>
      <c r="L2082" s="198" t="s">
        <v>89</v>
      </c>
      <c r="P2082" s="201"/>
      <c r="R2082" s="202">
        <v>1215342.56</v>
      </c>
      <c r="U2082" s="198" t="s">
        <v>1144</v>
      </c>
      <c r="AA2082" s="198" t="s">
        <v>51</v>
      </c>
      <c r="AB2082" s="202">
        <v>1215342.56</v>
      </c>
      <c r="AC2082" s="202">
        <v>1215342.56</v>
      </c>
    </row>
    <row r="2083" spans="1:29" outlineLevel="2" x14ac:dyDescent="0.25">
      <c r="A2083" s="201">
        <v>46113</v>
      </c>
      <c r="D2083" s="198" t="s">
        <v>54</v>
      </c>
      <c r="E2083" s="202">
        <v>-1742150</v>
      </c>
      <c r="K2083" s="198" t="s">
        <v>1977</v>
      </c>
      <c r="L2083" s="198" t="s">
        <v>89</v>
      </c>
      <c r="P2083" s="201"/>
      <c r="R2083" s="202">
        <v>-1742150</v>
      </c>
      <c r="U2083" s="198" t="s">
        <v>1144</v>
      </c>
      <c r="AA2083" s="198" t="s">
        <v>51</v>
      </c>
      <c r="AB2083" s="202">
        <v>-1742150</v>
      </c>
      <c r="AC2083" s="202">
        <v>-1742150</v>
      </c>
    </row>
    <row r="2084" spans="1:29" outlineLevel="2" x14ac:dyDescent="0.25">
      <c r="A2084" s="201">
        <v>46139</v>
      </c>
      <c r="D2084" s="198" t="s">
        <v>54</v>
      </c>
      <c r="E2084" s="202">
        <v>9545140</v>
      </c>
      <c r="K2084" s="198" t="s">
        <v>1977</v>
      </c>
      <c r="L2084" s="198" t="s">
        <v>89</v>
      </c>
      <c r="P2084" s="201"/>
      <c r="R2084" s="202">
        <v>9545140</v>
      </c>
      <c r="U2084" s="198" t="s">
        <v>1144</v>
      </c>
      <c r="AA2084" s="198" t="s">
        <v>51</v>
      </c>
      <c r="AB2084" s="202">
        <v>9545140</v>
      </c>
      <c r="AC2084" s="202">
        <v>9545140</v>
      </c>
    </row>
    <row r="2085" spans="1:29" outlineLevel="1" x14ac:dyDescent="0.25">
      <c r="A2085" s="210"/>
      <c r="B2085" s="209"/>
      <c r="C2085" s="209"/>
      <c r="D2085" s="209" t="s">
        <v>54</v>
      </c>
      <c r="E2085" s="211">
        <v>311711767.56</v>
      </c>
      <c r="F2085" s="209"/>
      <c r="G2085" s="209"/>
      <c r="H2085" s="209"/>
      <c r="I2085" s="209"/>
      <c r="J2085" s="209"/>
      <c r="K2085" s="209" t="s">
        <v>54</v>
      </c>
      <c r="L2085" s="209" t="s">
        <v>54</v>
      </c>
      <c r="M2085" s="209"/>
      <c r="N2085" s="209"/>
      <c r="O2085" s="209"/>
      <c r="P2085" s="210"/>
      <c r="Q2085" s="209"/>
      <c r="R2085" s="212"/>
      <c r="S2085" s="209"/>
      <c r="T2085" s="209"/>
      <c r="U2085" s="209" t="s">
        <v>54</v>
      </c>
      <c r="V2085" s="209"/>
      <c r="W2085" s="209"/>
      <c r="X2085" s="209"/>
      <c r="Y2085" s="209"/>
      <c r="Z2085" s="209"/>
      <c r="AA2085" s="209" t="s">
        <v>54</v>
      </c>
      <c r="AB2085" s="212"/>
      <c r="AC2085" s="212"/>
    </row>
    <row r="2086" spans="1:29" outlineLevel="2" x14ac:dyDescent="0.25">
      <c r="A2086" s="201">
        <v>46021</v>
      </c>
      <c r="D2086" s="198" t="s">
        <v>54</v>
      </c>
      <c r="E2086" s="202">
        <v>200000000</v>
      </c>
      <c r="K2086" s="198" t="s">
        <v>1978</v>
      </c>
      <c r="L2086" s="198" t="s">
        <v>89</v>
      </c>
      <c r="P2086" s="201"/>
      <c r="R2086" s="202">
        <v>200000000</v>
      </c>
      <c r="U2086" s="198" t="s">
        <v>216</v>
      </c>
      <c r="AA2086" s="198" t="s">
        <v>51</v>
      </c>
      <c r="AB2086" s="202">
        <v>200000000</v>
      </c>
      <c r="AC2086" s="202">
        <v>200000000</v>
      </c>
    </row>
    <row r="2087" spans="1:29" outlineLevel="2" x14ac:dyDescent="0.25">
      <c r="A2087" s="201">
        <v>46021</v>
      </c>
      <c r="D2087" s="198" t="s">
        <v>54</v>
      </c>
      <c r="E2087" s="202">
        <v>35745000</v>
      </c>
      <c r="K2087" s="198" t="s">
        <v>1978</v>
      </c>
      <c r="L2087" s="198" t="s">
        <v>89</v>
      </c>
      <c r="P2087" s="201"/>
      <c r="R2087" s="202">
        <v>35745000</v>
      </c>
      <c r="U2087" s="198" t="s">
        <v>216</v>
      </c>
      <c r="AA2087" s="198" t="s">
        <v>51</v>
      </c>
      <c r="AB2087" s="202">
        <v>35745000</v>
      </c>
      <c r="AC2087" s="202">
        <v>35745000</v>
      </c>
    </row>
    <row r="2088" spans="1:29" outlineLevel="2" x14ac:dyDescent="0.25">
      <c r="A2088" s="201">
        <v>46044</v>
      </c>
      <c r="D2088" s="198" t="s">
        <v>54</v>
      </c>
      <c r="E2088" s="202">
        <v>2000000</v>
      </c>
      <c r="K2088" s="198" t="s">
        <v>1978</v>
      </c>
      <c r="L2088" s="198" t="s">
        <v>89</v>
      </c>
      <c r="P2088" s="201"/>
      <c r="R2088" s="202">
        <v>2000000</v>
      </c>
      <c r="U2088" s="198" t="s">
        <v>216</v>
      </c>
      <c r="AA2088" s="198" t="s">
        <v>51</v>
      </c>
      <c r="AB2088" s="202">
        <v>2000000</v>
      </c>
      <c r="AC2088" s="202">
        <v>2000000</v>
      </c>
    </row>
    <row r="2089" spans="1:29" outlineLevel="2" x14ac:dyDescent="0.25">
      <c r="A2089" s="201">
        <v>46113</v>
      </c>
      <c r="D2089" s="198" t="s">
        <v>54</v>
      </c>
      <c r="E2089" s="202">
        <v>-191000</v>
      </c>
      <c r="K2089" s="198" t="s">
        <v>1978</v>
      </c>
      <c r="L2089" s="198" t="s">
        <v>89</v>
      </c>
      <c r="P2089" s="201"/>
      <c r="R2089" s="202">
        <v>-191000</v>
      </c>
      <c r="U2089" s="198" t="s">
        <v>216</v>
      </c>
      <c r="AA2089" s="198" t="s">
        <v>51</v>
      </c>
      <c r="AB2089" s="202">
        <v>-191000</v>
      </c>
      <c r="AC2089" s="202">
        <v>-191000</v>
      </c>
    </row>
    <row r="2090" spans="1:29" outlineLevel="2" x14ac:dyDescent="0.25">
      <c r="A2090" s="201">
        <v>46139</v>
      </c>
      <c r="D2090" s="198" t="s">
        <v>54</v>
      </c>
      <c r="E2090" s="202">
        <v>9545140</v>
      </c>
      <c r="K2090" s="198" t="s">
        <v>1978</v>
      </c>
      <c r="L2090" s="198" t="s">
        <v>89</v>
      </c>
      <c r="P2090" s="201"/>
      <c r="R2090" s="202">
        <v>9545140</v>
      </c>
      <c r="U2090" s="198" t="s">
        <v>216</v>
      </c>
      <c r="AA2090" s="198" t="s">
        <v>51</v>
      </c>
      <c r="AB2090" s="202">
        <v>9545140</v>
      </c>
      <c r="AC2090" s="202">
        <v>9545140</v>
      </c>
    </row>
    <row r="2091" spans="1:29" outlineLevel="1" x14ac:dyDescent="0.25">
      <c r="A2091" s="210"/>
      <c r="B2091" s="209"/>
      <c r="C2091" s="209"/>
      <c r="D2091" s="209" t="s">
        <v>54</v>
      </c>
      <c r="E2091" s="211">
        <v>247099140</v>
      </c>
      <c r="F2091" s="209"/>
      <c r="G2091" s="209"/>
      <c r="H2091" s="209"/>
      <c r="I2091" s="209"/>
      <c r="J2091" s="209"/>
      <c r="K2091" s="209" t="s">
        <v>54</v>
      </c>
      <c r="L2091" s="209" t="s">
        <v>54</v>
      </c>
      <c r="M2091" s="209"/>
      <c r="N2091" s="209"/>
      <c r="O2091" s="209"/>
      <c r="P2091" s="210"/>
      <c r="Q2091" s="209"/>
      <c r="R2091" s="212"/>
      <c r="S2091" s="209"/>
      <c r="T2091" s="209"/>
      <c r="U2091" s="209" t="s">
        <v>54</v>
      </c>
      <c r="V2091" s="209"/>
      <c r="W2091" s="209"/>
      <c r="X2091" s="209"/>
      <c r="Y2091" s="209"/>
      <c r="Z2091" s="209"/>
      <c r="AA2091" s="209" t="s">
        <v>54</v>
      </c>
      <c r="AB2091" s="212"/>
      <c r="AC2091" s="212"/>
    </row>
    <row r="2092" spans="1:29" outlineLevel="2" x14ac:dyDescent="0.25">
      <c r="A2092" s="201">
        <v>46021</v>
      </c>
      <c r="D2092" s="198" t="s">
        <v>54</v>
      </c>
      <c r="E2092" s="202">
        <v>62065700</v>
      </c>
      <c r="K2092" s="198" t="s">
        <v>1979</v>
      </c>
      <c r="L2092" s="198" t="s">
        <v>89</v>
      </c>
      <c r="P2092" s="201"/>
      <c r="R2092" s="202">
        <v>62065700</v>
      </c>
      <c r="U2092" s="198" t="s">
        <v>110</v>
      </c>
      <c r="AA2092" s="198" t="s">
        <v>51</v>
      </c>
      <c r="AB2092" s="202">
        <v>62065700</v>
      </c>
      <c r="AC2092" s="202">
        <v>62065700</v>
      </c>
    </row>
    <row r="2093" spans="1:29" outlineLevel="2" x14ac:dyDescent="0.25">
      <c r="A2093" s="201">
        <v>46052</v>
      </c>
      <c r="D2093" s="198" t="s">
        <v>54</v>
      </c>
      <c r="E2093" s="202">
        <v>2882735</v>
      </c>
      <c r="K2093" s="198" t="s">
        <v>1979</v>
      </c>
      <c r="L2093" s="198" t="s">
        <v>89</v>
      </c>
      <c r="P2093" s="201"/>
      <c r="R2093" s="202">
        <v>2882735</v>
      </c>
      <c r="U2093" s="198" t="s">
        <v>110</v>
      </c>
      <c r="AA2093" s="198" t="s">
        <v>51</v>
      </c>
      <c r="AB2093" s="202">
        <v>2882735</v>
      </c>
      <c r="AC2093" s="202">
        <v>2882735</v>
      </c>
    </row>
    <row r="2094" spans="1:29" outlineLevel="2" x14ac:dyDescent="0.25">
      <c r="A2094" s="201">
        <v>46057</v>
      </c>
      <c r="D2094" s="198" t="s">
        <v>54</v>
      </c>
      <c r="E2094" s="202">
        <v>1215342.56</v>
      </c>
      <c r="K2094" s="198" t="s">
        <v>1979</v>
      </c>
      <c r="L2094" s="198" t="s">
        <v>89</v>
      </c>
      <c r="P2094" s="201"/>
      <c r="R2094" s="202">
        <v>1215342.56</v>
      </c>
      <c r="U2094" s="198" t="s">
        <v>110</v>
      </c>
      <c r="AA2094" s="198" t="s">
        <v>51</v>
      </c>
      <c r="AB2094" s="202">
        <v>1215342.56</v>
      </c>
      <c r="AC2094" s="202">
        <v>1215342.56</v>
      </c>
    </row>
    <row r="2095" spans="1:29" outlineLevel="2" x14ac:dyDescent="0.25">
      <c r="A2095" s="201">
        <v>46113</v>
      </c>
      <c r="D2095" s="198" t="s">
        <v>54</v>
      </c>
      <c r="E2095" s="202">
        <v>-1551150</v>
      </c>
      <c r="K2095" s="198" t="s">
        <v>1979</v>
      </c>
      <c r="L2095" s="198" t="s">
        <v>89</v>
      </c>
      <c r="P2095" s="201"/>
      <c r="R2095" s="202">
        <v>-1551150</v>
      </c>
      <c r="U2095" s="198" t="s">
        <v>110</v>
      </c>
      <c r="AA2095" s="198" t="s">
        <v>51</v>
      </c>
      <c r="AB2095" s="202">
        <v>-1551150</v>
      </c>
      <c r="AC2095" s="202">
        <v>-1551150</v>
      </c>
    </row>
    <row r="2096" spans="1:29" outlineLevel="1" x14ac:dyDescent="0.25">
      <c r="A2096" s="210"/>
      <c r="B2096" s="209"/>
      <c r="C2096" s="209"/>
      <c r="D2096" s="209" t="s">
        <v>54</v>
      </c>
      <c r="E2096" s="211">
        <v>64612627.560000002</v>
      </c>
      <c r="F2096" s="209"/>
      <c r="G2096" s="209"/>
      <c r="H2096" s="209"/>
      <c r="I2096" s="209"/>
      <c r="J2096" s="209"/>
      <c r="K2096" s="209" t="s">
        <v>54</v>
      </c>
      <c r="L2096" s="209" t="s">
        <v>54</v>
      </c>
      <c r="M2096" s="209"/>
      <c r="N2096" s="209"/>
      <c r="O2096" s="209"/>
      <c r="P2096" s="210"/>
      <c r="Q2096" s="209"/>
      <c r="R2096" s="212"/>
      <c r="S2096" s="209"/>
      <c r="T2096" s="209"/>
      <c r="U2096" s="209" t="s">
        <v>54</v>
      </c>
      <c r="V2096" s="209"/>
      <c r="W2096" s="209"/>
      <c r="X2096" s="209"/>
      <c r="Y2096" s="209"/>
      <c r="Z2096" s="209"/>
      <c r="AA2096" s="209" t="s">
        <v>54</v>
      </c>
      <c r="AB2096" s="212"/>
      <c r="AC2096" s="212"/>
    </row>
    <row r="2097" spans="1:29" outlineLevel="2" x14ac:dyDescent="0.25">
      <c r="A2097" s="201">
        <v>46021</v>
      </c>
      <c r="D2097" s="198" t="s">
        <v>54</v>
      </c>
      <c r="E2097" s="202">
        <v>12970000</v>
      </c>
      <c r="K2097" s="198" t="s">
        <v>1980</v>
      </c>
      <c r="L2097" s="198" t="s">
        <v>89</v>
      </c>
      <c r="P2097" s="201"/>
      <c r="R2097" s="202">
        <v>12970000</v>
      </c>
      <c r="U2097" s="198" t="s">
        <v>731</v>
      </c>
      <c r="AA2097" s="198" t="s">
        <v>51</v>
      </c>
      <c r="AB2097" s="202">
        <v>12970000</v>
      </c>
      <c r="AC2097" s="202">
        <v>12970000</v>
      </c>
    </row>
    <row r="2098" spans="1:29" outlineLevel="2" x14ac:dyDescent="0.25">
      <c r="A2098" s="201">
        <v>46021</v>
      </c>
      <c r="D2098" s="198" t="s">
        <v>54</v>
      </c>
      <c r="E2098" s="202">
        <v>-500</v>
      </c>
      <c r="K2098" s="198" t="s">
        <v>1980</v>
      </c>
      <c r="L2098" s="198" t="s">
        <v>89</v>
      </c>
      <c r="P2098" s="201"/>
      <c r="R2098" s="202">
        <v>-500</v>
      </c>
      <c r="U2098" s="198" t="s">
        <v>731</v>
      </c>
      <c r="AA2098" s="198" t="s">
        <v>51</v>
      </c>
      <c r="AB2098" s="202">
        <v>-500</v>
      </c>
      <c r="AC2098" s="202">
        <v>-500</v>
      </c>
    </row>
    <row r="2099" spans="1:29" outlineLevel="2" x14ac:dyDescent="0.25">
      <c r="A2099" s="201">
        <v>46139</v>
      </c>
      <c r="D2099" s="198" t="s">
        <v>54</v>
      </c>
      <c r="E2099" s="202">
        <v>2809200</v>
      </c>
      <c r="K2099" s="198" t="s">
        <v>1980</v>
      </c>
      <c r="L2099" s="198" t="s">
        <v>89</v>
      </c>
      <c r="P2099" s="201"/>
      <c r="R2099" s="202">
        <v>2809200</v>
      </c>
      <c r="U2099" s="198" t="s">
        <v>731</v>
      </c>
      <c r="AA2099" s="198" t="s">
        <v>51</v>
      </c>
      <c r="AB2099" s="202">
        <v>2809200</v>
      </c>
      <c r="AC2099" s="202">
        <v>2809200</v>
      </c>
    </row>
    <row r="2100" spans="1:29" outlineLevel="1" x14ac:dyDescent="0.25">
      <c r="A2100" s="210"/>
      <c r="B2100" s="209"/>
      <c r="C2100" s="209"/>
      <c r="D2100" s="209" t="s">
        <v>54</v>
      </c>
      <c r="E2100" s="211">
        <v>15778700</v>
      </c>
      <c r="F2100" s="209"/>
      <c r="G2100" s="209"/>
      <c r="H2100" s="209"/>
      <c r="I2100" s="209"/>
      <c r="J2100" s="209"/>
      <c r="K2100" s="209" t="s">
        <v>54</v>
      </c>
      <c r="L2100" s="209" t="s">
        <v>54</v>
      </c>
      <c r="M2100" s="209"/>
      <c r="N2100" s="209"/>
      <c r="O2100" s="209"/>
      <c r="P2100" s="210"/>
      <c r="Q2100" s="209"/>
      <c r="R2100" s="212"/>
      <c r="S2100" s="209"/>
      <c r="T2100" s="209"/>
      <c r="U2100" s="209" t="s">
        <v>54</v>
      </c>
      <c r="V2100" s="209"/>
      <c r="W2100" s="209"/>
      <c r="X2100" s="209"/>
      <c r="Y2100" s="209"/>
      <c r="Z2100" s="209"/>
      <c r="AA2100" s="209" t="s">
        <v>54</v>
      </c>
      <c r="AB2100" s="212"/>
      <c r="AC2100" s="212"/>
    </row>
    <row r="2101" spans="1:29" outlineLevel="2" x14ac:dyDescent="0.25">
      <c r="A2101" s="201">
        <v>46021</v>
      </c>
      <c r="D2101" s="198" t="s">
        <v>54</v>
      </c>
      <c r="E2101" s="202">
        <v>15000000</v>
      </c>
      <c r="K2101" s="198" t="s">
        <v>1981</v>
      </c>
      <c r="L2101" s="198" t="s">
        <v>89</v>
      </c>
      <c r="P2101" s="201"/>
      <c r="R2101" s="202">
        <v>15000000</v>
      </c>
      <c r="U2101" s="198" t="s">
        <v>1145</v>
      </c>
      <c r="AA2101" s="198" t="s">
        <v>51</v>
      </c>
      <c r="AB2101" s="202">
        <v>15000000</v>
      </c>
      <c r="AC2101" s="202">
        <v>15000000</v>
      </c>
    </row>
    <row r="2102" spans="1:29" outlineLevel="2" x14ac:dyDescent="0.25">
      <c r="A2102" s="201">
        <v>46021</v>
      </c>
      <c r="D2102" s="198" t="s">
        <v>54</v>
      </c>
      <c r="E2102" s="202">
        <v>4963100</v>
      </c>
      <c r="K2102" s="198" t="s">
        <v>1981</v>
      </c>
      <c r="L2102" s="198" t="s">
        <v>89</v>
      </c>
      <c r="P2102" s="201"/>
      <c r="R2102" s="202">
        <v>4963100</v>
      </c>
      <c r="U2102" s="198" t="s">
        <v>1145</v>
      </c>
      <c r="AA2102" s="198" t="s">
        <v>51</v>
      </c>
      <c r="AB2102" s="202">
        <v>4963100</v>
      </c>
      <c r="AC2102" s="202">
        <v>4963100</v>
      </c>
    </row>
    <row r="2103" spans="1:29" outlineLevel="2" x14ac:dyDescent="0.25">
      <c r="A2103" s="201">
        <v>46052</v>
      </c>
      <c r="D2103" s="198" t="s">
        <v>54</v>
      </c>
      <c r="E2103" s="202">
        <v>437370</v>
      </c>
      <c r="K2103" s="198" t="s">
        <v>1981</v>
      </c>
      <c r="L2103" s="198" t="s">
        <v>89</v>
      </c>
      <c r="P2103" s="201"/>
      <c r="R2103" s="202">
        <v>437370</v>
      </c>
      <c r="U2103" s="198" t="s">
        <v>1145</v>
      </c>
      <c r="AA2103" s="198" t="s">
        <v>51</v>
      </c>
      <c r="AB2103" s="202">
        <v>437370</v>
      </c>
      <c r="AC2103" s="202">
        <v>437370</v>
      </c>
    </row>
    <row r="2104" spans="1:29" outlineLevel="2" x14ac:dyDescent="0.25">
      <c r="A2104" s="201">
        <v>46057</v>
      </c>
      <c r="D2104" s="198" t="s">
        <v>54</v>
      </c>
      <c r="E2104" s="202">
        <v>218418.06</v>
      </c>
      <c r="K2104" s="198" t="s">
        <v>1981</v>
      </c>
      <c r="L2104" s="198" t="s">
        <v>89</v>
      </c>
      <c r="P2104" s="201"/>
      <c r="R2104" s="202">
        <v>218418.06</v>
      </c>
      <c r="U2104" s="198" t="s">
        <v>1145</v>
      </c>
      <c r="AA2104" s="198" t="s">
        <v>51</v>
      </c>
      <c r="AB2104" s="202">
        <v>218418.06</v>
      </c>
      <c r="AC2104" s="202">
        <v>218418.06</v>
      </c>
    </row>
    <row r="2105" spans="1:29" outlineLevel="2" x14ac:dyDescent="0.25">
      <c r="A2105" s="201">
        <v>46113</v>
      </c>
      <c r="D2105" s="198" t="s">
        <v>54</v>
      </c>
      <c r="E2105" s="202">
        <v>-180078.06</v>
      </c>
      <c r="K2105" s="198" t="s">
        <v>1981</v>
      </c>
      <c r="L2105" s="198" t="s">
        <v>89</v>
      </c>
      <c r="P2105" s="201"/>
      <c r="R2105" s="202">
        <v>-180078.06</v>
      </c>
      <c r="U2105" s="198" t="s">
        <v>1145</v>
      </c>
      <c r="AA2105" s="198" t="s">
        <v>51</v>
      </c>
      <c r="AB2105" s="202">
        <v>-180078.06</v>
      </c>
      <c r="AC2105" s="202">
        <v>-180078.06</v>
      </c>
    </row>
    <row r="2106" spans="1:29" outlineLevel="2" x14ac:dyDescent="0.25">
      <c r="A2106" s="201">
        <v>46139</v>
      </c>
      <c r="D2106" s="198" t="s">
        <v>54</v>
      </c>
      <c r="E2106" s="202">
        <v>2326565</v>
      </c>
      <c r="K2106" s="198" t="s">
        <v>1981</v>
      </c>
      <c r="L2106" s="198" t="s">
        <v>89</v>
      </c>
      <c r="P2106" s="201"/>
      <c r="R2106" s="202">
        <v>2326565</v>
      </c>
      <c r="U2106" s="198" t="s">
        <v>1145</v>
      </c>
      <c r="AA2106" s="198" t="s">
        <v>51</v>
      </c>
      <c r="AB2106" s="202">
        <v>2326565</v>
      </c>
      <c r="AC2106" s="202">
        <v>2326565</v>
      </c>
    </row>
    <row r="2107" spans="1:29" outlineLevel="2" x14ac:dyDescent="0.25">
      <c r="A2107" s="201">
        <v>46141</v>
      </c>
      <c r="D2107" s="198" t="s">
        <v>54</v>
      </c>
      <c r="E2107" s="202">
        <v>13681000</v>
      </c>
      <c r="K2107" s="198" t="s">
        <v>1981</v>
      </c>
      <c r="L2107" s="198" t="s">
        <v>89</v>
      </c>
      <c r="P2107" s="201"/>
      <c r="R2107" s="202">
        <v>13681000</v>
      </c>
      <c r="U2107" s="198" t="s">
        <v>1145</v>
      </c>
      <c r="AA2107" s="198" t="s">
        <v>51</v>
      </c>
      <c r="AB2107" s="202">
        <v>13681000</v>
      </c>
      <c r="AC2107" s="202">
        <v>13681000</v>
      </c>
    </row>
    <row r="2108" spans="1:29" outlineLevel="1" x14ac:dyDescent="0.25">
      <c r="A2108" s="210"/>
      <c r="B2108" s="209"/>
      <c r="C2108" s="209"/>
      <c r="D2108" s="209" t="s">
        <v>54</v>
      </c>
      <c r="E2108" s="211">
        <v>36446375</v>
      </c>
      <c r="F2108" s="209"/>
      <c r="G2108" s="209"/>
      <c r="H2108" s="209"/>
      <c r="I2108" s="209"/>
      <c r="J2108" s="209"/>
      <c r="K2108" s="209" t="s">
        <v>54</v>
      </c>
      <c r="L2108" s="209" t="s">
        <v>54</v>
      </c>
      <c r="M2108" s="209"/>
      <c r="N2108" s="209"/>
      <c r="O2108" s="209"/>
      <c r="P2108" s="210"/>
      <c r="Q2108" s="209"/>
      <c r="R2108" s="212"/>
      <c r="S2108" s="209"/>
      <c r="T2108" s="209"/>
      <c r="U2108" s="209" t="s">
        <v>54</v>
      </c>
      <c r="V2108" s="209"/>
      <c r="W2108" s="209"/>
      <c r="X2108" s="209"/>
      <c r="Y2108" s="209"/>
      <c r="Z2108" s="209"/>
      <c r="AA2108" s="209" t="s">
        <v>54</v>
      </c>
      <c r="AB2108" s="212"/>
      <c r="AC2108" s="212"/>
    </row>
    <row r="2109" spans="1:29" outlineLevel="2" x14ac:dyDescent="0.25">
      <c r="A2109" s="201">
        <v>46021</v>
      </c>
      <c r="D2109" s="198" t="s">
        <v>54</v>
      </c>
      <c r="E2109" s="202">
        <v>15000000</v>
      </c>
      <c r="K2109" s="198" t="s">
        <v>1982</v>
      </c>
      <c r="L2109" s="198" t="s">
        <v>89</v>
      </c>
      <c r="P2109" s="201"/>
      <c r="R2109" s="202">
        <v>15000000</v>
      </c>
      <c r="U2109" s="198" t="s">
        <v>230</v>
      </c>
      <c r="AA2109" s="198" t="s">
        <v>51</v>
      </c>
      <c r="AB2109" s="202">
        <v>15000000</v>
      </c>
      <c r="AC2109" s="202">
        <v>15000000</v>
      </c>
    </row>
    <row r="2110" spans="1:29" outlineLevel="2" x14ac:dyDescent="0.25">
      <c r="A2110" s="201">
        <v>46021</v>
      </c>
      <c r="D2110" s="198" t="s">
        <v>54</v>
      </c>
      <c r="E2110" s="202">
        <v>-4592300</v>
      </c>
      <c r="K2110" s="198" t="s">
        <v>1982</v>
      </c>
      <c r="L2110" s="198" t="s">
        <v>89</v>
      </c>
      <c r="P2110" s="201"/>
      <c r="R2110" s="202">
        <v>-4592300</v>
      </c>
      <c r="U2110" s="198" t="s">
        <v>230</v>
      </c>
      <c r="AA2110" s="198" t="s">
        <v>51</v>
      </c>
      <c r="AB2110" s="202">
        <v>-4592300</v>
      </c>
      <c r="AC2110" s="202">
        <v>-4592300</v>
      </c>
    </row>
    <row r="2111" spans="1:29" outlineLevel="2" x14ac:dyDescent="0.25">
      <c r="A2111" s="201">
        <v>46139</v>
      </c>
      <c r="D2111" s="198" t="s">
        <v>54</v>
      </c>
      <c r="E2111" s="202">
        <v>2326565</v>
      </c>
      <c r="K2111" s="198" t="s">
        <v>1982</v>
      </c>
      <c r="L2111" s="198" t="s">
        <v>89</v>
      </c>
      <c r="P2111" s="201"/>
      <c r="R2111" s="202">
        <v>2326565</v>
      </c>
      <c r="U2111" s="198" t="s">
        <v>230</v>
      </c>
      <c r="AA2111" s="198" t="s">
        <v>51</v>
      </c>
      <c r="AB2111" s="202">
        <v>2326565</v>
      </c>
      <c r="AC2111" s="202">
        <v>2326565</v>
      </c>
    </row>
    <row r="2112" spans="1:29" outlineLevel="1" x14ac:dyDescent="0.25">
      <c r="A2112" s="210"/>
      <c r="B2112" s="209"/>
      <c r="C2112" s="209"/>
      <c r="D2112" s="209" t="s">
        <v>54</v>
      </c>
      <c r="E2112" s="211">
        <v>12734265</v>
      </c>
      <c r="F2112" s="209"/>
      <c r="G2112" s="209"/>
      <c r="H2112" s="209"/>
      <c r="I2112" s="209"/>
      <c r="J2112" s="209"/>
      <c r="K2112" s="209" t="s">
        <v>54</v>
      </c>
      <c r="L2112" s="209" t="s">
        <v>54</v>
      </c>
      <c r="M2112" s="209"/>
      <c r="N2112" s="209"/>
      <c r="O2112" s="209"/>
      <c r="P2112" s="210"/>
      <c r="Q2112" s="209"/>
      <c r="R2112" s="212"/>
      <c r="S2112" s="209"/>
      <c r="T2112" s="209"/>
      <c r="U2112" s="209" t="s">
        <v>54</v>
      </c>
      <c r="V2112" s="209"/>
      <c r="W2112" s="209"/>
      <c r="X2112" s="209"/>
      <c r="Y2112" s="209"/>
      <c r="Z2112" s="209"/>
      <c r="AA2112" s="209" t="s">
        <v>54</v>
      </c>
      <c r="AB2112" s="212"/>
      <c r="AC2112" s="212"/>
    </row>
    <row r="2113" spans="1:29" outlineLevel="2" x14ac:dyDescent="0.25">
      <c r="A2113" s="201">
        <v>46021</v>
      </c>
      <c r="D2113" s="198" t="s">
        <v>54</v>
      </c>
      <c r="E2113" s="202">
        <v>9555400</v>
      </c>
      <c r="K2113" s="198" t="s">
        <v>1983</v>
      </c>
      <c r="L2113" s="198" t="s">
        <v>89</v>
      </c>
      <c r="P2113" s="201"/>
      <c r="R2113" s="202">
        <v>9555400</v>
      </c>
      <c r="U2113" s="198" t="s">
        <v>96</v>
      </c>
      <c r="AA2113" s="198" t="s">
        <v>51</v>
      </c>
      <c r="AB2113" s="202">
        <v>9555400</v>
      </c>
      <c r="AC2113" s="202">
        <v>9555400</v>
      </c>
    </row>
    <row r="2114" spans="1:29" outlineLevel="2" x14ac:dyDescent="0.25">
      <c r="A2114" s="201">
        <v>46052</v>
      </c>
      <c r="D2114" s="198" t="s">
        <v>54</v>
      </c>
      <c r="E2114" s="202">
        <v>437370</v>
      </c>
      <c r="K2114" s="198" t="s">
        <v>1983</v>
      </c>
      <c r="L2114" s="198" t="s">
        <v>89</v>
      </c>
      <c r="P2114" s="201"/>
      <c r="R2114" s="202">
        <v>437370</v>
      </c>
      <c r="U2114" s="198" t="s">
        <v>96</v>
      </c>
      <c r="AA2114" s="198" t="s">
        <v>51</v>
      </c>
      <c r="AB2114" s="202">
        <v>437370</v>
      </c>
      <c r="AC2114" s="202">
        <v>437370</v>
      </c>
    </row>
    <row r="2115" spans="1:29" outlineLevel="2" x14ac:dyDescent="0.25">
      <c r="A2115" s="201">
        <v>46057</v>
      </c>
      <c r="D2115" s="198" t="s">
        <v>54</v>
      </c>
      <c r="E2115" s="202">
        <v>218418.06</v>
      </c>
      <c r="K2115" s="198" t="s">
        <v>1983</v>
      </c>
      <c r="L2115" s="198" t="s">
        <v>89</v>
      </c>
      <c r="P2115" s="201"/>
      <c r="R2115" s="202">
        <v>218418.06</v>
      </c>
      <c r="U2115" s="198" t="s">
        <v>96</v>
      </c>
      <c r="AA2115" s="198" t="s">
        <v>51</v>
      </c>
      <c r="AB2115" s="202">
        <v>218418.06</v>
      </c>
      <c r="AC2115" s="202">
        <v>218418.06</v>
      </c>
    </row>
    <row r="2116" spans="1:29" outlineLevel="2" x14ac:dyDescent="0.25">
      <c r="A2116" s="201">
        <v>46113</v>
      </c>
      <c r="D2116" s="198" t="s">
        <v>54</v>
      </c>
      <c r="E2116" s="202">
        <v>-180078.06</v>
      </c>
      <c r="K2116" s="198" t="s">
        <v>1983</v>
      </c>
      <c r="L2116" s="198" t="s">
        <v>89</v>
      </c>
      <c r="P2116" s="201"/>
      <c r="R2116" s="202">
        <v>-180078.06</v>
      </c>
      <c r="U2116" s="198" t="s">
        <v>96</v>
      </c>
      <c r="AA2116" s="198" t="s">
        <v>51</v>
      </c>
      <c r="AB2116" s="202">
        <v>-180078.06</v>
      </c>
      <c r="AC2116" s="202">
        <v>-180078.06</v>
      </c>
    </row>
    <row r="2117" spans="1:29" outlineLevel="2" x14ac:dyDescent="0.25">
      <c r="A2117" s="201">
        <v>46141</v>
      </c>
      <c r="D2117" s="198" t="s">
        <v>54</v>
      </c>
      <c r="E2117" s="202">
        <v>13681000</v>
      </c>
      <c r="K2117" s="198" t="s">
        <v>1983</v>
      </c>
      <c r="L2117" s="198" t="s">
        <v>89</v>
      </c>
      <c r="P2117" s="201"/>
      <c r="R2117" s="202">
        <v>13681000</v>
      </c>
      <c r="U2117" s="198" t="s">
        <v>96</v>
      </c>
      <c r="AA2117" s="198" t="s">
        <v>51</v>
      </c>
      <c r="AB2117" s="202">
        <v>13681000</v>
      </c>
      <c r="AC2117" s="202">
        <v>13681000</v>
      </c>
    </row>
    <row r="2118" spans="1:29" outlineLevel="1" x14ac:dyDescent="0.25">
      <c r="A2118" s="210"/>
      <c r="B2118" s="209"/>
      <c r="C2118" s="209"/>
      <c r="D2118" s="209" t="s">
        <v>54</v>
      </c>
      <c r="E2118" s="211">
        <v>23712110</v>
      </c>
      <c r="F2118" s="209"/>
      <c r="G2118" s="209"/>
      <c r="H2118" s="209"/>
      <c r="I2118" s="209"/>
      <c r="J2118" s="209"/>
      <c r="K2118" s="209" t="s">
        <v>54</v>
      </c>
      <c r="L2118" s="209" t="s">
        <v>54</v>
      </c>
      <c r="M2118" s="209"/>
      <c r="N2118" s="209"/>
      <c r="O2118" s="209"/>
      <c r="P2118" s="210"/>
      <c r="Q2118" s="209"/>
      <c r="R2118" s="212"/>
      <c r="S2118" s="209"/>
      <c r="T2118" s="209"/>
      <c r="U2118" s="209" t="s">
        <v>54</v>
      </c>
      <c r="V2118" s="209"/>
      <c r="W2118" s="209"/>
      <c r="X2118" s="209"/>
      <c r="Y2118" s="209"/>
      <c r="Z2118" s="209"/>
      <c r="AA2118" s="209" t="s">
        <v>54</v>
      </c>
      <c r="AB2118" s="212"/>
      <c r="AC2118" s="212"/>
    </row>
    <row r="2119" spans="1:29" outlineLevel="2" x14ac:dyDescent="0.25">
      <c r="A2119" s="201">
        <v>46021</v>
      </c>
      <c r="D2119" s="198" t="s">
        <v>54</v>
      </c>
      <c r="E2119" s="202">
        <v>16000000</v>
      </c>
      <c r="K2119" s="198" t="s">
        <v>1984</v>
      </c>
      <c r="L2119" s="198" t="s">
        <v>89</v>
      </c>
      <c r="P2119" s="201"/>
      <c r="R2119" s="202">
        <v>16000000</v>
      </c>
      <c r="U2119" s="198" t="s">
        <v>1146</v>
      </c>
      <c r="AA2119" s="198" t="s">
        <v>51</v>
      </c>
      <c r="AB2119" s="202">
        <v>16000000</v>
      </c>
      <c r="AC2119" s="202">
        <v>16000000</v>
      </c>
    </row>
    <row r="2120" spans="1:29" outlineLevel="2" x14ac:dyDescent="0.25">
      <c r="A2120" s="201">
        <v>46021</v>
      </c>
      <c r="D2120" s="198" t="s">
        <v>54</v>
      </c>
      <c r="E2120" s="202">
        <v>4967400</v>
      </c>
      <c r="K2120" s="198" t="s">
        <v>1984</v>
      </c>
      <c r="L2120" s="198" t="s">
        <v>89</v>
      </c>
      <c r="P2120" s="201"/>
      <c r="R2120" s="202">
        <v>4967400</v>
      </c>
      <c r="U2120" s="198" t="s">
        <v>1146</v>
      </c>
      <c r="AA2120" s="198" t="s">
        <v>51</v>
      </c>
      <c r="AB2120" s="202">
        <v>4967400</v>
      </c>
      <c r="AC2120" s="202">
        <v>4967400</v>
      </c>
    </row>
    <row r="2121" spans="1:29" outlineLevel="2" x14ac:dyDescent="0.25">
      <c r="A2121" s="201">
        <v>46043</v>
      </c>
      <c r="D2121" s="198" t="s">
        <v>54</v>
      </c>
      <c r="E2121" s="202">
        <v>400000</v>
      </c>
      <c r="K2121" s="198" t="s">
        <v>1984</v>
      </c>
      <c r="L2121" s="198" t="s">
        <v>89</v>
      </c>
      <c r="P2121" s="201"/>
      <c r="R2121" s="202">
        <v>400000</v>
      </c>
      <c r="U2121" s="198" t="s">
        <v>1146</v>
      </c>
      <c r="AA2121" s="198" t="s">
        <v>51</v>
      </c>
      <c r="AB2121" s="202">
        <v>400000</v>
      </c>
      <c r="AC2121" s="202">
        <v>400000</v>
      </c>
    </row>
    <row r="2122" spans="1:29" outlineLevel="2" x14ac:dyDescent="0.25">
      <c r="A2122" s="201">
        <v>46052</v>
      </c>
      <c r="D2122" s="198" t="s">
        <v>54</v>
      </c>
      <c r="E2122" s="202">
        <v>107935</v>
      </c>
      <c r="K2122" s="198" t="s">
        <v>1984</v>
      </c>
      <c r="L2122" s="198" t="s">
        <v>89</v>
      </c>
      <c r="P2122" s="201"/>
      <c r="R2122" s="202">
        <v>107935</v>
      </c>
      <c r="U2122" s="198" t="s">
        <v>1146</v>
      </c>
      <c r="AA2122" s="198" t="s">
        <v>51</v>
      </c>
      <c r="AB2122" s="202">
        <v>107935</v>
      </c>
      <c r="AC2122" s="202">
        <v>107935</v>
      </c>
    </row>
    <row r="2123" spans="1:29" outlineLevel="2" x14ac:dyDescent="0.25">
      <c r="A2123" s="201">
        <v>46057</v>
      </c>
      <c r="D2123" s="198" t="s">
        <v>54</v>
      </c>
      <c r="E2123" s="202">
        <v>80999</v>
      </c>
      <c r="K2123" s="198" t="s">
        <v>1984</v>
      </c>
      <c r="L2123" s="198" t="s">
        <v>89</v>
      </c>
      <c r="P2123" s="201"/>
      <c r="R2123" s="202">
        <v>80999</v>
      </c>
      <c r="U2123" s="198" t="s">
        <v>1146</v>
      </c>
      <c r="AA2123" s="198" t="s">
        <v>51</v>
      </c>
      <c r="AB2123" s="202">
        <v>80999</v>
      </c>
      <c r="AC2123" s="202">
        <v>80999</v>
      </c>
    </row>
    <row r="2124" spans="1:29" outlineLevel="2" x14ac:dyDescent="0.25">
      <c r="A2124" s="201">
        <v>46113</v>
      </c>
      <c r="D2124" s="198" t="s">
        <v>54</v>
      </c>
      <c r="E2124" s="202">
        <v>-207438.25</v>
      </c>
      <c r="K2124" s="198" t="s">
        <v>1984</v>
      </c>
      <c r="L2124" s="198" t="s">
        <v>89</v>
      </c>
      <c r="P2124" s="201"/>
      <c r="R2124" s="202">
        <v>-207438.25</v>
      </c>
      <c r="U2124" s="198" t="s">
        <v>1146</v>
      </c>
      <c r="AA2124" s="198" t="s">
        <v>51</v>
      </c>
      <c r="AB2124" s="202">
        <v>-207438.25</v>
      </c>
      <c r="AC2124" s="202">
        <v>-207438.25</v>
      </c>
    </row>
    <row r="2125" spans="1:29" outlineLevel="2" x14ac:dyDescent="0.25">
      <c r="A2125" s="201">
        <v>46139</v>
      </c>
      <c r="D2125" s="198" t="s">
        <v>54</v>
      </c>
      <c r="E2125" s="202">
        <v>2184300.25</v>
      </c>
      <c r="K2125" s="198" t="s">
        <v>1984</v>
      </c>
      <c r="L2125" s="198" t="s">
        <v>89</v>
      </c>
      <c r="P2125" s="201"/>
      <c r="R2125" s="202">
        <v>2184300.25</v>
      </c>
      <c r="U2125" s="198" t="s">
        <v>1146</v>
      </c>
      <c r="AA2125" s="198" t="s">
        <v>51</v>
      </c>
      <c r="AB2125" s="202">
        <v>2184300.25</v>
      </c>
      <c r="AC2125" s="202">
        <v>2184300.25</v>
      </c>
    </row>
    <row r="2126" spans="1:29" outlineLevel="2" x14ac:dyDescent="0.25">
      <c r="A2126" s="201">
        <v>46168</v>
      </c>
      <c r="D2126" s="198" t="s">
        <v>54</v>
      </c>
      <c r="E2126" s="202">
        <v>3668986.9</v>
      </c>
      <c r="K2126" s="198" t="s">
        <v>1984</v>
      </c>
      <c r="L2126" s="198" t="s">
        <v>89</v>
      </c>
      <c r="P2126" s="201"/>
      <c r="R2126" s="202">
        <v>3668986.9</v>
      </c>
      <c r="U2126" s="198" t="s">
        <v>1146</v>
      </c>
      <c r="AA2126" s="198" t="s">
        <v>51</v>
      </c>
      <c r="AB2126" s="202">
        <v>3668986.9</v>
      </c>
      <c r="AC2126" s="202">
        <v>3668986.9</v>
      </c>
    </row>
    <row r="2127" spans="1:29" outlineLevel="1" x14ac:dyDescent="0.25">
      <c r="A2127" s="210"/>
      <c r="B2127" s="209"/>
      <c r="C2127" s="209"/>
      <c r="D2127" s="209" t="s">
        <v>54</v>
      </c>
      <c r="E2127" s="211">
        <v>27202182.899999999</v>
      </c>
      <c r="F2127" s="209"/>
      <c r="G2127" s="209"/>
      <c r="H2127" s="209"/>
      <c r="I2127" s="209"/>
      <c r="J2127" s="209"/>
      <c r="K2127" s="209" t="s">
        <v>54</v>
      </c>
      <c r="L2127" s="209" t="s">
        <v>54</v>
      </c>
      <c r="M2127" s="209"/>
      <c r="N2127" s="209"/>
      <c r="O2127" s="209"/>
      <c r="P2127" s="210"/>
      <c r="Q2127" s="209"/>
      <c r="R2127" s="212"/>
      <c r="S2127" s="209"/>
      <c r="T2127" s="209"/>
      <c r="U2127" s="209" t="s">
        <v>54</v>
      </c>
      <c r="V2127" s="209"/>
      <c r="W2127" s="209"/>
      <c r="X2127" s="209"/>
      <c r="Y2127" s="209"/>
      <c r="Z2127" s="209"/>
      <c r="AA2127" s="209" t="s">
        <v>54</v>
      </c>
      <c r="AB2127" s="212"/>
      <c r="AC2127" s="212"/>
    </row>
    <row r="2128" spans="1:29" outlineLevel="2" x14ac:dyDescent="0.25">
      <c r="A2128" s="201">
        <v>46021</v>
      </c>
      <c r="D2128" s="198" t="s">
        <v>54</v>
      </c>
      <c r="E2128" s="202">
        <v>16000000</v>
      </c>
      <c r="K2128" s="198" t="s">
        <v>1985</v>
      </c>
      <c r="L2128" s="198" t="s">
        <v>89</v>
      </c>
      <c r="P2128" s="201"/>
      <c r="R2128" s="202">
        <v>16000000</v>
      </c>
      <c r="U2128" s="198" t="s">
        <v>217</v>
      </c>
      <c r="AA2128" s="198" t="s">
        <v>51</v>
      </c>
      <c r="AB2128" s="202">
        <v>16000000</v>
      </c>
      <c r="AC2128" s="202">
        <v>16000000</v>
      </c>
    </row>
    <row r="2129" spans="1:29" outlineLevel="2" x14ac:dyDescent="0.25">
      <c r="A2129" s="201">
        <v>46021</v>
      </c>
      <c r="D2129" s="198" t="s">
        <v>54</v>
      </c>
      <c r="E2129" s="202">
        <v>563300</v>
      </c>
      <c r="K2129" s="198" t="s">
        <v>1985</v>
      </c>
      <c r="L2129" s="198" t="s">
        <v>89</v>
      </c>
      <c r="P2129" s="201"/>
      <c r="R2129" s="202">
        <v>563300</v>
      </c>
      <c r="U2129" s="198" t="s">
        <v>217</v>
      </c>
      <c r="AA2129" s="198" t="s">
        <v>51</v>
      </c>
      <c r="AB2129" s="202">
        <v>563300</v>
      </c>
      <c r="AC2129" s="202">
        <v>563300</v>
      </c>
    </row>
    <row r="2130" spans="1:29" outlineLevel="2" x14ac:dyDescent="0.25">
      <c r="A2130" s="201">
        <v>46043</v>
      </c>
      <c r="D2130" s="198" t="s">
        <v>54</v>
      </c>
      <c r="E2130" s="202">
        <v>400000</v>
      </c>
      <c r="K2130" s="198" t="s">
        <v>1985</v>
      </c>
      <c r="L2130" s="198" t="s">
        <v>89</v>
      </c>
      <c r="P2130" s="201"/>
      <c r="R2130" s="202">
        <v>400000</v>
      </c>
      <c r="U2130" s="198" t="s">
        <v>217</v>
      </c>
      <c r="AA2130" s="198" t="s">
        <v>51</v>
      </c>
      <c r="AB2130" s="202">
        <v>400000</v>
      </c>
      <c r="AC2130" s="202">
        <v>400000</v>
      </c>
    </row>
    <row r="2131" spans="1:29" outlineLevel="2" x14ac:dyDescent="0.25">
      <c r="A2131" s="201">
        <v>46113</v>
      </c>
      <c r="D2131" s="198" t="s">
        <v>54</v>
      </c>
      <c r="E2131" s="202">
        <v>-98604.25</v>
      </c>
      <c r="K2131" s="198" t="s">
        <v>1985</v>
      </c>
      <c r="L2131" s="198" t="s">
        <v>89</v>
      </c>
      <c r="P2131" s="201"/>
      <c r="R2131" s="202">
        <v>-98604.25</v>
      </c>
      <c r="U2131" s="198" t="s">
        <v>217</v>
      </c>
      <c r="AA2131" s="198" t="s">
        <v>51</v>
      </c>
      <c r="AB2131" s="202">
        <v>-98604.25</v>
      </c>
      <c r="AC2131" s="202">
        <v>-98604.25</v>
      </c>
    </row>
    <row r="2132" spans="1:29" outlineLevel="2" x14ac:dyDescent="0.25">
      <c r="A2132" s="201">
        <v>46139</v>
      </c>
      <c r="D2132" s="198" t="s">
        <v>54</v>
      </c>
      <c r="E2132" s="202">
        <v>2184300.25</v>
      </c>
      <c r="K2132" s="198" t="s">
        <v>1985</v>
      </c>
      <c r="L2132" s="198" t="s">
        <v>89</v>
      </c>
      <c r="P2132" s="201"/>
      <c r="R2132" s="202">
        <v>2184300.25</v>
      </c>
      <c r="U2132" s="198" t="s">
        <v>217</v>
      </c>
      <c r="AA2132" s="198" t="s">
        <v>51</v>
      </c>
      <c r="AB2132" s="202">
        <v>2184300.25</v>
      </c>
      <c r="AC2132" s="202">
        <v>2184300.25</v>
      </c>
    </row>
    <row r="2133" spans="1:29" outlineLevel="1" x14ac:dyDescent="0.25">
      <c r="A2133" s="210"/>
      <c r="B2133" s="209"/>
      <c r="C2133" s="209"/>
      <c r="D2133" s="209" t="s">
        <v>54</v>
      </c>
      <c r="E2133" s="211">
        <v>19048996</v>
      </c>
      <c r="F2133" s="209"/>
      <c r="G2133" s="209"/>
      <c r="H2133" s="209"/>
      <c r="I2133" s="209"/>
      <c r="J2133" s="209"/>
      <c r="K2133" s="209" t="s">
        <v>54</v>
      </c>
      <c r="L2133" s="209" t="s">
        <v>54</v>
      </c>
      <c r="M2133" s="209"/>
      <c r="N2133" s="209"/>
      <c r="O2133" s="209"/>
      <c r="P2133" s="210"/>
      <c r="Q2133" s="209"/>
      <c r="R2133" s="212"/>
      <c r="S2133" s="209"/>
      <c r="T2133" s="209"/>
      <c r="U2133" s="209" t="s">
        <v>54</v>
      </c>
      <c r="V2133" s="209"/>
      <c r="W2133" s="209"/>
      <c r="X2133" s="209"/>
      <c r="Y2133" s="209"/>
      <c r="Z2133" s="209"/>
      <c r="AA2133" s="209" t="s">
        <v>54</v>
      </c>
      <c r="AB2133" s="212"/>
      <c r="AC2133" s="212"/>
    </row>
    <row r="2134" spans="1:29" outlineLevel="2" x14ac:dyDescent="0.25">
      <c r="A2134" s="201">
        <v>46021</v>
      </c>
      <c r="D2134" s="198" t="s">
        <v>54</v>
      </c>
      <c r="E2134" s="202">
        <v>4404100</v>
      </c>
      <c r="K2134" s="198" t="s">
        <v>1986</v>
      </c>
      <c r="L2134" s="198" t="s">
        <v>89</v>
      </c>
      <c r="P2134" s="201"/>
      <c r="R2134" s="202">
        <v>4404100</v>
      </c>
      <c r="U2134" s="198" t="s">
        <v>109</v>
      </c>
      <c r="AA2134" s="198" t="s">
        <v>51</v>
      </c>
      <c r="AB2134" s="202">
        <v>4404100</v>
      </c>
      <c r="AC2134" s="202">
        <v>4404100</v>
      </c>
    </row>
    <row r="2135" spans="1:29" outlineLevel="2" x14ac:dyDescent="0.25">
      <c r="A2135" s="201">
        <v>46052</v>
      </c>
      <c r="D2135" s="198" t="s">
        <v>54</v>
      </c>
      <c r="E2135" s="202">
        <v>107935</v>
      </c>
      <c r="K2135" s="198" t="s">
        <v>1986</v>
      </c>
      <c r="L2135" s="198" t="s">
        <v>89</v>
      </c>
      <c r="P2135" s="201"/>
      <c r="R2135" s="202">
        <v>107935</v>
      </c>
      <c r="U2135" s="198" t="s">
        <v>109</v>
      </c>
      <c r="AA2135" s="198" t="s">
        <v>51</v>
      </c>
      <c r="AB2135" s="202">
        <v>107935</v>
      </c>
      <c r="AC2135" s="202">
        <v>107935</v>
      </c>
    </row>
    <row r="2136" spans="1:29" outlineLevel="2" x14ac:dyDescent="0.25">
      <c r="A2136" s="201">
        <v>46057</v>
      </c>
      <c r="D2136" s="198" t="s">
        <v>54</v>
      </c>
      <c r="E2136" s="202">
        <v>80999</v>
      </c>
      <c r="K2136" s="198" t="s">
        <v>1986</v>
      </c>
      <c r="L2136" s="198" t="s">
        <v>89</v>
      </c>
      <c r="P2136" s="201"/>
      <c r="R2136" s="202">
        <v>80999</v>
      </c>
      <c r="U2136" s="198" t="s">
        <v>109</v>
      </c>
      <c r="AA2136" s="198" t="s">
        <v>51</v>
      </c>
      <c r="AB2136" s="202">
        <v>80999</v>
      </c>
      <c r="AC2136" s="202">
        <v>80999</v>
      </c>
    </row>
    <row r="2137" spans="1:29" outlineLevel="2" x14ac:dyDescent="0.25">
      <c r="A2137" s="201">
        <v>46113</v>
      </c>
      <c r="D2137" s="198" t="s">
        <v>54</v>
      </c>
      <c r="E2137" s="202">
        <v>-108834</v>
      </c>
      <c r="K2137" s="198" t="s">
        <v>1986</v>
      </c>
      <c r="L2137" s="198" t="s">
        <v>89</v>
      </c>
      <c r="P2137" s="201"/>
      <c r="R2137" s="202">
        <v>-108834</v>
      </c>
      <c r="U2137" s="198" t="s">
        <v>109</v>
      </c>
      <c r="AA2137" s="198" t="s">
        <v>51</v>
      </c>
      <c r="AB2137" s="202">
        <v>-108834</v>
      </c>
      <c r="AC2137" s="202">
        <v>-108834</v>
      </c>
    </row>
    <row r="2138" spans="1:29" outlineLevel="2" x14ac:dyDescent="0.25">
      <c r="A2138" s="201">
        <v>46168</v>
      </c>
      <c r="D2138" s="198" t="s">
        <v>54</v>
      </c>
      <c r="E2138" s="202">
        <v>3668986.9</v>
      </c>
      <c r="K2138" s="198" t="s">
        <v>1986</v>
      </c>
      <c r="L2138" s="198" t="s">
        <v>89</v>
      </c>
      <c r="P2138" s="201"/>
      <c r="R2138" s="202">
        <v>3668986.9</v>
      </c>
      <c r="U2138" s="198" t="s">
        <v>109</v>
      </c>
      <c r="AA2138" s="198" t="s">
        <v>51</v>
      </c>
      <c r="AB2138" s="202">
        <v>3668986.9</v>
      </c>
      <c r="AC2138" s="202">
        <v>3668986.9</v>
      </c>
    </row>
    <row r="2139" spans="1:29" outlineLevel="1" x14ac:dyDescent="0.25">
      <c r="A2139" s="210"/>
      <c r="B2139" s="209"/>
      <c r="C2139" s="209"/>
      <c r="D2139" s="209" t="s">
        <v>54</v>
      </c>
      <c r="E2139" s="211">
        <v>8153186.9000000004</v>
      </c>
      <c r="F2139" s="209"/>
      <c r="G2139" s="209"/>
      <c r="H2139" s="209"/>
      <c r="I2139" s="209"/>
      <c r="J2139" s="209"/>
      <c r="K2139" s="209" t="s">
        <v>54</v>
      </c>
      <c r="L2139" s="209" t="s">
        <v>54</v>
      </c>
      <c r="M2139" s="209"/>
      <c r="N2139" s="209"/>
      <c r="O2139" s="209"/>
      <c r="P2139" s="210"/>
      <c r="Q2139" s="209"/>
      <c r="R2139" s="212"/>
      <c r="S2139" s="209"/>
      <c r="T2139" s="209"/>
      <c r="U2139" s="209" t="s">
        <v>54</v>
      </c>
      <c r="V2139" s="209"/>
      <c r="W2139" s="209"/>
      <c r="X2139" s="209"/>
      <c r="Y2139" s="209"/>
      <c r="Z2139" s="209"/>
      <c r="AA2139" s="209" t="s">
        <v>54</v>
      </c>
      <c r="AB2139" s="212"/>
      <c r="AC2139" s="212"/>
    </row>
    <row r="2140" spans="1:29" outlineLevel="2" x14ac:dyDescent="0.25">
      <c r="A2140" s="201">
        <v>46021</v>
      </c>
      <c r="D2140" s="198" t="s">
        <v>54</v>
      </c>
      <c r="E2140" s="202">
        <v>4429000</v>
      </c>
      <c r="K2140" s="198" t="s">
        <v>1987</v>
      </c>
      <c r="L2140" s="198" t="s">
        <v>89</v>
      </c>
      <c r="P2140" s="201"/>
      <c r="R2140" s="202">
        <v>4429000</v>
      </c>
      <c r="U2140" s="198" t="s">
        <v>1147</v>
      </c>
      <c r="AA2140" s="198" t="s">
        <v>51</v>
      </c>
      <c r="AB2140" s="202">
        <v>4429000</v>
      </c>
      <c r="AC2140" s="202">
        <v>4429000</v>
      </c>
    </row>
    <row r="2141" spans="1:29" outlineLevel="2" x14ac:dyDescent="0.25">
      <c r="A2141" s="201">
        <v>46021</v>
      </c>
      <c r="D2141" s="198" t="s">
        <v>54</v>
      </c>
      <c r="E2141" s="202">
        <v>-700</v>
      </c>
      <c r="K2141" s="198" t="s">
        <v>1987</v>
      </c>
      <c r="L2141" s="198" t="s">
        <v>89</v>
      </c>
      <c r="P2141" s="201"/>
      <c r="R2141" s="202">
        <v>-700</v>
      </c>
      <c r="U2141" s="198" t="s">
        <v>1147</v>
      </c>
      <c r="AA2141" s="198" t="s">
        <v>51</v>
      </c>
      <c r="AB2141" s="202">
        <v>-700</v>
      </c>
      <c r="AC2141" s="202">
        <v>-700</v>
      </c>
    </row>
    <row r="2142" spans="1:29" outlineLevel="1" x14ac:dyDescent="0.25">
      <c r="A2142" s="210"/>
      <c r="B2142" s="209"/>
      <c r="C2142" s="209"/>
      <c r="D2142" s="209" t="s">
        <v>54</v>
      </c>
      <c r="E2142" s="211">
        <v>4428300</v>
      </c>
      <c r="F2142" s="209"/>
      <c r="G2142" s="209"/>
      <c r="H2142" s="209"/>
      <c r="I2142" s="209"/>
      <c r="J2142" s="209"/>
      <c r="K2142" s="209" t="s">
        <v>54</v>
      </c>
      <c r="L2142" s="209" t="s">
        <v>54</v>
      </c>
      <c r="M2142" s="209"/>
      <c r="N2142" s="209"/>
      <c r="O2142" s="209"/>
      <c r="P2142" s="210"/>
      <c r="Q2142" s="209"/>
      <c r="R2142" s="212"/>
      <c r="S2142" s="209"/>
      <c r="T2142" s="209"/>
      <c r="U2142" s="209" t="s">
        <v>54</v>
      </c>
      <c r="V2142" s="209"/>
      <c r="W2142" s="209"/>
      <c r="X2142" s="209"/>
      <c r="Y2142" s="209"/>
      <c r="Z2142" s="209"/>
      <c r="AA2142" s="209" t="s">
        <v>54</v>
      </c>
      <c r="AB2142" s="212"/>
      <c r="AC2142" s="212"/>
    </row>
    <row r="2143" spans="1:29" outlineLevel="2" x14ac:dyDescent="0.25">
      <c r="A2143" s="201">
        <v>46021</v>
      </c>
      <c r="D2143" s="198" t="s">
        <v>54</v>
      </c>
      <c r="E2143" s="202">
        <v>4429000</v>
      </c>
      <c r="K2143" s="198" t="s">
        <v>1988</v>
      </c>
      <c r="L2143" s="198" t="s">
        <v>89</v>
      </c>
      <c r="P2143" s="201"/>
      <c r="R2143" s="202">
        <v>4429000</v>
      </c>
      <c r="U2143" s="198" t="s">
        <v>1148</v>
      </c>
      <c r="AA2143" s="198" t="s">
        <v>51</v>
      </c>
      <c r="AB2143" s="202">
        <v>4429000</v>
      </c>
      <c r="AC2143" s="202">
        <v>4429000</v>
      </c>
    </row>
    <row r="2144" spans="1:29" outlineLevel="2" x14ac:dyDescent="0.25">
      <c r="A2144" s="201">
        <v>46021</v>
      </c>
      <c r="D2144" s="198" t="s">
        <v>54</v>
      </c>
      <c r="E2144" s="202">
        <v>-700</v>
      </c>
      <c r="K2144" s="198" t="s">
        <v>1988</v>
      </c>
      <c r="L2144" s="198" t="s">
        <v>89</v>
      </c>
      <c r="P2144" s="201"/>
      <c r="R2144" s="202">
        <v>-700</v>
      </c>
      <c r="U2144" s="198" t="s">
        <v>1148</v>
      </c>
      <c r="AA2144" s="198" t="s">
        <v>51</v>
      </c>
      <c r="AB2144" s="202">
        <v>-700</v>
      </c>
      <c r="AC2144" s="202">
        <v>-700</v>
      </c>
    </row>
    <row r="2145" spans="1:29" outlineLevel="1" x14ac:dyDescent="0.25">
      <c r="A2145" s="210"/>
      <c r="B2145" s="209"/>
      <c r="C2145" s="209"/>
      <c r="D2145" s="209" t="s">
        <v>54</v>
      </c>
      <c r="E2145" s="211">
        <v>4428300</v>
      </c>
      <c r="F2145" s="209"/>
      <c r="G2145" s="209"/>
      <c r="H2145" s="209"/>
      <c r="I2145" s="209"/>
      <c r="J2145" s="209"/>
      <c r="K2145" s="209" t="s">
        <v>54</v>
      </c>
      <c r="L2145" s="209" t="s">
        <v>54</v>
      </c>
      <c r="M2145" s="209"/>
      <c r="N2145" s="209"/>
      <c r="O2145" s="209"/>
      <c r="P2145" s="210"/>
      <c r="Q2145" s="209"/>
      <c r="R2145" s="212"/>
      <c r="S2145" s="209"/>
      <c r="T2145" s="209"/>
      <c r="U2145" s="209" t="s">
        <v>54</v>
      </c>
      <c r="V2145" s="209"/>
      <c r="W2145" s="209"/>
      <c r="X2145" s="209"/>
      <c r="Y2145" s="209"/>
      <c r="Z2145" s="209"/>
      <c r="AA2145" s="209" t="s">
        <v>54</v>
      </c>
      <c r="AB2145" s="212"/>
      <c r="AC2145" s="212"/>
    </row>
    <row r="2146" spans="1:29" outlineLevel="2" x14ac:dyDescent="0.25">
      <c r="A2146" s="201">
        <v>46021</v>
      </c>
      <c r="D2146" s="198" t="s">
        <v>54</v>
      </c>
      <c r="E2146" s="202">
        <v>21600000</v>
      </c>
      <c r="K2146" s="198" t="s">
        <v>1989</v>
      </c>
      <c r="L2146" s="198" t="s">
        <v>89</v>
      </c>
      <c r="P2146" s="201"/>
      <c r="R2146" s="202">
        <v>21600000</v>
      </c>
      <c r="U2146" s="198" t="s">
        <v>737</v>
      </c>
      <c r="AA2146" s="198" t="s">
        <v>51</v>
      </c>
      <c r="AB2146" s="202">
        <v>21600000</v>
      </c>
      <c r="AC2146" s="202">
        <v>21600000</v>
      </c>
    </row>
    <row r="2147" spans="1:29" outlineLevel="2" x14ac:dyDescent="0.25">
      <c r="A2147" s="201">
        <v>46021</v>
      </c>
      <c r="D2147" s="198" t="s">
        <v>54</v>
      </c>
      <c r="E2147" s="202">
        <v>-400</v>
      </c>
      <c r="K2147" s="198" t="s">
        <v>1989</v>
      </c>
      <c r="L2147" s="198" t="s">
        <v>89</v>
      </c>
      <c r="P2147" s="201"/>
      <c r="R2147" s="202">
        <v>-400</v>
      </c>
      <c r="U2147" s="198" t="s">
        <v>737</v>
      </c>
      <c r="AA2147" s="198" t="s">
        <v>51</v>
      </c>
      <c r="AB2147" s="202">
        <v>-400</v>
      </c>
      <c r="AC2147" s="202">
        <v>-400</v>
      </c>
    </row>
    <row r="2148" spans="1:29" outlineLevel="2" x14ac:dyDescent="0.25">
      <c r="A2148" s="201">
        <v>46022</v>
      </c>
      <c r="D2148" s="198" t="s">
        <v>54</v>
      </c>
      <c r="E2148" s="202">
        <v>6935235</v>
      </c>
      <c r="K2148" s="198" t="s">
        <v>1989</v>
      </c>
      <c r="L2148" s="198" t="s">
        <v>89</v>
      </c>
      <c r="P2148" s="201"/>
      <c r="R2148" s="202">
        <v>6935235</v>
      </c>
      <c r="U2148" s="198" t="s">
        <v>737</v>
      </c>
      <c r="AA2148" s="198" t="s">
        <v>51</v>
      </c>
      <c r="AB2148" s="202">
        <v>6935235</v>
      </c>
      <c r="AC2148" s="202">
        <v>6935235</v>
      </c>
    </row>
    <row r="2149" spans="1:29" outlineLevel="1" x14ac:dyDescent="0.25">
      <c r="A2149" s="210"/>
      <c r="B2149" s="209"/>
      <c r="C2149" s="209"/>
      <c r="D2149" s="209" t="s">
        <v>54</v>
      </c>
      <c r="E2149" s="211">
        <v>28534835</v>
      </c>
      <c r="F2149" s="209"/>
      <c r="G2149" s="209"/>
      <c r="H2149" s="209"/>
      <c r="I2149" s="209"/>
      <c r="J2149" s="209"/>
      <c r="K2149" s="209" t="s">
        <v>54</v>
      </c>
      <c r="L2149" s="209" t="s">
        <v>54</v>
      </c>
      <c r="M2149" s="209"/>
      <c r="N2149" s="209"/>
      <c r="O2149" s="209"/>
      <c r="P2149" s="210"/>
      <c r="Q2149" s="209"/>
      <c r="R2149" s="212"/>
      <c r="S2149" s="209"/>
      <c r="T2149" s="209"/>
      <c r="U2149" s="209" t="s">
        <v>54</v>
      </c>
      <c r="V2149" s="209"/>
      <c r="W2149" s="209"/>
      <c r="X2149" s="209"/>
      <c r="Y2149" s="209"/>
      <c r="Z2149" s="209"/>
      <c r="AA2149" s="209" t="s">
        <v>54</v>
      </c>
      <c r="AB2149" s="212"/>
      <c r="AC2149" s="212"/>
    </row>
    <row r="2150" spans="1:29" outlineLevel="2" x14ac:dyDescent="0.25">
      <c r="A2150" s="201">
        <v>46021</v>
      </c>
      <c r="D2150" s="198" t="s">
        <v>54</v>
      </c>
      <c r="E2150" s="202">
        <v>10535000</v>
      </c>
      <c r="K2150" s="198" t="s">
        <v>1990</v>
      </c>
      <c r="L2150" s="198" t="s">
        <v>89</v>
      </c>
      <c r="P2150" s="201"/>
      <c r="R2150" s="202">
        <v>10535000</v>
      </c>
      <c r="U2150" s="198" t="s">
        <v>732</v>
      </c>
      <c r="AA2150" s="198" t="s">
        <v>51</v>
      </c>
      <c r="AB2150" s="202">
        <v>10535000</v>
      </c>
      <c r="AC2150" s="202">
        <v>10535000</v>
      </c>
    </row>
    <row r="2151" spans="1:29" outlineLevel="2" x14ac:dyDescent="0.25">
      <c r="A2151" s="201">
        <v>46021</v>
      </c>
      <c r="D2151" s="198" t="s">
        <v>54</v>
      </c>
      <c r="E2151" s="202">
        <v>-800</v>
      </c>
      <c r="K2151" s="198" t="s">
        <v>1990</v>
      </c>
      <c r="L2151" s="198" t="s">
        <v>89</v>
      </c>
      <c r="P2151" s="201"/>
      <c r="R2151" s="202">
        <v>-800</v>
      </c>
      <c r="U2151" s="198" t="s">
        <v>732</v>
      </c>
      <c r="AA2151" s="198" t="s">
        <v>51</v>
      </c>
      <c r="AB2151" s="202">
        <v>-800</v>
      </c>
      <c r="AC2151" s="202">
        <v>-800</v>
      </c>
    </row>
    <row r="2152" spans="1:29" outlineLevel="1" x14ac:dyDescent="0.25">
      <c r="A2152" s="210"/>
      <c r="B2152" s="209"/>
      <c r="C2152" s="209"/>
      <c r="D2152" s="209" t="s">
        <v>54</v>
      </c>
      <c r="E2152" s="211">
        <v>10534200</v>
      </c>
      <c r="F2152" s="209"/>
      <c r="G2152" s="209"/>
      <c r="H2152" s="209"/>
      <c r="I2152" s="209"/>
      <c r="J2152" s="209"/>
      <c r="K2152" s="209" t="s">
        <v>54</v>
      </c>
      <c r="L2152" s="209" t="s">
        <v>54</v>
      </c>
      <c r="M2152" s="209"/>
      <c r="N2152" s="209"/>
      <c r="O2152" s="209"/>
      <c r="P2152" s="210"/>
      <c r="Q2152" s="209"/>
      <c r="R2152" s="212"/>
      <c r="S2152" s="209"/>
      <c r="T2152" s="209"/>
      <c r="U2152" s="209" t="s">
        <v>54</v>
      </c>
      <c r="V2152" s="209"/>
      <c r="W2152" s="209"/>
      <c r="X2152" s="209"/>
      <c r="Y2152" s="209"/>
      <c r="Z2152" s="209"/>
      <c r="AA2152" s="209" t="s">
        <v>54</v>
      </c>
      <c r="AB2152" s="212"/>
      <c r="AC2152" s="212"/>
    </row>
    <row r="2153" spans="1:29" outlineLevel="2" x14ac:dyDescent="0.25">
      <c r="A2153" s="201">
        <v>46115</v>
      </c>
      <c r="D2153" s="198" t="s">
        <v>54</v>
      </c>
      <c r="E2153" s="202">
        <v>282870621.68000001</v>
      </c>
      <c r="K2153" s="198" t="s">
        <v>1991</v>
      </c>
      <c r="L2153" s="198" t="s">
        <v>89</v>
      </c>
      <c r="P2153" s="201"/>
      <c r="R2153" s="202">
        <v>282870621.68000001</v>
      </c>
      <c r="U2153" s="198" t="s">
        <v>1773</v>
      </c>
      <c r="AA2153" s="198" t="s">
        <v>51</v>
      </c>
      <c r="AB2153" s="202">
        <v>282870621.68000001</v>
      </c>
      <c r="AC2153" s="202">
        <v>282870621.68000001</v>
      </c>
    </row>
    <row r="2154" spans="1:29" outlineLevel="1" x14ac:dyDescent="0.25">
      <c r="A2154" s="210"/>
      <c r="B2154" s="209"/>
      <c r="C2154" s="209"/>
      <c r="D2154" s="209" t="s">
        <v>54</v>
      </c>
      <c r="E2154" s="211">
        <v>282870621.68000001</v>
      </c>
      <c r="F2154" s="209"/>
      <c r="G2154" s="209"/>
      <c r="H2154" s="209"/>
      <c r="I2154" s="209"/>
      <c r="J2154" s="209"/>
      <c r="K2154" s="209" t="s">
        <v>54</v>
      </c>
      <c r="L2154" s="209" t="s">
        <v>54</v>
      </c>
      <c r="M2154" s="209"/>
      <c r="N2154" s="209"/>
      <c r="O2154" s="209"/>
      <c r="P2154" s="210"/>
      <c r="Q2154" s="209"/>
      <c r="R2154" s="212"/>
      <c r="S2154" s="209"/>
      <c r="T2154" s="209"/>
      <c r="U2154" s="209" t="s">
        <v>54</v>
      </c>
      <c r="V2154" s="209"/>
      <c r="W2154" s="209"/>
      <c r="X2154" s="209"/>
      <c r="Y2154" s="209"/>
      <c r="Z2154" s="209"/>
      <c r="AA2154" s="209" t="s">
        <v>54</v>
      </c>
      <c r="AB2154" s="212"/>
      <c r="AC2154" s="212"/>
    </row>
    <row r="2155" spans="1:29" outlineLevel="2" x14ac:dyDescent="0.25">
      <c r="A2155" s="201">
        <v>46009</v>
      </c>
      <c r="D2155" s="198" t="s">
        <v>54</v>
      </c>
      <c r="E2155" s="202">
        <v>340260811.75</v>
      </c>
      <c r="K2155" s="198" t="s">
        <v>1149</v>
      </c>
      <c r="L2155" s="198" t="s">
        <v>169</v>
      </c>
      <c r="P2155" s="201"/>
      <c r="R2155" s="202">
        <v>340260811.75</v>
      </c>
      <c r="U2155" s="198" t="s">
        <v>169</v>
      </c>
      <c r="AA2155" s="198" t="s">
        <v>51</v>
      </c>
      <c r="AB2155" s="202">
        <v>340260811.75</v>
      </c>
      <c r="AC2155" s="202">
        <v>340260811.75</v>
      </c>
    </row>
    <row r="2156" spans="1:29" outlineLevel="2" x14ac:dyDescent="0.25">
      <c r="A2156" s="201">
        <v>46016</v>
      </c>
      <c r="D2156" s="198" t="s">
        <v>54</v>
      </c>
      <c r="E2156" s="202">
        <v>12176208.5</v>
      </c>
      <c r="K2156" s="198" t="s">
        <v>1149</v>
      </c>
      <c r="L2156" s="198" t="s">
        <v>169</v>
      </c>
      <c r="P2156" s="201"/>
      <c r="R2156" s="202">
        <v>12176208.5</v>
      </c>
      <c r="U2156" s="198" t="s">
        <v>169</v>
      </c>
      <c r="AA2156" s="198" t="s">
        <v>51</v>
      </c>
      <c r="AB2156" s="202">
        <v>12176208.5</v>
      </c>
      <c r="AC2156" s="202">
        <v>12176208.5</v>
      </c>
    </row>
    <row r="2157" spans="1:29" outlineLevel="2" x14ac:dyDescent="0.25">
      <c r="A2157" s="201">
        <v>46016</v>
      </c>
      <c r="D2157" s="198" t="s">
        <v>54</v>
      </c>
      <c r="E2157" s="202">
        <v>97410450</v>
      </c>
      <c r="K2157" s="198" t="s">
        <v>1149</v>
      </c>
      <c r="L2157" s="198" t="s">
        <v>169</v>
      </c>
      <c r="P2157" s="201"/>
      <c r="R2157" s="202">
        <v>97410450</v>
      </c>
      <c r="U2157" s="198" t="s">
        <v>169</v>
      </c>
      <c r="AA2157" s="198" t="s">
        <v>51</v>
      </c>
      <c r="AB2157" s="202">
        <v>97410450</v>
      </c>
      <c r="AC2157" s="202">
        <v>97410450</v>
      </c>
    </row>
    <row r="2158" spans="1:29" outlineLevel="2" x14ac:dyDescent="0.25">
      <c r="A2158" s="201">
        <v>46017</v>
      </c>
      <c r="D2158" s="198" t="s">
        <v>54</v>
      </c>
      <c r="E2158" s="202">
        <v>-82495670.25</v>
      </c>
      <c r="K2158" s="198" t="s">
        <v>1149</v>
      </c>
      <c r="L2158" s="198" t="s">
        <v>169</v>
      </c>
      <c r="P2158" s="201"/>
      <c r="R2158" s="202">
        <v>-82495670.25</v>
      </c>
      <c r="U2158" s="198" t="s">
        <v>169</v>
      </c>
      <c r="AA2158" s="198" t="s">
        <v>51</v>
      </c>
      <c r="AB2158" s="202">
        <v>-82495670.25</v>
      </c>
      <c r="AC2158" s="202">
        <v>-82495670.25</v>
      </c>
    </row>
    <row r="2159" spans="1:29" outlineLevel="2" x14ac:dyDescent="0.25">
      <c r="A2159" s="201">
        <v>46017</v>
      </c>
      <c r="D2159" s="198" t="s">
        <v>54</v>
      </c>
      <c r="E2159" s="202">
        <v>2387269</v>
      </c>
      <c r="K2159" s="198" t="s">
        <v>1149</v>
      </c>
      <c r="L2159" s="198" t="s">
        <v>169</v>
      </c>
      <c r="P2159" s="201"/>
      <c r="R2159" s="202">
        <v>2387269</v>
      </c>
      <c r="U2159" s="198" t="s">
        <v>169</v>
      </c>
      <c r="AA2159" s="198" t="s">
        <v>51</v>
      </c>
      <c r="AB2159" s="202">
        <v>2387269</v>
      </c>
      <c r="AC2159" s="202">
        <v>2387269</v>
      </c>
    </row>
    <row r="2160" spans="1:29" outlineLevel="2" x14ac:dyDescent="0.25">
      <c r="A2160" s="201">
        <v>46021</v>
      </c>
      <c r="D2160" s="198" t="s">
        <v>54</v>
      </c>
      <c r="E2160" s="202">
        <v>107764041.09</v>
      </c>
      <c r="K2160" s="198" t="s">
        <v>1149</v>
      </c>
      <c r="L2160" s="198" t="s">
        <v>169</v>
      </c>
      <c r="P2160" s="201"/>
      <c r="R2160" s="202">
        <v>107764041.09</v>
      </c>
      <c r="U2160" s="198" t="s">
        <v>169</v>
      </c>
      <c r="AA2160" s="198" t="s">
        <v>51</v>
      </c>
      <c r="AB2160" s="202">
        <v>107764041.09</v>
      </c>
      <c r="AC2160" s="202">
        <v>107764041.09</v>
      </c>
    </row>
    <row r="2161" spans="1:29" outlineLevel="2" x14ac:dyDescent="0.25">
      <c r="A2161" s="201">
        <v>46023</v>
      </c>
      <c r="D2161" s="198" t="s">
        <v>54</v>
      </c>
      <c r="E2161" s="202">
        <v>4469680</v>
      </c>
      <c r="K2161" s="198" t="s">
        <v>1149</v>
      </c>
      <c r="L2161" s="198" t="s">
        <v>169</v>
      </c>
      <c r="P2161" s="201"/>
      <c r="R2161" s="202">
        <v>4469680</v>
      </c>
      <c r="U2161" s="198" t="s">
        <v>169</v>
      </c>
      <c r="AA2161" s="198" t="s">
        <v>51</v>
      </c>
      <c r="AB2161" s="202">
        <v>4469680</v>
      </c>
      <c r="AC2161" s="202">
        <v>4469680</v>
      </c>
    </row>
    <row r="2162" spans="1:29" outlineLevel="2" x14ac:dyDescent="0.25">
      <c r="A2162" s="201">
        <v>46043</v>
      </c>
      <c r="D2162" s="198" t="s">
        <v>54</v>
      </c>
      <c r="E2162" s="202">
        <v>10700000</v>
      </c>
      <c r="K2162" s="198" t="s">
        <v>1149</v>
      </c>
      <c r="L2162" s="198" t="s">
        <v>169</v>
      </c>
      <c r="P2162" s="201"/>
      <c r="R2162" s="202">
        <v>10700000</v>
      </c>
      <c r="U2162" s="198" t="s">
        <v>169</v>
      </c>
      <c r="AA2162" s="198" t="s">
        <v>51</v>
      </c>
      <c r="AB2162" s="202">
        <v>10700000</v>
      </c>
      <c r="AC2162" s="202">
        <v>10700000</v>
      </c>
    </row>
    <row r="2163" spans="1:29" outlineLevel="2" x14ac:dyDescent="0.25">
      <c r="A2163" s="201">
        <v>46059</v>
      </c>
      <c r="D2163" s="198" t="s">
        <v>54</v>
      </c>
      <c r="E2163" s="202">
        <v>3405000</v>
      </c>
      <c r="K2163" s="198" t="s">
        <v>1149</v>
      </c>
      <c r="L2163" s="198" t="s">
        <v>169</v>
      </c>
      <c r="P2163" s="201"/>
      <c r="R2163" s="202">
        <v>3405000</v>
      </c>
      <c r="U2163" s="198" t="s">
        <v>169</v>
      </c>
      <c r="AA2163" s="198" t="s">
        <v>51</v>
      </c>
      <c r="AB2163" s="202">
        <v>3405000</v>
      </c>
      <c r="AC2163" s="202">
        <v>3405000</v>
      </c>
    </row>
    <row r="2164" spans="1:29" outlineLevel="2" x14ac:dyDescent="0.25">
      <c r="A2164" s="201">
        <v>46065</v>
      </c>
      <c r="D2164" s="198" t="s">
        <v>54</v>
      </c>
      <c r="E2164" s="202">
        <v>417365</v>
      </c>
      <c r="K2164" s="198" t="s">
        <v>1149</v>
      </c>
      <c r="L2164" s="198" t="s">
        <v>169</v>
      </c>
      <c r="P2164" s="201"/>
      <c r="R2164" s="202">
        <v>417365</v>
      </c>
      <c r="U2164" s="198" t="s">
        <v>169</v>
      </c>
      <c r="AA2164" s="198" t="s">
        <v>51</v>
      </c>
      <c r="AB2164" s="202">
        <v>417365</v>
      </c>
      <c r="AC2164" s="202">
        <v>417365</v>
      </c>
    </row>
    <row r="2165" spans="1:29" outlineLevel="2" x14ac:dyDescent="0.25">
      <c r="A2165" s="201">
        <v>46066</v>
      </c>
      <c r="D2165" s="198" t="s">
        <v>54</v>
      </c>
      <c r="E2165" s="202">
        <v>2036000</v>
      </c>
      <c r="K2165" s="198" t="s">
        <v>1149</v>
      </c>
      <c r="L2165" s="198" t="s">
        <v>169</v>
      </c>
      <c r="P2165" s="201"/>
      <c r="R2165" s="202">
        <v>2036000</v>
      </c>
      <c r="U2165" s="198" t="s">
        <v>169</v>
      </c>
      <c r="AA2165" s="198" t="s">
        <v>51</v>
      </c>
      <c r="AB2165" s="202">
        <v>2036000</v>
      </c>
      <c r="AC2165" s="202">
        <v>2036000</v>
      </c>
    </row>
    <row r="2166" spans="1:29" outlineLevel="2" x14ac:dyDescent="0.25">
      <c r="A2166" s="201">
        <v>46071</v>
      </c>
      <c r="D2166" s="198" t="s">
        <v>54</v>
      </c>
      <c r="E2166" s="202">
        <v>3204895.6</v>
      </c>
      <c r="K2166" s="198" t="s">
        <v>1149</v>
      </c>
      <c r="L2166" s="198" t="s">
        <v>169</v>
      </c>
      <c r="P2166" s="201"/>
      <c r="R2166" s="202">
        <v>3204895.6</v>
      </c>
      <c r="U2166" s="198" t="s">
        <v>169</v>
      </c>
      <c r="AA2166" s="198" t="s">
        <v>51</v>
      </c>
      <c r="AB2166" s="202">
        <v>3204895.6</v>
      </c>
      <c r="AC2166" s="202">
        <v>3204895.6</v>
      </c>
    </row>
    <row r="2167" spans="1:29" outlineLevel="2" x14ac:dyDescent="0.25">
      <c r="A2167" s="201">
        <v>46076</v>
      </c>
      <c r="D2167" s="198" t="s">
        <v>54</v>
      </c>
      <c r="E2167" s="202">
        <v>45</v>
      </c>
      <c r="K2167" s="198" t="s">
        <v>1149</v>
      </c>
      <c r="L2167" s="198" t="s">
        <v>169</v>
      </c>
      <c r="P2167" s="201"/>
      <c r="R2167" s="202">
        <v>45</v>
      </c>
      <c r="U2167" s="198" t="s">
        <v>169</v>
      </c>
      <c r="AA2167" s="198" t="s">
        <v>51</v>
      </c>
      <c r="AB2167" s="202">
        <v>45</v>
      </c>
      <c r="AC2167" s="202">
        <v>45</v>
      </c>
    </row>
    <row r="2168" spans="1:29" outlineLevel="2" x14ac:dyDescent="0.25">
      <c r="A2168" s="201">
        <v>46077</v>
      </c>
      <c r="D2168" s="198" t="s">
        <v>54</v>
      </c>
      <c r="E2168" s="202">
        <v>183600</v>
      </c>
      <c r="K2168" s="198" t="s">
        <v>1149</v>
      </c>
      <c r="L2168" s="198" t="s">
        <v>169</v>
      </c>
      <c r="P2168" s="201"/>
      <c r="R2168" s="202">
        <v>183600</v>
      </c>
      <c r="U2168" s="198" t="s">
        <v>169</v>
      </c>
      <c r="AA2168" s="198" t="s">
        <v>51</v>
      </c>
      <c r="AB2168" s="202">
        <v>183600</v>
      </c>
      <c r="AC2168" s="202">
        <v>183600</v>
      </c>
    </row>
    <row r="2169" spans="1:29" outlineLevel="2" x14ac:dyDescent="0.25">
      <c r="A2169" s="201">
        <v>46108</v>
      </c>
      <c r="D2169" s="198" t="s">
        <v>54</v>
      </c>
      <c r="E2169" s="202">
        <v>64160690</v>
      </c>
      <c r="K2169" s="198" t="s">
        <v>1149</v>
      </c>
      <c r="L2169" s="198" t="s">
        <v>169</v>
      </c>
      <c r="P2169" s="201"/>
      <c r="R2169" s="202">
        <v>64160690</v>
      </c>
      <c r="U2169" s="198" t="s">
        <v>169</v>
      </c>
      <c r="AA2169" s="198" t="s">
        <v>51</v>
      </c>
      <c r="AB2169" s="202">
        <v>64160690</v>
      </c>
      <c r="AC2169" s="202">
        <v>64160690</v>
      </c>
    </row>
    <row r="2170" spans="1:29" outlineLevel="2" x14ac:dyDescent="0.25">
      <c r="A2170" s="201">
        <v>46112</v>
      </c>
      <c r="D2170" s="198" t="s">
        <v>54</v>
      </c>
      <c r="E2170" s="202">
        <v>-4479939.8</v>
      </c>
      <c r="K2170" s="198" t="s">
        <v>1149</v>
      </c>
      <c r="L2170" s="198" t="s">
        <v>169</v>
      </c>
      <c r="P2170" s="201"/>
      <c r="R2170" s="202">
        <v>-4479939.8</v>
      </c>
      <c r="U2170" s="198" t="s">
        <v>169</v>
      </c>
      <c r="AA2170" s="198" t="s">
        <v>51</v>
      </c>
      <c r="AB2170" s="202">
        <v>-4479939.8</v>
      </c>
      <c r="AC2170" s="202">
        <v>-4479939.8</v>
      </c>
    </row>
    <row r="2171" spans="1:29" outlineLevel="2" x14ac:dyDescent="0.25">
      <c r="A2171" s="201">
        <v>46115</v>
      </c>
      <c r="D2171" s="198" t="s">
        <v>54</v>
      </c>
      <c r="E2171" s="202">
        <v>4720100</v>
      </c>
      <c r="K2171" s="198" t="s">
        <v>1149</v>
      </c>
      <c r="L2171" s="198" t="s">
        <v>169</v>
      </c>
      <c r="P2171" s="201"/>
      <c r="R2171" s="202">
        <v>4720100</v>
      </c>
      <c r="U2171" s="198" t="s">
        <v>169</v>
      </c>
      <c r="AA2171" s="198" t="s">
        <v>51</v>
      </c>
      <c r="AB2171" s="202">
        <v>4720100</v>
      </c>
      <c r="AC2171" s="202">
        <v>4720100</v>
      </c>
    </row>
    <row r="2172" spans="1:29" outlineLevel="2" x14ac:dyDescent="0.25">
      <c r="A2172" s="201">
        <v>46119</v>
      </c>
      <c r="D2172" s="198" t="s">
        <v>54</v>
      </c>
      <c r="E2172" s="202">
        <v>652088.94999999995</v>
      </c>
      <c r="K2172" s="198" t="s">
        <v>1149</v>
      </c>
      <c r="L2172" s="198" t="s">
        <v>169</v>
      </c>
      <c r="P2172" s="201"/>
      <c r="R2172" s="202">
        <v>652088.94999999995</v>
      </c>
      <c r="U2172" s="198" t="s">
        <v>169</v>
      </c>
      <c r="AA2172" s="198" t="s">
        <v>51</v>
      </c>
      <c r="AB2172" s="202">
        <v>652088.94999999995</v>
      </c>
      <c r="AC2172" s="202">
        <v>652088.94999999995</v>
      </c>
    </row>
    <row r="2173" spans="1:29" outlineLevel="2" x14ac:dyDescent="0.25">
      <c r="A2173" s="201">
        <v>46123</v>
      </c>
      <c r="D2173" s="198" t="s">
        <v>54</v>
      </c>
      <c r="E2173" s="202">
        <v>3</v>
      </c>
      <c r="K2173" s="198" t="s">
        <v>1149</v>
      </c>
      <c r="L2173" s="198" t="s">
        <v>169</v>
      </c>
      <c r="P2173" s="201"/>
      <c r="R2173" s="202">
        <v>3</v>
      </c>
      <c r="U2173" s="198" t="s">
        <v>169</v>
      </c>
      <c r="AA2173" s="198" t="s">
        <v>51</v>
      </c>
      <c r="AB2173" s="202">
        <v>3</v>
      </c>
      <c r="AC2173" s="202">
        <v>3</v>
      </c>
    </row>
    <row r="2174" spans="1:29" outlineLevel="2" x14ac:dyDescent="0.25">
      <c r="A2174" s="201">
        <v>46129</v>
      </c>
      <c r="D2174" s="198" t="s">
        <v>54</v>
      </c>
      <c r="E2174" s="202">
        <v>4</v>
      </c>
      <c r="K2174" s="198" t="s">
        <v>1149</v>
      </c>
      <c r="L2174" s="198" t="s">
        <v>169</v>
      </c>
      <c r="P2174" s="201"/>
      <c r="R2174" s="202">
        <v>4</v>
      </c>
      <c r="U2174" s="198" t="s">
        <v>169</v>
      </c>
      <c r="AA2174" s="198" t="s">
        <v>51</v>
      </c>
      <c r="AB2174" s="202">
        <v>4</v>
      </c>
      <c r="AC2174" s="202">
        <v>4</v>
      </c>
    </row>
    <row r="2175" spans="1:29" outlineLevel="2" x14ac:dyDescent="0.25">
      <c r="A2175" s="201">
        <v>46136</v>
      </c>
      <c r="D2175" s="198" t="s">
        <v>54</v>
      </c>
      <c r="E2175" s="202">
        <v>7899129</v>
      </c>
      <c r="K2175" s="198" t="s">
        <v>1149</v>
      </c>
      <c r="L2175" s="198" t="s">
        <v>169</v>
      </c>
      <c r="P2175" s="201"/>
      <c r="R2175" s="202">
        <v>7899129</v>
      </c>
      <c r="U2175" s="198" t="s">
        <v>169</v>
      </c>
      <c r="AA2175" s="198" t="s">
        <v>51</v>
      </c>
      <c r="AB2175" s="202">
        <v>7899129</v>
      </c>
      <c r="AC2175" s="202">
        <v>7899129</v>
      </c>
    </row>
    <row r="2176" spans="1:29" outlineLevel="2" x14ac:dyDescent="0.25">
      <c r="A2176" s="201">
        <v>46141</v>
      </c>
      <c r="D2176" s="198" t="s">
        <v>54</v>
      </c>
      <c r="E2176" s="202">
        <v>7601000</v>
      </c>
      <c r="K2176" s="198" t="s">
        <v>1149</v>
      </c>
      <c r="L2176" s="198" t="s">
        <v>169</v>
      </c>
      <c r="P2176" s="201"/>
      <c r="R2176" s="202">
        <v>7601000</v>
      </c>
      <c r="U2176" s="198" t="s">
        <v>169</v>
      </c>
      <c r="AA2176" s="198" t="s">
        <v>51</v>
      </c>
      <c r="AB2176" s="202">
        <v>7601000</v>
      </c>
      <c r="AC2176" s="202">
        <v>7601000</v>
      </c>
    </row>
    <row r="2177" spans="1:29" outlineLevel="2" x14ac:dyDescent="0.25">
      <c r="A2177" s="201">
        <v>46146</v>
      </c>
      <c r="D2177" s="198" t="s">
        <v>54</v>
      </c>
      <c r="E2177" s="202">
        <v>32879023.199999999</v>
      </c>
      <c r="K2177" s="198" t="s">
        <v>1149</v>
      </c>
      <c r="L2177" s="198" t="s">
        <v>169</v>
      </c>
      <c r="P2177" s="201"/>
      <c r="R2177" s="202">
        <v>32879023.199999999</v>
      </c>
      <c r="U2177" s="198" t="s">
        <v>169</v>
      </c>
      <c r="AA2177" s="198" t="s">
        <v>51</v>
      </c>
      <c r="AB2177" s="202">
        <v>32879023.199999999</v>
      </c>
      <c r="AC2177" s="202">
        <v>32879023.199999999</v>
      </c>
    </row>
    <row r="2178" spans="1:29" outlineLevel="2" x14ac:dyDescent="0.25">
      <c r="A2178" s="201">
        <v>46146</v>
      </c>
      <c r="D2178" s="198" t="s">
        <v>54</v>
      </c>
      <c r="E2178" s="202">
        <v>45813807.5</v>
      </c>
      <c r="K2178" s="198" t="s">
        <v>1149</v>
      </c>
      <c r="L2178" s="198" t="s">
        <v>169</v>
      </c>
      <c r="P2178" s="201"/>
      <c r="R2178" s="202">
        <v>45813807.5</v>
      </c>
      <c r="U2178" s="198" t="s">
        <v>169</v>
      </c>
      <c r="AA2178" s="198" t="s">
        <v>51</v>
      </c>
      <c r="AB2178" s="202">
        <v>45813807.5</v>
      </c>
      <c r="AC2178" s="202">
        <v>45813807.5</v>
      </c>
    </row>
    <row r="2179" spans="1:29" outlineLevel="2" x14ac:dyDescent="0.25">
      <c r="A2179" s="201">
        <v>46146</v>
      </c>
      <c r="D2179" s="198" t="s">
        <v>54</v>
      </c>
      <c r="E2179" s="202">
        <v>6053085</v>
      </c>
      <c r="K2179" s="198" t="s">
        <v>1149</v>
      </c>
      <c r="L2179" s="198" t="s">
        <v>169</v>
      </c>
      <c r="P2179" s="201"/>
      <c r="R2179" s="202">
        <v>6053085</v>
      </c>
      <c r="U2179" s="198" t="s">
        <v>169</v>
      </c>
      <c r="AA2179" s="198" t="s">
        <v>51</v>
      </c>
      <c r="AB2179" s="202">
        <v>6053085</v>
      </c>
      <c r="AC2179" s="202">
        <v>6053085</v>
      </c>
    </row>
    <row r="2180" spans="1:29" outlineLevel="2" x14ac:dyDescent="0.25">
      <c r="A2180" s="201">
        <v>46146</v>
      </c>
      <c r="D2180" s="198" t="s">
        <v>54</v>
      </c>
      <c r="E2180" s="202">
        <v>10750173.75</v>
      </c>
      <c r="K2180" s="198" t="s">
        <v>1149</v>
      </c>
      <c r="L2180" s="198" t="s">
        <v>169</v>
      </c>
      <c r="P2180" s="201"/>
      <c r="R2180" s="202">
        <v>10750173.75</v>
      </c>
      <c r="U2180" s="198" t="s">
        <v>169</v>
      </c>
      <c r="AA2180" s="198" t="s">
        <v>51</v>
      </c>
      <c r="AB2180" s="202">
        <v>10750173.75</v>
      </c>
      <c r="AC2180" s="202">
        <v>10750173.75</v>
      </c>
    </row>
    <row r="2181" spans="1:29" outlineLevel="2" x14ac:dyDescent="0.25">
      <c r="A2181" s="201">
        <v>46155</v>
      </c>
      <c r="D2181" s="198" t="s">
        <v>54</v>
      </c>
      <c r="E2181" s="202">
        <v>1937029.5</v>
      </c>
      <c r="K2181" s="198" t="s">
        <v>1149</v>
      </c>
      <c r="L2181" s="198" t="s">
        <v>169</v>
      </c>
      <c r="P2181" s="201"/>
      <c r="R2181" s="202">
        <v>1937029.5</v>
      </c>
      <c r="U2181" s="198" t="s">
        <v>169</v>
      </c>
      <c r="AA2181" s="198" t="s">
        <v>51</v>
      </c>
      <c r="AB2181" s="202">
        <v>1937029.5</v>
      </c>
      <c r="AC2181" s="202">
        <v>1937029.5</v>
      </c>
    </row>
    <row r="2182" spans="1:29" outlineLevel="2" x14ac:dyDescent="0.25">
      <c r="A2182" s="201">
        <v>46160</v>
      </c>
      <c r="D2182" s="198" t="s">
        <v>54</v>
      </c>
      <c r="E2182" s="202">
        <v>11864.5</v>
      </c>
      <c r="K2182" s="198" t="s">
        <v>1149</v>
      </c>
      <c r="L2182" s="198" t="s">
        <v>169</v>
      </c>
      <c r="P2182" s="201"/>
      <c r="R2182" s="202">
        <v>11864.5</v>
      </c>
      <c r="U2182" s="198" t="s">
        <v>169</v>
      </c>
      <c r="AA2182" s="198" t="s">
        <v>51</v>
      </c>
      <c r="AB2182" s="202">
        <v>11864.5</v>
      </c>
      <c r="AC2182" s="202">
        <v>11864.5</v>
      </c>
    </row>
    <row r="2183" spans="1:29" outlineLevel="2" x14ac:dyDescent="0.25">
      <c r="A2183" s="201">
        <v>46160</v>
      </c>
      <c r="D2183" s="198" t="s">
        <v>54</v>
      </c>
      <c r="E2183" s="202">
        <v>5000</v>
      </c>
      <c r="K2183" s="198" t="s">
        <v>1149</v>
      </c>
      <c r="L2183" s="198" t="s">
        <v>169</v>
      </c>
      <c r="P2183" s="201"/>
      <c r="R2183" s="202">
        <v>5000</v>
      </c>
      <c r="U2183" s="198" t="s">
        <v>169</v>
      </c>
      <c r="AA2183" s="198" t="s">
        <v>51</v>
      </c>
      <c r="AB2183" s="202">
        <v>5000</v>
      </c>
      <c r="AC2183" s="202">
        <v>5000</v>
      </c>
    </row>
    <row r="2184" spans="1:29" outlineLevel="1" x14ac:dyDescent="0.25">
      <c r="A2184" s="210"/>
      <c r="B2184" s="209"/>
      <c r="C2184" s="209"/>
      <c r="D2184" s="209" t="s">
        <v>54</v>
      </c>
      <c r="E2184" s="211">
        <v>679922754.28999996</v>
      </c>
      <c r="F2184" s="209"/>
      <c r="G2184" s="209"/>
      <c r="H2184" s="209"/>
      <c r="I2184" s="209"/>
      <c r="J2184" s="209"/>
      <c r="K2184" s="209" t="s">
        <v>54</v>
      </c>
      <c r="L2184" s="209" t="s">
        <v>54</v>
      </c>
      <c r="M2184" s="209"/>
      <c r="N2184" s="209"/>
      <c r="O2184" s="209"/>
      <c r="P2184" s="210"/>
      <c r="Q2184" s="209"/>
      <c r="R2184" s="212"/>
      <c r="S2184" s="209"/>
      <c r="T2184" s="209"/>
      <c r="U2184" s="209" t="s">
        <v>54</v>
      </c>
      <c r="V2184" s="209"/>
      <c r="W2184" s="209"/>
      <c r="X2184" s="209"/>
      <c r="Y2184" s="209"/>
      <c r="Z2184" s="209"/>
      <c r="AA2184" s="209" t="s">
        <v>54</v>
      </c>
      <c r="AB2184" s="212"/>
      <c r="AC2184" s="212"/>
    </row>
    <row r="2185" spans="1:29" outlineLevel="2" x14ac:dyDescent="0.25">
      <c r="A2185" s="201">
        <v>46009</v>
      </c>
      <c r="D2185" s="198" t="s">
        <v>54</v>
      </c>
      <c r="E2185" s="202">
        <v>1032000</v>
      </c>
      <c r="K2185" s="198" t="s">
        <v>1150</v>
      </c>
      <c r="L2185" s="198" t="s">
        <v>169</v>
      </c>
      <c r="P2185" s="201"/>
      <c r="R2185" s="202">
        <v>1032000</v>
      </c>
      <c r="U2185" s="198" t="s">
        <v>265</v>
      </c>
      <c r="AA2185" s="198" t="s">
        <v>51</v>
      </c>
      <c r="AB2185" s="202">
        <v>1032000</v>
      </c>
      <c r="AC2185" s="202">
        <v>1032000</v>
      </c>
    </row>
    <row r="2186" spans="1:29" outlineLevel="2" x14ac:dyDescent="0.25">
      <c r="A2186" s="201">
        <v>46021</v>
      </c>
      <c r="D2186" s="198" t="s">
        <v>54</v>
      </c>
      <c r="E2186" s="202">
        <v>9768000</v>
      </c>
      <c r="K2186" s="198" t="s">
        <v>1150</v>
      </c>
      <c r="L2186" s="198" t="s">
        <v>169</v>
      </c>
      <c r="P2186" s="201"/>
      <c r="R2186" s="202">
        <v>9768000</v>
      </c>
      <c r="U2186" s="198" t="s">
        <v>265</v>
      </c>
      <c r="AA2186" s="198" t="s">
        <v>51</v>
      </c>
      <c r="AB2186" s="202">
        <v>9768000</v>
      </c>
      <c r="AC2186" s="202">
        <v>9768000</v>
      </c>
    </row>
    <row r="2187" spans="1:29" outlineLevel="1" x14ac:dyDescent="0.25">
      <c r="A2187" s="210"/>
      <c r="B2187" s="209"/>
      <c r="C2187" s="209"/>
      <c r="D2187" s="209" t="s">
        <v>54</v>
      </c>
      <c r="E2187" s="211">
        <v>10800000</v>
      </c>
      <c r="F2187" s="209"/>
      <c r="G2187" s="209"/>
      <c r="H2187" s="209"/>
      <c r="I2187" s="209"/>
      <c r="J2187" s="209"/>
      <c r="K2187" s="209" t="s">
        <v>54</v>
      </c>
      <c r="L2187" s="209" t="s">
        <v>54</v>
      </c>
      <c r="M2187" s="209"/>
      <c r="N2187" s="209"/>
      <c r="O2187" s="209"/>
      <c r="P2187" s="210"/>
      <c r="Q2187" s="209"/>
      <c r="R2187" s="212"/>
      <c r="S2187" s="209"/>
      <c r="T2187" s="209"/>
      <c r="U2187" s="209" t="s">
        <v>54</v>
      </c>
      <c r="V2187" s="209"/>
      <c r="W2187" s="209"/>
      <c r="X2187" s="209"/>
      <c r="Y2187" s="209"/>
      <c r="Z2187" s="209"/>
      <c r="AA2187" s="209" t="s">
        <v>54</v>
      </c>
      <c r="AB2187" s="212"/>
      <c r="AC2187" s="212"/>
    </row>
    <row r="2188" spans="1:29" outlineLevel="2" x14ac:dyDescent="0.25">
      <c r="A2188" s="201">
        <v>46021</v>
      </c>
      <c r="D2188" s="198" t="s">
        <v>54</v>
      </c>
      <c r="E2188" s="202">
        <v>13428480</v>
      </c>
      <c r="K2188" s="198" t="s">
        <v>1152</v>
      </c>
      <c r="L2188" s="198" t="s">
        <v>169</v>
      </c>
      <c r="P2188" s="201"/>
      <c r="R2188" s="202">
        <v>13428480</v>
      </c>
      <c r="U2188" s="198" t="s">
        <v>1151</v>
      </c>
      <c r="AA2188" s="198" t="s">
        <v>51</v>
      </c>
      <c r="AB2188" s="202">
        <v>13428480</v>
      </c>
      <c r="AC2188" s="202">
        <v>13428480</v>
      </c>
    </row>
    <row r="2189" spans="1:29" outlineLevel="2" x14ac:dyDescent="0.25">
      <c r="A2189" s="201">
        <v>46059</v>
      </c>
      <c r="D2189" s="198" t="s">
        <v>54</v>
      </c>
      <c r="E2189" s="202">
        <v>3405000</v>
      </c>
      <c r="K2189" s="198" t="s">
        <v>1152</v>
      </c>
      <c r="L2189" s="198" t="s">
        <v>169</v>
      </c>
      <c r="P2189" s="201"/>
      <c r="R2189" s="202">
        <v>3405000</v>
      </c>
      <c r="U2189" s="198" t="s">
        <v>1151</v>
      </c>
      <c r="AA2189" s="198" t="s">
        <v>51</v>
      </c>
      <c r="AB2189" s="202">
        <v>3405000</v>
      </c>
      <c r="AC2189" s="202">
        <v>3405000</v>
      </c>
    </row>
    <row r="2190" spans="1:29" outlineLevel="2" x14ac:dyDescent="0.25">
      <c r="A2190" s="201">
        <v>46108</v>
      </c>
      <c r="D2190" s="198" t="s">
        <v>54</v>
      </c>
      <c r="E2190" s="202">
        <v>64160690</v>
      </c>
      <c r="K2190" s="198" t="s">
        <v>1152</v>
      </c>
      <c r="L2190" s="198" t="s">
        <v>169</v>
      </c>
      <c r="P2190" s="201"/>
      <c r="R2190" s="202">
        <v>64160690</v>
      </c>
      <c r="U2190" s="198" t="s">
        <v>1151</v>
      </c>
      <c r="AA2190" s="198" t="s">
        <v>51</v>
      </c>
      <c r="AB2190" s="202">
        <v>64160690</v>
      </c>
      <c r="AC2190" s="202">
        <v>64160690</v>
      </c>
    </row>
    <row r="2191" spans="1:29" outlineLevel="1" x14ac:dyDescent="0.25">
      <c r="A2191" s="210"/>
      <c r="B2191" s="209"/>
      <c r="C2191" s="209"/>
      <c r="D2191" s="209" t="s">
        <v>54</v>
      </c>
      <c r="E2191" s="211">
        <v>80994170</v>
      </c>
      <c r="F2191" s="209"/>
      <c r="G2191" s="209"/>
      <c r="H2191" s="209"/>
      <c r="I2191" s="209"/>
      <c r="J2191" s="209"/>
      <c r="K2191" s="209" t="s">
        <v>54</v>
      </c>
      <c r="L2191" s="209" t="s">
        <v>54</v>
      </c>
      <c r="M2191" s="209"/>
      <c r="N2191" s="209"/>
      <c r="O2191" s="209"/>
      <c r="P2191" s="210"/>
      <c r="Q2191" s="209"/>
      <c r="R2191" s="212"/>
      <c r="S2191" s="209"/>
      <c r="T2191" s="209"/>
      <c r="U2191" s="209" t="s">
        <v>54</v>
      </c>
      <c r="V2191" s="209"/>
      <c r="W2191" s="209"/>
      <c r="X2191" s="209"/>
      <c r="Y2191" s="209"/>
      <c r="Z2191" s="209"/>
      <c r="AA2191" s="209" t="s">
        <v>54</v>
      </c>
      <c r="AB2191" s="212"/>
      <c r="AC2191" s="212"/>
    </row>
    <row r="2192" spans="1:29" outlineLevel="2" x14ac:dyDescent="0.25">
      <c r="A2192" s="201">
        <v>46059</v>
      </c>
      <c r="D2192" s="198" t="s">
        <v>54</v>
      </c>
      <c r="E2192" s="202">
        <v>1905000</v>
      </c>
      <c r="K2192" s="198" t="s">
        <v>1153</v>
      </c>
      <c r="L2192" s="198" t="s">
        <v>169</v>
      </c>
      <c r="P2192" s="201"/>
      <c r="R2192" s="202">
        <v>1905000</v>
      </c>
      <c r="U2192" s="198" t="s">
        <v>757</v>
      </c>
      <c r="AA2192" s="198" t="s">
        <v>51</v>
      </c>
      <c r="AB2192" s="202">
        <v>1905000</v>
      </c>
      <c r="AC2192" s="202">
        <v>1905000</v>
      </c>
    </row>
    <row r="2193" spans="1:29" outlineLevel="2" x14ac:dyDescent="0.25">
      <c r="A2193" s="201">
        <v>46108</v>
      </c>
      <c r="D2193" s="198" t="s">
        <v>54</v>
      </c>
      <c r="E2193" s="202">
        <v>64160690</v>
      </c>
      <c r="K2193" s="198" t="s">
        <v>1153</v>
      </c>
      <c r="L2193" s="198" t="s">
        <v>169</v>
      </c>
      <c r="P2193" s="201"/>
      <c r="R2193" s="202">
        <v>64160690</v>
      </c>
      <c r="U2193" s="198" t="s">
        <v>757</v>
      </c>
      <c r="AA2193" s="198" t="s">
        <v>51</v>
      </c>
      <c r="AB2193" s="202">
        <v>64160690</v>
      </c>
      <c r="AC2193" s="202">
        <v>64160690</v>
      </c>
    </row>
    <row r="2194" spans="1:29" outlineLevel="1" x14ac:dyDescent="0.25">
      <c r="A2194" s="210"/>
      <c r="B2194" s="209"/>
      <c r="C2194" s="209"/>
      <c r="D2194" s="209" t="s">
        <v>54</v>
      </c>
      <c r="E2194" s="211">
        <v>66065690</v>
      </c>
      <c r="F2194" s="209"/>
      <c r="G2194" s="209"/>
      <c r="H2194" s="209"/>
      <c r="I2194" s="209"/>
      <c r="J2194" s="209"/>
      <c r="K2194" s="209" t="s">
        <v>54</v>
      </c>
      <c r="L2194" s="209" t="s">
        <v>54</v>
      </c>
      <c r="M2194" s="209"/>
      <c r="N2194" s="209"/>
      <c r="O2194" s="209"/>
      <c r="P2194" s="210"/>
      <c r="Q2194" s="209"/>
      <c r="R2194" s="212"/>
      <c r="S2194" s="209"/>
      <c r="T2194" s="209"/>
      <c r="U2194" s="209" t="s">
        <v>54</v>
      </c>
      <c r="V2194" s="209"/>
      <c r="W2194" s="209"/>
      <c r="X2194" s="209"/>
      <c r="Y2194" s="209"/>
      <c r="Z2194" s="209"/>
      <c r="AA2194" s="209" t="s">
        <v>54</v>
      </c>
      <c r="AB2194" s="212"/>
      <c r="AC2194" s="212"/>
    </row>
    <row r="2195" spans="1:29" outlineLevel="2" x14ac:dyDescent="0.25">
      <c r="A2195" s="201">
        <v>46059</v>
      </c>
      <c r="D2195" s="198" t="s">
        <v>54</v>
      </c>
      <c r="E2195" s="202">
        <v>1500000</v>
      </c>
      <c r="K2195" s="198" t="s">
        <v>1154</v>
      </c>
      <c r="L2195" s="198" t="s">
        <v>169</v>
      </c>
      <c r="P2195" s="201"/>
      <c r="R2195" s="202">
        <v>1500000</v>
      </c>
      <c r="U2195" s="198" t="s">
        <v>279</v>
      </c>
      <c r="AA2195" s="198" t="s">
        <v>51</v>
      </c>
      <c r="AB2195" s="202">
        <v>1500000</v>
      </c>
      <c r="AC2195" s="202">
        <v>1500000</v>
      </c>
    </row>
    <row r="2196" spans="1:29" outlineLevel="1" x14ac:dyDescent="0.25">
      <c r="A2196" s="210"/>
      <c r="B2196" s="209"/>
      <c r="C2196" s="209"/>
      <c r="D2196" s="209" t="s">
        <v>54</v>
      </c>
      <c r="E2196" s="211">
        <v>1500000</v>
      </c>
      <c r="F2196" s="209"/>
      <c r="G2196" s="209"/>
      <c r="H2196" s="209"/>
      <c r="I2196" s="209"/>
      <c r="J2196" s="209"/>
      <c r="K2196" s="209" t="s">
        <v>54</v>
      </c>
      <c r="L2196" s="209" t="s">
        <v>54</v>
      </c>
      <c r="M2196" s="209"/>
      <c r="N2196" s="209"/>
      <c r="O2196" s="209"/>
      <c r="P2196" s="210"/>
      <c r="Q2196" s="209"/>
      <c r="R2196" s="212"/>
      <c r="S2196" s="209"/>
      <c r="T2196" s="209"/>
      <c r="U2196" s="209" t="s">
        <v>54</v>
      </c>
      <c r="V2196" s="209"/>
      <c r="W2196" s="209"/>
      <c r="X2196" s="209"/>
      <c r="Y2196" s="209"/>
      <c r="Z2196" s="209"/>
      <c r="AA2196" s="209" t="s">
        <v>54</v>
      </c>
      <c r="AB2196" s="212"/>
      <c r="AC2196" s="212"/>
    </row>
    <row r="2197" spans="1:29" outlineLevel="2" x14ac:dyDescent="0.25">
      <c r="A2197" s="201">
        <v>46021</v>
      </c>
      <c r="D2197" s="198" t="s">
        <v>54</v>
      </c>
      <c r="E2197" s="202">
        <v>13428480</v>
      </c>
      <c r="K2197" s="198" t="s">
        <v>1155</v>
      </c>
      <c r="L2197" s="198" t="s">
        <v>169</v>
      </c>
      <c r="P2197" s="201"/>
      <c r="R2197" s="202">
        <v>13428480</v>
      </c>
      <c r="U2197" s="198" t="s">
        <v>267</v>
      </c>
      <c r="AA2197" s="198" t="s">
        <v>51</v>
      </c>
      <c r="AB2197" s="202">
        <v>13428480</v>
      </c>
      <c r="AC2197" s="202">
        <v>13428480</v>
      </c>
    </row>
    <row r="2198" spans="1:29" outlineLevel="1" x14ac:dyDescent="0.25">
      <c r="A2198" s="210"/>
      <c r="B2198" s="209"/>
      <c r="C2198" s="209"/>
      <c r="D2198" s="209" t="s">
        <v>54</v>
      </c>
      <c r="E2198" s="211">
        <v>13428480</v>
      </c>
      <c r="F2198" s="209"/>
      <c r="G2198" s="209"/>
      <c r="H2198" s="209"/>
      <c r="I2198" s="209"/>
      <c r="J2198" s="209"/>
      <c r="K2198" s="209" t="s">
        <v>54</v>
      </c>
      <c r="L2198" s="209" t="s">
        <v>54</v>
      </c>
      <c r="M2198" s="209"/>
      <c r="N2198" s="209"/>
      <c r="O2198" s="209"/>
      <c r="P2198" s="210"/>
      <c r="Q2198" s="209"/>
      <c r="R2198" s="212"/>
      <c r="S2198" s="209"/>
      <c r="T2198" s="209"/>
      <c r="U2198" s="209" t="s">
        <v>54</v>
      </c>
      <c r="V2198" s="209"/>
      <c r="W2198" s="209"/>
      <c r="X2198" s="209"/>
      <c r="Y2198" s="209"/>
      <c r="Z2198" s="209"/>
      <c r="AA2198" s="209" t="s">
        <v>54</v>
      </c>
      <c r="AB2198" s="212"/>
      <c r="AC2198" s="212"/>
    </row>
    <row r="2199" spans="1:29" outlineLevel="2" x14ac:dyDescent="0.25">
      <c r="A2199" s="201">
        <v>46021</v>
      </c>
      <c r="D2199" s="198" t="s">
        <v>54</v>
      </c>
      <c r="E2199" s="202">
        <v>84567561.090000004</v>
      </c>
      <c r="K2199" s="198" t="s">
        <v>1157</v>
      </c>
      <c r="L2199" s="198" t="s">
        <v>169</v>
      </c>
      <c r="P2199" s="201"/>
      <c r="R2199" s="202">
        <v>84567561.090000004</v>
      </c>
      <c r="U2199" s="198" t="s">
        <v>1156</v>
      </c>
      <c r="AA2199" s="198" t="s">
        <v>51</v>
      </c>
      <c r="AB2199" s="202">
        <v>84567561.090000004</v>
      </c>
      <c r="AC2199" s="202">
        <v>84567561.090000004</v>
      </c>
    </row>
    <row r="2200" spans="1:29" outlineLevel="2" x14ac:dyDescent="0.25">
      <c r="A2200" s="201">
        <v>46071</v>
      </c>
      <c r="D2200" s="198" t="s">
        <v>54</v>
      </c>
      <c r="E2200" s="202">
        <v>3204895.6</v>
      </c>
      <c r="K2200" s="198" t="s">
        <v>1157</v>
      </c>
      <c r="L2200" s="198" t="s">
        <v>169</v>
      </c>
      <c r="P2200" s="201"/>
      <c r="R2200" s="202">
        <v>3204895.6</v>
      </c>
      <c r="U2200" s="198" t="s">
        <v>1156</v>
      </c>
      <c r="AA2200" s="198" t="s">
        <v>51</v>
      </c>
      <c r="AB2200" s="202">
        <v>3204895.6</v>
      </c>
      <c r="AC2200" s="202">
        <v>3204895.6</v>
      </c>
    </row>
    <row r="2201" spans="1:29" outlineLevel="2" x14ac:dyDescent="0.25">
      <c r="A2201" s="201">
        <v>46076</v>
      </c>
      <c r="D2201" s="198" t="s">
        <v>54</v>
      </c>
      <c r="E2201" s="202">
        <v>45</v>
      </c>
      <c r="K2201" s="198" t="s">
        <v>1157</v>
      </c>
      <c r="L2201" s="198" t="s">
        <v>169</v>
      </c>
      <c r="P2201" s="201"/>
      <c r="R2201" s="202">
        <v>45</v>
      </c>
      <c r="U2201" s="198" t="s">
        <v>1156</v>
      </c>
      <c r="AA2201" s="198" t="s">
        <v>51</v>
      </c>
      <c r="AB2201" s="202">
        <v>45</v>
      </c>
      <c r="AC2201" s="202">
        <v>45</v>
      </c>
    </row>
    <row r="2202" spans="1:29" outlineLevel="2" x14ac:dyDescent="0.25">
      <c r="A2202" s="201">
        <v>46136</v>
      </c>
      <c r="D2202" s="198" t="s">
        <v>54</v>
      </c>
      <c r="E2202" s="202">
        <v>7899129</v>
      </c>
      <c r="K2202" s="198" t="s">
        <v>1157</v>
      </c>
      <c r="L2202" s="198" t="s">
        <v>169</v>
      </c>
      <c r="P2202" s="201"/>
      <c r="R2202" s="202">
        <v>7899129</v>
      </c>
      <c r="U2202" s="198" t="s">
        <v>1156</v>
      </c>
      <c r="AA2202" s="198" t="s">
        <v>51</v>
      </c>
      <c r="AB2202" s="202">
        <v>7899129</v>
      </c>
      <c r="AC2202" s="202">
        <v>7899129</v>
      </c>
    </row>
    <row r="2203" spans="1:29" outlineLevel="1" x14ac:dyDescent="0.25">
      <c r="A2203" s="210"/>
      <c r="B2203" s="209"/>
      <c r="C2203" s="209"/>
      <c r="D2203" s="209" t="s">
        <v>54</v>
      </c>
      <c r="E2203" s="211">
        <v>95671630.689999998</v>
      </c>
      <c r="F2203" s="209"/>
      <c r="G2203" s="209"/>
      <c r="H2203" s="209"/>
      <c r="I2203" s="209"/>
      <c r="J2203" s="209"/>
      <c r="K2203" s="209" t="s">
        <v>54</v>
      </c>
      <c r="L2203" s="209" t="s">
        <v>54</v>
      </c>
      <c r="M2203" s="209"/>
      <c r="N2203" s="209"/>
      <c r="O2203" s="209"/>
      <c r="P2203" s="210"/>
      <c r="Q2203" s="209"/>
      <c r="R2203" s="212"/>
      <c r="S2203" s="209"/>
      <c r="T2203" s="209"/>
      <c r="U2203" s="209" t="s">
        <v>54</v>
      </c>
      <c r="V2203" s="209"/>
      <c r="W2203" s="209"/>
      <c r="X2203" s="209"/>
      <c r="Y2203" s="209"/>
      <c r="Z2203" s="209"/>
      <c r="AA2203" s="209" t="s">
        <v>54</v>
      </c>
      <c r="AB2203" s="212"/>
      <c r="AC2203" s="212"/>
    </row>
    <row r="2204" spans="1:29" outlineLevel="2" x14ac:dyDescent="0.25">
      <c r="A2204" s="201">
        <v>46021</v>
      </c>
      <c r="D2204" s="198" t="s">
        <v>54</v>
      </c>
      <c r="E2204" s="202">
        <v>1150000</v>
      </c>
      <c r="K2204" s="198" t="s">
        <v>1158</v>
      </c>
      <c r="L2204" s="198" t="s">
        <v>169</v>
      </c>
      <c r="P2204" s="201"/>
      <c r="R2204" s="202">
        <v>1150000</v>
      </c>
      <c r="U2204" s="198" t="s">
        <v>266</v>
      </c>
      <c r="AA2204" s="198" t="s">
        <v>51</v>
      </c>
      <c r="AB2204" s="202">
        <v>1150000</v>
      </c>
      <c r="AC2204" s="202">
        <v>1150000</v>
      </c>
    </row>
    <row r="2205" spans="1:29" outlineLevel="1" x14ac:dyDescent="0.25">
      <c r="A2205" s="210"/>
      <c r="B2205" s="209"/>
      <c r="C2205" s="209"/>
      <c r="D2205" s="209" t="s">
        <v>54</v>
      </c>
      <c r="E2205" s="211">
        <v>1150000</v>
      </c>
      <c r="F2205" s="209"/>
      <c r="G2205" s="209"/>
      <c r="H2205" s="209"/>
      <c r="I2205" s="209"/>
      <c r="J2205" s="209"/>
      <c r="K2205" s="209" t="s">
        <v>54</v>
      </c>
      <c r="L2205" s="209" t="s">
        <v>54</v>
      </c>
      <c r="M2205" s="209"/>
      <c r="N2205" s="209"/>
      <c r="O2205" s="209"/>
      <c r="P2205" s="210"/>
      <c r="Q2205" s="209"/>
      <c r="R2205" s="212"/>
      <c r="S2205" s="209"/>
      <c r="T2205" s="209"/>
      <c r="U2205" s="209" t="s">
        <v>54</v>
      </c>
      <c r="V2205" s="209"/>
      <c r="W2205" s="209"/>
      <c r="X2205" s="209"/>
      <c r="Y2205" s="209"/>
      <c r="Z2205" s="209"/>
      <c r="AA2205" s="209" t="s">
        <v>54</v>
      </c>
      <c r="AB2205" s="212"/>
      <c r="AC2205" s="212"/>
    </row>
    <row r="2206" spans="1:29" outlineLevel="2" x14ac:dyDescent="0.25">
      <c r="A2206" s="201">
        <v>46021</v>
      </c>
      <c r="D2206" s="198" t="s">
        <v>54</v>
      </c>
      <c r="E2206" s="202">
        <v>24732661</v>
      </c>
      <c r="K2206" s="198" t="s">
        <v>1159</v>
      </c>
      <c r="L2206" s="198" t="s">
        <v>169</v>
      </c>
      <c r="P2206" s="201"/>
      <c r="R2206" s="202">
        <v>24732661</v>
      </c>
      <c r="U2206" s="198" t="s">
        <v>268</v>
      </c>
      <c r="AA2206" s="198" t="s">
        <v>51</v>
      </c>
      <c r="AB2206" s="202">
        <v>24732661</v>
      </c>
      <c r="AC2206" s="202">
        <v>24732661</v>
      </c>
    </row>
    <row r="2207" spans="1:29" outlineLevel="1" x14ac:dyDescent="0.25">
      <c r="A2207" s="210"/>
      <c r="B2207" s="209"/>
      <c r="C2207" s="209"/>
      <c r="D2207" s="209" t="s">
        <v>54</v>
      </c>
      <c r="E2207" s="211">
        <v>24732661</v>
      </c>
      <c r="F2207" s="209"/>
      <c r="G2207" s="209"/>
      <c r="H2207" s="209"/>
      <c r="I2207" s="209"/>
      <c r="J2207" s="209"/>
      <c r="K2207" s="209" t="s">
        <v>54</v>
      </c>
      <c r="L2207" s="209" t="s">
        <v>54</v>
      </c>
      <c r="M2207" s="209"/>
      <c r="N2207" s="209"/>
      <c r="O2207" s="209"/>
      <c r="P2207" s="210"/>
      <c r="Q2207" s="209"/>
      <c r="R2207" s="212"/>
      <c r="S2207" s="209"/>
      <c r="T2207" s="209"/>
      <c r="U2207" s="209" t="s">
        <v>54</v>
      </c>
      <c r="V2207" s="209"/>
      <c r="W2207" s="209"/>
      <c r="X2207" s="209"/>
      <c r="Y2207" s="209"/>
      <c r="Z2207" s="209"/>
      <c r="AA2207" s="209" t="s">
        <v>54</v>
      </c>
      <c r="AB2207" s="212"/>
      <c r="AC2207" s="212"/>
    </row>
    <row r="2208" spans="1:29" outlineLevel="2" x14ac:dyDescent="0.25">
      <c r="A2208" s="201">
        <v>46021</v>
      </c>
      <c r="D2208" s="198" t="s">
        <v>54</v>
      </c>
      <c r="E2208" s="202">
        <v>7514948</v>
      </c>
      <c r="K2208" s="198" t="s">
        <v>1160</v>
      </c>
      <c r="L2208" s="198" t="s">
        <v>169</v>
      </c>
      <c r="P2208" s="201"/>
      <c r="R2208" s="202">
        <v>7514948</v>
      </c>
      <c r="U2208" s="198" t="s">
        <v>744</v>
      </c>
      <c r="AA2208" s="198" t="s">
        <v>51</v>
      </c>
      <c r="AB2208" s="202">
        <v>7514948</v>
      </c>
      <c r="AC2208" s="202">
        <v>7514948</v>
      </c>
    </row>
    <row r="2209" spans="1:29" outlineLevel="1" x14ac:dyDescent="0.25">
      <c r="A2209" s="210"/>
      <c r="B2209" s="209"/>
      <c r="C2209" s="209"/>
      <c r="D2209" s="209" t="s">
        <v>54</v>
      </c>
      <c r="E2209" s="211">
        <v>7514948</v>
      </c>
      <c r="F2209" s="209"/>
      <c r="G2209" s="209"/>
      <c r="H2209" s="209"/>
      <c r="I2209" s="209"/>
      <c r="J2209" s="209"/>
      <c r="K2209" s="209" t="s">
        <v>54</v>
      </c>
      <c r="L2209" s="209" t="s">
        <v>54</v>
      </c>
      <c r="M2209" s="209"/>
      <c r="N2209" s="209"/>
      <c r="O2209" s="209"/>
      <c r="P2209" s="210"/>
      <c r="Q2209" s="209"/>
      <c r="R2209" s="212"/>
      <c r="S2209" s="209"/>
      <c r="T2209" s="209"/>
      <c r="U2209" s="209" t="s">
        <v>54</v>
      </c>
      <c r="V2209" s="209"/>
      <c r="W2209" s="209"/>
      <c r="X2209" s="209"/>
      <c r="Y2209" s="209"/>
      <c r="Z2209" s="209"/>
      <c r="AA2209" s="209" t="s">
        <v>54</v>
      </c>
      <c r="AB2209" s="212"/>
      <c r="AC2209" s="212"/>
    </row>
    <row r="2210" spans="1:29" outlineLevel="2" x14ac:dyDescent="0.25">
      <c r="A2210" s="201">
        <v>46021</v>
      </c>
      <c r="D2210" s="198" t="s">
        <v>54</v>
      </c>
      <c r="E2210" s="202">
        <v>47013660.090000004</v>
      </c>
      <c r="K2210" s="198" t="s">
        <v>1161</v>
      </c>
      <c r="L2210" s="198" t="s">
        <v>169</v>
      </c>
      <c r="P2210" s="201"/>
      <c r="R2210" s="202">
        <v>47013660.090000004</v>
      </c>
      <c r="U2210" s="198" t="s">
        <v>269</v>
      </c>
      <c r="AA2210" s="198" t="s">
        <v>51</v>
      </c>
      <c r="AB2210" s="202">
        <v>47013660.090000004</v>
      </c>
      <c r="AC2210" s="202">
        <v>47013660.090000004</v>
      </c>
    </row>
    <row r="2211" spans="1:29" outlineLevel="2" x14ac:dyDescent="0.25">
      <c r="A2211" s="201">
        <v>46071</v>
      </c>
      <c r="D2211" s="198" t="s">
        <v>54</v>
      </c>
      <c r="E2211" s="202">
        <v>3204895.6</v>
      </c>
      <c r="K2211" s="198" t="s">
        <v>1161</v>
      </c>
      <c r="L2211" s="198" t="s">
        <v>169</v>
      </c>
      <c r="P2211" s="201"/>
      <c r="R2211" s="202">
        <v>3204895.6</v>
      </c>
      <c r="U2211" s="198" t="s">
        <v>269</v>
      </c>
      <c r="AA2211" s="198" t="s">
        <v>51</v>
      </c>
      <c r="AB2211" s="202">
        <v>3204895.6</v>
      </c>
      <c r="AC2211" s="202">
        <v>3204895.6</v>
      </c>
    </row>
    <row r="2212" spans="1:29" outlineLevel="2" x14ac:dyDescent="0.25">
      <c r="A2212" s="201">
        <v>46076</v>
      </c>
      <c r="D2212" s="198" t="s">
        <v>54</v>
      </c>
      <c r="E2212" s="202">
        <v>45</v>
      </c>
      <c r="K2212" s="198" t="s">
        <v>1161</v>
      </c>
      <c r="L2212" s="198" t="s">
        <v>169</v>
      </c>
      <c r="P2212" s="201"/>
      <c r="R2212" s="202">
        <v>45</v>
      </c>
      <c r="U2212" s="198" t="s">
        <v>269</v>
      </c>
      <c r="AA2212" s="198" t="s">
        <v>51</v>
      </c>
      <c r="AB2212" s="202">
        <v>45</v>
      </c>
      <c r="AC2212" s="202">
        <v>45</v>
      </c>
    </row>
    <row r="2213" spans="1:29" outlineLevel="1" x14ac:dyDescent="0.25">
      <c r="A2213" s="210"/>
      <c r="B2213" s="209"/>
      <c r="C2213" s="209"/>
      <c r="D2213" s="209" t="s">
        <v>54</v>
      </c>
      <c r="E2213" s="211">
        <v>50218600.689999998</v>
      </c>
      <c r="F2213" s="209"/>
      <c r="G2213" s="209"/>
      <c r="H2213" s="209"/>
      <c r="I2213" s="209"/>
      <c r="J2213" s="209"/>
      <c r="K2213" s="209" t="s">
        <v>54</v>
      </c>
      <c r="L2213" s="209" t="s">
        <v>54</v>
      </c>
      <c r="M2213" s="209"/>
      <c r="N2213" s="209"/>
      <c r="O2213" s="209"/>
      <c r="P2213" s="210"/>
      <c r="Q2213" s="209"/>
      <c r="R2213" s="212"/>
      <c r="S2213" s="209"/>
      <c r="T2213" s="209"/>
      <c r="U2213" s="209" t="s">
        <v>54</v>
      </c>
      <c r="V2213" s="209"/>
      <c r="W2213" s="209"/>
      <c r="X2213" s="209"/>
      <c r="Y2213" s="209"/>
      <c r="Z2213" s="209"/>
      <c r="AA2213" s="209" t="s">
        <v>54</v>
      </c>
      <c r="AB2213" s="212"/>
      <c r="AC2213" s="212"/>
    </row>
    <row r="2214" spans="1:29" outlineLevel="2" x14ac:dyDescent="0.25">
      <c r="A2214" s="201">
        <v>46021</v>
      </c>
      <c r="D2214" s="198" t="s">
        <v>54</v>
      </c>
      <c r="E2214" s="202">
        <v>4156292</v>
      </c>
      <c r="K2214" s="198" t="s">
        <v>1162</v>
      </c>
      <c r="L2214" s="198" t="s">
        <v>169</v>
      </c>
      <c r="P2214" s="201"/>
      <c r="R2214" s="202">
        <v>4156292</v>
      </c>
      <c r="U2214" s="198" t="s">
        <v>270</v>
      </c>
      <c r="AA2214" s="198" t="s">
        <v>51</v>
      </c>
      <c r="AB2214" s="202">
        <v>4156292</v>
      </c>
      <c r="AC2214" s="202">
        <v>4156292</v>
      </c>
    </row>
    <row r="2215" spans="1:29" outlineLevel="1" x14ac:dyDescent="0.25">
      <c r="A2215" s="210"/>
      <c r="B2215" s="209"/>
      <c r="C2215" s="209"/>
      <c r="D2215" s="209" t="s">
        <v>54</v>
      </c>
      <c r="E2215" s="211">
        <v>4156292</v>
      </c>
      <c r="F2215" s="209"/>
      <c r="G2215" s="209"/>
      <c r="H2215" s="209"/>
      <c r="I2215" s="209"/>
      <c r="J2215" s="209"/>
      <c r="K2215" s="209" t="s">
        <v>54</v>
      </c>
      <c r="L2215" s="209" t="s">
        <v>54</v>
      </c>
      <c r="M2215" s="209"/>
      <c r="N2215" s="209"/>
      <c r="O2215" s="209"/>
      <c r="P2215" s="210"/>
      <c r="Q2215" s="209"/>
      <c r="R2215" s="212"/>
      <c r="S2215" s="209"/>
      <c r="T2215" s="209"/>
      <c r="U2215" s="209" t="s">
        <v>54</v>
      </c>
      <c r="V2215" s="209"/>
      <c r="W2215" s="209"/>
      <c r="X2215" s="209"/>
      <c r="Y2215" s="209"/>
      <c r="Z2215" s="209"/>
      <c r="AA2215" s="209" t="s">
        <v>54</v>
      </c>
      <c r="AB2215" s="212"/>
      <c r="AC2215" s="212"/>
    </row>
    <row r="2216" spans="1:29" outlineLevel="2" x14ac:dyDescent="0.25">
      <c r="A2216" s="201">
        <v>46136</v>
      </c>
      <c r="D2216" s="198" t="s">
        <v>54</v>
      </c>
      <c r="E2216" s="202">
        <v>7899129</v>
      </c>
      <c r="K2216" s="198" t="s">
        <v>1163</v>
      </c>
      <c r="L2216" s="198" t="s">
        <v>169</v>
      </c>
      <c r="P2216" s="201"/>
      <c r="R2216" s="202">
        <v>7899129</v>
      </c>
      <c r="U2216" s="198" t="s">
        <v>347</v>
      </c>
      <c r="AA2216" s="198" t="s">
        <v>51</v>
      </c>
      <c r="AB2216" s="202">
        <v>7899129</v>
      </c>
      <c r="AC2216" s="202">
        <v>7899129</v>
      </c>
    </row>
    <row r="2217" spans="1:29" outlineLevel="1" x14ac:dyDescent="0.25">
      <c r="A2217" s="210"/>
      <c r="B2217" s="209"/>
      <c r="C2217" s="209"/>
      <c r="D2217" s="209" t="s">
        <v>54</v>
      </c>
      <c r="E2217" s="211">
        <v>7899129</v>
      </c>
      <c r="F2217" s="209"/>
      <c r="G2217" s="209"/>
      <c r="H2217" s="209"/>
      <c r="I2217" s="209"/>
      <c r="J2217" s="209"/>
      <c r="K2217" s="209" t="s">
        <v>54</v>
      </c>
      <c r="L2217" s="209" t="s">
        <v>54</v>
      </c>
      <c r="M2217" s="209"/>
      <c r="N2217" s="209"/>
      <c r="O2217" s="209"/>
      <c r="P2217" s="210"/>
      <c r="Q2217" s="209"/>
      <c r="R2217" s="212"/>
      <c r="S2217" s="209"/>
      <c r="T2217" s="209"/>
      <c r="U2217" s="209" t="s">
        <v>54</v>
      </c>
      <c r="V2217" s="209"/>
      <c r="W2217" s="209"/>
      <c r="X2217" s="209"/>
      <c r="Y2217" s="209"/>
      <c r="Z2217" s="209"/>
      <c r="AA2217" s="209" t="s">
        <v>54</v>
      </c>
      <c r="AB2217" s="212"/>
      <c r="AC2217" s="212"/>
    </row>
    <row r="2218" spans="1:29" outlineLevel="2" x14ac:dyDescent="0.25">
      <c r="A2218" s="201">
        <v>46009</v>
      </c>
      <c r="D2218" s="198" t="s">
        <v>54</v>
      </c>
      <c r="E2218" s="202">
        <v>339228811.75</v>
      </c>
      <c r="K2218" s="198" t="s">
        <v>1165</v>
      </c>
      <c r="L2218" s="198" t="s">
        <v>169</v>
      </c>
      <c r="P2218" s="201"/>
      <c r="R2218" s="202">
        <v>339228811.75</v>
      </c>
      <c r="U2218" s="198" t="s">
        <v>1164</v>
      </c>
      <c r="AA2218" s="198" t="s">
        <v>51</v>
      </c>
      <c r="AB2218" s="202">
        <v>339228811.75</v>
      </c>
      <c r="AC2218" s="202">
        <v>339228811.75</v>
      </c>
    </row>
    <row r="2219" spans="1:29" outlineLevel="2" x14ac:dyDescent="0.25">
      <c r="A2219" s="201">
        <v>46016</v>
      </c>
      <c r="D2219" s="198" t="s">
        <v>54</v>
      </c>
      <c r="E2219" s="202">
        <v>12176208.5</v>
      </c>
      <c r="K2219" s="198" t="s">
        <v>1165</v>
      </c>
      <c r="L2219" s="198" t="s">
        <v>169</v>
      </c>
      <c r="P2219" s="201"/>
      <c r="R2219" s="202">
        <v>12176208.5</v>
      </c>
      <c r="U2219" s="198" t="s">
        <v>1164</v>
      </c>
      <c r="AA2219" s="198" t="s">
        <v>51</v>
      </c>
      <c r="AB2219" s="202">
        <v>12176208.5</v>
      </c>
      <c r="AC2219" s="202">
        <v>12176208.5</v>
      </c>
    </row>
    <row r="2220" spans="1:29" outlineLevel="2" x14ac:dyDescent="0.25">
      <c r="A2220" s="201">
        <v>46016</v>
      </c>
      <c r="D2220" s="198" t="s">
        <v>54</v>
      </c>
      <c r="E2220" s="202">
        <v>97410450</v>
      </c>
      <c r="K2220" s="198" t="s">
        <v>1165</v>
      </c>
      <c r="L2220" s="198" t="s">
        <v>169</v>
      </c>
      <c r="P2220" s="201"/>
      <c r="R2220" s="202">
        <v>97410450</v>
      </c>
      <c r="U2220" s="198" t="s">
        <v>1164</v>
      </c>
      <c r="AA2220" s="198" t="s">
        <v>51</v>
      </c>
      <c r="AB2220" s="202">
        <v>97410450</v>
      </c>
      <c r="AC2220" s="202">
        <v>97410450</v>
      </c>
    </row>
    <row r="2221" spans="1:29" outlineLevel="2" x14ac:dyDescent="0.25">
      <c r="A2221" s="201">
        <v>46017</v>
      </c>
      <c r="D2221" s="198" t="s">
        <v>54</v>
      </c>
      <c r="E2221" s="202">
        <v>-82495670.25</v>
      </c>
      <c r="K2221" s="198" t="s">
        <v>1165</v>
      </c>
      <c r="L2221" s="198" t="s">
        <v>169</v>
      </c>
      <c r="P2221" s="201"/>
      <c r="R2221" s="202">
        <v>-82495670.25</v>
      </c>
      <c r="U2221" s="198" t="s">
        <v>1164</v>
      </c>
      <c r="AA2221" s="198" t="s">
        <v>51</v>
      </c>
      <c r="AB2221" s="202">
        <v>-82495670.25</v>
      </c>
      <c r="AC2221" s="202">
        <v>-82495670.25</v>
      </c>
    </row>
    <row r="2222" spans="1:29" outlineLevel="2" x14ac:dyDescent="0.25">
      <c r="A2222" s="201">
        <v>46017</v>
      </c>
      <c r="D2222" s="198" t="s">
        <v>54</v>
      </c>
      <c r="E2222" s="202">
        <v>2387269</v>
      </c>
      <c r="K2222" s="198" t="s">
        <v>1165</v>
      </c>
      <c r="L2222" s="198" t="s">
        <v>169</v>
      </c>
      <c r="P2222" s="201"/>
      <c r="R2222" s="202">
        <v>2387269</v>
      </c>
      <c r="U2222" s="198" t="s">
        <v>1164</v>
      </c>
      <c r="AA2222" s="198" t="s">
        <v>51</v>
      </c>
      <c r="AB2222" s="202">
        <v>2387269</v>
      </c>
      <c r="AC2222" s="202">
        <v>2387269</v>
      </c>
    </row>
    <row r="2223" spans="1:29" outlineLevel="2" x14ac:dyDescent="0.25">
      <c r="A2223" s="201">
        <v>46023</v>
      </c>
      <c r="D2223" s="198" t="s">
        <v>54</v>
      </c>
      <c r="E2223" s="202">
        <v>4469680</v>
      </c>
      <c r="K2223" s="198" t="s">
        <v>1165</v>
      </c>
      <c r="L2223" s="198" t="s">
        <v>169</v>
      </c>
      <c r="P2223" s="201"/>
      <c r="R2223" s="202">
        <v>4469680</v>
      </c>
      <c r="U2223" s="198" t="s">
        <v>1164</v>
      </c>
      <c r="AA2223" s="198" t="s">
        <v>51</v>
      </c>
      <c r="AB2223" s="202">
        <v>4469680</v>
      </c>
      <c r="AC2223" s="202">
        <v>4469680</v>
      </c>
    </row>
    <row r="2224" spans="1:29" outlineLevel="2" x14ac:dyDescent="0.25">
      <c r="A2224" s="201">
        <v>46043</v>
      </c>
      <c r="D2224" s="198" t="s">
        <v>54</v>
      </c>
      <c r="E2224" s="202">
        <v>10700000</v>
      </c>
      <c r="K2224" s="198" t="s">
        <v>1165</v>
      </c>
      <c r="L2224" s="198" t="s">
        <v>169</v>
      </c>
      <c r="P2224" s="201"/>
      <c r="R2224" s="202">
        <v>10700000</v>
      </c>
      <c r="U2224" s="198" t="s">
        <v>1164</v>
      </c>
      <c r="AA2224" s="198" t="s">
        <v>51</v>
      </c>
      <c r="AB2224" s="202">
        <v>10700000</v>
      </c>
      <c r="AC2224" s="202">
        <v>10700000</v>
      </c>
    </row>
    <row r="2225" spans="1:29" outlineLevel="2" x14ac:dyDescent="0.25">
      <c r="A2225" s="201">
        <v>46065</v>
      </c>
      <c r="D2225" s="198" t="s">
        <v>54</v>
      </c>
      <c r="E2225" s="202">
        <v>417365</v>
      </c>
      <c r="K2225" s="198" t="s">
        <v>1165</v>
      </c>
      <c r="L2225" s="198" t="s">
        <v>169</v>
      </c>
      <c r="P2225" s="201"/>
      <c r="R2225" s="202">
        <v>417365</v>
      </c>
      <c r="U2225" s="198" t="s">
        <v>1164</v>
      </c>
      <c r="AA2225" s="198" t="s">
        <v>51</v>
      </c>
      <c r="AB2225" s="202">
        <v>417365</v>
      </c>
      <c r="AC2225" s="202">
        <v>417365</v>
      </c>
    </row>
    <row r="2226" spans="1:29" outlineLevel="2" x14ac:dyDescent="0.25">
      <c r="A2226" s="201">
        <v>46066</v>
      </c>
      <c r="D2226" s="198" t="s">
        <v>54</v>
      </c>
      <c r="E2226" s="202">
        <v>2036000</v>
      </c>
      <c r="K2226" s="198" t="s">
        <v>1165</v>
      </c>
      <c r="L2226" s="198" t="s">
        <v>169</v>
      </c>
      <c r="P2226" s="201"/>
      <c r="R2226" s="202">
        <v>2036000</v>
      </c>
      <c r="U2226" s="198" t="s">
        <v>1164</v>
      </c>
      <c r="AA2226" s="198" t="s">
        <v>51</v>
      </c>
      <c r="AB2226" s="202">
        <v>2036000</v>
      </c>
      <c r="AC2226" s="202">
        <v>2036000</v>
      </c>
    </row>
    <row r="2227" spans="1:29" outlineLevel="2" x14ac:dyDescent="0.25">
      <c r="A2227" s="201">
        <v>46077</v>
      </c>
      <c r="D2227" s="198" t="s">
        <v>54</v>
      </c>
      <c r="E2227" s="202">
        <v>183600</v>
      </c>
      <c r="K2227" s="198" t="s">
        <v>1165</v>
      </c>
      <c r="L2227" s="198" t="s">
        <v>169</v>
      </c>
      <c r="P2227" s="201"/>
      <c r="R2227" s="202">
        <v>183600</v>
      </c>
      <c r="U2227" s="198" t="s">
        <v>1164</v>
      </c>
      <c r="AA2227" s="198" t="s">
        <v>51</v>
      </c>
      <c r="AB2227" s="202">
        <v>183600</v>
      </c>
      <c r="AC2227" s="202">
        <v>183600</v>
      </c>
    </row>
    <row r="2228" spans="1:29" outlineLevel="2" x14ac:dyDescent="0.25">
      <c r="A2228" s="201">
        <v>46112</v>
      </c>
      <c r="D2228" s="198" t="s">
        <v>54</v>
      </c>
      <c r="E2228" s="202">
        <v>-4479939.8</v>
      </c>
      <c r="K2228" s="198" t="s">
        <v>1165</v>
      </c>
      <c r="L2228" s="198" t="s">
        <v>169</v>
      </c>
      <c r="P2228" s="201"/>
      <c r="R2228" s="202">
        <v>-4479939.8</v>
      </c>
      <c r="U2228" s="198" t="s">
        <v>1164</v>
      </c>
      <c r="AA2228" s="198" t="s">
        <v>51</v>
      </c>
      <c r="AB2228" s="202">
        <v>-4479939.8</v>
      </c>
      <c r="AC2228" s="202">
        <v>-4479939.8</v>
      </c>
    </row>
    <row r="2229" spans="1:29" outlineLevel="2" x14ac:dyDescent="0.25">
      <c r="A2229" s="201">
        <v>46119</v>
      </c>
      <c r="D2229" s="198" t="s">
        <v>54</v>
      </c>
      <c r="E2229" s="202">
        <v>652088.94999999995</v>
      </c>
      <c r="K2229" s="198" t="s">
        <v>1165</v>
      </c>
      <c r="L2229" s="198" t="s">
        <v>169</v>
      </c>
      <c r="P2229" s="201"/>
      <c r="R2229" s="202">
        <v>652088.94999999995</v>
      </c>
      <c r="U2229" s="198" t="s">
        <v>1164</v>
      </c>
      <c r="AA2229" s="198" t="s">
        <v>51</v>
      </c>
      <c r="AB2229" s="202">
        <v>652088.94999999995</v>
      </c>
      <c r="AC2229" s="202">
        <v>652088.94999999995</v>
      </c>
    </row>
    <row r="2230" spans="1:29" outlineLevel="2" x14ac:dyDescent="0.25">
      <c r="A2230" s="201">
        <v>46123</v>
      </c>
      <c r="D2230" s="198" t="s">
        <v>54</v>
      </c>
      <c r="E2230" s="202">
        <v>3</v>
      </c>
      <c r="K2230" s="198" t="s">
        <v>1165</v>
      </c>
      <c r="L2230" s="198" t="s">
        <v>169</v>
      </c>
      <c r="P2230" s="201"/>
      <c r="R2230" s="202">
        <v>3</v>
      </c>
      <c r="U2230" s="198" t="s">
        <v>1164</v>
      </c>
      <c r="AA2230" s="198" t="s">
        <v>51</v>
      </c>
      <c r="AB2230" s="202">
        <v>3</v>
      </c>
      <c r="AC2230" s="202">
        <v>3</v>
      </c>
    </row>
    <row r="2231" spans="1:29" outlineLevel="2" x14ac:dyDescent="0.25">
      <c r="A2231" s="201">
        <v>46129</v>
      </c>
      <c r="D2231" s="198" t="s">
        <v>54</v>
      </c>
      <c r="E2231" s="202">
        <v>4</v>
      </c>
      <c r="K2231" s="198" t="s">
        <v>1165</v>
      </c>
      <c r="L2231" s="198" t="s">
        <v>169</v>
      </c>
      <c r="P2231" s="201"/>
      <c r="R2231" s="202">
        <v>4</v>
      </c>
      <c r="U2231" s="198" t="s">
        <v>1164</v>
      </c>
      <c r="AA2231" s="198" t="s">
        <v>51</v>
      </c>
      <c r="AB2231" s="202">
        <v>4</v>
      </c>
      <c r="AC2231" s="202">
        <v>4</v>
      </c>
    </row>
    <row r="2232" spans="1:29" outlineLevel="2" x14ac:dyDescent="0.25">
      <c r="A2232" s="201">
        <v>46141</v>
      </c>
      <c r="D2232" s="198" t="s">
        <v>54</v>
      </c>
      <c r="E2232" s="202">
        <v>7601000</v>
      </c>
      <c r="K2232" s="198" t="s">
        <v>1165</v>
      </c>
      <c r="L2232" s="198" t="s">
        <v>169</v>
      </c>
      <c r="P2232" s="201"/>
      <c r="R2232" s="202">
        <v>7601000</v>
      </c>
      <c r="U2232" s="198" t="s">
        <v>1164</v>
      </c>
      <c r="AA2232" s="198" t="s">
        <v>51</v>
      </c>
      <c r="AB2232" s="202">
        <v>7601000</v>
      </c>
      <c r="AC2232" s="202">
        <v>7601000</v>
      </c>
    </row>
    <row r="2233" spans="1:29" outlineLevel="2" x14ac:dyDescent="0.25">
      <c r="A2233" s="201">
        <v>46146</v>
      </c>
      <c r="D2233" s="198" t="s">
        <v>54</v>
      </c>
      <c r="E2233" s="202">
        <v>32879023.199999999</v>
      </c>
      <c r="K2233" s="198" t="s">
        <v>1165</v>
      </c>
      <c r="L2233" s="198" t="s">
        <v>169</v>
      </c>
      <c r="P2233" s="201"/>
      <c r="R2233" s="202">
        <v>32879023.199999999</v>
      </c>
      <c r="U2233" s="198" t="s">
        <v>1164</v>
      </c>
      <c r="AA2233" s="198" t="s">
        <v>51</v>
      </c>
      <c r="AB2233" s="202">
        <v>32879023.199999999</v>
      </c>
      <c r="AC2233" s="202">
        <v>32879023.199999999</v>
      </c>
    </row>
    <row r="2234" spans="1:29" outlineLevel="2" x14ac:dyDescent="0.25">
      <c r="A2234" s="201">
        <v>46146</v>
      </c>
      <c r="D2234" s="198" t="s">
        <v>54</v>
      </c>
      <c r="E2234" s="202">
        <v>45813807.5</v>
      </c>
      <c r="K2234" s="198" t="s">
        <v>1165</v>
      </c>
      <c r="L2234" s="198" t="s">
        <v>169</v>
      </c>
      <c r="P2234" s="201"/>
      <c r="R2234" s="202">
        <v>45813807.5</v>
      </c>
      <c r="U2234" s="198" t="s">
        <v>1164</v>
      </c>
      <c r="AA2234" s="198" t="s">
        <v>51</v>
      </c>
      <c r="AB2234" s="202">
        <v>45813807.5</v>
      </c>
      <c r="AC2234" s="202">
        <v>45813807.5</v>
      </c>
    </row>
    <row r="2235" spans="1:29" outlineLevel="2" x14ac:dyDescent="0.25">
      <c r="A2235" s="201">
        <v>46146</v>
      </c>
      <c r="D2235" s="198" t="s">
        <v>54</v>
      </c>
      <c r="E2235" s="202">
        <v>6053085</v>
      </c>
      <c r="K2235" s="198" t="s">
        <v>1165</v>
      </c>
      <c r="L2235" s="198" t="s">
        <v>169</v>
      </c>
      <c r="P2235" s="201"/>
      <c r="R2235" s="202">
        <v>6053085</v>
      </c>
      <c r="U2235" s="198" t="s">
        <v>1164</v>
      </c>
      <c r="AA2235" s="198" t="s">
        <v>51</v>
      </c>
      <c r="AB2235" s="202">
        <v>6053085</v>
      </c>
      <c r="AC2235" s="202">
        <v>6053085</v>
      </c>
    </row>
    <row r="2236" spans="1:29" outlineLevel="2" x14ac:dyDescent="0.25">
      <c r="A2236" s="201">
        <v>46146</v>
      </c>
      <c r="D2236" s="198" t="s">
        <v>54</v>
      </c>
      <c r="E2236" s="202">
        <v>10750173.75</v>
      </c>
      <c r="K2236" s="198" t="s">
        <v>1165</v>
      </c>
      <c r="L2236" s="198" t="s">
        <v>169</v>
      </c>
      <c r="P2236" s="201"/>
      <c r="R2236" s="202">
        <v>10750173.75</v>
      </c>
      <c r="U2236" s="198" t="s">
        <v>1164</v>
      </c>
      <c r="AA2236" s="198" t="s">
        <v>51</v>
      </c>
      <c r="AB2236" s="202">
        <v>10750173.75</v>
      </c>
      <c r="AC2236" s="202">
        <v>10750173.75</v>
      </c>
    </row>
    <row r="2237" spans="1:29" outlineLevel="2" x14ac:dyDescent="0.25">
      <c r="A2237" s="201">
        <v>46155</v>
      </c>
      <c r="D2237" s="198" t="s">
        <v>54</v>
      </c>
      <c r="E2237" s="202">
        <v>1937029.5</v>
      </c>
      <c r="K2237" s="198" t="s">
        <v>1165</v>
      </c>
      <c r="L2237" s="198" t="s">
        <v>169</v>
      </c>
      <c r="P2237" s="201"/>
      <c r="R2237" s="202">
        <v>1937029.5</v>
      </c>
      <c r="U2237" s="198" t="s">
        <v>1164</v>
      </c>
      <c r="AA2237" s="198" t="s">
        <v>51</v>
      </c>
      <c r="AB2237" s="202">
        <v>1937029.5</v>
      </c>
      <c r="AC2237" s="202">
        <v>1937029.5</v>
      </c>
    </row>
    <row r="2238" spans="1:29" outlineLevel="2" x14ac:dyDescent="0.25">
      <c r="A2238" s="201">
        <v>46160</v>
      </c>
      <c r="D2238" s="198" t="s">
        <v>54</v>
      </c>
      <c r="E2238" s="202">
        <v>11864.5</v>
      </c>
      <c r="K2238" s="198" t="s">
        <v>1165</v>
      </c>
      <c r="L2238" s="198" t="s">
        <v>169</v>
      </c>
      <c r="P2238" s="201"/>
      <c r="R2238" s="202">
        <v>11864.5</v>
      </c>
      <c r="U2238" s="198" t="s">
        <v>1164</v>
      </c>
      <c r="AA2238" s="198" t="s">
        <v>51</v>
      </c>
      <c r="AB2238" s="202">
        <v>11864.5</v>
      </c>
      <c r="AC2238" s="202">
        <v>11864.5</v>
      </c>
    </row>
    <row r="2239" spans="1:29" outlineLevel="2" x14ac:dyDescent="0.25">
      <c r="A2239" s="201">
        <v>46160</v>
      </c>
      <c r="D2239" s="198" t="s">
        <v>54</v>
      </c>
      <c r="E2239" s="202">
        <v>5000</v>
      </c>
      <c r="K2239" s="198" t="s">
        <v>1165</v>
      </c>
      <c r="L2239" s="198" t="s">
        <v>169</v>
      </c>
      <c r="P2239" s="201"/>
      <c r="R2239" s="202">
        <v>5000</v>
      </c>
      <c r="U2239" s="198" t="s">
        <v>1164</v>
      </c>
      <c r="AA2239" s="198" t="s">
        <v>51</v>
      </c>
      <c r="AB2239" s="202">
        <v>5000</v>
      </c>
      <c r="AC2239" s="202">
        <v>5000</v>
      </c>
    </row>
    <row r="2240" spans="1:29" outlineLevel="1" x14ac:dyDescent="0.25">
      <c r="A2240" s="210"/>
      <c r="B2240" s="209"/>
      <c r="C2240" s="209"/>
      <c r="D2240" s="209" t="s">
        <v>54</v>
      </c>
      <c r="E2240" s="211">
        <v>487736853.60000002</v>
      </c>
      <c r="F2240" s="209"/>
      <c r="G2240" s="209"/>
      <c r="H2240" s="209"/>
      <c r="I2240" s="209"/>
      <c r="J2240" s="209"/>
      <c r="K2240" s="209" t="s">
        <v>54</v>
      </c>
      <c r="L2240" s="209" t="s">
        <v>54</v>
      </c>
      <c r="M2240" s="209"/>
      <c r="N2240" s="209"/>
      <c r="O2240" s="209"/>
      <c r="P2240" s="210"/>
      <c r="Q2240" s="209"/>
      <c r="R2240" s="212"/>
      <c r="S2240" s="209"/>
      <c r="T2240" s="209"/>
      <c r="U2240" s="209" t="s">
        <v>54</v>
      </c>
      <c r="V2240" s="209"/>
      <c r="W2240" s="209"/>
      <c r="X2240" s="209"/>
      <c r="Y2240" s="209"/>
      <c r="Z2240" s="209"/>
      <c r="AA2240" s="209" t="s">
        <v>54</v>
      </c>
      <c r="AB2240" s="212"/>
      <c r="AC2240" s="212"/>
    </row>
    <row r="2241" spans="1:29" outlineLevel="2" x14ac:dyDescent="0.25">
      <c r="A2241" s="201">
        <v>46009</v>
      </c>
      <c r="D2241" s="198" t="s">
        <v>54</v>
      </c>
      <c r="E2241" s="202">
        <v>308706979.5</v>
      </c>
      <c r="K2241" s="198" t="s">
        <v>1167</v>
      </c>
      <c r="L2241" s="198" t="s">
        <v>169</v>
      </c>
      <c r="P2241" s="201"/>
      <c r="R2241" s="202">
        <v>308706979.5</v>
      </c>
      <c r="U2241" s="198" t="s">
        <v>1166</v>
      </c>
      <c r="AA2241" s="198" t="s">
        <v>51</v>
      </c>
      <c r="AB2241" s="202">
        <v>308706979.5</v>
      </c>
      <c r="AC2241" s="202">
        <v>308706979.5</v>
      </c>
    </row>
    <row r="2242" spans="1:29" outlineLevel="2" x14ac:dyDescent="0.25">
      <c r="A2242" s="201">
        <v>46016</v>
      </c>
      <c r="D2242" s="198" t="s">
        <v>54</v>
      </c>
      <c r="E2242" s="202">
        <v>12176208.5</v>
      </c>
      <c r="K2242" s="198" t="s">
        <v>1167</v>
      </c>
      <c r="L2242" s="198" t="s">
        <v>169</v>
      </c>
      <c r="P2242" s="201"/>
      <c r="R2242" s="202">
        <v>12176208.5</v>
      </c>
      <c r="U2242" s="198" t="s">
        <v>1166</v>
      </c>
      <c r="AA2242" s="198" t="s">
        <v>51</v>
      </c>
      <c r="AB2242" s="202">
        <v>12176208.5</v>
      </c>
      <c r="AC2242" s="202">
        <v>12176208.5</v>
      </c>
    </row>
    <row r="2243" spans="1:29" outlineLevel="2" x14ac:dyDescent="0.25">
      <c r="A2243" s="201">
        <v>46016</v>
      </c>
      <c r="D2243" s="198" t="s">
        <v>54</v>
      </c>
      <c r="E2243" s="202">
        <v>97410450</v>
      </c>
      <c r="K2243" s="198" t="s">
        <v>1167</v>
      </c>
      <c r="L2243" s="198" t="s">
        <v>169</v>
      </c>
      <c r="P2243" s="201"/>
      <c r="R2243" s="202">
        <v>97410450</v>
      </c>
      <c r="U2243" s="198" t="s">
        <v>1166</v>
      </c>
      <c r="AA2243" s="198" t="s">
        <v>51</v>
      </c>
      <c r="AB2243" s="202">
        <v>97410450</v>
      </c>
      <c r="AC2243" s="202">
        <v>97410450</v>
      </c>
    </row>
    <row r="2244" spans="1:29" outlineLevel="2" x14ac:dyDescent="0.25">
      <c r="A2244" s="201">
        <v>46017</v>
      </c>
      <c r="D2244" s="198" t="s">
        <v>54</v>
      </c>
      <c r="E2244" s="202">
        <v>-74513638</v>
      </c>
      <c r="K2244" s="198" t="s">
        <v>1167</v>
      </c>
      <c r="L2244" s="198" t="s">
        <v>169</v>
      </c>
      <c r="P2244" s="201"/>
      <c r="R2244" s="202">
        <v>-74513638</v>
      </c>
      <c r="U2244" s="198" t="s">
        <v>1166</v>
      </c>
      <c r="AA2244" s="198" t="s">
        <v>51</v>
      </c>
      <c r="AB2244" s="202">
        <v>-74513638</v>
      </c>
      <c r="AC2244" s="202">
        <v>-74513638</v>
      </c>
    </row>
    <row r="2245" spans="1:29" outlineLevel="2" x14ac:dyDescent="0.25">
      <c r="A2245" s="201">
        <v>46017</v>
      </c>
      <c r="D2245" s="198" t="s">
        <v>54</v>
      </c>
      <c r="E2245" s="202">
        <v>2387269</v>
      </c>
      <c r="K2245" s="198" t="s">
        <v>1167</v>
      </c>
      <c r="L2245" s="198" t="s">
        <v>169</v>
      </c>
      <c r="P2245" s="201"/>
      <c r="R2245" s="202">
        <v>2387269</v>
      </c>
      <c r="U2245" s="198" t="s">
        <v>1166</v>
      </c>
      <c r="AA2245" s="198" t="s">
        <v>51</v>
      </c>
      <c r="AB2245" s="202">
        <v>2387269</v>
      </c>
      <c r="AC2245" s="202">
        <v>2387269</v>
      </c>
    </row>
    <row r="2246" spans="1:29" outlineLevel="2" x14ac:dyDescent="0.25">
      <c r="A2246" s="201">
        <v>46043</v>
      </c>
      <c r="D2246" s="198" t="s">
        <v>54</v>
      </c>
      <c r="E2246" s="202">
        <v>10700000</v>
      </c>
      <c r="K2246" s="198" t="s">
        <v>1167</v>
      </c>
      <c r="L2246" s="198" t="s">
        <v>169</v>
      </c>
      <c r="P2246" s="201"/>
      <c r="R2246" s="202">
        <v>10700000</v>
      </c>
      <c r="U2246" s="198" t="s">
        <v>1166</v>
      </c>
      <c r="AA2246" s="198" t="s">
        <v>51</v>
      </c>
      <c r="AB2246" s="202">
        <v>10700000</v>
      </c>
      <c r="AC2246" s="202">
        <v>10700000</v>
      </c>
    </row>
    <row r="2247" spans="1:29" outlineLevel="2" x14ac:dyDescent="0.25">
      <c r="A2247" s="201">
        <v>46065</v>
      </c>
      <c r="D2247" s="198" t="s">
        <v>54</v>
      </c>
      <c r="E2247" s="202">
        <v>417365</v>
      </c>
      <c r="K2247" s="198" t="s">
        <v>1167</v>
      </c>
      <c r="L2247" s="198" t="s">
        <v>169</v>
      </c>
      <c r="P2247" s="201"/>
      <c r="R2247" s="202">
        <v>417365</v>
      </c>
      <c r="U2247" s="198" t="s">
        <v>1166</v>
      </c>
      <c r="AA2247" s="198" t="s">
        <v>51</v>
      </c>
      <c r="AB2247" s="202">
        <v>417365</v>
      </c>
      <c r="AC2247" s="202">
        <v>417365</v>
      </c>
    </row>
    <row r="2248" spans="1:29" outlineLevel="2" x14ac:dyDescent="0.25">
      <c r="A2248" s="201">
        <v>46066</v>
      </c>
      <c r="D2248" s="198" t="s">
        <v>54</v>
      </c>
      <c r="E2248" s="202">
        <v>2036000</v>
      </c>
      <c r="K2248" s="198" t="s">
        <v>1167</v>
      </c>
      <c r="L2248" s="198" t="s">
        <v>169</v>
      </c>
      <c r="P2248" s="201"/>
      <c r="R2248" s="202">
        <v>2036000</v>
      </c>
      <c r="U2248" s="198" t="s">
        <v>1166</v>
      </c>
      <c r="AA2248" s="198" t="s">
        <v>51</v>
      </c>
      <c r="AB2248" s="202">
        <v>2036000</v>
      </c>
      <c r="AC2248" s="202">
        <v>2036000</v>
      </c>
    </row>
    <row r="2249" spans="1:29" outlineLevel="2" x14ac:dyDescent="0.25">
      <c r="A2249" s="201">
        <v>46077</v>
      </c>
      <c r="D2249" s="198" t="s">
        <v>54</v>
      </c>
      <c r="E2249" s="202">
        <v>183600</v>
      </c>
      <c r="K2249" s="198" t="s">
        <v>1167</v>
      </c>
      <c r="L2249" s="198" t="s">
        <v>169</v>
      </c>
      <c r="P2249" s="201"/>
      <c r="R2249" s="202">
        <v>183600</v>
      </c>
      <c r="U2249" s="198" t="s">
        <v>1166</v>
      </c>
      <c r="AA2249" s="198" t="s">
        <v>51</v>
      </c>
      <c r="AB2249" s="202">
        <v>183600</v>
      </c>
      <c r="AC2249" s="202">
        <v>183600</v>
      </c>
    </row>
    <row r="2250" spans="1:29" outlineLevel="2" x14ac:dyDescent="0.25">
      <c r="A2250" s="201">
        <v>46112</v>
      </c>
      <c r="D2250" s="198" t="s">
        <v>54</v>
      </c>
      <c r="E2250" s="202">
        <v>-4357834.8</v>
      </c>
      <c r="K2250" s="198" t="s">
        <v>1167</v>
      </c>
      <c r="L2250" s="198" t="s">
        <v>169</v>
      </c>
      <c r="P2250" s="201"/>
      <c r="R2250" s="202">
        <v>-4357834.8</v>
      </c>
      <c r="U2250" s="198" t="s">
        <v>1166</v>
      </c>
      <c r="AA2250" s="198" t="s">
        <v>51</v>
      </c>
      <c r="AB2250" s="202">
        <v>-4357834.8</v>
      </c>
      <c r="AC2250" s="202">
        <v>-4357834.8</v>
      </c>
    </row>
    <row r="2251" spans="1:29" outlineLevel="2" x14ac:dyDescent="0.25">
      <c r="A2251" s="201">
        <v>46119</v>
      </c>
      <c r="D2251" s="198" t="s">
        <v>54</v>
      </c>
      <c r="E2251" s="202">
        <v>652088.94999999995</v>
      </c>
      <c r="K2251" s="198" t="s">
        <v>1167</v>
      </c>
      <c r="L2251" s="198" t="s">
        <v>169</v>
      </c>
      <c r="P2251" s="201"/>
      <c r="R2251" s="202">
        <v>652088.94999999995</v>
      </c>
      <c r="U2251" s="198" t="s">
        <v>1166</v>
      </c>
      <c r="AA2251" s="198" t="s">
        <v>51</v>
      </c>
      <c r="AB2251" s="202">
        <v>652088.94999999995</v>
      </c>
      <c r="AC2251" s="202">
        <v>652088.94999999995</v>
      </c>
    </row>
    <row r="2252" spans="1:29" outlineLevel="2" x14ac:dyDescent="0.25">
      <c r="A2252" s="201">
        <v>46123</v>
      </c>
      <c r="D2252" s="198" t="s">
        <v>54</v>
      </c>
      <c r="E2252" s="202">
        <v>3</v>
      </c>
      <c r="K2252" s="198" t="s">
        <v>1167</v>
      </c>
      <c r="L2252" s="198" t="s">
        <v>169</v>
      </c>
      <c r="P2252" s="201"/>
      <c r="R2252" s="202">
        <v>3</v>
      </c>
      <c r="U2252" s="198" t="s">
        <v>1166</v>
      </c>
      <c r="AA2252" s="198" t="s">
        <v>51</v>
      </c>
      <c r="AB2252" s="202">
        <v>3</v>
      </c>
      <c r="AC2252" s="202">
        <v>3</v>
      </c>
    </row>
    <row r="2253" spans="1:29" outlineLevel="2" x14ac:dyDescent="0.25">
      <c r="A2253" s="201">
        <v>46129</v>
      </c>
      <c r="D2253" s="198" t="s">
        <v>54</v>
      </c>
      <c r="E2253" s="202">
        <v>4</v>
      </c>
      <c r="K2253" s="198" t="s">
        <v>1167</v>
      </c>
      <c r="L2253" s="198" t="s">
        <v>169</v>
      </c>
      <c r="P2253" s="201"/>
      <c r="R2253" s="202">
        <v>4</v>
      </c>
      <c r="U2253" s="198" t="s">
        <v>1166</v>
      </c>
      <c r="AA2253" s="198" t="s">
        <v>51</v>
      </c>
      <c r="AB2253" s="202">
        <v>4</v>
      </c>
      <c r="AC2253" s="202">
        <v>4</v>
      </c>
    </row>
    <row r="2254" spans="1:29" outlineLevel="2" x14ac:dyDescent="0.25">
      <c r="A2254" s="201">
        <v>46141</v>
      </c>
      <c r="D2254" s="198" t="s">
        <v>54</v>
      </c>
      <c r="E2254" s="202">
        <v>7601000</v>
      </c>
      <c r="K2254" s="198" t="s">
        <v>1167</v>
      </c>
      <c r="L2254" s="198" t="s">
        <v>169</v>
      </c>
      <c r="P2254" s="201"/>
      <c r="R2254" s="202">
        <v>7601000</v>
      </c>
      <c r="U2254" s="198" t="s">
        <v>1166</v>
      </c>
      <c r="AA2254" s="198" t="s">
        <v>51</v>
      </c>
      <c r="AB2254" s="202">
        <v>7601000</v>
      </c>
      <c r="AC2254" s="202">
        <v>7601000</v>
      </c>
    </row>
    <row r="2255" spans="1:29" outlineLevel="2" x14ac:dyDescent="0.25">
      <c r="A2255" s="201">
        <v>46146</v>
      </c>
      <c r="D2255" s="198" t="s">
        <v>54</v>
      </c>
      <c r="E2255" s="202">
        <v>32879023.199999999</v>
      </c>
      <c r="K2255" s="198" t="s">
        <v>1167</v>
      </c>
      <c r="L2255" s="198" t="s">
        <v>169</v>
      </c>
      <c r="P2255" s="201"/>
      <c r="R2255" s="202">
        <v>32879023.199999999</v>
      </c>
      <c r="U2255" s="198" t="s">
        <v>1166</v>
      </c>
      <c r="AA2255" s="198" t="s">
        <v>51</v>
      </c>
      <c r="AB2255" s="202">
        <v>32879023.199999999</v>
      </c>
      <c r="AC2255" s="202">
        <v>32879023.199999999</v>
      </c>
    </row>
    <row r="2256" spans="1:29" outlineLevel="2" x14ac:dyDescent="0.25">
      <c r="A2256" s="201">
        <v>46146</v>
      </c>
      <c r="D2256" s="198" t="s">
        <v>54</v>
      </c>
      <c r="E2256" s="202">
        <v>45813807.5</v>
      </c>
      <c r="K2256" s="198" t="s">
        <v>1167</v>
      </c>
      <c r="L2256" s="198" t="s">
        <v>169</v>
      </c>
      <c r="P2256" s="201"/>
      <c r="R2256" s="202">
        <v>45813807.5</v>
      </c>
      <c r="U2256" s="198" t="s">
        <v>1166</v>
      </c>
      <c r="AA2256" s="198" t="s">
        <v>51</v>
      </c>
      <c r="AB2256" s="202">
        <v>45813807.5</v>
      </c>
      <c r="AC2256" s="202">
        <v>45813807.5</v>
      </c>
    </row>
    <row r="2257" spans="1:29" outlineLevel="2" x14ac:dyDescent="0.25">
      <c r="A2257" s="201">
        <v>46146</v>
      </c>
      <c r="D2257" s="198" t="s">
        <v>54</v>
      </c>
      <c r="E2257" s="202">
        <v>6053085</v>
      </c>
      <c r="K2257" s="198" t="s">
        <v>1167</v>
      </c>
      <c r="L2257" s="198" t="s">
        <v>169</v>
      </c>
      <c r="P2257" s="201"/>
      <c r="R2257" s="202">
        <v>6053085</v>
      </c>
      <c r="U2257" s="198" t="s">
        <v>1166</v>
      </c>
      <c r="AA2257" s="198" t="s">
        <v>51</v>
      </c>
      <c r="AB2257" s="202">
        <v>6053085</v>
      </c>
      <c r="AC2257" s="202">
        <v>6053085</v>
      </c>
    </row>
    <row r="2258" spans="1:29" outlineLevel="2" x14ac:dyDescent="0.25">
      <c r="A2258" s="201">
        <v>46146</v>
      </c>
      <c r="D2258" s="198" t="s">
        <v>54</v>
      </c>
      <c r="E2258" s="202">
        <v>7749173.75</v>
      </c>
      <c r="K2258" s="198" t="s">
        <v>1167</v>
      </c>
      <c r="L2258" s="198" t="s">
        <v>169</v>
      </c>
      <c r="P2258" s="201"/>
      <c r="R2258" s="202">
        <v>7749173.75</v>
      </c>
      <c r="U2258" s="198" t="s">
        <v>1166</v>
      </c>
      <c r="AA2258" s="198" t="s">
        <v>51</v>
      </c>
      <c r="AB2258" s="202">
        <v>7749173.75</v>
      </c>
      <c r="AC2258" s="202">
        <v>7749173.75</v>
      </c>
    </row>
    <row r="2259" spans="1:29" outlineLevel="2" x14ac:dyDescent="0.25">
      <c r="A2259" s="201">
        <v>46155</v>
      </c>
      <c r="D2259" s="198" t="s">
        <v>54</v>
      </c>
      <c r="E2259" s="202">
        <v>1937029.5</v>
      </c>
      <c r="K2259" s="198" t="s">
        <v>1167</v>
      </c>
      <c r="L2259" s="198" t="s">
        <v>169</v>
      </c>
      <c r="P2259" s="201"/>
      <c r="R2259" s="202">
        <v>1937029.5</v>
      </c>
      <c r="U2259" s="198" t="s">
        <v>1166</v>
      </c>
      <c r="AA2259" s="198" t="s">
        <v>51</v>
      </c>
      <c r="AB2259" s="202">
        <v>1937029.5</v>
      </c>
      <c r="AC2259" s="202">
        <v>1937029.5</v>
      </c>
    </row>
    <row r="2260" spans="1:29" outlineLevel="2" x14ac:dyDescent="0.25">
      <c r="A2260" s="201">
        <v>46160</v>
      </c>
      <c r="D2260" s="198" t="s">
        <v>54</v>
      </c>
      <c r="E2260" s="202">
        <v>11864.5</v>
      </c>
      <c r="K2260" s="198" t="s">
        <v>1167</v>
      </c>
      <c r="L2260" s="198" t="s">
        <v>169</v>
      </c>
      <c r="P2260" s="201"/>
      <c r="R2260" s="202">
        <v>11864.5</v>
      </c>
      <c r="U2260" s="198" t="s">
        <v>1166</v>
      </c>
      <c r="AA2260" s="198" t="s">
        <v>51</v>
      </c>
      <c r="AB2260" s="202">
        <v>11864.5</v>
      </c>
      <c r="AC2260" s="202">
        <v>11864.5</v>
      </c>
    </row>
    <row r="2261" spans="1:29" outlineLevel="2" x14ac:dyDescent="0.25">
      <c r="A2261" s="201">
        <v>46160</v>
      </c>
      <c r="D2261" s="198" t="s">
        <v>54</v>
      </c>
      <c r="E2261" s="202">
        <v>5000</v>
      </c>
      <c r="K2261" s="198" t="s">
        <v>1167</v>
      </c>
      <c r="L2261" s="198" t="s">
        <v>169</v>
      </c>
      <c r="P2261" s="201"/>
      <c r="R2261" s="202">
        <v>5000</v>
      </c>
      <c r="U2261" s="198" t="s">
        <v>1166</v>
      </c>
      <c r="AA2261" s="198" t="s">
        <v>51</v>
      </c>
      <c r="AB2261" s="202">
        <v>5000</v>
      </c>
      <c r="AC2261" s="202">
        <v>5000</v>
      </c>
    </row>
    <row r="2262" spans="1:29" outlineLevel="1" x14ac:dyDescent="0.25">
      <c r="A2262" s="210"/>
      <c r="B2262" s="209"/>
      <c r="C2262" s="209"/>
      <c r="D2262" s="209" t="s">
        <v>54</v>
      </c>
      <c r="E2262" s="211">
        <v>457848478.60000002</v>
      </c>
      <c r="F2262" s="209"/>
      <c r="G2262" s="209"/>
      <c r="H2262" s="209"/>
      <c r="I2262" s="209"/>
      <c r="J2262" s="209"/>
      <c r="K2262" s="209" t="s">
        <v>54</v>
      </c>
      <c r="L2262" s="209" t="s">
        <v>54</v>
      </c>
      <c r="M2262" s="209"/>
      <c r="N2262" s="209"/>
      <c r="O2262" s="209"/>
      <c r="P2262" s="210"/>
      <c r="Q2262" s="209"/>
      <c r="R2262" s="212"/>
      <c r="S2262" s="209"/>
      <c r="T2262" s="209"/>
      <c r="U2262" s="209" t="s">
        <v>54</v>
      </c>
      <c r="V2262" s="209"/>
      <c r="W2262" s="209"/>
      <c r="X2262" s="209"/>
      <c r="Y2262" s="209"/>
      <c r="Z2262" s="209"/>
      <c r="AA2262" s="209" t="s">
        <v>54</v>
      </c>
      <c r="AB2262" s="212"/>
      <c r="AC2262" s="212"/>
    </row>
    <row r="2263" spans="1:29" outlineLevel="2" x14ac:dyDescent="0.25">
      <c r="A2263" s="201">
        <v>46009</v>
      </c>
      <c r="D2263" s="198" t="s">
        <v>54</v>
      </c>
      <c r="E2263" s="202">
        <v>148243320</v>
      </c>
      <c r="K2263" s="198" t="s">
        <v>1168</v>
      </c>
      <c r="L2263" s="198" t="s">
        <v>169</v>
      </c>
      <c r="P2263" s="201"/>
      <c r="R2263" s="202">
        <v>148243320</v>
      </c>
      <c r="U2263" s="198" t="s">
        <v>204</v>
      </c>
      <c r="AA2263" s="198" t="s">
        <v>51</v>
      </c>
      <c r="AB2263" s="202">
        <v>148243320</v>
      </c>
      <c r="AC2263" s="202">
        <v>148243320</v>
      </c>
    </row>
    <row r="2264" spans="1:29" outlineLevel="2" x14ac:dyDescent="0.25">
      <c r="A2264" s="201">
        <v>46017</v>
      </c>
      <c r="D2264" s="198" t="s">
        <v>54</v>
      </c>
      <c r="E2264" s="202">
        <v>-11594420</v>
      </c>
      <c r="K2264" s="198" t="s">
        <v>1168</v>
      </c>
      <c r="L2264" s="198" t="s">
        <v>169</v>
      </c>
      <c r="P2264" s="201"/>
      <c r="R2264" s="202">
        <v>-11594420</v>
      </c>
      <c r="U2264" s="198" t="s">
        <v>204</v>
      </c>
      <c r="AA2264" s="198" t="s">
        <v>51</v>
      </c>
      <c r="AB2264" s="202">
        <v>-11594420</v>
      </c>
      <c r="AC2264" s="202">
        <v>-11594420</v>
      </c>
    </row>
    <row r="2265" spans="1:29" outlineLevel="2" x14ac:dyDescent="0.25">
      <c r="A2265" s="201">
        <v>46043</v>
      </c>
      <c r="D2265" s="198" t="s">
        <v>54</v>
      </c>
      <c r="E2265" s="202">
        <v>10000000</v>
      </c>
      <c r="K2265" s="198" t="s">
        <v>1168</v>
      </c>
      <c r="L2265" s="198" t="s">
        <v>169</v>
      </c>
      <c r="P2265" s="201"/>
      <c r="R2265" s="202">
        <v>10000000</v>
      </c>
      <c r="U2265" s="198" t="s">
        <v>204</v>
      </c>
      <c r="AA2265" s="198" t="s">
        <v>51</v>
      </c>
      <c r="AB2265" s="202">
        <v>10000000</v>
      </c>
      <c r="AC2265" s="202">
        <v>10000000</v>
      </c>
    </row>
    <row r="2266" spans="1:29" outlineLevel="2" x14ac:dyDescent="0.25">
      <c r="A2266" s="201">
        <v>46065</v>
      </c>
      <c r="D2266" s="198" t="s">
        <v>54</v>
      </c>
      <c r="E2266" s="202">
        <v>417365</v>
      </c>
      <c r="K2266" s="198" t="s">
        <v>1168</v>
      </c>
      <c r="L2266" s="198" t="s">
        <v>169</v>
      </c>
      <c r="P2266" s="201"/>
      <c r="R2266" s="202">
        <v>417365</v>
      </c>
      <c r="U2266" s="198" t="s">
        <v>204</v>
      </c>
      <c r="AA2266" s="198" t="s">
        <v>51</v>
      </c>
      <c r="AB2266" s="202">
        <v>417365</v>
      </c>
      <c r="AC2266" s="202">
        <v>417365</v>
      </c>
    </row>
    <row r="2267" spans="1:29" outlineLevel="2" x14ac:dyDescent="0.25">
      <c r="A2267" s="201">
        <v>46066</v>
      </c>
      <c r="D2267" s="198" t="s">
        <v>54</v>
      </c>
      <c r="E2267" s="202">
        <v>2036000</v>
      </c>
      <c r="K2267" s="198" t="s">
        <v>1168</v>
      </c>
      <c r="L2267" s="198" t="s">
        <v>169</v>
      </c>
      <c r="P2267" s="201"/>
      <c r="R2267" s="202">
        <v>2036000</v>
      </c>
      <c r="U2267" s="198" t="s">
        <v>204</v>
      </c>
      <c r="AA2267" s="198" t="s">
        <v>51</v>
      </c>
      <c r="AB2267" s="202">
        <v>2036000</v>
      </c>
      <c r="AC2267" s="202">
        <v>2036000</v>
      </c>
    </row>
    <row r="2268" spans="1:29" outlineLevel="2" x14ac:dyDescent="0.25">
      <c r="A2268" s="201">
        <v>46077</v>
      </c>
      <c r="D2268" s="198" t="s">
        <v>54</v>
      </c>
      <c r="E2268" s="202">
        <v>183600</v>
      </c>
      <c r="K2268" s="198" t="s">
        <v>1168</v>
      </c>
      <c r="L2268" s="198" t="s">
        <v>169</v>
      </c>
      <c r="P2268" s="201"/>
      <c r="R2268" s="202">
        <v>183600</v>
      </c>
      <c r="U2268" s="198" t="s">
        <v>204</v>
      </c>
      <c r="AA2268" s="198" t="s">
        <v>51</v>
      </c>
      <c r="AB2268" s="202">
        <v>183600</v>
      </c>
      <c r="AC2268" s="202">
        <v>183600</v>
      </c>
    </row>
    <row r="2269" spans="1:29" outlineLevel="1" x14ac:dyDescent="0.25">
      <c r="A2269" s="210"/>
      <c r="B2269" s="209"/>
      <c r="C2269" s="209"/>
      <c r="D2269" s="209" t="s">
        <v>54</v>
      </c>
      <c r="E2269" s="211">
        <v>149285865</v>
      </c>
      <c r="F2269" s="209"/>
      <c r="G2269" s="209"/>
      <c r="H2269" s="209"/>
      <c r="I2269" s="209"/>
      <c r="J2269" s="209"/>
      <c r="K2269" s="209" t="s">
        <v>54</v>
      </c>
      <c r="L2269" s="209" t="s">
        <v>54</v>
      </c>
      <c r="M2269" s="209"/>
      <c r="N2269" s="209"/>
      <c r="O2269" s="209"/>
      <c r="P2269" s="210"/>
      <c r="Q2269" s="209"/>
      <c r="R2269" s="212"/>
      <c r="S2269" s="209"/>
      <c r="T2269" s="209"/>
      <c r="U2269" s="209" t="s">
        <v>54</v>
      </c>
      <c r="V2269" s="209"/>
      <c r="W2269" s="209"/>
      <c r="X2269" s="209"/>
      <c r="Y2269" s="209"/>
      <c r="Z2269" s="209"/>
      <c r="AA2269" s="209" t="s">
        <v>54</v>
      </c>
      <c r="AB2269" s="212"/>
      <c r="AC2269" s="212"/>
    </row>
    <row r="2270" spans="1:29" outlineLevel="2" x14ac:dyDescent="0.25">
      <c r="A2270" s="201">
        <v>46009</v>
      </c>
      <c r="D2270" s="198" t="s">
        <v>54</v>
      </c>
      <c r="E2270" s="202">
        <v>55107151.5</v>
      </c>
      <c r="K2270" s="198" t="s">
        <v>1169</v>
      </c>
      <c r="L2270" s="198" t="s">
        <v>169</v>
      </c>
      <c r="P2270" s="201"/>
      <c r="R2270" s="202">
        <v>55107151.5</v>
      </c>
      <c r="U2270" s="198" t="s">
        <v>205</v>
      </c>
      <c r="AA2270" s="198" t="s">
        <v>51</v>
      </c>
      <c r="AB2270" s="202">
        <v>55107151.5</v>
      </c>
      <c r="AC2270" s="202">
        <v>55107151.5</v>
      </c>
    </row>
    <row r="2271" spans="1:29" outlineLevel="2" x14ac:dyDescent="0.25">
      <c r="A2271" s="201">
        <v>46017</v>
      </c>
      <c r="D2271" s="198" t="s">
        <v>54</v>
      </c>
      <c r="E2271" s="202">
        <v>-22954951.5</v>
      </c>
      <c r="K2271" s="198" t="s">
        <v>1169</v>
      </c>
      <c r="L2271" s="198" t="s">
        <v>169</v>
      </c>
      <c r="P2271" s="201"/>
      <c r="R2271" s="202">
        <v>-22954951.5</v>
      </c>
      <c r="U2271" s="198" t="s">
        <v>205</v>
      </c>
      <c r="AA2271" s="198" t="s">
        <v>51</v>
      </c>
      <c r="AB2271" s="202">
        <v>-22954951.5</v>
      </c>
      <c r="AC2271" s="202">
        <v>-22954951.5</v>
      </c>
    </row>
    <row r="2272" spans="1:29" outlineLevel="2" x14ac:dyDescent="0.25">
      <c r="A2272" s="201">
        <v>46043</v>
      </c>
      <c r="D2272" s="198" t="s">
        <v>54</v>
      </c>
      <c r="E2272" s="202">
        <v>100000</v>
      </c>
      <c r="K2272" s="198" t="s">
        <v>1169</v>
      </c>
      <c r="L2272" s="198" t="s">
        <v>169</v>
      </c>
      <c r="P2272" s="201"/>
      <c r="R2272" s="202">
        <v>100000</v>
      </c>
      <c r="U2272" s="198" t="s">
        <v>205</v>
      </c>
      <c r="AA2272" s="198" t="s">
        <v>51</v>
      </c>
      <c r="AB2272" s="202">
        <v>100000</v>
      </c>
      <c r="AC2272" s="202">
        <v>100000</v>
      </c>
    </row>
    <row r="2273" spans="1:29" outlineLevel="2" x14ac:dyDescent="0.25">
      <c r="A2273" s="201">
        <v>46112</v>
      </c>
      <c r="D2273" s="198" t="s">
        <v>54</v>
      </c>
      <c r="E2273" s="202">
        <v>-8793</v>
      </c>
      <c r="K2273" s="198" t="s">
        <v>1169</v>
      </c>
      <c r="L2273" s="198" t="s">
        <v>169</v>
      </c>
      <c r="P2273" s="201"/>
      <c r="R2273" s="202">
        <v>-8793</v>
      </c>
      <c r="U2273" s="198" t="s">
        <v>205</v>
      </c>
      <c r="AA2273" s="198" t="s">
        <v>51</v>
      </c>
      <c r="AB2273" s="202">
        <v>-8793</v>
      </c>
      <c r="AC2273" s="202">
        <v>-8793</v>
      </c>
    </row>
    <row r="2274" spans="1:29" outlineLevel="2" x14ac:dyDescent="0.25">
      <c r="A2274" s="201">
        <v>46123</v>
      </c>
      <c r="D2274" s="198" t="s">
        <v>54</v>
      </c>
      <c r="E2274" s="202">
        <v>3</v>
      </c>
      <c r="K2274" s="198" t="s">
        <v>1169</v>
      </c>
      <c r="L2274" s="198" t="s">
        <v>169</v>
      </c>
      <c r="P2274" s="201"/>
      <c r="R2274" s="202">
        <v>3</v>
      </c>
      <c r="U2274" s="198" t="s">
        <v>205</v>
      </c>
      <c r="AA2274" s="198" t="s">
        <v>51</v>
      </c>
      <c r="AB2274" s="202">
        <v>3</v>
      </c>
      <c r="AC2274" s="202">
        <v>3</v>
      </c>
    </row>
    <row r="2275" spans="1:29" outlineLevel="2" x14ac:dyDescent="0.25">
      <c r="A2275" s="201">
        <v>46129</v>
      </c>
      <c r="D2275" s="198" t="s">
        <v>54</v>
      </c>
      <c r="E2275" s="202">
        <v>4</v>
      </c>
      <c r="K2275" s="198" t="s">
        <v>1169</v>
      </c>
      <c r="L2275" s="198" t="s">
        <v>169</v>
      </c>
      <c r="P2275" s="201"/>
      <c r="R2275" s="202">
        <v>4</v>
      </c>
      <c r="U2275" s="198" t="s">
        <v>205</v>
      </c>
      <c r="AA2275" s="198" t="s">
        <v>51</v>
      </c>
      <c r="AB2275" s="202">
        <v>4</v>
      </c>
      <c r="AC2275" s="202">
        <v>4</v>
      </c>
    </row>
    <row r="2276" spans="1:29" outlineLevel="2" x14ac:dyDescent="0.25">
      <c r="A2276" s="201">
        <v>46146</v>
      </c>
      <c r="D2276" s="198" t="s">
        <v>54</v>
      </c>
      <c r="E2276" s="202">
        <v>32879023.199999999</v>
      </c>
      <c r="K2276" s="198" t="s">
        <v>1169</v>
      </c>
      <c r="L2276" s="198" t="s">
        <v>169</v>
      </c>
      <c r="P2276" s="201"/>
      <c r="R2276" s="202">
        <v>32879023.199999999</v>
      </c>
      <c r="U2276" s="198" t="s">
        <v>205</v>
      </c>
      <c r="AA2276" s="198" t="s">
        <v>51</v>
      </c>
      <c r="AB2276" s="202">
        <v>32879023.199999999</v>
      </c>
      <c r="AC2276" s="202">
        <v>32879023.199999999</v>
      </c>
    </row>
    <row r="2277" spans="1:29" outlineLevel="1" x14ac:dyDescent="0.25">
      <c r="A2277" s="210"/>
      <c r="B2277" s="209"/>
      <c r="C2277" s="209"/>
      <c r="D2277" s="209" t="s">
        <v>54</v>
      </c>
      <c r="E2277" s="211">
        <v>65122437.200000003</v>
      </c>
      <c r="F2277" s="209"/>
      <c r="G2277" s="209"/>
      <c r="H2277" s="209"/>
      <c r="I2277" s="209"/>
      <c r="J2277" s="209"/>
      <c r="K2277" s="209" t="s">
        <v>54</v>
      </c>
      <c r="L2277" s="209" t="s">
        <v>54</v>
      </c>
      <c r="M2277" s="209"/>
      <c r="N2277" s="209"/>
      <c r="O2277" s="209"/>
      <c r="P2277" s="210"/>
      <c r="Q2277" s="209"/>
      <c r="R2277" s="212"/>
      <c r="S2277" s="209"/>
      <c r="T2277" s="209"/>
      <c r="U2277" s="209" t="s">
        <v>54</v>
      </c>
      <c r="V2277" s="209"/>
      <c r="W2277" s="209"/>
      <c r="X2277" s="209"/>
      <c r="Y2277" s="209"/>
      <c r="Z2277" s="209"/>
      <c r="AA2277" s="209" t="s">
        <v>54</v>
      </c>
      <c r="AB2277" s="212"/>
      <c r="AC2277" s="212"/>
    </row>
    <row r="2278" spans="1:29" outlineLevel="2" x14ac:dyDescent="0.25">
      <c r="A2278" s="201">
        <v>46009</v>
      </c>
      <c r="D2278" s="198" t="s">
        <v>54</v>
      </c>
      <c r="E2278" s="202">
        <v>83195919</v>
      </c>
      <c r="K2278" s="198" t="s">
        <v>1171</v>
      </c>
      <c r="L2278" s="198" t="s">
        <v>169</v>
      </c>
      <c r="P2278" s="201"/>
      <c r="R2278" s="202">
        <v>83195919</v>
      </c>
      <c r="U2278" s="198" t="s">
        <v>1170</v>
      </c>
      <c r="AA2278" s="198" t="s">
        <v>51</v>
      </c>
      <c r="AB2278" s="202">
        <v>83195919</v>
      </c>
      <c r="AC2278" s="202">
        <v>83195919</v>
      </c>
    </row>
    <row r="2279" spans="1:29" outlineLevel="2" x14ac:dyDescent="0.25">
      <c r="A2279" s="201">
        <v>46016</v>
      </c>
      <c r="D2279" s="198" t="s">
        <v>54</v>
      </c>
      <c r="E2279" s="202">
        <v>10744414</v>
      </c>
      <c r="K2279" s="198" t="s">
        <v>1171</v>
      </c>
      <c r="L2279" s="198" t="s">
        <v>169</v>
      </c>
      <c r="P2279" s="201"/>
      <c r="R2279" s="202">
        <v>10744414</v>
      </c>
      <c r="U2279" s="198" t="s">
        <v>1170</v>
      </c>
      <c r="AA2279" s="198" t="s">
        <v>51</v>
      </c>
      <c r="AB2279" s="202">
        <v>10744414</v>
      </c>
      <c r="AC2279" s="202">
        <v>10744414</v>
      </c>
    </row>
    <row r="2280" spans="1:29" outlineLevel="2" x14ac:dyDescent="0.25">
      <c r="A2280" s="201">
        <v>46016</v>
      </c>
      <c r="D2280" s="198" t="s">
        <v>54</v>
      </c>
      <c r="E2280" s="202">
        <v>97410450</v>
      </c>
      <c r="K2280" s="198" t="s">
        <v>1171</v>
      </c>
      <c r="L2280" s="198" t="s">
        <v>169</v>
      </c>
      <c r="P2280" s="201"/>
      <c r="R2280" s="202">
        <v>97410450</v>
      </c>
      <c r="U2280" s="198" t="s">
        <v>1170</v>
      </c>
      <c r="AA2280" s="198" t="s">
        <v>51</v>
      </c>
      <c r="AB2280" s="202">
        <v>97410450</v>
      </c>
      <c r="AC2280" s="202">
        <v>97410450</v>
      </c>
    </row>
    <row r="2281" spans="1:29" outlineLevel="2" x14ac:dyDescent="0.25">
      <c r="A2281" s="201">
        <v>46017</v>
      </c>
      <c r="D2281" s="198" t="s">
        <v>54</v>
      </c>
      <c r="E2281" s="202">
        <v>-46954383</v>
      </c>
      <c r="K2281" s="198" t="s">
        <v>1171</v>
      </c>
      <c r="L2281" s="198" t="s">
        <v>169</v>
      </c>
      <c r="P2281" s="201"/>
      <c r="R2281" s="202">
        <v>-46954383</v>
      </c>
      <c r="U2281" s="198" t="s">
        <v>1170</v>
      </c>
      <c r="AA2281" s="198" t="s">
        <v>51</v>
      </c>
      <c r="AB2281" s="202">
        <v>-46954383</v>
      </c>
      <c r="AC2281" s="202">
        <v>-46954383</v>
      </c>
    </row>
    <row r="2282" spans="1:29" outlineLevel="2" x14ac:dyDescent="0.25">
      <c r="A2282" s="201">
        <v>46043</v>
      </c>
      <c r="D2282" s="198" t="s">
        <v>54</v>
      </c>
      <c r="E2282" s="202">
        <v>600000</v>
      </c>
      <c r="K2282" s="198" t="s">
        <v>1171</v>
      </c>
      <c r="L2282" s="198" t="s">
        <v>169</v>
      </c>
      <c r="P2282" s="201"/>
      <c r="R2282" s="202">
        <v>600000</v>
      </c>
      <c r="U2282" s="198" t="s">
        <v>1170</v>
      </c>
      <c r="AA2282" s="198" t="s">
        <v>51</v>
      </c>
      <c r="AB2282" s="202">
        <v>600000</v>
      </c>
      <c r="AC2282" s="202">
        <v>600000</v>
      </c>
    </row>
    <row r="2283" spans="1:29" outlineLevel="2" x14ac:dyDescent="0.25">
      <c r="A2283" s="201">
        <v>46112</v>
      </c>
      <c r="D2283" s="198" t="s">
        <v>54</v>
      </c>
      <c r="E2283" s="202">
        <v>-1326778.3999999999</v>
      </c>
      <c r="K2283" s="198" t="s">
        <v>1171</v>
      </c>
      <c r="L2283" s="198" t="s">
        <v>169</v>
      </c>
      <c r="P2283" s="201"/>
      <c r="R2283" s="202">
        <v>-1326778.3999999999</v>
      </c>
      <c r="U2283" s="198" t="s">
        <v>1170</v>
      </c>
      <c r="AA2283" s="198" t="s">
        <v>51</v>
      </c>
      <c r="AB2283" s="202">
        <v>-1326778.3999999999</v>
      </c>
      <c r="AC2283" s="202">
        <v>-1326778.3999999999</v>
      </c>
    </row>
    <row r="2284" spans="1:29" outlineLevel="2" x14ac:dyDescent="0.25">
      <c r="A2284" s="201">
        <v>46119</v>
      </c>
      <c r="D2284" s="198" t="s">
        <v>54</v>
      </c>
      <c r="E2284" s="202">
        <v>572300.30000000005</v>
      </c>
      <c r="K2284" s="198" t="s">
        <v>1171</v>
      </c>
      <c r="L2284" s="198" t="s">
        <v>169</v>
      </c>
      <c r="P2284" s="201"/>
      <c r="R2284" s="202">
        <v>572300.30000000005</v>
      </c>
      <c r="U2284" s="198" t="s">
        <v>1170</v>
      </c>
      <c r="AA2284" s="198" t="s">
        <v>51</v>
      </c>
      <c r="AB2284" s="202">
        <v>572300.30000000005</v>
      </c>
      <c r="AC2284" s="202">
        <v>572300.30000000005</v>
      </c>
    </row>
    <row r="2285" spans="1:29" outlineLevel="2" x14ac:dyDescent="0.25">
      <c r="A2285" s="201">
        <v>46146</v>
      </c>
      <c r="D2285" s="198" t="s">
        <v>54</v>
      </c>
      <c r="E2285" s="202">
        <v>45813807.5</v>
      </c>
      <c r="K2285" s="198" t="s">
        <v>1171</v>
      </c>
      <c r="L2285" s="198" t="s">
        <v>169</v>
      </c>
      <c r="P2285" s="201"/>
      <c r="R2285" s="202">
        <v>45813807.5</v>
      </c>
      <c r="U2285" s="198" t="s">
        <v>1170</v>
      </c>
      <c r="AA2285" s="198" t="s">
        <v>51</v>
      </c>
      <c r="AB2285" s="202">
        <v>45813807.5</v>
      </c>
      <c r="AC2285" s="202">
        <v>45813807.5</v>
      </c>
    </row>
    <row r="2286" spans="1:29" outlineLevel="1" x14ac:dyDescent="0.25">
      <c r="A2286" s="210"/>
      <c r="B2286" s="209"/>
      <c r="C2286" s="209"/>
      <c r="D2286" s="209" t="s">
        <v>54</v>
      </c>
      <c r="E2286" s="211">
        <v>190055729.40000001</v>
      </c>
      <c r="F2286" s="209"/>
      <c r="G2286" s="209"/>
      <c r="H2286" s="209"/>
      <c r="I2286" s="209"/>
      <c r="J2286" s="209"/>
      <c r="K2286" s="209" t="s">
        <v>54</v>
      </c>
      <c r="L2286" s="209" t="s">
        <v>54</v>
      </c>
      <c r="M2286" s="209"/>
      <c r="N2286" s="209"/>
      <c r="O2286" s="209"/>
      <c r="P2286" s="210"/>
      <c r="Q2286" s="209"/>
      <c r="R2286" s="212"/>
      <c r="S2286" s="209"/>
      <c r="T2286" s="209"/>
      <c r="U2286" s="209" t="s">
        <v>54</v>
      </c>
      <c r="V2286" s="209"/>
      <c r="W2286" s="209"/>
      <c r="X2286" s="209"/>
      <c r="Y2286" s="209"/>
      <c r="Z2286" s="209"/>
      <c r="AA2286" s="209" t="s">
        <v>54</v>
      </c>
      <c r="AB2286" s="212"/>
      <c r="AC2286" s="212"/>
    </row>
    <row r="2287" spans="1:29" outlineLevel="2" x14ac:dyDescent="0.25">
      <c r="A2287" s="201">
        <v>46009</v>
      </c>
      <c r="D2287" s="198" t="s">
        <v>54</v>
      </c>
      <c r="E2287" s="202">
        <v>46820986</v>
      </c>
      <c r="K2287" s="198" t="s">
        <v>1172</v>
      </c>
      <c r="L2287" s="198" t="s">
        <v>169</v>
      </c>
      <c r="P2287" s="201"/>
      <c r="R2287" s="202">
        <v>46820986</v>
      </c>
      <c r="U2287" s="198" t="s">
        <v>206</v>
      </c>
      <c r="AA2287" s="198" t="s">
        <v>51</v>
      </c>
      <c r="AB2287" s="202">
        <v>46820986</v>
      </c>
      <c r="AC2287" s="202">
        <v>46820986</v>
      </c>
    </row>
    <row r="2288" spans="1:29" outlineLevel="2" x14ac:dyDescent="0.25">
      <c r="A2288" s="201">
        <v>46016</v>
      </c>
      <c r="D2288" s="198" t="s">
        <v>54</v>
      </c>
      <c r="E2288" s="202">
        <v>10744414</v>
      </c>
      <c r="K2288" s="198" t="s">
        <v>1172</v>
      </c>
      <c r="L2288" s="198" t="s">
        <v>169</v>
      </c>
      <c r="P2288" s="201"/>
      <c r="R2288" s="202">
        <v>10744414</v>
      </c>
      <c r="U2288" s="198" t="s">
        <v>206</v>
      </c>
      <c r="AA2288" s="198" t="s">
        <v>51</v>
      </c>
      <c r="AB2288" s="202">
        <v>10744414</v>
      </c>
      <c r="AC2288" s="202">
        <v>10744414</v>
      </c>
    </row>
    <row r="2289" spans="1:29" outlineLevel="2" x14ac:dyDescent="0.25">
      <c r="A2289" s="201">
        <v>46016</v>
      </c>
      <c r="D2289" s="198" t="s">
        <v>54</v>
      </c>
      <c r="E2289" s="202">
        <v>97410450</v>
      </c>
      <c r="K2289" s="198" t="s">
        <v>1172</v>
      </c>
      <c r="L2289" s="198" t="s">
        <v>169</v>
      </c>
      <c r="P2289" s="201"/>
      <c r="R2289" s="202">
        <v>97410450</v>
      </c>
      <c r="U2289" s="198" t="s">
        <v>206</v>
      </c>
      <c r="AA2289" s="198" t="s">
        <v>51</v>
      </c>
      <c r="AB2289" s="202">
        <v>97410450</v>
      </c>
      <c r="AC2289" s="202">
        <v>97410450</v>
      </c>
    </row>
    <row r="2290" spans="1:29" outlineLevel="2" x14ac:dyDescent="0.25">
      <c r="A2290" s="201">
        <v>46017</v>
      </c>
      <c r="D2290" s="198" t="s">
        <v>54</v>
      </c>
      <c r="E2290" s="202">
        <v>-46954450</v>
      </c>
      <c r="K2290" s="198" t="s">
        <v>1172</v>
      </c>
      <c r="L2290" s="198" t="s">
        <v>169</v>
      </c>
      <c r="P2290" s="201"/>
      <c r="R2290" s="202">
        <v>-46954450</v>
      </c>
      <c r="U2290" s="198" t="s">
        <v>206</v>
      </c>
      <c r="AA2290" s="198" t="s">
        <v>51</v>
      </c>
      <c r="AB2290" s="202">
        <v>-46954450</v>
      </c>
      <c r="AC2290" s="202">
        <v>-46954450</v>
      </c>
    </row>
    <row r="2291" spans="1:29" outlineLevel="2" x14ac:dyDescent="0.25">
      <c r="A2291" s="201">
        <v>46043</v>
      </c>
      <c r="D2291" s="198" t="s">
        <v>54</v>
      </c>
      <c r="E2291" s="202">
        <v>600000</v>
      </c>
      <c r="K2291" s="198" t="s">
        <v>1172</v>
      </c>
      <c r="L2291" s="198" t="s">
        <v>169</v>
      </c>
      <c r="P2291" s="201"/>
      <c r="R2291" s="202">
        <v>600000</v>
      </c>
      <c r="U2291" s="198" t="s">
        <v>206</v>
      </c>
      <c r="AA2291" s="198" t="s">
        <v>51</v>
      </c>
      <c r="AB2291" s="202">
        <v>600000</v>
      </c>
      <c r="AC2291" s="202">
        <v>600000</v>
      </c>
    </row>
    <row r="2292" spans="1:29" outlineLevel="2" x14ac:dyDescent="0.25">
      <c r="A2292" s="201">
        <v>46112</v>
      </c>
      <c r="D2292" s="198" t="s">
        <v>54</v>
      </c>
      <c r="E2292" s="202">
        <v>-79135.100000000006</v>
      </c>
      <c r="K2292" s="198" t="s">
        <v>1172</v>
      </c>
      <c r="L2292" s="198" t="s">
        <v>169</v>
      </c>
      <c r="P2292" s="201"/>
      <c r="R2292" s="202">
        <v>-79135.100000000006</v>
      </c>
      <c r="U2292" s="198" t="s">
        <v>206</v>
      </c>
      <c r="AA2292" s="198" t="s">
        <v>51</v>
      </c>
      <c r="AB2292" s="202">
        <v>-79135.100000000006</v>
      </c>
      <c r="AC2292" s="202">
        <v>-79135.100000000006</v>
      </c>
    </row>
    <row r="2293" spans="1:29" outlineLevel="2" x14ac:dyDescent="0.25">
      <c r="A2293" s="201">
        <v>46146</v>
      </c>
      <c r="D2293" s="198" t="s">
        <v>54</v>
      </c>
      <c r="E2293" s="202">
        <v>45813807.5</v>
      </c>
      <c r="K2293" s="198" t="s">
        <v>1172</v>
      </c>
      <c r="L2293" s="198" t="s">
        <v>169</v>
      </c>
      <c r="P2293" s="201"/>
      <c r="R2293" s="202">
        <v>45813807.5</v>
      </c>
      <c r="U2293" s="198" t="s">
        <v>206</v>
      </c>
      <c r="AA2293" s="198" t="s">
        <v>51</v>
      </c>
      <c r="AB2293" s="202">
        <v>45813807.5</v>
      </c>
      <c r="AC2293" s="202">
        <v>45813807.5</v>
      </c>
    </row>
    <row r="2294" spans="1:29" outlineLevel="1" x14ac:dyDescent="0.25">
      <c r="A2294" s="210"/>
      <c r="B2294" s="209"/>
      <c r="C2294" s="209"/>
      <c r="D2294" s="209" t="s">
        <v>54</v>
      </c>
      <c r="E2294" s="211">
        <v>154356072.40000001</v>
      </c>
      <c r="F2294" s="209"/>
      <c r="G2294" s="209"/>
      <c r="H2294" s="209"/>
      <c r="I2294" s="209"/>
      <c r="J2294" s="209"/>
      <c r="K2294" s="209" t="s">
        <v>54</v>
      </c>
      <c r="L2294" s="209" t="s">
        <v>54</v>
      </c>
      <c r="M2294" s="209"/>
      <c r="N2294" s="209"/>
      <c r="O2294" s="209"/>
      <c r="P2294" s="210"/>
      <c r="Q2294" s="209"/>
      <c r="R2294" s="212"/>
      <c r="S2294" s="209"/>
      <c r="T2294" s="209"/>
      <c r="U2294" s="209" t="s">
        <v>54</v>
      </c>
      <c r="V2294" s="209"/>
      <c r="W2294" s="209"/>
      <c r="X2294" s="209"/>
      <c r="Y2294" s="209"/>
      <c r="Z2294" s="209"/>
      <c r="AA2294" s="209" t="s">
        <v>54</v>
      </c>
      <c r="AB2294" s="212"/>
      <c r="AC2294" s="212"/>
    </row>
    <row r="2295" spans="1:29" outlineLevel="2" x14ac:dyDescent="0.25">
      <c r="A2295" s="201">
        <v>46009</v>
      </c>
      <c r="D2295" s="198" t="s">
        <v>54</v>
      </c>
      <c r="E2295" s="202">
        <v>36374933</v>
      </c>
      <c r="K2295" s="198" t="s">
        <v>1173</v>
      </c>
      <c r="L2295" s="198" t="s">
        <v>169</v>
      </c>
      <c r="P2295" s="201"/>
      <c r="R2295" s="202">
        <v>36374933</v>
      </c>
      <c r="U2295" s="198" t="s">
        <v>179</v>
      </c>
      <c r="AA2295" s="198" t="s">
        <v>51</v>
      </c>
      <c r="AB2295" s="202">
        <v>36374933</v>
      </c>
      <c r="AC2295" s="202">
        <v>36374933</v>
      </c>
    </row>
    <row r="2296" spans="1:29" outlineLevel="2" x14ac:dyDescent="0.25">
      <c r="A2296" s="201">
        <v>46017</v>
      </c>
      <c r="D2296" s="198" t="s">
        <v>54</v>
      </c>
      <c r="E2296" s="202">
        <v>67</v>
      </c>
      <c r="K2296" s="198" t="s">
        <v>1173</v>
      </c>
      <c r="L2296" s="198" t="s">
        <v>169</v>
      </c>
      <c r="P2296" s="201"/>
      <c r="R2296" s="202">
        <v>67</v>
      </c>
      <c r="U2296" s="198" t="s">
        <v>179</v>
      </c>
      <c r="AA2296" s="198" t="s">
        <v>51</v>
      </c>
      <c r="AB2296" s="202">
        <v>67</v>
      </c>
      <c r="AC2296" s="202">
        <v>67</v>
      </c>
    </row>
    <row r="2297" spans="1:29" outlineLevel="2" x14ac:dyDescent="0.25">
      <c r="A2297" s="201">
        <v>46112</v>
      </c>
      <c r="D2297" s="198" t="s">
        <v>54</v>
      </c>
      <c r="E2297" s="202">
        <v>-1247643.3</v>
      </c>
      <c r="K2297" s="198" t="s">
        <v>1173</v>
      </c>
      <c r="L2297" s="198" t="s">
        <v>169</v>
      </c>
      <c r="P2297" s="201"/>
      <c r="R2297" s="202">
        <v>-1247643.3</v>
      </c>
      <c r="U2297" s="198" t="s">
        <v>179</v>
      </c>
      <c r="AA2297" s="198" t="s">
        <v>51</v>
      </c>
      <c r="AB2297" s="202">
        <v>-1247643.3</v>
      </c>
      <c r="AC2297" s="202">
        <v>-1247643.3</v>
      </c>
    </row>
    <row r="2298" spans="1:29" outlineLevel="2" x14ac:dyDescent="0.25">
      <c r="A2298" s="201">
        <v>46119</v>
      </c>
      <c r="D2298" s="198" t="s">
        <v>54</v>
      </c>
      <c r="E2298" s="202">
        <v>572300.30000000005</v>
      </c>
      <c r="K2298" s="198" t="s">
        <v>1173</v>
      </c>
      <c r="L2298" s="198" t="s">
        <v>169</v>
      </c>
      <c r="P2298" s="201"/>
      <c r="R2298" s="202">
        <v>572300.30000000005</v>
      </c>
      <c r="U2298" s="198" t="s">
        <v>179</v>
      </c>
      <c r="AA2298" s="198" t="s">
        <v>51</v>
      </c>
      <c r="AB2298" s="202">
        <v>572300.30000000005</v>
      </c>
      <c r="AC2298" s="202">
        <v>572300.30000000005</v>
      </c>
    </row>
    <row r="2299" spans="1:29" outlineLevel="1" x14ac:dyDescent="0.25">
      <c r="A2299" s="210"/>
      <c r="B2299" s="209"/>
      <c r="C2299" s="209"/>
      <c r="D2299" s="209" t="s">
        <v>54</v>
      </c>
      <c r="E2299" s="211">
        <v>35699657</v>
      </c>
      <c r="F2299" s="209"/>
      <c r="G2299" s="209"/>
      <c r="H2299" s="209"/>
      <c r="I2299" s="209"/>
      <c r="J2299" s="209"/>
      <c r="K2299" s="209" t="s">
        <v>54</v>
      </c>
      <c r="L2299" s="209" t="s">
        <v>54</v>
      </c>
      <c r="M2299" s="209"/>
      <c r="N2299" s="209"/>
      <c r="O2299" s="209"/>
      <c r="P2299" s="210"/>
      <c r="Q2299" s="209"/>
      <c r="R2299" s="212"/>
      <c r="S2299" s="209"/>
      <c r="T2299" s="209"/>
      <c r="U2299" s="209" t="s">
        <v>54</v>
      </c>
      <c r="V2299" s="209"/>
      <c r="W2299" s="209"/>
      <c r="X2299" s="209"/>
      <c r="Y2299" s="209"/>
      <c r="Z2299" s="209"/>
      <c r="AA2299" s="209" t="s">
        <v>54</v>
      </c>
      <c r="AB2299" s="212"/>
      <c r="AC2299" s="212"/>
    </row>
    <row r="2300" spans="1:29" outlineLevel="2" x14ac:dyDescent="0.25">
      <c r="A2300" s="201">
        <v>46009</v>
      </c>
      <c r="D2300" s="198" t="s">
        <v>54</v>
      </c>
      <c r="E2300" s="202">
        <v>6185228</v>
      </c>
      <c r="K2300" s="198" t="s">
        <v>1174</v>
      </c>
      <c r="L2300" s="198" t="s">
        <v>169</v>
      </c>
      <c r="P2300" s="201"/>
      <c r="R2300" s="202">
        <v>6185228</v>
      </c>
      <c r="U2300" s="198" t="s">
        <v>729</v>
      </c>
      <c r="AA2300" s="198" t="s">
        <v>51</v>
      </c>
      <c r="AB2300" s="202">
        <v>6185228</v>
      </c>
      <c r="AC2300" s="202">
        <v>6185228</v>
      </c>
    </row>
    <row r="2301" spans="1:29" outlineLevel="2" x14ac:dyDescent="0.25">
      <c r="A2301" s="201">
        <v>46016</v>
      </c>
      <c r="D2301" s="198" t="s">
        <v>54</v>
      </c>
      <c r="E2301" s="202">
        <v>1020022</v>
      </c>
      <c r="K2301" s="198" t="s">
        <v>1174</v>
      </c>
      <c r="L2301" s="198" t="s">
        <v>169</v>
      </c>
      <c r="P2301" s="201"/>
      <c r="R2301" s="202">
        <v>1020022</v>
      </c>
      <c r="U2301" s="198" t="s">
        <v>729</v>
      </c>
      <c r="AA2301" s="198" t="s">
        <v>51</v>
      </c>
      <c r="AB2301" s="202">
        <v>1020022</v>
      </c>
      <c r="AC2301" s="202">
        <v>1020022</v>
      </c>
    </row>
    <row r="2302" spans="1:29" outlineLevel="2" x14ac:dyDescent="0.25">
      <c r="A2302" s="201">
        <v>46017</v>
      </c>
      <c r="D2302" s="198" t="s">
        <v>54</v>
      </c>
      <c r="E2302" s="202">
        <v>50</v>
      </c>
      <c r="K2302" s="198" t="s">
        <v>1174</v>
      </c>
      <c r="L2302" s="198" t="s">
        <v>169</v>
      </c>
      <c r="P2302" s="201"/>
      <c r="R2302" s="202">
        <v>50</v>
      </c>
      <c r="U2302" s="198" t="s">
        <v>729</v>
      </c>
      <c r="AA2302" s="198" t="s">
        <v>51</v>
      </c>
      <c r="AB2302" s="202">
        <v>50</v>
      </c>
      <c r="AC2302" s="202">
        <v>50</v>
      </c>
    </row>
    <row r="2303" spans="1:29" outlineLevel="2" x14ac:dyDescent="0.25">
      <c r="A2303" s="201">
        <v>46146</v>
      </c>
      <c r="D2303" s="198" t="s">
        <v>54</v>
      </c>
      <c r="E2303" s="202">
        <v>6053085</v>
      </c>
      <c r="K2303" s="198" t="s">
        <v>1174</v>
      </c>
      <c r="L2303" s="198" t="s">
        <v>169</v>
      </c>
      <c r="P2303" s="201"/>
      <c r="R2303" s="202">
        <v>6053085</v>
      </c>
      <c r="U2303" s="198" t="s">
        <v>729</v>
      </c>
      <c r="AA2303" s="198" t="s">
        <v>51</v>
      </c>
      <c r="AB2303" s="202">
        <v>6053085</v>
      </c>
      <c r="AC2303" s="202">
        <v>6053085</v>
      </c>
    </row>
    <row r="2304" spans="1:29" outlineLevel="1" x14ac:dyDescent="0.25">
      <c r="A2304" s="210"/>
      <c r="B2304" s="209"/>
      <c r="C2304" s="209"/>
      <c r="D2304" s="209" t="s">
        <v>54</v>
      </c>
      <c r="E2304" s="211">
        <v>13258385</v>
      </c>
      <c r="F2304" s="209"/>
      <c r="G2304" s="209"/>
      <c r="H2304" s="209"/>
      <c r="I2304" s="209"/>
      <c r="J2304" s="209"/>
      <c r="K2304" s="209" t="s">
        <v>54</v>
      </c>
      <c r="L2304" s="209" t="s">
        <v>54</v>
      </c>
      <c r="M2304" s="209"/>
      <c r="N2304" s="209"/>
      <c r="O2304" s="209"/>
      <c r="P2304" s="210"/>
      <c r="Q2304" s="209"/>
      <c r="R2304" s="212"/>
      <c r="S2304" s="209"/>
      <c r="T2304" s="209"/>
      <c r="U2304" s="209" t="s">
        <v>54</v>
      </c>
      <c r="V2304" s="209"/>
      <c r="W2304" s="209"/>
      <c r="X2304" s="209"/>
      <c r="Y2304" s="209"/>
      <c r="Z2304" s="209"/>
      <c r="AA2304" s="209" t="s">
        <v>54</v>
      </c>
      <c r="AB2304" s="212"/>
      <c r="AC2304" s="212"/>
    </row>
    <row r="2305" spans="1:29" outlineLevel="2" x14ac:dyDescent="0.25">
      <c r="A2305" s="201">
        <v>46009</v>
      </c>
      <c r="D2305" s="198" t="s">
        <v>54</v>
      </c>
      <c r="E2305" s="202">
        <v>9599123</v>
      </c>
      <c r="K2305" s="198" t="s">
        <v>1176</v>
      </c>
      <c r="L2305" s="198" t="s">
        <v>169</v>
      </c>
      <c r="P2305" s="201"/>
      <c r="R2305" s="202">
        <v>9599123</v>
      </c>
      <c r="U2305" s="198" t="s">
        <v>1175</v>
      </c>
      <c r="AA2305" s="198" t="s">
        <v>51</v>
      </c>
      <c r="AB2305" s="202">
        <v>9599123</v>
      </c>
      <c r="AC2305" s="202">
        <v>9599123</v>
      </c>
    </row>
    <row r="2306" spans="1:29" outlineLevel="2" x14ac:dyDescent="0.25">
      <c r="A2306" s="201">
        <v>46016</v>
      </c>
      <c r="D2306" s="198" t="s">
        <v>54</v>
      </c>
      <c r="E2306" s="202">
        <v>411772.5</v>
      </c>
      <c r="K2306" s="198" t="s">
        <v>1176</v>
      </c>
      <c r="L2306" s="198" t="s">
        <v>169</v>
      </c>
      <c r="P2306" s="201"/>
      <c r="R2306" s="202">
        <v>411772.5</v>
      </c>
      <c r="U2306" s="198" t="s">
        <v>1175</v>
      </c>
      <c r="AA2306" s="198" t="s">
        <v>51</v>
      </c>
      <c r="AB2306" s="202">
        <v>411772.5</v>
      </c>
      <c r="AC2306" s="202">
        <v>411772.5</v>
      </c>
    </row>
    <row r="2307" spans="1:29" outlineLevel="2" x14ac:dyDescent="0.25">
      <c r="A2307" s="201">
        <v>46017</v>
      </c>
      <c r="D2307" s="198" t="s">
        <v>54</v>
      </c>
      <c r="E2307" s="202">
        <v>1920404.5</v>
      </c>
      <c r="K2307" s="198" t="s">
        <v>1176</v>
      </c>
      <c r="L2307" s="198" t="s">
        <v>169</v>
      </c>
      <c r="P2307" s="201"/>
      <c r="R2307" s="202">
        <v>1920404.5</v>
      </c>
      <c r="U2307" s="198" t="s">
        <v>1175</v>
      </c>
      <c r="AA2307" s="198" t="s">
        <v>51</v>
      </c>
      <c r="AB2307" s="202">
        <v>1920404.5</v>
      </c>
      <c r="AC2307" s="202">
        <v>1920404.5</v>
      </c>
    </row>
    <row r="2308" spans="1:29" outlineLevel="2" x14ac:dyDescent="0.25">
      <c r="A2308" s="201">
        <v>46112</v>
      </c>
      <c r="D2308" s="198" t="s">
        <v>54</v>
      </c>
      <c r="E2308" s="202">
        <v>-684708.65</v>
      </c>
      <c r="K2308" s="198" t="s">
        <v>1176</v>
      </c>
      <c r="L2308" s="198" t="s">
        <v>169</v>
      </c>
      <c r="P2308" s="201"/>
      <c r="R2308" s="202">
        <v>-684708.65</v>
      </c>
      <c r="U2308" s="198" t="s">
        <v>1175</v>
      </c>
      <c r="AA2308" s="198" t="s">
        <v>51</v>
      </c>
      <c r="AB2308" s="202">
        <v>-684708.65</v>
      </c>
      <c r="AC2308" s="202">
        <v>-684708.65</v>
      </c>
    </row>
    <row r="2309" spans="1:29" outlineLevel="2" x14ac:dyDescent="0.25">
      <c r="A2309" s="201">
        <v>46119</v>
      </c>
      <c r="D2309" s="198" t="s">
        <v>54</v>
      </c>
      <c r="E2309" s="202">
        <v>40675.15</v>
      </c>
      <c r="K2309" s="198" t="s">
        <v>1176</v>
      </c>
      <c r="L2309" s="198" t="s">
        <v>169</v>
      </c>
      <c r="P2309" s="201"/>
      <c r="R2309" s="202">
        <v>40675.15</v>
      </c>
      <c r="U2309" s="198" t="s">
        <v>1175</v>
      </c>
      <c r="AA2309" s="198" t="s">
        <v>51</v>
      </c>
      <c r="AB2309" s="202">
        <v>40675.15</v>
      </c>
      <c r="AC2309" s="202">
        <v>40675.15</v>
      </c>
    </row>
    <row r="2310" spans="1:29" outlineLevel="2" x14ac:dyDescent="0.25">
      <c r="A2310" s="201">
        <v>46141</v>
      </c>
      <c r="D2310" s="198" t="s">
        <v>54</v>
      </c>
      <c r="E2310" s="202">
        <v>7601000</v>
      </c>
      <c r="K2310" s="198" t="s">
        <v>1176</v>
      </c>
      <c r="L2310" s="198" t="s">
        <v>169</v>
      </c>
      <c r="P2310" s="201"/>
      <c r="R2310" s="202">
        <v>7601000</v>
      </c>
      <c r="U2310" s="198" t="s">
        <v>1175</v>
      </c>
      <c r="AA2310" s="198" t="s">
        <v>51</v>
      </c>
      <c r="AB2310" s="202">
        <v>7601000</v>
      </c>
      <c r="AC2310" s="202">
        <v>7601000</v>
      </c>
    </row>
    <row r="2311" spans="1:29" outlineLevel="2" x14ac:dyDescent="0.25">
      <c r="A2311" s="201">
        <v>46146</v>
      </c>
      <c r="D2311" s="198" t="s">
        <v>54</v>
      </c>
      <c r="E2311" s="202">
        <v>3385777.7</v>
      </c>
      <c r="K2311" s="198" t="s">
        <v>1176</v>
      </c>
      <c r="L2311" s="198" t="s">
        <v>169</v>
      </c>
      <c r="P2311" s="201"/>
      <c r="R2311" s="202">
        <v>3385777.7</v>
      </c>
      <c r="U2311" s="198" t="s">
        <v>1175</v>
      </c>
      <c r="AA2311" s="198" t="s">
        <v>51</v>
      </c>
      <c r="AB2311" s="202">
        <v>3385777.7</v>
      </c>
      <c r="AC2311" s="202">
        <v>3385777.7</v>
      </c>
    </row>
    <row r="2312" spans="1:29" outlineLevel="1" x14ac:dyDescent="0.25">
      <c r="A2312" s="210"/>
      <c r="B2312" s="209"/>
      <c r="C2312" s="209"/>
      <c r="D2312" s="209" t="s">
        <v>54</v>
      </c>
      <c r="E2312" s="211">
        <v>22274044.199999999</v>
      </c>
      <c r="F2312" s="209"/>
      <c r="G2312" s="209"/>
      <c r="H2312" s="209"/>
      <c r="I2312" s="209"/>
      <c r="J2312" s="209"/>
      <c r="K2312" s="209" t="s">
        <v>54</v>
      </c>
      <c r="L2312" s="209" t="s">
        <v>54</v>
      </c>
      <c r="M2312" s="209"/>
      <c r="N2312" s="209"/>
      <c r="O2312" s="209"/>
      <c r="P2312" s="210"/>
      <c r="Q2312" s="209"/>
      <c r="R2312" s="212"/>
      <c r="S2312" s="209"/>
      <c r="T2312" s="209"/>
      <c r="U2312" s="209" t="s">
        <v>54</v>
      </c>
      <c r="V2312" s="209"/>
      <c r="W2312" s="209"/>
      <c r="X2312" s="209"/>
      <c r="Y2312" s="209"/>
      <c r="Z2312" s="209"/>
      <c r="AA2312" s="209" t="s">
        <v>54</v>
      </c>
      <c r="AB2312" s="212"/>
      <c r="AC2312" s="212"/>
    </row>
    <row r="2313" spans="1:29" outlineLevel="2" x14ac:dyDescent="0.25">
      <c r="A2313" s="201">
        <v>46009</v>
      </c>
      <c r="D2313" s="198" t="s">
        <v>54</v>
      </c>
      <c r="E2313" s="202">
        <v>3275790</v>
      </c>
      <c r="K2313" s="198" t="s">
        <v>1177</v>
      </c>
      <c r="L2313" s="198" t="s">
        <v>169</v>
      </c>
      <c r="P2313" s="201"/>
      <c r="R2313" s="202">
        <v>3275790</v>
      </c>
      <c r="U2313" s="198" t="s">
        <v>727</v>
      </c>
      <c r="AA2313" s="198" t="s">
        <v>51</v>
      </c>
      <c r="AB2313" s="202">
        <v>3275790</v>
      </c>
      <c r="AC2313" s="202">
        <v>3275790</v>
      </c>
    </row>
    <row r="2314" spans="1:29" outlineLevel="2" x14ac:dyDescent="0.25">
      <c r="A2314" s="201">
        <v>46016</v>
      </c>
      <c r="D2314" s="198" t="s">
        <v>54</v>
      </c>
      <c r="E2314" s="202">
        <v>411772.5</v>
      </c>
      <c r="K2314" s="198" t="s">
        <v>1177</v>
      </c>
      <c r="L2314" s="198" t="s">
        <v>169</v>
      </c>
      <c r="P2314" s="201"/>
      <c r="R2314" s="202">
        <v>411772.5</v>
      </c>
      <c r="U2314" s="198" t="s">
        <v>727</v>
      </c>
      <c r="AA2314" s="198" t="s">
        <v>51</v>
      </c>
      <c r="AB2314" s="202">
        <v>411772.5</v>
      </c>
      <c r="AC2314" s="202">
        <v>411772.5</v>
      </c>
    </row>
    <row r="2315" spans="1:29" outlineLevel="2" x14ac:dyDescent="0.25">
      <c r="A2315" s="201">
        <v>46017</v>
      </c>
      <c r="D2315" s="198" t="s">
        <v>54</v>
      </c>
      <c r="E2315" s="202">
        <v>1920337.5</v>
      </c>
      <c r="K2315" s="198" t="s">
        <v>1177</v>
      </c>
      <c r="L2315" s="198" t="s">
        <v>169</v>
      </c>
      <c r="P2315" s="201"/>
      <c r="R2315" s="202">
        <v>1920337.5</v>
      </c>
      <c r="U2315" s="198" t="s">
        <v>727</v>
      </c>
      <c r="AA2315" s="198" t="s">
        <v>51</v>
      </c>
      <c r="AB2315" s="202">
        <v>1920337.5</v>
      </c>
      <c r="AC2315" s="202">
        <v>1920337.5</v>
      </c>
    </row>
    <row r="2316" spans="1:29" outlineLevel="2" x14ac:dyDescent="0.25">
      <c r="A2316" s="201">
        <v>46112</v>
      </c>
      <c r="D2316" s="198" t="s">
        <v>54</v>
      </c>
      <c r="E2316" s="202">
        <v>-19667.5</v>
      </c>
      <c r="K2316" s="198" t="s">
        <v>1177</v>
      </c>
      <c r="L2316" s="198" t="s">
        <v>169</v>
      </c>
      <c r="P2316" s="201"/>
      <c r="R2316" s="202">
        <v>-19667.5</v>
      </c>
      <c r="U2316" s="198" t="s">
        <v>727</v>
      </c>
      <c r="AA2316" s="198" t="s">
        <v>51</v>
      </c>
      <c r="AB2316" s="202">
        <v>-19667.5</v>
      </c>
      <c r="AC2316" s="202">
        <v>-19667.5</v>
      </c>
    </row>
    <row r="2317" spans="1:29" outlineLevel="2" x14ac:dyDescent="0.25">
      <c r="A2317" s="201">
        <v>46146</v>
      </c>
      <c r="D2317" s="198" t="s">
        <v>54</v>
      </c>
      <c r="E2317" s="202">
        <v>3385777.7</v>
      </c>
      <c r="K2317" s="198" t="s">
        <v>1177</v>
      </c>
      <c r="L2317" s="198" t="s">
        <v>169</v>
      </c>
      <c r="P2317" s="201"/>
      <c r="R2317" s="202">
        <v>3385777.7</v>
      </c>
      <c r="U2317" s="198" t="s">
        <v>727</v>
      </c>
      <c r="AA2317" s="198" t="s">
        <v>51</v>
      </c>
      <c r="AB2317" s="202">
        <v>3385777.7</v>
      </c>
      <c r="AC2317" s="202">
        <v>3385777.7</v>
      </c>
    </row>
    <row r="2318" spans="1:29" outlineLevel="1" x14ac:dyDescent="0.25">
      <c r="A2318" s="210"/>
      <c r="B2318" s="209"/>
      <c r="C2318" s="209"/>
      <c r="D2318" s="209" t="s">
        <v>54</v>
      </c>
      <c r="E2318" s="211">
        <v>8974010.1999999993</v>
      </c>
      <c r="F2318" s="209"/>
      <c r="G2318" s="209"/>
      <c r="H2318" s="209"/>
      <c r="I2318" s="209"/>
      <c r="J2318" s="209"/>
      <c r="K2318" s="209" t="s">
        <v>54</v>
      </c>
      <c r="L2318" s="209" t="s">
        <v>54</v>
      </c>
      <c r="M2318" s="209"/>
      <c r="N2318" s="209"/>
      <c r="O2318" s="209"/>
      <c r="P2318" s="210"/>
      <c r="Q2318" s="209"/>
      <c r="R2318" s="212"/>
      <c r="S2318" s="209"/>
      <c r="T2318" s="209"/>
      <c r="U2318" s="209" t="s">
        <v>54</v>
      </c>
      <c r="V2318" s="209"/>
      <c r="W2318" s="209"/>
      <c r="X2318" s="209"/>
      <c r="Y2318" s="209"/>
      <c r="Z2318" s="209"/>
      <c r="AA2318" s="209" t="s">
        <v>54</v>
      </c>
      <c r="AB2318" s="212"/>
      <c r="AC2318" s="212"/>
    </row>
    <row r="2319" spans="1:29" outlineLevel="2" x14ac:dyDescent="0.25">
      <c r="A2319" s="201">
        <v>46009</v>
      </c>
      <c r="D2319" s="198" t="s">
        <v>54</v>
      </c>
      <c r="E2319" s="202">
        <v>6323333</v>
      </c>
      <c r="K2319" s="198" t="s">
        <v>1178</v>
      </c>
      <c r="L2319" s="198" t="s">
        <v>169</v>
      </c>
      <c r="P2319" s="201"/>
      <c r="R2319" s="202">
        <v>6323333</v>
      </c>
      <c r="U2319" s="198" t="s">
        <v>183</v>
      </c>
      <c r="AA2319" s="198" t="s">
        <v>51</v>
      </c>
      <c r="AB2319" s="202">
        <v>6323333</v>
      </c>
      <c r="AC2319" s="202">
        <v>6323333</v>
      </c>
    </row>
    <row r="2320" spans="1:29" outlineLevel="2" x14ac:dyDescent="0.25">
      <c r="A2320" s="201">
        <v>46017</v>
      </c>
      <c r="D2320" s="198" t="s">
        <v>54</v>
      </c>
      <c r="E2320" s="202">
        <v>67</v>
      </c>
      <c r="K2320" s="198" t="s">
        <v>1178</v>
      </c>
      <c r="L2320" s="198" t="s">
        <v>169</v>
      </c>
      <c r="P2320" s="201"/>
      <c r="R2320" s="202">
        <v>67</v>
      </c>
      <c r="U2320" s="198" t="s">
        <v>183</v>
      </c>
      <c r="AA2320" s="198" t="s">
        <v>51</v>
      </c>
      <c r="AB2320" s="202">
        <v>67</v>
      </c>
      <c r="AC2320" s="202">
        <v>67</v>
      </c>
    </row>
    <row r="2321" spans="1:29" outlineLevel="2" x14ac:dyDescent="0.25">
      <c r="A2321" s="201">
        <v>46112</v>
      </c>
      <c r="D2321" s="198" t="s">
        <v>54</v>
      </c>
      <c r="E2321" s="202">
        <v>-665041.15</v>
      </c>
      <c r="K2321" s="198" t="s">
        <v>1178</v>
      </c>
      <c r="L2321" s="198" t="s">
        <v>169</v>
      </c>
      <c r="P2321" s="201"/>
      <c r="R2321" s="202">
        <v>-665041.15</v>
      </c>
      <c r="U2321" s="198" t="s">
        <v>183</v>
      </c>
      <c r="AA2321" s="198" t="s">
        <v>51</v>
      </c>
      <c r="AB2321" s="202">
        <v>-665041.15</v>
      </c>
      <c r="AC2321" s="202">
        <v>-665041.15</v>
      </c>
    </row>
    <row r="2322" spans="1:29" outlineLevel="2" x14ac:dyDescent="0.25">
      <c r="A2322" s="201">
        <v>46119</v>
      </c>
      <c r="D2322" s="198" t="s">
        <v>54</v>
      </c>
      <c r="E2322" s="202">
        <v>40675.15</v>
      </c>
      <c r="K2322" s="198" t="s">
        <v>1178</v>
      </c>
      <c r="L2322" s="198" t="s">
        <v>169</v>
      </c>
      <c r="P2322" s="201"/>
      <c r="R2322" s="202">
        <v>40675.15</v>
      </c>
      <c r="U2322" s="198" t="s">
        <v>183</v>
      </c>
      <c r="AA2322" s="198" t="s">
        <v>51</v>
      </c>
      <c r="AB2322" s="202">
        <v>40675.15</v>
      </c>
      <c r="AC2322" s="202">
        <v>40675.15</v>
      </c>
    </row>
    <row r="2323" spans="1:29" outlineLevel="2" x14ac:dyDescent="0.25">
      <c r="A2323" s="201">
        <v>46141</v>
      </c>
      <c r="D2323" s="198" t="s">
        <v>54</v>
      </c>
      <c r="E2323" s="202">
        <v>7601000</v>
      </c>
      <c r="K2323" s="198" t="s">
        <v>1178</v>
      </c>
      <c r="L2323" s="198" t="s">
        <v>169</v>
      </c>
      <c r="P2323" s="201"/>
      <c r="R2323" s="202">
        <v>7601000</v>
      </c>
      <c r="U2323" s="198" t="s">
        <v>183</v>
      </c>
      <c r="AA2323" s="198" t="s">
        <v>51</v>
      </c>
      <c r="AB2323" s="202">
        <v>7601000</v>
      </c>
      <c r="AC2323" s="202">
        <v>7601000</v>
      </c>
    </row>
    <row r="2324" spans="1:29" outlineLevel="1" x14ac:dyDescent="0.25">
      <c r="A2324" s="210"/>
      <c r="B2324" s="209"/>
      <c r="C2324" s="209"/>
      <c r="D2324" s="209" t="s">
        <v>54</v>
      </c>
      <c r="E2324" s="211">
        <v>13300034</v>
      </c>
      <c r="F2324" s="209"/>
      <c r="G2324" s="209"/>
      <c r="H2324" s="209"/>
      <c r="I2324" s="209"/>
      <c r="J2324" s="209"/>
      <c r="K2324" s="209" t="s">
        <v>54</v>
      </c>
      <c r="L2324" s="209" t="s">
        <v>54</v>
      </c>
      <c r="M2324" s="209"/>
      <c r="N2324" s="209"/>
      <c r="O2324" s="209"/>
      <c r="P2324" s="210"/>
      <c r="Q2324" s="209"/>
      <c r="R2324" s="212"/>
      <c r="S2324" s="209"/>
      <c r="T2324" s="209"/>
      <c r="U2324" s="209" t="s">
        <v>54</v>
      </c>
      <c r="V2324" s="209"/>
      <c r="W2324" s="209"/>
      <c r="X2324" s="209"/>
      <c r="Y2324" s="209"/>
      <c r="Z2324" s="209"/>
      <c r="AA2324" s="209" t="s">
        <v>54</v>
      </c>
      <c r="AB2324" s="212"/>
      <c r="AC2324" s="212"/>
    </row>
    <row r="2325" spans="1:29" outlineLevel="2" x14ac:dyDescent="0.25">
      <c r="A2325" s="201">
        <v>46009</v>
      </c>
      <c r="D2325" s="198" t="s">
        <v>54</v>
      </c>
      <c r="E2325" s="202">
        <v>6376238</v>
      </c>
      <c r="K2325" s="198" t="s">
        <v>1180</v>
      </c>
      <c r="L2325" s="198" t="s">
        <v>169</v>
      </c>
      <c r="P2325" s="201"/>
      <c r="R2325" s="202">
        <v>6376238</v>
      </c>
      <c r="U2325" s="198" t="s">
        <v>1179</v>
      </c>
      <c r="AA2325" s="198" t="s">
        <v>51</v>
      </c>
      <c r="AB2325" s="202">
        <v>6376238</v>
      </c>
      <c r="AC2325" s="202">
        <v>6376238</v>
      </c>
    </row>
    <row r="2326" spans="1:29" outlineLevel="2" x14ac:dyDescent="0.25">
      <c r="A2326" s="201">
        <v>46017</v>
      </c>
      <c r="D2326" s="198" t="s">
        <v>54</v>
      </c>
      <c r="E2326" s="202">
        <v>5069662</v>
      </c>
      <c r="K2326" s="198" t="s">
        <v>1180</v>
      </c>
      <c r="L2326" s="198" t="s">
        <v>169</v>
      </c>
      <c r="P2326" s="201"/>
      <c r="R2326" s="202">
        <v>5069662</v>
      </c>
      <c r="U2326" s="198" t="s">
        <v>1179</v>
      </c>
      <c r="AA2326" s="198" t="s">
        <v>51</v>
      </c>
      <c r="AB2326" s="202">
        <v>5069662</v>
      </c>
      <c r="AC2326" s="202">
        <v>5069662</v>
      </c>
    </row>
    <row r="2327" spans="1:29" outlineLevel="2" x14ac:dyDescent="0.25">
      <c r="A2327" s="201">
        <v>46017</v>
      </c>
      <c r="D2327" s="198" t="s">
        <v>54</v>
      </c>
      <c r="E2327" s="202">
        <v>2387269</v>
      </c>
      <c r="K2327" s="198" t="s">
        <v>1180</v>
      </c>
      <c r="L2327" s="198" t="s">
        <v>169</v>
      </c>
      <c r="P2327" s="201"/>
      <c r="R2327" s="202">
        <v>2387269</v>
      </c>
      <c r="U2327" s="198" t="s">
        <v>1179</v>
      </c>
      <c r="AA2327" s="198" t="s">
        <v>51</v>
      </c>
      <c r="AB2327" s="202">
        <v>2387269</v>
      </c>
      <c r="AC2327" s="202">
        <v>2387269</v>
      </c>
    </row>
    <row r="2328" spans="1:29" outlineLevel="2" x14ac:dyDescent="0.25">
      <c r="A2328" s="201">
        <v>46112</v>
      </c>
      <c r="D2328" s="198" t="s">
        <v>54</v>
      </c>
      <c r="E2328" s="202">
        <v>-2337554.75</v>
      </c>
      <c r="K2328" s="198" t="s">
        <v>1180</v>
      </c>
      <c r="L2328" s="198" t="s">
        <v>169</v>
      </c>
      <c r="P2328" s="201"/>
      <c r="R2328" s="202">
        <v>-2337554.75</v>
      </c>
      <c r="U2328" s="198" t="s">
        <v>1179</v>
      </c>
      <c r="AA2328" s="198" t="s">
        <v>51</v>
      </c>
      <c r="AB2328" s="202">
        <v>-2337554.75</v>
      </c>
      <c r="AC2328" s="202">
        <v>-2337554.75</v>
      </c>
    </row>
    <row r="2329" spans="1:29" outlineLevel="2" x14ac:dyDescent="0.25">
      <c r="A2329" s="201">
        <v>46119</v>
      </c>
      <c r="D2329" s="198" t="s">
        <v>54</v>
      </c>
      <c r="E2329" s="202">
        <v>39113.5</v>
      </c>
      <c r="K2329" s="198" t="s">
        <v>1180</v>
      </c>
      <c r="L2329" s="198" t="s">
        <v>169</v>
      </c>
      <c r="P2329" s="201"/>
      <c r="R2329" s="202">
        <v>39113.5</v>
      </c>
      <c r="U2329" s="198" t="s">
        <v>1179</v>
      </c>
      <c r="AA2329" s="198" t="s">
        <v>51</v>
      </c>
      <c r="AB2329" s="202">
        <v>39113.5</v>
      </c>
      <c r="AC2329" s="202">
        <v>39113.5</v>
      </c>
    </row>
    <row r="2330" spans="1:29" outlineLevel="2" x14ac:dyDescent="0.25">
      <c r="A2330" s="201">
        <v>46146</v>
      </c>
      <c r="D2330" s="198" t="s">
        <v>54</v>
      </c>
      <c r="E2330" s="202">
        <v>4363396.05</v>
      </c>
      <c r="K2330" s="198" t="s">
        <v>1180</v>
      </c>
      <c r="L2330" s="198" t="s">
        <v>169</v>
      </c>
      <c r="P2330" s="201"/>
      <c r="R2330" s="202">
        <v>4363396.05</v>
      </c>
      <c r="U2330" s="198" t="s">
        <v>1179</v>
      </c>
      <c r="AA2330" s="198" t="s">
        <v>51</v>
      </c>
      <c r="AB2330" s="202">
        <v>4363396.05</v>
      </c>
      <c r="AC2330" s="202">
        <v>4363396.05</v>
      </c>
    </row>
    <row r="2331" spans="1:29" outlineLevel="2" x14ac:dyDescent="0.25">
      <c r="A2331" s="201">
        <v>46155</v>
      </c>
      <c r="D2331" s="198" t="s">
        <v>54</v>
      </c>
      <c r="E2331" s="202">
        <v>1937029.5</v>
      </c>
      <c r="K2331" s="198" t="s">
        <v>1180</v>
      </c>
      <c r="L2331" s="198" t="s">
        <v>169</v>
      </c>
      <c r="P2331" s="201"/>
      <c r="R2331" s="202">
        <v>1937029.5</v>
      </c>
      <c r="U2331" s="198" t="s">
        <v>1179</v>
      </c>
      <c r="AA2331" s="198" t="s">
        <v>51</v>
      </c>
      <c r="AB2331" s="202">
        <v>1937029.5</v>
      </c>
      <c r="AC2331" s="202">
        <v>1937029.5</v>
      </c>
    </row>
    <row r="2332" spans="1:29" outlineLevel="2" x14ac:dyDescent="0.25">
      <c r="A2332" s="201">
        <v>46160</v>
      </c>
      <c r="D2332" s="198" t="s">
        <v>54</v>
      </c>
      <c r="E2332" s="202">
        <v>11864.5</v>
      </c>
      <c r="K2332" s="198" t="s">
        <v>1180</v>
      </c>
      <c r="L2332" s="198" t="s">
        <v>169</v>
      </c>
      <c r="P2332" s="201"/>
      <c r="R2332" s="202">
        <v>11864.5</v>
      </c>
      <c r="U2332" s="198" t="s">
        <v>1179</v>
      </c>
      <c r="AA2332" s="198" t="s">
        <v>51</v>
      </c>
      <c r="AB2332" s="202">
        <v>11864.5</v>
      </c>
      <c r="AC2332" s="202">
        <v>11864.5</v>
      </c>
    </row>
    <row r="2333" spans="1:29" outlineLevel="2" x14ac:dyDescent="0.25">
      <c r="A2333" s="201">
        <v>46160</v>
      </c>
      <c r="D2333" s="198" t="s">
        <v>54</v>
      </c>
      <c r="E2333" s="202">
        <v>5000</v>
      </c>
      <c r="K2333" s="198" t="s">
        <v>1180</v>
      </c>
      <c r="L2333" s="198" t="s">
        <v>169</v>
      </c>
      <c r="P2333" s="201"/>
      <c r="R2333" s="202">
        <v>5000</v>
      </c>
      <c r="U2333" s="198" t="s">
        <v>1179</v>
      </c>
      <c r="AA2333" s="198" t="s">
        <v>51</v>
      </c>
      <c r="AB2333" s="202">
        <v>5000</v>
      </c>
      <c r="AC2333" s="202">
        <v>5000</v>
      </c>
    </row>
    <row r="2334" spans="1:29" outlineLevel="1" x14ac:dyDescent="0.25">
      <c r="A2334" s="210"/>
      <c r="B2334" s="209"/>
      <c r="C2334" s="209"/>
      <c r="D2334" s="209" t="s">
        <v>54</v>
      </c>
      <c r="E2334" s="211">
        <v>17852017.800000001</v>
      </c>
      <c r="F2334" s="209"/>
      <c r="G2334" s="209"/>
      <c r="H2334" s="209"/>
      <c r="I2334" s="209"/>
      <c r="J2334" s="209"/>
      <c r="K2334" s="209" t="s">
        <v>54</v>
      </c>
      <c r="L2334" s="209" t="s">
        <v>54</v>
      </c>
      <c r="M2334" s="209"/>
      <c r="N2334" s="209"/>
      <c r="O2334" s="209"/>
      <c r="P2334" s="210"/>
      <c r="Q2334" s="209"/>
      <c r="R2334" s="212"/>
      <c r="S2334" s="209"/>
      <c r="T2334" s="209"/>
      <c r="U2334" s="209" t="s">
        <v>54</v>
      </c>
      <c r="V2334" s="209"/>
      <c r="W2334" s="209"/>
      <c r="X2334" s="209"/>
      <c r="Y2334" s="209"/>
      <c r="Z2334" s="209"/>
      <c r="AA2334" s="209" t="s">
        <v>54</v>
      </c>
      <c r="AB2334" s="212"/>
      <c r="AC2334" s="212"/>
    </row>
    <row r="2335" spans="1:29" outlineLevel="2" x14ac:dyDescent="0.25">
      <c r="A2335" s="201">
        <v>46009</v>
      </c>
      <c r="D2335" s="198" t="s">
        <v>54</v>
      </c>
      <c r="E2335" s="202">
        <v>6376238</v>
      </c>
      <c r="K2335" s="198" t="s">
        <v>1181</v>
      </c>
      <c r="L2335" s="198" t="s">
        <v>169</v>
      </c>
      <c r="P2335" s="201"/>
      <c r="R2335" s="202">
        <v>6376238</v>
      </c>
      <c r="U2335" s="198" t="s">
        <v>207</v>
      </c>
      <c r="AA2335" s="198" t="s">
        <v>51</v>
      </c>
      <c r="AB2335" s="202">
        <v>6376238</v>
      </c>
      <c r="AC2335" s="202">
        <v>6376238</v>
      </c>
    </row>
    <row r="2336" spans="1:29" outlineLevel="2" x14ac:dyDescent="0.25">
      <c r="A2336" s="201">
        <v>46017</v>
      </c>
      <c r="D2336" s="198" t="s">
        <v>54</v>
      </c>
      <c r="E2336" s="202">
        <v>2550762</v>
      </c>
      <c r="K2336" s="198" t="s">
        <v>1181</v>
      </c>
      <c r="L2336" s="198" t="s">
        <v>169</v>
      </c>
      <c r="P2336" s="201"/>
      <c r="R2336" s="202">
        <v>2550762</v>
      </c>
      <c r="U2336" s="198" t="s">
        <v>207</v>
      </c>
      <c r="AA2336" s="198" t="s">
        <v>51</v>
      </c>
      <c r="AB2336" s="202">
        <v>2550762</v>
      </c>
      <c r="AC2336" s="202">
        <v>2550762</v>
      </c>
    </row>
    <row r="2337" spans="1:29" outlineLevel="2" x14ac:dyDescent="0.25">
      <c r="A2337" s="201">
        <v>46017</v>
      </c>
      <c r="D2337" s="198" t="s">
        <v>54</v>
      </c>
      <c r="E2337" s="202">
        <v>2387269</v>
      </c>
      <c r="K2337" s="198" t="s">
        <v>1181</v>
      </c>
      <c r="L2337" s="198" t="s">
        <v>169</v>
      </c>
      <c r="P2337" s="201"/>
      <c r="R2337" s="202">
        <v>2387269</v>
      </c>
      <c r="U2337" s="198" t="s">
        <v>207</v>
      </c>
      <c r="AA2337" s="198" t="s">
        <v>51</v>
      </c>
      <c r="AB2337" s="202">
        <v>2387269</v>
      </c>
      <c r="AC2337" s="202">
        <v>2387269</v>
      </c>
    </row>
    <row r="2338" spans="1:29" outlineLevel="2" x14ac:dyDescent="0.25">
      <c r="A2338" s="201">
        <v>46112</v>
      </c>
      <c r="D2338" s="198" t="s">
        <v>54</v>
      </c>
      <c r="E2338" s="202">
        <v>-2261305.25</v>
      </c>
      <c r="K2338" s="198" t="s">
        <v>1181</v>
      </c>
      <c r="L2338" s="198" t="s">
        <v>169</v>
      </c>
      <c r="P2338" s="201"/>
      <c r="R2338" s="202">
        <v>-2261305.25</v>
      </c>
      <c r="U2338" s="198" t="s">
        <v>207</v>
      </c>
      <c r="AA2338" s="198" t="s">
        <v>51</v>
      </c>
      <c r="AB2338" s="202">
        <v>-2261305.25</v>
      </c>
      <c r="AC2338" s="202">
        <v>-2261305.25</v>
      </c>
    </row>
    <row r="2339" spans="1:29" outlineLevel="2" x14ac:dyDescent="0.25">
      <c r="A2339" s="201">
        <v>46146</v>
      </c>
      <c r="D2339" s="198" t="s">
        <v>54</v>
      </c>
      <c r="E2339" s="202">
        <v>4363396.05</v>
      </c>
      <c r="K2339" s="198" t="s">
        <v>1181</v>
      </c>
      <c r="L2339" s="198" t="s">
        <v>169</v>
      </c>
      <c r="P2339" s="201"/>
      <c r="R2339" s="202">
        <v>4363396.05</v>
      </c>
      <c r="U2339" s="198" t="s">
        <v>207</v>
      </c>
      <c r="AA2339" s="198" t="s">
        <v>51</v>
      </c>
      <c r="AB2339" s="202">
        <v>4363396.05</v>
      </c>
      <c r="AC2339" s="202">
        <v>4363396.05</v>
      </c>
    </row>
    <row r="2340" spans="1:29" outlineLevel="1" x14ac:dyDescent="0.25">
      <c r="A2340" s="210"/>
      <c r="B2340" s="209"/>
      <c r="C2340" s="209"/>
      <c r="D2340" s="209" t="s">
        <v>54</v>
      </c>
      <c r="E2340" s="211">
        <v>13416359.800000001</v>
      </c>
      <c r="F2340" s="209"/>
      <c r="G2340" s="209"/>
      <c r="H2340" s="209"/>
      <c r="I2340" s="209"/>
      <c r="J2340" s="209"/>
      <c r="K2340" s="209" t="s">
        <v>54</v>
      </c>
      <c r="L2340" s="209" t="s">
        <v>54</v>
      </c>
      <c r="M2340" s="209"/>
      <c r="N2340" s="209"/>
      <c r="O2340" s="209"/>
      <c r="P2340" s="210"/>
      <c r="Q2340" s="209"/>
      <c r="R2340" s="212"/>
      <c r="S2340" s="209"/>
      <c r="T2340" s="209"/>
      <c r="U2340" s="209" t="s">
        <v>54</v>
      </c>
      <c r="V2340" s="209"/>
      <c r="W2340" s="209"/>
      <c r="X2340" s="209"/>
      <c r="Y2340" s="209"/>
      <c r="Z2340" s="209"/>
      <c r="AA2340" s="209" t="s">
        <v>54</v>
      </c>
      <c r="AB2340" s="212"/>
      <c r="AC2340" s="212"/>
    </row>
    <row r="2341" spans="1:29" outlineLevel="2" x14ac:dyDescent="0.25">
      <c r="A2341" s="201">
        <v>46017</v>
      </c>
      <c r="D2341" s="198" t="s">
        <v>54</v>
      </c>
      <c r="E2341" s="202">
        <v>2518900</v>
      </c>
      <c r="K2341" s="198" t="s">
        <v>1182</v>
      </c>
      <c r="L2341" s="198" t="s">
        <v>169</v>
      </c>
      <c r="P2341" s="201"/>
      <c r="R2341" s="202">
        <v>2518900</v>
      </c>
      <c r="U2341" s="198" t="s">
        <v>184</v>
      </c>
      <c r="AA2341" s="198" t="s">
        <v>51</v>
      </c>
      <c r="AB2341" s="202">
        <v>2518900</v>
      </c>
      <c r="AC2341" s="202">
        <v>2518900</v>
      </c>
    </row>
    <row r="2342" spans="1:29" outlineLevel="2" x14ac:dyDescent="0.25">
      <c r="A2342" s="201">
        <v>46112</v>
      </c>
      <c r="D2342" s="198" t="s">
        <v>54</v>
      </c>
      <c r="E2342" s="202">
        <v>-76249.5</v>
      </c>
      <c r="K2342" s="198" t="s">
        <v>1182</v>
      </c>
      <c r="L2342" s="198" t="s">
        <v>169</v>
      </c>
      <c r="P2342" s="201"/>
      <c r="R2342" s="202">
        <v>-76249.5</v>
      </c>
      <c r="U2342" s="198" t="s">
        <v>184</v>
      </c>
      <c r="AA2342" s="198" t="s">
        <v>51</v>
      </c>
      <c r="AB2342" s="202">
        <v>-76249.5</v>
      </c>
      <c r="AC2342" s="202">
        <v>-76249.5</v>
      </c>
    </row>
    <row r="2343" spans="1:29" outlineLevel="2" x14ac:dyDescent="0.25">
      <c r="A2343" s="201">
        <v>46119</v>
      </c>
      <c r="D2343" s="198" t="s">
        <v>54</v>
      </c>
      <c r="E2343" s="202">
        <v>39113.5</v>
      </c>
      <c r="K2343" s="198" t="s">
        <v>1182</v>
      </c>
      <c r="L2343" s="198" t="s">
        <v>169</v>
      </c>
      <c r="P2343" s="201"/>
      <c r="R2343" s="202">
        <v>39113.5</v>
      </c>
      <c r="U2343" s="198" t="s">
        <v>184</v>
      </c>
      <c r="AA2343" s="198" t="s">
        <v>51</v>
      </c>
      <c r="AB2343" s="202">
        <v>39113.5</v>
      </c>
      <c r="AC2343" s="202">
        <v>39113.5</v>
      </c>
    </row>
    <row r="2344" spans="1:29" outlineLevel="2" x14ac:dyDescent="0.25">
      <c r="A2344" s="201">
        <v>46155</v>
      </c>
      <c r="D2344" s="198" t="s">
        <v>54</v>
      </c>
      <c r="E2344" s="202">
        <v>1937029.5</v>
      </c>
      <c r="K2344" s="198" t="s">
        <v>1182</v>
      </c>
      <c r="L2344" s="198" t="s">
        <v>169</v>
      </c>
      <c r="P2344" s="201"/>
      <c r="R2344" s="202">
        <v>1937029.5</v>
      </c>
      <c r="U2344" s="198" t="s">
        <v>184</v>
      </c>
      <c r="AA2344" s="198" t="s">
        <v>51</v>
      </c>
      <c r="AB2344" s="202">
        <v>1937029.5</v>
      </c>
      <c r="AC2344" s="202">
        <v>1937029.5</v>
      </c>
    </row>
    <row r="2345" spans="1:29" outlineLevel="2" x14ac:dyDescent="0.25">
      <c r="A2345" s="201">
        <v>46160</v>
      </c>
      <c r="D2345" s="198" t="s">
        <v>54</v>
      </c>
      <c r="E2345" s="202">
        <v>11864.5</v>
      </c>
      <c r="K2345" s="198" t="s">
        <v>1182</v>
      </c>
      <c r="L2345" s="198" t="s">
        <v>169</v>
      </c>
      <c r="P2345" s="201"/>
      <c r="R2345" s="202">
        <v>11864.5</v>
      </c>
      <c r="U2345" s="198" t="s">
        <v>184</v>
      </c>
      <c r="AA2345" s="198" t="s">
        <v>51</v>
      </c>
      <c r="AB2345" s="202">
        <v>11864.5</v>
      </c>
      <c r="AC2345" s="202">
        <v>11864.5</v>
      </c>
    </row>
    <row r="2346" spans="1:29" outlineLevel="2" x14ac:dyDescent="0.25">
      <c r="A2346" s="201">
        <v>46160</v>
      </c>
      <c r="D2346" s="198" t="s">
        <v>54</v>
      </c>
      <c r="E2346" s="202">
        <v>5000</v>
      </c>
      <c r="K2346" s="198" t="s">
        <v>1182</v>
      </c>
      <c r="L2346" s="198" t="s">
        <v>169</v>
      </c>
      <c r="P2346" s="201"/>
      <c r="R2346" s="202">
        <v>5000</v>
      </c>
      <c r="U2346" s="198" t="s">
        <v>184</v>
      </c>
      <c r="AA2346" s="198" t="s">
        <v>51</v>
      </c>
      <c r="AB2346" s="202">
        <v>5000</v>
      </c>
      <c r="AC2346" s="202">
        <v>5000</v>
      </c>
    </row>
    <row r="2347" spans="1:29" outlineLevel="1" x14ac:dyDescent="0.25">
      <c r="A2347" s="210"/>
      <c r="B2347" s="209"/>
      <c r="C2347" s="209"/>
      <c r="D2347" s="209" t="s">
        <v>54</v>
      </c>
      <c r="E2347" s="211">
        <v>4435658</v>
      </c>
      <c r="F2347" s="209"/>
      <c r="G2347" s="209"/>
      <c r="H2347" s="209"/>
      <c r="I2347" s="209"/>
      <c r="J2347" s="209"/>
      <c r="K2347" s="209" t="s">
        <v>54</v>
      </c>
      <c r="L2347" s="209" t="s">
        <v>54</v>
      </c>
      <c r="M2347" s="209"/>
      <c r="N2347" s="209"/>
      <c r="O2347" s="209"/>
      <c r="P2347" s="210"/>
      <c r="Q2347" s="209"/>
      <c r="R2347" s="212"/>
      <c r="S2347" s="209"/>
      <c r="T2347" s="209"/>
      <c r="U2347" s="209" t="s">
        <v>54</v>
      </c>
      <c r="V2347" s="209"/>
      <c r="W2347" s="209"/>
      <c r="X2347" s="209"/>
      <c r="Y2347" s="209"/>
      <c r="Z2347" s="209"/>
      <c r="AA2347" s="209" t="s">
        <v>54</v>
      </c>
      <c r="AB2347" s="212"/>
      <c r="AC2347" s="212"/>
    </row>
    <row r="2348" spans="1:29" outlineLevel="2" x14ac:dyDescent="0.25">
      <c r="A2348" s="201">
        <v>46009</v>
      </c>
      <c r="D2348" s="198" t="s">
        <v>54</v>
      </c>
      <c r="E2348" s="202">
        <v>3904312.5</v>
      </c>
      <c r="K2348" s="198" t="s">
        <v>1184</v>
      </c>
      <c r="L2348" s="198" t="s">
        <v>169</v>
      </c>
      <c r="P2348" s="201"/>
      <c r="R2348" s="202">
        <v>3904312.5</v>
      </c>
      <c r="U2348" s="198" t="s">
        <v>1183</v>
      </c>
      <c r="AA2348" s="198" t="s">
        <v>51</v>
      </c>
      <c r="AB2348" s="202">
        <v>3904312.5</v>
      </c>
      <c r="AC2348" s="202">
        <v>3904312.5</v>
      </c>
    </row>
    <row r="2349" spans="1:29" outlineLevel="2" x14ac:dyDescent="0.25">
      <c r="A2349" s="201">
        <v>46017</v>
      </c>
      <c r="D2349" s="198" t="s">
        <v>54</v>
      </c>
      <c r="E2349" s="202">
        <v>-1379812.5</v>
      </c>
      <c r="K2349" s="198" t="s">
        <v>1184</v>
      </c>
      <c r="L2349" s="198" t="s">
        <v>169</v>
      </c>
      <c r="P2349" s="201"/>
      <c r="R2349" s="202">
        <v>-1379812.5</v>
      </c>
      <c r="U2349" s="198" t="s">
        <v>1183</v>
      </c>
      <c r="AA2349" s="198" t="s">
        <v>51</v>
      </c>
      <c r="AB2349" s="202">
        <v>-1379812.5</v>
      </c>
      <c r="AC2349" s="202">
        <v>-1379812.5</v>
      </c>
    </row>
    <row r="2350" spans="1:29" outlineLevel="1" x14ac:dyDescent="0.25">
      <c r="A2350" s="210"/>
      <c r="B2350" s="209"/>
      <c r="C2350" s="209"/>
      <c r="D2350" s="209" t="s">
        <v>54</v>
      </c>
      <c r="E2350" s="211">
        <v>2524500</v>
      </c>
      <c r="F2350" s="209"/>
      <c r="G2350" s="209"/>
      <c r="H2350" s="209"/>
      <c r="I2350" s="209"/>
      <c r="J2350" s="209"/>
      <c r="K2350" s="209" t="s">
        <v>54</v>
      </c>
      <c r="L2350" s="209" t="s">
        <v>54</v>
      </c>
      <c r="M2350" s="209"/>
      <c r="N2350" s="209"/>
      <c r="O2350" s="209"/>
      <c r="P2350" s="210"/>
      <c r="Q2350" s="209"/>
      <c r="R2350" s="212"/>
      <c r="S2350" s="209"/>
      <c r="T2350" s="209"/>
      <c r="U2350" s="209" t="s">
        <v>54</v>
      </c>
      <c r="V2350" s="209"/>
      <c r="W2350" s="209"/>
      <c r="X2350" s="209"/>
      <c r="Y2350" s="209"/>
      <c r="Z2350" s="209"/>
      <c r="AA2350" s="209" t="s">
        <v>54</v>
      </c>
      <c r="AB2350" s="212"/>
      <c r="AC2350" s="212"/>
    </row>
    <row r="2351" spans="1:29" outlineLevel="2" x14ac:dyDescent="0.25">
      <c r="A2351" s="201">
        <v>46009</v>
      </c>
      <c r="D2351" s="198" t="s">
        <v>54</v>
      </c>
      <c r="E2351" s="202">
        <v>2414025</v>
      </c>
      <c r="K2351" s="198" t="s">
        <v>1186</v>
      </c>
      <c r="L2351" s="198" t="s">
        <v>169</v>
      </c>
      <c r="P2351" s="201"/>
      <c r="R2351" s="202">
        <v>2414025</v>
      </c>
      <c r="U2351" s="198" t="s">
        <v>1185</v>
      </c>
      <c r="AA2351" s="198" t="s">
        <v>51</v>
      </c>
      <c r="AB2351" s="202">
        <v>2414025</v>
      </c>
      <c r="AC2351" s="202">
        <v>2414025</v>
      </c>
    </row>
    <row r="2352" spans="1:29" outlineLevel="2" x14ac:dyDescent="0.25">
      <c r="A2352" s="201">
        <v>46017</v>
      </c>
      <c r="D2352" s="198" t="s">
        <v>54</v>
      </c>
      <c r="E2352" s="202">
        <v>-823725</v>
      </c>
      <c r="K2352" s="198" t="s">
        <v>1186</v>
      </c>
      <c r="L2352" s="198" t="s">
        <v>169</v>
      </c>
      <c r="P2352" s="201"/>
      <c r="R2352" s="202">
        <v>-823725</v>
      </c>
      <c r="U2352" s="198" t="s">
        <v>1185</v>
      </c>
      <c r="AA2352" s="198" t="s">
        <v>51</v>
      </c>
      <c r="AB2352" s="202">
        <v>-823725</v>
      </c>
      <c r="AC2352" s="202">
        <v>-823725</v>
      </c>
    </row>
    <row r="2353" spans="1:29" outlineLevel="1" x14ac:dyDescent="0.25">
      <c r="A2353" s="210"/>
      <c r="B2353" s="209"/>
      <c r="C2353" s="209"/>
      <c r="D2353" s="209" t="s">
        <v>54</v>
      </c>
      <c r="E2353" s="211">
        <v>1590300</v>
      </c>
      <c r="F2353" s="209"/>
      <c r="G2353" s="209"/>
      <c r="H2353" s="209"/>
      <c r="I2353" s="209"/>
      <c r="J2353" s="209"/>
      <c r="K2353" s="209" t="s">
        <v>54</v>
      </c>
      <c r="L2353" s="209" t="s">
        <v>54</v>
      </c>
      <c r="M2353" s="209"/>
      <c r="N2353" s="209"/>
      <c r="O2353" s="209"/>
      <c r="P2353" s="210"/>
      <c r="Q2353" s="209"/>
      <c r="R2353" s="212"/>
      <c r="S2353" s="209"/>
      <c r="T2353" s="209"/>
      <c r="U2353" s="209" t="s">
        <v>54</v>
      </c>
      <c r="V2353" s="209"/>
      <c r="W2353" s="209"/>
      <c r="X2353" s="209"/>
      <c r="Y2353" s="209"/>
      <c r="Z2353" s="209"/>
      <c r="AA2353" s="209" t="s">
        <v>54</v>
      </c>
      <c r="AB2353" s="212"/>
      <c r="AC2353" s="212"/>
    </row>
    <row r="2354" spans="1:29" outlineLevel="2" x14ac:dyDescent="0.25">
      <c r="A2354" s="201">
        <v>46009</v>
      </c>
      <c r="D2354" s="198" t="s">
        <v>54</v>
      </c>
      <c r="E2354" s="202">
        <v>1490287.5</v>
      </c>
      <c r="K2354" s="198" t="s">
        <v>1188</v>
      </c>
      <c r="L2354" s="198" t="s">
        <v>169</v>
      </c>
      <c r="P2354" s="201"/>
      <c r="R2354" s="202">
        <v>1490287.5</v>
      </c>
      <c r="U2354" s="198" t="s">
        <v>1187</v>
      </c>
      <c r="AA2354" s="198" t="s">
        <v>51</v>
      </c>
      <c r="AB2354" s="202">
        <v>1490287.5</v>
      </c>
      <c r="AC2354" s="202">
        <v>1490287.5</v>
      </c>
    </row>
    <row r="2355" spans="1:29" outlineLevel="2" x14ac:dyDescent="0.25">
      <c r="A2355" s="201">
        <v>46017</v>
      </c>
      <c r="D2355" s="198" t="s">
        <v>54</v>
      </c>
      <c r="E2355" s="202">
        <v>-556087.5</v>
      </c>
      <c r="K2355" s="198" t="s">
        <v>1188</v>
      </c>
      <c r="L2355" s="198" t="s">
        <v>169</v>
      </c>
      <c r="P2355" s="201"/>
      <c r="R2355" s="202">
        <v>-556087.5</v>
      </c>
      <c r="U2355" s="198" t="s">
        <v>1187</v>
      </c>
      <c r="AA2355" s="198" t="s">
        <v>51</v>
      </c>
      <c r="AB2355" s="202">
        <v>-556087.5</v>
      </c>
      <c r="AC2355" s="202">
        <v>-556087.5</v>
      </c>
    </row>
    <row r="2356" spans="1:29" outlineLevel="1" x14ac:dyDescent="0.25">
      <c r="A2356" s="210"/>
      <c r="B2356" s="209"/>
      <c r="C2356" s="209"/>
      <c r="D2356" s="209" t="s">
        <v>54</v>
      </c>
      <c r="E2356" s="211">
        <v>934200</v>
      </c>
      <c r="F2356" s="209"/>
      <c r="G2356" s="209"/>
      <c r="H2356" s="209"/>
      <c r="I2356" s="209"/>
      <c r="J2356" s="209"/>
      <c r="K2356" s="209" t="s">
        <v>54</v>
      </c>
      <c r="L2356" s="209" t="s">
        <v>54</v>
      </c>
      <c r="M2356" s="209"/>
      <c r="N2356" s="209"/>
      <c r="O2356" s="209"/>
      <c r="P2356" s="210"/>
      <c r="Q2356" s="209"/>
      <c r="R2356" s="212"/>
      <c r="S2356" s="209"/>
      <c r="T2356" s="209"/>
      <c r="U2356" s="209" t="s">
        <v>54</v>
      </c>
      <c r="V2356" s="209"/>
      <c r="W2356" s="209"/>
      <c r="X2356" s="209"/>
      <c r="Y2356" s="209"/>
      <c r="Z2356" s="209"/>
      <c r="AA2356" s="209" t="s">
        <v>54</v>
      </c>
      <c r="AB2356" s="212"/>
      <c r="AC2356" s="212"/>
    </row>
    <row r="2357" spans="1:29" outlineLevel="2" x14ac:dyDescent="0.25">
      <c r="A2357" s="201">
        <v>46009</v>
      </c>
      <c r="D2357" s="198" t="s">
        <v>54</v>
      </c>
      <c r="E2357" s="202">
        <v>13474519.75</v>
      </c>
      <c r="K2357" s="198" t="s">
        <v>1189</v>
      </c>
      <c r="L2357" s="198" t="s">
        <v>169</v>
      </c>
      <c r="P2357" s="201"/>
      <c r="R2357" s="202">
        <v>13474519.75</v>
      </c>
      <c r="U2357" s="198" t="s">
        <v>168</v>
      </c>
      <c r="AA2357" s="198" t="s">
        <v>51</v>
      </c>
      <c r="AB2357" s="202">
        <v>13474519.75</v>
      </c>
      <c r="AC2357" s="202">
        <v>13474519.75</v>
      </c>
    </row>
    <row r="2358" spans="1:29" outlineLevel="2" x14ac:dyDescent="0.25">
      <c r="A2358" s="201">
        <v>46017</v>
      </c>
      <c r="D2358" s="198" t="s">
        <v>54</v>
      </c>
      <c r="E2358" s="202">
        <v>-1335219.75</v>
      </c>
      <c r="K2358" s="198" t="s">
        <v>1189</v>
      </c>
      <c r="L2358" s="198" t="s">
        <v>169</v>
      </c>
      <c r="P2358" s="201"/>
      <c r="R2358" s="202">
        <v>-1335219.75</v>
      </c>
      <c r="U2358" s="198" t="s">
        <v>168</v>
      </c>
      <c r="AA2358" s="198" t="s">
        <v>51</v>
      </c>
      <c r="AB2358" s="202">
        <v>-1335219.75</v>
      </c>
      <c r="AC2358" s="202">
        <v>-1335219.75</v>
      </c>
    </row>
    <row r="2359" spans="1:29" outlineLevel="2" x14ac:dyDescent="0.25">
      <c r="A2359" s="201">
        <v>46023</v>
      </c>
      <c r="D2359" s="198" t="s">
        <v>54</v>
      </c>
      <c r="E2359" s="202">
        <v>4469680</v>
      </c>
      <c r="K2359" s="198" t="s">
        <v>1189</v>
      </c>
      <c r="L2359" s="198" t="s">
        <v>169</v>
      </c>
      <c r="P2359" s="201"/>
      <c r="R2359" s="202">
        <v>4469680</v>
      </c>
      <c r="U2359" s="198" t="s">
        <v>168</v>
      </c>
      <c r="AA2359" s="198" t="s">
        <v>51</v>
      </c>
      <c r="AB2359" s="202">
        <v>4469680</v>
      </c>
      <c r="AC2359" s="202">
        <v>4469680</v>
      </c>
    </row>
    <row r="2360" spans="1:29" outlineLevel="2" x14ac:dyDescent="0.25">
      <c r="A2360" s="201">
        <v>46112</v>
      </c>
      <c r="D2360" s="198" t="s">
        <v>54</v>
      </c>
      <c r="E2360" s="202">
        <v>-122105</v>
      </c>
      <c r="K2360" s="198" t="s">
        <v>1189</v>
      </c>
      <c r="L2360" s="198" t="s">
        <v>169</v>
      </c>
      <c r="P2360" s="201"/>
      <c r="R2360" s="202">
        <v>-122105</v>
      </c>
      <c r="U2360" s="198" t="s">
        <v>168</v>
      </c>
      <c r="AA2360" s="198" t="s">
        <v>51</v>
      </c>
      <c r="AB2360" s="202">
        <v>-122105</v>
      </c>
      <c r="AC2360" s="202">
        <v>-122105</v>
      </c>
    </row>
    <row r="2361" spans="1:29" outlineLevel="1" x14ac:dyDescent="0.25">
      <c r="A2361" s="210"/>
      <c r="B2361" s="209"/>
      <c r="C2361" s="209"/>
      <c r="D2361" s="209" t="s">
        <v>54</v>
      </c>
      <c r="E2361" s="211">
        <v>16486875</v>
      </c>
      <c r="F2361" s="209"/>
      <c r="G2361" s="209"/>
      <c r="H2361" s="209"/>
      <c r="I2361" s="209"/>
      <c r="J2361" s="209"/>
      <c r="K2361" s="209" t="s">
        <v>54</v>
      </c>
      <c r="L2361" s="209" t="s">
        <v>54</v>
      </c>
      <c r="M2361" s="209"/>
      <c r="N2361" s="209"/>
      <c r="O2361" s="209"/>
      <c r="P2361" s="210"/>
      <c r="Q2361" s="209"/>
      <c r="R2361" s="212"/>
      <c r="S2361" s="209"/>
      <c r="T2361" s="209"/>
      <c r="U2361" s="209" t="s">
        <v>54</v>
      </c>
      <c r="V2361" s="209"/>
      <c r="W2361" s="209"/>
      <c r="X2361" s="209"/>
      <c r="Y2361" s="209"/>
      <c r="Z2361" s="209"/>
      <c r="AA2361" s="209" t="s">
        <v>54</v>
      </c>
      <c r="AB2361" s="212"/>
      <c r="AC2361" s="212"/>
    </row>
    <row r="2362" spans="1:29" outlineLevel="2" x14ac:dyDescent="0.25">
      <c r="A2362" s="201">
        <v>46009</v>
      </c>
      <c r="D2362" s="198" t="s">
        <v>54</v>
      </c>
      <c r="E2362" s="202">
        <v>4950375</v>
      </c>
      <c r="K2362" s="198" t="s">
        <v>1191</v>
      </c>
      <c r="L2362" s="198" t="s">
        <v>169</v>
      </c>
      <c r="P2362" s="201"/>
      <c r="R2362" s="202">
        <v>4950375</v>
      </c>
      <c r="U2362" s="198" t="s">
        <v>1190</v>
      </c>
      <c r="AA2362" s="198" t="s">
        <v>51</v>
      </c>
      <c r="AB2362" s="202">
        <v>4950375</v>
      </c>
      <c r="AC2362" s="202">
        <v>4950375</v>
      </c>
    </row>
    <row r="2363" spans="1:29" outlineLevel="2" x14ac:dyDescent="0.25">
      <c r="A2363" s="201">
        <v>46017</v>
      </c>
      <c r="D2363" s="198" t="s">
        <v>54</v>
      </c>
      <c r="E2363" s="202">
        <v>-4875375</v>
      </c>
      <c r="K2363" s="198" t="s">
        <v>1191</v>
      </c>
      <c r="L2363" s="198" t="s">
        <v>169</v>
      </c>
      <c r="P2363" s="201"/>
      <c r="R2363" s="202">
        <v>-4875375</v>
      </c>
      <c r="U2363" s="198" t="s">
        <v>1190</v>
      </c>
      <c r="AA2363" s="198" t="s">
        <v>51</v>
      </c>
      <c r="AB2363" s="202">
        <v>-4875375</v>
      </c>
      <c r="AC2363" s="202">
        <v>-4875375</v>
      </c>
    </row>
    <row r="2364" spans="1:29" outlineLevel="1" x14ac:dyDescent="0.25">
      <c r="A2364" s="210"/>
      <c r="B2364" s="209"/>
      <c r="C2364" s="209"/>
      <c r="D2364" s="209" t="s">
        <v>54</v>
      </c>
      <c r="E2364" s="211">
        <v>75000</v>
      </c>
      <c r="F2364" s="209"/>
      <c r="G2364" s="209"/>
      <c r="H2364" s="209"/>
      <c r="I2364" s="209"/>
      <c r="J2364" s="209"/>
      <c r="K2364" s="209" t="s">
        <v>54</v>
      </c>
      <c r="L2364" s="209" t="s">
        <v>54</v>
      </c>
      <c r="M2364" s="209"/>
      <c r="N2364" s="209"/>
      <c r="O2364" s="209"/>
      <c r="P2364" s="210"/>
      <c r="Q2364" s="209"/>
      <c r="R2364" s="212"/>
      <c r="S2364" s="209"/>
      <c r="T2364" s="209"/>
      <c r="U2364" s="209" t="s">
        <v>54</v>
      </c>
      <c r="V2364" s="209"/>
      <c r="W2364" s="209"/>
      <c r="X2364" s="209"/>
      <c r="Y2364" s="209"/>
      <c r="Z2364" s="209"/>
      <c r="AA2364" s="209" t="s">
        <v>54</v>
      </c>
      <c r="AB2364" s="212"/>
      <c r="AC2364" s="212"/>
    </row>
    <row r="2365" spans="1:29" outlineLevel="2" x14ac:dyDescent="0.25">
      <c r="A2365" s="201">
        <v>46009</v>
      </c>
      <c r="D2365" s="198" t="s">
        <v>54</v>
      </c>
      <c r="E2365" s="202">
        <v>8192625</v>
      </c>
      <c r="K2365" s="198" t="s">
        <v>1192</v>
      </c>
      <c r="L2365" s="198" t="s">
        <v>169</v>
      </c>
      <c r="P2365" s="201"/>
      <c r="R2365" s="202">
        <v>8192625</v>
      </c>
      <c r="U2365" s="198" t="s">
        <v>730</v>
      </c>
      <c r="AA2365" s="198" t="s">
        <v>51</v>
      </c>
      <c r="AB2365" s="202">
        <v>8192625</v>
      </c>
      <c r="AC2365" s="202">
        <v>8192625</v>
      </c>
    </row>
    <row r="2366" spans="1:29" outlineLevel="2" x14ac:dyDescent="0.25">
      <c r="A2366" s="201">
        <v>46017</v>
      </c>
      <c r="D2366" s="198" t="s">
        <v>54</v>
      </c>
      <c r="E2366" s="202">
        <v>-391625</v>
      </c>
      <c r="K2366" s="198" t="s">
        <v>1192</v>
      </c>
      <c r="L2366" s="198" t="s">
        <v>169</v>
      </c>
      <c r="P2366" s="201"/>
      <c r="R2366" s="202">
        <v>-391625</v>
      </c>
      <c r="U2366" s="198" t="s">
        <v>730</v>
      </c>
      <c r="AA2366" s="198" t="s">
        <v>51</v>
      </c>
      <c r="AB2366" s="202">
        <v>-391625</v>
      </c>
      <c r="AC2366" s="202">
        <v>-391625</v>
      </c>
    </row>
    <row r="2367" spans="1:29" outlineLevel="1" x14ac:dyDescent="0.25">
      <c r="A2367" s="210"/>
      <c r="B2367" s="209"/>
      <c r="C2367" s="209"/>
      <c r="D2367" s="209" t="s">
        <v>54</v>
      </c>
      <c r="E2367" s="211">
        <v>7801000</v>
      </c>
      <c r="F2367" s="209"/>
      <c r="G2367" s="209"/>
      <c r="H2367" s="209"/>
      <c r="I2367" s="209"/>
      <c r="J2367" s="209"/>
      <c r="K2367" s="209" t="s">
        <v>54</v>
      </c>
      <c r="L2367" s="209" t="s">
        <v>54</v>
      </c>
      <c r="M2367" s="209"/>
      <c r="N2367" s="209"/>
      <c r="O2367" s="209"/>
      <c r="P2367" s="210"/>
      <c r="Q2367" s="209"/>
      <c r="R2367" s="212"/>
      <c r="S2367" s="209"/>
      <c r="T2367" s="209"/>
      <c r="U2367" s="209" t="s">
        <v>54</v>
      </c>
      <c r="V2367" s="209"/>
      <c r="W2367" s="209"/>
      <c r="X2367" s="209"/>
      <c r="Y2367" s="209"/>
      <c r="Z2367" s="209"/>
      <c r="AA2367" s="209" t="s">
        <v>54</v>
      </c>
      <c r="AB2367" s="212"/>
      <c r="AC2367" s="212"/>
    </row>
    <row r="2368" spans="1:29" outlineLevel="2" x14ac:dyDescent="0.25">
      <c r="A2368" s="201">
        <v>46146</v>
      </c>
      <c r="D2368" s="198" t="s">
        <v>54</v>
      </c>
      <c r="E2368" s="202">
        <v>3001000</v>
      </c>
      <c r="K2368" s="198" t="s">
        <v>1765</v>
      </c>
      <c r="L2368" s="198" t="s">
        <v>169</v>
      </c>
      <c r="P2368" s="201"/>
      <c r="R2368" s="202">
        <v>3001000</v>
      </c>
      <c r="U2368" s="198" t="s">
        <v>1756</v>
      </c>
      <c r="AA2368" s="198" t="s">
        <v>51</v>
      </c>
      <c r="AB2368" s="202">
        <v>3001000</v>
      </c>
      <c r="AC2368" s="202">
        <v>3001000</v>
      </c>
    </row>
    <row r="2369" spans="1:29" outlineLevel="1" x14ac:dyDescent="0.25">
      <c r="A2369" s="210"/>
      <c r="B2369" s="209"/>
      <c r="C2369" s="209"/>
      <c r="D2369" s="209" t="s">
        <v>54</v>
      </c>
      <c r="E2369" s="211">
        <v>3001000</v>
      </c>
      <c r="F2369" s="209"/>
      <c r="G2369" s="209"/>
      <c r="H2369" s="209"/>
      <c r="I2369" s="209"/>
      <c r="J2369" s="209"/>
      <c r="K2369" s="209" t="s">
        <v>54</v>
      </c>
      <c r="L2369" s="209" t="s">
        <v>54</v>
      </c>
      <c r="M2369" s="209"/>
      <c r="N2369" s="209"/>
      <c r="O2369" s="209"/>
      <c r="P2369" s="210"/>
      <c r="Q2369" s="209"/>
      <c r="R2369" s="212"/>
      <c r="S2369" s="209"/>
      <c r="T2369" s="209"/>
      <c r="U2369" s="209" t="s">
        <v>54</v>
      </c>
      <c r="V2369" s="209"/>
      <c r="W2369" s="209"/>
      <c r="X2369" s="209"/>
      <c r="Y2369" s="209"/>
      <c r="Z2369" s="209"/>
      <c r="AA2369" s="209" t="s">
        <v>54</v>
      </c>
      <c r="AB2369" s="212"/>
      <c r="AC2369" s="212"/>
    </row>
    <row r="2370" spans="1:29" outlineLevel="2" x14ac:dyDescent="0.25">
      <c r="A2370" s="201">
        <v>46115</v>
      </c>
      <c r="D2370" s="198" t="s">
        <v>54</v>
      </c>
      <c r="E2370" s="202">
        <v>4720100</v>
      </c>
      <c r="K2370" s="198" t="s">
        <v>1193</v>
      </c>
      <c r="L2370" s="198" t="s">
        <v>169</v>
      </c>
      <c r="P2370" s="201"/>
      <c r="R2370" s="202">
        <v>4720100</v>
      </c>
      <c r="U2370" s="198" t="s">
        <v>849</v>
      </c>
      <c r="AA2370" s="198" t="s">
        <v>51</v>
      </c>
      <c r="AB2370" s="202">
        <v>4720100</v>
      </c>
      <c r="AC2370" s="202">
        <v>4720100</v>
      </c>
    </row>
    <row r="2371" spans="1:29" outlineLevel="1" x14ac:dyDescent="0.25">
      <c r="A2371" s="210"/>
      <c r="B2371" s="209"/>
      <c r="C2371" s="209"/>
      <c r="D2371" s="209" t="s">
        <v>54</v>
      </c>
      <c r="E2371" s="211">
        <v>4720100</v>
      </c>
      <c r="F2371" s="209"/>
      <c r="G2371" s="209"/>
      <c r="H2371" s="209"/>
      <c r="I2371" s="209"/>
      <c r="J2371" s="209"/>
      <c r="K2371" s="209" t="s">
        <v>54</v>
      </c>
      <c r="L2371" s="209" t="s">
        <v>54</v>
      </c>
      <c r="M2371" s="209"/>
      <c r="N2371" s="209"/>
      <c r="O2371" s="209"/>
      <c r="P2371" s="210"/>
      <c r="Q2371" s="209"/>
      <c r="R2371" s="212"/>
      <c r="S2371" s="209"/>
      <c r="T2371" s="209"/>
      <c r="U2371" s="209" t="s">
        <v>54</v>
      </c>
      <c r="V2371" s="209"/>
      <c r="W2371" s="209"/>
      <c r="X2371" s="209"/>
      <c r="Y2371" s="209"/>
      <c r="Z2371" s="209"/>
      <c r="AA2371" s="209" t="s">
        <v>54</v>
      </c>
      <c r="AB2371" s="212"/>
      <c r="AC2371" s="212"/>
    </row>
    <row r="2372" spans="1:29" outlineLevel="2" x14ac:dyDescent="0.25">
      <c r="A2372" s="201">
        <v>46008</v>
      </c>
      <c r="D2372" s="198" t="s">
        <v>54</v>
      </c>
      <c r="E2372" s="202">
        <v>7021000</v>
      </c>
      <c r="K2372" s="198" t="s">
        <v>1992</v>
      </c>
      <c r="L2372" s="198" t="s">
        <v>153</v>
      </c>
      <c r="P2372" s="201"/>
      <c r="R2372" s="202">
        <v>7021000</v>
      </c>
      <c r="U2372" s="198" t="s">
        <v>153</v>
      </c>
      <c r="AA2372" s="198" t="s">
        <v>51</v>
      </c>
      <c r="AB2372" s="202">
        <v>7021000</v>
      </c>
      <c r="AC2372" s="202">
        <v>7021000</v>
      </c>
    </row>
    <row r="2373" spans="1:29" outlineLevel="2" x14ac:dyDescent="0.25">
      <c r="A2373" s="201">
        <v>46021</v>
      </c>
      <c r="D2373" s="198" t="s">
        <v>54</v>
      </c>
      <c r="E2373" s="202">
        <v>-881000</v>
      </c>
      <c r="K2373" s="198" t="s">
        <v>1992</v>
      </c>
      <c r="L2373" s="198" t="s">
        <v>153</v>
      </c>
      <c r="P2373" s="201"/>
      <c r="R2373" s="202">
        <v>-881000</v>
      </c>
      <c r="U2373" s="198" t="s">
        <v>153</v>
      </c>
      <c r="AA2373" s="198" t="s">
        <v>51</v>
      </c>
      <c r="AB2373" s="202">
        <v>-881000</v>
      </c>
      <c r="AC2373" s="202">
        <v>-881000</v>
      </c>
    </row>
    <row r="2374" spans="1:29" outlineLevel="2" x14ac:dyDescent="0.25">
      <c r="A2374" s="201">
        <v>46022</v>
      </c>
      <c r="D2374" s="198" t="s">
        <v>54</v>
      </c>
      <c r="E2374" s="202">
        <v>209000</v>
      </c>
      <c r="K2374" s="198" t="s">
        <v>1992</v>
      </c>
      <c r="L2374" s="198" t="s">
        <v>153</v>
      </c>
      <c r="P2374" s="201"/>
      <c r="R2374" s="202">
        <v>209000</v>
      </c>
      <c r="U2374" s="198" t="s">
        <v>153</v>
      </c>
      <c r="AA2374" s="198" t="s">
        <v>51</v>
      </c>
      <c r="AB2374" s="202">
        <v>209000</v>
      </c>
      <c r="AC2374" s="202">
        <v>209000</v>
      </c>
    </row>
    <row r="2375" spans="1:29" outlineLevel="2" x14ac:dyDescent="0.25">
      <c r="A2375" s="201">
        <v>46022</v>
      </c>
      <c r="D2375" s="198" t="s">
        <v>54</v>
      </c>
      <c r="E2375" s="202">
        <v>200000</v>
      </c>
      <c r="K2375" s="198" t="s">
        <v>1992</v>
      </c>
      <c r="L2375" s="198" t="s">
        <v>153</v>
      </c>
      <c r="P2375" s="201"/>
      <c r="R2375" s="202">
        <v>200000</v>
      </c>
      <c r="U2375" s="198" t="s">
        <v>153</v>
      </c>
      <c r="AA2375" s="198" t="s">
        <v>51</v>
      </c>
      <c r="AB2375" s="202">
        <v>200000</v>
      </c>
      <c r="AC2375" s="202">
        <v>200000</v>
      </c>
    </row>
    <row r="2376" spans="1:29" outlineLevel="2" x14ac:dyDescent="0.25">
      <c r="A2376" s="201">
        <v>46023</v>
      </c>
      <c r="D2376" s="198" t="s">
        <v>54</v>
      </c>
      <c r="E2376" s="202">
        <v>12625000</v>
      </c>
      <c r="K2376" s="198" t="s">
        <v>1992</v>
      </c>
      <c r="L2376" s="198" t="s">
        <v>153</v>
      </c>
      <c r="P2376" s="201"/>
      <c r="R2376" s="202">
        <v>12625000</v>
      </c>
      <c r="U2376" s="198" t="s">
        <v>153</v>
      </c>
      <c r="AA2376" s="198" t="s">
        <v>51</v>
      </c>
      <c r="AB2376" s="202">
        <v>12625000</v>
      </c>
      <c r="AC2376" s="202">
        <v>12625000</v>
      </c>
    </row>
    <row r="2377" spans="1:29" outlineLevel="2" x14ac:dyDescent="0.25">
      <c r="A2377" s="201">
        <v>46024</v>
      </c>
      <c r="D2377" s="198" t="s">
        <v>54</v>
      </c>
      <c r="E2377" s="202">
        <v>14500</v>
      </c>
      <c r="K2377" s="198" t="s">
        <v>1992</v>
      </c>
      <c r="L2377" s="198" t="s">
        <v>153</v>
      </c>
      <c r="P2377" s="201"/>
      <c r="R2377" s="202">
        <v>14500</v>
      </c>
      <c r="U2377" s="198" t="s">
        <v>153</v>
      </c>
      <c r="AA2377" s="198" t="s">
        <v>51</v>
      </c>
      <c r="AB2377" s="202">
        <v>14500</v>
      </c>
      <c r="AC2377" s="202">
        <v>14500</v>
      </c>
    </row>
    <row r="2378" spans="1:29" outlineLevel="2" x14ac:dyDescent="0.25">
      <c r="A2378" s="201">
        <v>46029</v>
      </c>
      <c r="D2378" s="198" t="s">
        <v>54</v>
      </c>
      <c r="E2378" s="202">
        <v>7940000</v>
      </c>
      <c r="K2378" s="198" t="s">
        <v>1992</v>
      </c>
      <c r="L2378" s="198" t="s">
        <v>153</v>
      </c>
      <c r="P2378" s="201"/>
      <c r="R2378" s="202">
        <v>7940000</v>
      </c>
      <c r="U2378" s="198" t="s">
        <v>153</v>
      </c>
      <c r="AA2378" s="198" t="s">
        <v>51</v>
      </c>
      <c r="AB2378" s="202">
        <v>7940000</v>
      </c>
      <c r="AC2378" s="202">
        <v>7940000</v>
      </c>
    </row>
    <row r="2379" spans="1:29" outlineLevel="2" x14ac:dyDescent="0.25">
      <c r="A2379" s="201">
        <v>46030</v>
      </c>
      <c r="D2379" s="198" t="s">
        <v>54</v>
      </c>
      <c r="E2379" s="202">
        <v>4684999</v>
      </c>
      <c r="K2379" s="198" t="s">
        <v>1992</v>
      </c>
      <c r="L2379" s="198" t="s">
        <v>153</v>
      </c>
      <c r="P2379" s="201"/>
      <c r="R2379" s="202">
        <v>4684999</v>
      </c>
      <c r="U2379" s="198" t="s">
        <v>153</v>
      </c>
      <c r="AA2379" s="198" t="s">
        <v>51</v>
      </c>
      <c r="AB2379" s="202">
        <v>4684999</v>
      </c>
      <c r="AC2379" s="202">
        <v>4684999</v>
      </c>
    </row>
    <row r="2380" spans="1:29" outlineLevel="2" x14ac:dyDescent="0.25">
      <c r="A2380" s="201">
        <v>46031</v>
      </c>
      <c r="D2380" s="198" t="s">
        <v>54</v>
      </c>
      <c r="E2380" s="202">
        <v>2124000</v>
      </c>
      <c r="K2380" s="198" t="s">
        <v>1992</v>
      </c>
      <c r="L2380" s="198" t="s">
        <v>153</v>
      </c>
      <c r="P2380" s="201"/>
      <c r="R2380" s="202">
        <v>2124000</v>
      </c>
      <c r="U2380" s="198" t="s">
        <v>153</v>
      </c>
      <c r="AA2380" s="198" t="s">
        <v>51</v>
      </c>
      <c r="AB2380" s="202">
        <v>2124000</v>
      </c>
      <c r="AC2380" s="202">
        <v>2124000</v>
      </c>
    </row>
    <row r="2381" spans="1:29" outlineLevel="2" x14ac:dyDescent="0.25">
      <c r="A2381" s="201">
        <v>46045</v>
      </c>
      <c r="D2381" s="198" t="s">
        <v>54</v>
      </c>
      <c r="E2381" s="202">
        <v>100000</v>
      </c>
      <c r="K2381" s="198" t="s">
        <v>1992</v>
      </c>
      <c r="L2381" s="198" t="s">
        <v>153</v>
      </c>
      <c r="P2381" s="201"/>
      <c r="R2381" s="202">
        <v>100000</v>
      </c>
      <c r="U2381" s="198" t="s">
        <v>153</v>
      </c>
      <c r="AA2381" s="198" t="s">
        <v>51</v>
      </c>
      <c r="AB2381" s="202">
        <v>100000</v>
      </c>
      <c r="AC2381" s="202">
        <v>100000</v>
      </c>
    </row>
    <row r="2382" spans="1:29" outlineLevel="2" x14ac:dyDescent="0.25">
      <c r="A2382" s="201">
        <v>46056</v>
      </c>
      <c r="D2382" s="198" t="s">
        <v>54</v>
      </c>
      <c r="E2382" s="202">
        <v>800000</v>
      </c>
      <c r="K2382" s="198" t="s">
        <v>1992</v>
      </c>
      <c r="L2382" s="198" t="s">
        <v>153</v>
      </c>
      <c r="P2382" s="201"/>
      <c r="R2382" s="202">
        <v>800000</v>
      </c>
      <c r="U2382" s="198" t="s">
        <v>153</v>
      </c>
      <c r="AA2382" s="198" t="s">
        <v>51</v>
      </c>
      <c r="AB2382" s="202">
        <v>800000</v>
      </c>
      <c r="AC2382" s="202">
        <v>800000</v>
      </c>
    </row>
    <row r="2383" spans="1:29" outlineLevel="2" x14ac:dyDescent="0.25">
      <c r="A2383" s="201">
        <v>46058</v>
      </c>
      <c r="D2383" s="198" t="s">
        <v>54</v>
      </c>
      <c r="E2383" s="202">
        <v>408000</v>
      </c>
      <c r="K2383" s="198" t="s">
        <v>1992</v>
      </c>
      <c r="L2383" s="198" t="s">
        <v>153</v>
      </c>
      <c r="P2383" s="201"/>
      <c r="R2383" s="202">
        <v>408000</v>
      </c>
      <c r="U2383" s="198" t="s">
        <v>153</v>
      </c>
      <c r="AA2383" s="198" t="s">
        <v>51</v>
      </c>
      <c r="AB2383" s="202">
        <v>408000</v>
      </c>
      <c r="AC2383" s="202">
        <v>408000</v>
      </c>
    </row>
    <row r="2384" spans="1:29" outlineLevel="2" x14ac:dyDescent="0.25">
      <c r="A2384" s="201">
        <v>46058</v>
      </c>
      <c r="D2384" s="198" t="s">
        <v>54</v>
      </c>
      <c r="E2384" s="202">
        <v>490560</v>
      </c>
      <c r="K2384" s="198" t="s">
        <v>1992</v>
      </c>
      <c r="L2384" s="198" t="s">
        <v>153</v>
      </c>
      <c r="P2384" s="201"/>
      <c r="R2384" s="202">
        <v>490560</v>
      </c>
      <c r="U2384" s="198" t="s">
        <v>153</v>
      </c>
      <c r="AA2384" s="198" t="s">
        <v>51</v>
      </c>
      <c r="AB2384" s="202">
        <v>490560</v>
      </c>
      <c r="AC2384" s="202">
        <v>490560</v>
      </c>
    </row>
    <row r="2385" spans="1:29" outlineLevel="2" x14ac:dyDescent="0.25">
      <c r="A2385" s="201">
        <v>46058</v>
      </c>
      <c r="D2385" s="198" t="s">
        <v>54</v>
      </c>
      <c r="E2385" s="202">
        <v>964000</v>
      </c>
      <c r="K2385" s="198" t="s">
        <v>1992</v>
      </c>
      <c r="L2385" s="198" t="s">
        <v>153</v>
      </c>
      <c r="P2385" s="201"/>
      <c r="R2385" s="202">
        <v>964000</v>
      </c>
      <c r="U2385" s="198" t="s">
        <v>153</v>
      </c>
      <c r="AA2385" s="198" t="s">
        <v>51</v>
      </c>
      <c r="AB2385" s="202">
        <v>964000</v>
      </c>
      <c r="AC2385" s="202">
        <v>964000</v>
      </c>
    </row>
    <row r="2386" spans="1:29" outlineLevel="2" x14ac:dyDescent="0.25">
      <c r="A2386" s="201">
        <v>46060</v>
      </c>
      <c r="D2386" s="198" t="s">
        <v>54</v>
      </c>
      <c r="E2386" s="202">
        <v>7765916</v>
      </c>
      <c r="K2386" s="198" t="s">
        <v>1992</v>
      </c>
      <c r="L2386" s="198" t="s">
        <v>153</v>
      </c>
      <c r="P2386" s="201"/>
      <c r="R2386" s="202">
        <v>7765916</v>
      </c>
      <c r="U2386" s="198" t="s">
        <v>153</v>
      </c>
      <c r="AA2386" s="198" t="s">
        <v>51</v>
      </c>
      <c r="AB2386" s="202">
        <v>7765916</v>
      </c>
      <c r="AC2386" s="202">
        <v>7765916</v>
      </c>
    </row>
    <row r="2387" spans="1:29" outlineLevel="2" x14ac:dyDescent="0.25">
      <c r="A2387" s="201">
        <v>46064</v>
      </c>
      <c r="D2387" s="198" t="s">
        <v>54</v>
      </c>
      <c r="E2387" s="202">
        <v>375000</v>
      </c>
      <c r="K2387" s="198" t="s">
        <v>1992</v>
      </c>
      <c r="L2387" s="198" t="s">
        <v>153</v>
      </c>
      <c r="P2387" s="201"/>
      <c r="R2387" s="202">
        <v>375000</v>
      </c>
      <c r="U2387" s="198" t="s">
        <v>153</v>
      </c>
      <c r="AA2387" s="198" t="s">
        <v>51</v>
      </c>
      <c r="AB2387" s="202">
        <v>375000</v>
      </c>
      <c r="AC2387" s="202">
        <v>375000</v>
      </c>
    </row>
    <row r="2388" spans="1:29" outlineLevel="2" x14ac:dyDescent="0.25">
      <c r="A2388" s="201">
        <v>46064</v>
      </c>
      <c r="D2388" s="198" t="s">
        <v>54</v>
      </c>
      <c r="E2388" s="202">
        <v>-375000</v>
      </c>
      <c r="K2388" s="198" t="s">
        <v>1992</v>
      </c>
      <c r="L2388" s="198" t="s">
        <v>153</v>
      </c>
      <c r="P2388" s="201"/>
      <c r="R2388" s="202">
        <v>-375000</v>
      </c>
      <c r="U2388" s="198" t="s">
        <v>153</v>
      </c>
      <c r="AA2388" s="198" t="s">
        <v>51</v>
      </c>
      <c r="AB2388" s="202">
        <v>-375000</v>
      </c>
      <c r="AC2388" s="202">
        <v>-375000</v>
      </c>
    </row>
    <row r="2389" spans="1:29" outlineLevel="2" x14ac:dyDescent="0.25">
      <c r="A2389" s="201">
        <v>46064</v>
      </c>
      <c r="D2389" s="198" t="s">
        <v>54</v>
      </c>
      <c r="E2389" s="202">
        <v>-800000</v>
      </c>
      <c r="K2389" s="198" t="s">
        <v>1992</v>
      </c>
      <c r="L2389" s="198" t="s">
        <v>153</v>
      </c>
      <c r="P2389" s="201"/>
      <c r="R2389" s="202">
        <v>-800000</v>
      </c>
      <c r="U2389" s="198" t="s">
        <v>153</v>
      </c>
      <c r="AA2389" s="198" t="s">
        <v>51</v>
      </c>
      <c r="AB2389" s="202">
        <v>-800000</v>
      </c>
      <c r="AC2389" s="202">
        <v>-800000</v>
      </c>
    </row>
    <row r="2390" spans="1:29" outlineLevel="2" x14ac:dyDescent="0.25">
      <c r="A2390" s="201">
        <v>46066</v>
      </c>
      <c r="D2390" s="198" t="s">
        <v>54</v>
      </c>
      <c r="E2390" s="202">
        <v>1062000</v>
      </c>
      <c r="K2390" s="198" t="s">
        <v>1992</v>
      </c>
      <c r="L2390" s="198" t="s">
        <v>153</v>
      </c>
      <c r="P2390" s="201"/>
      <c r="R2390" s="202">
        <v>1062000</v>
      </c>
      <c r="U2390" s="198" t="s">
        <v>153</v>
      </c>
      <c r="AA2390" s="198" t="s">
        <v>51</v>
      </c>
      <c r="AB2390" s="202">
        <v>1062000</v>
      </c>
      <c r="AC2390" s="202">
        <v>1062000</v>
      </c>
    </row>
    <row r="2391" spans="1:29" outlineLevel="2" x14ac:dyDescent="0.25">
      <c r="A2391" s="201">
        <v>46066</v>
      </c>
      <c r="D2391" s="198" t="s">
        <v>54</v>
      </c>
      <c r="E2391" s="202">
        <v>2983050847</v>
      </c>
      <c r="K2391" s="198" t="s">
        <v>1992</v>
      </c>
      <c r="L2391" s="198" t="s">
        <v>153</v>
      </c>
      <c r="P2391" s="201"/>
      <c r="R2391" s="202">
        <v>2983050847</v>
      </c>
      <c r="U2391" s="198" t="s">
        <v>153</v>
      </c>
      <c r="AA2391" s="198" t="s">
        <v>51</v>
      </c>
      <c r="AB2391" s="202">
        <v>2983050847</v>
      </c>
      <c r="AC2391" s="202">
        <v>2983050847</v>
      </c>
    </row>
    <row r="2392" spans="1:29" outlineLevel="2" x14ac:dyDescent="0.25">
      <c r="A2392" s="201">
        <v>46067</v>
      </c>
      <c r="D2392" s="198" t="s">
        <v>54</v>
      </c>
      <c r="E2392" s="202">
        <v>578860.80000000005</v>
      </c>
      <c r="K2392" s="198" t="s">
        <v>1992</v>
      </c>
      <c r="L2392" s="198" t="s">
        <v>153</v>
      </c>
      <c r="P2392" s="201"/>
      <c r="R2392" s="202">
        <v>578860.80000000005</v>
      </c>
      <c r="U2392" s="198" t="s">
        <v>153</v>
      </c>
      <c r="AA2392" s="198" t="s">
        <v>51</v>
      </c>
      <c r="AB2392" s="202">
        <v>578860.80000000005</v>
      </c>
      <c r="AC2392" s="202">
        <v>578860.80000000005</v>
      </c>
    </row>
    <row r="2393" spans="1:29" outlineLevel="2" x14ac:dyDescent="0.25">
      <c r="A2393" s="201">
        <v>46070</v>
      </c>
      <c r="D2393" s="198" t="s">
        <v>54</v>
      </c>
      <c r="E2393" s="202">
        <v>134000</v>
      </c>
      <c r="K2393" s="198" t="s">
        <v>1992</v>
      </c>
      <c r="L2393" s="198" t="s">
        <v>153</v>
      </c>
      <c r="P2393" s="201"/>
      <c r="R2393" s="202">
        <v>134000</v>
      </c>
      <c r="U2393" s="198" t="s">
        <v>153</v>
      </c>
      <c r="AA2393" s="198" t="s">
        <v>51</v>
      </c>
      <c r="AB2393" s="202">
        <v>134000</v>
      </c>
      <c r="AC2393" s="202">
        <v>134000</v>
      </c>
    </row>
    <row r="2394" spans="1:29" outlineLevel="2" x14ac:dyDescent="0.25">
      <c r="A2394" s="201">
        <v>46078</v>
      </c>
      <c r="D2394" s="198" t="s">
        <v>54</v>
      </c>
      <c r="E2394" s="202">
        <v>1305289.2</v>
      </c>
      <c r="K2394" s="198" t="s">
        <v>1992</v>
      </c>
      <c r="L2394" s="198" t="s">
        <v>153</v>
      </c>
      <c r="P2394" s="201"/>
      <c r="R2394" s="202">
        <v>1305289.2</v>
      </c>
      <c r="U2394" s="198" t="s">
        <v>153</v>
      </c>
      <c r="AA2394" s="198" t="s">
        <v>51</v>
      </c>
      <c r="AB2394" s="202">
        <v>1305289.2</v>
      </c>
      <c r="AC2394" s="202">
        <v>1305289.2</v>
      </c>
    </row>
    <row r="2395" spans="1:29" outlineLevel="2" x14ac:dyDescent="0.25">
      <c r="A2395" s="201">
        <v>46098</v>
      </c>
      <c r="D2395" s="198" t="s">
        <v>54</v>
      </c>
      <c r="E2395" s="202">
        <v>1045984</v>
      </c>
      <c r="K2395" s="198" t="s">
        <v>1992</v>
      </c>
      <c r="L2395" s="198" t="s">
        <v>153</v>
      </c>
      <c r="P2395" s="201"/>
      <c r="R2395" s="202">
        <v>1045984</v>
      </c>
      <c r="U2395" s="198" t="s">
        <v>153</v>
      </c>
      <c r="AA2395" s="198" t="s">
        <v>51</v>
      </c>
      <c r="AB2395" s="202">
        <v>1045984</v>
      </c>
      <c r="AC2395" s="202">
        <v>1045984</v>
      </c>
    </row>
    <row r="2396" spans="1:29" outlineLevel="2" x14ac:dyDescent="0.25">
      <c r="A2396" s="201">
        <v>46115</v>
      </c>
      <c r="D2396" s="198" t="s">
        <v>54</v>
      </c>
      <c r="E2396" s="202">
        <v>6670640</v>
      </c>
      <c r="K2396" s="198" t="s">
        <v>1992</v>
      </c>
      <c r="L2396" s="198" t="s">
        <v>153</v>
      </c>
      <c r="P2396" s="201"/>
      <c r="R2396" s="202">
        <v>6670640</v>
      </c>
      <c r="U2396" s="198" t="s">
        <v>153</v>
      </c>
      <c r="AA2396" s="198" t="s">
        <v>51</v>
      </c>
      <c r="AB2396" s="202">
        <v>6670640</v>
      </c>
      <c r="AC2396" s="202">
        <v>6670640</v>
      </c>
    </row>
    <row r="2397" spans="1:29" outlineLevel="2" x14ac:dyDescent="0.25">
      <c r="A2397" s="201">
        <v>46116</v>
      </c>
      <c r="D2397" s="198" t="s">
        <v>54</v>
      </c>
      <c r="E2397" s="202">
        <v>403000</v>
      </c>
      <c r="K2397" s="198" t="s">
        <v>1992</v>
      </c>
      <c r="L2397" s="198" t="s">
        <v>153</v>
      </c>
      <c r="P2397" s="201"/>
      <c r="R2397" s="202">
        <v>403000</v>
      </c>
      <c r="U2397" s="198" t="s">
        <v>153</v>
      </c>
      <c r="AA2397" s="198" t="s">
        <v>51</v>
      </c>
      <c r="AB2397" s="202">
        <v>403000</v>
      </c>
      <c r="AC2397" s="202">
        <v>403000</v>
      </c>
    </row>
    <row r="2398" spans="1:29" outlineLevel="2" x14ac:dyDescent="0.25">
      <c r="A2398" s="201">
        <v>46122</v>
      </c>
      <c r="D2398" s="198" t="s">
        <v>54</v>
      </c>
      <c r="E2398" s="202">
        <v>311030</v>
      </c>
      <c r="K2398" s="198" t="s">
        <v>1992</v>
      </c>
      <c r="L2398" s="198" t="s">
        <v>153</v>
      </c>
      <c r="P2398" s="201"/>
      <c r="R2398" s="202">
        <v>311030</v>
      </c>
      <c r="U2398" s="198" t="s">
        <v>153</v>
      </c>
      <c r="AA2398" s="198" t="s">
        <v>51</v>
      </c>
      <c r="AB2398" s="202">
        <v>311030</v>
      </c>
      <c r="AC2398" s="202">
        <v>311030</v>
      </c>
    </row>
    <row r="2399" spans="1:29" outlineLevel="2" x14ac:dyDescent="0.25">
      <c r="A2399" s="201">
        <v>46150</v>
      </c>
      <c r="D2399" s="198" t="s">
        <v>54</v>
      </c>
      <c r="E2399" s="202">
        <v>10000</v>
      </c>
      <c r="K2399" s="198" t="s">
        <v>1992</v>
      </c>
      <c r="L2399" s="198" t="s">
        <v>153</v>
      </c>
      <c r="P2399" s="201"/>
      <c r="R2399" s="202">
        <v>10000</v>
      </c>
      <c r="U2399" s="198" t="s">
        <v>153</v>
      </c>
      <c r="AA2399" s="198" t="s">
        <v>51</v>
      </c>
      <c r="AB2399" s="202">
        <v>10000</v>
      </c>
      <c r="AC2399" s="202">
        <v>10000</v>
      </c>
    </row>
    <row r="2400" spans="1:29" outlineLevel="2" x14ac:dyDescent="0.25">
      <c r="A2400" s="201">
        <v>46153</v>
      </c>
      <c r="D2400" s="198" t="s">
        <v>54</v>
      </c>
      <c r="E2400" s="202">
        <v>6500</v>
      </c>
      <c r="K2400" s="198" t="s">
        <v>1992</v>
      </c>
      <c r="L2400" s="198" t="s">
        <v>153</v>
      </c>
      <c r="P2400" s="201"/>
      <c r="R2400" s="202">
        <v>6500</v>
      </c>
      <c r="U2400" s="198" t="s">
        <v>153</v>
      </c>
      <c r="AA2400" s="198" t="s">
        <v>51</v>
      </c>
      <c r="AB2400" s="202">
        <v>6500</v>
      </c>
      <c r="AC2400" s="202">
        <v>6500</v>
      </c>
    </row>
    <row r="2401" spans="1:29" outlineLevel="1" x14ac:dyDescent="0.25">
      <c r="A2401" s="210"/>
      <c r="B2401" s="209"/>
      <c r="C2401" s="209"/>
      <c r="D2401" s="209" t="s">
        <v>54</v>
      </c>
      <c r="E2401" s="211">
        <v>3038244126</v>
      </c>
      <c r="F2401" s="209"/>
      <c r="G2401" s="209"/>
      <c r="H2401" s="209"/>
      <c r="I2401" s="209"/>
      <c r="J2401" s="209"/>
      <c r="K2401" s="209" t="s">
        <v>54</v>
      </c>
      <c r="L2401" s="209" t="s">
        <v>54</v>
      </c>
      <c r="M2401" s="209"/>
      <c r="N2401" s="209"/>
      <c r="O2401" s="209"/>
      <c r="P2401" s="210"/>
      <c r="Q2401" s="209"/>
      <c r="R2401" s="212"/>
      <c r="S2401" s="209"/>
      <c r="T2401" s="209"/>
      <c r="U2401" s="209" t="s">
        <v>54</v>
      </c>
      <c r="V2401" s="209"/>
      <c r="W2401" s="209"/>
      <c r="X2401" s="209"/>
      <c r="Y2401" s="209"/>
      <c r="Z2401" s="209"/>
      <c r="AA2401" s="209" t="s">
        <v>54</v>
      </c>
      <c r="AB2401" s="212"/>
      <c r="AC2401" s="212"/>
    </row>
    <row r="2402" spans="1:29" outlineLevel="2" x14ac:dyDescent="0.25">
      <c r="A2402" s="201">
        <v>46008</v>
      </c>
      <c r="D2402" s="198" t="s">
        <v>54</v>
      </c>
      <c r="E2402" s="202">
        <v>7021000</v>
      </c>
      <c r="K2402" s="198" t="s">
        <v>1993</v>
      </c>
      <c r="L2402" s="198" t="s">
        <v>153</v>
      </c>
      <c r="P2402" s="201"/>
      <c r="R2402" s="202">
        <v>7021000</v>
      </c>
      <c r="U2402" s="198" t="s">
        <v>1194</v>
      </c>
      <c r="AA2402" s="198" t="s">
        <v>51</v>
      </c>
      <c r="AB2402" s="202">
        <v>7021000</v>
      </c>
      <c r="AC2402" s="202">
        <v>7021000</v>
      </c>
    </row>
    <row r="2403" spans="1:29" outlineLevel="2" x14ac:dyDescent="0.25">
      <c r="A2403" s="201">
        <v>46021</v>
      </c>
      <c r="D2403" s="198" t="s">
        <v>54</v>
      </c>
      <c r="E2403" s="202">
        <v>-881000</v>
      </c>
      <c r="K2403" s="198" t="s">
        <v>1993</v>
      </c>
      <c r="L2403" s="198" t="s">
        <v>153</v>
      </c>
      <c r="P2403" s="201"/>
      <c r="R2403" s="202">
        <v>-881000</v>
      </c>
      <c r="U2403" s="198" t="s">
        <v>1194</v>
      </c>
      <c r="AA2403" s="198" t="s">
        <v>51</v>
      </c>
      <c r="AB2403" s="202">
        <v>-881000</v>
      </c>
      <c r="AC2403" s="202">
        <v>-881000</v>
      </c>
    </row>
    <row r="2404" spans="1:29" outlineLevel="2" x14ac:dyDescent="0.25">
      <c r="A2404" s="201">
        <v>46022</v>
      </c>
      <c r="D2404" s="198" t="s">
        <v>54</v>
      </c>
      <c r="E2404" s="202">
        <v>209000</v>
      </c>
      <c r="K2404" s="198" t="s">
        <v>1993</v>
      </c>
      <c r="L2404" s="198" t="s">
        <v>153</v>
      </c>
      <c r="P2404" s="201"/>
      <c r="R2404" s="202">
        <v>209000</v>
      </c>
      <c r="U2404" s="198" t="s">
        <v>1194</v>
      </c>
      <c r="AA2404" s="198" t="s">
        <v>51</v>
      </c>
      <c r="AB2404" s="202">
        <v>209000</v>
      </c>
      <c r="AC2404" s="202">
        <v>209000</v>
      </c>
    </row>
    <row r="2405" spans="1:29" outlineLevel="2" x14ac:dyDescent="0.25">
      <c r="A2405" s="201">
        <v>46022</v>
      </c>
      <c r="D2405" s="198" t="s">
        <v>54</v>
      </c>
      <c r="E2405" s="202">
        <v>200000</v>
      </c>
      <c r="K2405" s="198" t="s">
        <v>1993</v>
      </c>
      <c r="L2405" s="198" t="s">
        <v>153</v>
      </c>
      <c r="P2405" s="201"/>
      <c r="R2405" s="202">
        <v>200000</v>
      </c>
      <c r="U2405" s="198" t="s">
        <v>1194</v>
      </c>
      <c r="AA2405" s="198" t="s">
        <v>51</v>
      </c>
      <c r="AB2405" s="202">
        <v>200000</v>
      </c>
      <c r="AC2405" s="202">
        <v>200000</v>
      </c>
    </row>
    <row r="2406" spans="1:29" outlineLevel="2" x14ac:dyDescent="0.25">
      <c r="A2406" s="201">
        <v>46023</v>
      </c>
      <c r="D2406" s="198" t="s">
        <v>54</v>
      </c>
      <c r="E2406" s="202">
        <v>12625000</v>
      </c>
      <c r="K2406" s="198" t="s">
        <v>1993</v>
      </c>
      <c r="L2406" s="198" t="s">
        <v>153</v>
      </c>
      <c r="P2406" s="201"/>
      <c r="R2406" s="202">
        <v>12625000</v>
      </c>
      <c r="U2406" s="198" t="s">
        <v>1194</v>
      </c>
      <c r="AA2406" s="198" t="s">
        <v>51</v>
      </c>
      <c r="AB2406" s="202">
        <v>12625000</v>
      </c>
      <c r="AC2406" s="202">
        <v>12625000</v>
      </c>
    </row>
    <row r="2407" spans="1:29" outlineLevel="2" x14ac:dyDescent="0.25">
      <c r="A2407" s="201">
        <v>46024</v>
      </c>
      <c r="D2407" s="198" t="s">
        <v>54</v>
      </c>
      <c r="E2407" s="202">
        <v>14500</v>
      </c>
      <c r="K2407" s="198" t="s">
        <v>1993</v>
      </c>
      <c r="L2407" s="198" t="s">
        <v>153</v>
      </c>
      <c r="P2407" s="201"/>
      <c r="R2407" s="202">
        <v>14500</v>
      </c>
      <c r="U2407" s="198" t="s">
        <v>1194</v>
      </c>
      <c r="AA2407" s="198" t="s">
        <v>51</v>
      </c>
      <c r="AB2407" s="202">
        <v>14500</v>
      </c>
      <c r="AC2407" s="202">
        <v>14500</v>
      </c>
    </row>
    <row r="2408" spans="1:29" outlineLevel="2" x14ac:dyDescent="0.25">
      <c r="A2408" s="201">
        <v>46029</v>
      </c>
      <c r="D2408" s="198" t="s">
        <v>54</v>
      </c>
      <c r="E2408" s="202">
        <v>7940000</v>
      </c>
      <c r="K2408" s="198" t="s">
        <v>1993</v>
      </c>
      <c r="L2408" s="198" t="s">
        <v>153</v>
      </c>
      <c r="P2408" s="201"/>
      <c r="R2408" s="202">
        <v>7940000</v>
      </c>
      <c r="U2408" s="198" t="s">
        <v>1194</v>
      </c>
      <c r="AA2408" s="198" t="s">
        <v>51</v>
      </c>
      <c r="AB2408" s="202">
        <v>7940000</v>
      </c>
      <c r="AC2408" s="202">
        <v>7940000</v>
      </c>
    </row>
    <row r="2409" spans="1:29" outlineLevel="2" x14ac:dyDescent="0.25">
      <c r="A2409" s="201">
        <v>46030</v>
      </c>
      <c r="D2409" s="198" t="s">
        <v>54</v>
      </c>
      <c r="E2409" s="202">
        <v>4684999</v>
      </c>
      <c r="K2409" s="198" t="s">
        <v>1993</v>
      </c>
      <c r="L2409" s="198" t="s">
        <v>153</v>
      </c>
      <c r="P2409" s="201"/>
      <c r="R2409" s="202">
        <v>4684999</v>
      </c>
      <c r="U2409" s="198" t="s">
        <v>1194</v>
      </c>
      <c r="AA2409" s="198" t="s">
        <v>51</v>
      </c>
      <c r="AB2409" s="202">
        <v>4684999</v>
      </c>
      <c r="AC2409" s="202">
        <v>4684999</v>
      </c>
    </row>
    <row r="2410" spans="1:29" outlineLevel="1" x14ac:dyDescent="0.25">
      <c r="A2410" s="210"/>
      <c r="B2410" s="209"/>
      <c r="C2410" s="209"/>
      <c r="D2410" s="209" t="s">
        <v>54</v>
      </c>
      <c r="E2410" s="211">
        <v>31813499</v>
      </c>
      <c r="F2410" s="209"/>
      <c r="G2410" s="209"/>
      <c r="H2410" s="209"/>
      <c r="I2410" s="209"/>
      <c r="J2410" s="209"/>
      <c r="K2410" s="209" t="s">
        <v>54</v>
      </c>
      <c r="L2410" s="209" t="s">
        <v>54</v>
      </c>
      <c r="M2410" s="209"/>
      <c r="N2410" s="209"/>
      <c r="O2410" s="209"/>
      <c r="P2410" s="210"/>
      <c r="Q2410" s="209"/>
      <c r="R2410" s="212"/>
      <c r="S2410" s="209"/>
      <c r="T2410" s="209"/>
      <c r="U2410" s="209" t="s">
        <v>54</v>
      </c>
      <c r="V2410" s="209"/>
      <c r="W2410" s="209"/>
      <c r="X2410" s="209"/>
      <c r="Y2410" s="209"/>
      <c r="Z2410" s="209"/>
      <c r="AA2410" s="209" t="s">
        <v>54</v>
      </c>
      <c r="AB2410" s="212"/>
      <c r="AC2410" s="212"/>
    </row>
    <row r="2411" spans="1:29" outlineLevel="2" x14ac:dyDescent="0.25">
      <c r="A2411" s="201">
        <v>46023</v>
      </c>
      <c r="D2411" s="198" t="s">
        <v>54</v>
      </c>
      <c r="E2411" s="202">
        <v>12625000</v>
      </c>
      <c r="K2411" s="198" t="s">
        <v>1994</v>
      </c>
      <c r="L2411" s="198" t="s">
        <v>153</v>
      </c>
      <c r="P2411" s="201"/>
      <c r="R2411" s="202">
        <v>12625000</v>
      </c>
      <c r="U2411" s="198" t="s">
        <v>740</v>
      </c>
      <c r="AA2411" s="198" t="s">
        <v>51</v>
      </c>
      <c r="AB2411" s="202">
        <v>12625000</v>
      </c>
      <c r="AC2411" s="202">
        <v>12625000</v>
      </c>
    </row>
    <row r="2412" spans="1:29" outlineLevel="2" x14ac:dyDescent="0.25">
      <c r="A2412" s="201">
        <v>46029</v>
      </c>
      <c r="D2412" s="198" t="s">
        <v>54</v>
      </c>
      <c r="E2412" s="202">
        <v>7940000</v>
      </c>
      <c r="K2412" s="198" t="s">
        <v>1994</v>
      </c>
      <c r="L2412" s="198" t="s">
        <v>153</v>
      </c>
      <c r="P2412" s="201"/>
      <c r="R2412" s="202">
        <v>7940000</v>
      </c>
      <c r="U2412" s="198" t="s">
        <v>740</v>
      </c>
      <c r="AA2412" s="198" t="s">
        <v>51</v>
      </c>
      <c r="AB2412" s="202">
        <v>7940000</v>
      </c>
      <c r="AC2412" s="202">
        <v>7940000</v>
      </c>
    </row>
    <row r="2413" spans="1:29" outlineLevel="2" x14ac:dyDescent="0.25">
      <c r="A2413" s="201">
        <v>46030</v>
      </c>
      <c r="D2413" s="198" t="s">
        <v>54</v>
      </c>
      <c r="E2413" s="202">
        <v>4684999</v>
      </c>
      <c r="K2413" s="198" t="s">
        <v>1994</v>
      </c>
      <c r="L2413" s="198" t="s">
        <v>153</v>
      </c>
      <c r="P2413" s="201"/>
      <c r="R2413" s="202">
        <v>4684999</v>
      </c>
      <c r="U2413" s="198" t="s">
        <v>740</v>
      </c>
      <c r="AA2413" s="198" t="s">
        <v>51</v>
      </c>
      <c r="AB2413" s="202">
        <v>4684999</v>
      </c>
      <c r="AC2413" s="202">
        <v>4684999</v>
      </c>
    </row>
    <row r="2414" spans="1:29" outlineLevel="1" x14ac:dyDescent="0.25">
      <c r="A2414" s="210"/>
      <c r="B2414" s="209"/>
      <c r="C2414" s="209"/>
      <c r="D2414" s="209" t="s">
        <v>54</v>
      </c>
      <c r="E2414" s="211">
        <v>25249999</v>
      </c>
      <c r="F2414" s="209"/>
      <c r="G2414" s="209"/>
      <c r="H2414" s="209"/>
      <c r="I2414" s="209"/>
      <c r="J2414" s="209"/>
      <c r="K2414" s="209" t="s">
        <v>54</v>
      </c>
      <c r="L2414" s="209" t="s">
        <v>54</v>
      </c>
      <c r="M2414" s="209"/>
      <c r="N2414" s="209"/>
      <c r="O2414" s="209"/>
      <c r="P2414" s="210"/>
      <c r="Q2414" s="209"/>
      <c r="R2414" s="212"/>
      <c r="S2414" s="209"/>
      <c r="T2414" s="209"/>
      <c r="U2414" s="209" t="s">
        <v>54</v>
      </c>
      <c r="V2414" s="209"/>
      <c r="W2414" s="209"/>
      <c r="X2414" s="209"/>
      <c r="Y2414" s="209"/>
      <c r="Z2414" s="209"/>
      <c r="AA2414" s="209" t="s">
        <v>54</v>
      </c>
      <c r="AB2414" s="212"/>
      <c r="AC2414" s="212"/>
    </row>
    <row r="2415" spans="1:29" outlineLevel="2" x14ac:dyDescent="0.25">
      <c r="A2415" s="201">
        <v>46008</v>
      </c>
      <c r="D2415" s="198" t="s">
        <v>54</v>
      </c>
      <c r="E2415" s="202">
        <v>7021000</v>
      </c>
      <c r="K2415" s="198" t="s">
        <v>1995</v>
      </c>
      <c r="L2415" s="198" t="s">
        <v>153</v>
      </c>
      <c r="P2415" s="201"/>
      <c r="R2415" s="202">
        <v>7021000</v>
      </c>
      <c r="U2415" s="198" t="s">
        <v>723</v>
      </c>
      <c r="AA2415" s="198" t="s">
        <v>51</v>
      </c>
      <c r="AB2415" s="202">
        <v>7021000</v>
      </c>
      <c r="AC2415" s="202">
        <v>7021000</v>
      </c>
    </row>
    <row r="2416" spans="1:29" outlineLevel="2" x14ac:dyDescent="0.25">
      <c r="A2416" s="201">
        <v>46021</v>
      </c>
      <c r="D2416" s="198" t="s">
        <v>54</v>
      </c>
      <c r="E2416" s="202">
        <v>-1071000</v>
      </c>
      <c r="K2416" s="198" t="s">
        <v>1995</v>
      </c>
      <c r="L2416" s="198" t="s">
        <v>153</v>
      </c>
      <c r="P2416" s="201"/>
      <c r="R2416" s="202">
        <v>-1071000</v>
      </c>
      <c r="U2416" s="198" t="s">
        <v>723</v>
      </c>
      <c r="AA2416" s="198" t="s">
        <v>51</v>
      </c>
      <c r="AB2416" s="202">
        <v>-1071000</v>
      </c>
      <c r="AC2416" s="202">
        <v>-1071000</v>
      </c>
    </row>
    <row r="2417" spans="1:29" outlineLevel="1" x14ac:dyDescent="0.25">
      <c r="A2417" s="210"/>
      <c r="B2417" s="209"/>
      <c r="C2417" s="209"/>
      <c r="D2417" s="209" t="s">
        <v>54</v>
      </c>
      <c r="E2417" s="211">
        <v>5950000</v>
      </c>
      <c r="F2417" s="209"/>
      <c r="G2417" s="209"/>
      <c r="H2417" s="209"/>
      <c r="I2417" s="209"/>
      <c r="J2417" s="209"/>
      <c r="K2417" s="209" t="s">
        <v>54</v>
      </c>
      <c r="L2417" s="209" t="s">
        <v>54</v>
      </c>
      <c r="M2417" s="209"/>
      <c r="N2417" s="209"/>
      <c r="O2417" s="209"/>
      <c r="P2417" s="210"/>
      <c r="Q2417" s="209"/>
      <c r="R2417" s="212"/>
      <c r="S2417" s="209"/>
      <c r="T2417" s="209"/>
      <c r="U2417" s="209" t="s">
        <v>54</v>
      </c>
      <c r="V2417" s="209"/>
      <c r="W2417" s="209"/>
      <c r="X2417" s="209"/>
      <c r="Y2417" s="209"/>
      <c r="Z2417" s="209"/>
      <c r="AA2417" s="209" t="s">
        <v>54</v>
      </c>
      <c r="AB2417" s="212"/>
      <c r="AC2417" s="212"/>
    </row>
    <row r="2418" spans="1:29" outlineLevel="2" x14ac:dyDescent="0.25">
      <c r="A2418" s="201">
        <v>46021</v>
      </c>
      <c r="D2418" s="198" t="s">
        <v>54</v>
      </c>
      <c r="E2418" s="202">
        <v>190000</v>
      </c>
      <c r="K2418" s="198" t="s">
        <v>1996</v>
      </c>
      <c r="L2418" s="198" t="s">
        <v>153</v>
      </c>
      <c r="P2418" s="201"/>
      <c r="R2418" s="202">
        <v>190000</v>
      </c>
      <c r="U2418" s="198" t="s">
        <v>685</v>
      </c>
      <c r="AA2418" s="198" t="s">
        <v>51</v>
      </c>
      <c r="AB2418" s="202">
        <v>190000</v>
      </c>
      <c r="AC2418" s="202">
        <v>190000</v>
      </c>
    </row>
    <row r="2419" spans="1:29" outlineLevel="2" x14ac:dyDescent="0.25">
      <c r="A2419" s="201">
        <v>46022</v>
      </c>
      <c r="D2419" s="198" t="s">
        <v>54</v>
      </c>
      <c r="E2419" s="202">
        <v>209000</v>
      </c>
      <c r="K2419" s="198" t="s">
        <v>1996</v>
      </c>
      <c r="L2419" s="198" t="s">
        <v>153</v>
      </c>
      <c r="P2419" s="201"/>
      <c r="R2419" s="202">
        <v>209000</v>
      </c>
      <c r="U2419" s="198" t="s">
        <v>685</v>
      </c>
      <c r="AA2419" s="198" t="s">
        <v>51</v>
      </c>
      <c r="AB2419" s="202">
        <v>209000</v>
      </c>
      <c r="AC2419" s="202">
        <v>209000</v>
      </c>
    </row>
    <row r="2420" spans="1:29" outlineLevel="2" x14ac:dyDescent="0.25">
      <c r="A2420" s="201">
        <v>46022</v>
      </c>
      <c r="D2420" s="198" t="s">
        <v>54</v>
      </c>
      <c r="E2420" s="202">
        <v>200000</v>
      </c>
      <c r="K2420" s="198" t="s">
        <v>1996</v>
      </c>
      <c r="L2420" s="198" t="s">
        <v>153</v>
      </c>
      <c r="P2420" s="201"/>
      <c r="R2420" s="202">
        <v>200000</v>
      </c>
      <c r="U2420" s="198" t="s">
        <v>685</v>
      </c>
      <c r="AA2420" s="198" t="s">
        <v>51</v>
      </c>
      <c r="AB2420" s="202">
        <v>200000</v>
      </c>
      <c r="AC2420" s="202">
        <v>200000</v>
      </c>
    </row>
    <row r="2421" spans="1:29" outlineLevel="2" x14ac:dyDescent="0.25">
      <c r="A2421" s="201">
        <v>46024</v>
      </c>
      <c r="D2421" s="198" t="s">
        <v>54</v>
      </c>
      <c r="E2421" s="202">
        <v>14500</v>
      </c>
      <c r="K2421" s="198" t="s">
        <v>1996</v>
      </c>
      <c r="L2421" s="198" t="s">
        <v>153</v>
      </c>
      <c r="P2421" s="201"/>
      <c r="R2421" s="202">
        <v>14500</v>
      </c>
      <c r="U2421" s="198" t="s">
        <v>685</v>
      </c>
      <c r="AA2421" s="198" t="s">
        <v>51</v>
      </c>
      <c r="AB2421" s="202">
        <v>14500</v>
      </c>
      <c r="AC2421" s="202">
        <v>14500</v>
      </c>
    </row>
    <row r="2422" spans="1:29" outlineLevel="1" x14ac:dyDescent="0.25">
      <c r="A2422" s="210"/>
      <c r="B2422" s="209"/>
      <c r="C2422" s="209"/>
      <c r="D2422" s="209" t="s">
        <v>54</v>
      </c>
      <c r="E2422" s="211">
        <v>613500</v>
      </c>
      <c r="F2422" s="209"/>
      <c r="G2422" s="209"/>
      <c r="H2422" s="209"/>
      <c r="I2422" s="209"/>
      <c r="J2422" s="209"/>
      <c r="K2422" s="209" t="s">
        <v>54</v>
      </c>
      <c r="L2422" s="209" t="s">
        <v>54</v>
      </c>
      <c r="M2422" s="209"/>
      <c r="N2422" s="209"/>
      <c r="O2422" s="209"/>
      <c r="P2422" s="210"/>
      <c r="Q2422" s="209"/>
      <c r="R2422" s="212"/>
      <c r="S2422" s="209"/>
      <c r="T2422" s="209"/>
      <c r="U2422" s="209" t="s">
        <v>54</v>
      </c>
      <c r="V2422" s="209"/>
      <c r="W2422" s="209"/>
      <c r="X2422" s="209"/>
      <c r="Y2422" s="209"/>
      <c r="Z2422" s="209"/>
      <c r="AA2422" s="209" t="s">
        <v>54</v>
      </c>
      <c r="AB2422" s="212"/>
      <c r="AC2422" s="212"/>
    </row>
    <row r="2423" spans="1:29" outlineLevel="2" x14ac:dyDescent="0.25">
      <c r="A2423" s="201">
        <v>46045</v>
      </c>
      <c r="D2423" s="198" t="s">
        <v>54</v>
      </c>
      <c r="E2423" s="202">
        <v>100000</v>
      </c>
      <c r="K2423" s="198" t="s">
        <v>1997</v>
      </c>
      <c r="L2423" s="198" t="s">
        <v>153</v>
      </c>
      <c r="P2423" s="201"/>
      <c r="R2423" s="202">
        <v>100000</v>
      </c>
      <c r="U2423" s="198" t="s">
        <v>1195</v>
      </c>
      <c r="AA2423" s="198" t="s">
        <v>51</v>
      </c>
      <c r="AB2423" s="202">
        <v>100000</v>
      </c>
      <c r="AC2423" s="202">
        <v>100000</v>
      </c>
    </row>
    <row r="2424" spans="1:29" outlineLevel="1" x14ac:dyDescent="0.25">
      <c r="A2424" s="210"/>
      <c r="B2424" s="209"/>
      <c r="C2424" s="209"/>
      <c r="D2424" s="209" t="s">
        <v>54</v>
      </c>
      <c r="E2424" s="211">
        <v>100000</v>
      </c>
      <c r="F2424" s="209"/>
      <c r="G2424" s="209"/>
      <c r="H2424" s="209"/>
      <c r="I2424" s="209"/>
      <c r="J2424" s="209"/>
      <c r="K2424" s="209" t="s">
        <v>54</v>
      </c>
      <c r="L2424" s="209" t="s">
        <v>54</v>
      </c>
      <c r="M2424" s="209"/>
      <c r="N2424" s="209"/>
      <c r="O2424" s="209"/>
      <c r="P2424" s="210"/>
      <c r="Q2424" s="209"/>
      <c r="R2424" s="212"/>
      <c r="S2424" s="209"/>
      <c r="T2424" s="209"/>
      <c r="U2424" s="209" t="s">
        <v>54</v>
      </c>
      <c r="V2424" s="209"/>
      <c r="W2424" s="209"/>
      <c r="X2424" s="209"/>
      <c r="Y2424" s="209"/>
      <c r="Z2424" s="209"/>
      <c r="AA2424" s="209" t="s">
        <v>54</v>
      </c>
      <c r="AB2424" s="212"/>
      <c r="AC2424" s="212"/>
    </row>
    <row r="2425" spans="1:29" outlineLevel="2" x14ac:dyDescent="0.25">
      <c r="A2425" s="201">
        <v>46045</v>
      </c>
      <c r="D2425" s="198" t="s">
        <v>54</v>
      </c>
      <c r="E2425" s="202">
        <v>100000</v>
      </c>
      <c r="K2425" s="198" t="s">
        <v>1998</v>
      </c>
      <c r="L2425" s="198" t="s">
        <v>153</v>
      </c>
      <c r="P2425" s="201"/>
      <c r="R2425" s="202">
        <v>100000</v>
      </c>
      <c r="U2425" s="198" t="s">
        <v>841</v>
      </c>
      <c r="AA2425" s="198" t="s">
        <v>51</v>
      </c>
      <c r="AB2425" s="202">
        <v>100000</v>
      </c>
      <c r="AC2425" s="202">
        <v>100000</v>
      </c>
    </row>
    <row r="2426" spans="1:29" outlineLevel="1" x14ac:dyDescent="0.25">
      <c r="A2426" s="210"/>
      <c r="B2426" s="209"/>
      <c r="C2426" s="209"/>
      <c r="D2426" s="209" t="s">
        <v>54</v>
      </c>
      <c r="E2426" s="211">
        <v>100000</v>
      </c>
      <c r="F2426" s="209"/>
      <c r="G2426" s="209"/>
      <c r="H2426" s="209"/>
      <c r="I2426" s="209"/>
      <c r="J2426" s="209"/>
      <c r="K2426" s="209" t="s">
        <v>54</v>
      </c>
      <c r="L2426" s="209" t="s">
        <v>54</v>
      </c>
      <c r="M2426" s="209"/>
      <c r="N2426" s="209"/>
      <c r="O2426" s="209"/>
      <c r="P2426" s="210"/>
      <c r="Q2426" s="209"/>
      <c r="R2426" s="212"/>
      <c r="S2426" s="209"/>
      <c r="T2426" s="209"/>
      <c r="U2426" s="209" t="s">
        <v>54</v>
      </c>
      <c r="V2426" s="209"/>
      <c r="W2426" s="209"/>
      <c r="X2426" s="209"/>
      <c r="Y2426" s="209"/>
      <c r="Z2426" s="209"/>
      <c r="AA2426" s="209" t="s">
        <v>54</v>
      </c>
      <c r="AB2426" s="212"/>
      <c r="AC2426" s="212"/>
    </row>
    <row r="2427" spans="1:29" outlineLevel="2" x14ac:dyDescent="0.25">
      <c r="A2427" s="201">
        <v>46031</v>
      </c>
      <c r="D2427" s="198" t="s">
        <v>54</v>
      </c>
      <c r="E2427" s="202">
        <v>2124000</v>
      </c>
      <c r="K2427" s="198" t="s">
        <v>1999</v>
      </c>
      <c r="L2427" s="198" t="s">
        <v>153</v>
      </c>
      <c r="P2427" s="201"/>
      <c r="R2427" s="202">
        <v>2124000</v>
      </c>
      <c r="U2427" s="198" t="s">
        <v>1196</v>
      </c>
      <c r="AA2427" s="198" t="s">
        <v>51</v>
      </c>
      <c r="AB2427" s="202">
        <v>2124000</v>
      </c>
      <c r="AC2427" s="202">
        <v>2124000</v>
      </c>
    </row>
    <row r="2428" spans="1:29" outlineLevel="2" x14ac:dyDescent="0.25">
      <c r="A2428" s="201">
        <v>46056</v>
      </c>
      <c r="D2428" s="198" t="s">
        <v>54</v>
      </c>
      <c r="E2428" s="202">
        <v>800000</v>
      </c>
      <c r="K2428" s="198" t="s">
        <v>1999</v>
      </c>
      <c r="L2428" s="198" t="s">
        <v>153</v>
      </c>
      <c r="P2428" s="201"/>
      <c r="R2428" s="202">
        <v>800000</v>
      </c>
      <c r="U2428" s="198" t="s">
        <v>1196</v>
      </c>
      <c r="AA2428" s="198" t="s">
        <v>51</v>
      </c>
      <c r="AB2428" s="202">
        <v>800000</v>
      </c>
      <c r="AC2428" s="202">
        <v>800000</v>
      </c>
    </row>
    <row r="2429" spans="1:29" outlineLevel="2" x14ac:dyDescent="0.25">
      <c r="A2429" s="201">
        <v>46058</v>
      </c>
      <c r="D2429" s="198" t="s">
        <v>54</v>
      </c>
      <c r="E2429" s="202">
        <v>408000</v>
      </c>
      <c r="K2429" s="198" t="s">
        <v>1999</v>
      </c>
      <c r="L2429" s="198" t="s">
        <v>153</v>
      </c>
      <c r="P2429" s="201"/>
      <c r="R2429" s="202">
        <v>408000</v>
      </c>
      <c r="U2429" s="198" t="s">
        <v>1196</v>
      </c>
      <c r="AA2429" s="198" t="s">
        <v>51</v>
      </c>
      <c r="AB2429" s="202">
        <v>408000</v>
      </c>
      <c r="AC2429" s="202">
        <v>408000</v>
      </c>
    </row>
    <row r="2430" spans="1:29" outlineLevel="2" x14ac:dyDescent="0.25">
      <c r="A2430" s="201">
        <v>46058</v>
      </c>
      <c r="D2430" s="198" t="s">
        <v>54</v>
      </c>
      <c r="E2430" s="202">
        <v>490560</v>
      </c>
      <c r="K2430" s="198" t="s">
        <v>1999</v>
      </c>
      <c r="L2430" s="198" t="s">
        <v>153</v>
      </c>
      <c r="P2430" s="201"/>
      <c r="R2430" s="202">
        <v>490560</v>
      </c>
      <c r="U2430" s="198" t="s">
        <v>1196</v>
      </c>
      <c r="AA2430" s="198" t="s">
        <v>51</v>
      </c>
      <c r="AB2430" s="202">
        <v>490560</v>
      </c>
      <c r="AC2430" s="202">
        <v>490560</v>
      </c>
    </row>
    <row r="2431" spans="1:29" outlineLevel="2" x14ac:dyDescent="0.25">
      <c r="A2431" s="201">
        <v>46058</v>
      </c>
      <c r="D2431" s="198" t="s">
        <v>54</v>
      </c>
      <c r="E2431" s="202">
        <v>964000</v>
      </c>
      <c r="K2431" s="198" t="s">
        <v>1999</v>
      </c>
      <c r="L2431" s="198" t="s">
        <v>153</v>
      </c>
      <c r="P2431" s="201"/>
      <c r="R2431" s="202">
        <v>964000</v>
      </c>
      <c r="U2431" s="198" t="s">
        <v>1196</v>
      </c>
      <c r="AA2431" s="198" t="s">
        <v>51</v>
      </c>
      <c r="AB2431" s="202">
        <v>964000</v>
      </c>
      <c r="AC2431" s="202">
        <v>964000</v>
      </c>
    </row>
    <row r="2432" spans="1:29" outlineLevel="2" x14ac:dyDescent="0.25">
      <c r="A2432" s="201">
        <v>46060</v>
      </c>
      <c r="D2432" s="198" t="s">
        <v>54</v>
      </c>
      <c r="E2432" s="202">
        <v>7765916</v>
      </c>
      <c r="K2432" s="198" t="s">
        <v>1999</v>
      </c>
      <c r="L2432" s="198" t="s">
        <v>153</v>
      </c>
      <c r="P2432" s="201"/>
      <c r="R2432" s="202">
        <v>7765916</v>
      </c>
      <c r="U2432" s="198" t="s">
        <v>1196</v>
      </c>
      <c r="AA2432" s="198" t="s">
        <v>51</v>
      </c>
      <c r="AB2432" s="202">
        <v>7765916</v>
      </c>
      <c r="AC2432" s="202">
        <v>7765916</v>
      </c>
    </row>
    <row r="2433" spans="1:29" outlineLevel="2" x14ac:dyDescent="0.25">
      <c r="A2433" s="201">
        <v>46064</v>
      </c>
      <c r="D2433" s="198" t="s">
        <v>54</v>
      </c>
      <c r="E2433" s="202">
        <v>375000</v>
      </c>
      <c r="K2433" s="198" t="s">
        <v>1999</v>
      </c>
      <c r="L2433" s="198" t="s">
        <v>153</v>
      </c>
      <c r="P2433" s="201"/>
      <c r="R2433" s="202">
        <v>375000</v>
      </c>
      <c r="U2433" s="198" t="s">
        <v>1196</v>
      </c>
      <c r="AA2433" s="198" t="s">
        <v>51</v>
      </c>
      <c r="AB2433" s="202">
        <v>375000</v>
      </c>
      <c r="AC2433" s="202">
        <v>375000</v>
      </c>
    </row>
    <row r="2434" spans="1:29" outlineLevel="2" x14ac:dyDescent="0.25">
      <c r="A2434" s="201">
        <v>46064</v>
      </c>
      <c r="D2434" s="198" t="s">
        <v>54</v>
      </c>
      <c r="E2434" s="202">
        <v>-375000</v>
      </c>
      <c r="K2434" s="198" t="s">
        <v>1999</v>
      </c>
      <c r="L2434" s="198" t="s">
        <v>153</v>
      </c>
      <c r="P2434" s="201"/>
      <c r="R2434" s="202">
        <v>-375000</v>
      </c>
      <c r="U2434" s="198" t="s">
        <v>1196</v>
      </c>
      <c r="AA2434" s="198" t="s">
        <v>51</v>
      </c>
      <c r="AB2434" s="202">
        <v>-375000</v>
      </c>
      <c r="AC2434" s="202">
        <v>-375000</v>
      </c>
    </row>
    <row r="2435" spans="1:29" outlineLevel="2" x14ac:dyDescent="0.25">
      <c r="A2435" s="201">
        <v>46064</v>
      </c>
      <c r="D2435" s="198" t="s">
        <v>54</v>
      </c>
      <c r="E2435" s="202">
        <v>-800000</v>
      </c>
      <c r="K2435" s="198" t="s">
        <v>1999</v>
      </c>
      <c r="L2435" s="198" t="s">
        <v>153</v>
      </c>
      <c r="P2435" s="201"/>
      <c r="R2435" s="202">
        <v>-800000</v>
      </c>
      <c r="U2435" s="198" t="s">
        <v>1196</v>
      </c>
      <c r="AA2435" s="198" t="s">
        <v>51</v>
      </c>
      <c r="AB2435" s="202">
        <v>-800000</v>
      </c>
      <c r="AC2435" s="202">
        <v>-800000</v>
      </c>
    </row>
    <row r="2436" spans="1:29" outlineLevel="2" x14ac:dyDescent="0.25">
      <c r="A2436" s="201">
        <v>46066</v>
      </c>
      <c r="D2436" s="198" t="s">
        <v>54</v>
      </c>
      <c r="E2436" s="202">
        <v>1062000</v>
      </c>
      <c r="K2436" s="198" t="s">
        <v>1999</v>
      </c>
      <c r="L2436" s="198" t="s">
        <v>153</v>
      </c>
      <c r="P2436" s="201"/>
      <c r="R2436" s="202">
        <v>1062000</v>
      </c>
      <c r="U2436" s="198" t="s">
        <v>1196</v>
      </c>
      <c r="AA2436" s="198" t="s">
        <v>51</v>
      </c>
      <c r="AB2436" s="202">
        <v>1062000</v>
      </c>
      <c r="AC2436" s="202">
        <v>1062000</v>
      </c>
    </row>
    <row r="2437" spans="1:29" outlineLevel="2" x14ac:dyDescent="0.25">
      <c r="A2437" s="201">
        <v>46067</v>
      </c>
      <c r="D2437" s="198" t="s">
        <v>54</v>
      </c>
      <c r="E2437" s="202">
        <v>578860.80000000005</v>
      </c>
      <c r="K2437" s="198" t="s">
        <v>1999</v>
      </c>
      <c r="L2437" s="198" t="s">
        <v>153</v>
      </c>
      <c r="P2437" s="201"/>
      <c r="R2437" s="202">
        <v>578860.80000000005</v>
      </c>
      <c r="U2437" s="198" t="s">
        <v>1196</v>
      </c>
      <c r="AA2437" s="198" t="s">
        <v>51</v>
      </c>
      <c r="AB2437" s="202">
        <v>578860.80000000005</v>
      </c>
      <c r="AC2437" s="202">
        <v>578860.80000000005</v>
      </c>
    </row>
    <row r="2438" spans="1:29" outlineLevel="2" x14ac:dyDescent="0.25">
      <c r="A2438" s="201">
        <v>46070</v>
      </c>
      <c r="D2438" s="198" t="s">
        <v>54</v>
      </c>
      <c r="E2438" s="202">
        <v>134000</v>
      </c>
      <c r="K2438" s="198" t="s">
        <v>1999</v>
      </c>
      <c r="L2438" s="198" t="s">
        <v>153</v>
      </c>
      <c r="P2438" s="201"/>
      <c r="R2438" s="202">
        <v>134000</v>
      </c>
      <c r="U2438" s="198" t="s">
        <v>1196</v>
      </c>
      <c r="AA2438" s="198" t="s">
        <v>51</v>
      </c>
      <c r="AB2438" s="202">
        <v>134000</v>
      </c>
      <c r="AC2438" s="202">
        <v>134000</v>
      </c>
    </row>
    <row r="2439" spans="1:29" outlineLevel="2" x14ac:dyDescent="0.25">
      <c r="A2439" s="201">
        <v>46078</v>
      </c>
      <c r="D2439" s="198" t="s">
        <v>54</v>
      </c>
      <c r="E2439" s="202">
        <v>1305289.2</v>
      </c>
      <c r="K2439" s="198" t="s">
        <v>1999</v>
      </c>
      <c r="L2439" s="198" t="s">
        <v>153</v>
      </c>
      <c r="P2439" s="201"/>
      <c r="R2439" s="202">
        <v>1305289.2</v>
      </c>
      <c r="U2439" s="198" t="s">
        <v>1196</v>
      </c>
      <c r="AA2439" s="198" t="s">
        <v>51</v>
      </c>
      <c r="AB2439" s="202">
        <v>1305289.2</v>
      </c>
      <c r="AC2439" s="202">
        <v>1305289.2</v>
      </c>
    </row>
    <row r="2440" spans="1:29" outlineLevel="2" x14ac:dyDescent="0.25">
      <c r="A2440" s="201">
        <v>46098</v>
      </c>
      <c r="D2440" s="198" t="s">
        <v>54</v>
      </c>
      <c r="E2440" s="202">
        <v>1045984</v>
      </c>
      <c r="K2440" s="198" t="s">
        <v>1999</v>
      </c>
      <c r="L2440" s="198" t="s">
        <v>153</v>
      </c>
      <c r="P2440" s="201"/>
      <c r="R2440" s="202">
        <v>1045984</v>
      </c>
      <c r="U2440" s="198" t="s">
        <v>1196</v>
      </c>
      <c r="AA2440" s="198" t="s">
        <v>51</v>
      </c>
      <c r="AB2440" s="202">
        <v>1045984</v>
      </c>
      <c r="AC2440" s="202">
        <v>1045984</v>
      </c>
    </row>
    <row r="2441" spans="1:29" outlineLevel="2" x14ac:dyDescent="0.25">
      <c r="A2441" s="201">
        <v>46116</v>
      </c>
      <c r="D2441" s="198" t="s">
        <v>54</v>
      </c>
      <c r="E2441" s="202">
        <v>403000</v>
      </c>
      <c r="K2441" s="198" t="s">
        <v>1999</v>
      </c>
      <c r="L2441" s="198" t="s">
        <v>153</v>
      </c>
      <c r="P2441" s="201"/>
      <c r="R2441" s="202">
        <v>403000</v>
      </c>
      <c r="U2441" s="198" t="s">
        <v>1196</v>
      </c>
      <c r="AA2441" s="198" t="s">
        <v>51</v>
      </c>
      <c r="AB2441" s="202">
        <v>403000</v>
      </c>
      <c r="AC2441" s="202">
        <v>403000</v>
      </c>
    </row>
    <row r="2442" spans="1:29" outlineLevel="2" x14ac:dyDescent="0.25">
      <c r="A2442" s="201">
        <v>46122</v>
      </c>
      <c r="D2442" s="198" t="s">
        <v>54</v>
      </c>
      <c r="E2442" s="202">
        <v>311030</v>
      </c>
      <c r="K2442" s="198" t="s">
        <v>1999</v>
      </c>
      <c r="L2442" s="198" t="s">
        <v>153</v>
      </c>
      <c r="P2442" s="201"/>
      <c r="R2442" s="202">
        <v>311030</v>
      </c>
      <c r="U2442" s="198" t="s">
        <v>1196</v>
      </c>
      <c r="AA2442" s="198" t="s">
        <v>51</v>
      </c>
      <c r="AB2442" s="202">
        <v>311030</v>
      </c>
      <c r="AC2442" s="202">
        <v>311030</v>
      </c>
    </row>
    <row r="2443" spans="1:29" outlineLevel="2" x14ac:dyDescent="0.25">
      <c r="A2443" s="201">
        <v>46150</v>
      </c>
      <c r="D2443" s="198" t="s">
        <v>54</v>
      </c>
      <c r="E2443" s="202">
        <v>10000</v>
      </c>
      <c r="K2443" s="198" t="s">
        <v>1999</v>
      </c>
      <c r="L2443" s="198" t="s">
        <v>153</v>
      </c>
      <c r="P2443" s="201"/>
      <c r="R2443" s="202">
        <v>10000</v>
      </c>
      <c r="U2443" s="198" t="s">
        <v>1196</v>
      </c>
      <c r="AA2443" s="198" t="s">
        <v>51</v>
      </c>
      <c r="AB2443" s="202">
        <v>10000</v>
      </c>
      <c r="AC2443" s="202">
        <v>10000</v>
      </c>
    </row>
    <row r="2444" spans="1:29" outlineLevel="2" x14ac:dyDescent="0.25">
      <c r="A2444" s="201">
        <v>46153</v>
      </c>
      <c r="D2444" s="198" t="s">
        <v>54</v>
      </c>
      <c r="E2444" s="202">
        <v>6500</v>
      </c>
      <c r="K2444" s="198" t="s">
        <v>1999</v>
      </c>
      <c r="L2444" s="198" t="s">
        <v>153</v>
      </c>
      <c r="P2444" s="201"/>
      <c r="R2444" s="202">
        <v>6500</v>
      </c>
      <c r="U2444" s="198" t="s">
        <v>1196</v>
      </c>
      <c r="AA2444" s="198" t="s">
        <v>51</v>
      </c>
      <c r="AB2444" s="202">
        <v>6500</v>
      </c>
      <c r="AC2444" s="202">
        <v>6500</v>
      </c>
    </row>
    <row r="2445" spans="1:29" outlineLevel="1" x14ac:dyDescent="0.25">
      <c r="A2445" s="210"/>
      <c r="B2445" s="209"/>
      <c r="C2445" s="209"/>
      <c r="D2445" s="209" t="s">
        <v>54</v>
      </c>
      <c r="E2445" s="211">
        <v>16609140</v>
      </c>
      <c r="F2445" s="209"/>
      <c r="G2445" s="209"/>
      <c r="H2445" s="209"/>
      <c r="I2445" s="209"/>
      <c r="J2445" s="209"/>
      <c r="K2445" s="209" t="s">
        <v>54</v>
      </c>
      <c r="L2445" s="209" t="s">
        <v>54</v>
      </c>
      <c r="M2445" s="209"/>
      <c r="N2445" s="209"/>
      <c r="O2445" s="209"/>
      <c r="P2445" s="210"/>
      <c r="Q2445" s="209"/>
      <c r="R2445" s="212"/>
      <c r="S2445" s="209"/>
      <c r="T2445" s="209"/>
      <c r="U2445" s="209" t="s">
        <v>54</v>
      </c>
      <c r="V2445" s="209"/>
      <c r="W2445" s="209"/>
      <c r="X2445" s="209"/>
      <c r="Y2445" s="209"/>
      <c r="Z2445" s="209"/>
      <c r="AA2445" s="209" t="s">
        <v>54</v>
      </c>
      <c r="AB2445" s="212"/>
      <c r="AC2445" s="212"/>
    </row>
    <row r="2446" spans="1:29" outlineLevel="2" x14ac:dyDescent="0.25">
      <c r="A2446" s="201">
        <v>46070</v>
      </c>
      <c r="D2446" s="198" t="s">
        <v>54</v>
      </c>
      <c r="E2446" s="202">
        <v>134000</v>
      </c>
      <c r="K2446" s="198" t="s">
        <v>2000</v>
      </c>
      <c r="L2446" s="198" t="s">
        <v>153</v>
      </c>
      <c r="P2446" s="201"/>
      <c r="R2446" s="202">
        <v>134000</v>
      </c>
      <c r="U2446" s="198" t="s">
        <v>778</v>
      </c>
      <c r="AA2446" s="198" t="s">
        <v>51</v>
      </c>
      <c r="AB2446" s="202">
        <v>134000</v>
      </c>
      <c r="AC2446" s="202">
        <v>134000</v>
      </c>
    </row>
    <row r="2447" spans="1:29" outlineLevel="1" x14ac:dyDescent="0.25">
      <c r="A2447" s="210"/>
      <c r="B2447" s="209"/>
      <c r="C2447" s="209"/>
      <c r="D2447" s="209" t="s">
        <v>54</v>
      </c>
      <c r="E2447" s="211">
        <v>134000</v>
      </c>
      <c r="F2447" s="209"/>
      <c r="G2447" s="209"/>
      <c r="H2447" s="209"/>
      <c r="I2447" s="209"/>
      <c r="J2447" s="209"/>
      <c r="K2447" s="209" t="s">
        <v>54</v>
      </c>
      <c r="L2447" s="209" t="s">
        <v>54</v>
      </c>
      <c r="M2447" s="209"/>
      <c r="N2447" s="209"/>
      <c r="O2447" s="209"/>
      <c r="P2447" s="210"/>
      <c r="Q2447" s="209"/>
      <c r="R2447" s="212"/>
      <c r="S2447" s="209"/>
      <c r="T2447" s="209"/>
      <c r="U2447" s="209" t="s">
        <v>54</v>
      </c>
      <c r="V2447" s="209"/>
      <c r="W2447" s="209"/>
      <c r="X2447" s="209"/>
      <c r="Y2447" s="209"/>
      <c r="Z2447" s="209"/>
      <c r="AA2447" s="209" t="s">
        <v>54</v>
      </c>
      <c r="AB2447" s="212"/>
      <c r="AC2447" s="212"/>
    </row>
    <row r="2448" spans="1:29" outlineLevel="2" x14ac:dyDescent="0.25">
      <c r="A2448" s="201">
        <v>46058</v>
      </c>
      <c r="D2448" s="198" t="s">
        <v>54</v>
      </c>
      <c r="E2448" s="202">
        <v>408000</v>
      </c>
      <c r="K2448" s="198" t="s">
        <v>2001</v>
      </c>
      <c r="L2448" s="198" t="s">
        <v>153</v>
      </c>
      <c r="P2448" s="201"/>
      <c r="R2448" s="202">
        <v>408000</v>
      </c>
      <c r="U2448" s="198" t="s">
        <v>760</v>
      </c>
      <c r="AA2448" s="198" t="s">
        <v>51</v>
      </c>
      <c r="AB2448" s="202">
        <v>408000</v>
      </c>
      <c r="AC2448" s="202">
        <v>408000</v>
      </c>
    </row>
    <row r="2449" spans="1:29" outlineLevel="2" x14ac:dyDescent="0.25">
      <c r="A2449" s="201">
        <v>46060</v>
      </c>
      <c r="D2449" s="198" t="s">
        <v>54</v>
      </c>
      <c r="E2449" s="202">
        <v>7765916</v>
      </c>
      <c r="K2449" s="198" t="s">
        <v>2001</v>
      </c>
      <c r="L2449" s="198" t="s">
        <v>153</v>
      </c>
      <c r="P2449" s="201"/>
      <c r="R2449" s="202">
        <v>7765916</v>
      </c>
      <c r="U2449" s="198" t="s">
        <v>760</v>
      </c>
      <c r="AA2449" s="198" t="s">
        <v>51</v>
      </c>
      <c r="AB2449" s="202">
        <v>7765916</v>
      </c>
      <c r="AC2449" s="202">
        <v>7765916</v>
      </c>
    </row>
    <row r="2450" spans="1:29" outlineLevel="1" x14ac:dyDescent="0.25">
      <c r="A2450" s="210"/>
      <c r="B2450" s="209"/>
      <c r="C2450" s="209"/>
      <c r="D2450" s="209" t="s">
        <v>54</v>
      </c>
      <c r="E2450" s="211">
        <v>8173916</v>
      </c>
      <c r="F2450" s="209"/>
      <c r="G2450" s="209"/>
      <c r="H2450" s="209"/>
      <c r="I2450" s="209"/>
      <c r="J2450" s="209"/>
      <c r="K2450" s="209" t="s">
        <v>54</v>
      </c>
      <c r="L2450" s="209" t="s">
        <v>54</v>
      </c>
      <c r="M2450" s="209"/>
      <c r="N2450" s="209"/>
      <c r="O2450" s="209"/>
      <c r="P2450" s="210"/>
      <c r="Q2450" s="209"/>
      <c r="R2450" s="212"/>
      <c r="S2450" s="209"/>
      <c r="T2450" s="209"/>
      <c r="U2450" s="209" t="s">
        <v>54</v>
      </c>
      <c r="V2450" s="209"/>
      <c r="W2450" s="209"/>
      <c r="X2450" s="209"/>
      <c r="Y2450" s="209"/>
      <c r="Z2450" s="209"/>
      <c r="AA2450" s="209" t="s">
        <v>54</v>
      </c>
      <c r="AB2450" s="212"/>
      <c r="AC2450" s="212"/>
    </row>
    <row r="2451" spans="1:29" outlineLevel="2" x14ac:dyDescent="0.25">
      <c r="A2451" s="201">
        <v>46056</v>
      </c>
      <c r="D2451" s="198" t="s">
        <v>54</v>
      </c>
      <c r="E2451" s="202">
        <v>800000</v>
      </c>
      <c r="K2451" s="198" t="s">
        <v>2002</v>
      </c>
      <c r="L2451" s="198" t="s">
        <v>153</v>
      </c>
      <c r="P2451" s="201"/>
      <c r="R2451" s="202">
        <v>800000</v>
      </c>
      <c r="U2451" s="198" t="s">
        <v>150</v>
      </c>
      <c r="AA2451" s="198" t="s">
        <v>51</v>
      </c>
      <c r="AB2451" s="202">
        <v>800000</v>
      </c>
      <c r="AC2451" s="202">
        <v>800000</v>
      </c>
    </row>
    <row r="2452" spans="1:29" outlineLevel="2" x14ac:dyDescent="0.25">
      <c r="A2452" s="201">
        <v>46064</v>
      </c>
      <c r="D2452" s="198" t="s">
        <v>54</v>
      </c>
      <c r="E2452" s="202">
        <v>-800000</v>
      </c>
      <c r="K2452" s="198" t="s">
        <v>2002</v>
      </c>
      <c r="L2452" s="198" t="s">
        <v>153</v>
      </c>
      <c r="P2452" s="201"/>
      <c r="R2452" s="202">
        <v>-800000</v>
      </c>
      <c r="U2452" s="198" t="s">
        <v>150</v>
      </c>
      <c r="AA2452" s="198" t="s">
        <v>51</v>
      </c>
      <c r="AB2452" s="202">
        <v>-800000</v>
      </c>
      <c r="AC2452" s="202">
        <v>-800000</v>
      </c>
    </row>
    <row r="2453" spans="1:29" outlineLevel="2" x14ac:dyDescent="0.25">
      <c r="A2453" s="201">
        <v>46098</v>
      </c>
      <c r="D2453" s="198" t="s">
        <v>54</v>
      </c>
      <c r="E2453" s="202">
        <v>1045984</v>
      </c>
      <c r="K2453" s="198" t="s">
        <v>2002</v>
      </c>
      <c r="L2453" s="198" t="s">
        <v>153</v>
      </c>
      <c r="P2453" s="201"/>
      <c r="R2453" s="202">
        <v>1045984</v>
      </c>
      <c r="U2453" s="198" t="s">
        <v>150</v>
      </c>
      <c r="AA2453" s="198" t="s">
        <v>51</v>
      </c>
      <c r="AB2453" s="202">
        <v>1045984</v>
      </c>
      <c r="AC2453" s="202">
        <v>1045984</v>
      </c>
    </row>
    <row r="2454" spans="1:29" outlineLevel="2" x14ac:dyDescent="0.25">
      <c r="A2454" s="201">
        <v>46116</v>
      </c>
      <c r="D2454" s="198" t="s">
        <v>54</v>
      </c>
      <c r="E2454" s="202">
        <v>403000</v>
      </c>
      <c r="K2454" s="198" t="s">
        <v>2002</v>
      </c>
      <c r="L2454" s="198" t="s">
        <v>153</v>
      </c>
      <c r="P2454" s="201"/>
      <c r="R2454" s="202">
        <v>403000</v>
      </c>
      <c r="U2454" s="198" t="s">
        <v>150</v>
      </c>
      <c r="AA2454" s="198" t="s">
        <v>51</v>
      </c>
      <c r="AB2454" s="202">
        <v>403000</v>
      </c>
      <c r="AC2454" s="202">
        <v>403000</v>
      </c>
    </row>
    <row r="2455" spans="1:29" outlineLevel="2" x14ac:dyDescent="0.25">
      <c r="A2455" s="201">
        <v>46150</v>
      </c>
      <c r="D2455" s="198" t="s">
        <v>54</v>
      </c>
      <c r="E2455" s="202">
        <v>10000</v>
      </c>
      <c r="K2455" s="198" t="s">
        <v>2002</v>
      </c>
      <c r="L2455" s="198" t="s">
        <v>153</v>
      </c>
      <c r="P2455" s="201"/>
      <c r="R2455" s="202">
        <v>10000</v>
      </c>
      <c r="U2455" s="198" t="s">
        <v>150</v>
      </c>
      <c r="AA2455" s="198" t="s">
        <v>51</v>
      </c>
      <c r="AB2455" s="202">
        <v>10000</v>
      </c>
      <c r="AC2455" s="202">
        <v>10000</v>
      </c>
    </row>
    <row r="2456" spans="1:29" outlineLevel="1" x14ac:dyDescent="0.25">
      <c r="A2456" s="210"/>
      <c r="B2456" s="209"/>
      <c r="C2456" s="209"/>
      <c r="D2456" s="209" t="s">
        <v>54</v>
      </c>
      <c r="E2456" s="211">
        <v>1458984</v>
      </c>
      <c r="F2456" s="209"/>
      <c r="G2456" s="209"/>
      <c r="H2456" s="209"/>
      <c r="I2456" s="209"/>
      <c r="J2456" s="209"/>
      <c r="K2456" s="209" t="s">
        <v>54</v>
      </c>
      <c r="L2456" s="209" t="s">
        <v>54</v>
      </c>
      <c r="M2456" s="209"/>
      <c r="N2456" s="209"/>
      <c r="O2456" s="209"/>
      <c r="P2456" s="210"/>
      <c r="Q2456" s="209"/>
      <c r="R2456" s="212"/>
      <c r="S2456" s="209"/>
      <c r="T2456" s="209"/>
      <c r="U2456" s="209" t="s">
        <v>54</v>
      </c>
      <c r="V2456" s="209"/>
      <c r="W2456" s="209"/>
      <c r="X2456" s="209"/>
      <c r="Y2456" s="209"/>
      <c r="Z2456" s="209"/>
      <c r="AA2456" s="209" t="s">
        <v>54</v>
      </c>
      <c r="AB2456" s="212"/>
      <c r="AC2456" s="212"/>
    </row>
    <row r="2457" spans="1:29" outlineLevel="2" x14ac:dyDescent="0.25">
      <c r="A2457" s="201">
        <v>46064</v>
      </c>
      <c r="D2457" s="198" t="s">
        <v>54</v>
      </c>
      <c r="E2457" s="202">
        <v>375000</v>
      </c>
      <c r="K2457" s="198" t="s">
        <v>2003</v>
      </c>
      <c r="L2457" s="198" t="s">
        <v>153</v>
      </c>
      <c r="P2457" s="201"/>
      <c r="R2457" s="202">
        <v>375000</v>
      </c>
      <c r="U2457" s="198" t="s">
        <v>1197</v>
      </c>
      <c r="AA2457" s="198" t="s">
        <v>51</v>
      </c>
      <c r="AB2457" s="202">
        <v>375000</v>
      </c>
      <c r="AC2457" s="202">
        <v>375000</v>
      </c>
    </row>
    <row r="2458" spans="1:29" outlineLevel="2" x14ac:dyDescent="0.25">
      <c r="A2458" s="201">
        <v>46064</v>
      </c>
      <c r="D2458" s="198" t="s">
        <v>54</v>
      </c>
      <c r="E2458" s="202">
        <v>-375000</v>
      </c>
      <c r="K2458" s="198" t="s">
        <v>2003</v>
      </c>
      <c r="L2458" s="198" t="s">
        <v>153</v>
      </c>
      <c r="P2458" s="201"/>
      <c r="R2458" s="202">
        <v>-375000</v>
      </c>
      <c r="U2458" s="198" t="s">
        <v>1197</v>
      </c>
      <c r="AA2458" s="198" t="s">
        <v>51</v>
      </c>
      <c r="AB2458" s="202">
        <v>-375000</v>
      </c>
      <c r="AC2458" s="202">
        <v>-375000</v>
      </c>
    </row>
    <row r="2459" spans="1:29" outlineLevel="1" x14ac:dyDescent="0.25">
      <c r="A2459" s="210"/>
      <c r="B2459" s="209"/>
      <c r="C2459" s="209"/>
      <c r="D2459" s="209" t="s">
        <v>54</v>
      </c>
      <c r="E2459" s="211">
        <v>0</v>
      </c>
      <c r="F2459" s="209"/>
      <c r="G2459" s="209"/>
      <c r="H2459" s="209"/>
      <c r="I2459" s="209"/>
      <c r="J2459" s="209"/>
      <c r="K2459" s="209" t="s">
        <v>54</v>
      </c>
      <c r="L2459" s="209" t="s">
        <v>54</v>
      </c>
      <c r="M2459" s="209"/>
      <c r="N2459" s="209"/>
      <c r="O2459" s="209"/>
      <c r="P2459" s="210"/>
      <c r="Q2459" s="209"/>
      <c r="R2459" s="212"/>
      <c r="S2459" s="209"/>
      <c r="T2459" s="209"/>
      <c r="U2459" s="209" t="s">
        <v>54</v>
      </c>
      <c r="V2459" s="209"/>
      <c r="W2459" s="209"/>
      <c r="X2459" s="209"/>
      <c r="Y2459" s="209"/>
      <c r="Z2459" s="209"/>
      <c r="AA2459" s="209" t="s">
        <v>54</v>
      </c>
      <c r="AB2459" s="212"/>
      <c r="AC2459" s="212"/>
    </row>
    <row r="2460" spans="1:29" outlineLevel="2" x14ac:dyDescent="0.25">
      <c r="A2460" s="201">
        <v>46122</v>
      </c>
      <c r="D2460" s="198" t="s">
        <v>54</v>
      </c>
      <c r="E2460" s="202">
        <v>311030</v>
      </c>
      <c r="K2460" s="198" t="s">
        <v>2004</v>
      </c>
      <c r="L2460" s="198" t="s">
        <v>153</v>
      </c>
      <c r="P2460" s="201"/>
      <c r="R2460" s="202">
        <v>311030</v>
      </c>
      <c r="U2460" s="198" t="s">
        <v>1198</v>
      </c>
      <c r="AA2460" s="198" t="s">
        <v>51</v>
      </c>
      <c r="AB2460" s="202">
        <v>311030</v>
      </c>
      <c r="AC2460" s="202">
        <v>311030</v>
      </c>
    </row>
    <row r="2461" spans="1:29" outlineLevel="1" x14ac:dyDescent="0.25">
      <c r="A2461" s="210"/>
      <c r="B2461" s="209"/>
      <c r="C2461" s="209"/>
      <c r="D2461" s="209" t="s">
        <v>54</v>
      </c>
      <c r="E2461" s="211">
        <v>311030</v>
      </c>
      <c r="F2461" s="209"/>
      <c r="G2461" s="209"/>
      <c r="H2461" s="209"/>
      <c r="I2461" s="209"/>
      <c r="J2461" s="209"/>
      <c r="K2461" s="209" t="s">
        <v>54</v>
      </c>
      <c r="L2461" s="209" t="s">
        <v>54</v>
      </c>
      <c r="M2461" s="209"/>
      <c r="N2461" s="209"/>
      <c r="O2461" s="209"/>
      <c r="P2461" s="210"/>
      <c r="Q2461" s="209"/>
      <c r="R2461" s="212"/>
      <c r="S2461" s="209"/>
      <c r="T2461" s="209"/>
      <c r="U2461" s="209" t="s">
        <v>54</v>
      </c>
      <c r="V2461" s="209"/>
      <c r="W2461" s="209"/>
      <c r="X2461" s="209"/>
      <c r="Y2461" s="209"/>
      <c r="Z2461" s="209"/>
      <c r="AA2461" s="209" t="s">
        <v>54</v>
      </c>
      <c r="AB2461" s="212"/>
      <c r="AC2461" s="212"/>
    </row>
    <row r="2462" spans="1:29" outlineLevel="2" x14ac:dyDescent="0.25">
      <c r="A2462" s="201">
        <v>46058</v>
      </c>
      <c r="D2462" s="198" t="s">
        <v>54</v>
      </c>
      <c r="E2462" s="202">
        <v>490560</v>
      </c>
      <c r="K2462" s="198" t="s">
        <v>2005</v>
      </c>
      <c r="L2462" s="198" t="s">
        <v>153</v>
      </c>
      <c r="P2462" s="201"/>
      <c r="R2462" s="202">
        <v>490560</v>
      </c>
      <c r="U2462" s="198" t="s">
        <v>281</v>
      </c>
      <c r="AA2462" s="198" t="s">
        <v>51</v>
      </c>
      <c r="AB2462" s="202">
        <v>490560</v>
      </c>
      <c r="AC2462" s="202">
        <v>490560</v>
      </c>
    </row>
    <row r="2463" spans="1:29" outlineLevel="2" x14ac:dyDescent="0.25">
      <c r="A2463" s="201">
        <v>46058</v>
      </c>
      <c r="D2463" s="198" t="s">
        <v>54</v>
      </c>
      <c r="E2463" s="202">
        <v>964000</v>
      </c>
      <c r="K2463" s="198" t="s">
        <v>2005</v>
      </c>
      <c r="L2463" s="198" t="s">
        <v>153</v>
      </c>
      <c r="P2463" s="201"/>
      <c r="R2463" s="202">
        <v>964000</v>
      </c>
      <c r="U2463" s="198" t="s">
        <v>281</v>
      </c>
      <c r="AA2463" s="198" t="s">
        <v>51</v>
      </c>
      <c r="AB2463" s="202">
        <v>964000</v>
      </c>
      <c r="AC2463" s="202">
        <v>964000</v>
      </c>
    </row>
    <row r="2464" spans="1:29" outlineLevel="2" x14ac:dyDescent="0.25">
      <c r="A2464" s="201">
        <v>46067</v>
      </c>
      <c r="D2464" s="198" t="s">
        <v>54</v>
      </c>
      <c r="E2464" s="202">
        <v>578860.80000000005</v>
      </c>
      <c r="K2464" s="198" t="s">
        <v>2005</v>
      </c>
      <c r="L2464" s="198" t="s">
        <v>153</v>
      </c>
      <c r="P2464" s="201"/>
      <c r="R2464" s="202">
        <v>578860.80000000005</v>
      </c>
      <c r="U2464" s="198" t="s">
        <v>281</v>
      </c>
      <c r="AA2464" s="198" t="s">
        <v>51</v>
      </c>
      <c r="AB2464" s="202">
        <v>578860.80000000005</v>
      </c>
      <c r="AC2464" s="202">
        <v>578860.80000000005</v>
      </c>
    </row>
    <row r="2465" spans="1:29" outlineLevel="2" x14ac:dyDescent="0.25">
      <c r="A2465" s="201">
        <v>46078</v>
      </c>
      <c r="D2465" s="198" t="s">
        <v>54</v>
      </c>
      <c r="E2465" s="202">
        <v>1305289.2</v>
      </c>
      <c r="K2465" s="198" t="s">
        <v>2005</v>
      </c>
      <c r="L2465" s="198" t="s">
        <v>153</v>
      </c>
      <c r="P2465" s="201"/>
      <c r="R2465" s="202">
        <v>1305289.2</v>
      </c>
      <c r="U2465" s="198" t="s">
        <v>281</v>
      </c>
      <c r="AA2465" s="198" t="s">
        <v>51</v>
      </c>
      <c r="AB2465" s="202">
        <v>1305289.2</v>
      </c>
      <c r="AC2465" s="202">
        <v>1305289.2</v>
      </c>
    </row>
    <row r="2466" spans="1:29" outlineLevel="1" x14ac:dyDescent="0.25">
      <c r="A2466" s="210"/>
      <c r="B2466" s="209"/>
      <c r="C2466" s="209"/>
      <c r="D2466" s="209" t="s">
        <v>54</v>
      </c>
      <c r="E2466" s="211">
        <v>3338710</v>
      </c>
      <c r="F2466" s="209"/>
      <c r="G2466" s="209"/>
      <c r="H2466" s="209"/>
      <c r="I2466" s="209"/>
      <c r="J2466" s="209"/>
      <c r="K2466" s="209" t="s">
        <v>54</v>
      </c>
      <c r="L2466" s="209" t="s">
        <v>54</v>
      </c>
      <c r="M2466" s="209"/>
      <c r="N2466" s="209"/>
      <c r="O2466" s="209"/>
      <c r="P2466" s="210"/>
      <c r="Q2466" s="209"/>
      <c r="R2466" s="212"/>
      <c r="S2466" s="209"/>
      <c r="T2466" s="209"/>
      <c r="U2466" s="209" t="s">
        <v>54</v>
      </c>
      <c r="V2466" s="209"/>
      <c r="W2466" s="209"/>
      <c r="X2466" s="209"/>
      <c r="Y2466" s="209"/>
      <c r="Z2466" s="209"/>
      <c r="AA2466" s="209" t="s">
        <v>54</v>
      </c>
      <c r="AB2466" s="212"/>
      <c r="AC2466" s="212"/>
    </row>
    <row r="2467" spans="1:29" outlineLevel="2" x14ac:dyDescent="0.25">
      <c r="A2467" s="201">
        <v>46066</v>
      </c>
      <c r="D2467" s="198" t="s">
        <v>54</v>
      </c>
      <c r="E2467" s="202">
        <v>1062000</v>
      </c>
      <c r="K2467" s="198" t="s">
        <v>2006</v>
      </c>
      <c r="L2467" s="198" t="s">
        <v>153</v>
      </c>
      <c r="P2467" s="201"/>
      <c r="R2467" s="202">
        <v>1062000</v>
      </c>
      <c r="U2467" s="198" t="s">
        <v>784</v>
      </c>
      <c r="AA2467" s="198" t="s">
        <v>51</v>
      </c>
      <c r="AB2467" s="202">
        <v>1062000</v>
      </c>
      <c r="AC2467" s="202">
        <v>1062000</v>
      </c>
    </row>
    <row r="2468" spans="1:29" outlineLevel="1" x14ac:dyDescent="0.25">
      <c r="A2468" s="210"/>
      <c r="B2468" s="209"/>
      <c r="C2468" s="209"/>
      <c r="D2468" s="209" t="s">
        <v>54</v>
      </c>
      <c r="E2468" s="211">
        <v>1062000</v>
      </c>
      <c r="F2468" s="209"/>
      <c r="G2468" s="209"/>
      <c r="H2468" s="209"/>
      <c r="I2468" s="209"/>
      <c r="J2468" s="209"/>
      <c r="K2468" s="209" t="s">
        <v>54</v>
      </c>
      <c r="L2468" s="209" t="s">
        <v>54</v>
      </c>
      <c r="M2468" s="209"/>
      <c r="N2468" s="209"/>
      <c r="O2468" s="209"/>
      <c r="P2468" s="210"/>
      <c r="Q2468" s="209"/>
      <c r="R2468" s="212"/>
      <c r="S2468" s="209"/>
      <c r="T2468" s="209"/>
      <c r="U2468" s="209" t="s">
        <v>54</v>
      </c>
      <c r="V2468" s="209"/>
      <c r="W2468" s="209"/>
      <c r="X2468" s="209"/>
      <c r="Y2468" s="209"/>
      <c r="Z2468" s="209"/>
      <c r="AA2468" s="209" t="s">
        <v>54</v>
      </c>
      <c r="AB2468" s="212"/>
      <c r="AC2468" s="212"/>
    </row>
    <row r="2469" spans="1:29" outlineLevel="2" x14ac:dyDescent="0.25">
      <c r="A2469" s="201">
        <v>46031</v>
      </c>
      <c r="D2469" s="198" t="s">
        <v>54</v>
      </c>
      <c r="E2469" s="202">
        <v>2124000</v>
      </c>
      <c r="K2469" s="198" t="s">
        <v>2007</v>
      </c>
      <c r="L2469" s="198" t="s">
        <v>153</v>
      </c>
      <c r="P2469" s="201"/>
      <c r="R2469" s="202">
        <v>2124000</v>
      </c>
      <c r="U2469" s="198" t="s">
        <v>1199</v>
      </c>
      <c r="AA2469" s="198" t="s">
        <v>51</v>
      </c>
      <c r="AB2469" s="202">
        <v>2124000</v>
      </c>
      <c r="AC2469" s="202">
        <v>2124000</v>
      </c>
    </row>
    <row r="2470" spans="1:29" outlineLevel="2" x14ac:dyDescent="0.25">
      <c r="A2470" s="201">
        <v>46153</v>
      </c>
      <c r="D2470" s="198" t="s">
        <v>54</v>
      </c>
      <c r="E2470" s="202">
        <v>6500</v>
      </c>
      <c r="K2470" s="198" t="s">
        <v>2007</v>
      </c>
      <c r="L2470" s="198" t="s">
        <v>153</v>
      </c>
      <c r="P2470" s="201"/>
      <c r="R2470" s="202">
        <v>6500</v>
      </c>
      <c r="U2470" s="198" t="s">
        <v>1199</v>
      </c>
      <c r="AA2470" s="198" t="s">
        <v>51</v>
      </c>
      <c r="AB2470" s="202">
        <v>6500</v>
      </c>
      <c r="AC2470" s="202">
        <v>6500</v>
      </c>
    </row>
    <row r="2471" spans="1:29" outlineLevel="1" x14ac:dyDescent="0.25">
      <c r="A2471" s="210"/>
      <c r="B2471" s="209"/>
      <c r="C2471" s="209"/>
      <c r="D2471" s="209" t="s">
        <v>54</v>
      </c>
      <c r="E2471" s="211">
        <v>2130500</v>
      </c>
      <c r="F2471" s="209"/>
      <c r="G2471" s="209"/>
      <c r="H2471" s="209"/>
      <c r="I2471" s="209"/>
      <c r="J2471" s="209"/>
      <c r="K2471" s="209" t="s">
        <v>54</v>
      </c>
      <c r="L2471" s="209" t="s">
        <v>54</v>
      </c>
      <c r="M2471" s="209"/>
      <c r="N2471" s="209"/>
      <c r="O2471" s="209"/>
      <c r="P2471" s="210"/>
      <c r="Q2471" s="209"/>
      <c r="R2471" s="212"/>
      <c r="S2471" s="209"/>
      <c r="T2471" s="209"/>
      <c r="U2471" s="209" t="s">
        <v>54</v>
      </c>
      <c r="V2471" s="209"/>
      <c r="W2471" s="209"/>
      <c r="X2471" s="209"/>
      <c r="Y2471" s="209"/>
      <c r="Z2471" s="209"/>
      <c r="AA2471" s="209" t="s">
        <v>54</v>
      </c>
      <c r="AB2471" s="212"/>
      <c r="AC2471" s="212"/>
    </row>
    <row r="2472" spans="1:29" outlineLevel="2" x14ac:dyDescent="0.25">
      <c r="A2472" s="201">
        <v>46031</v>
      </c>
      <c r="D2472" s="198" t="s">
        <v>54</v>
      </c>
      <c r="E2472" s="202">
        <v>2124000</v>
      </c>
      <c r="K2472" s="198" t="s">
        <v>2008</v>
      </c>
      <c r="L2472" s="198" t="s">
        <v>153</v>
      </c>
      <c r="P2472" s="201"/>
      <c r="R2472" s="202">
        <v>2124000</v>
      </c>
      <c r="U2472" s="198" t="s">
        <v>790</v>
      </c>
      <c r="AA2472" s="198" t="s">
        <v>51</v>
      </c>
      <c r="AB2472" s="202">
        <v>2124000</v>
      </c>
      <c r="AC2472" s="202">
        <v>2124000</v>
      </c>
    </row>
    <row r="2473" spans="1:29" outlineLevel="2" x14ac:dyDescent="0.25">
      <c r="A2473" s="201">
        <v>46153</v>
      </c>
      <c r="D2473" s="198" t="s">
        <v>54</v>
      </c>
      <c r="E2473" s="202">
        <v>6500</v>
      </c>
      <c r="K2473" s="198" t="s">
        <v>2008</v>
      </c>
      <c r="L2473" s="198" t="s">
        <v>153</v>
      </c>
      <c r="P2473" s="201"/>
      <c r="R2473" s="202">
        <v>6500</v>
      </c>
      <c r="U2473" s="198" t="s">
        <v>790</v>
      </c>
      <c r="AA2473" s="198" t="s">
        <v>51</v>
      </c>
      <c r="AB2473" s="202">
        <v>6500</v>
      </c>
      <c r="AC2473" s="202">
        <v>6500</v>
      </c>
    </row>
    <row r="2474" spans="1:29" outlineLevel="1" x14ac:dyDescent="0.25">
      <c r="A2474" s="210"/>
      <c r="B2474" s="209"/>
      <c r="C2474" s="209"/>
      <c r="D2474" s="209" t="s">
        <v>54</v>
      </c>
      <c r="E2474" s="211">
        <v>2130500</v>
      </c>
      <c r="F2474" s="209"/>
      <c r="G2474" s="209"/>
      <c r="H2474" s="209"/>
      <c r="I2474" s="209"/>
      <c r="J2474" s="209"/>
      <c r="K2474" s="209" t="s">
        <v>54</v>
      </c>
      <c r="L2474" s="209" t="s">
        <v>54</v>
      </c>
      <c r="M2474" s="209"/>
      <c r="N2474" s="209"/>
      <c r="O2474" s="209"/>
      <c r="P2474" s="210"/>
      <c r="Q2474" s="209"/>
      <c r="R2474" s="212"/>
      <c r="S2474" s="209"/>
      <c r="T2474" s="209"/>
      <c r="U2474" s="209" t="s">
        <v>54</v>
      </c>
      <c r="V2474" s="209"/>
      <c r="W2474" s="209"/>
      <c r="X2474" s="209"/>
      <c r="Y2474" s="209"/>
      <c r="Z2474" s="209"/>
      <c r="AA2474" s="209" t="s">
        <v>54</v>
      </c>
      <c r="AB2474" s="212"/>
      <c r="AC2474" s="212"/>
    </row>
    <row r="2475" spans="1:29" outlineLevel="2" x14ac:dyDescent="0.25">
      <c r="A2475" s="201">
        <v>46066</v>
      </c>
      <c r="D2475" s="198" t="s">
        <v>54</v>
      </c>
      <c r="E2475" s="202">
        <v>2983050847</v>
      </c>
      <c r="K2475" s="198" t="s">
        <v>2009</v>
      </c>
      <c r="L2475" s="198" t="s">
        <v>153</v>
      </c>
      <c r="P2475" s="201"/>
      <c r="R2475" s="202">
        <v>2983050847</v>
      </c>
      <c r="U2475" s="198" t="s">
        <v>772</v>
      </c>
      <c r="AA2475" s="198" t="s">
        <v>51</v>
      </c>
      <c r="AB2475" s="202">
        <v>2983050847</v>
      </c>
      <c r="AC2475" s="202">
        <v>2983050847</v>
      </c>
    </row>
    <row r="2476" spans="1:29" outlineLevel="1" x14ac:dyDescent="0.25">
      <c r="A2476" s="210"/>
      <c r="B2476" s="209"/>
      <c r="C2476" s="209"/>
      <c r="D2476" s="209" t="s">
        <v>54</v>
      </c>
      <c r="E2476" s="211">
        <v>2983050847</v>
      </c>
      <c r="F2476" s="209"/>
      <c r="G2476" s="209"/>
      <c r="H2476" s="209"/>
      <c r="I2476" s="209"/>
      <c r="J2476" s="209"/>
      <c r="K2476" s="209" t="s">
        <v>54</v>
      </c>
      <c r="L2476" s="209" t="s">
        <v>54</v>
      </c>
      <c r="M2476" s="209"/>
      <c r="N2476" s="209"/>
      <c r="O2476" s="209"/>
      <c r="P2476" s="210"/>
      <c r="Q2476" s="209"/>
      <c r="R2476" s="212"/>
      <c r="S2476" s="209"/>
      <c r="T2476" s="209"/>
      <c r="U2476" s="209" t="s">
        <v>54</v>
      </c>
      <c r="V2476" s="209"/>
      <c r="W2476" s="209"/>
      <c r="X2476" s="209"/>
      <c r="Y2476" s="209"/>
      <c r="Z2476" s="209"/>
      <c r="AA2476" s="209" t="s">
        <v>54</v>
      </c>
      <c r="AB2476" s="212"/>
      <c r="AC2476" s="212"/>
    </row>
    <row r="2477" spans="1:29" outlineLevel="2" x14ac:dyDescent="0.25">
      <c r="A2477" s="201">
        <v>46115</v>
      </c>
      <c r="D2477" s="198" t="s">
        <v>54</v>
      </c>
      <c r="E2477" s="202">
        <v>6670640</v>
      </c>
      <c r="K2477" s="198" t="s">
        <v>2010</v>
      </c>
      <c r="L2477" s="198" t="s">
        <v>153</v>
      </c>
      <c r="P2477" s="201"/>
      <c r="R2477" s="202">
        <v>6670640</v>
      </c>
      <c r="U2477" s="198" t="s">
        <v>850</v>
      </c>
      <c r="AA2477" s="198" t="s">
        <v>51</v>
      </c>
      <c r="AB2477" s="202">
        <v>6670640</v>
      </c>
      <c r="AC2477" s="202">
        <v>6670640</v>
      </c>
    </row>
    <row r="2478" spans="1:29" outlineLevel="1" x14ac:dyDescent="0.25">
      <c r="A2478" s="210"/>
      <c r="B2478" s="209"/>
      <c r="C2478" s="209"/>
      <c r="D2478" s="209" t="s">
        <v>54</v>
      </c>
      <c r="E2478" s="211">
        <v>6670640</v>
      </c>
      <c r="F2478" s="209"/>
      <c r="G2478" s="209"/>
      <c r="H2478" s="209"/>
      <c r="I2478" s="209"/>
      <c r="J2478" s="209"/>
      <c r="K2478" s="209" t="s">
        <v>54</v>
      </c>
      <c r="L2478" s="209" t="s">
        <v>54</v>
      </c>
      <c r="M2478" s="209"/>
      <c r="N2478" s="209"/>
      <c r="O2478" s="209"/>
      <c r="P2478" s="210"/>
      <c r="Q2478" s="209"/>
      <c r="R2478" s="212"/>
      <c r="S2478" s="209"/>
      <c r="T2478" s="209"/>
      <c r="U2478" s="209" t="s">
        <v>54</v>
      </c>
      <c r="V2478" s="209"/>
      <c r="W2478" s="209"/>
      <c r="X2478" s="209"/>
      <c r="Y2478" s="209"/>
      <c r="Z2478" s="209"/>
      <c r="AA2478" s="209" t="s">
        <v>54</v>
      </c>
      <c r="AB2478" s="212"/>
      <c r="AC2478" s="212"/>
    </row>
    <row r="2479" spans="1:29" outlineLevel="2" x14ac:dyDescent="0.25">
      <c r="A2479" s="201">
        <v>46018</v>
      </c>
      <c r="D2479" s="198" t="s">
        <v>54</v>
      </c>
      <c r="E2479" s="202">
        <v>15550000</v>
      </c>
      <c r="K2479" s="198" t="s">
        <v>1200</v>
      </c>
      <c r="L2479" s="198" t="s">
        <v>193</v>
      </c>
      <c r="P2479" s="201"/>
      <c r="R2479" s="202">
        <v>15550000</v>
      </c>
      <c r="U2479" s="198" t="s">
        <v>193</v>
      </c>
      <c r="AA2479" s="198" t="s">
        <v>51</v>
      </c>
      <c r="AB2479" s="202">
        <v>15550000</v>
      </c>
      <c r="AC2479" s="202">
        <v>15550000</v>
      </c>
    </row>
    <row r="2480" spans="1:29" outlineLevel="2" x14ac:dyDescent="0.25">
      <c r="A2480" s="201">
        <v>46021</v>
      </c>
      <c r="D2480" s="198" t="s">
        <v>54</v>
      </c>
      <c r="E2480" s="202">
        <v>190000</v>
      </c>
      <c r="K2480" s="198" t="s">
        <v>1200</v>
      </c>
      <c r="L2480" s="198" t="s">
        <v>193</v>
      </c>
      <c r="P2480" s="201"/>
      <c r="R2480" s="202">
        <v>190000</v>
      </c>
      <c r="U2480" s="198" t="s">
        <v>193</v>
      </c>
      <c r="AA2480" s="198" t="s">
        <v>51</v>
      </c>
      <c r="AB2480" s="202">
        <v>190000</v>
      </c>
      <c r="AC2480" s="202">
        <v>190000</v>
      </c>
    </row>
    <row r="2481" spans="1:29" outlineLevel="2" x14ac:dyDescent="0.25">
      <c r="A2481" s="201">
        <v>46022</v>
      </c>
      <c r="D2481" s="198" t="s">
        <v>54</v>
      </c>
      <c r="E2481" s="202">
        <v>209000</v>
      </c>
      <c r="K2481" s="198" t="s">
        <v>1200</v>
      </c>
      <c r="L2481" s="198" t="s">
        <v>193</v>
      </c>
      <c r="P2481" s="201"/>
      <c r="R2481" s="202">
        <v>209000</v>
      </c>
      <c r="U2481" s="198" t="s">
        <v>193</v>
      </c>
      <c r="AA2481" s="198" t="s">
        <v>51</v>
      </c>
      <c r="AB2481" s="202">
        <v>209000</v>
      </c>
      <c r="AC2481" s="202">
        <v>209000</v>
      </c>
    </row>
    <row r="2482" spans="1:29" outlineLevel="2" x14ac:dyDescent="0.25">
      <c r="A2482" s="201">
        <v>46023</v>
      </c>
      <c r="D2482" s="198" t="s">
        <v>54</v>
      </c>
      <c r="E2482" s="202">
        <v>190000</v>
      </c>
      <c r="K2482" s="198" t="s">
        <v>1200</v>
      </c>
      <c r="L2482" s="198" t="s">
        <v>193</v>
      </c>
      <c r="P2482" s="201"/>
      <c r="R2482" s="202">
        <v>190000</v>
      </c>
      <c r="U2482" s="198" t="s">
        <v>193</v>
      </c>
      <c r="AA2482" s="198" t="s">
        <v>51</v>
      </c>
      <c r="AB2482" s="202">
        <v>190000</v>
      </c>
      <c r="AC2482" s="202">
        <v>190000</v>
      </c>
    </row>
    <row r="2483" spans="1:29" outlineLevel="2" x14ac:dyDescent="0.25">
      <c r="A2483" s="201">
        <v>46024</v>
      </c>
      <c r="D2483" s="198" t="s">
        <v>54</v>
      </c>
      <c r="E2483" s="202">
        <v>14500</v>
      </c>
      <c r="K2483" s="198" t="s">
        <v>1200</v>
      </c>
      <c r="L2483" s="198" t="s">
        <v>193</v>
      </c>
      <c r="P2483" s="201"/>
      <c r="R2483" s="202">
        <v>14500</v>
      </c>
      <c r="U2483" s="198" t="s">
        <v>193</v>
      </c>
      <c r="AA2483" s="198" t="s">
        <v>51</v>
      </c>
      <c r="AB2483" s="202">
        <v>14500</v>
      </c>
      <c r="AC2483" s="202">
        <v>14500</v>
      </c>
    </row>
    <row r="2484" spans="1:29" outlineLevel="2" x14ac:dyDescent="0.25">
      <c r="A2484" s="201">
        <v>46027</v>
      </c>
      <c r="D2484" s="198" t="s">
        <v>54</v>
      </c>
      <c r="E2484" s="202">
        <v>5000</v>
      </c>
      <c r="K2484" s="198" t="s">
        <v>1200</v>
      </c>
      <c r="L2484" s="198" t="s">
        <v>193</v>
      </c>
      <c r="P2484" s="201"/>
      <c r="R2484" s="202">
        <v>5000</v>
      </c>
      <c r="U2484" s="198" t="s">
        <v>193</v>
      </c>
      <c r="AA2484" s="198" t="s">
        <v>51</v>
      </c>
      <c r="AB2484" s="202">
        <v>5000</v>
      </c>
      <c r="AC2484" s="202">
        <v>5000</v>
      </c>
    </row>
    <row r="2485" spans="1:29" outlineLevel="2" x14ac:dyDescent="0.25">
      <c r="A2485" s="201">
        <v>46031</v>
      </c>
      <c r="D2485" s="198" t="s">
        <v>54</v>
      </c>
      <c r="E2485" s="202">
        <v>2124000</v>
      </c>
      <c r="K2485" s="198" t="s">
        <v>1200</v>
      </c>
      <c r="L2485" s="198" t="s">
        <v>193</v>
      </c>
      <c r="P2485" s="201"/>
      <c r="R2485" s="202">
        <v>2124000</v>
      </c>
      <c r="U2485" s="198" t="s">
        <v>193</v>
      </c>
      <c r="AA2485" s="198" t="s">
        <v>51</v>
      </c>
      <c r="AB2485" s="202">
        <v>2124000</v>
      </c>
      <c r="AC2485" s="202">
        <v>2124000</v>
      </c>
    </row>
    <row r="2486" spans="1:29" outlineLevel="2" x14ac:dyDescent="0.25">
      <c r="A2486" s="201">
        <v>46043</v>
      </c>
      <c r="D2486" s="198" t="s">
        <v>54</v>
      </c>
      <c r="E2486" s="202">
        <v>300000</v>
      </c>
      <c r="K2486" s="198" t="s">
        <v>1200</v>
      </c>
      <c r="L2486" s="198" t="s">
        <v>193</v>
      </c>
      <c r="P2486" s="201"/>
      <c r="R2486" s="202">
        <v>300000</v>
      </c>
      <c r="U2486" s="198" t="s">
        <v>193</v>
      </c>
      <c r="AA2486" s="198" t="s">
        <v>51</v>
      </c>
      <c r="AB2486" s="202">
        <v>300000</v>
      </c>
      <c r="AC2486" s="202">
        <v>300000</v>
      </c>
    </row>
    <row r="2487" spans="1:29" outlineLevel="2" x14ac:dyDescent="0.25">
      <c r="A2487" s="201">
        <v>46045</v>
      </c>
      <c r="D2487" s="198" t="s">
        <v>54</v>
      </c>
      <c r="E2487" s="202">
        <v>100000</v>
      </c>
      <c r="K2487" s="198" t="s">
        <v>1200</v>
      </c>
      <c r="L2487" s="198" t="s">
        <v>193</v>
      </c>
      <c r="P2487" s="201"/>
      <c r="R2487" s="202">
        <v>100000</v>
      </c>
      <c r="U2487" s="198" t="s">
        <v>193</v>
      </c>
      <c r="AA2487" s="198" t="s">
        <v>51</v>
      </c>
      <c r="AB2487" s="202">
        <v>100000</v>
      </c>
      <c r="AC2487" s="202">
        <v>100000</v>
      </c>
    </row>
    <row r="2488" spans="1:29" outlineLevel="2" x14ac:dyDescent="0.25">
      <c r="A2488" s="201">
        <v>46055</v>
      </c>
      <c r="D2488" s="198" t="s">
        <v>54</v>
      </c>
      <c r="E2488" s="202">
        <v>153160</v>
      </c>
      <c r="K2488" s="198" t="s">
        <v>1200</v>
      </c>
      <c r="L2488" s="198" t="s">
        <v>193</v>
      </c>
      <c r="P2488" s="201"/>
      <c r="R2488" s="202">
        <v>153160</v>
      </c>
      <c r="U2488" s="198" t="s">
        <v>193</v>
      </c>
      <c r="AA2488" s="198" t="s">
        <v>51</v>
      </c>
      <c r="AB2488" s="202">
        <v>153160</v>
      </c>
      <c r="AC2488" s="202">
        <v>153160</v>
      </c>
    </row>
    <row r="2489" spans="1:29" outlineLevel="2" x14ac:dyDescent="0.25">
      <c r="A2489" s="201">
        <v>46056</v>
      </c>
      <c r="D2489" s="198" t="s">
        <v>54</v>
      </c>
      <c r="E2489" s="202">
        <v>1928000</v>
      </c>
      <c r="K2489" s="198" t="s">
        <v>1200</v>
      </c>
      <c r="L2489" s="198" t="s">
        <v>193</v>
      </c>
      <c r="P2489" s="201"/>
      <c r="R2489" s="202">
        <v>1928000</v>
      </c>
      <c r="U2489" s="198" t="s">
        <v>193</v>
      </c>
      <c r="AA2489" s="198" t="s">
        <v>51</v>
      </c>
      <c r="AB2489" s="202">
        <v>1928000</v>
      </c>
      <c r="AC2489" s="202">
        <v>1928000</v>
      </c>
    </row>
    <row r="2490" spans="1:29" outlineLevel="2" x14ac:dyDescent="0.25">
      <c r="A2490" s="201">
        <v>46058</v>
      </c>
      <c r="D2490" s="198" t="s">
        <v>54</v>
      </c>
      <c r="E2490" s="202">
        <v>408000</v>
      </c>
      <c r="K2490" s="198" t="s">
        <v>1200</v>
      </c>
      <c r="L2490" s="198" t="s">
        <v>193</v>
      </c>
      <c r="P2490" s="201"/>
      <c r="R2490" s="202">
        <v>408000</v>
      </c>
      <c r="U2490" s="198" t="s">
        <v>193</v>
      </c>
      <c r="AA2490" s="198" t="s">
        <v>51</v>
      </c>
      <c r="AB2490" s="202">
        <v>408000</v>
      </c>
      <c r="AC2490" s="202">
        <v>408000</v>
      </c>
    </row>
    <row r="2491" spans="1:29" outlineLevel="2" x14ac:dyDescent="0.25">
      <c r="A2491" s="201">
        <v>46058</v>
      </c>
      <c r="D2491" s="198" t="s">
        <v>54</v>
      </c>
      <c r="E2491" s="202">
        <v>981120</v>
      </c>
      <c r="K2491" s="198" t="s">
        <v>1200</v>
      </c>
      <c r="L2491" s="198" t="s">
        <v>193</v>
      </c>
      <c r="P2491" s="201"/>
      <c r="R2491" s="202">
        <v>981120</v>
      </c>
      <c r="U2491" s="198" t="s">
        <v>193</v>
      </c>
      <c r="AA2491" s="198" t="s">
        <v>51</v>
      </c>
      <c r="AB2491" s="202">
        <v>981120</v>
      </c>
      <c r="AC2491" s="202">
        <v>981120</v>
      </c>
    </row>
    <row r="2492" spans="1:29" outlineLevel="2" x14ac:dyDescent="0.25">
      <c r="A2492" s="201">
        <v>46058</v>
      </c>
      <c r="D2492" s="198" t="s">
        <v>54</v>
      </c>
      <c r="E2492" s="202">
        <v>760008</v>
      </c>
      <c r="K2492" s="198" t="s">
        <v>1200</v>
      </c>
      <c r="L2492" s="198" t="s">
        <v>193</v>
      </c>
      <c r="P2492" s="201"/>
      <c r="R2492" s="202">
        <v>760008</v>
      </c>
      <c r="U2492" s="198" t="s">
        <v>193</v>
      </c>
      <c r="AA2492" s="198" t="s">
        <v>51</v>
      </c>
      <c r="AB2492" s="202">
        <v>760008</v>
      </c>
      <c r="AC2492" s="202">
        <v>760008</v>
      </c>
    </row>
    <row r="2493" spans="1:29" outlineLevel="2" x14ac:dyDescent="0.25">
      <c r="A2493" s="201">
        <v>46060</v>
      </c>
      <c r="D2493" s="198" t="s">
        <v>54</v>
      </c>
      <c r="E2493" s="202">
        <v>7973698</v>
      </c>
      <c r="K2493" s="198" t="s">
        <v>1200</v>
      </c>
      <c r="L2493" s="198" t="s">
        <v>193</v>
      </c>
      <c r="P2493" s="201"/>
      <c r="R2493" s="202">
        <v>7973698</v>
      </c>
      <c r="U2493" s="198" t="s">
        <v>193</v>
      </c>
      <c r="AA2493" s="198" t="s">
        <v>51</v>
      </c>
      <c r="AB2493" s="202">
        <v>7973698</v>
      </c>
      <c r="AC2493" s="202">
        <v>7973698</v>
      </c>
    </row>
    <row r="2494" spans="1:29" outlineLevel="2" x14ac:dyDescent="0.25">
      <c r="A2494" s="201">
        <v>46062</v>
      </c>
      <c r="D2494" s="198" t="s">
        <v>54</v>
      </c>
      <c r="E2494" s="202">
        <v>60264</v>
      </c>
      <c r="K2494" s="198" t="s">
        <v>1200</v>
      </c>
      <c r="L2494" s="198" t="s">
        <v>193</v>
      </c>
      <c r="P2494" s="201"/>
      <c r="R2494" s="202">
        <v>60264</v>
      </c>
      <c r="U2494" s="198" t="s">
        <v>193</v>
      </c>
      <c r="AA2494" s="198" t="s">
        <v>51</v>
      </c>
      <c r="AB2494" s="202">
        <v>60264</v>
      </c>
      <c r="AC2494" s="202">
        <v>60264</v>
      </c>
    </row>
    <row r="2495" spans="1:29" outlineLevel="2" x14ac:dyDescent="0.25">
      <c r="A2495" s="201">
        <v>46064</v>
      </c>
      <c r="D2495" s="198" t="s">
        <v>54</v>
      </c>
      <c r="E2495" s="202">
        <v>750000</v>
      </c>
      <c r="K2495" s="198" t="s">
        <v>1200</v>
      </c>
      <c r="L2495" s="198" t="s">
        <v>193</v>
      </c>
      <c r="P2495" s="201"/>
      <c r="R2495" s="202">
        <v>750000</v>
      </c>
      <c r="U2495" s="198" t="s">
        <v>193</v>
      </c>
      <c r="AA2495" s="198" t="s">
        <v>51</v>
      </c>
      <c r="AB2495" s="202">
        <v>750000</v>
      </c>
      <c r="AC2495" s="202">
        <v>750000</v>
      </c>
    </row>
    <row r="2496" spans="1:29" outlineLevel="2" x14ac:dyDescent="0.25">
      <c r="A2496" s="201">
        <v>46064</v>
      </c>
      <c r="D2496" s="198" t="s">
        <v>54</v>
      </c>
      <c r="E2496" s="202">
        <v>-750000</v>
      </c>
      <c r="K2496" s="198" t="s">
        <v>1200</v>
      </c>
      <c r="L2496" s="198" t="s">
        <v>193</v>
      </c>
      <c r="P2496" s="201"/>
      <c r="R2496" s="202">
        <v>-750000</v>
      </c>
      <c r="U2496" s="198" t="s">
        <v>193</v>
      </c>
      <c r="AA2496" s="198" t="s">
        <v>51</v>
      </c>
      <c r="AB2496" s="202">
        <v>-750000</v>
      </c>
      <c r="AC2496" s="202">
        <v>-750000</v>
      </c>
    </row>
    <row r="2497" spans="1:29" outlineLevel="2" x14ac:dyDescent="0.25">
      <c r="A2497" s="201">
        <v>46066</v>
      </c>
      <c r="D2497" s="198" t="s">
        <v>54</v>
      </c>
      <c r="E2497" s="202">
        <v>2669491525</v>
      </c>
      <c r="K2497" s="198" t="s">
        <v>1200</v>
      </c>
      <c r="L2497" s="198" t="s">
        <v>193</v>
      </c>
      <c r="P2497" s="201"/>
      <c r="R2497" s="202">
        <v>2669491525</v>
      </c>
      <c r="U2497" s="198" t="s">
        <v>193</v>
      </c>
      <c r="AA2497" s="198" t="s">
        <v>51</v>
      </c>
      <c r="AB2497" s="202">
        <v>2669491525</v>
      </c>
      <c r="AC2497" s="202">
        <v>2669491525</v>
      </c>
    </row>
    <row r="2498" spans="1:29" outlineLevel="2" x14ac:dyDescent="0.25">
      <c r="A2498" s="201">
        <v>46070</v>
      </c>
      <c r="D2498" s="198" t="s">
        <v>54</v>
      </c>
      <c r="E2498" s="202">
        <v>32137.599999999999</v>
      </c>
      <c r="K2498" s="198" t="s">
        <v>1200</v>
      </c>
      <c r="L2498" s="198" t="s">
        <v>193</v>
      </c>
      <c r="P2498" s="201"/>
      <c r="R2498" s="202">
        <v>32137.599999999999</v>
      </c>
      <c r="U2498" s="198" t="s">
        <v>193</v>
      </c>
      <c r="AA2498" s="198" t="s">
        <v>51</v>
      </c>
      <c r="AB2498" s="202">
        <v>32137.599999999999</v>
      </c>
      <c r="AC2498" s="202">
        <v>32137.599999999999</v>
      </c>
    </row>
    <row r="2499" spans="1:29" outlineLevel="2" x14ac:dyDescent="0.25">
      <c r="A2499" s="201">
        <v>46078</v>
      </c>
      <c r="D2499" s="198" t="s">
        <v>54</v>
      </c>
      <c r="E2499" s="202">
        <v>1305292</v>
      </c>
      <c r="K2499" s="198" t="s">
        <v>1200</v>
      </c>
      <c r="L2499" s="198" t="s">
        <v>193</v>
      </c>
      <c r="P2499" s="201"/>
      <c r="R2499" s="202">
        <v>1305292</v>
      </c>
      <c r="U2499" s="198" t="s">
        <v>193</v>
      </c>
      <c r="AA2499" s="198" t="s">
        <v>51</v>
      </c>
      <c r="AB2499" s="202">
        <v>1305292</v>
      </c>
      <c r="AC2499" s="202">
        <v>1305292</v>
      </c>
    </row>
    <row r="2500" spans="1:29" outlineLevel="2" x14ac:dyDescent="0.25">
      <c r="A2500" s="201">
        <v>46098</v>
      </c>
      <c r="D2500" s="198" t="s">
        <v>54</v>
      </c>
      <c r="E2500" s="202">
        <v>1045984</v>
      </c>
      <c r="K2500" s="198" t="s">
        <v>1200</v>
      </c>
      <c r="L2500" s="198" t="s">
        <v>193</v>
      </c>
      <c r="P2500" s="201"/>
      <c r="R2500" s="202">
        <v>1045984</v>
      </c>
      <c r="U2500" s="198" t="s">
        <v>193</v>
      </c>
      <c r="AA2500" s="198" t="s">
        <v>51</v>
      </c>
      <c r="AB2500" s="202">
        <v>1045984</v>
      </c>
      <c r="AC2500" s="202">
        <v>1045984</v>
      </c>
    </row>
    <row r="2501" spans="1:29" outlineLevel="2" x14ac:dyDescent="0.25">
      <c r="A2501" s="201">
        <v>46104</v>
      </c>
      <c r="D2501" s="198" t="s">
        <v>54</v>
      </c>
      <c r="E2501" s="202">
        <v>1710000000</v>
      </c>
      <c r="K2501" s="198" t="s">
        <v>1200</v>
      </c>
      <c r="L2501" s="198" t="s">
        <v>193</v>
      </c>
      <c r="P2501" s="201"/>
      <c r="R2501" s="202">
        <v>1710000000</v>
      </c>
      <c r="U2501" s="198" t="s">
        <v>193</v>
      </c>
      <c r="AA2501" s="198" t="s">
        <v>51</v>
      </c>
      <c r="AB2501" s="202">
        <v>1710000000</v>
      </c>
      <c r="AC2501" s="202">
        <v>1710000000</v>
      </c>
    </row>
    <row r="2502" spans="1:29" outlineLevel="2" x14ac:dyDescent="0.25">
      <c r="A2502" s="201">
        <v>46104</v>
      </c>
      <c r="D2502" s="198" t="s">
        <v>54</v>
      </c>
      <c r="E2502" s="202">
        <v>135000000</v>
      </c>
      <c r="K2502" s="198" t="s">
        <v>1200</v>
      </c>
      <c r="L2502" s="198" t="s">
        <v>193</v>
      </c>
      <c r="P2502" s="201"/>
      <c r="R2502" s="202">
        <v>135000000</v>
      </c>
      <c r="U2502" s="198" t="s">
        <v>193</v>
      </c>
      <c r="AA2502" s="198" t="s">
        <v>51</v>
      </c>
      <c r="AB2502" s="202">
        <v>135000000</v>
      </c>
      <c r="AC2502" s="202">
        <v>135000000</v>
      </c>
    </row>
    <row r="2503" spans="1:29" outlineLevel="2" x14ac:dyDescent="0.25">
      <c r="A2503" s="201">
        <v>46108</v>
      </c>
      <c r="D2503" s="198" t="s">
        <v>54</v>
      </c>
      <c r="E2503" s="202">
        <v>41152.400000000001</v>
      </c>
      <c r="K2503" s="198" t="s">
        <v>1200</v>
      </c>
      <c r="L2503" s="198" t="s">
        <v>193</v>
      </c>
      <c r="P2503" s="201"/>
      <c r="R2503" s="202">
        <v>41152.400000000001</v>
      </c>
      <c r="U2503" s="198" t="s">
        <v>193</v>
      </c>
      <c r="AA2503" s="198" t="s">
        <v>51</v>
      </c>
      <c r="AB2503" s="202">
        <v>41152.400000000001</v>
      </c>
      <c r="AC2503" s="202">
        <v>41152.400000000001</v>
      </c>
    </row>
    <row r="2504" spans="1:29" outlineLevel="2" x14ac:dyDescent="0.25">
      <c r="A2504" s="201">
        <v>46112</v>
      </c>
      <c r="D2504" s="198" t="s">
        <v>54</v>
      </c>
      <c r="E2504" s="202">
        <v>1397450</v>
      </c>
      <c r="K2504" s="198" t="s">
        <v>1200</v>
      </c>
      <c r="L2504" s="198" t="s">
        <v>193</v>
      </c>
      <c r="P2504" s="201"/>
      <c r="R2504" s="202">
        <v>1397450</v>
      </c>
      <c r="U2504" s="198" t="s">
        <v>193</v>
      </c>
      <c r="AA2504" s="198" t="s">
        <v>51</v>
      </c>
      <c r="AB2504" s="202">
        <v>1397450</v>
      </c>
      <c r="AC2504" s="202">
        <v>1397450</v>
      </c>
    </row>
    <row r="2505" spans="1:29" outlineLevel="2" x14ac:dyDescent="0.25">
      <c r="A2505" s="201">
        <v>46115</v>
      </c>
      <c r="D2505" s="198" t="s">
        <v>54</v>
      </c>
      <c r="E2505" s="202">
        <v>4081127.9</v>
      </c>
      <c r="K2505" s="198" t="s">
        <v>1200</v>
      </c>
      <c r="L2505" s="198" t="s">
        <v>193</v>
      </c>
      <c r="P2505" s="201"/>
      <c r="R2505" s="202">
        <v>4081127.9</v>
      </c>
      <c r="U2505" s="198" t="s">
        <v>193</v>
      </c>
      <c r="AA2505" s="198" t="s">
        <v>51</v>
      </c>
      <c r="AB2505" s="202">
        <v>4081127.9</v>
      </c>
      <c r="AC2505" s="202">
        <v>4081127.9</v>
      </c>
    </row>
    <row r="2506" spans="1:29" outlineLevel="2" x14ac:dyDescent="0.25">
      <c r="A2506" s="201">
        <v>46116</v>
      </c>
      <c r="D2506" s="198" t="s">
        <v>54</v>
      </c>
      <c r="E2506" s="202">
        <v>403000</v>
      </c>
      <c r="K2506" s="198" t="s">
        <v>1200</v>
      </c>
      <c r="L2506" s="198" t="s">
        <v>193</v>
      </c>
      <c r="P2506" s="201"/>
      <c r="R2506" s="202">
        <v>403000</v>
      </c>
      <c r="U2506" s="198" t="s">
        <v>193</v>
      </c>
      <c r="AA2506" s="198" t="s">
        <v>51</v>
      </c>
      <c r="AB2506" s="202">
        <v>403000</v>
      </c>
      <c r="AC2506" s="202">
        <v>403000</v>
      </c>
    </row>
    <row r="2507" spans="1:29" outlineLevel="2" x14ac:dyDescent="0.25">
      <c r="A2507" s="201">
        <v>46117</v>
      </c>
      <c r="D2507" s="198" t="s">
        <v>54</v>
      </c>
      <c r="E2507" s="202">
        <v>221703.09</v>
      </c>
      <c r="K2507" s="198" t="s">
        <v>1200</v>
      </c>
      <c r="L2507" s="198" t="s">
        <v>193</v>
      </c>
      <c r="P2507" s="201"/>
      <c r="R2507" s="202">
        <v>221703.09</v>
      </c>
      <c r="U2507" s="198" t="s">
        <v>193</v>
      </c>
      <c r="AA2507" s="198" t="s">
        <v>51</v>
      </c>
      <c r="AB2507" s="202">
        <v>221703.09</v>
      </c>
      <c r="AC2507" s="202">
        <v>221703.09</v>
      </c>
    </row>
    <row r="2508" spans="1:29" outlineLevel="2" x14ac:dyDescent="0.25">
      <c r="A2508" s="201">
        <v>46117</v>
      </c>
      <c r="D2508" s="198" t="s">
        <v>54</v>
      </c>
      <c r="E2508" s="202">
        <v>50425.75</v>
      </c>
      <c r="K2508" s="198" t="s">
        <v>1200</v>
      </c>
      <c r="L2508" s="198" t="s">
        <v>193</v>
      </c>
      <c r="P2508" s="201"/>
      <c r="R2508" s="202">
        <v>50425.75</v>
      </c>
      <c r="U2508" s="198" t="s">
        <v>193</v>
      </c>
      <c r="AA2508" s="198" t="s">
        <v>51</v>
      </c>
      <c r="AB2508" s="202">
        <v>50425.75</v>
      </c>
      <c r="AC2508" s="202">
        <v>50425.75</v>
      </c>
    </row>
    <row r="2509" spans="1:29" outlineLevel="2" x14ac:dyDescent="0.25">
      <c r="A2509" s="201">
        <v>46118</v>
      </c>
      <c r="D2509" s="198" t="s">
        <v>54</v>
      </c>
      <c r="E2509" s="202">
        <v>3446310</v>
      </c>
      <c r="K2509" s="198" t="s">
        <v>1200</v>
      </c>
      <c r="L2509" s="198" t="s">
        <v>193</v>
      </c>
      <c r="P2509" s="201"/>
      <c r="R2509" s="202">
        <v>3446310</v>
      </c>
      <c r="U2509" s="198" t="s">
        <v>193</v>
      </c>
      <c r="AA2509" s="198" t="s">
        <v>51</v>
      </c>
      <c r="AB2509" s="202">
        <v>3446310</v>
      </c>
      <c r="AC2509" s="202">
        <v>3446310</v>
      </c>
    </row>
    <row r="2510" spans="1:29" outlineLevel="2" x14ac:dyDescent="0.25">
      <c r="A2510" s="201">
        <v>46118</v>
      </c>
      <c r="D2510" s="198" t="s">
        <v>54</v>
      </c>
      <c r="E2510" s="202">
        <v>15200</v>
      </c>
      <c r="K2510" s="198" t="s">
        <v>1200</v>
      </c>
      <c r="L2510" s="198" t="s">
        <v>193</v>
      </c>
      <c r="P2510" s="201"/>
      <c r="R2510" s="202">
        <v>15200</v>
      </c>
      <c r="U2510" s="198" t="s">
        <v>193</v>
      </c>
      <c r="AA2510" s="198" t="s">
        <v>51</v>
      </c>
      <c r="AB2510" s="202">
        <v>15200</v>
      </c>
      <c r="AC2510" s="202">
        <v>15200</v>
      </c>
    </row>
    <row r="2511" spans="1:29" outlineLevel="2" x14ac:dyDescent="0.25">
      <c r="A2511" s="201">
        <v>46118</v>
      </c>
      <c r="D2511" s="198" t="s">
        <v>54</v>
      </c>
      <c r="E2511" s="202">
        <v>15200</v>
      </c>
      <c r="K2511" s="198" t="s">
        <v>1200</v>
      </c>
      <c r="L2511" s="198" t="s">
        <v>193</v>
      </c>
      <c r="P2511" s="201"/>
      <c r="R2511" s="202">
        <v>15200</v>
      </c>
      <c r="U2511" s="198" t="s">
        <v>193</v>
      </c>
      <c r="AA2511" s="198" t="s">
        <v>51</v>
      </c>
      <c r="AB2511" s="202">
        <v>15200</v>
      </c>
      <c r="AC2511" s="202">
        <v>15200</v>
      </c>
    </row>
    <row r="2512" spans="1:29" outlineLevel="2" x14ac:dyDescent="0.25">
      <c r="A2512" s="201">
        <v>46122</v>
      </c>
      <c r="D2512" s="198" t="s">
        <v>54</v>
      </c>
      <c r="E2512" s="202">
        <v>311030</v>
      </c>
      <c r="K2512" s="198" t="s">
        <v>1200</v>
      </c>
      <c r="L2512" s="198" t="s">
        <v>193</v>
      </c>
      <c r="P2512" s="201"/>
      <c r="R2512" s="202">
        <v>311030</v>
      </c>
      <c r="U2512" s="198" t="s">
        <v>193</v>
      </c>
      <c r="AA2512" s="198" t="s">
        <v>51</v>
      </c>
      <c r="AB2512" s="202">
        <v>311030</v>
      </c>
      <c r="AC2512" s="202">
        <v>311030</v>
      </c>
    </row>
    <row r="2513" spans="1:29" outlineLevel="2" x14ac:dyDescent="0.25">
      <c r="A2513" s="201">
        <v>46134</v>
      </c>
      <c r="D2513" s="198" t="s">
        <v>54</v>
      </c>
      <c r="E2513" s="202">
        <v>704008</v>
      </c>
      <c r="K2513" s="198" t="s">
        <v>1200</v>
      </c>
      <c r="L2513" s="198" t="s">
        <v>193</v>
      </c>
      <c r="P2513" s="201"/>
      <c r="R2513" s="202">
        <v>704008</v>
      </c>
      <c r="U2513" s="198" t="s">
        <v>193</v>
      </c>
      <c r="AA2513" s="198" t="s">
        <v>51</v>
      </c>
      <c r="AB2513" s="202">
        <v>704008</v>
      </c>
      <c r="AC2513" s="202">
        <v>704008</v>
      </c>
    </row>
    <row r="2514" spans="1:29" outlineLevel="2" x14ac:dyDescent="0.25">
      <c r="A2514" s="201">
        <v>46142</v>
      </c>
      <c r="D2514" s="198" t="s">
        <v>54</v>
      </c>
      <c r="E2514" s="202">
        <v>7149385</v>
      </c>
      <c r="K2514" s="198" t="s">
        <v>1200</v>
      </c>
      <c r="L2514" s="198" t="s">
        <v>193</v>
      </c>
      <c r="P2514" s="201"/>
      <c r="R2514" s="202">
        <v>7149385</v>
      </c>
      <c r="U2514" s="198" t="s">
        <v>193</v>
      </c>
      <c r="AA2514" s="198" t="s">
        <v>51</v>
      </c>
      <c r="AB2514" s="202">
        <v>7149385</v>
      </c>
      <c r="AC2514" s="202">
        <v>7149385</v>
      </c>
    </row>
    <row r="2515" spans="1:29" outlineLevel="2" x14ac:dyDescent="0.25">
      <c r="A2515" s="201">
        <v>46150</v>
      </c>
      <c r="D2515" s="198" t="s">
        <v>54</v>
      </c>
      <c r="E2515" s="202">
        <v>31691</v>
      </c>
      <c r="K2515" s="198" t="s">
        <v>1200</v>
      </c>
      <c r="L2515" s="198" t="s">
        <v>193</v>
      </c>
      <c r="P2515" s="201"/>
      <c r="R2515" s="202">
        <v>31691</v>
      </c>
      <c r="U2515" s="198" t="s">
        <v>193</v>
      </c>
      <c r="AA2515" s="198" t="s">
        <v>51</v>
      </c>
      <c r="AB2515" s="202">
        <v>31691</v>
      </c>
      <c r="AC2515" s="202">
        <v>31691</v>
      </c>
    </row>
    <row r="2516" spans="1:29" outlineLevel="2" x14ac:dyDescent="0.25">
      <c r="A2516" s="201">
        <v>46150</v>
      </c>
      <c r="D2516" s="198" t="s">
        <v>54</v>
      </c>
      <c r="E2516" s="202">
        <v>12900</v>
      </c>
      <c r="K2516" s="198" t="s">
        <v>1200</v>
      </c>
      <c r="L2516" s="198" t="s">
        <v>193</v>
      </c>
      <c r="P2516" s="201"/>
      <c r="R2516" s="202">
        <v>12900</v>
      </c>
      <c r="U2516" s="198" t="s">
        <v>193</v>
      </c>
      <c r="AA2516" s="198" t="s">
        <v>51</v>
      </c>
      <c r="AB2516" s="202">
        <v>12900</v>
      </c>
      <c r="AC2516" s="202">
        <v>12900</v>
      </c>
    </row>
    <row r="2517" spans="1:29" outlineLevel="2" x14ac:dyDescent="0.25">
      <c r="A2517" s="201">
        <v>46150</v>
      </c>
      <c r="D2517" s="198" t="s">
        <v>54</v>
      </c>
      <c r="E2517" s="202">
        <v>31791.02</v>
      </c>
      <c r="K2517" s="198" t="s">
        <v>1200</v>
      </c>
      <c r="L2517" s="198" t="s">
        <v>193</v>
      </c>
      <c r="P2517" s="201"/>
      <c r="R2517" s="202">
        <v>31791.02</v>
      </c>
      <c r="U2517" s="198" t="s">
        <v>193</v>
      </c>
      <c r="AA2517" s="198" t="s">
        <v>51</v>
      </c>
      <c r="AB2517" s="202">
        <v>31791.02</v>
      </c>
      <c r="AC2517" s="202">
        <v>31791.02</v>
      </c>
    </row>
    <row r="2518" spans="1:29" outlineLevel="2" x14ac:dyDescent="0.25">
      <c r="A2518" s="201">
        <v>46150</v>
      </c>
      <c r="D2518" s="198" t="s">
        <v>54</v>
      </c>
      <c r="E2518" s="202">
        <v>64398</v>
      </c>
      <c r="K2518" s="198" t="s">
        <v>1200</v>
      </c>
      <c r="L2518" s="198" t="s">
        <v>193</v>
      </c>
      <c r="P2518" s="201"/>
      <c r="R2518" s="202">
        <v>64398</v>
      </c>
      <c r="U2518" s="198" t="s">
        <v>193</v>
      </c>
      <c r="AA2518" s="198" t="s">
        <v>51</v>
      </c>
      <c r="AB2518" s="202">
        <v>64398</v>
      </c>
      <c r="AC2518" s="202">
        <v>64398</v>
      </c>
    </row>
    <row r="2519" spans="1:29" outlineLevel="2" x14ac:dyDescent="0.25">
      <c r="A2519" s="201">
        <v>46150</v>
      </c>
      <c r="D2519" s="198" t="s">
        <v>54</v>
      </c>
      <c r="E2519" s="202">
        <v>74656.899999999994</v>
      </c>
      <c r="K2519" s="198" t="s">
        <v>1200</v>
      </c>
      <c r="L2519" s="198" t="s">
        <v>193</v>
      </c>
      <c r="P2519" s="201"/>
      <c r="R2519" s="202">
        <v>74656.899999999994</v>
      </c>
      <c r="U2519" s="198" t="s">
        <v>193</v>
      </c>
      <c r="AA2519" s="198" t="s">
        <v>51</v>
      </c>
      <c r="AB2519" s="202">
        <v>74656.899999999994</v>
      </c>
      <c r="AC2519" s="202">
        <v>74656.899999999994</v>
      </c>
    </row>
    <row r="2520" spans="1:29" outlineLevel="2" x14ac:dyDescent="0.25">
      <c r="A2520" s="201">
        <v>46157</v>
      </c>
      <c r="D2520" s="198" t="s">
        <v>54</v>
      </c>
      <c r="E2520" s="202">
        <v>1025000</v>
      </c>
      <c r="K2520" s="198" t="s">
        <v>1200</v>
      </c>
      <c r="L2520" s="198" t="s">
        <v>193</v>
      </c>
      <c r="P2520" s="201"/>
      <c r="R2520" s="202">
        <v>1025000</v>
      </c>
      <c r="U2520" s="198" t="s">
        <v>193</v>
      </c>
      <c r="AA2520" s="198" t="s">
        <v>51</v>
      </c>
      <c r="AB2520" s="202">
        <v>1025000</v>
      </c>
      <c r="AC2520" s="202">
        <v>1025000</v>
      </c>
    </row>
    <row r="2521" spans="1:29" outlineLevel="2" x14ac:dyDescent="0.25">
      <c r="A2521" s="201">
        <v>46161</v>
      </c>
      <c r="D2521" s="198" t="s">
        <v>54</v>
      </c>
      <c r="E2521" s="202">
        <v>191000</v>
      </c>
      <c r="K2521" s="198" t="s">
        <v>1200</v>
      </c>
      <c r="L2521" s="198" t="s">
        <v>193</v>
      </c>
      <c r="P2521" s="201"/>
      <c r="R2521" s="202">
        <v>191000</v>
      </c>
      <c r="U2521" s="198" t="s">
        <v>193</v>
      </c>
      <c r="AA2521" s="198" t="s">
        <v>51</v>
      </c>
      <c r="AB2521" s="202">
        <v>191000</v>
      </c>
      <c r="AC2521" s="202">
        <v>191000</v>
      </c>
    </row>
    <row r="2522" spans="1:29" outlineLevel="2" x14ac:dyDescent="0.25">
      <c r="A2522" s="201">
        <v>46167</v>
      </c>
      <c r="D2522" s="198" t="s">
        <v>54</v>
      </c>
      <c r="E2522" s="202">
        <v>1200</v>
      </c>
      <c r="K2522" s="198" t="s">
        <v>1200</v>
      </c>
      <c r="L2522" s="198" t="s">
        <v>193</v>
      </c>
      <c r="P2522" s="201"/>
      <c r="R2522" s="202">
        <v>1200</v>
      </c>
      <c r="U2522" s="198" t="s">
        <v>193</v>
      </c>
      <c r="AA2522" s="198" t="s">
        <v>51</v>
      </c>
      <c r="AB2522" s="202">
        <v>1200</v>
      </c>
      <c r="AC2522" s="202">
        <v>1200</v>
      </c>
    </row>
    <row r="2523" spans="1:29" outlineLevel="2" x14ac:dyDescent="0.25">
      <c r="A2523" s="201">
        <v>46174</v>
      </c>
      <c r="D2523" s="198" t="s">
        <v>54</v>
      </c>
      <c r="E2523" s="202">
        <v>17071980222</v>
      </c>
      <c r="K2523" s="198" t="s">
        <v>1200</v>
      </c>
      <c r="L2523" s="198" t="s">
        <v>193</v>
      </c>
      <c r="P2523" s="201"/>
      <c r="R2523" s="202">
        <v>17071980222</v>
      </c>
      <c r="U2523" s="198" t="s">
        <v>193</v>
      </c>
      <c r="AA2523" s="198" t="s">
        <v>51</v>
      </c>
      <c r="AB2523" s="202">
        <v>17071980222</v>
      </c>
      <c r="AC2523" s="202">
        <v>17071980222</v>
      </c>
    </row>
    <row r="2524" spans="1:29" outlineLevel="2" x14ac:dyDescent="0.25">
      <c r="A2524" s="201">
        <v>46174</v>
      </c>
      <c r="D2524" s="198" t="s">
        <v>54</v>
      </c>
      <c r="E2524" s="202">
        <v>1579161267.3</v>
      </c>
      <c r="K2524" s="198" t="s">
        <v>1200</v>
      </c>
      <c r="L2524" s="198" t="s">
        <v>193</v>
      </c>
      <c r="P2524" s="201"/>
      <c r="R2524" s="202">
        <v>1579161267.3</v>
      </c>
      <c r="U2524" s="198" t="s">
        <v>193</v>
      </c>
      <c r="AA2524" s="198" t="s">
        <v>51</v>
      </c>
      <c r="AB2524" s="202">
        <v>1579161267.3</v>
      </c>
      <c r="AC2524" s="202">
        <v>1579161267.3</v>
      </c>
    </row>
    <row r="2525" spans="1:29" outlineLevel="1" x14ac:dyDescent="0.25">
      <c r="A2525" s="210"/>
      <c r="B2525" s="209"/>
      <c r="C2525" s="209"/>
      <c r="D2525" s="209" t="s">
        <v>54</v>
      </c>
      <c r="E2525" s="211">
        <v>23218231806.959999</v>
      </c>
      <c r="F2525" s="209"/>
      <c r="G2525" s="209"/>
      <c r="H2525" s="209"/>
      <c r="I2525" s="209"/>
      <c r="J2525" s="209"/>
      <c r="K2525" s="209" t="s">
        <v>54</v>
      </c>
      <c r="L2525" s="209" t="s">
        <v>54</v>
      </c>
      <c r="M2525" s="209"/>
      <c r="N2525" s="209"/>
      <c r="O2525" s="209"/>
      <c r="P2525" s="210"/>
      <c r="Q2525" s="209"/>
      <c r="R2525" s="212"/>
      <c r="S2525" s="209"/>
      <c r="T2525" s="209"/>
      <c r="U2525" s="209" t="s">
        <v>54</v>
      </c>
      <c r="V2525" s="209"/>
      <c r="W2525" s="209"/>
      <c r="X2525" s="209"/>
      <c r="Y2525" s="209"/>
      <c r="Z2525" s="209"/>
      <c r="AA2525" s="209" t="s">
        <v>54</v>
      </c>
      <c r="AB2525" s="212"/>
      <c r="AC2525" s="212"/>
    </row>
    <row r="2526" spans="1:29" outlineLevel="2" x14ac:dyDescent="0.25">
      <c r="A2526" s="201">
        <v>46174</v>
      </c>
      <c r="D2526" s="198" t="s">
        <v>54</v>
      </c>
      <c r="E2526" s="202">
        <v>15952152858</v>
      </c>
      <c r="K2526" s="198" t="s">
        <v>2011</v>
      </c>
      <c r="L2526" s="198" t="s">
        <v>193</v>
      </c>
      <c r="P2526" s="201"/>
      <c r="R2526" s="202">
        <v>15952152858</v>
      </c>
      <c r="U2526" s="198" t="s">
        <v>1513</v>
      </c>
      <c r="AA2526" s="198" t="s">
        <v>51</v>
      </c>
      <c r="AB2526" s="202">
        <v>15952152858</v>
      </c>
      <c r="AC2526" s="202">
        <v>15952152858</v>
      </c>
    </row>
    <row r="2527" spans="1:29" outlineLevel="1" x14ac:dyDescent="0.25">
      <c r="A2527" s="210"/>
      <c r="B2527" s="209"/>
      <c r="C2527" s="209"/>
      <c r="D2527" s="209" t="s">
        <v>54</v>
      </c>
      <c r="E2527" s="211">
        <v>15952152858</v>
      </c>
      <c r="F2527" s="209"/>
      <c r="G2527" s="209"/>
      <c r="H2527" s="209"/>
      <c r="I2527" s="209"/>
      <c r="J2527" s="209"/>
      <c r="K2527" s="209" t="s">
        <v>54</v>
      </c>
      <c r="L2527" s="209" t="s">
        <v>54</v>
      </c>
      <c r="M2527" s="209"/>
      <c r="N2527" s="209"/>
      <c r="O2527" s="209"/>
      <c r="P2527" s="210"/>
      <c r="Q2527" s="209"/>
      <c r="R2527" s="212"/>
      <c r="S2527" s="209"/>
      <c r="T2527" s="209"/>
      <c r="U2527" s="209" t="s">
        <v>54</v>
      </c>
      <c r="V2527" s="209"/>
      <c r="W2527" s="209"/>
      <c r="X2527" s="209"/>
      <c r="Y2527" s="209"/>
      <c r="Z2527" s="209"/>
      <c r="AA2527" s="209" t="s">
        <v>54</v>
      </c>
      <c r="AB2527" s="212"/>
      <c r="AC2527" s="212"/>
    </row>
    <row r="2528" spans="1:29" outlineLevel="2" x14ac:dyDescent="0.25">
      <c r="A2528" s="201">
        <v>46174</v>
      </c>
      <c r="D2528" s="198" t="s">
        <v>54</v>
      </c>
      <c r="E2528" s="202">
        <v>15952152858</v>
      </c>
      <c r="K2528" s="198" t="s">
        <v>2012</v>
      </c>
      <c r="L2528" s="198" t="s">
        <v>193</v>
      </c>
      <c r="P2528" s="201"/>
      <c r="R2528" s="202">
        <v>15952152858</v>
      </c>
      <c r="U2528" s="198" t="s">
        <v>1514</v>
      </c>
      <c r="AA2528" s="198" t="s">
        <v>51</v>
      </c>
      <c r="AB2528" s="202">
        <v>15952152858</v>
      </c>
      <c r="AC2528" s="202">
        <v>15952152858</v>
      </c>
    </row>
    <row r="2529" spans="1:29" outlineLevel="1" x14ac:dyDescent="0.25">
      <c r="A2529" s="210"/>
      <c r="B2529" s="209"/>
      <c r="C2529" s="209"/>
      <c r="D2529" s="209" t="s">
        <v>54</v>
      </c>
      <c r="E2529" s="211">
        <v>15952152858</v>
      </c>
      <c r="F2529" s="209"/>
      <c r="G2529" s="209"/>
      <c r="H2529" s="209"/>
      <c r="I2529" s="209"/>
      <c r="J2529" s="209"/>
      <c r="K2529" s="209" t="s">
        <v>54</v>
      </c>
      <c r="L2529" s="209" t="s">
        <v>54</v>
      </c>
      <c r="M2529" s="209"/>
      <c r="N2529" s="209"/>
      <c r="O2529" s="209"/>
      <c r="P2529" s="210"/>
      <c r="Q2529" s="209"/>
      <c r="R2529" s="212"/>
      <c r="S2529" s="209"/>
      <c r="T2529" s="209"/>
      <c r="U2529" s="209" t="s">
        <v>54</v>
      </c>
      <c r="V2529" s="209"/>
      <c r="W2529" s="209"/>
      <c r="X2529" s="209"/>
      <c r="Y2529" s="209"/>
      <c r="Z2529" s="209"/>
      <c r="AA2529" s="209" t="s">
        <v>54</v>
      </c>
      <c r="AB2529" s="212"/>
      <c r="AC2529" s="212"/>
    </row>
    <row r="2530" spans="1:29" outlineLevel="2" x14ac:dyDescent="0.25">
      <c r="A2530" s="201">
        <v>46174</v>
      </c>
      <c r="D2530" s="198" t="s">
        <v>54</v>
      </c>
      <c r="E2530" s="202">
        <v>1119827364</v>
      </c>
      <c r="K2530" s="198" t="s">
        <v>2013</v>
      </c>
      <c r="L2530" s="198" t="s">
        <v>193</v>
      </c>
      <c r="P2530" s="201"/>
      <c r="R2530" s="202">
        <v>1119827364</v>
      </c>
      <c r="U2530" s="198" t="s">
        <v>1516</v>
      </c>
      <c r="AA2530" s="198" t="s">
        <v>51</v>
      </c>
      <c r="AB2530" s="202">
        <v>1119827364</v>
      </c>
      <c r="AC2530" s="202">
        <v>1119827364</v>
      </c>
    </row>
    <row r="2531" spans="1:29" outlineLevel="1" x14ac:dyDescent="0.25">
      <c r="A2531" s="210"/>
      <c r="B2531" s="209"/>
      <c r="C2531" s="209"/>
      <c r="D2531" s="209" t="s">
        <v>54</v>
      </c>
      <c r="E2531" s="211">
        <v>1119827364</v>
      </c>
      <c r="F2531" s="209"/>
      <c r="G2531" s="209"/>
      <c r="H2531" s="209"/>
      <c r="I2531" s="209"/>
      <c r="J2531" s="209"/>
      <c r="K2531" s="209" t="s">
        <v>54</v>
      </c>
      <c r="L2531" s="209" t="s">
        <v>54</v>
      </c>
      <c r="M2531" s="209"/>
      <c r="N2531" s="209"/>
      <c r="O2531" s="209"/>
      <c r="P2531" s="210"/>
      <c r="Q2531" s="209"/>
      <c r="R2531" s="212"/>
      <c r="S2531" s="209"/>
      <c r="T2531" s="209"/>
      <c r="U2531" s="209" t="s">
        <v>54</v>
      </c>
      <c r="V2531" s="209"/>
      <c r="W2531" s="209"/>
      <c r="X2531" s="209"/>
      <c r="Y2531" s="209"/>
      <c r="Z2531" s="209"/>
      <c r="AA2531" s="209" t="s">
        <v>54</v>
      </c>
      <c r="AB2531" s="212"/>
      <c r="AC2531" s="212"/>
    </row>
    <row r="2532" spans="1:29" outlineLevel="2" x14ac:dyDescent="0.25">
      <c r="A2532" s="201">
        <v>46174</v>
      </c>
      <c r="D2532" s="198" t="s">
        <v>54</v>
      </c>
      <c r="E2532" s="202">
        <v>1119827364</v>
      </c>
      <c r="K2532" s="198" t="s">
        <v>2014</v>
      </c>
      <c r="L2532" s="198" t="s">
        <v>193</v>
      </c>
      <c r="P2532" s="201"/>
      <c r="R2532" s="202">
        <v>1119827364</v>
      </c>
      <c r="U2532" s="198" t="s">
        <v>1517</v>
      </c>
      <c r="AA2532" s="198" t="s">
        <v>51</v>
      </c>
      <c r="AB2532" s="202">
        <v>1119827364</v>
      </c>
      <c r="AC2532" s="202">
        <v>1119827364</v>
      </c>
    </row>
    <row r="2533" spans="1:29" outlineLevel="1" x14ac:dyDescent="0.25">
      <c r="A2533" s="210"/>
      <c r="B2533" s="209"/>
      <c r="C2533" s="209"/>
      <c r="D2533" s="209" t="s">
        <v>54</v>
      </c>
      <c r="E2533" s="211">
        <v>1119827364</v>
      </c>
      <c r="F2533" s="209"/>
      <c r="G2533" s="209"/>
      <c r="H2533" s="209"/>
      <c r="I2533" s="209"/>
      <c r="J2533" s="209"/>
      <c r="K2533" s="209" t="s">
        <v>54</v>
      </c>
      <c r="L2533" s="209" t="s">
        <v>54</v>
      </c>
      <c r="M2533" s="209"/>
      <c r="N2533" s="209"/>
      <c r="O2533" s="209"/>
      <c r="P2533" s="210"/>
      <c r="Q2533" s="209"/>
      <c r="R2533" s="212"/>
      <c r="S2533" s="209"/>
      <c r="T2533" s="209"/>
      <c r="U2533" s="209" t="s">
        <v>54</v>
      </c>
      <c r="V2533" s="209"/>
      <c r="W2533" s="209"/>
      <c r="X2533" s="209"/>
      <c r="Y2533" s="209"/>
      <c r="Z2533" s="209"/>
      <c r="AA2533" s="209" t="s">
        <v>54</v>
      </c>
      <c r="AB2533" s="212"/>
      <c r="AC2533" s="212"/>
    </row>
    <row r="2534" spans="1:29" outlineLevel="2" x14ac:dyDescent="0.25">
      <c r="A2534" s="201">
        <v>46174</v>
      </c>
      <c r="D2534" s="198" t="s">
        <v>54</v>
      </c>
      <c r="E2534" s="202">
        <v>113178425</v>
      </c>
      <c r="K2534" s="198" t="s">
        <v>2015</v>
      </c>
      <c r="L2534" s="198" t="s">
        <v>193</v>
      </c>
      <c r="P2534" s="201"/>
      <c r="R2534" s="202">
        <v>113178425</v>
      </c>
      <c r="U2534" s="198" t="s">
        <v>1519</v>
      </c>
      <c r="AA2534" s="198" t="s">
        <v>51</v>
      </c>
      <c r="AB2534" s="202">
        <v>113178425</v>
      </c>
      <c r="AC2534" s="202">
        <v>113178425</v>
      </c>
    </row>
    <row r="2535" spans="1:29" outlineLevel="1" x14ac:dyDescent="0.25">
      <c r="A2535" s="210"/>
      <c r="B2535" s="209"/>
      <c r="C2535" s="209"/>
      <c r="D2535" s="209" t="s">
        <v>54</v>
      </c>
      <c r="E2535" s="211">
        <v>113178425</v>
      </c>
      <c r="F2535" s="209"/>
      <c r="G2535" s="209"/>
      <c r="H2535" s="209"/>
      <c r="I2535" s="209"/>
      <c r="J2535" s="209"/>
      <c r="K2535" s="209" t="s">
        <v>54</v>
      </c>
      <c r="L2535" s="209" t="s">
        <v>54</v>
      </c>
      <c r="M2535" s="209"/>
      <c r="N2535" s="209"/>
      <c r="O2535" s="209"/>
      <c r="P2535" s="210"/>
      <c r="Q2535" s="209"/>
      <c r="R2535" s="212"/>
      <c r="S2535" s="209"/>
      <c r="T2535" s="209"/>
      <c r="U2535" s="209" t="s">
        <v>54</v>
      </c>
      <c r="V2535" s="209"/>
      <c r="W2535" s="209"/>
      <c r="X2535" s="209"/>
      <c r="Y2535" s="209"/>
      <c r="Z2535" s="209"/>
      <c r="AA2535" s="209" t="s">
        <v>54</v>
      </c>
      <c r="AB2535" s="212"/>
      <c r="AC2535" s="212"/>
    </row>
    <row r="2536" spans="1:29" outlineLevel="2" x14ac:dyDescent="0.25">
      <c r="A2536" s="201">
        <v>46174</v>
      </c>
      <c r="D2536" s="198" t="s">
        <v>54</v>
      </c>
      <c r="E2536" s="202">
        <v>113178425</v>
      </c>
      <c r="K2536" s="198" t="s">
        <v>2016</v>
      </c>
      <c r="L2536" s="198" t="s">
        <v>193</v>
      </c>
      <c r="P2536" s="201"/>
      <c r="R2536" s="202">
        <v>113178425</v>
      </c>
      <c r="U2536" s="198" t="s">
        <v>1520</v>
      </c>
      <c r="AA2536" s="198" t="s">
        <v>51</v>
      </c>
      <c r="AB2536" s="202">
        <v>113178425</v>
      </c>
      <c r="AC2536" s="202">
        <v>113178425</v>
      </c>
    </row>
    <row r="2537" spans="1:29" outlineLevel="1" x14ac:dyDescent="0.25">
      <c r="A2537" s="210"/>
      <c r="B2537" s="209"/>
      <c r="C2537" s="209"/>
      <c r="D2537" s="209" t="s">
        <v>54</v>
      </c>
      <c r="E2537" s="211">
        <v>113178425</v>
      </c>
      <c r="F2537" s="209"/>
      <c r="G2537" s="209"/>
      <c r="H2537" s="209"/>
      <c r="I2537" s="209"/>
      <c r="J2537" s="209"/>
      <c r="K2537" s="209" t="s">
        <v>54</v>
      </c>
      <c r="L2537" s="209" t="s">
        <v>54</v>
      </c>
      <c r="M2537" s="209"/>
      <c r="N2537" s="209"/>
      <c r="O2537" s="209"/>
      <c r="P2537" s="210"/>
      <c r="Q2537" s="209"/>
      <c r="R2537" s="212"/>
      <c r="S2537" s="209"/>
      <c r="T2537" s="209"/>
      <c r="U2537" s="209" t="s">
        <v>54</v>
      </c>
      <c r="V2537" s="209"/>
      <c r="W2537" s="209"/>
      <c r="X2537" s="209"/>
      <c r="Y2537" s="209"/>
      <c r="Z2537" s="209"/>
      <c r="AA2537" s="209" t="s">
        <v>54</v>
      </c>
      <c r="AB2537" s="212"/>
      <c r="AC2537" s="212"/>
    </row>
    <row r="2538" spans="1:29" outlineLevel="2" x14ac:dyDescent="0.25">
      <c r="A2538" s="201">
        <v>46174</v>
      </c>
      <c r="D2538" s="198" t="s">
        <v>54</v>
      </c>
      <c r="E2538" s="202">
        <v>841426373.39999998</v>
      </c>
      <c r="K2538" s="198" t="s">
        <v>2017</v>
      </c>
      <c r="L2538" s="198" t="s">
        <v>193</v>
      </c>
      <c r="P2538" s="201"/>
      <c r="R2538" s="202">
        <v>841426373.39999998</v>
      </c>
      <c r="U2538" s="198" t="s">
        <v>1521</v>
      </c>
      <c r="AA2538" s="198" t="s">
        <v>51</v>
      </c>
      <c r="AB2538" s="202">
        <v>841426373.39999998</v>
      </c>
      <c r="AC2538" s="202">
        <v>841426373.39999998</v>
      </c>
    </row>
    <row r="2539" spans="1:29" outlineLevel="1" x14ac:dyDescent="0.25">
      <c r="A2539" s="210"/>
      <c r="B2539" s="209"/>
      <c r="C2539" s="209"/>
      <c r="D2539" s="209" t="s">
        <v>54</v>
      </c>
      <c r="E2539" s="211">
        <v>841426373.39999998</v>
      </c>
      <c r="F2539" s="209"/>
      <c r="G2539" s="209"/>
      <c r="H2539" s="209"/>
      <c r="I2539" s="209"/>
      <c r="J2539" s="209"/>
      <c r="K2539" s="209" t="s">
        <v>54</v>
      </c>
      <c r="L2539" s="209" t="s">
        <v>54</v>
      </c>
      <c r="M2539" s="209"/>
      <c r="N2539" s="209"/>
      <c r="O2539" s="209"/>
      <c r="P2539" s="210"/>
      <c r="Q2539" s="209"/>
      <c r="R2539" s="212"/>
      <c r="S2539" s="209"/>
      <c r="T2539" s="209"/>
      <c r="U2539" s="209" t="s">
        <v>54</v>
      </c>
      <c r="V2539" s="209"/>
      <c r="W2539" s="209"/>
      <c r="X2539" s="209"/>
      <c r="Y2539" s="209"/>
      <c r="Z2539" s="209"/>
      <c r="AA2539" s="209" t="s">
        <v>54</v>
      </c>
      <c r="AB2539" s="212"/>
      <c r="AC2539" s="212"/>
    </row>
    <row r="2540" spans="1:29" outlineLevel="2" x14ac:dyDescent="0.25">
      <c r="A2540" s="201">
        <v>46174</v>
      </c>
      <c r="D2540" s="198" t="s">
        <v>54</v>
      </c>
      <c r="E2540" s="202">
        <v>841426373.39999998</v>
      </c>
      <c r="K2540" s="198" t="s">
        <v>2018</v>
      </c>
      <c r="L2540" s="198" t="s">
        <v>193</v>
      </c>
      <c r="P2540" s="201"/>
      <c r="R2540" s="202">
        <v>841426373.39999998</v>
      </c>
      <c r="U2540" s="198" t="s">
        <v>1522</v>
      </c>
      <c r="AA2540" s="198" t="s">
        <v>51</v>
      </c>
      <c r="AB2540" s="202">
        <v>841426373.39999998</v>
      </c>
      <c r="AC2540" s="202">
        <v>841426373.39999998</v>
      </c>
    </row>
    <row r="2541" spans="1:29" outlineLevel="1" x14ac:dyDescent="0.25">
      <c r="A2541" s="210"/>
      <c r="B2541" s="209"/>
      <c r="C2541" s="209"/>
      <c r="D2541" s="209" t="s">
        <v>54</v>
      </c>
      <c r="E2541" s="211">
        <v>841426373.39999998</v>
      </c>
      <c r="F2541" s="209"/>
      <c r="G2541" s="209"/>
      <c r="H2541" s="209"/>
      <c r="I2541" s="209"/>
      <c r="J2541" s="209"/>
      <c r="K2541" s="209" t="s">
        <v>54</v>
      </c>
      <c r="L2541" s="209" t="s">
        <v>54</v>
      </c>
      <c r="M2541" s="209"/>
      <c r="N2541" s="209"/>
      <c r="O2541" s="209"/>
      <c r="P2541" s="210"/>
      <c r="Q2541" s="209"/>
      <c r="R2541" s="212"/>
      <c r="S2541" s="209"/>
      <c r="T2541" s="209"/>
      <c r="U2541" s="209" t="s">
        <v>54</v>
      </c>
      <c r="V2541" s="209"/>
      <c r="W2541" s="209"/>
      <c r="X2541" s="209"/>
      <c r="Y2541" s="209"/>
      <c r="Z2541" s="209"/>
      <c r="AA2541" s="209" t="s">
        <v>54</v>
      </c>
      <c r="AB2541" s="212"/>
      <c r="AC2541" s="212"/>
    </row>
    <row r="2542" spans="1:29" outlineLevel="2" x14ac:dyDescent="0.25">
      <c r="A2542" s="201">
        <v>46018</v>
      </c>
      <c r="D2542" s="198" t="s">
        <v>54</v>
      </c>
      <c r="E2542" s="202">
        <v>14050000</v>
      </c>
      <c r="K2542" s="198" t="s">
        <v>1202</v>
      </c>
      <c r="L2542" s="198" t="s">
        <v>193</v>
      </c>
      <c r="P2542" s="201"/>
      <c r="R2542" s="202">
        <v>14050000</v>
      </c>
      <c r="U2542" s="198" t="s">
        <v>1201</v>
      </c>
      <c r="AA2542" s="198" t="s">
        <v>51</v>
      </c>
      <c r="AB2542" s="202">
        <v>14050000</v>
      </c>
      <c r="AC2542" s="202">
        <v>14050000</v>
      </c>
    </row>
    <row r="2543" spans="1:29" outlineLevel="2" x14ac:dyDescent="0.25">
      <c r="A2543" s="201">
        <v>46021</v>
      </c>
      <c r="D2543" s="198" t="s">
        <v>54</v>
      </c>
      <c r="E2543" s="202">
        <v>190000</v>
      </c>
      <c r="K2543" s="198" t="s">
        <v>1202</v>
      </c>
      <c r="L2543" s="198" t="s">
        <v>193</v>
      </c>
      <c r="P2543" s="201"/>
      <c r="R2543" s="202">
        <v>190000</v>
      </c>
      <c r="U2543" s="198" t="s">
        <v>1201</v>
      </c>
      <c r="AA2543" s="198" t="s">
        <v>51</v>
      </c>
      <c r="AB2543" s="202">
        <v>190000</v>
      </c>
      <c r="AC2543" s="202">
        <v>190000</v>
      </c>
    </row>
    <row r="2544" spans="1:29" outlineLevel="2" x14ac:dyDescent="0.25">
      <c r="A2544" s="201">
        <v>46022</v>
      </c>
      <c r="D2544" s="198" t="s">
        <v>54</v>
      </c>
      <c r="E2544" s="202">
        <v>209000</v>
      </c>
      <c r="K2544" s="198" t="s">
        <v>1202</v>
      </c>
      <c r="L2544" s="198" t="s">
        <v>193</v>
      </c>
      <c r="P2544" s="201"/>
      <c r="R2544" s="202">
        <v>209000</v>
      </c>
      <c r="U2544" s="198" t="s">
        <v>1201</v>
      </c>
      <c r="AA2544" s="198" t="s">
        <v>51</v>
      </c>
      <c r="AB2544" s="202">
        <v>209000</v>
      </c>
      <c r="AC2544" s="202">
        <v>209000</v>
      </c>
    </row>
    <row r="2545" spans="1:29" outlineLevel="2" x14ac:dyDescent="0.25">
      <c r="A2545" s="201">
        <v>46023</v>
      </c>
      <c r="D2545" s="198" t="s">
        <v>54</v>
      </c>
      <c r="E2545" s="202">
        <v>190000</v>
      </c>
      <c r="K2545" s="198" t="s">
        <v>1202</v>
      </c>
      <c r="L2545" s="198" t="s">
        <v>193</v>
      </c>
      <c r="P2545" s="201"/>
      <c r="R2545" s="202">
        <v>190000</v>
      </c>
      <c r="U2545" s="198" t="s">
        <v>1201</v>
      </c>
      <c r="AA2545" s="198" t="s">
        <v>51</v>
      </c>
      <c r="AB2545" s="202">
        <v>190000</v>
      </c>
      <c r="AC2545" s="202">
        <v>190000</v>
      </c>
    </row>
    <row r="2546" spans="1:29" outlineLevel="2" x14ac:dyDescent="0.25">
      <c r="A2546" s="201">
        <v>46024</v>
      </c>
      <c r="D2546" s="198" t="s">
        <v>54</v>
      </c>
      <c r="E2546" s="202">
        <v>14500</v>
      </c>
      <c r="K2546" s="198" t="s">
        <v>1202</v>
      </c>
      <c r="L2546" s="198" t="s">
        <v>193</v>
      </c>
      <c r="P2546" s="201"/>
      <c r="R2546" s="202">
        <v>14500</v>
      </c>
      <c r="U2546" s="198" t="s">
        <v>1201</v>
      </c>
      <c r="AA2546" s="198" t="s">
        <v>51</v>
      </c>
      <c r="AB2546" s="202">
        <v>14500</v>
      </c>
      <c r="AC2546" s="202">
        <v>14500</v>
      </c>
    </row>
    <row r="2547" spans="1:29" outlineLevel="2" x14ac:dyDescent="0.25">
      <c r="A2547" s="201">
        <v>46027</v>
      </c>
      <c r="D2547" s="198" t="s">
        <v>54</v>
      </c>
      <c r="E2547" s="202">
        <v>5000</v>
      </c>
      <c r="K2547" s="198" t="s">
        <v>1202</v>
      </c>
      <c r="L2547" s="198" t="s">
        <v>193</v>
      </c>
      <c r="P2547" s="201"/>
      <c r="R2547" s="202">
        <v>5000</v>
      </c>
      <c r="U2547" s="198" t="s">
        <v>1201</v>
      </c>
      <c r="AA2547" s="198" t="s">
        <v>51</v>
      </c>
      <c r="AB2547" s="202">
        <v>5000</v>
      </c>
      <c r="AC2547" s="202">
        <v>5000</v>
      </c>
    </row>
    <row r="2548" spans="1:29" outlineLevel="2" x14ac:dyDescent="0.25">
      <c r="A2548" s="201">
        <v>46043</v>
      </c>
      <c r="D2548" s="198" t="s">
        <v>54</v>
      </c>
      <c r="E2548" s="202">
        <v>300000</v>
      </c>
      <c r="K2548" s="198" t="s">
        <v>1202</v>
      </c>
      <c r="L2548" s="198" t="s">
        <v>193</v>
      </c>
      <c r="P2548" s="201"/>
      <c r="R2548" s="202">
        <v>300000</v>
      </c>
      <c r="U2548" s="198" t="s">
        <v>1201</v>
      </c>
      <c r="AA2548" s="198" t="s">
        <v>51</v>
      </c>
      <c r="AB2548" s="202">
        <v>300000</v>
      </c>
      <c r="AC2548" s="202">
        <v>300000</v>
      </c>
    </row>
    <row r="2549" spans="1:29" outlineLevel="2" x14ac:dyDescent="0.25">
      <c r="A2549" s="201">
        <v>46142</v>
      </c>
      <c r="D2549" s="198" t="s">
        <v>54</v>
      </c>
      <c r="E2549" s="202">
        <v>7149385</v>
      </c>
      <c r="K2549" s="198" t="s">
        <v>1202</v>
      </c>
      <c r="L2549" s="198" t="s">
        <v>193</v>
      </c>
      <c r="P2549" s="201"/>
      <c r="R2549" s="202">
        <v>7149385</v>
      </c>
      <c r="U2549" s="198" t="s">
        <v>1201</v>
      </c>
      <c r="AA2549" s="198" t="s">
        <v>51</v>
      </c>
      <c r="AB2549" s="202">
        <v>7149385</v>
      </c>
      <c r="AC2549" s="202">
        <v>7149385</v>
      </c>
    </row>
    <row r="2550" spans="1:29" outlineLevel="1" x14ac:dyDescent="0.25">
      <c r="A2550" s="210"/>
      <c r="B2550" s="209"/>
      <c r="C2550" s="209"/>
      <c r="D2550" s="209" t="s">
        <v>54</v>
      </c>
      <c r="E2550" s="211">
        <v>22107885</v>
      </c>
      <c r="F2550" s="209"/>
      <c r="G2550" s="209"/>
      <c r="H2550" s="209"/>
      <c r="I2550" s="209"/>
      <c r="J2550" s="209"/>
      <c r="K2550" s="209" t="s">
        <v>54</v>
      </c>
      <c r="L2550" s="209" t="s">
        <v>54</v>
      </c>
      <c r="M2550" s="209"/>
      <c r="N2550" s="209"/>
      <c r="O2550" s="209"/>
      <c r="P2550" s="210"/>
      <c r="Q2550" s="209"/>
      <c r="R2550" s="212"/>
      <c r="S2550" s="209"/>
      <c r="T2550" s="209"/>
      <c r="U2550" s="209" t="s">
        <v>54</v>
      </c>
      <c r="V2550" s="209"/>
      <c r="W2550" s="209"/>
      <c r="X2550" s="209"/>
      <c r="Y2550" s="209"/>
      <c r="Z2550" s="209"/>
      <c r="AA2550" s="209" t="s">
        <v>54</v>
      </c>
      <c r="AB2550" s="212"/>
      <c r="AC2550" s="212"/>
    </row>
    <row r="2551" spans="1:29" outlineLevel="2" x14ac:dyDescent="0.25">
      <c r="A2551" s="201">
        <v>46018</v>
      </c>
      <c r="D2551" s="198" t="s">
        <v>54</v>
      </c>
      <c r="E2551" s="202">
        <v>8100000</v>
      </c>
      <c r="K2551" s="198" t="s">
        <v>1203</v>
      </c>
      <c r="L2551" s="198" t="s">
        <v>193</v>
      </c>
      <c r="P2551" s="201"/>
      <c r="R2551" s="202">
        <v>8100000</v>
      </c>
      <c r="U2551" s="198" t="s">
        <v>192</v>
      </c>
      <c r="AA2551" s="198" t="s">
        <v>51</v>
      </c>
      <c r="AB2551" s="202">
        <v>8100000</v>
      </c>
      <c r="AC2551" s="202">
        <v>8100000</v>
      </c>
    </row>
    <row r="2552" spans="1:29" outlineLevel="2" x14ac:dyDescent="0.25">
      <c r="A2552" s="201">
        <v>46043</v>
      </c>
      <c r="D2552" s="198" t="s">
        <v>54</v>
      </c>
      <c r="E2552" s="202">
        <v>300000</v>
      </c>
      <c r="K2552" s="198" t="s">
        <v>1203</v>
      </c>
      <c r="L2552" s="198" t="s">
        <v>193</v>
      </c>
      <c r="P2552" s="201"/>
      <c r="R2552" s="202">
        <v>300000</v>
      </c>
      <c r="U2552" s="198" t="s">
        <v>192</v>
      </c>
      <c r="AA2552" s="198" t="s">
        <v>51</v>
      </c>
      <c r="AB2552" s="202">
        <v>300000</v>
      </c>
      <c r="AC2552" s="202">
        <v>300000</v>
      </c>
    </row>
    <row r="2553" spans="1:29" outlineLevel="2" x14ac:dyDescent="0.25">
      <c r="A2553" s="201">
        <v>46142</v>
      </c>
      <c r="D2553" s="198" t="s">
        <v>54</v>
      </c>
      <c r="E2553" s="202">
        <v>7149385</v>
      </c>
      <c r="K2553" s="198" t="s">
        <v>1203</v>
      </c>
      <c r="L2553" s="198" t="s">
        <v>193</v>
      </c>
      <c r="P2553" s="201"/>
      <c r="R2553" s="202">
        <v>7149385</v>
      </c>
      <c r="U2553" s="198" t="s">
        <v>192</v>
      </c>
      <c r="AA2553" s="198" t="s">
        <v>51</v>
      </c>
      <c r="AB2553" s="202">
        <v>7149385</v>
      </c>
      <c r="AC2553" s="202">
        <v>7149385</v>
      </c>
    </row>
    <row r="2554" spans="1:29" outlineLevel="1" x14ac:dyDescent="0.25">
      <c r="A2554" s="210"/>
      <c r="B2554" s="209"/>
      <c r="C2554" s="209"/>
      <c r="D2554" s="209" t="s">
        <v>54</v>
      </c>
      <c r="E2554" s="211">
        <v>15549385</v>
      </c>
      <c r="F2554" s="209"/>
      <c r="G2554" s="209"/>
      <c r="H2554" s="209"/>
      <c r="I2554" s="209"/>
      <c r="J2554" s="209"/>
      <c r="K2554" s="209" t="s">
        <v>54</v>
      </c>
      <c r="L2554" s="209" t="s">
        <v>54</v>
      </c>
      <c r="M2554" s="209"/>
      <c r="N2554" s="209"/>
      <c r="O2554" s="209"/>
      <c r="P2554" s="210"/>
      <c r="Q2554" s="209"/>
      <c r="R2554" s="212"/>
      <c r="S2554" s="209"/>
      <c r="T2554" s="209"/>
      <c r="U2554" s="209" t="s">
        <v>54</v>
      </c>
      <c r="V2554" s="209"/>
      <c r="W2554" s="209"/>
      <c r="X2554" s="209"/>
      <c r="Y2554" s="209"/>
      <c r="Z2554" s="209"/>
      <c r="AA2554" s="209" t="s">
        <v>54</v>
      </c>
      <c r="AB2554" s="212"/>
      <c r="AC2554" s="212"/>
    </row>
    <row r="2555" spans="1:29" outlineLevel="2" x14ac:dyDescent="0.25">
      <c r="A2555" s="201">
        <v>46018</v>
      </c>
      <c r="D2555" s="198" t="s">
        <v>54</v>
      </c>
      <c r="E2555" s="202">
        <v>5950000</v>
      </c>
      <c r="K2555" s="198" t="s">
        <v>1204</v>
      </c>
      <c r="L2555" s="198" t="s">
        <v>193</v>
      </c>
      <c r="P2555" s="201"/>
      <c r="R2555" s="202">
        <v>5950000</v>
      </c>
      <c r="U2555" s="198" t="s">
        <v>754</v>
      </c>
      <c r="AA2555" s="198" t="s">
        <v>51</v>
      </c>
      <c r="AB2555" s="202">
        <v>5950000</v>
      </c>
      <c r="AC2555" s="202">
        <v>5950000</v>
      </c>
    </row>
    <row r="2556" spans="1:29" outlineLevel="1" x14ac:dyDescent="0.25">
      <c r="A2556" s="210"/>
      <c r="B2556" s="209"/>
      <c r="C2556" s="209"/>
      <c r="D2556" s="209" t="s">
        <v>54</v>
      </c>
      <c r="E2556" s="211">
        <v>5950000</v>
      </c>
      <c r="F2556" s="209"/>
      <c r="G2556" s="209"/>
      <c r="H2556" s="209"/>
      <c r="I2556" s="209"/>
      <c r="J2556" s="209"/>
      <c r="K2556" s="209" t="s">
        <v>54</v>
      </c>
      <c r="L2556" s="209" t="s">
        <v>54</v>
      </c>
      <c r="M2556" s="209"/>
      <c r="N2556" s="209"/>
      <c r="O2556" s="209"/>
      <c r="P2556" s="210"/>
      <c r="Q2556" s="209"/>
      <c r="R2556" s="212"/>
      <c r="S2556" s="209"/>
      <c r="T2556" s="209"/>
      <c r="U2556" s="209" t="s">
        <v>54</v>
      </c>
      <c r="V2556" s="209"/>
      <c r="W2556" s="209"/>
      <c r="X2556" s="209"/>
      <c r="Y2556" s="209"/>
      <c r="Z2556" s="209"/>
      <c r="AA2556" s="209" t="s">
        <v>54</v>
      </c>
      <c r="AB2556" s="212"/>
      <c r="AC2556" s="212"/>
    </row>
    <row r="2557" spans="1:29" outlineLevel="2" x14ac:dyDescent="0.25">
      <c r="A2557" s="201">
        <v>46021</v>
      </c>
      <c r="D2557" s="198" t="s">
        <v>54</v>
      </c>
      <c r="E2557" s="202">
        <v>190000</v>
      </c>
      <c r="K2557" s="198" t="s">
        <v>1205</v>
      </c>
      <c r="L2557" s="198" t="s">
        <v>193</v>
      </c>
      <c r="P2557" s="201"/>
      <c r="R2557" s="202">
        <v>190000</v>
      </c>
      <c r="U2557" s="198" t="s">
        <v>686</v>
      </c>
      <c r="AA2557" s="198" t="s">
        <v>51</v>
      </c>
      <c r="AB2557" s="202">
        <v>190000</v>
      </c>
      <c r="AC2557" s="202">
        <v>190000</v>
      </c>
    </row>
    <row r="2558" spans="1:29" outlineLevel="2" x14ac:dyDescent="0.25">
      <c r="A2558" s="201">
        <v>46022</v>
      </c>
      <c r="D2558" s="198" t="s">
        <v>54</v>
      </c>
      <c r="E2558" s="202">
        <v>209000</v>
      </c>
      <c r="K2558" s="198" t="s">
        <v>1205</v>
      </c>
      <c r="L2558" s="198" t="s">
        <v>193</v>
      </c>
      <c r="P2558" s="201"/>
      <c r="R2558" s="202">
        <v>209000</v>
      </c>
      <c r="U2558" s="198" t="s">
        <v>686</v>
      </c>
      <c r="AA2558" s="198" t="s">
        <v>51</v>
      </c>
      <c r="AB2558" s="202">
        <v>209000</v>
      </c>
      <c r="AC2558" s="202">
        <v>209000</v>
      </c>
    </row>
    <row r="2559" spans="1:29" outlineLevel="2" x14ac:dyDescent="0.25">
      <c r="A2559" s="201">
        <v>46023</v>
      </c>
      <c r="D2559" s="198" t="s">
        <v>54</v>
      </c>
      <c r="E2559" s="202">
        <v>190000</v>
      </c>
      <c r="K2559" s="198" t="s">
        <v>1205</v>
      </c>
      <c r="L2559" s="198" t="s">
        <v>193</v>
      </c>
      <c r="P2559" s="201"/>
      <c r="R2559" s="202">
        <v>190000</v>
      </c>
      <c r="U2559" s="198" t="s">
        <v>686</v>
      </c>
      <c r="AA2559" s="198" t="s">
        <v>51</v>
      </c>
      <c r="AB2559" s="202">
        <v>190000</v>
      </c>
      <c r="AC2559" s="202">
        <v>190000</v>
      </c>
    </row>
    <row r="2560" spans="1:29" outlineLevel="2" x14ac:dyDescent="0.25">
      <c r="A2560" s="201">
        <v>46024</v>
      </c>
      <c r="D2560" s="198" t="s">
        <v>54</v>
      </c>
      <c r="E2560" s="202">
        <v>14500</v>
      </c>
      <c r="K2560" s="198" t="s">
        <v>1205</v>
      </c>
      <c r="L2560" s="198" t="s">
        <v>193</v>
      </c>
      <c r="P2560" s="201"/>
      <c r="R2560" s="202">
        <v>14500</v>
      </c>
      <c r="U2560" s="198" t="s">
        <v>686</v>
      </c>
      <c r="AA2560" s="198" t="s">
        <v>51</v>
      </c>
      <c r="AB2560" s="202">
        <v>14500</v>
      </c>
      <c r="AC2560" s="202">
        <v>14500</v>
      </c>
    </row>
    <row r="2561" spans="1:29" outlineLevel="2" x14ac:dyDescent="0.25">
      <c r="A2561" s="201">
        <v>46027</v>
      </c>
      <c r="D2561" s="198" t="s">
        <v>54</v>
      </c>
      <c r="E2561" s="202">
        <v>5000</v>
      </c>
      <c r="K2561" s="198" t="s">
        <v>1205</v>
      </c>
      <c r="L2561" s="198" t="s">
        <v>193</v>
      </c>
      <c r="P2561" s="201"/>
      <c r="R2561" s="202">
        <v>5000</v>
      </c>
      <c r="U2561" s="198" t="s">
        <v>686</v>
      </c>
      <c r="AA2561" s="198" t="s">
        <v>51</v>
      </c>
      <c r="AB2561" s="202">
        <v>5000</v>
      </c>
      <c r="AC2561" s="202">
        <v>5000</v>
      </c>
    </row>
    <row r="2562" spans="1:29" outlineLevel="1" x14ac:dyDescent="0.25">
      <c r="A2562" s="210"/>
      <c r="B2562" s="209"/>
      <c r="C2562" s="209"/>
      <c r="D2562" s="209" t="s">
        <v>54</v>
      </c>
      <c r="E2562" s="211">
        <v>608500</v>
      </c>
      <c r="F2562" s="209"/>
      <c r="G2562" s="209"/>
      <c r="H2562" s="209"/>
      <c r="I2562" s="209"/>
      <c r="J2562" s="209"/>
      <c r="K2562" s="209" t="s">
        <v>54</v>
      </c>
      <c r="L2562" s="209" t="s">
        <v>54</v>
      </c>
      <c r="M2562" s="209"/>
      <c r="N2562" s="209"/>
      <c r="O2562" s="209"/>
      <c r="P2562" s="210"/>
      <c r="Q2562" s="209"/>
      <c r="R2562" s="212"/>
      <c r="S2562" s="209"/>
      <c r="T2562" s="209"/>
      <c r="U2562" s="209" t="s">
        <v>54</v>
      </c>
      <c r="V2562" s="209"/>
      <c r="W2562" s="209"/>
      <c r="X2562" s="209"/>
      <c r="Y2562" s="209"/>
      <c r="Z2562" s="209"/>
      <c r="AA2562" s="209" t="s">
        <v>54</v>
      </c>
      <c r="AB2562" s="212"/>
      <c r="AC2562" s="212"/>
    </row>
    <row r="2563" spans="1:29" outlineLevel="2" x14ac:dyDescent="0.25">
      <c r="A2563" s="201">
        <v>46045</v>
      </c>
      <c r="D2563" s="198" t="s">
        <v>54</v>
      </c>
      <c r="E2563" s="202">
        <v>100000</v>
      </c>
      <c r="K2563" s="198" t="s">
        <v>1207</v>
      </c>
      <c r="L2563" s="198" t="s">
        <v>193</v>
      </c>
      <c r="P2563" s="201"/>
      <c r="R2563" s="202">
        <v>100000</v>
      </c>
      <c r="U2563" s="198" t="s">
        <v>1206</v>
      </c>
      <c r="AA2563" s="198" t="s">
        <v>51</v>
      </c>
      <c r="AB2563" s="202">
        <v>100000</v>
      </c>
      <c r="AC2563" s="202">
        <v>100000</v>
      </c>
    </row>
    <row r="2564" spans="1:29" outlineLevel="2" x14ac:dyDescent="0.25">
      <c r="A2564" s="201">
        <v>46104</v>
      </c>
      <c r="D2564" s="198" t="s">
        <v>54</v>
      </c>
      <c r="E2564" s="202">
        <v>1710000000</v>
      </c>
      <c r="K2564" s="198" t="s">
        <v>1207</v>
      </c>
      <c r="L2564" s="198" t="s">
        <v>193</v>
      </c>
      <c r="P2564" s="201"/>
      <c r="R2564" s="202">
        <v>1710000000</v>
      </c>
      <c r="U2564" s="198" t="s">
        <v>1206</v>
      </c>
      <c r="AA2564" s="198" t="s">
        <v>51</v>
      </c>
      <c r="AB2564" s="202">
        <v>1710000000</v>
      </c>
      <c r="AC2564" s="202">
        <v>1710000000</v>
      </c>
    </row>
    <row r="2565" spans="1:29" outlineLevel="2" x14ac:dyDescent="0.25">
      <c r="A2565" s="201">
        <v>46104</v>
      </c>
      <c r="D2565" s="198" t="s">
        <v>54</v>
      </c>
      <c r="E2565" s="202">
        <v>135000000</v>
      </c>
      <c r="K2565" s="198" t="s">
        <v>1207</v>
      </c>
      <c r="L2565" s="198" t="s">
        <v>193</v>
      </c>
      <c r="P2565" s="201"/>
      <c r="R2565" s="202">
        <v>135000000</v>
      </c>
      <c r="U2565" s="198" t="s">
        <v>1206</v>
      </c>
      <c r="AA2565" s="198" t="s">
        <v>51</v>
      </c>
      <c r="AB2565" s="202">
        <v>135000000</v>
      </c>
      <c r="AC2565" s="202">
        <v>135000000</v>
      </c>
    </row>
    <row r="2566" spans="1:29" outlineLevel="2" x14ac:dyDescent="0.25">
      <c r="A2566" s="201">
        <v>46117</v>
      </c>
      <c r="D2566" s="198" t="s">
        <v>54</v>
      </c>
      <c r="E2566" s="202">
        <v>151699.03</v>
      </c>
      <c r="K2566" s="198" t="s">
        <v>1207</v>
      </c>
      <c r="L2566" s="198" t="s">
        <v>193</v>
      </c>
      <c r="P2566" s="201"/>
      <c r="R2566" s="202">
        <v>151699.03</v>
      </c>
      <c r="U2566" s="198" t="s">
        <v>1206</v>
      </c>
      <c r="AA2566" s="198" t="s">
        <v>51</v>
      </c>
      <c r="AB2566" s="202">
        <v>151699.03</v>
      </c>
      <c r="AC2566" s="202">
        <v>151699.03</v>
      </c>
    </row>
    <row r="2567" spans="1:29" outlineLevel="2" x14ac:dyDescent="0.25">
      <c r="A2567" s="201">
        <v>46150</v>
      </c>
      <c r="D2567" s="198" t="s">
        <v>54</v>
      </c>
      <c r="E2567" s="202">
        <v>74656.899999999994</v>
      </c>
      <c r="K2567" s="198" t="s">
        <v>1207</v>
      </c>
      <c r="L2567" s="198" t="s">
        <v>193</v>
      </c>
      <c r="P2567" s="201"/>
      <c r="R2567" s="202">
        <v>74656.899999999994</v>
      </c>
      <c r="U2567" s="198" t="s">
        <v>1206</v>
      </c>
      <c r="AA2567" s="198" t="s">
        <v>51</v>
      </c>
      <c r="AB2567" s="202">
        <v>74656.899999999994</v>
      </c>
      <c r="AC2567" s="202">
        <v>74656.899999999994</v>
      </c>
    </row>
    <row r="2568" spans="1:29" outlineLevel="1" x14ac:dyDescent="0.25">
      <c r="A2568" s="210"/>
      <c r="B2568" s="209"/>
      <c r="C2568" s="209"/>
      <c r="D2568" s="209" t="s">
        <v>54</v>
      </c>
      <c r="E2568" s="211">
        <v>1845326355.9300001</v>
      </c>
      <c r="F2568" s="209"/>
      <c r="G2568" s="209"/>
      <c r="H2568" s="209"/>
      <c r="I2568" s="209"/>
      <c r="J2568" s="209"/>
      <c r="K2568" s="209" t="s">
        <v>54</v>
      </c>
      <c r="L2568" s="209" t="s">
        <v>54</v>
      </c>
      <c r="M2568" s="209"/>
      <c r="N2568" s="209"/>
      <c r="O2568" s="209"/>
      <c r="P2568" s="210"/>
      <c r="Q2568" s="209"/>
      <c r="R2568" s="212"/>
      <c r="S2568" s="209"/>
      <c r="T2568" s="209"/>
      <c r="U2568" s="209" t="s">
        <v>54</v>
      </c>
      <c r="V2568" s="209"/>
      <c r="W2568" s="209"/>
      <c r="X2568" s="209"/>
      <c r="Y2568" s="209"/>
      <c r="Z2568" s="209"/>
      <c r="AA2568" s="209" t="s">
        <v>54</v>
      </c>
      <c r="AB2568" s="212"/>
      <c r="AC2568" s="212"/>
    </row>
    <row r="2569" spans="1:29" outlineLevel="2" x14ac:dyDescent="0.25">
      <c r="A2569" s="201">
        <v>46045</v>
      </c>
      <c r="D2569" s="198" t="s">
        <v>54</v>
      </c>
      <c r="E2569" s="202">
        <v>100000</v>
      </c>
      <c r="K2569" s="198" t="s">
        <v>1208</v>
      </c>
      <c r="L2569" s="198" t="s">
        <v>193</v>
      </c>
      <c r="P2569" s="201"/>
      <c r="R2569" s="202">
        <v>100000</v>
      </c>
      <c r="U2569" s="198" t="s">
        <v>860</v>
      </c>
      <c r="AA2569" s="198" t="s">
        <v>51</v>
      </c>
      <c r="AB2569" s="202">
        <v>100000</v>
      </c>
      <c r="AC2569" s="202">
        <v>100000</v>
      </c>
    </row>
    <row r="2570" spans="1:29" outlineLevel="2" x14ac:dyDescent="0.25">
      <c r="A2570" s="201">
        <v>46117</v>
      </c>
      <c r="D2570" s="198" t="s">
        <v>54</v>
      </c>
      <c r="E2570" s="202">
        <v>151699.03</v>
      </c>
      <c r="K2570" s="198" t="s">
        <v>1208</v>
      </c>
      <c r="L2570" s="198" t="s">
        <v>193</v>
      </c>
      <c r="P2570" s="201"/>
      <c r="R2570" s="202">
        <v>151699.03</v>
      </c>
      <c r="U2570" s="198" t="s">
        <v>860</v>
      </c>
      <c r="AA2570" s="198" t="s">
        <v>51</v>
      </c>
      <c r="AB2570" s="202">
        <v>151699.03</v>
      </c>
      <c r="AC2570" s="202">
        <v>151699.03</v>
      </c>
    </row>
    <row r="2571" spans="1:29" outlineLevel="2" x14ac:dyDescent="0.25">
      <c r="A2571" s="201">
        <v>46150</v>
      </c>
      <c r="D2571" s="198" t="s">
        <v>54</v>
      </c>
      <c r="E2571" s="202">
        <v>74656.899999999994</v>
      </c>
      <c r="K2571" s="198" t="s">
        <v>1208</v>
      </c>
      <c r="L2571" s="198" t="s">
        <v>193</v>
      </c>
      <c r="P2571" s="201"/>
      <c r="R2571" s="202">
        <v>74656.899999999994</v>
      </c>
      <c r="U2571" s="198" t="s">
        <v>860</v>
      </c>
      <c r="AA2571" s="198" t="s">
        <v>51</v>
      </c>
      <c r="AB2571" s="202">
        <v>74656.899999999994</v>
      </c>
      <c r="AC2571" s="202">
        <v>74656.899999999994</v>
      </c>
    </row>
    <row r="2572" spans="1:29" outlineLevel="1" x14ac:dyDescent="0.25">
      <c r="A2572" s="210"/>
      <c r="B2572" s="209"/>
      <c r="C2572" s="209"/>
      <c r="D2572" s="209" t="s">
        <v>54</v>
      </c>
      <c r="E2572" s="211">
        <v>326355.93</v>
      </c>
      <c r="F2572" s="209"/>
      <c r="G2572" s="209"/>
      <c r="H2572" s="209"/>
      <c r="I2572" s="209"/>
      <c r="J2572" s="209"/>
      <c r="K2572" s="209" t="s">
        <v>54</v>
      </c>
      <c r="L2572" s="209" t="s">
        <v>54</v>
      </c>
      <c r="M2572" s="209"/>
      <c r="N2572" s="209"/>
      <c r="O2572" s="209"/>
      <c r="P2572" s="210"/>
      <c r="Q2572" s="209"/>
      <c r="R2572" s="212"/>
      <c r="S2572" s="209"/>
      <c r="T2572" s="209"/>
      <c r="U2572" s="209" t="s">
        <v>54</v>
      </c>
      <c r="V2572" s="209"/>
      <c r="W2572" s="209"/>
      <c r="X2572" s="209"/>
      <c r="Y2572" s="209"/>
      <c r="Z2572" s="209"/>
      <c r="AA2572" s="209" t="s">
        <v>54</v>
      </c>
      <c r="AB2572" s="212"/>
      <c r="AC2572" s="212"/>
    </row>
    <row r="2573" spans="1:29" outlineLevel="2" x14ac:dyDescent="0.25">
      <c r="A2573" s="201">
        <v>46104</v>
      </c>
      <c r="D2573" s="198" t="s">
        <v>54</v>
      </c>
      <c r="E2573" s="202">
        <v>135000000</v>
      </c>
      <c r="K2573" s="198" t="s">
        <v>1209</v>
      </c>
      <c r="L2573" s="198" t="s">
        <v>193</v>
      </c>
      <c r="P2573" s="201"/>
      <c r="R2573" s="202">
        <v>135000000</v>
      </c>
      <c r="U2573" s="198" t="s">
        <v>797</v>
      </c>
      <c r="AA2573" s="198" t="s">
        <v>51</v>
      </c>
      <c r="AB2573" s="202">
        <v>135000000</v>
      </c>
      <c r="AC2573" s="202">
        <v>135000000</v>
      </c>
    </row>
    <row r="2574" spans="1:29" outlineLevel="1" x14ac:dyDescent="0.25">
      <c r="A2574" s="210"/>
      <c r="B2574" s="209"/>
      <c r="C2574" s="209"/>
      <c r="D2574" s="209" t="s">
        <v>54</v>
      </c>
      <c r="E2574" s="211">
        <v>135000000</v>
      </c>
      <c r="F2574" s="209"/>
      <c r="G2574" s="209"/>
      <c r="H2574" s="209"/>
      <c r="I2574" s="209"/>
      <c r="J2574" s="209"/>
      <c r="K2574" s="209" t="s">
        <v>54</v>
      </c>
      <c r="L2574" s="209" t="s">
        <v>54</v>
      </c>
      <c r="M2574" s="209"/>
      <c r="N2574" s="209"/>
      <c r="O2574" s="209"/>
      <c r="P2574" s="210"/>
      <c r="Q2574" s="209"/>
      <c r="R2574" s="212"/>
      <c r="S2574" s="209"/>
      <c r="T2574" s="209"/>
      <c r="U2574" s="209" t="s">
        <v>54</v>
      </c>
      <c r="V2574" s="209"/>
      <c r="W2574" s="209"/>
      <c r="X2574" s="209"/>
      <c r="Y2574" s="209"/>
      <c r="Z2574" s="209"/>
      <c r="AA2574" s="209" t="s">
        <v>54</v>
      </c>
      <c r="AB2574" s="212"/>
      <c r="AC2574" s="212"/>
    </row>
    <row r="2575" spans="1:29" outlineLevel="2" x14ac:dyDescent="0.25">
      <c r="A2575" s="201">
        <v>46104</v>
      </c>
      <c r="D2575" s="198" t="s">
        <v>54</v>
      </c>
      <c r="E2575" s="202">
        <v>1710000000</v>
      </c>
      <c r="K2575" s="198" t="s">
        <v>1210</v>
      </c>
      <c r="L2575" s="198" t="s">
        <v>193</v>
      </c>
      <c r="P2575" s="201"/>
      <c r="R2575" s="202">
        <v>1710000000</v>
      </c>
      <c r="U2575" s="198" t="s">
        <v>799</v>
      </c>
      <c r="AA2575" s="198" t="s">
        <v>51</v>
      </c>
      <c r="AB2575" s="202">
        <v>1710000000</v>
      </c>
      <c r="AC2575" s="202">
        <v>1710000000</v>
      </c>
    </row>
    <row r="2576" spans="1:29" outlineLevel="1" x14ac:dyDescent="0.25">
      <c r="A2576" s="210"/>
      <c r="B2576" s="209"/>
      <c r="C2576" s="209"/>
      <c r="D2576" s="209" t="s">
        <v>54</v>
      </c>
      <c r="E2576" s="211">
        <v>1710000000</v>
      </c>
      <c r="F2576" s="209"/>
      <c r="G2576" s="209"/>
      <c r="H2576" s="209"/>
      <c r="I2576" s="209"/>
      <c r="J2576" s="209"/>
      <c r="K2576" s="209" t="s">
        <v>54</v>
      </c>
      <c r="L2576" s="209" t="s">
        <v>54</v>
      </c>
      <c r="M2576" s="209"/>
      <c r="N2576" s="209"/>
      <c r="O2576" s="209"/>
      <c r="P2576" s="210"/>
      <c r="Q2576" s="209"/>
      <c r="R2576" s="212"/>
      <c r="S2576" s="209"/>
      <c r="T2576" s="209"/>
      <c r="U2576" s="209" t="s">
        <v>54</v>
      </c>
      <c r="V2576" s="209"/>
      <c r="W2576" s="209"/>
      <c r="X2576" s="209"/>
      <c r="Y2576" s="209"/>
      <c r="Z2576" s="209"/>
      <c r="AA2576" s="209" t="s">
        <v>54</v>
      </c>
      <c r="AB2576" s="212"/>
      <c r="AC2576" s="212"/>
    </row>
    <row r="2577" spans="1:29" outlineLevel="2" x14ac:dyDescent="0.25">
      <c r="A2577" s="201">
        <v>46018</v>
      </c>
      <c r="D2577" s="198" t="s">
        <v>54</v>
      </c>
      <c r="E2577" s="202">
        <v>1500000</v>
      </c>
      <c r="K2577" s="198" t="s">
        <v>1212</v>
      </c>
      <c r="L2577" s="198" t="s">
        <v>193</v>
      </c>
      <c r="P2577" s="201"/>
      <c r="R2577" s="202">
        <v>1500000</v>
      </c>
      <c r="U2577" s="198" t="s">
        <v>1211</v>
      </c>
      <c r="AA2577" s="198" t="s">
        <v>51</v>
      </c>
      <c r="AB2577" s="202">
        <v>1500000</v>
      </c>
      <c r="AC2577" s="202">
        <v>1500000</v>
      </c>
    </row>
    <row r="2578" spans="1:29" outlineLevel="2" x14ac:dyDescent="0.25">
      <c r="A2578" s="201">
        <v>46031</v>
      </c>
      <c r="D2578" s="198" t="s">
        <v>54</v>
      </c>
      <c r="E2578" s="202">
        <v>2124000</v>
      </c>
      <c r="K2578" s="198" t="s">
        <v>1212</v>
      </c>
      <c r="L2578" s="198" t="s">
        <v>193</v>
      </c>
      <c r="P2578" s="201"/>
      <c r="R2578" s="202">
        <v>2124000</v>
      </c>
      <c r="U2578" s="198" t="s">
        <v>1211</v>
      </c>
      <c r="AA2578" s="198" t="s">
        <v>51</v>
      </c>
      <c r="AB2578" s="202">
        <v>2124000</v>
      </c>
      <c r="AC2578" s="202">
        <v>2124000</v>
      </c>
    </row>
    <row r="2579" spans="1:29" outlineLevel="2" x14ac:dyDescent="0.25">
      <c r="A2579" s="201">
        <v>46055</v>
      </c>
      <c r="D2579" s="198" t="s">
        <v>54</v>
      </c>
      <c r="E2579" s="202">
        <v>153160</v>
      </c>
      <c r="K2579" s="198" t="s">
        <v>1212</v>
      </c>
      <c r="L2579" s="198" t="s">
        <v>193</v>
      </c>
      <c r="P2579" s="201"/>
      <c r="R2579" s="202">
        <v>153160</v>
      </c>
      <c r="U2579" s="198" t="s">
        <v>1211</v>
      </c>
      <c r="AA2579" s="198" t="s">
        <v>51</v>
      </c>
      <c r="AB2579" s="202">
        <v>153160</v>
      </c>
      <c r="AC2579" s="202">
        <v>153160</v>
      </c>
    </row>
    <row r="2580" spans="1:29" outlineLevel="2" x14ac:dyDescent="0.25">
      <c r="A2580" s="201">
        <v>46056</v>
      </c>
      <c r="D2580" s="198" t="s">
        <v>54</v>
      </c>
      <c r="E2580" s="202">
        <v>1928000</v>
      </c>
      <c r="K2580" s="198" t="s">
        <v>1212</v>
      </c>
      <c r="L2580" s="198" t="s">
        <v>193</v>
      </c>
      <c r="P2580" s="201"/>
      <c r="R2580" s="202">
        <v>1928000</v>
      </c>
      <c r="U2580" s="198" t="s">
        <v>1211</v>
      </c>
      <c r="AA2580" s="198" t="s">
        <v>51</v>
      </c>
      <c r="AB2580" s="202">
        <v>1928000</v>
      </c>
      <c r="AC2580" s="202">
        <v>1928000</v>
      </c>
    </row>
    <row r="2581" spans="1:29" outlineLevel="2" x14ac:dyDescent="0.25">
      <c r="A2581" s="201">
        <v>46058</v>
      </c>
      <c r="D2581" s="198" t="s">
        <v>54</v>
      </c>
      <c r="E2581" s="202">
        <v>408000</v>
      </c>
      <c r="K2581" s="198" t="s">
        <v>1212</v>
      </c>
      <c r="L2581" s="198" t="s">
        <v>193</v>
      </c>
      <c r="P2581" s="201"/>
      <c r="R2581" s="202">
        <v>408000</v>
      </c>
      <c r="U2581" s="198" t="s">
        <v>1211</v>
      </c>
      <c r="AA2581" s="198" t="s">
        <v>51</v>
      </c>
      <c r="AB2581" s="202">
        <v>408000</v>
      </c>
      <c r="AC2581" s="202">
        <v>408000</v>
      </c>
    </row>
    <row r="2582" spans="1:29" outlineLevel="2" x14ac:dyDescent="0.25">
      <c r="A2582" s="201">
        <v>46058</v>
      </c>
      <c r="D2582" s="198" t="s">
        <v>54</v>
      </c>
      <c r="E2582" s="202">
        <v>981120</v>
      </c>
      <c r="K2582" s="198" t="s">
        <v>1212</v>
      </c>
      <c r="L2582" s="198" t="s">
        <v>193</v>
      </c>
      <c r="P2582" s="201"/>
      <c r="R2582" s="202">
        <v>981120</v>
      </c>
      <c r="U2582" s="198" t="s">
        <v>1211</v>
      </c>
      <c r="AA2582" s="198" t="s">
        <v>51</v>
      </c>
      <c r="AB2582" s="202">
        <v>981120</v>
      </c>
      <c r="AC2582" s="202">
        <v>981120</v>
      </c>
    </row>
    <row r="2583" spans="1:29" outlineLevel="2" x14ac:dyDescent="0.25">
      <c r="A2583" s="201">
        <v>46058</v>
      </c>
      <c r="D2583" s="198" t="s">
        <v>54</v>
      </c>
      <c r="E2583" s="202">
        <v>760008</v>
      </c>
      <c r="K2583" s="198" t="s">
        <v>1212</v>
      </c>
      <c r="L2583" s="198" t="s">
        <v>193</v>
      </c>
      <c r="P2583" s="201"/>
      <c r="R2583" s="202">
        <v>760008</v>
      </c>
      <c r="U2583" s="198" t="s">
        <v>1211</v>
      </c>
      <c r="AA2583" s="198" t="s">
        <v>51</v>
      </c>
      <c r="AB2583" s="202">
        <v>760008</v>
      </c>
      <c r="AC2583" s="202">
        <v>760008</v>
      </c>
    </row>
    <row r="2584" spans="1:29" outlineLevel="2" x14ac:dyDescent="0.25">
      <c r="A2584" s="201">
        <v>46060</v>
      </c>
      <c r="D2584" s="198" t="s">
        <v>54</v>
      </c>
      <c r="E2584" s="202">
        <v>7973698</v>
      </c>
      <c r="K2584" s="198" t="s">
        <v>1212</v>
      </c>
      <c r="L2584" s="198" t="s">
        <v>193</v>
      </c>
      <c r="P2584" s="201"/>
      <c r="R2584" s="202">
        <v>7973698</v>
      </c>
      <c r="U2584" s="198" t="s">
        <v>1211</v>
      </c>
      <c r="AA2584" s="198" t="s">
        <v>51</v>
      </c>
      <c r="AB2584" s="202">
        <v>7973698</v>
      </c>
      <c r="AC2584" s="202">
        <v>7973698</v>
      </c>
    </row>
    <row r="2585" spans="1:29" outlineLevel="2" x14ac:dyDescent="0.25">
      <c r="A2585" s="201">
        <v>46064</v>
      </c>
      <c r="D2585" s="198" t="s">
        <v>54</v>
      </c>
      <c r="E2585" s="202">
        <v>750000</v>
      </c>
      <c r="K2585" s="198" t="s">
        <v>1212</v>
      </c>
      <c r="L2585" s="198" t="s">
        <v>193</v>
      </c>
      <c r="P2585" s="201"/>
      <c r="R2585" s="202">
        <v>750000</v>
      </c>
      <c r="U2585" s="198" t="s">
        <v>1211</v>
      </c>
      <c r="AA2585" s="198" t="s">
        <v>51</v>
      </c>
      <c r="AB2585" s="202">
        <v>750000</v>
      </c>
      <c r="AC2585" s="202">
        <v>750000</v>
      </c>
    </row>
    <row r="2586" spans="1:29" outlineLevel="2" x14ac:dyDescent="0.25">
      <c r="A2586" s="201">
        <v>46064</v>
      </c>
      <c r="D2586" s="198" t="s">
        <v>54</v>
      </c>
      <c r="E2586" s="202">
        <v>-750000</v>
      </c>
      <c r="K2586" s="198" t="s">
        <v>1212</v>
      </c>
      <c r="L2586" s="198" t="s">
        <v>193</v>
      </c>
      <c r="P2586" s="201"/>
      <c r="R2586" s="202">
        <v>-750000</v>
      </c>
      <c r="U2586" s="198" t="s">
        <v>1211</v>
      </c>
      <c r="AA2586" s="198" t="s">
        <v>51</v>
      </c>
      <c r="AB2586" s="202">
        <v>-750000</v>
      </c>
      <c r="AC2586" s="202">
        <v>-750000</v>
      </c>
    </row>
    <row r="2587" spans="1:29" outlineLevel="2" x14ac:dyDescent="0.25">
      <c r="A2587" s="201">
        <v>46070</v>
      </c>
      <c r="D2587" s="198" t="s">
        <v>54</v>
      </c>
      <c r="E2587" s="202">
        <v>32137.599999999999</v>
      </c>
      <c r="K2587" s="198" t="s">
        <v>1212</v>
      </c>
      <c r="L2587" s="198" t="s">
        <v>193</v>
      </c>
      <c r="P2587" s="201"/>
      <c r="R2587" s="202">
        <v>32137.599999999999</v>
      </c>
      <c r="U2587" s="198" t="s">
        <v>1211</v>
      </c>
      <c r="AA2587" s="198" t="s">
        <v>51</v>
      </c>
      <c r="AB2587" s="202">
        <v>32137.599999999999</v>
      </c>
      <c r="AC2587" s="202">
        <v>32137.599999999999</v>
      </c>
    </row>
    <row r="2588" spans="1:29" outlineLevel="2" x14ac:dyDescent="0.25">
      <c r="A2588" s="201">
        <v>46078</v>
      </c>
      <c r="D2588" s="198" t="s">
        <v>54</v>
      </c>
      <c r="E2588" s="202">
        <v>1305292</v>
      </c>
      <c r="K2588" s="198" t="s">
        <v>1212</v>
      </c>
      <c r="L2588" s="198" t="s">
        <v>193</v>
      </c>
      <c r="P2588" s="201"/>
      <c r="R2588" s="202">
        <v>1305292</v>
      </c>
      <c r="U2588" s="198" t="s">
        <v>1211</v>
      </c>
      <c r="AA2588" s="198" t="s">
        <v>51</v>
      </c>
      <c r="AB2588" s="202">
        <v>1305292</v>
      </c>
      <c r="AC2588" s="202">
        <v>1305292</v>
      </c>
    </row>
    <row r="2589" spans="1:29" outlineLevel="2" x14ac:dyDescent="0.25">
      <c r="A2589" s="201">
        <v>46098</v>
      </c>
      <c r="D2589" s="198" t="s">
        <v>54</v>
      </c>
      <c r="E2589" s="202">
        <v>1045984</v>
      </c>
      <c r="K2589" s="198" t="s">
        <v>1212</v>
      </c>
      <c r="L2589" s="198" t="s">
        <v>193</v>
      </c>
      <c r="P2589" s="201"/>
      <c r="R2589" s="202">
        <v>1045984</v>
      </c>
      <c r="U2589" s="198" t="s">
        <v>1211</v>
      </c>
      <c r="AA2589" s="198" t="s">
        <v>51</v>
      </c>
      <c r="AB2589" s="202">
        <v>1045984</v>
      </c>
      <c r="AC2589" s="202">
        <v>1045984</v>
      </c>
    </row>
    <row r="2590" spans="1:29" outlineLevel="2" x14ac:dyDescent="0.25">
      <c r="A2590" s="201">
        <v>46108</v>
      </c>
      <c r="D2590" s="198" t="s">
        <v>54</v>
      </c>
      <c r="E2590" s="202">
        <v>41152.400000000001</v>
      </c>
      <c r="K2590" s="198" t="s">
        <v>1212</v>
      </c>
      <c r="L2590" s="198" t="s">
        <v>193</v>
      </c>
      <c r="P2590" s="201"/>
      <c r="R2590" s="202">
        <v>41152.400000000001</v>
      </c>
      <c r="U2590" s="198" t="s">
        <v>1211</v>
      </c>
      <c r="AA2590" s="198" t="s">
        <v>51</v>
      </c>
      <c r="AB2590" s="202">
        <v>41152.400000000001</v>
      </c>
      <c r="AC2590" s="202">
        <v>41152.400000000001</v>
      </c>
    </row>
    <row r="2591" spans="1:29" outlineLevel="2" x14ac:dyDescent="0.25">
      <c r="A2591" s="201">
        <v>46112</v>
      </c>
      <c r="D2591" s="198" t="s">
        <v>54</v>
      </c>
      <c r="E2591" s="202">
        <v>1397450</v>
      </c>
      <c r="K2591" s="198" t="s">
        <v>1212</v>
      </c>
      <c r="L2591" s="198" t="s">
        <v>193</v>
      </c>
      <c r="P2591" s="201"/>
      <c r="R2591" s="202">
        <v>1397450</v>
      </c>
      <c r="U2591" s="198" t="s">
        <v>1211</v>
      </c>
      <c r="AA2591" s="198" t="s">
        <v>51</v>
      </c>
      <c r="AB2591" s="202">
        <v>1397450</v>
      </c>
      <c r="AC2591" s="202">
        <v>1397450</v>
      </c>
    </row>
    <row r="2592" spans="1:29" outlineLevel="2" x14ac:dyDescent="0.25">
      <c r="A2592" s="201">
        <v>46116</v>
      </c>
      <c r="D2592" s="198" t="s">
        <v>54</v>
      </c>
      <c r="E2592" s="202">
        <v>403000</v>
      </c>
      <c r="K2592" s="198" t="s">
        <v>1212</v>
      </c>
      <c r="L2592" s="198" t="s">
        <v>193</v>
      </c>
      <c r="P2592" s="201"/>
      <c r="R2592" s="202">
        <v>403000</v>
      </c>
      <c r="U2592" s="198" t="s">
        <v>1211</v>
      </c>
      <c r="AA2592" s="198" t="s">
        <v>51</v>
      </c>
      <c r="AB2592" s="202">
        <v>403000</v>
      </c>
      <c r="AC2592" s="202">
        <v>403000</v>
      </c>
    </row>
    <row r="2593" spans="1:29" outlineLevel="2" x14ac:dyDescent="0.25">
      <c r="A2593" s="201">
        <v>46117</v>
      </c>
      <c r="D2593" s="198" t="s">
        <v>54</v>
      </c>
      <c r="E2593" s="202">
        <v>8900</v>
      </c>
      <c r="K2593" s="198" t="s">
        <v>1212</v>
      </c>
      <c r="L2593" s="198" t="s">
        <v>193</v>
      </c>
      <c r="P2593" s="201"/>
      <c r="R2593" s="202">
        <v>8900</v>
      </c>
      <c r="U2593" s="198" t="s">
        <v>1211</v>
      </c>
      <c r="AA2593" s="198" t="s">
        <v>51</v>
      </c>
      <c r="AB2593" s="202">
        <v>8900</v>
      </c>
      <c r="AC2593" s="202">
        <v>8900</v>
      </c>
    </row>
    <row r="2594" spans="1:29" outlineLevel="2" x14ac:dyDescent="0.25">
      <c r="A2594" s="201">
        <v>46118</v>
      </c>
      <c r="D2594" s="198" t="s">
        <v>54</v>
      </c>
      <c r="E2594" s="202">
        <v>15200</v>
      </c>
      <c r="K2594" s="198" t="s">
        <v>1212</v>
      </c>
      <c r="L2594" s="198" t="s">
        <v>193</v>
      </c>
      <c r="P2594" s="201"/>
      <c r="R2594" s="202">
        <v>15200</v>
      </c>
      <c r="U2594" s="198" t="s">
        <v>1211</v>
      </c>
      <c r="AA2594" s="198" t="s">
        <v>51</v>
      </c>
      <c r="AB2594" s="202">
        <v>15200</v>
      </c>
      <c r="AC2594" s="202">
        <v>15200</v>
      </c>
    </row>
    <row r="2595" spans="1:29" outlineLevel="2" x14ac:dyDescent="0.25">
      <c r="A2595" s="201">
        <v>46118</v>
      </c>
      <c r="D2595" s="198" t="s">
        <v>54</v>
      </c>
      <c r="E2595" s="202">
        <v>15200</v>
      </c>
      <c r="K2595" s="198" t="s">
        <v>1212</v>
      </c>
      <c r="L2595" s="198" t="s">
        <v>193</v>
      </c>
      <c r="P2595" s="201"/>
      <c r="R2595" s="202">
        <v>15200</v>
      </c>
      <c r="U2595" s="198" t="s">
        <v>1211</v>
      </c>
      <c r="AA2595" s="198" t="s">
        <v>51</v>
      </c>
      <c r="AB2595" s="202">
        <v>15200</v>
      </c>
      <c r="AC2595" s="202">
        <v>15200</v>
      </c>
    </row>
    <row r="2596" spans="1:29" outlineLevel="2" x14ac:dyDescent="0.25">
      <c r="A2596" s="201">
        <v>46122</v>
      </c>
      <c r="D2596" s="198" t="s">
        <v>54</v>
      </c>
      <c r="E2596" s="202">
        <v>311030</v>
      </c>
      <c r="K2596" s="198" t="s">
        <v>1212</v>
      </c>
      <c r="L2596" s="198" t="s">
        <v>193</v>
      </c>
      <c r="P2596" s="201"/>
      <c r="R2596" s="202">
        <v>311030</v>
      </c>
      <c r="U2596" s="198" t="s">
        <v>1211</v>
      </c>
      <c r="AA2596" s="198" t="s">
        <v>51</v>
      </c>
      <c r="AB2596" s="202">
        <v>311030</v>
      </c>
      <c r="AC2596" s="202">
        <v>311030</v>
      </c>
    </row>
    <row r="2597" spans="1:29" outlineLevel="2" x14ac:dyDescent="0.25">
      <c r="A2597" s="201">
        <v>46134</v>
      </c>
      <c r="D2597" s="198" t="s">
        <v>54</v>
      </c>
      <c r="E2597" s="202">
        <v>704008</v>
      </c>
      <c r="K2597" s="198" t="s">
        <v>1212</v>
      </c>
      <c r="L2597" s="198" t="s">
        <v>193</v>
      </c>
      <c r="P2597" s="201"/>
      <c r="R2597" s="202">
        <v>704008</v>
      </c>
      <c r="U2597" s="198" t="s">
        <v>1211</v>
      </c>
      <c r="AA2597" s="198" t="s">
        <v>51</v>
      </c>
      <c r="AB2597" s="202">
        <v>704008</v>
      </c>
      <c r="AC2597" s="202">
        <v>704008</v>
      </c>
    </row>
    <row r="2598" spans="1:29" outlineLevel="2" x14ac:dyDescent="0.25">
      <c r="A2598" s="201">
        <v>46150</v>
      </c>
      <c r="D2598" s="198" t="s">
        <v>54</v>
      </c>
      <c r="E2598" s="202">
        <v>31691</v>
      </c>
      <c r="K2598" s="198" t="s">
        <v>1212</v>
      </c>
      <c r="L2598" s="198" t="s">
        <v>193</v>
      </c>
      <c r="P2598" s="201"/>
      <c r="R2598" s="202">
        <v>31691</v>
      </c>
      <c r="U2598" s="198" t="s">
        <v>1211</v>
      </c>
      <c r="AA2598" s="198" t="s">
        <v>51</v>
      </c>
      <c r="AB2598" s="202">
        <v>31691</v>
      </c>
      <c r="AC2598" s="202">
        <v>31691</v>
      </c>
    </row>
    <row r="2599" spans="1:29" outlineLevel="2" x14ac:dyDescent="0.25">
      <c r="A2599" s="201">
        <v>46150</v>
      </c>
      <c r="D2599" s="198" t="s">
        <v>54</v>
      </c>
      <c r="E2599" s="202">
        <v>12900</v>
      </c>
      <c r="K2599" s="198" t="s">
        <v>1212</v>
      </c>
      <c r="L2599" s="198" t="s">
        <v>193</v>
      </c>
      <c r="P2599" s="201"/>
      <c r="R2599" s="202">
        <v>12900</v>
      </c>
      <c r="U2599" s="198" t="s">
        <v>1211</v>
      </c>
      <c r="AA2599" s="198" t="s">
        <v>51</v>
      </c>
      <c r="AB2599" s="202">
        <v>12900</v>
      </c>
      <c r="AC2599" s="202">
        <v>12900</v>
      </c>
    </row>
    <row r="2600" spans="1:29" outlineLevel="2" x14ac:dyDescent="0.25">
      <c r="A2600" s="201">
        <v>46150</v>
      </c>
      <c r="D2600" s="198" t="s">
        <v>54</v>
      </c>
      <c r="E2600" s="202">
        <v>31791.02</v>
      </c>
      <c r="K2600" s="198" t="s">
        <v>1212</v>
      </c>
      <c r="L2600" s="198" t="s">
        <v>193</v>
      </c>
      <c r="P2600" s="201"/>
      <c r="R2600" s="202">
        <v>31791.02</v>
      </c>
      <c r="U2600" s="198" t="s">
        <v>1211</v>
      </c>
      <c r="AA2600" s="198" t="s">
        <v>51</v>
      </c>
      <c r="AB2600" s="202">
        <v>31791.02</v>
      </c>
      <c r="AC2600" s="202">
        <v>31791.02</v>
      </c>
    </row>
    <row r="2601" spans="1:29" outlineLevel="2" x14ac:dyDescent="0.25">
      <c r="A2601" s="201">
        <v>46157</v>
      </c>
      <c r="D2601" s="198" t="s">
        <v>54</v>
      </c>
      <c r="E2601" s="202">
        <v>1025000</v>
      </c>
      <c r="K2601" s="198" t="s">
        <v>1212</v>
      </c>
      <c r="L2601" s="198" t="s">
        <v>193</v>
      </c>
      <c r="P2601" s="201"/>
      <c r="R2601" s="202">
        <v>1025000</v>
      </c>
      <c r="U2601" s="198" t="s">
        <v>1211</v>
      </c>
      <c r="AA2601" s="198" t="s">
        <v>51</v>
      </c>
      <c r="AB2601" s="202">
        <v>1025000</v>
      </c>
      <c r="AC2601" s="202">
        <v>1025000</v>
      </c>
    </row>
    <row r="2602" spans="1:29" outlineLevel="2" x14ac:dyDescent="0.25">
      <c r="A2602" s="201">
        <v>46161</v>
      </c>
      <c r="D2602" s="198" t="s">
        <v>54</v>
      </c>
      <c r="E2602" s="202">
        <v>191000</v>
      </c>
      <c r="K2602" s="198" t="s">
        <v>1212</v>
      </c>
      <c r="L2602" s="198" t="s">
        <v>193</v>
      </c>
      <c r="P2602" s="201"/>
      <c r="R2602" s="202">
        <v>191000</v>
      </c>
      <c r="U2602" s="198" t="s">
        <v>1211</v>
      </c>
      <c r="AA2602" s="198" t="s">
        <v>51</v>
      </c>
      <c r="AB2602" s="202">
        <v>191000</v>
      </c>
      <c r="AC2602" s="202">
        <v>191000</v>
      </c>
    </row>
    <row r="2603" spans="1:29" outlineLevel="2" x14ac:dyDescent="0.25">
      <c r="A2603" s="201">
        <v>46167</v>
      </c>
      <c r="D2603" s="198" t="s">
        <v>54</v>
      </c>
      <c r="E2603" s="202">
        <v>1200</v>
      </c>
      <c r="K2603" s="198" t="s">
        <v>1212</v>
      </c>
      <c r="L2603" s="198" t="s">
        <v>193</v>
      </c>
      <c r="P2603" s="201"/>
      <c r="R2603" s="202">
        <v>1200</v>
      </c>
      <c r="U2603" s="198" t="s">
        <v>1211</v>
      </c>
      <c r="AA2603" s="198" t="s">
        <v>51</v>
      </c>
      <c r="AB2603" s="202">
        <v>1200</v>
      </c>
      <c r="AC2603" s="202">
        <v>1200</v>
      </c>
    </row>
    <row r="2604" spans="1:29" outlineLevel="1" x14ac:dyDescent="0.25">
      <c r="A2604" s="210"/>
      <c r="B2604" s="209"/>
      <c r="C2604" s="209"/>
      <c r="D2604" s="209" t="s">
        <v>54</v>
      </c>
      <c r="E2604" s="211">
        <v>22400922.02</v>
      </c>
      <c r="F2604" s="209"/>
      <c r="G2604" s="209"/>
      <c r="H2604" s="209"/>
      <c r="I2604" s="209"/>
      <c r="J2604" s="209"/>
      <c r="K2604" s="209" t="s">
        <v>54</v>
      </c>
      <c r="L2604" s="209" t="s">
        <v>54</v>
      </c>
      <c r="M2604" s="209"/>
      <c r="N2604" s="209"/>
      <c r="O2604" s="209"/>
      <c r="P2604" s="210"/>
      <c r="Q2604" s="209"/>
      <c r="R2604" s="212"/>
      <c r="S2604" s="209"/>
      <c r="T2604" s="209"/>
      <c r="U2604" s="209" t="s">
        <v>54</v>
      </c>
      <c r="V2604" s="209"/>
      <c r="W2604" s="209"/>
      <c r="X2604" s="209"/>
      <c r="Y2604" s="209"/>
      <c r="Z2604" s="209"/>
      <c r="AA2604" s="209" t="s">
        <v>54</v>
      </c>
      <c r="AB2604" s="212"/>
      <c r="AC2604" s="212"/>
    </row>
    <row r="2605" spans="1:29" outlineLevel="2" x14ac:dyDescent="0.25">
      <c r="A2605" s="201">
        <v>46018</v>
      </c>
      <c r="D2605" s="198" t="s">
        <v>54</v>
      </c>
      <c r="E2605" s="202">
        <v>400000</v>
      </c>
      <c r="K2605" s="198" t="s">
        <v>1213</v>
      </c>
      <c r="L2605" s="198" t="s">
        <v>193</v>
      </c>
      <c r="P2605" s="201"/>
      <c r="R2605" s="202">
        <v>400000</v>
      </c>
      <c r="U2605" s="198" t="s">
        <v>198</v>
      </c>
      <c r="AA2605" s="198" t="s">
        <v>51</v>
      </c>
      <c r="AB2605" s="202">
        <v>400000</v>
      </c>
      <c r="AC2605" s="202">
        <v>400000</v>
      </c>
    </row>
    <row r="2606" spans="1:29" outlineLevel="2" x14ac:dyDescent="0.25">
      <c r="A2606" s="201">
        <v>46070</v>
      </c>
      <c r="D2606" s="198" t="s">
        <v>54</v>
      </c>
      <c r="E2606" s="202">
        <v>32137.599999999999</v>
      </c>
      <c r="K2606" s="198" t="s">
        <v>1213</v>
      </c>
      <c r="L2606" s="198" t="s">
        <v>193</v>
      </c>
      <c r="P2606" s="201"/>
      <c r="R2606" s="202">
        <v>32137.599999999999</v>
      </c>
      <c r="U2606" s="198" t="s">
        <v>198</v>
      </c>
      <c r="AA2606" s="198" t="s">
        <v>51</v>
      </c>
      <c r="AB2606" s="202">
        <v>32137.599999999999</v>
      </c>
      <c r="AC2606" s="202">
        <v>32137.599999999999</v>
      </c>
    </row>
    <row r="2607" spans="1:29" outlineLevel="2" x14ac:dyDescent="0.25">
      <c r="A2607" s="201">
        <v>46108</v>
      </c>
      <c r="D2607" s="198" t="s">
        <v>54</v>
      </c>
      <c r="E2607" s="202">
        <v>41152.400000000001</v>
      </c>
      <c r="K2607" s="198" t="s">
        <v>1213</v>
      </c>
      <c r="L2607" s="198" t="s">
        <v>193</v>
      </c>
      <c r="P2607" s="201"/>
      <c r="R2607" s="202">
        <v>41152.400000000001</v>
      </c>
      <c r="U2607" s="198" t="s">
        <v>198</v>
      </c>
      <c r="AA2607" s="198" t="s">
        <v>51</v>
      </c>
      <c r="AB2607" s="202">
        <v>41152.400000000001</v>
      </c>
      <c r="AC2607" s="202">
        <v>41152.400000000001</v>
      </c>
    </row>
    <row r="2608" spans="1:29" outlineLevel="1" x14ac:dyDescent="0.25">
      <c r="A2608" s="210"/>
      <c r="B2608" s="209"/>
      <c r="C2608" s="209"/>
      <c r="D2608" s="209" t="s">
        <v>54</v>
      </c>
      <c r="E2608" s="211">
        <v>473290</v>
      </c>
      <c r="F2608" s="209"/>
      <c r="G2608" s="209"/>
      <c r="H2608" s="209"/>
      <c r="I2608" s="209"/>
      <c r="J2608" s="209"/>
      <c r="K2608" s="209" t="s">
        <v>54</v>
      </c>
      <c r="L2608" s="209" t="s">
        <v>54</v>
      </c>
      <c r="M2608" s="209"/>
      <c r="N2608" s="209"/>
      <c r="O2608" s="209"/>
      <c r="P2608" s="210"/>
      <c r="Q2608" s="209"/>
      <c r="R2608" s="212"/>
      <c r="S2608" s="209"/>
      <c r="T2608" s="209"/>
      <c r="U2608" s="209" t="s">
        <v>54</v>
      </c>
      <c r="V2608" s="209"/>
      <c r="W2608" s="209"/>
      <c r="X2608" s="209"/>
      <c r="Y2608" s="209"/>
      <c r="Z2608" s="209"/>
      <c r="AA2608" s="209" t="s">
        <v>54</v>
      </c>
      <c r="AB2608" s="212"/>
      <c r="AC2608" s="212"/>
    </row>
    <row r="2609" spans="1:29" outlineLevel="2" x14ac:dyDescent="0.25">
      <c r="A2609" s="201">
        <v>46058</v>
      </c>
      <c r="D2609" s="198" t="s">
        <v>54</v>
      </c>
      <c r="E2609" s="202">
        <v>408000</v>
      </c>
      <c r="K2609" s="198" t="s">
        <v>1214</v>
      </c>
      <c r="L2609" s="198" t="s">
        <v>193</v>
      </c>
      <c r="P2609" s="201"/>
      <c r="R2609" s="202">
        <v>408000</v>
      </c>
      <c r="U2609" s="198" t="s">
        <v>762</v>
      </c>
      <c r="AA2609" s="198" t="s">
        <v>51</v>
      </c>
      <c r="AB2609" s="202">
        <v>408000</v>
      </c>
      <c r="AC2609" s="202">
        <v>408000</v>
      </c>
    </row>
    <row r="2610" spans="1:29" outlineLevel="2" x14ac:dyDescent="0.25">
      <c r="A2610" s="201">
        <v>46060</v>
      </c>
      <c r="D2610" s="198" t="s">
        <v>54</v>
      </c>
      <c r="E2610" s="202">
        <v>7973698</v>
      </c>
      <c r="K2610" s="198" t="s">
        <v>1214</v>
      </c>
      <c r="L2610" s="198" t="s">
        <v>193</v>
      </c>
      <c r="P2610" s="201"/>
      <c r="R2610" s="202">
        <v>7973698</v>
      </c>
      <c r="U2610" s="198" t="s">
        <v>762</v>
      </c>
      <c r="AA2610" s="198" t="s">
        <v>51</v>
      </c>
      <c r="AB2610" s="202">
        <v>7973698</v>
      </c>
      <c r="AC2610" s="202">
        <v>7973698</v>
      </c>
    </row>
    <row r="2611" spans="1:29" outlineLevel="1" x14ac:dyDescent="0.25">
      <c r="A2611" s="210"/>
      <c r="B2611" s="209"/>
      <c r="C2611" s="209"/>
      <c r="D2611" s="209" t="s">
        <v>54</v>
      </c>
      <c r="E2611" s="211">
        <v>8381698</v>
      </c>
      <c r="F2611" s="209"/>
      <c r="G2611" s="209"/>
      <c r="H2611" s="209"/>
      <c r="I2611" s="209"/>
      <c r="J2611" s="209"/>
      <c r="K2611" s="209" t="s">
        <v>54</v>
      </c>
      <c r="L2611" s="209" t="s">
        <v>54</v>
      </c>
      <c r="M2611" s="209"/>
      <c r="N2611" s="209"/>
      <c r="O2611" s="209"/>
      <c r="P2611" s="210"/>
      <c r="Q2611" s="209"/>
      <c r="R2611" s="212"/>
      <c r="S2611" s="209"/>
      <c r="T2611" s="209"/>
      <c r="U2611" s="209" t="s">
        <v>54</v>
      </c>
      <c r="V2611" s="209"/>
      <c r="W2611" s="209"/>
      <c r="X2611" s="209"/>
      <c r="Y2611" s="209"/>
      <c r="Z2611" s="209"/>
      <c r="AA2611" s="209" t="s">
        <v>54</v>
      </c>
      <c r="AB2611" s="212"/>
      <c r="AC2611" s="212"/>
    </row>
    <row r="2612" spans="1:29" outlineLevel="2" x14ac:dyDescent="0.25">
      <c r="A2612" s="201">
        <v>46098</v>
      </c>
      <c r="D2612" s="198" t="s">
        <v>54</v>
      </c>
      <c r="E2612" s="202">
        <v>1045984</v>
      </c>
      <c r="K2612" s="198" t="s">
        <v>1215</v>
      </c>
      <c r="L2612" s="198" t="s">
        <v>193</v>
      </c>
      <c r="P2612" s="201"/>
      <c r="R2612" s="202">
        <v>1045984</v>
      </c>
      <c r="U2612" s="198" t="s">
        <v>283</v>
      </c>
      <c r="AA2612" s="198" t="s">
        <v>51</v>
      </c>
      <c r="AB2612" s="202">
        <v>1045984</v>
      </c>
      <c r="AC2612" s="202">
        <v>1045984</v>
      </c>
    </row>
    <row r="2613" spans="1:29" outlineLevel="2" x14ac:dyDescent="0.25">
      <c r="A2613" s="201">
        <v>46116</v>
      </c>
      <c r="D2613" s="198" t="s">
        <v>54</v>
      </c>
      <c r="E2613" s="202">
        <v>403000</v>
      </c>
      <c r="K2613" s="198" t="s">
        <v>1215</v>
      </c>
      <c r="L2613" s="198" t="s">
        <v>193</v>
      </c>
      <c r="P2613" s="201"/>
      <c r="R2613" s="202">
        <v>403000</v>
      </c>
      <c r="U2613" s="198" t="s">
        <v>283</v>
      </c>
      <c r="AA2613" s="198" t="s">
        <v>51</v>
      </c>
      <c r="AB2613" s="202">
        <v>403000</v>
      </c>
      <c r="AC2613" s="202">
        <v>403000</v>
      </c>
    </row>
    <row r="2614" spans="1:29" outlineLevel="2" x14ac:dyDescent="0.25">
      <c r="A2614" s="201">
        <v>46167</v>
      </c>
      <c r="D2614" s="198" t="s">
        <v>54</v>
      </c>
      <c r="E2614" s="202">
        <v>1200</v>
      </c>
      <c r="K2614" s="198" t="s">
        <v>1215</v>
      </c>
      <c r="L2614" s="198" t="s">
        <v>193</v>
      </c>
      <c r="P2614" s="201"/>
      <c r="R2614" s="202">
        <v>1200</v>
      </c>
      <c r="U2614" s="198" t="s">
        <v>283</v>
      </c>
      <c r="AA2614" s="198" t="s">
        <v>51</v>
      </c>
      <c r="AB2614" s="202">
        <v>1200</v>
      </c>
      <c r="AC2614" s="202">
        <v>1200</v>
      </c>
    </row>
    <row r="2615" spans="1:29" outlineLevel="1" x14ac:dyDescent="0.25">
      <c r="A2615" s="210"/>
      <c r="B2615" s="209"/>
      <c r="C2615" s="209"/>
      <c r="D2615" s="209" t="s">
        <v>54</v>
      </c>
      <c r="E2615" s="211">
        <v>1450184</v>
      </c>
      <c r="F2615" s="209"/>
      <c r="G2615" s="209"/>
      <c r="H2615" s="209"/>
      <c r="I2615" s="209"/>
      <c r="J2615" s="209"/>
      <c r="K2615" s="209" t="s">
        <v>54</v>
      </c>
      <c r="L2615" s="209" t="s">
        <v>54</v>
      </c>
      <c r="M2615" s="209"/>
      <c r="N2615" s="209"/>
      <c r="O2615" s="209"/>
      <c r="P2615" s="210"/>
      <c r="Q2615" s="209"/>
      <c r="R2615" s="212"/>
      <c r="S2615" s="209"/>
      <c r="T2615" s="209"/>
      <c r="U2615" s="209" t="s">
        <v>54</v>
      </c>
      <c r="V2615" s="209"/>
      <c r="W2615" s="209"/>
      <c r="X2615" s="209"/>
      <c r="Y2615" s="209"/>
      <c r="Z2615" s="209"/>
      <c r="AA2615" s="209" t="s">
        <v>54</v>
      </c>
      <c r="AB2615" s="212"/>
      <c r="AC2615" s="212"/>
    </row>
    <row r="2616" spans="1:29" outlineLevel="2" x14ac:dyDescent="0.25">
      <c r="A2616" s="201">
        <v>46064</v>
      </c>
      <c r="D2616" s="198" t="s">
        <v>54</v>
      </c>
      <c r="E2616" s="202">
        <v>750000</v>
      </c>
      <c r="K2616" s="198" t="s">
        <v>1217</v>
      </c>
      <c r="L2616" s="198" t="s">
        <v>193</v>
      </c>
      <c r="P2616" s="201"/>
      <c r="R2616" s="202">
        <v>750000</v>
      </c>
      <c r="U2616" s="198" t="s">
        <v>1216</v>
      </c>
      <c r="AA2616" s="198" t="s">
        <v>51</v>
      </c>
      <c r="AB2616" s="202">
        <v>750000</v>
      </c>
      <c r="AC2616" s="202">
        <v>750000</v>
      </c>
    </row>
    <row r="2617" spans="1:29" outlineLevel="2" x14ac:dyDescent="0.25">
      <c r="A2617" s="201">
        <v>46064</v>
      </c>
      <c r="D2617" s="198" t="s">
        <v>54</v>
      </c>
      <c r="E2617" s="202">
        <v>-750000</v>
      </c>
      <c r="K2617" s="198" t="s">
        <v>1217</v>
      </c>
      <c r="L2617" s="198" t="s">
        <v>193</v>
      </c>
      <c r="P2617" s="201"/>
      <c r="R2617" s="202">
        <v>-750000</v>
      </c>
      <c r="U2617" s="198" t="s">
        <v>1216</v>
      </c>
      <c r="AA2617" s="198" t="s">
        <v>51</v>
      </c>
      <c r="AB2617" s="202">
        <v>-750000</v>
      </c>
      <c r="AC2617" s="202">
        <v>-750000</v>
      </c>
    </row>
    <row r="2618" spans="1:29" outlineLevel="1" x14ac:dyDescent="0.25">
      <c r="A2618" s="210"/>
      <c r="B2618" s="209"/>
      <c r="C2618" s="209"/>
      <c r="D2618" s="209" t="s">
        <v>54</v>
      </c>
      <c r="E2618" s="211">
        <v>0</v>
      </c>
      <c r="F2618" s="209"/>
      <c r="G2618" s="209"/>
      <c r="H2618" s="209"/>
      <c r="I2618" s="209"/>
      <c r="J2618" s="209"/>
      <c r="K2618" s="209" t="s">
        <v>54</v>
      </c>
      <c r="L2618" s="209" t="s">
        <v>54</v>
      </c>
      <c r="M2618" s="209"/>
      <c r="N2618" s="209"/>
      <c r="O2618" s="209"/>
      <c r="P2618" s="210"/>
      <c r="Q2618" s="209"/>
      <c r="R2618" s="212"/>
      <c r="S2618" s="209"/>
      <c r="T2618" s="209"/>
      <c r="U2618" s="209" t="s">
        <v>54</v>
      </c>
      <c r="V2618" s="209"/>
      <c r="W2618" s="209"/>
      <c r="X2618" s="209"/>
      <c r="Y2618" s="209"/>
      <c r="Z2618" s="209"/>
      <c r="AA2618" s="209" t="s">
        <v>54</v>
      </c>
      <c r="AB2618" s="212"/>
      <c r="AC2618" s="212"/>
    </row>
    <row r="2619" spans="1:29" outlineLevel="2" x14ac:dyDescent="0.25">
      <c r="A2619" s="201">
        <v>46122</v>
      </c>
      <c r="D2619" s="198" t="s">
        <v>54</v>
      </c>
      <c r="E2619" s="202">
        <v>311030</v>
      </c>
      <c r="K2619" s="198" t="s">
        <v>1219</v>
      </c>
      <c r="L2619" s="198" t="s">
        <v>193</v>
      </c>
      <c r="P2619" s="201"/>
      <c r="R2619" s="202">
        <v>311030</v>
      </c>
      <c r="U2619" s="198" t="s">
        <v>1218</v>
      </c>
      <c r="AA2619" s="198" t="s">
        <v>51</v>
      </c>
      <c r="AB2619" s="202">
        <v>311030</v>
      </c>
      <c r="AC2619" s="202">
        <v>311030</v>
      </c>
    </row>
    <row r="2620" spans="1:29" outlineLevel="1" x14ac:dyDescent="0.25">
      <c r="A2620" s="210"/>
      <c r="B2620" s="209"/>
      <c r="C2620" s="209"/>
      <c r="D2620" s="209" t="s">
        <v>54</v>
      </c>
      <c r="E2620" s="211">
        <v>311030</v>
      </c>
      <c r="F2620" s="209"/>
      <c r="G2620" s="209"/>
      <c r="H2620" s="209"/>
      <c r="I2620" s="209"/>
      <c r="J2620" s="209"/>
      <c r="K2620" s="209" t="s">
        <v>54</v>
      </c>
      <c r="L2620" s="209" t="s">
        <v>54</v>
      </c>
      <c r="M2620" s="209"/>
      <c r="N2620" s="209"/>
      <c r="O2620" s="209"/>
      <c r="P2620" s="210"/>
      <c r="Q2620" s="209"/>
      <c r="R2620" s="212"/>
      <c r="S2620" s="209"/>
      <c r="T2620" s="209"/>
      <c r="U2620" s="209" t="s">
        <v>54</v>
      </c>
      <c r="V2620" s="209"/>
      <c r="W2620" s="209"/>
      <c r="X2620" s="209"/>
      <c r="Y2620" s="209"/>
      <c r="Z2620" s="209"/>
      <c r="AA2620" s="209" t="s">
        <v>54</v>
      </c>
      <c r="AB2620" s="212"/>
      <c r="AC2620" s="212"/>
    </row>
    <row r="2621" spans="1:29" outlineLevel="2" x14ac:dyDescent="0.25">
      <c r="A2621" s="201">
        <v>46018</v>
      </c>
      <c r="D2621" s="198" t="s">
        <v>54</v>
      </c>
      <c r="E2621" s="202">
        <v>1100000</v>
      </c>
      <c r="K2621" s="198" t="s">
        <v>1220</v>
      </c>
      <c r="L2621" s="198" t="s">
        <v>193</v>
      </c>
      <c r="P2621" s="201"/>
      <c r="R2621" s="202">
        <v>1100000</v>
      </c>
      <c r="U2621" s="198" t="s">
        <v>278</v>
      </c>
      <c r="AA2621" s="198" t="s">
        <v>51</v>
      </c>
      <c r="AB2621" s="202">
        <v>1100000</v>
      </c>
      <c r="AC2621" s="202">
        <v>1100000</v>
      </c>
    </row>
    <row r="2622" spans="1:29" outlineLevel="2" x14ac:dyDescent="0.25">
      <c r="A2622" s="201">
        <v>46055</v>
      </c>
      <c r="D2622" s="198" t="s">
        <v>54</v>
      </c>
      <c r="E2622" s="202">
        <v>153160</v>
      </c>
      <c r="K2622" s="198" t="s">
        <v>1220</v>
      </c>
      <c r="L2622" s="198" t="s">
        <v>193</v>
      </c>
      <c r="P2622" s="201"/>
      <c r="R2622" s="202">
        <v>153160</v>
      </c>
      <c r="U2622" s="198" t="s">
        <v>278</v>
      </c>
      <c r="AA2622" s="198" t="s">
        <v>51</v>
      </c>
      <c r="AB2622" s="202">
        <v>153160</v>
      </c>
      <c r="AC2622" s="202">
        <v>153160</v>
      </c>
    </row>
    <row r="2623" spans="1:29" outlineLevel="2" x14ac:dyDescent="0.25">
      <c r="A2623" s="201">
        <v>46056</v>
      </c>
      <c r="D2623" s="198" t="s">
        <v>54</v>
      </c>
      <c r="E2623" s="202">
        <v>1928000</v>
      </c>
      <c r="K2623" s="198" t="s">
        <v>1220</v>
      </c>
      <c r="L2623" s="198" t="s">
        <v>193</v>
      </c>
      <c r="P2623" s="201"/>
      <c r="R2623" s="202">
        <v>1928000</v>
      </c>
      <c r="U2623" s="198" t="s">
        <v>278</v>
      </c>
      <c r="AA2623" s="198" t="s">
        <v>51</v>
      </c>
      <c r="AB2623" s="202">
        <v>1928000</v>
      </c>
      <c r="AC2623" s="202">
        <v>1928000</v>
      </c>
    </row>
    <row r="2624" spans="1:29" outlineLevel="2" x14ac:dyDescent="0.25">
      <c r="A2624" s="201">
        <v>46058</v>
      </c>
      <c r="D2624" s="198" t="s">
        <v>54</v>
      </c>
      <c r="E2624" s="202">
        <v>981120</v>
      </c>
      <c r="K2624" s="198" t="s">
        <v>1220</v>
      </c>
      <c r="L2624" s="198" t="s">
        <v>193</v>
      </c>
      <c r="P2624" s="201"/>
      <c r="R2624" s="202">
        <v>981120</v>
      </c>
      <c r="U2624" s="198" t="s">
        <v>278</v>
      </c>
      <c r="AA2624" s="198" t="s">
        <v>51</v>
      </c>
      <c r="AB2624" s="202">
        <v>981120</v>
      </c>
      <c r="AC2624" s="202">
        <v>981120</v>
      </c>
    </row>
    <row r="2625" spans="1:29" outlineLevel="2" x14ac:dyDescent="0.25">
      <c r="A2625" s="201">
        <v>46058</v>
      </c>
      <c r="D2625" s="198" t="s">
        <v>54</v>
      </c>
      <c r="E2625" s="202">
        <v>760008</v>
      </c>
      <c r="K2625" s="198" t="s">
        <v>1220</v>
      </c>
      <c r="L2625" s="198" t="s">
        <v>193</v>
      </c>
      <c r="P2625" s="201"/>
      <c r="R2625" s="202">
        <v>760008</v>
      </c>
      <c r="U2625" s="198" t="s">
        <v>278</v>
      </c>
      <c r="AA2625" s="198" t="s">
        <v>51</v>
      </c>
      <c r="AB2625" s="202">
        <v>760008</v>
      </c>
      <c r="AC2625" s="202">
        <v>760008</v>
      </c>
    </row>
    <row r="2626" spans="1:29" outlineLevel="2" x14ac:dyDescent="0.25">
      <c r="A2626" s="201">
        <v>46078</v>
      </c>
      <c r="D2626" s="198" t="s">
        <v>54</v>
      </c>
      <c r="E2626" s="202">
        <v>1305292</v>
      </c>
      <c r="K2626" s="198" t="s">
        <v>1220</v>
      </c>
      <c r="L2626" s="198" t="s">
        <v>193</v>
      </c>
      <c r="P2626" s="201"/>
      <c r="R2626" s="202">
        <v>1305292</v>
      </c>
      <c r="U2626" s="198" t="s">
        <v>278</v>
      </c>
      <c r="AA2626" s="198" t="s">
        <v>51</v>
      </c>
      <c r="AB2626" s="202">
        <v>1305292</v>
      </c>
      <c r="AC2626" s="202">
        <v>1305292</v>
      </c>
    </row>
    <row r="2627" spans="1:29" outlineLevel="2" x14ac:dyDescent="0.25">
      <c r="A2627" s="201">
        <v>46112</v>
      </c>
      <c r="D2627" s="198" t="s">
        <v>54</v>
      </c>
      <c r="E2627" s="202">
        <v>1397450</v>
      </c>
      <c r="K2627" s="198" t="s">
        <v>1220</v>
      </c>
      <c r="L2627" s="198" t="s">
        <v>193</v>
      </c>
      <c r="P2627" s="201"/>
      <c r="R2627" s="202">
        <v>1397450</v>
      </c>
      <c r="U2627" s="198" t="s">
        <v>278</v>
      </c>
      <c r="AA2627" s="198" t="s">
        <v>51</v>
      </c>
      <c r="AB2627" s="202">
        <v>1397450</v>
      </c>
      <c r="AC2627" s="202">
        <v>1397450</v>
      </c>
    </row>
    <row r="2628" spans="1:29" outlineLevel="2" x14ac:dyDescent="0.25">
      <c r="A2628" s="201">
        <v>46134</v>
      </c>
      <c r="D2628" s="198" t="s">
        <v>54</v>
      </c>
      <c r="E2628" s="202">
        <v>704008</v>
      </c>
      <c r="K2628" s="198" t="s">
        <v>1220</v>
      </c>
      <c r="L2628" s="198" t="s">
        <v>193</v>
      </c>
      <c r="P2628" s="201"/>
      <c r="R2628" s="202">
        <v>704008</v>
      </c>
      <c r="U2628" s="198" t="s">
        <v>278</v>
      </c>
      <c r="AA2628" s="198" t="s">
        <v>51</v>
      </c>
      <c r="AB2628" s="202">
        <v>704008</v>
      </c>
      <c r="AC2628" s="202">
        <v>704008</v>
      </c>
    </row>
    <row r="2629" spans="1:29" outlineLevel="2" x14ac:dyDescent="0.25">
      <c r="A2629" s="201">
        <v>46157</v>
      </c>
      <c r="D2629" s="198" t="s">
        <v>54</v>
      </c>
      <c r="E2629" s="202">
        <v>1025000</v>
      </c>
      <c r="K2629" s="198" t="s">
        <v>1220</v>
      </c>
      <c r="L2629" s="198" t="s">
        <v>193</v>
      </c>
      <c r="P2629" s="201"/>
      <c r="R2629" s="202">
        <v>1025000</v>
      </c>
      <c r="U2629" s="198" t="s">
        <v>278</v>
      </c>
      <c r="AA2629" s="198" t="s">
        <v>51</v>
      </c>
      <c r="AB2629" s="202">
        <v>1025000</v>
      </c>
      <c r="AC2629" s="202">
        <v>1025000</v>
      </c>
    </row>
    <row r="2630" spans="1:29" outlineLevel="2" x14ac:dyDescent="0.25">
      <c r="A2630" s="201">
        <v>46161</v>
      </c>
      <c r="D2630" s="198" t="s">
        <v>54</v>
      </c>
      <c r="E2630" s="202">
        <v>191000</v>
      </c>
      <c r="K2630" s="198" t="s">
        <v>1220</v>
      </c>
      <c r="L2630" s="198" t="s">
        <v>193</v>
      </c>
      <c r="P2630" s="201"/>
      <c r="R2630" s="202">
        <v>191000</v>
      </c>
      <c r="U2630" s="198" t="s">
        <v>278</v>
      </c>
      <c r="AA2630" s="198" t="s">
        <v>51</v>
      </c>
      <c r="AB2630" s="202">
        <v>191000</v>
      </c>
      <c r="AC2630" s="202">
        <v>191000</v>
      </c>
    </row>
    <row r="2631" spans="1:29" outlineLevel="1" x14ac:dyDescent="0.25">
      <c r="A2631" s="210"/>
      <c r="B2631" s="209"/>
      <c r="C2631" s="209"/>
      <c r="D2631" s="209" t="s">
        <v>54</v>
      </c>
      <c r="E2631" s="211">
        <v>9545038</v>
      </c>
      <c r="F2631" s="209"/>
      <c r="G2631" s="209"/>
      <c r="H2631" s="209"/>
      <c r="I2631" s="209"/>
      <c r="J2631" s="209"/>
      <c r="K2631" s="209" t="s">
        <v>54</v>
      </c>
      <c r="L2631" s="209" t="s">
        <v>54</v>
      </c>
      <c r="M2631" s="209"/>
      <c r="N2631" s="209"/>
      <c r="O2631" s="209"/>
      <c r="P2631" s="210"/>
      <c r="Q2631" s="209"/>
      <c r="R2631" s="212"/>
      <c r="S2631" s="209"/>
      <c r="T2631" s="209"/>
      <c r="U2631" s="209" t="s">
        <v>54</v>
      </c>
      <c r="V2631" s="209"/>
      <c r="W2631" s="209"/>
      <c r="X2631" s="209"/>
      <c r="Y2631" s="209"/>
      <c r="Z2631" s="209"/>
      <c r="AA2631" s="209" t="s">
        <v>54</v>
      </c>
      <c r="AB2631" s="212"/>
      <c r="AC2631" s="212"/>
    </row>
    <row r="2632" spans="1:29" outlineLevel="2" x14ac:dyDescent="0.25">
      <c r="A2632" s="201">
        <v>46117</v>
      </c>
      <c r="D2632" s="198" t="s">
        <v>54</v>
      </c>
      <c r="E2632" s="202">
        <v>8900</v>
      </c>
      <c r="K2632" s="198" t="s">
        <v>1221</v>
      </c>
      <c r="L2632" s="198" t="s">
        <v>193</v>
      </c>
      <c r="P2632" s="201"/>
      <c r="R2632" s="202">
        <v>8900</v>
      </c>
      <c r="U2632" s="198" t="s">
        <v>861</v>
      </c>
      <c r="AA2632" s="198" t="s">
        <v>51</v>
      </c>
      <c r="AB2632" s="202">
        <v>8900</v>
      </c>
      <c r="AC2632" s="202">
        <v>8900</v>
      </c>
    </row>
    <row r="2633" spans="1:29" outlineLevel="2" x14ac:dyDescent="0.25">
      <c r="A2633" s="201">
        <v>46118</v>
      </c>
      <c r="D2633" s="198" t="s">
        <v>54</v>
      </c>
      <c r="E2633" s="202">
        <v>15200</v>
      </c>
      <c r="K2633" s="198" t="s">
        <v>1221</v>
      </c>
      <c r="L2633" s="198" t="s">
        <v>193</v>
      </c>
      <c r="P2633" s="201"/>
      <c r="R2633" s="202">
        <v>15200</v>
      </c>
      <c r="U2633" s="198" t="s">
        <v>861</v>
      </c>
      <c r="AA2633" s="198" t="s">
        <v>51</v>
      </c>
      <c r="AB2633" s="202">
        <v>15200</v>
      </c>
      <c r="AC2633" s="202">
        <v>15200</v>
      </c>
    </row>
    <row r="2634" spans="1:29" outlineLevel="2" x14ac:dyDescent="0.25">
      <c r="A2634" s="201">
        <v>46118</v>
      </c>
      <c r="D2634" s="198" t="s">
        <v>54</v>
      </c>
      <c r="E2634" s="202">
        <v>15200</v>
      </c>
      <c r="K2634" s="198" t="s">
        <v>1221</v>
      </c>
      <c r="L2634" s="198" t="s">
        <v>193</v>
      </c>
      <c r="P2634" s="201"/>
      <c r="R2634" s="202">
        <v>15200</v>
      </c>
      <c r="U2634" s="198" t="s">
        <v>861</v>
      </c>
      <c r="AA2634" s="198" t="s">
        <v>51</v>
      </c>
      <c r="AB2634" s="202">
        <v>15200</v>
      </c>
      <c r="AC2634" s="202">
        <v>15200</v>
      </c>
    </row>
    <row r="2635" spans="1:29" outlineLevel="2" x14ac:dyDescent="0.25">
      <c r="A2635" s="201">
        <v>46150</v>
      </c>
      <c r="D2635" s="198" t="s">
        <v>54</v>
      </c>
      <c r="E2635" s="202">
        <v>12900</v>
      </c>
      <c r="K2635" s="198" t="s">
        <v>1221</v>
      </c>
      <c r="L2635" s="198" t="s">
        <v>193</v>
      </c>
      <c r="P2635" s="201"/>
      <c r="R2635" s="202">
        <v>12900</v>
      </c>
      <c r="U2635" s="198" t="s">
        <v>861</v>
      </c>
      <c r="AA2635" s="198" t="s">
        <v>51</v>
      </c>
      <c r="AB2635" s="202">
        <v>12900</v>
      </c>
      <c r="AC2635" s="202">
        <v>12900</v>
      </c>
    </row>
    <row r="2636" spans="1:29" outlineLevel="1" x14ac:dyDescent="0.25">
      <c r="A2636" s="210"/>
      <c r="B2636" s="209"/>
      <c r="C2636" s="209"/>
      <c r="D2636" s="209" t="s">
        <v>54</v>
      </c>
      <c r="E2636" s="211">
        <v>52200</v>
      </c>
      <c r="F2636" s="209"/>
      <c r="G2636" s="209"/>
      <c r="H2636" s="209"/>
      <c r="I2636" s="209"/>
      <c r="J2636" s="209"/>
      <c r="K2636" s="209" t="s">
        <v>54</v>
      </c>
      <c r="L2636" s="209" t="s">
        <v>54</v>
      </c>
      <c r="M2636" s="209"/>
      <c r="N2636" s="209"/>
      <c r="O2636" s="209"/>
      <c r="P2636" s="210"/>
      <c r="Q2636" s="209"/>
      <c r="R2636" s="212"/>
      <c r="S2636" s="209"/>
      <c r="T2636" s="209"/>
      <c r="U2636" s="209" t="s">
        <v>54</v>
      </c>
      <c r="V2636" s="209"/>
      <c r="W2636" s="209"/>
      <c r="X2636" s="209"/>
      <c r="Y2636" s="209"/>
      <c r="Z2636" s="209"/>
      <c r="AA2636" s="209" t="s">
        <v>54</v>
      </c>
      <c r="AB2636" s="212"/>
      <c r="AC2636" s="212"/>
    </row>
    <row r="2637" spans="1:29" outlineLevel="2" x14ac:dyDescent="0.25">
      <c r="A2637" s="201">
        <v>46031</v>
      </c>
      <c r="D2637" s="198" t="s">
        <v>54</v>
      </c>
      <c r="E2637" s="202">
        <v>2124000</v>
      </c>
      <c r="K2637" s="198" t="s">
        <v>1223</v>
      </c>
      <c r="L2637" s="198" t="s">
        <v>193</v>
      </c>
      <c r="P2637" s="201"/>
      <c r="R2637" s="202">
        <v>2124000</v>
      </c>
      <c r="U2637" s="198" t="s">
        <v>1222</v>
      </c>
      <c r="AA2637" s="198" t="s">
        <v>51</v>
      </c>
      <c r="AB2637" s="202">
        <v>2124000</v>
      </c>
      <c r="AC2637" s="202">
        <v>2124000</v>
      </c>
    </row>
    <row r="2638" spans="1:29" outlineLevel="1" x14ac:dyDescent="0.25">
      <c r="A2638" s="210"/>
      <c r="B2638" s="209"/>
      <c r="C2638" s="209"/>
      <c r="D2638" s="209" t="s">
        <v>54</v>
      </c>
      <c r="E2638" s="211">
        <v>2124000</v>
      </c>
      <c r="F2638" s="209"/>
      <c r="G2638" s="209"/>
      <c r="H2638" s="209"/>
      <c r="I2638" s="209"/>
      <c r="J2638" s="209"/>
      <c r="K2638" s="209" t="s">
        <v>54</v>
      </c>
      <c r="L2638" s="209" t="s">
        <v>54</v>
      </c>
      <c r="M2638" s="209"/>
      <c r="N2638" s="209"/>
      <c r="O2638" s="209"/>
      <c r="P2638" s="210"/>
      <c r="Q2638" s="209"/>
      <c r="R2638" s="212"/>
      <c r="S2638" s="209"/>
      <c r="T2638" s="209"/>
      <c r="U2638" s="209" t="s">
        <v>54</v>
      </c>
      <c r="V2638" s="209"/>
      <c r="W2638" s="209"/>
      <c r="X2638" s="209"/>
      <c r="Y2638" s="209"/>
      <c r="Z2638" s="209"/>
      <c r="AA2638" s="209" t="s">
        <v>54</v>
      </c>
      <c r="AB2638" s="212"/>
      <c r="AC2638" s="212"/>
    </row>
    <row r="2639" spans="1:29" outlineLevel="2" x14ac:dyDescent="0.25">
      <c r="A2639" s="201">
        <v>46031</v>
      </c>
      <c r="D2639" s="198" t="s">
        <v>54</v>
      </c>
      <c r="E2639" s="202">
        <v>2124000</v>
      </c>
      <c r="K2639" s="198" t="s">
        <v>1224</v>
      </c>
      <c r="L2639" s="198" t="s">
        <v>193</v>
      </c>
      <c r="P2639" s="201"/>
      <c r="R2639" s="202">
        <v>2124000</v>
      </c>
      <c r="U2639" s="198" t="s">
        <v>788</v>
      </c>
      <c r="AA2639" s="198" t="s">
        <v>51</v>
      </c>
      <c r="AB2639" s="202">
        <v>2124000</v>
      </c>
      <c r="AC2639" s="202">
        <v>2124000</v>
      </c>
    </row>
    <row r="2640" spans="1:29" outlineLevel="1" x14ac:dyDescent="0.25">
      <c r="A2640" s="210"/>
      <c r="B2640" s="209"/>
      <c r="C2640" s="209"/>
      <c r="D2640" s="209" t="s">
        <v>54</v>
      </c>
      <c r="E2640" s="211">
        <v>2124000</v>
      </c>
      <c r="F2640" s="209"/>
      <c r="G2640" s="209"/>
      <c r="H2640" s="209"/>
      <c r="I2640" s="209"/>
      <c r="J2640" s="209"/>
      <c r="K2640" s="209" t="s">
        <v>54</v>
      </c>
      <c r="L2640" s="209" t="s">
        <v>54</v>
      </c>
      <c r="M2640" s="209"/>
      <c r="N2640" s="209"/>
      <c r="O2640" s="209"/>
      <c r="P2640" s="210"/>
      <c r="Q2640" s="209"/>
      <c r="R2640" s="212"/>
      <c r="S2640" s="209"/>
      <c r="T2640" s="209"/>
      <c r="U2640" s="209" t="s">
        <v>54</v>
      </c>
      <c r="V2640" s="209"/>
      <c r="W2640" s="209"/>
      <c r="X2640" s="209"/>
      <c r="Y2640" s="209"/>
      <c r="Z2640" s="209"/>
      <c r="AA2640" s="209" t="s">
        <v>54</v>
      </c>
      <c r="AB2640" s="212"/>
      <c r="AC2640" s="212"/>
    </row>
    <row r="2641" spans="1:29" outlineLevel="2" x14ac:dyDescent="0.25">
      <c r="A2641" s="201">
        <v>46150</v>
      </c>
      <c r="D2641" s="198" t="s">
        <v>54</v>
      </c>
      <c r="E2641" s="202">
        <v>31691</v>
      </c>
      <c r="K2641" s="198" t="s">
        <v>1766</v>
      </c>
      <c r="L2641" s="198" t="s">
        <v>193</v>
      </c>
      <c r="P2641" s="201"/>
      <c r="R2641" s="202">
        <v>31691</v>
      </c>
      <c r="U2641" s="198" t="s">
        <v>1525</v>
      </c>
      <c r="AA2641" s="198" t="s">
        <v>51</v>
      </c>
      <c r="AB2641" s="202">
        <v>31691</v>
      </c>
      <c r="AC2641" s="202">
        <v>31691</v>
      </c>
    </row>
    <row r="2642" spans="1:29" outlineLevel="2" x14ac:dyDescent="0.25">
      <c r="A2642" s="201">
        <v>46150</v>
      </c>
      <c r="D2642" s="198" t="s">
        <v>54</v>
      </c>
      <c r="E2642" s="202">
        <v>31791.02</v>
      </c>
      <c r="K2642" s="198" t="s">
        <v>1766</v>
      </c>
      <c r="L2642" s="198" t="s">
        <v>193</v>
      </c>
      <c r="P2642" s="201"/>
      <c r="R2642" s="202">
        <v>31791.02</v>
      </c>
      <c r="U2642" s="198" t="s">
        <v>1525</v>
      </c>
      <c r="AA2642" s="198" t="s">
        <v>51</v>
      </c>
      <c r="AB2642" s="202">
        <v>31791.02</v>
      </c>
      <c r="AC2642" s="202">
        <v>31791.02</v>
      </c>
    </row>
    <row r="2643" spans="1:29" outlineLevel="1" x14ac:dyDescent="0.25">
      <c r="A2643" s="210"/>
      <c r="B2643" s="209"/>
      <c r="C2643" s="209"/>
      <c r="D2643" s="209" t="s">
        <v>54</v>
      </c>
      <c r="E2643" s="211">
        <v>63482.02</v>
      </c>
      <c r="F2643" s="209"/>
      <c r="G2643" s="209"/>
      <c r="H2643" s="209"/>
      <c r="I2643" s="209"/>
      <c r="J2643" s="209"/>
      <c r="K2643" s="209" t="s">
        <v>54</v>
      </c>
      <c r="L2643" s="209" t="s">
        <v>54</v>
      </c>
      <c r="M2643" s="209"/>
      <c r="N2643" s="209"/>
      <c r="O2643" s="209"/>
      <c r="P2643" s="210"/>
      <c r="Q2643" s="209"/>
      <c r="R2643" s="212"/>
      <c r="S2643" s="209"/>
      <c r="T2643" s="209"/>
      <c r="U2643" s="209" t="s">
        <v>54</v>
      </c>
      <c r="V2643" s="209"/>
      <c r="W2643" s="209"/>
      <c r="X2643" s="209"/>
      <c r="Y2643" s="209"/>
      <c r="Z2643" s="209"/>
      <c r="AA2643" s="209" t="s">
        <v>54</v>
      </c>
      <c r="AB2643" s="212"/>
      <c r="AC2643" s="212"/>
    </row>
    <row r="2644" spans="1:29" outlineLevel="2" x14ac:dyDescent="0.25">
      <c r="A2644" s="201">
        <v>46062</v>
      </c>
      <c r="D2644" s="198" t="s">
        <v>54</v>
      </c>
      <c r="E2644" s="202">
        <v>60264</v>
      </c>
      <c r="K2644" s="198" t="s">
        <v>1226</v>
      </c>
      <c r="L2644" s="198" t="s">
        <v>193</v>
      </c>
      <c r="P2644" s="201"/>
      <c r="R2644" s="202">
        <v>60264</v>
      </c>
      <c r="U2644" s="198" t="s">
        <v>1225</v>
      </c>
      <c r="AA2644" s="198" t="s">
        <v>51</v>
      </c>
      <c r="AB2644" s="202">
        <v>60264</v>
      </c>
      <c r="AC2644" s="202">
        <v>60264</v>
      </c>
    </row>
    <row r="2645" spans="1:29" outlineLevel="2" x14ac:dyDescent="0.25">
      <c r="A2645" s="201">
        <v>46117</v>
      </c>
      <c r="D2645" s="198" t="s">
        <v>54</v>
      </c>
      <c r="E2645" s="202">
        <v>61104.06</v>
      </c>
      <c r="K2645" s="198" t="s">
        <v>1226</v>
      </c>
      <c r="L2645" s="198" t="s">
        <v>193</v>
      </c>
      <c r="P2645" s="201"/>
      <c r="R2645" s="202">
        <v>61104.06</v>
      </c>
      <c r="U2645" s="198" t="s">
        <v>1225</v>
      </c>
      <c r="AA2645" s="198" t="s">
        <v>51</v>
      </c>
      <c r="AB2645" s="202">
        <v>61104.06</v>
      </c>
      <c r="AC2645" s="202">
        <v>61104.06</v>
      </c>
    </row>
    <row r="2646" spans="1:29" outlineLevel="2" x14ac:dyDescent="0.25">
      <c r="A2646" s="201">
        <v>46150</v>
      </c>
      <c r="D2646" s="198" t="s">
        <v>54</v>
      </c>
      <c r="E2646" s="202">
        <v>64398</v>
      </c>
      <c r="K2646" s="198" t="s">
        <v>1226</v>
      </c>
      <c r="L2646" s="198" t="s">
        <v>193</v>
      </c>
      <c r="P2646" s="201"/>
      <c r="R2646" s="202">
        <v>64398</v>
      </c>
      <c r="U2646" s="198" t="s">
        <v>1225</v>
      </c>
      <c r="AA2646" s="198" t="s">
        <v>51</v>
      </c>
      <c r="AB2646" s="202">
        <v>64398</v>
      </c>
      <c r="AC2646" s="202">
        <v>64398</v>
      </c>
    </row>
    <row r="2647" spans="1:29" outlineLevel="1" x14ac:dyDescent="0.25">
      <c r="A2647" s="210"/>
      <c r="B2647" s="209"/>
      <c r="C2647" s="209"/>
      <c r="D2647" s="209" t="s">
        <v>54</v>
      </c>
      <c r="E2647" s="211">
        <v>185766.06</v>
      </c>
      <c r="F2647" s="209"/>
      <c r="G2647" s="209"/>
      <c r="H2647" s="209"/>
      <c r="I2647" s="209"/>
      <c r="J2647" s="209"/>
      <c r="K2647" s="209" t="s">
        <v>54</v>
      </c>
      <c r="L2647" s="209" t="s">
        <v>54</v>
      </c>
      <c r="M2647" s="209"/>
      <c r="N2647" s="209"/>
      <c r="O2647" s="209"/>
      <c r="P2647" s="210"/>
      <c r="Q2647" s="209"/>
      <c r="R2647" s="212"/>
      <c r="S2647" s="209"/>
      <c r="T2647" s="209"/>
      <c r="U2647" s="209" t="s">
        <v>54</v>
      </c>
      <c r="V2647" s="209"/>
      <c r="W2647" s="209"/>
      <c r="X2647" s="209"/>
      <c r="Y2647" s="209"/>
      <c r="Z2647" s="209"/>
      <c r="AA2647" s="209" t="s">
        <v>54</v>
      </c>
      <c r="AB2647" s="212"/>
      <c r="AC2647" s="212"/>
    </row>
    <row r="2648" spans="1:29" outlineLevel="2" x14ac:dyDescent="0.25">
      <c r="A2648" s="201">
        <v>46117</v>
      </c>
      <c r="D2648" s="198" t="s">
        <v>54</v>
      </c>
      <c r="E2648" s="202">
        <v>740.06</v>
      </c>
      <c r="K2648" s="198" t="s">
        <v>1227</v>
      </c>
      <c r="L2648" s="198" t="s">
        <v>193</v>
      </c>
      <c r="P2648" s="201"/>
      <c r="R2648" s="202">
        <v>740.06</v>
      </c>
      <c r="U2648" s="198" t="s">
        <v>874</v>
      </c>
      <c r="AA2648" s="198" t="s">
        <v>51</v>
      </c>
      <c r="AB2648" s="202">
        <v>740.06</v>
      </c>
      <c r="AC2648" s="202">
        <v>740.06</v>
      </c>
    </row>
    <row r="2649" spans="1:29" outlineLevel="1" x14ac:dyDescent="0.25">
      <c r="A2649" s="210"/>
      <c r="B2649" s="209"/>
      <c r="C2649" s="209"/>
      <c r="D2649" s="209" t="s">
        <v>54</v>
      </c>
      <c r="E2649" s="211">
        <v>740.06</v>
      </c>
      <c r="F2649" s="209"/>
      <c r="G2649" s="209"/>
      <c r="H2649" s="209"/>
      <c r="I2649" s="209"/>
      <c r="J2649" s="209"/>
      <c r="K2649" s="209" t="s">
        <v>54</v>
      </c>
      <c r="L2649" s="209" t="s">
        <v>54</v>
      </c>
      <c r="M2649" s="209"/>
      <c r="N2649" s="209"/>
      <c r="O2649" s="209"/>
      <c r="P2649" s="210"/>
      <c r="Q2649" s="209"/>
      <c r="R2649" s="212"/>
      <c r="S2649" s="209"/>
      <c r="T2649" s="209"/>
      <c r="U2649" s="209" t="s">
        <v>54</v>
      </c>
      <c r="V2649" s="209"/>
      <c r="W2649" s="209"/>
      <c r="X2649" s="209"/>
      <c r="Y2649" s="209"/>
      <c r="Z2649" s="209"/>
      <c r="AA2649" s="209" t="s">
        <v>54</v>
      </c>
      <c r="AB2649" s="212"/>
      <c r="AC2649" s="212"/>
    </row>
    <row r="2650" spans="1:29" outlineLevel="2" x14ac:dyDescent="0.25">
      <c r="A2650" s="201">
        <v>46062</v>
      </c>
      <c r="D2650" s="198" t="s">
        <v>54</v>
      </c>
      <c r="E2650" s="202">
        <v>60264</v>
      </c>
      <c r="K2650" s="198" t="s">
        <v>1228</v>
      </c>
      <c r="L2650" s="198" t="s">
        <v>193</v>
      </c>
      <c r="P2650" s="201"/>
      <c r="R2650" s="202">
        <v>60264</v>
      </c>
      <c r="U2650" s="198" t="s">
        <v>862</v>
      </c>
      <c r="AA2650" s="198" t="s">
        <v>51</v>
      </c>
      <c r="AB2650" s="202">
        <v>60264</v>
      </c>
      <c r="AC2650" s="202">
        <v>60264</v>
      </c>
    </row>
    <row r="2651" spans="1:29" outlineLevel="2" x14ac:dyDescent="0.25">
      <c r="A2651" s="201">
        <v>46117</v>
      </c>
      <c r="D2651" s="198" t="s">
        <v>54</v>
      </c>
      <c r="E2651" s="202">
        <v>60364</v>
      </c>
      <c r="K2651" s="198" t="s">
        <v>1228</v>
      </c>
      <c r="L2651" s="198" t="s">
        <v>193</v>
      </c>
      <c r="P2651" s="201"/>
      <c r="R2651" s="202">
        <v>60364</v>
      </c>
      <c r="U2651" s="198" t="s">
        <v>862</v>
      </c>
      <c r="AA2651" s="198" t="s">
        <v>51</v>
      </c>
      <c r="AB2651" s="202">
        <v>60364</v>
      </c>
      <c r="AC2651" s="202">
        <v>60364</v>
      </c>
    </row>
    <row r="2652" spans="1:29" outlineLevel="2" x14ac:dyDescent="0.25">
      <c r="A2652" s="201">
        <v>46150</v>
      </c>
      <c r="D2652" s="198" t="s">
        <v>54</v>
      </c>
      <c r="E2652" s="202">
        <v>64398</v>
      </c>
      <c r="K2652" s="198" t="s">
        <v>1228</v>
      </c>
      <c r="L2652" s="198" t="s">
        <v>193</v>
      </c>
      <c r="P2652" s="201"/>
      <c r="R2652" s="202">
        <v>64398</v>
      </c>
      <c r="U2652" s="198" t="s">
        <v>862</v>
      </c>
      <c r="AA2652" s="198" t="s">
        <v>51</v>
      </c>
      <c r="AB2652" s="202">
        <v>64398</v>
      </c>
      <c r="AC2652" s="202">
        <v>64398</v>
      </c>
    </row>
    <row r="2653" spans="1:29" outlineLevel="1" x14ac:dyDescent="0.25">
      <c r="A2653" s="210"/>
      <c r="B2653" s="209"/>
      <c r="C2653" s="209"/>
      <c r="D2653" s="209" t="s">
        <v>54</v>
      </c>
      <c r="E2653" s="211">
        <v>185026</v>
      </c>
      <c r="F2653" s="209"/>
      <c r="G2653" s="209"/>
      <c r="H2653" s="209"/>
      <c r="I2653" s="209"/>
      <c r="J2653" s="209"/>
      <c r="K2653" s="209" t="s">
        <v>54</v>
      </c>
      <c r="L2653" s="209" t="s">
        <v>54</v>
      </c>
      <c r="M2653" s="209"/>
      <c r="N2653" s="209"/>
      <c r="O2653" s="209"/>
      <c r="P2653" s="210"/>
      <c r="Q2653" s="209"/>
      <c r="R2653" s="212"/>
      <c r="S2653" s="209"/>
      <c r="T2653" s="209"/>
      <c r="U2653" s="209" t="s">
        <v>54</v>
      </c>
      <c r="V2653" s="209"/>
      <c r="W2653" s="209"/>
      <c r="X2653" s="209"/>
      <c r="Y2653" s="209"/>
      <c r="Z2653" s="209"/>
      <c r="AA2653" s="209" t="s">
        <v>54</v>
      </c>
      <c r="AB2653" s="212"/>
      <c r="AC2653" s="212"/>
    </row>
    <row r="2654" spans="1:29" outlineLevel="2" x14ac:dyDescent="0.25">
      <c r="A2654" s="201">
        <v>46066</v>
      </c>
      <c r="D2654" s="198" t="s">
        <v>54</v>
      </c>
      <c r="E2654" s="202">
        <v>2669491525</v>
      </c>
      <c r="K2654" s="198" t="s">
        <v>1229</v>
      </c>
      <c r="L2654" s="198" t="s">
        <v>193</v>
      </c>
      <c r="P2654" s="201"/>
      <c r="R2654" s="202">
        <v>2669491525</v>
      </c>
      <c r="U2654" s="198" t="s">
        <v>773</v>
      </c>
      <c r="AA2654" s="198" t="s">
        <v>51</v>
      </c>
      <c r="AB2654" s="202">
        <v>2669491525</v>
      </c>
      <c r="AC2654" s="202">
        <v>2669491525</v>
      </c>
    </row>
    <row r="2655" spans="1:29" outlineLevel="1" x14ac:dyDescent="0.25">
      <c r="A2655" s="210"/>
      <c r="B2655" s="209"/>
      <c r="C2655" s="209"/>
      <c r="D2655" s="209" t="s">
        <v>54</v>
      </c>
      <c r="E2655" s="211">
        <v>2669491525</v>
      </c>
      <c r="F2655" s="209"/>
      <c r="G2655" s="209"/>
      <c r="H2655" s="209"/>
      <c r="I2655" s="209"/>
      <c r="J2655" s="209"/>
      <c r="K2655" s="209" t="s">
        <v>54</v>
      </c>
      <c r="L2655" s="209" t="s">
        <v>54</v>
      </c>
      <c r="M2655" s="209"/>
      <c r="N2655" s="209"/>
      <c r="O2655" s="209"/>
      <c r="P2655" s="210"/>
      <c r="Q2655" s="209"/>
      <c r="R2655" s="212"/>
      <c r="S2655" s="209"/>
      <c r="T2655" s="209"/>
      <c r="U2655" s="209" t="s">
        <v>54</v>
      </c>
      <c r="V2655" s="209"/>
      <c r="W2655" s="209"/>
      <c r="X2655" s="209"/>
      <c r="Y2655" s="209"/>
      <c r="Z2655" s="209"/>
      <c r="AA2655" s="209" t="s">
        <v>54</v>
      </c>
      <c r="AB2655" s="212"/>
      <c r="AC2655" s="212"/>
    </row>
    <row r="2656" spans="1:29" outlineLevel="2" x14ac:dyDescent="0.25">
      <c r="A2656" s="201">
        <v>46115</v>
      </c>
      <c r="D2656" s="198" t="s">
        <v>54</v>
      </c>
      <c r="E2656" s="202">
        <v>4081127.9</v>
      </c>
      <c r="K2656" s="198" t="s">
        <v>1230</v>
      </c>
      <c r="L2656" s="198" t="s">
        <v>193</v>
      </c>
      <c r="P2656" s="201"/>
      <c r="R2656" s="202">
        <v>4081127.9</v>
      </c>
      <c r="U2656" s="198" t="s">
        <v>848</v>
      </c>
      <c r="AA2656" s="198" t="s">
        <v>51</v>
      </c>
      <c r="AB2656" s="202">
        <v>4081127.9</v>
      </c>
      <c r="AC2656" s="202">
        <v>4081127.9</v>
      </c>
    </row>
    <row r="2657" spans="1:29" outlineLevel="1" x14ac:dyDescent="0.25">
      <c r="A2657" s="210"/>
      <c r="B2657" s="209"/>
      <c r="C2657" s="209"/>
      <c r="D2657" s="209" t="s">
        <v>54</v>
      </c>
      <c r="E2657" s="211">
        <v>4081127.9</v>
      </c>
      <c r="F2657" s="209"/>
      <c r="G2657" s="209"/>
      <c r="H2657" s="209"/>
      <c r="I2657" s="209"/>
      <c r="J2657" s="209"/>
      <c r="K2657" s="209" t="s">
        <v>54</v>
      </c>
      <c r="L2657" s="209" t="s">
        <v>54</v>
      </c>
      <c r="M2657" s="209"/>
      <c r="N2657" s="209"/>
      <c r="O2657" s="209"/>
      <c r="P2657" s="210"/>
      <c r="Q2657" s="209"/>
      <c r="R2657" s="212"/>
      <c r="S2657" s="209"/>
      <c r="T2657" s="209"/>
      <c r="U2657" s="209" t="s">
        <v>54</v>
      </c>
      <c r="V2657" s="209"/>
      <c r="W2657" s="209"/>
      <c r="X2657" s="209"/>
      <c r="Y2657" s="209"/>
      <c r="Z2657" s="209"/>
      <c r="AA2657" s="209" t="s">
        <v>54</v>
      </c>
      <c r="AB2657" s="212"/>
      <c r="AC2657" s="212"/>
    </row>
    <row r="2658" spans="1:29" outlineLevel="2" x14ac:dyDescent="0.25">
      <c r="A2658" s="201">
        <v>46117</v>
      </c>
      <c r="D2658" s="198" t="s">
        <v>54</v>
      </c>
      <c r="E2658" s="202">
        <v>50425.75</v>
      </c>
      <c r="K2658" s="198" t="s">
        <v>1231</v>
      </c>
      <c r="L2658" s="198" t="s">
        <v>193</v>
      </c>
      <c r="P2658" s="201"/>
      <c r="R2658" s="202">
        <v>50425.75</v>
      </c>
      <c r="U2658" s="198" t="s">
        <v>864</v>
      </c>
      <c r="AA2658" s="198" t="s">
        <v>51</v>
      </c>
      <c r="AB2658" s="202">
        <v>50425.75</v>
      </c>
      <c r="AC2658" s="202">
        <v>50425.75</v>
      </c>
    </row>
    <row r="2659" spans="1:29" outlineLevel="1" x14ac:dyDescent="0.25">
      <c r="A2659" s="210"/>
      <c r="B2659" s="209"/>
      <c r="C2659" s="209"/>
      <c r="D2659" s="209" t="s">
        <v>54</v>
      </c>
      <c r="E2659" s="211">
        <v>50425.75</v>
      </c>
      <c r="F2659" s="209"/>
      <c r="G2659" s="209"/>
      <c r="H2659" s="209"/>
      <c r="I2659" s="209"/>
      <c r="J2659" s="209"/>
      <c r="K2659" s="209" t="s">
        <v>54</v>
      </c>
      <c r="L2659" s="209" t="s">
        <v>54</v>
      </c>
      <c r="M2659" s="209"/>
      <c r="N2659" s="209"/>
      <c r="O2659" s="209"/>
      <c r="P2659" s="210"/>
      <c r="Q2659" s="209"/>
      <c r="R2659" s="212"/>
      <c r="S2659" s="209"/>
      <c r="T2659" s="209"/>
      <c r="U2659" s="209" t="s">
        <v>54</v>
      </c>
      <c r="V2659" s="209"/>
      <c r="W2659" s="209"/>
      <c r="X2659" s="209"/>
      <c r="Y2659" s="209"/>
      <c r="Z2659" s="209"/>
      <c r="AA2659" s="209" t="s">
        <v>54</v>
      </c>
      <c r="AB2659" s="212"/>
      <c r="AC2659" s="212"/>
    </row>
    <row r="2660" spans="1:29" outlineLevel="2" x14ac:dyDescent="0.25">
      <c r="A2660" s="201">
        <v>46118</v>
      </c>
      <c r="D2660" s="198" t="s">
        <v>54</v>
      </c>
      <c r="E2660" s="202">
        <v>3446310</v>
      </c>
      <c r="K2660" s="198" t="s">
        <v>1233</v>
      </c>
      <c r="L2660" s="198" t="s">
        <v>193</v>
      </c>
      <c r="P2660" s="201"/>
      <c r="R2660" s="202">
        <v>3446310</v>
      </c>
      <c r="U2660" s="198" t="s">
        <v>1232</v>
      </c>
      <c r="AA2660" s="198" t="s">
        <v>51</v>
      </c>
      <c r="AB2660" s="202">
        <v>3446310</v>
      </c>
      <c r="AC2660" s="202">
        <v>3446310</v>
      </c>
    </row>
    <row r="2661" spans="1:29" outlineLevel="1" x14ac:dyDescent="0.25">
      <c r="A2661" s="210"/>
      <c r="B2661" s="209"/>
      <c r="C2661" s="209"/>
      <c r="D2661" s="209" t="s">
        <v>54</v>
      </c>
      <c r="E2661" s="211">
        <v>3446310</v>
      </c>
      <c r="F2661" s="209"/>
      <c r="G2661" s="209"/>
      <c r="H2661" s="209"/>
      <c r="I2661" s="209"/>
      <c r="J2661" s="209"/>
      <c r="K2661" s="209" t="s">
        <v>54</v>
      </c>
      <c r="L2661" s="209" t="s">
        <v>54</v>
      </c>
      <c r="M2661" s="209"/>
      <c r="N2661" s="209"/>
      <c r="O2661" s="209"/>
      <c r="P2661" s="210"/>
      <c r="Q2661" s="209"/>
      <c r="R2661" s="212"/>
      <c r="S2661" s="209"/>
      <c r="T2661" s="209"/>
      <c r="U2661" s="209" t="s">
        <v>54</v>
      </c>
      <c r="V2661" s="209"/>
      <c r="W2661" s="209"/>
      <c r="X2661" s="209"/>
      <c r="Y2661" s="209"/>
      <c r="Z2661" s="209"/>
      <c r="AA2661" s="209" t="s">
        <v>54</v>
      </c>
      <c r="AB2661" s="212"/>
      <c r="AC2661" s="212"/>
    </row>
    <row r="2662" spans="1:29" outlineLevel="2" x14ac:dyDescent="0.25">
      <c r="A2662" s="201">
        <v>46174</v>
      </c>
      <c r="D2662" s="198" t="s">
        <v>54</v>
      </c>
      <c r="E2662" s="202">
        <v>128456737.8</v>
      </c>
      <c r="K2662" s="198" t="s">
        <v>2020</v>
      </c>
      <c r="L2662" s="198" t="s">
        <v>193</v>
      </c>
      <c r="P2662" s="201"/>
      <c r="R2662" s="202">
        <v>128456737.8</v>
      </c>
      <c r="U2662" s="198" t="s">
        <v>2019</v>
      </c>
      <c r="AA2662" s="198" t="s">
        <v>51</v>
      </c>
      <c r="AB2662" s="202">
        <v>128456737.8</v>
      </c>
      <c r="AC2662" s="202">
        <v>128456737.8</v>
      </c>
    </row>
    <row r="2663" spans="1:29" outlineLevel="1" x14ac:dyDescent="0.25">
      <c r="A2663" s="210"/>
      <c r="B2663" s="209"/>
      <c r="C2663" s="209"/>
      <c r="D2663" s="209" t="s">
        <v>54</v>
      </c>
      <c r="E2663" s="211">
        <v>128456737.8</v>
      </c>
      <c r="F2663" s="209"/>
      <c r="G2663" s="209"/>
      <c r="H2663" s="209"/>
      <c r="I2663" s="209"/>
      <c r="J2663" s="209"/>
      <c r="K2663" s="209" t="s">
        <v>54</v>
      </c>
      <c r="L2663" s="209" t="s">
        <v>54</v>
      </c>
      <c r="M2663" s="209"/>
      <c r="N2663" s="209"/>
      <c r="O2663" s="209"/>
      <c r="P2663" s="210"/>
      <c r="Q2663" s="209"/>
      <c r="R2663" s="212"/>
      <c r="S2663" s="209"/>
      <c r="T2663" s="209"/>
      <c r="U2663" s="209" t="s">
        <v>54</v>
      </c>
      <c r="V2663" s="209"/>
      <c r="W2663" s="209"/>
      <c r="X2663" s="209"/>
      <c r="Y2663" s="209"/>
      <c r="Z2663" s="209"/>
      <c r="AA2663" s="209" t="s">
        <v>54</v>
      </c>
      <c r="AB2663" s="212"/>
      <c r="AC2663" s="212"/>
    </row>
    <row r="2664" spans="1:29" outlineLevel="2" x14ac:dyDescent="0.25">
      <c r="A2664" s="201">
        <v>46174</v>
      </c>
      <c r="D2664" s="198" t="s">
        <v>54</v>
      </c>
      <c r="E2664" s="202">
        <v>342961033</v>
      </c>
      <c r="K2664" s="198" t="s">
        <v>2022</v>
      </c>
      <c r="L2664" s="198" t="s">
        <v>193</v>
      </c>
      <c r="P2664" s="201"/>
      <c r="R2664" s="202">
        <v>342961033</v>
      </c>
      <c r="U2664" s="198" t="s">
        <v>2021</v>
      </c>
      <c r="AA2664" s="198" t="s">
        <v>51</v>
      </c>
      <c r="AB2664" s="202">
        <v>342961033</v>
      </c>
      <c r="AC2664" s="202">
        <v>342961033</v>
      </c>
    </row>
    <row r="2665" spans="1:29" outlineLevel="1" x14ac:dyDescent="0.25">
      <c r="A2665" s="210"/>
      <c r="B2665" s="209"/>
      <c r="C2665" s="209"/>
      <c r="D2665" s="209" t="s">
        <v>54</v>
      </c>
      <c r="E2665" s="211">
        <v>342961033</v>
      </c>
      <c r="F2665" s="209"/>
      <c r="G2665" s="209"/>
      <c r="H2665" s="209"/>
      <c r="I2665" s="209"/>
      <c r="J2665" s="209"/>
      <c r="K2665" s="209" t="s">
        <v>54</v>
      </c>
      <c r="L2665" s="209" t="s">
        <v>54</v>
      </c>
      <c r="M2665" s="209"/>
      <c r="N2665" s="209"/>
      <c r="O2665" s="209"/>
      <c r="P2665" s="210"/>
      <c r="Q2665" s="209"/>
      <c r="R2665" s="212"/>
      <c r="S2665" s="209"/>
      <c r="T2665" s="209"/>
      <c r="U2665" s="209" t="s">
        <v>54</v>
      </c>
      <c r="V2665" s="209"/>
      <c r="W2665" s="209"/>
      <c r="X2665" s="209"/>
      <c r="Y2665" s="209"/>
      <c r="Z2665" s="209"/>
      <c r="AA2665" s="209" t="s">
        <v>54</v>
      </c>
      <c r="AB2665" s="212"/>
      <c r="AC2665" s="212"/>
    </row>
    <row r="2666" spans="1:29" outlineLevel="2" x14ac:dyDescent="0.25">
      <c r="A2666" s="201">
        <v>46174</v>
      </c>
      <c r="D2666" s="198" t="s">
        <v>54</v>
      </c>
      <c r="E2666" s="202">
        <v>153138698.09999999</v>
      </c>
      <c r="K2666" s="198" t="s">
        <v>2024</v>
      </c>
      <c r="L2666" s="198" t="s">
        <v>193</v>
      </c>
      <c r="P2666" s="201"/>
      <c r="R2666" s="202">
        <v>153138698.09999999</v>
      </c>
      <c r="U2666" s="198" t="s">
        <v>2023</v>
      </c>
      <c r="AA2666" s="198" t="s">
        <v>51</v>
      </c>
      <c r="AB2666" s="202">
        <v>153138698.09999999</v>
      </c>
      <c r="AC2666" s="202">
        <v>153138698.09999999</v>
      </c>
    </row>
    <row r="2667" spans="1:29" outlineLevel="1" x14ac:dyDescent="0.25">
      <c r="A2667" s="210"/>
      <c r="B2667" s="209"/>
      <c r="C2667" s="209"/>
      <c r="D2667" s="209" t="s">
        <v>54</v>
      </c>
      <c r="E2667" s="211">
        <v>153138698.09999999</v>
      </c>
      <c r="F2667" s="209"/>
      <c r="G2667" s="209"/>
      <c r="H2667" s="209"/>
      <c r="I2667" s="209"/>
      <c r="J2667" s="209"/>
      <c r="K2667" s="209" t="s">
        <v>54</v>
      </c>
      <c r="L2667" s="209" t="s">
        <v>54</v>
      </c>
      <c r="M2667" s="209"/>
      <c r="N2667" s="209"/>
      <c r="O2667" s="209"/>
      <c r="P2667" s="210"/>
      <c r="Q2667" s="209"/>
      <c r="R2667" s="212"/>
      <c r="S2667" s="209"/>
      <c r="T2667" s="209"/>
      <c r="U2667" s="209" t="s">
        <v>54</v>
      </c>
      <c r="V2667" s="209"/>
      <c r="W2667" s="209"/>
      <c r="X2667" s="209"/>
      <c r="Y2667" s="209"/>
      <c r="Z2667" s="209"/>
      <c r="AA2667" s="209" t="s">
        <v>54</v>
      </c>
      <c r="AB2667" s="212"/>
      <c r="AC2667" s="212"/>
    </row>
    <row r="2668" spans="1:29" x14ac:dyDescent="0.25">
      <c r="A2668" s="206"/>
      <c r="B2668" s="205"/>
      <c r="C2668" s="205"/>
      <c r="D2668" s="205" t="s">
        <v>54</v>
      </c>
      <c r="E2668" s="207">
        <v>468621932818.25</v>
      </c>
      <c r="F2668" s="205"/>
      <c r="G2668" s="205"/>
      <c r="H2668" s="205"/>
      <c r="I2668" s="205"/>
      <c r="J2668" s="205"/>
      <c r="K2668" s="205" t="s">
        <v>54</v>
      </c>
      <c r="L2668" s="205" t="s">
        <v>54</v>
      </c>
      <c r="M2668" s="205"/>
      <c r="N2668" s="205"/>
      <c r="O2668" s="205"/>
      <c r="P2668" s="206"/>
      <c r="Q2668" s="205"/>
      <c r="R2668" s="208"/>
      <c r="S2668" s="205"/>
      <c r="T2668" s="205"/>
      <c r="U2668" s="205" t="s">
        <v>54</v>
      </c>
      <c r="V2668" s="205"/>
      <c r="W2668" s="205"/>
      <c r="X2668" s="205"/>
      <c r="Y2668" s="205"/>
      <c r="Z2668" s="205"/>
      <c r="AA2668" s="205" t="s">
        <v>54</v>
      </c>
      <c r="AB2668" s="208"/>
      <c r="AC2668" s="208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37C0-79E5-4369-B05F-C717B0F606BC}">
  <dimension ref="A1:AE3609"/>
  <sheetViews>
    <sheetView topLeftCell="F237" workbookViewId="0">
      <selection activeCell="J255" sqref="J255"/>
    </sheetView>
    <sheetView workbookViewId="1"/>
  </sheetViews>
  <sheetFormatPr defaultRowHeight="13.5" x14ac:dyDescent="0.25"/>
  <cols>
    <col min="1" max="1" width="10.88671875" style="198" bestFit="1" customWidth="1"/>
    <col min="2" max="2" width="13.21875" style="198" bestFit="1" customWidth="1"/>
    <col min="3" max="3" width="11.6640625" style="198" bestFit="1" customWidth="1"/>
    <col min="4" max="4" width="16.33203125" style="198" bestFit="1" customWidth="1"/>
    <col min="5" max="5" width="10.88671875" style="198" bestFit="1" customWidth="1"/>
    <col min="6" max="6" width="10.109375" style="198" bestFit="1" customWidth="1"/>
    <col min="7" max="7" width="6.21875" style="198" bestFit="1" customWidth="1"/>
    <col min="8" max="8" width="10.109375" style="198" bestFit="1" customWidth="1"/>
    <col min="9" max="9" width="15.5546875" style="198" bestFit="1" customWidth="1"/>
    <col min="10" max="10" width="6.21875" style="198" bestFit="1" customWidth="1"/>
    <col min="11" max="11" width="13.21875" style="198" bestFit="1" customWidth="1"/>
    <col min="12" max="12" width="13.21875" style="198" customWidth="1"/>
    <col min="13" max="13" width="32.6640625" style="198" bestFit="1" customWidth="1"/>
    <col min="14" max="14" width="16.33203125" style="198" bestFit="1" customWidth="1"/>
    <col min="15" max="15" width="4.6640625" style="198" bestFit="1" customWidth="1"/>
    <col min="16" max="16" width="32.6640625" style="198" bestFit="1" customWidth="1"/>
    <col min="17" max="17" width="29.5546875" style="198" bestFit="1" customWidth="1"/>
    <col min="18" max="18" width="10.88671875" style="198" bestFit="1" customWidth="1"/>
    <col min="19" max="19" width="12.44140625" style="198" bestFit="1" customWidth="1"/>
    <col min="20" max="20" width="10.88671875" style="198" bestFit="1" customWidth="1"/>
    <col min="21" max="21" width="9.33203125" style="198" bestFit="1" customWidth="1"/>
    <col min="22" max="22" width="7.77734375" style="198" bestFit="1" customWidth="1"/>
    <col min="23" max="23" width="9.33203125" style="198" bestFit="1" customWidth="1"/>
    <col min="24" max="24" width="16.33203125" style="198" bestFit="1" customWidth="1"/>
    <col min="25" max="25" width="9.33203125" style="198" bestFit="1" customWidth="1"/>
    <col min="26" max="26" width="32.6640625" style="198" bestFit="1" customWidth="1"/>
    <col min="27" max="27" width="40.44140625" style="198" bestFit="1" customWidth="1"/>
    <col min="28" max="28" width="21" style="198" bestFit="1" customWidth="1"/>
    <col min="29" max="29" width="7.77734375" style="198" bestFit="1" customWidth="1"/>
    <col min="30" max="30" width="38.109375" style="198" bestFit="1" customWidth="1"/>
    <col min="31" max="31" width="5.44140625" style="198" bestFit="1" customWidth="1"/>
    <col min="32" max="16384" width="8.88671875" style="198"/>
  </cols>
  <sheetData>
    <row r="1" spans="1:31" ht="40.5" x14ac:dyDescent="0.25">
      <c r="A1" s="199" t="s">
        <v>0</v>
      </c>
      <c r="B1" s="199" t="s">
        <v>809</v>
      </c>
      <c r="C1" s="199" t="s">
        <v>2</v>
      </c>
      <c r="D1" s="199" t="s">
        <v>8</v>
      </c>
      <c r="E1" s="199" t="s">
        <v>810</v>
      </c>
      <c r="F1" s="199" t="s">
        <v>811</v>
      </c>
      <c r="G1" s="199" t="s">
        <v>31</v>
      </c>
      <c r="H1" s="199" t="s">
        <v>27</v>
      </c>
      <c r="I1" s="199" t="s">
        <v>7</v>
      </c>
      <c r="J1" s="200" t="s">
        <v>32</v>
      </c>
      <c r="K1" s="199" t="s">
        <v>11</v>
      </c>
      <c r="L1" s="199"/>
      <c r="M1" s="199" t="s">
        <v>16</v>
      </c>
      <c r="N1" s="199" t="s">
        <v>815</v>
      </c>
      <c r="O1" s="199" t="s">
        <v>812</v>
      </c>
      <c r="P1" s="199" t="s">
        <v>813</v>
      </c>
      <c r="Q1" s="199" t="s">
        <v>4</v>
      </c>
      <c r="R1" s="199" t="s">
        <v>814</v>
      </c>
      <c r="S1" s="199" t="s">
        <v>816</v>
      </c>
      <c r="T1" s="200" t="s">
        <v>817</v>
      </c>
      <c r="U1" s="199" t="s">
        <v>44</v>
      </c>
      <c r="V1" s="200" t="s">
        <v>818</v>
      </c>
      <c r="W1" s="200" t="s">
        <v>819</v>
      </c>
      <c r="X1" s="199" t="s">
        <v>820</v>
      </c>
      <c r="Y1" s="199" t="s">
        <v>29</v>
      </c>
      <c r="Z1" s="199" t="s">
        <v>30</v>
      </c>
      <c r="AA1" s="199" t="s">
        <v>6</v>
      </c>
      <c r="AB1" s="199" t="s">
        <v>821</v>
      </c>
      <c r="AC1" s="200" t="s">
        <v>822</v>
      </c>
      <c r="AD1" s="199" t="s">
        <v>823</v>
      </c>
      <c r="AE1" s="199" t="s">
        <v>824</v>
      </c>
    </row>
    <row r="2" spans="1:31" x14ac:dyDescent="0.25">
      <c r="C2" s="201"/>
      <c r="E2" s="201"/>
      <c r="F2" s="201"/>
      <c r="I2" s="198" t="s">
        <v>825</v>
      </c>
      <c r="J2" s="198" t="s">
        <v>274</v>
      </c>
      <c r="K2" s="202">
        <f>L2*5100</f>
        <v>5610</v>
      </c>
      <c r="L2" s="202">
        <v>1.1000000000000001</v>
      </c>
      <c r="N2" s="202">
        <v>5100</v>
      </c>
      <c r="S2" s="203"/>
      <c r="W2" s="198" t="s">
        <v>51</v>
      </c>
      <c r="AE2" s="198" t="s">
        <v>1767</v>
      </c>
    </row>
    <row r="3" spans="1:31" x14ac:dyDescent="0.25">
      <c r="C3" s="201"/>
      <c r="E3" s="201"/>
      <c r="F3" s="201"/>
      <c r="I3" s="198" t="s">
        <v>827</v>
      </c>
      <c r="J3" s="198" t="s">
        <v>148</v>
      </c>
      <c r="K3" s="202">
        <f t="shared" ref="K3:K66" si="0">L3*5100</f>
        <v>6120</v>
      </c>
      <c r="L3" s="202">
        <v>1.2</v>
      </c>
      <c r="N3" s="202">
        <v>5100</v>
      </c>
      <c r="S3" s="203"/>
      <c r="W3" s="198" t="s">
        <v>51</v>
      </c>
      <c r="AE3" s="198" t="s">
        <v>828</v>
      </c>
    </row>
    <row r="4" spans="1:31" x14ac:dyDescent="0.25">
      <c r="C4" s="201"/>
      <c r="E4" s="201"/>
      <c r="F4" s="201"/>
      <c r="I4" s="198" t="s">
        <v>827</v>
      </c>
      <c r="J4" s="198" t="s">
        <v>148</v>
      </c>
      <c r="K4" s="202">
        <f t="shared" si="0"/>
        <v>6630</v>
      </c>
      <c r="L4" s="202">
        <v>1.3</v>
      </c>
      <c r="N4" s="202">
        <v>-5100</v>
      </c>
      <c r="S4" s="203"/>
      <c r="W4" s="198" t="s">
        <v>51</v>
      </c>
      <c r="AE4" s="198" t="s">
        <v>828</v>
      </c>
    </row>
    <row r="5" spans="1:31" x14ac:dyDescent="0.25">
      <c r="C5" s="201"/>
      <c r="E5" s="201"/>
      <c r="F5" s="201"/>
      <c r="I5" s="198" t="s">
        <v>684</v>
      </c>
      <c r="J5" s="198" t="s">
        <v>148</v>
      </c>
      <c r="K5" s="202">
        <f t="shared" si="0"/>
        <v>7140</v>
      </c>
      <c r="L5" s="202">
        <v>1.4</v>
      </c>
      <c r="N5" s="202">
        <v>14500</v>
      </c>
      <c r="S5" s="204"/>
      <c r="W5" s="198" t="s">
        <v>51</v>
      </c>
      <c r="AE5" s="198" t="s">
        <v>828</v>
      </c>
    </row>
    <row r="6" spans="1:31" x14ac:dyDescent="0.25">
      <c r="C6" s="201"/>
      <c r="E6" s="201"/>
      <c r="F6" s="201"/>
      <c r="I6" s="198" t="s">
        <v>685</v>
      </c>
      <c r="J6" s="198" t="s">
        <v>153</v>
      </c>
      <c r="K6" s="202">
        <f t="shared" si="0"/>
        <v>7650</v>
      </c>
      <c r="L6" s="202">
        <v>1.5</v>
      </c>
      <c r="N6" s="202">
        <v>14500</v>
      </c>
      <c r="S6" s="204"/>
      <c r="W6" s="198" t="s">
        <v>51</v>
      </c>
      <c r="AE6" s="198" t="s">
        <v>1768</v>
      </c>
    </row>
    <row r="7" spans="1:31" x14ac:dyDescent="0.25">
      <c r="C7" s="201"/>
      <c r="E7" s="201"/>
      <c r="F7" s="201"/>
      <c r="I7" s="198" t="s">
        <v>682</v>
      </c>
      <c r="J7" s="198" t="s">
        <v>143</v>
      </c>
      <c r="K7" s="202">
        <f t="shared" si="0"/>
        <v>8160</v>
      </c>
      <c r="L7" s="202">
        <v>1.6</v>
      </c>
      <c r="N7" s="202">
        <v>14500</v>
      </c>
      <c r="S7" s="204"/>
      <c r="W7" s="198" t="s">
        <v>51</v>
      </c>
      <c r="AE7" s="198" t="s">
        <v>829</v>
      </c>
    </row>
    <row r="8" spans="1:31" x14ac:dyDescent="0.25">
      <c r="C8" s="201"/>
      <c r="E8" s="201"/>
      <c r="F8" s="201"/>
      <c r="I8" s="198" t="s">
        <v>686</v>
      </c>
      <c r="J8" s="198" t="s">
        <v>193</v>
      </c>
      <c r="K8" s="202">
        <f t="shared" si="0"/>
        <v>8670</v>
      </c>
      <c r="L8" s="202">
        <v>1.7</v>
      </c>
      <c r="N8" s="202">
        <v>14500</v>
      </c>
      <c r="S8" s="204"/>
      <c r="W8" s="198" t="s">
        <v>51</v>
      </c>
      <c r="AE8" s="198" t="s">
        <v>830</v>
      </c>
    </row>
    <row r="9" spans="1:31" x14ac:dyDescent="0.25">
      <c r="C9" s="201"/>
      <c r="E9" s="201"/>
      <c r="F9" s="201"/>
      <c r="I9" s="198" t="s">
        <v>679</v>
      </c>
      <c r="J9" s="198" t="s">
        <v>156</v>
      </c>
      <c r="K9" s="202">
        <f t="shared" si="0"/>
        <v>9180</v>
      </c>
      <c r="L9" s="202">
        <v>1.8</v>
      </c>
      <c r="N9" s="202">
        <v>14500</v>
      </c>
      <c r="S9" s="204"/>
      <c r="W9" s="198" t="s">
        <v>51</v>
      </c>
      <c r="AE9" s="198" t="s">
        <v>828</v>
      </c>
    </row>
    <row r="10" spans="1:31" x14ac:dyDescent="0.25">
      <c r="C10" s="201"/>
      <c r="E10" s="201"/>
      <c r="F10" s="201"/>
      <c r="I10" s="198" t="s">
        <v>180</v>
      </c>
      <c r="J10" s="198" t="s">
        <v>65</v>
      </c>
      <c r="K10" s="202">
        <f t="shared" si="0"/>
        <v>9690</v>
      </c>
      <c r="L10" s="202">
        <v>1.9</v>
      </c>
      <c r="N10" s="202">
        <v>520000</v>
      </c>
      <c r="S10" s="204"/>
      <c r="W10" s="198" t="s">
        <v>51</v>
      </c>
      <c r="AE10" s="198" t="s">
        <v>831</v>
      </c>
    </row>
    <row r="11" spans="1:31" x14ac:dyDescent="0.25">
      <c r="C11" s="201"/>
      <c r="E11" s="201"/>
      <c r="F11" s="201"/>
      <c r="I11" s="198" t="s">
        <v>180</v>
      </c>
      <c r="J11" s="198" t="s">
        <v>65</v>
      </c>
      <c r="K11" s="202">
        <f t="shared" si="0"/>
        <v>10200</v>
      </c>
      <c r="L11" s="202">
        <v>2</v>
      </c>
      <c r="N11" s="202">
        <v>520000</v>
      </c>
      <c r="S11" s="204"/>
      <c r="W11" s="198" t="s">
        <v>51</v>
      </c>
      <c r="AE11" s="198" t="s">
        <v>831</v>
      </c>
    </row>
    <row r="12" spans="1:31" x14ac:dyDescent="0.25">
      <c r="C12" s="201"/>
      <c r="E12" s="201"/>
      <c r="F12" s="201"/>
      <c r="I12" s="198" t="s">
        <v>832</v>
      </c>
      <c r="J12" s="198" t="s">
        <v>132</v>
      </c>
      <c r="K12" s="202">
        <f t="shared" si="0"/>
        <v>10710</v>
      </c>
      <c r="L12" s="202">
        <v>2.1</v>
      </c>
      <c r="N12" s="202">
        <v>7124446.0999999996</v>
      </c>
      <c r="S12" s="204"/>
      <c r="W12" s="198" t="s">
        <v>51</v>
      </c>
      <c r="AE12" s="198" t="s">
        <v>833</v>
      </c>
    </row>
    <row r="13" spans="1:31" x14ac:dyDescent="0.25">
      <c r="C13" s="201"/>
      <c r="E13" s="201"/>
      <c r="F13" s="201"/>
      <c r="I13" s="198" t="s">
        <v>832</v>
      </c>
      <c r="J13" s="198" t="s">
        <v>132</v>
      </c>
      <c r="K13" s="202">
        <f t="shared" si="0"/>
        <v>11220</v>
      </c>
      <c r="L13" s="202">
        <v>2.2000000000000002</v>
      </c>
      <c r="N13" s="202">
        <v>7129203.6600000001</v>
      </c>
      <c r="S13" s="204"/>
      <c r="W13" s="198" t="s">
        <v>51</v>
      </c>
      <c r="AE13" s="198" t="s">
        <v>833</v>
      </c>
    </row>
    <row r="14" spans="1:31" x14ac:dyDescent="0.25">
      <c r="C14" s="201"/>
      <c r="E14" s="201"/>
      <c r="F14" s="201"/>
      <c r="I14" s="198" t="s">
        <v>832</v>
      </c>
      <c r="J14" s="198" t="s">
        <v>132</v>
      </c>
      <c r="K14" s="202">
        <f t="shared" si="0"/>
        <v>11730</v>
      </c>
      <c r="L14" s="202">
        <v>2.2999999999999998</v>
      </c>
      <c r="N14" s="202">
        <v>7119688.54</v>
      </c>
      <c r="S14" s="204"/>
      <c r="W14" s="198" t="s">
        <v>51</v>
      </c>
      <c r="AE14" s="198" t="s">
        <v>833</v>
      </c>
    </row>
    <row r="15" spans="1:31" x14ac:dyDescent="0.25">
      <c r="C15" s="201"/>
      <c r="E15" s="201"/>
      <c r="F15" s="201"/>
      <c r="I15" s="198" t="s">
        <v>832</v>
      </c>
      <c r="J15" s="198" t="s">
        <v>132</v>
      </c>
      <c r="K15" s="202">
        <f t="shared" si="0"/>
        <v>12240</v>
      </c>
      <c r="L15" s="202">
        <v>2.4</v>
      </c>
      <c r="N15" s="202">
        <v>7105415.8600000003</v>
      </c>
      <c r="S15" s="204"/>
      <c r="W15" s="198" t="s">
        <v>51</v>
      </c>
      <c r="AE15" s="198" t="s">
        <v>833</v>
      </c>
    </row>
    <row r="16" spans="1:31" x14ac:dyDescent="0.25">
      <c r="C16" s="201"/>
      <c r="E16" s="201"/>
      <c r="F16" s="201"/>
      <c r="I16" s="198" t="s">
        <v>832</v>
      </c>
      <c r="J16" s="198" t="s">
        <v>132</v>
      </c>
      <c r="K16" s="202">
        <f t="shared" si="0"/>
        <v>12750</v>
      </c>
      <c r="L16" s="202">
        <v>2.5</v>
      </c>
      <c r="N16" s="202">
        <v>7105415.8600000003</v>
      </c>
      <c r="S16" s="204"/>
      <c r="W16" s="198" t="s">
        <v>51</v>
      </c>
      <c r="AE16" s="198" t="s">
        <v>833</v>
      </c>
    </row>
    <row r="17" spans="3:31" x14ac:dyDescent="0.25">
      <c r="C17" s="201"/>
      <c r="E17" s="201"/>
      <c r="F17" s="201"/>
      <c r="I17" s="198" t="s">
        <v>832</v>
      </c>
      <c r="J17" s="198" t="s">
        <v>132</v>
      </c>
      <c r="K17" s="202">
        <f t="shared" si="0"/>
        <v>13260</v>
      </c>
      <c r="L17" s="202">
        <v>2.6</v>
      </c>
      <c r="N17" s="202">
        <v>7110173.4199999999</v>
      </c>
      <c r="S17" s="204"/>
      <c r="W17" s="198" t="s">
        <v>51</v>
      </c>
      <c r="AE17" s="198" t="s">
        <v>833</v>
      </c>
    </row>
    <row r="18" spans="3:31" x14ac:dyDescent="0.25">
      <c r="C18" s="201"/>
      <c r="E18" s="201"/>
      <c r="F18" s="201"/>
      <c r="I18" s="198" t="s">
        <v>832</v>
      </c>
      <c r="J18" s="198" t="s">
        <v>132</v>
      </c>
      <c r="K18" s="202">
        <f t="shared" si="0"/>
        <v>13770</v>
      </c>
      <c r="L18" s="202">
        <v>2.7</v>
      </c>
      <c r="N18" s="202">
        <v>7131582.4400000004</v>
      </c>
      <c r="S18" s="204"/>
      <c r="W18" s="198" t="s">
        <v>51</v>
      </c>
      <c r="AE18" s="198" t="s">
        <v>833</v>
      </c>
    </row>
    <row r="19" spans="3:31" x14ac:dyDescent="0.25">
      <c r="C19" s="201"/>
      <c r="E19" s="201"/>
      <c r="F19" s="201"/>
      <c r="I19" s="198" t="s">
        <v>832</v>
      </c>
      <c r="J19" s="198" t="s">
        <v>132</v>
      </c>
      <c r="K19" s="202">
        <f t="shared" si="0"/>
        <v>14280</v>
      </c>
      <c r="L19" s="202">
        <v>2.8</v>
      </c>
      <c r="N19" s="202">
        <v>7129203.6600000001</v>
      </c>
      <c r="S19" s="204"/>
      <c r="W19" s="198" t="s">
        <v>51</v>
      </c>
      <c r="AE19" s="198" t="s">
        <v>833</v>
      </c>
    </row>
    <row r="20" spans="3:31" x14ac:dyDescent="0.25">
      <c r="C20" s="201"/>
      <c r="E20" s="201"/>
      <c r="F20" s="201"/>
      <c r="I20" s="198" t="s">
        <v>832</v>
      </c>
      <c r="J20" s="198" t="s">
        <v>132</v>
      </c>
      <c r="K20" s="202">
        <f t="shared" si="0"/>
        <v>14790</v>
      </c>
      <c r="L20" s="202">
        <v>2.9</v>
      </c>
      <c r="N20" s="202">
        <v>7093521.96</v>
      </c>
      <c r="S20" s="204"/>
      <c r="W20" s="198" t="s">
        <v>51</v>
      </c>
      <c r="AE20" s="198" t="s">
        <v>833</v>
      </c>
    </row>
    <row r="21" spans="3:31" x14ac:dyDescent="0.25">
      <c r="C21" s="201"/>
      <c r="E21" s="201"/>
      <c r="F21" s="201"/>
      <c r="I21" s="198" t="s">
        <v>832</v>
      </c>
      <c r="J21" s="198" t="s">
        <v>132</v>
      </c>
      <c r="K21" s="202">
        <f t="shared" si="0"/>
        <v>15300</v>
      </c>
      <c r="L21" s="202">
        <v>3</v>
      </c>
      <c r="N21" s="202">
        <v>7131582.4400000004</v>
      </c>
      <c r="S21" s="204"/>
      <c r="W21" s="198" t="s">
        <v>51</v>
      </c>
      <c r="AE21" s="198" t="s">
        <v>833</v>
      </c>
    </row>
    <row r="22" spans="3:31" x14ac:dyDescent="0.25">
      <c r="C22" s="201"/>
      <c r="E22" s="201"/>
      <c r="F22" s="201"/>
      <c r="I22" s="198" t="s">
        <v>832</v>
      </c>
      <c r="J22" s="198" t="s">
        <v>132</v>
      </c>
      <c r="K22" s="202">
        <f t="shared" si="0"/>
        <v>15810</v>
      </c>
      <c r="L22" s="202">
        <v>3.1</v>
      </c>
      <c r="N22" s="202">
        <v>7136340</v>
      </c>
      <c r="S22" s="204"/>
      <c r="W22" s="198" t="s">
        <v>51</v>
      </c>
      <c r="AE22" s="198" t="s">
        <v>833</v>
      </c>
    </row>
    <row r="23" spans="3:31" x14ac:dyDescent="0.25">
      <c r="C23" s="201"/>
      <c r="E23" s="201"/>
      <c r="F23" s="201"/>
      <c r="I23" s="198" t="s">
        <v>832</v>
      </c>
      <c r="J23" s="198" t="s">
        <v>132</v>
      </c>
      <c r="K23" s="202">
        <f t="shared" si="0"/>
        <v>16320</v>
      </c>
      <c r="L23" s="202">
        <v>3.2</v>
      </c>
      <c r="N23" s="202">
        <v>7122067.3200000003</v>
      </c>
      <c r="S23" s="204"/>
      <c r="W23" s="198" t="s">
        <v>51</v>
      </c>
      <c r="AE23" s="198" t="s">
        <v>833</v>
      </c>
    </row>
    <row r="24" spans="3:31" x14ac:dyDescent="0.25">
      <c r="C24" s="201"/>
      <c r="E24" s="201"/>
      <c r="F24" s="201"/>
      <c r="I24" s="198" t="s">
        <v>832</v>
      </c>
      <c r="J24" s="198" t="s">
        <v>132</v>
      </c>
      <c r="K24" s="202">
        <f t="shared" si="0"/>
        <v>16830</v>
      </c>
      <c r="L24" s="202">
        <v>3.3</v>
      </c>
      <c r="N24" s="202">
        <v>7117309.7599999998</v>
      </c>
      <c r="S24" s="204"/>
      <c r="W24" s="198" t="s">
        <v>51</v>
      </c>
      <c r="AE24" s="198" t="s">
        <v>833</v>
      </c>
    </row>
    <row r="25" spans="3:31" x14ac:dyDescent="0.25">
      <c r="C25" s="201"/>
      <c r="E25" s="201"/>
      <c r="F25" s="201"/>
      <c r="I25" s="198" t="s">
        <v>832</v>
      </c>
      <c r="J25" s="198" t="s">
        <v>132</v>
      </c>
      <c r="K25" s="202">
        <f t="shared" si="0"/>
        <v>17340</v>
      </c>
      <c r="L25" s="202">
        <v>3.4</v>
      </c>
      <c r="N25" s="202">
        <v>7091143.1799999997</v>
      </c>
      <c r="S25" s="204"/>
      <c r="W25" s="198" t="s">
        <v>51</v>
      </c>
      <c r="AE25" s="198" t="s">
        <v>833</v>
      </c>
    </row>
    <row r="26" spans="3:31" x14ac:dyDescent="0.25">
      <c r="C26" s="201"/>
      <c r="E26" s="201"/>
      <c r="F26" s="201"/>
      <c r="I26" s="198" t="s">
        <v>825</v>
      </c>
      <c r="J26" s="198" t="s">
        <v>274</v>
      </c>
      <c r="K26" s="202">
        <f t="shared" si="0"/>
        <v>17850</v>
      </c>
      <c r="L26" s="202">
        <v>3.5</v>
      </c>
      <c r="N26" s="202">
        <v>5100</v>
      </c>
      <c r="S26" s="203"/>
      <c r="W26" s="198" t="s">
        <v>51</v>
      </c>
      <c r="AE26" s="198" t="s">
        <v>1769</v>
      </c>
    </row>
    <row r="27" spans="3:31" x14ac:dyDescent="0.25">
      <c r="C27" s="201"/>
      <c r="E27" s="201"/>
      <c r="F27" s="201"/>
      <c r="I27" s="198" t="s">
        <v>834</v>
      </c>
      <c r="J27" s="198" t="s">
        <v>156</v>
      </c>
      <c r="K27" s="202">
        <f t="shared" si="0"/>
        <v>18360</v>
      </c>
      <c r="L27" s="202">
        <v>3.6</v>
      </c>
      <c r="N27" s="202">
        <v>5100</v>
      </c>
      <c r="S27" s="203"/>
      <c r="W27" s="198" t="s">
        <v>51</v>
      </c>
      <c r="AE27" s="198" t="s">
        <v>828</v>
      </c>
    </row>
    <row r="28" spans="3:31" x14ac:dyDescent="0.25">
      <c r="C28" s="201"/>
      <c r="E28" s="201"/>
      <c r="F28" s="201"/>
      <c r="I28" s="198" t="s">
        <v>683</v>
      </c>
      <c r="J28" s="198" t="s">
        <v>274</v>
      </c>
      <c r="K28" s="202">
        <f t="shared" si="0"/>
        <v>18870</v>
      </c>
      <c r="L28" s="202">
        <v>3.7</v>
      </c>
      <c r="N28" s="202">
        <v>14500</v>
      </c>
      <c r="S28" s="204"/>
      <c r="W28" s="198" t="s">
        <v>51</v>
      </c>
      <c r="AE28" s="198" t="s">
        <v>1767</v>
      </c>
    </row>
    <row r="29" spans="3:31" x14ac:dyDescent="0.25">
      <c r="C29" s="201"/>
      <c r="E29" s="201"/>
      <c r="F29" s="201"/>
      <c r="I29" s="198" t="s">
        <v>435</v>
      </c>
      <c r="J29" s="198" t="s">
        <v>130</v>
      </c>
      <c r="K29" s="202">
        <f t="shared" si="0"/>
        <v>19380</v>
      </c>
      <c r="L29" s="202">
        <v>3.8</v>
      </c>
      <c r="N29" s="202">
        <v>5375170.3499999996</v>
      </c>
      <c r="S29" s="204"/>
      <c r="W29" s="198" t="s">
        <v>51</v>
      </c>
      <c r="AE29" s="198" t="s">
        <v>833</v>
      </c>
    </row>
    <row r="30" spans="3:31" x14ac:dyDescent="0.25">
      <c r="C30" s="201"/>
      <c r="E30" s="201"/>
      <c r="F30" s="201"/>
      <c r="I30" s="198" t="s">
        <v>435</v>
      </c>
      <c r="J30" s="198" t="s">
        <v>130</v>
      </c>
      <c r="K30" s="202">
        <f t="shared" si="0"/>
        <v>19890</v>
      </c>
      <c r="L30" s="202">
        <v>3.9</v>
      </c>
      <c r="N30" s="202">
        <v>5398880.8499999996</v>
      </c>
      <c r="S30" s="204"/>
      <c r="W30" s="198" t="s">
        <v>51</v>
      </c>
      <c r="AE30" s="198" t="s">
        <v>833</v>
      </c>
    </row>
    <row r="31" spans="3:31" x14ac:dyDescent="0.25">
      <c r="C31" s="201"/>
      <c r="E31" s="201"/>
      <c r="F31" s="201"/>
      <c r="I31" s="198" t="s">
        <v>435</v>
      </c>
      <c r="J31" s="198" t="s">
        <v>130</v>
      </c>
      <c r="K31" s="202">
        <f t="shared" si="0"/>
        <v>20400</v>
      </c>
      <c r="L31" s="202">
        <v>4</v>
      </c>
      <c r="N31" s="202">
        <v>5403622.9500000002</v>
      </c>
      <c r="S31" s="204"/>
      <c r="W31" s="198" t="s">
        <v>51</v>
      </c>
      <c r="AE31" s="198" t="s">
        <v>833</v>
      </c>
    </row>
    <row r="32" spans="3:31" x14ac:dyDescent="0.25">
      <c r="C32" s="201"/>
      <c r="E32" s="201"/>
      <c r="F32" s="201"/>
      <c r="I32" s="198" t="s">
        <v>435</v>
      </c>
      <c r="J32" s="198" t="s">
        <v>130</v>
      </c>
      <c r="K32" s="202">
        <f t="shared" si="0"/>
        <v>20910</v>
      </c>
      <c r="L32" s="202">
        <v>4.0999999999999996</v>
      </c>
      <c r="N32" s="202">
        <v>5413107.1500000004</v>
      </c>
      <c r="S32" s="204"/>
      <c r="W32" s="198" t="s">
        <v>51</v>
      </c>
      <c r="AE32" s="198" t="s">
        <v>833</v>
      </c>
    </row>
    <row r="33" spans="3:31" x14ac:dyDescent="0.25">
      <c r="C33" s="201"/>
      <c r="E33" s="201"/>
      <c r="F33" s="201"/>
      <c r="I33" s="198" t="s">
        <v>435</v>
      </c>
      <c r="J33" s="198" t="s">
        <v>130</v>
      </c>
      <c r="K33" s="202">
        <f t="shared" si="0"/>
        <v>21420</v>
      </c>
      <c r="L33" s="202">
        <v>4.2</v>
      </c>
      <c r="N33" s="202">
        <v>5405994</v>
      </c>
      <c r="S33" s="204"/>
      <c r="W33" s="198" t="s">
        <v>51</v>
      </c>
      <c r="AE33" s="198" t="s">
        <v>833</v>
      </c>
    </row>
    <row r="34" spans="3:31" x14ac:dyDescent="0.25">
      <c r="C34" s="201"/>
      <c r="E34" s="201"/>
      <c r="F34" s="201"/>
      <c r="I34" s="198" t="s">
        <v>435</v>
      </c>
      <c r="J34" s="198" t="s">
        <v>130</v>
      </c>
      <c r="K34" s="202">
        <f t="shared" si="0"/>
        <v>21930</v>
      </c>
      <c r="L34" s="202">
        <v>4.3</v>
      </c>
      <c r="N34" s="202">
        <v>5401251.9000000004</v>
      </c>
      <c r="S34" s="204"/>
      <c r="W34" s="198" t="s">
        <v>51</v>
      </c>
      <c r="AE34" s="198" t="s">
        <v>833</v>
      </c>
    </row>
    <row r="35" spans="3:31" x14ac:dyDescent="0.25">
      <c r="C35" s="201"/>
      <c r="E35" s="201"/>
      <c r="F35" s="201"/>
      <c r="I35" s="198" t="s">
        <v>435</v>
      </c>
      <c r="J35" s="198" t="s">
        <v>130</v>
      </c>
      <c r="K35" s="202">
        <f t="shared" si="0"/>
        <v>22440</v>
      </c>
      <c r="L35" s="202">
        <v>4.4000000000000004</v>
      </c>
      <c r="N35" s="202">
        <v>5413107.1500000004</v>
      </c>
      <c r="S35" s="204"/>
      <c r="W35" s="198" t="s">
        <v>51</v>
      </c>
      <c r="AE35" s="198" t="s">
        <v>833</v>
      </c>
    </row>
    <row r="36" spans="3:31" x14ac:dyDescent="0.25">
      <c r="C36" s="201"/>
      <c r="E36" s="201"/>
      <c r="F36" s="201"/>
      <c r="I36" s="198" t="s">
        <v>435</v>
      </c>
      <c r="J36" s="198" t="s">
        <v>130</v>
      </c>
      <c r="K36" s="202">
        <f t="shared" si="0"/>
        <v>22950</v>
      </c>
      <c r="L36" s="202">
        <v>4.5</v>
      </c>
      <c r="N36" s="202">
        <v>5370428.25</v>
      </c>
      <c r="S36" s="204"/>
      <c r="W36" s="198" t="s">
        <v>51</v>
      </c>
      <c r="AE36" s="198" t="s">
        <v>833</v>
      </c>
    </row>
    <row r="37" spans="3:31" x14ac:dyDescent="0.25">
      <c r="C37" s="201"/>
      <c r="E37" s="201"/>
      <c r="F37" s="201"/>
      <c r="I37" s="198" t="s">
        <v>435</v>
      </c>
      <c r="J37" s="198" t="s">
        <v>130</v>
      </c>
      <c r="K37" s="202">
        <f t="shared" si="0"/>
        <v>23460</v>
      </c>
      <c r="L37" s="202">
        <v>4.5999999999999996</v>
      </c>
      <c r="N37" s="202">
        <v>5415478.2000000002</v>
      </c>
      <c r="S37" s="204"/>
      <c r="W37" s="198" t="s">
        <v>51</v>
      </c>
      <c r="AE37" s="198" t="s">
        <v>833</v>
      </c>
    </row>
    <row r="38" spans="3:31" x14ac:dyDescent="0.25">
      <c r="C38" s="201"/>
      <c r="E38" s="201"/>
      <c r="F38" s="201"/>
      <c r="I38" s="198" t="s">
        <v>435</v>
      </c>
      <c r="J38" s="198" t="s">
        <v>130</v>
      </c>
      <c r="K38" s="202">
        <f t="shared" si="0"/>
        <v>23970</v>
      </c>
      <c r="L38" s="202">
        <v>4.7</v>
      </c>
      <c r="N38" s="202">
        <v>5408365.0499999998</v>
      </c>
      <c r="S38" s="204"/>
      <c r="W38" s="198" t="s">
        <v>51</v>
      </c>
      <c r="AE38" s="198" t="s">
        <v>833</v>
      </c>
    </row>
    <row r="39" spans="3:31" x14ac:dyDescent="0.25">
      <c r="C39" s="201"/>
      <c r="E39" s="201"/>
      <c r="F39" s="201"/>
      <c r="I39" s="198" t="s">
        <v>435</v>
      </c>
      <c r="J39" s="198" t="s">
        <v>130</v>
      </c>
      <c r="K39" s="202">
        <f t="shared" si="0"/>
        <v>24479.999999999949</v>
      </c>
      <c r="L39" s="202">
        <v>4.7999999999999901</v>
      </c>
      <c r="N39" s="202">
        <v>5401251.9000000004</v>
      </c>
      <c r="S39" s="204"/>
      <c r="W39" s="198" t="s">
        <v>51</v>
      </c>
      <c r="AE39" s="198" t="s">
        <v>833</v>
      </c>
    </row>
    <row r="40" spans="3:31" x14ac:dyDescent="0.25">
      <c r="C40" s="201"/>
      <c r="E40" s="201"/>
      <c r="F40" s="201"/>
      <c r="I40" s="198" t="s">
        <v>435</v>
      </c>
      <c r="J40" s="198" t="s">
        <v>130</v>
      </c>
      <c r="K40" s="202">
        <f t="shared" si="0"/>
        <v>24989.999999999949</v>
      </c>
      <c r="L40" s="202">
        <v>4.8999999999999897</v>
      </c>
      <c r="N40" s="202">
        <v>-0.02</v>
      </c>
      <c r="S40" s="204"/>
      <c r="W40" s="198" t="s">
        <v>51</v>
      </c>
      <c r="AE40" s="198" t="s">
        <v>833</v>
      </c>
    </row>
    <row r="41" spans="3:31" x14ac:dyDescent="0.25">
      <c r="C41" s="201"/>
      <c r="E41" s="201"/>
      <c r="F41" s="201"/>
      <c r="I41" s="198" t="s">
        <v>435</v>
      </c>
      <c r="J41" s="198" t="s">
        <v>130</v>
      </c>
      <c r="K41" s="202">
        <f t="shared" si="0"/>
        <v>25500</v>
      </c>
      <c r="L41" s="202">
        <v>5</v>
      </c>
      <c r="N41" s="202">
        <v>-0.02</v>
      </c>
      <c r="S41" s="204"/>
      <c r="W41" s="198" t="s">
        <v>51</v>
      </c>
      <c r="AE41" s="198" t="s">
        <v>833</v>
      </c>
    </row>
    <row r="42" spans="3:31" x14ac:dyDescent="0.25">
      <c r="C42" s="201"/>
      <c r="E42" s="201"/>
      <c r="F42" s="201"/>
      <c r="I42" s="198" t="s">
        <v>435</v>
      </c>
      <c r="J42" s="198" t="s">
        <v>130</v>
      </c>
      <c r="K42" s="202">
        <f t="shared" si="0"/>
        <v>26009.999999999949</v>
      </c>
      <c r="L42" s="202">
        <v>5.0999999999999899</v>
      </c>
      <c r="N42" s="202">
        <v>5387025.5999999996</v>
      </c>
      <c r="S42" s="204"/>
      <c r="W42" s="198" t="s">
        <v>51</v>
      </c>
      <c r="AE42" s="198" t="s">
        <v>833</v>
      </c>
    </row>
    <row r="43" spans="3:31" x14ac:dyDescent="0.25">
      <c r="C43" s="201"/>
      <c r="E43" s="201"/>
      <c r="F43" s="201"/>
      <c r="I43" s="198" t="s">
        <v>435</v>
      </c>
      <c r="J43" s="198" t="s">
        <v>130</v>
      </c>
      <c r="K43" s="202">
        <f t="shared" si="0"/>
        <v>26519.999999999953</v>
      </c>
      <c r="L43" s="202">
        <v>5.1999999999999904</v>
      </c>
      <c r="N43" s="202">
        <v>5389396.6500000004</v>
      </c>
      <c r="S43" s="204"/>
      <c r="W43" s="198" t="s">
        <v>51</v>
      </c>
      <c r="AE43" s="198" t="s">
        <v>833</v>
      </c>
    </row>
    <row r="44" spans="3:31" x14ac:dyDescent="0.25">
      <c r="C44" s="201"/>
      <c r="E44" s="201"/>
      <c r="F44" s="201"/>
      <c r="I44" s="198" t="s">
        <v>832</v>
      </c>
      <c r="J44" s="198" t="s">
        <v>132</v>
      </c>
      <c r="K44" s="202">
        <f t="shared" si="0"/>
        <v>27029.999999999949</v>
      </c>
      <c r="L44" s="202">
        <v>5.2999999999999901</v>
      </c>
      <c r="N44" s="202">
        <v>7136340</v>
      </c>
      <c r="S44" s="204"/>
      <c r="W44" s="198" t="s">
        <v>51</v>
      </c>
      <c r="AE44" s="198" t="s">
        <v>833</v>
      </c>
    </row>
    <row r="45" spans="3:31" x14ac:dyDescent="0.25">
      <c r="C45" s="201"/>
      <c r="E45" s="201"/>
      <c r="F45" s="201"/>
      <c r="I45" s="198" t="s">
        <v>440</v>
      </c>
      <c r="J45" s="198" t="s">
        <v>126</v>
      </c>
      <c r="K45" s="202">
        <f t="shared" si="0"/>
        <v>27539.999999999949</v>
      </c>
      <c r="L45" s="202">
        <v>5.3999999999999897</v>
      </c>
      <c r="N45" s="202">
        <v>16721000</v>
      </c>
      <c r="S45" s="204"/>
      <c r="W45" s="198" t="s">
        <v>51</v>
      </c>
      <c r="AE45" s="198" t="s">
        <v>835</v>
      </c>
    </row>
    <row r="46" spans="3:31" x14ac:dyDescent="0.25">
      <c r="C46" s="201"/>
      <c r="E46" s="201"/>
      <c r="F46" s="201"/>
      <c r="I46" s="198" t="s">
        <v>440</v>
      </c>
      <c r="J46" s="198" t="s">
        <v>126</v>
      </c>
      <c r="K46" s="202">
        <f t="shared" si="0"/>
        <v>28049.999999999949</v>
      </c>
      <c r="L46" s="202">
        <v>5.4999999999999902</v>
      </c>
      <c r="N46" s="202">
        <v>16721000</v>
      </c>
      <c r="S46" s="204"/>
      <c r="W46" s="198" t="s">
        <v>51</v>
      </c>
      <c r="AE46" s="198" t="s">
        <v>835</v>
      </c>
    </row>
    <row r="47" spans="3:31" x14ac:dyDescent="0.25">
      <c r="C47" s="201"/>
      <c r="E47" s="201"/>
      <c r="F47" s="201"/>
      <c r="I47" s="198" t="s">
        <v>435</v>
      </c>
      <c r="J47" s="198" t="s">
        <v>130</v>
      </c>
      <c r="K47" s="202">
        <f t="shared" si="0"/>
        <v>28559.999999999949</v>
      </c>
      <c r="L47" s="202">
        <v>5.5999999999999899</v>
      </c>
      <c r="N47" s="202">
        <v>-0.02</v>
      </c>
      <c r="S47" s="204"/>
      <c r="W47" s="198" t="s">
        <v>51</v>
      </c>
      <c r="AE47" s="198" t="s">
        <v>833</v>
      </c>
    </row>
    <row r="48" spans="3:31" x14ac:dyDescent="0.25">
      <c r="C48" s="201"/>
      <c r="E48" s="201"/>
      <c r="F48" s="201"/>
      <c r="I48" s="198" t="s">
        <v>188</v>
      </c>
      <c r="J48" s="198" t="s">
        <v>65</v>
      </c>
      <c r="K48" s="202">
        <f t="shared" si="0"/>
        <v>29069.999999999953</v>
      </c>
      <c r="L48" s="202">
        <v>5.6999999999999904</v>
      </c>
      <c r="N48" s="202">
        <v>58060.58</v>
      </c>
      <c r="S48" s="203"/>
      <c r="W48" s="198" t="s">
        <v>51</v>
      </c>
      <c r="AE48" s="198" t="s">
        <v>831</v>
      </c>
    </row>
    <row r="49" spans="3:31" x14ac:dyDescent="0.25">
      <c r="C49" s="201"/>
      <c r="E49" s="201"/>
      <c r="F49" s="201"/>
      <c r="I49" s="198" t="s">
        <v>836</v>
      </c>
      <c r="J49" s="198" t="s">
        <v>126</v>
      </c>
      <c r="K49" s="202">
        <f t="shared" si="0"/>
        <v>29579.999999999949</v>
      </c>
      <c r="L49" s="202">
        <v>5.7999999999999901</v>
      </c>
      <c r="N49" s="202">
        <v>2384950.04</v>
      </c>
      <c r="S49" s="204"/>
      <c r="W49" s="198" t="s">
        <v>51</v>
      </c>
      <c r="AE49" s="198" t="s">
        <v>835</v>
      </c>
    </row>
    <row r="50" spans="3:31" x14ac:dyDescent="0.25">
      <c r="C50" s="201"/>
      <c r="E50" s="201"/>
      <c r="F50" s="201"/>
      <c r="I50" s="198" t="s">
        <v>836</v>
      </c>
      <c r="J50" s="198" t="s">
        <v>126</v>
      </c>
      <c r="K50" s="202">
        <f t="shared" si="0"/>
        <v>30089.999999999949</v>
      </c>
      <c r="L50" s="202">
        <v>5.8999999999999897</v>
      </c>
      <c r="N50" s="202">
        <v>2542143.31</v>
      </c>
      <c r="S50" s="204"/>
      <c r="W50" s="198" t="s">
        <v>51</v>
      </c>
      <c r="AE50" s="198" t="s">
        <v>835</v>
      </c>
    </row>
    <row r="51" spans="3:31" x14ac:dyDescent="0.25">
      <c r="C51" s="201"/>
      <c r="E51" s="201"/>
      <c r="F51" s="201"/>
      <c r="I51" s="198" t="s">
        <v>836</v>
      </c>
      <c r="J51" s="198" t="s">
        <v>126</v>
      </c>
      <c r="K51" s="202">
        <f t="shared" si="0"/>
        <v>30599.999999999949</v>
      </c>
      <c r="L51" s="202">
        <v>5.9999999999999902</v>
      </c>
      <c r="N51" s="202">
        <v>6231050</v>
      </c>
      <c r="S51" s="204"/>
      <c r="W51" s="198" t="s">
        <v>51</v>
      </c>
      <c r="AE51" s="198" t="s">
        <v>835</v>
      </c>
    </row>
    <row r="52" spans="3:31" x14ac:dyDescent="0.25">
      <c r="C52" s="201"/>
      <c r="E52" s="201"/>
      <c r="F52" s="201"/>
      <c r="I52" s="198" t="s">
        <v>836</v>
      </c>
      <c r="J52" s="198" t="s">
        <v>126</v>
      </c>
      <c r="K52" s="202">
        <f t="shared" si="0"/>
        <v>31109.999999999949</v>
      </c>
      <c r="L52" s="202">
        <v>6.0999999999999899</v>
      </c>
      <c r="N52" s="202">
        <v>6207775</v>
      </c>
      <c r="S52" s="204"/>
      <c r="W52" s="198" t="s">
        <v>51</v>
      </c>
      <c r="AE52" s="198" t="s">
        <v>835</v>
      </c>
    </row>
    <row r="53" spans="3:31" x14ac:dyDescent="0.25">
      <c r="C53" s="201"/>
      <c r="E53" s="201"/>
      <c r="F53" s="201"/>
      <c r="I53" s="198" t="s">
        <v>836</v>
      </c>
      <c r="J53" s="198" t="s">
        <v>126</v>
      </c>
      <c r="K53" s="202">
        <f t="shared" si="0"/>
        <v>31619.999999999953</v>
      </c>
      <c r="L53" s="202">
        <v>6.1999999999999904</v>
      </c>
      <c r="N53" s="202">
        <v>6251475</v>
      </c>
      <c r="S53" s="204"/>
      <c r="W53" s="198" t="s">
        <v>51</v>
      </c>
      <c r="AE53" s="198" t="s">
        <v>835</v>
      </c>
    </row>
    <row r="54" spans="3:31" x14ac:dyDescent="0.25">
      <c r="C54" s="201"/>
      <c r="E54" s="201"/>
      <c r="F54" s="201"/>
      <c r="I54" s="198" t="s">
        <v>836</v>
      </c>
      <c r="J54" s="198" t="s">
        <v>126</v>
      </c>
      <c r="K54" s="202">
        <f t="shared" si="0"/>
        <v>32129.999999999949</v>
      </c>
      <c r="L54" s="202">
        <v>6.2999999999999901</v>
      </c>
      <c r="N54" s="202">
        <v>1700905.83</v>
      </c>
      <c r="S54" s="204"/>
      <c r="W54" s="198" t="s">
        <v>51</v>
      </c>
      <c r="AE54" s="198" t="s">
        <v>835</v>
      </c>
    </row>
    <row r="55" spans="3:31" x14ac:dyDescent="0.25">
      <c r="C55" s="201"/>
      <c r="E55" s="201"/>
      <c r="F55" s="201"/>
      <c r="I55" s="198" t="s">
        <v>836</v>
      </c>
      <c r="J55" s="198" t="s">
        <v>126</v>
      </c>
      <c r="K55" s="202">
        <f t="shared" si="0"/>
        <v>32639.999999999949</v>
      </c>
      <c r="L55" s="202">
        <v>6.3999999999999897</v>
      </c>
      <c r="N55" s="202">
        <v>326484.90000000002</v>
      </c>
      <c r="S55" s="204"/>
      <c r="W55" s="198" t="s">
        <v>51</v>
      </c>
      <c r="AE55" s="198" t="s">
        <v>835</v>
      </c>
    </row>
    <row r="56" spans="3:31" x14ac:dyDescent="0.25">
      <c r="C56" s="201"/>
      <c r="E56" s="201"/>
      <c r="F56" s="201"/>
      <c r="I56" s="198" t="s">
        <v>836</v>
      </c>
      <c r="J56" s="198" t="s">
        <v>126</v>
      </c>
      <c r="K56" s="202">
        <f t="shared" si="0"/>
        <v>33149.999999999949</v>
      </c>
      <c r="L56" s="202">
        <v>6.4999999999999902</v>
      </c>
      <c r="N56" s="202">
        <v>866402.64</v>
      </c>
      <c r="S56" s="204"/>
      <c r="W56" s="198" t="s">
        <v>51</v>
      </c>
      <c r="AE56" s="198" t="s">
        <v>835</v>
      </c>
    </row>
    <row r="57" spans="3:31" x14ac:dyDescent="0.25">
      <c r="C57" s="201"/>
      <c r="E57" s="201"/>
      <c r="F57" s="201"/>
      <c r="I57" s="198" t="s">
        <v>836</v>
      </c>
      <c r="J57" s="198" t="s">
        <v>126</v>
      </c>
      <c r="K57" s="202">
        <f t="shared" si="0"/>
        <v>33659.999999999949</v>
      </c>
      <c r="L57" s="202">
        <v>6.5999999999999899</v>
      </c>
      <c r="N57" s="202">
        <v>2541307.7200000002</v>
      </c>
      <c r="S57" s="204"/>
      <c r="W57" s="198" t="s">
        <v>51</v>
      </c>
      <c r="AE57" s="198" t="s">
        <v>835</v>
      </c>
    </row>
    <row r="58" spans="3:31" x14ac:dyDescent="0.25">
      <c r="C58" s="201"/>
      <c r="E58" s="201"/>
      <c r="F58" s="201"/>
      <c r="I58" s="198" t="s">
        <v>836</v>
      </c>
      <c r="J58" s="198" t="s">
        <v>126</v>
      </c>
      <c r="K58" s="202">
        <f t="shared" si="0"/>
        <v>34169.999999999949</v>
      </c>
      <c r="L58" s="202">
        <v>6.6999999999999904</v>
      </c>
      <c r="N58" s="202">
        <v>6199225</v>
      </c>
      <c r="S58" s="204"/>
      <c r="W58" s="198" t="s">
        <v>51</v>
      </c>
      <c r="AE58" s="198" t="s">
        <v>835</v>
      </c>
    </row>
    <row r="59" spans="3:31" x14ac:dyDescent="0.25">
      <c r="C59" s="201"/>
      <c r="E59" s="201"/>
      <c r="F59" s="201"/>
      <c r="I59" s="198" t="s">
        <v>836</v>
      </c>
      <c r="J59" s="198" t="s">
        <v>126</v>
      </c>
      <c r="K59" s="202">
        <f t="shared" si="0"/>
        <v>34679.999999999949</v>
      </c>
      <c r="L59" s="202">
        <v>6.7999999999999901</v>
      </c>
      <c r="N59" s="202">
        <v>6244825</v>
      </c>
      <c r="S59" s="204"/>
      <c r="W59" s="198" t="s">
        <v>51</v>
      </c>
      <c r="AE59" s="198" t="s">
        <v>835</v>
      </c>
    </row>
    <row r="60" spans="3:31" x14ac:dyDescent="0.25">
      <c r="C60" s="201"/>
      <c r="E60" s="201"/>
      <c r="F60" s="201"/>
      <c r="I60" s="198" t="s">
        <v>836</v>
      </c>
      <c r="J60" s="198" t="s">
        <v>126</v>
      </c>
      <c r="K60" s="202">
        <f t="shared" si="0"/>
        <v>35189.999999999949</v>
      </c>
      <c r="L60" s="202">
        <v>6.8999999999999897</v>
      </c>
      <c r="N60" s="202">
        <v>6232475</v>
      </c>
      <c r="S60" s="204"/>
      <c r="W60" s="198" t="s">
        <v>51</v>
      </c>
      <c r="AE60" s="198" t="s">
        <v>835</v>
      </c>
    </row>
    <row r="61" spans="3:31" x14ac:dyDescent="0.25">
      <c r="C61" s="201"/>
      <c r="E61" s="201"/>
      <c r="F61" s="201"/>
      <c r="I61" s="198" t="s">
        <v>836</v>
      </c>
      <c r="J61" s="198" t="s">
        <v>126</v>
      </c>
      <c r="K61" s="202">
        <f t="shared" si="0"/>
        <v>35699.999999999949</v>
      </c>
      <c r="L61" s="202">
        <v>6.9999999999999902</v>
      </c>
      <c r="N61" s="202">
        <v>6255750</v>
      </c>
      <c r="S61" s="204"/>
      <c r="W61" s="198" t="s">
        <v>51</v>
      </c>
      <c r="AE61" s="198" t="s">
        <v>835</v>
      </c>
    </row>
    <row r="62" spans="3:31" x14ac:dyDescent="0.25">
      <c r="C62" s="201"/>
      <c r="E62" s="201"/>
      <c r="F62" s="201"/>
      <c r="I62" s="198" t="s">
        <v>836</v>
      </c>
      <c r="J62" s="198" t="s">
        <v>126</v>
      </c>
      <c r="K62" s="202">
        <f t="shared" si="0"/>
        <v>36209.999999999949</v>
      </c>
      <c r="L62" s="202">
        <v>7.0999999999999899</v>
      </c>
      <c r="N62" s="202">
        <v>5049250</v>
      </c>
      <c r="S62" s="204"/>
      <c r="W62" s="198" t="s">
        <v>51</v>
      </c>
      <c r="AE62" s="198" t="s">
        <v>835</v>
      </c>
    </row>
    <row r="63" spans="3:31" x14ac:dyDescent="0.25">
      <c r="C63" s="201"/>
      <c r="E63" s="201"/>
      <c r="F63" s="201"/>
      <c r="I63" s="198" t="s">
        <v>836</v>
      </c>
      <c r="J63" s="198" t="s">
        <v>126</v>
      </c>
      <c r="K63" s="202">
        <f t="shared" si="0"/>
        <v>36719.999999999949</v>
      </c>
      <c r="L63" s="202">
        <v>7.1999999999999904</v>
      </c>
      <c r="N63" s="202">
        <v>1205075</v>
      </c>
      <c r="S63" s="204"/>
      <c r="W63" s="198" t="s">
        <v>51</v>
      </c>
      <c r="AE63" s="198" t="s">
        <v>835</v>
      </c>
    </row>
    <row r="64" spans="3:31" x14ac:dyDescent="0.25">
      <c r="C64" s="201"/>
      <c r="E64" s="201"/>
      <c r="F64" s="201"/>
      <c r="I64" s="198" t="s">
        <v>836</v>
      </c>
      <c r="J64" s="198" t="s">
        <v>126</v>
      </c>
      <c r="K64" s="202">
        <f t="shared" si="0"/>
        <v>37229.999999999949</v>
      </c>
      <c r="L64" s="202">
        <v>7.2999999999999901</v>
      </c>
      <c r="N64" s="202">
        <v>6243875</v>
      </c>
      <c r="S64" s="204"/>
      <c r="W64" s="198" t="s">
        <v>51</v>
      </c>
      <c r="AE64" s="198" t="s">
        <v>835</v>
      </c>
    </row>
    <row r="65" spans="3:31" x14ac:dyDescent="0.25">
      <c r="C65" s="201"/>
      <c r="E65" s="201"/>
      <c r="F65" s="201"/>
      <c r="I65" s="198" t="s">
        <v>836</v>
      </c>
      <c r="J65" s="198" t="s">
        <v>126</v>
      </c>
      <c r="K65" s="202">
        <f t="shared" si="0"/>
        <v>37739.999999999949</v>
      </c>
      <c r="L65" s="202">
        <v>7.3999999999999897</v>
      </c>
      <c r="N65" s="202">
        <v>-6258125</v>
      </c>
      <c r="S65" s="204"/>
      <c r="W65" s="198" t="s">
        <v>51</v>
      </c>
      <c r="AE65" s="198" t="s">
        <v>835</v>
      </c>
    </row>
    <row r="66" spans="3:31" x14ac:dyDescent="0.25">
      <c r="C66" s="201"/>
      <c r="E66" s="201"/>
      <c r="F66" s="201"/>
      <c r="I66" s="198" t="s">
        <v>836</v>
      </c>
      <c r="J66" s="198" t="s">
        <v>126</v>
      </c>
      <c r="K66" s="202">
        <f t="shared" si="0"/>
        <v>38249.999999999949</v>
      </c>
      <c r="L66" s="202">
        <v>7.4999999999999902</v>
      </c>
      <c r="N66" s="202">
        <v>6258125</v>
      </c>
      <c r="S66" s="204"/>
      <c r="W66" s="198" t="s">
        <v>51</v>
      </c>
      <c r="AE66" s="198" t="s">
        <v>835</v>
      </c>
    </row>
    <row r="67" spans="3:31" x14ac:dyDescent="0.25">
      <c r="C67" s="201"/>
      <c r="E67" s="201"/>
      <c r="F67" s="201"/>
      <c r="I67" s="198" t="s">
        <v>836</v>
      </c>
      <c r="J67" s="198" t="s">
        <v>126</v>
      </c>
      <c r="K67" s="202">
        <f t="shared" ref="K67:K130" si="1">L67*5100</f>
        <v>38759.999999999949</v>
      </c>
      <c r="L67" s="202">
        <v>7.5999999999999899</v>
      </c>
      <c r="N67" s="202">
        <v>6243875</v>
      </c>
      <c r="S67" s="204"/>
      <c r="W67" s="198" t="s">
        <v>51</v>
      </c>
      <c r="AE67" s="198" t="s">
        <v>835</v>
      </c>
    </row>
    <row r="68" spans="3:31" x14ac:dyDescent="0.25">
      <c r="C68" s="201"/>
      <c r="E68" s="201"/>
      <c r="F68" s="201"/>
      <c r="I68" s="198" t="s">
        <v>836</v>
      </c>
      <c r="J68" s="198" t="s">
        <v>126</v>
      </c>
      <c r="K68" s="202">
        <f t="shared" si="1"/>
        <v>39269.999999999949</v>
      </c>
      <c r="L68" s="202">
        <v>7.6999999999999904</v>
      </c>
      <c r="N68" s="202">
        <v>-0.28999999999999998</v>
      </c>
      <c r="S68" s="204"/>
      <c r="W68" s="198" t="s">
        <v>51</v>
      </c>
      <c r="AE68" s="198" t="s">
        <v>835</v>
      </c>
    </row>
    <row r="69" spans="3:31" x14ac:dyDescent="0.25">
      <c r="C69" s="201"/>
      <c r="E69" s="201"/>
      <c r="F69" s="201"/>
      <c r="I69" s="198" t="s">
        <v>536</v>
      </c>
      <c r="J69" s="198" t="s">
        <v>126</v>
      </c>
      <c r="K69" s="202">
        <f t="shared" si="1"/>
        <v>39779.999999999949</v>
      </c>
      <c r="L69" s="202">
        <v>7.7999999999999901</v>
      </c>
      <c r="N69" s="202">
        <v>392904</v>
      </c>
      <c r="S69" s="204"/>
      <c r="W69" s="198" t="s">
        <v>51</v>
      </c>
      <c r="AE69" s="198" t="s">
        <v>835</v>
      </c>
    </row>
    <row r="70" spans="3:31" x14ac:dyDescent="0.25">
      <c r="C70" s="201"/>
      <c r="E70" s="201"/>
      <c r="F70" s="201"/>
      <c r="I70" s="198" t="s">
        <v>582</v>
      </c>
      <c r="J70" s="198" t="s">
        <v>132</v>
      </c>
      <c r="K70" s="202">
        <f t="shared" si="1"/>
        <v>40289.999999999949</v>
      </c>
      <c r="L70" s="202">
        <v>7.8999999999999897</v>
      </c>
      <c r="N70" s="202">
        <v>6273325</v>
      </c>
      <c r="S70" s="204"/>
      <c r="W70" s="198" t="s">
        <v>51</v>
      </c>
      <c r="AE70" s="198" t="s">
        <v>833</v>
      </c>
    </row>
    <row r="71" spans="3:31" x14ac:dyDescent="0.25">
      <c r="C71" s="201"/>
      <c r="E71" s="201"/>
      <c r="F71" s="201"/>
      <c r="I71" s="198" t="s">
        <v>582</v>
      </c>
      <c r="J71" s="198" t="s">
        <v>132</v>
      </c>
      <c r="K71" s="202">
        <f t="shared" si="1"/>
        <v>40799.999999999949</v>
      </c>
      <c r="L71" s="202">
        <v>7.9999999999999902</v>
      </c>
      <c r="N71" s="202">
        <v>6271425</v>
      </c>
      <c r="S71" s="204"/>
      <c r="W71" s="198" t="s">
        <v>51</v>
      </c>
      <c r="AE71" s="198" t="s">
        <v>833</v>
      </c>
    </row>
    <row r="72" spans="3:31" x14ac:dyDescent="0.25">
      <c r="C72" s="201"/>
      <c r="E72" s="201"/>
      <c r="F72" s="201"/>
      <c r="I72" s="198" t="s">
        <v>582</v>
      </c>
      <c r="J72" s="198" t="s">
        <v>132</v>
      </c>
      <c r="K72" s="202">
        <f t="shared" si="1"/>
        <v>41309.999999999956</v>
      </c>
      <c r="L72" s="202">
        <v>8.0999999999999908</v>
      </c>
      <c r="N72" s="202">
        <v>6274275</v>
      </c>
      <c r="S72" s="204"/>
      <c r="W72" s="198" t="s">
        <v>51</v>
      </c>
      <c r="AE72" s="198" t="s">
        <v>833</v>
      </c>
    </row>
    <row r="73" spans="3:31" x14ac:dyDescent="0.25">
      <c r="C73" s="201"/>
      <c r="E73" s="201"/>
      <c r="F73" s="201"/>
      <c r="I73" s="198" t="s">
        <v>582</v>
      </c>
      <c r="J73" s="198" t="s">
        <v>132</v>
      </c>
      <c r="K73" s="202">
        <f t="shared" si="1"/>
        <v>41819.999999999949</v>
      </c>
      <c r="L73" s="202">
        <v>8.1999999999999904</v>
      </c>
      <c r="N73" s="202">
        <v>6276650</v>
      </c>
      <c r="S73" s="204"/>
      <c r="W73" s="198" t="s">
        <v>51</v>
      </c>
      <c r="AE73" s="198" t="s">
        <v>833</v>
      </c>
    </row>
    <row r="74" spans="3:31" x14ac:dyDescent="0.25">
      <c r="C74" s="201"/>
      <c r="E74" s="201"/>
      <c r="F74" s="201"/>
      <c r="I74" s="198" t="s">
        <v>582</v>
      </c>
      <c r="J74" s="198" t="s">
        <v>132</v>
      </c>
      <c r="K74" s="202">
        <f t="shared" si="1"/>
        <v>42329.999999999949</v>
      </c>
      <c r="L74" s="202">
        <v>8.2999999999999901</v>
      </c>
      <c r="N74" s="202">
        <v>6275225</v>
      </c>
      <c r="S74" s="204"/>
      <c r="W74" s="198" t="s">
        <v>51</v>
      </c>
      <c r="AE74" s="198" t="s">
        <v>833</v>
      </c>
    </row>
    <row r="75" spans="3:31" x14ac:dyDescent="0.25">
      <c r="C75" s="201"/>
      <c r="E75" s="201"/>
      <c r="F75" s="201"/>
      <c r="I75" s="198" t="s">
        <v>582</v>
      </c>
      <c r="J75" s="198" t="s">
        <v>132</v>
      </c>
      <c r="K75" s="202">
        <f t="shared" si="1"/>
        <v>42839.999999999949</v>
      </c>
      <c r="L75" s="202">
        <v>8.3999999999999897</v>
      </c>
      <c r="N75" s="202">
        <v>6271900</v>
      </c>
      <c r="S75" s="204"/>
      <c r="W75" s="198" t="s">
        <v>51</v>
      </c>
      <c r="AE75" s="198" t="s">
        <v>833</v>
      </c>
    </row>
    <row r="76" spans="3:31" x14ac:dyDescent="0.25">
      <c r="C76" s="201"/>
      <c r="E76" s="201"/>
      <c r="F76" s="201"/>
      <c r="I76" s="198" t="s">
        <v>582</v>
      </c>
      <c r="J76" s="198" t="s">
        <v>132</v>
      </c>
      <c r="K76" s="202">
        <f t="shared" si="1"/>
        <v>43349.999999999949</v>
      </c>
      <c r="L76" s="202">
        <v>8.4999999999999893</v>
      </c>
      <c r="N76" s="202">
        <v>6283775</v>
      </c>
      <c r="S76" s="204"/>
      <c r="W76" s="198" t="s">
        <v>51</v>
      </c>
      <c r="AE76" s="198" t="s">
        <v>833</v>
      </c>
    </row>
    <row r="77" spans="3:31" x14ac:dyDescent="0.25">
      <c r="C77" s="201"/>
      <c r="E77" s="201"/>
      <c r="F77" s="201"/>
      <c r="I77" s="198" t="s">
        <v>836</v>
      </c>
      <c r="J77" s="198" t="s">
        <v>126</v>
      </c>
      <c r="K77" s="202">
        <f t="shared" si="1"/>
        <v>43859.999999999956</v>
      </c>
      <c r="L77" s="202">
        <v>8.5999999999999908</v>
      </c>
      <c r="N77" s="202">
        <v>852603.57</v>
      </c>
      <c r="S77" s="204"/>
      <c r="W77" s="198" t="s">
        <v>51</v>
      </c>
      <c r="AE77" s="198" t="s">
        <v>835</v>
      </c>
    </row>
    <row r="78" spans="3:31" x14ac:dyDescent="0.25">
      <c r="C78" s="201"/>
      <c r="E78" s="201"/>
      <c r="F78" s="201"/>
      <c r="I78" s="198" t="s">
        <v>836</v>
      </c>
      <c r="J78" s="198" t="s">
        <v>126</v>
      </c>
      <c r="K78" s="202">
        <f t="shared" si="1"/>
        <v>44369.999999999949</v>
      </c>
      <c r="L78" s="202">
        <v>8.6999999999999904</v>
      </c>
      <c r="N78" s="202">
        <v>2114432.0099999998</v>
      </c>
      <c r="S78" s="204"/>
      <c r="W78" s="198" t="s">
        <v>51</v>
      </c>
      <c r="AE78" s="198" t="s">
        <v>835</v>
      </c>
    </row>
    <row r="79" spans="3:31" x14ac:dyDescent="0.25">
      <c r="C79" s="201"/>
      <c r="E79" s="201"/>
      <c r="F79" s="201"/>
      <c r="I79" s="198" t="s">
        <v>836</v>
      </c>
      <c r="J79" s="198" t="s">
        <v>126</v>
      </c>
      <c r="K79" s="202">
        <f t="shared" si="1"/>
        <v>44879.999999999949</v>
      </c>
      <c r="L79" s="202">
        <v>8.7999999999999901</v>
      </c>
      <c r="N79" s="202">
        <v>1692626.81</v>
      </c>
      <c r="S79" s="204"/>
      <c r="W79" s="198" t="s">
        <v>51</v>
      </c>
      <c r="AE79" s="198" t="s">
        <v>835</v>
      </c>
    </row>
    <row r="80" spans="3:31" x14ac:dyDescent="0.25">
      <c r="C80" s="201"/>
      <c r="E80" s="201"/>
      <c r="F80" s="201"/>
      <c r="I80" s="198" t="s">
        <v>836</v>
      </c>
      <c r="J80" s="198" t="s">
        <v>126</v>
      </c>
      <c r="K80" s="202">
        <f t="shared" si="1"/>
        <v>45389.999999999949</v>
      </c>
      <c r="L80" s="202">
        <v>8.8999999999999897</v>
      </c>
      <c r="N80" s="202">
        <v>-0.16</v>
      </c>
      <c r="S80" s="204"/>
      <c r="W80" s="198" t="s">
        <v>51</v>
      </c>
      <c r="AE80" s="198" t="s">
        <v>835</v>
      </c>
    </row>
    <row r="81" spans="3:31" x14ac:dyDescent="0.25">
      <c r="C81" s="201"/>
      <c r="E81" s="201"/>
      <c r="F81" s="201"/>
      <c r="I81" s="198" t="s">
        <v>836</v>
      </c>
      <c r="J81" s="198" t="s">
        <v>126</v>
      </c>
      <c r="K81" s="202">
        <f t="shared" si="1"/>
        <v>45899.999999999949</v>
      </c>
      <c r="L81" s="202">
        <v>8.9999999999999893</v>
      </c>
      <c r="N81" s="202">
        <v>0.38</v>
      </c>
      <c r="S81" s="204"/>
      <c r="W81" s="198" t="s">
        <v>51</v>
      </c>
      <c r="AE81" s="198" t="s">
        <v>835</v>
      </c>
    </row>
    <row r="82" spans="3:31" x14ac:dyDescent="0.25">
      <c r="C82" s="201"/>
      <c r="E82" s="201"/>
      <c r="F82" s="201"/>
      <c r="I82" s="198" t="s">
        <v>536</v>
      </c>
      <c r="J82" s="198" t="s">
        <v>126</v>
      </c>
      <c r="K82" s="202">
        <f t="shared" si="1"/>
        <v>46409.999999999956</v>
      </c>
      <c r="L82" s="202">
        <v>9.0999999999999908</v>
      </c>
      <c r="N82" s="202">
        <v>0.01</v>
      </c>
      <c r="S82" s="204"/>
      <c r="W82" s="198" t="s">
        <v>51</v>
      </c>
      <c r="AE82" s="198" t="s">
        <v>835</v>
      </c>
    </row>
    <row r="83" spans="3:31" x14ac:dyDescent="0.25">
      <c r="C83" s="201"/>
      <c r="E83" s="201"/>
      <c r="F83" s="201"/>
      <c r="I83" s="198" t="s">
        <v>77</v>
      </c>
      <c r="J83" s="198" t="s">
        <v>65</v>
      </c>
      <c r="K83" s="202">
        <f t="shared" si="1"/>
        <v>46919.999999999949</v>
      </c>
      <c r="L83" s="202">
        <v>9.1999999999999904</v>
      </c>
      <c r="N83" s="202">
        <v>104992</v>
      </c>
      <c r="S83" s="204"/>
      <c r="W83" s="198" t="s">
        <v>51</v>
      </c>
      <c r="AE83" s="198" t="s">
        <v>831</v>
      </c>
    </row>
    <row r="84" spans="3:31" x14ac:dyDescent="0.25">
      <c r="C84" s="201"/>
      <c r="E84" s="201"/>
      <c r="F84" s="201"/>
      <c r="I84" s="198" t="s">
        <v>582</v>
      </c>
      <c r="J84" s="198" t="s">
        <v>132</v>
      </c>
      <c r="K84" s="202">
        <f t="shared" si="1"/>
        <v>47429.999999999949</v>
      </c>
      <c r="L84" s="202">
        <v>9.2999999999999901</v>
      </c>
      <c r="N84" s="202">
        <v>57950</v>
      </c>
      <c r="S84" s="204"/>
      <c r="W84" s="198" t="s">
        <v>51</v>
      </c>
      <c r="AE84" s="198" t="s">
        <v>833</v>
      </c>
    </row>
    <row r="85" spans="3:31" x14ac:dyDescent="0.25">
      <c r="C85" s="201"/>
      <c r="E85" s="201"/>
      <c r="F85" s="201"/>
      <c r="I85" s="198" t="s">
        <v>582</v>
      </c>
      <c r="J85" s="198" t="s">
        <v>132</v>
      </c>
      <c r="K85" s="202">
        <f t="shared" si="1"/>
        <v>47939.999999999949</v>
      </c>
      <c r="L85" s="202">
        <v>9.3999999999999897</v>
      </c>
      <c r="N85" s="202">
        <v>6213475</v>
      </c>
      <c r="S85" s="204"/>
      <c r="W85" s="198" t="s">
        <v>51</v>
      </c>
      <c r="AE85" s="198" t="s">
        <v>833</v>
      </c>
    </row>
    <row r="86" spans="3:31" x14ac:dyDescent="0.25">
      <c r="C86" s="201"/>
      <c r="E86" s="201"/>
      <c r="F86" s="201"/>
      <c r="I86" s="198" t="s">
        <v>582</v>
      </c>
      <c r="J86" s="198" t="s">
        <v>132</v>
      </c>
      <c r="K86" s="202">
        <f t="shared" si="1"/>
        <v>48449.999999999949</v>
      </c>
      <c r="L86" s="202">
        <v>9.4999999999999893</v>
      </c>
      <c r="N86" s="202">
        <v>6256225</v>
      </c>
      <c r="S86" s="204"/>
      <c r="W86" s="198" t="s">
        <v>51</v>
      </c>
      <c r="AE86" s="198" t="s">
        <v>833</v>
      </c>
    </row>
    <row r="87" spans="3:31" x14ac:dyDescent="0.25">
      <c r="C87" s="201"/>
      <c r="E87" s="201"/>
      <c r="F87" s="201"/>
      <c r="I87" s="198" t="s">
        <v>582</v>
      </c>
      <c r="J87" s="198" t="s">
        <v>132</v>
      </c>
      <c r="K87" s="202">
        <f t="shared" si="1"/>
        <v>48959.999999999956</v>
      </c>
      <c r="L87" s="202">
        <v>9.5999999999999908</v>
      </c>
      <c r="N87" s="202">
        <v>6248625</v>
      </c>
      <c r="S87" s="204"/>
      <c r="W87" s="198" t="s">
        <v>51</v>
      </c>
      <c r="AE87" s="198" t="s">
        <v>833</v>
      </c>
    </row>
    <row r="88" spans="3:31" x14ac:dyDescent="0.25">
      <c r="C88" s="201"/>
      <c r="E88" s="201"/>
      <c r="F88" s="201"/>
      <c r="I88" s="198" t="s">
        <v>582</v>
      </c>
      <c r="J88" s="198" t="s">
        <v>132</v>
      </c>
      <c r="K88" s="202">
        <f t="shared" si="1"/>
        <v>49469.999999999949</v>
      </c>
      <c r="L88" s="202">
        <v>9.6999999999999904</v>
      </c>
      <c r="N88" s="202">
        <v>6256225</v>
      </c>
      <c r="S88" s="204"/>
      <c r="W88" s="198" t="s">
        <v>51</v>
      </c>
      <c r="AE88" s="198" t="s">
        <v>833</v>
      </c>
    </row>
    <row r="89" spans="3:31" x14ac:dyDescent="0.25">
      <c r="C89" s="201"/>
      <c r="E89" s="201"/>
      <c r="F89" s="201"/>
      <c r="I89" s="198" t="s">
        <v>582</v>
      </c>
      <c r="J89" s="198" t="s">
        <v>132</v>
      </c>
      <c r="K89" s="202">
        <f t="shared" si="1"/>
        <v>49979.999999999949</v>
      </c>
      <c r="L89" s="202">
        <v>9.7999999999999901</v>
      </c>
      <c r="N89" s="202">
        <v>6255275</v>
      </c>
      <c r="S89" s="204"/>
      <c r="W89" s="198" t="s">
        <v>51</v>
      </c>
      <c r="AE89" s="198" t="s">
        <v>833</v>
      </c>
    </row>
    <row r="90" spans="3:31" x14ac:dyDescent="0.25">
      <c r="C90" s="201"/>
      <c r="E90" s="201"/>
      <c r="F90" s="201"/>
      <c r="I90" s="198" t="s">
        <v>582</v>
      </c>
      <c r="J90" s="198" t="s">
        <v>132</v>
      </c>
      <c r="K90" s="202">
        <f t="shared" si="1"/>
        <v>50489.999999999949</v>
      </c>
      <c r="L90" s="202">
        <v>9.8999999999999897</v>
      </c>
      <c r="N90" s="202">
        <v>6265250</v>
      </c>
      <c r="S90" s="204"/>
      <c r="W90" s="198" t="s">
        <v>51</v>
      </c>
      <c r="AE90" s="198" t="s">
        <v>833</v>
      </c>
    </row>
    <row r="91" spans="3:31" x14ac:dyDescent="0.25">
      <c r="C91" s="201"/>
      <c r="E91" s="201"/>
      <c r="F91" s="201"/>
      <c r="I91" s="198" t="s">
        <v>582</v>
      </c>
      <c r="J91" s="198" t="s">
        <v>132</v>
      </c>
      <c r="K91" s="202">
        <f t="shared" si="1"/>
        <v>50999.999999999949</v>
      </c>
      <c r="L91" s="202">
        <v>9.9999999999999893</v>
      </c>
      <c r="N91" s="202">
        <v>6260025</v>
      </c>
      <c r="S91" s="204"/>
      <c r="W91" s="198" t="s">
        <v>51</v>
      </c>
      <c r="AE91" s="198" t="s">
        <v>833</v>
      </c>
    </row>
    <row r="92" spans="3:31" x14ac:dyDescent="0.25">
      <c r="C92" s="201"/>
      <c r="E92" s="201"/>
      <c r="F92" s="201"/>
      <c r="I92" s="198" t="s">
        <v>791</v>
      </c>
      <c r="J92" s="198" t="s">
        <v>274</v>
      </c>
      <c r="K92" s="202">
        <f t="shared" si="1"/>
        <v>51510</v>
      </c>
      <c r="L92" s="202">
        <v>10.1</v>
      </c>
      <c r="N92" s="202">
        <v>2400</v>
      </c>
      <c r="S92" s="203"/>
      <c r="W92" s="198" t="s">
        <v>51</v>
      </c>
      <c r="AE92" s="198" t="s">
        <v>1767</v>
      </c>
    </row>
    <row r="93" spans="3:31" x14ac:dyDescent="0.25">
      <c r="C93" s="201"/>
      <c r="E93" s="201"/>
      <c r="F93" s="201"/>
      <c r="I93" s="198" t="s">
        <v>790</v>
      </c>
      <c r="J93" s="198" t="s">
        <v>153</v>
      </c>
      <c r="K93" s="202">
        <f t="shared" si="1"/>
        <v>52020</v>
      </c>
      <c r="L93" s="202">
        <v>10.199999999999999</v>
      </c>
      <c r="N93" s="202">
        <v>2400</v>
      </c>
      <c r="S93" s="203"/>
      <c r="W93" s="198" t="s">
        <v>51</v>
      </c>
      <c r="AE93" s="198" t="s">
        <v>1768</v>
      </c>
    </row>
    <row r="94" spans="3:31" x14ac:dyDescent="0.25">
      <c r="C94" s="201"/>
      <c r="E94" s="201"/>
      <c r="F94" s="201"/>
      <c r="I94" s="198" t="s">
        <v>788</v>
      </c>
      <c r="J94" s="198" t="s">
        <v>193</v>
      </c>
      <c r="K94" s="202">
        <f t="shared" si="1"/>
        <v>52530</v>
      </c>
      <c r="L94" s="202">
        <v>10.3</v>
      </c>
      <c r="N94" s="202">
        <v>2400</v>
      </c>
      <c r="S94" s="203"/>
      <c r="W94" s="198" t="s">
        <v>51</v>
      </c>
      <c r="AE94" s="198" t="s">
        <v>830</v>
      </c>
    </row>
    <row r="95" spans="3:31" x14ac:dyDescent="0.25">
      <c r="C95" s="201"/>
      <c r="E95" s="201"/>
      <c r="F95" s="201"/>
      <c r="I95" s="198" t="s">
        <v>789</v>
      </c>
      <c r="J95" s="198" t="s">
        <v>156</v>
      </c>
      <c r="K95" s="202">
        <f t="shared" si="1"/>
        <v>53040</v>
      </c>
      <c r="L95" s="202">
        <v>10.4</v>
      </c>
      <c r="N95" s="202">
        <v>2400</v>
      </c>
      <c r="S95" s="203"/>
      <c r="W95" s="198" t="s">
        <v>51</v>
      </c>
      <c r="AE95" s="198" t="s">
        <v>828</v>
      </c>
    </row>
    <row r="96" spans="3:31" x14ac:dyDescent="0.25">
      <c r="C96" s="201"/>
      <c r="E96" s="201"/>
      <c r="F96" s="201"/>
      <c r="I96" s="198" t="s">
        <v>792</v>
      </c>
      <c r="J96" s="198" t="s">
        <v>148</v>
      </c>
      <c r="K96" s="202">
        <f t="shared" si="1"/>
        <v>53550</v>
      </c>
      <c r="L96" s="202">
        <v>10.5</v>
      </c>
      <c r="N96" s="202">
        <v>2400</v>
      </c>
      <c r="S96" s="203"/>
      <c r="W96" s="198" t="s">
        <v>51</v>
      </c>
      <c r="AE96" s="198" t="s">
        <v>828</v>
      </c>
    </row>
    <row r="97" spans="3:31" x14ac:dyDescent="0.25">
      <c r="C97" s="201"/>
      <c r="E97" s="201"/>
      <c r="F97" s="201"/>
      <c r="I97" s="198" t="s">
        <v>786</v>
      </c>
      <c r="J97" s="198" t="s">
        <v>143</v>
      </c>
      <c r="K97" s="202">
        <f t="shared" si="1"/>
        <v>54060</v>
      </c>
      <c r="L97" s="202">
        <v>10.6</v>
      </c>
      <c r="N97" s="202">
        <v>2400</v>
      </c>
      <c r="S97" s="203"/>
      <c r="W97" s="198" t="s">
        <v>51</v>
      </c>
      <c r="AE97" s="198" t="s">
        <v>829</v>
      </c>
    </row>
    <row r="98" spans="3:31" x14ac:dyDescent="0.25">
      <c r="C98" s="201"/>
      <c r="E98" s="201"/>
      <c r="F98" s="201"/>
      <c r="I98" s="198" t="s">
        <v>582</v>
      </c>
      <c r="J98" s="198" t="s">
        <v>132</v>
      </c>
      <c r="K98" s="202">
        <f t="shared" si="1"/>
        <v>54570</v>
      </c>
      <c r="L98" s="202">
        <v>10.7</v>
      </c>
      <c r="N98" s="202">
        <v>6260975</v>
      </c>
      <c r="S98" s="204"/>
      <c r="W98" s="198" t="s">
        <v>51</v>
      </c>
      <c r="AE98" s="198" t="s">
        <v>833</v>
      </c>
    </row>
    <row r="99" spans="3:31" x14ac:dyDescent="0.25">
      <c r="C99" s="201"/>
      <c r="E99" s="201"/>
      <c r="F99" s="201"/>
      <c r="I99" s="198" t="s">
        <v>582</v>
      </c>
      <c r="J99" s="198" t="s">
        <v>132</v>
      </c>
      <c r="K99" s="202">
        <f t="shared" si="1"/>
        <v>55080</v>
      </c>
      <c r="L99" s="202">
        <v>10.8</v>
      </c>
      <c r="N99" s="202">
        <v>6250050</v>
      </c>
      <c r="S99" s="204"/>
      <c r="W99" s="198" t="s">
        <v>51</v>
      </c>
      <c r="AE99" s="198" t="s">
        <v>833</v>
      </c>
    </row>
    <row r="100" spans="3:31" x14ac:dyDescent="0.25">
      <c r="C100" s="201"/>
      <c r="E100" s="201"/>
      <c r="F100" s="201"/>
      <c r="I100" s="198" t="s">
        <v>582</v>
      </c>
      <c r="J100" s="198" t="s">
        <v>132</v>
      </c>
      <c r="K100" s="202">
        <f t="shared" si="1"/>
        <v>55590</v>
      </c>
      <c r="L100" s="202">
        <v>10.9</v>
      </c>
      <c r="N100" s="202">
        <v>6289000</v>
      </c>
      <c r="S100" s="204"/>
      <c r="W100" s="198" t="s">
        <v>51</v>
      </c>
      <c r="AE100" s="198" t="s">
        <v>833</v>
      </c>
    </row>
    <row r="101" spans="3:31" x14ac:dyDescent="0.25">
      <c r="C101" s="201"/>
      <c r="E101" s="201"/>
      <c r="F101" s="201"/>
      <c r="I101" s="198" t="s">
        <v>582</v>
      </c>
      <c r="J101" s="198" t="s">
        <v>132</v>
      </c>
      <c r="K101" s="202">
        <f t="shared" si="1"/>
        <v>56100</v>
      </c>
      <c r="L101" s="202">
        <v>11</v>
      </c>
      <c r="N101" s="202">
        <v>6242925</v>
      </c>
      <c r="S101" s="204"/>
      <c r="W101" s="198" t="s">
        <v>51</v>
      </c>
      <c r="AE101" s="198" t="s">
        <v>833</v>
      </c>
    </row>
    <row r="102" spans="3:31" x14ac:dyDescent="0.25">
      <c r="C102" s="201"/>
      <c r="E102" s="201"/>
      <c r="F102" s="201"/>
      <c r="I102" s="198" t="s">
        <v>582</v>
      </c>
      <c r="J102" s="198" t="s">
        <v>132</v>
      </c>
      <c r="K102" s="202">
        <f t="shared" si="1"/>
        <v>56610</v>
      </c>
      <c r="L102" s="202">
        <v>11.1</v>
      </c>
      <c r="N102" s="202">
        <v>6264300</v>
      </c>
      <c r="S102" s="204"/>
      <c r="W102" s="198" t="s">
        <v>51</v>
      </c>
      <c r="AE102" s="198" t="s">
        <v>833</v>
      </c>
    </row>
    <row r="103" spans="3:31" x14ac:dyDescent="0.25">
      <c r="C103" s="201"/>
      <c r="E103" s="201"/>
      <c r="F103" s="201"/>
      <c r="I103" s="198" t="s">
        <v>582</v>
      </c>
      <c r="J103" s="198" t="s">
        <v>132</v>
      </c>
      <c r="K103" s="202">
        <f t="shared" si="1"/>
        <v>57120</v>
      </c>
      <c r="L103" s="202">
        <v>11.2</v>
      </c>
      <c r="N103" s="202">
        <v>6275225</v>
      </c>
      <c r="S103" s="204"/>
      <c r="W103" s="198" t="s">
        <v>51</v>
      </c>
      <c r="AE103" s="198" t="s">
        <v>833</v>
      </c>
    </row>
    <row r="104" spans="3:31" x14ac:dyDescent="0.25">
      <c r="C104" s="201"/>
      <c r="E104" s="201"/>
      <c r="F104" s="201"/>
      <c r="I104" s="198" t="s">
        <v>582</v>
      </c>
      <c r="J104" s="198" t="s">
        <v>132</v>
      </c>
      <c r="K104" s="202">
        <f t="shared" si="1"/>
        <v>57630</v>
      </c>
      <c r="L104" s="202">
        <v>11.3</v>
      </c>
      <c r="N104" s="202">
        <v>6279975</v>
      </c>
      <c r="S104" s="204"/>
      <c r="W104" s="198" t="s">
        <v>51</v>
      </c>
      <c r="AE104" s="198" t="s">
        <v>833</v>
      </c>
    </row>
    <row r="105" spans="3:31" x14ac:dyDescent="0.25">
      <c r="C105" s="201"/>
      <c r="E105" s="201"/>
      <c r="F105" s="201"/>
      <c r="I105" s="198" t="s">
        <v>582</v>
      </c>
      <c r="J105" s="198" t="s">
        <v>132</v>
      </c>
      <c r="K105" s="202">
        <f t="shared" si="1"/>
        <v>58140</v>
      </c>
      <c r="L105" s="202">
        <v>11.4</v>
      </c>
      <c r="N105" s="202">
        <v>5166468.84</v>
      </c>
      <c r="S105" s="204"/>
      <c r="W105" s="198" t="s">
        <v>51</v>
      </c>
      <c r="AE105" s="198" t="s">
        <v>833</v>
      </c>
    </row>
    <row r="106" spans="3:31" x14ac:dyDescent="0.25">
      <c r="C106" s="201"/>
      <c r="E106" s="201"/>
      <c r="F106" s="201"/>
      <c r="I106" s="198" t="s">
        <v>582</v>
      </c>
      <c r="J106" s="198" t="s">
        <v>132</v>
      </c>
      <c r="K106" s="202">
        <f t="shared" si="1"/>
        <v>58650</v>
      </c>
      <c r="L106" s="202">
        <v>11.5</v>
      </c>
      <c r="N106" s="202">
        <v>1118297.95</v>
      </c>
      <c r="S106" s="204"/>
      <c r="W106" s="198" t="s">
        <v>51</v>
      </c>
      <c r="AE106" s="198" t="s">
        <v>833</v>
      </c>
    </row>
    <row r="107" spans="3:31" x14ac:dyDescent="0.25">
      <c r="C107" s="201"/>
      <c r="E107" s="201"/>
      <c r="F107" s="201"/>
      <c r="I107" s="198" t="s">
        <v>836</v>
      </c>
      <c r="J107" s="198" t="s">
        <v>126</v>
      </c>
      <c r="K107" s="202">
        <f t="shared" si="1"/>
        <v>59160</v>
      </c>
      <c r="L107" s="202">
        <v>11.6</v>
      </c>
      <c r="N107" s="202">
        <v>6225825</v>
      </c>
      <c r="S107" s="204"/>
      <c r="W107" s="198" t="s">
        <v>51</v>
      </c>
      <c r="AE107" s="198" t="s">
        <v>835</v>
      </c>
    </row>
    <row r="108" spans="3:31" x14ac:dyDescent="0.25">
      <c r="C108" s="201"/>
      <c r="E108" s="201"/>
      <c r="F108" s="201"/>
      <c r="I108" s="198" t="s">
        <v>577</v>
      </c>
      <c r="J108" s="198" t="s">
        <v>130</v>
      </c>
      <c r="K108" s="202">
        <f t="shared" si="1"/>
        <v>59670</v>
      </c>
      <c r="L108" s="202">
        <v>11.7</v>
      </c>
      <c r="N108" s="202">
        <v>1495177.32</v>
      </c>
      <c r="S108" s="204"/>
      <c r="W108" s="198" t="s">
        <v>51</v>
      </c>
      <c r="AE108" s="198" t="s">
        <v>833</v>
      </c>
    </row>
    <row r="109" spans="3:31" x14ac:dyDescent="0.25">
      <c r="C109" s="201"/>
      <c r="E109" s="201"/>
      <c r="F109" s="201"/>
      <c r="I109" s="198" t="s">
        <v>577</v>
      </c>
      <c r="J109" s="198" t="s">
        <v>130</v>
      </c>
      <c r="K109" s="202">
        <f t="shared" si="1"/>
        <v>60180</v>
      </c>
      <c r="L109" s="202">
        <v>11.8</v>
      </c>
      <c r="N109" s="202">
        <v>1960035.21</v>
      </c>
      <c r="S109" s="204"/>
      <c r="W109" s="198" t="s">
        <v>51</v>
      </c>
      <c r="AE109" s="198" t="s">
        <v>833</v>
      </c>
    </row>
    <row r="110" spans="3:31" x14ac:dyDescent="0.25">
      <c r="C110" s="201"/>
      <c r="E110" s="201"/>
      <c r="F110" s="201"/>
      <c r="I110" s="198" t="s">
        <v>577</v>
      </c>
      <c r="J110" s="198" t="s">
        <v>130</v>
      </c>
      <c r="K110" s="202">
        <f t="shared" si="1"/>
        <v>60690</v>
      </c>
      <c r="L110" s="202">
        <v>11.9</v>
      </c>
      <c r="N110" s="202">
        <v>1297048.2</v>
      </c>
      <c r="S110" s="204"/>
      <c r="W110" s="198" t="s">
        <v>51</v>
      </c>
      <c r="AE110" s="198" t="s">
        <v>833</v>
      </c>
    </row>
    <row r="111" spans="3:31" x14ac:dyDescent="0.25">
      <c r="C111" s="201"/>
      <c r="E111" s="201"/>
      <c r="F111" s="201"/>
      <c r="I111" s="198" t="s">
        <v>577</v>
      </c>
      <c r="J111" s="198" t="s">
        <v>130</v>
      </c>
      <c r="K111" s="202">
        <f t="shared" si="1"/>
        <v>61200</v>
      </c>
      <c r="L111" s="202">
        <v>12</v>
      </c>
      <c r="N111" s="202">
        <v>1120526.19</v>
      </c>
      <c r="S111" s="204"/>
      <c r="W111" s="198" t="s">
        <v>51</v>
      </c>
      <c r="AE111" s="198" t="s">
        <v>833</v>
      </c>
    </row>
    <row r="112" spans="3:31" x14ac:dyDescent="0.25">
      <c r="C112" s="201"/>
      <c r="E112" s="201"/>
      <c r="F112" s="201"/>
      <c r="I112" s="198" t="s">
        <v>577</v>
      </c>
      <c r="J112" s="198" t="s">
        <v>130</v>
      </c>
      <c r="K112" s="202">
        <f t="shared" si="1"/>
        <v>61710</v>
      </c>
      <c r="L112" s="202">
        <v>12.1</v>
      </c>
      <c r="N112" s="202">
        <v>7883513.1200000001</v>
      </c>
      <c r="S112" s="204"/>
      <c r="W112" s="198" t="s">
        <v>51</v>
      </c>
      <c r="AE112" s="198" t="s">
        <v>833</v>
      </c>
    </row>
    <row r="113" spans="3:31" x14ac:dyDescent="0.25">
      <c r="C113" s="201"/>
      <c r="E113" s="201"/>
      <c r="F113" s="201"/>
      <c r="I113" s="198" t="s">
        <v>577</v>
      </c>
      <c r="J113" s="198" t="s">
        <v>130</v>
      </c>
      <c r="K113" s="202">
        <f t="shared" si="1"/>
        <v>62220</v>
      </c>
      <c r="L113" s="202">
        <v>12.2</v>
      </c>
      <c r="N113" s="202">
        <v>1068088.71</v>
      </c>
      <c r="S113" s="204"/>
      <c r="W113" s="198" t="s">
        <v>51</v>
      </c>
      <c r="AE113" s="198" t="s">
        <v>833</v>
      </c>
    </row>
    <row r="114" spans="3:31" x14ac:dyDescent="0.25">
      <c r="C114" s="201"/>
      <c r="E114" s="201"/>
      <c r="F114" s="201"/>
      <c r="I114" s="198" t="s">
        <v>577</v>
      </c>
      <c r="J114" s="198" t="s">
        <v>130</v>
      </c>
      <c r="K114" s="202">
        <f t="shared" si="1"/>
        <v>62730</v>
      </c>
      <c r="L114" s="202">
        <v>12.3</v>
      </c>
      <c r="N114" s="202">
        <v>813478.14</v>
      </c>
      <c r="S114" s="204"/>
      <c r="W114" s="198" t="s">
        <v>51</v>
      </c>
      <c r="AE114" s="198" t="s">
        <v>833</v>
      </c>
    </row>
    <row r="115" spans="3:31" x14ac:dyDescent="0.25">
      <c r="C115" s="201"/>
      <c r="E115" s="201"/>
      <c r="F115" s="201"/>
      <c r="I115" s="198" t="s">
        <v>577</v>
      </c>
      <c r="J115" s="198" t="s">
        <v>130</v>
      </c>
      <c r="K115" s="202">
        <f t="shared" si="1"/>
        <v>63240</v>
      </c>
      <c r="L115" s="202">
        <v>12.4</v>
      </c>
      <c r="N115" s="202">
        <v>2803029.78</v>
      </c>
      <c r="S115" s="204"/>
      <c r="W115" s="198" t="s">
        <v>51</v>
      </c>
      <c r="AE115" s="198" t="s">
        <v>833</v>
      </c>
    </row>
    <row r="116" spans="3:31" x14ac:dyDescent="0.25">
      <c r="C116" s="201"/>
      <c r="E116" s="201"/>
      <c r="F116" s="201"/>
      <c r="I116" s="198" t="s">
        <v>577</v>
      </c>
      <c r="J116" s="198" t="s">
        <v>130</v>
      </c>
      <c r="K116" s="202">
        <f t="shared" si="1"/>
        <v>63750</v>
      </c>
      <c r="L116" s="202">
        <v>12.5</v>
      </c>
      <c r="N116" s="202">
        <v>1409083.27</v>
      </c>
      <c r="S116" s="204"/>
      <c r="W116" s="198" t="s">
        <v>51</v>
      </c>
      <c r="AE116" s="198" t="s">
        <v>833</v>
      </c>
    </row>
    <row r="117" spans="3:31" x14ac:dyDescent="0.25">
      <c r="C117" s="201"/>
      <c r="E117" s="201"/>
      <c r="F117" s="201"/>
      <c r="I117" s="198" t="s">
        <v>832</v>
      </c>
      <c r="J117" s="198" t="s">
        <v>132</v>
      </c>
      <c r="K117" s="202">
        <f t="shared" si="1"/>
        <v>64260</v>
      </c>
      <c r="L117" s="202">
        <v>12.6</v>
      </c>
      <c r="N117" s="202">
        <v>5378421.5800000001</v>
      </c>
      <c r="S117" s="204"/>
      <c r="W117" s="198" t="s">
        <v>51</v>
      </c>
      <c r="AE117" s="198" t="s">
        <v>833</v>
      </c>
    </row>
    <row r="118" spans="3:31" x14ac:dyDescent="0.25">
      <c r="C118" s="201"/>
      <c r="E118" s="201"/>
      <c r="F118" s="201"/>
      <c r="I118" s="198" t="s">
        <v>832</v>
      </c>
      <c r="J118" s="198" t="s">
        <v>132</v>
      </c>
      <c r="K118" s="202">
        <f t="shared" si="1"/>
        <v>64770</v>
      </c>
      <c r="L118" s="202">
        <v>12.7</v>
      </c>
      <c r="N118" s="202">
        <v>7160127.7999999998</v>
      </c>
      <c r="S118" s="204"/>
      <c r="W118" s="198" t="s">
        <v>51</v>
      </c>
      <c r="AE118" s="198" t="s">
        <v>833</v>
      </c>
    </row>
    <row r="119" spans="3:31" x14ac:dyDescent="0.25">
      <c r="C119" s="201"/>
      <c r="E119" s="201"/>
      <c r="F119" s="201"/>
      <c r="I119" s="198" t="s">
        <v>832</v>
      </c>
      <c r="J119" s="198" t="s">
        <v>132</v>
      </c>
      <c r="K119" s="202">
        <f t="shared" si="1"/>
        <v>65280</v>
      </c>
      <c r="L119" s="202">
        <v>12.8</v>
      </c>
      <c r="N119" s="202">
        <v>261665.8</v>
      </c>
      <c r="S119" s="204"/>
      <c r="W119" s="198" t="s">
        <v>51</v>
      </c>
      <c r="AE119" s="198" t="s">
        <v>833</v>
      </c>
    </row>
    <row r="120" spans="3:31" x14ac:dyDescent="0.25">
      <c r="C120" s="201"/>
      <c r="E120" s="201"/>
      <c r="F120" s="201"/>
      <c r="I120" s="198" t="s">
        <v>832</v>
      </c>
      <c r="J120" s="198" t="s">
        <v>132</v>
      </c>
      <c r="K120" s="202">
        <f t="shared" si="1"/>
        <v>65790</v>
      </c>
      <c r="L120" s="202">
        <v>12.9</v>
      </c>
      <c r="N120" s="202">
        <v>6874674.2000000002</v>
      </c>
      <c r="S120" s="204"/>
      <c r="W120" s="198" t="s">
        <v>51</v>
      </c>
      <c r="AE120" s="198" t="s">
        <v>833</v>
      </c>
    </row>
    <row r="121" spans="3:31" x14ac:dyDescent="0.25">
      <c r="C121" s="201"/>
      <c r="E121" s="201"/>
      <c r="F121" s="201"/>
      <c r="I121" s="198" t="s">
        <v>832</v>
      </c>
      <c r="J121" s="198" t="s">
        <v>132</v>
      </c>
      <c r="K121" s="202">
        <f t="shared" si="1"/>
        <v>66300</v>
      </c>
      <c r="L121" s="202">
        <v>13</v>
      </c>
      <c r="N121" s="202">
        <v>7110173.4199999999</v>
      </c>
      <c r="S121" s="204"/>
      <c r="W121" s="198" t="s">
        <v>51</v>
      </c>
      <c r="AE121" s="198" t="s">
        <v>833</v>
      </c>
    </row>
    <row r="122" spans="3:31" x14ac:dyDescent="0.25">
      <c r="C122" s="201"/>
      <c r="E122" s="201"/>
      <c r="F122" s="201"/>
      <c r="I122" s="198" t="s">
        <v>582</v>
      </c>
      <c r="J122" s="198" t="s">
        <v>132</v>
      </c>
      <c r="K122" s="202">
        <f t="shared" si="1"/>
        <v>66810</v>
      </c>
      <c r="L122" s="202">
        <v>13.1</v>
      </c>
      <c r="N122" s="202">
        <v>6278075</v>
      </c>
      <c r="S122" s="204"/>
      <c r="W122" s="198" t="s">
        <v>51</v>
      </c>
      <c r="AE122" s="198" t="s">
        <v>833</v>
      </c>
    </row>
    <row r="123" spans="3:31" x14ac:dyDescent="0.25">
      <c r="C123" s="201"/>
      <c r="E123" s="201"/>
      <c r="F123" s="201"/>
      <c r="I123" s="198" t="s">
        <v>582</v>
      </c>
      <c r="J123" s="198" t="s">
        <v>132</v>
      </c>
      <c r="K123" s="202">
        <f t="shared" si="1"/>
        <v>67320</v>
      </c>
      <c r="L123" s="202">
        <v>13.2</v>
      </c>
      <c r="N123" s="202">
        <v>6262875</v>
      </c>
      <c r="S123" s="204"/>
      <c r="W123" s="198" t="s">
        <v>51</v>
      </c>
      <c r="AE123" s="198" t="s">
        <v>833</v>
      </c>
    </row>
    <row r="124" spans="3:31" x14ac:dyDescent="0.25">
      <c r="C124" s="201"/>
      <c r="E124" s="201"/>
      <c r="F124" s="201"/>
      <c r="I124" s="198" t="s">
        <v>582</v>
      </c>
      <c r="J124" s="198" t="s">
        <v>132</v>
      </c>
      <c r="K124" s="202">
        <f t="shared" si="1"/>
        <v>67830</v>
      </c>
      <c r="L124" s="202">
        <v>13.3</v>
      </c>
      <c r="N124" s="202">
        <v>6254800</v>
      </c>
      <c r="S124" s="204"/>
      <c r="W124" s="198" t="s">
        <v>51</v>
      </c>
      <c r="AE124" s="198" t="s">
        <v>833</v>
      </c>
    </row>
    <row r="125" spans="3:31" x14ac:dyDescent="0.25">
      <c r="C125" s="201"/>
      <c r="E125" s="201"/>
      <c r="F125" s="201"/>
      <c r="I125" s="198" t="s">
        <v>582</v>
      </c>
      <c r="J125" s="198" t="s">
        <v>132</v>
      </c>
      <c r="K125" s="202">
        <f t="shared" si="1"/>
        <v>68340</v>
      </c>
      <c r="L125" s="202">
        <v>13.4</v>
      </c>
      <c r="N125" s="202">
        <v>6250525</v>
      </c>
      <c r="S125" s="204"/>
      <c r="W125" s="198" t="s">
        <v>51</v>
      </c>
      <c r="AE125" s="198" t="s">
        <v>833</v>
      </c>
    </row>
    <row r="126" spans="3:31" x14ac:dyDescent="0.25">
      <c r="C126" s="201"/>
      <c r="E126" s="201"/>
      <c r="F126" s="201"/>
      <c r="I126" s="198" t="s">
        <v>582</v>
      </c>
      <c r="J126" s="198" t="s">
        <v>132</v>
      </c>
      <c r="K126" s="202">
        <f t="shared" si="1"/>
        <v>68850</v>
      </c>
      <c r="L126" s="202">
        <v>13.5</v>
      </c>
      <c r="N126" s="202">
        <v>6261925</v>
      </c>
      <c r="S126" s="204"/>
      <c r="W126" s="198" t="s">
        <v>51</v>
      </c>
      <c r="AE126" s="198" t="s">
        <v>833</v>
      </c>
    </row>
    <row r="127" spans="3:31" x14ac:dyDescent="0.25">
      <c r="C127" s="201"/>
      <c r="E127" s="201"/>
      <c r="F127" s="201"/>
      <c r="I127" s="198" t="s">
        <v>836</v>
      </c>
      <c r="J127" s="198" t="s">
        <v>126</v>
      </c>
      <c r="K127" s="202">
        <f t="shared" si="1"/>
        <v>69360</v>
      </c>
      <c r="L127" s="202">
        <v>13.6</v>
      </c>
      <c r="N127" s="202">
        <v>6242925</v>
      </c>
      <c r="S127" s="204"/>
      <c r="W127" s="198" t="s">
        <v>51</v>
      </c>
      <c r="AE127" s="198" t="s">
        <v>835</v>
      </c>
    </row>
    <row r="128" spans="3:31" x14ac:dyDescent="0.25">
      <c r="C128" s="201"/>
      <c r="E128" s="201"/>
      <c r="F128" s="201"/>
      <c r="I128" s="198" t="s">
        <v>836</v>
      </c>
      <c r="J128" s="198" t="s">
        <v>126</v>
      </c>
      <c r="K128" s="202">
        <f t="shared" si="1"/>
        <v>69870</v>
      </c>
      <c r="L128" s="202">
        <v>13.7</v>
      </c>
      <c r="N128" s="202">
        <v>5228325</v>
      </c>
      <c r="S128" s="204"/>
      <c r="W128" s="198" t="s">
        <v>51</v>
      </c>
      <c r="AE128" s="198" t="s">
        <v>835</v>
      </c>
    </row>
    <row r="129" spans="3:31" x14ac:dyDescent="0.25">
      <c r="C129" s="201"/>
      <c r="E129" s="201"/>
      <c r="F129" s="201"/>
      <c r="I129" s="198" t="s">
        <v>836</v>
      </c>
      <c r="J129" s="198" t="s">
        <v>126</v>
      </c>
      <c r="K129" s="202">
        <f t="shared" si="1"/>
        <v>70380</v>
      </c>
      <c r="L129" s="202">
        <v>13.8</v>
      </c>
      <c r="N129" s="202">
        <v>5221675</v>
      </c>
      <c r="S129" s="204"/>
      <c r="W129" s="198" t="s">
        <v>51</v>
      </c>
      <c r="AE129" s="198" t="s">
        <v>835</v>
      </c>
    </row>
    <row r="130" spans="3:31" x14ac:dyDescent="0.25">
      <c r="C130" s="201"/>
      <c r="E130" s="201"/>
      <c r="F130" s="201"/>
      <c r="I130" s="198" t="s">
        <v>836</v>
      </c>
      <c r="J130" s="198" t="s">
        <v>126</v>
      </c>
      <c r="K130" s="202">
        <f t="shared" si="1"/>
        <v>70890</v>
      </c>
      <c r="L130" s="202">
        <v>13.9</v>
      </c>
      <c r="N130" s="202">
        <v>6249100</v>
      </c>
      <c r="S130" s="204"/>
      <c r="W130" s="198" t="s">
        <v>51</v>
      </c>
      <c r="AE130" s="198" t="s">
        <v>835</v>
      </c>
    </row>
    <row r="131" spans="3:31" x14ac:dyDescent="0.25">
      <c r="C131" s="201"/>
      <c r="E131" s="201"/>
      <c r="F131" s="201"/>
      <c r="I131" s="198" t="s">
        <v>836</v>
      </c>
      <c r="J131" s="198" t="s">
        <v>126</v>
      </c>
      <c r="K131" s="202">
        <f t="shared" ref="K131:K194" si="2">L131*5100</f>
        <v>71400</v>
      </c>
      <c r="L131" s="202">
        <v>14</v>
      </c>
      <c r="N131" s="202">
        <v>6228200</v>
      </c>
      <c r="S131" s="204"/>
      <c r="W131" s="198" t="s">
        <v>51</v>
      </c>
      <c r="AE131" s="198" t="s">
        <v>835</v>
      </c>
    </row>
    <row r="132" spans="3:31" x14ac:dyDescent="0.25">
      <c r="C132" s="201"/>
      <c r="E132" s="201"/>
      <c r="F132" s="201"/>
      <c r="I132" s="198" t="s">
        <v>188</v>
      </c>
      <c r="J132" s="198" t="s">
        <v>65</v>
      </c>
      <c r="K132" s="202">
        <f t="shared" si="2"/>
        <v>71910</v>
      </c>
      <c r="L132" s="202">
        <v>14.1</v>
      </c>
      <c r="N132" s="202">
        <v>-47.58</v>
      </c>
      <c r="S132" s="204"/>
      <c r="W132" s="198" t="s">
        <v>51</v>
      </c>
      <c r="AE132" s="198" t="s">
        <v>831</v>
      </c>
    </row>
    <row r="133" spans="3:31" x14ac:dyDescent="0.25">
      <c r="C133" s="201"/>
      <c r="E133" s="201"/>
      <c r="F133" s="201"/>
      <c r="I133" s="198" t="s">
        <v>836</v>
      </c>
      <c r="J133" s="198" t="s">
        <v>126</v>
      </c>
      <c r="K133" s="202">
        <f t="shared" si="2"/>
        <v>72420</v>
      </c>
      <c r="L133" s="202">
        <v>14.2</v>
      </c>
      <c r="N133" s="202">
        <v>2403500</v>
      </c>
      <c r="S133" s="204"/>
      <c r="W133" s="198" t="s">
        <v>51</v>
      </c>
      <c r="AE133" s="198" t="s">
        <v>835</v>
      </c>
    </row>
    <row r="134" spans="3:31" x14ac:dyDescent="0.25">
      <c r="C134" s="201"/>
      <c r="E134" s="201"/>
      <c r="F134" s="201"/>
      <c r="I134" s="198" t="s">
        <v>838</v>
      </c>
      <c r="J134" s="198" t="s">
        <v>132</v>
      </c>
      <c r="K134" s="202">
        <f t="shared" si="2"/>
        <v>72930</v>
      </c>
      <c r="L134" s="202">
        <v>14.3</v>
      </c>
      <c r="N134" s="202">
        <v>1114867</v>
      </c>
      <c r="S134" s="203"/>
      <c r="W134" s="198" t="s">
        <v>51</v>
      </c>
      <c r="AE134" s="198" t="s">
        <v>54</v>
      </c>
    </row>
    <row r="135" spans="3:31" x14ac:dyDescent="0.25">
      <c r="C135" s="201"/>
      <c r="E135" s="201"/>
      <c r="F135" s="201"/>
      <c r="I135" s="198" t="s">
        <v>840</v>
      </c>
      <c r="J135" s="198" t="s">
        <v>126</v>
      </c>
      <c r="K135" s="202">
        <f t="shared" si="2"/>
        <v>73440</v>
      </c>
      <c r="L135" s="202">
        <v>14.4</v>
      </c>
      <c r="N135" s="202">
        <v>699535</v>
      </c>
      <c r="S135" s="203"/>
      <c r="W135" s="198" t="s">
        <v>51</v>
      </c>
      <c r="AE135" s="198" t="s">
        <v>54</v>
      </c>
    </row>
    <row r="136" spans="3:31" x14ac:dyDescent="0.25">
      <c r="C136" s="201"/>
      <c r="E136" s="201"/>
      <c r="F136" s="201"/>
      <c r="I136" s="198" t="s">
        <v>582</v>
      </c>
      <c r="J136" s="198" t="s">
        <v>132</v>
      </c>
      <c r="K136" s="202">
        <f t="shared" si="2"/>
        <v>73950</v>
      </c>
      <c r="L136" s="202">
        <v>14.5</v>
      </c>
      <c r="N136" s="202">
        <v>6258600</v>
      </c>
      <c r="S136" s="204"/>
      <c r="W136" s="198" t="s">
        <v>51</v>
      </c>
      <c r="AE136" s="198" t="s">
        <v>833</v>
      </c>
    </row>
    <row r="137" spans="3:31" x14ac:dyDescent="0.25">
      <c r="C137" s="201"/>
      <c r="E137" s="201"/>
      <c r="F137" s="201"/>
      <c r="I137" s="198" t="s">
        <v>582</v>
      </c>
      <c r="J137" s="198" t="s">
        <v>132</v>
      </c>
      <c r="K137" s="202">
        <f t="shared" si="2"/>
        <v>74460</v>
      </c>
      <c r="L137" s="202">
        <v>14.6</v>
      </c>
      <c r="N137" s="202">
        <v>6253850</v>
      </c>
      <c r="S137" s="204"/>
      <c r="W137" s="198" t="s">
        <v>51</v>
      </c>
      <c r="AE137" s="198" t="s">
        <v>833</v>
      </c>
    </row>
    <row r="138" spans="3:31" x14ac:dyDescent="0.25">
      <c r="C138" s="201"/>
      <c r="E138" s="201"/>
      <c r="F138" s="201"/>
      <c r="I138" s="198" t="s">
        <v>582</v>
      </c>
      <c r="J138" s="198" t="s">
        <v>132</v>
      </c>
      <c r="K138" s="202">
        <f t="shared" si="2"/>
        <v>74970</v>
      </c>
      <c r="L138" s="202">
        <v>14.7</v>
      </c>
      <c r="N138" s="202">
        <v>6252900</v>
      </c>
      <c r="S138" s="204"/>
      <c r="W138" s="198" t="s">
        <v>51</v>
      </c>
      <c r="AE138" s="198" t="s">
        <v>833</v>
      </c>
    </row>
    <row r="139" spans="3:31" x14ac:dyDescent="0.25">
      <c r="C139" s="201"/>
      <c r="E139" s="201"/>
      <c r="F139" s="201"/>
      <c r="I139" s="198" t="s">
        <v>582</v>
      </c>
      <c r="J139" s="198" t="s">
        <v>132</v>
      </c>
      <c r="K139" s="202">
        <f t="shared" si="2"/>
        <v>75480</v>
      </c>
      <c r="L139" s="202">
        <v>14.8</v>
      </c>
      <c r="N139" s="202">
        <v>6245300</v>
      </c>
      <c r="S139" s="204"/>
      <c r="W139" s="198" t="s">
        <v>51</v>
      </c>
      <c r="AE139" s="198" t="s">
        <v>833</v>
      </c>
    </row>
    <row r="140" spans="3:31" x14ac:dyDescent="0.25">
      <c r="C140" s="201"/>
      <c r="E140" s="201"/>
      <c r="F140" s="201"/>
      <c r="I140" s="198" t="s">
        <v>582</v>
      </c>
      <c r="J140" s="198" t="s">
        <v>132</v>
      </c>
      <c r="K140" s="202">
        <f t="shared" si="2"/>
        <v>75990</v>
      </c>
      <c r="L140" s="202">
        <v>14.9</v>
      </c>
      <c r="N140" s="202">
        <v>6269525</v>
      </c>
      <c r="S140" s="204"/>
      <c r="W140" s="198" t="s">
        <v>51</v>
      </c>
      <c r="AE140" s="198" t="s">
        <v>833</v>
      </c>
    </row>
    <row r="141" spans="3:31" x14ac:dyDescent="0.25">
      <c r="C141" s="201"/>
      <c r="E141" s="201"/>
      <c r="F141" s="201"/>
      <c r="I141" s="198" t="s">
        <v>582</v>
      </c>
      <c r="J141" s="198" t="s">
        <v>132</v>
      </c>
      <c r="K141" s="202">
        <f t="shared" si="2"/>
        <v>76500</v>
      </c>
      <c r="L141" s="202">
        <v>15</v>
      </c>
      <c r="N141" s="202">
        <v>2411100</v>
      </c>
      <c r="S141" s="204"/>
      <c r="W141" s="198" t="s">
        <v>51</v>
      </c>
      <c r="AE141" s="198" t="s">
        <v>833</v>
      </c>
    </row>
    <row r="142" spans="3:31" x14ac:dyDescent="0.25">
      <c r="C142" s="201"/>
      <c r="E142" s="201"/>
      <c r="F142" s="201"/>
      <c r="I142" s="198" t="s">
        <v>582</v>
      </c>
      <c r="J142" s="198" t="s">
        <v>132</v>
      </c>
      <c r="K142" s="202">
        <f t="shared" si="2"/>
        <v>77010</v>
      </c>
      <c r="L142" s="202">
        <v>15.1</v>
      </c>
      <c r="N142" s="202">
        <v>6270000</v>
      </c>
      <c r="S142" s="204"/>
      <c r="W142" s="198" t="s">
        <v>51</v>
      </c>
      <c r="AE142" s="198" t="s">
        <v>833</v>
      </c>
    </row>
    <row r="143" spans="3:31" x14ac:dyDescent="0.25">
      <c r="C143" s="201"/>
      <c r="E143" s="201"/>
      <c r="F143" s="201"/>
      <c r="I143" s="198" t="s">
        <v>129</v>
      </c>
      <c r="J143" s="198" t="s">
        <v>130</v>
      </c>
      <c r="K143" s="202">
        <f t="shared" si="2"/>
        <v>77520</v>
      </c>
      <c r="L143" s="202">
        <v>15.2</v>
      </c>
      <c r="N143" s="202">
        <v>874380</v>
      </c>
      <c r="S143" s="204"/>
      <c r="W143" s="198" t="s">
        <v>51</v>
      </c>
      <c r="AE143" s="198" t="s">
        <v>833</v>
      </c>
    </row>
    <row r="144" spans="3:31" x14ac:dyDescent="0.25">
      <c r="C144" s="201"/>
      <c r="E144" s="201"/>
      <c r="F144" s="201"/>
      <c r="I144" s="198" t="s">
        <v>129</v>
      </c>
      <c r="J144" s="198" t="s">
        <v>130</v>
      </c>
      <c r="K144" s="202">
        <f t="shared" si="2"/>
        <v>78030</v>
      </c>
      <c r="L144" s="202">
        <v>15.3</v>
      </c>
      <c r="N144" s="202">
        <v>2486260</v>
      </c>
      <c r="S144" s="204"/>
      <c r="W144" s="198" t="s">
        <v>51</v>
      </c>
      <c r="AE144" s="198" t="s">
        <v>833</v>
      </c>
    </row>
    <row r="145" spans="3:31" x14ac:dyDescent="0.25">
      <c r="C145" s="201"/>
      <c r="E145" s="201"/>
      <c r="F145" s="201"/>
      <c r="I145" s="198" t="s">
        <v>129</v>
      </c>
      <c r="J145" s="198" t="s">
        <v>130</v>
      </c>
      <c r="K145" s="202">
        <f t="shared" si="2"/>
        <v>78540</v>
      </c>
      <c r="L145" s="202">
        <v>15.4</v>
      </c>
      <c r="N145" s="202">
        <v>334502.46000000002</v>
      </c>
      <c r="S145" s="204"/>
      <c r="W145" s="198" t="s">
        <v>51</v>
      </c>
      <c r="AE145" s="198" t="s">
        <v>833</v>
      </c>
    </row>
    <row r="146" spans="3:31" x14ac:dyDescent="0.25">
      <c r="C146" s="201"/>
      <c r="E146" s="201"/>
      <c r="F146" s="201"/>
      <c r="I146" s="198" t="s">
        <v>841</v>
      </c>
      <c r="J146" s="198" t="s">
        <v>153</v>
      </c>
      <c r="K146" s="202">
        <f t="shared" si="2"/>
        <v>79050</v>
      </c>
      <c r="L146" s="202">
        <v>15.5</v>
      </c>
      <c r="N146" s="202">
        <v>6018</v>
      </c>
      <c r="S146" s="203"/>
      <c r="W146" s="198" t="s">
        <v>51</v>
      </c>
      <c r="AE146" s="198" t="s">
        <v>1768</v>
      </c>
    </row>
    <row r="147" spans="3:31" x14ac:dyDescent="0.25">
      <c r="C147" s="201"/>
      <c r="E147" s="201"/>
      <c r="F147" s="201"/>
      <c r="I147" s="198" t="s">
        <v>827</v>
      </c>
      <c r="J147" s="198" t="s">
        <v>148</v>
      </c>
      <c r="K147" s="202">
        <f t="shared" si="2"/>
        <v>79560</v>
      </c>
      <c r="L147" s="202">
        <v>15.6</v>
      </c>
      <c r="N147" s="202">
        <v>5100</v>
      </c>
      <c r="S147" s="203"/>
      <c r="W147" s="198" t="s">
        <v>51</v>
      </c>
      <c r="AE147" s="198" t="s">
        <v>828</v>
      </c>
    </row>
    <row r="148" spans="3:31" x14ac:dyDescent="0.25">
      <c r="C148" s="201"/>
      <c r="E148" s="201"/>
      <c r="F148" s="201"/>
      <c r="I148" s="198" t="s">
        <v>180</v>
      </c>
      <c r="J148" s="198" t="s">
        <v>65</v>
      </c>
      <c r="K148" s="202">
        <f t="shared" si="2"/>
        <v>80070</v>
      </c>
      <c r="L148" s="202">
        <v>15.7</v>
      </c>
      <c r="N148" s="202">
        <v>372812.38</v>
      </c>
      <c r="S148" s="203"/>
      <c r="W148" s="198" t="s">
        <v>51</v>
      </c>
      <c r="AE148" s="198" t="s">
        <v>831</v>
      </c>
    </row>
    <row r="149" spans="3:31" x14ac:dyDescent="0.25">
      <c r="C149" s="201"/>
      <c r="E149" s="201"/>
      <c r="F149" s="201"/>
      <c r="I149" s="198" t="s">
        <v>180</v>
      </c>
      <c r="J149" s="198" t="s">
        <v>65</v>
      </c>
      <c r="K149" s="202">
        <f t="shared" si="2"/>
        <v>80580</v>
      </c>
      <c r="L149" s="202">
        <v>15.8</v>
      </c>
      <c r="N149" s="202">
        <v>131580.9</v>
      </c>
      <c r="S149" s="203"/>
      <c r="W149" s="198" t="s">
        <v>51</v>
      </c>
      <c r="AE149" s="198" t="s">
        <v>831</v>
      </c>
    </row>
    <row r="150" spans="3:31" x14ac:dyDescent="0.25">
      <c r="C150" s="201"/>
      <c r="E150" s="201"/>
      <c r="F150" s="201"/>
      <c r="I150" s="198" t="s">
        <v>180</v>
      </c>
      <c r="J150" s="198" t="s">
        <v>65</v>
      </c>
      <c r="K150" s="202">
        <f t="shared" si="2"/>
        <v>81090</v>
      </c>
      <c r="L150" s="202">
        <v>15.9</v>
      </c>
      <c r="N150" s="202">
        <v>81024.02</v>
      </c>
      <c r="S150" s="203"/>
      <c r="W150" s="198" t="s">
        <v>51</v>
      </c>
      <c r="AE150" s="198" t="s">
        <v>831</v>
      </c>
    </row>
    <row r="151" spans="3:31" x14ac:dyDescent="0.25">
      <c r="C151" s="201"/>
      <c r="E151" s="201"/>
      <c r="F151" s="201"/>
      <c r="I151" s="198" t="s">
        <v>180</v>
      </c>
      <c r="J151" s="198" t="s">
        <v>65</v>
      </c>
      <c r="K151" s="202">
        <f t="shared" si="2"/>
        <v>81600</v>
      </c>
      <c r="L151" s="202">
        <v>16</v>
      </c>
      <c r="N151" s="202">
        <v>4617516.18</v>
      </c>
      <c r="S151" s="203"/>
      <c r="W151" s="198" t="s">
        <v>51</v>
      </c>
      <c r="AE151" s="198" t="s">
        <v>831</v>
      </c>
    </row>
    <row r="152" spans="3:31" x14ac:dyDescent="0.25">
      <c r="C152" s="201"/>
      <c r="E152" s="201"/>
      <c r="F152" s="201"/>
      <c r="I152" s="198" t="s">
        <v>180</v>
      </c>
      <c r="J152" s="198" t="s">
        <v>65</v>
      </c>
      <c r="K152" s="202">
        <f t="shared" si="2"/>
        <v>82110</v>
      </c>
      <c r="L152" s="202">
        <v>16.100000000000001</v>
      </c>
      <c r="N152" s="202">
        <v>1618999.8</v>
      </c>
      <c r="S152" s="203"/>
      <c r="W152" s="198" t="s">
        <v>51</v>
      </c>
      <c r="AE152" s="198" t="s">
        <v>831</v>
      </c>
    </row>
    <row r="153" spans="3:31" x14ac:dyDescent="0.25">
      <c r="C153" s="201"/>
      <c r="E153" s="201"/>
      <c r="F153" s="201"/>
      <c r="I153" s="198" t="s">
        <v>180</v>
      </c>
      <c r="J153" s="198" t="s">
        <v>65</v>
      </c>
      <c r="K153" s="202">
        <f t="shared" si="2"/>
        <v>82620</v>
      </c>
      <c r="L153" s="202">
        <v>16.2</v>
      </c>
      <c r="N153" s="202">
        <v>8318629.4000000004</v>
      </c>
      <c r="S153" s="203"/>
      <c r="W153" s="198" t="s">
        <v>51</v>
      </c>
      <c r="AE153" s="198" t="s">
        <v>831</v>
      </c>
    </row>
    <row r="154" spans="3:31" x14ac:dyDescent="0.25">
      <c r="C154" s="201"/>
      <c r="E154" s="201"/>
      <c r="F154" s="201"/>
      <c r="I154" s="198" t="s">
        <v>180</v>
      </c>
      <c r="J154" s="198" t="s">
        <v>65</v>
      </c>
      <c r="K154" s="202">
        <f t="shared" si="2"/>
        <v>83130</v>
      </c>
      <c r="L154" s="202">
        <v>16.3</v>
      </c>
      <c r="N154" s="202">
        <v>2251548</v>
      </c>
      <c r="S154" s="203"/>
      <c r="W154" s="198" t="s">
        <v>51</v>
      </c>
      <c r="AE154" s="198" t="s">
        <v>831</v>
      </c>
    </row>
    <row r="155" spans="3:31" x14ac:dyDescent="0.25">
      <c r="C155" s="201"/>
      <c r="E155" s="201"/>
      <c r="F155" s="201"/>
      <c r="I155" s="198" t="s">
        <v>180</v>
      </c>
      <c r="J155" s="198" t="s">
        <v>65</v>
      </c>
      <c r="K155" s="202">
        <f t="shared" si="2"/>
        <v>83640</v>
      </c>
      <c r="L155" s="202">
        <v>16.399999999999999</v>
      </c>
      <c r="N155" s="202">
        <v>5680260</v>
      </c>
      <c r="S155" s="203"/>
      <c r="W155" s="198" t="s">
        <v>51</v>
      </c>
      <c r="AE155" s="198" t="s">
        <v>831</v>
      </c>
    </row>
    <row r="156" spans="3:31" x14ac:dyDescent="0.25">
      <c r="C156" s="201"/>
      <c r="E156" s="201"/>
      <c r="F156" s="201"/>
      <c r="I156" s="198" t="s">
        <v>180</v>
      </c>
      <c r="J156" s="198" t="s">
        <v>65</v>
      </c>
      <c r="K156" s="202">
        <f t="shared" si="2"/>
        <v>84150</v>
      </c>
      <c r="L156" s="202">
        <v>16.5</v>
      </c>
      <c r="N156" s="202">
        <v>3003315.8</v>
      </c>
      <c r="S156" s="203"/>
      <c r="W156" s="198" t="s">
        <v>51</v>
      </c>
      <c r="AE156" s="198" t="s">
        <v>831</v>
      </c>
    </row>
    <row r="157" spans="3:31" x14ac:dyDescent="0.25">
      <c r="C157" s="201"/>
      <c r="E157" s="201"/>
      <c r="F157" s="201"/>
      <c r="I157" s="198" t="s">
        <v>180</v>
      </c>
      <c r="J157" s="198" t="s">
        <v>65</v>
      </c>
      <c r="K157" s="202">
        <f t="shared" si="2"/>
        <v>84660</v>
      </c>
      <c r="L157" s="202">
        <v>16.600000000000001</v>
      </c>
      <c r="N157" s="202">
        <v>1641684.85</v>
      </c>
      <c r="S157" s="203"/>
      <c r="W157" s="198" t="s">
        <v>51</v>
      </c>
      <c r="AE157" s="198" t="s">
        <v>831</v>
      </c>
    </row>
    <row r="158" spans="3:31" x14ac:dyDescent="0.25">
      <c r="C158" s="201"/>
      <c r="E158" s="201"/>
      <c r="F158" s="201"/>
      <c r="I158" s="198" t="s">
        <v>180</v>
      </c>
      <c r="J158" s="198" t="s">
        <v>65</v>
      </c>
      <c r="K158" s="202">
        <f t="shared" si="2"/>
        <v>85170</v>
      </c>
      <c r="L158" s="202">
        <v>16.7</v>
      </c>
      <c r="N158" s="202">
        <v>811626.38</v>
      </c>
      <c r="S158" s="203"/>
      <c r="W158" s="198" t="s">
        <v>51</v>
      </c>
      <c r="AE158" s="198" t="s">
        <v>831</v>
      </c>
    </row>
    <row r="159" spans="3:31" x14ac:dyDescent="0.25">
      <c r="C159" s="201"/>
      <c r="E159" s="201"/>
      <c r="F159" s="201"/>
      <c r="I159" s="198" t="s">
        <v>180</v>
      </c>
      <c r="J159" s="198" t="s">
        <v>65</v>
      </c>
      <c r="K159" s="202">
        <f t="shared" si="2"/>
        <v>85680</v>
      </c>
      <c r="L159" s="202">
        <v>16.8</v>
      </c>
      <c r="N159" s="202">
        <v>429614</v>
      </c>
      <c r="S159" s="203"/>
      <c r="W159" s="198" t="s">
        <v>51</v>
      </c>
      <c r="AE159" s="198" t="s">
        <v>831</v>
      </c>
    </row>
    <row r="160" spans="3:31" x14ac:dyDescent="0.25">
      <c r="C160" s="201"/>
      <c r="E160" s="201"/>
      <c r="F160" s="201"/>
      <c r="I160" s="198" t="s">
        <v>181</v>
      </c>
      <c r="J160" s="198" t="s">
        <v>65</v>
      </c>
      <c r="K160" s="202">
        <f t="shared" si="2"/>
        <v>86190</v>
      </c>
      <c r="L160" s="202">
        <v>16.899999999999999</v>
      </c>
      <c r="N160" s="202">
        <v>154829.4</v>
      </c>
      <c r="S160" s="203"/>
      <c r="W160" s="198" t="s">
        <v>51</v>
      </c>
      <c r="AE160" s="198" t="s">
        <v>831</v>
      </c>
    </row>
    <row r="161" spans="3:31" x14ac:dyDescent="0.25">
      <c r="C161" s="201"/>
      <c r="E161" s="201"/>
      <c r="F161" s="201"/>
      <c r="I161" s="198" t="s">
        <v>181</v>
      </c>
      <c r="J161" s="198" t="s">
        <v>65</v>
      </c>
      <c r="K161" s="202">
        <f t="shared" si="2"/>
        <v>86700</v>
      </c>
      <c r="L161" s="202">
        <v>17</v>
      </c>
      <c r="N161" s="202">
        <v>1126870.5</v>
      </c>
      <c r="S161" s="203"/>
      <c r="W161" s="198" t="s">
        <v>51</v>
      </c>
      <c r="AE161" s="198" t="s">
        <v>831</v>
      </c>
    </row>
    <row r="162" spans="3:31" x14ac:dyDescent="0.25">
      <c r="C162" s="201"/>
      <c r="E162" s="201"/>
      <c r="F162" s="201"/>
      <c r="I162" s="198" t="s">
        <v>181</v>
      </c>
      <c r="J162" s="198" t="s">
        <v>65</v>
      </c>
      <c r="K162" s="202">
        <f t="shared" si="2"/>
        <v>87210</v>
      </c>
      <c r="L162" s="202">
        <v>17.100000000000001</v>
      </c>
      <c r="N162" s="202">
        <v>7462524</v>
      </c>
      <c r="S162" s="203"/>
      <c r="W162" s="198" t="s">
        <v>51</v>
      </c>
      <c r="AE162" s="198" t="s">
        <v>831</v>
      </c>
    </row>
    <row r="163" spans="3:31" x14ac:dyDescent="0.25">
      <c r="C163" s="201"/>
      <c r="E163" s="201"/>
      <c r="F163" s="201"/>
      <c r="I163" s="198" t="s">
        <v>181</v>
      </c>
      <c r="J163" s="198" t="s">
        <v>65</v>
      </c>
      <c r="K163" s="202">
        <f t="shared" si="2"/>
        <v>87720</v>
      </c>
      <c r="L163" s="202">
        <v>17.2</v>
      </c>
      <c r="N163" s="202">
        <v>774481</v>
      </c>
      <c r="S163" s="203"/>
      <c r="W163" s="198" t="s">
        <v>51</v>
      </c>
      <c r="AE163" s="198" t="s">
        <v>831</v>
      </c>
    </row>
    <row r="164" spans="3:31" x14ac:dyDescent="0.25">
      <c r="C164" s="201"/>
      <c r="E164" s="201"/>
      <c r="F164" s="201"/>
      <c r="I164" s="198" t="s">
        <v>181</v>
      </c>
      <c r="J164" s="198" t="s">
        <v>65</v>
      </c>
      <c r="K164" s="202">
        <f t="shared" si="2"/>
        <v>88230</v>
      </c>
      <c r="L164" s="202">
        <v>17.3</v>
      </c>
      <c r="N164" s="202">
        <v>632466.63</v>
      </c>
      <c r="S164" s="203"/>
      <c r="W164" s="198" t="s">
        <v>51</v>
      </c>
      <c r="AE164" s="198" t="s">
        <v>831</v>
      </c>
    </row>
    <row r="165" spans="3:31" x14ac:dyDescent="0.25">
      <c r="C165" s="201"/>
      <c r="E165" s="201"/>
      <c r="F165" s="201"/>
      <c r="I165" s="198" t="s">
        <v>185</v>
      </c>
      <c r="J165" s="198" t="s">
        <v>65</v>
      </c>
      <c r="K165" s="202">
        <f t="shared" si="2"/>
        <v>88740</v>
      </c>
      <c r="L165" s="202">
        <v>17.399999999999999</v>
      </c>
      <c r="N165" s="202">
        <v>948594</v>
      </c>
      <c r="S165" s="203"/>
      <c r="W165" s="198" t="s">
        <v>51</v>
      </c>
      <c r="AE165" s="198" t="s">
        <v>831</v>
      </c>
    </row>
    <row r="166" spans="3:31" x14ac:dyDescent="0.25">
      <c r="C166" s="201"/>
      <c r="E166" s="201"/>
      <c r="F166" s="201"/>
      <c r="I166" s="198" t="s">
        <v>180</v>
      </c>
      <c r="J166" s="198" t="s">
        <v>65</v>
      </c>
      <c r="K166" s="202">
        <f t="shared" si="2"/>
        <v>89250</v>
      </c>
      <c r="L166" s="202">
        <v>17.5</v>
      </c>
      <c r="N166" s="202">
        <v>94679.97</v>
      </c>
      <c r="S166" s="203"/>
      <c r="W166" s="198" t="s">
        <v>51</v>
      </c>
      <c r="AE166" s="198" t="s">
        <v>831</v>
      </c>
    </row>
    <row r="167" spans="3:31" x14ac:dyDescent="0.25">
      <c r="C167" s="201"/>
      <c r="E167" s="201"/>
      <c r="F167" s="201"/>
      <c r="I167" s="198" t="s">
        <v>180</v>
      </c>
      <c r="J167" s="198" t="s">
        <v>65</v>
      </c>
      <c r="K167" s="202">
        <f t="shared" si="2"/>
        <v>89760</v>
      </c>
      <c r="L167" s="202">
        <v>17.600000000000001</v>
      </c>
      <c r="N167" s="202">
        <v>43775.64</v>
      </c>
      <c r="S167" s="203"/>
      <c r="W167" s="198" t="s">
        <v>51</v>
      </c>
      <c r="AE167" s="198" t="s">
        <v>831</v>
      </c>
    </row>
    <row r="168" spans="3:31" x14ac:dyDescent="0.25">
      <c r="C168" s="201"/>
      <c r="E168" s="201"/>
      <c r="F168" s="201"/>
      <c r="I168" s="198" t="s">
        <v>180</v>
      </c>
      <c r="J168" s="198" t="s">
        <v>65</v>
      </c>
      <c r="K168" s="202">
        <f t="shared" si="2"/>
        <v>90270</v>
      </c>
      <c r="L168" s="202">
        <v>17.7</v>
      </c>
      <c r="N168" s="202">
        <v>38721.480000000003</v>
      </c>
      <c r="S168" s="203"/>
      <c r="W168" s="198" t="s">
        <v>51</v>
      </c>
      <c r="AE168" s="198" t="s">
        <v>831</v>
      </c>
    </row>
    <row r="169" spans="3:31" x14ac:dyDescent="0.25">
      <c r="C169" s="201"/>
      <c r="E169" s="201"/>
      <c r="F169" s="201"/>
      <c r="I169" s="198" t="s">
        <v>180</v>
      </c>
      <c r="J169" s="198" t="s">
        <v>65</v>
      </c>
      <c r="K169" s="202">
        <f t="shared" si="2"/>
        <v>90780</v>
      </c>
      <c r="L169" s="202">
        <v>17.8</v>
      </c>
      <c r="N169" s="202">
        <v>181519.8</v>
      </c>
      <c r="S169" s="203"/>
      <c r="W169" s="198" t="s">
        <v>51</v>
      </c>
      <c r="AE169" s="198" t="s">
        <v>831</v>
      </c>
    </row>
    <row r="170" spans="3:31" x14ac:dyDescent="0.25">
      <c r="C170" s="201"/>
      <c r="E170" s="201"/>
      <c r="F170" s="201"/>
      <c r="I170" s="198" t="s">
        <v>720</v>
      </c>
      <c r="J170" s="198" t="s">
        <v>65</v>
      </c>
      <c r="K170" s="202">
        <f t="shared" si="2"/>
        <v>91290</v>
      </c>
      <c r="L170" s="202">
        <v>17.899999999999999</v>
      </c>
      <c r="N170" s="202">
        <v>32208</v>
      </c>
      <c r="S170" s="203"/>
      <c r="W170" s="198" t="s">
        <v>51</v>
      </c>
      <c r="AE170" s="198" t="s">
        <v>831</v>
      </c>
    </row>
    <row r="171" spans="3:31" x14ac:dyDescent="0.25">
      <c r="C171" s="201"/>
      <c r="E171" s="201"/>
      <c r="F171" s="201"/>
      <c r="I171" s="198" t="s">
        <v>720</v>
      </c>
      <c r="J171" s="198" t="s">
        <v>65</v>
      </c>
      <c r="K171" s="202">
        <f t="shared" si="2"/>
        <v>91800</v>
      </c>
      <c r="L171" s="202">
        <v>18</v>
      </c>
      <c r="N171" s="202">
        <v>166599.4</v>
      </c>
      <c r="S171" s="203"/>
      <c r="W171" s="198" t="s">
        <v>51</v>
      </c>
      <c r="AE171" s="198" t="s">
        <v>831</v>
      </c>
    </row>
    <row r="172" spans="3:31" x14ac:dyDescent="0.25">
      <c r="C172" s="201"/>
      <c r="E172" s="201"/>
      <c r="F172" s="201"/>
      <c r="I172" s="198" t="s">
        <v>720</v>
      </c>
      <c r="J172" s="198" t="s">
        <v>65</v>
      </c>
      <c r="K172" s="202">
        <f t="shared" si="2"/>
        <v>92310</v>
      </c>
      <c r="L172" s="202">
        <v>18.100000000000001</v>
      </c>
      <c r="N172" s="202">
        <v>943413</v>
      </c>
      <c r="S172" s="203"/>
      <c r="W172" s="198" t="s">
        <v>51</v>
      </c>
      <c r="AE172" s="198" t="s">
        <v>831</v>
      </c>
    </row>
    <row r="173" spans="3:31" x14ac:dyDescent="0.25">
      <c r="C173" s="201"/>
      <c r="E173" s="201"/>
      <c r="F173" s="201"/>
      <c r="I173" s="198" t="s">
        <v>720</v>
      </c>
      <c r="J173" s="198" t="s">
        <v>65</v>
      </c>
      <c r="K173" s="202">
        <f t="shared" si="2"/>
        <v>92820</v>
      </c>
      <c r="L173" s="202">
        <v>18.2</v>
      </c>
      <c r="N173" s="202">
        <v>30991.8</v>
      </c>
      <c r="S173" s="203"/>
      <c r="W173" s="198" t="s">
        <v>51</v>
      </c>
      <c r="AE173" s="198" t="s">
        <v>831</v>
      </c>
    </row>
    <row r="174" spans="3:31" x14ac:dyDescent="0.25">
      <c r="C174" s="201"/>
      <c r="E174" s="201"/>
      <c r="F174" s="201"/>
      <c r="I174" s="198" t="s">
        <v>203</v>
      </c>
      <c r="J174" s="198" t="s">
        <v>65</v>
      </c>
      <c r="K174" s="202">
        <f t="shared" si="2"/>
        <v>93330</v>
      </c>
      <c r="L174" s="202">
        <v>18.3</v>
      </c>
      <c r="N174" s="202">
        <v>54740.4</v>
      </c>
      <c r="S174" s="203"/>
      <c r="W174" s="198" t="s">
        <v>51</v>
      </c>
      <c r="AE174" s="198" t="s">
        <v>831</v>
      </c>
    </row>
    <row r="175" spans="3:31" x14ac:dyDescent="0.25">
      <c r="C175" s="201"/>
      <c r="E175" s="201"/>
      <c r="F175" s="201"/>
      <c r="I175" s="198" t="s">
        <v>203</v>
      </c>
      <c r="J175" s="198" t="s">
        <v>65</v>
      </c>
      <c r="K175" s="202">
        <f t="shared" si="2"/>
        <v>93840</v>
      </c>
      <c r="L175" s="202">
        <v>18.399999999999999</v>
      </c>
      <c r="N175" s="202">
        <v>142723.5</v>
      </c>
      <c r="S175" s="203"/>
      <c r="W175" s="198" t="s">
        <v>51</v>
      </c>
      <c r="AE175" s="198" t="s">
        <v>831</v>
      </c>
    </row>
    <row r="176" spans="3:31" x14ac:dyDescent="0.25">
      <c r="C176" s="201"/>
      <c r="E176" s="201"/>
      <c r="F176" s="201"/>
      <c r="I176" s="198" t="s">
        <v>203</v>
      </c>
      <c r="J176" s="198" t="s">
        <v>65</v>
      </c>
      <c r="K176" s="202">
        <f t="shared" si="2"/>
        <v>94350</v>
      </c>
      <c r="L176" s="202">
        <v>18.5</v>
      </c>
      <c r="N176" s="202">
        <v>1589625</v>
      </c>
      <c r="S176" s="203"/>
      <c r="W176" s="198" t="s">
        <v>51</v>
      </c>
      <c r="AE176" s="198" t="s">
        <v>831</v>
      </c>
    </row>
    <row r="177" spans="3:31" x14ac:dyDescent="0.25">
      <c r="C177" s="201"/>
      <c r="E177" s="201"/>
      <c r="F177" s="201"/>
      <c r="I177" s="198" t="s">
        <v>203</v>
      </c>
      <c r="J177" s="198" t="s">
        <v>65</v>
      </c>
      <c r="K177" s="202">
        <f t="shared" si="2"/>
        <v>94860</v>
      </c>
      <c r="L177" s="202">
        <v>18.600000000000001</v>
      </c>
      <c r="N177" s="202">
        <v>125129</v>
      </c>
      <c r="S177" s="203"/>
      <c r="W177" s="198" t="s">
        <v>51</v>
      </c>
      <c r="AE177" s="198" t="s">
        <v>831</v>
      </c>
    </row>
    <row r="178" spans="3:31" x14ac:dyDescent="0.25">
      <c r="C178" s="201"/>
      <c r="E178" s="201"/>
      <c r="F178" s="201"/>
      <c r="I178" s="198" t="s">
        <v>203</v>
      </c>
      <c r="J178" s="198" t="s">
        <v>65</v>
      </c>
      <c r="K178" s="202">
        <f t="shared" si="2"/>
        <v>95370</v>
      </c>
      <c r="L178" s="202">
        <v>18.7</v>
      </c>
      <c r="N178" s="202">
        <v>92936.38</v>
      </c>
      <c r="S178" s="203"/>
      <c r="W178" s="198" t="s">
        <v>51</v>
      </c>
      <c r="AE178" s="198" t="s">
        <v>831</v>
      </c>
    </row>
    <row r="179" spans="3:31" x14ac:dyDescent="0.25">
      <c r="C179" s="201"/>
      <c r="E179" s="201"/>
      <c r="F179" s="201"/>
      <c r="I179" s="198" t="s">
        <v>582</v>
      </c>
      <c r="J179" s="198" t="s">
        <v>132</v>
      </c>
      <c r="K179" s="202">
        <f t="shared" si="2"/>
        <v>95880</v>
      </c>
      <c r="L179" s="202">
        <v>18.8</v>
      </c>
      <c r="N179" s="202">
        <v>1277698.8899999999</v>
      </c>
      <c r="S179" s="204"/>
      <c r="W179" s="198" t="s">
        <v>51</v>
      </c>
      <c r="AE179" s="198" t="s">
        <v>833</v>
      </c>
    </row>
    <row r="180" spans="3:31" x14ac:dyDescent="0.25">
      <c r="C180" s="201"/>
      <c r="E180" s="201"/>
      <c r="F180" s="201"/>
      <c r="I180" s="198" t="s">
        <v>582</v>
      </c>
      <c r="J180" s="198" t="s">
        <v>132</v>
      </c>
      <c r="K180" s="202">
        <f t="shared" si="2"/>
        <v>96390</v>
      </c>
      <c r="L180" s="202">
        <v>18.899999999999999</v>
      </c>
      <c r="N180" s="202">
        <v>3904630.74</v>
      </c>
      <c r="S180" s="204"/>
      <c r="W180" s="198" t="s">
        <v>51</v>
      </c>
      <c r="AE180" s="198" t="s">
        <v>833</v>
      </c>
    </row>
    <row r="181" spans="3:31" x14ac:dyDescent="0.25">
      <c r="C181" s="201"/>
      <c r="E181" s="201"/>
      <c r="F181" s="201"/>
      <c r="I181" s="198" t="s">
        <v>582</v>
      </c>
      <c r="J181" s="198" t="s">
        <v>132</v>
      </c>
      <c r="K181" s="202">
        <f t="shared" si="2"/>
        <v>96900</v>
      </c>
      <c r="L181" s="202">
        <v>19</v>
      </c>
      <c r="N181" s="202">
        <v>7030097.2000000002</v>
      </c>
      <c r="S181" s="204"/>
      <c r="W181" s="198" t="s">
        <v>51</v>
      </c>
      <c r="AE181" s="198" t="s">
        <v>833</v>
      </c>
    </row>
    <row r="182" spans="3:31" x14ac:dyDescent="0.25">
      <c r="C182" s="201"/>
      <c r="E182" s="201"/>
      <c r="F182" s="201"/>
      <c r="I182" s="198" t="s">
        <v>582</v>
      </c>
      <c r="J182" s="198" t="s">
        <v>132</v>
      </c>
      <c r="K182" s="202">
        <f t="shared" si="2"/>
        <v>97410</v>
      </c>
      <c r="L182" s="202">
        <v>19.100000000000001</v>
      </c>
      <c r="N182" s="202">
        <v>2822498.64</v>
      </c>
      <c r="S182" s="204"/>
      <c r="W182" s="198" t="s">
        <v>51</v>
      </c>
      <c r="AE182" s="198" t="s">
        <v>833</v>
      </c>
    </row>
    <row r="183" spans="3:31" x14ac:dyDescent="0.25">
      <c r="C183" s="201"/>
      <c r="E183" s="201"/>
      <c r="F183" s="201"/>
      <c r="I183" s="198" t="s">
        <v>582</v>
      </c>
      <c r="J183" s="198" t="s">
        <v>132</v>
      </c>
      <c r="K183" s="202">
        <f t="shared" si="2"/>
        <v>97920</v>
      </c>
      <c r="L183" s="202">
        <v>19.2</v>
      </c>
      <c r="N183" s="202">
        <v>2626816.4300000002</v>
      </c>
      <c r="S183" s="204"/>
      <c r="W183" s="198" t="s">
        <v>51</v>
      </c>
      <c r="AE183" s="198" t="s">
        <v>833</v>
      </c>
    </row>
    <row r="184" spans="3:31" x14ac:dyDescent="0.25">
      <c r="C184" s="201"/>
      <c r="E184" s="201"/>
      <c r="F184" s="201"/>
      <c r="I184" s="198" t="s">
        <v>836</v>
      </c>
      <c r="J184" s="198" t="s">
        <v>126</v>
      </c>
      <c r="K184" s="202">
        <f t="shared" si="2"/>
        <v>98430</v>
      </c>
      <c r="L184" s="202">
        <v>19.3</v>
      </c>
      <c r="N184" s="202">
        <v>4893450</v>
      </c>
      <c r="S184" s="204"/>
      <c r="W184" s="198" t="s">
        <v>51</v>
      </c>
      <c r="AE184" s="198" t="s">
        <v>835</v>
      </c>
    </row>
    <row r="185" spans="3:31" x14ac:dyDescent="0.25">
      <c r="C185" s="201"/>
      <c r="E185" s="201"/>
      <c r="F185" s="201"/>
      <c r="I185" s="198" t="s">
        <v>836</v>
      </c>
      <c r="J185" s="198" t="s">
        <v>126</v>
      </c>
      <c r="K185" s="202">
        <f t="shared" si="2"/>
        <v>98940</v>
      </c>
      <c r="L185" s="202">
        <v>19.399999999999999</v>
      </c>
      <c r="N185" s="202">
        <v>358150</v>
      </c>
      <c r="S185" s="204"/>
      <c r="W185" s="198" t="s">
        <v>51</v>
      </c>
      <c r="AE185" s="198" t="s">
        <v>835</v>
      </c>
    </row>
    <row r="186" spans="3:31" x14ac:dyDescent="0.25">
      <c r="C186" s="201"/>
      <c r="E186" s="201"/>
      <c r="F186" s="201"/>
      <c r="I186" s="198" t="s">
        <v>836</v>
      </c>
      <c r="J186" s="198" t="s">
        <v>126</v>
      </c>
      <c r="K186" s="202">
        <f t="shared" si="2"/>
        <v>99450</v>
      </c>
      <c r="L186" s="202">
        <v>19.5</v>
      </c>
      <c r="N186" s="202">
        <v>5698575</v>
      </c>
      <c r="S186" s="204"/>
      <c r="W186" s="198" t="s">
        <v>51</v>
      </c>
      <c r="AE186" s="198" t="s">
        <v>835</v>
      </c>
    </row>
    <row r="187" spans="3:31" x14ac:dyDescent="0.25">
      <c r="C187" s="201"/>
      <c r="E187" s="201"/>
      <c r="F187" s="201"/>
      <c r="I187" s="198" t="s">
        <v>439</v>
      </c>
      <c r="J187" s="198" t="s">
        <v>126</v>
      </c>
      <c r="K187" s="202">
        <f t="shared" si="2"/>
        <v>99960</v>
      </c>
      <c r="L187" s="202">
        <v>19.600000000000001</v>
      </c>
      <c r="N187" s="202">
        <v>7093521.96</v>
      </c>
      <c r="S187" s="204"/>
      <c r="W187" s="198" t="s">
        <v>51</v>
      </c>
      <c r="AE187" s="198" t="s">
        <v>835</v>
      </c>
    </row>
    <row r="188" spans="3:31" x14ac:dyDescent="0.25">
      <c r="C188" s="201"/>
      <c r="E188" s="201"/>
      <c r="F188" s="201"/>
      <c r="I188" s="198" t="s">
        <v>439</v>
      </c>
      <c r="J188" s="198" t="s">
        <v>126</v>
      </c>
      <c r="K188" s="202">
        <f t="shared" si="2"/>
        <v>100470</v>
      </c>
      <c r="L188" s="202">
        <v>19.7</v>
      </c>
      <c r="N188" s="202">
        <v>7131582.4400000004</v>
      </c>
      <c r="S188" s="204"/>
      <c r="W188" s="198" t="s">
        <v>51</v>
      </c>
      <c r="AE188" s="198" t="s">
        <v>835</v>
      </c>
    </row>
    <row r="189" spans="3:31" x14ac:dyDescent="0.25">
      <c r="C189" s="201"/>
      <c r="E189" s="201"/>
      <c r="F189" s="201"/>
      <c r="I189" s="198" t="s">
        <v>439</v>
      </c>
      <c r="J189" s="198" t="s">
        <v>126</v>
      </c>
      <c r="K189" s="202">
        <f t="shared" si="2"/>
        <v>100980</v>
      </c>
      <c r="L189" s="202">
        <v>19.8</v>
      </c>
      <c r="N189" s="202">
        <v>7198188.2800000003</v>
      </c>
      <c r="S189" s="204"/>
      <c r="W189" s="198" t="s">
        <v>51</v>
      </c>
      <c r="AE189" s="198" t="s">
        <v>835</v>
      </c>
    </row>
    <row r="190" spans="3:31" x14ac:dyDescent="0.25">
      <c r="C190" s="201"/>
      <c r="E190" s="201"/>
      <c r="F190" s="201"/>
      <c r="I190" s="198" t="s">
        <v>439</v>
      </c>
      <c r="J190" s="198" t="s">
        <v>126</v>
      </c>
      <c r="K190" s="202">
        <f t="shared" si="2"/>
        <v>101490</v>
      </c>
      <c r="L190" s="202">
        <v>19.899999999999999</v>
      </c>
      <c r="N190" s="202">
        <v>7155370.2400000002</v>
      </c>
      <c r="S190" s="204"/>
      <c r="W190" s="198" t="s">
        <v>51</v>
      </c>
      <c r="AE190" s="198" t="s">
        <v>835</v>
      </c>
    </row>
    <row r="191" spans="3:31" x14ac:dyDescent="0.25">
      <c r="C191" s="201"/>
      <c r="E191" s="201"/>
      <c r="F191" s="201"/>
      <c r="I191" s="198" t="s">
        <v>439</v>
      </c>
      <c r="J191" s="198" t="s">
        <v>126</v>
      </c>
      <c r="K191" s="202">
        <f t="shared" si="2"/>
        <v>102000</v>
      </c>
      <c r="L191" s="202">
        <v>20</v>
      </c>
      <c r="N191" s="202">
        <v>7112552.2000000002</v>
      </c>
      <c r="S191" s="204"/>
      <c r="W191" s="198" t="s">
        <v>51</v>
      </c>
      <c r="AE191" s="198" t="s">
        <v>835</v>
      </c>
    </row>
    <row r="192" spans="3:31" x14ac:dyDescent="0.25">
      <c r="C192" s="201"/>
      <c r="E192" s="201"/>
      <c r="F192" s="201"/>
      <c r="I192" s="198" t="s">
        <v>439</v>
      </c>
      <c r="J192" s="198" t="s">
        <v>126</v>
      </c>
      <c r="K192" s="202">
        <f t="shared" si="2"/>
        <v>102510</v>
      </c>
      <c r="L192" s="202">
        <v>20.100000000000001</v>
      </c>
      <c r="N192" s="202">
        <v>5340361.0999999996</v>
      </c>
      <c r="S192" s="204"/>
      <c r="W192" s="198" t="s">
        <v>51</v>
      </c>
      <c r="AE192" s="198" t="s">
        <v>835</v>
      </c>
    </row>
    <row r="193" spans="3:31" x14ac:dyDescent="0.25">
      <c r="C193" s="201"/>
      <c r="E193" s="201"/>
      <c r="F193" s="201"/>
      <c r="I193" s="198" t="s">
        <v>832</v>
      </c>
      <c r="J193" s="198" t="s">
        <v>132</v>
      </c>
      <c r="K193" s="202">
        <f t="shared" si="2"/>
        <v>103020</v>
      </c>
      <c r="L193" s="202">
        <v>20.2</v>
      </c>
      <c r="N193" s="202">
        <v>7195809.5</v>
      </c>
      <c r="S193" s="204"/>
      <c r="W193" s="198" t="s">
        <v>51</v>
      </c>
      <c r="AE193" s="198" t="s">
        <v>833</v>
      </c>
    </row>
    <row r="194" spans="3:31" x14ac:dyDescent="0.25">
      <c r="C194" s="201"/>
      <c r="E194" s="201"/>
      <c r="F194" s="201"/>
      <c r="I194" s="198" t="s">
        <v>582</v>
      </c>
      <c r="J194" s="198" t="s">
        <v>132</v>
      </c>
      <c r="K194" s="202">
        <f t="shared" si="2"/>
        <v>103530</v>
      </c>
      <c r="L194" s="202">
        <v>20.3</v>
      </c>
      <c r="N194" s="202">
        <v>6248150</v>
      </c>
      <c r="S194" s="204"/>
      <c r="W194" s="198" t="s">
        <v>51</v>
      </c>
      <c r="AE194" s="198" t="s">
        <v>833</v>
      </c>
    </row>
    <row r="195" spans="3:31" x14ac:dyDescent="0.25">
      <c r="C195" s="201"/>
      <c r="E195" s="201"/>
      <c r="F195" s="201"/>
      <c r="I195" s="198" t="s">
        <v>582</v>
      </c>
      <c r="J195" s="198" t="s">
        <v>132</v>
      </c>
      <c r="K195" s="202">
        <f t="shared" ref="K195:K258" si="3">L195*5100</f>
        <v>104040</v>
      </c>
      <c r="L195" s="202">
        <v>20.399999999999999</v>
      </c>
      <c r="N195" s="202">
        <v>2401125</v>
      </c>
      <c r="S195" s="204"/>
      <c r="W195" s="198" t="s">
        <v>51</v>
      </c>
      <c r="AE195" s="198" t="s">
        <v>833</v>
      </c>
    </row>
    <row r="196" spans="3:31" x14ac:dyDescent="0.25">
      <c r="C196" s="201"/>
      <c r="E196" s="201"/>
      <c r="F196" s="201"/>
      <c r="I196" s="198" t="s">
        <v>582</v>
      </c>
      <c r="J196" s="198" t="s">
        <v>132</v>
      </c>
      <c r="K196" s="202">
        <f t="shared" si="3"/>
        <v>104550</v>
      </c>
      <c r="L196" s="202">
        <v>20.5</v>
      </c>
      <c r="N196" s="202">
        <v>6272850</v>
      </c>
      <c r="S196" s="204"/>
      <c r="W196" s="198" t="s">
        <v>51</v>
      </c>
      <c r="AE196" s="198" t="s">
        <v>833</v>
      </c>
    </row>
    <row r="197" spans="3:31" x14ac:dyDescent="0.25">
      <c r="C197" s="201"/>
      <c r="E197" s="201"/>
      <c r="F197" s="201"/>
      <c r="I197" s="198" t="s">
        <v>430</v>
      </c>
      <c r="J197" s="198" t="s">
        <v>130</v>
      </c>
      <c r="K197" s="202">
        <f t="shared" si="3"/>
        <v>105060</v>
      </c>
      <c r="L197" s="202">
        <v>20.6</v>
      </c>
      <c r="N197" s="202">
        <v>16721000</v>
      </c>
      <c r="S197" s="204"/>
      <c r="W197" s="198" t="s">
        <v>51</v>
      </c>
      <c r="AE197" s="198" t="s">
        <v>833</v>
      </c>
    </row>
    <row r="198" spans="3:31" x14ac:dyDescent="0.25">
      <c r="C198" s="201"/>
      <c r="E198" s="201"/>
      <c r="F198" s="201"/>
      <c r="I198" s="198" t="s">
        <v>430</v>
      </c>
      <c r="J198" s="198" t="s">
        <v>130</v>
      </c>
      <c r="K198" s="202">
        <f t="shared" si="3"/>
        <v>105570</v>
      </c>
      <c r="L198" s="202">
        <v>20.7</v>
      </c>
      <c r="N198" s="202">
        <v>16721000</v>
      </c>
      <c r="S198" s="204"/>
      <c r="W198" s="198" t="s">
        <v>51</v>
      </c>
      <c r="AE198" s="198" t="s">
        <v>833</v>
      </c>
    </row>
    <row r="199" spans="3:31" x14ac:dyDescent="0.25">
      <c r="C199" s="201"/>
      <c r="E199" s="201"/>
      <c r="F199" s="201"/>
      <c r="I199" s="198" t="s">
        <v>430</v>
      </c>
      <c r="J199" s="198" t="s">
        <v>130</v>
      </c>
      <c r="K199" s="202">
        <f t="shared" si="3"/>
        <v>106080</v>
      </c>
      <c r="L199" s="202">
        <v>20.8</v>
      </c>
      <c r="N199" s="202">
        <v>16721000</v>
      </c>
      <c r="S199" s="204"/>
      <c r="W199" s="198" t="s">
        <v>51</v>
      </c>
      <c r="AE199" s="198" t="s">
        <v>833</v>
      </c>
    </row>
    <row r="200" spans="3:31" x14ac:dyDescent="0.25">
      <c r="C200" s="201"/>
      <c r="E200" s="201"/>
      <c r="F200" s="201"/>
      <c r="I200" s="198" t="s">
        <v>430</v>
      </c>
      <c r="J200" s="198" t="s">
        <v>130</v>
      </c>
      <c r="K200" s="202">
        <f t="shared" si="3"/>
        <v>106590</v>
      </c>
      <c r="L200" s="202">
        <v>20.9</v>
      </c>
      <c r="N200" s="202">
        <v>16721000</v>
      </c>
      <c r="S200" s="204"/>
      <c r="W200" s="198" t="s">
        <v>51</v>
      </c>
      <c r="AE200" s="198" t="s">
        <v>833</v>
      </c>
    </row>
    <row r="201" spans="3:31" x14ac:dyDescent="0.25">
      <c r="C201" s="201"/>
      <c r="E201" s="201"/>
      <c r="F201" s="201"/>
      <c r="I201" s="198" t="s">
        <v>430</v>
      </c>
      <c r="J201" s="198" t="s">
        <v>130</v>
      </c>
      <c r="K201" s="202">
        <f t="shared" si="3"/>
        <v>107100</v>
      </c>
      <c r="L201" s="202">
        <v>21</v>
      </c>
      <c r="N201" s="202">
        <v>16721000</v>
      </c>
      <c r="S201" s="204"/>
      <c r="W201" s="198" t="s">
        <v>51</v>
      </c>
      <c r="AE201" s="198" t="s">
        <v>833</v>
      </c>
    </row>
    <row r="202" spans="3:31" x14ac:dyDescent="0.25">
      <c r="C202" s="201"/>
      <c r="E202" s="201"/>
      <c r="F202" s="201"/>
      <c r="I202" s="198" t="s">
        <v>836</v>
      </c>
      <c r="J202" s="198" t="s">
        <v>126</v>
      </c>
      <c r="K202" s="202">
        <f t="shared" si="3"/>
        <v>107610</v>
      </c>
      <c r="L202" s="202">
        <v>21.1</v>
      </c>
      <c r="N202" s="202">
        <v>6258125</v>
      </c>
      <c r="S202" s="204"/>
      <c r="W202" s="198" t="s">
        <v>51</v>
      </c>
      <c r="AE202" s="198" t="s">
        <v>835</v>
      </c>
    </row>
    <row r="203" spans="3:31" x14ac:dyDescent="0.25">
      <c r="C203" s="201"/>
      <c r="E203" s="201"/>
      <c r="F203" s="201"/>
      <c r="I203" s="198" t="s">
        <v>430</v>
      </c>
      <c r="J203" s="198" t="s">
        <v>130</v>
      </c>
      <c r="K203" s="202">
        <f t="shared" si="3"/>
        <v>108120</v>
      </c>
      <c r="L203" s="202">
        <v>21.2</v>
      </c>
      <c r="N203" s="202">
        <v>16721000</v>
      </c>
      <c r="S203" s="204"/>
      <c r="W203" s="198" t="s">
        <v>51</v>
      </c>
      <c r="AE203" s="198" t="s">
        <v>833</v>
      </c>
    </row>
    <row r="204" spans="3:31" x14ac:dyDescent="0.25">
      <c r="C204" s="201"/>
      <c r="E204" s="201"/>
      <c r="F204" s="201"/>
      <c r="I204" s="198" t="s">
        <v>430</v>
      </c>
      <c r="J204" s="198" t="s">
        <v>130</v>
      </c>
      <c r="K204" s="202">
        <f t="shared" si="3"/>
        <v>108630</v>
      </c>
      <c r="L204" s="202">
        <v>21.3</v>
      </c>
      <c r="N204" s="202">
        <v>16721000</v>
      </c>
      <c r="S204" s="204"/>
      <c r="W204" s="198" t="s">
        <v>51</v>
      </c>
      <c r="AE204" s="198" t="s">
        <v>833</v>
      </c>
    </row>
    <row r="205" spans="3:31" x14ac:dyDescent="0.25">
      <c r="C205" s="201"/>
      <c r="E205" s="201"/>
      <c r="F205" s="201"/>
      <c r="I205" s="198" t="s">
        <v>439</v>
      </c>
      <c r="J205" s="198" t="s">
        <v>126</v>
      </c>
      <c r="K205" s="202">
        <f t="shared" si="3"/>
        <v>109140</v>
      </c>
      <c r="L205" s="202">
        <v>21.4</v>
      </c>
      <c r="N205" s="202">
        <v>7112552.2000000002</v>
      </c>
      <c r="S205" s="204"/>
      <c r="W205" s="198" t="s">
        <v>51</v>
      </c>
      <c r="AE205" s="198" t="s">
        <v>835</v>
      </c>
    </row>
    <row r="206" spans="3:31" x14ac:dyDescent="0.25">
      <c r="C206" s="201"/>
      <c r="E206" s="201"/>
      <c r="F206" s="201"/>
      <c r="I206" s="198" t="s">
        <v>439</v>
      </c>
      <c r="J206" s="198" t="s">
        <v>126</v>
      </c>
      <c r="K206" s="202">
        <f t="shared" si="3"/>
        <v>109650</v>
      </c>
      <c r="L206" s="202">
        <v>21.5</v>
      </c>
      <c r="N206" s="202">
        <v>-7112552.2000000002</v>
      </c>
      <c r="S206" s="204"/>
      <c r="W206" s="198" t="s">
        <v>51</v>
      </c>
      <c r="AE206" s="198" t="s">
        <v>835</v>
      </c>
    </row>
    <row r="207" spans="3:31" x14ac:dyDescent="0.25">
      <c r="C207" s="201"/>
      <c r="E207" s="201"/>
      <c r="F207" s="201"/>
      <c r="I207" s="198" t="s">
        <v>577</v>
      </c>
      <c r="J207" s="198" t="s">
        <v>130</v>
      </c>
      <c r="K207" s="202">
        <f t="shared" si="3"/>
        <v>110160</v>
      </c>
      <c r="L207" s="202">
        <v>21.6</v>
      </c>
      <c r="N207" s="202">
        <v>2045115.54</v>
      </c>
      <c r="S207" s="204"/>
      <c r="W207" s="198" t="s">
        <v>51</v>
      </c>
      <c r="AE207" s="198" t="s">
        <v>833</v>
      </c>
    </row>
    <row r="208" spans="3:31" x14ac:dyDescent="0.25">
      <c r="C208" s="201"/>
      <c r="E208" s="201"/>
      <c r="F208" s="201"/>
      <c r="I208" s="198" t="s">
        <v>577</v>
      </c>
      <c r="J208" s="198" t="s">
        <v>130</v>
      </c>
      <c r="K208" s="202">
        <f t="shared" si="3"/>
        <v>110670</v>
      </c>
      <c r="L208" s="202">
        <v>21.7</v>
      </c>
      <c r="N208" s="202">
        <v>1628886.24</v>
      </c>
      <c r="S208" s="204"/>
      <c r="W208" s="198" t="s">
        <v>51</v>
      </c>
      <c r="AE208" s="198" t="s">
        <v>833</v>
      </c>
    </row>
    <row r="209" spans="3:31" x14ac:dyDescent="0.25">
      <c r="C209" s="201"/>
      <c r="E209" s="201"/>
      <c r="F209" s="201"/>
      <c r="I209" s="198" t="s">
        <v>577</v>
      </c>
      <c r="J209" s="198" t="s">
        <v>130</v>
      </c>
      <c r="K209" s="202">
        <f t="shared" si="3"/>
        <v>111180</v>
      </c>
      <c r="L209" s="202">
        <v>21.8</v>
      </c>
      <c r="N209" s="202">
        <v>1725776.94</v>
      </c>
      <c r="S209" s="204"/>
      <c r="W209" s="198" t="s">
        <v>51</v>
      </c>
      <c r="AE209" s="198" t="s">
        <v>833</v>
      </c>
    </row>
    <row r="210" spans="3:31" x14ac:dyDescent="0.25">
      <c r="C210" s="201"/>
      <c r="E210" s="201"/>
      <c r="F210" s="201"/>
      <c r="I210" s="198" t="s">
        <v>577</v>
      </c>
      <c r="J210" s="198" t="s">
        <v>130</v>
      </c>
      <c r="K210" s="202">
        <f t="shared" si="3"/>
        <v>111690</v>
      </c>
      <c r="L210" s="202">
        <v>21.9</v>
      </c>
      <c r="N210" s="202">
        <v>1741091.03</v>
      </c>
      <c r="S210" s="204"/>
      <c r="W210" s="198" t="s">
        <v>51</v>
      </c>
      <c r="AE210" s="198" t="s">
        <v>833</v>
      </c>
    </row>
    <row r="211" spans="3:31" x14ac:dyDescent="0.25">
      <c r="C211" s="201"/>
      <c r="E211" s="201"/>
      <c r="F211" s="201"/>
      <c r="I211" s="198" t="s">
        <v>439</v>
      </c>
      <c r="J211" s="198" t="s">
        <v>126</v>
      </c>
      <c r="K211" s="202">
        <f t="shared" si="3"/>
        <v>112200</v>
      </c>
      <c r="L211" s="202">
        <v>22</v>
      </c>
      <c r="N211" s="202">
        <v>7141097.5599999996</v>
      </c>
      <c r="S211" s="204"/>
      <c r="W211" s="198" t="s">
        <v>51</v>
      </c>
      <c r="AE211" s="198" t="s">
        <v>835</v>
      </c>
    </row>
    <row r="212" spans="3:31" x14ac:dyDescent="0.25">
      <c r="C212" s="201"/>
      <c r="E212" s="201"/>
      <c r="F212" s="201"/>
      <c r="I212" s="198" t="s">
        <v>129</v>
      </c>
      <c r="J212" s="198" t="s">
        <v>130</v>
      </c>
      <c r="K212" s="202">
        <f t="shared" si="3"/>
        <v>112710</v>
      </c>
      <c r="L212" s="202">
        <v>22.1</v>
      </c>
      <c r="N212" s="202">
        <v>99000</v>
      </c>
      <c r="S212" s="204"/>
      <c r="W212" s="198" t="s">
        <v>51</v>
      </c>
      <c r="AE212" s="198" t="s">
        <v>833</v>
      </c>
    </row>
    <row r="213" spans="3:31" x14ac:dyDescent="0.25">
      <c r="C213" s="201"/>
      <c r="E213" s="201"/>
      <c r="F213" s="201"/>
      <c r="I213" s="198" t="s">
        <v>129</v>
      </c>
      <c r="J213" s="198" t="s">
        <v>130</v>
      </c>
      <c r="K213" s="202">
        <f t="shared" si="3"/>
        <v>113220</v>
      </c>
      <c r="L213" s="202">
        <v>22.2</v>
      </c>
      <c r="N213" s="202">
        <v>2044980</v>
      </c>
      <c r="S213" s="204"/>
      <c r="W213" s="198" t="s">
        <v>51</v>
      </c>
      <c r="AE213" s="198" t="s">
        <v>833</v>
      </c>
    </row>
    <row r="214" spans="3:31" x14ac:dyDescent="0.25">
      <c r="C214" s="201"/>
      <c r="E214" s="201"/>
      <c r="F214" s="201"/>
      <c r="I214" s="198" t="s">
        <v>836</v>
      </c>
      <c r="J214" s="198" t="s">
        <v>126</v>
      </c>
      <c r="K214" s="202">
        <f t="shared" si="3"/>
        <v>113730</v>
      </c>
      <c r="L214" s="202">
        <v>22.3</v>
      </c>
      <c r="N214" s="202">
        <v>5215975</v>
      </c>
      <c r="S214" s="204"/>
      <c r="W214" s="198" t="s">
        <v>51</v>
      </c>
      <c r="AE214" s="198" t="s">
        <v>835</v>
      </c>
    </row>
    <row r="215" spans="3:31" x14ac:dyDescent="0.25">
      <c r="C215" s="201"/>
      <c r="E215" s="201"/>
      <c r="F215" s="201"/>
      <c r="I215" s="198" t="s">
        <v>836</v>
      </c>
      <c r="J215" s="198" t="s">
        <v>126</v>
      </c>
      <c r="K215" s="202">
        <f t="shared" si="3"/>
        <v>114240</v>
      </c>
      <c r="L215" s="202">
        <v>22.4</v>
      </c>
      <c r="N215" s="202">
        <v>5243525</v>
      </c>
      <c r="S215" s="204"/>
      <c r="W215" s="198" t="s">
        <v>51</v>
      </c>
      <c r="AE215" s="198" t="s">
        <v>835</v>
      </c>
    </row>
    <row r="216" spans="3:31" x14ac:dyDescent="0.25">
      <c r="C216" s="201"/>
      <c r="E216" s="201"/>
      <c r="F216" s="201"/>
      <c r="I216" s="198" t="s">
        <v>836</v>
      </c>
      <c r="J216" s="198" t="s">
        <v>126</v>
      </c>
      <c r="K216" s="202">
        <f t="shared" si="3"/>
        <v>114750</v>
      </c>
      <c r="L216" s="202">
        <v>22.5</v>
      </c>
      <c r="N216" s="202">
        <v>5227375</v>
      </c>
      <c r="S216" s="204"/>
      <c r="W216" s="198" t="s">
        <v>51</v>
      </c>
      <c r="AE216" s="198" t="s">
        <v>835</v>
      </c>
    </row>
    <row r="217" spans="3:31" x14ac:dyDescent="0.25">
      <c r="C217" s="201"/>
      <c r="E217" s="201"/>
      <c r="F217" s="201"/>
      <c r="I217" s="198" t="s">
        <v>836</v>
      </c>
      <c r="J217" s="198" t="s">
        <v>126</v>
      </c>
      <c r="K217" s="202">
        <f t="shared" si="3"/>
        <v>115260</v>
      </c>
      <c r="L217" s="202">
        <v>22.6</v>
      </c>
      <c r="N217" s="202">
        <v>5300525</v>
      </c>
      <c r="S217" s="204"/>
      <c r="W217" s="198" t="s">
        <v>51</v>
      </c>
      <c r="AE217" s="198" t="s">
        <v>835</v>
      </c>
    </row>
    <row r="218" spans="3:31" x14ac:dyDescent="0.25">
      <c r="C218" s="201"/>
      <c r="E218" s="201"/>
      <c r="F218" s="201"/>
      <c r="I218" s="198" t="s">
        <v>836</v>
      </c>
      <c r="J218" s="198" t="s">
        <v>126</v>
      </c>
      <c r="K218" s="202">
        <f t="shared" si="3"/>
        <v>115770</v>
      </c>
      <c r="L218" s="202">
        <v>22.7</v>
      </c>
      <c r="N218" s="202">
        <v>5255400</v>
      </c>
      <c r="S218" s="204"/>
      <c r="W218" s="198" t="s">
        <v>51</v>
      </c>
      <c r="AE218" s="198" t="s">
        <v>835</v>
      </c>
    </row>
    <row r="219" spans="3:31" x14ac:dyDescent="0.25">
      <c r="C219" s="201"/>
      <c r="E219" s="201"/>
      <c r="F219" s="201"/>
      <c r="I219" s="198" t="s">
        <v>836</v>
      </c>
      <c r="J219" s="198" t="s">
        <v>126</v>
      </c>
      <c r="K219" s="202">
        <f t="shared" si="3"/>
        <v>116280</v>
      </c>
      <c r="L219" s="202">
        <v>22.8</v>
      </c>
      <c r="N219" s="202">
        <v>5266325</v>
      </c>
      <c r="S219" s="204"/>
      <c r="W219" s="198" t="s">
        <v>51</v>
      </c>
      <c r="AE219" s="198" t="s">
        <v>835</v>
      </c>
    </row>
    <row r="220" spans="3:31" x14ac:dyDescent="0.25">
      <c r="C220" s="201"/>
      <c r="E220" s="201"/>
      <c r="F220" s="201"/>
      <c r="I220" s="198" t="s">
        <v>836</v>
      </c>
      <c r="J220" s="198" t="s">
        <v>126</v>
      </c>
      <c r="K220" s="202">
        <f t="shared" si="3"/>
        <v>116790</v>
      </c>
      <c r="L220" s="202">
        <v>22.9</v>
      </c>
      <c r="N220" s="202">
        <v>5245900</v>
      </c>
      <c r="S220" s="204"/>
      <c r="W220" s="198" t="s">
        <v>51</v>
      </c>
      <c r="AE220" s="198" t="s">
        <v>835</v>
      </c>
    </row>
    <row r="221" spans="3:31" x14ac:dyDescent="0.25">
      <c r="C221" s="201"/>
      <c r="E221" s="201"/>
      <c r="F221" s="201"/>
      <c r="I221" s="198" t="s">
        <v>184</v>
      </c>
      <c r="J221" s="198" t="s">
        <v>169</v>
      </c>
      <c r="K221" s="202">
        <f t="shared" si="3"/>
        <v>117300</v>
      </c>
      <c r="L221" s="202">
        <v>23</v>
      </c>
      <c r="N221" s="202">
        <v>52496</v>
      </c>
      <c r="S221" s="203"/>
      <c r="W221" s="198" t="s">
        <v>51</v>
      </c>
      <c r="AE221" s="198" t="s">
        <v>831</v>
      </c>
    </row>
    <row r="222" spans="3:31" x14ac:dyDescent="0.25">
      <c r="C222" s="201"/>
      <c r="E222" s="201"/>
      <c r="F222" s="201"/>
      <c r="I222" s="198" t="s">
        <v>177</v>
      </c>
      <c r="J222" s="198" t="s">
        <v>167</v>
      </c>
      <c r="K222" s="202">
        <f t="shared" si="3"/>
        <v>117810</v>
      </c>
      <c r="L222" s="202">
        <v>23.1</v>
      </c>
      <c r="N222" s="202">
        <v>83993.600000000006</v>
      </c>
      <c r="S222" s="203"/>
      <c r="W222" s="198" t="s">
        <v>51</v>
      </c>
      <c r="AE222" s="198" t="s">
        <v>831</v>
      </c>
    </row>
    <row r="223" spans="3:31" x14ac:dyDescent="0.25">
      <c r="C223" s="201"/>
      <c r="E223" s="201"/>
      <c r="F223" s="201"/>
      <c r="I223" s="198" t="s">
        <v>48</v>
      </c>
      <c r="J223" s="198" t="s">
        <v>65</v>
      </c>
      <c r="K223" s="202">
        <f t="shared" si="3"/>
        <v>118320</v>
      </c>
      <c r="L223" s="202">
        <v>23.2</v>
      </c>
      <c r="N223" s="202">
        <v>8399.36</v>
      </c>
      <c r="S223" s="203"/>
      <c r="W223" s="198" t="s">
        <v>51</v>
      </c>
      <c r="AE223" s="198" t="s">
        <v>831</v>
      </c>
    </row>
    <row r="224" spans="3:31" x14ac:dyDescent="0.25">
      <c r="C224" s="201"/>
      <c r="E224" s="201"/>
      <c r="F224" s="201"/>
      <c r="I224" s="198" t="s">
        <v>221</v>
      </c>
      <c r="J224" s="198" t="s">
        <v>112</v>
      </c>
      <c r="K224" s="202">
        <f t="shared" si="3"/>
        <v>118830</v>
      </c>
      <c r="L224" s="202">
        <v>23.3</v>
      </c>
      <c r="N224" s="202">
        <v>3606687.5</v>
      </c>
      <c r="S224" s="203"/>
      <c r="W224" s="198" t="s">
        <v>51</v>
      </c>
      <c r="AE224" s="198" t="s">
        <v>831</v>
      </c>
    </row>
    <row r="225" spans="3:31" x14ac:dyDescent="0.25">
      <c r="C225" s="201"/>
      <c r="E225" s="201"/>
      <c r="F225" s="201"/>
      <c r="I225" s="198" t="s">
        <v>221</v>
      </c>
      <c r="J225" s="198" t="s">
        <v>112</v>
      </c>
      <c r="K225" s="202">
        <f t="shared" si="3"/>
        <v>119340</v>
      </c>
      <c r="L225" s="202">
        <v>23.4</v>
      </c>
      <c r="N225" s="202">
        <v>3552157.83</v>
      </c>
      <c r="S225" s="203"/>
      <c r="W225" s="198" t="s">
        <v>51</v>
      </c>
      <c r="AE225" s="198" t="s">
        <v>831</v>
      </c>
    </row>
    <row r="226" spans="3:31" x14ac:dyDescent="0.25">
      <c r="C226" s="201"/>
      <c r="E226" s="201"/>
      <c r="F226" s="201"/>
      <c r="I226" s="198" t="s">
        <v>221</v>
      </c>
      <c r="J226" s="198" t="s">
        <v>112</v>
      </c>
      <c r="K226" s="202">
        <f t="shared" si="3"/>
        <v>119850</v>
      </c>
      <c r="L226" s="202">
        <v>23.5</v>
      </c>
      <c r="N226" s="202">
        <v>1255503.6000000001</v>
      </c>
      <c r="S226" s="203"/>
      <c r="W226" s="198" t="s">
        <v>51</v>
      </c>
      <c r="AE226" s="198" t="s">
        <v>831</v>
      </c>
    </row>
    <row r="227" spans="3:31" x14ac:dyDescent="0.25">
      <c r="C227" s="201"/>
      <c r="E227" s="201"/>
      <c r="F227" s="201"/>
      <c r="I227" s="198" t="s">
        <v>221</v>
      </c>
      <c r="J227" s="198" t="s">
        <v>112</v>
      </c>
      <c r="K227" s="202">
        <f t="shared" si="3"/>
        <v>120360</v>
      </c>
      <c r="L227" s="202">
        <v>23.6</v>
      </c>
      <c r="N227" s="202">
        <v>837002.4</v>
      </c>
      <c r="S227" s="203"/>
      <c r="W227" s="198" t="s">
        <v>51</v>
      </c>
      <c r="AE227" s="198" t="s">
        <v>831</v>
      </c>
    </row>
    <row r="228" spans="3:31" x14ac:dyDescent="0.25">
      <c r="C228" s="201"/>
      <c r="E228" s="201"/>
      <c r="F228" s="201"/>
      <c r="I228" s="198" t="s">
        <v>215</v>
      </c>
      <c r="J228" s="198" t="s">
        <v>89</v>
      </c>
      <c r="K228" s="202">
        <f t="shared" si="3"/>
        <v>120870</v>
      </c>
      <c r="L228" s="202">
        <v>23.7</v>
      </c>
      <c r="N228" s="202">
        <v>3363750</v>
      </c>
      <c r="S228" s="204"/>
      <c r="W228" s="198" t="s">
        <v>51</v>
      </c>
      <c r="AE228" s="198" t="s">
        <v>831</v>
      </c>
    </row>
    <row r="229" spans="3:31" x14ac:dyDescent="0.25">
      <c r="C229" s="201"/>
      <c r="E229" s="201"/>
      <c r="F229" s="201"/>
      <c r="I229" s="198" t="s">
        <v>215</v>
      </c>
      <c r="J229" s="198" t="s">
        <v>89</v>
      </c>
      <c r="K229" s="202">
        <f t="shared" si="3"/>
        <v>121380</v>
      </c>
      <c r="L229" s="202">
        <v>23.8</v>
      </c>
      <c r="N229" s="202">
        <v>3312891.83</v>
      </c>
      <c r="S229" s="203"/>
      <c r="W229" s="198" t="s">
        <v>51</v>
      </c>
      <c r="AE229" s="198" t="s">
        <v>831</v>
      </c>
    </row>
    <row r="230" spans="3:31" x14ac:dyDescent="0.25">
      <c r="C230" s="201"/>
      <c r="E230" s="201"/>
      <c r="F230" s="201"/>
      <c r="I230" s="198" t="s">
        <v>215</v>
      </c>
      <c r="J230" s="198" t="s">
        <v>89</v>
      </c>
      <c r="K230" s="202">
        <f t="shared" si="3"/>
        <v>121890</v>
      </c>
      <c r="L230" s="202">
        <v>23.9</v>
      </c>
      <c r="N230" s="202">
        <v>1170936</v>
      </c>
      <c r="S230" s="203"/>
      <c r="W230" s="198" t="s">
        <v>51</v>
      </c>
      <c r="AE230" s="198" t="s">
        <v>831</v>
      </c>
    </row>
    <row r="231" spans="3:31" x14ac:dyDescent="0.25">
      <c r="C231" s="201"/>
      <c r="E231" s="201"/>
      <c r="F231" s="201"/>
      <c r="I231" s="198" t="s">
        <v>215</v>
      </c>
      <c r="J231" s="198" t="s">
        <v>89</v>
      </c>
      <c r="K231" s="202">
        <f t="shared" si="3"/>
        <v>122400</v>
      </c>
      <c r="L231" s="202">
        <v>24</v>
      </c>
      <c r="N231" s="202">
        <v>780624</v>
      </c>
      <c r="S231" s="203"/>
      <c r="W231" s="198" t="s">
        <v>51</v>
      </c>
      <c r="AE231" s="198" t="s">
        <v>831</v>
      </c>
    </row>
    <row r="232" spans="3:31" x14ac:dyDescent="0.25">
      <c r="C232" s="201"/>
      <c r="E232" s="201"/>
      <c r="F232" s="201"/>
      <c r="I232" s="198" t="s">
        <v>836</v>
      </c>
      <c r="J232" s="198" t="s">
        <v>126</v>
      </c>
      <c r="K232" s="202">
        <f t="shared" si="3"/>
        <v>122910</v>
      </c>
      <c r="L232" s="202">
        <v>24.1</v>
      </c>
      <c r="N232" s="202">
        <v>5290075</v>
      </c>
      <c r="S232" s="204"/>
      <c r="W232" s="198" t="s">
        <v>51</v>
      </c>
      <c r="AE232" s="198" t="s">
        <v>835</v>
      </c>
    </row>
    <row r="233" spans="3:31" x14ac:dyDescent="0.25">
      <c r="C233" s="201"/>
      <c r="E233" s="201"/>
      <c r="F233" s="201"/>
      <c r="I233" s="198" t="s">
        <v>836</v>
      </c>
      <c r="J233" s="198" t="s">
        <v>126</v>
      </c>
      <c r="K233" s="202">
        <f t="shared" si="3"/>
        <v>123420</v>
      </c>
      <c r="L233" s="202">
        <v>24.2</v>
      </c>
      <c r="N233" s="202">
        <v>5282000</v>
      </c>
      <c r="S233" s="204"/>
      <c r="W233" s="198" t="s">
        <v>51</v>
      </c>
      <c r="AE233" s="198" t="s">
        <v>835</v>
      </c>
    </row>
    <row r="234" spans="3:31" x14ac:dyDescent="0.25">
      <c r="C234" s="201"/>
      <c r="E234" s="201"/>
      <c r="F234" s="201"/>
      <c r="I234" s="198" t="s">
        <v>836</v>
      </c>
      <c r="J234" s="198" t="s">
        <v>126</v>
      </c>
      <c r="K234" s="202">
        <f t="shared" si="3"/>
        <v>123930</v>
      </c>
      <c r="L234" s="202">
        <v>24.3</v>
      </c>
      <c r="N234" s="202">
        <v>5276775</v>
      </c>
      <c r="S234" s="204"/>
      <c r="W234" s="198" t="s">
        <v>51</v>
      </c>
      <c r="AE234" s="198" t="s">
        <v>835</v>
      </c>
    </row>
    <row r="235" spans="3:31" x14ac:dyDescent="0.25">
      <c r="C235" s="201"/>
      <c r="E235" s="201"/>
      <c r="F235" s="201"/>
      <c r="I235" s="198" t="s">
        <v>836</v>
      </c>
      <c r="J235" s="198" t="s">
        <v>126</v>
      </c>
      <c r="K235" s="202">
        <f t="shared" si="3"/>
        <v>124440</v>
      </c>
      <c r="L235" s="202">
        <v>24.4</v>
      </c>
      <c r="N235" s="202">
        <v>5285325</v>
      </c>
      <c r="S235" s="204"/>
      <c r="W235" s="198" t="s">
        <v>51</v>
      </c>
      <c r="AE235" s="198" t="s">
        <v>835</v>
      </c>
    </row>
    <row r="236" spans="3:31" x14ac:dyDescent="0.25">
      <c r="C236" s="201"/>
      <c r="E236" s="201"/>
      <c r="F236" s="201"/>
      <c r="I236" s="198" t="s">
        <v>439</v>
      </c>
      <c r="J236" s="198" t="s">
        <v>126</v>
      </c>
      <c r="K236" s="202">
        <f t="shared" si="3"/>
        <v>124950</v>
      </c>
      <c r="L236" s="202">
        <v>24.5</v>
      </c>
      <c r="N236" s="202">
        <v>5380800.3600000003</v>
      </c>
      <c r="S236" s="204"/>
      <c r="W236" s="198" t="s">
        <v>51</v>
      </c>
      <c r="AE236" s="198" t="s">
        <v>835</v>
      </c>
    </row>
    <row r="237" spans="3:31" x14ac:dyDescent="0.25">
      <c r="C237" s="201"/>
      <c r="E237" s="201"/>
      <c r="F237" s="201"/>
      <c r="I237" s="198" t="s">
        <v>439</v>
      </c>
      <c r="J237" s="198" t="s">
        <v>126</v>
      </c>
      <c r="K237" s="202">
        <f t="shared" si="3"/>
        <v>125460</v>
      </c>
      <c r="L237" s="202">
        <v>24.6</v>
      </c>
      <c r="N237" s="202">
        <v>7172021.7000000002</v>
      </c>
      <c r="S237" s="204"/>
      <c r="W237" s="198" t="s">
        <v>51</v>
      </c>
      <c r="AE237" s="198" t="s">
        <v>835</v>
      </c>
    </row>
    <row r="238" spans="3:31" x14ac:dyDescent="0.25">
      <c r="C238" s="201"/>
      <c r="E238" s="201"/>
      <c r="F238" s="201"/>
      <c r="I238" s="198" t="s">
        <v>77</v>
      </c>
      <c r="J238" s="198" t="s">
        <v>65</v>
      </c>
      <c r="K238" s="202">
        <f t="shared" si="3"/>
        <v>125970</v>
      </c>
      <c r="L238" s="202">
        <v>24.7</v>
      </c>
      <c r="N238" s="202">
        <v>93442.880000000005</v>
      </c>
      <c r="S238" s="203"/>
      <c r="W238" s="198" t="s">
        <v>51</v>
      </c>
      <c r="AE238" s="198" t="s">
        <v>831</v>
      </c>
    </row>
    <row r="239" spans="3:31" x14ac:dyDescent="0.25">
      <c r="C239" s="201"/>
      <c r="E239" s="201"/>
      <c r="F239" s="201"/>
      <c r="I239" s="198" t="s">
        <v>204</v>
      </c>
      <c r="J239" s="198" t="s">
        <v>169</v>
      </c>
      <c r="K239" s="202">
        <f t="shared" si="3"/>
        <v>126480</v>
      </c>
      <c r="L239" s="202">
        <v>24.8</v>
      </c>
      <c r="N239" s="202">
        <v>5000000</v>
      </c>
      <c r="S239" s="204"/>
      <c r="W239" s="198" t="s">
        <v>51</v>
      </c>
      <c r="AE239" s="198" t="s">
        <v>831</v>
      </c>
    </row>
    <row r="240" spans="3:31" x14ac:dyDescent="0.25">
      <c r="C240" s="201"/>
      <c r="E240" s="201"/>
      <c r="F240" s="201"/>
      <c r="I240" s="198" t="s">
        <v>204</v>
      </c>
      <c r="J240" s="198" t="s">
        <v>169</v>
      </c>
      <c r="K240" s="202">
        <f t="shared" si="3"/>
        <v>126990</v>
      </c>
      <c r="L240" s="202">
        <v>24.9</v>
      </c>
      <c r="N240" s="202">
        <v>35880000</v>
      </c>
      <c r="S240" s="204"/>
      <c r="W240" s="198" t="s">
        <v>51</v>
      </c>
      <c r="AE240" s="198" t="s">
        <v>831</v>
      </c>
    </row>
    <row r="241" spans="3:31" x14ac:dyDescent="0.25">
      <c r="C241" s="201"/>
      <c r="E241" s="201"/>
      <c r="F241" s="201"/>
      <c r="I241" s="198" t="s">
        <v>204</v>
      </c>
      <c r="J241" s="198" t="s">
        <v>169</v>
      </c>
      <c r="K241" s="202">
        <f t="shared" si="3"/>
        <v>127500</v>
      </c>
      <c r="L241" s="202">
        <v>25</v>
      </c>
      <c r="N241" s="202">
        <v>28955445</v>
      </c>
      <c r="S241" s="204"/>
      <c r="W241" s="198" t="s">
        <v>51</v>
      </c>
      <c r="AE241" s="198" t="s">
        <v>831</v>
      </c>
    </row>
    <row r="242" spans="3:31" x14ac:dyDescent="0.25">
      <c r="C242" s="201"/>
      <c r="E242" s="201"/>
      <c r="F242" s="201"/>
      <c r="I242" s="198" t="s">
        <v>204</v>
      </c>
      <c r="J242" s="198" t="s">
        <v>169</v>
      </c>
      <c r="K242" s="202">
        <f t="shared" si="3"/>
        <v>128010</v>
      </c>
      <c r="L242" s="202">
        <v>25.1</v>
      </c>
      <c r="N242" s="202">
        <v>14601600</v>
      </c>
      <c r="S242" s="204"/>
      <c r="W242" s="198" t="s">
        <v>51</v>
      </c>
      <c r="AE242" s="198" t="s">
        <v>831</v>
      </c>
    </row>
    <row r="243" spans="3:31" x14ac:dyDescent="0.25">
      <c r="C243" s="201"/>
      <c r="E243" s="201"/>
      <c r="F243" s="201"/>
      <c r="I243" s="198" t="s">
        <v>204</v>
      </c>
      <c r="J243" s="198" t="s">
        <v>169</v>
      </c>
      <c r="K243" s="202">
        <f t="shared" si="3"/>
        <v>128520</v>
      </c>
      <c r="L243" s="202">
        <v>25.2</v>
      </c>
      <c r="N243" s="202">
        <v>9734400</v>
      </c>
      <c r="S243" s="204"/>
      <c r="W243" s="198" t="s">
        <v>51</v>
      </c>
      <c r="AE243" s="198" t="s">
        <v>831</v>
      </c>
    </row>
    <row r="244" spans="3:31" x14ac:dyDescent="0.25">
      <c r="C244" s="201"/>
      <c r="E244" s="201"/>
      <c r="F244" s="201"/>
      <c r="I244" s="198" t="s">
        <v>204</v>
      </c>
      <c r="J244" s="198" t="s">
        <v>169</v>
      </c>
      <c r="K244" s="202">
        <f t="shared" si="3"/>
        <v>129030</v>
      </c>
      <c r="L244" s="202">
        <v>25.3</v>
      </c>
      <c r="N244" s="202">
        <v>4735113.2</v>
      </c>
      <c r="S244" s="203"/>
      <c r="W244" s="198" t="s">
        <v>51</v>
      </c>
      <c r="AE244" s="198" t="s">
        <v>831</v>
      </c>
    </row>
    <row r="245" spans="3:31" x14ac:dyDescent="0.25">
      <c r="C245" s="201"/>
      <c r="E245" s="201"/>
      <c r="F245" s="201"/>
      <c r="I245" s="198" t="s">
        <v>204</v>
      </c>
      <c r="J245" s="198" t="s">
        <v>169</v>
      </c>
      <c r="K245" s="202">
        <f t="shared" si="3"/>
        <v>129540</v>
      </c>
      <c r="L245" s="202">
        <v>25.4</v>
      </c>
      <c r="N245" s="202">
        <v>2660196.5</v>
      </c>
      <c r="S245" s="203"/>
      <c r="W245" s="198" t="s">
        <v>51</v>
      </c>
      <c r="AE245" s="198" t="s">
        <v>831</v>
      </c>
    </row>
    <row r="246" spans="3:31" x14ac:dyDescent="0.25">
      <c r="C246" s="201"/>
      <c r="E246" s="201"/>
      <c r="F246" s="201"/>
      <c r="I246" s="198" t="s">
        <v>204</v>
      </c>
      <c r="J246" s="198" t="s">
        <v>169</v>
      </c>
      <c r="K246" s="202">
        <f t="shared" si="3"/>
        <v>130050</v>
      </c>
      <c r="L246" s="202">
        <v>25.5</v>
      </c>
      <c r="N246" s="202">
        <v>2668000</v>
      </c>
      <c r="S246" s="204"/>
      <c r="W246" s="198" t="s">
        <v>51</v>
      </c>
      <c r="AE246" s="198" t="s">
        <v>831</v>
      </c>
    </row>
    <row r="247" spans="3:31" x14ac:dyDescent="0.25">
      <c r="C247" s="201"/>
      <c r="E247" s="201"/>
      <c r="F247" s="201"/>
      <c r="I247" s="198" t="s">
        <v>204</v>
      </c>
      <c r="J247" s="198" t="s">
        <v>169</v>
      </c>
      <c r="K247" s="202">
        <f t="shared" si="3"/>
        <v>130560</v>
      </c>
      <c r="L247" s="202">
        <v>25.6</v>
      </c>
      <c r="N247" s="202">
        <v>436875</v>
      </c>
      <c r="S247" s="204"/>
      <c r="W247" s="198" t="s">
        <v>51</v>
      </c>
      <c r="AE247" s="198" t="s">
        <v>831</v>
      </c>
    </row>
    <row r="248" spans="3:31" x14ac:dyDescent="0.25">
      <c r="C248" s="201"/>
      <c r="E248" s="201"/>
      <c r="F248" s="201"/>
      <c r="I248" s="198" t="s">
        <v>206</v>
      </c>
      <c r="J248" s="198" t="s">
        <v>169</v>
      </c>
      <c r="K248" s="202">
        <f t="shared" si="3"/>
        <v>131070</v>
      </c>
      <c r="L248" s="202">
        <v>25.7</v>
      </c>
      <c r="N248" s="202">
        <v>8409375</v>
      </c>
      <c r="S248" s="204"/>
      <c r="W248" s="198" t="s">
        <v>51</v>
      </c>
      <c r="AE248" s="198" t="s">
        <v>831</v>
      </c>
    </row>
    <row r="249" spans="3:31" x14ac:dyDescent="0.25">
      <c r="C249" s="201"/>
      <c r="E249" s="201"/>
      <c r="F249" s="201"/>
      <c r="I249" s="198" t="s">
        <v>206</v>
      </c>
      <c r="J249" s="198" t="s">
        <v>169</v>
      </c>
      <c r="K249" s="202">
        <f t="shared" si="3"/>
        <v>131580</v>
      </c>
      <c r="L249" s="202">
        <v>25.8</v>
      </c>
      <c r="N249" s="202">
        <v>8282233.6699999999</v>
      </c>
      <c r="S249" s="203"/>
      <c r="W249" s="198" t="s">
        <v>51</v>
      </c>
      <c r="AE249" s="198" t="s">
        <v>831</v>
      </c>
    </row>
    <row r="250" spans="3:31" x14ac:dyDescent="0.25">
      <c r="C250" s="201"/>
      <c r="E250" s="201"/>
      <c r="F250" s="201"/>
      <c r="I250" s="198" t="s">
        <v>206</v>
      </c>
      <c r="J250" s="198" t="s">
        <v>169</v>
      </c>
      <c r="K250" s="202">
        <f t="shared" si="3"/>
        <v>132090</v>
      </c>
      <c r="L250" s="202">
        <v>25.9</v>
      </c>
      <c r="N250" s="202">
        <v>2864160</v>
      </c>
      <c r="S250" s="203"/>
      <c r="W250" s="198" t="s">
        <v>51</v>
      </c>
      <c r="AE250" s="198" t="s">
        <v>831</v>
      </c>
    </row>
    <row r="251" spans="3:31" x14ac:dyDescent="0.25">
      <c r="C251" s="201"/>
      <c r="E251" s="201"/>
      <c r="F251" s="201"/>
      <c r="I251" s="198" t="s">
        <v>206</v>
      </c>
      <c r="J251" s="198" t="s">
        <v>169</v>
      </c>
      <c r="K251" s="202">
        <f t="shared" si="3"/>
        <v>132600</v>
      </c>
      <c r="L251" s="202">
        <v>26</v>
      </c>
      <c r="N251" s="202">
        <v>1909440</v>
      </c>
      <c r="S251" s="203"/>
      <c r="W251" s="198" t="s">
        <v>51</v>
      </c>
      <c r="AE251" s="198" t="s">
        <v>831</v>
      </c>
    </row>
    <row r="252" spans="3:31" x14ac:dyDescent="0.25">
      <c r="C252" s="201"/>
      <c r="E252" s="201"/>
      <c r="F252" s="201"/>
      <c r="I252" s="198" t="s">
        <v>207</v>
      </c>
      <c r="J252" s="198" t="s">
        <v>169</v>
      </c>
      <c r="K252" s="202">
        <f t="shared" si="3"/>
        <v>133110</v>
      </c>
      <c r="L252" s="202">
        <v>26.1</v>
      </c>
      <c r="N252" s="202">
        <v>1308125</v>
      </c>
      <c r="S252" s="204"/>
      <c r="W252" s="198" t="s">
        <v>51</v>
      </c>
      <c r="AE252" s="198" t="s">
        <v>831</v>
      </c>
    </row>
    <row r="253" spans="3:31" x14ac:dyDescent="0.25">
      <c r="C253" s="201"/>
      <c r="E253" s="201"/>
      <c r="F253" s="201"/>
      <c r="I253" s="198" t="s">
        <v>207</v>
      </c>
      <c r="J253" s="198" t="s">
        <v>169</v>
      </c>
      <c r="K253" s="202">
        <f t="shared" si="3"/>
        <v>133620</v>
      </c>
      <c r="L253" s="202">
        <v>26.2</v>
      </c>
      <c r="N253" s="202">
        <v>1279980</v>
      </c>
      <c r="S253" s="204"/>
      <c r="W253" s="198" t="s">
        <v>51</v>
      </c>
      <c r="AE253" s="198" t="s">
        <v>831</v>
      </c>
    </row>
    <row r="254" spans="3:31" x14ac:dyDescent="0.25">
      <c r="C254" s="201"/>
      <c r="E254" s="201"/>
      <c r="F254" s="201"/>
      <c r="I254" s="198" t="s">
        <v>207</v>
      </c>
      <c r="J254" s="198" t="s">
        <v>169</v>
      </c>
      <c r="K254" s="202">
        <f t="shared" si="3"/>
        <v>134130</v>
      </c>
      <c r="L254" s="202">
        <v>26.3</v>
      </c>
      <c r="N254" s="202">
        <v>445536</v>
      </c>
      <c r="S254" s="203"/>
      <c r="W254" s="198" t="s">
        <v>51</v>
      </c>
      <c r="AE254" s="198" t="s">
        <v>831</v>
      </c>
    </row>
    <row r="255" spans="3:31" x14ac:dyDescent="0.25">
      <c r="C255" s="201"/>
      <c r="E255" s="201"/>
      <c r="F255" s="201"/>
      <c r="I255" s="198" t="s">
        <v>207</v>
      </c>
      <c r="J255" s="198" t="s">
        <v>169</v>
      </c>
      <c r="K255" s="202">
        <f t="shared" si="3"/>
        <v>134640</v>
      </c>
      <c r="L255" s="202">
        <v>26.4</v>
      </c>
      <c r="N255" s="202">
        <v>297024</v>
      </c>
      <c r="S255" s="203"/>
      <c r="W255" s="198" t="s">
        <v>51</v>
      </c>
      <c r="AE255" s="198" t="s">
        <v>831</v>
      </c>
    </row>
    <row r="256" spans="3:31" x14ac:dyDescent="0.25">
      <c r="C256" s="201"/>
      <c r="E256" s="201"/>
      <c r="F256" s="201"/>
      <c r="I256" s="198" t="s">
        <v>727</v>
      </c>
      <c r="J256" s="198" t="s">
        <v>169</v>
      </c>
      <c r="K256" s="202">
        <f t="shared" si="3"/>
        <v>135150</v>
      </c>
      <c r="L256" s="202">
        <v>26.5</v>
      </c>
      <c r="N256" s="202">
        <v>747500</v>
      </c>
      <c r="S256" s="204"/>
      <c r="W256" s="198" t="s">
        <v>51</v>
      </c>
      <c r="AE256" s="198" t="s">
        <v>831</v>
      </c>
    </row>
    <row r="257" spans="3:31" x14ac:dyDescent="0.25">
      <c r="C257" s="201"/>
      <c r="E257" s="201"/>
      <c r="F257" s="201"/>
      <c r="I257" s="198" t="s">
        <v>727</v>
      </c>
      <c r="J257" s="198" t="s">
        <v>169</v>
      </c>
      <c r="K257" s="202">
        <f t="shared" si="3"/>
        <v>135660</v>
      </c>
      <c r="L257" s="202">
        <v>26.6</v>
      </c>
      <c r="N257" s="202">
        <v>607170</v>
      </c>
      <c r="S257" s="204"/>
      <c r="W257" s="198" t="s">
        <v>51</v>
      </c>
      <c r="AE257" s="198" t="s">
        <v>831</v>
      </c>
    </row>
    <row r="258" spans="3:31" x14ac:dyDescent="0.25">
      <c r="C258" s="201"/>
      <c r="E258" s="201"/>
      <c r="F258" s="201"/>
      <c r="I258" s="198" t="s">
        <v>727</v>
      </c>
      <c r="J258" s="198" t="s">
        <v>169</v>
      </c>
      <c r="K258" s="202">
        <f t="shared" si="3"/>
        <v>136170</v>
      </c>
      <c r="L258" s="202">
        <v>26.7</v>
      </c>
      <c r="N258" s="202">
        <v>254592</v>
      </c>
      <c r="S258" s="203"/>
      <c r="W258" s="198" t="s">
        <v>51</v>
      </c>
      <c r="AE258" s="198" t="s">
        <v>831</v>
      </c>
    </row>
    <row r="259" spans="3:31" x14ac:dyDescent="0.25">
      <c r="C259" s="201"/>
      <c r="E259" s="201"/>
      <c r="F259" s="201"/>
      <c r="I259" s="198" t="s">
        <v>727</v>
      </c>
      <c r="J259" s="198" t="s">
        <v>169</v>
      </c>
      <c r="K259" s="202">
        <f t="shared" ref="K259:K322" si="4">L259*5100</f>
        <v>136680</v>
      </c>
      <c r="L259" s="202">
        <v>26.8</v>
      </c>
      <c r="N259" s="202">
        <v>169728</v>
      </c>
      <c r="S259" s="203"/>
      <c r="W259" s="198" t="s">
        <v>51</v>
      </c>
      <c r="AE259" s="198" t="s">
        <v>831</v>
      </c>
    </row>
    <row r="260" spans="3:31" x14ac:dyDescent="0.25">
      <c r="C260" s="201"/>
      <c r="E260" s="201"/>
      <c r="F260" s="201"/>
      <c r="I260" s="198" t="s">
        <v>202</v>
      </c>
      <c r="J260" s="198" t="s">
        <v>65</v>
      </c>
      <c r="K260" s="202">
        <f t="shared" si="4"/>
        <v>137190</v>
      </c>
      <c r="L260" s="202">
        <v>26.9</v>
      </c>
      <c r="N260" s="202">
        <v>5000000</v>
      </c>
      <c r="S260" s="204"/>
      <c r="W260" s="198" t="s">
        <v>51</v>
      </c>
      <c r="AE260" s="198" t="s">
        <v>831</v>
      </c>
    </row>
    <row r="261" spans="3:31" x14ac:dyDescent="0.25">
      <c r="C261" s="201"/>
      <c r="E261" s="201"/>
      <c r="F261" s="201"/>
      <c r="I261" s="198" t="s">
        <v>202</v>
      </c>
      <c r="J261" s="198" t="s">
        <v>65</v>
      </c>
      <c r="K261" s="202">
        <f t="shared" si="4"/>
        <v>137700</v>
      </c>
      <c r="L261" s="202">
        <v>27</v>
      </c>
      <c r="N261" s="202">
        <v>60659625</v>
      </c>
      <c r="S261" s="204"/>
      <c r="W261" s="198" t="s">
        <v>51</v>
      </c>
      <c r="AE261" s="198" t="s">
        <v>831</v>
      </c>
    </row>
    <row r="262" spans="3:31" x14ac:dyDescent="0.25">
      <c r="C262" s="201"/>
      <c r="E262" s="201"/>
      <c r="F262" s="201"/>
      <c r="I262" s="198" t="s">
        <v>202</v>
      </c>
      <c r="J262" s="198" t="s">
        <v>65</v>
      </c>
      <c r="K262" s="202">
        <f t="shared" si="4"/>
        <v>138210</v>
      </c>
      <c r="L262" s="202">
        <v>27.1</v>
      </c>
      <c r="N262" s="202">
        <v>53857620</v>
      </c>
      <c r="S262" s="204"/>
      <c r="W262" s="198" t="s">
        <v>51</v>
      </c>
      <c r="AE262" s="198" t="s">
        <v>831</v>
      </c>
    </row>
    <row r="263" spans="3:31" x14ac:dyDescent="0.25">
      <c r="C263" s="201"/>
      <c r="E263" s="201"/>
      <c r="F263" s="201"/>
      <c r="I263" s="198" t="s">
        <v>202</v>
      </c>
      <c r="J263" s="198" t="s">
        <v>65</v>
      </c>
      <c r="K263" s="202">
        <f t="shared" si="4"/>
        <v>138720</v>
      </c>
      <c r="L263" s="202">
        <v>27.2</v>
      </c>
      <c r="N263" s="202">
        <v>24228266.399999999</v>
      </c>
      <c r="S263" s="203"/>
      <c r="W263" s="198" t="s">
        <v>51</v>
      </c>
      <c r="AE263" s="198" t="s">
        <v>831</v>
      </c>
    </row>
    <row r="264" spans="3:31" x14ac:dyDescent="0.25">
      <c r="C264" s="201"/>
      <c r="E264" s="201"/>
      <c r="F264" s="201"/>
      <c r="I264" s="198" t="s">
        <v>202</v>
      </c>
      <c r="J264" s="198" t="s">
        <v>65</v>
      </c>
      <c r="K264" s="202">
        <f t="shared" si="4"/>
        <v>139230</v>
      </c>
      <c r="L264" s="202">
        <v>27.3</v>
      </c>
      <c r="N264" s="202">
        <v>16152177.6</v>
      </c>
      <c r="S264" s="203"/>
      <c r="W264" s="198" t="s">
        <v>51</v>
      </c>
      <c r="AE264" s="198" t="s">
        <v>831</v>
      </c>
    </row>
    <row r="265" spans="3:31" x14ac:dyDescent="0.25">
      <c r="C265" s="201"/>
      <c r="E265" s="201"/>
      <c r="F265" s="201"/>
      <c r="I265" s="198" t="s">
        <v>202</v>
      </c>
      <c r="J265" s="198" t="s">
        <v>65</v>
      </c>
      <c r="K265" s="202">
        <f t="shared" si="4"/>
        <v>139740</v>
      </c>
      <c r="L265" s="202">
        <v>27.4</v>
      </c>
      <c r="N265" s="202">
        <v>6949669.7599999998</v>
      </c>
      <c r="S265" s="203"/>
      <c r="W265" s="198" t="s">
        <v>51</v>
      </c>
      <c r="AE265" s="198" t="s">
        <v>831</v>
      </c>
    </row>
    <row r="266" spans="3:31" x14ac:dyDescent="0.25">
      <c r="C266" s="201"/>
      <c r="E266" s="201"/>
      <c r="F266" s="201"/>
      <c r="I266" s="198" t="s">
        <v>202</v>
      </c>
      <c r="J266" s="198" t="s">
        <v>65</v>
      </c>
      <c r="K266" s="202">
        <f t="shared" si="4"/>
        <v>140250</v>
      </c>
      <c r="L266" s="202">
        <v>27.5</v>
      </c>
      <c r="N266" s="202">
        <v>3904345.25</v>
      </c>
      <c r="S266" s="203"/>
      <c r="W266" s="198" t="s">
        <v>51</v>
      </c>
      <c r="AE266" s="198" t="s">
        <v>831</v>
      </c>
    </row>
    <row r="267" spans="3:31" x14ac:dyDescent="0.25">
      <c r="C267" s="201"/>
      <c r="E267" s="201"/>
      <c r="F267" s="201"/>
      <c r="I267" s="198" t="s">
        <v>202</v>
      </c>
      <c r="J267" s="198" t="s">
        <v>65</v>
      </c>
      <c r="K267" s="202">
        <f t="shared" si="4"/>
        <v>140760</v>
      </c>
      <c r="L267" s="202">
        <v>27.6</v>
      </c>
      <c r="N267" s="202">
        <v>4549216</v>
      </c>
      <c r="S267" s="203"/>
      <c r="W267" s="198" t="s">
        <v>51</v>
      </c>
      <c r="AE267" s="198" t="s">
        <v>831</v>
      </c>
    </row>
    <row r="268" spans="3:31" x14ac:dyDescent="0.25">
      <c r="C268" s="201"/>
      <c r="E268" s="201"/>
      <c r="F268" s="201"/>
      <c r="I268" s="198" t="s">
        <v>202</v>
      </c>
      <c r="J268" s="198" t="s">
        <v>65</v>
      </c>
      <c r="K268" s="202">
        <f t="shared" si="4"/>
        <v>141270</v>
      </c>
      <c r="L268" s="202">
        <v>27.7</v>
      </c>
      <c r="N268" s="202">
        <v>432000</v>
      </c>
      <c r="S268" s="204"/>
      <c r="W268" s="198" t="s">
        <v>51</v>
      </c>
      <c r="AE268" s="198" t="s">
        <v>831</v>
      </c>
    </row>
    <row r="269" spans="3:31" x14ac:dyDescent="0.25">
      <c r="C269" s="201"/>
      <c r="E269" s="201"/>
      <c r="F269" s="201"/>
      <c r="I269" s="198" t="s">
        <v>181</v>
      </c>
      <c r="J269" s="198" t="s">
        <v>65</v>
      </c>
      <c r="K269" s="202">
        <f t="shared" si="4"/>
        <v>141780</v>
      </c>
      <c r="L269" s="202">
        <v>27.8</v>
      </c>
      <c r="N269" s="202">
        <v>13286812.5</v>
      </c>
      <c r="S269" s="203"/>
      <c r="W269" s="198" t="s">
        <v>51</v>
      </c>
      <c r="AE269" s="198" t="s">
        <v>831</v>
      </c>
    </row>
    <row r="270" spans="3:31" x14ac:dyDescent="0.25">
      <c r="C270" s="201"/>
      <c r="E270" s="201"/>
      <c r="F270" s="201"/>
      <c r="I270" s="198" t="s">
        <v>181</v>
      </c>
      <c r="J270" s="198" t="s">
        <v>65</v>
      </c>
      <c r="K270" s="202">
        <f t="shared" si="4"/>
        <v>142290</v>
      </c>
      <c r="L270" s="202">
        <v>27.9</v>
      </c>
      <c r="N270" s="202">
        <v>13066240.970000001</v>
      </c>
      <c r="S270" s="203"/>
      <c r="W270" s="198" t="s">
        <v>51</v>
      </c>
      <c r="AE270" s="198" t="s">
        <v>831</v>
      </c>
    </row>
    <row r="271" spans="3:31" x14ac:dyDescent="0.25">
      <c r="C271" s="201"/>
      <c r="E271" s="201"/>
      <c r="F271" s="201"/>
      <c r="I271" s="198" t="s">
        <v>181</v>
      </c>
      <c r="J271" s="198" t="s">
        <v>65</v>
      </c>
      <c r="K271" s="202">
        <f t="shared" si="4"/>
        <v>142800</v>
      </c>
      <c r="L271" s="202">
        <v>28</v>
      </c>
      <c r="N271" s="202">
        <v>4525372.8</v>
      </c>
      <c r="S271" s="203"/>
      <c r="W271" s="198" t="s">
        <v>51</v>
      </c>
      <c r="AE271" s="198" t="s">
        <v>831</v>
      </c>
    </row>
    <row r="272" spans="3:31" x14ac:dyDescent="0.25">
      <c r="C272" s="201"/>
      <c r="E272" s="201"/>
      <c r="F272" s="201"/>
      <c r="I272" s="198" t="s">
        <v>181</v>
      </c>
      <c r="J272" s="198" t="s">
        <v>65</v>
      </c>
      <c r="K272" s="202">
        <f t="shared" si="4"/>
        <v>143310</v>
      </c>
      <c r="L272" s="202">
        <v>28.1</v>
      </c>
      <c r="N272" s="202">
        <v>3016915.2</v>
      </c>
      <c r="S272" s="203"/>
      <c r="W272" s="198" t="s">
        <v>51</v>
      </c>
      <c r="AE272" s="198" t="s">
        <v>831</v>
      </c>
    </row>
    <row r="273" spans="3:31" x14ac:dyDescent="0.25">
      <c r="C273" s="201"/>
      <c r="E273" s="201"/>
      <c r="F273" s="201"/>
      <c r="I273" s="198" t="s">
        <v>203</v>
      </c>
      <c r="J273" s="198" t="s">
        <v>65</v>
      </c>
      <c r="K273" s="202">
        <f t="shared" si="4"/>
        <v>143820</v>
      </c>
      <c r="L273" s="202">
        <v>28.2</v>
      </c>
      <c r="N273" s="202">
        <v>2093000</v>
      </c>
      <c r="S273" s="204"/>
      <c r="W273" s="198" t="s">
        <v>51</v>
      </c>
      <c r="AE273" s="198" t="s">
        <v>831</v>
      </c>
    </row>
    <row r="274" spans="3:31" x14ac:dyDescent="0.25">
      <c r="C274" s="201"/>
      <c r="E274" s="201"/>
      <c r="F274" s="201"/>
      <c r="I274" s="198" t="s">
        <v>203</v>
      </c>
      <c r="J274" s="198" t="s">
        <v>65</v>
      </c>
      <c r="K274" s="202">
        <f t="shared" si="4"/>
        <v>144330</v>
      </c>
      <c r="L274" s="202">
        <v>28.3</v>
      </c>
      <c r="N274" s="202">
        <v>2061358.56</v>
      </c>
      <c r="S274" s="203"/>
      <c r="W274" s="198" t="s">
        <v>51</v>
      </c>
      <c r="AE274" s="198" t="s">
        <v>831</v>
      </c>
    </row>
    <row r="275" spans="3:31" x14ac:dyDescent="0.25">
      <c r="C275" s="201"/>
      <c r="E275" s="201"/>
      <c r="F275" s="201"/>
      <c r="I275" s="198" t="s">
        <v>203</v>
      </c>
      <c r="J275" s="198" t="s">
        <v>65</v>
      </c>
      <c r="K275" s="202">
        <f t="shared" si="4"/>
        <v>144840</v>
      </c>
      <c r="L275" s="202">
        <v>28.4</v>
      </c>
      <c r="N275" s="202">
        <v>712857.59999999998</v>
      </c>
      <c r="S275" s="203"/>
      <c r="W275" s="198" t="s">
        <v>51</v>
      </c>
      <c r="AE275" s="198" t="s">
        <v>831</v>
      </c>
    </row>
    <row r="276" spans="3:31" x14ac:dyDescent="0.25">
      <c r="C276" s="201"/>
      <c r="E276" s="201"/>
      <c r="F276" s="201"/>
      <c r="I276" s="198" t="s">
        <v>203</v>
      </c>
      <c r="J276" s="198" t="s">
        <v>65</v>
      </c>
      <c r="K276" s="202">
        <f t="shared" si="4"/>
        <v>145350</v>
      </c>
      <c r="L276" s="202">
        <v>28.5</v>
      </c>
      <c r="N276" s="202">
        <v>475238.40000000002</v>
      </c>
      <c r="S276" s="203"/>
      <c r="W276" s="198" t="s">
        <v>51</v>
      </c>
      <c r="AE276" s="198" t="s">
        <v>831</v>
      </c>
    </row>
    <row r="277" spans="3:31" x14ac:dyDescent="0.25">
      <c r="C277" s="201"/>
      <c r="E277" s="201"/>
      <c r="F277" s="201"/>
      <c r="I277" s="198" t="s">
        <v>720</v>
      </c>
      <c r="J277" s="198" t="s">
        <v>65</v>
      </c>
      <c r="K277" s="202">
        <f t="shared" si="4"/>
        <v>145860</v>
      </c>
      <c r="L277" s="202">
        <v>28.6</v>
      </c>
      <c r="N277" s="202">
        <v>1196000</v>
      </c>
      <c r="S277" s="204"/>
      <c r="W277" s="198" t="s">
        <v>51</v>
      </c>
      <c r="AE277" s="198" t="s">
        <v>831</v>
      </c>
    </row>
    <row r="278" spans="3:31" x14ac:dyDescent="0.25">
      <c r="C278" s="201"/>
      <c r="E278" s="201"/>
      <c r="F278" s="201"/>
      <c r="I278" s="198" t="s">
        <v>720</v>
      </c>
      <c r="J278" s="198" t="s">
        <v>65</v>
      </c>
      <c r="K278" s="202">
        <f t="shared" si="4"/>
        <v>146370</v>
      </c>
      <c r="L278" s="202">
        <v>28.7</v>
      </c>
      <c r="N278" s="202">
        <v>1083060</v>
      </c>
      <c r="S278" s="204"/>
      <c r="W278" s="198" t="s">
        <v>51</v>
      </c>
      <c r="AE278" s="198" t="s">
        <v>831</v>
      </c>
    </row>
    <row r="279" spans="3:31" x14ac:dyDescent="0.25">
      <c r="C279" s="201"/>
      <c r="E279" s="201"/>
      <c r="F279" s="201"/>
      <c r="I279" s="198" t="s">
        <v>720</v>
      </c>
      <c r="J279" s="198" t="s">
        <v>65</v>
      </c>
      <c r="K279" s="202">
        <f t="shared" si="4"/>
        <v>146880</v>
      </c>
      <c r="L279" s="202">
        <v>28.8</v>
      </c>
      <c r="N279" s="202">
        <v>407347.20000000001</v>
      </c>
      <c r="S279" s="203"/>
      <c r="W279" s="198" t="s">
        <v>51</v>
      </c>
      <c r="AE279" s="198" t="s">
        <v>831</v>
      </c>
    </row>
    <row r="280" spans="3:31" x14ac:dyDescent="0.25">
      <c r="C280" s="201"/>
      <c r="E280" s="201"/>
      <c r="F280" s="201"/>
      <c r="I280" s="198" t="s">
        <v>720</v>
      </c>
      <c r="J280" s="198" t="s">
        <v>65</v>
      </c>
      <c r="K280" s="202">
        <f t="shared" si="4"/>
        <v>147390</v>
      </c>
      <c r="L280" s="202">
        <v>28.9</v>
      </c>
      <c r="N280" s="202">
        <v>271564.79999999999</v>
      </c>
      <c r="S280" s="203"/>
      <c r="W280" s="198" t="s">
        <v>51</v>
      </c>
      <c r="AE280" s="198" t="s">
        <v>831</v>
      </c>
    </row>
    <row r="281" spans="3:31" x14ac:dyDescent="0.25">
      <c r="C281" s="201"/>
      <c r="E281" s="201"/>
      <c r="F281" s="201"/>
      <c r="I281" s="198" t="s">
        <v>199</v>
      </c>
      <c r="J281" s="198" t="s">
        <v>167</v>
      </c>
      <c r="K281" s="202">
        <f t="shared" si="4"/>
        <v>147900</v>
      </c>
      <c r="L281" s="202">
        <v>29</v>
      </c>
      <c r="N281" s="202">
        <v>2500000</v>
      </c>
      <c r="S281" s="204"/>
      <c r="W281" s="198" t="s">
        <v>51</v>
      </c>
      <c r="AE281" s="198" t="s">
        <v>831</v>
      </c>
    </row>
    <row r="282" spans="3:31" x14ac:dyDescent="0.25">
      <c r="C282" s="201"/>
      <c r="E282" s="201"/>
      <c r="F282" s="201"/>
      <c r="I282" s="198" t="s">
        <v>199</v>
      </c>
      <c r="J282" s="198" t="s">
        <v>167</v>
      </c>
      <c r="K282" s="202">
        <f t="shared" si="4"/>
        <v>148410</v>
      </c>
      <c r="L282" s="202">
        <v>29.1</v>
      </c>
      <c r="N282" s="202">
        <v>56959500</v>
      </c>
      <c r="S282" s="204"/>
      <c r="W282" s="198" t="s">
        <v>51</v>
      </c>
      <c r="AE282" s="198" t="s">
        <v>831</v>
      </c>
    </row>
    <row r="283" spans="3:31" x14ac:dyDescent="0.25">
      <c r="C283" s="201"/>
      <c r="E283" s="201"/>
      <c r="F283" s="201"/>
      <c r="I283" s="198" t="s">
        <v>199</v>
      </c>
      <c r="J283" s="198" t="s">
        <v>167</v>
      </c>
      <c r="K283" s="202">
        <f t="shared" si="4"/>
        <v>148920</v>
      </c>
      <c r="L283" s="202">
        <v>29.2</v>
      </c>
      <c r="N283" s="202">
        <v>46325430</v>
      </c>
      <c r="S283" s="204"/>
      <c r="W283" s="198" t="s">
        <v>51</v>
      </c>
      <c r="AE283" s="198" t="s">
        <v>831</v>
      </c>
    </row>
    <row r="284" spans="3:31" x14ac:dyDescent="0.25">
      <c r="C284" s="201"/>
      <c r="E284" s="201"/>
      <c r="F284" s="201"/>
      <c r="I284" s="198" t="s">
        <v>199</v>
      </c>
      <c r="J284" s="198" t="s">
        <v>167</v>
      </c>
      <c r="K284" s="202">
        <f t="shared" si="4"/>
        <v>149430</v>
      </c>
      <c r="L284" s="202">
        <v>29.3</v>
      </c>
      <c r="N284" s="202">
        <v>20592000</v>
      </c>
      <c r="S284" s="204"/>
      <c r="W284" s="198" t="s">
        <v>51</v>
      </c>
      <c r="AE284" s="198" t="s">
        <v>831</v>
      </c>
    </row>
    <row r="285" spans="3:31" x14ac:dyDescent="0.25">
      <c r="C285" s="201"/>
      <c r="E285" s="201"/>
      <c r="F285" s="201"/>
      <c r="I285" s="198" t="s">
        <v>199</v>
      </c>
      <c r="J285" s="198" t="s">
        <v>167</v>
      </c>
      <c r="K285" s="202">
        <f t="shared" si="4"/>
        <v>149940</v>
      </c>
      <c r="L285" s="202">
        <v>29.4</v>
      </c>
      <c r="N285" s="202">
        <v>13728000</v>
      </c>
      <c r="S285" s="204"/>
      <c r="W285" s="198" t="s">
        <v>51</v>
      </c>
      <c r="AE285" s="198" t="s">
        <v>831</v>
      </c>
    </row>
    <row r="286" spans="3:31" x14ac:dyDescent="0.25">
      <c r="C286" s="201"/>
      <c r="E286" s="201"/>
      <c r="F286" s="201"/>
      <c r="I286" s="198" t="s">
        <v>199</v>
      </c>
      <c r="J286" s="198" t="s">
        <v>167</v>
      </c>
      <c r="K286" s="202">
        <f t="shared" si="4"/>
        <v>150450</v>
      </c>
      <c r="L286" s="202">
        <v>29.5</v>
      </c>
      <c r="N286" s="202">
        <v>4200907.04</v>
      </c>
      <c r="S286" s="203"/>
      <c r="W286" s="198" t="s">
        <v>51</v>
      </c>
      <c r="AE286" s="198" t="s">
        <v>831</v>
      </c>
    </row>
    <row r="287" spans="3:31" x14ac:dyDescent="0.25">
      <c r="C287" s="201"/>
      <c r="E287" s="201"/>
      <c r="F287" s="201"/>
      <c r="I287" s="198" t="s">
        <v>199</v>
      </c>
      <c r="J287" s="198" t="s">
        <v>167</v>
      </c>
      <c r="K287" s="202">
        <f t="shared" si="4"/>
        <v>150960</v>
      </c>
      <c r="L287" s="202">
        <v>29.6</v>
      </c>
      <c r="N287" s="202">
        <v>2360081.75</v>
      </c>
      <c r="S287" s="203"/>
      <c r="W287" s="198" t="s">
        <v>51</v>
      </c>
      <c r="AE287" s="198" t="s">
        <v>831</v>
      </c>
    </row>
    <row r="288" spans="3:31" x14ac:dyDescent="0.25">
      <c r="C288" s="201"/>
      <c r="E288" s="201"/>
      <c r="F288" s="201"/>
      <c r="I288" s="198" t="s">
        <v>199</v>
      </c>
      <c r="J288" s="198" t="s">
        <v>167</v>
      </c>
      <c r="K288" s="202">
        <f t="shared" si="4"/>
        <v>151470</v>
      </c>
      <c r="L288" s="202">
        <v>29.7</v>
      </c>
      <c r="N288" s="202">
        <v>2749880</v>
      </c>
      <c r="S288" s="203"/>
      <c r="W288" s="198" t="s">
        <v>51</v>
      </c>
      <c r="AE288" s="198" t="s">
        <v>831</v>
      </c>
    </row>
    <row r="289" spans="3:31" x14ac:dyDescent="0.25">
      <c r="C289" s="201"/>
      <c r="E289" s="201"/>
      <c r="F289" s="201"/>
      <c r="I289" s="198" t="s">
        <v>201</v>
      </c>
      <c r="J289" s="198" t="s">
        <v>167</v>
      </c>
      <c r="K289" s="202">
        <f t="shared" si="4"/>
        <v>151980</v>
      </c>
      <c r="L289" s="202">
        <v>29.8</v>
      </c>
      <c r="N289" s="202">
        <v>11492812.5</v>
      </c>
      <c r="S289" s="203"/>
      <c r="W289" s="198" t="s">
        <v>51</v>
      </c>
      <c r="AE289" s="198" t="s">
        <v>831</v>
      </c>
    </row>
    <row r="290" spans="3:31" x14ac:dyDescent="0.25">
      <c r="C290" s="201"/>
      <c r="E290" s="201"/>
      <c r="F290" s="201"/>
      <c r="I290" s="198" t="s">
        <v>201</v>
      </c>
      <c r="J290" s="198" t="s">
        <v>167</v>
      </c>
      <c r="K290" s="202">
        <f t="shared" si="4"/>
        <v>152490</v>
      </c>
      <c r="L290" s="202">
        <v>29.9</v>
      </c>
      <c r="N290" s="202">
        <v>11220591.859999999</v>
      </c>
      <c r="S290" s="203"/>
      <c r="W290" s="198" t="s">
        <v>51</v>
      </c>
      <c r="AE290" s="198" t="s">
        <v>831</v>
      </c>
    </row>
    <row r="291" spans="3:31" x14ac:dyDescent="0.25">
      <c r="C291" s="201"/>
      <c r="E291" s="201"/>
      <c r="F291" s="201"/>
      <c r="I291" s="198" t="s">
        <v>201</v>
      </c>
      <c r="J291" s="198" t="s">
        <v>167</v>
      </c>
      <c r="K291" s="202">
        <f t="shared" si="4"/>
        <v>153000</v>
      </c>
      <c r="L291" s="202">
        <v>30</v>
      </c>
      <c r="N291" s="202">
        <v>3914352</v>
      </c>
      <c r="S291" s="203"/>
      <c r="W291" s="198" t="s">
        <v>51</v>
      </c>
      <c r="AE291" s="198" t="s">
        <v>831</v>
      </c>
    </row>
    <row r="292" spans="3:31" x14ac:dyDescent="0.25">
      <c r="C292" s="201"/>
      <c r="E292" s="201"/>
      <c r="F292" s="201"/>
      <c r="I292" s="198" t="s">
        <v>201</v>
      </c>
      <c r="J292" s="198" t="s">
        <v>167</v>
      </c>
      <c r="K292" s="202">
        <f t="shared" si="4"/>
        <v>153510</v>
      </c>
      <c r="L292" s="202">
        <v>30.1</v>
      </c>
      <c r="N292" s="202">
        <v>2609568</v>
      </c>
      <c r="S292" s="203"/>
      <c r="W292" s="198" t="s">
        <v>51</v>
      </c>
      <c r="AE292" s="198" t="s">
        <v>831</v>
      </c>
    </row>
    <row r="293" spans="3:31" x14ac:dyDescent="0.25">
      <c r="C293" s="201"/>
      <c r="E293" s="201"/>
      <c r="F293" s="201"/>
      <c r="I293" s="198" t="s">
        <v>173</v>
      </c>
      <c r="J293" s="198" t="s">
        <v>167</v>
      </c>
      <c r="K293" s="202">
        <f t="shared" si="4"/>
        <v>154020</v>
      </c>
      <c r="L293" s="202">
        <v>30.2</v>
      </c>
      <c r="N293" s="202">
        <v>2093000</v>
      </c>
      <c r="S293" s="204"/>
      <c r="W293" s="198" t="s">
        <v>51</v>
      </c>
      <c r="AE293" s="198" t="s">
        <v>831</v>
      </c>
    </row>
    <row r="294" spans="3:31" x14ac:dyDescent="0.25">
      <c r="C294" s="201"/>
      <c r="E294" s="201"/>
      <c r="F294" s="201"/>
      <c r="I294" s="198" t="s">
        <v>173</v>
      </c>
      <c r="J294" s="198" t="s">
        <v>167</v>
      </c>
      <c r="K294" s="202">
        <f t="shared" si="4"/>
        <v>154530</v>
      </c>
      <c r="L294" s="202">
        <v>30.3</v>
      </c>
      <c r="N294" s="202">
        <v>2044948.56</v>
      </c>
      <c r="S294" s="203"/>
      <c r="W294" s="198" t="s">
        <v>51</v>
      </c>
      <c r="AE294" s="198" t="s">
        <v>831</v>
      </c>
    </row>
    <row r="295" spans="3:31" x14ac:dyDescent="0.25">
      <c r="C295" s="201"/>
      <c r="E295" s="201"/>
      <c r="F295" s="201"/>
      <c r="I295" s="198" t="s">
        <v>173</v>
      </c>
      <c r="J295" s="198" t="s">
        <v>167</v>
      </c>
      <c r="K295" s="202">
        <f t="shared" si="4"/>
        <v>155040</v>
      </c>
      <c r="L295" s="202">
        <v>30.4</v>
      </c>
      <c r="N295" s="202">
        <v>712857.59999999998</v>
      </c>
      <c r="S295" s="203"/>
      <c r="W295" s="198" t="s">
        <v>51</v>
      </c>
      <c r="AE295" s="198" t="s">
        <v>831</v>
      </c>
    </row>
    <row r="296" spans="3:31" x14ac:dyDescent="0.25">
      <c r="C296" s="201"/>
      <c r="E296" s="201"/>
      <c r="F296" s="201"/>
      <c r="I296" s="198" t="s">
        <v>173</v>
      </c>
      <c r="J296" s="198" t="s">
        <v>167</v>
      </c>
      <c r="K296" s="202">
        <f t="shared" si="4"/>
        <v>155550</v>
      </c>
      <c r="L296" s="202">
        <v>30.5</v>
      </c>
      <c r="N296" s="202">
        <v>475238.40000000002</v>
      </c>
      <c r="S296" s="203"/>
      <c r="W296" s="198" t="s">
        <v>51</v>
      </c>
      <c r="AE296" s="198" t="s">
        <v>831</v>
      </c>
    </row>
    <row r="297" spans="3:31" x14ac:dyDescent="0.25">
      <c r="C297" s="201"/>
      <c r="E297" s="201"/>
      <c r="F297" s="201"/>
      <c r="I297" s="198" t="s">
        <v>171</v>
      </c>
      <c r="J297" s="198" t="s">
        <v>167</v>
      </c>
      <c r="K297" s="202">
        <f t="shared" si="4"/>
        <v>156060</v>
      </c>
      <c r="L297" s="202">
        <v>30.6</v>
      </c>
      <c r="N297" s="202">
        <v>1196000</v>
      </c>
      <c r="S297" s="204"/>
      <c r="W297" s="198" t="s">
        <v>51</v>
      </c>
      <c r="AE297" s="198" t="s">
        <v>831</v>
      </c>
    </row>
    <row r="298" spans="3:31" x14ac:dyDescent="0.25">
      <c r="C298" s="201"/>
      <c r="E298" s="201"/>
      <c r="F298" s="201"/>
      <c r="I298" s="198" t="s">
        <v>171</v>
      </c>
      <c r="J298" s="198" t="s">
        <v>167</v>
      </c>
      <c r="K298" s="202">
        <f t="shared" si="4"/>
        <v>156570</v>
      </c>
      <c r="L298" s="202">
        <v>30.7</v>
      </c>
      <c r="N298" s="202">
        <v>968190</v>
      </c>
      <c r="S298" s="204"/>
      <c r="W298" s="198" t="s">
        <v>51</v>
      </c>
      <c r="AE298" s="198" t="s">
        <v>831</v>
      </c>
    </row>
    <row r="299" spans="3:31" x14ac:dyDescent="0.25">
      <c r="C299" s="201"/>
      <c r="E299" s="201"/>
      <c r="F299" s="201"/>
      <c r="I299" s="198" t="s">
        <v>171</v>
      </c>
      <c r="J299" s="198" t="s">
        <v>167</v>
      </c>
      <c r="K299" s="202">
        <f t="shared" si="4"/>
        <v>157080</v>
      </c>
      <c r="L299" s="202">
        <v>30.8</v>
      </c>
      <c r="N299" s="202">
        <v>407347.20000000001</v>
      </c>
      <c r="S299" s="203"/>
      <c r="W299" s="198" t="s">
        <v>51</v>
      </c>
      <c r="AE299" s="198" t="s">
        <v>831</v>
      </c>
    </row>
    <row r="300" spans="3:31" x14ac:dyDescent="0.25">
      <c r="C300" s="201"/>
      <c r="E300" s="201"/>
      <c r="F300" s="201"/>
      <c r="I300" s="198" t="s">
        <v>171</v>
      </c>
      <c r="J300" s="198" t="s">
        <v>167</v>
      </c>
      <c r="K300" s="202">
        <f t="shared" si="4"/>
        <v>157590</v>
      </c>
      <c r="L300" s="202">
        <v>30.9</v>
      </c>
      <c r="N300" s="202">
        <v>271564.79999999999</v>
      </c>
      <c r="S300" s="203"/>
      <c r="W300" s="198" t="s">
        <v>51</v>
      </c>
      <c r="AE300" s="198" t="s">
        <v>831</v>
      </c>
    </row>
    <row r="301" spans="3:31" x14ac:dyDescent="0.25">
      <c r="C301" s="201"/>
      <c r="E301" s="201"/>
      <c r="F301" s="201"/>
      <c r="I301" s="198" t="s">
        <v>188</v>
      </c>
      <c r="J301" s="198" t="s">
        <v>65</v>
      </c>
      <c r="K301" s="202">
        <f t="shared" si="4"/>
        <v>158100</v>
      </c>
      <c r="L301" s="202">
        <v>31</v>
      </c>
      <c r="N301" s="202">
        <v>940.39</v>
      </c>
      <c r="S301" s="203"/>
      <c r="W301" s="198" t="s">
        <v>51</v>
      </c>
      <c r="AE301" s="198" t="s">
        <v>831</v>
      </c>
    </row>
    <row r="302" spans="3:31" x14ac:dyDescent="0.25">
      <c r="C302" s="201"/>
      <c r="E302" s="201"/>
      <c r="F302" s="201"/>
      <c r="I302" s="198" t="s">
        <v>180</v>
      </c>
      <c r="J302" s="198" t="s">
        <v>65</v>
      </c>
      <c r="K302" s="202">
        <f t="shared" si="4"/>
        <v>158610</v>
      </c>
      <c r="L302" s="202">
        <v>31.1</v>
      </c>
      <c r="N302" s="202">
        <v>-0.03</v>
      </c>
      <c r="S302" s="204"/>
      <c r="W302" s="198" t="s">
        <v>51</v>
      </c>
      <c r="AE302" s="198" t="s">
        <v>831</v>
      </c>
    </row>
    <row r="303" spans="3:31" x14ac:dyDescent="0.25">
      <c r="C303" s="201"/>
      <c r="E303" s="201"/>
      <c r="F303" s="201"/>
      <c r="I303" s="198" t="s">
        <v>215</v>
      </c>
      <c r="J303" s="198" t="s">
        <v>89</v>
      </c>
      <c r="K303" s="202">
        <f t="shared" si="4"/>
        <v>159120</v>
      </c>
      <c r="L303" s="202">
        <v>31.2</v>
      </c>
      <c r="N303" s="202">
        <v>-0.02</v>
      </c>
      <c r="S303" s="204"/>
      <c r="W303" s="198" t="s">
        <v>51</v>
      </c>
      <c r="AE303" s="198" t="s">
        <v>831</v>
      </c>
    </row>
    <row r="304" spans="3:31" x14ac:dyDescent="0.25">
      <c r="C304" s="201"/>
      <c r="E304" s="201"/>
      <c r="F304" s="201"/>
      <c r="I304" s="198" t="s">
        <v>430</v>
      </c>
      <c r="J304" s="198" t="s">
        <v>130</v>
      </c>
      <c r="K304" s="202">
        <f t="shared" si="4"/>
        <v>159630</v>
      </c>
      <c r="L304" s="202">
        <v>31.3</v>
      </c>
      <c r="N304" s="202">
        <v>16721000</v>
      </c>
      <c r="S304" s="204"/>
      <c r="W304" s="198" t="s">
        <v>51</v>
      </c>
      <c r="AE304" s="198" t="s">
        <v>833</v>
      </c>
    </row>
    <row r="305" spans="3:31" x14ac:dyDescent="0.25">
      <c r="C305" s="201"/>
      <c r="E305" s="201"/>
      <c r="F305" s="201"/>
      <c r="I305" s="198" t="s">
        <v>430</v>
      </c>
      <c r="J305" s="198" t="s">
        <v>130</v>
      </c>
      <c r="K305" s="202">
        <f t="shared" si="4"/>
        <v>160140</v>
      </c>
      <c r="L305" s="202">
        <v>31.4</v>
      </c>
      <c r="N305" s="202">
        <v>16721000</v>
      </c>
      <c r="S305" s="204"/>
      <c r="W305" s="198" t="s">
        <v>51</v>
      </c>
      <c r="AE305" s="198" t="s">
        <v>833</v>
      </c>
    </row>
    <row r="306" spans="3:31" x14ac:dyDescent="0.25">
      <c r="C306" s="201"/>
      <c r="E306" s="201"/>
      <c r="F306" s="201"/>
      <c r="I306" s="198" t="s">
        <v>430</v>
      </c>
      <c r="J306" s="198" t="s">
        <v>130</v>
      </c>
      <c r="K306" s="202">
        <f t="shared" si="4"/>
        <v>160650</v>
      </c>
      <c r="L306" s="202">
        <v>31.5</v>
      </c>
      <c r="N306" s="202">
        <v>16721000</v>
      </c>
      <c r="S306" s="204"/>
      <c r="W306" s="198" t="s">
        <v>51</v>
      </c>
      <c r="AE306" s="198" t="s">
        <v>833</v>
      </c>
    </row>
    <row r="307" spans="3:31" x14ac:dyDescent="0.25">
      <c r="C307" s="201"/>
      <c r="E307" s="201"/>
      <c r="F307" s="201"/>
      <c r="I307" s="198" t="s">
        <v>836</v>
      </c>
      <c r="J307" s="198" t="s">
        <v>126</v>
      </c>
      <c r="K307" s="202">
        <f t="shared" si="4"/>
        <v>161160</v>
      </c>
      <c r="L307" s="202">
        <v>31.6</v>
      </c>
      <c r="N307" s="202">
        <v>5299100</v>
      </c>
      <c r="S307" s="204"/>
      <c r="W307" s="198" t="s">
        <v>51</v>
      </c>
      <c r="AE307" s="198" t="s">
        <v>835</v>
      </c>
    </row>
    <row r="308" spans="3:31" x14ac:dyDescent="0.25">
      <c r="C308" s="201"/>
      <c r="E308" s="201"/>
      <c r="F308" s="201"/>
      <c r="I308" s="198" t="s">
        <v>836</v>
      </c>
      <c r="J308" s="198" t="s">
        <v>126</v>
      </c>
      <c r="K308" s="202">
        <f t="shared" si="4"/>
        <v>161670</v>
      </c>
      <c r="L308" s="202">
        <v>31.7</v>
      </c>
      <c r="N308" s="202">
        <v>5258250</v>
      </c>
      <c r="S308" s="204"/>
      <c r="W308" s="198" t="s">
        <v>51</v>
      </c>
      <c r="AE308" s="198" t="s">
        <v>835</v>
      </c>
    </row>
    <row r="309" spans="3:31" x14ac:dyDescent="0.25">
      <c r="C309" s="201"/>
      <c r="E309" s="201"/>
      <c r="F309" s="201"/>
      <c r="I309" s="198" t="s">
        <v>836</v>
      </c>
      <c r="J309" s="198" t="s">
        <v>126</v>
      </c>
      <c r="K309" s="202">
        <f t="shared" si="4"/>
        <v>162180</v>
      </c>
      <c r="L309" s="202">
        <v>31.8</v>
      </c>
      <c r="N309" s="202">
        <v>5257775</v>
      </c>
      <c r="S309" s="204"/>
      <c r="W309" s="198" t="s">
        <v>51</v>
      </c>
      <c r="AE309" s="198" t="s">
        <v>835</v>
      </c>
    </row>
    <row r="310" spans="3:31" x14ac:dyDescent="0.25">
      <c r="C310" s="201"/>
      <c r="E310" s="201"/>
      <c r="F310" s="201"/>
      <c r="I310" s="198" t="s">
        <v>836</v>
      </c>
      <c r="J310" s="198" t="s">
        <v>126</v>
      </c>
      <c r="K310" s="202">
        <f t="shared" si="4"/>
        <v>162690</v>
      </c>
      <c r="L310" s="202">
        <v>31.9</v>
      </c>
      <c r="N310" s="202">
        <v>5229750</v>
      </c>
      <c r="S310" s="204"/>
      <c r="W310" s="198" t="s">
        <v>51</v>
      </c>
      <c r="AE310" s="198" t="s">
        <v>835</v>
      </c>
    </row>
    <row r="311" spans="3:31" x14ac:dyDescent="0.25">
      <c r="C311" s="201"/>
      <c r="E311" s="201"/>
      <c r="F311" s="201"/>
      <c r="I311" s="198" t="s">
        <v>439</v>
      </c>
      <c r="J311" s="198" t="s">
        <v>126</v>
      </c>
      <c r="K311" s="202">
        <f t="shared" si="4"/>
        <v>163200</v>
      </c>
      <c r="L311" s="202">
        <v>32</v>
      </c>
      <c r="N311" s="202">
        <v>5385557.9199999999</v>
      </c>
      <c r="S311" s="204"/>
      <c r="W311" s="198" t="s">
        <v>51</v>
      </c>
      <c r="AE311" s="198" t="s">
        <v>835</v>
      </c>
    </row>
    <row r="312" spans="3:31" x14ac:dyDescent="0.25">
      <c r="C312" s="201"/>
      <c r="E312" s="201"/>
      <c r="F312" s="201"/>
      <c r="I312" s="198" t="s">
        <v>836</v>
      </c>
      <c r="J312" s="198" t="s">
        <v>126</v>
      </c>
      <c r="K312" s="202">
        <f t="shared" si="4"/>
        <v>163710</v>
      </c>
      <c r="L312" s="202">
        <v>32.1</v>
      </c>
      <c r="N312" s="202">
        <v>6798960</v>
      </c>
      <c r="S312" s="204"/>
      <c r="W312" s="198" t="s">
        <v>51</v>
      </c>
      <c r="AE312" s="198" t="s">
        <v>835</v>
      </c>
    </row>
    <row r="313" spans="3:31" x14ac:dyDescent="0.25">
      <c r="C313" s="201"/>
      <c r="E313" s="201"/>
      <c r="F313" s="201"/>
      <c r="I313" s="198" t="s">
        <v>202</v>
      </c>
      <c r="J313" s="198" t="s">
        <v>65</v>
      </c>
      <c r="K313" s="202">
        <f t="shared" si="4"/>
        <v>164220</v>
      </c>
      <c r="L313" s="202">
        <v>32.200000000000003</v>
      </c>
      <c r="N313" s="202">
        <v>-0.27</v>
      </c>
      <c r="S313" s="204"/>
      <c r="W313" s="198" t="s">
        <v>51</v>
      </c>
      <c r="AE313" s="198" t="s">
        <v>831</v>
      </c>
    </row>
    <row r="314" spans="3:31" x14ac:dyDescent="0.25">
      <c r="C314" s="201"/>
      <c r="E314" s="201"/>
      <c r="F314" s="201"/>
      <c r="I314" s="198" t="s">
        <v>836</v>
      </c>
      <c r="J314" s="198" t="s">
        <v>126</v>
      </c>
      <c r="K314" s="202">
        <f t="shared" si="4"/>
        <v>164730</v>
      </c>
      <c r="L314" s="202">
        <v>32.299999999999997</v>
      </c>
      <c r="N314" s="202">
        <v>6783000</v>
      </c>
      <c r="S314" s="204"/>
      <c r="W314" s="198" t="s">
        <v>51</v>
      </c>
      <c r="AE314" s="198" t="s">
        <v>835</v>
      </c>
    </row>
    <row r="315" spans="3:31" x14ac:dyDescent="0.25">
      <c r="C315" s="201"/>
      <c r="E315" s="201"/>
      <c r="F315" s="201"/>
      <c r="I315" s="198" t="s">
        <v>836</v>
      </c>
      <c r="J315" s="198" t="s">
        <v>126</v>
      </c>
      <c r="K315" s="202">
        <f t="shared" si="4"/>
        <v>165240</v>
      </c>
      <c r="L315" s="202">
        <v>32.4</v>
      </c>
      <c r="N315" s="202">
        <v>6821760</v>
      </c>
      <c r="S315" s="204"/>
      <c r="W315" s="198" t="s">
        <v>51</v>
      </c>
      <c r="AE315" s="198" t="s">
        <v>835</v>
      </c>
    </row>
    <row r="316" spans="3:31" x14ac:dyDescent="0.25">
      <c r="C316" s="201"/>
      <c r="E316" s="201"/>
      <c r="F316" s="201"/>
      <c r="I316" s="198" t="s">
        <v>836</v>
      </c>
      <c r="J316" s="198" t="s">
        <v>126</v>
      </c>
      <c r="K316" s="202">
        <f t="shared" si="4"/>
        <v>165750</v>
      </c>
      <c r="L316" s="202">
        <v>32.5</v>
      </c>
      <c r="N316" s="202">
        <v>1133160</v>
      </c>
      <c r="S316" s="204"/>
      <c r="W316" s="198" t="s">
        <v>51</v>
      </c>
      <c r="AE316" s="198" t="s">
        <v>835</v>
      </c>
    </row>
    <row r="317" spans="3:31" x14ac:dyDescent="0.25">
      <c r="C317" s="201"/>
      <c r="E317" s="201"/>
      <c r="F317" s="201"/>
      <c r="I317" s="198" t="s">
        <v>836</v>
      </c>
      <c r="J317" s="198" t="s">
        <v>126</v>
      </c>
      <c r="K317" s="202">
        <f t="shared" si="4"/>
        <v>166260</v>
      </c>
      <c r="L317" s="202">
        <v>32.6</v>
      </c>
      <c r="N317" s="202">
        <v>3086436.5</v>
      </c>
      <c r="S317" s="204"/>
      <c r="W317" s="198" t="s">
        <v>51</v>
      </c>
      <c r="AE317" s="198" t="s">
        <v>835</v>
      </c>
    </row>
    <row r="318" spans="3:31" x14ac:dyDescent="0.25">
      <c r="C318" s="201"/>
      <c r="E318" s="201"/>
      <c r="F318" s="201"/>
      <c r="I318" s="198" t="s">
        <v>582</v>
      </c>
      <c r="J318" s="198" t="s">
        <v>132</v>
      </c>
      <c r="K318" s="202">
        <f t="shared" si="4"/>
        <v>166770</v>
      </c>
      <c r="L318" s="202">
        <v>32.700000000000003</v>
      </c>
      <c r="N318" s="202">
        <v>6269050</v>
      </c>
      <c r="S318" s="204"/>
      <c r="W318" s="198" t="s">
        <v>51</v>
      </c>
      <c r="AE318" s="198" t="s">
        <v>833</v>
      </c>
    </row>
    <row r="319" spans="3:31" x14ac:dyDescent="0.25">
      <c r="C319" s="201"/>
      <c r="E319" s="201"/>
      <c r="F319" s="201"/>
      <c r="I319" s="198" t="s">
        <v>582</v>
      </c>
      <c r="J319" s="198" t="s">
        <v>132</v>
      </c>
      <c r="K319" s="202">
        <f t="shared" si="4"/>
        <v>167280</v>
      </c>
      <c r="L319" s="202">
        <v>32.799999999999997</v>
      </c>
      <c r="N319" s="202">
        <v>6275225</v>
      </c>
      <c r="S319" s="204"/>
      <c r="W319" s="198" t="s">
        <v>51</v>
      </c>
      <c r="AE319" s="198" t="s">
        <v>833</v>
      </c>
    </row>
    <row r="320" spans="3:31" x14ac:dyDescent="0.25">
      <c r="C320" s="201"/>
      <c r="E320" s="201"/>
      <c r="F320" s="201"/>
      <c r="I320" s="198" t="s">
        <v>582</v>
      </c>
      <c r="J320" s="198" t="s">
        <v>132</v>
      </c>
      <c r="K320" s="202">
        <f t="shared" si="4"/>
        <v>167790</v>
      </c>
      <c r="L320" s="202">
        <v>32.9</v>
      </c>
      <c r="N320" s="202">
        <v>6260500</v>
      </c>
      <c r="S320" s="204"/>
      <c r="W320" s="198" t="s">
        <v>51</v>
      </c>
      <c r="AE320" s="198" t="s">
        <v>833</v>
      </c>
    </row>
    <row r="321" spans="3:31" x14ac:dyDescent="0.25">
      <c r="C321" s="201"/>
      <c r="E321" s="201"/>
      <c r="F321" s="201"/>
      <c r="I321" s="198" t="s">
        <v>582</v>
      </c>
      <c r="J321" s="198" t="s">
        <v>132</v>
      </c>
      <c r="K321" s="202">
        <f t="shared" si="4"/>
        <v>168300</v>
      </c>
      <c r="L321" s="202">
        <v>33</v>
      </c>
      <c r="N321" s="202">
        <v>2891800</v>
      </c>
      <c r="S321" s="204"/>
      <c r="W321" s="198" t="s">
        <v>51</v>
      </c>
      <c r="AE321" s="198" t="s">
        <v>833</v>
      </c>
    </row>
    <row r="322" spans="3:31" x14ac:dyDescent="0.25">
      <c r="C322" s="201"/>
      <c r="E322" s="201"/>
      <c r="F322" s="201"/>
      <c r="I322" s="198" t="s">
        <v>582</v>
      </c>
      <c r="J322" s="198" t="s">
        <v>132</v>
      </c>
      <c r="K322" s="202">
        <f t="shared" si="4"/>
        <v>168810</v>
      </c>
      <c r="L322" s="202">
        <v>33.1</v>
      </c>
      <c r="N322" s="202">
        <v>6270950</v>
      </c>
      <c r="S322" s="204"/>
      <c r="W322" s="198" t="s">
        <v>51</v>
      </c>
      <c r="AE322" s="198" t="s">
        <v>833</v>
      </c>
    </row>
    <row r="323" spans="3:31" x14ac:dyDescent="0.25">
      <c r="C323" s="201"/>
      <c r="E323" s="201"/>
      <c r="F323" s="201"/>
      <c r="I323" s="198" t="s">
        <v>582</v>
      </c>
      <c r="J323" s="198" t="s">
        <v>132</v>
      </c>
      <c r="K323" s="202">
        <f t="shared" ref="K323:K386" si="5">L323*5100</f>
        <v>169320</v>
      </c>
      <c r="L323" s="202">
        <v>33.200000000000003</v>
      </c>
      <c r="N323" s="202">
        <v>6276175</v>
      </c>
      <c r="S323" s="204"/>
      <c r="W323" s="198" t="s">
        <v>51</v>
      </c>
      <c r="AE323" s="198" t="s">
        <v>833</v>
      </c>
    </row>
    <row r="324" spans="3:31" x14ac:dyDescent="0.25">
      <c r="C324" s="201"/>
      <c r="E324" s="201"/>
      <c r="F324" s="201"/>
      <c r="I324" s="198" t="s">
        <v>582</v>
      </c>
      <c r="J324" s="198" t="s">
        <v>132</v>
      </c>
      <c r="K324" s="202">
        <f t="shared" si="5"/>
        <v>169830</v>
      </c>
      <c r="L324" s="202">
        <v>33.299999999999997</v>
      </c>
      <c r="N324" s="202">
        <v>6280450</v>
      </c>
      <c r="S324" s="204"/>
      <c r="W324" s="198" t="s">
        <v>51</v>
      </c>
      <c r="AE324" s="198" t="s">
        <v>833</v>
      </c>
    </row>
    <row r="325" spans="3:31" x14ac:dyDescent="0.25">
      <c r="C325" s="201"/>
      <c r="E325" s="201"/>
      <c r="F325" s="201"/>
      <c r="I325" s="198" t="s">
        <v>430</v>
      </c>
      <c r="J325" s="198" t="s">
        <v>130</v>
      </c>
      <c r="K325" s="202">
        <f t="shared" si="5"/>
        <v>170340</v>
      </c>
      <c r="L325" s="202">
        <v>33.4</v>
      </c>
      <c r="N325" s="202">
        <v>16721000</v>
      </c>
      <c r="S325" s="204"/>
      <c r="W325" s="198" t="s">
        <v>51</v>
      </c>
      <c r="AE325" s="198" t="s">
        <v>833</v>
      </c>
    </row>
    <row r="326" spans="3:31" x14ac:dyDescent="0.25">
      <c r="C326" s="201"/>
      <c r="E326" s="201"/>
      <c r="F326" s="201"/>
      <c r="I326" s="198" t="s">
        <v>430</v>
      </c>
      <c r="J326" s="198" t="s">
        <v>130</v>
      </c>
      <c r="K326" s="202">
        <f t="shared" si="5"/>
        <v>170850</v>
      </c>
      <c r="L326" s="202">
        <v>33.5</v>
      </c>
      <c r="N326" s="202">
        <v>16721000</v>
      </c>
      <c r="S326" s="204"/>
      <c r="W326" s="198" t="s">
        <v>51</v>
      </c>
      <c r="AE326" s="198" t="s">
        <v>833</v>
      </c>
    </row>
    <row r="327" spans="3:31" x14ac:dyDescent="0.25">
      <c r="C327" s="201"/>
      <c r="E327" s="201"/>
      <c r="F327" s="201"/>
      <c r="I327" s="198" t="s">
        <v>582</v>
      </c>
      <c r="J327" s="198" t="s">
        <v>132</v>
      </c>
      <c r="K327" s="202">
        <f t="shared" si="5"/>
        <v>171360</v>
      </c>
      <c r="L327" s="202">
        <v>33.6</v>
      </c>
      <c r="N327" s="202">
        <v>6263825</v>
      </c>
      <c r="S327" s="204"/>
      <c r="W327" s="198" t="s">
        <v>51</v>
      </c>
      <c r="AE327" s="198" t="s">
        <v>833</v>
      </c>
    </row>
    <row r="328" spans="3:31" x14ac:dyDescent="0.25">
      <c r="C328" s="201"/>
      <c r="E328" s="201"/>
      <c r="F328" s="201"/>
      <c r="I328" s="198" t="s">
        <v>430</v>
      </c>
      <c r="J328" s="198" t="s">
        <v>130</v>
      </c>
      <c r="K328" s="202">
        <f t="shared" si="5"/>
        <v>171870</v>
      </c>
      <c r="L328" s="202">
        <v>33.700000000000003</v>
      </c>
      <c r="N328" s="202">
        <v>16721000</v>
      </c>
      <c r="S328" s="204"/>
      <c r="W328" s="198" t="s">
        <v>51</v>
      </c>
      <c r="AE328" s="198" t="s">
        <v>833</v>
      </c>
    </row>
    <row r="329" spans="3:31" x14ac:dyDescent="0.25">
      <c r="C329" s="201"/>
      <c r="E329" s="201"/>
      <c r="F329" s="201"/>
      <c r="I329" s="198" t="s">
        <v>221</v>
      </c>
      <c r="J329" s="198" t="s">
        <v>112</v>
      </c>
      <c r="K329" s="202">
        <f t="shared" si="5"/>
        <v>172380</v>
      </c>
      <c r="L329" s="202">
        <v>33.799999999999997</v>
      </c>
      <c r="N329" s="202">
        <v>-0.5</v>
      </c>
      <c r="S329" s="204"/>
      <c r="W329" s="198" t="s">
        <v>51</v>
      </c>
      <c r="AE329" s="198" t="s">
        <v>831</v>
      </c>
    </row>
    <row r="330" spans="3:31" x14ac:dyDescent="0.25">
      <c r="C330" s="201"/>
      <c r="E330" s="201"/>
      <c r="F330" s="201"/>
      <c r="I330" s="198" t="s">
        <v>836</v>
      </c>
      <c r="J330" s="198" t="s">
        <v>126</v>
      </c>
      <c r="K330" s="202">
        <f t="shared" si="5"/>
        <v>172890</v>
      </c>
      <c r="L330" s="202">
        <v>33.9</v>
      </c>
      <c r="N330" s="202">
        <v>3403850</v>
      </c>
      <c r="S330" s="204"/>
      <c r="W330" s="198" t="s">
        <v>51</v>
      </c>
      <c r="AE330" s="198" t="s">
        <v>835</v>
      </c>
    </row>
    <row r="331" spans="3:31" x14ac:dyDescent="0.25">
      <c r="C331" s="201"/>
      <c r="E331" s="201"/>
      <c r="F331" s="201"/>
      <c r="I331" s="198" t="s">
        <v>836</v>
      </c>
      <c r="J331" s="198" t="s">
        <v>126</v>
      </c>
      <c r="K331" s="202">
        <f t="shared" si="5"/>
        <v>173400</v>
      </c>
      <c r="L331" s="202">
        <v>34</v>
      </c>
      <c r="N331" s="202">
        <v>1871975</v>
      </c>
      <c r="S331" s="204"/>
      <c r="W331" s="198" t="s">
        <v>51</v>
      </c>
      <c r="AE331" s="198" t="s">
        <v>835</v>
      </c>
    </row>
    <row r="332" spans="3:31" x14ac:dyDescent="0.25">
      <c r="C332" s="201"/>
      <c r="E332" s="201"/>
      <c r="F332" s="201"/>
      <c r="I332" s="198" t="s">
        <v>836</v>
      </c>
      <c r="J332" s="198" t="s">
        <v>126</v>
      </c>
      <c r="K332" s="202">
        <f t="shared" si="5"/>
        <v>173910</v>
      </c>
      <c r="L332" s="202">
        <v>34.1</v>
      </c>
      <c r="N332" s="202">
        <v>5282475</v>
      </c>
      <c r="S332" s="204"/>
      <c r="W332" s="198" t="s">
        <v>51</v>
      </c>
      <c r="AE332" s="198" t="s">
        <v>835</v>
      </c>
    </row>
    <row r="333" spans="3:31" x14ac:dyDescent="0.25">
      <c r="C333" s="201"/>
      <c r="E333" s="201"/>
      <c r="F333" s="201"/>
      <c r="I333" s="198" t="s">
        <v>836</v>
      </c>
      <c r="J333" s="198" t="s">
        <v>126</v>
      </c>
      <c r="K333" s="202">
        <f t="shared" si="5"/>
        <v>174420</v>
      </c>
      <c r="L333" s="202">
        <v>34.200000000000003</v>
      </c>
      <c r="N333" s="202">
        <v>6796680</v>
      </c>
      <c r="S333" s="204"/>
      <c r="W333" s="198" t="s">
        <v>51</v>
      </c>
      <c r="AE333" s="198" t="s">
        <v>835</v>
      </c>
    </row>
    <row r="334" spans="3:31" x14ac:dyDescent="0.25">
      <c r="C334" s="201"/>
      <c r="E334" s="201"/>
      <c r="F334" s="201"/>
      <c r="I334" s="198" t="s">
        <v>180</v>
      </c>
      <c r="J334" s="198" t="s">
        <v>65</v>
      </c>
      <c r="K334" s="202">
        <f t="shared" si="5"/>
        <v>174930</v>
      </c>
      <c r="L334" s="202">
        <v>34.299999999999997</v>
      </c>
      <c r="N334" s="202">
        <v>0.03</v>
      </c>
      <c r="S334" s="204"/>
      <c r="W334" s="198" t="s">
        <v>51</v>
      </c>
      <c r="AE334" s="198" t="s">
        <v>831</v>
      </c>
    </row>
    <row r="335" spans="3:31" x14ac:dyDescent="0.25">
      <c r="C335" s="201"/>
      <c r="E335" s="201"/>
      <c r="F335" s="201"/>
      <c r="I335" s="198" t="s">
        <v>204</v>
      </c>
      <c r="J335" s="198" t="s">
        <v>169</v>
      </c>
      <c r="K335" s="202">
        <f t="shared" si="5"/>
        <v>175440</v>
      </c>
      <c r="L335" s="202">
        <v>34.4</v>
      </c>
      <c r="N335" s="202">
        <v>-0.02</v>
      </c>
      <c r="S335" s="204"/>
      <c r="W335" s="198" t="s">
        <v>51</v>
      </c>
      <c r="AE335" s="198" t="s">
        <v>831</v>
      </c>
    </row>
    <row r="336" spans="3:31" x14ac:dyDescent="0.25">
      <c r="C336" s="201"/>
      <c r="E336" s="201"/>
      <c r="F336" s="201"/>
      <c r="I336" s="198" t="s">
        <v>836</v>
      </c>
      <c r="J336" s="198" t="s">
        <v>126</v>
      </c>
      <c r="K336" s="202">
        <f t="shared" si="5"/>
        <v>175950</v>
      </c>
      <c r="L336" s="202">
        <v>34.5</v>
      </c>
      <c r="N336" s="202">
        <v>6790980</v>
      </c>
      <c r="S336" s="204"/>
      <c r="W336" s="198" t="s">
        <v>51</v>
      </c>
      <c r="AE336" s="198" t="s">
        <v>835</v>
      </c>
    </row>
    <row r="337" spans="3:31" x14ac:dyDescent="0.25">
      <c r="C337" s="201"/>
      <c r="E337" s="201"/>
      <c r="F337" s="201"/>
      <c r="I337" s="198" t="s">
        <v>82</v>
      </c>
      <c r="J337" s="198" t="s">
        <v>89</v>
      </c>
      <c r="K337" s="202">
        <f t="shared" si="5"/>
        <v>176460</v>
      </c>
      <c r="L337" s="202">
        <v>34.6</v>
      </c>
      <c r="N337" s="202">
        <v>520000</v>
      </c>
      <c r="S337" s="204"/>
      <c r="W337" s="198" t="s">
        <v>51</v>
      </c>
      <c r="AE337" s="198" t="s">
        <v>831</v>
      </c>
    </row>
    <row r="338" spans="3:31" x14ac:dyDescent="0.25">
      <c r="C338" s="201"/>
      <c r="E338" s="201"/>
      <c r="F338" s="201"/>
      <c r="I338" s="198" t="s">
        <v>82</v>
      </c>
      <c r="J338" s="198" t="s">
        <v>89</v>
      </c>
      <c r="K338" s="202">
        <f t="shared" si="5"/>
        <v>176970</v>
      </c>
      <c r="L338" s="202">
        <v>34.700000000000003</v>
      </c>
      <c r="N338" s="202">
        <v>520000</v>
      </c>
      <c r="S338" s="204"/>
      <c r="W338" s="198" t="s">
        <v>51</v>
      </c>
      <c r="AE338" s="198" t="s">
        <v>831</v>
      </c>
    </row>
    <row r="339" spans="3:31" x14ac:dyDescent="0.25">
      <c r="C339" s="201"/>
      <c r="E339" s="201"/>
      <c r="F339" s="201"/>
      <c r="I339" s="198" t="s">
        <v>215</v>
      </c>
      <c r="J339" s="198" t="s">
        <v>89</v>
      </c>
      <c r="K339" s="202">
        <f t="shared" si="5"/>
        <v>177480</v>
      </c>
      <c r="L339" s="202">
        <v>34.799999999999997</v>
      </c>
      <c r="N339" s="202">
        <v>5000000</v>
      </c>
      <c r="S339" s="204"/>
      <c r="W339" s="198" t="s">
        <v>51</v>
      </c>
      <c r="AE339" s="198" t="s">
        <v>831</v>
      </c>
    </row>
    <row r="340" spans="3:31" x14ac:dyDescent="0.25">
      <c r="C340" s="201"/>
      <c r="E340" s="201"/>
      <c r="F340" s="201"/>
      <c r="I340" s="198" t="s">
        <v>215</v>
      </c>
      <c r="J340" s="198" t="s">
        <v>89</v>
      </c>
      <c r="K340" s="202">
        <f t="shared" si="5"/>
        <v>177990</v>
      </c>
      <c r="L340" s="202">
        <v>34.9</v>
      </c>
      <c r="N340" s="202">
        <v>16557125</v>
      </c>
      <c r="S340" s="204"/>
      <c r="W340" s="198" t="s">
        <v>51</v>
      </c>
      <c r="AE340" s="198" t="s">
        <v>831</v>
      </c>
    </row>
    <row r="341" spans="3:31" x14ac:dyDescent="0.25">
      <c r="C341" s="201"/>
      <c r="E341" s="201"/>
      <c r="F341" s="201"/>
      <c r="I341" s="198" t="s">
        <v>215</v>
      </c>
      <c r="J341" s="198" t="s">
        <v>89</v>
      </c>
      <c r="K341" s="202">
        <f t="shared" si="5"/>
        <v>178500</v>
      </c>
      <c r="L341" s="202">
        <v>35</v>
      </c>
      <c r="N341" s="202">
        <v>15885881.01</v>
      </c>
      <c r="S341" s="203"/>
      <c r="W341" s="198" t="s">
        <v>51</v>
      </c>
      <c r="AE341" s="198" t="s">
        <v>831</v>
      </c>
    </row>
    <row r="342" spans="3:31" x14ac:dyDescent="0.25">
      <c r="C342" s="201"/>
      <c r="E342" s="201"/>
      <c r="F342" s="201"/>
      <c r="I342" s="198" t="s">
        <v>215</v>
      </c>
      <c r="J342" s="198" t="s">
        <v>89</v>
      </c>
      <c r="K342" s="202">
        <f t="shared" si="5"/>
        <v>179010</v>
      </c>
      <c r="L342" s="202">
        <v>35.1</v>
      </c>
      <c r="N342" s="202">
        <v>5763607.2000000002</v>
      </c>
      <c r="S342" s="203"/>
      <c r="W342" s="198" t="s">
        <v>51</v>
      </c>
      <c r="AE342" s="198" t="s">
        <v>831</v>
      </c>
    </row>
    <row r="343" spans="3:31" x14ac:dyDescent="0.25">
      <c r="C343" s="201"/>
      <c r="E343" s="201"/>
      <c r="F343" s="201"/>
      <c r="I343" s="198" t="s">
        <v>215</v>
      </c>
      <c r="J343" s="198" t="s">
        <v>89</v>
      </c>
      <c r="K343" s="202">
        <f t="shared" si="5"/>
        <v>179520</v>
      </c>
      <c r="L343" s="202">
        <v>35.200000000000003</v>
      </c>
      <c r="N343" s="202">
        <v>3842404.8</v>
      </c>
      <c r="S343" s="203"/>
      <c r="W343" s="198" t="s">
        <v>51</v>
      </c>
      <c r="AE343" s="198" t="s">
        <v>831</v>
      </c>
    </row>
    <row r="344" spans="3:31" x14ac:dyDescent="0.25">
      <c r="C344" s="201"/>
      <c r="E344" s="201"/>
      <c r="F344" s="201"/>
      <c r="I344" s="198" t="s">
        <v>216</v>
      </c>
      <c r="J344" s="198" t="s">
        <v>89</v>
      </c>
      <c r="K344" s="202">
        <f t="shared" si="5"/>
        <v>180030</v>
      </c>
      <c r="L344" s="202">
        <v>35.299999999999997</v>
      </c>
      <c r="N344" s="202">
        <v>2223812.5</v>
      </c>
      <c r="S344" s="203"/>
      <c r="W344" s="198" t="s">
        <v>51</v>
      </c>
      <c r="AE344" s="198" t="s">
        <v>831</v>
      </c>
    </row>
    <row r="345" spans="3:31" x14ac:dyDescent="0.25">
      <c r="C345" s="201"/>
      <c r="E345" s="201"/>
      <c r="F345" s="201"/>
      <c r="I345" s="198" t="s">
        <v>216</v>
      </c>
      <c r="J345" s="198" t="s">
        <v>89</v>
      </c>
      <c r="K345" s="202">
        <f t="shared" si="5"/>
        <v>180540</v>
      </c>
      <c r="L345" s="202">
        <v>35.4</v>
      </c>
      <c r="N345" s="202">
        <v>2134399.4700000002</v>
      </c>
      <c r="S345" s="203"/>
      <c r="W345" s="198" t="s">
        <v>51</v>
      </c>
      <c r="AE345" s="198" t="s">
        <v>831</v>
      </c>
    </row>
    <row r="346" spans="3:31" x14ac:dyDescent="0.25">
      <c r="C346" s="201"/>
      <c r="E346" s="201"/>
      <c r="F346" s="201"/>
      <c r="I346" s="198" t="s">
        <v>216</v>
      </c>
      <c r="J346" s="198" t="s">
        <v>89</v>
      </c>
      <c r="K346" s="202">
        <f t="shared" si="5"/>
        <v>181050</v>
      </c>
      <c r="L346" s="202">
        <v>35.5</v>
      </c>
      <c r="N346" s="202">
        <v>757411.2</v>
      </c>
      <c r="S346" s="203"/>
      <c r="W346" s="198" t="s">
        <v>51</v>
      </c>
      <c r="AE346" s="198" t="s">
        <v>831</v>
      </c>
    </row>
    <row r="347" spans="3:31" x14ac:dyDescent="0.25">
      <c r="C347" s="201"/>
      <c r="E347" s="201"/>
      <c r="F347" s="201"/>
      <c r="I347" s="198" t="s">
        <v>216</v>
      </c>
      <c r="J347" s="198" t="s">
        <v>89</v>
      </c>
      <c r="K347" s="202">
        <f t="shared" si="5"/>
        <v>181560</v>
      </c>
      <c r="L347" s="202">
        <v>35.6</v>
      </c>
      <c r="N347" s="202">
        <v>504940.79999999999</v>
      </c>
      <c r="S347" s="203"/>
      <c r="W347" s="198" t="s">
        <v>51</v>
      </c>
      <c r="AE347" s="198" t="s">
        <v>831</v>
      </c>
    </row>
    <row r="348" spans="3:31" x14ac:dyDescent="0.25">
      <c r="C348" s="201"/>
      <c r="E348" s="201"/>
      <c r="F348" s="201"/>
      <c r="I348" s="198" t="s">
        <v>217</v>
      </c>
      <c r="J348" s="198" t="s">
        <v>89</v>
      </c>
      <c r="K348" s="202">
        <f t="shared" si="5"/>
        <v>182070</v>
      </c>
      <c r="L348" s="202">
        <v>35.700000000000003</v>
      </c>
      <c r="N348" s="202">
        <v>523250</v>
      </c>
      <c r="S348" s="204"/>
      <c r="W348" s="198" t="s">
        <v>51</v>
      </c>
      <c r="AE348" s="198" t="s">
        <v>831</v>
      </c>
    </row>
    <row r="349" spans="3:31" x14ac:dyDescent="0.25">
      <c r="C349" s="201"/>
      <c r="E349" s="201"/>
      <c r="F349" s="201"/>
      <c r="I349" s="198" t="s">
        <v>217</v>
      </c>
      <c r="J349" s="198" t="s">
        <v>89</v>
      </c>
      <c r="K349" s="202">
        <f t="shared" si="5"/>
        <v>182580</v>
      </c>
      <c r="L349" s="202">
        <v>35.799999999999997</v>
      </c>
      <c r="N349" s="202">
        <v>503852.64</v>
      </c>
      <c r="S349" s="203"/>
      <c r="W349" s="198" t="s">
        <v>51</v>
      </c>
      <c r="AE349" s="198" t="s">
        <v>831</v>
      </c>
    </row>
    <row r="350" spans="3:31" x14ac:dyDescent="0.25">
      <c r="C350" s="201"/>
      <c r="E350" s="201"/>
      <c r="F350" s="201"/>
      <c r="I350" s="198" t="s">
        <v>217</v>
      </c>
      <c r="J350" s="198" t="s">
        <v>89</v>
      </c>
      <c r="K350" s="202">
        <f t="shared" si="5"/>
        <v>183090</v>
      </c>
      <c r="L350" s="202">
        <v>35.9</v>
      </c>
      <c r="N350" s="202">
        <v>178214.39999999999</v>
      </c>
      <c r="S350" s="203"/>
      <c r="W350" s="198" t="s">
        <v>51</v>
      </c>
      <c r="AE350" s="198" t="s">
        <v>831</v>
      </c>
    </row>
    <row r="351" spans="3:31" x14ac:dyDescent="0.25">
      <c r="C351" s="201"/>
      <c r="E351" s="201"/>
      <c r="F351" s="201"/>
      <c r="I351" s="198" t="s">
        <v>217</v>
      </c>
      <c r="J351" s="198" t="s">
        <v>89</v>
      </c>
      <c r="K351" s="202">
        <f t="shared" si="5"/>
        <v>183600</v>
      </c>
      <c r="L351" s="202">
        <v>36</v>
      </c>
      <c r="N351" s="202">
        <v>118809.60000000001</v>
      </c>
      <c r="S351" s="203"/>
      <c r="W351" s="198" t="s">
        <v>51</v>
      </c>
      <c r="AE351" s="198" t="s">
        <v>831</v>
      </c>
    </row>
    <row r="352" spans="3:31" x14ac:dyDescent="0.25">
      <c r="C352" s="201"/>
      <c r="E352" s="201"/>
      <c r="F352" s="201"/>
      <c r="I352" s="198" t="s">
        <v>230</v>
      </c>
      <c r="J352" s="198" t="s">
        <v>89</v>
      </c>
      <c r="K352" s="202">
        <f t="shared" si="5"/>
        <v>184110</v>
      </c>
      <c r="L352" s="202">
        <v>36.1</v>
      </c>
      <c r="N352" s="202">
        <v>299000</v>
      </c>
      <c r="S352" s="204"/>
      <c r="W352" s="198" t="s">
        <v>51</v>
      </c>
      <c r="AE352" s="198" t="s">
        <v>831</v>
      </c>
    </row>
    <row r="353" spans="3:31" x14ac:dyDescent="0.25">
      <c r="C353" s="201"/>
      <c r="E353" s="201"/>
      <c r="F353" s="201"/>
      <c r="I353" s="198" t="s">
        <v>230</v>
      </c>
      <c r="J353" s="198" t="s">
        <v>89</v>
      </c>
      <c r="K353" s="202">
        <f t="shared" si="5"/>
        <v>184620</v>
      </c>
      <c r="L353" s="202">
        <v>36.200000000000003</v>
      </c>
      <c r="N353" s="202">
        <v>287913.45</v>
      </c>
      <c r="S353" s="203"/>
      <c r="W353" s="198" t="s">
        <v>51</v>
      </c>
      <c r="AE353" s="198" t="s">
        <v>831</v>
      </c>
    </row>
    <row r="354" spans="3:31" x14ac:dyDescent="0.25">
      <c r="C354" s="201"/>
      <c r="E354" s="201"/>
      <c r="F354" s="201"/>
      <c r="I354" s="198" t="s">
        <v>230</v>
      </c>
      <c r="J354" s="198" t="s">
        <v>89</v>
      </c>
      <c r="K354" s="202">
        <f t="shared" si="5"/>
        <v>185130</v>
      </c>
      <c r="L354" s="202">
        <v>36.299999999999997</v>
      </c>
      <c r="N354" s="202">
        <v>101836.8</v>
      </c>
      <c r="S354" s="203"/>
      <c r="W354" s="198" t="s">
        <v>51</v>
      </c>
      <c r="AE354" s="198" t="s">
        <v>831</v>
      </c>
    </row>
    <row r="355" spans="3:31" x14ac:dyDescent="0.25">
      <c r="C355" s="201"/>
      <c r="E355" s="201"/>
      <c r="F355" s="201"/>
      <c r="I355" s="198" t="s">
        <v>230</v>
      </c>
      <c r="J355" s="198" t="s">
        <v>89</v>
      </c>
      <c r="K355" s="202">
        <f t="shared" si="5"/>
        <v>185640</v>
      </c>
      <c r="L355" s="202">
        <v>36.4</v>
      </c>
      <c r="N355" s="202">
        <v>67891.199999999997</v>
      </c>
      <c r="S355" s="203"/>
      <c r="W355" s="198" t="s">
        <v>51</v>
      </c>
      <c r="AE355" s="198" t="s">
        <v>831</v>
      </c>
    </row>
    <row r="356" spans="3:31" x14ac:dyDescent="0.25">
      <c r="C356" s="201"/>
      <c r="E356" s="201"/>
      <c r="F356" s="201"/>
      <c r="I356" s="198" t="s">
        <v>221</v>
      </c>
      <c r="J356" s="198" t="s">
        <v>112</v>
      </c>
      <c r="K356" s="202">
        <f t="shared" si="5"/>
        <v>186150</v>
      </c>
      <c r="L356" s="202">
        <v>36.5</v>
      </c>
      <c r="N356" s="202">
        <v>34422375</v>
      </c>
      <c r="S356" s="204"/>
      <c r="W356" s="198" t="s">
        <v>51</v>
      </c>
      <c r="AE356" s="198" t="s">
        <v>831</v>
      </c>
    </row>
    <row r="357" spans="3:31" x14ac:dyDescent="0.25">
      <c r="C357" s="201"/>
      <c r="E357" s="201"/>
      <c r="F357" s="201"/>
      <c r="I357" s="198" t="s">
        <v>221</v>
      </c>
      <c r="J357" s="198" t="s">
        <v>112</v>
      </c>
      <c r="K357" s="202">
        <f t="shared" si="5"/>
        <v>186660</v>
      </c>
      <c r="L357" s="202">
        <v>36.6</v>
      </c>
      <c r="N357" s="202">
        <v>33287389.620000001</v>
      </c>
      <c r="S357" s="203"/>
      <c r="W357" s="198" t="s">
        <v>51</v>
      </c>
      <c r="AE357" s="198" t="s">
        <v>831</v>
      </c>
    </row>
    <row r="358" spans="3:31" x14ac:dyDescent="0.25">
      <c r="C358" s="201"/>
      <c r="E358" s="201"/>
      <c r="F358" s="201"/>
      <c r="I358" s="198" t="s">
        <v>221</v>
      </c>
      <c r="J358" s="198" t="s">
        <v>112</v>
      </c>
      <c r="K358" s="202">
        <f t="shared" si="5"/>
        <v>187170</v>
      </c>
      <c r="L358" s="202">
        <v>36.700000000000003</v>
      </c>
      <c r="N358" s="202">
        <v>11982578.4</v>
      </c>
      <c r="S358" s="203"/>
      <c r="W358" s="198" t="s">
        <v>51</v>
      </c>
      <c r="AE358" s="198" t="s">
        <v>831</v>
      </c>
    </row>
    <row r="359" spans="3:31" x14ac:dyDescent="0.25">
      <c r="C359" s="201"/>
      <c r="E359" s="201"/>
      <c r="F359" s="201"/>
      <c r="I359" s="198" t="s">
        <v>221</v>
      </c>
      <c r="J359" s="198" t="s">
        <v>112</v>
      </c>
      <c r="K359" s="202">
        <f t="shared" si="5"/>
        <v>187680</v>
      </c>
      <c r="L359" s="202">
        <v>36.799999999999997</v>
      </c>
      <c r="N359" s="202">
        <v>7988385.5999999996</v>
      </c>
      <c r="S359" s="203"/>
      <c r="W359" s="198" t="s">
        <v>51</v>
      </c>
      <c r="AE359" s="198" t="s">
        <v>831</v>
      </c>
    </row>
    <row r="360" spans="3:31" x14ac:dyDescent="0.25">
      <c r="C360" s="201"/>
      <c r="E360" s="201"/>
      <c r="F360" s="201"/>
      <c r="I360" s="198" t="s">
        <v>222</v>
      </c>
      <c r="J360" s="198" t="s">
        <v>112</v>
      </c>
      <c r="K360" s="202">
        <f t="shared" si="5"/>
        <v>188190</v>
      </c>
      <c r="L360" s="202">
        <v>36.9</v>
      </c>
      <c r="N360" s="202">
        <v>6279000</v>
      </c>
      <c r="S360" s="204"/>
      <c r="W360" s="198" t="s">
        <v>51</v>
      </c>
      <c r="AE360" s="198" t="s">
        <v>831</v>
      </c>
    </row>
    <row r="361" spans="3:31" x14ac:dyDescent="0.25">
      <c r="C361" s="201"/>
      <c r="E361" s="201"/>
      <c r="F361" s="201"/>
      <c r="I361" s="198" t="s">
        <v>222</v>
      </c>
      <c r="J361" s="198" t="s">
        <v>112</v>
      </c>
      <c r="K361" s="202">
        <f t="shared" si="5"/>
        <v>188699.99999999951</v>
      </c>
      <c r="L361" s="202">
        <v>36.999999999999901</v>
      </c>
      <c r="N361" s="202">
        <v>6074120.4800000004</v>
      </c>
      <c r="S361" s="203"/>
      <c r="W361" s="198" t="s">
        <v>51</v>
      </c>
      <c r="AE361" s="198" t="s">
        <v>831</v>
      </c>
    </row>
    <row r="362" spans="3:31" x14ac:dyDescent="0.25">
      <c r="C362" s="201"/>
      <c r="E362" s="201"/>
      <c r="F362" s="201"/>
      <c r="I362" s="198" t="s">
        <v>222</v>
      </c>
      <c r="J362" s="198" t="s">
        <v>112</v>
      </c>
      <c r="K362" s="202">
        <f t="shared" si="5"/>
        <v>189210</v>
      </c>
      <c r="L362" s="202">
        <v>37.1</v>
      </c>
      <c r="N362" s="202">
        <v>2138572.7999999998</v>
      </c>
      <c r="S362" s="203"/>
      <c r="W362" s="198" t="s">
        <v>51</v>
      </c>
      <c r="AE362" s="198" t="s">
        <v>831</v>
      </c>
    </row>
    <row r="363" spans="3:31" x14ac:dyDescent="0.25">
      <c r="C363" s="201"/>
      <c r="E363" s="201"/>
      <c r="F363" s="201"/>
      <c r="I363" s="198" t="s">
        <v>222</v>
      </c>
      <c r="J363" s="198" t="s">
        <v>112</v>
      </c>
      <c r="K363" s="202">
        <f t="shared" si="5"/>
        <v>189720</v>
      </c>
      <c r="L363" s="202">
        <v>37.200000000000003</v>
      </c>
      <c r="N363" s="202">
        <v>1425715.2</v>
      </c>
      <c r="S363" s="203"/>
      <c r="W363" s="198" t="s">
        <v>51</v>
      </c>
      <c r="AE363" s="198" t="s">
        <v>831</v>
      </c>
    </row>
    <row r="364" spans="3:31" x14ac:dyDescent="0.25">
      <c r="C364" s="201"/>
      <c r="E364" s="201"/>
      <c r="F364" s="201"/>
      <c r="I364" s="198" t="s">
        <v>225</v>
      </c>
      <c r="J364" s="198" t="s">
        <v>112</v>
      </c>
      <c r="K364" s="202">
        <f t="shared" si="5"/>
        <v>190230</v>
      </c>
      <c r="L364" s="202">
        <v>37.299999999999997</v>
      </c>
      <c r="N364" s="202">
        <v>598000</v>
      </c>
      <c r="S364" s="204"/>
      <c r="W364" s="198" t="s">
        <v>51</v>
      </c>
      <c r="AE364" s="198" t="s">
        <v>831</v>
      </c>
    </row>
    <row r="365" spans="3:31" x14ac:dyDescent="0.25">
      <c r="C365" s="201"/>
      <c r="E365" s="201"/>
      <c r="F365" s="201"/>
      <c r="I365" s="198" t="s">
        <v>225</v>
      </c>
      <c r="J365" s="198" t="s">
        <v>112</v>
      </c>
      <c r="K365" s="202">
        <f t="shared" si="5"/>
        <v>190740</v>
      </c>
      <c r="L365" s="202">
        <v>37.4</v>
      </c>
      <c r="N365" s="202">
        <v>588954.9</v>
      </c>
      <c r="S365" s="203"/>
      <c r="W365" s="198" t="s">
        <v>51</v>
      </c>
      <c r="AE365" s="198" t="s">
        <v>831</v>
      </c>
    </row>
    <row r="366" spans="3:31" x14ac:dyDescent="0.25">
      <c r="C366" s="201"/>
      <c r="E366" s="201"/>
      <c r="F366" s="201"/>
      <c r="I366" s="198" t="s">
        <v>225</v>
      </c>
      <c r="J366" s="198" t="s">
        <v>112</v>
      </c>
      <c r="K366" s="202">
        <f t="shared" si="5"/>
        <v>191249.99999999951</v>
      </c>
      <c r="L366" s="202">
        <v>37.499999999999901</v>
      </c>
      <c r="N366" s="202">
        <v>203673.60000000001</v>
      </c>
      <c r="S366" s="203"/>
      <c r="W366" s="198" t="s">
        <v>51</v>
      </c>
      <c r="AE366" s="198" t="s">
        <v>831</v>
      </c>
    </row>
    <row r="367" spans="3:31" x14ac:dyDescent="0.25">
      <c r="C367" s="201"/>
      <c r="E367" s="201"/>
      <c r="F367" s="201"/>
      <c r="I367" s="198" t="s">
        <v>225</v>
      </c>
      <c r="J367" s="198" t="s">
        <v>112</v>
      </c>
      <c r="K367" s="202">
        <f t="shared" si="5"/>
        <v>191760</v>
      </c>
      <c r="L367" s="202">
        <v>37.6</v>
      </c>
      <c r="N367" s="202">
        <v>135782.39999999999</v>
      </c>
      <c r="S367" s="203"/>
      <c r="W367" s="198" t="s">
        <v>51</v>
      </c>
      <c r="AE367" s="198" t="s">
        <v>831</v>
      </c>
    </row>
    <row r="368" spans="3:31" x14ac:dyDescent="0.25">
      <c r="C368" s="201"/>
      <c r="E368" s="201"/>
      <c r="F368" s="201"/>
      <c r="I368" s="198" t="s">
        <v>164</v>
      </c>
      <c r="J368" s="198" t="s">
        <v>167</v>
      </c>
      <c r="K368" s="202">
        <f t="shared" si="5"/>
        <v>192270</v>
      </c>
      <c r="L368" s="202">
        <v>37.700000000000003</v>
      </c>
      <c r="N368" s="202">
        <v>3506.59</v>
      </c>
      <c r="S368" s="203"/>
      <c r="W368" s="198" t="s">
        <v>51</v>
      </c>
      <c r="AE368" s="198" t="s">
        <v>831</v>
      </c>
    </row>
    <row r="369" spans="3:31" x14ac:dyDescent="0.25">
      <c r="C369" s="201"/>
      <c r="E369" s="201"/>
      <c r="F369" s="201"/>
      <c r="I369" s="198" t="s">
        <v>164</v>
      </c>
      <c r="J369" s="198" t="s">
        <v>167</v>
      </c>
      <c r="K369" s="202">
        <f t="shared" si="5"/>
        <v>192780</v>
      </c>
      <c r="L369" s="202">
        <v>37.799999999999997</v>
      </c>
      <c r="N369" s="202">
        <v>1621.26</v>
      </c>
      <c r="S369" s="203"/>
      <c r="W369" s="198" t="s">
        <v>51</v>
      </c>
      <c r="AE369" s="198" t="s">
        <v>831</v>
      </c>
    </row>
    <row r="370" spans="3:31" x14ac:dyDescent="0.25">
      <c r="C370" s="201"/>
      <c r="E370" s="201"/>
      <c r="F370" s="201"/>
      <c r="I370" s="198" t="s">
        <v>164</v>
      </c>
      <c r="J370" s="198" t="s">
        <v>167</v>
      </c>
      <c r="K370" s="202">
        <f t="shared" si="5"/>
        <v>193290</v>
      </c>
      <c r="L370" s="202">
        <v>37.9</v>
      </c>
      <c r="N370" s="202">
        <v>2904.16</v>
      </c>
      <c r="S370" s="203"/>
      <c r="W370" s="198" t="s">
        <v>51</v>
      </c>
      <c r="AE370" s="198" t="s">
        <v>831</v>
      </c>
    </row>
    <row r="371" spans="3:31" x14ac:dyDescent="0.25">
      <c r="C371" s="201"/>
      <c r="E371" s="201"/>
      <c r="F371" s="201"/>
      <c r="I371" s="198" t="s">
        <v>164</v>
      </c>
      <c r="J371" s="198" t="s">
        <v>167</v>
      </c>
      <c r="K371" s="202">
        <f t="shared" si="5"/>
        <v>193799.99999999951</v>
      </c>
      <c r="L371" s="202">
        <v>37.999999999999901</v>
      </c>
      <c r="N371" s="202">
        <v>7563.6</v>
      </c>
      <c r="S371" s="203"/>
      <c r="W371" s="198" t="s">
        <v>51</v>
      </c>
      <c r="AE371" s="198" t="s">
        <v>831</v>
      </c>
    </row>
    <row r="372" spans="3:31" x14ac:dyDescent="0.25">
      <c r="C372" s="201"/>
      <c r="E372" s="201"/>
      <c r="F372" s="201"/>
      <c r="I372" s="198" t="s">
        <v>201</v>
      </c>
      <c r="J372" s="198" t="s">
        <v>167</v>
      </c>
      <c r="K372" s="202">
        <f t="shared" si="5"/>
        <v>194310</v>
      </c>
      <c r="L372" s="202">
        <v>38.1</v>
      </c>
      <c r="N372" s="202">
        <v>327181.8</v>
      </c>
      <c r="S372" s="203"/>
      <c r="W372" s="198" t="s">
        <v>51</v>
      </c>
      <c r="AE372" s="198" t="s">
        <v>831</v>
      </c>
    </row>
    <row r="373" spans="3:31" x14ac:dyDescent="0.25">
      <c r="C373" s="201"/>
      <c r="E373" s="201"/>
      <c r="F373" s="201"/>
      <c r="I373" s="198" t="s">
        <v>201</v>
      </c>
      <c r="J373" s="198" t="s">
        <v>167</v>
      </c>
      <c r="K373" s="202">
        <f t="shared" si="5"/>
        <v>194820</v>
      </c>
      <c r="L373" s="202">
        <v>38.200000000000003</v>
      </c>
      <c r="N373" s="202">
        <v>316497.13</v>
      </c>
      <c r="S373" s="203"/>
      <c r="W373" s="198" t="s">
        <v>51</v>
      </c>
      <c r="AE373" s="198" t="s">
        <v>831</v>
      </c>
    </row>
    <row r="374" spans="3:31" x14ac:dyDescent="0.25">
      <c r="C374" s="201"/>
      <c r="E374" s="201"/>
      <c r="F374" s="201"/>
      <c r="I374" s="198" t="s">
        <v>164</v>
      </c>
      <c r="J374" s="198" t="s">
        <v>167</v>
      </c>
      <c r="K374" s="202">
        <f t="shared" si="5"/>
        <v>195330</v>
      </c>
      <c r="L374" s="202">
        <v>38.299999999999997</v>
      </c>
      <c r="N374" s="202">
        <v>331388.82</v>
      </c>
      <c r="S374" s="203"/>
      <c r="W374" s="198" t="s">
        <v>51</v>
      </c>
      <c r="AE374" s="198" t="s">
        <v>831</v>
      </c>
    </row>
    <row r="375" spans="3:31" x14ac:dyDescent="0.25">
      <c r="C375" s="201"/>
      <c r="E375" s="201"/>
      <c r="F375" s="201"/>
      <c r="I375" s="198" t="s">
        <v>164</v>
      </c>
      <c r="J375" s="198" t="s">
        <v>167</v>
      </c>
      <c r="K375" s="202">
        <f t="shared" si="5"/>
        <v>195839.99999999948</v>
      </c>
      <c r="L375" s="202">
        <v>38.399999999999899</v>
      </c>
      <c r="N375" s="202">
        <v>116960.76</v>
      </c>
      <c r="S375" s="203"/>
      <c r="W375" s="198" t="s">
        <v>51</v>
      </c>
      <c r="AE375" s="198" t="s">
        <v>831</v>
      </c>
    </row>
    <row r="376" spans="3:31" x14ac:dyDescent="0.25">
      <c r="C376" s="201"/>
      <c r="E376" s="201"/>
      <c r="F376" s="201"/>
      <c r="I376" s="198" t="s">
        <v>164</v>
      </c>
      <c r="J376" s="198" t="s">
        <v>167</v>
      </c>
      <c r="K376" s="202">
        <f t="shared" si="5"/>
        <v>196349.99999999951</v>
      </c>
      <c r="L376" s="202">
        <v>38.499999999999901</v>
      </c>
      <c r="N376" s="202">
        <v>35762.58</v>
      </c>
      <c r="S376" s="203"/>
      <c r="W376" s="198" t="s">
        <v>51</v>
      </c>
      <c r="AE376" s="198" t="s">
        <v>831</v>
      </c>
    </row>
    <row r="377" spans="3:31" x14ac:dyDescent="0.25">
      <c r="C377" s="201"/>
      <c r="E377" s="201"/>
      <c r="F377" s="201"/>
      <c r="I377" s="198" t="s">
        <v>164</v>
      </c>
      <c r="J377" s="198" t="s">
        <v>167</v>
      </c>
      <c r="K377" s="202">
        <f t="shared" si="5"/>
        <v>196860</v>
      </c>
      <c r="L377" s="202">
        <v>38.6</v>
      </c>
      <c r="N377" s="202">
        <v>4104456.3</v>
      </c>
      <c r="S377" s="203"/>
      <c r="W377" s="198" t="s">
        <v>51</v>
      </c>
      <c r="AE377" s="198" t="s">
        <v>831</v>
      </c>
    </row>
    <row r="378" spans="3:31" x14ac:dyDescent="0.25">
      <c r="C378" s="201"/>
      <c r="E378" s="201"/>
      <c r="F378" s="201"/>
      <c r="I378" s="198" t="s">
        <v>164</v>
      </c>
      <c r="J378" s="198" t="s">
        <v>167</v>
      </c>
      <c r="K378" s="202">
        <f t="shared" si="5"/>
        <v>197370</v>
      </c>
      <c r="L378" s="202">
        <v>38.700000000000003</v>
      </c>
      <c r="N378" s="202">
        <v>1128263.3999999999</v>
      </c>
      <c r="S378" s="203"/>
      <c r="W378" s="198" t="s">
        <v>51</v>
      </c>
      <c r="AE378" s="198" t="s">
        <v>831</v>
      </c>
    </row>
    <row r="379" spans="3:31" x14ac:dyDescent="0.25">
      <c r="C379" s="201"/>
      <c r="E379" s="201"/>
      <c r="F379" s="201"/>
      <c r="I379" s="198" t="s">
        <v>164</v>
      </c>
      <c r="J379" s="198" t="s">
        <v>167</v>
      </c>
      <c r="K379" s="202">
        <f t="shared" si="5"/>
        <v>197880</v>
      </c>
      <c r="L379" s="202">
        <v>38.799999999999997</v>
      </c>
      <c r="N379" s="202">
        <v>5421339.7999999998</v>
      </c>
      <c r="S379" s="203"/>
      <c r="W379" s="198" t="s">
        <v>51</v>
      </c>
      <c r="AE379" s="198" t="s">
        <v>831</v>
      </c>
    </row>
    <row r="380" spans="3:31" x14ac:dyDescent="0.25">
      <c r="C380" s="201"/>
      <c r="E380" s="201"/>
      <c r="F380" s="201"/>
      <c r="I380" s="198" t="s">
        <v>164</v>
      </c>
      <c r="J380" s="198" t="s">
        <v>167</v>
      </c>
      <c r="K380" s="202">
        <f t="shared" si="5"/>
        <v>198389.99999999948</v>
      </c>
      <c r="L380" s="202">
        <v>38.899999999999899</v>
      </c>
      <c r="N380" s="202">
        <v>1019966</v>
      </c>
      <c r="S380" s="203"/>
      <c r="W380" s="198" t="s">
        <v>51</v>
      </c>
      <c r="AE380" s="198" t="s">
        <v>831</v>
      </c>
    </row>
    <row r="381" spans="3:31" x14ac:dyDescent="0.25">
      <c r="C381" s="201"/>
      <c r="E381" s="201"/>
      <c r="F381" s="201"/>
      <c r="I381" s="198" t="s">
        <v>164</v>
      </c>
      <c r="J381" s="198" t="s">
        <v>167</v>
      </c>
      <c r="K381" s="202">
        <f t="shared" si="5"/>
        <v>198899.99999999951</v>
      </c>
      <c r="L381" s="202">
        <v>38.999999999999901</v>
      </c>
      <c r="N381" s="202">
        <v>4845177</v>
      </c>
      <c r="S381" s="203"/>
      <c r="W381" s="198" t="s">
        <v>51</v>
      </c>
      <c r="AE381" s="198" t="s">
        <v>831</v>
      </c>
    </row>
    <row r="382" spans="3:31" x14ac:dyDescent="0.25">
      <c r="C382" s="201"/>
      <c r="E382" s="201"/>
      <c r="F382" s="201"/>
      <c r="I382" s="198" t="s">
        <v>164</v>
      </c>
      <c r="J382" s="198" t="s">
        <v>167</v>
      </c>
      <c r="K382" s="202">
        <f t="shared" si="5"/>
        <v>199410</v>
      </c>
      <c r="L382" s="202">
        <v>39.1</v>
      </c>
      <c r="N382" s="202">
        <v>1712085</v>
      </c>
      <c r="S382" s="203"/>
      <c r="W382" s="198" t="s">
        <v>51</v>
      </c>
      <c r="AE382" s="198" t="s">
        <v>831</v>
      </c>
    </row>
    <row r="383" spans="3:31" x14ac:dyDescent="0.25">
      <c r="C383" s="201"/>
      <c r="E383" s="201"/>
      <c r="F383" s="201"/>
      <c r="I383" s="198" t="s">
        <v>164</v>
      </c>
      <c r="J383" s="198" t="s">
        <v>167</v>
      </c>
      <c r="K383" s="202">
        <f t="shared" si="5"/>
        <v>199920</v>
      </c>
      <c r="L383" s="202">
        <v>39.200000000000003</v>
      </c>
      <c r="N383" s="202">
        <v>1118707.2</v>
      </c>
      <c r="S383" s="203"/>
      <c r="W383" s="198" t="s">
        <v>51</v>
      </c>
      <c r="AE383" s="198" t="s">
        <v>831</v>
      </c>
    </row>
    <row r="384" spans="3:31" x14ac:dyDescent="0.25">
      <c r="C384" s="201"/>
      <c r="E384" s="201"/>
      <c r="F384" s="201"/>
      <c r="I384" s="198" t="s">
        <v>164</v>
      </c>
      <c r="J384" s="198" t="s">
        <v>167</v>
      </c>
      <c r="K384" s="202">
        <f t="shared" si="5"/>
        <v>200429.99999999948</v>
      </c>
      <c r="L384" s="202">
        <v>39.299999999999898</v>
      </c>
      <c r="N384" s="202">
        <v>61372.5</v>
      </c>
      <c r="S384" s="203"/>
      <c r="W384" s="198" t="s">
        <v>51</v>
      </c>
      <c r="AE384" s="198" t="s">
        <v>831</v>
      </c>
    </row>
    <row r="385" spans="3:31" x14ac:dyDescent="0.25">
      <c r="C385" s="201"/>
      <c r="E385" s="201"/>
      <c r="F385" s="201"/>
      <c r="I385" s="198" t="s">
        <v>164</v>
      </c>
      <c r="J385" s="198" t="s">
        <v>167</v>
      </c>
      <c r="K385" s="202">
        <f t="shared" si="5"/>
        <v>200939.99999999948</v>
      </c>
      <c r="L385" s="202">
        <v>39.399999999999899</v>
      </c>
      <c r="N385" s="202">
        <v>250608</v>
      </c>
      <c r="S385" s="203"/>
      <c r="W385" s="198" t="s">
        <v>51</v>
      </c>
      <c r="AE385" s="198" t="s">
        <v>831</v>
      </c>
    </row>
    <row r="386" spans="3:31" x14ac:dyDescent="0.25">
      <c r="C386" s="201"/>
      <c r="E386" s="201"/>
      <c r="F386" s="201"/>
      <c r="I386" s="198" t="s">
        <v>582</v>
      </c>
      <c r="J386" s="198" t="s">
        <v>132</v>
      </c>
      <c r="K386" s="202">
        <f t="shared" si="5"/>
        <v>201449.99999999951</v>
      </c>
      <c r="L386" s="202">
        <v>39.499999999999901</v>
      </c>
      <c r="N386" s="202">
        <v>6264300</v>
      </c>
      <c r="S386" s="204"/>
      <c r="W386" s="198" t="s">
        <v>51</v>
      </c>
      <c r="AE386" s="198" t="s">
        <v>833</v>
      </c>
    </row>
    <row r="387" spans="3:31" x14ac:dyDescent="0.25">
      <c r="C387" s="201"/>
      <c r="E387" s="201"/>
      <c r="F387" s="201"/>
      <c r="I387" s="198" t="s">
        <v>430</v>
      </c>
      <c r="J387" s="198" t="s">
        <v>130</v>
      </c>
      <c r="K387" s="202">
        <f t="shared" ref="K387:K450" si="6">L387*5100</f>
        <v>201960</v>
      </c>
      <c r="L387" s="202">
        <v>39.6</v>
      </c>
      <c r="N387" s="202">
        <v>16721000</v>
      </c>
      <c r="S387" s="204"/>
      <c r="W387" s="198" t="s">
        <v>51</v>
      </c>
      <c r="AE387" s="198" t="s">
        <v>833</v>
      </c>
    </row>
    <row r="388" spans="3:31" x14ac:dyDescent="0.25">
      <c r="C388" s="201"/>
      <c r="E388" s="201"/>
      <c r="F388" s="201"/>
      <c r="I388" s="198" t="s">
        <v>582</v>
      </c>
      <c r="J388" s="198" t="s">
        <v>132</v>
      </c>
      <c r="K388" s="202">
        <f t="shared" si="6"/>
        <v>202470</v>
      </c>
      <c r="L388" s="202">
        <v>39.700000000000003</v>
      </c>
      <c r="N388" s="202">
        <v>6254325</v>
      </c>
      <c r="S388" s="204"/>
      <c r="W388" s="198" t="s">
        <v>51</v>
      </c>
      <c r="AE388" s="198" t="s">
        <v>833</v>
      </c>
    </row>
    <row r="389" spans="3:31" x14ac:dyDescent="0.25">
      <c r="C389" s="201"/>
      <c r="E389" s="201"/>
      <c r="F389" s="201"/>
      <c r="I389" s="198" t="s">
        <v>582</v>
      </c>
      <c r="J389" s="198" t="s">
        <v>132</v>
      </c>
      <c r="K389" s="202">
        <f t="shared" si="6"/>
        <v>202979.99999999948</v>
      </c>
      <c r="L389" s="202">
        <v>39.799999999999898</v>
      </c>
      <c r="N389" s="202">
        <v>6264775</v>
      </c>
      <c r="S389" s="204"/>
      <c r="W389" s="198" t="s">
        <v>51</v>
      </c>
      <c r="AE389" s="198" t="s">
        <v>833</v>
      </c>
    </row>
    <row r="390" spans="3:31" x14ac:dyDescent="0.25">
      <c r="C390" s="201"/>
      <c r="E390" s="201"/>
      <c r="F390" s="201"/>
      <c r="I390" s="198" t="s">
        <v>582</v>
      </c>
      <c r="J390" s="198" t="s">
        <v>132</v>
      </c>
      <c r="K390" s="202">
        <f t="shared" si="6"/>
        <v>203489.99999999948</v>
      </c>
      <c r="L390" s="202">
        <v>39.899999999999899</v>
      </c>
      <c r="N390" s="202">
        <v>6253375</v>
      </c>
      <c r="S390" s="204"/>
      <c r="W390" s="198" t="s">
        <v>51</v>
      </c>
      <c r="AE390" s="198" t="s">
        <v>833</v>
      </c>
    </row>
    <row r="391" spans="3:31" x14ac:dyDescent="0.25">
      <c r="C391" s="201"/>
      <c r="E391" s="201"/>
      <c r="F391" s="201"/>
      <c r="I391" s="198" t="s">
        <v>582</v>
      </c>
      <c r="J391" s="198" t="s">
        <v>132</v>
      </c>
      <c r="K391" s="202">
        <f t="shared" si="6"/>
        <v>203999.99999999951</v>
      </c>
      <c r="L391" s="202">
        <v>39.999999999999901</v>
      </c>
      <c r="N391" s="202">
        <v>6260500</v>
      </c>
      <c r="S391" s="204"/>
      <c r="W391" s="198" t="s">
        <v>51</v>
      </c>
      <c r="AE391" s="198" t="s">
        <v>833</v>
      </c>
    </row>
    <row r="392" spans="3:31" x14ac:dyDescent="0.25">
      <c r="C392" s="201"/>
      <c r="E392" s="201"/>
      <c r="F392" s="201"/>
      <c r="I392" s="198" t="s">
        <v>582</v>
      </c>
      <c r="J392" s="198" t="s">
        <v>132</v>
      </c>
      <c r="K392" s="202">
        <f t="shared" si="6"/>
        <v>204510</v>
      </c>
      <c r="L392" s="202">
        <v>40.1</v>
      </c>
      <c r="N392" s="202">
        <v>6266200</v>
      </c>
      <c r="S392" s="204"/>
      <c r="W392" s="198" t="s">
        <v>51</v>
      </c>
      <c r="AE392" s="198" t="s">
        <v>833</v>
      </c>
    </row>
    <row r="393" spans="3:31" x14ac:dyDescent="0.25">
      <c r="C393" s="201"/>
      <c r="E393" s="201"/>
      <c r="F393" s="201"/>
      <c r="I393" s="198" t="s">
        <v>582</v>
      </c>
      <c r="J393" s="198" t="s">
        <v>132</v>
      </c>
      <c r="K393" s="202">
        <f t="shared" si="6"/>
        <v>205019.99999999951</v>
      </c>
      <c r="L393" s="202">
        <v>40.199999999999903</v>
      </c>
      <c r="N393" s="202">
        <v>6261450</v>
      </c>
      <c r="S393" s="204"/>
      <c r="W393" s="198" t="s">
        <v>51</v>
      </c>
      <c r="AE393" s="198" t="s">
        <v>833</v>
      </c>
    </row>
    <row r="394" spans="3:31" x14ac:dyDescent="0.25">
      <c r="C394" s="201"/>
      <c r="E394" s="201"/>
      <c r="F394" s="201"/>
      <c r="I394" s="198" t="s">
        <v>582</v>
      </c>
      <c r="J394" s="198" t="s">
        <v>132</v>
      </c>
      <c r="K394" s="202">
        <f t="shared" si="6"/>
        <v>205529.99999999948</v>
      </c>
      <c r="L394" s="202">
        <v>40.299999999999898</v>
      </c>
      <c r="N394" s="202">
        <v>6254325</v>
      </c>
      <c r="S394" s="204"/>
      <c r="W394" s="198" t="s">
        <v>51</v>
      </c>
      <c r="AE394" s="198" t="s">
        <v>833</v>
      </c>
    </row>
    <row r="395" spans="3:31" x14ac:dyDescent="0.25">
      <c r="C395" s="201"/>
      <c r="E395" s="201"/>
      <c r="F395" s="201"/>
      <c r="I395" s="198" t="s">
        <v>582</v>
      </c>
      <c r="J395" s="198" t="s">
        <v>132</v>
      </c>
      <c r="K395" s="202">
        <f t="shared" si="6"/>
        <v>206039.99999999948</v>
      </c>
      <c r="L395" s="202">
        <v>40.399999999999899</v>
      </c>
      <c r="N395" s="202">
        <v>6259550</v>
      </c>
      <c r="S395" s="204"/>
      <c r="W395" s="198" t="s">
        <v>51</v>
      </c>
      <c r="AE395" s="198" t="s">
        <v>833</v>
      </c>
    </row>
    <row r="396" spans="3:31" x14ac:dyDescent="0.25">
      <c r="C396" s="201"/>
      <c r="E396" s="201"/>
      <c r="F396" s="201"/>
      <c r="I396" s="198" t="s">
        <v>582</v>
      </c>
      <c r="J396" s="198" t="s">
        <v>132</v>
      </c>
      <c r="K396" s="202">
        <f t="shared" si="6"/>
        <v>206549.99999999951</v>
      </c>
      <c r="L396" s="202">
        <v>40.499999999999901</v>
      </c>
      <c r="N396" s="202">
        <v>6247675</v>
      </c>
      <c r="S396" s="204"/>
      <c r="W396" s="198" t="s">
        <v>51</v>
      </c>
      <c r="AE396" s="198" t="s">
        <v>833</v>
      </c>
    </row>
    <row r="397" spans="3:31" x14ac:dyDescent="0.25">
      <c r="C397" s="201"/>
      <c r="E397" s="201"/>
      <c r="F397" s="201"/>
      <c r="I397" s="198" t="s">
        <v>582</v>
      </c>
      <c r="J397" s="198" t="s">
        <v>132</v>
      </c>
      <c r="K397" s="202">
        <f t="shared" si="6"/>
        <v>207060</v>
      </c>
      <c r="L397" s="202">
        <v>40.6</v>
      </c>
      <c r="N397" s="202">
        <v>0.5</v>
      </c>
      <c r="S397" s="204"/>
      <c r="W397" s="198" t="s">
        <v>51</v>
      </c>
      <c r="AE397" s="198" t="s">
        <v>833</v>
      </c>
    </row>
    <row r="398" spans="3:31" x14ac:dyDescent="0.25">
      <c r="C398" s="201"/>
      <c r="E398" s="201"/>
      <c r="F398" s="201"/>
      <c r="I398" s="198" t="s">
        <v>582</v>
      </c>
      <c r="J398" s="198" t="s">
        <v>132</v>
      </c>
      <c r="K398" s="202">
        <f t="shared" si="6"/>
        <v>207569.99999999951</v>
      </c>
      <c r="L398" s="202">
        <v>40.699999999999903</v>
      </c>
      <c r="N398" s="202">
        <v>0.5</v>
      </c>
      <c r="S398" s="204"/>
      <c r="W398" s="198" t="s">
        <v>51</v>
      </c>
      <c r="AE398" s="198" t="s">
        <v>833</v>
      </c>
    </row>
    <row r="399" spans="3:31" x14ac:dyDescent="0.25">
      <c r="C399" s="201"/>
      <c r="E399" s="201"/>
      <c r="F399" s="201"/>
      <c r="I399" s="198" t="s">
        <v>582</v>
      </c>
      <c r="J399" s="198" t="s">
        <v>132</v>
      </c>
      <c r="K399" s="202">
        <f t="shared" si="6"/>
        <v>208079.99999999948</v>
      </c>
      <c r="L399" s="202">
        <v>40.799999999999898</v>
      </c>
      <c r="N399" s="202">
        <v>0.5</v>
      </c>
      <c r="S399" s="204"/>
      <c r="W399" s="198" t="s">
        <v>51</v>
      </c>
      <c r="AE399" s="198" t="s">
        <v>833</v>
      </c>
    </row>
    <row r="400" spans="3:31" x14ac:dyDescent="0.25">
      <c r="C400" s="201"/>
      <c r="E400" s="201"/>
      <c r="F400" s="201"/>
      <c r="I400" s="198" t="s">
        <v>836</v>
      </c>
      <c r="J400" s="198" t="s">
        <v>126</v>
      </c>
      <c r="K400" s="202">
        <f t="shared" si="6"/>
        <v>208589.99999999948</v>
      </c>
      <c r="L400" s="202">
        <v>40.899999999999899</v>
      </c>
      <c r="N400" s="202">
        <v>0.5</v>
      </c>
      <c r="S400" s="204"/>
      <c r="W400" s="198" t="s">
        <v>51</v>
      </c>
      <c r="AE400" s="198" t="s">
        <v>835</v>
      </c>
    </row>
    <row r="401" spans="3:31" x14ac:dyDescent="0.25">
      <c r="C401" s="201"/>
      <c r="E401" s="201"/>
      <c r="F401" s="201"/>
      <c r="I401" s="198" t="s">
        <v>164</v>
      </c>
      <c r="J401" s="198" t="s">
        <v>167</v>
      </c>
      <c r="K401" s="202">
        <f t="shared" si="6"/>
        <v>209099.99999999951</v>
      </c>
      <c r="L401" s="202">
        <v>40.999999999999901</v>
      </c>
      <c r="N401" s="202">
        <v>-0.04</v>
      </c>
      <c r="S401" s="204"/>
      <c r="W401" s="198" t="s">
        <v>51</v>
      </c>
      <c r="AE401" s="198" t="s">
        <v>831</v>
      </c>
    </row>
    <row r="402" spans="3:31" x14ac:dyDescent="0.25">
      <c r="C402" s="201"/>
      <c r="E402" s="201"/>
      <c r="F402" s="201"/>
      <c r="I402" s="198" t="s">
        <v>679</v>
      </c>
      <c r="J402" s="198" t="s">
        <v>156</v>
      </c>
      <c r="K402" s="202">
        <f t="shared" si="6"/>
        <v>209609.99999999951</v>
      </c>
      <c r="L402" s="202">
        <v>41.099999999999902</v>
      </c>
      <c r="N402" s="202">
        <v>30000</v>
      </c>
      <c r="S402" s="204"/>
      <c r="W402" s="198" t="s">
        <v>51</v>
      </c>
      <c r="AE402" s="198" t="s">
        <v>828</v>
      </c>
    </row>
    <row r="403" spans="3:31" x14ac:dyDescent="0.25">
      <c r="C403" s="201"/>
      <c r="E403" s="201"/>
      <c r="F403" s="201"/>
      <c r="I403" s="198" t="s">
        <v>679</v>
      </c>
      <c r="J403" s="198" t="s">
        <v>156</v>
      </c>
      <c r="K403" s="202">
        <f t="shared" si="6"/>
        <v>210119.99999999951</v>
      </c>
      <c r="L403" s="202">
        <v>41.199999999999903</v>
      </c>
      <c r="N403" s="202">
        <v>15000</v>
      </c>
      <c r="S403" s="204"/>
      <c r="W403" s="198" t="s">
        <v>51</v>
      </c>
      <c r="AE403" s="198" t="s">
        <v>828</v>
      </c>
    </row>
    <row r="404" spans="3:31" x14ac:dyDescent="0.25">
      <c r="C404" s="201"/>
      <c r="E404" s="201"/>
      <c r="F404" s="201"/>
      <c r="I404" s="198" t="s">
        <v>679</v>
      </c>
      <c r="J404" s="198" t="s">
        <v>156</v>
      </c>
      <c r="K404" s="202">
        <f t="shared" si="6"/>
        <v>210629.99999999948</v>
      </c>
      <c r="L404" s="202">
        <v>41.299999999999898</v>
      </c>
      <c r="N404" s="202">
        <v>17699</v>
      </c>
      <c r="S404" s="204"/>
      <c r="W404" s="198" t="s">
        <v>51</v>
      </c>
      <c r="AE404" s="198" t="s">
        <v>828</v>
      </c>
    </row>
    <row r="405" spans="3:31" x14ac:dyDescent="0.25">
      <c r="C405" s="201"/>
      <c r="E405" s="201"/>
      <c r="F405" s="201"/>
      <c r="I405" s="198" t="s">
        <v>682</v>
      </c>
      <c r="J405" s="198" t="s">
        <v>143</v>
      </c>
      <c r="K405" s="202">
        <f t="shared" si="6"/>
        <v>211139.99999999948</v>
      </c>
      <c r="L405" s="202">
        <v>41.399999999999899</v>
      </c>
      <c r="N405" s="202">
        <v>30000</v>
      </c>
      <c r="S405" s="204"/>
      <c r="W405" s="198" t="s">
        <v>51</v>
      </c>
      <c r="AE405" s="198" t="s">
        <v>829</v>
      </c>
    </row>
    <row r="406" spans="3:31" x14ac:dyDescent="0.25">
      <c r="C406" s="201"/>
      <c r="E406" s="201"/>
      <c r="F406" s="201"/>
      <c r="I406" s="198" t="s">
        <v>682</v>
      </c>
      <c r="J406" s="198" t="s">
        <v>143</v>
      </c>
      <c r="K406" s="202">
        <f t="shared" si="6"/>
        <v>211649.99999999951</v>
      </c>
      <c r="L406" s="202">
        <v>41.499999999999901</v>
      </c>
      <c r="N406" s="202">
        <v>15000</v>
      </c>
      <c r="S406" s="204"/>
      <c r="W406" s="198" t="s">
        <v>51</v>
      </c>
      <c r="AE406" s="198" t="s">
        <v>829</v>
      </c>
    </row>
    <row r="407" spans="3:31" x14ac:dyDescent="0.25">
      <c r="C407" s="201"/>
      <c r="E407" s="201"/>
      <c r="F407" s="201"/>
      <c r="I407" s="198" t="s">
        <v>180</v>
      </c>
      <c r="J407" s="198" t="s">
        <v>65</v>
      </c>
      <c r="K407" s="202">
        <f t="shared" si="6"/>
        <v>212159.99999999951</v>
      </c>
      <c r="L407" s="202">
        <v>41.599999999999902</v>
      </c>
      <c r="N407" s="202">
        <v>13</v>
      </c>
      <c r="S407" s="204"/>
      <c r="W407" s="198" t="s">
        <v>51</v>
      </c>
      <c r="AE407" s="198" t="s">
        <v>831</v>
      </c>
    </row>
    <row r="408" spans="3:31" x14ac:dyDescent="0.25">
      <c r="C408" s="201"/>
      <c r="E408" s="201"/>
      <c r="F408" s="201"/>
      <c r="I408" s="198" t="s">
        <v>221</v>
      </c>
      <c r="J408" s="198" t="s">
        <v>112</v>
      </c>
      <c r="K408" s="202">
        <f t="shared" si="6"/>
        <v>212669.99999999951</v>
      </c>
      <c r="L408" s="202">
        <v>41.699999999999903</v>
      </c>
      <c r="N408" s="202">
        <v>-0.08</v>
      </c>
      <c r="S408" s="204"/>
      <c r="W408" s="198" t="s">
        <v>51</v>
      </c>
      <c r="AE408" s="198" t="s">
        <v>831</v>
      </c>
    </row>
    <row r="409" spans="3:31" x14ac:dyDescent="0.25">
      <c r="C409" s="201"/>
      <c r="E409" s="201"/>
      <c r="F409" s="201"/>
      <c r="I409" s="198" t="s">
        <v>215</v>
      </c>
      <c r="J409" s="198" t="s">
        <v>89</v>
      </c>
      <c r="K409" s="202">
        <f t="shared" si="6"/>
        <v>213179.99999999948</v>
      </c>
      <c r="L409" s="202">
        <v>41.799999999999898</v>
      </c>
      <c r="N409" s="202">
        <v>-0.03</v>
      </c>
      <c r="S409" s="204"/>
      <c r="W409" s="198" t="s">
        <v>51</v>
      </c>
      <c r="AE409" s="198" t="s">
        <v>831</v>
      </c>
    </row>
    <row r="410" spans="3:31" x14ac:dyDescent="0.25">
      <c r="C410" s="201"/>
      <c r="E410" s="201"/>
      <c r="F410" s="201"/>
      <c r="I410" s="198" t="s">
        <v>832</v>
      </c>
      <c r="J410" s="198" t="s">
        <v>132</v>
      </c>
      <c r="K410" s="202">
        <f t="shared" si="6"/>
        <v>213689.99999999948</v>
      </c>
      <c r="L410" s="202">
        <v>41.899999999999899</v>
      </c>
      <c r="N410" s="202">
        <v>7155370.2400000002</v>
      </c>
      <c r="S410" s="204"/>
      <c r="W410" s="198" t="s">
        <v>51</v>
      </c>
      <c r="AE410" s="198" t="s">
        <v>833</v>
      </c>
    </row>
    <row r="411" spans="3:31" x14ac:dyDescent="0.25">
      <c r="C411" s="201"/>
      <c r="E411" s="201"/>
      <c r="F411" s="201"/>
      <c r="I411" s="198" t="s">
        <v>202</v>
      </c>
      <c r="J411" s="198" t="s">
        <v>65</v>
      </c>
      <c r="K411" s="202">
        <f t="shared" si="6"/>
        <v>214199.99999999951</v>
      </c>
      <c r="L411" s="202">
        <v>41.999999999999901</v>
      </c>
      <c r="N411" s="202">
        <v>1771450</v>
      </c>
      <c r="S411" s="204"/>
      <c r="W411" s="198" t="s">
        <v>51</v>
      </c>
      <c r="AE411" s="198" t="s">
        <v>831</v>
      </c>
    </row>
    <row r="412" spans="3:31" x14ac:dyDescent="0.25">
      <c r="C412" s="201"/>
      <c r="E412" s="201"/>
      <c r="F412" s="201"/>
      <c r="I412" s="198" t="s">
        <v>204</v>
      </c>
      <c r="J412" s="198" t="s">
        <v>169</v>
      </c>
      <c r="K412" s="202">
        <f t="shared" si="6"/>
        <v>214709.99999999951</v>
      </c>
      <c r="L412" s="202">
        <v>42.099999999999902</v>
      </c>
      <c r="N412" s="202">
        <v>2094240</v>
      </c>
      <c r="S412" s="204"/>
      <c r="W412" s="198" t="s">
        <v>51</v>
      </c>
      <c r="AE412" s="198" t="s">
        <v>831</v>
      </c>
    </row>
    <row r="413" spans="3:31" x14ac:dyDescent="0.25">
      <c r="C413" s="201"/>
      <c r="E413" s="201"/>
      <c r="F413" s="201"/>
      <c r="I413" s="198" t="s">
        <v>753</v>
      </c>
      <c r="J413" s="198" t="s">
        <v>143</v>
      </c>
      <c r="K413" s="202">
        <f t="shared" si="6"/>
        <v>215219.99999999951</v>
      </c>
      <c r="L413" s="202">
        <v>42.199999999999903</v>
      </c>
      <c r="N413" s="202">
        <v>892500</v>
      </c>
      <c r="S413" s="203"/>
      <c r="W413" s="198" t="s">
        <v>51</v>
      </c>
      <c r="AE413" s="198" t="s">
        <v>829</v>
      </c>
    </row>
    <row r="414" spans="3:31" x14ac:dyDescent="0.25">
      <c r="C414" s="201"/>
      <c r="E414" s="201"/>
      <c r="F414" s="201"/>
      <c r="I414" s="198" t="s">
        <v>582</v>
      </c>
      <c r="J414" s="198" t="s">
        <v>132</v>
      </c>
      <c r="K414" s="202">
        <f t="shared" si="6"/>
        <v>215729.99999999948</v>
      </c>
      <c r="L414" s="202">
        <v>42.299999999999898</v>
      </c>
      <c r="N414" s="202">
        <v>0.4</v>
      </c>
      <c r="S414" s="204"/>
      <c r="W414" s="198" t="s">
        <v>51</v>
      </c>
      <c r="AE414" s="198" t="s">
        <v>833</v>
      </c>
    </row>
    <row r="415" spans="3:31" x14ac:dyDescent="0.25">
      <c r="C415" s="201"/>
      <c r="E415" s="201"/>
      <c r="F415" s="201"/>
      <c r="I415" s="198" t="s">
        <v>582</v>
      </c>
      <c r="J415" s="198" t="s">
        <v>132</v>
      </c>
      <c r="K415" s="202">
        <f t="shared" si="6"/>
        <v>216239.99999999948</v>
      </c>
      <c r="L415" s="202">
        <v>42.399999999999899</v>
      </c>
      <c r="N415" s="202">
        <v>0.5</v>
      </c>
      <c r="S415" s="204"/>
      <c r="W415" s="198" t="s">
        <v>51</v>
      </c>
      <c r="AE415" s="198" t="s">
        <v>833</v>
      </c>
    </row>
    <row r="416" spans="3:31" x14ac:dyDescent="0.25">
      <c r="C416" s="201"/>
      <c r="E416" s="201"/>
      <c r="F416" s="201"/>
      <c r="I416" s="198" t="s">
        <v>582</v>
      </c>
      <c r="J416" s="198" t="s">
        <v>132</v>
      </c>
      <c r="K416" s="202">
        <f t="shared" si="6"/>
        <v>216749.99999999951</v>
      </c>
      <c r="L416" s="202">
        <v>42.499999999999901</v>
      </c>
      <c r="N416" s="202">
        <v>-0.1</v>
      </c>
      <c r="S416" s="204"/>
      <c r="W416" s="198" t="s">
        <v>51</v>
      </c>
      <c r="AE416" s="198" t="s">
        <v>833</v>
      </c>
    </row>
    <row r="417" spans="3:31" x14ac:dyDescent="0.25">
      <c r="C417" s="201"/>
      <c r="E417" s="201"/>
      <c r="F417" s="201"/>
      <c r="I417" s="198" t="s">
        <v>582</v>
      </c>
      <c r="J417" s="198" t="s">
        <v>132</v>
      </c>
      <c r="K417" s="202">
        <f t="shared" si="6"/>
        <v>217259.99999999951</v>
      </c>
      <c r="L417" s="202">
        <v>42.599999999999902</v>
      </c>
      <c r="N417" s="202">
        <v>-0.1</v>
      </c>
      <c r="S417" s="204"/>
      <c r="W417" s="198" t="s">
        <v>51</v>
      </c>
      <c r="AE417" s="198" t="s">
        <v>833</v>
      </c>
    </row>
    <row r="418" spans="3:31" x14ac:dyDescent="0.25">
      <c r="C418" s="201"/>
      <c r="E418" s="201"/>
      <c r="F418" s="201"/>
      <c r="I418" s="198" t="s">
        <v>582</v>
      </c>
      <c r="J418" s="198" t="s">
        <v>132</v>
      </c>
      <c r="K418" s="202">
        <f t="shared" si="6"/>
        <v>217769.99999999951</v>
      </c>
      <c r="L418" s="202">
        <v>42.699999999999903</v>
      </c>
      <c r="N418" s="202">
        <v>-0.1</v>
      </c>
      <c r="S418" s="204"/>
      <c r="W418" s="198" t="s">
        <v>51</v>
      </c>
      <c r="AE418" s="198" t="s">
        <v>833</v>
      </c>
    </row>
    <row r="419" spans="3:31" x14ac:dyDescent="0.25">
      <c r="C419" s="201"/>
      <c r="E419" s="201"/>
      <c r="F419" s="201"/>
      <c r="I419" s="198" t="s">
        <v>843</v>
      </c>
      <c r="J419" s="198" t="s">
        <v>137</v>
      </c>
      <c r="K419" s="202">
        <f t="shared" si="6"/>
        <v>218279.99999999948</v>
      </c>
      <c r="L419" s="202">
        <v>42.799999999999898</v>
      </c>
      <c r="N419" s="202">
        <v>6252900</v>
      </c>
      <c r="S419" s="204"/>
      <c r="W419" s="198" t="s">
        <v>51</v>
      </c>
      <c r="AE419" s="198" t="s">
        <v>844</v>
      </c>
    </row>
    <row r="420" spans="3:31" x14ac:dyDescent="0.25">
      <c r="C420" s="201"/>
      <c r="E420" s="201"/>
      <c r="F420" s="201"/>
      <c r="I420" s="198" t="s">
        <v>582</v>
      </c>
      <c r="J420" s="198" t="s">
        <v>132</v>
      </c>
      <c r="K420" s="202">
        <f t="shared" si="6"/>
        <v>218789.99999999948</v>
      </c>
      <c r="L420" s="202">
        <v>42.899999999999899</v>
      </c>
      <c r="N420" s="202">
        <v>6251950</v>
      </c>
      <c r="S420" s="204"/>
      <c r="W420" s="198" t="s">
        <v>51</v>
      </c>
      <c r="AE420" s="198" t="s">
        <v>833</v>
      </c>
    </row>
    <row r="421" spans="3:31" x14ac:dyDescent="0.25">
      <c r="C421" s="201"/>
      <c r="E421" s="201"/>
      <c r="F421" s="201"/>
      <c r="I421" s="198" t="s">
        <v>843</v>
      </c>
      <c r="J421" s="198" t="s">
        <v>137</v>
      </c>
      <c r="K421" s="202">
        <f t="shared" si="6"/>
        <v>219299.99999999951</v>
      </c>
      <c r="L421" s="202">
        <v>42.999999999999901</v>
      </c>
      <c r="N421" s="202">
        <v>6249575</v>
      </c>
      <c r="S421" s="204"/>
      <c r="W421" s="198" t="s">
        <v>51</v>
      </c>
      <c r="AE421" s="198" t="s">
        <v>844</v>
      </c>
    </row>
    <row r="422" spans="3:31" x14ac:dyDescent="0.25">
      <c r="C422" s="201"/>
      <c r="E422" s="201"/>
      <c r="F422" s="201"/>
      <c r="I422" s="198" t="s">
        <v>843</v>
      </c>
      <c r="J422" s="198" t="s">
        <v>137</v>
      </c>
      <c r="K422" s="202">
        <f t="shared" si="6"/>
        <v>219809.99999999951</v>
      </c>
      <c r="L422" s="202">
        <v>43.099999999999902</v>
      </c>
      <c r="N422" s="202">
        <v>6267150</v>
      </c>
      <c r="S422" s="204"/>
      <c r="W422" s="198" t="s">
        <v>51</v>
      </c>
      <c r="AE422" s="198" t="s">
        <v>844</v>
      </c>
    </row>
    <row r="423" spans="3:31" x14ac:dyDescent="0.25">
      <c r="C423" s="201"/>
      <c r="E423" s="201"/>
      <c r="F423" s="201"/>
      <c r="I423" s="198" t="s">
        <v>843</v>
      </c>
      <c r="J423" s="198" t="s">
        <v>137</v>
      </c>
      <c r="K423" s="202">
        <f t="shared" si="6"/>
        <v>220319.99999999951</v>
      </c>
      <c r="L423" s="202">
        <v>43.199999999999903</v>
      </c>
      <c r="N423" s="202">
        <v>6257650</v>
      </c>
      <c r="S423" s="204"/>
      <c r="W423" s="198" t="s">
        <v>51</v>
      </c>
      <c r="AE423" s="198" t="s">
        <v>844</v>
      </c>
    </row>
    <row r="424" spans="3:31" x14ac:dyDescent="0.25">
      <c r="C424" s="201"/>
      <c r="E424" s="201"/>
      <c r="F424" s="201"/>
      <c r="I424" s="198" t="s">
        <v>843</v>
      </c>
      <c r="J424" s="198" t="s">
        <v>137</v>
      </c>
      <c r="K424" s="202">
        <f t="shared" si="6"/>
        <v>220829.99999999948</v>
      </c>
      <c r="L424" s="202">
        <v>43.299999999999898</v>
      </c>
      <c r="N424" s="202">
        <v>6252425</v>
      </c>
      <c r="S424" s="204"/>
      <c r="W424" s="198" t="s">
        <v>51</v>
      </c>
      <c r="AE424" s="198" t="s">
        <v>844</v>
      </c>
    </row>
    <row r="425" spans="3:31" x14ac:dyDescent="0.25">
      <c r="C425" s="201"/>
      <c r="E425" s="201"/>
      <c r="F425" s="201"/>
      <c r="I425" s="198" t="s">
        <v>843</v>
      </c>
      <c r="J425" s="198" t="s">
        <v>137</v>
      </c>
      <c r="K425" s="202">
        <f t="shared" si="6"/>
        <v>221339.99999999948</v>
      </c>
      <c r="L425" s="202">
        <v>43.399999999999899</v>
      </c>
      <c r="N425" s="202">
        <v>6256225</v>
      </c>
      <c r="S425" s="204"/>
      <c r="W425" s="198" t="s">
        <v>51</v>
      </c>
      <c r="AE425" s="198" t="s">
        <v>844</v>
      </c>
    </row>
    <row r="426" spans="3:31" x14ac:dyDescent="0.25">
      <c r="C426" s="201"/>
      <c r="E426" s="201"/>
      <c r="F426" s="201"/>
      <c r="I426" s="198" t="s">
        <v>843</v>
      </c>
      <c r="J426" s="198" t="s">
        <v>137</v>
      </c>
      <c r="K426" s="202">
        <f t="shared" si="6"/>
        <v>221849.99999999951</v>
      </c>
      <c r="L426" s="202">
        <v>43.499999999999901</v>
      </c>
      <c r="N426" s="202">
        <v>6256700</v>
      </c>
      <c r="S426" s="204"/>
      <c r="W426" s="198" t="s">
        <v>51</v>
      </c>
      <c r="AE426" s="198" t="s">
        <v>844</v>
      </c>
    </row>
    <row r="427" spans="3:31" x14ac:dyDescent="0.25">
      <c r="C427" s="201"/>
      <c r="E427" s="201"/>
      <c r="F427" s="201"/>
      <c r="I427" s="198" t="s">
        <v>536</v>
      </c>
      <c r="J427" s="198" t="s">
        <v>126</v>
      </c>
      <c r="K427" s="202">
        <f t="shared" si="6"/>
        <v>222359.99999999951</v>
      </c>
      <c r="L427" s="202">
        <v>43.599999999999902</v>
      </c>
      <c r="N427" s="202">
        <v>2107898</v>
      </c>
      <c r="S427" s="204"/>
      <c r="W427" s="198" t="s">
        <v>51</v>
      </c>
      <c r="AE427" s="198" t="s">
        <v>835</v>
      </c>
    </row>
    <row r="428" spans="3:31" x14ac:dyDescent="0.25">
      <c r="C428" s="201"/>
      <c r="E428" s="201"/>
      <c r="F428" s="201"/>
      <c r="I428" s="198" t="s">
        <v>843</v>
      </c>
      <c r="J428" s="198" t="s">
        <v>137</v>
      </c>
      <c r="K428" s="202">
        <f t="shared" si="6"/>
        <v>222869.99999999951</v>
      </c>
      <c r="L428" s="202">
        <v>43.699999999999903</v>
      </c>
      <c r="N428" s="202">
        <v>6253850</v>
      </c>
      <c r="S428" s="204"/>
      <c r="W428" s="198" t="s">
        <v>51</v>
      </c>
      <c r="AE428" s="198" t="s">
        <v>844</v>
      </c>
    </row>
    <row r="429" spans="3:31" x14ac:dyDescent="0.25">
      <c r="C429" s="201"/>
      <c r="E429" s="201"/>
      <c r="F429" s="201"/>
      <c r="I429" s="198" t="s">
        <v>843</v>
      </c>
      <c r="J429" s="198" t="s">
        <v>137</v>
      </c>
      <c r="K429" s="202">
        <f t="shared" si="6"/>
        <v>223379.99999999948</v>
      </c>
      <c r="L429" s="202">
        <v>43.799999999999898</v>
      </c>
      <c r="N429" s="202">
        <v>6255750</v>
      </c>
      <c r="S429" s="204"/>
      <c r="W429" s="198" t="s">
        <v>51</v>
      </c>
      <c r="AE429" s="198" t="s">
        <v>844</v>
      </c>
    </row>
    <row r="430" spans="3:31" x14ac:dyDescent="0.25">
      <c r="C430" s="201"/>
      <c r="E430" s="201"/>
      <c r="F430" s="201"/>
      <c r="I430" s="198" t="s">
        <v>843</v>
      </c>
      <c r="J430" s="198" t="s">
        <v>137</v>
      </c>
      <c r="K430" s="202">
        <f t="shared" si="6"/>
        <v>223889.99999999948</v>
      </c>
      <c r="L430" s="202">
        <v>43.899999999999899</v>
      </c>
      <c r="N430" s="202">
        <v>6264775</v>
      </c>
      <c r="S430" s="204"/>
      <c r="W430" s="198" t="s">
        <v>51</v>
      </c>
      <c r="AE430" s="198" t="s">
        <v>844</v>
      </c>
    </row>
    <row r="431" spans="3:31" x14ac:dyDescent="0.25">
      <c r="C431" s="201"/>
      <c r="E431" s="201"/>
      <c r="F431" s="201"/>
      <c r="I431" s="198" t="s">
        <v>536</v>
      </c>
      <c r="J431" s="198" t="s">
        <v>126</v>
      </c>
      <c r="K431" s="202">
        <f t="shared" si="6"/>
        <v>224399.99999999951</v>
      </c>
      <c r="L431" s="202">
        <v>43.999999999999901</v>
      </c>
      <c r="N431" s="202">
        <v>0.36</v>
      </c>
      <c r="S431" s="204"/>
      <c r="W431" s="198" t="s">
        <v>51</v>
      </c>
      <c r="AE431" s="198" t="s">
        <v>835</v>
      </c>
    </row>
    <row r="432" spans="3:31" x14ac:dyDescent="0.25">
      <c r="C432" s="201"/>
      <c r="E432" s="201"/>
      <c r="F432" s="201"/>
      <c r="I432" s="198" t="s">
        <v>554</v>
      </c>
      <c r="J432" s="198" t="s">
        <v>130</v>
      </c>
      <c r="K432" s="202">
        <f t="shared" si="6"/>
        <v>224909.99999999951</v>
      </c>
      <c r="L432" s="202">
        <v>44.099999999999902</v>
      </c>
      <c r="N432" s="202">
        <v>447034.64</v>
      </c>
      <c r="S432" s="204"/>
      <c r="W432" s="198" t="s">
        <v>51</v>
      </c>
      <c r="AE432" s="198" t="s">
        <v>833</v>
      </c>
    </row>
    <row r="433" spans="3:31" x14ac:dyDescent="0.25">
      <c r="C433" s="201"/>
      <c r="E433" s="201"/>
      <c r="F433" s="201"/>
      <c r="I433" s="198" t="s">
        <v>554</v>
      </c>
      <c r="J433" s="198" t="s">
        <v>130</v>
      </c>
      <c r="K433" s="202">
        <f t="shared" si="6"/>
        <v>225419.99999999951</v>
      </c>
      <c r="L433" s="202">
        <v>44.199999999999903</v>
      </c>
      <c r="N433" s="202">
        <v>1409612.29</v>
      </c>
      <c r="S433" s="204"/>
      <c r="W433" s="198" t="s">
        <v>51</v>
      </c>
      <c r="AE433" s="198" t="s">
        <v>833</v>
      </c>
    </row>
    <row r="434" spans="3:31" x14ac:dyDescent="0.25">
      <c r="C434" s="201"/>
      <c r="E434" s="201"/>
      <c r="F434" s="201"/>
      <c r="I434" s="198" t="s">
        <v>554</v>
      </c>
      <c r="J434" s="198" t="s">
        <v>130</v>
      </c>
      <c r="K434" s="202">
        <f t="shared" si="6"/>
        <v>225929.99999999948</v>
      </c>
      <c r="L434" s="202">
        <v>44.299999999999898</v>
      </c>
      <c r="N434" s="202">
        <v>2940640.16</v>
      </c>
      <c r="S434" s="204"/>
      <c r="W434" s="198" t="s">
        <v>51</v>
      </c>
      <c r="AE434" s="198" t="s">
        <v>833</v>
      </c>
    </row>
    <row r="435" spans="3:31" x14ac:dyDescent="0.25">
      <c r="C435" s="201"/>
      <c r="E435" s="201"/>
      <c r="F435" s="201"/>
      <c r="I435" s="198" t="s">
        <v>554</v>
      </c>
      <c r="J435" s="198" t="s">
        <v>130</v>
      </c>
      <c r="K435" s="202">
        <f t="shared" si="6"/>
        <v>226439.99999999948</v>
      </c>
      <c r="L435" s="202">
        <v>44.399999999999899</v>
      </c>
      <c r="N435" s="202">
        <v>2108950.29</v>
      </c>
      <c r="S435" s="204"/>
      <c r="W435" s="198" t="s">
        <v>51</v>
      </c>
      <c r="AE435" s="198" t="s">
        <v>833</v>
      </c>
    </row>
    <row r="436" spans="3:31" x14ac:dyDescent="0.25">
      <c r="C436" s="201"/>
      <c r="E436" s="201"/>
      <c r="F436" s="201"/>
      <c r="I436" s="198" t="s">
        <v>825</v>
      </c>
      <c r="J436" s="198" t="s">
        <v>274</v>
      </c>
      <c r="K436" s="202">
        <f t="shared" si="6"/>
        <v>226949.99999999951</v>
      </c>
      <c r="L436" s="202">
        <v>44.499999999999901</v>
      </c>
      <c r="N436" s="202">
        <v>5100</v>
      </c>
      <c r="S436" s="203"/>
      <c r="W436" s="198" t="s">
        <v>51</v>
      </c>
      <c r="AE436" s="198" t="s">
        <v>1767</v>
      </c>
    </row>
    <row r="437" spans="3:31" x14ac:dyDescent="0.25">
      <c r="C437" s="201"/>
      <c r="E437" s="201"/>
      <c r="F437" s="201"/>
      <c r="I437" s="198" t="s">
        <v>827</v>
      </c>
      <c r="J437" s="198" t="s">
        <v>148</v>
      </c>
      <c r="K437" s="202">
        <f t="shared" si="6"/>
        <v>227459.99999999951</v>
      </c>
      <c r="L437" s="202">
        <v>44.599999999999902</v>
      </c>
      <c r="N437" s="202">
        <v>5100</v>
      </c>
      <c r="S437" s="203"/>
      <c r="W437" s="198" t="s">
        <v>51</v>
      </c>
      <c r="AE437" s="198" t="s">
        <v>828</v>
      </c>
    </row>
    <row r="438" spans="3:31" x14ac:dyDescent="0.25">
      <c r="C438" s="201"/>
      <c r="E438" s="201"/>
      <c r="F438" s="201"/>
      <c r="I438" s="198" t="s">
        <v>841</v>
      </c>
      <c r="J438" s="198" t="s">
        <v>153</v>
      </c>
      <c r="K438" s="202">
        <f t="shared" si="6"/>
        <v>227969.99999999951</v>
      </c>
      <c r="L438" s="202">
        <v>44.699999999999903</v>
      </c>
      <c r="N438" s="202">
        <v>5100</v>
      </c>
      <c r="S438" s="203"/>
      <c r="W438" s="198" t="s">
        <v>51</v>
      </c>
      <c r="AE438" s="198" t="s">
        <v>1768</v>
      </c>
    </row>
    <row r="439" spans="3:31" x14ac:dyDescent="0.25">
      <c r="C439" s="201"/>
      <c r="E439" s="201"/>
      <c r="F439" s="201"/>
      <c r="I439" s="198" t="s">
        <v>131</v>
      </c>
      <c r="J439" s="198" t="s">
        <v>132</v>
      </c>
      <c r="K439" s="202">
        <f t="shared" si="6"/>
        <v>228479.99999999948</v>
      </c>
      <c r="L439" s="202">
        <v>44.799999999999898</v>
      </c>
      <c r="N439" s="202">
        <v>4136400</v>
      </c>
      <c r="S439" s="204"/>
      <c r="W439" s="198" t="s">
        <v>51</v>
      </c>
      <c r="AE439" s="198" t="s">
        <v>833</v>
      </c>
    </row>
    <row r="440" spans="3:31" x14ac:dyDescent="0.25">
      <c r="C440" s="201"/>
      <c r="E440" s="201"/>
      <c r="F440" s="201"/>
      <c r="I440" s="198" t="s">
        <v>122</v>
      </c>
      <c r="J440" s="198" t="s">
        <v>126</v>
      </c>
      <c r="K440" s="202">
        <f t="shared" si="6"/>
        <v>228989.99999999948</v>
      </c>
      <c r="L440" s="202">
        <v>44.899999999999899</v>
      </c>
      <c r="N440" s="202">
        <v>2585250</v>
      </c>
      <c r="S440" s="204"/>
      <c r="W440" s="198" t="s">
        <v>51</v>
      </c>
      <c r="AE440" s="198" t="s">
        <v>835</v>
      </c>
    </row>
    <row r="441" spans="3:31" x14ac:dyDescent="0.25">
      <c r="C441" s="201"/>
      <c r="E441" s="201"/>
      <c r="F441" s="201"/>
      <c r="I441" s="198" t="s">
        <v>122</v>
      </c>
      <c r="J441" s="198" t="s">
        <v>126</v>
      </c>
      <c r="K441" s="202">
        <f t="shared" si="6"/>
        <v>229499.99999999951</v>
      </c>
      <c r="L441" s="202">
        <v>44.999999999999901</v>
      </c>
      <c r="N441" s="202">
        <v>2846750</v>
      </c>
      <c r="S441" s="204"/>
      <c r="W441" s="198" t="s">
        <v>51</v>
      </c>
      <c r="AE441" s="198" t="s">
        <v>835</v>
      </c>
    </row>
    <row r="442" spans="3:31" x14ac:dyDescent="0.25">
      <c r="C442" s="201"/>
      <c r="E442" s="201"/>
      <c r="F442" s="201"/>
      <c r="I442" s="198" t="s">
        <v>122</v>
      </c>
      <c r="J442" s="198" t="s">
        <v>126</v>
      </c>
      <c r="K442" s="202">
        <f t="shared" si="6"/>
        <v>230009.99999999951</v>
      </c>
      <c r="L442" s="202">
        <v>45.099999999999902</v>
      </c>
      <c r="N442" s="202">
        <v>2391270</v>
      </c>
      <c r="S442" s="204"/>
      <c r="W442" s="198" t="s">
        <v>51</v>
      </c>
      <c r="AE442" s="198" t="s">
        <v>835</v>
      </c>
    </row>
    <row r="443" spans="3:31" x14ac:dyDescent="0.25">
      <c r="C443" s="201"/>
      <c r="E443" s="201"/>
      <c r="F443" s="201"/>
      <c r="I443" s="198" t="s">
        <v>183</v>
      </c>
      <c r="J443" s="198" t="s">
        <v>169</v>
      </c>
      <c r="K443" s="202">
        <f t="shared" si="6"/>
        <v>230519.99999999951</v>
      </c>
      <c r="L443" s="202">
        <v>45.199999999999903</v>
      </c>
      <c r="N443" s="202">
        <v>4195.2</v>
      </c>
      <c r="S443" s="203"/>
      <c r="W443" s="198" t="s">
        <v>51</v>
      </c>
      <c r="AE443" s="198" t="s">
        <v>831</v>
      </c>
    </row>
    <row r="444" spans="3:31" x14ac:dyDescent="0.25">
      <c r="C444" s="201"/>
      <c r="E444" s="201"/>
      <c r="F444" s="201"/>
      <c r="I444" s="198" t="s">
        <v>183</v>
      </c>
      <c r="J444" s="198" t="s">
        <v>169</v>
      </c>
      <c r="K444" s="202">
        <f t="shared" si="6"/>
        <v>231029.99999999948</v>
      </c>
      <c r="L444" s="202">
        <v>45.299999999999898</v>
      </c>
      <c r="N444" s="202">
        <v>21420</v>
      </c>
      <c r="S444" s="203"/>
      <c r="W444" s="198" t="s">
        <v>51</v>
      </c>
      <c r="AE444" s="198" t="s">
        <v>831</v>
      </c>
    </row>
    <row r="445" spans="3:31" x14ac:dyDescent="0.25">
      <c r="C445" s="201"/>
      <c r="E445" s="201"/>
      <c r="F445" s="201"/>
      <c r="I445" s="198" t="s">
        <v>77</v>
      </c>
      <c r="J445" s="198" t="s">
        <v>65</v>
      </c>
      <c r="K445" s="202">
        <f t="shared" si="6"/>
        <v>231539.99999999948</v>
      </c>
      <c r="L445" s="202">
        <v>45.399999999999899</v>
      </c>
      <c r="N445" s="202">
        <v>1010901.36</v>
      </c>
      <c r="S445" s="203"/>
      <c r="W445" s="198" t="s">
        <v>51</v>
      </c>
      <c r="AE445" s="198" t="s">
        <v>831</v>
      </c>
    </row>
    <row r="446" spans="3:31" x14ac:dyDescent="0.25">
      <c r="C446" s="201"/>
      <c r="E446" s="201"/>
      <c r="F446" s="201"/>
      <c r="I446" s="198" t="s">
        <v>178</v>
      </c>
      <c r="J446" s="198" t="s">
        <v>167</v>
      </c>
      <c r="K446" s="202">
        <f t="shared" si="6"/>
        <v>232049.99999999951</v>
      </c>
      <c r="L446" s="202">
        <v>45.499999999999901</v>
      </c>
      <c r="N446" s="202">
        <v>365897.12</v>
      </c>
      <c r="S446" s="203"/>
      <c r="W446" s="198" t="s">
        <v>51</v>
      </c>
      <c r="AE446" s="198" t="s">
        <v>831</v>
      </c>
    </row>
    <row r="447" spans="3:31" x14ac:dyDescent="0.25">
      <c r="C447" s="201"/>
      <c r="E447" s="201"/>
      <c r="F447" s="201"/>
      <c r="I447" s="198" t="s">
        <v>577</v>
      </c>
      <c r="J447" s="198" t="s">
        <v>130</v>
      </c>
      <c r="K447" s="202">
        <f t="shared" si="6"/>
        <v>232559.99999999951</v>
      </c>
      <c r="L447" s="202">
        <v>45.599999999999902</v>
      </c>
      <c r="N447" s="202">
        <v>0.18</v>
      </c>
      <c r="S447" s="203"/>
      <c r="W447" s="198" t="s">
        <v>51</v>
      </c>
      <c r="AE447" s="198" t="s">
        <v>54</v>
      </c>
    </row>
    <row r="448" spans="3:31" x14ac:dyDescent="0.25">
      <c r="C448" s="201"/>
      <c r="E448" s="201"/>
      <c r="F448" s="201"/>
      <c r="I448" s="198" t="s">
        <v>202</v>
      </c>
      <c r="J448" s="198" t="s">
        <v>65</v>
      </c>
      <c r="K448" s="202">
        <f t="shared" si="6"/>
        <v>233069.99999999951</v>
      </c>
      <c r="L448" s="202">
        <v>45.699999999999903</v>
      </c>
      <c r="N448" s="202">
        <v>3897190</v>
      </c>
      <c r="S448" s="204"/>
      <c r="W448" s="198" t="s">
        <v>51</v>
      </c>
      <c r="AE448" s="198" t="s">
        <v>831</v>
      </c>
    </row>
    <row r="449" spans="3:31" x14ac:dyDescent="0.25">
      <c r="C449" s="201"/>
      <c r="E449" s="201"/>
      <c r="F449" s="201"/>
      <c r="I449" s="198" t="s">
        <v>204</v>
      </c>
      <c r="J449" s="198" t="s">
        <v>169</v>
      </c>
      <c r="K449" s="202">
        <f t="shared" si="6"/>
        <v>233579.99999999948</v>
      </c>
      <c r="L449" s="202">
        <v>45.799999999999898</v>
      </c>
      <c r="N449" s="202">
        <v>2094240</v>
      </c>
      <c r="S449" s="204"/>
      <c r="W449" s="198" t="s">
        <v>51</v>
      </c>
      <c r="AE449" s="198" t="s">
        <v>831</v>
      </c>
    </row>
    <row r="450" spans="3:31" x14ac:dyDescent="0.25">
      <c r="C450" s="201"/>
      <c r="E450" s="201"/>
      <c r="F450" s="201"/>
      <c r="I450" s="198" t="s">
        <v>554</v>
      </c>
      <c r="J450" s="198" t="s">
        <v>130</v>
      </c>
      <c r="K450" s="202">
        <f t="shared" si="6"/>
        <v>234089.99999999948</v>
      </c>
      <c r="L450" s="202">
        <v>45.899999999999899</v>
      </c>
      <c r="N450" s="202">
        <v>-0.02</v>
      </c>
      <c r="S450" s="204"/>
      <c r="W450" s="198" t="s">
        <v>51</v>
      </c>
      <c r="AE450" s="198" t="s">
        <v>833</v>
      </c>
    </row>
    <row r="451" spans="3:31" x14ac:dyDescent="0.25">
      <c r="C451" s="201"/>
      <c r="E451" s="201"/>
      <c r="F451" s="201"/>
      <c r="I451" s="198" t="s">
        <v>205</v>
      </c>
      <c r="J451" s="198" t="s">
        <v>169</v>
      </c>
      <c r="K451" s="202">
        <f t="shared" ref="K451:K514" si="7">L451*5100</f>
        <v>234599.99999999951</v>
      </c>
      <c r="L451" s="202">
        <v>45.999999999999901</v>
      </c>
      <c r="N451" s="202">
        <v>27615.82</v>
      </c>
      <c r="S451" s="203"/>
      <c r="W451" s="198" t="s">
        <v>51</v>
      </c>
      <c r="AE451" s="198" t="s">
        <v>831</v>
      </c>
    </row>
    <row r="452" spans="3:31" x14ac:dyDescent="0.25">
      <c r="C452" s="201"/>
      <c r="E452" s="201"/>
      <c r="F452" s="201"/>
      <c r="I452" s="198" t="s">
        <v>205</v>
      </c>
      <c r="J452" s="198" t="s">
        <v>169</v>
      </c>
      <c r="K452" s="202">
        <f t="shared" si="7"/>
        <v>235109.99999999951</v>
      </c>
      <c r="L452" s="202">
        <v>46.099999999999902</v>
      </c>
      <c r="N452" s="202">
        <v>11208.78</v>
      </c>
      <c r="S452" s="203"/>
      <c r="W452" s="198" t="s">
        <v>51</v>
      </c>
      <c r="AE452" s="198" t="s">
        <v>831</v>
      </c>
    </row>
    <row r="453" spans="3:31" x14ac:dyDescent="0.25">
      <c r="C453" s="201"/>
      <c r="E453" s="201"/>
      <c r="F453" s="201"/>
      <c r="I453" s="198" t="s">
        <v>206</v>
      </c>
      <c r="J453" s="198" t="s">
        <v>169</v>
      </c>
      <c r="K453" s="202">
        <f t="shared" si="7"/>
        <v>235619.99999999951</v>
      </c>
      <c r="L453" s="202">
        <v>46.199999999999903</v>
      </c>
      <c r="N453" s="202">
        <v>54997.8</v>
      </c>
      <c r="S453" s="203"/>
      <c r="W453" s="198" t="s">
        <v>51</v>
      </c>
      <c r="AE453" s="198" t="s">
        <v>831</v>
      </c>
    </row>
    <row r="454" spans="3:31" x14ac:dyDescent="0.25">
      <c r="C454" s="201"/>
      <c r="E454" s="201"/>
      <c r="F454" s="201"/>
      <c r="I454" s="198" t="s">
        <v>206</v>
      </c>
      <c r="J454" s="198" t="s">
        <v>169</v>
      </c>
      <c r="K454" s="202">
        <f t="shared" si="7"/>
        <v>236129.99999999948</v>
      </c>
      <c r="L454" s="202">
        <v>46.299999999999898</v>
      </c>
      <c r="N454" s="202">
        <v>223669</v>
      </c>
      <c r="S454" s="203"/>
      <c r="W454" s="198" t="s">
        <v>51</v>
      </c>
      <c r="AE454" s="198" t="s">
        <v>831</v>
      </c>
    </row>
    <row r="455" spans="3:31" x14ac:dyDescent="0.25">
      <c r="C455" s="201"/>
      <c r="E455" s="201"/>
      <c r="F455" s="201"/>
      <c r="I455" s="198" t="s">
        <v>206</v>
      </c>
      <c r="J455" s="198" t="s">
        <v>169</v>
      </c>
      <c r="K455" s="202">
        <f t="shared" si="7"/>
        <v>236639.99999999948</v>
      </c>
      <c r="L455" s="202">
        <v>46.399999999999899</v>
      </c>
      <c r="N455" s="202">
        <v>3340803</v>
      </c>
      <c r="S455" s="203"/>
      <c r="W455" s="198" t="s">
        <v>51</v>
      </c>
      <c r="AE455" s="198" t="s">
        <v>831</v>
      </c>
    </row>
    <row r="456" spans="3:31" x14ac:dyDescent="0.25">
      <c r="C456" s="201"/>
      <c r="E456" s="201"/>
      <c r="F456" s="201"/>
      <c r="I456" s="198" t="s">
        <v>206</v>
      </c>
      <c r="J456" s="198" t="s">
        <v>169</v>
      </c>
      <c r="K456" s="202">
        <f t="shared" si="7"/>
        <v>237149.99999999951</v>
      </c>
      <c r="L456" s="202">
        <v>46.499999999999901</v>
      </c>
      <c r="N456" s="202">
        <v>162878.63</v>
      </c>
      <c r="S456" s="203"/>
      <c r="W456" s="198" t="s">
        <v>51</v>
      </c>
      <c r="AE456" s="198" t="s">
        <v>831</v>
      </c>
    </row>
    <row r="457" spans="3:31" x14ac:dyDescent="0.25">
      <c r="C457" s="201"/>
      <c r="E457" s="201"/>
      <c r="F457" s="201"/>
      <c r="I457" s="198" t="s">
        <v>206</v>
      </c>
      <c r="J457" s="198" t="s">
        <v>169</v>
      </c>
      <c r="K457" s="202">
        <f t="shared" si="7"/>
        <v>237659.99999999951</v>
      </c>
      <c r="L457" s="202">
        <v>46.599999999999902</v>
      </c>
      <c r="N457" s="202">
        <v>57132</v>
      </c>
      <c r="S457" s="203"/>
      <c r="W457" s="198" t="s">
        <v>51</v>
      </c>
      <c r="AE457" s="198" t="s">
        <v>831</v>
      </c>
    </row>
    <row r="458" spans="3:31" x14ac:dyDescent="0.25">
      <c r="C458" s="201"/>
      <c r="E458" s="201"/>
      <c r="F458" s="201"/>
      <c r="I458" s="198" t="s">
        <v>206</v>
      </c>
      <c r="J458" s="198" t="s">
        <v>169</v>
      </c>
      <c r="K458" s="202">
        <f t="shared" si="7"/>
        <v>238169.99999999951</v>
      </c>
      <c r="L458" s="202">
        <v>46.699999999999903</v>
      </c>
      <c r="N458" s="202">
        <v>170125.2</v>
      </c>
      <c r="S458" s="203"/>
      <c r="W458" s="198" t="s">
        <v>51</v>
      </c>
      <c r="AE458" s="198" t="s">
        <v>831</v>
      </c>
    </row>
    <row r="459" spans="3:31" x14ac:dyDescent="0.25">
      <c r="C459" s="201"/>
      <c r="E459" s="201"/>
      <c r="F459" s="201"/>
      <c r="I459" s="198" t="s">
        <v>207</v>
      </c>
      <c r="J459" s="198" t="s">
        <v>169</v>
      </c>
      <c r="K459" s="202">
        <f t="shared" si="7"/>
        <v>238679.99999999948</v>
      </c>
      <c r="L459" s="202">
        <v>46.799999999999898</v>
      </c>
      <c r="N459" s="202">
        <v>19107</v>
      </c>
      <c r="S459" s="203"/>
      <c r="W459" s="198" t="s">
        <v>51</v>
      </c>
      <c r="AE459" s="198" t="s">
        <v>831</v>
      </c>
    </row>
    <row r="460" spans="3:31" x14ac:dyDescent="0.25">
      <c r="C460" s="201"/>
      <c r="E460" s="201"/>
      <c r="F460" s="201"/>
      <c r="I460" s="198" t="s">
        <v>207</v>
      </c>
      <c r="J460" s="198" t="s">
        <v>169</v>
      </c>
      <c r="K460" s="202">
        <f t="shared" si="7"/>
        <v>239189.99999999948</v>
      </c>
      <c r="L460" s="202">
        <v>46.899999999999899</v>
      </c>
      <c r="N460" s="202">
        <v>182529</v>
      </c>
      <c r="S460" s="203"/>
      <c r="W460" s="198" t="s">
        <v>51</v>
      </c>
      <c r="AE460" s="198" t="s">
        <v>831</v>
      </c>
    </row>
    <row r="461" spans="3:31" x14ac:dyDescent="0.25">
      <c r="C461" s="201"/>
      <c r="E461" s="201"/>
      <c r="F461" s="201"/>
      <c r="I461" s="198" t="s">
        <v>207</v>
      </c>
      <c r="J461" s="198" t="s">
        <v>169</v>
      </c>
      <c r="K461" s="202">
        <f t="shared" si="7"/>
        <v>239699.99999999951</v>
      </c>
      <c r="L461" s="202">
        <v>46.999999999999901</v>
      </c>
      <c r="N461" s="202">
        <v>471000</v>
      </c>
      <c r="S461" s="204"/>
      <c r="W461" s="198" t="s">
        <v>51</v>
      </c>
      <c r="AE461" s="198" t="s">
        <v>831</v>
      </c>
    </row>
    <row r="462" spans="3:31" x14ac:dyDescent="0.25">
      <c r="C462" s="201"/>
      <c r="E462" s="201"/>
      <c r="F462" s="201"/>
      <c r="I462" s="198" t="s">
        <v>207</v>
      </c>
      <c r="J462" s="198" t="s">
        <v>169</v>
      </c>
      <c r="K462" s="202">
        <f t="shared" si="7"/>
        <v>240209.99999999951</v>
      </c>
      <c r="L462" s="202">
        <v>47.099999999999902</v>
      </c>
      <c r="N462" s="202">
        <v>136946.25</v>
      </c>
      <c r="S462" s="203"/>
      <c r="W462" s="198" t="s">
        <v>51</v>
      </c>
      <c r="AE462" s="198" t="s">
        <v>831</v>
      </c>
    </row>
    <row r="463" spans="3:31" x14ac:dyDescent="0.25">
      <c r="C463" s="201"/>
      <c r="E463" s="201"/>
      <c r="F463" s="201"/>
      <c r="I463" s="198" t="s">
        <v>207</v>
      </c>
      <c r="J463" s="198" t="s">
        <v>169</v>
      </c>
      <c r="K463" s="202">
        <f t="shared" si="7"/>
        <v>240719.99999999951</v>
      </c>
      <c r="L463" s="202">
        <v>47.199999999999903</v>
      </c>
      <c r="N463" s="202">
        <v>54510</v>
      </c>
      <c r="S463" s="203"/>
      <c r="W463" s="198" t="s">
        <v>51</v>
      </c>
      <c r="AE463" s="198" t="s">
        <v>831</v>
      </c>
    </row>
    <row r="464" spans="3:31" x14ac:dyDescent="0.25">
      <c r="C464" s="201"/>
      <c r="E464" s="201"/>
      <c r="F464" s="201"/>
      <c r="I464" s="198" t="s">
        <v>207</v>
      </c>
      <c r="J464" s="198" t="s">
        <v>169</v>
      </c>
      <c r="K464" s="202">
        <f t="shared" si="7"/>
        <v>241229.99999999948</v>
      </c>
      <c r="L464" s="202">
        <v>47.299999999999898</v>
      </c>
      <c r="N464" s="202">
        <v>158915.4</v>
      </c>
      <c r="S464" s="203"/>
      <c r="W464" s="198" t="s">
        <v>51</v>
      </c>
      <c r="AE464" s="198" t="s">
        <v>831</v>
      </c>
    </row>
    <row r="465" spans="3:31" x14ac:dyDescent="0.25">
      <c r="C465" s="201"/>
      <c r="E465" s="201"/>
      <c r="F465" s="201"/>
      <c r="I465" s="198" t="s">
        <v>727</v>
      </c>
      <c r="J465" s="198" t="s">
        <v>169</v>
      </c>
      <c r="K465" s="202">
        <f t="shared" si="7"/>
        <v>241739.99999999948</v>
      </c>
      <c r="L465" s="202">
        <v>47.399999999999899</v>
      </c>
      <c r="N465" s="202">
        <v>11523.6</v>
      </c>
      <c r="S465" s="203"/>
      <c r="W465" s="198" t="s">
        <v>51</v>
      </c>
      <c r="AE465" s="198" t="s">
        <v>831</v>
      </c>
    </row>
    <row r="466" spans="3:31" x14ac:dyDescent="0.25">
      <c r="C466" s="201"/>
      <c r="E466" s="201"/>
      <c r="F466" s="201"/>
      <c r="I466" s="198" t="s">
        <v>430</v>
      </c>
      <c r="J466" s="198" t="s">
        <v>130</v>
      </c>
      <c r="K466" s="202">
        <f t="shared" si="7"/>
        <v>242249.99999999951</v>
      </c>
      <c r="L466" s="202">
        <v>47.499999999999901</v>
      </c>
      <c r="N466" s="202">
        <v>16721000</v>
      </c>
      <c r="S466" s="204"/>
      <c r="W466" s="198" t="s">
        <v>51</v>
      </c>
      <c r="AE466" s="198" t="s">
        <v>833</v>
      </c>
    </row>
    <row r="467" spans="3:31" x14ac:dyDescent="0.25">
      <c r="C467" s="201"/>
      <c r="E467" s="201"/>
      <c r="F467" s="201"/>
      <c r="I467" s="198" t="s">
        <v>430</v>
      </c>
      <c r="J467" s="198" t="s">
        <v>130</v>
      </c>
      <c r="K467" s="202">
        <f t="shared" si="7"/>
        <v>242759.99999999951</v>
      </c>
      <c r="L467" s="202">
        <v>47.599999999999902</v>
      </c>
      <c r="N467" s="202">
        <v>16721000</v>
      </c>
      <c r="S467" s="204"/>
      <c r="W467" s="198" t="s">
        <v>51</v>
      </c>
      <c r="AE467" s="198" t="s">
        <v>833</v>
      </c>
    </row>
    <row r="468" spans="3:31" x14ac:dyDescent="0.25">
      <c r="C468" s="201"/>
      <c r="E468" s="201"/>
      <c r="F468" s="201"/>
      <c r="I468" s="198" t="s">
        <v>430</v>
      </c>
      <c r="J468" s="198" t="s">
        <v>130</v>
      </c>
      <c r="K468" s="202">
        <f t="shared" si="7"/>
        <v>243269.99999999951</v>
      </c>
      <c r="L468" s="202">
        <v>47.699999999999903</v>
      </c>
      <c r="N468" s="202">
        <v>16721000</v>
      </c>
      <c r="S468" s="204"/>
      <c r="W468" s="198" t="s">
        <v>51</v>
      </c>
      <c r="AE468" s="198" t="s">
        <v>833</v>
      </c>
    </row>
    <row r="469" spans="3:31" x14ac:dyDescent="0.25">
      <c r="C469" s="201"/>
      <c r="E469" s="201"/>
      <c r="F469" s="201"/>
      <c r="I469" s="198" t="s">
        <v>430</v>
      </c>
      <c r="J469" s="198" t="s">
        <v>130</v>
      </c>
      <c r="K469" s="202">
        <f t="shared" si="7"/>
        <v>243779.99999999948</v>
      </c>
      <c r="L469" s="202">
        <v>47.799999999999898</v>
      </c>
      <c r="N469" s="202">
        <v>16721000</v>
      </c>
      <c r="S469" s="204"/>
      <c r="W469" s="198" t="s">
        <v>51</v>
      </c>
      <c r="AE469" s="198" t="s">
        <v>833</v>
      </c>
    </row>
    <row r="470" spans="3:31" x14ac:dyDescent="0.25">
      <c r="C470" s="201"/>
      <c r="E470" s="201"/>
      <c r="F470" s="201"/>
      <c r="I470" s="198" t="s">
        <v>430</v>
      </c>
      <c r="J470" s="198" t="s">
        <v>130</v>
      </c>
      <c r="K470" s="202">
        <f t="shared" si="7"/>
        <v>244289.99999999948</v>
      </c>
      <c r="L470" s="202">
        <v>47.899999999999899</v>
      </c>
      <c r="N470" s="202">
        <v>16721000</v>
      </c>
      <c r="S470" s="204"/>
      <c r="W470" s="198" t="s">
        <v>51</v>
      </c>
      <c r="AE470" s="198" t="s">
        <v>833</v>
      </c>
    </row>
    <row r="471" spans="3:31" x14ac:dyDescent="0.25">
      <c r="C471" s="201"/>
      <c r="E471" s="201"/>
      <c r="F471" s="201"/>
      <c r="I471" s="198" t="s">
        <v>430</v>
      </c>
      <c r="J471" s="198" t="s">
        <v>130</v>
      </c>
      <c r="K471" s="202">
        <f t="shared" si="7"/>
        <v>244799.99999999951</v>
      </c>
      <c r="L471" s="202">
        <v>47.999999999999901</v>
      </c>
      <c r="N471" s="202">
        <v>16721000</v>
      </c>
      <c r="S471" s="204"/>
      <c r="W471" s="198" t="s">
        <v>51</v>
      </c>
      <c r="AE471" s="198" t="s">
        <v>833</v>
      </c>
    </row>
    <row r="472" spans="3:31" x14ac:dyDescent="0.25">
      <c r="C472" s="201"/>
      <c r="E472" s="201"/>
      <c r="F472" s="201"/>
      <c r="I472" s="198" t="s">
        <v>430</v>
      </c>
      <c r="J472" s="198" t="s">
        <v>130</v>
      </c>
      <c r="K472" s="202">
        <f t="shared" si="7"/>
        <v>245309.99999999951</v>
      </c>
      <c r="L472" s="202">
        <v>48.099999999999902</v>
      </c>
      <c r="N472" s="202">
        <v>16721000</v>
      </c>
      <c r="S472" s="204"/>
      <c r="W472" s="198" t="s">
        <v>51</v>
      </c>
      <c r="AE472" s="198" t="s">
        <v>833</v>
      </c>
    </row>
    <row r="473" spans="3:31" x14ac:dyDescent="0.25">
      <c r="C473" s="201"/>
      <c r="E473" s="201"/>
      <c r="F473" s="201"/>
      <c r="I473" s="198" t="s">
        <v>430</v>
      </c>
      <c r="J473" s="198" t="s">
        <v>130</v>
      </c>
      <c r="K473" s="202">
        <f t="shared" si="7"/>
        <v>245819.99999999951</v>
      </c>
      <c r="L473" s="202">
        <v>48.199999999999903</v>
      </c>
      <c r="N473" s="202">
        <v>16721000</v>
      </c>
      <c r="S473" s="204"/>
      <c r="W473" s="198" t="s">
        <v>51</v>
      </c>
      <c r="AE473" s="198" t="s">
        <v>833</v>
      </c>
    </row>
    <row r="474" spans="3:31" x14ac:dyDescent="0.25">
      <c r="C474" s="201"/>
      <c r="E474" s="201"/>
      <c r="F474" s="201"/>
      <c r="I474" s="198" t="s">
        <v>845</v>
      </c>
      <c r="J474" s="198" t="s">
        <v>137</v>
      </c>
      <c r="K474" s="202">
        <f t="shared" si="7"/>
        <v>246329.99999999948</v>
      </c>
      <c r="L474" s="202">
        <v>48.299999999999898</v>
      </c>
      <c r="N474" s="202">
        <v>5309436.96</v>
      </c>
      <c r="S474" s="204"/>
      <c r="W474" s="198" t="s">
        <v>51</v>
      </c>
      <c r="AE474" s="198" t="s">
        <v>844</v>
      </c>
    </row>
    <row r="475" spans="3:31" x14ac:dyDescent="0.25">
      <c r="C475" s="201"/>
      <c r="E475" s="201"/>
      <c r="F475" s="201"/>
      <c r="I475" s="198" t="s">
        <v>845</v>
      </c>
      <c r="J475" s="198" t="s">
        <v>137</v>
      </c>
      <c r="K475" s="202">
        <f t="shared" si="7"/>
        <v>246839.99999999948</v>
      </c>
      <c r="L475" s="202">
        <v>48.399999999999899</v>
      </c>
      <c r="N475" s="202">
        <v>7105415.8600000003</v>
      </c>
      <c r="S475" s="204"/>
      <c r="W475" s="198" t="s">
        <v>51</v>
      </c>
      <c r="AE475" s="198" t="s">
        <v>844</v>
      </c>
    </row>
    <row r="476" spans="3:31" x14ac:dyDescent="0.25">
      <c r="C476" s="201"/>
      <c r="E476" s="201"/>
      <c r="F476" s="201"/>
      <c r="I476" s="198" t="s">
        <v>845</v>
      </c>
      <c r="J476" s="198" t="s">
        <v>137</v>
      </c>
      <c r="K476" s="202">
        <f t="shared" si="7"/>
        <v>247349.99999999951</v>
      </c>
      <c r="L476" s="202">
        <v>48.499999999999901</v>
      </c>
      <c r="N476" s="202">
        <v>7114930.9800000004</v>
      </c>
      <c r="S476" s="204"/>
      <c r="W476" s="198" t="s">
        <v>51</v>
      </c>
      <c r="AE476" s="198" t="s">
        <v>844</v>
      </c>
    </row>
    <row r="477" spans="3:31" x14ac:dyDescent="0.25">
      <c r="C477" s="201"/>
      <c r="E477" s="201"/>
      <c r="F477" s="201"/>
      <c r="I477" s="198" t="s">
        <v>845</v>
      </c>
      <c r="J477" s="198" t="s">
        <v>137</v>
      </c>
      <c r="K477" s="202">
        <f t="shared" si="7"/>
        <v>247859.99999999951</v>
      </c>
      <c r="L477" s="202">
        <v>48.599999999999902</v>
      </c>
      <c r="N477" s="202">
        <v>7103037.0800000001</v>
      </c>
      <c r="S477" s="204"/>
      <c r="W477" s="198" t="s">
        <v>51</v>
      </c>
      <c r="AE477" s="198" t="s">
        <v>844</v>
      </c>
    </row>
    <row r="478" spans="3:31" x14ac:dyDescent="0.25">
      <c r="C478" s="201"/>
      <c r="E478" s="201"/>
      <c r="F478" s="201"/>
      <c r="I478" s="198" t="s">
        <v>845</v>
      </c>
      <c r="J478" s="198" t="s">
        <v>137</v>
      </c>
      <c r="K478" s="202">
        <f t="shared" si="7"/>
        <v>248369.99999999951</v>
      </c>
      <c r="L478" s="202">
        <v>48.699999999999903</v>
      </c>
      <c r="N478" s="202">
        <v>7112552.2000000002</v>
      </c>
      <c r="S478" s="204"/>
      <c r="W478" s="198" t="s">
        <v>51</v>
      </c>
      <c r="AE478" s="198" t="s">
        <v>844</v>
      </c>
    </row>
    <row r="479" spans="3:31" x14ac:dyDescent="0.25">
      <c r="C479" s="201"/>
      <c r="E479" s="201"/>
      <c r="F479" s="201"/>
      <c r="I479" s="198" t="s">
        <v>845</v>
      </c>
      <c r="J479" s="198" t="s">
        <v>137</v>
      </c>
      <c r="K479" s="202">
        <f t="shared" si="7"/>
        <v>248879.99999999948</v>
      </c>
      <c r="L479" s="202">
        <v>48.799999999999898</v>
      </c>
      <c r="N479" s="202">
        <v>7155370.2400000002</v>
      </c>
      <c r="S479" s="204"/>
      <c r="W479" s="198" t="s">
        <v>51</v>
      </c>
      <c r="AE479" s="198" t="s">
        <v>844</v>
      </c>
    </row>
    <row r="480" spans="3:31" x14ac:dyDescent="0.25">
      <c r="C480" s="201"/>
      <c r="E480" s="201"/>
      <c r="F480" s="201"/>
      <c r="I480" s="198" t="s">
        <v>845</v>
      </c>
      <c r="J480" s="198" t="s">
        <v>137</v>
      </c>
      <c r="K480" s="202">
        <f t="shared" si="7"/>
        <v>249389.99999999948</v>
      </c>
      <c r="L480" s="202">
        <v>48.899999999999899</v>
      </c>
      <c r="N480" s="202">
        <v>7100658.2999999998</v>
      </c>
      <c r="S480" s="204"/>
      <c r="W480" s="198" t="s">
        <v>51</v>
      </c>
      <c r="AE480" s="198" t="s">
        <v>844</v>
      </c>
    </row>
    <row r="481" spans="3:31" x14ac:dyDescent="0.25">
      <c r="C481" s="201"/>
      <c r="E481" s="201"/>
      <c r="F481" s="201"/>
      <c r="I481" s="198" t="s">
        <v>845</v>
      </c>
      <c r="J481" s="198" t="s">
        <v>137</v>
      </c>
      <c r="K481" s="202">
        <f t="shared" si="7"/>
        <v>249899.99999999951</v>
      </c>
      <c r="L481" s="202">
        <v>48.999999999999901</v>
      </c>
      <c r="N481" s="202">
        <v>7122067.3200000003</v>
      </c>
      <c r="S481" s="204"/>
      <c r="W481" s="198" t="s">
        <v>51</v>
      </c>
      <c r="AE481" s="198" t="s">
        <v>844</v>
      </c>
    </row>
    <row r="482" spans="3:31" x14ac:dyDescent="0.25">
      <c r="C482" s="201"/>
      <c r="E482" s="201"/>
      <c r="F482" s="201"/>
      <c r="I482" s="198" t="s">
        <v>843</v>
      </c>
      <c r="J482" s="198" t="s">
        <v>137</v>
      </c>
      <c r="K482" s="202">
        <f t="shared" si="7"/>
        <v>250409.99999999951</v>
      </c>
      <c r="L482" s="202">
        <v>49.099999999999902</v>
      </c>
      <c r="N482" s="202">
        <v>6254325</v>
      </c>
      <c r="S482" s="204"/>
      <c r="W482" s="198" t="s">
        <v>51</v>
      </c>
      <c r="AE482" s="198" t="s">
        <v>844</v>
      </c>
    </row>
    <row r="483" spans="3:31" x14ac:dyDescent="0.25">
      <c r="C483" s="201"/>
      <c r="E483" s="201"/>
      <c r="F483" s="201"/>
      <c r="I483" s="198" t="s">
        <v>843</v>
      </c>
      <c r="J483" s="198" t="s">
        <v>137</v>
      </c>
      <c r="K483" s="202">
        <f t="shared" si="7"/>
        <v>250919.99999999951</v>
      </c>
      <c r="L483" s="202">
        <v>49.199999999999903</v>
      </c>
      <c r="N483" s="202">
        <v>6257175</v>
      </c>
      <c r="S483" s="204"/>
      <c r="W483" s="198" t="s">
        <v>51</v>
      </c>
      <c r="AE483" s="198" t="s">
        <v>844</v>
      </c>
    </row>
    <row r="484" spans="3:31" x14ac:dyDescent="0.25">
      <c r="C484" s="201"/>
      <c r="E484" s="201"/>
      <c r="F484" s="201"/>
      <c r="I484" s="198" t="s">
        <v>843</v>
      </c>
      <c r="J484" s="198" t="s">
        <v>137</v>
      </c>
      <c r="K484" s="202">
        <f t="shared" si="7"/>
        <v>251429.99999999948</v>
      </c>
      <c r="L484" s="202">
        <v>49.299999999999898</v>
      </c>
      <c r="N484" s="202">
        <v>6249575</v>
      </c>
      <c r="S484" s="204"/>
      <c r="W484" s="198" t="s">
        <v>51</v>
      </c>
      <c r="AE484" s="198" t="s">
        <v>844</v>
      </c>
    </row>
    <row r="485" spans="3:31" x14ac:dyDescent="0.25">
      <c r="C485" s="201"/>
      <c r="E485" s="201"/>
      <c r="F485" s="201"/>
      <c r="I485" s="198" t="s">
        <v>843</v>
      </c>
      <c r="J485" s="198" t="s">
        <v>137</v>
      </c>
      <c r="K485" s="202">
        <f t="shared" si="7"/>
        <v>251939.99999999948</v>
      </c>
      <c r="L485" s="202">
        <v>49.399999999999899</v>
      </c>
      <c r="N485" s="202">
        <v>958550</v>
      </c>
      <c r="S485" s="204"/>
      <c r="W485" s="198" t="s">
        <v>51</v>
      </c>
      <c r="AE485" s="198" t="s">
        <v>844</v>
      </c>
    </row>
    <row r="486" spans="3:31" x14ac:dyDescent="0.25">
      <c r="C486" s="201"/>
      <c r="E486" s="201"/>
      <c r="F486" s="201"/>
      <c r="I486" s="198" t="s">
        <v>202</v>
      </c>
      <c r="J486" s="198" t="s">
        <v>65</v>
      </c>
      <c r="K486" s="202">
        <f t="shared" si="7"/>
        <v>252449.99999999951</v>
      </c>
      <c r="L486" s="202">
        <v>49.499999999999901</v>
      </c>
      <c r="N486" s="202">
        <v>4960060</v>
      </c>
      <c r="S486" s="204"/>
      <c r="W486" s="198" t="s">
        <v>51</v>
      </c>
      <c r="AE486" s="198" t="s">
        <v>831</v>
      </c>
    </row>
    <row r="487" spans="3:31" x14ac:dyDescent="0.25">
      <c r="C487" s="201"/>
      <c r="E487" s="201"/>
      <c r="F487" s="201"/>
      <c r="I487" s="198" t="s">
        <v>204</v>
      </c>
      <c r="J487" s="198" t="s">
        <v>169</v>
      </c>
      <c r="K487" s="202">
        <f t="shared" si="7"/>
        <v>252959.99999999951</v>
      </c>
      <c r="L487" s="202">
        <v>49.599999999999902</v>
      </c>
      <c r="N487" s="202">
        <v>1047120</v>
      </c>
      <c r="S487" s="204"/>
      <c r="W487" s="198" t="s">
        <v>51</v>
      </c>
      <c r="AE487" s="198" t="s">
        <v>831</v>
      </c>
    </row>
    <row r="488" spans="3:31" x14ac:dyDescent="0.25">
      <c r="C488" s="201"/>
      <c r="E488" s="201"/>
      <c r="F488" s="201"/>
      <c r="I488" s="198" t="s">
        <v>843</v>
      </c>
      <c r="J488" s="198" t="s">
        <v>137</v>
      </c>
      <c r="K488" s="202">
        <f t="shared" si="7"/>
        <v>253469.99999999951</v>
      </c>
      <c r="L488" s="202">
        <v>49.699999999999903</v>
      </c>
      <c r="N488" s="202">
        <v>0.5</v>
      </c>
      <c r="S488" s="204"/>
      <c r="W488" s="198" t="s">
        <v>51</v>
      </c>
      <c r="AE488" s="198" t="s">
        <v>844</v>
      </c>
    </row>
    <row r="489" spans="3:31" x14ac:dyDescent="0.25">
      <c r="C489" s="201"/>
      <c r="E489" s="201"/>
      <c r="F489" s="201"/>
      <c r="I489" s="198" t="s">
        <v>843</v>
      </c>
      <c r="J489" s="198" t="s">
        <v>137</v>
      </c>
      <c r="K489" s="202">
        <f t="shared" si="7"/>
        <v>253979.99999999948</v>
      </c>
      <c r="L489" s="202">
        <v>49.799999999999898</v>
      </c>
      <c r="N489" s="202">
        <v>0.5</v>
      </c>
      <c r="S489" s="204"/>
      <c r="W489" s="198" t="s">
        <v>51</v>
      </c>
      <c r="AE489" s="198" t="s">
        <v>844</v>
      </c>
    </row>
    <row r="490" spans="3:31" x14ac:dyDescent="0.25">
      <c r="C490" s="201"/>
      <c r="E490" s="201"/>
      <c r="F490" s="201"/>
      <c r="I490" s="198" t="s">
        <v>843</v>
      </c>
      <c r="J490" s="198" t="s">
        <v>137</v>
      </c>
      <c r="K490" s="202">
        <f t="shared" si="7"/>
        <v>254489.99999999948</v>
      </c>
      <c r="L490" s="202">
        <v>49.899999999999899</v>
      </c>
      <c r="N490" s="202">
        <v>0.5</v>
      </c>
      <c r="S490" s="204"/>
      <c r="W490" s="198" t="s">
        <v>51</v>
      </c>
      <c r="AE490" s="198" t="s">
        <v>844</v>
      </c>
    </row>
    <row r="491" spans="3:31" x14ac:dyDescent="0.25">
      <c r="C491" s="201"/>
      <c r="E491" s="201"/>
      <c r="F491" s="201"/>
      <c r="I491" s="198" t="s">
        <v>843</v>
      </c>
      <c r="J491" s="198" t="s">
        <v>137</v>
      </c>
      <c r="K491" s="202">
        <f t="shared" si="7"/>
        <v>254999.99999999951</v>
      </c>
      <c r="L491" s="202">
        <v>49.999999999999901</v>
      </c>
      <c r="N491" s="202">
        <v>0.5</v>
      </c>
      <c r="S491" s="204"/>
      <c r="W491" s="198" t="s">
        <v>51</v>
      </c>
      <c r="AE491" s="198" t="s">
        <v>844</v>
      </c>
    </row>
    <row r="492" spans="3:31" x14ac:dyDescent="0.25">
      <c r="C492" s="201"/>
      <c r="E492" s="201"/>
      <c r="F492" s="201"/>
      <c r="I492" s="198" t="s">
        <v>843</v>
      </c>
      <c r="J492" s="198" t="s">
        <v>137</v>
      </c>
      <c r="K492" s="202">
        <f t="shared" si="7"/>
        <v>255509.99999999951</v>
      </c>
      <c r="L492" s="202">
        <v>50.099999999999902</v>
      </c>
      <c r="N492" s="202">
        <v>0.5</v>
      </c>
      <c r="S492" s="204"/>
      <c r="W492" s="198" t="s">
        <v>51</v>
      </c>
      <c r="AE492" s="198" t="s">
        <v>844</v>
      </c>
    </row>
    <row r="493" spans="3:31" x14ac:dyDescent="0.25">
      <c r="C493" s="201"/>
      <c r="E493" s="201"/>
      <c r="F493" s="201"/>
      <c r="I493" s="198" t="s">
        <v>843</v>
      </c>
      <c r="J493" s="198" t="s">
        <v>137</v>
      </c>
      <c r="K493" s="202">
        <f t="shared" si="7"/>
        <v>256019.99999999951</v>
      </c>
      <c r="L493" s="202">
        <v>50.199999999999903</v>
      </c>
      <c r="N493" s="202">
        <v>0.5</v>
      </c>
      <c r="S493" s="204"/>
      <c r="W493" s="198" t="s">
        <v>51</v>
      </c>
      <c r="AE493" s="198" t="s">
        <v>844</v>
      </c>
    </row>
    <row r="494" spans="3:31" x14ac:dyDescent="0.25">
      <c r="C494" s="201"/>
      <c r="E494" s="201"/>
      <c r="F494" s="201"/>
      <c r="I494" s="198" t="s">
        <v>843</v>
      </c>
      <c r="J494" s="198" t="s">
        <v>137</v>
      </c>
      <c r="K494" s="202">
        <f t="shared" si="7"/>
        <v>256529.99999999948</v>
      </c>
      <c r="L494" s="202">
        <v>50.299999999999898</v>
      </c>
      <c r="N494" s="202">
        <v>0.5</v>
      </c>
      <c r="S494" s="204"/>
      <c r="W494" s="198" t="s">
        <v>51</v>
      </c>
      <c r="AE494" s="198" t="s">
        <v>844</v>
      </c>
    </row>
    <row r="495" spans="3:31" x14ac:dyDescent="0.25">
      <c r="C495" s="201"/>
      <c r="E495" s="201"/>
      <c r="F495" s="201"/>
      <c r="I495" s="198" t="s">
        <v>843</v>
      </c>
      <c r="J495" s="198" t="s">
        <v>137</v>
      </c>
      <c r="K495" s="202">
        <f t="shared" si="7"/>
        <v>257039.99999999948</v>
      </c>
      <c r="L495" s="202">
        <v>50.399999999999899</v>
      </c>
      <c r="N495" s="202">
        <v>6277600</v>
      </c>
      <c r="S495" s="204"/>
      <c r="W495" s="198" t="s">
        <v>51</v>
      </c>
      <c r="AE495" s="198" t="s">
        <v>844</v>
      </c>
    </row>
    <row r="496" spans="3:31" x14ac:dyDescent="0.25">
      <c r="C496" s="201"/>
      <c r="E496" s="201"/>
      <c r="F496" s="201"/>
      <c r="I496" s="198" t="s">
        <v>843</v>
      </c>
      <c r="J496" s="198" t="s">
        <v>137</v>
      </c>
      <c r="K496" s="202">
        <f t="shared" si="7"/>
        <v>257549.99999999951</v>
      </c>
      <c r="L496" s="202">
        <v>50.499999999999901</v>
      </c>
      <c r="N496" s="202">
        <v>6280450</v>
      </c>
      <c r="S496" s="204"/>
      <c r="W496" s="198" t="s">
        <v>51</v>
      </c>
      <c r="AE496" s="198" t="s">
        <v>844</v>
      </c>
    </row>
    <row r="497" spans="3:31" x14ac:dyDescent="0.25">
      <c r="C497" s="201"/>
      <c r="E497" s="201"/>
      <c r="F497" s="201"/>
      <c r="I497" s="198" t="s">
        <v>843</v>
      </c>
      <c r="J497" s="198" t="s">
        <v>137</v>
      </c>
      <c r="K497" s="202">
        <f t="shared" si="7"/>
        <v>258059.99999999951</v>
      </c>
      <c r="L497" s="202">
        <v>50.599999999999902</v>
      </c>
      <c r="N497" s="202">
        <v>6261925</v>
      </c>
      <c r="S497" s="204"/>
      <c r="W497" s="198" t="s">
        <v>51</v>
      </c>
      <c r="AE497" s="198" t="s">
        <v>844</v>
      </c>
    </row>
    <row r="498" spans="3:31" x14ac:dyDescent="0.25">
      <c r="C498" s="201"/>
      <c r="E498" s="201"/>
      <c r="F498" s="201"/>
      <c r="I498" s="198" t="s">
        <v>843</v>
      </c>
      <c r="J498" s="198" t="s">
        <v>137</v>
      </c>
      <c r="K498" s="202">
        <f t="shared" si="7"/>
        <v>258569.99999999951</v>
      </c>
      <c r="L498" s="202">
        <v>50.699999999999903</v>
      </c>
      <c r="N498" s="202">
        <v>6275700</v>
      </c>
      <c r="S498" s="204"/>
      <c r="W498" s="198" t="s">
        <v>51</v>
      </c>
      <c r="AE498" s="198" t="s">
        <v>844</v>
      </c>
    </row>
    <row r="499" spans="3:31" x14ac:dyDescent="0.25">
      <c r="C499" s="201"/>
      <c r="E499" s="201"/>
      <c r="F499" s="201"/>
      <c r="I499" s="198" t="s">
        <v>843</v>
      </c>
      <c r="J499" s="198" t="s">
        <v>137</v>
      </c>
      <c r="K499" s="202">
        <f t="shared" si="7"/>
        <v>259079.99999999948</v>
      </c>
      <c r="L499" s="202">
        <v>50.799999999999898</v>
      </c>
      <c r="N499" s="202">
        <v>6249100</v>
      </c>
      <c r="S499" s="204"/>
      <c r="W499" s="198" t="s">
        <v>51</v>
      </c>
      <c r="AE499" s="198" t="s">
        <v>844</v>
      </c>
    </row>
    <row r="500" spans="3:31" x14ac:dyDescent="0.25">
      <c r="C500" s="201"/>
      <c r="E500" s="201"/>
      <c r="F500" s="201"/>
      <c r="I500" s="198" t="s">
        <v>845</v>
      </c>
      <c r="J500" s="198" t="s">
        <v>137</v>
      </c>
      <c r="K500" s="202">
        <f t="shared" si="7"/>
        <v>259589.99999999948</v>
      </c>
      <c r="L500" s="202">
        <v>50.899999999999899</v>
      </c>
      <c r="N500" s="202">
        <v>7122067.3200000003</v>
      </c>
      <c r="S500" s="204"/>
      <c r="W500" s="198" t="s">
        <v>51</v>
      </c>
      <c r="AE500" s="198" t="s">
        <v>844</v>
      </c>
    </row>
    <row r="501" spans="3:31" x14ac:dyDescent="0.25">
      <c r="C501" s="201"/>
      <c r="E501" s="201"/>
      <c r="F501" s="201"/>
      <c r="I501" s="198" t="s">
        <v>845</v>
      </c>
      <c r="J501" s="198" t="s">
        <v>137</v>
      </c>
      <c r="K501" s="202">
        <f t="shared" si="7"/>
        <v>260099.99999999951</v>
      </c>
      <c r="L501" s="202">
        <v>50.999999999999901</v>
      </c>
      <c r="N501" s="202">
        <v>4424530.8</v>
      </c>
      <c r="S501" s="204"/>
      <c r="W501" s="198" t="s">
        <v>51</v>
      </c>
      <c r="AE501" s="198" t="s">
        <v>844</v>
      </c>
    </row>
    <row r="502" spans="3:31" x14ac:dyDescent="0.25">
      <c r="C502" s="201"/>
      <c r="E502" s="201"/>
      <c r="F502" s="201"/>
      <c r="I502" s="198" t="s">
        <v>845</v>
      </c>
      <c r="J502" s="198" t="s">
        <v>137</v>
      </c>
      <c r="K502" s="202">
        <f t="shared" si="7"/>
        <v>260609.99999999951</v>
      </c>
      <c r="L502" s="202">
        <v>51.099999999999902</v>
      </c>
      <c r="N502" s="202">
        <v>2683263.84</v>
      </c>
      <c r="S502" s="204"/>
      <c r="W502" s="198" t="s">
        <v>51</v>
      </c>
      <c r="AE502" s="198" t="s">
        <v>844</v>
      </c>
    </row>
    <row r="503" spans="3:31" x14ac:dyDescent="0.25">
      <c r="C503" s="201"/>
      <c r="E503" s="201"/>
      <c r="F503" s="201"/>
      <c r="I503" s="198" t="s">
        <v>583</v>
      </c>
      <c r="J503" s="198" t="s">
        <v>134</v>
      </c>
      <c r="K503" s="202">
        <f t="shared" si="7"/>
        <v>261119.99999999951</v>
      </c>
      <c r="L503" s="202">
        <v>51.199999999999903</v>
      </c>
      <c r="N503" s="202">
        <v>5289600</v>
      </c>
      <c r="S503" s="204"/>
      <c r="W503" s="198" t="s">
        <v>51</v>
      </c>
      <c r="AE503" s="198" t="s">
        <v>846</v>
      </c>
    </row>
    <row r="504" spans="3:31" x14ac:dyDescent="0.25">
      <c r="C504" s="201"/>
      <c r="E504" s="201"/>
      <c r="F504" s="201"/>
      <c r="I504" s="198" t="s">
        <v>583</v>
      </c>
      <c r="J504" s="198" t="s">
        <v>134</v>
      </c>
      <c r="K504" s="202">
        <f t="shared" si="7"/>
        <v>261629.99999999948</v>
      </c>
      <c r="L504" s="202">
        <v>51.299999999999898</v>
      </c>
      <c r="N504" s="202">
        <v>5297675</v>
      </c>
      <c r="S504" s="204"/>
      <c r="W504" s="198" t="s">
        <v>51</v>
      </c>
      <c r="AE504" s="198" t="s">
        <v>846</v>
      </c>
    </row>
    <row r="505" spans="3:31" x14ac:dyDescent="0.25">
      <c r="C505" s="201"/>
      <c r="E505" s="201"/>
      <c r="F505" s="201"/>
      <c r="I505" s="198" t="s">
        <v>583</v>
      </c>
      <c r="J505" s="198" t="s">
        <v>134</v>
      </c>
      <c r="K505" s="202">
        <f t="shared" si="7"/>
        <v>262139.99999999948</v>
      </c>
      <c r="L505" s="202">
        <v>51.399999999999899</v>
      </c>
      <c r="N505" s="202">
        <v>5269175</v>
      </c>
      <c r="S505" s="204"/>
      <c r="W505" s="198" t="s">
        <v>51</v>
      </c>
      <c r="AE505" s="198" t="s">
        <v>846</v>
      </c>
    </row>
    <row r="506" spans="3:31" x14ac:dyDescent="0.25">
      <c r="C506" s="201"/>
      <c r="E506" s="201"/>
      <c r="F506" s="201"/>
      <c r="I506" s="198" t="s">
        <v>583</v>
      </c>
      <c r="J506" s="198" t="s">
        <v>134</v>
      </c>
      <c r="K506" s="202">
        <f t="shared" si="7"/>
        <v>262649.99999999948</v>
      </c>
      <c r="L506" s="202">
        <v>51.499999999999901</v>
      </c>
      <c r="N506" s="202">
        <v>4791800</v>
      </c>
      <c r="S506" s="204"/>
      <c r="W506" s="198" t="s">
        <v>51</v>
      </c>
      <c r="AE506" s="198" t="s">
        <v>846</v>
      </c>
    </row>
    <row r="507" spans="3:31" x14ac:dyDescent="0.25">
      <c r="C507" s="201"/>
      <c r="E507" s="201"/>
      <c r="F507" s="201"/>
      <c r="I507" s="198" t="s">
        <v>583</v>
      </c>
      <c r="J507" s="198" t="s">
        <v>134</v>
      </c>
      <c r="K507" s="202">
        <f t="shared" si="7"/>
        <v>263159.99999999948</v>
      </c>
      <c r="L507" s="202">
        <v>51.599999999999902</v>
      </c>
      <c r="N507" s="202">
        <v>4797500</v>
      </c>
      <c r="S507" s="204"/>
      <c r="W507" s="198" t="s">
        <v>51</v>
      </c>
      <c r="AE507" s="198" t="s">
        <v>846</v>
      </c>
    </row>
    <row r="508" spans="3:31" x14ac:dyDescent="0.25">
      <c r="C508" s="201"/>
      <c r="E508" s="201"/>
      <c r="F508" s="201"/>
      <c r="I508" s="198" t="s">
        <v>583</v>
      </c>
      <c r="J508" s="198" t="s">
        <v>134</v>
      </c>
      <c r="K508" s="202">
        <f t="shared" si="7"/>
        <v>263669.99999999953</v>
      </c>
      <c r="L508" s="202">
        <v>51.699999999999903</v>
      </c>
      <c r="N508" s="202">
        <v>4793225</v>
      </c>
      <c r="S508" s="204"/>
      <c r="W508" s="198" t="s">
        <v>51</v>
      </c>
      <c r="AE508" s="198" t="s">
        <v>846</v>
      </c>
    </row>
    <row r="509" spans="3:31" x14ac:dyDescent="0.25">
      <c r="C509" s="201"/>
      <c r="E509" s="201"/>
      <c r="F509" s="201"/>
      <c r="I509" s="198" t="s">
        <v>583</v>
      </c>
      <c r="J509" s="198" t="s">
        <v>134</v>
      </c>
      <c r="K509" s="202">
        <f t="shared" si="7"/>
        <v>264179.99999999948</v>
      </c>
      <c r="L509" s="202">
        <v>51.799999999999898</v>
      </c>
      <c r="N509" s="202">
        <v>4792275</v>
      </c>
      <c r="S509" s="204"/>
      <c r="W509" s="198" t="s">
        <v>51</v>
      </c>
      <c r="AE509" s="198" t="s">
        <v>846</v>
      </c>
    </row>
    <row r="510" spans="3:31" x14ac:dyDescent="0.25">
      <c r="C510" s="201"/>
      <c r="E510" s="201"/>
      <c r="F510" s="201"/>
      <c r="I510" s="198" t="s">
        <v>583</v>
      </c>
      <c r="J510" s="198" t="s">
        <v>134</v>
      </c>
      <c r="K510" s="202">
        <f t="shared" si="7"/>
        <v>264689.99999999948</v>
      </c>
      <c r="L510" s="202">
        <v>51.899999999999899</v>
      </c>
      <c r="N510" s="202">
        <v>5289600</v>
      </c>
      <c r="S510" s="204"/>
      <c r="W510" s="198" t="s">
        <v>51</v>
      </c>
      <c r="AE510" s="198" t="s">
        <v>846</v>
      </c>
    </row>
    <row r="511" spans="3:31" x14ac:dyDescent="0.25">
      <c r="C511" s="201"/>
      <c r="E511" s="201"/>
      <c r="F511" s="201"/>
      <c r="I511" s="198" t="s">
        <v>583</v>
      </c>
      <c r="J511" s="198" t="s">
        <v>134</v>
      </c>
      <c r="K511" s="202">
        <f t="shared" si="7"/>
        <v>265199.99999999948</v>
      </c>
      <c r="L511" s="202">
        <v>51.999999999999901</v>
      </c>
      <c r="N511" s="202">
        <v>4815550</v>
      </c>
      <c r="S511" s="204"/>
      <c r="W511" s="198" t="s">
        <v>51</v>
      </c>
      <c r="AE511" s="198" t="s">
        <v>846</v>
      </c>
    </row>
    <row r="512" spans="3:31" x14ac:dyDescent="0.25">
      <c r="C512" s="201"/>
      <c r="E512" s="201"/>
      <c r="F512" s="201"/>
      <c r="I512" s="198" t="s">
        <v>583</v>
      </c>
      <c r="J512" s="198" t="s">
        <v>134</v>
      </c>
      <c r="K512" s="202">
        <f t="shared" si="7"/>
        <v>265709.99999999948</v>
      </c>
      <c r="L512" s="202">
        <v>52.099999999999902</v>
      </c>
      <c r="N512" s="202">
        <v>4798925</v>
      </c>
      <c r="S512" s="204"/>
      <c r="W512" s="198" t="s">
        <v>51</v>
      </c>
      <c r="AE512" s="198" t="s">
        <v>846</v>
      </c>
    </row>
    <row r="513" spans="3:31" x14ac:dyDescent="0.25">
      <c r="C513" s="201"/>
      <c r="E513" s="201"/>
      <c r="F513" s="201"/>
      <c r="I513" s="198" t="s">
        <v>583</v>
      </c>
      <c r="J513" s="198" t="s">
        <v>134</v>
      </c>
      <c r="K513" s="202">
        <f t="shared" si="7"/>
        <v>266219.99999999953</v>
      </c>
      <c r="L513" s="202">
        <v>52.199999999999903</v>
      </c>
      <c r="N513" s="202">
        <v>4802250</v>
      </c>
      <c r="S513" s="204"/>
      <c r="W513" s="198" t="s">
        <v>51</v>
      </c>
      <c r="AE513" s="198" t="s">
        <v>846</v>
      </c>
    </row>
    <row r="514" spans="3:31" x14ac:dyDescent="0.25">
      <c r="C514" s="201"/>
      <c r="E514" s="201"/>
      <c r="F514" s="201"/>
      <c r="I514" s="198" t="s">
        <v>583</v>
      </c>
      <c r="J514" s="198" t="s">
        <v>134</v>
      </c>
      <c r="K514" s="202">
        <f t="shared" si="7"/>
        <v>266729.99999999948</v>
      </c>
      <c r="L514" s="202">
        <v>52.299999999999898</v>
      </c>
      <c r="N514" s="202">
        <v>5270600</v>
      </c>
      <c r="S514" s="204"/>
      <c r="W514" s="198" t="s">
        <v>51</v>
      </c>
      <c r="AE514" s="198" t="s">
        <v>846</v>
      </c>
    </row>
    <row r="515" spans="3:31" x14ac:dyDescent="0.25">
      <c r="C515" s="201"/>
      <c r="E515" s="201"/>
      <c r="F515" s="201"/>
      <c r="I515" s="198" t="s">
        <v>724</v>
      </c>
      <c r="J515" s="198" t="s">
        <v>156</v>
      </c>
      <c r="K515" s="202">
        <f t="shared" ref="K515:K578" si="8">L515*5100</f>
        <v>267239.99999999948</v>
      </c>
      <c r="L515" s="202">
        <v>52.399999999999899</v>
      </c>
      <c r="N515" s="202">
        <v>892500</v>
      </c>
      <c r="S515" s="203"/>
      <c r="W515" s="198" t="s">
        <v>51</v>
      </c>
      <c r="AE515" s="198" t="s">
        <v>828</v>
      </c>
    </row>
    <row r="516" spans="3:31" x14ac:dyDescent="0.25">
      <c r="C516" s="201"/>
      <c r="E516" s="201"/>
      <c r="F516" s="201"/>
      <c r="I516" s="198" t="s">
        <v>740</v>
      </c>
      <c r="J516" s="198" t="s">
        <v>153</v>
      </c>
      <c r="K516" s="202">
        <f t="shared" si="8"/>
        <v>267749.99999999948</v>
      </c>
      <c r="L516" s="202">
        <v>52.499999999999901</v>
      </c>
      <c r="N516" s="202">
        <v>468500</v>
      </c>
      <c r="S516" s="203"/>
      <c r="W516" s="198" t="s">
        <v>51</v>
      </c>
      <c r="AE516" s="198" t="s">
        <v>1768</v>
      </c>
    </row>
    <row r="517" spans="3:31" x14ac:dyDescent="0.25">
      <c r="C517" s="201"/>
      <c r="E517" s="201"/>
      <c r="F517" s="201"/>
      <c r="I517" s="198" t="s">
        <v>194</v>
      </c>
      <c r="J517" s="198" t="s">
        <v>156</v>
      </c>
      <c r="K517" s="202">
        <f t="shared" si="8"/>
        <v>268259.99999999948</v>
      </c>
      <c r="L517" s="202">
        <v>52.599999999999902</v>
      </c>
      <c r="N517" s="202">
        <v>468500</v>
      </c>
      <c r="S517" s="203"/>
      <c r="W517" s="198" t="s">
        <v>51</v>
      </c>
      <c r="AE517" s="198" t="s">
        <v>828</v>
      </c>
    </row>
    <row r="518" spans="3:31" x14ac:dyDescent="0.25">
      <c r="C518" s="201"/>
      <c r="E518" s="201"/>
      <c r="F518" s="201"/>
      <c r="I518" s="198" t="s">
        <v>239</v>
      </c>
      <c r="J518" s="198" t="s">
        <v>148</v>
      </c>
      <c r="K518" s="202">
        <f t="shared" si="8"/>
        <v>268769.99999999953</v>
      </c>
      <c r="L518" s="202">
        <v>52.699999999999903</v>
      </c>
      <c r="N518" s="202">
        <v>468500</v>
      </c>
      <c r="S518" s="203"/>
      <c r="W518" s="198" t="s">
        <v>51</v>
      </c>
      <c r="AE518" s="198" t="s">
        <v>828</v>
      </c>
    </row>
    <row r="519" spans="3:31" x14ac:dyDescent="0.25">
      <c r="C519" s="201"/>
      <c r="E519" s="201"/>
      <c r="F519" s="201"/>
      <c r="I519" s="198" t="s">
        <v>741</v>
      </c>
      <c r="J519" s="198" t="s">
        <v>274</v>
      </c>
      <c r="K519" s="202">
        <f t="shared" si="8"/>
        <v>269279.99999999948</v>
      </c>
      <c r="L519" s="202">
        <v>52.799999999999898</v>
      </c>
      <c r="N519" s="202">
        <v>468500</v>
      </c>
      <c r="S519" s="203"/>
      <c r="W519" s="198" t="s">
        <v>51</v>
      </c>
      <c r="AE519" s="198" t="s">
        <v>1767</v>
      </c>
    </row>
    <row r="520" spans="3:31" x14ac:dyDescent="0.25">
      <c r="C520" s="201"/>
      <c r="E520" s="201"/>
      <c r="F520" s="201"/>
      <c r="I520" s="198" t="s">
        <v>845</v>
      </c>
      <c r="J520" s="198" t="s">
        <v>137</v>
      </c>
      <c r="K520" s="202">
        <f t="shared" si="8"/>
        <v>269789.99999999948</v>
      </c>
      <c r="L520" s="202">
        <v>52.899999999999899</v>
      </c>
      <c r="N520" s="202">
        <v>0.39</v>
      </c>
      <c r="S520" s="204"/>
      <c r="W520" s="198" t="s">
        <v>51</v>
      </c>
      <c r="AE520" s="198" t="s">
        <v>844</v>
      </c>
    </row>
    <row r="521" spans="3:31" x14ac:dyDescent="0.25">
      <c r="C521" s="201"/>
      <c r="E521" s="201"/>
      <c r="F521" s="201"/>
      <c r="I521" s="198" t="s">
        <v>202</v>
      </c>
      <c r="J521" s="198" t="s">
        <v>65</v>
      </c>
      <c r="K521" s="202">
        <f t="shared" si="8"/>
        <v>270299.99999999948</v>
      </c>
      <c r="L521" s="202">
        <v>52.999999999999901</v>
      </c>
      <c r="N521" s="202">
        <v>354290</v>
      </c>
      <c r="S521" s="204"/>
      <c r="W521" s="198" t="s">
        <v>51</v>
      </c>
      <c r="AE521" s="198" t="s">
        <v>831</v>
      </c>
    </row>
    <row r="522" spans="3:31" x14ac:dyDescent="0.25">
      <c r="C522" s="201"/>
      <c r="E522" s="201"/>
      <c r="F522" s="201"/>
      <c r="I522" s="198" t="s">
        <v>202</v>
      </c>
      <c r="J522" s="198" t="s">
        <v>65</v>
      </c>
      <c r="K522" s="202">
        <f t="shared" si="8"/>
        <v>270809.99999999948</v>
      </c>
      <c r="L522" s="202">
        <v>53.099999999999902</v>
      </c>
      <c r="N522" s="202">
        <v>-354290</v>
      </c>
      <c r="S522" s="204"/>
      <c r="W522" s="198" t="s">
        <v>51</v>
      </c>
      <c r="AE522" s="198" t="s">
        <v>831</v>
      </c>
    </row>
    <row r="523" spans="3:31" x14ac:dyDescent="0.25">
      <c r="C523" s="201"/>
      <c r="E523" s="201"/>
      <c r="F523" s="201"/>
      <c r="I523" s="198" t="s">
        <v>733</v>
      </c>
      <c r="J523" s="198" t="s">
        <v>95</v>
      </c>
      <c r="K523" s="202">
        <f t="shared" si="8"/>
        <v>271319.99999999953</v>
      </c>
      <c r="L523" s="202">
        <v>53.199999999999903</v>
      </c>
      <c r="N523" s="202">
        <v>328725</v>
      </c>
      <c r="S523" s="203"/>
      <c r="W523" s="198" t="s">
        <v>51</v>
      </c>
      <c r="AE523" s="198" t="s">
        <v>831</v>
      </c>
    </row>
    <row r="524" spans="3:31" x14ac:dyDescent="0.25">
      <c r="C524" s="201"/>
      <c r="E524" s="201"/>
      <c r="F524" s="201"/>
      <c r="I524" s="198" t="s">
        <v>733</v>
      </c>
      <c r="J524" s="198" t="s">
        <v>95</v>
      </c>
      <c r="K524" s="202">
        <f t="shared" si="8"/>
        <v>271829.99999999948</v>
      </c>
      <c r="L524" s="202">
        <v>53.299999999999898</v>
      </c>
      <c r="N524" s="202">
        <v>179622.3</v>
      </c>
      <c r="S524" s="203"/>
      <c r="W524" s="198" t="s">
        <v>51</v>
      </c>
      <c r="AE524" s="198" t="s">
        <v>831</v>
      </c>
    </row>
    <row r="525" spans="3:31" x14ac:dyDescent="0.25">
      <c r="C525" s="201"/>
      <c r="E525" s="201"/>
      <c r="F525" s="201"/>
      <c r="I525" s="198" t="s">
        <v>733</v>
      </c>
      <c r="J525" s="198" t="s">
        <v>95</v>
      </c>
      <c r="K525" s="202">
        <f t="shared" si="8"/>
        <v>272339.99999999948</v>
      </c>
      <c r="L525" s="202">
        <v>53.399999999999899</v>
      </c>
      <c r="N525" s="202">
        <v>1165647.45</v>
      </c>
      <c r="S525" s="203"/>
      <c r="W525" s="198" t="s">
        <v>51</v>
      </c>
      <c r="AE525" s="198" t="s">
        <v>831</v>
      </c>
    </row>
    <row r="526" spans="3:31" x14ac:dyDescent="0.25">
      <c r="C526" s="201"/>
      <c r="E526" s="201"/>
      <c r="F526" s="201"/>
      <c r="I526" s="198" t="s">
        <v>733</v>
      </c>
      <c r="J526" s="198" t="s">
        <v>95</v>
      </c>
      <c r="K526" s="202">
        <f t="shared" si="8"/>
        <v>272849.99999999948</v>
      </c>
      <c r="L526" s="202">
        <v>53.499999999999901</v>
      </c>
      <c r="N526" s="202">
        <v>168087.11</v>
      </c>
      <c r="S526" s="203"/>
      <c r="W526" s="198" t="s">
        <v>51</v>
      </c>
      <c r="AE526" s="198" t="s">
        <v>831</v>
      </c>
    </row>
    <row r="527" spans="3:31" x14ac:dyDescent="0.25">
      <c r="C527" s="201"/>
      <c r="E527" s="201"/>
      <c r="F527" s="201"/>
      <c r="I527" s="198" t="s">
        <v>733</v>
      </c>
      <c r="J527" s="198" t="s">
        <v>95</v>
      </c>
      <c r="K527" s="202">
        <f t="shared" si="8"/>
        <v>273359.99999999948</v>
      </c>
      <c r="L527" s="202">
        <v>53.599999999999902</v>
      </c>
      <c r="N527" s="202">
        <v>438300</v>
      </c>
      <c r="S527" s="204"/>
      <c r="W527" s="198" t="s">
        <v>51</v>
      </c>
      <c r="AE527" s="198" t="s">
        <v>831</v>
      </c>
    </row>
    <row r="528" spans="3:31" x14ac:dyDescent="0.25">
      <c r="C528" s="201"/>
      <c r="E528" s="201"/>
      <c r="F528" s="201"/>
      <c r="I528" s="198" t="s">
        <v>734</v>
      </c>
      <c r="J528" s="198" t="s">
        <v>95</v>
      </c>
      <c r="K528" s="202">
        <f t="shared" si="8"/>
        <v>273869.99999999953</v>
      </c>
      <c r="L528" s="202">
        <v>53.699999999999903</v>
      </c>
      <c r="N528" s="202">
        <v>440748</v>
      </c>
      <c r="S528" s="203"/>
      <c r="W528" s="198" t="s">
        <v>51</v>
      </c>
      <c r="AE528" s="198" t="s">
        <v>831</v>
      </c>
    </row>
    <row r="529" spans="3:31" x14ac:dyDescent="0.25">
      <c r="C529" s="201"/>
      <c r="E529" s="201"/>
      <c r="F529" s="201"/>
      <c r="I529" s="198" t="s">
        <v>219</v>
      </c>
      <c r="J529" s="198" t="s">
        <v>95</v>
      </c>
      <c r="K529" s="202">
        <f t="shared" si="8"/>
        <v>274379.99999999948</v>
      </c>
      <c r="L529" s="202">
        <v>53.799999999999898</v>
      </c>
      <c r="N529" s="202">
        <v>3490872</v>
      </c>
      <c r="S529" s="203"/>
      <c r="W529" s="198" t="s">
        <v>51</v>
      </c>
      <c r="AE529" s="198" t="s">
        <v>831</v>
      </c>
    </row>
    <row r="530" spans="3:31" x14ac:dyDescent="0.25">
      <c r="C530" s="201"/>
      <c r="E530" s="201"/>
      <c r="F530" s="201"/>
      <c r="I530" s="198" t="s">
        <v>91</v>
      </c>
      <c r="J530" s="198" t="s">
        <v>95</v>
      </c>
      <c r="K530" s="202">
        <f t="shared" si="8"/>
        <v>274889.99999999948</v>
      </c>
      <c r="L530" s="202">
        <v>53.899999999999899</v>
      </c>
      <c r="N530" s="202">
        <v>1182258</v>
      </c>
      <c r="S530" s="203"/>
      <c r="W530" s="198" t="s">
        <v>51</v>
      </c>
      <c r="AE530" s="198" t="s">
        <v>831</v>
      </c>
    </row>
    <row r="531" spans="3:31" x14ac:dyDescent="0.25">
      <c r="C531" s="201"/>
      <c r="E531" s="201"/>
      <c r="F531" s="201"/>
      <c r="I531" s="198" t="s">
        <v>555</v>
      </c>
      <c r="J531" s="198" t="s">
        <v>132</v>
      </c>
      <c r="K531" s="202">
        <f t="shared" si="8"/>
        <v>275399.99999999948</v>
      </c>
      <c r="L531" s="202">
        <v>53.999999999999901</v>
      </c>
      <c r="N531" s="202">
        <v>986852.59</v>
      </c>
      <c r="S531" s="204"/>
      <c r="W531" s="198" t="s">
        <v>51</v>
      </c>
      <c r="AE531" s="198" t="s">
        <v>833</v>
      </c>
    </row>
    <row r="532" spans="3:31" x14ac:dyDescent="0.25">
      <c r="C532" s="201"/>
      <c r="E532" s="201"/>
      <c r="F532" s="201"/>
      <c r="I532" s="198" t="s">
        <v>845</v>
      </c>
      <c r="J532" s="198" t="s">
        <v>137</v>
      </c>
      <c r="K532" s="202">
        <f t="shared" si="8"/>
        <v>275909.99999999948</v>
      </c>
      <c r="L532" s="202">
        <v>54.099999999999902</v>
      </c>
      <c r="N532" s="202">
        <v>6862780.2999999998</v>
      </c>
      <c r="S532" s="204"/>
      <c r="W532" s="198" t="s">
        <v>51</v>
      </c>
      <c r="AE532" s="198" t="s">
        <v>844</v>
      </c>
    </row>
    <row r="533" spans="3:31" x14ac:dyDescent="0.25">
      <c r="C533" s="201"/>
      <c r="E533" s="201"/>
      <c r="F533" s="201"/>
      <c r="I533" s="198" t="s">
        <v>843</v>
      </c>
      <c r="J533" s="198" t="s">
        <v>137</v>
      </c>
      <c r="K533" s="202">
        <f t="shared" si="8"/>
        <v>276419.99999999953</v>
      </c>
      <c r="L533" s="202">
        <v>54.199999999999903</v>
      </c>
      <c r="N533" s="202">
        <v>6271900</v>
      </c>
      <c r="S533" s="204"/>
      <c r="W533" s="198" t="s">
        <v>51</v>
      </c>
      <c r="AE533" s="198" t="s">
        <v>844</v>
      </c>
    </row>
    <row r="534" spans="3:31" x14ac:dyDescent="0.25">
      <c r="C534" s="201"/>
      <c r="E534" s="201"/>
      <c r="F534" s="201"/>
      <c r="I534" s="198" t="s">
        <v>536</v>
      </c>
      <c r="J534" s="198" t="s">
        <v>126</v>
      </c>
      <c r="K534" s="202">
        <f t="shared" si="8"/>
        <v>276929.99999999948</v>
      </c>
      <c r="L534" s="202">
        <v>54.299999999999898</v>
      </c>
      <c r="N534" s="202">
        <v>1034992.96</v>
      </c>
      <c r="S534" s="204"/>
      <c r="W534" s="198" t="s">
        <v>51</v>
      </c>
      <c r="AE534" s="198" t="s">
        <v>835</v>
      </c>
    </row>
    <row r="535" spans="3:31" x14ac:dyDescent="0.25">
      <c r="C535" s="201"/>
      <c r="E535" s="201"/>
      <c r="F535" s="201"/>
      <c r="I535" s="198" t="s">
        <v>843</v>
      </c>
      <c r="J535" s="198" t="s">
        <v>137</v>
      </c>
      <c r="K535" s="202">
        <f t="shared" si="8"/>
        <v>277439.99999999948</v>
      </c>
      <c r="L535" s="202">
        <v>54.399999999999899</v>
      </c>
      <c r="N535" s="202">
        <v>4330575</v>
      </c>
      <c r="S535" s="204"/>
      <c r="W535" s="198" t="s">
        <v>51</v>
      </c>
      <c r="AE535" s="198" t="s">
        <v>844</v>
      </c>
    </row>
    <row r="536" spans="3:31" x14ac:dyDescent="0.25">
      <c r="C536" s="201"/>
      <c r="E536" s="201"/>
      <c r="F536" s="201"/>
      <c r="I536" s="198" t="s">
        <v>843</v>
      </c>
      <c r="J536" s="198" t="s">
        <v>137</v>
      </c>
      <c r="K536" s="202">
        <f t="shared" si="8"/>
        <v>277949.99999999948</v>
      </c>
      <c r="L536" s="202">
        <v>54.499999999999901</v>
      </c>
      <c r="N536" s="202">
        <v>6270475</v>
      </c>
      <c r="S536" s="204"/>
      <c r="W536" s="198" t="s">
        <v>51</v>
      </c>
      <c r="AE536" s="198" t="s">
        <v>844</v>
      </c>
    </row>
    <row r="537" spans="3:31" x14ac:dyDescent="0.25">
      <c r="C537" s="201"/>
      <c r="E537" s="201"/>
      <c r="F537" s="201"/>
      <c r="I537" s="198" t="s">
        <v>845</v>
      </c>
      <c r="J537" s="198" t="s">
        <v>137</v>
      </c>
      <c r="K537" s="202">
        <f t="shared" si="8"/>
        <v>278459.99999999948</v>
      </c>
      <c r="L537" s="202">
        <v>54.599999999999902</v>
      </c>
      <c r="N537" s="202">
        <v>7122067.3200000003</v>
      </c>
      <c r="S537" s="204"/>
      <c r="W537" s="198" t="s">
        <v>51</v>
      </c>
      <c r="AE537" s="198" t="s">
        <v>844</v>
      </c>
    </row>
    <row r="538" spans="3:31" x14ac:dyDescent="0.25">
      <c r="C538" s="201"/>
      <c r="E538" s="201"/>
      <c r="F538" s="201"/>
      <c r="I538" s="198" t="s">
        <v>845</v>
      </c>
      <c r="J538" s="198" t="s">
        <v>137</v>
      </c>
      <c r="K538" s="202">
        <f t="shared" si="8"/>
        <v>278969.99999999953</v>
      </c>
      <c r="L538" s="202">
        <v>54.699999999999903</v>
      </c>
      <c r="N538" s="202">
        <v>7124446.0999999996</v>
      </c>
      <c r="S538" s="204"/>
      <c r="W538" s="198" t="s">
        <v>51</v>
      </c>
      <c r="AE538" s="198" t="s">
        <v>844</v>
      </c>
    </row>
    <row r="539" spans="3:31" x14ac:dyDescent="0.25">
      <c r="C539" s="201"/>
      <c r="E539" s="201"/>
      <c r="F539" s="201"/>
      <c r="I539" s="198" t="s">
        <v>843</v>
      </c>
      <c r="J539" s="198" t="s">
        <v>137</v>
      </c>
      <c r="K539" s="202">
        <f t="shared" si="8"/>
        <v>279479.99999999948</v>
      </c>
      <c r="L539" s="202">
        <v>54.799999999999898</v>
      </c>
      <c r="N539" s="202">
        <v>6262875</v>
      </c>
      <c r="S539" s="204"/>
      <c r="W539" s="198" t="s">
        <v>51</v>
      </c>
      <c r="AE539" s="198" t="s">
        <v>844</v>
      </c>
    </row>
    <row r="540" spans="3:31" x14ac:dyDescent="0.25">
      <c r="C540" s="201"/>
      <c r="E540" s="201"/>
      <c r="F540" s="201"/>
      <c r="I540" s="198" t="s">
        <v>845</v>
      </c>
      <c r="J540" s="198" t="s">
        <v>137</v>
      </c>
      <c r="K540" s="202">
        <f t="shared" si="8"/>
        <v>279989.99999999948</v>
      </c>
      <c r="L540" s="202">
        <v>54.899999999999899</v>
      </c>
      <c r="N540" s="202">
        <v>7114930.9800000004</v>
      </c>
      <c r="S540" s="204"/>
      <c r="W540" s="198" t="s">
        <v>51</v>
      </c>
      <c r="AE540" s="198" t="s">
        <v>844</v>
      </c>
    </row>
    <row r="541" spans="3:31" x14ac:dyDescent="0.25">
      <c r="C541" s="201"/>
      <c r="E541" s="201"/>
      <c r="F541" s="201"/>
      <c r="I541" s="198" t="s">
        <v>845</v>
      </c>
      <c r="J541" s="198" t="s">
        <v>137</v>
      </c>
      <c r="K541" s="202">
        <f t="shared" si="8"/>
        <v>280499.99999999948</v>
      </c>
      <c r="L541" s="202">
        <v>54.999999999999901</v>
      </c>
      <c r="N541" s="202">
        <v>7119688.54</v>
      </c>
      <c r="S541" s="204"/>
      <c r="W541" s="198" t="s">
        <v>51</v>
      </c>
      <c r="AE541" s="198" t="s">
        <v>844</v>
      </c>
    </row>
    <row r="542" spans="3:31" x14ac:dyDescent="0.25">
      <c r="C542" s="201"/>
      <c r="E542" s="201"/>
      <c r="F542" s="201"/>
      <c r="I542" s="198" t="s">
        <v>843</v>
      </c>
      <c r="J542" s="198" t="s">
        <v>137</v>
      </c>
      <c r="K542" s="202">
        <f t="shared" si="8"/>
        <v>281009.99999999948</v>
      </c>
      <c r="L542" s="202">
        <v>55.099999999999902</v>
      </c>
      <c r="N542" s="202">
        <v>6264775</v>
      </c>
      <c r="S542" s="204"/>
      <c r="W542" s="198" t="s">
        <v>51</v>
      </c>
      <c r="AE542" s="198" t="s">
        <v>844</v>
      </c>
    </row>
    <row r="543" spans="3:31" x14ac:dyDescent="0.25">
      <c r="C543" s="201"/>
      <c r="E543" s="201"/>
      <c r="F543" s="201"/>
      <c r="I543" s="198" t="s">
        <v>845</v>
      </c>
      <c r="J543" s="198" t="s">
        <v>137</v>
      </c>
      <c r="K543" s="202">
        <f t="shared" si="8"/>
        <v>281519.99999999953</v>
      </c>
      <c r="L543" s="202">
        <v>55.199999999999903</v>
      </c>
      <c r="N543" s="202">
        <v>7164885.3600000003</v>
      </c>
      <c r="S543" s="204"/>
      <c r="W543" s="198" t="s">
        <v>51</v>
      </c>
      <c r="AE543" s="198" t="s">
        <v>844</v>
      </c>
    </row>
    <row r="544" spans="3:31" x14ac:dyDescent="0.25">
      <c r="C544" s="201"/>
      <c r="E544" s="201"/>
      <c r="F544" s="201"/>
      <c r="I544" s="198" t="s">
        <v>845</v>
      </c>
      <c r="J544" s="198" t="s">
        <v>137</v>
      </c>
      <c r="K544" s="202">
        <f t="shared" si="8"/>
        <v>282029.99999999948</v>
      </c>
      <c r="L544" s="202">
        <v>55.299999999999898</v>
      </c>
      <c r="N544" s="202">
        <v>7091143.1799999997</v>
      </c>
      <c r="S544" s="204"/>
      <c r="W544" s="198" t="s">
        <v>51</v>
      </c>
      <c r="AE544" s="198" t="s">
        <v>844</v>
      </c>
    </row>
    <row r="545" spans="3:31" x14ac:dyDescent="0.25">
      <c r="C545" s="201"/>
      <c r="E545" s="201"/>
      <c r="F545" s="201"/>
      <c r="I545" s="198" t="s">
        <v>845</v>
      </c>
      <c r="J545" s="198" t="s">
        <v>137</v>
      </c>
      <c r="K545" s="202">
        <f t="shared" si="8"/>
        <v>282539.99999999948</v>
      </c>
      <c r="L545" s="202">
        <v>55.399999999999899</v>
      </c>
      <c r="N545" s="202">
        <v>7114930.9800000004</v>
      </c>
      <c r="S545" s="204"/>
      <c r="W545" s="198" t="s">
        <v>51</v>
      </c>
      <c r="AE545" s="198" t="s">
        <v>844</v>
      </c>
    </row>
    <row r="546" spans="3:31" x14ac:dyDescent="0.25">
      <c r="C546" s="201"/>
      <c r="E546" s="201"/>
      <c r="F546" s="201"/>
      <c r="I546" s="198" t="s">
        <v>554</v>
      </c>
      <c r="J546" s="198" t="s">
        <v>130</v>
      </c>
      <c r="K546" s="202">
        <f t="shared" si="8"/>
        <v>283049.99999999948</v>
      </c>
      <c r="L546" s="202">
        <v>55.499999999999901</v>
      </c>
      <c r="N546" s="202">
        <v>1132723.4099999999</v>
      </c>
      <c r="S546" s="204"/>
      <c r="W546" s="198" t="s">
        <v>51</v>
      </c>
      <c r="AE546" s="198" t="s">
        <v>833</v>
      </c>
    </row>
    <row r="547" spans="3:31" x14ac:dyDescent="0.25">
      <c r="C547" s="201"/>
      <c r="E547" s="201"/>
      <c r="F547" s="201"/>
      <c r="I547" s="198" t="s">
        <v>845</v>
      </c>
      <c r="J547" s="198" t="s">
        <v>137</v>
      </c>
      <c r="K547" s="202">
        <f t="shared" si="8"/>
        <v>283559.99999999948</v>
      </c>
      <c r="L547" s="202">
        <v>55.599999999999902</v>
      </c>
      <c r="N547" s="202">
        <v>7138718.7800000003</v>
      </c>
      <c r="S547" s="204"/>
      <c r="W547" s="198" t="s">
        <v>51</v>
      </c>
      <c r="AE547" s="198" t="s">
        <v>844</v>
      </c>
    </row>
    <row r="548" spans="3:31" x14ac:dyDescent="0.25">
      <c r="C548" s="201"/>
      <c r="E548" s="201"/>
      <c r="F548" s="201"/>
      <c r="I548" s="198" t="s">
        <v>843</v>
      </c>
      <c r="J548" s="198" t="s">
        <v>137</v>
      </c>
      <c r="K548" s="202">
        <f t="shared" si="8"/>
        <v>284069.99999999953</v>
      </c>
      <c r="L548" s="202">
        <v>55.699999999999903</v>
      </c>
      <c r="N548" s="202">
        <v>6270475</v>
      </c>
      <c r="S548" s="204"/>
      <c r="W548" s="198" t="s">
        <v>51</v>
      </c>
      <c r="AE548" s="198" t="s">
        <v>844</v>
      </c>
    </row>
    <row r="549" spans="3:31" x14ac:dyDescent="0.25">
      <c r="C549" s="201"/>
      <c r="E549" s="201"/>
      <c r="F549" s="201"/>
      <c r="I549" s="198" t="s">
        <v>843</v>
      </c>
      <c r="J549" s="198" t="s">
        <v>137</v>
      </c>
      <c r="K549" s="202">
        <f t="shared" si="8"/>
        <v>284579.99999999948</v>
      </c>
      <c r="L549" s="202">
        <v>55.799999999999898</v>
      </c>
      <c r="N549" s="202">
        <v>6274275</v>
      </c>
      <c r="S549" s="204"/>
      <c r="W549" s="198" t="s">
        <v>51</v>
      </c>
      <c r="AE549" s="198" t="s">
        <v>844</v>
      </c>
    </row>
    <row r="550" spans="3:31" x14ac:dyDescent="0.25">
      <c r="C550" s="201"/>
      <c r="E550" s="201"/>
      <c r="F550" s="201"/>
      <c r="I550" s="198" t="s">
        <v>843</v>
      </c>
      <c r="J550" s="198" t="s">
        <v>137</v>
      </c>
      <c r="K550" s="202">
        <f t="shared" si="8"/>
        <v>285089.99999999948</v>
      </c>
      <c r="L550" s="202">
        <v>55.899999999999899</v>
      </c>
      <c r="N550" s="202">
        <v>6276650</v>
      </c>
      <c r="S550" s="204"/>
      <c r="W550" s="198" t="s">
        <v>51</v>
      </c>
      <c r="AE550" s="198" t="s">
        <v>844</v>
      </c>
    </row>
    <row r="551" spans="3:31" x14ac:dyDescent="0.25">
      <c r="C551" s="201"/>
      <c r="E551" s="201"/>
      <c r="F551" s="201"/>
      <c r="I551" s="198" t="s">
        <v>843</v>
      </c>
      <c r="J551" s="198" t="s">
        <v>137</v>
      </c>
      <c r="K551" s="202">
        <f t="shared" si="8"/>
        <v>285599.99999999948</v>
      </c>
      <c r="L551" s="202">
        <v>55.999999999999901</v>
      </c>
      <c r="N551" s="202">
        <v>6270475</v>
      </c>
      <c r="S551" s="204"/>
      <c r="W551" s="198" t="s">
        <v>51</v>
      </c>
      <c r="AE551" s="198" t="s">
        <v>844</v>
      </c>
    </row>
    <row r="552" spans="3:31" x14ac:dyDescent="0.25">
      <c r="C552" s="201"/>
      <c r="E552" s="201"/>
      <c r="F552" s="201"/>
      <c r="I552" s="198" t="s">
        <v>843</v>
      </c>
      <c r="J552" s="198" t="s">
        <v>137</v>
      </c>
      <c r="K552" s="202">
        <f t="shared" si="8"/>
        <v>286109.99999999948</v>
      </c>
      <c r="L552" s="202">
        <v>56.099999999999902</v>
      </c>
      <c r="N552" s="202">
        <v>6274750</v>
      </c>
      <c r="S552" s="204"/>
      <c r="W552" s="198" t="s">
        <v>51</v>
      </c>
      <c r="AE552" s="198" t="s">
        <v>844</v>
      </c>
    </row>
    <row r="553" spans="3:31" x14ac:dyDescent="0.25">
      <c r="C553" s="201"/>
      <c r="E553" s="201"/>
      <c r="F553" s="201"/>
      <c r="I553" s="198" t="s">
        <v>843</v>
      </c>
      <c r="J553" s="198" t="s">
        <v>137</v>
      </c>
      <c r="K553" s="202">
        <f t="shared" si="8"/>
        <v>286619.99999999953</v>
      </c>
      <c r="L553" s="202">
        <v>56.199999999999903</v>
      </c>
      <c r="N553" s="202">
        <v>554800</v>
      </c>
      <c r="S553" s="204"/>
      <c r="W553" s="198" t="s">
        <v>51</v>
      </c>
      <c r="AE553" s="198" t="s">
        <v>844</v>
      </c>
    </row>
    <row r="554" spans="3:31" x14ac:dyDescent="0.25">
      <c r="C554" s="201"/>
      <c r="E554" s="201"/>
      <c r="F554" s="201"/>
      <c r="I554" s="198" t="s">
        <v>843</v>
      </c>
      <c r="J554" s="198" t="s">
        <v>137</v>
      </c>
      <c r="K554" s="202">
        <f t="shared" si="8"/>
        <v>287129.99999999948</v>
      </c>
      <c r="L554" s="202">
        <v>56.299999999999898</v>
      </c>
      <c r="N554" s="202">
        <v>5720900</v>
      </c>
      <c r="S554" s="204"/>
      <c r="W554" s="198" t="s">
        <v>51</v>
      </c>
      <c r="AE554" s="198" t="s">
        <v>844</v>
      </c>
    </row>
    <row r="555" spans="3:31" x14ac:dyDescent="0.25">
      <c r="C555" s="201"/>
      <c r="E555" s="201"/>
      <c r="F555" s="201"/>
      <c r="I555" s="198" t="s">
        <v>583</v>
      </c>
      <c r="J555" s="198" t="s">
        <v>134</v>
      </c>
      <c r="K555" s="202">
        <f t="shared" si="8"/>
        <v>287639.99999999948</v>
      </c>
      <c r="L555" s="202">
        <v>56.399999999999899</v>
      </c>
      <c r="N555" s="202">
        <v>5259200</v>
      </c>
      <c r="S555" s="204"/>
      <c r="W555" s="198" t="s">
        <v>51</v>
      </c>
      <c r="AE555" s="198" t="s">
        <v>846</v>
      </c>
    </row>
    <row r="556" spans="3:31" x14ac:dyDescent="0.25">
      <c r="C556" s="201"/>
      <c r="E556" s="201"/>
      <c r="F556" s="201"/>
      <c r="I556" s="198" t="s">
        <v>843</v>
      </c>
      <c r="J556" s="198" t="s">
        <v>137</v>
      </c>
      <c r="K556" s="202">
        <f t="shared" si="8"/>
        <v>288149.99999999948</v>
      </c>
      <c r="L556" s="202">
        <v>56.499999999999901</v>
      </c>
      <c r="N556" s="202">
        <v>6267625</v>
      </c>
      <c r="S556" s="204"/>
      <c r="W556" s="198" t="s">
        <v>51</v>
      </c>
      <c r="AE556" s="198" t="s">
        <v>844</v>
      </c>
    </row>
    <row r="557" spans="3:31" x14ac:dyDescent="0.25">
      <c r="C557" s="201"/>
      <c r="E557" s="201"/>
      <c r="F557" s="201"/>
      <c r="I557" s="198" t="s">
        <v>843</v>
      </c>
      <c r="J557" s="198" t="s">
        <v>137</v>
      </c>
      <c r="K557" s="202">
        <f t="shared" si="8"/>
        <v>288659.99999999948</v>
      </c>
      <c r="L557" s="202">
        <v>56.599999999999902</v>
      </c>
      <c r="N557" s="202">
        <v>6275700</v>
      </c>
      <c r="S557" s="204"/>
      <c r="W557" s="198" t="s">
        <v>51</v>
      </c>
      <c r="AE557" s="198" t="s">
        <v>844</v>
      </c>
    </row>
    <row r="558" spans="3:31" x14ac:dyDescent="0.25">
      <c r="C558" s="201"/>
      <c r="E558" s="201"/>
      <c r="F558" s="201"/>
      <c r="I558" s="198" t="s">
        <v>583</v>
      </c>
      <c r="J558" s="198" t="s">
        <v>134</v>
      </c>
      <c r="K558" s="202">
        <f t="shared" si="8"/>
        <v>289169.99999999953</v>
      </c>
      <c r="L558" s="202">
        <v>56.699999999999903</v>
      </c>
      <c r="N558" s="202">
        <v>5216450</v>
      </c>
      <c r="S558" s="204"/>
      <c r="W558" s="198" t="s">
        <v>51</v>
      </c>
      <c r="AE558" s="198" t="s">
        <v>846</v>
      </c>
    </row>
    <row r="559" spans="3:31" x14ac:dyDescent="0.25">
      <c r="C559" s="201"/>
      <c r="E559" s="201"/>
      <c r="F559" s="201"/>
      <c r="I559" s="198" t="s">
        <v>583</v>
      </c>
      <c r="J559" s="198" t="s">
        <v>134</v>
      </c>
      <c r="K559" s="202">
        <f t="shared" si="8"/>
        <v>289679.99999999948</v>
      </c>
      <c r="L559" s="202">
        <v>56.799999999999898</v>
      </c>
      <c r="N559" s="202">
        <v>5214075</v>
      </c>
      <c r="S559" s="204"/>
      <c r="W559" s="198" t="s">
        <v>51</v>
      </c>
      <c r="AE559" s="198" t="s">
        <v>846</v>
      </c>
    </row>
    <row r="560" spans="3:31" x14ac:dyDescent="0.25">
      <c r="C560" s="201"/>
      <c r="E560" s="201"/>
      <c r="F560" s="201"/>
      <c r="I560" s="198" t="s">
        <v>583</v>
      </c>
      <c r="J560" s="198" t="s">
        <v>134</v>
      </c>
      <c r="K560" s="202">
        <f t="shared" si="8"/>
        <v>290189.99999999948</v>
      </c>
      <c r="L560" s="202">
        <v>56.899999999999899</v>
      </c>
      <c r="N560" s="202">
        <v>5270125</v>
      </c>
      <c r="S560" s="204"/>
      <c r="W560" s="198" t="s">
        <v>51</v>
      </c>
      <c r="AE560" s="198" t="s">
        <v>846</v>
      </c>
    </row>
    <row r="561" spans="3:31" x14ac:dyDescent="0.25">
      <c r="C561" s="201"/>
      <c r="E561" s="201"/>
      <c r="F561" s="201"/>
      <c r="I561" s="198" t="s">
        <v>583</v>
      </c>
      <c r="J561" s="198" t="s">
        <v>134</v>
      </c>
      <c r="K561" s="202">
        <f t="shared" si="8"/>
        <v>290699.99999999948</v>
      </c>
      <c r="L561" s="202">
        <v>56.999999999999901</v>
      </c>
      <c r="N561" s="202">
        <v>5288650</v>
      </c>
      <c r="S561" s="204"/>
      <c r="W561" s="198" t="s">
        <v>51</v>
      </c>
      <c r="AE561" s="198" t="s">
        <v>846</v>
      </c>
    </row>
    <row r="562" spans="3:31" x14ac:dyDescent="0.25">
      <c r="C562" s="201"/>
      <c r="E562" s="201"/>
      <c r="F562" s="201"/>
      <c r="I562" s="198" t="s">
        <v>583</v>
      </c>
      <c r="J562" s="198" t="s">
        <v>134</v>
      </c>
      <c r="K562" s="202">
        <f t="shared" si="8"/>
        <v>291209.99999999948</v>
      </c>
      <c r="L562" s="202">
        <v>57.099999999999902</v>
      </c>
      <c r="N562" s="202">
        <v>4804150</v>
      </c>
      <c r="S562" s="204"/>
      <c r="W562" s="198" t="s">
        <v>51</v>
      </c>
      <c r="AE562" s="198" t="s">
        <v>846</v>
      </c>
    </row>
    <row r="563" spans="3:31" x14ac:dyDescent="0.25">
      <c r="C563" s="201"/>
      <c r="E563" s="201"/>
      <c r="F563" s="201"/>
      <c r="I563" s="198" t="s">
        <v>583</v>
      </c>
      <c r="J563" s="198" t="s">
        <v>134</v>
      </c>
      <c r="K563" s="202">
        <f t="shared" si="8"/>
        <v>291719.99999999953</v>
      </c>
      <c r="L563" s="202">
        <v>57.199999999999903</v>
      </c>
      <c r="N563" s="202">
        <v>4787525</v>
      </c>
      <c r="S563" s="204"/>
      <c r="W563" s="198" t="s">
        <v>51</v>
      </c>
      <c r="AE563" s="198" t="s">
        <v>846</v>
      </c>
    </row>
    <row r="564" spans="3:31" x14ac:dyDescent="0.25">
      <c r="C564" s="201"/>
      <c r="E564" s="201"/>
      <c r="F564" s="201"/>
      <c r="I564" s="198" t="s">
        <v>129</v>
      </c>
      <c r="J564" s="198" t="s">
        <v>130</v>
      </c>
      <c r="K564" s="202">
        <f t="shared" si="8"/>
        <v>292229.99999999948</v>
      </c>
      <c r="L564" s="202">
        <v>57.299999999999898</v>
      </c>
      <c r="N564" s="202">
        <v>585844</v>
      </c>
      <c r="S564" s="204"/>
      <c r="W564" s="198" t="s">
        <v>51</v>
      </c>
      <c r="AE564" s="198" t="s">
        <v>833</v>
      </c>
    </row>
    <row r="565" spans="3:31" x14ac:dyDescent="0.25">
      <c r="C565" s="201"/>
      <c r="E565" s="201"/>
      <c r="F565" s="201"/>
      <c r="I565" s="198" t="s">
        <v>129</v>
      </c>
      <c r="J565" s="198" t="s">
        <v>130</v>
      </c>
      <c r="K565" s="202">
        <f t="shared" si="8"/>
        <v>292739.99999999948</v>
      </c>
      <c r="L565" s="202">
        <v>57.399999999999899</v>
      </c>
      <c r="N565" s="202">
        <v>166500</v>
      </c>
      <c r="S565" s="204"/>
      <c r="W565" s="198" t="s">
        <v>51</v>
      </c>
      <c r="AE565" s="198" t="s">
        <v>833</v>
      </c>
    </row>
    <row r="566" spans="3:31" x14ac:dyDescent="0.25">
      <c r="C566" s="201"/>
      <c r="E566" s="201"/>
      <c r="F566" s="201"/>
      <c r="I566" s="198" t="s">
        <v>583</v>
      </c>
      <c r="J566" s="198" t="s">
        <v>134</v>
      </c>
      <c r="K566" s="202">
        <f t="shared" si="8"/>
        <v>293249.99999999948</v>
      </c>
      <c r="L566" s="202">
        <v>57.499999999999901</v>
      </c>
      <c r="N566" s="202">
        <v>4789900</v>
      </c>
      <c r="S566" s="204"/>
      <c r="W566" s="198" t="s">
        <v>51</v>
      </c>
      <c r="AE566" s="198" t="s">
        <v>846</v>
      </c>
    </row>
    <row r="567" spans="3:31" x14ac:dyDescent="0.25">
      <c r="C567" s="201"/>
      <c r="E567" s="201"/>
      <c r="F567" s="201"/>
      <c r="I567" s="198" t="s">
        <v>583</v>
      </c>
      <c r="J567" s="198" t="s">
        <v>134</v>
      </c>
      <c r="K567" s="202">
        <f t="shared" si="8"/>
        <v>293759.99999999948</v>
      </c>
      <c r="L567" s="202">
        <v>57.599999999999902</v>
      </c>
      <c r="N567" s="202">
        <v>5287700</v>
      </c>
      <c r="S567" s="204"/>
      <c r="W567" s="198" t="s">
        <v>51</v>
      </c>
      <c r="AE567" s="198" t="s">
        <v>846</v>
      </c>
    </row>
    <row r="568" spans="3:31" x14ac:dyDescent="0.25">
      <c r="C568" s="201"/>
      <c r="E568" s="201"/>
      <c r="F568" s="201"/>
      <c r="I568" s="198" t="s">
        <v>583</v>
      </c>
      <c r="J568" s="198" t="s">
        <v>134</v>
      </c>
      <c r="K568" s="202">
        <f t="shared" si="8"/>
        <v>294269.99999999953</v>
      </c>
      <c r="L568" s="202">
        <v>57.699999999999903</v>
      </c>
      <c r="N568" s="202">
        <v>1723300</v>
      </c>
      <c r="S568" s="204"/>
      <c r="W568" s="198" t="s">
        <v>51</v>
      </c>
      <c r="AE568" s="198" t="s">
        <v>846</v>
      </c>
    </row>
    <row r="569" spans="3:31" x14ac:dyDescent="0.25">
      <c r="C569" s="201"/>
      <c r="E569" s="201"/>
      <c r="F569" s="201"/>
      <c r="I569" s="198" t="s">
        <v>583</v>
      </c>
      <c r="J569" s="198" t="s">
        <v>134</v>
      </c>
      <c r="K569" s="202">
        <f t="shared" si="8"/>
        <v>294779.99999999948</v>
      </c>
      <c r="L569" s="202">
        <v>57.799999999999898</v>
      </c>
      <c r="N569" s="202">
        <v>3057100</v>
      </c>
      <c r="S569" s="204"/>
      <c r="W569" s="198" t="s">
        <v>51</v>
      </c>
      <c r="AE569" s="198" t="s">
        <v>846</v>
      </c>
    </row>
    <row r="570" spans="3:31" x14ac:dyDescent="0.25">
      <c r="C570" s="201"/>
      <c r="E570" s="201"/>
      <c r="F570" s="201"/>
      <c r="I570" s="198" t="s">
        <v>583</v>
      </c>
      <c r="J570" s="198" t="s">
        <v>134</v>
      </c>
      <c r="K570" s="202">
        <f t="shared" si="8"/>
        <v>295289.99999999948</v>
      </c>
      <c r="L570" s="202">
        <v>57.899999999999899</v>
      </c>
      <c r="N570" s="202">
        <v>1488567.99</v>
      </c>
      <c r="S570" s="204"/>
      <c r="W570" s="198" t="s">
        <v>51</v>
      </c>
      <c r="AE570" s="198" t="s">
        <v>846</v>
      </c>
    </row>
    <row r="571" spans="3:31" x14ac:dyDescent="0.25">
      <c r="C571" s="201"/>
      <c r="E571" s="201"/>
      <c r="F571" s="201"/>
      <c r="I571" s="198" t="s">
        <v>583</v>
      </c>
      <c r="J571" s="198" t="s">
        <v>134</v>
      </c>
      <c r="K571" s="202">
        <f t="shared" si="8"/>
        <v>295799.99999999948</v>
      </c>
      <c r="L571" s="202">
        <v>57.999999999999901</v>
      </c>
      <c r="N571" s="202">
        <v>1465000.47</v>
      </c>
      <c r="S571" s="204"/>
      <c r="W571" s="198" t="s">
        <v>51</v>
      </c>
      <c r="AE571" s="198" t="s">
        <v>846</v>
      </c>
    </row>
    <row r="572" spans="3:31" x14ac:dyDescent="0.25">
      <c r="C572" s="201"/>
      <c r="E572" s="201"/>
      <c r="F572" s="201"/>
      <c r="I572" s="198" t="s">
        <v>583</v>
      </c>
      <c r="J572" s="198" t="s">
        <v>134</v>
      </c>
      <c r="K572" s="202">
        <f t="shared" si="8"/>
        <v>296309.99999999948</v>
      </c>
      <c r="L572" s="202">
        <v>58.099999999999902</v>
      </c>
      <c r="N572" s="202">
        <v>1731314.42</v>
      </c>
      <c r="S572" s="204"/>
      <c r="W572" s="198" t="s">
        <v>51</v>
      </c>
      <c r="AE572" s="198" t="s">
        <v>846</v>
      </c>
    </row>
    <row r="573" spans="3:31" x14ac:dyDescent="0.25">
      <c r="C573" s="201"/>
      <c r="E573" s="201"/>
      <c r="F573" s="201"/>
      <c r="I573" s="198" t="s">
        <v>583</v>
      </c>
      <c r="J573" s="198" t="s">
        <v>134</v>
      </c>
      <c r="K573" s="202">
        <f t="shared" si="8"/>
        <v>296819.99999999953</v>
      </c>
      <c r="L573" s="202">
        <v>58.199999999999903</v>
      </c>
      <c r="N573" s="202">
        <v>2756889.94</v>
      </c>
      <c r="S573" s="204"/>
      <c r="W573" s="198" t="s">
        <v>51</v>
      </c>
      <c r="AE573" s="198" t="s">
        <v>846</v>
      </c>
    </row>
    <row r="574" spans="3:31" x14ac:dyDescent="0.25">
      <c r="C574" s="201"/>
      <c r="E574" s="201"/>
      <c r="F574" s="201"/>
      <c r="I574" s="198" t="s">
        <v>733</v>
      </c>
      <c r="J574" s="198" t="s">
        <v>95</v>
      </c>
      <c r="K574" s="202">
        <f t="shared" si="8"/>
        <v>297329.99999999948</v>
      </c>
      <c r="L574" s="202">
        <v>58.299999999999898</v>
      </c>
      <c r="N574" s="202">
        <v>0.36</v>
      </c>
      <c r="S574" s="204"/>
      <c r="W574" s="198" t="s">
        <v>51</v>
      </c>
      <c r="AE574" s="198" t="s">
        <v>831</v>
      </c>
    </row>
    <row r="575" spans="3:31" x14ac:dyDescent="0.25">
      <c r="C575" s="201"/>
      <c r="E575" s="201"/>
      <c r="F575" s="201"/>
      <c r="I575" s="198" t="s">
        <v>553</v>
      </c>
      <c r="J575" s="198" t="s">
        <v>134</v>
      </c>
      <c r="K575" s="202">
        <f t="shared" si="8"/>
        <v>297839.99999999948</v>
      </c>
      <c r="L575" s="202">
        <v>58.399999999999899</v>
      </c>
      <c r="N575" s="202">
        <v>5342739.88</v>
      </c>
      <c r="S575" s="204"/>
      <c r="W575" s="198" t="s">
        <v>51</v>
      </c>
      <c r="AE575" s="198" t="s">
        <v>846</v>
      </c>
    </row>
    <row r="576" spans="3:31" x14ac:dyDescent="0.25">
      <c r="C576" s="201"/>
      <c r="E576" s="201"/>
      <c r="F576" s="201"/>
      <c r="I576" s="198" t="s">
        <v>553</v>
      </c>
      <c r="J576" s="198" t="s">
        <v>134</v>
      </c>
      <c r="K576" s="202">
        <f t="shared" si="8"/>
        <v>298349.99999999948</v>
      </c>
      <c r="L576" s="202">
        <v>58.499999999999901</v>
      </c>
      <c r="N576" s="202">
        <v>5328467.2</v>
      </c>
      <c r="S576" s="204"/>
      <c r="W576" s="198" t="s">
        <v>51</v>
      </c>
      <c r="AE576" s="198" t="s">
        <v>846</v>
      </c>
    </row>
    <row r="577" spans="3:31" x14ac:dyDescent="0.25">
      <c r="C577" s="201"/>
      <c r="E577" s="201"/>
      <c r="F577" s="201"/>
      <c r="I577" s="198" t="s">
        <v>668</v>
      </c>
      <c r="J577" s="198" t="s">
        <v>112</v>
      </c>
      <c r="K577" s="202">
        <f t="shared" si="8"/>
        <v>298859.99999999948</v>
      </c>
      <c r="L577" s="202">
        <v>58.599999999999902</v>
      </c>
      <c r="N577" s="202">
        <v>67841.759999999995</v>
      </c>
      <c r="S577" s="203"/>
      <c r="W577" s="198" t="s">
        <v>51</v>
      </c>
      <c r="AE577" s="198" t="s">
        <v>831</v>
      </c>
    </row>
    <row r="578" spans="3:31" x14ac:dyDescent="0.25">
      <c r="C578" s="201"/>
      <c r="E578" s="201"/>
      <c r="F578" s="201"/>
      <c r="I578" s="198" t="s">
        <v>669</v>
      </c>
      <c r="J578" s="198" t="s">
        <v>112</v>
      </c>
      <c r="K578" s="202">
        <f t="shared" si="8"/>
        <v>299369.99999999953</v>
      </c>
      <c r="L578" s="202">
        <v>58.699999999999903</v>
      </c>
      <c r="N578" s="202">
        <v>134603.04</v>
      </c>
      <c r="S578" s="203"/>
      <c r="W578" s="198" t="s">
        <v>51</v>
      </c>
      <c r="AE578" s="198" t="s">
        <v>831</v>
      </c>
    </row>
    <row r="579" spans="3:31" x14ac:dyDescent="0.25">
      <c r="C579" s="201"/>
      <c r="E579" s="201"/>
      <c r="F579" s="201"/>
      <c r="I579" s="198" t="s">
        <v>131</v>
      </c>
      <c r="J579" s="198" t="s">
        <v>132</v>
      </c>
      <c r="K579" s="202">
        <f t="shared" ref="K579:K642" si="9">L579*5100</f>
        <v>299879.99999999948</v>
      </c>
      <c r="L579" s="202">
        <v>58.799999999999898</v>
      </c>
      <c r="N579" s="202">
        <v>496174</v>
      </c>
      <c r="S579" s="204"/>
      <c r="W579" s="198" t="s">
        <v>51</v>
      </c>
      <c r="AE579" s="198" t="s">
        <v>833</v>
      </c>
    </row>
    <row r="580" spans="3:31" x14ac:dyDescent="0.25">
      <c r="C580" s="201"/>
      <c r="E580" s="201"/>
      <c r="F580" s="201"/>
      <c r="I580" s="198" t="s">
        <v>131</v>
      </c>
      <c r="J580" s="198" t="s">
        <v>132</v>
      </c>
      <c r="K580" s="202">
        <f t="shared" si="9"/>
        <v>300389.99999999948</v>
      </c>
      <c r="L580" s="202">
        <v>58.899999999999899</v>
      </c>
      <c r="N580" s="202">
        <v>99000</v>
      </c>
      <c r="S580" s="204"/>
      <c r="W580" s="198" t="s">
        <v>51</v>
      </c>
      <c r="AE580" s="198" t="s">
        <v>833</v>
      </c>
    </row>
    <row r="581" spans="3:31" x14ac:dyDescent="0.25">
      <c r="C581" s="201"/>
      <c r="E581" s="201"/>
      <c r="F581" s="201"/>
      <c r="I581" s="198" t="s">
        <v>131</v>
      </c>
      <c r="J581" s="198" t="s">
        <v>132</v>
      </c>
      <c r="K581" s="202">
        <f t="shared" si="9"/>
        <v>300899.99999999948</v>
      </c>
      <c r="L581" s="202">
        <v>58.999999999999901</v>
      </c>
      <c r="N581" s="202">
        <v>460200</v>
      </c>
      <c r="S581" s="204"/>
      <c r="W581" s="198" t="s">
        <v>51</v>
      </c>
      <c r="AE581" s="198" t="s">
        <v>833</v>
      </c>
    </row>
    <row r="582" spans="3:31" x14ac:dyDescent="0.25">
      <c r="C582" s="201"/>
      <c r="E582" s="201"/>
      <c r="F582" s="201"/>
      <c r="I582" s="198" t="s">
        <v>131</v>
      </c>
      <c r="J582" s="198" t="s">
        <v>132</v>
      </c>
      <c r="K582" s="202">
        <f t="shared" si="9"/>
        <v>301409.99999999948</v>
      </c>
      <c r="L582" s="202">
        <v>59.099999999999902</v>
      </c>
      <c r="N582" s="202">
        <v>2105710</v>
      </c>
      <c r="S582" s="204"/>
      <c r="W582" s="198" t="s">
        <v>51</v>
      </c>
      <c r="AE582" s="198" t="s">
        <v>833</v>
      </c>
    </row>
    <row r="583" spans="3:31" x14ac:dyDescent="0.25">
      <c r="C583" s="201"/>
      <c r="E583" s="201"/>
      <c r="F583" s="201"/>
      <c r="I583" s="198" t="s">
        <v>122</v>
      </c>
      <c r="J583" s="198" t="s">
        <v>126</v>
      </c>
      <c r="K583" s="202">
        <f t="shared" si="9"/>
        <v>301919.99999999953</v>
      </c>
      <c r="L583" s="202">
        <v>59.199999999999903</v>
      </c>
      <c r="N583" s="202">
        <v>5126825</v>
      </c>
      <c r="S583" s="204"/>
      <c r="W583" s="198" t="s">
        <v>51</v>
      </c>
      <c r="AE583" s="198" t="s">
        <v>835</v>
      </c>
    </row>
    <row r="584" spans="3:31" x14ac:dyDescent="0.25">
      <c r="C584" s="201"/>
      <c r="E584" s="201"/>
      <c r="F584" s="201"/>
      <c r="I584" s="198" t="s">
        <v>122</v>
      </c>
      <c r="J584" s="198" t="s">
        <v>126</v>
      </c>
      <c r="K584" s="202">
        <f t="shared" si="9"/>
        <v>302429.99999999948</v>
      </c>
      <c r="L584" s="202">
        <v>59.299999999999898</v>
      </c>
      <c r="N584" s="202">
        <v>1025365</v>
      </c>
      <c r="S584" s="204"/>
      <c r="W584" s="198" t="s">
        <v>51</v>
      </c>
      <c r="AE584" s="198" t="s">
        <v>835</v>
      </c>
    </row>
    <row r="585" spans="3:31" x14ac:dyDescent="0.25">
      <c r="C585" s="201"/>
      <c r="E585" s="201"/>
      <c r="F585" s="201"/>
      <c r="I585" s="198" t="s">
        <v>122</v>
      </c>
      <c r="J585" s="198" t="s">
        <v>126</v>
      </c>
      <c r="K585" s="202">
        <f t="shared" si="9"/>
        <v>302939.99999999948</v>
      </c>
      <c r="L585" s="202">
        <v>59.399999999999899</v>
      </c>
      <c r="N585" s="202">
        <v>2917550</v>
      </c>
      <c r="S585" s="204"/>
      <c r="W585" s="198" t="s">
        <v>51</v>
      </c>
      <c r="AE585" s="198" t="s">
        <v>835</v>
      </c>
    </row>
    <row r="586" spans="3:31" x14ac:dyDescent="0.25">
      <c r="C586" s="201"/>
      <c r="E586" s="201"/>
      <c r="F586" s="201"/>
      <c r="I586" s="198" t="s">
        <v>122</v>
      </c>
      <c r="J586" s="198" t="s">
        <v>126</v>
      </c>
      <c r="K586" s="202">
        <f t="shared" si="9"/>
        <v>303449.99999999948</v>
      </c>
      <c r="L586" s="202">
        <v>59.499999999999901</v>
      </c>
      <c r="N586" s="202">
        <v>1136100</v>
      </c>
      <c r="S586" s="204"/>
      <c r="W586" s="198" t="s">
        <v>51</v>
      </c>
      <c r="AE586" s="198" t="s">
        <v>835</v>
      </c>
    </row>
    <row r="587" spans="3:31" x14ac:dyDescent="0.25">
      <c r="C587" s="201"/>
      <c r="E587" s="201"/>
      <c r="F587" s="201"/>
      <c r="I587" s="198" t="s">
        <v>122</v>
      </c>
      <c r="J587" s="198" t="s">
        <v>126</v>
      </c>
      <c r="K587" s="202">
        <f t="shared" si="9"/>
        <v>303959.99999999948</v>
      </c>
      <c r="L587" s="202">
        <v>59.599999999999902</v>
      </c>
      <c r="N587" s="202">
        <v>687470</v>
      </c>
      <c r="S587" s="204"/>
      <c r="W587" s="198" t="s">
        <v>51</v>
      </c>
      <c r="AE587" s="198" t="s">
        <v>835</v>
      </c>
    </row>
    <row r="588" spans="3:31" x14ac:dyDescent="0.25">
      <c r="C588" s="201"/>
      <c r="E588" s="201"/>
      <c r="F588" s="201"/>
      <c r="I588" s="198" t="s">
        <v>122</v>
      </c>
      <c r="J588" s="198" t="s">
        <v>126</v>
      </c>
      <c r="K588" s="202">
        <f t="shared" si="9"/>
        <v>304469.99999999953</v>
      </c>
      <c r="L588" s="202">
        <v>59.699999999999903</v>
      </c>
      <c r="N588" s="202">
        <v>55000</v>
      </c>
      <c r="S588" s="204"/>
      <c r="W588" s="198" t="s">
        <v>51</v>
      </c>
      <c r="AE588" s="198" t="s">
        <v>835</v>
      </c>
    </row>
    <row r="589" spans="3:31" x14ac:dyDescent="0.25">
      <c r="C589" s="201"/>
      <c r="E589" s="201"/>
      <c r="F589" s="201"/>
      <c r="I589" s="198" t="s">
        <v>122</v>
      </c>
      <c r="J589" s="198" t="s">
        <v>126</v>
      </c>
      <c r="K589" s="202">
        <f t="shared" si="9"/>
        <v>304979.99999999948</v>
      </c>
      <c r="L589" s="202">
        <v>59.799999999999898</v>
      </c>
      <c r="N589" s="202">
        <v>1490586.3</v>
      </c>
      <c r="S589" s="204"/>
      <c r="W589" s="198" t="s">
        <v>51</v>
      </c>
      <c r="AE589" s="198" t="s">
        <v>835</v>
      </c>
    </row>
    <row r="590" spans="3:31" x14ac:dyDescent="0.25">
      <c r="C590" s="201"/>
      <c r="E590" s="201"/>
      <c r="F590" s="201"/>
      <c r="I590" s="198" t="s">
        <v>157</v>
      </c>
      <c r="J590" s="198" t="s">
        <v>143</v>
      </c>
      <c r="K590" s="202">
        <f t="shared" si="9"/>
        <v>305489.99999999948</v>
      </c>
      <c r="L590" s="202">
        <v>59.899999999999899</v>
      </c>
      <c r="N590" s="202">
        <v>76322.399999999994</v>
      </c>
      <c r="S590" s="204"/>
      <c r="W590" s="198" t="s">
        <v>51</v>
      </c>
      <c r="AE590" s="198" t="s">
        <v>829</v>
      </c>
    </row>
    <row r="591" spans="3:31" x14ac:dyDescent="0.25">
      <c r="C591" s="201"/>
      <c r="E591" s="201"/>
      <c r="F591" s="201"/>
      <c r="I591" s="198" t="s">
        <v>157</v>
      </c>
      <c r="J591" s="198" t="s">
        <v>143</v>
      </c>
      <c r="K591" s="202">
        <f t="shared" si="9"/>
        <v>305999.99999999948</v>
      </c>
      <c r="L591" s="202">
        <v>59.999999999999901</v>
      </c>
      <c r="N591" s="202">
        <v>30066.400000000001</v>
      </c>
      <c r="S591" s="204"/>
      <c r="W591" s="198" t="s">
        <v>51</v>
      </c>
      <c r="AE591" s="198" t="s">
        <v>829</v>
      </c>
    </row>
    <row r="592" spans="3:31" x14ac:dyDescent="0.25">
      <c r="C592" s="201"/>
      <c r="E592" s="201"/>
      <c r="F592" s="201"/>
      <c r="I592" s="198" t="s">
        <v>845</v>
      </c>
      <c r="J592" s="198" t="s">
        <v>137</v>
      </c>
      <c r="K592" s="202">
        <f t="shared" si="9"/>
        <v>306509.99999999948</v>
      </c>
      <c r="L592" s="202">
        <v>60.099999999999902</v>
      </c>
      <c r="N592" s="202">
        <v>7031673.6799999997</v>
      </c>
      <c r="S592" s="204"/>
      <c r="W592" s="198" t="s">
        <v>51</v>
      </c>
      <c r="AE592" s="198" t="s">
        <v>844</v>
      </c>
    </row>
    <row r="593" spans="3:31" x14ac:dyDescent="0.25">
      <c r="C593" s="201"/>
      <c r="E593" s="201"/>
      <c r="F593" s="201"/>
      <c r="I593" s="198" t="s">
        <v>845</v>
      </c>
      <c r="J593" s="198" t="s">
        <v>137</v>
      </c>
      <c r="K593" s="202">
        <f t="shared" si="9"/>
        <v>307019.99999999953</v>
      </c>
      <c r="L593" s="202">
        <v>60.199999999999903</v>
      </c>
      <c r="N593" s="202">
        <v>7155370.2400000002</v>
      </c>
      <c r="S593" s="204"/>
      <c r="W593" s="198" t="s">
        <v>51</v>
      </c>
      <c r="AE593" s="198" t="s">
        <v>844</v>
      </c>
    </row>
    <row r="594" spans="3:31" x14ac:dyDescent="0.25">
      <c r="C594" s="201"/>
      <c r="E594" s="201"/>
      <c r="F594" s="201"/>
      <c r="I594" s="198" t="s">
        <v>845</v>
      </c>
      <c r="J594" s="198" t="s">
        <v>137</v>
      </c>
      <c r="K594" s="202">
        <f t="shared" si="9"/>
        <v>307529.99999999948</v>
      </c>
      <c r="L594" s="202">
        <v>60.299999999999898</v>
      </c>
      <c r="N594" s="202">
        <v>7141097.5599999996</v>
      </c>
      <c r="S594" s="204"/>
      <c r="W594" s="198" t="s">
        <v>51</v>
      </c>
      <c r="AE594" s="198" t="s">
        <v>844</v>
      </c>
    </row>
    <row r="595" spans="3:31" x14ac:dyDescent="0.25">
      <c r="C595" s="201"/>
      <c r="E595" s="201"/>
      <c r="F595" s="201"/>
      <c r="I595" s="198" t="s">
        <v>845</v>
      </c>
      <c r="J595" s="198" t="s">
        <v>137</v>
      </c>
      <c r="K595" s="202">
        <f t="shared" si="9"/>
        <v>308039.99999999948</v>
      </c>
      <c r="L595" s="202">
        <v>60.399999999999899</v>
      </c>
      <c r="N595" s="202">
        <v>7117309.7599999998</v>
      </c>
      <c r="S595" s="204"/>
      <c r="W595" s="198" t="s">
        <v>51</v>
      </c>
      <c r="AE595" s="198" t="s">
        <v>844</v>
      </c>
    </row>
    <row r="596" spans="3:31" x14ac:dyDescent="0.25">
      <c r="C596" s="201"/>
      <c r="E596" s="201"/>
      <c r="F596" s="201"/>
      <c r="I596" s="198" t="s">
        <v>845</v>
      </c>
      <c r="J596" s="198" t="s">
        <v>137</v>
      </c>
      <c r="K596" s="202">
        <f t="shared" si="9"/>
        <v>308549.99999999948</v>
      </c>
      <c r="L596" s="202">
        <v>60.499999999999901</v>
      </c>
      <c r="N596" s="202">
        <v>7105415.8600000003</v>
      </c>
      <c r="S596" s="204"/>
      <c r="W596" s="198" t="s">
        <v>51</v>
      </c>
      <c r="AE596" s="198" t="s">
        <v>844</v>
      </c>
    </row>
    <row r="597" spans="3:31" x14ac:dyDescent="0.25">
      <c r="C597" s="201"/>
      <c r="E597" s="201"/>
      <c r="F597" s="201"/>
      <c r="I597" s="198" t="s">
        <v>553</v>
      </c>
      <c r="J597" s="198" t="s">
        <v>134</v>
      </c>
      <c r="K597" s="202">
        <f t="shared" si="9"/>
        <v>309059.99999999948</v>
      </c>
      <c r="L597" s="202">
        <v>60.599999999999902</v>
      </c>
      <c r="N597" s="202">
        <v>7093521.96</v>
      </c>
      <c r="S597" s="204"/>
      <c r="W597" s="198" t="s">
        <v>51</v>
      </c>
      <c r="AE597" s="198" t="s">
        <v>846</v>
      </c>
    </row>
    <row r="598" spans="3:31" x14ac:dyDescent="0.25">
      <c r="C598" s="201"/>
      <c r="E598" s="201"/>
      <c r="F598" s="201"/>
      <c r="I598" s="198" t="s">
        <v>583</v>
      </c>
      <c r="J598" s="198" t="s">
        <v>134</v>
      </c>
      <c r="K598" s="202">
        <f t="shared" si="9"/>
        <v>309569.99999999953</v>
      </c>
      <c r="L598" s="202">
        <v>60.699999999999903</v>
      </c>
      <c r="N598" s="202">
        <v>4792750</v>
      </c>
      <c r="S598" s="204"/>
      <c r="W598" s="198" t="s">
        <v>51</v>
      </c>
      <c r="AE598" s="198" t="s">
        <v>846</v>
      </c>
    </row>
    <row r="599" spans="3:31" x14ac:dyDescent="0.25">
      <c r="C599" s="201"/>
      <c r="E599" s="201"/>
      <c r="F599" s="201"/>
      <c r="I599" s="198" t="s">
        <v>843</v>
      </c>
      <c r="J599" s="198" t="s">
        <v>137</v>
      </c>
      <c r="K599" s="202">
        <f t="shared" si="9"/>
        <v>310079.99999999948</v>
      </c>
      <c r="L599" s="202">
        <v>60.799999999999898</v>
      </c>
      <c r="N599" s="202">
        <v>6259075</v>
      </c>
      <c r="S599" s="204"/>
      <c r="W599" s="198" t="s">
        <v>51</v>
      </c>
      <c r="AE599" s="198" t="s">
        <v>844</v>
      </c>
    </row>
    <row r="600" spans="3:31" x14ac:dyDescent="0.25">
      <c r="C600" s="201"/>
      <c r="E600" s="201"/>
      <c r="F600" s="201"/>
      <c r="I600" s="198" t="s">
        <v>843</v>
      </c>
      <c r="J600" s="198" t="s">
        <v>137</v>
      </c>
      <c r="K600" s="202">
        <f t="shared" si="9"/>
        <v>310589.99999999948</v>
      </c>
      <c r="L600" s="202">
        <v>60.899999999999899</v>
      </c>
      <c r="N600" s="202">
        <v>6277600</v>
      </c>
      <c r="S600" s="204"/>
      <c r="W600" s="198" t="s">
        <v>51</v>
      </c>
      <c r="AE600" s="198" t="s">
        <v>844</v>
      </c>
    </row>
    <row r="601" spans="3:31" x14ac:dyDescent="0.25">
      <c r="C601" s="201"/>
      <c r="E601" s="201"/>
      <c r="F601" s="201"/>
      <c r="I601" s="198" t="s">
        <v>583</v>
      </c>
      <c r="J601" s="198" t="s">
        <v>134</v>
      </c>
      <c r="K601" s="202">
        <f t="shared" si="9"/>
        <v>311099.99999999948</v>
      </c>
      <c r="L601" s="202">
        <v>60.999999999999901</v>
      </c>
      <c r="N601" s="202">
        <v>5244950</v>
      </c>
      <c r="S601" s="204"/>
      <c r="W601" s="198" t="s">
        <v>51</v>
      </c>
      <c r="AE601" s="198" t="s">
        <v>846</v>
      </c>
    </row>
    <row r="602" spans="3:31" x14ac:dyDescent="0.25">
      <c r="C602" s="201"/>
      <c r="E602" s="201"/>
      <c r="F602" s="201"/>
      <c r="I602" s="198" t="s">
        <v>583</v>
      </c>
      <c r="J602" s="198" t="s">
        <v>134</v>
      </c>
      <c r="K602" s="202">
        <f t="shared" si="9"/>
        <v>311609.99999999948</v>
      </c>
      <c r="L602" s="202">
        <v>61.099999999999902</v>
      </c>
      <c r="N602" s="202">
        <v>4749050</v>
      </c>
      <c r="S602" s="204"/>
      <c r="W602" s="198" t="s">
        <v>51</v>
      </c>
      <c r="AE602" s="198" t="s">
        <v>846</v>
      </c>
    </row>
    <row r="603" spans="3:31" x14ac:dyDescent="0.25">
      <c r="C603" s="201"/>
      <c r="E603" s="201"/>
      <c r="F603" s="201"/>
      <c r="I603" s="198" t="s">
        <v>583</v>
      </c>
      <c r="J603" s="198" t="s">
        <v>134</v>
      </c>
      <c r="K603" s="202">
        <f t="shared" si="9"/>
        <v>312119.99999999953</v>
      </c>
      <c r="L603" s="202">
        <v>61.199999999999903</v>
      </c>
      <c r="N603" s="202">
        <v>4752850</v>
      </c>
      <c r="S603" s="204"/>
      <c r="W603" s="198" t="s">
        <v>51</v>
      </c>
      <c r="AE603" s="198" t="s">
        <v>846</v>
      </c>
    </row>
    <row r="604" spans="3:31" x14ac:dyDescent="0.25">
      <c r="C604" s="201"/>
      <c r="E604" s="201"/>
      <c r="F604" s="201"/>
      <c r="I604" s="198" t="s">
        <v>583</v>
      </c>
      <c r="J604" s="198" t="s">
        <v>134</v>
      </c>
      <c r="K604" s="202">
        <f t="shared" si="9"/>
        <v>312629.99999999948</v>
      </c>
      <c r="L604" s="202">
        <v>61.299999999999898</v>
      </c>
      <c r="N604" s="202">
        <v>5299100</v>
      </c>
      <c r="S604" s="204"/>
      <c r="W604" s="198" t="s">
        <v>51</v>
      </c>
      <c r="AE604" s="198" t="s">
        <v>846</v>
      </c>
    </row>
    <row r="605" spans="3:31" x14ac:dyDescent="0.25">
      <c r="C605" s="201"/>
      <c r="E605" s="201"/>
      <c r="F605" s="201"/>
      <c r="I605" s="198" t="s">
        <v>583</v>
      </c>
      <c r="J605" s="198" t="s">
        <v>134</v>
      </c>
      <c r="K605" s="202">
        <f t="shared" si="9"/>
        <v>313139.99999999948</v>
      </c>
      <c r="L605" s="202">
        <v>61.399999999999899</v>
      </c>
      <c r="N605" s="202">
        <v>4761875</v>
      </c>
      <c r="S605" s="204"/>
      <c r="W605" s="198" t="s">
        <v>51</v>
      </c>
      <c r="AE605" s="198" t="s">
        <v>846</v>
      </c>
    </row>
    <row r="606" spans="3:31" x14ac:dyDescent="0.25">
      <c r="C606" s="201"/>
      <c r="E606" s="201"/>
      <c r="F606" s="201"/>
      <c r="I606" s="198" t="s">
        <v>583</v>
      </c>
      <c r="J606" s="198" t="s">
        <v>134</v>
      </c>
      <c r="K606" s="202">
        <f t="shared" si="9"/>
        <v>313649.99999999948</v>
      </c>
      <c r="L606" s="202">
        <v>61.499999999999901</v>
      </c>
      <c r="N606" s="202">
        <v>5290075</v>
      </c>
      <c r="S606" s="204"/>
      <c r="W606" s="198" t="s">
        <v>51</v>
      </c>
      <c r="AE606" s="198" t="s">
        <v>846</v>
      </c>
    </row>
    <row r="607" spans="3:31" x14ac:dyDescent="0.25">
      <c r="C607" s="201"/>
      <c r="E607" s="201"/>
      <c r="F607" s="201"/>
      <c r="I607" s="198" t="s">
        <v>843</v>
      </c>
      <c r="J607" s="198" t="s">
        <v>137</v>
      </c>
      <c r="K607" s="202">
        <f t="shared" si="9"/>
        <v>314159.99999999948</v>
      </c>
      <c r="L607" s="202">
        <v>61.599999999999902</v>
      </c>
      <c r="N607" s="202">
        <v>6264775</v>
      </c>
      <c r="S607" s="203"/>
      <c r="W607" s="198" t="s">
        <v>51</v>
      </c>
      <c r="AE607" s="198" t="s">
        <v>54</v>
      </c>
    </row>
    <row r="608" spans="3:31" x14ac:dyDescent="0.25">
      <c r="C608" s="201"/>
      <c r="E608" s="201"/>
      <c r="F608" s="201"/>
      <c r="I608" s="198" t="s">
        <v>843</v>
      </c>
      <c r="J608" s="198" t="s">
        <v>137</v>
      </c>
      <c r="K608" s="202">
        <f t="shared" si="9"/>
        <v>314669.99999999953</v>
      </c>
      <c r="L608" s="202">
        <v>61.699999999999903</v>
      </c>
      <c r="N608" s="202">
        <v>6274750</v>
      </c>
      <c r="S608" s="203"/>
      <c r="W608" s="198" t="s">
        <v>51</v>
      </c>
      <c r="AE608" s="198" t="s">
        <v>54</v>
      </c>
    </row>
    <row r="609" spans="3:31" x14ac:dyDescent="0.25">
      <c r="C609" s="201"/>
      <c r="E609" s="201"/>
      <c r="F609" s="201"/>
      <c r="I609" s="198" t="s">
        <v>843</v>
      </c>
      <c r="J609" s="198" t="s">
        <v>137</v>
      </c>
      <c r="K609" s="202">
        <f t="shared" si="9"/>
        <v>315179.99999999948</v>
      </c>
      <c r="L609" s="202">
        <v>61.799999999999898</v>
      </c>
      <c r="N609" s="202">
        <v>6275700</v>
      </c>
      <c r="S609" s="203"/>
      <c r="W609" s="198" t="s">
        <v>51</v>
      </c>
      <c r="AE609" s="198" t="s">
        <v>54</v>
      </c>
    </row>
    <row r="610" spans="3:31" x14ac:dyDescent="0.25">
      <c r="C610" s="201"/>
      <c r="E610" s="201"/>
      <c r="F610" s="201"/>
      <c r="I610" s="198" t="s">
        <v>843</v>
      </c>
      <c r="J610" s="198" t="s">
        <v>137</v>
      </c>
      <c r="K610" s="202">
        <f t="shared" si="9"/>
        <v>315689.99999999948</v>
      </c>
      <c r="L610" s="202">
        <v>61.899999999999899</v>
      </c>
      <c r="N610" s="202">
        <v>6274275</v>
      </c>
      <c r="S610" s="203"/>
      <c r="W610" s="198" t="s">
        <v>51</v>
      </c>
      <c r="AE610" s="198" t="s">
        <v>54</v>
      </c>
    </row>
    <row r="611" spans="3:31" x14ac:dyDescent="0.25">
      <c r="C611" s="201"/>
      <c r="E611" s="201"/>
      <c r="F611" s="201"/>
      <c r="I611" s="198" t="s">
        <v>843</v>
      </c>
      <c r="J611" s="198" t="s">
        <v>137</v>
      </c>
      <c r="K611" s="202">
        <f t="shared" si="9"/>
        <v>316199.99999999948</v>
      </c>
      <c r="L611" s="202">
        <v>61.999999999999901</v>
      </c>
      <c r="N611" s="202">
        <v>6270775</v>
      </c>
      <c r="S611" s="203"/>
      <c r="W611" s="198" t="s">
        <v>51</v>
      </c>
      <c r="AE611" s="198" t="s">
        <v>54</v>
      </c>
    </row>
    <row r="612" spans="3:31" x14ac:dyDescent="0.25">
      <c r="C612" s="201"/>
      <c r="E612" s="201"/>
      <c r="F612" s="201"/>
      <c r="I612" s="198" t="s">
        <v>843</v>
      </c>
      <c r="J612" s="198" t="s">
        <v>137</v>
      </c>
      <c r="K612" s="202">
        <f t="shared" si="9"/>
        <v>316709.99999999948</v>
      </c>
      <c r="L612" s="202">
        <v>62.099999999999902</v>
      </c>
      <c r="N612" s="202">
        <v>6267625</v>
      </c>
      <c r="S612" s="203"/>
      <c r="W612" s="198" t="s">
        <v>51</v>
      </c>
      <c r="AE612" s="198" t="s">
        <v>54</v>
      </c>
    </row>
    <row r="613" spans="3:31" x14ac:dyDescent="0.25">
      <c r="C613" s="201"/>
      <c r="E613" s="201"/>
      <c r="F613" s="201"/>
      <c r="I613" s="198" t="s">
        <v>843</v>
      </c>
      <c r="J613" s="198" t="s">
        <v>137</v>
      </c>
      <c r="K613" s="202">
        <f t="shared" si="9"/>
        <v>317219.99999999953</v>
      </c>
      <c r="L613" s="202">
        <v>62.199999999999903</v>
      </c>
      <c r="N613" s="202">
        <v>6276700</v>
      </c>
      <c r="S613" s="203"/>
      <c r="W613" s="198" t="s">
        <v>51</v>
      </c>
      <c r="AE613" s="198" t="s">
        <v>54</v>
      </c>
    </row>
    <row r="614" spans="3:31" x14ac:dyDescent="0.25">
      <c r="C614" s="201"/>
      <c r="E614" s="201"/>
      <c r="F614" s="201"/>
      <c r="I614" s="198" t="s">
        <v>843</v>
      </c>
      <c r="J614" s="198" t="s">
        <v>137</v>
      </c>
      <c r="K614" s="202">
        <f t="shared" si="9"/>
        <v>317729.99999999948</v>
      </c>
      <c r="L614" s="202">
        <v>62.299999999999898</v>
      </c>
      <c r="N614" s="202">
        <v>6270475</v>
      </c>
      <c r="S614" s="203"/>
      <c r="W614" s="198" t="s">
        <v>51</v>
      </c>
      <c r="AE614" s="198" t="s">
        <v>54</v>
      </c>
    </row>
    <row r="615" spans="3:31" x14ac:dyDescent="0.25">
      <c r="C615" s="201"/>
      <c r="E615" s="201"/>
      <c r="F615" s="201"/>
      <c r="I615" s="198" t="s">
        <v>82</v>
      </c>
      <c r="J615" s="198" t="s">
        <v>89</v>
      </c>
      <c r="K615" s="202">
        <f t="shared" si="9"/>
        <v>318239.99999999948</v>
      </c>
      <c r="L615" s="202">
        <v>62.399999999999899</v>
      </c>
      <c r="N615" s="202">
        <v>11794183</v>
      </c>
      <c r="S615" s="203"/>
      <c r="W615" s="198" t="s">
        <v>51</v>
      </c>
      <c r="AE615" s="198" t="s">
        <v>54</v>
      </c>
    </row>
    <row r="616" spans="3:31" x14ac:dyDescent="0.25">
      <c r="C616" s="201"/>
      <c r="E616" s="201"/>
      <c r="F616" s="201"/>
      <c r="I616" s="198" t="s">
        <v>157</v>
      </c>
      <c r="J616" s="198" t="s">
        <v>143</v>
      </c>
      <c r="K616" s="202">
        <f t="shared" si="9"/>
        <v>318749.99999999948</v>
      </c>
      <c r="L616" s="202">
        <v>62.499999999999901</v>
      </c>
      <c r="N616" s="202">
        <v>90160</v>
      </c>
      <c r="S616" s="203"/>
      <c r="W616" s="198" t="s">
        <v>51</v>
      </c>
      <c r="AE616" s="198" t="s">
        <v>54</v>
      </c>
    </row>
    <row r="617" spans="3:31" x14ac:dyDescent="0.25">
      <c r="C617" s="201"/>
      <c r="E617" s="201"/>
      <c r="F617" s="201"/>
      <c r="I617" s="198" t="s">
        <v>554</v>
      </c>
      <c r="J617" s="198" t="s">
        <v>130</v>
      </c>
      <c r="K617" s="202">
        <f t="shared" si="9"/>
        <v>319259.99999999948</v>
      </c>
      <c r="L617" s="202">
        <v>62.599999999999902</v>
      </c>
      <c r="N617" s="202">
        <v>1132723</v>
      </c>
      <c r="S617" s="203"/>
      <c r="W617" s="198" t="s">
        <v>51</v>
      </c>
      <c r="AE617" s="198" t="s">
        <v>54</v>
      </c>
    </row>
    <row r="618" spans="3:31" x14ac:dyDescent="0.25">
      <c r="C618" s="201"/>
      <c r="E618" s="201"/>
      <c r="F618" s="201"/>
      <c r="I618" s="198" t="s">
        <v>583</v>
      </c>
      <c r="J618" s="198" t="s">
        <v>134</v>
      </c>
      <c r="K618" s="202">
        <f t="shared" si="9"/>
        <v>319769.99999999953</v>
      </c>
      <c r="L618" s="202">
        <v>62.699999999999903</v>
      </c>
      <c r="N618" s="202">
        <v>5259200</v>
      </c>
      <c r="S618" s="203"/>
      <c r="W618" s="198" t="s">
        <v>51</v>
      </c>
      <c r="AE618" s="198" t="s">
        <v>54</v>
      </c>
    </row>
    <row r="619" spans="3:31" x14ac:dyDescent="0.25">
      <c r="C619" s="201"/>
      <c r="E619" s="201"/>
      <c r="F619" s="201"/>
      <c r="I619" s="198" t="s">
        <v>583</v>
      </c>
      <c r="J619" s="198" t="s">
        <v>134</v>
      </c>
      <c r="K619" s="202">
        <f t="shared" si="9"/>
        <v>320279.99999999948</v>
      </c>
      <c r="L619" s="202">
        <v>62.799999999999898</v>
      </c>
      <c r="N619" s="202">
        <v>5216450</v>
      </c>
      <c r="S619" s="203"/>
      <c r="W619" s="198" t="s">
        <v>51</v>
      </c>
      <c r="AE619" s="198" t="s">
        <v>54</v>
      </c>
    </row>
    <row r="620" spans="3:31" x14ac:dyDescent="0.25">
      <c r="C620" s="201"/>
      <c r="E620" s="201"/>
      <c r="F620" s="201"/>
      <c r="I620" s="198" t="s">
        <v>555</v>
      </c>
      <c r="J620" s="198" t="s">
        <v>132</v>
      </c>
      <c r="K620" s="202">
        <f t="shared" si="9"/>
        <v>320789.99999999948</v>
      </c>
      <c r="L620" s="202">
        <v>62.899999999999899</v>
      </c>
      <c r="N620" s="202">
        <v>986852</v>
      </c>
      <c r="S620" s="203"/>
      <c r="W620" s="198" t="s">
        <v>51</v>
      </c>
      <c r="AE620" s="198" t="s">
        <v>54</v>
      </c>
    </row>
    <row r="621" spans="3:31" x14ac:dyDescent="0.25">
      <c r="C621" s="201"/>
      <c r="E621" s="201"/>
      <c r="F621" s="201"/>
      <c r="I621" s="198" t="s">
        <v>536</v>
      </c>
      <c r="J621" s="198" t="s">
        <v>126</v>
      </c>
      <c r="K621" s="202">
        <f t="shared" si="9"/>
        <v>321299.99999999948</v>
      </c>
      <c r="L621" s="202">
        <v>62.999999999999901</v>
      </c>
      <c r="N621" s="202">
        <v>1034992</v>
      </c>
      <c r="S621" s="203"/>
      <c r="W621" s="198" t="s">
        <v>51</v>
      </c>
      <c r="AE621" s="198" t="s">
        <v>54</v>
      </c>
    </row>
    <row r="622" spans="3:31" x14ac:dyDescent="0.25">
      <c r="C622" s="201"/>
      <c r="E622" s="201"/>
      <c r="F622" s="201"/>
      <c r="I622" s="198" t="s">
        <v>583</v>
      </c>
      <c r="J622" s="198" t="s">
        <v>134</v>
      </c>
      <c r="K622" s="202">
        <f t="shared" si="9"/>
        <v>321809.99999999948</v>
      </c>
      <c r="L622" s="202">
        <v>63.099999999999902</v>
      </c>
      <c r="N622" s="202">
        <v>5214075</v>
      </c>
      <c r="S622" s="203"/>
      <c r="W622" s="198" t="s">
        <v>51</v>
      </c>
      <c r="AE622" s="198" t="s">
        <v>54</v>
      </c>
    </row>
    <row r="623" spans="3:31" x14ac:dyDescent="0.25">
      <c r="C623" s="201"/>
      <c r="E623" s="201"/>
      <c r="F623" s="201"/>
      <c r="I623" s="198" t="s">
        <v>82</v>
      </c>
      <c r="J623" s="198" t="s">
        <v>89</v>
      </c>
      <c r="K623" s="202">
        <f t="shared" si="9"/>
        <v>322319.99999999953</v>
      </c>
      <c r="L623" s="202">
        <v>63.199999999999903</v>
      </c>
      <c r="N623" s="202">
        <v>11794183</v>
      </c>
      <c r="S623" s="203"/>
      <c r="W623" s="198" t="s">
        <v>51</v>
      </c>
      <c r="AE623" s="198" t="s">
        <v>54</v>
      </c>
    </row>
    <row r="624" spans="3:31" x14ac:dyDescent="0.25">
      <c r="C624" s="201"/>
      <c r="E624" s="201"/>
      <c r="F624" s="201"/>
      <c r="I624" s="198" t="s">
        <v>157</v>
      </c>
      <c r="J624" s="198" t="s">
        <v>143</v>
      </c>
      <c r="K624" s="202">
        <f t="shared" si="9"/>
        <v>322829.99999999948</v>
      </c>
      <c r="L624" s="202">
        <v>63.299999999999898</v>
      </c>
      <c r="N624" s="202">
        <v>90160</v>
      </c>
      <c r="S624" s="203"/>
      <c r="W624" s="198" t="s">
        <v>51</v>
      </c>
      <c r="AE624" s="198" t="s">
        <v>54</v>
      </c>
    </row>
    <row r="625" spans="3:31" x14ac:dyDescent="0.25">
      <c r="C625" s="201"/>
      <c r="E625" s="201"/>
      <c r="F625" s="201"/>
      <c r="I625" s="198" t="s">
        <v>583</v>
      </c>
      <c r="J625" s="198" t="s">
        <v>134</v>
      </c>
      <c r="K625" s="202">
        <f t="shared" si="9"/>
        <v>323339.99999999948</v>
      </c>
      <c r="L625" s="202">
        <v>63.399999999999899</v>
      </c>
      <c r="N625" s="202">
        <v>5259200</v>
      </c>
      <c r="S625" s="203"/>
      <c r="W625" s="198" t="s">
        <v>51</v>
      </c>
      <c r="AE625" s="198" t="s">
        <v>54</v>
      </c>
    </row>
    <row r="626" spans="3:31" x14ac:dyDescent="0.25">
      <c r="C626" s="201"/>
      <c r="E626" s="201"/>
      <c r="F626" s="201"/>
      <c r="I626" s="198" t="s">
        <v>583</v>
      </c>
      <c r="J626" s="198" t="s">
        <v>134</v>
      </c>
      <c r="K626" s="202">
        <f t="shared" si="9"/>
        <v>323849.99999999948</v>
      </c>
      <c r="L626" s="202">
        <v>63.499999999999901</v>
      </c>
      <c r="N626" s="202">
        <v>5216450</v>
      </c>
      <c r="S626" s="203"/>
      <c r="W626" s="198" t="s">
        <v>51</v>
      </c>
      <c r="AE626" s="198" t="s">
        <v>54</v>
      </c>
    </row>
    <row r="627" spans="3:31" x14ac:dyDescent="0.25">
      <c r="C627" s="201"/>
      <c r="E627" s="201"/>
      <c r="F627" s="201"/>
      <c r="I627" s="198" t="s">
        <v>583</v>
      </c>
      <c r="J627" s="198" t="s">
        <v>134</v>
      </c>
      <c r="K627" s="202">
        <f t="shared" si="9"/>
        <v>324359.99999999948</v>
      </c>
      <c r="L627" s="202">
        <v>63.599999999999902</v>
      </c>
      <c r="N627" s="202">
        <v>5214075</v>
      </c>
      <c r="S627" s="203"/>
      <c r="W627" s="198" t="s">
        <v>51</v>
      </c>
      <c r="AE627" s="198" t="s">
        <v>54</v>
      </c>
    </row>
    <row r="628" spans="3:31" x14ac:dyDescent="0.25">
      <c r="C628" s="201"/>
      <c r="E628" s="201"/>
      <c r="F628" s="201"/>
      <c r="I628" s="198" t="s">
        <v>843</v>
      </c>
      <c r="J628" s="198" t="s">
        <v>137</v>
      </c>
      <c r="K628" s="202">
        <f t="shared" si="9"/>
        <v>324869.99999999953</v>
      </c>
      <c r="L628" s="202">
        <v>63.699999999999903</v>
      </c>
      <c r="N628" s="202">
        <v>6264775</v>
      </c>
      <c r="S628" s="203"/>
      <c r="W628" s="198" t="s">
        <v>51</v>
      </c>
      <c r="AE628" s="198" t="s">
        <v>54</v>
      </c>
    </row>
    <row r="629" spans="3:31" x14ac:dyDescent="0.25">
      <c r="C629" s="201"/>
      <c r="E629" s="201"/>
      <c r="F629" s="201"/>
      <c r="I629" s="198" t="s">
        <v>843</v>
      </c>
      <c r="J629" s="198" t="s">
        <v>137</v>
      </c>
      <c r="K629" s="202">
        <f t="shared" si="9"/>
        <v>325379.99999999948</v>
      </c>
      <c r="L629" s="202">
        <v>63.799999999999898</v>
      </c>
      <c r="N629" s="202">
        <v>6274750</v>
      </c>
      <c r="S629" s="203"/>
      <c r="W629" s="198" t="s">
        <v>51</v>
      </c>
      <c r="AE629" s="198" t="s">
        <v>54</v>
      </c>
    </row>
    <row r="630" spans="3:31" x14ac:dyDescent="0.25">
      <c r="C630" s="201"/>
      <c r="E630" s="201"/>
      <c r="F630" s="201"/>
      <c r="I630" s="198" t="s">
        <v>843</v>
      </c>
      <c r="J630" s="198" t="s">
        <v>137</v>
      </c>
      <c r="K630" s="202">
        <f t="shared" si="9"/>
        <v>325889.99999999948</v>
      </c>
      <c r="L630" s="202">
        <v>63.899999999999899</v>
      </c>
      <c r="N630" s="202">
        <v>6275700</v>
      </c>
      <c r="S630" s="203"/>
      <c r="W630" s="198" t="s">
        <v>51</v>
      </c>
      <c r="AE630" s="198" t="s">
        <v>54</v>
      </c>
    </row>
    <row r="631" spans="3:31" x14ac:dyDescent="0.25">
      <c r="C631" s="201"/>
      <c r="E631" s="201"/>
      <c r="F631" s="201"/>
      <c r="I631" s="198" t="s">
        <v>843</v>
      </c>
      <c r="J631" s="198" t="s">
        <v>137</v>
      </c>
      <c r="K631" s="202">
        <f t="shared" si="9"/>
        <v>326399.99999999948</v>
      </c>
      <c r="L631" s="202">
        <v>63.999999999999901</v>
      </c>
      <c r="N631" s="202">
        <v>6274275</v>
      </c>
      <c r="S631" s="203"/>
      <c r="W631" s="198" t="s">
        <v>51</v>
      </c>
      <c r="AE631" s="198" t="s">
        <v>54</v>
      </c>
    </row>
    <row r="632" spans="3:31" x14ac:dyDescent="0.25">
      <c r="C632" s="201"/>
      <c r="E632" s="201"/>
      <c r="F632" s="201"/>
      <c r="I632" s="198" t="s">
        <v>843</v>
      </c>
      <c r="J632" s="198" t="s">
        <v>137</v>
      </c>
      <c r="K632" s="202">
        <f t="shared" si="9"/>
        <v>326909.99999999948</v>
      </c>
      <c r="L632" s="202">
        <v>64.099999999999895</v>
      </c>
      <c r="N632" s="202">
        <v>6270775</v>
      </c>
      <c r="S632" s="203"/>
      <c r="W632" s="198" t="s">
        <v>51</v>
      </c>
      <c r="AE632" s="198" t="s">
        <v>54</v>
      </c>
    </row>
    <row r="633" spans="3:31" x14ac:dyDescent="0.25">
      <c r="C633" s="201"/>
      <c r="E633" s="201"/>
      <c r="F633" s="201"/>
      <c r="I633" s="198" t="s">
        <v>843</v>
      </c>
      <c r="J633" s="198" t="s">
        <v>137</v>
      </c>
      <c r="K633" s="202">
        <f t="shared" si="9"/>
        <v>327419.99999999953</v>
      </c>
      <c r="L633" s="202">
        <v>64.199999999999903</v>
      </c>
      <c r="N633" s="202">
        <v>6267625</v>
      </c>
      <c r="S633" s="203"/>
      <c r="W633" s="198" t="s">
        <v>51</v>
      </c>
      <c r="AE633" s="198" t="s">
        <v>54</v>
      </c>
    </row>
    <row r="634" spans="3:31" x14ac:dyDescent="0.25">
      <c r="C634" s="201"/>
      <c r="E634" s="201"/>
      <c r="F634" s="201"/>
      <c r="I634" s="198" t="s">
        <v>843</v>
      </c>
      <c r="J634" s="198" t="s">
        <v>137</v>
      </c>
      <c r="K634" s="202">
        <f t="shared" si="9"/>
        <v>327929.99999999948</v>
      </c>
      <c r="L634" s="202">
        <v>64.299999999999898</v>
      </c>
      <c r="N634" s="202">
        <v>6276700</v>
      </c>
      <c r="S634" s="203"/>
      <c r="W634" s="198" t="s">
        <v>51</v>
      </c>
      <c r="AE634" s="198" t="s">
        <v>54</v>
      </c>
    </row>
    <row r="635" spans="3:31" x14ac:dyDescent="0.25">
      <c r="C635" s="201"/>
      <c r="E635" s="201"/>
      <c r="F635" s="201"/>
      <c r="I635" s="198" t="s">
        <v>82</v>
      </c>
      <c r="J635" s="198" t="s">
        <v>89</v>
      </c>
      <c r="K635" s="202">
        <f t="shared" si="9"/>
        <v>328439.99999999953</v>
      </c>
      <c r="L635" s="202">
        <v>64.399999999999906</v>
      </c>
      <c r="N635" s="202">
        <v>520000</v>
      </c>
      <c r="S635" s="204"/>
      <c r="W635" s="198" t="s">
        <v>51</v>
      </c>
      <c r="AE635" s="198" t="s">
        <v>831</v>
      </c>
    </row>
    <row r="636" spans="3:31" x14ac:dyDescent="0.25">
      <c r="C636" s="201"/>
      <c r="E636" s="201"/>
      <c r="F636" s="201"/>
      <c r="I636" s="198" t="s">
        <v>82</v>
      </c>
      <c r="J636" s="198" t="s">
        <v>89</v>
      </c>
      <c r="K636" s="202">
        <f t="shared" si="9"/>
        <v>328949.99999999948</v>
      </c>
      <c r="L636" s="202">
        <v>64.499999999999901</v>
      </c>
      <c r="N636" s="202">
        <v>520000</v>
      </c>
      <c r="S636" s="204"/>
      <c r="W636" s="198" t="s">
        <v>51</v>
      </c>
      <c r="AE636" s="198" t="s">
        <v>831</v>
      </c>
    </row>
    <row r="637" spans="3:31" x14ac:dyDescent="0.25">
      <c r="C637" s="201"/>
      <c r="E637" s="201"/>
      <c r="F637" s="201"/>
      <c r="I637" s="198" t="s">
        <v>82</v>
      </c>
      <c r="J637" s="198" t="s">
        <v>89</v>
      </c>
      <c r="K637" s="202">
        <f t="shared" si="9"/>
        <v>329459.99999999948</v>
      </c>
      <c r="L637" s="202">
        <v>64.599999999999895</v>
      </c>
      <c r="N637" s="202">
        <v>520000</v>
      </c>
      <c r="S637" s="204"/>
      <c r="W637" s="198" t="s">
        <v>51</v>
      </c>
      <c r="AE637" s="198" t="s">
        <v>831</v>
      </c>
    </row>
    <row r="638" spans="3:31" x14ac:dyDescent="0.25">
      <c r="C638" s="201"/>
      <c r="E638" s="201"/>
      <c r="F638" s="201"/>
      <c r="I638" s="198" t="s">
        <v>82</v>
      </c>
      <c r="J638" s="198" t="s">
        <v>89</v>
      </c>
      <c r="K638" s="202">
        <f t="shared" si="9"/>
        <v>329969.99999999953</v>
      </c>
      <c r="L638" s="202">
        <v>64.699999999999903</v>
      </c>
      <c r="N638" s="202">
        <v>520000</v>
      </c>
      <c r="S638" s="204"/>
      <c r="W638" s="198" t="s">
        <v>51</v>
      </c>
      <c r="AE638" s="198" t="s">
        <v>831</v>
      </c>
    </row>
    <row r="639" spans="3:31" x14ac:dyDescent="0.25">
      <c r="C639" s="201"/>
      <c r="E639" s="201"/>
      <c r="F639" s="201"/>
      <c r="I639" s="198" t="s">
        <v>362</v>
      </c>
      <c r="J639" s="198" t="s">
        <v>132</v>
      </c>
      <c r="K639" s="202">
        <f t="shared" si="9"/>
        <v>330479.99999999948</v>
      </c>
      <c r="L639" s="202">
        <v>64.799999999999898</v>
      </c>
      <c r="N639" s="202">
        <v>16544397</v>
      </c>
      <c r="S639" s="204"/>
      <c r="W639" s="198" t="s">
        <v>51</v>
      </c>
      <c r="AE639" s="198" t="s">
        <v>833</v>
      </c>
    </row>
    <row r="640" spans="3:31" x14ac:dyDescent="0.25">
      <c r="C640" s="201"/>
      <c r="E640" s="201"/>
      <c r="F640" s="201"/>
      <c r="I640" s="198" t="s">
        <v>847</v>
      </c>
      <c r="J640" s="198" t="s">
        <v>137</v>
      </c>
      <c r="K640" s="202">
        <f t="shared" si="9"/>
        <v>330989.99999999953</v>
      </c>
      <c r="L640" s="202">
        <v>64.899999999999906</v>
      </c>
      <c r="N640" s="202">
        <v>7114930</v>
      </c>
      <c r="S640" s="203"/>
      <c r="W640" s="198" t="s">
        <v>51</v>
      </c>
      <c r="AE640" s="198" t="s">
        <v>54</v>
      </c>
    </row>
    <row r="641" spans="3:31" x14ac:dyDescent="0.25">
      <c r="C641" s="201"/>
      <c r="E641" s="201"/>
      <c r="F641" s="201"/>
      <c r="I641" s="198" t="s">
        <v>847</v>
      </c>
      <c r="J641" s="198" t="s">
        <v>137</v>
      </c>
      <c r="K641" s="202">
        <f t="shared" si="9"/>
        <v>331499.99999999948</v>
      </c>
      <c r="L641" s="202">
        <v>64.999999999999901</v>
      </c>
      <c r="N641" s="202">
        <v>6862780</v>
      </c>
      <c r="S641" s="203"/>
      <c r="W641" s="198" t="s">
        <v>51</v>
      </c>
      <c r="AE641" s="198" t="s">
        <v>54</v>
      </c>
    </row>
    <row r="642" spans="3:31" x14ac:dyDescent="0.25">
      <c r="C642" s="201"/>
      <c r="E642" s="201"/>
      <c r="F642" s="201"/>
      <c r="I642" s="198" t="s">
        <v>847</v>
      </c>
      <c r="J642" s="198" t="s">
        <v>137</v>
      </c>
      <c r="K642" s="202">
        <f t="shared" si="9"/>
        <v>332009.99999999948</v>
      </c>
      <c r="L642" s="202">
        <v>65.099999999999895</v>
      </c>
      <c r="N642" s="202">
        <v>7138718</v>
      </c>
      <c r="S642" s="203"/>
      <c r="W642" s="198" t="s">
        <v>51</v>
      </c>
      <c r="AE642" s="198" t="s">
        <v>54</v>
      </c>
    </row>
    <row r="643" spans="3:31" x14ac:dyDescent="0.25">
      <c r="C643" s="201"/>
      <c r="E643" s="201"/>
      <c r="F643" s="201"/>
      <c r="I643" s="198" t="s">
        <v>136</v>
      </c>
      <c r="J643" s="198" t="s">
        <v>137</v>
      </c>
      <c r="K643" s="202">
        <f t="shared" ref="K643:K706" si="10">L643*5100</f>
        <v>332519.99999999953</v>
      </c>
      <c r="L643" s="202">
        <v>65.199999999999903</v>
      </c>
      <c r="N643" s="202">
        <v>99000</v>
      </c>
      <c r="S643" s="204"/>
      <c r="W643" s="198" t="s">
        <v>51</v>
      </c>
      <c r="AE643" s="198" t="s">
        <v>844</v>
      </c>
    </row>
    <row r="644" spans="3:31" x14ac:dyDescent="0.25">
      <c r="C644" s="201"/>
      <c r="E644" s="201"/>
      <c r="F644" s="201"/>
      <c r="I644" s="198" t="s">
        <v>136</v>
      </c>
      <c r="J644" s="198" t="s">
        <v>137</v>
      </c>
      <c r="K644" s="202">
        <f t="shared" si="10"/>
        <v>333029.99999999948</v>
      </c>
      <c r="L644" s="202">
        <v>65.299999999999898</v>
      </c>
      <c r="N644" s="202">
        <v>-99000</v>
      </c>
      <c r="S644" s="204"/>
      <c r="W644" s="198" t="s">
        <v>51</v>
      </c>
      <c r="AE644" s="198" t="s">
        <v>844</v>
      </c>
    </row>
    <row r="645" spans="3:31" x14ac:dyDescent="0.25">
      <c r="C645" s="201"/>
      <c r="E645" s="201"/>
      <c r="F645" s="201"/>
      <c r="I645" s="198" t="s">
        <v>136</v>
      </c>
      <c r="J645" s="198" t="s">
        <v>137</v>
      </c>
      <c r="K645" s="202">
        <f t="shared" si="10"/>
        <v>333539.99999999953</v>
      </c>
      <c r="L645" s="202">
        <v>65.399999999999906</v>
      </c>
      <c r="N645" s="202">
        <v>99000</v>
      </c>
      <c r="S645" s="204"/>
      <c r="W645" s="198" t="s">
        <v>51</v>
      </c>
      <c r="AE645" s="198" t="s">
        <v>844</v>
      </c>
    </row>
    <row r="646" spans="3:31" x14ac:dyDescent="0.25">
      <c r="C646" s="201"/>
      <c r="E646" s="201"/>
      <c r="F646" s="201"/>
      <c r="I646" s="198" t="s">
        <v>136</v>
      </c>
      <c r="J646" s="198" t="s">
        <v>137</v>
      </c>
      <c r="K646" s="202">
        <f t="shared" si="10"/>
        <v>334049.99999999948</v>
      </c>
      <c r="L646" s="202">
        <v>65.499999999999901</v>
      </c>
      <c r="N646" s="202">
        <v>639646</v>
      </c>
      <c r="S646" s="204"/>
      <c r="W646" s="198" t="s">
        <v>51</v>
      </c>
      <c r="AE646" s="198" t="s">
        <v>844</v>
      </c>
    </row>
    <row r="647" spans="3:31" x14ac:dyDescent="0.25">
      <c r="C647" s="201"/>
      <c r="E647" s="201"/>
      <c r="F647" s="201"/>
      <c r="I647" s="198" t="s">
        <v>847</v>
      </c>
      <c r="J647" s="198" t="s">
        <v>137</v>
      </c>
      <c r="K647" s="202">
        <f t="shared" si="10"/>
        <v>334559.99999999948</v>
      </c>
      <c r="L647" s="202">
        <v>65.599999999999895</v>
      </c>
      <c r="N647" s="202">
        <v>7114930</v>
      </c>
      <c r="S647" s="203"/>
      <c r="W647" s="198" t="s">
        <v>51</v>
      </c>
      <c r="AE647" s="198" t="s">
        <v>54</v>
      </c>
    </row>
    <row r="648" spans="3:31" x14ac:dyDescent="0.25">
      <c r="C648" s="201"/>
      <c r="E648" s="201"/>
      <c r="F648" s="201"/>
      <c r="I648" s="198" t="s">
        <v>847</v>
      </c>
      <c r="J648" s="198" t="s">
        <v>137</v>
      </c>
      <c r="K648" s="202">
        <f t="shared" si="10"/>
        <v>335069.99999999953</v>
      </c>
      <c r="L648" s="202">
        <v>65.699999999999903</v>
      </c>
      <c r="N648" s="202">
        <v>6862780</v>
      </c>
      <c r="S648" s="203"/>
      <c r="W648" s="198" t="s">
        <v>51</v>
      </c>
      <c r="AE648" s="198" t="s">
        <v>54</v>
      </c>
    </row>
    <row r="649" spans="3:31" x14ac:dyDescent="0.25">
      <c r="C649" s="201"/>
      <c r="E649" s="201"/>
      <c r="F649" s="201"/>
      <c r="I649" s="198" t="s">
        <v>847</v>
      </c>
      <c r="J649" s="198" t="s">
        <v>137</v>
      </c>
      <c r="K649" s="202">
        <f t="shared" si="10"/>
        <v>335579.99999999948</v>
      </c>
      <c r="L649" s="202">
        <v>65.799999999999898</v>
      </c>
      <c r="N649" s="202">
        <v>7138718</v>
      </c>
      <c r="S649" s="203"/>
      <c r="W649" s="198" t="s">
        <v>51</v>
      </c>
      <c r="AE649" s="198" t="s">
        <v>54</v>
      </c>
    </row>
    <row r="650" spans="3:31" x14ac:dyDescent="0.25">
      <c r="C650" s="201"/>
      <c r="E650" s="201"/>
      <c r="F650" s="201"/>
      <c r="I650" s="198" t="s">
        <v>847</v>
      </c>
      <c r="J650" s="198" t="s">
        <v>137</v>
      </c>
      <c r="K650" s="202">
        <f t="shared" si="10"/>
        <v>336089.99999999953</v>
      </c>
      <c r="L650" s="202">
        <v>65.899999999999906</v>
      </c>
      <c r="N650" s="202">
        <v>7119585</v>
      </c>
      <c r="S650" s="203"/>
      <c r="W650" s="198" t="s">
        <v>51</v>
      </c>
      <c r="AE650" s="198" t="s">
        <v>54</v>
      </c>
    </row>
    <row r="651" spans="3:31" x14ac:dyDescent="0.25">
      <c r="C651" s="201"/>
      <c r="E651" s="201"/>
      <c r="F651" s="201"/>
      <c r="I651" s="198" t="s">
        <v>847</v>
      </c>
      <c r="J651" s="198" t="s">
        <v>137</v>
      </c>
      <c r="K651" s="202">
        <f t="shared" si="10"/>
        <v>336599.99999999948</v>
      </c>
      <c r="L651" s="202">
        <v>65.999999999999901</v>
      </c>
      <c r="N651" s="202">
        <v>7164885</v>
      </c>
      <c r="S651" s="203"/>
      <c r="W651" s="198" t="s">
        <v>51</v>
      </c>
      <c r="AE651" s="198" t="s">
        <v>54</v>
      </c>
    </row>
    <row r="652" spans="3:31" x14ac:dyDescent="0.25">
      <c r="C652" s="201"/>
      <c r="E652" s="201"/>
      <c r="F652" s="201"/>
      <c r="I652" s="198" t="s">
        <v>847</v>
      </c>
      <c r="J652" s="198" t="s">
        <v>137</v>
      </c>
      <c r="K652" s="202">
        <f t="shared" si="10"/>
        <v>337109.99999999948</v>
      </c>
      <c r="L652" s="202">
        <v>66.099999999999895</v>
      </c>
      <c r="N652" s="202">
        <v>7091143</v>
      </c>
      <c r="S652" s="203"/>
      <c r="W652" s="198" t="s">
        <v>51</v>
      </c>
      <c r="AE652" s="198" t="s">
        <v>54</v>
      </c>
    </row>
    <row r="653" spans="3:31" x14ac:dyDescent="0.25">
      <c r="C653" s="201"/>
      <c r="E653" s="201"/>
      <c r="F653" s="201"/>
      <c r="I653" s="198" t="s">
        <v>847</v>
      </c>
      <c r="J653" s="198" t="s">
        <v>137</v>
      </c>
      <c r="K653" s="202">
        <f t="shared" si="10"/>
        <v>337619.99999999953</v>
      </c>
      <c r="L653" s="202">
        <v>66.199999999999903</v>
      </c>
      <c r="N653" s="202">
        <v>7124446</v>
      </c>
      <c r="S653" s="203"/>
      <c r="W653" s="198" t="s">
        <v>51</v>
      </c>
      <c r="AE653" s="198" t="s">
        <v>54</v>
      </c>
    </row>
    <row r="654" spans="3:31" x14ac:dyDescent="0.25">
      <c r="C654" s="201"/>
      <c r="E654" s="201"/>
      <c r="F654" s="201"/>
      <c r="I654" s="198" t="s">
        <v>847</v>
      </c>
      <c r="J654" s="198" t="s">
        <v>137</v>
      </c>
      <c r="K654" s="202">
        <f t="shared" si="10"/>
        <v>338129.99999999948</v>
      </c>
      <c r="L654" s="202">
        <v>66.299999999999898</v>
      </c>
      <c r="N654" s="202">
        <v>7122067</v>
      </c>
      <c r="S654" s="203"/>
      <c r="W654" s="198" t="s">
        <v>51</v>
      </c>
      <c r="AE654" s="198" t="s">
        <v>54</v>
      </c>
    </row>
    <row r="655" spans="3:31" x14ac:dyDescent="0.25">
      <c r="C655" s="201"/>
      <c r="E655" s="201"/>
      <c r="F655" s="201"/>
      <c r="I655" s="198" t="s">
        <v>847</v>
      </c>
      <c r="J655" s="198" t="s">
        <v>137</v>
      </c>
      <c r="K655" s="202">
        <f t="shared" si="10"/>
        <v>338639.99999999953</v>
      </c>
      <c r="L655" s="202">
        <v>66.399999999999906</v>
      </c>
      <c r="N655" s="202">
        <v>7114930</v>
      </c>
      <c r="S655" s="203"/>
      <c r="W655" s="198" t="s">
        <v>51</v>
      </c>
      <c r="AE655" s="198" t="s">
        <v>54</v>
      </c>
    </row>
    <row r="656" spans="3:31" x14ac:dyDescent="0.25">
      <c r="C656" s="201"/>
      <c r="E656" s="201"/>
      <c r="F656" s="201"/>
      <c r="I656" s="198" t="s">
        <v>847</v>
      </c>
      <c r="J656" s="198" t="s">
        <v>137</v>
      </c>
      <c r="K656" s="202">
        <f t="shared" si="10"/>
        <v>339149.99999999948</v>
      </c>
      <c r="L656" s="202">
        <v>66.499999999999901</v>
      </c>
      <c r="N656" s="202">
        <v>6270475</v>
      </c>
      <c r="S656" s="203"/>
      <c r="W656" s="198" t="s">
        <v>51</v>
      </c>
      <c r="AE656" s="198" t="s">
        <v>54</v>
      </c>
    </row>
    <row r="657" spans="3:31" x14ac:dyDescent="0.25">
      <c r="C657" s="201"/>
      <c r="E657" s="201"/>
      <c r="F657" s="201"/>
      <c r="I657" s="198" t="s">
        <v>848</v>
      </c>
      <c r="J657" s="198" t="s">
        <v>193</v>
      </c>
      <c r="K657" s="202">
        <f t="shared" si="10"/>
        <v>339659.99999999948</v>
      </c>
      <c r="L657" s="202">
        <v>66.599999999999895</v>
      </c>
      <c r="N657" s="202">
        <v>892500</v>
      </c>
      <c r="S657" s="203"/>
      <c r="W657" s="198" t="s">
        <v>51</v>
      </c>
      <c r="AE657" s="198" t="s">
        <v>54</v>
      </c>
    </row>
    <row r="658" spans="3:31" x14ac:dyDescent="0.25">
      <c r="C658" s="201"/>
      <c r="E658" s="201"/>
      <c r="F658" s="201"/>
      <c r="I658" s="198" t="s">
        <v>849</v>
      </c>
      <c r="J658" s="198" t="s">
        <v>169</v>
      </c>
      <c r="K658" s="202">
        <f t="shared" si="10"/>
        <v>340169.99999999953</v>
      </c>
      <c r="L658" s="202">
        <v>66.699999999999903</v>
      </c>
      <c r="N658" s="202">
        <v>2000000</v>
      </c>
      <c r="S658" s="203"/>
      <c r="W658" s="198" t="s">
        <v>51</v>
      </c>
      <c r="AE658" s="198" t="s">
        <v>54</v>
      </c>
    </row>
    <row r="659" spans="3:31" x14ac:dyDescent="0.25">
      <c r="C659" s="201"/>
      <c r="E659" s="201"/>
      <c r="F659" s="201"/>
      <c r="I659" s="198" t="s">
        <v>850</v>
      </c>
      <c r="J659" s="198" t="s">
        <v>153</v>
      </c>
      <c r="K659" s="202">
        <f t="shared" si="10"/>
        <v>340679.99999999948</v>
      </c>
      <c r="L659" s="202">
        <v>66.799999999999898</v>
      </c>
      <c r="N659" s="202">
        <v>78000</v>
      </c>
      <c r="S659" s="203"/>
      <c r="W659" s="198" t="s">
        <v>51</v>
      </c>
      <c r="AE659" s="198" t="s">
        <v>54</v>
      </c>
    </row>
    <row r="660" spans="3:31" x14ac:dyDescent="0.25">
      <c r="C660" s="201"/>
      <c r="E660" s="201"/>
      <c r="F660" s="201"/>
      <c r="I660" s="198" t="s">
        <v>848</v>
      </c>
      <c r="J660" s="198" t="s">
        <v>193</v>
      </c>
      <c r="K660" s="202">
        <f t="shared" si="10"/>
        <v>341189.99999999953</v>
      </c>
      <c r="L660" s="202">
        <v>66.899999999999906</v>
      </c>
      <c r="N660" s="202">
        <v>86855</v>
      </c>
      <c r="S660" s="203"/>
      <c r="W660" s="198" t="s">
        <v>51</v>
      </c>
      <c r="AE660" s="198" t="s">
        <v>54</v>
      </c>
    </row>
    <row r="661" spans="3:31" x14ac:dyDescent="0.25">
      <c r="C661" s="201"/>
      <c r="E661" s="201"/>
      <c r="F661" s="201"/>
      <c r="I661" s="198" t="s">
        <v>851</v>
      </c>
      <c r="J661" s="198" t="s">
        <v>274</v>
      </c>
      <c r="K661" s="202">
        <f t="shared" si="10"/>
        <v>341699.99999999948</v>
      </c>
      <c r="L661" s="202">
        <v>66.999999999999901</v>
      </c>
      <c r="N661" s="202">
        <v>56855</v>
      </c>
      <c r="S661" s="203"/>
      <c r="W661" s="198" t="s">
        <v>51</v>
      </c>
      <c r="AE661" s="198" t="s">
        <v>54</v>
      </c>
    </row>
    <row r="662" spans="3:31" x14ac:dyDescent="0.25">
      <c r="C662" s="201"/>
      <c r="E662" s="201"/>
      <c r="F662" s="201"/>
      <c r="I662" s="198" t="s">
        <v>1772</v>
      </c>
      <c r="J662" s="198" t="s">
        <v>148</v>
      </c>
      <c r="K662" s="202">
        <f t="shared" si="10"/>
        <v>342209.99999999948</v>
      </c>
      <c r="L662" s="202">
        <v>67.099999999999895</v>
      </c>
      <c r="N662" s="202">
        <v>56855</v>
      </c>
      <c r="S662" s="203"/>
      <c r="W662" s="198" t="s">
        <v>51</v>
      </c>
      <c r="AE662" s="198" t="s">
        <v>54</v>
      </c>
    </row>
    <row r="663" spans="3:31" x14ac:dyDescent="0.25">
      <c r="C663" s="201"/>
      <c r="E663" s="201"/>
      <c r="F663" s="201"/>
      <c r="I663" s="198" t="s">
        <v>852</v>
      </c>
      <c r="J663" s="198" t="s">
        <v>65</v>
      </c>
      <c r="K663" s="202">
        <f t="shared" si="10"/>
        <v>342719.99999999953</v>
      </c>
      <c r="L663" s="202">
        <v>67.199999999999903</v>
      </c>
      <c r="N663" s="202">
        <v>19274025</v>
      </c>
      <c r="S663" s="203"/>
      <c r="W663" s="198" t="s">
        <v>51</v>
      </c>
      <c r="AE663" s="198" t="s">
        <v>54</v>
      </c>
    </row>
    <row r="664" spans="3:31" x14ac:dyDescent="0.25">
      <c r="C664" s="201"/>
      <c r="E664" s="201"/>
      <c r="F664" s="201"/>
      <c r="I664" s="198" t="s">
        <v>853</v>
      </c>
      <c r="J664" s="198" t="s">
        <v>167</v>
      </c>
      <c r="K664" s="202">
        <f t="shared" si="10"/>
        <v>343229.99999999948</v>
      </c>
      <c r="L664" s="202">
        <v>67.299999999999898</v>
      </c>
      <c r="N664" s="202">
        <v>24485431</v>
      </c>
      <c r="S664" s="203"/>
      <c r="W664" s="198" t="s">
        <v>51</v>
      </c>
      <c r="AE664" s="198" t="s">
        <v>54</v>
      </c>
    </row>
    <row r="665" spans="3:31" x14ac:dyDescent="0.25">
      <c r="C665" s="201"/>
      <c r="E665" s="201"/>
      <c r="F665" s="201"/>
      <c r="I665" s="198" t="s">
        <v>851</v>
      </c>
      <c r="J665" s="198" t="s">
        <v>274</v>
      </c>
      <c r="K665" s="202">
        <f t="shared" si="10"/>
        <v>343739.99999999953</v>
      </c>
      <c r="L665" s="202">
        <v>67.399999999999906</v>
      </c>
      <c r="N665" s="202">
        <v>892500</v>
      </c>
      <c r="S665" s="203"/>
      <c r="W665" s="198" t="s">
        <v>51</v>
      </c>
      <c r="AE665" s="198" t="s">
        <v>54</v>
      </c>
    </row>
    <row r="666" spans="3:31" x14ac:dyDescent="0.25">
      <c r="C666" s="201"/>
      <c r="E666" s="201"/>
      <c r="F666" s="201"/>
      <c r="I666" s="198" t="s">
        <v>851</v>
      </c>
      <c r="J666" s="198" t="s">
        <v>274</v>
      </c>
      <c r="K666" s="202">
        <f t="shared" si="10"/>
        <v>344249.99999999948</v>
      </c>
      <c r="L666" s="202">
        <v>67.499999999999901</v>
      </c>
      <c r="N666" s="202">
        <v>1190000</v>
      </c>
      <c r="S666" s="203"/>
      <c r="W666" s="198" t="s">
        <v>51</v>
      </c>
      <c r="AE666" s="198" t="s">
        <v>54</v>
      </c>
    </row>
    <row r="667" spans="3:31" x14ac:dyDescent="0.25">
      <c r="C667" s="201"/>
      <c r="E667" s="201"/>
      <c r="F667" s="201"/>
      <c r="I667" s="198" t="s">
        <v>854</v>
      </c>
      <c r="J667" s="198" t="s">
        <v>143</v>
      </c>
      <c r="K667" s="202">
        <f t="shared" si="10"/>
        <v>344759.99999999948</v>
      </c>
      <c r="L667" s="202">
        <v>67.599999999999895</v>
      </c>
      <c r="N667" s="202">
        <v>1190000</v>
      </c>
      <c r="S667" s="203"/>
      <c r="W667" s="198" t="s">
        <v>51</v>
      </c>
      <c r="AE667" s="198" t="s">
        <v>54</v>
      </c>
    </row>
    <row r="668" spans="3:31" x14ac:dyDescent="0.25">
      <c r="C668" s="201"/>
      <c r="E668" s="201"/>
      <c r="F668" s="201"/>
      <c r="I668" s="198" t="s">
        <v>850</v>
      </c>
      <c r="J668" s="198" t="s">
        <v>153</v>
      </c>
      <c r="K668" s="202">
        <f t="shared" si="10"/>
        <v>345269.99999999953</v>
      </c>
      <c r="L668" s="202">
        <v>67.699999999999903</v>
      </c>
      <c r="N668" s="202">
        <v>892500</v>
      </c>
      <c r="S668" s="203"/>
      <c r="W668" s="198" t="s">
        <v>51</v>
      </c>
      <c r="AE668" s="198" t="s">
        <v>54</v>
      </c>
    </row>
    <row r="669" spans="3:31" x14ac:dyDescent="0.25">
      <c r="C669" s="201"/>
      <c r="E669" s="201"/>
      <c r="F669" s="201"/>
      <c r="I669" s="198" t="s">
        <v>850</v>
      </c>
      <c r="J669" s="198" t="s">
        <v>153</v>
      </c>
      <c r="K669" s="202">
        <f t="shared" si="10"/>
        <v>345779.99999999948</v>
      </c>
      <c r="L669" s="202">
        <v>67.799999999999898</v>
      </c>
      <c r="N669" s="202">
        <v>1190000</v>
      </c>
      <c r="S669" s="203"/>
      <c r="W669" s="198" t="s">
        <v>51</v>
      </c>
      <c r="AE669" s="198" t="s">
        <v>54</v>
      </c>
    </row>
    <row r="670" spans="3:31" x14ac:dyDescent="0.25">
      <c r="C670" s="201"/>
      <c r="E670" s="201"/>
      <c r="F670" s="201"/>
      <c r="I670" s="198" t="s">
        <v>848</v>
      </c>
      <c r="J670" s="198" t="s">
        <v>193</v>
      </c>
      <c r="K670" s="202">
        <f t="shared" si="10"/>
        <v>346289.99999999953</v>
      </c>
      <c r="L670" s="202">
        <v>67.899999999999906</v>
      </c>
      <c r="N670" s="202">
        <v>1190000</v>
      </c>
      <c r="S670" s="203"/>
      <c r="W670" s="198" t="s">
        <v>51</v>
      </c>
      <c r="AE670" s="198" t="s">
        <v>54</v>
      </c>
    </row>
    <row r="671" spans="3:31" x14ac:dyDescent="0.25">
      <c r="C671" s="201"/>
      <c r="E671" s="201"/>
      <c r="F671" s="201"/>
      <c r="I671" s="198" t="s">
        <v>855</v>
      </c>
      <c r="J671" s="198" t="s">
        <v>156</v>
      </c>
      <c r="K671" s="202">
        <f t="shared" si="10"/>
        <v>346799.99999999948</v>
      </c>
      <c r="L671" s="202">
        <v>67.999999999999901</v>
      </c>
      <c r="N671" s="202">
        <v>1190000</v>
      </c>
      <c r="S671" s="203"/>
      <c r="W671" s="198" t="s">
        <v>51</v>
      </c>
      <c r="AE671" s="198" t="s">
        <v>54</v>
      </c>
    </row>
    <row r="672" spans="3:31" x14ac:dyDescent="0.25">
      <c r="C672" s="201"/>
      <c r="E672" s="201"/>
      <c r="F672" s="201"/>
      <c r="I672" s="198" t="s">
        <v>855</v>
      </c>
      <c r="J672" s="198" t="s">
        <v>156</v>
      </c>
      <c r="K672" s="202">
        <f t="shared" si="10"/>
        <v>347309.99999999948</v>
      </c>
      <c r="L672" s="202">
        <v>68.099999999999895</v>
      </c>
      <c r="N672" s="202">
        <v>666000</v>
      </c>
      <c r="S672" s="203"/>
      <c r="W672" s="198" t="s">
        <v>51</v>
      </c>
      <c r="AE672" s="198" t="s">
        <v>54</v>
      </c>
    </row>
    <row r="673" spans="3:31" x14ac:dyDescent="0.25">
      <c r="C673" s="201"/>
      <c r="E673" s="201"/>
      <c r="F673" s="201"/>
      <c r="I673" s="198" t="s">
        <v>850</v>
      </c>
      <c r="J673" s="198" t="s">
        <v>153</v>
      </c>
      <c r="K673" s="202">
        <f t="shared" si="10"/>
        <v>347819.99999999953</v>
      </c>
      <c r="L673" s="202">
        <v>68.199999999999903</v>
      </c>
      <c r="N673" s="202">
        <v>666000</v>
      </c>
      <c r="S673" s="203"/>
      <c r="W673" s="198" t="s">
        <v>51</v>
      </c>
      <c r="AE673" s="198" t="s">
        <v>54</v>
      </c>
    </row>
    <row r="674" spans="3:31" x14ac:dyDescent="0.25">
      <c r="C674" s="201"/>
      <c r="E674" s="201"/>
      <c r="F674" s="201"/>
      <c r="I674" s="198" t="s">
        <v>851</v>
      </c>
      <c r="J674" s="198" t="s">
        <v>274</v>
      </c>
      <c r="K674" s="202">
        <f t="shared" si="10"/>
        <v>348329.99999999948</v>
      </c>
      <c r="L674" s="202">
        <v>68.299999999999898</v>
      </c>
      <c r="N674" s="202">
        <v>666000</v>
      </c>
      <c r="S674" s="203"/>
      <c r="W674" s="198" t="s">
        <v>51</v>
      </c>
      <c r="AE674" s="198" t="s">
        <v>54</v>
      </c>
    </row>
    <row r="675" spans="3:31" x14ac:dyDescent="0.25">
      <c r="C675" s="201"/>
      <c r="E675" s="201"/>
      <c r="F675" s="201"/>
      <c r="I675" s="198" t="s">
        <v>854</v>
      </c>
      <c r="J675" s="198" t="s">
        <v>143</v>
      </c>
      <c r="K675" s="202">
        <f t="shared" si="10"/>
        <v>348839.99999999953</v>
      </c>
      <c r="L675" s="202">
        <v>68.399999999999906</v>
      </c>
      <c r="N675" s="202">
        <v>90742</v>
      </c>
      <c r="S675" s="203"/>
      <c r="W675" s="198" t="s">
        <v>51</v>
      </c>
      <c r="AE675" s="198" t="s">
        <v>54</v>
      </c>
    </row>
    <row r="676" spans="3:31" x14ac:dyDescent="0.25">
      <c r="C676" s="201"/>
      <c r="E676" s="201"/>
      <c r="F676" s="201"/>
      <c r="I676" s="198" t="s">
        <v>856</v>
      </c>
      <c r="J676" s="198" t="s">
        <v>112</v>
      </c>
      <c r="K676" s="202">
        <f t="shared" si="10"/>
        <v>349349.99999999948</v>
      </c>
      <c r="L676" s="202">
        <v>68.499999999999901</v>
      </c>
      <c r="N676" s="202">
        <v>202444</v>
      </c>
      <c r="S676" s="203"/>
      <c r="W676" s="198" t="s">
        <v>51</v>
      </c>
      <c r="AE676" s="198" t="s">
        <v>54</v>
      </c>
    </row>
    <row r="677" spans="3:31" x14ac:dyDescent="0.25">
      <c r="C677" s="201"/>
      <c r="E677" s="201"/>
      <c r="F677" s="201"/>
      <c r="I677" s="198" t="s">
        <v>847</v>
      </c>
      <c r="J677" s="198" t="s">
        <v>137</v>
      </c>
      <c r="K677" s="202">
        <f t="shared" si="10"/>
        <v>349859.99999999948</v>
      </c>
      <c r="L677" s="202">
        <v>68.599999999999895</v>
      </c>
      <c r="N677" s="202">
        <v>7119585</v>
      </c>
      <c r="S677" s="203"/>
      <c r="W677" s="198" t="s">
        <v>51</v>
      </c>
      <c r="AE677" s="198" t="s">
        <v>54</v>
      </c>
    </row>
    <row r="678" spans="3:31" x14ac:dyDescent="0.25">
      <c r="C678" s="201"/>
      <c r="E678" s="201"/>
      <c r="F678" s="201"/>
      <c r="I678" s="198" t="s">
        <v>847</v>
      </c>
      <c r="J678" s="198" t="s">
        <v>137</v>
      </c>
      <c r="K678" s="202">
        <f t="shared" si="10"/>
        <v>350369.99999999953</v>
      </c>
      <c r="L678" s="202">
        <v>68.699999999999903</v>
      </c>
      <c r="N678" s="202">
        <v>7164885</v>
      </c>
      <c r="S678" s="203"/>
      <c r="W678" s="198" t="s">
        <v>51</v>
      </c>
      <c r="AE678" s="198" t="s">
        <v>54</v>
      </c>
    </row>
    <row r="679" spans="3:31" x14ac:dyDescent="0.25">
      <c r="C679" s="201"/>
      <c r="E679" s="201"/>
      <c r="F679" s="201"/>
      <c r="I679" s="198" t="s">
        <v>847</v>
      </c>
      <c r="J679" s="198" t="s">
        <v>137</v>
      </c>
      <c r="K679" s="202">
        <f t="shared" si="10"/>
        <v>350879.99999999948</v>
      </c>
      <c r="L679" s="202">
        <v>68.799999999999898</v>
      </c>
      <c r="N679" s="202">
        <v>7091143</v>
      </c>
      <c r="S679" s="203"/>
      <c r="W679" s="198" t="s">
        <v>51</v>
      </c>
      <c r="AE679" s="198" t="s">
        <v>54</v>
      </c>
    </row>
    <row r="680" spans="3:31" x14ac:dyDescent="0.25">
      <c r="C680" s="201"/>
      <c r="E680" s="201"/>
      <c r="F680" s="201"/>
      <c r="I680" s="198" t="s">
        <v>847</v>
      </c>
      <c r="J680" s="198" t="s">
        <v>137</v>
      </c>
      <c r="K680" s="202">
        <f t="shared" si="10"/>
        <v>351389.99999999953</v>
      </c>
      <c r="L680" s="202">
        <v>68.899999999999906</v>
      </c>
      <c r="N680" s="202">
        <v>7124446</v>
      </c>
      <c r="S680" s="203"/>
      <c r="W680" s="198" t="s">
        <v>51</v>
      </c>
      <c r="AE680" s="198" t="s">
        <v>54</v>
      </c>
    </row>
    <row r="681" spans="3:31" x14ac:dyDescent="0.25">
      <c r="C681" s="201"/>
      <c r="E681" s="201"/>
      <c r="F681" s="201"/>
      <c r="I681" s="198" t="s">
        <v>847</v>
      </c>
      <c r="J681" s="198" t="s">
        <v>137</v>
      </c>
      <c r="K681" s="202">
        <f t="shared" si="10"/>
        <v>351899.99999999948</v>
      </c>
      <c r="L681" s="202">
        <v>68.999999999999901</v>
      </c>
      <c r="N681" s="202">
        <v>7122067</v>
      </c>
      <c r="S681" s="203"/>
      <c r="W681" s="198" t="s">
        <v>51</v>
      </c>
      <c r="AE681" s="198" t="s">
        <v>54</v>
      </c>
    </row>
    <row r="682" spans="3:31" x14ac:dyDescent="0.25">
      <c r="C682" s="201"/>
      <c r="E682" s="201"/>
      <c r="F682" s="201"/>
      <c r="I682" s="198" t="s">
        <v>847</v>
      </c>
      <c r="J682" s="198" t="s">
        <v>137</v>
      </c>
      <c r="K682" s="202">
        <f t="shared" si="10"/>
        <v>352409.99999999948</v>
      </c>
      <c r="L682" s="202">
        <v>69.099999999999895</v>
      </c>
      <c r="N682" s="202">
        <v>7114930</v>
      </c>
      <c r="S682" s="203"/>
      <c r="W682" s="198" t="s">
        <v>51</v>
      </c>
      <c r="AE682" s="198" t="s">
        <v>54</v>
      </c>
    </row>
    <row r="683" spans="3:31" x14ac:dyDescent="0.25">
      <c r="C683" s="201"/>
      <c r="E683" s="201"/>
      <c r="F683" s="201"/>
      <c r="I683" s="198" t="s">
        <v>849</v>
      </c>
      <c r="J683" s="198" t="s">
        <v>169</v>
      </c>
      <c r="K683" s="202">
        <f t="shared" si="10"/>
        <v>352919.99999999953</v>
      </c>
      <c r="L683" s="202">
        <v>69.199999999999903</v>
      </c>
      <c r="N683" s="202">
        <v>2000000</v>
      </c>
      <c r="S683" s="203"/>
      <c r="W683" s="198" t="s">
        <v>51</v>
      </c>
      <c r="AE683" s="198" t="s">
        <v>54</v>
      </c>
    </row>
    <row r="684" spans="3:31" x14ac:dyDescent="0.25">
      <c r="C684" s="201"/>
      <c r="E684" s="201"/>
      <c r="F684" s="201"/>
      <c r="I684" s="198" t="s">
        <v>850</v>
      </c>
      <c r="J684" s="198" t="s">
        <v>153</v>
      </c>
      <c r="K684" s="202">
        <f t="shared" si="10"/>
        <v>353429.99999999948</v>
      </c>
      <c r="L684" s="202">
        <v>69.299999999999898</v>
      </c>
      <c r="N684" s="202">
        <v>78000</v>
      </c>
      <c r="S684" s="203"/>
      <c r="W684" s="198" t="s">
        <v>51</v>
      </c>
      <c r="AE684" s="198" t="s">
        <v>54</v>
      </c>
    </row>
    <row r="685" spans="3:31" x14ac:dyDescent="0.25">
      <c r="C685" s="201"/>
      <c r="E685" s="201"/>
      <c r="F685" s="201"/>
      <c r="I685" s="198" t="s">
        <v>848</v>
      </c>
      <c r="J685" s="198" t="s">
        <v>193</v>
      </c>
      <c r="K685" s="202">
        <f t="shared" si="10"/>
        <v>353939.99999999953</v>
      </c>
      <c r="L685" s="202">
        <v>69.399999999999906</v>
      </c>
      <c r="N685" s="202">
        <v>86855</v>
      </c>
      <c r="S685" s="203"/>
      <c r="W685" s="198" t="s">
        <v>51</v>
      </c>
      <c r="AE685" s="198" t="s">
        <v>54</v>
      </c>
    </row>
    <row r="686" spans="3:31" x14ac:dyDescent="0.25">
      <c r="C686" s="201"/>
      <c r="E686" s="201"/>
      <c r="F686" s="201"/>
      <c r="I686" s="198" t="s">
        <v>851</v>
      </c>
      <c r="J686" s="198" t="s">
        <v>274</v>
      </c>
      <c r="K686" s="202">
        <f t="shared" si="10"/>
        <v>354449.99999999948</v>
      </c>
      <c r="L686" s="202">
        <v>69.499999999999901</v>
      </c>
      <c r="N686" s="202">
        <v>56855</v>
      </c>
      <c r="S686" s="203"/>
      <c r="W686" s="198" t="s">
        <v>51</v>
      </c>
      <c r="AE686" s="198" t="s">
        <v>54</v>
      </c>
    </row>
    <row r="687" spans="3:31" x14ac:dyDescent="0.25">
      <c r="C687" s="201"/>
      <c r="E687" s="201"/>
      <c r="F687" s="201"/>
      <c r="I687" s="198" t="s">
        <v>1772</v>
      </c>
      <c r="J687" s="198" t="s">
        <v>148</v>
      </c>
      <c r="K687" s="202">
        <f t="shared" si="10"/>
        <v>354959.99999999948</v>
      </c>
      <c r="L687" s="202">
        <v>69.599999999999895</v>
      </c>
      <c r="N687" s="202">
        <v>56855</v>
      </c>
      <c r="S687" s="203"/>
      <c r="W687" s="198" t="s">
        <v>51</v>
      </c>
      <c r="AE687" s="198" t="s">
        <v>54</v>
      </c>
    </row>
    <row r="688" spans="3:31" x14ac:dyDescent="0.25">
      <c r="C688" s="201"/>
      <c r="E688" s="201"/>
      <c r="F688" s="201"/>
      <c r="I688" s="198" t="s">
        <v>852</v>
      </c>
      <c r="J688" s="198" t="s">
        <v>65</v>
      </c>
      <c r="K688" s="202">
        <f t="shared" si="10"/>
        <v>355469.99999999953</v>
      </c>
      <c r="L688" s="202">
        <v>69.699999999999903</v>
      </c>
      <c r="N688" s="202">
        <v>19274025</v>
      </c>
      <c r="S688" s="203"/>
      <c r="W688" s="198" t="s">
        <v>51</v>
      </c>
      <c r="AE688" s="198" t="s">
        <v>54</v>
      </c>
    </row>
    <row r="689" spans="3:31" x14ac:dyDescent="0.25">
      <c r="C689" s="201"/>
      <c r="E689" s="201"/>
      <c r="F689" s="201"/>
      <c r="I689" s="198" t="s">
        <v>853</v>
      </c>
      <c r="J689" s="198" t="s">
        <v>167</v>
      </c>
      <c r="K689" s="202">
        <f t="shared" si="10"/>
        <v>355979.99999999948</v>
      </c>
      <c r="L689" s="202">
        <v>69.799999999999898</v>
      </c>
      <c r="N689" s="202">
        <v>24485431</v>
      </c>
      <c r="S689" s="203"/>
      <c r="W689" s="198" t="s">
        <v>51</v>
      </c>
      <c r="AE689" s="198" t="s">
        <v>54</v>
      </c>
    </row>
    <row r="690" spans="3:31" x14ac:dyDescent="0.25">
      <c r="C690" s="201"/>
      <c r="E690" s="201"/>
      <c r="F690" s="201"/>
      <c r="I690" s="198" t="s">
        <v>851</v>
      </c>
      <c r="J690" s="198" t="s">
        <v>274</v>
      </c>
      <c r="K690" s="202">
        <f t="shared" si="10"/>
        <v>356489.99999999953</v>
      </c>
      <c r="L690" s="202">
        <v>69.899999999999906</v>
      </c>
      <c r="N690" s="202">
        <v>892500</v>
      </c>
      <c r="S690" s="203"/>
      <c r="W690" s="198" t="s">
        <v>51</v>
      </c>
      <c r="AE690" s="198" t="s">
        <v>54</v>
      </c>
    </row>
    <row r="691" spans="3:31" x14ac:dyDescent="0.25">
      <c r="C691" s="201"/>
      <c r="E691" s="201"/>
      <c r="F691" s="201"/>
      <c r="I691" s="198" t="s">
        <v>851</v>
      </c>
      <c r="J691" s="198" t="s">
        <v>274</v>
      </c>
      <c r="K691" s="202">
        <f t="shared" si="10"/>
        <v>356999.99999999948</v>
      </c>
      <c r="L691" s="202">
        <v>69.999999999999901</v>
      </c>
      <c r="N691" s="202">
        <v>1190000</v>
      </c>
      <c r="S691" s="203"/>
      <c r="W691" s="198" t="s">
        <v>51</v>
      </c>
      <c r="AE691" s="198" t="s">
        <v>54</v>
      </c>
    </row>
    <row r="692" spans="3:31" x14ac:dyDescent="0.25">
      <c r="C692" s="201"/>
      <c r="E692" s="201"/>
      <c r="F692" s="201"/>
      <c r="I692" s="198" t="s">
        <v>854</v>
      </c>
      <c r="J692" s="198" t="s">
        <v>143</v>
      </c>
      <c r="K692" s="202">
        <f t="shared" si="10"/>
        <v>357509.99999999948</v>
      </c>
      <c r="L692" s="202">
        <v>70.099999999999895</v>
      </c>
      <c r="N692" s="202">
        <v>1190000</v>
      </c>
      <c r="S692" s="203"/>
      <c r="W692" s="198" t="s">
        <v>51</v>
      </c>
      <c r="AE692" s="198" t="s">
        <v>54</v>
      </c>
    </row>
    <row r="693" spans="3:31" x14ac:dyDescent="0.25">
      <c r="C693" s="201"/>
      <c r="E693" s="201"/>
      <c r="F693" s="201"/>
      <c r="I693" s="198" t="s">
        <v>850</v>
      </c>
      <c r="J693" s="198" t="s">
        <v>153</v>
      </c>
      <c r="K693" s="202">
        <f t="shared" si="10"/>
        <v>358019.99999999953</v>
      </c>
      <c r="L693" s="202">
        <v>70.199999999999903</v>
      </c>
      <c r="N693" s="202">
        <v>892500</v>
      </c>
      <c r="S693" s="203"/>
      <c r="W693" s="198" t="s">
        <v>51</v>
      </c>
      <c r="AE693" s="198" t="s">
        <v>54</v>
      </c>
    </row>
    <row r="694" spans="3:31" x14ac:dyDescent="0.25">
      <c r="C694" s="201"/>
      <c r="E694" s="201"/>
      <c r="F694" s="201"/>
      <c r="I694" s="198" t="s">
        <v>850</v>
      </c>
      <c r="J694" s="198" t="s">
        <v>153</v>
      </c>
      <c r="K694" s="202">
        <f t="shared" si="10"/>
        <v>358529.99999999948</v>
      </c>
      <c r="L694" s="202">
        <v>70.299999999999898</v>
      </c>
      <c r="N694" s="202">
        <v>1190000</v>
      </c>
      <c r="S694" s="203"/>
      <c r="W694" s="198" t="s">
        <v>51</v>
      </c>
      <c r="AE694" s="198" t="s">
        <v>54</v>
      </c>
    </row>
    <row r="695" spans="3:31" x14ac:dyDescent="0.25">
      <c r="C695" s="201"/>
      <c r="E695" s="201"/>
      <c r="F695" s="201"/>
      <c r="I695" s="198" t="s">
        <v>848</v>
      </c>
      <c r="J695" s="198" t="s">
        <v>193</v>
      </c>
      <c r="K695" s="202">
        <f t="shared" si="10"/>
        <v>359039.99999999953</v>
      </c>
      <c r="L695" s="202">
        <v>70.399999999999906</v>
      </c>
      <c r="N695" s="202">
        <v>1190000</v>
      </c>
      <c r="S695" s="203"/>
      <c r="W695" s="198" t="s">
        <v>51</v>
      </c>
      <c r="AE695" s="198" t="s">
        <v>54</v>
      </c>
    </row>
    <row r="696" spans="3:31" x14ac:dyDescent="0.25">
      <c r="C696" s="201"/>
      <c r="E696" s="201"/>
      <c r="F696" s="201"/>
      <c r="I696" s="198" t="s">
        <v>855</v>
      </c>
      <c r="J696" s="198" t="s">
        <v>156</v>
      </c>
      <c r="K696" s="202">
        <f t="shared" si="10"/>
        <v>359549.99999999948</v>
      </c>
      <c r="L696" s="202">
        <v>70.499999999999901</v>
      </c>
      <c r="N696" s="202">
        <v>1190000</v>
      </c>
      <c r="S696" s="203"/>
      <c r="W696" s="198" t="s">
        <v>51</v>
      </c>
      <c r="AE696" s="198" t="s">
        <v>54</v>
      </c>
    </row>
    <row r="697" spans="3:31" x14ac:dyDescent="0.25">
      <c r="C697" s="201"/>
      <c r="E697" s="201"/>
      <c r="F697" s="201"/>
      <c r="I697" s="198" t="s">
        <v>855</v>
      </c>
      <c r="J697" s="198" t="s">
        <v>156</v>
      </c>
      <c r="K697" s="202">
        <f t="shared" si="10"/>
        <v>360059.99999999948</v>
      </c>
      <c r="L697" s="202">
        <v>70.599999999999895</v>
      </c>
      <c r="N697" s="202">
        <v>666000</v>
      </c>
      <c r="S697" s="203"/>
      <c r="W697" s="198" t="s">
        <v>51</v>
      </c>
      <c r="AE697" s="198" t="s">
        <v>54</v>
      </c>
    </row>
    <row r="698" spans="3:31" x14ac:dyDescent="0.25">
      <c r="C698" s="201"/>
      <c r="E698" s="201"/>
      <c r="F698" s="201"/>
      <c r="I698" s="198" t="s">
        <v>850</v>
      </c>
      <c r="J698" s="198" t="s">
        <v>153</v>
      </c>
      <c r="K698" s="202">
        <f t="shared" si="10"/>
        <v>360569.99999999953</v>
      </c>
      <c r="L698" s="202">
        <v>70.699999999999903</v>
      </c>
      <c r="N698" s="202">
        <v>666000</v>
      </c>
      <c r="S698" s="203"/>
      <c r="W698" s="198" t="s">
        <v>51</v>
      </c>
      <c r="AE698" s="198" t="s">
        <v>54</v>
      </c>
    </row>
    <row r="699" spans="3:31" x14ac:dyDescent="0.25">
      <c r="C699" s="201"/>
      <c r="E699" s="201"/>
      <c r="F699" s="201"/>
      <c r="I699" s="198" t="s">
        <v>851</v>
      </c>
      <c r="J699" s="198" t="s">
        <v>274</v>
      </c>
      <c r="K699" s="202">
        <f t="shared" si="10"/>
        <v>361079.99999999948</v>
      </c>
      <c r="L699" s="202">
        <v>70.799999999999898</v>
      </c>
      <c r="N699" s="202">
        <v>666000</v>
      </c>
      <c r="S699" s="203"/>
      <c r="W699" s="198" t="s">
        <v>51</v>
      </c>
      <c r="AE699" s="198" t="s">
        <v>54</v>
      </c>
    </row>
    <row r="700" spans="3:31" x14ac:dyDescent="0.25">
      <c r="C700" s="201"/>
      <c r="E700" s="201"/>
      <c r="F700" s="201"/>
      <c r="I700" s="198" t="s">
        <v>854</v>
      </c>
      <c r="J700" s="198" t="s">
        <v>143</v>
      </c>
      <c r="K700" s="202">
        <f t="shared" si="10"/>
        <v>361589.99999999953</v>
      </c>
      <c r="L700" s="202">
        <v>70.899999999999906</v>
      </c>
      <c r="N700" s="202">
        <v>90742</v>
      </c>
      <c r="S700" s="203"/>
      <c r="W700" s="198" t="s">
        <v>51</v>
      </c>
      <c r="AE700" s="198" t="s">
        <v>54</v>
      </c>
    </row>
    <row r="701" spans="3:31" x14ac:dyDescent="0.25">
      <c r="C701" s="201"/>
      <c r="E701" s="201"/>
      <c r="F701" s="201"/>
      <c r="I701" s="198" t="s">
        <v>856</v>
      </c>
      <c r="J701" s="198" t="s">
        <v>112</v>
      </c>
      <c r="K701" s="202">
        <f t="shared" si="10"/>
        <v>362099.99999999948</v>
      </c>
      <c r="L701" s="202">
        <v>70.999999999999901</v>
      </c>
      <c r="N701" s="202">
        <v>202444</v>
      </c>
      <c r="S701" s="203"/>
      <c r="W701" s="198" t="s">
        <v>51</v>
      </c>
      <c r="AE701" s="198" t="s">
        <v>54</v>
      </c>
    </row>
    <row r="702" spans="3:31" x14ac:dyDescent="0.25">
      <c r="C702" s="201"/>
      <c r="E702" s="201"/>
      <c r="F702" s="201"/>
      <c r="I702" s="198" t="s">
        <v>857</v>
      </c>
      <c r="J702" s="198" t="s">
        <v>130</v>
      </c>
      <c r="K702" s="202">
        <f t="shared" si="10"/>
        <v>362609.99999999948</v>
      </c>
      <c r="L702" s="202">
        <v>71.099999999999895</v>
      </c>
      <c r="N702" s="202">
        <v>1132723</v>
      </c>
      <c r="S702" s="203"/>
      <c r="W702" s="198" t="s">
        <v>51</v>
      </c>
      <c r="AE702" s="198" t="s">
        <v>54</v>
      </c>
    </row>
    <row r="703" spans="3:31" x14ac:dyDescent="0.25">
      <c r="C703" s="201"/>
      <c r="E703" s="201"/>
      <c r="F703" s="201"/>
      <c r="I703" s="198" t="s">
        <v>858</v>
      </c>
      <c r="J703" s="198" t="s">
        <v>132</v>
      </c>
      <c r="K703" s="202">
        <f t="shared" si="10"/>
        <v>363119.99999999953</v>
      </c>
      <c r="L703" s="202">
        <v>71.199999999999903</v>
      </c>
      <c r="N703" s="202">
        <v>986852</v>
      </c>
      <c r="S703" s="203"/>
      <c r="W703" s="198" t="s">
        <v>51</v>
      </c>
      <c r="AE703" s="198" t="s">
        <v>54</v>
      </c>
    </row>
    <row r="704" spans="3:31" x14ac:dyDescent="0.25">
      <c r="C704" s="201"/>
      <c r="E704" s="201"/>
      <c r="F704" s="201"/>
      <c r="I704" s="198" t="s">
        <v>859</v>
      </c>
      <c r="J704" s="198" t="s">
        <v>126</v>
      </c>
      <c r="K704" s="202">
        <f t="shared" si="10"/>
        <v>363629.99999999948</v>
      </c>
      <c r="L704" s="202">
        <v>71.299999999999898</v>
      </c>
      <c r="N704" s="202">
        <v>1034992</v>
      </c>
      <c r="S704" s="203"/>
      <c r="W704" s="198" t="s">
        <v>51</v>
      </c>
      <c r="AE704" s="198" t="s">
        <v>54</v>
      </c>
    </row>
    <row r="705" spans="3:31" x14ac:dyDescent="0.25">
      <c r="C705" s="201"/>
      <c r="E705" s="201"/>
      <c r="F705" s="201"/>
      <c r="I705" s="198" t="s">
        <v>179</v>
      </c>
      <c r="J705" s="198" t="s">
        <v>169</v>
      </c>
      <c r="K705" s="202">
        <f t="shared" si="10"/>
        <v>364139.99999999953</v>
      </c>
      <c r="L705" s="202">
        <v>71.399999999999906</v>
      </c>
      <c r="N705" s="202">
        <v>585203.9</v>
      </c>
      <c r="S705" s="203"/>
      <c r="W705" s="198" t="s">
        <v>51</v>
      </c>
      <c r="AE705" s="198" t="s">
        <v>831</v>
      </c>
    </row>
    <row r="706" spans="3:31" x14ac:dyDescent="0.25">
      <c r="C706" s="201"/>
      <c r="E706" s="201"/>
      <c r="F706" s="201"/>
      <c r="I706" s="198" t="s">
        <v>77</v>
      </c>
      <c r="J706" s="198" t="s">
        <v>65</v>
      </c>
      <c r="K706" s="202">
        <f t="shared" si="10"/>
        <v>364649.99999999948</v>
      </c>
      <c r="L706" s="202">
        <v>71.499999999999901</v>
      </c>
      <c r="N706" s="202">
        <v>1042641.89</v>
      </c>
      <c r="S706" s="203"/>
      <c r="W706" s="198" t="s">
        <v>51</v>
      </c>
      <c r="AE706" s="198" t="s">
        <v>831</v>
      </c>
    </row>
    <row r="707" spans="3:31" x14ac:dyDescent="0.25">
      <c r="C707" s="201"/>
      <c r="E707" s="201"/>
      <c r="F707" s="201"/>
      <c r="I707" s="198" t="s">
        <v>178</v>
      </c>
      <c r="J707" s="198" t="s">
        <v>167</v>
      </c>
      <c r="K707" s="202">
        <f t="shared" ref="K707:K770" si="11">L707*5100</f>
        <v>365159.99999999948</v>
      </c>
      <c r="L707" s="202">
        <v>71.599999999999895</v>
      </c>
      <c r="N707" s="202">
        <v>927652.56</v>
      </c>
      <c r="S707" s="203"/>
      <c r="W707" s="198" t="s">
        <v>51</v>
      </c>
      <c r="AE707" s="198" t="s">
        <v>831</v>
      </c>
    </row>
    <row r="708" spans="3:31" x14ac:dyDescent="0.25">
      <c r="C708" s="201"/>
      <c r="E708" s="201"/>
      <c r="F708" s="201"/>
      <c r="I708" s="198" t="s">
        <v>362</v>
      </c>
      <c r="J708" s="198" t="s">
        <v>132</v>
      </c>
      <c r="K708" s="202">
        <f t="shared" si="11"/>
        <v>365669.99999999953</v>
      </c>
      <c r="L708" s="202">
        <v>71.699999999999903</v>
      </c>
      <c r="N708" s="202">
        <v>6136000</v>
      </c>
      <c r="S708" s="204"/>
      <c r="W708" s="198" t="s">
        <v>51</v>
      </c>
      <c r="AE708" s="198" t="s">
        <v>833</v>
      </c>
    </row>
    <row r="709" spans="3:31" x14ac:dyDescent="0.25">
      <c r="C709" s="201"/>
      <c r="E709" s="201"/>
      <c r="F709" s="201"/>
      <c r="I709" s="198" t="s">
        <v>583</v>
      </c>
      <c r="J709" s="198" t="s">
        <v>134</v>
      </c>
      <c r="K709" s="202">
        <f t="shared" si="11"/>
        <v>366179.99999999948</v>
      </c>
      <c r="L709" s="202">
        <v>71.799999999999898</v>
      </c>
      <c r="N709" s="202">
        <v>4759025</v>
      </c>
      <c r="S709" s="204"/>
      <c r="W709" s="198" t="s">
        <v>51</v>
      </c>
      <c r="AE709" s="198" t="s">
        <v>846</v>
      </c>
    </row>
    <row r="710" spans="3:31" x14ac:dyDescent="0.25">
      <c r="C710" s="201"/>
      <c r="E710" s="201"/>
      <c r="F710" s="201"/>
      <c r="I710" s="198" t="s">
        <v>583</v>
      </c>
      <c r="J710" s="198" t="s">
        <v>134</v>
      </c>
      <c r="K710" s="202">
        <f t="shared" si="11"/>
        <v>366689.99999999953</v>
      </c>
      <c r="L710" s="202">
        <v>71.899999999999906</v>
      </c>
      <c r="N710" s="202">
        <v>5219300</v>
      </c>
      <c r="S710" s="204"/>
      <c r="W710" s="198" t="s">
        <v>51</v>
      </c>
      <c r="AE710" s="198" t="s">
        <v>846</v>
      </c>
    </row>
    <row r="711" spans="3:31" x14ac:dyDescent="0.25">
      <c r="C711" s="201"/>
      <c r="E711" s="201"/>
      <c r="F711" s="201"/>
      <c r="I711" s="198" t="s">
        <v>845</v>
      </c>
      <c r="J711" s="198" t="s">
        <v>137</v>
      </c>
      <c r="K711" s="202">
        <f t="shared" si="11"/>
        <v>367199.99999999948</v>
      </c>
      <c r="L711" s="202">
        <v>71.999999999999901</v>
      </c>
      <c r="N711" s="202">
        <v>7084006.8399999999</v>
      </c>
      <c r="S711" s="204"/>
      <c r="W711" s="198" t="s">
        <v>51</v>
      </c>
      <c r="AE711" s="198" t="s">
        <v>844</v>
      </c>
    </row>
    <row r="712" spans="3:31" x14ac:dyDescent="0.25">
      <c r="C712" s="201"/>
      <c r="E712" s="201"/>
      <c r="F712" s="201"/>
      <c r="I712" s="198" t="s">
        <v>845</v>
      </c>
      <c r="J712" s="198" t="s">
        <v>137</v>
      </c>
      <c r="K712" s="202">
        <f t="shared" si="11"/>
        <v>367709.99999999948</v>
      </c>
      <c r="L712" s="202">
        <v>72.099999999999895</v>
      </c>
      <c r="N712" s="202">
        <v>7133961.2199999997</v>
      </c>
      <c r="S712" s="204"/>
      <c r="W712" s="198" t="s">
        <v>51</v>
      </c>
      <c r="AE712" s="198" t="s">
        <v>844</v>
      </c>
    </row>
    <row r="713" spans="3:31" x14ac:dyDescent="0.25">
      <c r="C713" s="201"/>
      <c r="E713" s="201"/>
      <c r="F713" s="201"/>
      <c r="I713" s="198" t="s">
        <v>553</v>
      </c>
      <c r="J713" s="198" t="s">
        <v>134</v>
      </c>
      <c r="K713" s="202">
        <f t="shared" si="11"/>
        <v>368219.99999999953</v>
      </c>
      <c r="L713" s="202">
        <v>72.199999999999903</v>
      </c>
      <c r="N713" s="202">
        <v>7124446.0999999996</v>
      </c>
      <c r="S713" s="204"/>
      <c r="W713" s="198" t="s">
        <v>51</v>
      </c>
      <c r="AE713" s="198" t="s">
        <v>846</v>
      </c>
    </row>
    <row r="714" spans="3:31" x14ac:dyDescent="0.25">
      <c r="C714" s="201"/>
      <c r="E714" s="201"/>
      <c r="F714" s="201"/>
      <c r="I714" s="198" t="s">
        <v>845</v>
      </c>
      <c r="J714" s="198" t="s">
        <v>137</v>
      </c>
      <c r="K714" s="202">
        <f t="shared" si="11"/>
        <v>368729.99999999948</v>
      </c>
      <c r="L714" s="202">
        <v>72.299999999999898</v>
      </c>
      <c r="N714" s="202">
        <v>7095900.7400000002</v>
      </c>
      <c r="S714" s="204"/>
      <c r="W714" s="198" t="s">
        <v>51</v>
      </c>
      <c r="AE714" s="198" t="s">
        <v>844</v>
      </c>
    </row>
    <row r="715" spans="3:31" x14ac:dyDescent="0.25">
      <c r="C715" s="201"/>
      <c r="E715" s="201"/>
      <c r="F715" s="201"/>
      <c r="I715" s="198" t="s">
        <v>553</v>
      </c>
      <c r="J715" s="198" t="s">
        <v>134</v>
      </c>
      <c r="K715" s="202">
        <f t="shared" si="11"/>
        <v>369239.99999999953</v>
      </c>
      <c r="L715" s="202">
        <v>72.399999999999906</v>
      </c>
      <c r="N715" s="202">
        <v>7143476.3399999999</v>
      </c>
      <c r="S715" s="204"/>
      <c r="W715" s="198" t="s">
        <v>51</v>
      </c>
      <c r="AE715" s="198" t="s">
        <v>846</v>
      </c>
    </row>
    <row r="716" spans="3:31" x14ac:dyDescent="0.25">
      <c r="C716" s="201"/>
      <c r="E716" s="201"/>
      <c r="F716" s="201"/>
      <c r="I716" s="198" t="s">
        <v>843</v>
      </c>
      <c r="J716" s="198" t="s">
        <v>137</v>
      </c>
      <c r="K716" s="202">
        <f t="shared" si="11"/>
        <v>369749.99999999948</v>
      </c>
      <c r="L716" s="202">
        <v>72.499999999999901</v>
      </c>
      <c r="N716" s="202">
        <v>6255750</v>
      </c>
      <c r="S716" s="204"/>
      <c r="W716" s="198" t="s">
        <v>51</v>
      </c>
      <c r="AE716" s="198" t="s">
        <v>844</v>
      </c>
    </row>
    <row r="717" spans="3:31" x14ac:dyDescent="0.25">
      <c r="C717" s="201"/>
      <c r="E717" s="201"/>
      <c r="F717" s="201"/>
      <c r="I717" s="198" t="s">
        <v>553</v>
      </c>
      <c r="J717" s="198" t="s">
        <v>134</v>
      </c>
      <c r="K717" s="202">
        <f t="shared" si="11"/>
        <v>370259.99999999948</v>
      </c>
      <c r="L717" s="202">
        <v>72.599999999999895</v>
      </c>
      <c r="N717" s="202">
        <v>7114930.9800000004</v>
      </c>
      <c r="S717" s="204"/>
      <c r="W717" s="198" t="s">
        <v>51</v>
      </c>
      <c r="AE717" s="198" t="s">
        <v>846</v>
      </c>
    </row>
    <row r="718" spans="3:31" x14ac:dyDescent="0.25">
      <c r="C718" s="201"/>
      <c r="E718" s="201"/>
      <c r="F718" s="201"/>
      <c r="I718" s="198" t="s">
        <v>553</v>
      </c>
      <c r="J718" s="198" t="s">
        <v>134</v>
      </c>
      <c r="K718" s="202">
        <f t="shared" si="11"/>
        <v>370769.99999999953</v>
      </c>
      <c r="L718" s="202">
        <v>72.699999999999903</v>
      </c>
      <c r="N718" s="202">
        <v>7141097.5599999996</v>
      </c>
      <c r="S718" s="204"/>
      <c r="W718" s="198" t="s">
        <v>51</v>
      </c>
      <c r="AE718" s="198" t="s">
        <v>846</v>
      </c>
    </row>
    <row r="719" spans="3:31" x14ac:dyDescent="0.25">
      <c r="C719" s="201"/>
      <c r="E719" s="201"/>
      <c r="F719" s="201"/>
      <c r="I719" s="198" t="s">
        <v>843</v>
      </c>
      <c r="J719" s="198" t="s">
        <v>137</v>
      </c>
      <c r="K719" s="202">
        <f t="shared" si="11"/>
        <v>371279.99999999948</v>
      </c>
      <c r="L719" s="202">
        <v>72.799999999999898</v>
      </c>
      <c r="N719" s="202">
        <v>6276175</v>
      </c>
      <c r="S719" s="204"/>
      <c r="W719" s="198" t="s">
        <v>51</v>
      </c>
      <c r="AE719" s="198" t="s">
        <v>844</v>
      </c>
    </row>
    <row r="720" spans="3:31" x14ac:dyDescent="0.25">
      <c r="C720" s="201"/>
      <c r="E720" s="201"/>
      <c r="F720" s="201"/>
      <c r="I720" s="198" t="s">
        <v>843</v>
      </c>
      <c r="J720" s="198" t="s">
        <v>137</v>
      </c>
      <c r="K720" s="202">
        <f t="shared" si="11"/>
        <v>371789.99999999953</v>
      </c>
      <c r="L720" s="202">
        <v>72.899999999999906</v>
      </c>
      <c r="N720" s="202">
        <v>6235800</v>
      </c>
      <c r="S720" s="204"/>
      <c r="W720" s="198" t="s">
        <v>51</v>
      </c>
      <c r="AE720" s="198" t="s">
        <v>844</v>
      </c>
    </row>
    <row r="721" spans="3:31" x14ac:dyDescent="0.25">
      <c r="C721" s="201"/>
      <c r="E721" s="201"/>
      <c r="F721" s="201"/>
      <c r="I721" s="198" t="s">
        <v>553</v>
      </c>
      <c r="J721" s="198" t="s">
        <v>134</v>
      </c>
      <c r="K721" s="202">
        <f t="shared" si="11"/>
        <v>372299.99999999948</v>
      </c>
      <c r="L721" s="202">
        <v>72.999999999999901</v>
      </c>
      <c r="N721" s="202">
        <v>7103037.0800000001</v>
      </c>
      <c r="S721" s="204"/>
      <c r="W721" s="198" t="s">
        <v>51</v>
      </c>
      <c r="AE721" s="198" t="s">
        <v>846</v>
      </c>
    </row>
    <row r="722" spans="3:31" x14ac:dyDescent="0.25">
      <c r="C722" s="201"/>
      <c r="E722" s="201"/>
      <c r="F722" s="201"/>
      <c r="I722" s="198" t="s">
        <v>843</v>
      </c>
      <c r="J722" s="198" t="s">
        <v>137</v>
      </c>
      <c r="K722" s="202">
        <f t="shared" si="11"/>
        <v>372809.99999999948</v>
      </c>
      <c r="L722" s="202">
        <v>73.099999999999895</v>
      </c>
      <c r="N722" s="202">
        <v>6255275</v>
      </c>
      <c r="S722" s="204"/>
      <c r="W722" s="198" t="s">
        <v>51</v>
      </c>
      <c r="AE722" s="198" t="s">
        <v>844</v>
      </c>
    </row>
    <row r="723" spans="3:31" x14ac:dyDescent="0.25">
      <c r="C723" s="201"/>
      <c r="E723" s="201"/>
      <c r="F723" s="201"/>
      <c r="I723" s="198" t="s">
        <v>553</v>
      </c>
      <c r="J723" s="198" t="s">
        <v>134</v>
      </c>
      <c r="K723" s="202">
        <f t="shared" si="11"/>
        <v>373319.99999999953</v>
      </c>
      <c r="L723" s="202">
        <v>73.199999999999903</v>
      </c>
      <c r="N723" s="202">
        <v>7095900.7400000002</v>
      </c>
      <c r="S723" s="204"/>
      <c r="W723" s="198" t="s">
        <v>51</v>
      </c>
      <c r="AE723" s="198" t="s">
        <v>846</v>
      </c>
    </row>
    <row r="724" spans="3:31" x14ac:dyDescent="0.25">
      <c r="C724" s="201"/>
      <c r="E724" s="201"/>
      <c r="F724" s="201"/>
      <c r="I724" s="198" t="s">
        <v>843</v>
      </c>
      <c r="J724" s="198" t="s">
        <v>137</v>
      </c>
      <c r="K724" s="202">
        <f t="shared" si="11"/>
        <v>373829.99999999948</v>
      </c>
      <c r="L724" s="202">
        <v>73.299999999999898</v>
      </c>
      <c r="N724" s="202">
        <v>6247675</v>
      </c>
      <c r="S724" s="204"/>
      <c r="W724" s="198" t="s">
        <v>51</v>
      </c>
      <c r="AE724" s="198" t="s">
        <v>844</v>
      </c>
    </row>
    <row r="725" spans="3:31" x14ac:dyDescent="0.25">
      <c r="C725" s="201"/>
      <c r="E725" s="201"/>
      <c r="F725" s="201"/>
      <c r="I725" s="198" t="s">
        <v>843</v>
      </c>
      <c r="J725" s="198" t="s">
        <v>137</v>
      </c>
      <c r="K725" s="202">
        <f t="shared" si="11"/>
        <v>374339.99999999953</v>
      </c>
      <c r="L725" s="202">
        <v>73.399999999999906</v>
      </c>
      <c r="N725" s="202">
        <v>6270475</v>
      </c>
      <c r="S725" s="204"/>
      <c r="W725" s="198" t="s">
        <v>51</v>
      </c>
      <c r="AE725" s="198" t="s">
        <v>844</v>
      </c>
    </row>
    <row r="726" spans="3:31" x14ac:dyDescent="0.25">
      <c r="C726" s="201"/>
      <c r="E726" s="201"/>
      <c r="F726" s="201"/>
      <c r="I726" s="198" t="s">
        <v>843</v>
      </c>
      <c r="J726" s="198" t="s">
        <v>137</v>
      </c>
      <c r="K726" s="202">
        <f t="shared" si="11"/>
        <v>374849.99999999948</v>
      </c>
      <c r="L726" s="202">
        <v>73.499999999999901</v>
      </c>
      <c r="N726" s="202">
        <v>6248150</v>
      </c>
      <c r="S726" s="204"/>
      <c r="W726" s="198" t="s">
        <v>51</v>
      </c>
      <c r="AE726" s="198" t="s">
        <v>844</v>
      </c>
    </row>
    <row r="727" spans="3:31" x14ac:dyDescent="0.25">
      <c r="C727" s="201"/>
      <c r="E727" s="201"/>
      <c r="F727" s="201"/>
      <c r="I727" s="198" t="s">
        <v>583</v>
      </c>
      <c r="J727" s="198" t="s">
        <v>134</v>
      </c>
      <c r="K727" s="202">
        <f t="shared" si="11"/>
        <v>375359.99999999948</v>
      </c>
      <c r="L727" s="202">
        <v>73.599999999999895</v>
      </c>
      <c r="N727" s="202">
        <v>1508111.38</v>
      </c>
      <c r="S727" s="204"/>
      <c r="W727" s="198" t="s">
        <v>51</v>
      </c>
      <c r="AE727" s="198" t="s">
        <v>846</v>
      </c>
    </row>
    <row r="728" spans="3:31" x14ac:dyDescent="0.25">
      <c r="C728" s="201"/>
      <c r="E728" s="201"/>
      <c r="F728" s="201"/>
      <c r="I728" s="198" t="s">
        <v>583</v>
      </c>
      <c r="J728" s="198" t="s">
        <v>134</v>
      </c>
      <c r="K728" s="202">
        <f t="shared" si="11"/>
        <v>375869.99999999953</v>
      </c>
      <c r="L728" s="202">
        <v>73.699999999999903</v>
      </c>
      <c r="N728" s="202">
        <v>5644131.9199999999</v>
      </c>
      <c r="S728" s="204"/>
      <c r="W728" s="198" t="s">
        <v>51</v>
      </c>
      <c r="AE728" s="198" t="s">
        <v>846</v>
      </c>
    </row>
    <row r="729" spans="3:31" x14ac:dyDescent="0.25">
      <c r="C729" s="201"/>
      <c r="E729" s="201"/>
      <c r="F729" s="201"/>
      <c r="I729" s="198" t="s">
        <v>860</v>
      </c>
      <c r="J729" s="198" t="s">
        <v>193</v>
      </c>
      <c r="K729" s="202">
        <f t="shared" si="11"/>
        <v>376379.99999999948</v>
      </c>
      <c r="L729" s="202">
        <v>73.799999999999898</v>
      </c>
      <c r="N729" s="202">
        <v>151599.03</v>
      </c>
      <c r="S729" s="203"/>
      <c r="W729" s="198" t="s">
        <v>51</v>
      </c>
      <c r="AE729" s="198" t="s">
        <v>54</v>
      </c>
    </row>
    <row r="730" spans="3:31" x14ac:dyDescent="0.25">
      <c r="C730" s="201"/>
      <c r="E730" s="201"/>
      <c r="F730" s="201"/>
      <c r="I730" s="198" t="s">
        <v>861</v>
      </c>
      <c r="J730" s="198" t="s">
        <v>193</v>
      </c>
      <c r="K730" s="202">
        <f t="shared" si="11"/>
        <v>376889.99999999953</v>
      </c>
      <c r="L730" s="202">
        <v>73.899999999999906</v>
      </c>
      <c r="N730" s="202">
        <v>8800</v>
      </c>
      <c r="S730" s="203"/>
      <c r="W730" s="198" t="s">
        <v>51</v>
      </c>
      <c r="AE730" s="198" t="s">
        <v>54</v>
      </c>
    </row>
    <row r="731" spans="3:31" x14ac:dyDescent="0.25">
      <c r="C731" s="201"/>
      <c r="E731" s="201"/>
      <c r="F731" s="201"/>
      <c r="I731" s="198" t="s">
        <v>862</v>
      </c>
      <c r="J731" s="198" t="s">
        <v>193</v>
      </c>
      <c r="K731" s="202">
        <f t="shared" si="11"/>
        <v>377399.99999999948</v>
      </c>
      <c r="L731" s="202">
        <v>73.999999999999901</v>
      </c>
      <c r="N731" s="202">
        <v>60264</v>
      </c>
      <c r="S731" s="203"/>
      <c r="W731" s="198" t="s">
        <v>51</v>
      </c>
      <c r="AE731" s="198" t="s">
        <v>54</v>
      </c>
    </row>
    <row r="732" spans="3:31" x14ac:dyDescent="0.25">
      <c r="C732" s="201"/>
      <c r="E732" s="201"/>
      <c r="F732" s="201"/>
      <c r="I732" s="198" t="s">
        <v>856</v>
      </c>
      <c r="J732" s="198" t="s">
        <v>112</v>
      </c>
      <c r="K732" s="202">
        <f t="shared" si="11"/>
        <v>377909.99999999948</v>
      </c>
      <c r="L732" s="202">
        <v>74.099999999999895</v>
      </c>
      <c r="N732" s="202">
        <v>89726607</v>
      </c>
      <c r="S732" s="203"/>
      <c r="W732" s="198" t="s">
        <v>51</v>
      </c>
      <c r="AE732" s="198" t="s">
        <v>54</v>
      </c>
    </row>
    <row r="733" spans="3:31" x14ac:dyDescent="0.25">
      <c r="C733" s="201"/>
      <c r="E733" s="201"/>
      <c r="F733" s="201"/>
      <c r="I733" s="198" t="s">
        <v>864</v>
      </c>
      <c r="J733" s="198" t="s">
        <v>193</v>
      </c>
      <c r="K733" s="202">
        <f t="shared" si="11"/>
        <v>378419.99999999953</v>
      </c>
      <c r="L733" s="202">
        <v>74.199999999999903</v>
      </c>
      <c r="N733" s="202">
        <v>50325.75</v>
      </c>
      <c r="S733" s="203"/>
      <c r="W733" s="198" t="s">
        <v>51</v>
      </c>
      <c r="AE733" s="198" t="s">
        <v>54</v>
      </c>
    </row>
    <row r="734" spans="3:31" x14ac:dyDescent="0.25">
      <c r="C734" s="201"/>
      <c r="E734" s="201"/>
      <c r="F734" s="201"/>
      <c r="I734" s="198" t="s">
        <v>865</v>
      </c>
      <c r="J734" s="198" t="s">
        <v>143</v>
      </c>
      <c r="K734" s="202">
        <f t="shared" si="11"/>
        <v>378929.99999999948</v>
      </c>
      <c r="L734" s="202">
        <v>74.299999999999898</v>
      </c>
      <c r="N734" s="202">
        <v>166830.63</v>
      </c>
      <c r="S734" s="203"/>
      <c r="W734" s="198" t="s">
        <v>51</v>
      </c>
      <c r="AE734" s="198" t="s">
        <v>54</v>
      </c>
    </row>
    <row r="735" spans="3:31" x14ac:dyDescent="0.25">
      <c r="C735" s="201"/>
      <c r="E735" s="201"/>
      <c r="F735" s="201"/>
      <c r="I735" s="198" t="s">
        <v>866</v>
      </c>
      <c r="J735" s="198" t="s">
        <v>143</v>
      </c>
      <c r="K735" s="202">
        <f t="shared" si="11"/>
        <v>379439.99999999953</v>
      </c>
      <c r="L735" s="202">
        <v>74.399999999999906</v>
      </c>
      <c r="N735" s="202">
        <v>55379.59</v>
      </c>
      <c r="S735" s="203"/>
      <c r="W735" s="198" t="s">
        <v>51</v>
      </c>
      <c r="AE735" s="198" t="s">
        <v>54</v>
      </c>
    </row>
    <row r="736" spans="3:31" x14ac:dyDescent="0.25">
      <c r="C736" s="201"/>
      <c r="E736" s="201"/>
      <c r="F736" s="201"/>
      <c r="I736" s="198" t="s">
        <v>867</v>
      </c>
      <c r="J736" s="198" t="s">
        <v>132</v>
      </c>
      <c r="K736" s="202">
        <f t="shared" si="11"/>
        <v>379949.99999999948</v>
      </c>
      <c r="L736" s="202">
        <v>74.499999999999901</v>
      </c>
      <c r="N736" s="202">
        <v>-22286.46</v>
      </c>
      <c r="S736" s="203"/>
      <c r="W736" s="198" t="s">
        <v>51</v>
      </c>
      <c r="AE736" s="198" t="s">
        <v>54</v>
      </c>
    </row>
    <row r="737" spans="3:31" x14ac:dyDescent="0.25">
      <c r="C737" s="201"/>
      <c r="E737" s="201"/>
      <c r="F737" s="201"/>
      <c r="I737" s="198" t="s">
        <v>869</v>
      </c>
      <c r="J737" s="198" t="s">
        <v>130</v>
      </c>
      <c r="K737" s="202">
        <f t="shared" si="11"/>
        <v>380459.99999999948</v>
      </c>
      <c r="L737" s="202">
        <v>74.599999999999895</v>
      </c>
      <c r="N737" s="202">
        <v>-143976.14000000001</v>
      </c>
      <c r="S737" s="203"/>
      <c r="W737" s="198" t="s">
        <v>51</v>
      </c>
      <c r="AE737" s="198" t="s">
        <v>54</v>
      </c>
    </row>
    <row r="738" spans="3:31" x14ac:dyDescent="0.25">
      <c r="C738" s="201"/>
      <c r="E738" s="201"/>
      <c r="F738" s="201"/>
      <c r="I738" s="198" t="s">
        <v>838</v>
      </c>
      <c r="J738" s="198" t="s">
        <v>132</v>
      </c>
      <c r="K738" s="202">
        <f t="shared" si="11"/>
        <v>380969.99999999953</v>
      </c>
      <c r="L738" s="202">
        <v>74.699999999999903</v>
      </c>
      <c r="N738" s="202">
        <v>385798</v>
      </c>
      <c r="S738" s="203"/>
      <c r="W738" s="198" t="s">
        <v>51</v>
      </c>
      <c r="AE738" s="198" t="s">
        <v>54</v>
      </c>
    </row>
    <row r="739" spans="3:31" x14ac:dyDescent="0.25">
      <c r="C739" s="201"/>
      <c r="E739" s="201"/>
      <c r="F739" s="201"/>
      <c r="I739" s="198" t="s">
        <v>840</v>
      </c>
      <c r="J739" s="198" t="s">
        <v>126</v>
      </c>
      <c r="K739" s="202">
        <f t="shared" si="11"/>
        <v>381479.99999999948</v>
      </c>
      <c r="L739" s="202">
        <v>74.799999999999898</v>
      </c>
      <c r="N739" s="202">
        <v>2275113</v>
      </c>
      <c r="S739" s="203"/>
      <c r="W739" s="198" t="s">
        <v>51</v>
      </c>
      <c r="AE739" s="198" t="s">
        <v>54</v>
      </c>
    </row>
    <row r="740" spans="3:31" x14ac:dyDescent="0.25">
      <c r="C740" s="201"/>
      <c r="E740" s="201"/>
      <c r="F740" s="201"/>
      <c r="I740" s="198" t="s">
        <v>870</v>
      </c>
      <c r="J740" s="198" t="s">
        <v>137</v>
      </c>
      <c r="K740" s="202">
        <f t="shared" si="11"/>
        <v>381989.99999999953</v>
      </c>
      <c r="L740" s="202">
        <v>74.899999999999906</v>
      </c>
      <c r="N740" s="202">
        <v>1578078</v>
      </c>
      <c r="S740" s="203"/>
      <c r="W740" s="198" t="s">
        <v>51</v>
      </c>
      <c r="AE740" s="198" t="s">
        <v>54</v>
      </c>
    </row>
    <row r="741" spans="3:31" x14ac:dyDescent="0.25">
      <c r="C741" s="201"/>
      <c r="E741" s="201"/>
      <c r="F741" s="201"/>
      <c r="I741" s="198" t="s">
        <v>871</v>
      </c>
      <c r="J741" s="198" t="s">
        <v>130</v>
      </c>
      <c r="K741" s="202">
        <f t="shared" si="11"/>
        <v>382499.99999999948</v>
      </c>
      <c r="L741" s="202">
        <v>74.999999999999901</v>
      </c>
      <c r="N741" s="202">
        <v>1615171</v>
      </c>
      <c r="S741" s="203"/>
      <c r="W741" s="198" t="s">
        <v>51</v>
      </c>
      <c r="AE741" s="198" t="s">
        <v>54</v>
      </c>
    </row>
    <row r="742" spans="3:31" x14ac:dyDescent="0.25">
      <c r="C742" s="201"/>
      <c r="E742" s="201"/>
      <c r="F742" s="201"/>
      <c r="I742" s="198" t="s">
        <v>872</v>
      </c>
      <c r="J742" s="198" t="s">
        <v>134</v>
      </c>
      <c r="K742" s="202">
        <f t="shared" si="11"/>
        <v>383009.99999999948</v>
      </c>
      <c r="L742" s="202">
        <v>75.099999999999895</v>
      </c>
      <c r="N742" s="202">
        <v>1267062</v>
      </c>
      <c r="S742" s="203"/>
      <c r="W742" s="198" t="s">
        <v>51</v>
      </c>
      <c r="AE742" s="198" t="s">
        <v>54</v>
      </c>
    </row>
    <row r="743" spans="3:31" x14ac:dyDescent="0.25">
      <c r="C743" s="201"/>
      <c r="E743" s="201"/>
      <c r="F743" s="201"/>
      <c r="I743" s="198" t="s">
        <v>873</v>
      </c>
      <c r="J743" s="198" t="s">
        <v>126</v>
      </c>
      <c r="K743" s="202">
        <f t="shared" si="11"/>
        <v>383519.99999999953</v>
      </c>
      <c r="L743" s="202">
        <v>75.199999999999903</v>
      </c>
      <c r="N743" s="202">
        <v>35940.370000000003</v>
      </c>
      <c r="S743" s="203"/>
      <c r="W743" s="198" t="s">
        <v>51</v>
      </c>
      <c r="AE743" s="198" t="s">
        <v>54</v>
      </c>
    </row>
    <row r="744" spans="3:31" x14ac:dyDescent="0.25">
      <c r="C744" s="201"/>
      <c r="E744" s="201"/>
      <c r="F744" s="201"/>
      <c r="I744" s="198" t="s">
        <v>852</v>
      </c>
      <c r="J744" s="198" t="s">
        <v>65</v>
      </c>
      <c r="K744" s="202">
        <f t="shared" si="11"/>
        <v>384029.99999999948</v>
      </c>
      <c r="L744" s="202">
        <v>75.299999999999898</v>
      </c>
      <c r="N744" s="202">
        <v>26013041</v>
      </c>
      <c r="S744" s="203"/>
      <c r="W744" s="198" t="s">
        <v>51</v>
      </c>
      <c r="AE744" s="198" t="s">
        <v>54</v>
      </c>
    </row>
    <row r="745" spans="3:31" x14ac:dyDescent="0.25">
      <c r="C745" s="201"/>
      <c r="E745" s="201"/>
      <c r="F745" s="201"/>
      <c r="I745" s="198" t="s">
        <v>856</v>
      </c>
      <c r="J745" s="198" t="s">
        <v>112</v>
      </c>
      <c r="K745" s="202">
        <f t="shared" si="11"/>
        <v>384539.99999999953</v>
      </c>
      <c r="L745" s="202">
        <v>75.399999999999906</v>
      </c>
      <c r="N745" s="202">
        <v>89726607</v>
      </c>
      <c r="S745" s="203"/>
      <c r="W745" s="198" t="s">
        <v>51</v>
      </c>
      <c r="AE745" s="198" t="s">
        <v>54</v>
      </c>
    </row>
    <row r="746" spans="3:31" x14ac:dyDescent="0.25">
      <c r="C746" s="201"/>
      <c r="E746" s="201"/>
      <c r="F746" s="201"/>
      <c r="I746" s="198" t="s">
        <v>218</v>
      </c>
      <c r="J746" s="198" t="s">
        <v>95</v>
      </c>
      <c r="K746" s="202">
        <f t="shared" si="11"/>
        <v>385049.99999999948</v>
      </c>
      <c r="L746" s="202">
        <v>75.499999999999901</v>
      </c>
      <c r="N746" s="202">
        <v>75666065</v>
      </c>
      <c r="S746" s="203"/>
      <c r="W746" s="198" t="s">
        <v>51</v>
      </c>
      <c r="AE746" s="198" t="s">
        <v>54</v>
      </c>
    </row>
    <row r="747" spans="3:31" x14ac:dyDescent="0.25">
      <c r="C747" s="201"/>
      <c r="E747" s="201"/>
      <c r="F747" s="201"/>
      <c r="I747" s="198" t="s">
        <v>1773</v>
      </c>
      <c r="J747" s="198" t="s">
        <v>89</v>
      </c>
      <c r="K747" s="202">
        <f t="shared" si="11"/>
        <v>385559.99999999948</v>
      </c>
      <c r="L747" s="202">
        <v>75.599999999999895</v>
      </c>
      <c r="N747" s="202">
        <v>108066208</v>
      </c>
      <c r="S747" s="203"/>
      <c r="W747" s="198" t="s">
        <v>51</v>
      </c>
      <c r="AE747" s="198" t="s">
        <v>54</v>
      </c>
    </row>
    <row r="748" spans="3:31" x14ac:dyDescent="0.25">
      <c r="C748" s="201"/>
      <c r="E748" s="201"/>
      <c r="F748" s="201"/>
      <c r="I748" s="198" t="s">
        <v>1773</v>
      </c>
      <c r="J748" s="198" t="s">
        <v>89</v>
      </c>
      <c r="K748" s="202">
        <f t="shared" si="11"/>
        <v>386069.99999999953</v>
      </c>
      <c r="L748" s="202">
        <v>75.699999999999903</v>
      </c>
      <c r="N748" s="202">
        <v>108066208</v>
      </c>
      <c r="S748" s="203"/>
      <c r="W748" s="198" t="s">
        <v>51</v>
      </c>
      <c r="AE748" s="198" t="s">
        <v>54</v>
      </c>
    </row>
    <row r="749" spans="3:31" x14ac:dyDescent="0.25">
      <c r="C749" s="201"/>
      <c r="E749" s="201"/>
      <c r="F749" s="201"/>
      <c r="I749" s="198" t="s">
        <v>843</v>
      </c>
      <c r="J749" s="198" t="s">
        <v>137</v>
      </c>
      <c r="K749" s="202">
        <f t="shared" si="11"/>
        <v>386579.99999999948</v>
      </c>
      <c r="L749" s="202">
        <v>75.799999999999898</v>
      </c>
      <c r="N749" s="202">
        <v>-6264775</v>
      </c>
      <c r="S749" s="203"/>
      <c r="W749" s="198" t="s">
        <v>51</v>
      </c>
      <c r="AE749" s="198" t="s">
        <v>54</v>
      </c>
    </row>
    <row r="750" spans="3:31" x14ac:dyDescent="0.25">
      <c r="C750" s="201"/>
      <c r="E750" s="201"/>
      <c r="F750" s="201"/>
      <c r="I750" s="198" t="s">
        <v>843</v>
      </c>
      <c r="J750" s="198" t="s">
        <v>137</v>
      </c>
      <c r="K750" s="202">
        <f t="shared" si="11"/>
        <v>387089.99999999953</v>
      </c>
      <c r="L750" s="202">
        <v>75.899999999999906</v>
      </c>
      <c r="N750" s="202">
        <v>-6274750</v>
      </c>
      <c r="S750" s="203"/>
      <c r="W750" s="198" t="s">
        <v>51</v>
      </c>
      <c r="AE750" s="198" t="s">
        <v>54</v>
      </c>
    </row>
    <row r="751" spans="3:31" x14ac:dyDescent="0.25">
      <c r="C751" s="201"/>
      <c r="E751" s="201"/>
      <c r="F751" s="201"/>
      <c r="I751" s="198" t="s">
        <v>843</v>
      </c>
      <c r="J751" s="198" t="s">
        <v>137</v>
      </c>
      <c r="K751" s="202">
        <f t="shared" si="11"/>
        <v>387599.99999999948</v>
      </c>
      <c r="L751" s="202">
        <v>75.999999999999901</v>
      </c>
      <c r="N751" s="202">
        <v>-6275700</v>
      </c>
      <c r="S751" s="203"/>
      <c r="W751" s="198" t="s">
        <v>51</v>
      </c>
      <c r="AE751" s="198" t="s">
        <v>54</v>
      </c>
    </row>
    <row r="752" spans="3:31" x14ac:dyDescent="0.25">
      <c r="C752" s="201"/>
      <c r="E752" s="201"/>
      <c r="F752" s="201"/>
      <c r="I752" s="198" t="s">
        <v>843</v>
      </c>
      <c r="J752" s="198" t="s">
        <v>137</v>
      </c>
      <c r="K752" s="202">
        <f t="shared" si="11"/>
        <v>388109.99999999948</v>
      </c>
      <c r="L752" s="202">
        <v>76.099999999999895</v>
      </c>
      <c r="N752" s="202">
        <v>-6274275</v>
      </c>
      <c r="S752" s="203"/>
      <c r="W752" s="198" t="s">
        <v>51</v>
      </c>
      <c r="AE752" s="198" t="s">
        <v>54</v>
      </c>
    </row>
    <row r="753" spans="3:31" x14ac:dyDescent="0.25">
      <c r="C753" s="201"/>
      <c r="E753" s="201"/>
      <c r="F753" s="201"/>
      <c r="I753" s="198" t="s">
        <v>843</v>
      </c>
      <c r="J753" s="198" t="s">
        <v>137</v>
      </c>
      <c r="K753" s="202">
        <f t="shared" si="11"/>
        <v>388619.99999999953</v>
      </c>
      <c r="L753" s="202">
        <v>76.199999999999903</v>
      </c>
      <c r="N753" s="202">
        <v>-6270775</v>
      </c>
      <c r="S753" s="203"/>
      <c r="W753" s="198" t="s">
        <v>51</v>
      </c>
      <c r="AE753" s="198" t="s">
        <v>54</v>
      </c>
    </row>
    <row r="754" spans="3:31" x14ac:dyDescent="0.25">
      <c r="C754" s="201"/>
      <c r="E754" s="201"/>
      <c r="F754" s="201"/>
      <c r="I754" s="198" t="s">
        <v>843</v>
      </c>
      <c r="J754" s="198" t="s">
        <v>137</v>
      </c>
      <c r="K754" s="202">
        <f t="shared" si="11"/>
        <v>389129.99999999948</v>
      </c>
      <c r="L754" s="202">
        <v>76.299999999999898</v>
      </c>
      <c r="N754" s="202">
        <v>-6267625</v>
      </c>
      <c r="S754" s="203"/>
      <c r="W754" s="198" t="s">
        <v>51</v>
      </c>
      <c r="AE754" s="198" t="s">
        <v>54</v>
      </c>
    </row>
    <row r="755" spans="3:31" x14ac:dyDescent="0.25">
      <c r="C755" s="201"/>
      <c r="E755" s="201"/>
      <c r="F755" s="201"/>
      <c r="I755" s="198" t="s">
        <v>843</v>
      </c>
      <c r="J755" s="198" t="s">
        <v>137</v>
      </c>
      <c r="K755" s="202">
        <f t="shared" si="11"/>
        <v>389639.99999999953</v>
      </c>
      <c r="L755" s="202">
        <v>76.399999999999906</v>
      </c>
      <c r="N755" s="202">
        <v>-6276700</v>
      </c>
      <c r="S755" s="203"/>
      <c r="W755" s="198" t="s">
        <v>51</v>
      </c>
      <c r="AE755" s="198" t="s">
        <v>54</v>
      </c>
    </row>
    <row r="756" spans="3:31" x14ac:dyDescent="0.25">
      <c r="C756" s="201"/>
      <c r="E756" s="201"/>
      <c r="F756" s="201"/>
      <c r="I756" s="198" t="s">
        <v>843</v>
      </c>
      <c r="J756" s="198" t="s">
        <v>137</v>
      </c>
      <c r="K756" s="202">
        <f t="shared" si="11"/>
        <v>390149.99999999948</v>
      </c>
      <c r="L756" s="202">
        <v>76.499999999999901</v>
      </c>
      <c r="N756" s="202">
        <v>-6270475</v>
      </c>
      <c r="S756" s="203"/>
      <c r="W756" s="198" t="s">
        <v>51</v>
      </c>
      <c r="AE756" s="198" t="s">
        <v>54</v>
      </c>
    </row>
    <row r="757" spans="3:31" x14ac:dyDescent="0.25">
      <c r="C757" s="201"/>
      <c r="E757" s="201"/>
      <c r="F757" s="201"/>
      <c r="I757" s="198" t="s">
        <v>554</v>
      </c>
      <c r="J757" s="198" t="s">
        <v>130</v>
      </c>
      <c r="K757" s="202">
        <f t="shared" si="11"/>
        <v>390659.99999999948</v>
      </c>
      <c r="L757" s="202">
        <v>76.599999999999895</v>
      </c>
      <c r="N757" s="202">
        <v>-1132723</v>
      </c>
      <c r="S757" s="203"/>
      <c r="W757" s="198" t="s">
        <v>51</v>
      </c>
      <c r="AE757" s="198" t="s">
        <v>54</v>
      </c>
    </row>
    <row r="758" spans="3:31" x14ac:dyDescent="0.25">
      <c r="C758" s="201"/>
      <c r="E758" s="201"/>
      <c r="F758" s="201"/>
      <c r="I758" s="198" t="s">
        <v>583</v>
      </c>
      <c r="J758" s="198" t="s">
        <v>134</v>
      </c>
      <c r="K758" s="202">
        <f t="shared" si="11"/>
        <v>391169.99999999953</v>
      </c>
      <c r="L758" s="202">
        <v>76.699999999999903</v>
      </c>
      <c r="N758" s="202">
        <v>-5259200</v>
      </c>
      <c r="S758" s="203"/>
      <c r="W758" s="198" t="s">
        <v>51</v>
      </c>
      <c r="AE758" s="198" t="s">
        <v>54</v>
      </c>
    </row>
    <row r="759" spans="3:31" x14ac:dyDescent="0.25">
      <c r="C759" s="201"/>
      <c r="E759" s="201"/>
      <c r="F759" s="201"/>
      <c r="I759" s="198" t="s">
        <v>583</v>
      </c>
      <c r="J759" s="198" t="s">
        <v>134</v>
      </c>
      <c r="K759" s="202">
        <f t="shared" si="11"/>
        <v>391679.99999999948</v>
      </c>
      <c r="L759" s="202">
        <v>76.799999999999898</v>
      </c>
      <c r="N759" s="202">
        <v>-5216450</v>
      </c>
      <c r="S759" s="203"/>
      <c r="W759" s="198" t="s">
        <v>51</v>
      </c>
      <c r="AE759" s="198" t="s">
        <v>54</v>
      </c>
    </row>
    <row r="760" spans="3:31" x14ac:dyDescent="0.25">
      <c r="C760" s="201"/>
      <c r="E760" s="201"/>
      <c r="F760" s="201"/>
      <c r="I760" s="198" t="s">
        <v>555</v>
      </c>
      <c r="J760" s="198" t="s">
        <v>132</v>
      </c>
      <c r="K760" s="202">
        <f t="shared" si="11"/>
        <v>392189.99999999953</v>
      </c>
      <c r="L760" s="202">
        <v>76.899999999999906</v>
      </c>
      <c r="N760" s="202">
        <v>-986852</v>
      </c>
      <c r="S760" s="203"/>
      <c r="W760" s="198" t="s">
        <v>51</v>
      </c>
      <c r="AE760" s="198" t="s">
        <v>54</v>
      </c>
    </row>
    <row r="761" spans="3:31" x14ac:dyDescent="0.25">
      <c r="C761" s="201"/>
      <c r="E761" s="201"/>
      <c r="F761" s="201"/>
      <c r="I761" s="198" t="s">
        <v>536</v>
      </c>
      <c r="J761" s="198" t="s">
        <v>126</v>
      </c>
      <c r="K761" s="202">
        <f t="shared" si="11"/>
        <v>392699.99999999948</v>
      </c>
      <c r="L761" s="202">
        <v>76.999999999999901</v>
      </c>
      <c r="N761" s="202">
        <v>-1034992</v>
      </c>
      <c r="S761" s="203"/>
      <c r="W761" s="198" t="s">
        <v>51</v>
      </c>
      <c r="AE761" s="198" t="s">
        <v>54</v>
      </c>
    </row>
    <row r="762" spans="3:31" x14ac:dyDescent="0.25">
      <c r="C762" s="201"/>
      <c r="E762" s="201"/>
      <c r="F762" s="201"/>
      <c r="I762" s="198" t="s">
        <v>583</v>
      </c>
      <c r="J762" s="198" t="s">
        <v>134</v>
      </c>
      <c r="K762" s="202">
        <f t="shared" si="11"/>
        <v>393209.99999999948</v>
      </c>
      <c r="L762" s="202">
        <v>77.099999999999895</v>
      </c>
      <c r="N762" s="202">
        <v>-5214075</v>
      </c>
      <c r="S762" s="203"/>
      <c r="W762" s="198" t="s">
        <v>51</v>
      </c>
      <c r="AE762" s="198" t="s">
        <v>54</v>
      </c>
    </row>
    <row r="763" spans="3:31" x14ac:dyDescent="0.25">
      <c r="C763" s="201"/>
      <c r="E763" s="201"/>
      <c r="F763" s="201"/>
      <c r="I763" s="198" t="s">
        <v>847</v>
      </c>
      <c r="J763" s="198" t="s">
        <v>137</v>
      </c>
      <c r="K763" s="202">
        <f t="shared" si="11"/>
        <v>393719.99999999953</v>
      </c>
      <c r="L763" s="202">
        <v>77.199999999999903</v>
      </c>
      <c r="N763" s="202">
        <v>-7114930</v>
      </c>
      <c r="S763" s="203"/>
      <c r="W763" s="198" t="s">
        <v>51</v>
      </c>
      <c r="AE763" s="198" t="s">
        <v>54</v>
      </c>
    </row>
    <row r="764" spans="3:31" x14ac:dyDescent="0.25">
      <c r="C764" s="201"/>
      <c r="E764" s="201"/>
      <c r="F764" s="201"/>
      <c r="I764" s="198" t="s">
        <v>847</v>
      </c>
      <c r="J764" s="198" t="s">
        <v>137</v>
      </c>
      <c r="K764" s="202">
        <f t="shared" si="11"/>
        <v>394229.99999999948</v>
      </c>
      <c r="L764" s="202">
        <v>77.299999999999898</v>
      </c>
      <c r="N764" s="202">
        <v>-6862780</v>
      </c>
      <c r="S764" s="203"/>
      <c r="W764" s="198" t="s">
        <v>51</v>
      </c>
      <c r="AE764" s="198" t="s">
        <v>54</v>
      </c>
    </row>
    <row r="765" spans="3:31" x14ac:dyDescent="0.25">
      <c r="C765" s="201"/>
      <c r="E765" s="201"/>
      <c r="F765" s="201"/>
      <c r="I765" s="198" t="s">
        <v>847</v>
      </c>
      <c r="J765" s="198" t="s">
        <v>137</v>
      </c>
      <c r="K765" s="202">
        <f t="shared" si="11"/>
        <v>394739.99999999953</v>
      </c>
      <c r="L765" s="202">
        <v>77.399999999999906</v>
      </c>
      <c r="N765" s="202">
        <v>-7138718</v>
      </c>
      <c r="S765" s="203"/>
      <c r="W765" s="198" t="s">
        <v>51</v>
      </c>
      <c r="AE765" s="198" t="s">
        <v>54</v>
      </c>
    </row>
    <row r="766" spans="3:31" x14ac:dyDescent="0.25">
      <c r="C766" s="201"/>
      <c r="E766" s="201"/>
      <c r="F766" s="201"/>
      <c r="I766" s="198" t="s">
        <v>847</v>
      </c>
      <c r="J766" s="198" t="s">
        <v>137</v>
      </c>
      <c r="K766" s="202">
        <f t="shared" si="11"/>
        <v>395249.99999999948</v>
      </c>
      <c r="L766" s="202">
        <v>77.499999999999901</v>
      </c>
      <c r="N766" s="202">
        <v>-7119585</v>
      </c>
      <c r="S766" s="203"/>
      <c r="W766" s="198" t="s">
        <v>51</v>
      </c>
      <c r="AE766" s="198" t="s">
        <v>54</v>
      </c>
    </row>
    <row r="767" spans="3:31" x14ac:dyDescent="0.25">
      <c r="C767" s="201"/>
      <c r="E767" s="201"/>
      <c r="F767" s="201"/>
      <c r="I767" s="198" t="s">
        <v>847</v>
      </c>
      <c r="J767" s="198" t="s">
        <v>137</v>
      </c>
      <c r="K767" s="202">
        <f t="shared" si="11"/>
        <v>395759.99999999948</v>
      </c>
      <c r="L767" s="202">
        <v>77.599999999999895</v>
      </c>
      <c r="N767" s="202">
        <v>-7164885</v>
      </c>
      <c r="S767" s="203"/>
      <c r="W767" s="198" t="s">
        <v>51</v>
      </c>
      <c r="AE767" s="198" t="s">
        <v>54</v>
      </c>
    </row>
    <row r="768" spans="3:31" x14ac:dyDescent="0.25">
      <c r="C768" s="201"/>
      <c r="E768" s="201"/>
      <c r="F768" s="201"/>
      <c r="I768" s="198" t="s">
        <v>847</v>
      </c>
      <c r="J768" s="198" t="s">
        <v>137</v>
      </c>
      <c r="K768" s="202">
        <f t="shared" si="11"/>
        <v>396269.99999999953</v>
      </c>
      <c r="L768" s="202">
        <v>77.699999999999903</v>
      </c>
      <c r="N768" s="202">
        <v>-7091143</v>
      </c>
      <c r="S768" s="203"/>
      <c r="W768" s="198" t="s">
        <v>51</v>
      </c>
      <c r="AE768" s="198" t="s">
        <v>54</v>
      </c>
    </row>
    <row r="769" spans="3:31" x14ac:dyDescent="0.25">
      <c r="C769" s="201"/>
      <c r="E769" s="201"/>
      <c r="F769" s="201"/>
      <c r="I769" s="198" t="s">
        <v>847</v>
      </c>
      <c r="J769" s="198" t="s">
        <v>137</v>
      </c>
      <c r="K769" s="202">
        <f t="shared" si="11"/>
        <v>396779.99999999948</v>
      </c>
      <c r="L769" s="202">
        <v>77.799999999999898</v>
      </c>
      <c r="N769" s="202">
        <v>-7124446</v>
      </c>
      <c r="S769" s="203"/>
      <c r="W769" s="198" t="s">
        <v>51</v>
      </c>
      <c r="AE769" s="198" t="s">
        <v>54</v>
      </c>
    </row>
    <row r="770" spans="3:31" x14ac:dyDescent="0.25">
      <c r="C770" s="201"/>
      <c r="E770" s="201"/>
      <c r="F770" s="201"/>
      <c r="I770" s="198" t="s">
        <v>847</v>
      </c>
      <c r="J770" s="198" t="s">
        <v>137</v>
      </c>
      <c r="K770" s="202">
        <f t="shared" si="11"/>
        <v>397289.99999999953</v>
      </c>
      <c r="L770" s="202">
        <v>77.899999999999906</v>
      </c>
      <c r="N770" s="202">
        <v>-7122067</v>
      </c>
      <c r="S770" s="203"/>
      <c r="W770" s="198" t="s">
        <v>51</v>
      </c>
      <c r="AE770" s="198" t="s">
        <v>54</v>
      </c>
    </row>
    <row r="771" spans="3:31" x14ac:dyDescent="0.25">
      <c r="C771" s="201"/>
      <c r="E771" s="201"/>
      <c r="F771" s="201"/>
      <c r="I771" s="198" t="s">
        <v>847</v>
      </c>
      <c r="J771" s="198" t="s">
        <v>137</v>
      </c>
      <c r="K771" s="202">
        <f t="shared" ref="K771:K834" si="12">L771*5100</f>
        <v>397799.99999999948</v>
      </c>
      <c r="L771" s="202">
        <v>77.999999999999901</v>
      </c>
      <c r="N771" s="202">
        <v>-7114930</v>
      </c>
      <c r="S771" s="203"/>
      <c r="W771" s="198" t="s">
        <v>51</v>
      </c>
      <c r="AE771" s="198" t="s">
        <v>54</v>
      </c>
    </row>
    <row r="772" spans="3:31" x14ac:dyDescent="0.25">
      <c r="C772" s="201"/>
      <c r="E772" s="201"/>
      <c r="F772" s="201"/>
      <c r="I772" s="198" t="s">
        <v>851</v>
      </c>
      <c r="J772" s="198" t="s">
        <v>274</v>
      </c>
      <c r="K772" s="202">
        <f t="shared" si="12"/>
        <v>398309.99999999948</v>
      </c>
      <c r="L772" s="202">
        <v>78.099999999999895</v>
      </c>
      <c r="N772" s="202">
        <v>-892500</v>
      </c>
      <c r="S772" s="203"/>
      <c r="W772" s="198" t="s">
        <v>51</v>
      </c>
      <c r="AE772" s="198" t="s">
        <v>54</v>
      </c>
    </row>
    <row r="773" spans="3:31" x14ac:dyDescent="0.25">
      <c r="C773" s="201"/>
      <c r="E773" s="201"/>
      <c r="F773" s="201"/>
      <c r="I773" s="198" t="s">
        <v>851</v>
      </c>
      <c r="J773" s="198" t="s">
        <v>274</v>
      </c>
      <c r="K773" s="202">
        <f t="shared" si="12"/>
        <v>398819.99999999953</v>
      </c>
      <c r="L773" s="202">
        <v>78.199999999999903</v>
      </c>
      <c r="N773" s="202">
        <v>-1190000</v>
      </c>
      <c r="S773" s="203"/>
      <c r="W773" s="198" t="s">
        <v>51</v>
      </c>
      <c r="AE773" s="198" t="s">
        <v>54</v>
      </c>
    </row>
    <row r="774" spans="3:31" x14ac:dyDescent="0.25">
      <c r="C774" s="201"/>
      <c r="E774" s="201"/>
      <c r="F774" s="201"/>
      <c r="I774" s="198" t="s">
        <v>855</v>
      </c>
      <c r="J774" s="198" t="s">
        <v>156</v>
      </c>
      <c r="K774" s="202">
        <f t="shared" si="12"/>
        <v>399329.99999999948</v>
      </c>
      <c r="L774" s="202">
        <v>78.299999999999898</v>
      </c>
      <c r="N774" s="202">
        <v>-1190000</v>
      </c>
      <c r="S774" s="203"/>
      <c r="W774" s="198" t="s">
        <v>51</v>
      </c>
      <c r="AE774" s="198" t="s">
        <v>54</v>
      </c>
    </row>
    <row r="775" spans="3:31" x14ac:dyDescent="0.25">
      <c r="C775" s="201"/>
      <c r="E775" s="201"/>
      <c r="F775" s="201"/>
      <c r="I775" s="198" t="s">
        <v>157</v>
      </c>
      <c r="J775" s="198" t="s">
        <v>143</v>
      </c>
      <c r="K775" s="202">
        <f t="shared" si="12"/>
        <v>399839.99999999953</v>
      </c>
      <c r="L775" s="202">
        <v>78.399999999999906</v>
      </c>
      <c r="N775" s="202">
        <v>-90160</v>
      </c>
      <c r="S775" s="203"/>
      <c r="W775" s="198" t="s">
        <v>51</v>
      </c>
      <c r="AE775" s="198" t="s">
        <v>54</v>
      </c>
    </row>
    <row r="776" spans="3:31" x14ac:dyDescent="0.25">
      <c r="C776" s="201"/>
      <c r="E776" s="201"/>
      <c r="F776" s="201"/>
      <c r="I776" s="198" t="s">
        <v>854</v>
      </c>
      <c r="J776" s="198" t="s">
        <v>143</v>
      </c>
      <c r="K776" s="202">
        <f t="shared" si="12"/>
        <v>400349.99999999948</v>
      </c>
      <c r="L776" s="202">
        <v>78.499999999999901</v>
      </c>
      <c r="N776" s="202">
        <v>-1190000</v>
      </c>
      <c r="S776" s="203"/>
      <c r="W776" s="198" t="s">
        <v>51</v>
      </c>
      <c r="AE776" s="198" t="s">
        <v>54</v>
      </c>
    </row>
    <row r="777" spans="3:31" x14ac:dyDescent="0.25">
      <c r="C777" s="201"/>
      <c r="E777" s="201"/>
      <c r="F777" s="201"/>
      <c r="I777" s="198" t="s">
        <v>856</v>
      </c>
      <c r="J777" s="198" t="s">
        <v>112</v>
      </c>
      <c r="K777" s="202">
        <f t="shared" si="12"/>
        <v>400859.99999999948</v>
      </c>
      <c r="L777" s="202">
        <v>78.599999999999895</v>
      </c>
      <c r="N777" s="202">
        <v>-202444</v>
      </c>
      <c r="S777" s="203"/>
      <c r="W777" s="198" t="s">
        <v>51</v>
      </c>
      <c r="AE777" s="198" t="s">
        <v>54</v>
      </c>
    </row>
    <row r="778" spans="3:31" x14ac:dyDescent="0.25">
      <c r="C778" s="201"/>
      <c r="E778" s="201"/>
      <c r="F778" s="201"/>
      <c r="I778" s="198" t="s">
        <v>850</v>
      </c>
      <c r="J778" s="198" t="s">
        <v>153</v>
      </c>
      <c r="K778" s="202">
        <f t="shared" si="12"/>
        <v>401369.99999999953</v>
      </c>
      <c r="L778" s="202">
        <v>78.699999999999903</v>
      </c>
      <c r="N778" s="202">
        <v>-892500</v>
      </c>
      <c r="S778" s="203"/>
      <c r="W778" s="198" t="s">
        <v>51</v>
      </c>
      <c r="AE778" s="198" t="s">
        <v>54</v>
      </c>
    </row>
    <row r="779" spans="3:31" x14ac:dyDescent="0.25">
      <c r="C779" s="201"/>
      <c r="E779" s="201"/>
      <c r="F779" s="201"/>
      <c r="I779" s="198" t="s">
        <v>850</v>
      </c>
      <c r="J779" s="198" t="s">
        <v>153</v>
      </c>
      <c r="K779" s="202">
        <f t="shared" si="12"/>
        <v>401879.99999999948</v>
      </c>
      <c r="L779" s="202">
        <v>78.799999999999898</v>
      </c>
      <c r="N779" s="202">
        <v>-1190000</v>
      </c>
      <c r="S779" s="203"/>
      <c r="W779" s="198" t="s">
        <v>51</v>
      </c>
      <c r="AE779" s="198" t="s">
        <v>54</v>
      </c>
    </row>
    <row r="780" spans="3:31" x14ac:dyDescent="0.25">
      <c r="C780" s="201"/>
      <c r="E780" s="201"/>
      <c r="F780" s="201"/>
      <c r="I780" s="198" t="s">
        <v>848</v>
      </c>
      <c r="J780" s="198" t="s">
        <v>193</v>
      </c>
      <c r="K780" s="202">
        <f t="shared" si="12"/>
        <v>402389.99999999953</v>
      </c>
      <c r="L780" s="202">
        <v>78.899999999999906</v>
      </c>
      <c r="N780" s="202">
        <v>-1190000</v>
      </c>
      <c r="S780" s="203"/>
      <c r="W780" s="198" t="s">
        <v>51</v>
      </c>
      <c r="AE780" s="198" t="s">
        <v>54</v>
      </c>
    </row>
    <row r="781" spans="3:31" x14ac:dyDescent="0.25">
      <c r="C781" s="201"/>
      <c r="E781" s="201"/>
      <c r="F781" s="201"/>
      <c r="I781" s="198" t="s">
        <v>129</v>
      </c>
      <c r="J781" s="198" t="s">
        <v>130</v>
      </c>
      <c r="K781" s="202">
        <f t="shared" si="12"/>
        <v>402899.99999999948</v>
      </c>
      <c r="L781" s="202">
        <v>78.999999999999901</v>
      </c>
      <c r="N781" s="202">
        <v>728560</v>
      </c>
      <c r="S781" s="204"/>
      <c r="W781" s="198" t="s">
        <v>51</v>
      </c>
      <c r="AE781" s="198" t="s">
        <v>833</v>
      </c>
    </row>
    <row r="782" spans="3:31" x14ac:dyDescent="0.25">
      <c r="C782" s="201"/>
      <c r="E782" s="201"/>
      <c r="F782" s="201"/>
      <c r="I782" s="198" t="s">
        <v>129</v>
      </c>
      <c r="J782" s="198" t="s">
        <v>130</v>
      </c>
      <c r="K782" s="202">
        <f t="shared" si="12"/>
        <v>403409.99999999948</v>
      </c>
      <c r="L782" s="202">
        <v>79.099999999999895</v>
      </c>
      <c r="N782" s="202">
        <v>1457120</v>
      </c>
      <c r="S782" s="204"/>
      <c r="W782" s="198" t="s">
        <v>51</v>
      </c>
      <c r="AE782" s="198" t="s">
        <v>833</v>
      </c>
    </row>
    <row r="783" spans="3:31" x14ac:dyDescent="0.25">
      <c r="C783" s="201"/>
      <c r="E783" s="201"/>
      <c r="F783" s="201"/>
      <c r="I783" s="198" t="s">
        <v>362</v>
      </c>
      <c r="J783" s="198" t="s">
        <v>132</v>
      </c>
      <c r="K783" s="202">
        <f t="shared" si="12"/>
        <v>403919.99999999953</v>
      </c>
      <c r="L783" s="202">
        <v>79.199999999999903</v>
      </c>
      <c r="N783" s="202">
        <v>6136000</v>
      </c>
      <c r="S783" s="204"/>
      <c r="W783" s="198" t="s">
        <v>51</v>
      </c>
      <c r="AE783" s="198" t="s">
        <v>833</v>
      </c>
    </row>
    <row r="784" spans="3:31" x14ac:dyDescent="0.25">
      <c r="C784" s="201"/>
      <c r="E784" s="201"/>
      <c r="F784" s="201"/>
      <c r="I784" s="198" t="s">
        <v>202</v>
      </c>
      <c r="J784" s="198" t="s">
        <v>65</v>
      </c>
      <c r="K784" s="202">
        <f t="shared" si="12"/>
        <v>404429.99999999948</v>
      </c>
      <c r="L784" s="202">
        <v>79.299999999999898</v>
      </c>
      <c r="N784" s="202">
        <v>354290</v>
      </c>
      <c r="S784" s="204"/>
      <c r="W784" s="198" t="s">
        <v>51</v>
      </c>
      <c r="AE784" s="198" t="s">
        <v>831</v>
      </c>
    </row>
    <row r="785" spans="3:31" x14ac:dyDescent="0.25">
      <c r="C785" s="201"/>
      <c r="E785" s="201"/>
      <c r="F785" s="201"/>
      <c r="I785" s="198" t="s">
        <v>202</v>
      </c>
      <c r="J785" s="198" t="s">
        <v>65</v>
      </c>
      <c r="K785" s="202">
        <f t="shared" si="12"/>
        <v>404939.99999999953</v>
      </c>
      <c r="L785" s="202">
        <v>79.399999999999906</v>
      </c>
      <c r="N785" s="202">
        <v>354290</v>
      </c>
      <c r="S785" s="204"/>
      <c r="W785" s="198" t="s">
        <v>51</v>
      </c>
      <c r="AE785" s="198" t="s">
        <v>831</v>
      </c>
    </row>
    <row r="786" spans="3:31" x14ac:dyDescent="0.25">
      <c r="C786" s="201"/>
      <c r="E786" s="201"/>
      <c r="F786" s="201"/>
      <c r="I786" s="198" t="s">
        <v>202</v>
      </c>
      <c r="J786" s="198" t="s">
        <v>65</v>
      </c>
      <c r="K786" s="202">
        <f t="shared" si="12"/>
        <v>405449.99999999948</v>
      </c>
      <c r="L786" s="202">
        <v>79.499999999999901</v>
      </c>
      <c r="N786" s="202">
        <v>354290</v>
      </c>
      <c r="S786" s="204"/>
      <c r="W786" s="198" t="s">
        <v>51</v>
      </c>
      <c r="AE786" s="198" t="s">
        <v>831</v>
      </c>
    </row>
    <row r="787" spans="3:31" x14ac:dyDescent="0.25">
      <c r="C787" s="201"/>
      <c r="E787" s="201"/>
      <c r="F787" s="201"/>
      <c r="I787" s="198" t="s">
        <v>202</v>
      </c>
      <c r="J787" s="198" t="s">
        <v>65</v>
      </c>
      <c r="K787" s="202">
        <f t="shared" si="12"/>
        <v>405959.99999999948</v>
      </c>
      <c r="L787" s="202">
        <v>79.599999999999895</v>
      </c>
      <c r="N787" s="202">
        <v>354290</v>
      </c>
      <c r="S787" s="204"/>
      <c r="W787" s="198" t="s">
        <v>51</v>
      </c>
      <c r="AE787" s="198" t="s">
        <v>831</v>
      </c>
    </row>
    <row r="788" spans="3:31" x14ac:dyDescent="0.25">
      <c r="C788" s="201"/>
      <c r="E788" s="201"/>
      <c r="F788" s="201"/>
      <c r="I788" s="198" t="s">
        <v>202</v>
      </c>
      <c r="J788" s="198" t="s">
        <v>65</v>
      </c>
      <c r="K788" s="202">
        <f t="shared" si="12"/>
        <v>406469.99999999953</v>
      </c>
      <c r="L788" s="202">
        <v>79.699999999999903</v>
      </c>
      <c r="N788" s="202">
        <v>354290</v>
      </c>
      <c r="S788" s="204"/>
      <c r="W788" s="198" t="s">
        <v>51</v>
      </c>
      <c r="AE788" s="198" t="s">
        <v>831</v>
      </c>
    </row>
    <row r="789" spans="3:31" x14ac:dyDescent="0.25">
      <c r="C789" s="201"/>
      <c r="E789" s="201"/>
      <c r="F789" s="201"/>
      <c r="I789" s="198" t="s">
        <v>874</v>
      </c>
      <c r="J789" s="198" t="s">
        <v>193</v>
      </c>
      <c r="K789" s="202">
        <f t="shared" si="12"/>
        <v>406979.99999999948</v>
      </c>
      <c r="L789" s="202">
        <v>79.799999999999898</v>
      </c>
      <c r="N789" s="202">
        <v>640.05999999999995</v>
      </c>
      <c r="S789" s="203"/>
      <c r="W789" s="198" t="s">
        <v>51</v>
      </c>
      <c r="AE789" s="198" t="s">
        <v>54</v>
      </c>
    </row>
    <row r="790" spans="3:31" x14ac:dyDescent="0.25">
      <c r="C790" s="201"/>
      <c r="E790" s="201"/>
      <c r="F790" s="201"/>
      <c r="I790" s="198" t="s">
        <v>875</v>
      </c>
      <c r="J790" s="198" t="s">
        <v>193</v>
      </c>
      <c r="K790" s="202">
        <f t="shared" si="12"/>
        <v>407489.99999999953</v>
      </c>
      <c r="L790" s="202">
        <v>79.899999999999906</v>
      </c>
      <c r="N790" s="202">
        <v>-59867</v>
      </c>
      <c r="S790" s="203"/>
      <c r="W790" s="198" t="s">
        <v>51</v>
      </c>
      <c r="AE790" s="198" t="s">
        <v>54</v>
      </c>
    </row>
    <row r="791" spans="3:31" x14ac:dyDescent="0.25">
      <c r="C791" s="201"/>
      <c r="E791" s="201"/>
      <c r="F791" s="201"/>
      <c r="I791" s="198" t="s">
        <v>877</v>
      </c>
      <c r="J791" s="198" t="s">
        <v>126</v>
      </c>
      <c r="K791" s="202">
        <f t="shared" si="12"/>
        <v>407999.99999999948</v>
      </c>
      <c r="L791" s="202">
        <v>79.999999999999901</v>
      </c>
      <c r="N791" s="202">
        <v>-25507267</v>
      </c>
      <c r="S791" s="203"/>
      <c r="W791" s="198" t="s">
        <v>51</v>
      </c>
      <c r="AE791" s="198" t="s">
        <v>54</v>
      </c>
    </row>
    <row r="792" spans="3:31" x14ac:dyDescent="0.25">
      <c r="C792" s="201"/>
      <c r="E792" s="201"/>
      <c r="F792" s="201"/>
      <c r="I792" s="198" t="s">
        <v>861</v>
      </c>
      <c r="J792" s="198" t="s">
        <v>193</v>
      </c>
      <c r="K792" s="202">
        <f t="shared" si="12"/>
        <v>408509.99999999948</v>
      </c>
      <c r="L792" s="202">
        <v>80.099999999999895</v>
      </c>
      <c r="N792" s="202">
        <v>15100</v>
      </c>
      <c r="S792" s="203"/>
      <c r="W792" s="198" t="s">
        <v>51</v>
      </c>
      <c r="AE792" s="198" t="s">
        <v>54</v>
      </c>
    </row>
    <row r="793" spans="3:31" x14ac:dyDescent="0.25">
      <c r="C793" s="201"/>
      <c r="E793" s="201"/>
      <c r="F793" s="201"/>
      <c r="I793" s="198" t="s">
        <v>861</v>
      </c>
      <c r="J793" s="198" t="s">
        <v>193</v>
      </c>
      <c r="K793" s="202">
        <f t="shared" si="12"/>
        <v>409019.99999999953</v>
      </c>
      <c r="L793" s="202">
        <v>80.199999999999903</v>
      </c>
      <c r="N793" s="202">
        <v>-15100</v>
      </c>
      <c r="S793" s="203"/>
      <c r="W793" s="198" t="s">
        <v>51</v>
      </c>
      <c r="AE793" s="198" t="s">
        <v>54</v>
      </c>
    </row>
    <row r="794" spans="3:31" x14ac:dyDescent="0.25">
      <c r="C794" s="201"/>
      <c r="E794" s="201"/>
      <c r="F794" s="201"/>
      <c r="I794" s="198" t="s">
        <v>362</v>
      </c>
      <c r="J794" s="198" t="s">
        <v>132</v>
      </c>
      <c r="K794" s="202">
        <f t="shared" si="12"/>
        <v>409529.99999999948</v>
      </c>
      <c r="L794" s="202">
        <v>80.299999999999898</v>
      </c>
      <c r="N794" s="202">
        <v>6136000</v>
      </c>
      <c r="S794" s="204"/>
      <c r="W794" s="198" t="s">
        <v>51</v>
      </c>
      <c r="AE794" s="198" t="s">
        <v>833</v>
      </c>
    </row>
    <row r="795" spans="3:31" x14ac:dyDescent="0.25">
      <c r="C795" s="201"/>
      <c r="E795" s="201"/>
      <c r="F795" s="201"/>
      <c r="I795" s="198" t="s">
        <v>362</v>
      </c>
      <c r="J795" s="198" t="s">
        <v>132</v>
      </c>
      <c r="K795" s="202">
        <f t="shared" si="12"/>
        <v>410039.99999999953</v>
      </c>
      <c r="L795" s="202">
        <v>80.399999999999906</v>
      </c>
      <c r="N795" s="202">
        <v>6136000</v>
      </c>
      <c r="S795" s="204"/>
      <c r="W795" s="198" t="s">
        <v>51</v>
      </c>
      <c r="AE795" s="198" t="s">
        <v>833</v>
      </c>
    </row>
    <row r="796" spans="3:31" x14ac:dyDescent="0.25">
      <c r="C796" s="201"/>
      <c r="E796" s="201"/>
      <c r="F796" s="201"/>
      <c r="I796" s="198" t="s">
        <v>129</v>
      </c>
      <c r="J796" s="198" t="s">
        <v>130</v>
      </c>
      <c r="K796" s="202">
        <f t="shared" si="12"/>
        <v>410549.99999999948</v>
      </c>
      <c r="L796" s="202">
        <v>80.499999999999901</v>
      </c>
      <c r="N796" s="202">
        <v>5126825</v>
      </c>
      <c r="S796" s="204"/>
      <c r="W796" s="198" t="s">
        <v>51</v>
      </c>
      <c r="AE796" s="198" t="s">
        <v>833</v>
      </c>
    </row>
    <row r="797" spans="3:31" x14ac:dyDescent="0.25">
      <c r="C797" s="201"/>
      <c r="E797" s="201"/>
      <c r="F797" s="201"/>
      <c r="I797" s="198" t="s">
        <v>129</v>
      </c>
      <c r="J797" s="198" t="s">
        <v>130</v>
      </c>
      <c r="K797" s="202">
        <f t="shared" si="12"/>
        <v>411059.99999999948</v>
      </c>
      <c r="L797" s="202">
        <v>80.599999999999895</v>
      </c>
      <c r="N797" s="202">
        <v>290392.65000000002</v>
      </c>
      <c r="S797" s="204"/>
      <c r="W797" s="198" t="s">
        <v>51</v>
      </c>
      <c r="AE797" s="198" t="s">
        <v>833</v>
      </c>
    </row>
    <row r="798" spans="3:31" x14ac:dyDescent="0.25">
      <c r="C798" s="201"/>
      <c r="E798" s="201"/>
      <c r="F798" s="201"/>
      <c r="I798" s="198" t="s">
        <v>129</v>
      </c>
      <c r="J798" s="198" t="s">
        <v>130</v>
      </c>
      <c r="K798" s="202">
        <f t="shared" si="12"/>
        <v>411569.99999999953</v>
      </c>
      <c r="L798" s="202">
        <v>80.699999999999903</v>
      </c>
      <c r="N798" s="202">
        <v>5126825</v>
      </c>
      <c r="S798" s="204"/>
      <c r="W798" s="198" t="s">
        <v>51</v>
      </c>
      <c r="AE798" s="198" t="s">
        <v>833</v>
      </c>
    </row>
    <row r="799" spans="3:31" x14ac:dyDescent="0.25">
      <c r="C799" s="201"/>
      <c r="E799" s="201"/>
      <c r="F799" s="201"/>
      <c r="I799" s="198" t="s">
        <v>129</v>
      </c>
      <c r="J799" s="198" t="s">
        <v>130</v>
      </c>
      <c r="K799" s="202">
        <f t="shared" si="12"/>
        <v>412079.99999999948</v>
      </c>
      <c r="L799" s="202">
        <v>80.799999999999898</v>
      </c>
      <c r="N799" s="202">
        <v>4653450</v>
      </c>
      <c r="S799" s="204"/>
      <c r="W799" s="198" t="s">
        <v>51</v>
      </c>
      <c r="AE799" s="198" t="s">
        <v>833</v>
      </c>
    </row>
    <row r="800" spans="3:31" x14ac:dyDescent="0.25">
      <c r="C800" s="201"/>
      <c r="E800" s="201"/>
      <c r="F800" s="201"/>
      <c r="I800" s="198" t="s">
        <v>129</v>
      </c>
      <c r="J800" s="198" t="s">
        <v>130</v>
      </c>
      <c r="K800" s="202">
        <f t="shared" si="12"/>
        <v>412589.99999999953</v>
      </c>
      <c r="L800" s="202">
        <v>80.899999999999906</v>
      </c>
      <c r="N800" s="202">
        <v>2683055.34</v>
      </c>
      <c r="S800" s="204"/>
      <c r="W800" s="198" t="s">
        <v>51</v>
      </c>
      <c r="AE800" s="198" t="s">
        <v>833</v>
      </c>
    </row>
    <row r="801" spans="3:31" x14ac:dyDescent="0.25">
      <c r="C801" s="201"/>
      <c r="E801" s="201"/>
      <c r="F801" s="201"/>
      <c r="I801" s="198" t="s">
        <v>554</v>
      </c>
      <c r="J801" s="198" t="s">
        <v>130</v>
      </c>
      <c r="K801" s="202">
        <f t="shared" si="12"/>
        <v>413099.99999999948</v>
      </c>
      <c r="L801" s="202">
        <v>80.999999999999901</v>
      </c>
      <c r="N801" s="202">
        <v>0.38</v>
      </c>
      <c r="S801" s="204"/>
      <c r="W801" s="198" t="s">
        <v>51</v>
      </c>
      <c r="AE801" s="198" t="s">
        <v>833</v>
      </c>
    </row>
    <row r="802" spans="3:31" x14ac:dyDescent="0.25">
      <c r="C802" s="201"/>
      <c r="E802" s="201"/>
      <c r="F802" s="201"/>
      <c r="I802" s="198" t="s">
        <v>583</v>
      </c>
      <c r="J802" s="198" t="s">
        <v>134</v>
      </c>
      <c r="K802" s="202">
        <f t="shared" si="12"/>
        <v>413609.99999999948</v>
      </c>
      <c r="L802" s="202">
        <v>81.099999999999895</v>
      </c>
      <c r="N802" s="202">
        <v>4787525</v>
      </c>
      <c r="S802" s="204"/>
      <c r="W802" s="198" t="s">
        <v>51</v>
      </c>
      <c r="AE802" s="198" t="s">
        <v>846</v>
      </c>
    </row>
    <row r="803" spans="3:31" x14ac:dyDescent="0.25">
      <c r="C803" s="201"/>
      <c r="E803" s="201"/>
      <c r="F803" s="201"/>
      <c r="I803" s="198" t="s">
        <v>583</v>
      </c>
      <c r="J803" s="198" t="s">
        <v>134</v>
      </c>
      <c r="K803" s="202">
        <f t="shared" si="12"/>
        <v>414119.99999999953</v>
      </c>
      <c r="L803" s="202">
        <v>81.199999999999903</v>
      </c>
      <c r="N803" s="202">
        <v>4770425</v>
      </c>
      <c r="S803" s="204"/>
      <c r="W803" s="198" t="s">
        <v>51</v>
      </c>
      <c r="AE803" s="198" t="s">
        <v>846</v>
      </c>
    </row>
    <row r="804" spans="3:31" x14ac:dyDescent="0.25">
      <c r="C804" s="201"/>
      <c r="E804" s="201"/>
      <c r="F804" s="201"/>
      <c r="I804" s="198" t="s">
        <v>583</v>
      </c>
      <c r="J804" s="198" t="s">
        <v>134</v>
      </c>
      <c r="K804" s="202">
        <f t="shared" si="12"/>
        <v>414629.99999999948</v>
      </c>
      <c r="L804" s="202">
        <v>81.299999999999898</v>
      </c>
      <c r="N804" s="202">
        <v>5302425</v>
      </c>
      <c r="S804" s="204"/>
      <c r="W804" s="198" t="s">
        <v>51</v>
      </c>
      <c r="AE804" s="198" t="s">
        <v>846</v>
      </c>
    </row>
    <row r="805" spans="3:31" x14ac:dyDescent="0.25">
      <c r="C805" s="201"/>
      <c r="E805" s="201"/>
      <c r="F805" s="201"/>
      <c r="I805" s="198" t="s">
        <v>583</v>
      </c>
      <c r="J805" s="198" t="s">
        <v>134</v>
      </c>
      <c r="K805" s="202">
        <f t="shared" si="12"/>
        <v>415139.99999999953</v>
      </c>
      <c r="L805" s="202">
        <v>81.399999999999906</v>
      </c>
      <c r="N805" s="202">
        <v>5228325</v>
      </c>
      <c r="S805" s="204"/>
      <c r="W805" s="198" t="s">
        <v>51</v>
      </c>
      <c r="AE805" s="198" t="s">
        <v>846</v>
      </c>
    </row>
    <row r="806" spans="3:31" x14ac:dyDescent="0.25">
      <c r="C806" s="201"/>
      <c r="E806" s="201"/>
      <c r="F806" s="201"/>
      <c r="I806" s="198" t="s">
        <v>583</v>
      </c>
      <c r="J806" s="198" t="s">
        <v>134</v>
      </c>
      <c r="K806" s="202">
        <f t="shared" si="12"/>
        <v>415649.99999999948</v>
      </c>
      <c r="L806" s="202">
        <v>81.499999999999901</v>
      </c>
      <c r="N806" s="202">
        <v>5271075</v>
      </c>
      <c r="S806" s="204"/>
      <c r="W806" s="198" t="s">
        <v>51</v>
      </c>
      <c r="AE806" s="198" t="s">
        <v>846</v>
      </c>
    </row>
    <row r="807" spans="3:31" x14ac:dyDescent="0.25">
      <c r="C807" s="201"/>
      <c r="E807" s="201"/>
      <c r="F807" s="201"/>
      <c r="I807" s="198" t="s">
        <v>583</v>
      </c>
      <c r="J807" s="198" t="s">
        <v>134</v>
      </c>
      <c r="K807" s="202">
        <f t="shared" si="12"/>
        <v>416159.99999999948</v>
      </c>
      <c r="L807" s="202">
        <v>81.599999999999895</v>
      </c>
      <c r="N807" s="202">
        <v>4739075</v>
      </c>
      <c r="S807" s="204"/>
      <c r="W807" s="198" t="s">
        <v>51</v>
      </c>
      <c r="AE807" s="198" t="s">
        <v>846</v>
      </c>
    </row>
    <row r="808" spans="3:31" x14ac:dyDescent="0.25">
      <c r="C808" s="201"/>
      <c r="E808" s="201"/>
      <c r="F808" s="201"/>
      <c r="I808" s="198" t="s">
        <v>583</v>
      </c>
      <c r="J808" s="198" t="s">
        <v>134</v>
      </c>
      <c r="K808" s="202">
        <f t="shared" si="12"/>
        <v>416669.99999999953</v>
      </c>
      <c r="L808" s="202">
        <v>81.699999999999903</v>
      </c>
      <c r="N808" s="202">
        <v>5270600</v>
      </c>
      <c r="S808" s="204"/>
      <c r="W808" s="198" t="s">
        <v>51</v>
      </c>
      <c r="AE808" s="198" t="s">
        <v>846</v>
      </c>
    </row>
    <row r="809" spans="3:31" x14ac:dyDescent="0.25">
      <c r="C809" s="201"/>
      <c r="E809" s="201"/>
      <c r="F809" s="201"/>
      <c r="I809" s="198" t="s">
        <v>583</v>
      </c>
      <c r="J809" s="198" t="s">
        <v>134</v>
      </c>
      <c r="K809" s="202">
        <f t="shared" si="12"/>
        <v>417179.99999999948</v>
      </c>
      <c r="L809" s="202">
        <v>81.799999999999898</v>
      </c>
      <c r="N809" s="202">
        <v>4728150</v>
      </c>
      <c r="S809" s="204"/>
      <c r="W809" s="198" t="s">
        <v>51</v>
      </c>
      <c r="AE809" s="198" t="s">
        <v>846</v>
      </c>
    </row>
    <row r="810" spans="3:31" x14ac:dyDescent="0.25">
      <c r="C810" s="201"/>
      <c r="E810" s="201"/>
      <c r="F810" s="201"/>
      <c r="I810" s="198" t="s">
        <v>583</v>
      </c>
      <c r="J810" s="198" t="s">
        <v>134</v>
      </c>
      <c r="K810" s="202">
        <f t="shared" si="12"/>
        <v>417689.99999999953</v>
      </c>
      <c r="L810" s="202">
        <v>81.899999999999906</v>
      </c>
      <c r="N810" s="202">
        <v>4750475</v>
      </c>
      <c r="S810" s="204"/>
      <c r="W810" s="198" t="s">
        <v>51</v>
      </c>
      <c r="AE810" s="198" t="s">
        <v>846</v>
      </c>
    </row>
    <row r="811" spans="3:31" x14ac:dyDescent="0.25">
      <c r="C811" s="201"/>
      <c r="E811" s="201"/>
      <c r="F811" s="201"/>
      <c r="I811" s="198" t="s">
        <v>583</v>
      </c>
      <c r="J811" s="198" t="s">
        <v>134</v>
      </c>
      <c r="K811" s="202">
        <f t="shared" si="12"/>
        <v>418199.99999999948</v>
      </c>
      <c r="L811" s="202">
        <v>81.999999999999901</v>
      </c>
      <c r="N811" s="202">
        <v>3167127.99</v>
      </c>
      <c r="S811" s="204"/>
      <c r="W811" s="198" t="s">
        <v>51</v>
      </c>
      <c r="AE811" s="198" t="s">
        <v>846</v>
      </c>
    </row>
    <row r="812" spans="3:31" x14ac:dyDescent="0.25">
      <c r="C812" s="201"/>
      <c r="E812" s="201"/>
      <c r="F812" s="201"/>
      <c r="I812" s="198" t="s">
        <v>583</v>
      </c>
      <c r="J812" s="198" t="s">
        <v>134</v>
      </c>
      <c r="K812" s="202">
        <f t="shared" si="12"/>
        <v>418709.99999999948</v>
      </c>
      <c r="L812" s="202">
        <v>82.099999999999895</v>
      </c>
      <c r="N812" s="202">
        <v>1467252.09</v>
      </c>
      <c r="S812" s="204"/>
      <c r="W812" s="198" t="s">
        <v>51</v>
      </c>
      <c r="AE812" s="198" t="s">
        <v>846</v>
      </c>
    </row>
    <row r="813" spans="3:31" x14ac:dyDescent="0.25">
      <c r="C813" s="201"/>
      <c r="E813" s="201"/>
      <c r="F813" s="201"/>
      <c r="I813" s="198" t="s">
        <v>583</v>
      </c>
      <c r="J813" s="198" t="s">
        <v>134</v>
      </c>
      <c r="K813" s="202">
        <f t="shared" si="12"/>
        <v>419219.99999999953</v>
      </c>
      <c r="L813" s="202">
        <v>82.199999999999903</v>
      </c>
      <c r="N813" s="202">
        <v>865124.76</v>
      </c>
      <c r="S813" s="204"/>
      <c r="W813" s="198" t="s">
        <v>51</v>
      </c>
      <c r="AE813" s="198" t="s">
        <v>846</v>
      </c>
    </row>
    <row r="814" spans="3:31" x14ac:dyDescent="0.25">
      <c r="C814" s="201"/>
      <c r="E814" s="201"/>
      <c r="F814" s="201"/>
      <c r="I814" s="198" t="s">
        <v>583</v>
      </c>
      <c r="J814" s="198" t="s">
        <v>134</v>
      </c>
      <c r="K814" s="202">
        <f t="shared" si="12"/>
        <v>419729.99999999948</v>
      </c>
      <c r="L814" s="202">
        <v>82.299999999999898</v>
      </c>
      <c r="N814" s="202">
        <v>107008.2</v>
      </c>
      <c r="S814" s="204"/>
      <c r="W814" s="198" t="s">
        <v>51</v>
      </c>
      <c r="AE814" s="198" t="s">
        <v>846</v>
      </c>
    </row>
    <row r="815" spans="3:31" x14ac:dyDescent="0.25">
      <c r="C815" s="201"/>
      <c r="E815" s="201"/>
      <c r="F815" s="201"/>
      <c r="I815" s="198" t="s">
        <v>583</v>
      </c>
      <c r="J815" s="198" t="s">
        <v>134</v>
      </c>
      <c r="K815" s="202">
        <f t="shared" si="12"/>
        <v>420239.99999999953</v>
      </c>
      <c r="L815" s="202">
        <v>82.399999999999906</v>
      </c>
      <c r="N815" s="202">
        <v>1628242.92</v>
      </c>
      <c r="S815" s="204"/>
      <c r="W815" s="198" t="s">
        <v>51</v>
      </c>
      <c r="AE815" s="198" t="s">
        <v>846</v>
      </c>
    </row>
    <row r="816" spans="3:31" x14ac:dyDescent="0.25">
      <c r="C816" s="201"/>
      <c r="E816" s="201"/>
      <c r="F816" s="201"/>
      <c r="I816" s="198" t="s">
        <v>583</v>
      </c>
      <c r="J816" s="198" t="s">
        <v>134</v>
      </c>
      <c r="K816" s="202">
        <f t="shared" si="12"/>
        <v>420749.99999999948</v>
      </c>
      <c r="L816" s="202">
        <v>82.499999999999901</v>
      </c>
      <c r="N816" s="202">
        <v>1944720.38</v>
      </c>
      <c r="S816" s="204"/>
      <c r="W816" s="198" t="s">
        <v>51</v>
      </c>
      <c r="AE816" s="198" t="s">
        <v>846</v>
      </c>
    </row>
    <row r="817" spans="3:31" x14ac:dyDescent="0.25">
      <c r="C817" s="201"/>
      <c r="E817" s="201"/>
      <c r="F817" s="201"/>
      <c r="I817" s="198" t="s">
        <v>843</v>
      </c>
      <c r="J817" s="198" t="s">
        <v>137</v>
      </c>
      <c r="K817" s="202">
        <f t="shared" si="12"/>
        <v>421259.99999999948</v>
      </c>
      <c r="L817" s="202">
        <v>82.599999999999895</v>
      </c>
      <c r="N817" s="202">
        <v>3238312.05</v>
      </c>
      <c r="S817" s="204"/>
      <c r="W817" s="198" t="s">
        <v>51</v>
      </c>
      <c r="AE817" s="198" t="s">
        <v>844</v>
      </c>
    </row>
    <row r="818" spans="3:31" x14ac:dyDescent="0.25">
      <c r="C818" s="201"/>
      <c r="E818" s="201"/>
      <c r="F818" s="201"/>
      <c r="I818" s="198" t="s">
        <v>843</v>
      </c>
      <c r="J818" s="198" t="s">
        <v>137</v>
      </c>
      <c r="K818" s="202">
        <f t="shared" si="12"/>
        <v>421769.99999999953</v>
      </c>
      <c r="L818" s="202">
        <v>82.699999999999903</v>
      </c>
      <c r="N818" s="202">
        <v>3248796.92</v>
      </c>
      <c r="S818" s="204"/>
      <c r="W818" s="198" t="s">
        <v>51</v>
      </c>
      <c r="AE818" s="198" t="s">
        <v>844</v>
      </c>
    </row>
    <row r="819" spans="3:31" x14ac:dyDescent="0.25">
      <c r="C819" s="201"/>
      <c r="E819" s="201"/>
      <c r="F819" s="201"/>
      <c r="I819" s="198" t="s">
        <v>843</v>
      </c>
      <c r="J819" s="198" t="s">
        <v>137</v>
      </c>
      <c r="K819" s="202">
        <f t="shared" si="12"/>
        <v>422279.99999999948</v>
      </c>
      <c r="L819" s="202">
        <v>82.799999999999898</v>
      </c>
      <c r="N819" s="202">
        <v>4552674.3600000003</v>
      </c>
      <c r="S819" s="204"/>
      <c r="W819" s="198" t="s">
        <v>51</v>
      </c>
      <c r="AE819" s="198" t="s">
        <v>844</v>
      </c>
    </row>
    <row r="820" spans="3:31" x14ac:dyDescent="0.25">
      <c r="C820" s="201"/>
      <c r="E820" s="201"/>
      <c r="F820" s="201"/>
      <c r="I820" s="198" t="s">
        <v>843</v>
      </c>
      <c r="J820" s="198" t="s">
        <v>137</v>
      </c>
      <c r="K820" s="202">
        <f t="shared" si="12"/>
        <v>422789.99999999953</v>
      </c>
      <c r="L820" s="202">
        <v>82.899999999999906</v>
      </c>
      <c r="N820" s="202">
        <v>1136424.78</v>
      </c>
      <c r="S820" s="204"/>
      <c r="W820" s="198" t="s">
        <v>51</v>
      </c>
      <c r="AE820" s="198" t="s">
        <v>844</v>
      </c>
    </row>
    <row r="821" spans="3:31" x14ac:dyDescent="0.25">
      <c r="C821" s="201"/>
      <c r="E821" s="201"/>
      <c r="F821" s="201"/>
      <c r="I821" s="198" t="s">
        <v>843</v>
      </c>
      <c r="J821" s="198" t="s">
        <v>137</v>
      </c>
      <c r="K821" s="202">
        <f t="shared" si="12"/>
        <v>423299.99999999948</v>
      </c>
      <c r="L821" s="202">
        <v>82.999999999999901</v>
      </c>
      <c r="N821" s="202">
        <v>6267625</v>
      </c>
      <c r="S821" s="204"/>
      <c r="W821" s="198" t="s">
        <v>51</v>
      </c>
      <c r="AE821" s="198" t="s">
        <v>844</v>
      </c>
    </row>
    <row r="822" spans="3:31" x14ac:dyDescent="0.25">
      <c r="C822" s="201"/>
      <c r="E822" s="201"/>
      <c r="F822" s="201"/>
      <c r="I822" s="198" t="s">
        <v>843</v>
      </c>
      <c r="J822" s="198" t="s">
        <v>137</v>
      </c>
      <c r="K822" s="202">
        <f t="shared" si="12"/>
        <v>423809.99999999948</v>
      </c>
      <c r="L822" s="202">
        <v>83.099999999999895</v>
      </c>
      <c r="N822" s="202">
        <v>6258600</v>
      </c>
      <c r="S822" s="204"/>
      <c r="W822" s="198" t="s">
        <v>51</v>
      </c>
      <c r="AE822" s="198" t="s">
        <v>844</v>
      </c>
    </row>
    <row r="823" spans="3:31" x14ac:dyDescent="0.25">
      <c r="C823" s="201"/>
      <c r="E823" s="201"/>
      <c r="F823" s="201"/>
      <c r="I823" s="198" t="s">
        <v>843</v>
      </c>
      <c r="J823" s="198" t="s">
        <v>137</v>
      </c>
      <c r="K823" s="202">
        <f t="shared" si="12"/>
        <v>424319.99999999953</v>
      </c>
      <c r="L823" s="202">
        <v>83.199999999999903</v>
      </c>
      <c r="N823" s="202">
        <v>6260500</v>
      </c>
      <c r="S823" s="204"/>
      <c r="W823" s="198" t="s">
        <v>51</v>
      </c>
      <c r="AE823" s="198" t="s">
        <v>844</v>
      </c>
    </row>
    <row r="824" spans="3:31" x14ac:dyDescent="0.25">
      <c r="C824" s="201"/>
      <c r="E824" s="201"/>
      <c r="F824" s="201"/>
      <c r="I824" s="198" t="s">
        <v>843</v>
      </c>
      <c r="J824" s="198" t="s">
        <v>137</v>
      </c>
      <c r="K824" s="202">
        <f t="shared" si="12"/>
        <v>424829.99999999948</v>
      </c>
      <c r="L824" s="202">
        <v>83.299999999999898</v>
      </c>
      <c r="N824" s="202">
        <v>6251950</v>
      </c>
      <c r="S824" s="204"/>
      <c r="W824" s="198" t="s">
        <v>51</v>
      </c>
      <c r="AE824" s="198" t="s">
        <v>844</v>
      </c>
    </row>
    <row r="825" spans="3:31" x14ac:dyDescent="0.25">
      <c r="C825" s="201"/>
      <c r="E825" s="201"/>
      <c r="F825" s="201"/>
      <c r="I825" s="198" t="s">
        <v>843</v>
      </c>
      <c r="J825" s="198" t="s">
        <v>137</v>
      </c>
      <c r="K825" s="202">
        <f t="shared" si="12"/>
        <v>425339.99999999953</v>
      </c>
      <c r="L825" s="202">
        <v>83.399999999999906</v>
      </c>
      <c r="N825" s="202">
        <v>6270950</v>
      </c>
      <c r="S825" s="204"/>
      <c r="W825" s="198" t="s">
        <v>51</v>
      </c>
      <c r="AE825" s="198" t="s">
        <v>844</v>
      </c>
    </row>
    <row r="826" spans="3:31" x14ac:dyDescent="0.25">
      <c r="C826" s="201"/>
      <c r="E826" s="201"/>
      <c r="F826" s="201"/>
      <c r="I826" s="198" t="s">
        <v>843</v>
      </c>
      <c r="J826" s="198" t="s">
        <v>137</v>
      </c>
      <c r="K826" s="202">
        <f t="shared" si="12"/>
        <v>425849.99999999948</v>
      </c>
      <c r="L826" s="202">
        <v>83.499999999999901</v>
      </c>
      <c r="N826" s="202">
        <v>6264300</v>
      </c>
      <c r="S826" s="204"/>
      <c r="W826" s="198" t="s">
        <v>51</v>
      </c>
      <c r="AE826" s="198" t="s">
        <v>844</v>
      </c>
    </row>
    <row r="827" spans="3:31" x14ac:dyDescent="0.25">
      <c r="C827" s="201"/>
      <c r="E827" s="201"/>
      <c r="F827" s="201"/>
      <c r="I827" s="198" t="s">
        <v>843</v>
      </c>
      <c r="J827" s="198" t="s">
        <v>137</v>
      </c>
      <c r="K827" s="202">
        <f t="shared" si="12"/>
        <v>426359.99999999948</v>
      </c>
      <c r="L827" s="202">
        <v>83.599999999999895</v>
      </c>
      <c r="N827" s="202">
        <v>6250050</v>
      </c>
      <c r="S827" s="204"/>
      <c r="W827" s="198" t="s">
        <v>51</v>
      </c>
      <c r="AE827" s="198" t="s">
        <v>844</v>
      </c>
    </row>
    <row r="828" spans="3:31" x14ac:dyDescent="0.25">
      <c r="C828" s="201"/>
      <c r="E828" s="201"/>
      <c r="F828" s="201"/>
      <c r="I828" s="198" t="s">
        <v>843</v>
      </c>
      <c r="J828" s="198" t="s">
        <v>137</v>
      </c>
      <c r="K828" s="202">
        <f t="shared" si="12"/>
        <v>426869.99999999953</v>
      </c>
      <c r="L828" s="202">
        <v>83.699999999999903</v>
      </c>
      <c r="N828" s="202">
        <v>6246725</v>
      </c>
      <c r="S828" s="204"/>
      <c r="W828" s="198" t="s">
        <v>51</v>
      </c>
      <c r="AE828" s="198" t="s">
        <v>844</v>
      </c>
    </row>
    <row r="829" spans="3:31" x14ac:dyDescent="0.25">
      <c r="C829" s="201"/>
      <c r="E829" s="201"/>
      <c r="F829" s="201"/>
      <c r="I829" s="198" t="s">
        <v>843</v>
      </c>
      <c r="J829" s="198" t="s">
        <v>137</v>
      </c>
      <c r="K829" s="202">
        <f t="shared" si="12"/>
        <v>427379.99999999948</v>
      </c>
      <c r="L829" s="202">
        <v>83.799999999999898</v>
      </c>
      <c r="N829" s="202">
        <v>7050429.8899999997</v>
      </c>
      <c r="S829" s="204"/>
      <c r="W829" s="198" t="s">
        <v>51</v>
      </c>
      <c r="AE829" s="198" t="s">
        <v>844</v>
      </c>
    </row>
    <row r="830" spans="3:31" x14ac:dyDescent="0.25">
      <c r="C830" s="201"/>
      <c r="E830" s="201"/>
      <c r="F830" s="201"/>
      <c r="I830" s="198" t="s">
        <v>843</v>
      </c>
      <c r="J830" s="198" t="s">
        <v>137</v>
      </c>
      <c r="K830" s="202">
        <f t="shared" si="12"/>
        <v>427889.99999999953</v>
      </c>
      <c r="L830" s="202">
        <v>83.899999999999906</v>
      </c>
      <c r="N830" s="202">
        <v>2265180</v>
      </c>
      <c r="S830" s="204"/>
      <c r="W830" s="198" t="s">
        <v>51</v>
      </c>
      <c r="AE830" s="198" t="s">
        <v>844</v>
      </c>
    </row>
    <row r="831" spans="3:31" x14ac:dyDescent="0.25">
      <c r="C831" s="201"/>
      <c r="E831" s="201"/>
      <c r="F831" s="201"/>
      <c r="I831" s="198" t="s">
        <v>843</v>
      </c>
      <c r="J831" s="198" t="s">
        <v>137</v>
      </c>
      <c r="K831" s="202">
        <f t="shared" si="12"/>
        <v>428399.99999999948</v>
      </c>
      <c r="L831" s="202">
        <v>83.999999999999901</v>
      </c>
      <c r="N831" s="202">
        <v>2375361</v>
      </c>
      <c r="S831" s="204"/>
      <c r="W831" s="198" t="s">
        <v>51</v>
      </c>
      <c r="AE831" s="198" t="s">
        <v>844</v>
      </c>
    </row>
    <row r="832" spans="3:31" x14ac:dyDescent="0.25">
      <c r="C832" s="201"/>
      <c r="E832" s="201"/>
      <c r="F832" s="201"/>
      <c r="I832" s="198" t="s">
        <v>583</v>
      </c>
      <c r="J832" s="198" t="s">
        <v>134</v>
      </c>
      <c r="K832" s="202">
        <f t="shared" si="12"/>
        <v>428909.99999999948</v>
      </c>
      <c r="L832" s="202">
        <v>84.099999999999895</v>
      </c>
      <c r="N832" s="202">
        <v>-107008.2</v>
      </c>
      <c r="S832" s="204"/>
      <c r="W832" s="198" t="s">
        <v>51</v>
      </c>
      <c r="AE832" s="198" t="s">
        <v>846</v>
      </c>
    </row>
    <row r="833" spans="3:31" x14ac:dyDescent="0.25">
      <c r="C833" s="201"/>
      <c r="E833" s="201"/>
      <c r="F833" s="201"/>
      <c r="I833" s="198" t="s">
        <v>583</v>
      </c>
      <c r="J833" s="198" t="s">
        <v>134</v>
      </c>
      <c r="K833" s="202">
        <f t="shared" si="12"/>
        <v>429419.99999999953</v>
      </c>
      <c r="L833" s="202">
        <v>84.199999999999903</v>
      </c>
      <c r="N833" s="202">
        <v>-1628242.92</v>
      </c>
      <c r="S833" s="204"/>
      <c r="W833" s="198" t="s">
        <v>51</v>
      </c>
      <c r="AE833" s="198" t="s">
        <v>846</v>
      </c>
    </row>
    <row r="834" spans="3:31" x14ac:dyDescent="0.25">
      <c r="C834" s="201"/>
      <c r="E834" s="201"/>
      <c r="F834" s="201"/>
      <c r="I834" s="198" t="s">
        <v>583</v>
      </c>
      <c r="J834" s="198" t="s">
        <v>134</v>
      </c>
      <c r="K834" s="202">
        <f t="shared" si="12"/>
        <v>429929.99999999948</v>
      </c>
      <c r="L834" s="202">
        <v>84.299999999999898</v>
      </c>
      <c r="N834" s="202">
        <v>-1944720.38</v>
      </c>
      <c r="S834" s="204"/>
      <c r="W834" s="198" t="s">
        <v>51</v>
      </c>
      <c r="AE834" s="198" t="s">
        <v>846</v>
      </c>
    </row>
    <row r="835" spans="3:31" x14ac:dyDescent="0.25">
      <c r="C835" s="201"/>
      <c r="E835" s="201"/>
      <c r="F835" s="201"/>
      <c r="I835" s="198" t="s">
        <v>583</v>
      </c>
      <c r="J835" s="198" t="s">
        <v>134</v>
      </c>
      <c r="K835" s="202">
        <f t="shared" ref="K835:K898" si="13">L835*5100</f>
        <v>430439.99999999953</v>
      </c>
      <c r="L835" s="202">
        <v>84.399999999999906</v>
      </c>
      <c r="N835" s="202">
        <v>107008.2</v>
      </c>
      <c r="S835" s="204"/>
      <c r="W835" s="198" t="s">
        <v>51</v>
      </c>
      <c r="AE835" s="198" t="s">
        <v>846</v>
      </c>
    </row>
    <row r="836" spans="3:31" x14ac:dyDescent="0.25">
      <c r="C836" s="201"/>
      <c r="E836" s="201"/>
      <c r="F836" s="201"/>
      <c r="I836" s="198" t="s">
        <v>583</v>
      </c>
      <c r="J836" s="198" t="s">
        <v>134</v>
      </c>
      <c r="K836" s="202">
        <f t="shared" si="13"/>
        <v>430949.99999999948</v>
      </c>
      <c r="L836" s="202">
        <v>84.499999999999901</v>
      </c>
      <c r="N836" s="202">
        <v>1628242.92</v>
      </c>
      <c r="S836" s="204"/>
      <c r="W836" s="198" t="s">
        <v>51</v>
      </c>
      <c r="AE836" s="198" t="s">
        <v>846</v>
      </c>
    </row>
    <row r="837" spans="3:31" x14ac:dyDescent="0.25">
      <c r="C837" s="201"/>
      <c r="E837" s="201"/>
      <c r="F837" s="201"/>
      <c r="I837" s="198" t="s">
        <v>583</v>
      </c>
      <c r="J837" s="198" t="s">
        <v>134</v>
      </c>
      <c r="K837" s="202">
        <f t="shared" si="13"/>
        <v>431459.99999999948</v>
      </c>
      <c r="L837" s="202">
        <v>84.599999999999895</v>
      </c>
      <c r="N837" s="202">
        <v>1944720.38</v>
      </c>
      <c r="S837" s="204"/>
      <c r="W837" s="198" t="s">
        <v>51</v>
      </c>
      <c r="AE837" s="198" t="s">
        <v>846</v>
      </c>
    </row>
    <row r="838" spans="3:31" x14ac:dyDescent="0.25">
      <c r="C838" s="201"/>
      <c r="E838" s="201"/>
      <c r="F838" s="201"/>
      <c r="I838" s="198" t="s">
        <v>583</v>
      </c>
      <c r="J838" s="198" t="s">
        <v>134</v>
      </c>
      <c r="K838" s="202">
        <f t="shared" si="13"/>
        <v>431969.99999999953</v>
      </c>
      <c r="L838" s="202">
        <v>84.699999999999903</v>
      </c>
      <c r="N838" s="202">
        <v>4224185.9800000004</v>
      </c>
      <c r="S838" s="204"/>
      <c r="W838" s="198" t="s">
        <v>51</v>
      </c>
      <c r="AE838" s="198" t="s">
        <v>846</v>
      </c>
    </row>
    <row r="839" spans="3:31" x14ac:dyDescent="0.25">
      <c r="C839" s="201"/>
      <c r="E839" s="201"/>
      <c r="F839" s="201"/>
      <c r="I839" s="198" t="s">
        <v>583</v>
      </c>
      <c r="J839" s="198" t="s">
        <v>134</v>
      </c>
      <c r="K839" s="202">
        <f t="shared" si="13"/>
        <v>432479.99999999948</v>
      </c>
      <c r="L839" s="202">
        <v>84.799999999999898</v>
      </c>
      <c r="N839" s="202">
        <v>-107008.2</v>
      </c>
      <c r="S839" s="204"/>
      <c r="W839" s="198" t="s">
        <v>51</v>
      </c>
      <c r="AE839" s="198" t="s">
        <v>846</v>
      </c>
    </row>
    <row r="840" spans="3:31" x14ac:dyDescent="0.25">
      <c r="C840" s="201"/>
      <c r="E840" s="201"/>
      <c r="F840" s="201"/>
      <c r="I840" s="198" t="s">
        <v>583</v>
      </c>
      <c r="J840" s="198" t="s">
        <v>134</v>
      </c>
      <c r="K840" s="202">
        <f t="shared" si="13"/>
        <v>432989.99999999953</v>
      </c>
      <c r="L840" s="202">
        <v>84.899999999999906</v>
      </c>
      <c r="N840" s="202">
        <v>-1628242.92</v>
      </c>
      <c r="S840" s="204"/>
      <c r="W840" s="198" t="s">
        <v>51</v>
      </c>
      <c r="AE840" s="198" t="s">
        <v>846</v>
      </c>
    </row>
    <row r="841" spans="3:31" x14ac:dyDescent="0.25">
      <c r="C841" s="201"/>
      <c r="E841" s="201"/>
      <c r="F841" s="201"/>
      <c r="I841" s="198" t="s">
        <v>583</v>
      </c>
      <c r="J841" s="198" t="s">
        <v>134</v>
      </c>
      <c r="K841" s="202">
        <f t="shared" si="13"/>
        <v>433499.99999999948</v>
      </c>
      <c r="L841" s="202">
        <v>84.999999999999901</v>
      </c>
      <c r="N841" s="202">
        <v>-1944720.38</v>
      </c>
      <c r="S841" s="204"/>
      <c r="W841" s="198" t="s">
        <v>51</v>
      </c>
      <c r="AE841" s="198" t="s">
        <v>846</v>
      </c>
    </row>
    <row r="842" spans="3:31" x14ac:dyDescent="0.25">
      <c r="C842" s="201"/>
      <c r="E842" s="201"/>
      <c r="F842" s="201"/>
      <c r="I842" s="198" t="s">
        <v>583</v>
      </c>
      <c r="J842" s="198" t="s">
        <v>134</v>
      </c>
      <c r="K842" s="202">
        <f t="shared" si="13"/>
        <v>434009.99999999948</v>
      </c>
      <c r="L842" s="202">
        <v>85.099999999999895</v>
      </c>
      <c r="N842" s="202">
        <v>-4224185.9800000004</v>
      </c>
      <c r="S842" s="204"/>
      <c r="W842" s="198" t="s">
        <v>51</v>
      </c>
      <c r="AE842" s="198" t="s">
        <v>846</v>
      </c>
    </row>
    <row r="843" spans="3:31" x14ac:dyDescent="0.25">
      <c r="C843" s="201"/>
      <c r="E843" s="201"/>
      <c r="F843" s="201"/>
      <c r="I843" s="198" t="s">
        <v>583</v>
      </c>
      <c r="J843" s="198" t="s">
        <v>134</v>
      </c>
      <c r="K843" s="202">
        <f t="shared" si="13"/>
        <v>434519.99999999953</v>
      </c>
      <c r="L843" s="202">
        <v>85.199999999999903</v>
      </c>
      <c r="N843" s="202">
        <v>107008.2</v>
      </c>
      <c r="S843" s="204"/>
      <c r="W843" s="198" t="s">
        <v>51</v>
      </c>
      <c r="AE843" s="198" t="s">
        <v>846</v>
      </c>
    </row>
    <row r="844" spans="3:31" x14ac:dyDescent="0.25">
      <c r="C844" s="201"/>
      <c r="E844" s="201"/>
      <c r="F844" s="201"/>
      <c r="I844" s="198" t="s">
        <v>583</v>
      </c>
      <c r="J844" s="198" t="s">
        <v>134</v>
      </c>
      <c r="K844" s="202">
        <f t="shared" si="13"/>
        <v>435029.99999999948</v>
      </c>
      <c r="L844" s="202">
        <v>85.299999999999898</v>
      </c>
      <c r="N844" s="202">
        <v>1628242.92</v>
      </c>
      <c r="S844" s="204"/>
      <c r="W844" s="198" t="s">
        <v>51</v>
      </c>
      <c r="AE844" s="198" t="s">
        <v>846</v>
      </c>
    </row>
    <row r="845" spans="3:31" x14ac:dyDescent="0.25">
      <c r="C845" s="201"/>
      <c r="E845" s="201"/>
      <c r="F845" s="201"/>
      <c r="I845" s="198" t="s">
        <v>583</v>
      </c>
      <c r="J845" s="198" t="s">
        <v>134</v>
      </c>
      <c r="K845" s="202">
        <f t="shared" si="13"/>
        <v>435539.99999999953</v>
      </c>
      <c r="L845" s="202">
        <v>85.399999999999906</v>
      </c>
      <c r="N845" s="202">
        <v>1944720.38</v>
      </c>
      <c r="S845" s="204"/>
      <c r="W845" s="198" t="s">
        <v>51</v>
      </c>
      <c r="AE845" s="198" t="s">
        <v>846</v>
      </c>
    </row>
    <row r="846" spans="3:31" x14ac:dyDescent="0.25">
      <c r="C846" s="201"/>
      <c r="E846" s="201"/>
      <c r="F846" s="201"/>
      <c r="I846" s="198" t="s">
        <v>583</v>
      </c>
      <c r="J846" s="198" t="s">
        <v>134</v>
      </c>
      <c r="K846" s="202">
        <f t="shared" si="13"/>
        <v>436049.99999999948</v>
      </c>
      <c r="L846" s="202">
        <v>85.499999999999901</v>
      </c>
      <c r="N846" s="202">
        <v>4224185.9800000004</v>
      </c>
      <c r="S846" s="204"/>
      <c r="W846" s="198" t="s">
        <v>51</v>
      </c>
      <c r="AE846" s="198" t="s">
        <v>846</v>
      </c>
    </row>
    <row r="847" spans="3:31" x14ac:dyDescent="0.25">
      <c r="C847" s="201"/>
      <c r="E847" s="201"/>
      <c r="F847" s="201"/>
      <c r="I847" s="198" t="s">
        <v>77</v>
      </c>
      <c r="J847" s="198" t="s">
        <v>65</v>
      </c>
      <c r="K847" s="202">
        <f t="shared" si="13"/>
        <v>436559.99999999948</v>
      </c>
      <c r="L847" s="202">
        <v>85.599999999999895</v>
      </c>
      <c r="N847" s="202">
        <v>17428.669999999998</v>
      </c>
      <c r="S847" s="203"/>
      <c r="W847" s="198" t="s">
        <v>51</v>
      </c>
      <c r="AE847" s="198" t="s">
        <v>831</v>
      </c>
    </row>
    <row r="848" spans="3:31" x14ac:dyDescent="0.25">
      <c r="C848" s="201"/>
      <c r="E848" s="201"/>
      <c r="F848" s="201"/>
      <c r="I848" s="198" t="s">
        <v>179</v>
      </c>
      <c r="J848" s="198" t="s">
        <v>169</v>
      </c>
      <c r="K848" s="202">
        <f t="shared" si="13"/>
        <v>437069.99999999953</v>
      </c>
      <c r="L848" s="202">
        <v>85.699999999999903</v>
      </c>
      <c r="N848" s="202">
        <v>230982.39999999999</v>
      </c>
      <c r="S848" s="203"/>
      <c r="W848" s="198" t="s">
        <v>51</v>
      </c>
      <c r="AE848" s="198" t="s">
        <v>831</v>
      </c>
    </row>
    <row r="849" spans="3:31" x14ac:dyDescent="0.25">
      <c r="C849" s="201"/>
      <c r="E849" s="201"/>
      <c r="F849" s="201"/>
      <c r="I849" s="198" t="s">
        <v>77</v>
      </c>
      <c r="J849" s="198" t="s">
        <v>65</v>
      </c>
      <c r="K849" s="202">
        <f t="shared" si="13"/>
        <v>437579.99999999948</v>
      </c>
      <c r="L849" s="202">
        <v>85.799999999999898</v>
      </c>
      <c r="N849" s="202">
        <v>1402202.13</v>
      </c>
      <c r="S849" s="203"/>
      <c r="W849" s="198" t="s">
        <v>51</v>
      </c>
      <c r="AE849" s="198" t="s">
        <v>831</v>
      </c>
    </row>
    <row r="850" spans="3:31" x14ac:dyDescent="0.25">
      <c r="C850" s="201"/>
      <c r="E850" s="201"/>
      <c r="F850" s="201"/>
      <c r="I850" s="198" t="s">
        <v>131</v>
      </c>
      <c r="J850" s="198" t="s">
        <v>132</v>
      </c>
      <c r="K850" s="202">
        <f t="shared" si="13"/>
        <v>438089.99999999953</v>
      </c>
      <c r="L850" s="202">
        <v>85.899999999999906</v>
      </c>
      <c r="N850" s="202">
        <v>0.16</v>
      </c>
      <c r="S850" s="204"/>
      <c r="W850" s="198" t="s">
        <v>51</v>
      </c>
      <c r="AE850" s="198" t="s">
        <v>833</v>
      </c>
    </row>
    <row r="851" spans="3:31" x14ac:dyDescent="0.25">
      <c r="C851" s="201"/>
      <c r="E851" s="201"/>
      <c r="F851" s="201"/>
      <c r="I851" s="198" t="s">
        <v>845</v>
      </c>
      <c r="J851" s="198" t="s">
        <v>137</v>
      </c>
      <c r="K851" s="202">
        <f t="shared" si="13"/>
        <v>438599.99999999948</v>
      </c>
      <c r="L851" s="202">
        <v>85.999999999999901</v>
      </c>
      <c r="N851" s="202">
        <v>-0.36</v>
      </c>
      <c r="S851" s="204"/>
      <c r="W851" s="198" t="s">
        <v>51</v>
      </c>
      <c r="AE851" s="198" t="s">
        <v>844</v>
      </c>
    </row>
    <row r="852" spans="3:31" x14ac:dyDescent="0.25">
      <c r="C852" s="201"/>
      <c r="E852" s="201"/>
      <c r="F852" s="201"/>
      <c r="I852" s="198" t="s">
        <v>843</v>
      </c>
      <c r="J852" s="198" t="s">
        <v>137</v>
      </c>
      <c r="K852" s="202">
        <f t="shared" si="13"/>
        <v>439109.99999999948</v>
      </c>
      <c r="L852" s="202">
        <v>86.099999999999895</v>
      </c>
      <c r="N852" s="202">
        <v>0.02</v>
      </c>
      <c r="S852" s="204"/>
      <c r="W852" s="198" t="s">
        <v>51</v>
      </c>
      <c r="AE852" s="198" t="s">
        <v>844</v>
      </c>
    </row>
    <row r="853" spans="3:31" x14ac:dyDescent="0.25">
      <c r="C853" s="201"/>
      <c r="E853" s="201"/>
      <c r="F853" s="201"/>
      <c r="I853" s="198" t="s">
        <v>843</v>
      </c>
      <c r="J853" s="198" t="s">
        <v>137</v>
      </c>
      <c r="K853" s="202">
        <f t="shared" si="13"/>
        <v>439619.99999999953</v>
      </c>
      <c r="L853" s="202">
        <v>86.199999999999903</v>
      </c>
      <c r="N853" s="202">
        <v>0.02</v>
      </c>
      <c r="S853" s="204"/>
      <c r="W853" s="198" t="s">
        <v>51</v>
      </c>
      <c r="AE853" s="198" t="s">
        <v>844</v>
      </c>
    </row>
    <row r="854" spans="3:31" x14ac:dyDescent="0.25">
      <c r="C854" s="201"/>
      <c r="E854" s="201"/>
      <c r="F854" s="201"/>
      <c r="I854" s="198" t="s">
        <v>845</v>
      </c>
      <c r="J854" s="198" t="s">
        <v>137</v>
      </c>
      <c r="K854" s="202">
        <f t="shared" si="13"/>
        <v>440129.99999999948</v>
      </c>
      <c r="L854" s="202">
        <v>86.299999999999898</v>
      </c>
      <c r="N854" s="202">
        <v>0.27</v>
      </c>
      <c r="S854" s="204"/>
      <c r="W854" s="198" t="s">
        <v>51</v>
      </c>
      <c r="AE854" s="198" t="s">
        <v>844</v>
      </c>
    </row>
    <row r="855" spans="3:31" x14ac:dyDescent="0.25">
      <c r="C855" s="201"/>
      <c r="E855" s="201"/>
      <c r="F855" s="201"/>
      <c r="I855" s="198" t="s">
        <v>122</v>
      </c>
      <c r="J855" s="198" t="s">
        <v>126</v>
      </c>
      <c r="K855" s="202">
        <f t="shared" si="13"/>
        <v>440639.99999999953</v>
      </c>
      <c r="L855" s="202">
        <v>86.399999999999906</v>
      </c>
      <c r="N855" s="202">
        <v>0.16</v>
      </c>
      <c r="S855" s="204"/>
      <c r="W855" s="198" t="s">
        <v>51</v>
      </c>
      <c r="AE855" s="198" t="s">
        <v>835</v>
      </c>
    </row>
    <row r="856" spans="3:31" x14ac:dyDescent="0.25">
      <c r="C856" s="201"/>
      <c r="E856" s="201"/>
      <c r="F856" s="201"/>
      <c r="I856" s="198" t="s">
        <v>843</v>
      </c>
      <c r="J856" s="198" t="s">
        <v>137</v>
      </c>
      <c r="K856" s="202">
        <f t="shared" si="13"/>
        <v>441149.99999999948</v>
      </c>
      <c r="L856" s="202">
        <v>86.499999999999901</v>
      </c>
      <c r="N856" s="202">
        <v>0.02</v>
      </c>
      <c r="S856" s="204"/>
      <c r="W856" s="198" t="s">
        <v>51</v>
      </c>
      <c r="AE856" s="198" t="s">
        <v>844</v>
      </c>
    </row>
    <row r="857" spans="3:31" x14ac:dyDescent="0.25">
      <c r="C857" s="201"/>
      <c r="E857" s="201"/>
      <c r="F857" s="201"/>
      <c r="I857" s="198" t="s">
        <v>843</v>
      </c>
      <c r="J857" s="198" t="s">
        <v>137</v>
      </c>
      <c r="K857" s="202">
        <f t="shared" si="13"/>
        <v>441659.99999999948</v>
      </c>
      <c r="L857" s="202">
        <v>86.599999999999895</v>
      </c>
      <c r="N857" s="202">
        <v>0.02</v>
      </c>
      <c r="S857" s="204"/>
      <c r="W857" s="198" t="s">
        <v>51</v>
      </c>
      <c r="AE857" s="198" t="s">
        <v>844</v>
      </c>
    </row>
    <row r="858" spans="3:31" x14ac:dyDescent="0.25">
      <c r="C858" s="201"/>
      <c r="E858" s="201"/>
      <c r="F858" s="201"/>
      <c r="I858" s="198" t="s">
        <v>843</v>
      </c>
      <c r="J858" s="198" t="s">
        <v>137</v>
      </c>
      <c r="K858" s="202">
        <f t="shared" si="13"/>
        <v>442169.99999999953</v>
      </c>
      <c r="L858" s="202">
        <v>86.699999999999903</v>
      </c>
      <c r="N858" s="202">
        <v>0.02</v>
      </c>
      <c r="S858" s="204"/>
      <c r="W858" s="198" t="s">
        <v>51</v>
      </c>
      <c r="AE858" s="198" t="s">
        <v>844</v>
      </c>
    </row>
    <row r="859" spans="3:31" x14ac:dyDescent="0.25">
      <c r="C859" s="201"/>
      <c r="E859" s="201"/>
      <c r="F859" s="201"/>
      <c r="I859" s="198" t="s">
        <v>845</v>
      </c>
      <c r="J859" s="198" t="s">
        <v>137</v>
      </c>
      <c r="K859" s="202">
        <f t="shared" si="13"/>
        <v>442679.99999999948</v>
      </c>
      <c r="L859" s="202">
        <v>86.799999999999898</v>
      </c>
      <c r="N859" s="202">
        <v>0.36</v>
      </c>
      <c r="S859" s="204"/>
      <c r="W859" s="198" t="s">
        <v>51</v>
      </c>
      <c r="AE859" s="198" t="s">
        <v>844</v>
      </c>
    </row>
    <row r="860" spans="3:31" x14ac:dyDescent="0.25">
      <c r="C860" s="201"/>
      <c r="E860" s="201"/>
      <c r="F860" s="201"/>
      <c r="I860" s="198" t="s">
        <v>845</v>
      </c>
      <c r="J860" s="198" t="s">
        <v>137</v>
      </c>
      <c r="K860" s="202">
        <f t="shared" si="13"/>
        <v>443189.99999999953</v>
      </c>
      <c r="L860" s="202">
        <v>86.899999999999906</v>
      </c>
      <c r="N860" s="202">
        <v>-0.33</v>
      </c>
      <c r="S860" s="204"/>
      <c r="W860" s="198" t="s">
        <v>51</v>
      </c>
      <c r="AE860" s="198" t="s">
        <v>844</v>
      </c>
    </row>
    <row r="861" spans="3:31" x14ac:dyDescent="0.25">
      <c r="C861" s="201"/>
      <c r="E861" s="201"/>
      <c r="F861" s="201"/>
      <c r="I861" s="198" t="s">
        <v>204</v>
      </c>
      <c r="J861" s="198" t="s">
        <v>169</v>
      </c>
      <c r="K861" s="202">
        <f t="shared" si="13"/>
        <v>443699.99999999948</v>
      </c>
      <c r="L861" s="202">
        <v>86.999999999999901</v>
      </c>
      <c r="N861" s="202">
        <v>349040</v>
      </c>
      <c r="S861" s="204"/>
      <c r="W861" s="198" t="s">
        <v>51</v>
      </c>
      <c r="AE861" s="198" t="s">
        <v>831</v>
      </c>
    </row>
    <row r="862" spans="3:31" x14ac:dyDescent="0.25">
      <c r="C862" s="201"/>
      <c r="E862" s="201"/>
      <c r="F862" s="201"/>
      <c r="I862" s="198" t="s">
        <v>122</v>
      </c>
      <c r="J862" s="198" t="s">
        <v>126</v>
      </c>
      <c r="K862" s="202">
        <f t="shared" si="13"/>
        <v>444209.99999999948</v>
      </c>
      <c r="L862" s="202">
        <v>87.099999999999895</v>
      </c>
      <c r="N862" s="202">
        <v>0.24</v>
      </c>
      <c r="S862" s="204"/>
      <c r="W862" s="198" t="s">
        <v>51</v>
      </c>
      <c r="AE862" s="198" t="s">
        <v>835</v>
      </c>
    </row>
    <row r="863" spans="3:31" x14ac:dyDescent="0.25">
      <c r="C863" s="201"/>
      <c r="E863" s="201"/>
      <c r="F863" s="201"/>
      <c r="I863" s="198" t="s">
        <v>122</v>
      </c>
      <c r="J863" s="198" t="s">
        <v>126</v>
      </c>
      <c r="K863" s="202">
        <f t="shared" si="13"/>
        <v>444719.99999999953</v>
      </c>
      <c r="L863" s="202">
        <v>87.199999999999903</v>
      </c>
      <c r="N863" s="202">
        <v>0.4</v>
      </c>
      <c r="S863" s="204"/>
      <c r="W863" s="198" t="s">
        <v>51</v>
      </c>
      <c r="AE863" s="198" t="s">
        <v>835</v>
      </c>
    </row>
    <row r="864" spans="3:31" x14ac:dyDescent="0.25">
      <c r="C864" s="201"/>
      <c r="E864" s="201"/>
      <c r="F864" s="201"/>
      <c r="I864" s="198" t="s">
        <v>136</v>
      </c>
      <c r="J864" s="198" t="s">
        <v>137</v>
      </c>
      <c r="K864" s="202">
        <f t="shared" si="13"/>
        <v>445229.99999999948</v>
      </c>
      <c r="L864" s="202">
        <v>87.299999999999898</v>
      </c>
      <c r="N864" s="202">
        <v>4653450</v>
      </c>
      <c r="S864" s="204"/>
      <c r="W864" s="198" t="s">
        <v>51</v>
      </c>
      <c r="AE864" s="198" t="s">
        <v>844</v>
      </c>
    </row>
    <row r="865" spans="3:31" x14ac:dyDescent="0.25">
      <c r="C865" s="201"/>
      <c r="E865" s="201"/>
      <c r="F865" s="201"/>
      <c r="I865" s="198" t="s">
        <v>135</v>
      </c>
      <c r="J865" s="198" t="s">
        <v>117</v>
      </c>
      <c r="K865" s="202">
        <f t="shared" si="13"/>
        <v>445739.99999999953</v>
      </c>
      <c r="L865" s="202">
        <v>87.399999999999906</v>
      </c>
      <c r="N865" s="202">
        <v>1838400</v>
      </c>
      <c r="S865" s="204"/>
      <c r="W865" s="198" t="s">
        <v>51</v>
      </c>
      <c r="AE865" s="198" t="s">
        <v>878</v>
      </c>
    </row>
    <row r="866" spans="3:31" x14ac:dyDescent="0.25">
      <c r="C866" s="201"/>
      <c r="E866" s="201"/>
      <c r="F866" s="201"/>
      <c r="I866" s="198" t="s">
        <v>135</v>
      </c>
      <c r="J866" s="198" t="s">
        <v>117</v>
      </c>
      <c r="K866" s="202">
        <f t="shared" si="13"/>
        <v>446249.99999999948</v>
      </c>
      <c r="L866" s="202">
        <v>87.499999999999901</v>
      </c>
      <c r="N866" s="202">
        <v>487812</v>
      </c>
      <c r="S866" s="204"/>
      <c r="W866" s="198" t="s">
        <v>51</v>
      </c>
      <c r="AE866" s="198" t="s">
        <v>878</v>
      </c>
    </row>
    <row r="867" spans="3:31" x14ac:dyDescent="0.25">
      <c r="C867" s="201"/>
      <c r="E867" s="201"/>
      <c r="F867" s="201"/>
      <c r="I867" s="198" t="s">
        <v>135</v>
      </c>
      <c r="J867" s="198" t="s">
        <v>117</v>
      </c>
      <c r="K867" s="202">
        <f t="shared" si="13"/>
        <v>446759.99999999948</v>
      </c>
      <c r="L867" s="202">
        <v>87.599999999999895</v>
      </c>
      <c r="N867" s="202">
        <v>386568</v>
      </c>
      <c r="S867" s="204"/>
      <c r="W867" s="198" t="s">
        <v>51</v>
      </c>
      <c r="AE867" s="198" t="s">
        <v>878</v>
      </c>
    </row>
    <row r="868" spans="3:31" x14ac:dyDescent="0.25">
      <c r="C868" s="201"/>
      <c r="E868" s="201"/>
      <c r="F868" s="201"/>
      <c r="I868" s="198" t="s">
        <v>135</v>
      </c>
      <c r="J868" s="198" t="s">
        <v>117</v>
      </c>
      <c r="K868" s="202">
        <f t="shared" si="13"/>
        <v>447269.99999999953</v>
      </c>
      <c r="L868" s="202">
        <v>87.699999999999903</v>
      </c>
      <c r="N868" s="202">
        <v>1496830</v>
      </c>
      <c r="S868" s="204"/>
      <c r="W868" s="198" t="s">
        <v>51</v>
      </c>
      <c r="AE868" s="198" t="s">
        <v>878</v>
      </c>
    </row>
    <row r="869" spans="3:31" x14ac:dyDescent="0.25">
      <c r="C869" s="201"/>
      <c r="E869" s="201"/>
      <c r="F869" s="201"/>
      <c r="I869" s="198" t="s">
        <v>843</v>
      </c>
      <c r="J869" s="198" t="s">
        <v>137</v>
      </c>
      <c r="K869" s="202">
        <f t="shared" si="13"/>
        <v>447779.99999999948</v>
      </c>
      <c r="L869" s="202">
        <v>87.799999999999898</v>
      </c>
      <c r="N869" s="202">
        <v>6248625</v>
      </c>
      <c r="S869" s="204"/>
      <c r="W869" s="198" t="s">
        <v>51</v>
      </c>
      <c r="AE869" s="198" t="s">
        <v>844</v>
      </c>
    </row>
    <row r="870" spans="3:31" x14ac:dyDescent="0.25">
      <c r="C870" s="201"/>
      <c r="E870" s="201"/>
      <c r="F870" s="201"/>
      <c r="I870" s="198" t="s">
        <v>843</v>
      </c>
      <c r="J870" s="198" t="s">
        <v>137</v>
      </c>
      <c r="K870" s="202">
        <f t="shared" si="13"/>
        <v>448289.99999999953</v>
      </c>
      <c r="L870" s="202">
        <v>87.899999999999906</v>
      </c>
      <c r="N870" s="202">
        <v>5649840</v>
      </c>
      <c r="S870" s="204"/>
      <c r="W870" s="198" t="s">
        <v>51</v>
      </c>
      <c r="AE870" s="198" t="s">
        <v>844</v>
      </c>
    </row>
    <row r="871" spans="3:31" x14ac:dyDescent="0.25">
      <c r="C871" s="201"/>
      <c r="E871" s="201"/>
      <c r="F871" s="201"/>
      <c r="I871" s="198" t="s">
        <v>843</v>
      </c>
      <c r="J871" s="198" t="s">
        <v>137</v>
      </c>
      <c r="K871" s="202">
        <f t="shared" si="13"/>
        <v>448799.99999999948</v>
      </c>
      <c r="L871" s="202">
        <v>87.999999999999901</v>
      </c>
      <c r="N871" s="202">
        <v>237105</v>
      </c>
      <c r="S871" s="204"/>
      <c r="W871" s="198" t="s">
        <v>51</v>
      </c>
      <c r="AE871" s="198" t="s">
        <v>844</v>
      </c>
    </row>
    <row r="872" spans="3:31" x14ac:dyDescent="0.25">
      <c r="C872" s="201"/>
      <c r="E872" s="201"/>
      <c r="F872" s="201"/>
      <c r="I872" s="198" t="s">
        <v>843</v>
      </c>
      <c r="J872" s="198" t="s">
        <v>137</v>
      </c>
      <c r="K872" s="202">
        <f t="shared" si="13"/>
        <v>449309.99999999948</v>
      </c>
      <c r="L872" s="202">
        <v>88.099999999999895</v>
      </c>
      <c r="N872" s="202">
        <v>2265180</v>
      </c>
      <c r="S872" s="204"/>
      <c r="W872" s="198" t="s">
        <v>51</v>
      </c>
      <c r="AE872" s="198" t="s">
        <v>844</v>
      </c>
    </row>
    <row r="873" spans="3:31" x14ac:dyDescent="0.25">
      <c r="C873" s="201"/>
      <c r="E873" s="201"/>
      <c r="F873" s="201"/>
      <c r="I873" s="198" t="s">
        <v>843</v>
      </c>
      <c r="J873" s="198" t="s">
        <v>137</v>
      </c>
      <c r="K873" s="202">
        <f t="shared" si="13"/>
        <v>449819.99999999953</v>
      </c>
      <c r="L873" s="202">
        <v>88.199999999999903</v>
      </c>
      <c r="N873" s="202">
        <v>2371768.5</v>
      </c>
      <c r="S873" s="204"/>
      <c r="W873" s="198" t="s">
        <v>51</v>
      </c>
      <c r="AE873" s="198" t="s">
        <v>844</v>
      </c>
    </row>
    <row r="874" spans="3:31" x14ac:dyDescent="0.25">
      <c r="C874" s="201"/>
      <c r="E874" s="201"/>
      <c r="F874" s="201"/>
      <c r="I874" s="198" t="s">
        <v>843</v>
      </c>
      <c r="J874" s="198" t="s">
        <v>137</v>
      </c>
      <c r="K874" s="202">
        <f t="shared" si="13"/>
        <v>450329.99999999948</v>
      </c>
      <c r="L874" s="202">
        <v>88.299999999999898</v>
      </c>
      <c r="N874" s="202">
        <v>5664660</v>
      </c>
      <c r="S874" s="204"/>
      <c r="W874" s="198" t="s">
        <v>51</v>
      </c>
      <c r="AE874" s="198" t="s">
        <v>844</v>
      </c>
    </row>
    <row r="875" spans="3:31" x14ac:dyDescent="0.25">
      <c r="C875" s="201"/>
      <c r="E875" s="201"/>
      <c r="F875" s="201"/>
      <c r="I875" s="198" t="s">
        <v>843</v>
      </c>
      <c r="J875" s="198" t="s">
        <v>137</v>
      </c>
      <c r="K875" s="202">
        <f t="shared" si="13"/>
        <v>450839.99999999953</v>
      </c>
      <c r="L875" s="202">
        <v>88.399999999999906</v>
      </c>
      <c r="N875" s="202">
        <v>237344.5</v>
      </c>
      <c r="S875" s="204"/>
      <c r="W875" s="198" t="s">
        <v>51</v>
      </c>
      <c r="AE875" s="198" t="s">
        <v>844</v>
      </c>
    </row>
    <row r="876" spans="3:31" x14ac:dyDescent="0.25">
      <c r="C876" s="201"/>
      <c r="E876" s="201"/>
      <c r="F876" s="201"/>
      <c r="I876" s="198" t="s">
        <v>188</v>
      </c>
      <c r="J876" s="198" t="s">
        <v>65</v>
      </c>
      <c r="K876" s="202">
        <f t="shared" si="13"/>
        <v>451349.99999999948</v>
      </c>
      <c r="L876" s="202">
        <v>88.499999999999901</v>
      </c>
      <c r="N876" s="202">
        <v>-940.39</v>
      </c>
      <c r="S876" s="203"/>
      <c r="W876" s="198" t="s">
        <v>51</v>
      </c>
      <c r="AE876" s="198" t="s">
        <v>831</v>
      </c>
    </row>
    <row r="877" spans="3:31" x14ac:dyDescent="0.25">
      <c r="C877" s="201"/>
      <c r="E877" s="201"/>
      <c r="F877" s="201"/>
      <c r="I877" s="198" t="s">
        <v>843</v>
      </c>
      <c r="J877" s="198" t="s">
        <v>137</v>
      </c>
      <c r="K877" s="202">
        <f t="shared" si="13"/>
        <v>451859.99999999948</v>
      </c>
      <c r="L877" s="202">
        <v>88.599999999999895</v>
      </c>
      <c r="N877" s="202">
        <v>6803520</v>
      </c>
      <c r="S877" s="204"/>
      <c r="W877" s="198" t="s">
        <v>51</v>
      </c>
      <c r="AE877" s="198" t="s">
        <v>844</v>
      </c>
    </row>
    <row r="878" spans="3:31" x14ac:dyDescent="0.25">
      <c r="C878" s="201"/>
      <c r="E878" s="201"/>
      <c r="F878" s="201"/>
      <c r="I878" s="198" t="s">
        <v>843</v>
      </c>
      <c r="J878" s="198" t="s">
        <v>137</v>
      </c>
      <c r="K878" s="202">
        <f t="shared" si="13"/>
        <v>452369.99999999953</v>
      </c>
      <c r="L878" s="202">
        <v>88.699999999999903</v>
      </c>
      <c r="N878" s="202">
        <v>6796680</v>
      </c>
      <c r="S878" s="204"/>
      <c r="W878" s="198" t="s">
        <v>51</v>
      </c>
      <c r="AE878" s="198" t="s">
        <v>844</v>
      </c>
    </row>
    <row r="879" spans="3:31" x14ac:dyDescent="0.25">
      <c r="C879" s="201"/>
      <c r="E879" s="201"/>
      <c r="F879" s="201"/>
      <c r="I879" s="198" t="s">
        <v>843</v>
      </c>
      <c r="J879" s="198" t="s">
        <v>137</v>
      </c>
      <c r="K879" s="202">
        <f t="shared" si="13"/>
        <v>452879.99999999948</v>
      </c>
      <c r="L879" s="202">
        <v>88.799999999999898</v>
      </c>
      <c r="N879" s="202">
        <v>6787560</v>
      </c>
      <c r="S879" s="204"/>
      <c r="W879" s="198" t="s">
        <v>51</v>
      </c>
      <c r="AE879" s="198" t="s">
        <v>844</v>
      </c>
    </row>
    <row r="880" spans="3:31" x14ac:dyDescent="0.25">
      <c r="C880" s="201"/>
      <c r="E880" s="201"/>
      <c r="F880" s="201"/>
      <c r="I880" s="198" t="s">
        <v>362</v>
      </c>
      <c r="J880" s="198" t="s">
        <v>132</v>
      </c>
      <c r="K880" s="202">
        <f t="shared" si="13"/>
        <v>453389.99999999953</v>
      </c>
      <c r="L880" s="202">
        <v>88.899999999999906</v>
      </c>
      <c r="N880" s="202">
        <v>-16544397</v>
      </c>
      <c r="S880" s="204"/>
      <c r="W880" s="198" t="s">
        <v>51</v>
      </c>
      <c r="AE880" s="198" t="s">
        <v>833</v>
      </c>
    </row>
    <row r="881" spans="3:31" x14ac:dyDescent="0.25">
      <c r="C881" s="201"/>
      <c r="E881" s="201"/>
      <c r="F881" s="201"/>
      <c r="I881" s="198" t="s">
        <v>843</v>
      </c>
      <c r="J881" s="198" t="s">
        <v>137</v>
      </c>
      <c r="K881" s="202">
        <f t="shared" si="13"/>
        <v>453899.99999999948</v>
      </c>
      <c r="L881" s="202">
        <v>88.999999999999901</v>
      </c>
      <c r="N881" s="202">
        <v>0.02</v>
      </c>
      <c r="S881" s="204"/>
      <c r="W881" s="198" t="s">
        <v>51</v>
      </c>
      <c r="AE881" s="198" t="s">
        <v>844</v>
      </c>
    </row>
    <row r="882" spans="3:31" x14ac:dyDescent="0.25">
      <c r="C882" s="201"/>
      <c r="E882" s="201"/>
      <c r="F882" s="201"/>
      <c r="I882" s="198" t="s">
        <v>583</v>
      </c>
      <c r="J882" s="198" t="s">
        <v>134</v>
      </c>
      <c r="K882" s="202">
        <f t="shared" si="13"/>
        <v>454409.99999999948</v>
      </c>
      <c r="L882" s="202">
        <v>89.099999999999895</v>
      </c>
      <c r="N882" s="202">
        <v>0.5</v>
      </c>
      <c r="S882" s="204"/>
      <c r="W882" s="198" t="s">
        <v>51</v>
      </c>
      <c r="AE882" s="198" t="s">
        <v>846</v>
      </c>
    </row>
    <row r="883" spans="3:31" x14ac:dyDescent="0.25">
      <c r="C883" s="201"/>
      <c r="E883" s="201"/>
      <c r="F883" s="201"/>
      <c r="I883" s="198" t="s">
        <v>583</v>
      </c>
      <c r="J883" s="198" t="s">
        <v>134</v>
      </c>
      <c r="K883" s="202">
        <f t="shared" si="13"/>
        <v>454919.99999999953</v>
      </c>
      <c r="L883" s="202">
        <v>89.199999999999903</v>
      </c>
      <c r="N883" s="202">
        <v>0.5</v>
      </c>
      <c r="S883" s="204"/>
      <c r="W883" s="198" t="s">
        <v>51</v>
      </c>
      <c r="AE883" s="198" t="s">
        <v>846</v>
      </c>
    </row>
    <row r="884" spans="3:31" x14ac:dyDescent="0.25">
      <c r="C884" s="201"/>
      <c r="E884" s="201"/>
      <c r="F884" s="201"/>
      <c r="I884" s="198" t="s">
        <v>843</v>
      </c>
      <c r="J884" s="198" t="s">
        <v>137</v>
      </c>
      <c r="K884" s="202">
        <f t="shared" si="13"/>
        <v>455429.99999999948</v>
      </c>
      <c r="L884" s="202">
        <v>89.299999999999898</v>
      </c>
      <c r="N884" s="202">
        <v>0.41</v>
      </c>
      <c r="S884" s="204"/>
      <c r="W884" s="198" t="s">
        <v>51</v>
      </c>
      <c r="AE884" s="198" t="s">
        <v>844</v>
      </c>
    </row>
    <row r="885" spans="3:31" x14ac:dyDescent="0.25">
      <c r="C885" s="201"/>
      <c r="E885" s="201"/>
      <c r="F885" s="201"/>
      <c r="I885" s="198" t="s">
        <v>583</v>
      </c>
      <c r="J885" s="198" t="s">
        <v>134</v>
      </c>
      <c r="K885" s="202">
        <f t="shared" si="13"/>
        <v>455939.99999999953</v>
      </c>
      <c r="L885" s="202">
        <v>89.399999999999906</v>
      </c>
      <c r="N885" s="202">
        <v>0.5</v>
      </c>
      <c r="S885" s="204"/>
      <c r="W885" s="198" t="s">
        <v>51</v>
      </c>
      <c r="AE885" s="198" t="s">
        <v>846</v>
      </c>
    </row>
    <row r="886" spans="3:31" x14ac:dyDescent="0.25">
      <c r="C886" s="201"/>
      <c r="E886" s="201"/>
      <c r="F886" s="201"/>
      <c r="I886" s="198" t="s">
        <v>843</v>
      </c>
      <c r="J886" s="198" t="s">
        <v>137</v>
      </c>
      <c r="K886" s="202">
        <f t="shared" si="13"/>
        <v>456449.99999999948</v>
      </c>
      <c r="L886" s="202">
        <v>89.499999999999901</v>
      </c>
      <c r="N886" s="202">
        <v>6715740</v>
      </c>
      <c r="S886" s="204"/>
      <c r="W886" s="198" t="s">
        <v>51</v>
      </c>
      <c r="AE886" s="198" t="s">
        <v>844</v>
      </c>
    </row>
    <row r="887" spans="3:31" x14ac:dyDescent="0.25">
      <c r="C887" s="201"/>
      <c r="E887" s="201"/>
      <c r="F887" s="201"/>
      <c r="I887" s="198" t="s">
        <v>843</v>
      </c>
      <c r="J887" s="198" t="s">
        <v>137</v>
      </c>
      <c r="K887" s="202">
        <f t="shared" si="13"/>
        <v>456959.99999999948</v>
      </c>
      <c r="L887" s="202">
        <v>89.599999999999895</v>
      </c>
      <c r="N887" s="202">
        <v>474210</v>
      </c>
      <c r="S887" s="204"/>
      <c r="W887" s="198" t="s">
        <v>51</v>
      </c>
      <c r="AE887" s="198" t="s">
        <v>844</v>
      </c>
    </row>
    <row r="888" spans="3:31" x14ac:dyDescent="0.25">
      <c r="C888" s="201"/>
      <c r="E888" s="201"/>
      <c r="F888" s="201"/>
      <c r="I888" s="198" t="s">
        <v>843</v>
      </c>
      <c r="J888" s="198" t="s">
        <v>137</v>
      </c>
      <c r="K888" s="202">
        <f t="shared" si="13"/>
        <v>457469.99999999953</v>
      </c>
      <c r="L888" s="202">
        <v>89.699999999999903</v>
      </c>
      <c r="N888" s="202">
        <v>6785280</v>
      </c>
      <c r="S888" s="204"/>
      <c r="W888" s="198" t="s">
        <v>51</v>
      </c>
      <c r="AE888" s="198" t="s">
        <v>844</v>
      </c>
    </row>
    <row r="889" spans="3:31" x14ac:dyDescent="0.25">
      <c r="C889" s="201"/>
      <c r="E889" s="201"/>
      <c r="F889" s="201"/>
      <c r="I889" s="198" t="s">
        <v>843</v>
      </c>
      <c r="J889" s="198" t="s">
        <v>137</v>
      </c>
      <c r="K889" s="202">
        <f t="shared" si="13"/>
        <v>457979.99999999948</v>
      </c>
      <c r="L889" s="202">
        <v>89.799999999999898</v>
      </c>
      <c r="N889" s="202">
        <v>6777300</v>
      </c>
      <c r="S889" s="204"/>
      <c r="W889" s="198" t="s">
        <v>51</v>
      </c>
      <c r="AE889" s="198" t="s">
        <v>844</v>
      </c>
    </row>
    <row r="890" spans="3:31" x14ac:dyDescent="0.25">
      <c r="C890" s="201"/>
      <c r="E890" s="201"/>
      <c r="F890" s="201"/>
      <c r="I890" s="198" t="s">
        <v>843</v>
      </c>
      <c r="J890" s="198" t="s">
        <v>137</v>
      </c>
      <c r="K890" s="202">
        <f t="shared" si="13"/>
        <v>458489.99999999953</v>
      </c>
      <c r="L890" s="202">
        <v>89.899999999999906</v>
      </c>
      <c r="N890" s="202">
        <v>2575780.12</v>
      </c>
      <c r="S890" s="204"/>
      <c r="W890" s="198" t="s">
        <v>51</v>
      </c>
      <c r="AE890" s="198" t="s">
        <v>844</v>
      </c>
    </row>
    <row r="891" spans="3:31" x14ac:dyDescent="0.25">
      <c r="C891" s="201"/>
      <c r="E891" s="201"/>
      <c r="F891" s="201"/>
      <c r="I891" s="198" t="s">
        <v>843</v>
      </c>
      <c r="J891" s="198" t="s">
        <v>137</v>
      </c>
      <c r="K891" s="202">
        <f t="shared" si="13"/>
        <v>458999.99999999948</v>
      </c>
      <c r="L891" s="202">
        <v>89.999999999999901</v>
      </c>
      <c r="N891" s="202">
        <v>5069524.53</v>
      </c>
      <c r="S891" s="204"/>
      <c r="W891" s="198" t="s">
        <v>51</v>
      </c>
      <c r="AE891" s="198" t="s">
        <v>844</v>
      </c>
    </row>
    <row r="892" spans="3:31" x14ac:dyDescent="0.25">
      <c r="C892" s="201"/>
      <c r="E892" s="201"/>
      <c r="F892" s="201"/>
      <c r="I892" s="198" t="s">
        <v>843</v>
      </c>
      <c r="J892" s="198" t="s">
        <v>137</v>
      </c>
      <c r="K892" s="202">
        <f t="shared" si="13"/>
        <v>459509.99999999948</v>
      </c>
      <c r="L892" s="202">
        <v>90.099999999999895</v>
      </c>
      <c r="N892" s="202">
        <v>-0.27</v>
      </c>
      <c r="S892" s="204"/>
      <c r="W892" s="198" t="s">
        <v>51</v>
      </c>
      <c r="AE892" s="198" t="s">
        <v>844</v>
      </c>
    </row>
    <row r="893" spans="3:31" x14ac:dyDescent="0.25">
      <c r="C893" s="201"/>
      <c r="E893" s="201"/>
      <c r="F893" s="201"/>
      <c r="I893" s="198" t="s">
        <v>362</v>
      </c>
      <c r="J893" s="198" t="s">
        <v>132</v>
      </c>
      <c r="K893" s="202">
        <f t="shared" si="13"/>
        <v>460019.99999999953</v>
      </c>
      <c r="L893" s="202">
        <v>90.199999999999903</v>
      </c>
      <c r="N893" s="202">
        <v>3835000</v>
      </c>
      <c r="S893" s="204"/>
      <c r="W893" s="198" t="s">
        <v>51</v>
      </c>
      <c r="AE893" s="198" t="s">
        <v>833</v>
      </c>
    </row>
    <row r="894" spans="3:31" x14ac:dyDescent="0.25">
      <c r="C894" s="201"/>
      <c r="E894" s="201"/>
      <c r="F894" s="201"/>
      <c r="I894" s="198" t="s">
        <v>362</v>
      </c>
      <c r="J894" s="198" t="s">
        <v>132</v>
      </c>
      <c r="K894" s="202">
        <f t="shared" si="13"/>
        <v>460529.99999999948</v>
      </c>
      <c r="L894" s="202">
        <v>90.299999999999898</v>
      </c>
      <c r="N894" s="202">
        <v>16535647</v>
      </c>
      <c r="S894" s="204"/>
      <c r="W894" s="198" t="s">
        <v>51</v>
      </c>
      <c r="AE894" s="198" t="s">
        <v>833</v>
      </c>
    </row>
    <row r="895" spans="3:31" x14ac:dyDescent="0.25">
      <c r="C895" s="201"/>
      <c r="E895" s="201"/>
      <c r="F895" s="201"/>
      <c r="I895" s="198" t="s">
        <v>362</v>
      </c>
      <c r="J895" s="198" t="s">
        <v>132</v>
      </c>
      <c r="K895" s="202">
        <f t="shared" si="13"/>
        <v>461039.99999999953</v>
      </c>
      <c r="L895" s="202">
        <v>90.399999999999906</v>
      </c>
      <c r="N895" s="202">
        <v>16535647</v>
      </c>
      <c r="S895" s="204"/>
      <c r="W895" s="198" t="s">
        <v>51</v>
      </c>
      <c r="AE895" s="198" t="s">
        <v>833</v>
      </c>
    </row>
    <row r="896" spans="3:31" x14ac:dyDescent="0.25">
      <c r="C896" s="201"/>
      <c r="E896" s="201"/>
      <c r="F896" s="201"/>
      <c r="I896" s="198" t="s">
        <v>362</v>
      </c>
      <c r="J896" s="198" t="s">
        <v>132</v>
      </c>
      <c r="K896" s="202">
        <f t="shared" si="13"/>
        <v>461549.99999999948</v>
      </c>
      <c r="L896" s="202">
        <v>90.499999999999901</v>
      </c>
      <c r="N896" s="202">
        <v>16535647</v>
      </c>
      <c r="S896" s="204"/>
      <c r="W896" s="198" t="s">
        <v>51</v>
      </c>
      <c r="AE896" s="198" t="s">
        <v>833</v>
      </c>
    </row>
    <row r="897" spans="3:31" x14ac:dyDescent="0.25">
      <c r="C897" s="201"/>
      <c r="E897" s="201"/>
      <c r="F897" s="201"/>
      <c r="I897" s="198" t="s">
        <v>188</v>
      </c>
      <c r="J897" s="198" t="s">
        <v>65</v>
      </c>
      <c r="K897" s="202">
        <f t="shared" si="13"/>
        <v>462059.99999999948</v>
      </c>
      <c r="L897" s="202">
        <v>90.599999999999895</v>
      </c>
      <c r="N897" s="202">
        <v>381969.32</v>
      </c>
      <c r="S897" s="203"/>
      <c r="W897" s="198" t="s">
        <v>51</v>
      </c>
      <c r="AE897" s="198" t="s">
        <v>831</v>
      </c>
    </row>
    <row r="898" spans="3:31" x14ac:dyDescent="0.25">
      <c r="C898" s="201"/>
      <c r="E898" s="201"/>
      <c r="F898" s="201"/>
      <c r="I898" s="198" t="s">
        <v>129</v>
      </c>
      <c r="J898" s="198" t="s">
        <v>130</v>
      </c>
      <c r="K898" s="202">
        <f t="shared" si="13"/>
        <v>462569.99999999953</v>
      </c>
      <c r="L898" s="202">
        <v>90.699999999999903</v>
      </c>
      <c r="N898" s="202">
        <v>1594180</v>
      </c>
      <c r="S898" s="204"/>
      <c r="W898" s="198" t="s">
        <v>51</v>
      </c>
      <c r="AE898" s="198" t="s">
        <v>833</v>
      </c>
    </row>
    <row r="899" spans="3:31" x14ac:dyDescent="0.25">
      <c r="C899" s="201"/>
      <c r="E899" s="201"/>
      <c r="F899" s="201"/>
      <c r="I899" s="198" t="s">
        <v>129</v>
      </c>
      <c r="J899" s="198" t="s">
        <v>130</v>
      </c>
      <c r="K899" s="202">
        <f t="shared" ref="K899:K962" si="14">L899*5100</f>
        <v>463079.99999999948</v>
      </c>
      <c r="L899" s="202">
        <v>90.799999999999898</v>
      </c>
      <c r="N899" s="202">
        <v>1594180</v>
      </c>
      <c r="S899" s="204"/>
      <c r="W899" s="198" t="s">
        <v>51</v>
      </c>
      <c r="AE899" s="198" t="s">
        <v>833</v>
      </c>
    </row>
    <row r="900" spans="3:31" x14ac:dyDescent="0.25">
      <c r="C900" s="201"/>
      <c r="E900" s="201"/>
      <c r="F900" s="201"/>
      <c r="I900" s="198" t="s">
        <v>129</v>
      </c>
      <c r="J900" s="198" t="s">
        <v>130</v>
      </c>
      <c r="K900" s="202">
        <f t="shared" si="14"/>
        <v>463589.99999999953</v>
      </c>
      <c r="L900" s="202">
        <v>90.899999999999906</v>
      </c>
      <c r="N900" s="202">
        <v>9290.7000000000007</v>
      </c>
      <c r="S900" s="204"/>
      <c r="W900" s="198" t="s">
        <v>51</v>
      </c>
      <c r="AE900" s="198" t="s">
        <v>833</v>
      </c>
    </row>
    <row r="901" spans="3:31" x14ac:dyDescent="0.25">
      <c r="C901" s="201"/>
      <c r="E901" s="201"/>
      <c r="F901" s="201"/>
      <c r="I901" s="198" t="s">
        <v>129</v>
      </c>
      <c r="J901" s="198" t="s">
        <v>130</v>
      </c>
      <c r="K901" s="202">
        <f t="shared" si="14"/>
        <v>464099.99999999948</v>
      </c>
      <c r="L901" s="202">
        <v>90.999999999999901</v>
      </c>
      <c r="N901" s="202">
        <v>11444.4</v>
      </c>
      <c r="S901" s="204"/>
      <c r="W901" s="198" t="s">
        <v>51</v>
      </c>
      <c r="AE901" s="198" t="s">
        <v>833</v>
      </c>
    </row>
    <row r="902" spans="3:31" x14ac:dyDescent="0.25">
      <c r="C902" s="201"/>
      <c r="E902" s="201"/>
      <c r="F902" s="201"/>
      <c r="I902" s="198" t="s">
        <v>129</v>
      </c>
      <c r="J902" s="198" t="s">
        <v>130</v>
      </c>
      <c r="K902" s="202">
        <f t="shared" si="14"/>
        <v>464609.99999999948</v>
      </c>
      <c r="L902" s="202">
        <v>91.099999999999895</v>
      </c>
      <c r="N902" s="202">
        <v>35798.04</v>
      </c>
      <c r="S902" s="204"/>
      <c r="W902" s="198" t="s">
        <v>51</v>
      </c>
      <c r="AE902" s="198" t="s">
        <v>833</v>
      </c>
    </row>
    <row r="903" spans="3:31" x14ac:dyDescent="0.25">
      <c r="C903" s="201"/>
      <c r="E903" s="201"/>
      <c r="F903" s="201"/>
      <c r="I903" s="198" t="s">
        <v>554</v>
      </c>
      <c r="J903" s="198" t="s">
        <v>130</v>
      </c>
      <c r="K903" s="202">
        <f t="shared" si="14"/>
        <v>465119.99999999953</v>
      </c>
      <c r="L903" s="202">
        <v>91.199999999999903</v>
      </c>
      <c r="N903" s="202">
        <v>3747706.1</v>
      </c>
      <c r="S903" s="204"/>
      <c r="W903" s="198" t="s">
        <v>51</v>
      </c>
      <c r="AE903" s="198" t="s">
        <v>833</v>
      </c>
    </row>
    <row r="904" spans="3:31" x14ac:dyDescent="0.25">
      <c r="C904" s="201"/>
      <c r="E904" s="201"/>
      <c r="F904" s="201"/>
      <c r="I904" s="198" t="s">
        <v>553</v>
      </c>
      <c r="J904" s="198" t="s">
        <v>134</v>
      </c>
      <c r="K904" s="202">
        <f t="shared" si="14"/>
        <v>465629.99999999948</v>
      </c>
      <c r="L904" s="202">
        <v>91.299999999999898</v>
      </c>
      <c r="N904" s="202">
        <v>7095900.7400000002</v>
      </c>
      <c r="S904" s="204"/>
      <c r="W904" s="198" t="s">
        <v>51</v>
      </c>
      <c r="AE904" s="198" t="s">
        <v>846</v>
      </c>
    </row>
    <row r="905" spans="3:31" x14ac:dyDescent="0.25">
      <c r="C905" s="201"/>
      <c r="E905" s="201"/>
      <c r="F905" s="201"/>
      <c r="I905" s="198" t="s">
        <v>553</v>
      </c>
      <c r="J905" s="198" t="s">
        <v>134</v>
      </c>
      <c r="K905" s="202">
        <f t="shared" si="14"/>
        <v>466139.99999999953</v>
      </c>
      <c r="L905" s="202">
        <v>91.399999999999906</v>
      </c>
      <c r="N905" s="202">
        <v>7105415.8600000003</v>
      </c>
      <c r="S905" s="204"/>
      <c r="W905" s="198" t="s">
        <v>51</v>
      </c>
      <c r="AE905" s="198" t="s">
        <v>846</v>
      </c>
    </row>
    <row r="906" spans="3:31" x14ac:dyDescent="0.25">
      <c r="C906" s="201"/>
      <c r="E906" s="201"/>
      <c r="F906" s="201"/>
      <c r="I906" s="198" t="s">
        <v>553</v>
      </c>
      <c r="J906" s="198" t="s">
        <v>134</v>
      </c>
      <c r="K906" s="202">
        <f t="shared" si="14"/>
        <v>466649.99999999948</v>
      </c>
      <c r="L906" s="202">
        <v>91.499999999999901</v>
      </c>
      <c r="N906" s="202">
        <v>7110173.4199999999</v>
      </c>
      <c r="S906" s="204"/>
      <c r="W906" s="198" t="s">
        <v>51</v>
      </c>
      <c r="AE906" s="198" t="s">
        <v>846</v>
      </c>
    </row>
    <row r="907" spans="3:31" x14ac:dyDescent="0.25">
      <c r="C907" s="201"/>
      <c r="E907" s="201"/>
      <c r="F907" s="201"/>
      <c r="I907" s="198" t="s">
        <v>553</v>
      </c>
      <c r="J907" s="198" t="s">
        <v>134</v>
      </c>
      <c r="K907" s="202">
        <f t="shared" si="14"/>
        <v>467159.99999999948</v>
      </c>
      <c r="L907" s="202">
        <v>91.599999999999895</v>
      </c>
      <c r="N907" s="202">
        <v>7081628.0599999996</v>
      </c>
      <c r="S907" s="204"/>
      <c r="W907" s="198" t="s">
        <v>51</v>
      </c>
      <c r="AE907" s="198" t="s">
        <v>846</v>
      </c>
    </row>
    <row r="908" spans="3:31" x14ac:dyDescent="0.25">
      <c r="C908" s="201"/>
      <c r="E908" s="201"/>
      <c r="F908" s="201"/>
      <c r="I908" s="198" t="s">
        <v>202</v>
      </c>
      <c r="J908" s="198" t="s">
        <v>65</v>
      </c>
      <c r="K908" s="202">
        <f t="shared" si="14"/>
        <v>467669.99999999953</v>
      </c>
      <c r="L908" s="202">
        <v>91.699999999999903</v>
      </c>
      <c r="N908" s="202">
        <v>354290</v>
      </c>
      <c r="S908" s="204"/>
      <c r="W908" s="198" t="s">
        <v>51</v>
      </c>
      <c r="AE908" s="198" t="s">
        <v>831</v>
      </c>
    </row>
    <row r="909" spans="3:31" x14ac:dyDescent="0.25">
      <c r="C909" s="201"/>
      <c r="E909" s="201"/>
      <c r="F909" s="201"/>
      <c r="I909" s="198" t="s">
        <v>202</v>
      </c>
      <c r="J909" s="198" t="s">
        <v>65</v>
      </c>
      <c r="K909" s="202">
        <f t="shared" si="14"/>
        <v>468179.99999999948</v>
      </c>
      <c r="L909" s="202">
        <v>91.799999999999898</v>
      </c>
      <c r="N909" s="202">
        <v>354290</v>
      </c>
      <c r="S909" s="204"/>
      <c r="W909" s="198" t="s">
        <v>51</v>
      </c>
      <c r="AE909" s="198" t="s">
        <v>831</v>
      </c>
    </row>
    <row r="910" spans="3:31" x14ac:dyDescent="0.25">
      <c r="C910" s="201"/>
      <c r="E910" s="201"/>
      <c r="F910" s="201"/>
      <c r="I910" s="198" t="s">
        <v>583</v>
      </c>
      <c r="J910" s="198" t="s">
        <v>134</v>
      </c>
      <c r="K910" s="202">
        <f t="shared" si="14"/>
        <v>468689.99999999953</v>
      </c>
      <c r="L910" s="202">
        <v>91.899999999999906</v>
      </c>
      <c r="N910" s="202">
        <v>5158025</v>
      </c>
      <c r="S910" s="204"/>
      <c r="W910" s="198" t="s">
        <v>51</v>
      </c>
      <c r="AE910" s="198" t="s">
        <v>846</v>
      </c>
    </row>
    <row r="911" spans="3:31" x14ac:dyDescent="0.25">
      <c r="C911" s="201"/>
      <c r="E911" s="201"/>
      <c r="F911" s="201"/>
      <c r="I911" s="198" t="s">
        <v>202</v>
      </c>
      <c r="J911" s="198" t="s">
        <v>65</v>
      </c>
      <c r="K911" s="202">
        <f t="shared" si="14"/>
        <v>469199.99999999948</v>
      </c>
      <c r="L911" s="202">
        <v>91.999999999999901</v>
      </c>
      <c r="N911" s="202">
        <v>354290</v>
      </c>
      <c r="S911" s="204"/>
      <c r="W911" s="198" t="s">
        <v>51</v>
      </c>
      <c r="AE911" s="198" t="s">
        <v>831</v>
      </c>
    </row>
    <row r="912" spans="3:31" x14ac:dyDescent="0.25">
      <c r="C912" s="201"/>
      <c r="E912" s="201"/>
      <c r="F912" s="201"/>
      <c r="I912" s="198" t="s">
        <v>786</v>
      </c>
      <c r="J912" s="198" t="s">
        <v>143</v>
      </c>
      <c r="K912" s="202">
        <f t="shared" si="14"/>
        <v>469709.99999999948</v>
      </c>
      <c r="L912" s="202">
        <v>92.099999999999895</v>
      </c>
      <c r="N912" s="202">
        <v>101550</v>
      </c>
      <c r="S912" s="203"/>
      <c r="W912" s="198" t="s">
        <v>51</v>
      </c>
      <c r="AE912" s="198" t="s">
        <v>829</v>
      </c>
    </row>
    <row r="913" spans="3:31" x14ac:dyDescent="0.25">
      <c r="C913" s="201"/>
      <c r="E913" s="201"/>
      <c r="F913" s="201"/>
      <c r="I913" s="198" t="s">
        <v>786</v>
      </c>
      <c r="J913" s="198" t="s">
        <v>143</v>
      </c>
      <c r="K913" s="202">
        <f t="shared" si="14"/>
        <v>470219.99999999953</v>
      </c>
      <c r="L913" s="202">
        <v>92.199999999999903</v>
      </c>
      <c r="N913" s="202">
        <v>65000</v>
      </c>
      <c r="S913" s="204"/>
      <c r="W913" s="198" t="s">
        <v>51</v>
      </c>
      <c r="AE913" s="198" t="s">
        <v>829</v>
      </c>
    </row>
    <row r="914" spans="3:31" x14ac:dyDescent="0.25">
      <c r="C914" s="201"/>
      <c r="E914" s="201"/>
      <c r="F914" s="201"/>
      <c r="I914" s="198" t="s">
        <v>791</v>
      </c>
      <c r="J914" s="198" t="s">
        <v>274</v>
      </c>
      <c r="K914" s="202">
        <f t="shared" si="14"/>
        <v>470729.99999999948</v>
      </c>
      <c r="L914" s="202">
        <v>92.299999999999898</v>
      </c>
      <c r="N914" s="202">
        <v>200000</v>
      </c>
      <c r="S914" s="204"/>
      <c r="W914" s="198" t="s">
        <v>51</v>
      </c>
      <c r="AE914" s="198" t="s">
        <v>1767</v>
      </c>
    </row>
    <row r="915" spans="3:31" x14ac:dyDescent="0.25">
      <c r="C915" s="201"/>
      <c r="E915" s="201"/>
      <c r="F915" s="201"/>
      <c r="I915" s="198" t="s">
        <v>792</v>
      </c>
      <c r="J915" s="198" t="s">
        <v>148</v>
      </c>
      <c r="K915" s="202">
        <f t="shared" si="14"/>
        <v>471239.99999999953</v>
      </c>
      <c r="L915" s="202">
        <v>92.399999999999906</v>
      </c>
      <c r="N915" s="202">
        <v>200000</v>
      </c>
      <c r="S915" s="204"/>
      <c r="W915" s="198" t="s">
        <v>51</v>
      </c>
      <c r="AE915" s="198" t="s">
        <v>828</v>
      </c>
    </row>
    <row r="916" spans="3:31" x14ac:dyDescent="0.25">
      <c r="C916" s="201"/>
      <c r="E916" s="201"/>
      <c r="F916" s="201"/>
      <c r="I916" s="198" t="s">
        <v>583</v>
      </c>
      <c r="J916" s="198" t="s">
        <v>134</v>
      </c>
      <c r="K916" s="202">
        <f t="shared" si="14"/>
        <v>471749.99999999948</v>
      </c>
      <c r="L916" s="202">
        <v>92.499999999999901</v>
      </c>
      <c r="N916" s="202">
        <v>5209800</v>
      </c>
      <c r="S916" s="204"/>
      <c r="W916" s="198" t="s">
        <v>51</v>
      </c>
      <c r="AE916" s="198" t="s">
        <v>846</v>
      </c>
    </row>
    <row r="917" spans="3:31" x14ac:dyDescent="0.25">
      <c r="C917" s="201"/>
      <c r="E917" s="201"/>
      <c r="F917" s="201"/>
      <c r="I917" s="198" t="s">
        <v>202</v>
      </c>
      <c r="J917" s="198" t="s">
        <v>65</v>
      </c>
      <c r="K917" s="202">
        <f t="shared" si="14"/>
        <v>472259.99999999948</v>
      </c>
      <c r="L917" s="202">
        <v>92.599999999999895</v>
      </c>
      <c r="N917" s="202">
        <v>354290</v>
      </c>
      <c r="S917" s="204"/>
      <c r="W917" s="198" t="s">
        <v>51</v>
      </c>
      <c r="AE917" s="198" t="s">
        <v>831</v>
      </c>
    </row>
    <row r="918" spans="3:31" x14ac:dyDescent="0.25">
      <c r="C918" s="201"/>
      <c r="E918" s="201"/>
      <c r="F918" s="201"/>
      <c r="I918" s="198" t="s">
        <v>202</v>
      </c>
      <c r="J918" s="198" t="s">
        <v>65</v>
      </c>
      <c r="K918" s="202">
        <f t="shared" si="14"/>
        <v>472769.99999999953</v>
      </c>
      <c r="L918" s="202">
        <v>92.699999999999903</v>
      </c>
      <c r="N918" s="202">
        <v>354290</v>
      </c>
      <c r="S918" s="204"/>
      <c r="W918" s="198" t="s">
        <v>51</v>
      </c>
      <c r="AE918" s="198" t="s">
        <v>831</v>
      </c>
    </row>
    <row r="919" spans="3:31" x14ac:dyDescent="0.25">
      <c r="C919" s="201"/>
      <c r="E919" s="201"/>
      <c r="F919" s="201"/>
      <c r="I919" s="198" t="s">
        <v>583</v>
      </c>
      <c r="J919" s="198" t="s">
        <v>134</v>
      </c>
      <c r="K919" s="202">
        <f t="shared" si="14"/>
        <v>473279.99999999948</v>
      </c>
      <c r="L919" s="202">
        <v>92.799999999999898</v>
      </c>
      <c r="N919" s="202">
        <v>5215025</v>
      </c>
      <c r="S919" s="204"/>
      <c r="W919" s="198" t="s">
        <v>51</v>
      </c>
      <c r="AE919" s="198" t="s">
        <v>846</v>
      </c>
    </row>
    <row r="920" spans="3:31" x14ac:dyDescent="0.25">
      <c r="C920" s="201"/>
      <c r="E920" s="201"/>
      <c r="F920" s="201"/>
      <c r="I920" s="198" t="s">
        <v>583</v>
      </c>
      <c r="J920" s="198" t="s">
        <v>134</v>
      </c>
      <c r="K920" s="202">
        <f t="shared" si="14"/>
        <v>473789.99999999953</v>
      </c>
      <c r="L920" s="202">
        <v>92.899999999999906</v>
      </c>
      <c r="N920" s="202">
        <v>4774700</v>
      </c>
      <c r="S920" s="204"/>
      <c r="W920" s="198" t="s">
        <v>51</v>
      </c>
      <c r="AE920" s="198" t="s">
        <v>846</v>
      </c>
    </row>
    <row r="921" spans="3:31" x14ac:dyDescent="0.25">
      <c r="C921" s="201"/>
      <c r="E921" s="201"/>
      <c r="F921" s="201"/>
      <c r="I921" s="198" t="s">
        <v>583</v>
      </c>
      <c r="J921" s="198" t="s">
        <v>134</v>
      </c>
      <c r="K921" s="202">
        <f t="shared" si="14"/>
        <v>474299.99999999948</v>
      </c>
      <c r="L921" s="202">
        <v>92.999999999999901</v>
      </c>
      <c r="N921" s="202">
        <v>4738600</v>
      </c>
      <c r="S921" s="204"/>
      <c r="W921" s="198" t="s">
        <v>51</v>
      </c>
      <c r="AE921" s="198" t="s">
        <v>846</v>
      </c>
    </row>
    <row r="922" spans="3:31" x14ac:dyDescent="0.25">
      <c r="C922" s="201"/>
      <c r="E922" s="201"/>
      <c r="F922" s="201"/>
      <c r="I922" s="198" t="s">
        <v>583</v>
      </c>
      <c r="J922" s="198" t="s">
        <v>134</v>
      </c>
      <c r="K922" s="202">
        <f t="shared" si="14"/>
        <v>474809.99999999948</v>
      </c>
      <c r="L922" s="202">
        <v>93.099999999999895</v>
      </c>
      <c r="N922" s="202">
        <v>4779925</v>
      </c>
      <c r="S922" s="204"/>
      <c r="W922" s="198" t="s">
        <v>51</v>
      </c>
      <c r="AE922" s="198" t="s">
        <v>846</v>
      </c>
    </row>
    <row r="923" spans="3:31" x14ac:dyDescent="0.25">
      <c r="C923" s="201"/>
      <c r="E923" s="201"/>
      <c r="F923" s="201"/>
      <c r="I923" s="198" t="s">
        <v>583</v>
      </c>
      <c r="J923" s="198" t="s">
        <v>134</v>
      </c>
      <c r="K923" s="202">
        <f t="shared" si="14"/>
        <v>475319.99999999953</v>
      </c>
      <c r="L923" s="202">
        <v>93.199999999999903</v>
      </c>
      <c r="N923" s="202">
        <v>5228800</v>
      </c>
      <c r="S923" s="204"/>
      <c r="W923" s="198" t="s">
        <v>51</v>
      </c>
      <c r="AE923" s="198" t="s">
        <v>846</v>
      </c>
    </row>
    <row r="924" spans="3:31" x14ac:dyDescent="0.25">
      <c r="C924" s="201"/>
      <c r="E924" s="201"/>
      <c r="F924" s="201"/>
      <c r="I924" s="198" t="s">
        <v>789</v>
      </c>
      <c r="J924" s="198" t="s">
        <v>156</v>
      </c>
      <c r="K924" s="202">
        <f t="shared" si="14"/>
        <v>475829.99999999948</v>
      </c>
      <c r="L924" s="202">
        <v>93.299999999999898</v>
      </c>
      <c r="N924" s="202">
        <v>200000</v>
      </c>
      <c r="S924" s="204"/>
      <c r="W924" s="198" t="s">
        <v>51</v>
      </c>
      <c r="AE924" s="198" t="s">
        <v>828</v>
      </c>
    </row>
    <row r="925" spans="3:31" x14ac:dyDescent="0.25">
      <c r="C925" s="201"/>
      <c r="E925" s="201"/>
      <c r="F925" s="201"/>
      <c r="I925" s="198" t="s">
        <v>790</v>
      </c>
      <c r="J925" s="198" t="s">
        <v>153</v>
      </c>
      <c r="K925" s="202">
        <f t="shared" si="14"/>
        <v>476339.99999999953</v>
      </c>
      <c r="L925" s="202">
        <v>93.399999999999906</v>
      </c>
      <c r="N925" s="202">
        <v>200000</v>
      </c>
      <c r="S925" s="204"/>
      <c r="W925" s="198" t="s">
        <v>51</v>
      </c>
      <c r="AE925" s="198" t="s">
        <v>1768</v>
      </c>
    </row>
    <row r="926" spans="3:31" x14ac:dyDescent="0.25">
      <c r="C926" s="201"/>
      <c r="E926" s="201"/>
      <c r="F926" s="201"/>
      <c r="I926" s="198" t="s">
        <v>788</v>
      </c>
      <c r="J926" s="198" t="s">
        <v>193</v>
      </c>
      <c r="K926" s="202">
        <f t="shared" si="14"/>
        <v>476849.99999999948</v>
      </c>
      <c r="L926" s="202">
        <v>93.499999999999901</v>
      </c>
      <c r="N926" s="202">
        <v>200000</v>
      </c>
      <c r="S926" s="204"/>
      <c r="W926" s="198" t="s">
        <v>51</v>
      </c>
      <c r="AE926" s="198" t="s">
        <v>830</v>
      </c>
    </row>
    <row r="927" spans="3:31" x14ac:dyDescent="0.25">
      <c r="C927" s="201"/>
      <c r="E927" s="201"/>
      <c r="F927" s="201"/>
      <c r="I927" s="198" t="s">
        <v>786</v>
      </c>
      <c r="J927" s="198" t="s">
        <v>143</v>
      </c>
      <c r="K927" s="202">
        <f t="shared" si="14"/>
        <v>477359.99999999948</v>
      </c>
      <c r="L927" s="202">
        <v>93.599999999999895</v>
      </c>
      <c r="N927" s="202">
        <v>200000</v>
      </c>
      <c r="S927" s="204"/>
      <c r="W927" s="198" t="s">
        <v>51</v>
      </c>
      <c r="AE927" s="198" t="s">
        <v>829</v>
      </c>
    </row>
    <row r="928" spans="3:31" x14ac:dyDescent="0.25">
      <c r="C928" s="201"/>
      <c r="E928" s="201"/>
      <c r="F928" s="201"/>
      <c r="I928" s="198" t="s">
        <v>179</v>
      </c>
      <c r="J928" s="198" t="s">
        <v>169</v>
      </c>
      <c r="K928" s="202">
        <f t="shared" si="14"/>
        <v>477869.99999999953</v>
      </c>
      <c r="L928" s="202">
        <v>93.699999999999903</v>
      </c>
      <c r="N928" s="202">
        <v>-4.75</v>
      </c>
      <c r="S928" s="204"/>
      <c r="W928" s="198" t="s">
        <v>51</v>
      </c>
      <c r="AE928" s="198" t="s">
        <v>831</v>
      </c>
    </row>
    <row r="929" spans="3:31" x14ac:dyDescent="0.25">
      <c r="C929" s="201"/>
      <c r="E929" s="201"/>
      <c r="F929" s="201"/>
      <c r="I929" s="198" t="s">
        <v>851</v>
      </c>
      <c r="J929" s="198" t="s">
        <v>274</v>
      </c>
      <c r="K929" s="202">
        <f t="shared" si="14"/>
        <v>478379.99999999948</v>
      </c>
      <c r="L929" s="202">
        <v>93.799999999999898</v>
      </c>
      <c r="N929" s="202">
        <v>-666000</v>
      </c>
      <c r="S929" s="203"/>
      <c r="W929" s="198" t="s">
        <v>51</v>
      </c>
      <c r="AE929" s="198" t="s">
        <v>54</v>
      </c>
    </row>
    <row r="930" spans="3:31" x14ac:dyDescent="0.25">
      <c r="C930" s="201"/>
      <c r="E930" s="201"/>
      <c r="F930" s="201"/>
      <c r="I930" s="198" t="s">
        <v>855</v>
      </c>
      <c r="J930" s="198" t="s">
        <v>156</v>
      </c>
      <c r="K930" s="202">
        <f t="shared" si="14"/>
        <v>478889.99999999953</v>
      </c>
      <c r="L930" s="202">
        <v>93.899999999999906</v>
      </c>
      <c r="N930" s="202">
        <v>-666000</v>
      </c>
      <c r="S930" s="203"/>
      <c r="W930" s="198" t="s">
        <v>51</v>
      </c>
      <c r="AE930" s="198" t="s">
        <v>54</v>
      </c>
    </row>
    <row r="931" spans="3:31" x14ac:dyDescent="0.25">
      <c r="C931" s="201"/>
      <c r="E931" s="201"/>
      <c r="F931" s="201"/>
      <c r="I931" s="198" t="s">
        <v>854</v>
      </c>
      <c r="J931" s="198" t="s">
        <v>143</v>
      </c>
      <c r="K931" s="202">
        <f t="shared" si="14"/>
        <v>479399.99999999948</v>
      </c>
      <c r="L931" s="202">
        <v>93.999999999999901</v>
      </c>
      <c r="N931" s="202">
        <v>-90742</v>
      </c>
      <c r="S931" s="203"/>
      <c r="W931" s="198" t="s">
        <v>51</v>
      </c>
      <c r="AE931" s="198" t="s">
        <v>54</v>
      </c>
    </row>
    <row r="932" spans="3:31" x14ac:dyDescent="0.25">
      <c r="C932" s="201"/>
      <c r="E932" s="201"/>
      <c r="F932" s="201"/>
      <c r="I932" s="198" t="s">
        <v>850</v>
      </c>
      <c r="J932" s="198" t="s">
        <v>153</v>
      </c>
      <c r="K932" s="202">
        <f t="shared" si="14"/>
        <v>479909.99999999948</v>
      </c>
      <c r="L932" s="202">
        <v>94.099999999999895</v>
      </c>
      <c r="N932" s="202">
        <v>-666000</v>
      </c>
      <c r="S932" s="203"/>
      <c r="W932" s="198" t="s">
        <v>51</v>
      </c>
      <c r="AE932" s="198" t="s">
        <v>54</v>
      </c>
    </row>
    <row r="933" spans="3:31" x14ac:dyDescent="0.25">
      <c r="C933" s="201"/>
      <c r="E933" s="201"/>
      <c r="F933" s="201"/>
      <c r="I933" s="198" t="s">
        <v>843</v>
      </c>
      <c r="J933" s="198" t="s">
        <v>137</v>
      </c>
      <c r="K933" s="202">
        <f t="shared" si="14"/>
        <v>480419.99999999953</v>
      </c>
      <c r="L933" s="202">
        <v>94.199999999999903</v>
      </c>
      <c r="N933" s="202">
        <v>0.5</v>
      </c>
      <c r="S933" s="204"/>
      <c r="W933" s="198" t="s">
        <v>51</v>
      </c>
      <c r="AE933" s="198" t="s">
        <v>844</v>
      </c>
    </row>
    <row r="934" spans="3:31" x14ac:dyDescent="0.25">
      <c r="C934" s="201"/>
      <c r="E934" s="201"/>
      <c r="F934" s="201"/>
      <c r="I934" s="198" t="s">
        <v>430</v>
      </c>
      <c r="J934" s="198" t="s">
        <v>130</v>
      </c>
      <c r="K934" s="202">
        <f t="shared" si="14"/>
        <v>480929.99999999948</v>
      </c>
      <c r="L934" s="202">
        <v>94.299999999999898</v>
      </c>
      <c r="N934" s="202">
        <v>16721000</v>
      </c>
      <c r="S934" s="204"/>
      <c r="W934" s="198" t="s">
        <v>51</v>
      </c>
      <c r="AE934" s="198" t="s">
        <v>833</v>
      </c>
    </row>
    <row r="935" spans="3:31" x14ac:dyDescent="0.25">
      <c r="C935" s="201"/>
      <c r="E935" s="201"/>
      <c r="F935" s="201"/>
      <c r="I935" s="198" t="s">
        <v>843</v>
      </c>
      <c r="J935" s="198" t="s">
        <v>137</v>
      </c>
      <c r="K935" s="202">
        <f t="shared" si="14"/>
        <v>481439.99999999953</v>
      </c>
      <c r="L935" s="202">
        <v>94.399999999999906</v>
      </c>
      <c r="N935" s="202">
        <v>2403975</v>
      </c>
      <c r="S935" s="204"/>
      <c r="W935" s="198" t="s">
        <v>51</v>
      </c>
      <c r="AE935" s="198" t="s">
        <v>844</v>
      </c>
    </row>
    <row r="936" spans="3:31" x14ac:dyDescent="0.25">
      <c r="C936" s="201"/>
      <c r="E936" s="201"/>
      <c r="F936" s="201"/>
      <c r="I936" s="198" t="s">
        <v>843</v>
      </c>
      <c r="J936" s="198" t="s">
        <v>137</v>
      </c>
      <c r="K936" s="202">
        <f t="shared" si="14"/>
        <v>481949.99999999948</v>
      </c>
      <c r="L936" s="202">
        <v>94.499999999999901</v>
      </c>
      <c r="N936" s="202">
        <v>6270950</v>
      </c>
      <c r="S936" s="204"/>
      <c r="W936" s="198" t="s">
        <v>51</v>
      </c>
      <c r="AE936" s="198" t="s">
        <v>844</v>
      </c>
    </row>
    <row r="937" spans="3:31" x14ac:dyDescent="0.25">
      <c r="C937" s="201"/>
      <c r="E937" s="201"/>
      <c r="F937" s="201"/>
      <c r="I937" s="198" t="s">
        <v>843</v>
      </c>
      <c r="J937" s="198" t="s">
        <v>137</v>
      </c>
      <c r="K937" s="202">
        <f t="shared" si="14"/>
        <v>482459.99999999948</v>
      </c>
      <c r="L937" s="202">
        <v>94.599999999999895</v>
      </c>
      <c r="N937" s="202">
        <v>5783600</v>
      </c>
      <c r="S937" s="204"/>
      <c r="W937" s="198" t="s">
        <v>51</v>
      </c>
      <c r="AE937" s="198" t="s">
        <v>844</v>
      </c>
    </row>
    <row r="938" spans="3:31" x14ac:dyDescent="0.25">
      <c r="C938" s="201"/>
      <c r="E938" s="201"/>
      <c r="F938" s="201"/>
      <c r="I938" s="198" t="s">
        <v>843</v>
      </c>
      <c r="J938" s="198" t="s">
        <v>137</v>
      </c>
      <c r="K938" s="202">
        <f t="shared" si="14"/>
        <v>482969.99999999953</v>
      </c>
      <c r="L938" s="202">
        <v>94.699999999999903</v>
      </c>
      <c r="N938" s="202">
        <v>477375</v>
      </c>
      <c r="S938" s="204"/>
      <c r="W938" s="198" t="s">
        <v>51</v>
      </c>
      <c r="AE938" s="198" t="s">
        <v>844</v>
      </c>
    </row>
    <row r="939" spans="3:31" x14ac:dyDescent="0.25">
      <c r="C939" s="201"/>
      <c r="E939" s="201"/>
      <c r="F939" s="201"/>
      <c r="I939" s="198" t="s">
        <v>836</v>
      </c>
      <c r="J939" s="198" t="s">
        <v>126</v>
      </c>
      <c r="K939" s="202">
        <f t="shared" si="14"/>
        <v>483479.99999999948</v>
      </c>
      <c r="L939" s="202">
        <v>94.799999999999898</v>
      </c>
      <c r="N939" s="202">
        <v>142500</v>
      </c>
      <c r="S939" s="204"/>
      <c r="W939" s="198" t="s">
        <v>51</v>
      </c>
      <c r="AE939" s="198" t="s">
        <v>835</v>
      </c>
    </row>
    <row r="940" spans="3:31" x14ac:dyDescent="0.25">
      <c r="C940" s="201"/>
      <c r="E940" s="201"/>
      <c r="F940" s="201"/>
      <c r="I940" s="198" t="s">
        <v>836</v>
      </c>
      <c r="J940" s="198" t="s">
        <v>126</v>
      </c>
      <c r="K940" s="202">
        <f t="shared" si="14"/>
        <v>483989.99999999953</v>
      </c>
      <c r="L940" s="202">
        <v>94.899999999999906</v>
      </c>
      <c r="N940" s="202">
        <v>-142500</v>
      </c>
      <c r="S940" s="204"/>
      <c r="W940" s="198" t="s">
        <v>51</v>
      </c>
      <c r="AE940" s="198" t="s">
        <v>835</v>
      </c>
    </row>
    <row r="941" spans="3:31" x14ac:dyDescent="0.25">
      <c r="C941" s="201"/>
      <c r="E941" s="201"/>
      <c r="F941" s="201"/>
      <c r="I941" s="198" t="s">
        <v>129</v>
      </c>
      <c r="J941" s="198" t="s">
        <v>130</v>
      </c>
      <c r="K941" s="202">
        <f t="shared" si="14"/>
        <v>484499.99999999948</v>
      </c>
      <c r="L941" s="202">
        <v>94.999999999999901</v>
      </c>
      <c r="N941" s="202">
        <v>-0.84</v>
      </c>
      <c r="S941" s="203"/>
      <c r="W941" s="198" t="s">
        <v>51</v>
      </c>
      <c r="AE941" s="198" t="s">
        <v>54</v>
      </c>
    </row>
    <row r="942" spans="3:31" x14ac:dyDescent="0.25">
      <c r="C942" s="201"/>
      <c r="E942" s="201"/>
      <c r="F942" s="201"/>
      <c r="I942" s="198" t="s">
        <v>536</v>
      </c>
      <c r="J942" s="198" t="s">
        <v>126</v>
      </c>
      <c r="K942" s="202">
        <f t="shared" si="14"/>
        <v>485009.99999999948</v>
      </c>
      <c r="L942" s="202">
        <v>95.099999999999895</v>
      </c>
      <c r="N942" s="202">
        <v>-0.23</v>
      </c>
      <c r="S942" s="203"/>
      <c r="W942" s="198" t="s">
        <v>51</v>
      </c>
      <c r="AE942" s="198" t="s">
        <v>54</v>
      </c>
    </row>
    <row r="943" spans="3:31" x14ac:dyDescent="0.25">
      <c r="C943" s="201"/>
      <c r="E943" s="201"/>
      <c r="F943" s="201"/>
      <c r="I943" s="198" t="s">
        <v>554</v>
      </c>
      <c r="J943" s="198" t="s">
        <v>130</v>
      </c>
      <c r="K943" s="202">
        <f t="shared" si="14"/>
        <v>485519.99999999953</v>
      </c>
      <c r="L943" s="202">
        <v>95.199999999999903</v>
      </c>
      <c r="N943" s="202">
        <v>-0.01</v>
      </c>
      <c r="S943" s="204"/>
      <c r="W943" s="198" t="s">
        <v>51</v>
      </c>
      <c r="AE943" s="198" t="s">
        <v>833</v>
      </c>
    </row>
    <row r="944" spans="3:31" x14ac:dyDescent="0.25">
      <c r="C944" s="201"/>
      <c r="E944" s="201"/>
      <c r="F944" s="201"/>
      <c r="I944" s="198" t="s">
        <v>77</v>
      </c>
      <c r="J944" s="198" t="s">
        <v>65</v>
      </c>
      <c r="K944" s="202">
        <f t="shared" si="14"/>
        <v>486029.99999999948</v>
      </c>
      <c r="L944" s="202">
        <v>95.299999999999898</v>
      </c>
      <c r="N944" s="202">
        <v>40.869999999999997</v>
      </c>
      <c r="S944" s="204"/>
      <c r="W944" s="198" t="s">
        <v>51</v>
      </c>
      <c r="AE944" s="198" t="s">
        <v>831</v>
      </c>
    </row>
    <row r="945" spans="3:31" x14ac:dyDescent="0.25">
      <c r="C945" s="201"/>
      <c r="E945" s="201"/>
      <c r="F945" s="201"/>
      <c r="I945" s="198" t="s">
        <v>204</v>
      </c>
      <c r="J945" s="198" t="s">
        <v>169</v>
      </c>
      <c r="K945" s="202">
        <f t="shared" si="14"/>
        <v>486539.99999999953</v>
      </c>
      <c r="L945" s="202">
        <v>95.399999999999906</v>
      </c>
      <c r="N945" s="202">
        <v>349040</v>
      </c>
      <c r="S945" s="204"/>
      <c r="W945" s="198" t="s">
        <v>51</v>
      </c>
      <c r="AE945" s="198" t="s">
        <v>831</v>
      </c>
    </row>
    <row r="946" spans="3:31" x14ac:dyDescent="0.25">
      <c r="C946" s="201"/>
      <c r="E946" s="201"/>
      <c r="F946" s="201"/>
      <c r="I946" s="198" t="s">
        <v>204</v>
      </c>
      <c r="J946" s="198" t="s">
        <v>169</v>
      </c>
      <c r="K946" s="202">
        <f t="shared" si="14"/>
        <v>487049.99999999948</v>
      </c>
      <c r="L946" s="202">
        <v>95.499999999999901</v>
      </c>
      <c r="N946" s="202">
        <v>349040</v>
      </c>
      <c r="S946" s="204"/>
      <c r="W946" s="198" t="s">
        <v>51</v>
      </c>
      <c r="AE946" s="198" t="s">
        <v>831</v>
      </c>
    </row>
    <row r="947" spans="3:31" x14ac:dyDescent="0.25">
      <c r="C947" s="201"/>
      <c r="E947" s="201"/>
      <c r="F947" s="201"/>
      <c r="I947" s="198" t="s">
        <v>204</v>
      </c>
      <c r="J947" s="198" t="s">
        <v>169</v>
      </c>
      <c r="K947" s="202">
        <f t="shared" si="14"/>
        <v>487559.99999999948</v>
      </c>
      <c r="L947" s="202">
        <v>95.599999999999895</v>
      </c>
      <c r="N947" s="202">
        <v>349040</v>
      </c>
      <c r="S947" s="204"/>
      <c r="W947" s="198" t="s">
        <v>51</v>
      </c>
      <c r="AE947" s="198" t="s">
        <v>831</v>
      </c>
    </row>
    <row r="948" spans="3:31" x14ac:dyDescent="0.25">
      <c r="C948" s="201"/>
      <c r="E948" s="201"/>
      <c r="F948" s="201"/>
      <c r="I948" s="198" t="s">
        <v>843</v>
      </c>
      <c r="J948" s="198" t="s">
        <v>137</v>
      </c>
      <c r="K948" s="202">
        <f t="shared" si="14"/>
        <v>488069.99999999953</v>
      </c>
      <c r="L948" s="202">
        <v>95.699999999999903</v>
      </c>
      <c r="N948" s="202">
        <v>0.5</v>
      </c>
      <c r="S948" s="204"/>
      <c r="W948" s="198" t="s">
        <v>51</v>
      </c>
      <c r="AE948" s="198" t="s">
        <v>844</v>
      </c>
    </row>
    <row r="949" spans="3:31" x14ac:dyDescent="0.25">
      <c r="C949" s="201"/>
      <c r="E949" s="201"/>
      <c r="F949" s="201"/>
      <c r="I949" s="198" t="s">
        <v>843</v>
      </c>
      <c r="J949" s="198" t="s">
        <v>137</v>
      </c>
      <c r="K949" s="202">
        <f t="shared" si="14"/>
        <v>488579.99999999948</v>
      </c>
      <c r="L949" s="202">
        <v>95.799999999999898</v>
      </c>
      <c r="N949" s="202">
        <v>0.5</v>
      </c>
      <c r="S949" s="204"/>
      <c r="W949" s="198" t="s">
        <v>51</v>
      </c>
      <c r="AE949" s="198" t="s">
        <v>844</v>
      </c>
    </row>
    <row r="950" spans="3:31" x14ac:dyDescent="0.25">
      <c r="C950" s="201"/>
      <c r="E950" s="201"/>
      <c r="F950" s="201"/>
      <c r="I950" s="198" t="s">
        <v>135</v>
      </c>
      <c r="J950" s="198" t="s">
        <v>117</v>
      </c>
      <c r="K950" s="202">
        <f t="shared" si="14"/>
        <v>489089.99999999953</v>
      </c>
      <c r="L950" s="202">
        <v>95.899999999999906</v>
      </c>
      <c r="N950" s="202">
        <v>0.2</v>
      </c>
      <c r="S950" s="204"/>
      <c r="W950" s="198" t="s">
        <v>51</v>
      </c>
      <c r="AE950" s="198" t="s">
        <v>878</v>
      </c>
    </row>
    <row r="951" spans="3:31" x14ac:dyDescent="0.25">
      <c r="C951" s="201"/>
      <c r="E951" s="201"/>
      <c r="F951" s="201"/>
      <c r="I951" s="198" t="s">
        <v>583</v>
      </c>
      <c r="J951" s="198" t="s">
        <v>134</v>
      </c>
      <c r="K951" s="202">
        <f t="shared" si="14"/>
        <v>489599.99999999948</v>
      </c>
      <c r="L951" s="202">
        <v>95.999999999999901</v>
      </c>
      <c r="N951" s="202">
        <v>5211225</v>
      </c>
      <c r="S951" s="204"/>
      <c r="W951" s="198" t="s">
        <v>51</v>
      </c>
      <c r="AE951" s="198" t="s">
        <v>846</v>
      </c>
    </row>
    <row r="952" spans="3:31" x14ac:dyDescent="0.25">
      <c r="C952" s="201"/>
      <c r="E952" s="201"/>
      <c r="F952" s="201"/>
      <c r="I952" s="198" t="s">
        <v>583</v>
      </c>
      <c r="J952" s="198" t="s">
        <v>134</v>
      </c>
      <c r="K952" s="202">
        <f t="shared" si="14"/>
        <v>490109.99999999948</v>
      </c>
      <c r="L952" s="202">
        <v>96.099999999999895</v>
      </c>
      <c r="N952" s="202">
        <v>5215025</v>
      </c>
      <c r="S952" s="204"/>
      <c r="W952" s="198" t="s">
        <v>51</v>
      </c>
      <c r="AE952" s="198" t="s">
        <v>846</v>
      </c>
    </row>
    <row r="953" spans="3:31" x14ac:dyDescent="0.25">
      <c r="C953" s="201"/>
      <c r="E953" s="201"/>
      <c r="F953" s="201"/>
      <c r="I953" s="198" t="s">
        <v>583</v>
      </c>
      <c r="J953" s="198" t="s">
        <v>134</v>
      </c>
      <c r="K953" s="202">
        <f t="shared" si="14"/>
        <v>490619.99999999953</v>
      </c>
      <c r="L953" s="202">
        <v>96.199999999999903</v>
      </c>
      <c r="N953" s="202">
        <v>5231175</v>
      </c>
      <c r="S953" s="204"/>
      <c r="W953" s="198" t="s">
        <v>51</v>
      </c>
      <c r="AE953" s="198" t="s">
        <v>846</v>
      </c>
    </row>
    <row r="954" spans="3:31" x14ac:dyDescent="0.25">
      <c r="C954" s="201"/>
      <c r="E954" s="201"/>
      <c r="F954" s="201"/>
      <c r="I954" s="198" t="s">
        <v>583</v>
      </c>
      <c r="J954" s="198" t="s">
        <v>134</v>
      </c>
      <c r="K954" s="202">
        <f t="shared" si="14"/>
        <v>491129.99999999948</v>
      </c>
      <c r="L954" s="202">
        <v>96.299999999999898</v>
      </c>
      <c r="N954" s="202">
        <v>5228325</v>
      </c>
      <c r="S954" s="204"/>
      <c r="W954" s="198" t="s">
        <v>51</v>
      </c>
      <c r="AE954" s="198" t="s">
        <v>846</v>
      </c>
    </row>
    <row r="955" spans="3:31" x14ac:dyDescent="0.25">
      <c r="C955" s="201"/>
      <c r="E955" s="201"/>
      <c r="F955" s="201"/>
      <c r="I955" s="198" t="s">
        <v>583</v>
      </c>
      <c r="J955" s="198" t="s">
        <v>134</v>
      </c>
      <c r="K955" s="202">
        <f t="shared" si="14"/>
        <v>491639.99999999953</v>
      </c>
      <c r="L955" s="202">
        <v>96.399999999999906</v>
      </c>
      <c r="N955" s="202">
        <v>5214550</v>
      </c>
      <c r="S955" s="204"/>
      <c r="W955" s="198" t="s">
        <v>51</v>
      </c>
      <c r="AE955" s="198" t="s">
        <v>846</v>
      </c>
    </row>
    <row r="956" spans="3:31" x14ac:dyDescent="0.25">
      <c r="C956" s="201"/>
      <c r="E956" s="201"/>
      <c r="F956" s="201"/>
      <c r="I956" s="198" t="s">
        <v>583</v>
      </c>
      <c r="J956" s="198" t="s">
        <v>134</v>
      </c>
      <c r="K956" s="202">
        <f t="shared" si="14"/>
        <v>492149.99999999948</v>
      </c>
      <c r="L956" s="202">
        <v>96.499999999999901</v>
      </c>
      <c r="N956" s="202">
        <v>5186525</v>
      </c>
      <c r="S956" s="204"/>
      <c r="W956" s="198" t="s">
        <v>51</v>
      </c>
      <c r="AE956" s="198" t="s">
        <v>846</v>
      </c>
    </row>
    <row r="957" spans="3:31" x14ac:dyDescent="0.25">
      <c r="C957" s="201"/>
      <c r="E957" s="201"/>
      <c r="F957" s="201"/>
      <c r="I957" s="198" t="s">
        <v>204</v>
      </c>
      <c r="J957" s="198" t="s">
        <v>169</v>
      </c>
      <c r="K957" s="202">
        <f t="shared" si="14"/>
        <v>492659.99999999948</v>
      </c>
      <c r="L957" s="202">
        <v>96.599999999999895</v>
      </c>
      <c r="N957" s="202">
        <v>-349040</v>
      </c>
      <c r="S957" s="204"/>
      <c r="W957" s="198" t="s">
        <v>51</v>
      </c>
      <c r="AE957" s="198" t="s">
        <v>831</v>
      </c>
    </row>
    <row r="958" spans="3:31" x14ac:dyDescent="0.25">
      <c r="C958" s="201"/>
      <c r="E958" s="201"/>
      <c r="F958" s="201"/>
      <c r="I958" s="198" t="s">
        <v>583</v>
      </c>
      <c r="J958" s="198" t="s">
        <v>134</v>
      </c>
      <c r="K958" s="202">
        <f t="shared" si="14"/>
        <v>493169.99999999953</v>
      </c>
      <c r="L958" s="202">
        <v>96.699999999999903</v>
      </c>
      <c r="N958" s="202">
        <v>5215500</v>
      </c>
      <c r="S958" s="204"/>
      <c r="W958" s="198" t="s">
        <v>51</v>
      </c>
      <c r="AE958" s="198" t="s">
        <v>846</v>
      </c>
    </row>
    <row r="959" spans="3:31" x14ac:dyDescent="0.25">
      <c r="C959" s="201"/>
      <c r="E959" s="201"/>
      <c r="F959" s="201"/>
      <c r="I959" s="198" t="s">
        <v>583</v>
      </c>
      <c r="J959" s="198" t="s">
        <v>134</v>
      </c>
      <c r="K959" s="202">
        <f t="shared" si="14"/>
        <v>493679.99999999948</v>
      </c>
      <c r="L959" s="202">
        <v>96.799999999999898</v>
      </c>
      <c r="N959" s="202">
        <v>5200300</v>
      </c>
      <c r="S959" s="204"/>
      <c r="W959" s="198" t="s">
        <v>51</v>
      </c>
      <c r="AE959" s="198" t="s">
        <v>846</v>
      </c>
    </row>
    <row r="960" spans="3:31" x14ac:dyDescent="0.25">
      <c r="C960" s="201"/>
      <c r="E960" s="201"/>
      <c r="F960" s="201"/>
      <c r="I960" s="198" t="s">
        <v>583</v>
      </c>
      <c r="J960" s="198" t="s">
        <v>134</v>
      </c>
      <c r="K960" s="202">
        <f t="shared" si="14"/>
        <v>494189.99999999953</v>
      </c>
      <c r="L960" s="202">
        <v>96.899999999999906</v>
      </c>
      <c r="N960" s="202">
        <v>4747625</v>
      </c>
      <c r="S960" s="204"/>
      <c r="W960" s="198" t="s">
        <v>51</v>
      </c>
      <c r="AE960" s="198" t="s">
        <v>846</v>
      </c>
    </row>
    <row r="961" spans="3:31" x14ac:dyDescent="0.25">
      <c r="C961" s="201"/>
      <c r="E961" s="201"/>
      <c r="F961" s="201"/>
      <c r="I961" s="198" t="s">
        <v>202</v>
      </c>
      <c r="J961" s="198" t="s">
        <v>65</v>
      </c>
      <c r="K961" s="202">
        <f t="shared" si="14"/>
        <v>494699.99999999948</v>
      </c>
      <c r="L961" s="202">
        <v>96.999999999999901</v>
      </c>
      <c r="N961" s="202">
        <v>354290</v>
      </c>
      <c r="S961" s="204"/>
      <c r="W961" s="198" t="s">
        <v>51</v>
      </c>
      <c r="AE961" s="198" t="s">
        <v>831</v>
      </c>
    </row>
    <row r="962" spans="3:31" x14ac:dyDescent="0.25">
      <c r="C962" s="201"/>
      <c r="E962" s="201"/>
      <c r="F962" s="201"/>
      <c r="I962" s="198" t="s">
        <v>129</v>
      </c>
      <c r="J962" s="198" t="s">
        <v>130</v>
      </c>
      <c r="K962" s="202">
        <f t="shared" si="14"/>
        <v>495209.99999999948</v>
      </c>
      <c r="L962" s="202">
        <v>97.099999999999895</v>
      </c>
      <c r="N962" s="202">
        <v>1457120</v>
      </c>
      <c r="S962" s="204"/>
      <c r="W962" s="198" t="s">
        <v>51</v>
      </c>
      <c r="AE962" s="198" t="s">
        <v>833</v>
      </c>
    </row>
    <row r="963" spans="3:31" x14ac:dyDescent="0.25">
      <c r="C963" s="201"/>
      <c r="E963" s="201"/>
      <c r="F963" s="201"/>
      <c r="I963" s="198" t="s">
        <v>362</v>
      </c>
      <c r="J963" s="198" t="s">
        <v>132</v>
      </c>
      <c r="K963" s="202">
        <f t="shared" ref="K963:K1026" si="15">L963*5100</f>
        <v>495719.99999999953</v>
      </c>
      <c r="L963" s="202">
        <v>97.199999999999903</v>
      </c>
      <c r="N963" s="202">
        <v>16535647</v>
      </c>
      <c r="S963" s="204"/>
      <c r="W963" s="198" t="s">
        <v>51</v>
      </c>
      <c r="AE963" s="198" t="s">
        <v>833</v>
      </c>
    </row>
    <row r="964" spans="3:31" x14ac:dyDescent="0.25">
      <c r="C964" s="201"/>
      <c r="E964" s="201"/>
      <c r="F964" s="201"/>
      <c r="I964" s="198" t="s">
        <v>362</v>
      </c>
      <c r="J964" s="198" t="s">
        <v>132</v>
      </c>
      <c r="K964" s="202">
        <f t="shared" si="15"/>
        <v>496229.99999999948</v>
      </c>
      <c r="L964" s="202">
        <v>97.299999999999898</v>
      </c>
      <c r="N964" s="202">
        <v>16535647</v>
      </c>
      <c r="S964" s="204"/>
      <c r="W964" s="198" t="s">
        <v>51</v>
      </c>
      <c r="AE964" s="198" t="s">
        <v>833</v>
      </c>
    </row>
    <row r="965" spans="3:31" x14ac:dyDescent="0.25">
      <c r="C965" s="201"/>
      <c r="E965" s="201"/>
      <c r="F965" s="201"/>
      <c r="I965" s="198" t="s">
        <v>362</v>
      </c>
      <c r="J965" s="198" t="s">
        <v>132</v>
      </c>
      <c r="K965" s="202">
        <f t="shared" si="15"/>
        <v>496739.99999999953</v>
      </c>
      <c r="L965" s="202">
        <v>97.399999999999906</v>
      </c>
      <c r="N965" s="202">
        <v>16535647</v>
      </c>
      <c r="S965" s="204"/>
      <c r="W965" s="198" t="s">
        <v>51</v>
      </c>
      <c r="AE965" s="198" t="s">
        <v>833</v>
      </c>
    </row>
    <row r="966" spans="3:31" x14ac:dyDescent="0.25">
      <c r="C966" s="201"/>
      <c r="E966" s="201"/>
      <c r="F966" s="201"/>
      <c r="I966" s="198" t="s">
        <v>204</v>
      </c>
      <c r="J966" s="198" t="s">
        <v>169</v>
      </c>
      <c r="K966" s="202">
        <f t="shared" si="15"/>
        <v>497249.99999999948</v>
      </c>
      <c r="L966" s="202">
        <v>97.499999999999901</v>
      </c>
      <c r="N966" s="202">
        <v>349040</v>
      </c>
      <c r="S966" s="204"/>
      <c r="W966" s="198" t="s">
        <v>51</v>
      </c>
      <c r="AE966" s="198" t="s">
        <v>831</v>
      </c>
    </row>
    <row r="967" spans="3:31" x14ac:dyDescent="0.25">
      <c r="C967" s="201"/>
      <c r="E967" s="201"/>
      <c r="F967" s="201"/>
      <c r="I967" s="198" t="s">
        <v>204</v>
      </c>
      <c r="J967" s="198" t="s">
        <v>169</v>
      </c>
      <c r="K967" s="202">
        <f t="shared" si="15"/>
        <v>497759.99999999948</v>
      </c>
      <c r="L967" s="202">
        <v>97.599999999999895</v>
      </c>
      <c r="N967" s="202">
        <v>349040</v>
      </c>
      <c r="S967" s="204"/>
      <c r="W967" s="198" t="s">
        <v>51</v>
      </c>
      <c r="AE967" s="198" t="s">
        <v>831</v>
      </c>
    </row>
    <row r="968" spans="3:31" x14ac:dyDescent="0.25">
      <c r="C968" s="201"/>
      <c r="E968" s="201"/>
      <c r="F968" s="201"/>
      <c r="I968" s="198" t="s">
        <v>204</v>
      </c>
      <c r="J968" s="198" t="s">
        <v>169</v>
      </c>
      <c r="K968" s="202">
        <f t="shared" si="15"/>
        <v>498269.99999999953</v>
      </c>
      <c r="L968" s="202">
        <v>97.699999999999903</v>
      </c>
      <c r="N968" s="202">
        <v>349040</v>
      </c>
      <c r="S968" s="204"/>
      <c r="W968" s="198" t="s">
        <v>51</v>
      </c>
      <c r="AE968" s="198" t="s">
        <v>831</v>
      </c>
    </row>
    <row r="969" spans="3:31" x14ac:dyDescent="0.25">
      <c r="C969" s="201"/>
      <c r="E969" s="201"/>
      <c r="F969" s="201"/>
      <c r="I969" s="198" t="s">
        <v>855</v>
      </c>
      <c r="J969" s="198" t="s">
        <v>156</v>
      </c>
      <c r="K969" s="202">
        <f t="shared" si="15"/>
        <v>498779.99999999948</v>
      </c>
      <c r="L969" s="202">
        <v>97.799999999999898</v>
      </c>
      <c r="N969" s="202">
        <v>35219</v>
      </c>
      <c r="S969" s="203"/>
      <c r="W969" s="198" t="s">
        <v>51</v>
      </c>
      <c r="AE969" s="198" t="s">
        <v>54</v>
      </c>
    </row>
    <row r="970" spans="3:31" x14ac:dyDescent="0.25">
      <c r="C970" s="201"/>
      <c r="E970" s="201"/>
      <c r="F970" s="201"/>
      <c r="I970" s="198" t="s">
        <v>583</v>
      </c>
      <c r="J970" s="198" t="s">
        <v>134</v>
      </c>
      <c r="K970" s="202">
        <f t="shared" si="15"/>
        <v>499289.99999999953</v>
      </c>
      <c r="L970" s="202">
        <v>97.899999999999906</v>
      </c>
      <c r="N970" s="202">
        <v>0.5</v>
      </c>
      <c r="S970" s="204"/>
      <c r="W970" s="198" t="s">
        <v>51</v>
      </c>
      <c r="AE970" s="198" t="s">
        <v>846</v>
      </c>
    </row>
    <row r="971" spans="3:31" x14ac:dyDescent="0.25">
      <c r="C971" s="201"/>
      <c r="E971" s="201"/>
      <c r="F971" s="201"/>
      <c r="I971" s="198" t="s">
        <v>583</v>
      </c>
      <c r="J971" s="198" t="s">
        <v>134</v>
      </c>
      <c r="K971" s="202">
        <f t="shared" si="15"/>
        <v>499799.99999999948</v>
      </c>
      <c r="L971" s="202">
        <v>97.999999999999901</v>
      </c>
      <c r="N971" s="202">
        <v>0.5</v>
      </c>
      <c r="S971" s="204"/>
      <c r="W971" s="198" t="s">
        <v>51</v>
      </c>
      <c r="AE971" s="198" t="s">
        <v>846</v>
      </c>
    </row>
    <row r="972" spans="3:31" x14ac:dyDescent="0.25">
      <c r="C972" s="201"/>
      <c r="E972" s="201"/>
      <c r="F972" s="201"/>
      <c r="I972" s="198" t="s">
        <v>583</v>
      </c>
      <c r="J972" s="198" t="s">
        <v>134</v>
      </c>
      <c r="K972" s="202">
        <f t="shared" si="15"/>
        <v>500309.99999999948</v>
      </c>
      <c r="L972" s="202">
        <v>98.099999999999895</v>
      </c>
      <c r="N972" s="202">
        <v>0.5</v>
      </c>
      <c r="S972" s="204"/>
      <c r="W972" s="198" t="s">
        <v>51</v>
      </c>
      <c r="AE972" s="198" t="s">
        <v>846</v>
      </c>
    </row>
    <row r="973" spans="3:31" x14ac:dyDescent="0.25">
      <c r="C973" s="201"/>
      <c r="E973" s="201"/>
      <c r="F973" s="201"/>
      <c r="I973" s="198" t="s">
        <v>843</v>
      </c>
      <c r="J973" s="198" t="s">
        <v>137</v>
      </c>
      <c r="K973" s="202">
        <f t="shared" si="15"/>
        <v>500819.99999999953</v>
      </c>
      <c r="L973" s="202">
        <v>98.199999999999903</v>
      </c>
      <c r="N973" s="202">
        <v>1884625.5</v>
      </c>
      <c r="S973" s="204"/>
      <c r="W973" s="198" t="s">
        <v>51</v>
      </c>
      <c r="AE973" s="198" t="s">
        <v>844</v>
      </c>
    </row>
    <row r="974" spans="3:31" x14ac:dyDescent="0.25">
      <c r="C974" s="201"/>
      <c r="E974" s="201"/>
      <c r="F974" s="201"/>
      <c r="I974" s="198" t="s">
        <v>684</v>
      </c>
      <c r="J974" s="198" t="s">
        <v>148</v>
      </c>
      <c r="K974" s="202">
        <f t="shared" si="15"/>
        <v>501329.99999999948</v>
      </c>
      <c r="L974" s="202">
        <v>98.299999999999898</v>
      </c>
      <c r="N974" s="202">
        <v>3000</v>
      </c>
      <c r="S974" s="204"/>
      <c r="W974" s="198" t="s">
        <v>51</v>
      </c>
      <c r="AE974" s="198" t="s">
        <v>828</v>
      </c>
    </row>
    <row r="975" spans="3:31" x14ac:dyDescent="0.25">
      <c r="C975" s="201"/>
      <c r="E975" s="201"/>
      <c r="F975" s="201"/>
      <c r="I975" s="198" t="s">
        <v>683</v>
      </c>
      <c r="J975" s="198" t="s">
        <v>274</v>
      </c>
      <c r="K975" s="202">
        <f t="shared" si="15"/>
        <v>501839.99999999953</v>
      </c>
      <c r="L975" s="202">
        <v>98.399999999999906</v>
      </c>
      <c r="N975" s="202">
        <v>3000</v>
      </c>
      <c r="S975" s="204"/>
      <c r="W975" s="198" t="s">
        <v>51</v>
      </c>
      <c r="AE975" s="198" t="s">
        <v>1767</v>
      </c>
    </row>
    <row r="976" spans="3:31" x14ac:dyDescent="0.25">
      <c r="C976" s="201"/>
      <c r="E976" s="201"/>
      <c r="F976" s="201"/>
      <c r="I976" s="198" t="s">
        <v>683</v>
      </c>
      <c r="J976" s="198" t="s">
        <v>274</v>
      </c>
      <c r="K976" s="202">
        <f t="shared" si="15"/>
        <v>502349.99999999948</v>
      </c>
      <c r="L976" s="202">
        <v>98.499999999999901</v>
      </c>
      <c r="N976" s="202">
        <v>12735</v>
      </c>
      <c r="S976" s="204"/>
      <c r="W976" s="198" t="s">
        <v>51</v>
      </c>
      <c r="AE976" s="198" t="s">
        <v>1767</v>
      </c>
    </row>
    <row r="977" spans="3:31" x14ac:dyDescent="0.25">
      <c r="C977" s="201"/>
      <c r="E977" s="201"/>
      <c r="F977" s="201"/>
      <c r="I977" s="198" t="s">
        <v>682</v>
      </c>
      <c r="J977" s="198" t="s">
        <v>143</v>
      </c>
      <c r="K977" s="202">
        <f t="shared" si="15"/>
        <v>502859.99999999948</v>
      </c>
      <c r="L977" s="202">
        <v>98.599999999999895</v>
      </c>
      <c r="N977" s="202">
        <v>30000</v>
      </c>
      <c r="S977" s="204"/>
      <c r="W977" s="198" t="s">
        <v>51</v>
      </c>
      <c r="AE977" s="198" t="s">
        <v>829</v>
      </c>
    </row>
    <row r="978" spans="3:31" x14ac:dyDescent="0.25">
      <c r="C978" s="201"/>
      <c r="E978" s="201"/>
      <c r="F978" s="201"/>
      <c r="I978" s="198" t="s">
        <v>682</v>
      </c>
      <c r="J978" s="198" t="s">
        <v>143</v>
      </c>
      <c r="K978" s="202">
        <f t="shared" si="15"/>
        <v>503369.99999999953</v>
      </c>
      <c r="L978" s="202">
        <v>98.699999999999903</v>
      </c>
      <c r="N978" s="202">
        <v>3000</v>
      </c>
      <c r="S978" s="204"/>
      <c r="W978" s="198" t="s">
        <v>51</v>
      </c>
      <c r="AE978" s="198" t="s">
        <v>829</v>
      </c>
    </row>
    <row r="979" spans="3:31" x14ac:dyDescent="0.25">
      <c r="C979" s="201"/>
      <c r="E979" s="201"/>
      <c r="F979" s="201"/>
      <c r="I979" s="198" t="s">
        <v>682</v>
      </c>
      <c r="J979" s="198" t="s">
        <v>143</v>
      </c>
      <c r="K979" s="202">
        <f t="shared" si="15"/>
        <v>503879.99999999948</v>
      </c>
      <c r="L979" s="202">
        <v>98.799999999999898</v>
      </c>
      <c r="N979" s="202">
        <v>12735</v>
      </c>
      <c r="S979" s="204"/>
      <c r="W979" s="198" t="s">
        <v>51</v>
      </c>
      <c r="AE979" s="198" t="s">
        <v>829</v>
      </c>
    </row>
    <row r="980" spans="3:31" x14ac:dyDescent="0.25">
      <c r="C980" s="201"/>
      <c r="E980" s="201"/>
      <c r="F980" s="201"/>
      <c r="I980" s="198" t="s">
        <v>685</v>
      </c>
      <c r="J980" s="198" t="s">
        <v>153</v>
      </c>
      <c r="K980" s="202">
        <f t="shared" si="15"/>
        <v>504389.99999999953</v>
      </c>
      <c r="L980" s="202">
        <v>98.899999999999906</v>
      </c>
      <c r="N980" s="202">
        <v>60000</v>
      </c>
      <c r="S980" s="204"/>
      <c r="W980" s="198" t="s">
        <v>51</v>
      </c>
      <c r="AE980" s="198" t="s">
        <v>1768</v>
      </c>
    </row>
    <row r="981" spans="3:31" x14ac:dyDescent="0.25">
      <c r="C981" s="201"/>
      <c r="E981" s="201"/>
      <c r="F981" s="201"/>
      <c r="I981" s="198" t="s">
        <v>685</v>
      </c>
      <c r="J981" s="198" t="s">
        <v>153</v>
      </c>
      <c r="K981" s="202">
        <f t="shared" si="15"/>
        <v>504899.99999999948</v>
      </c>
      <c r="L981" s="202">
        <v>98.999999999999901</v>
      </c>
      <c r="N981" s="202">
        <v>30000</v>
      </c>
      <c r="S981" s="204"/>
      <c r="W981" s="198" t="s">
        <v>51</v>
      </c>
      <c r="AE981" s="198" t="s">
        <v>1768</v>
      </c>
    </row>
    <row r="982" spans="3:31" x14ac:dyDescent="0.25">
      <c r="C982" s="201"/>
      <c r="E982" s="201"/>
      <c r="F982" s="201"/>
      <c r="I982" s="198" t="s">
        <v>685</v>
      </c>
      <c r="J982" s="198" t="s">
        <v>153</v>
      </c>
      <c r="K982" s="202">
        <f t="shared" si="15"/>
        <v>505409.99999999948</v>
      </c>
      <c r="L982" s="202">
        <v>99.099999999999895</v>
      </c>
      <c r="N982" s="202">
        <v>3000</v>
      </c>
      <c r="S982" s="204"/>
      <c r="W982" s="198" t="s">
        <v>51</v>
      </c>
      <c r="AE982" s="198" t="s">
        <v>1768</v>
      </c>
    </row>
    <row r="983" spans="3:31" x14ac:dyDescent="0.25">
      <c r="C983" s="201"/>
      <c r="E983" s="201"/>
      <c r="F983" s="201"/>
      <c r="I983" s="198" t="s">
        <v>685</v>
      </c>
      <c r="J983" s="198" t="s">
        <v>153</v>
      </c>
      <c r="K983" s="202">
        <f t="shared" si="15"/>
        <v>505919.99999999953</v>
      </c>
      <c r="L983" s="202">
        <v>99.199999999999903</v>
      </c>
      <c r="N983" s="202">
        <v>3000</v>
      </c>
      <c r="S983" s="204"/>
      <c r="W983" s="198" t="s">
        <v>51</v>
      </c>
      <c r="AE983" s="198" t="s">
        <v>1768</v>
      </c>
    </row>
    <row r="984" spans="3:31" x14ac:dyDescent="0.25">
      <c r="C984" s="201"/>
      <c r="E984" s="201"/>
      <c r="F984" s="201"/>
      <c r="I984" s="198" t="s">
        <v>685</v>
      </c>
      <c r="J984" s="198" t="s">
        <v>153</v>
      </c>
      <c r="K984" s="202">
        <f t="shared" si="15"/>
        <v>506429.99999999948</v>
      </c>
      <c r="L984" s="202">
        <v>99.299999999999898</v>
      </c>
      <c r="N984" s="202">
        <v>13170</v>
      </c>
      <c r="S984" s="204"/>
      <c r="W984" s="198" t="s">
        <v>51</v>
      </c>
      <c r="AE984" s="198" t="s">
        <v>1768</v>
      </c>
    </row>
    <row r="985" spans="3:31" x14ac:dyDescent="0.25">
      <c r="C985" s="201"/>
      <c r="E985" s="201"/>
      <c r="F985" s="201"/>
      <c r="I985" s="198" t="s">
        <v>679</v>
      </c>
      <c r="J985" s="198" t="s">
        <v>156</v>
      </c>
      <c r="K985" s="202">
        <f t="shared" si="15"/>
        <v>506939.99999999953</v>
      </c>
      <c r="L985" s="202">
        <v>99.399999999999906</v>
      </c>
      <c r="N985" s="202">
        <v>30000</v>
      </c>
      <c r="S985" s="204"/>
      <c r="W985" s="198" t="s">
        <v>51</v>
      </c>
      <c r="AE985" s="198" t="s">
        <v>828</v>
      </c>
    </row>
    <row r="986" spans="3:31" x14ac:dyDescent="0.25">
      <c r="C986" s="201"/>
      <c r="E986" s="201"/>
      <c r="F986" s="201"/>
      <c r="I986" s="198" t="s">
        <v>679</v>
      </c>
      <c r="J986" s="198" t="s">
        <v>156</v>
      </c>
      <c r="K986" s="202">
        <f t="shared" si="15"/>
        <v>507449.99999999948</v>
      </c>
      <c r="L986" s="202">
        <v>99.499999999999901</v>
      </c>
      <c r="N986" s="202">
        <v>15000</v>
      </c>
      <c r="S986" s="204"/>
      <c r="W986" s="198" t="s">
        <v>51</v>
      </c>
      <c r="AE986" s="198" t="s">
        <v>828</v>
      </c>
    </row>
    <row r="987" spans="3:31" x14ac:dyDescent="0.25">
      <c r="C987" s="201"/>
      <c r="E987" s="201"/>
      <c r="F987" s="201"/>
      <c r="I987" s="198" t="s">
        <v>679</v>
      </c>
      <c r="J987" s="198" t="s">
        <v>156</v>
      </c>
      <c r="K987" s="202">
        <f t="shared" si="15"/>
        <v>507959.99999999948</v>
      </c>
      <c r="L987" s="202">
        <v>99.599999999999895</v>
      </c>
      <c r="N987" s="202">
        <v>3000</v>
      </c>
      <c r="S987" s="204"/>
      <c r="W987" s="198" t="s">
        <v>51</v>
      </c>
      <c r="AE987" s="198" t="s">
        <v>828</v>
      </c>
    </row>
    <row r="988" spans="3:31" x14ac:dyDescent="0.25">
      <c r="C988" s="201"/>
      <c r="E988" s="201"/>
      <c r="F988" s="201"/>
      <c r="I988" s="198" t="s">
        <v>679</v>
      </c>
      <c r="J988" s="198" t="s">
        <v>156</v>
      </c>
      <c r="K988" s="202">
        <f t="shared" si="15"/>
        <v>508469.99999999953</v>
      </c>
      <c r="L988" s="202">
        <v>99.699999999999903</v>
      </c>
      <c r="N988" s="202">
        <v>12301</v>
      </c>
      <c r="S988" s="204"/>
      <c r="W988" s="198" t="s">
        <v>51</v>
      </c>
      <c r="AE988" s="198" t="s">
        <v>828</v>
      </c>
    </row>
    <row r="989" spans="3:31" x14ac:dyDescent="0.25">
      <c r="C989" s="201"/>
      <c r="E989" s="201"/>
      <c r="F989" s="201"/>
      <c r="I989" s="198" t="s">
        <v>202</v>
      </c>
      <c r="J989" s="198" t="s">
        <v>65</v>
      </c>
      <c r="K989" s="202">
        <f t="shared" si="15"/>
        <v>508979.99999999948</v>
      </c>
      <c r="L989" s="202">
        <v>99.799999999999898</v>
      </c>
      <c r="N989" s="202">
        <v>212574</v>
      </c>
      <c r="S989" s="204"/>
      <c r="W989" s="198" t="s">
        <v>51</v>
      </c>
      <c r="AE989" s="198" t="s">
        <v>831</v>
      </c>
    </row>
    <row r="990" spans="3:31" x14ac:dyDescent="0.25">
      <c r="C990" s="201"/>
      <c r="E990" s="201"/>
      <c r="F990" s="201"/>
      <c r="I990" s="198" t="s">
        <v>202</v>
      </c>
      <c r="J990" s="198" t="s">
        <v>65</v>
      </c>
      <c r="K990" s="202">
        <f t="shared" si="15"/>
        <v>509489.99999999953</v>
      </c>
      <c r="L990" s="202">
        <v>99.899999999999906</v>
      </c>
      <c r="N990" s="202">
        <v>212574</v>
      </c>
      <c r="S990" s="204"/>
      <c r="W990" s="198" t="s">
        <v>51</v>
      </c>
      <c r="AE990" s="198" t="s">
        <v>831</v>
      </c>
    </row>
    <row r="991" spans="3:31" x14ac:dyDescent="0.25">
      <c r="C991" s="201"/>
      <c r="E991" s="201"/>
      <c r="F991" s="201"/>
      <c r="I991" s="198" t="s">
        <v>202</v>
      </c>
      <c r="J991" s="198" t="s">
        <v>65</v>
      </c>
      <c r="K991" s="202">
        <f t="shared" si="15"/>
        <v>509999.99999999948</v>
      </c>
      <c r="L991" s="202">
        <v>99.999999999999901</v>
      </c>
      <c r="N991" s="202">
        <v>354290</v>
      </c>
      <c r="S991" s="204"/>
      <c r="W991" s="198" t="s">
        <v>51</v>
      </c>
      <c r="AE991" s="198" t="s">
        <v>831</v>
      </c>
    </row>
    <row r="992" spans="3:31" x14ac:dyDescent="0.25">
      <c r="C992" s="201"/>
      <c r="E992" s="201"/>
      <c r="F992" s="201"/>
      <c r="I992" s="198" t="s">
        <v>202</v>
      </c>
      <c r="J992" s="198" t="s">
        <v>65</v>
      </c>
      <c r="K992" s="202">
        <f t="shared" si="15"/>
        <v>510510</v>
      </c>
      <c r="L992" s="202">
        <v>100.1</v>
      </c>
      <c r="N992" s="202">
        <v>354290</v>
      </c>
      <c r="S992" s="204"/>
      <c r="W992" s="198" t="s">
        <v>51</v>
      </c>
      <c r="AE992" s="198" t="s">
        <v>831</v>
      </c>
    </row>
    <row r="993" spans="3:31" x14ac:dyDescent="0.25">
      <c r="C993" s="201"/>
      <c r="E993" s="201"/>
      <c r="F993" s="201"/>
      <c r="I993" s="198" t="s">
        <v>202</v>
      </c>
      <c r="J993" s="198" t="s">
        <v>65</v>
      </c>
      <c r="K993" s="202">
        <f t="shared" si="15"/>
        <v>511020</v>
      </c>
      <c r="L993" s="202">
        <v>100.2</v>
      </c>
      <c r="N993" s="202">
        <v>354290</v>
      </c>
      <c r="S993" s="204"/>
      <c r="W993" s="198" t="s">
        <v>51</v>
      </c>
      <c r="AE993" s="198" t="s">
        <v>831</v>
      </c>
    </row>
    <row r="994" spans="3:31" x14ac:dyDescent="0.25">
      <c r="C994" s="201"/>
      <c r="E994" s="201"/>
      <c r="F994" s="201"/>
      <c r="I994" s="198" t="s">
        <v>202</v>
      </c>
      <c r="J994" s="198" t="s">
        <v>65</v>
      </c>
      <c r="K994" s="202">
        <f t="shared" si="15"/>
        <v>511530</v>
      </c>
      <c r="L994" s="202">
        <v>100.3</v>
      </c>
      <c r="N994" s="202">
        <v>354290</v>
      </c>
      <c r="S994" s="204"/>
      <c r="W994" s="198" t="s">
        <v>51</v>
      </c>
      <c r="AE994" s="198" t="s">
        <v>831</v>
      </c>
    </row>
    <row r="995" spans="3:31" x14ac:dyDescent="0.25">
      <c r="C995" s="201"/>
      <c r="E995" s="201"/>
      <c r="F995" s="201"/>
      <c r="I995" s="198" t="s">
        <v>202</v>
      </c>
      <c r="J995" s="198" t="s">
        <v>65</v>
      </c>
      <c r="K995" s="202">
        <f t="shared" si="15"/>
        <v>512040</v>
      </c>
      <c r="L995" s="202">
        <v>100.4</v>
      </c>
      <c r="N995" s="202">
        <v>354290</v>
      </c>
      <c r="S995" s="204"/>
      <c r="W995" s="198" t="s">
        <v>51</v>
      </c>
      <c r="AE995" s="198" t="s">
        <v>831</v>
      </c>
    </row>
    <row r="996" spans="3:31" x14ac:dyDescent="0.25">
      <c r="C996" s="201"/>
      <c r="E996" s="201"/>
      <c r="F996" s="201"/>
      <c r="I996" s="198" t="s">
        <v>202</v>
      </c>
      <c r="J996" s="198" t="s">
        <v>65</v>
      </c>
      <c r="K996" s="202">
        <f t="shared" si="15"/>
        <v>512550</v>
      </c>
      <c r="L996" s="202">
        <v>100.5</v>
      </c>
      <c r="N996" s="202">
        <v>354290</v>
      </c>
      <c r="S996" s="204"/>
      <c r="W996" s="198" t="s">
        <v>51</v>
      </c>
      <c r="AE996" s="198" t="s">
        <v>831</v>
      </c>
    </row>
    <row r="997" spans="3:31" x14ac:dyDescent="0.25">
      <c r="C997" s="201"/>
      <c r="E997" s="201"/>
      <c r="F997" s="201"/>
      <c r="I997" s="198" t="s">
        <v>202</v>
      </c>
      <c r="J997" s="198" t="s">
        <v>65</v>
      </c>
      <c r="K997" s="202">
        <f t="shared" si="15"/>
        <v>513060</v>
      </c>
      <c r="L997" s="202">
        <v>100.6</v>
      </c>
      <c r="N997" s="202">
        <v>354290</v>
      </c>
      <c r="S997" s="204"/>
      <c r="W997" s="198" t="s">
        <v>51</v>
      </c>
      <c r="AE997" s="198" t="s">
        <v>831</v>
      </c>
    </row>
    <row r="998" spans="3:31" x14ac:dyDescent="0.25">
      <c r="C998" s="201"/>
      <c r="E998" s="201"/>
      <c r="F998" s="201"/>
      <c r="I998" s="198" t="s">
        <v>430</v>
      </c>
      <c r="J998" s="198" t="s">
        <v>130</v>
      </c>
      <c r="K998" s="202">
        <f t="shared" si="15"/>
        <v>513570</v>
      </c>
      <c r="L998" s="202">
        <v>100.7</v>
      </c>
      <c r="N998" s="202">
        <v>16721000</v>
      </c>
      <c r="S998" s="204"/>
      <c r="W998" s="198" t="s">
        <v>51</v>
      </c>
      <c r="AE998" s="198" t="s">
        <v>833</v>
      </c>
    </row>
    <row r="999" spans="3:31" x14ac:dyDescent="0.25">
      <c r="C999" s="201"/>
      <c r="E999" s="201"/>
      <c r="F999" s="201"/>
      <c r="I999" s="198" t="s">
        <v>430</v>
      </c>
      <c r="J999" s="198" t="s">
        <v>130</v>
      </c>
      <c r="K999" s="202">
        <f t="shared" si="15"/>
        <v>514080</v>
      </c>
      <c r="L999" s="202">
        <v>100.8</v>
      </c>
      <c r="N999" s="202">
        <v>16721000</v>
      </c>
      <c r="S999" s="204"/>
      <c r="W999" s="198" t="s">
        <v>51</v>
      </c>
      <c r="AE999" s="198" t="s">
        <v>833</v>
      </c>
    </row>
    <row r="1000" spans="3:31" x14ac:dyDescent="0.25">
      <c r="C1000" s="201"/>
      <c r="E1000" s="201"/>
      <c r="F1000" s="201"/>
      <c r="I1000" s="198" t="s">
        <v>430</v>
      </c>
      <c r="J1000" s="198" t="s">
        <v>130</v>
      </c>
      <c r="K1000" s="202">
        <f t="shared" si="15"/>
        <v>514590</v>
      </c>
      <c r="L1000" s="202">
        <v>100.9</v>
      </c>
      <c r="N1000" s="202">
        <v>16721000</v>
      </c>
      <c r="S1000" s="204"/>
      <c r="W1000" s="198" t="s">
        <v>51</v>
      </c>
      <c r="AE1000" s="198" t="s">
        <v>833</v>
      </c>
    </row>
    <row r="1001" spans="3:31" x14ac:dyDescent="0.25">
      <c r="C1001" s="201"/>
      <c r="E1001" s="201"/>
      <c r="F1001" s="201"/>
      <c r="I1001" s="198" t="s">
        <v>430</v>
      </c>
      <c r="J1001" s="198" t="s">
        <v>130</v>
      </c>
      <c r="K1001" s="202">
        <f t="shared" si="15"/>
        <v>515100</v>
      </c>
      <c r="L1001" s="202">
        <v>101</v>
      </c>
      <c r="N1001" s="202">
        <v>16721000</v>
      </c>
      <c r="S1001" s="204"/>
      <c r="W1001" s="198" t="s">
        <v>51</v>
      </c>
      <c r="AE1001" s="198" t="s">
        <v>833</v>
      </c>
    </row>
    <row r="1002" spans="3:31" x14ac:dyDescent="0.25">
      <c r="C1002" s="201"/>
      <c r="E1002" s="201"/>
      <c r="F1002" s="201"/>
      <c r="I1002" s="198" t="s">
        <v>430</v>
      </c>
      <c r="J1002" s="198" t="s">
        <v>130</v>
      </c>
      <c r="K1002" s="202">
        <f t="shared" si="15"/>
        <v>515610</v>
      </c>
      <c r="L1002" s="202">
        <v>101.1</v>
      </c>
      <c r="N1002" s="202">
        <v>16721000</v>
      </c>
      <c r="S1002" s="204"/>
      <c r="W1002" s="198" t="s">
        <v>51</v>
      </c>
      <c r="AE1002" s="198" t="s">
        <v>833</v>
      </c>
    </row>
    <row r="1003" spans="3:31" x14ac:dyDescent="0.25">
      <c r="C1003" s="201"/>
      <c r="E1003" s="201"/>
      <c r="F1003" s="201"/>
      <c r="I1003" s="198" t="s">
        <v>430</v>
      </c>
      <c r="J1003" s="198" t="s">
        <v>130</v>
      </c>
      <c r="K1003" s="202">
        <f t="shared" si="15"/>
        <v>516120</v>
      </c>
      <c r="L1003" s="202">
        <v>101.2</v>
      </c>
      <c r="N1003" s="202">
        <v>16721000</v>
      </c>
      <c r="S1003" s="204"/>
      <c r="W1003" s="198" t="s">
        <v>51</v>
      </c>
      <c r="AE1003" s="198" t="s">
        <v>833</v>
      </c>
    </row>
    <row r="1004" spans="3:31" x14ac:dyDescent="0.25">
      <c r="C1004" s="201"/>
      <c r="E1004" s="201"/>
      <c r="F1004" s="201"/>
      <c r="I1004" s="198" t="s">
        <v>430</v>
      </c>
      <c r="J1004" s="198" t="s">
        <v>130</v>
      </c>
      <c r="K1004" s="202">
        <f t="shared" si="15"/>
        <v>516630</v>
      </c>
      <c r="L1004" s="202">
        <v>101.3</v>
      </c>
      <c r="N1004" s="202">
        <v>16721000</v>
      </c>
      <c r="S1004" s="204"/>
      <c r="W1004" s="198" t="s">
        <v>51</v>
      </c>
      <c r="AE1004" s="198" t="s">
        <v>833</v>
      </c>
    </row>
    <row r="1005" spans="3:31" x14ac:dyDescent="0.25">
      <c r="C1005" s="201"/>
      <c r="E1005" s="201"/>
      <c r="F1005" s="201"/>
      <c r="I1005" s="198" t="s">
        <v>430</v>
      </c>
      <c r="J1005" s="198" t="s">
        <v>130</v>
      </c>
      <c r="K1005" s="202">
        <f t="shared" si="15"/>
        <v>517140</v>
      </c>
      <c r="L1005" s="202">
        <v>101.4</v>
      </c>
      <c r="N1005" s="202">
        <v>16721000</v>
      </c>
      <c r="S1005" s="204"/>
      <c r="W1005" s="198" t="s">
        <v>51</v>
      </c>
      <c r="AE1005" s="198" t="s">
        <v>833</v>
      </c>
    </row>
    <row r="1006" spans="3:31" x14ac:dyDescent="0.25">
      <c r="C1006" s="201"/>
      <c r="E1006" s="201"/>
      <c r="F1006" s="201"/>
      <c r="I1006" s="198" t="s">
        <v>430</v>
      </c>
      <c r="J1006" s="198" t="s">
        <v>130</v>
      </c>
      <c r="K1006" s="202">
        <f t="shared" si="15"/>
        <v>517650</v>
      </c>
      <c r="L1006" s="202">
        <v>101.5</v>
      </c>
      <c r="N1006" s="202">
        <v>16721000</v>
      </c>
      <c r="S1006" s="204"/>
      <c r="W1006" s="198" t="s">
        <v>51</v>
      </c>
      <c r="AE1006" s="198" t="s">
        <v>833</v>
      </c>
    </row>
    <row r="1007" spans="3:31" x14ac:dyDescent="0.25">
      <c r="C1007" s="201"/>
      <c r="E1007" s="201"/>
      <c r="F1007" s="201"/>
      <c r="I1007" s="198" t="s">
        <v>131</v>
      </c>
      <c r="J1007" s="198" t="s">
        <v>132</v>
      </c>
      <c r="K1007" s="202">
        <f t="shared" si="15"/>
        <v>518160</v>
      </c>
      <c r="L1007" s="202">
        <v>101.6</v>
      </c>
      <c r="N1007" s="202">
        <v>4371354</v>
      </c>
      <c r="S1007" s="204"/>
      <c r="W1007" s="198" t="s">
        <v>51</v>
      </c>
      <c r="AE1007" s="198" t="s">
        <v>833</v>
      </c>
    </row>
    <row r="1008" spans="3:31" x14ac:dyDescent="0.25">
      <c r="C1008" s="201"/>
      <c r="E1008" s="201"/>
      <c r="F1008" s="201"/>
      <c r="I1008" s="198" t="s">
        <v>362</v>
      </c>
      <c r="J1008" s="198" t="s">
        <v>132</v>
      </c>
      <c r="K1008" s="202">
        <f t="shared" si="15"/>
        <v>518670</v>
      </c>
      <c r="L1008" s="202">
        <v>101.7</v>
      </c>
      <c r="N1008" s="202">
        <v>16535647</v>
      </c>
      <c r="S1008" s="204"/>
      <c r="W1008" s="198" t="s">
        <v>51</v>
      </c>
      <c r="AE1008" s="198" t="s">
        <v>833</v>
      </c>
    </row>
    <row r="1009" spans="3:31" x14ac:dyDescent="0.25">
      <c r="C1009" s="201"/>
      <c r="E1009" s="201"/>
      <c r="F1009" s="201"/>
      <c r="I1009" s="198" t="s">
        <v>553</v>
      </c>
      <c r="J1009" s="198" t="s">
        <v>134</v>
      </c>
      <c r="K1009" s="202">
        <f t="shared" si="15"/>
        <v>519180</v>
      </c>
      <c r="L1009" s="202">
        <v>101.8</v>
      </c>
      <c r="N1009" s="202">
        <v>7100658.2999999998</v>
      </c>
      <c r="S1009" s="204"/>
      <c r="W1009" s="198" t="s">
        <v>51</v>
      </c>
      <c r="AE1009" s="198" t="s">
        <v>846</v>
      </c>
    </row>
    <row r="1010" spans="3:31" x14ac:dyDescent="0.25">
      <c r="C1010" s="201"/>
      <c r="E1010" s="201"/>
      <c r="F1010" s="201"/>
      <c r="I1010" s="198" t="s">
        <v>202</v>
      </c>
      <c r="J1010" s="198" t="s">
        <v>65</v>
      </c>
      <c r="K1010" s="202">
        <f t="shared" si="15"/>
        <v>519690</v>
      </c>
      <c r="L1010" s="202">
        <v>101.9</v>
      </c>
      <c r="N1010" s="202">
        <v>354290</v>
      </c>
      <c r="S1010" s="204"/>
      <c r="W1010" s="198" t="s">
        <v>51</v>
      </c>
      <c r="AE1010" s="198" t="s">
        <v>831</v>
      </c>
    </row>
    <row r="1011" spans="3:31" x14ac:dyDescent="0.25">
      <c r="C1011" s="201"/>
      <c r="E1011" s="201"/>
      <c r="F1011" s="201"/>
      <c r="I1011" s="198" t="s">
        <v>202</v>
      </c>
      <c r="J1011" s="198" t="s">
        <v>65</v>
      </c>
      <c r="K1011" s="202">
        <f t="shared" si="15"/>
        <v>520200</v>
      </c>
      <c r="L1011" s="202">
        <v>102</v>
      </c>
      <c r="N1011" s="202">
        <v>354290</v>
      </c>
      <c r="S1011" s="204"/>
      <c r="W1011" s="198" t="s">
        <v>51</v>
      </c>
      <c r="AE1011" s="198" t="s">
        <v>831</v>
      </c>
    </row>
    <row r="1012" spans="3:31" x14ac:dyDescent="0.25">
      <c r="C1012" s="201"/>
      <c r="E1012" s="201"/>
      <c r="F1012" s="201"/>
      <c r="I1012" s="198" t="s">
        <v>202</v>
      </c>
      <c r="J1012" s="198" t="s">
        <v>65</v>
      </c>
      <c r="K1012" s="202">
        <f t="shared" si="15"/>
        <v>520710</v>
      </c>
      <c r="L1012" s="202">
        <v>102.1</v>
      </c>
      <c r="N1012" s="202">
        <v>354290</v>
      </c>
      <c r="S1012" s="204"/>
      <c r="W1012" s="198" t="s">
        <v>51</v>
      </c>
      <c r="AE1012" s="198" t="s">
        <v>831</v>
      </c>
    </row>
    <row r="1013" spans="3:31" x14ac:dyDescent="0.25">
      <c r="C1013" s="201"/>
      <c r="E1013" s="201"/>
      <c r="F1013" s="201"/>
      <c r="I1013" s="198" t="s">
        <v>202</v>
      </c>
      <c r="J1013" s="198" t="s">
        <v>65</v>
      </c>
      <c r="K1013" s="202">
        <f t="shared" si="15"/>
        <v>521220</v>
      </c>
      <c r="L1013" s="202">
        <v>102.2</v>
      </c>
      <c r="N1013" s="202">
        <v>354290</v>
      </c>
      <c r="S1013" s="204"/>
      <c r="W1013" s="198" t="s">
        <v>51</v>
      </c>
      <c r="AE1013" s="198" t="s">
        <v>831</v>
      </c>
    </row>
    <row r="1014" spans="3:31" x14ac:dyDescent="0.25">
      <c r="C1014" s="201"/>
      <c r="E1014" s="201"/>
      <c r="F1014" s="201"/>
      <c r="I1014" s="198" t="s">
        <v>202</v>
      </c>
      <c r="J1014" s="198" t="s">
        <v>65</v>
      </c>
      <c r="K1014" s="202">
        <f t="shared" si="15"/>
        <v>521730</v>
      </c>
      <c r="L1014" s="202">
        <v>102.3</v>
      </c>
      <c r="N1014" s="202">
        <v>354290</v>
      </c>
      <c r="S1014" s="204"/>
      <c r="W1014" s="198" t="s">
        <v>51</v>
      </c>
      <c r="AE1014" s="198" t="s">
        <v>831</v>
      </c>
    </row>
    <row r="1015" spans="3:31" x14ac:dyDescent="0.25">
      <c r="C1015" s="201"/>
      <c r="E1015" s="201"/>
      <c r="F1015" s="201"/>
      <c r="I1015" s="198" t="s">
        <v>202</v>
      </c>
      <c r="J1015" s="198" t="s">
        <v>65</v>
      </c>
      <c r="K1015" s="202">
        <f t="shared" si="15"/>
        <v>522240</v>
      </c>
      <c r="L1015" s="202">
        <v>102.4</v>
      </c>
      <c r="N1015" s="202">
        <v>354290</v>
      </c>
      <c r="S1015" s="204"/>
      <c r="W1015" s="198" t="s">
        <v>51</v>
      </c>
      <c r="AE1015" s="198" t="s">
        <v>831</v>
      </c>
    </row>
    <row r="1016" spans="3:31" x14ac:dyDescent="0.25">
      <c r="C1016" s="201"/>
      <c r="E1016" s="201"/>
      <c r="F1016" s="201"/>
      <c r="I1016" s="198" t="s">
        <v>135</v>
      </c>
      <c r="J1016" s="198" t="s">
        <v>117</v>
      </c>
      <c r="K1016" s="202">
        <f t="shared" si="15"/>
        <v>522750</v>
      </c>
      <c r="L1016" s="202">
        <v>102.5</v>
      </c>
      <c r="N1016" s="202">
        <v>603405</v>
      </c>
      <c r="S1016" s="204"/>
      <c r="W1016" s="198" t="s">
        <v>51</v>
      </c>
      <c r="AE1016" s="198" t="s">
        <v>878</v>
      </c>
    </row>
    <row r="1017" spans="3:31" x14ac:dyDescent="0.25">
      <c r="C1017" s="201"/>
      <c r="E1017" s="201"/>
      <c r="F1017" s="201"/>
      <c r="I1017" s="198" t="s">
        <v>135</v>
      </c>
      <c r="J1017" s="198" t="s">
        <v>117</v>
      </c>
      <c r="K1017" s="202">
        <f t="shared" si="15"/>
        <v>523260</v>
      </c>
      <c r="L1017" s="202">
        <v>102.6</v>
      </c>
      <c r="N1017" s="202">
        <v>1008775</v>
      </c>
      <c r="S1017" s="204"/>
      <c r="W1017" s="198" t="s">
        <v>51</v>
      </c>
      <c r="AE1017" s="198" t="s">
        <v>878</v>
      </c>
    </row>
    <row r="1018" spans="3:31" x14ac:dyDescent="0.25">
      <c r="C1018" s="201"/>
      <c r="E1018" s="201"/>
      <c r="F1018" s="201"/>
      <c r="I1018" s="198" t="s">
        <v>131</v>
      </c>
      <c r="J1018" s="198" t="s">
        <v>132</v>
      </c>
      <c r="K1018" s="202">
        <f t="shared" si="15"/>
        <v>523770</v>
      </c>
      <c r="L1018" s="202">
        <v>102.7</v>
      </c>
      <c r="N1018" s="202">
        <v>603405</v>
      </c>
      <c r="S1018" s="204"/>
      <c r="W1018" s="198" t="s">
        <v>51</v>
      </c>
      <c r="AE1018" s="198" t="s">
        <v>833</v>
      </c>
    </row>
    <row r="1019" spans="3:31" x14ac:dyDescent="0.25">
      <c r="C1019" s="201"/>
      <c r="E1019" s="201"/>
      <c r="F1019" s="201"/>
      <c r="I1019" s="198" t="s">
        <v>131</v>
      </c>
      <c r="J1019" s="198" t="s">
        <v>132</v>
      </c>
      <c r="K1019" s="202">
        <f t="shared" si="15"/>
        <v>524280</v>
      </c>
      <c r="L1019" s="202">
        <v>102.8</v>
      </c>
      <c r="N1019" s="202">
        <v>1634215.5</v>
      </c>
      <c r="S1019" s="204"/>
      <c r="W1019" s="198" t="s">
        <v>51</v>
      </c>
      <c r="AE1019" s="198" t="s">
        <v>833</v>
      </c>
    </row>
    <row r="1020" spans="3:31" x14ac:dyDescent="0.25">
      <c r="C1020" s="201"/>
      <c r="E1020" s="201"/>
      <c r="F1020" s="201"/>
      <c r="I1020" s="198" t="s">
        <v>131</v>
      </c>
      <c r="J1020" s="198" t="s">
        <v>132</v>
      </c>
      <c r="K1020" s="202">
        <f t="shared" si="15"/>
        <v>524790</v>
      </c>
      <c r="L1020" s="202">
        <v>102.9</v>
      </c>
      <c r="N1020" s="202">
        <v>3408930</v>
      </c>
      <c r="S1020" s="204"/>
      <c r="W1020" s="198" t="s">
        <v>51</v>
      </c>
      <c r="AE1020" s="198" t="s">
        <v>833</v>
      </c>
    </row>
    <row r="1021" spans="3:31" x14ac:dyDescent="0.25">
      <c r="C1021" s="201"/>
      <c r="E1021" s="201"/>
      <c r="F1021" s="201"/>
      <c r="I1021" s="198" t="s">
        <v>135</v>
      </c>
      <c r="J1021" s="198" t="s">
        <v>117</v>
      </c>
      <c r="K1021" s="202">
        <f t="shared" si="15"/>
        <v>525300</v>
      </c>
      <c r="L1021" s="202">
        <v>103</v>
      </c>
      <c r="N1021" s="202">
        <v>2921940</v>
      </c>
      <c r="S1021" s="204"/>
      <c r="W1021" s="198" t="s">
        <v>51</v>
      </c>
      <c r="AE1021" s="198" t="s">
        <v>878</v>
      </c>
    </row>
    <row r="1022" spans="3:31" x14ac:dyDescent="0.25">
      <c r="C1022" s="201"/>
      <c r="E1022" s="201"/>
      <c r="F1022" s="201"/>
      <c r="I1022" s="198" t="s">
        <v>122</v>
      </c>
      <c r="J1022" s="198" t="s">
        <v>126</v>
      </c>
      <c r="K1022" s="202">
        <f t="shared" si="15"/>
        <v>525810</v>
      </c>
      <c r="L1022" s="202">
        <v>103.1</v>
      </c>
      <c r="N1022" s="202">
        <v>2921940</v>
      </c>
      <c r="S1022" s="204"/>
      <c r="W1022" s="198" t="s">
        <v>51</v>
      </c>
      <c r="AE1022" s="198" t="s">
        <v>835</v>
      </c>
    </row>
    <row r="1023" spans="3:31" x14ac:dyDescent="0.25">
      <c r="C1023" s="201"/>
      <c r="E1023" s="201"/>
      <c r="F1023" s="201"/>
      <c r="I1023" s="198" t="s">
        <v>122</v>
      </c>
      <c r="J1023" s="198" t="s">
        <v>126</v>
      </c>
      <c r="K1023" s="202">
        <f t="shared" si="15"/>
        <v>526320</v>
      </c>
      <c r="L1023" s="202">
        <v>103.2</v>
      </c>
      <c r="N1023" s="202">
        <v>5985777.5999999996</v>
      </c>
      <c r="S1023" s="204"/>
      <c r="W1023" s="198" t="s">
        <v>51</v>
      </c>
      <c r="AE1023" s="198" t="s">
        <v>835</v>
      </c>
    </row>
    <row r="1024" spans="3:31" x14ac:dyDescent="0.25">
      <c r="C1024" s="201"/>
      <c r="E1024" s="201"/>
      <c r="F1024" s="201"/>
      <c r="I1024" s="198" t="s">
        <v>122</v>
      </c>
      <c r="J1024" s="198" t="s">
        <v>126</v>
      </c>
      <c r="K1024" s="202">
        <f t="shared" si="15"/>
        <v>526830</v>
      </c>
      <c r="L1024" s="202">
        <v>103.3</v>
      </c>
      <c r="N1024" s="202">
        <v>896070</v>
      </c>
      <c r="S1024" s="204"/>
      <c r="W1024" s="198" t="s">
        <v>51</v>
      </c>
      <c r="AE1024" s="198" t="s">
        <v>835</v>
      </c>
    </row>
    <row r="1025" spans="3:31" x14ac:dyDescent="0.25">
      <c r="C1025" s="201"/>
      <c r="E1025" s="201"/>
      <c r="F1025" s="201"/>
      <c r="I1025" s="198" t="s">
        <v>430</v>
      </c>
      <c r="J1025" s="198" t="s">
        <v>130</v>
      </c>
      <c r="K1025" s="202">
        <f t="shared" si="15"/>
        <v>527340</v>
      </c>
      <c r="L1025" s="202">
        <v>103.4</v>
      </c>
      <c r="N1025" s="202">
        <v>16721000</v>
      </c>
      <c r="S1025" s="204"/>
      <c r="W1025" s="198" t="s">
        <v>51</v>
      </c>
      <c r="AE1025" s="198" t="s">
        <v>833</v>
      </c>
    </row>
    <row r="1026" spans="3:31" x14ac:dyDescent="0.25">
      <c r="C1026" s="201"/>
      <c r="E1026" s="201"/>
      <c r="F1026" s="201"/>
      <c r="I1026" s="198" t="s">
        <v>430</v>
      </c>
      <c r="J1026" s="198" t="s">
        <v>130</v>
      </c>
      <c r="K1026" s="202">
        <f t="shared" si="15"/>
        <v>527850</v>
      </c>
      <c r="L1026" s="202">
        <v>103.5</v>
      </c>
      <c r="N1026" s="202">
        <v>16721000</v>
      </c>
      <c r="S1026" s="204"/>
      <c r="W1026" s="198" t="s">
        <v>51</v>
      </c>
      <c r="AE1026" s="198" t="s">
        <v>833</v>
      </c>
    </row>
    <row r="1027" spans="3:31" x14ac:dyDescent="0.25">
      <c r="C1027" s="201"/>
      <c r="E1027" s="201"/>
      <c r="F1027" s="201"/>
      <c r="I1027" s="198" t="s">
        <v>430</v>
      </c>
      <c r="J1027" s="198" t="s">
        <v>130</v>
      </c>
      <c r="K1027" s="202">
        <f t="shared" ref="K1027:K1090" si="16">L1027*5100</f>
        <v>528360</v>
      </c>
      <c r="L1027" s="202">
        <v>103.6</v>
      </c>
      <c r="N1027" s="202">
        <v>16721000</v>
      </c>
      <c r="S1027" s="204"/>
      <c r="W1027" s="198" t="s">
        <v>51</v>
      </c>
      <c r="AE1027" s="198" t="s">
        <v>833</v>
      </c>
    </row>
    <row r="1028" spans="3:31" x14ac:dyDescent="0.25">
      <c r="C1028" s="201"/>
      <c r="E1028" s="201"/>
      <c r="F1028" s="201"/>
      <c r="I1028" s="198" t="s">
        <v>179</v>
      </c>
      <c r="J1028" s="198" t="s">
        <v>169</v>
      </c>
      <c r="K1028" s="202">
        <f t="shared" si="16"/>
        <v>528870</v>
      </c>
      <c r="L1028" s="202">
        <v>103.7</v>
      </c>
      <c r="N1028" s="202">
        <v>-246.05</v>
      </c>
      <c r="S1028" s="204"/>
      <c r="W1028" s="198" t="s">
        <v>51</v>
      </c>
      <c r="AE1028" s="198" t="s">
        <v>831</v>
      </c>
    </row>
    <row r="1029" spans="3:31" x14ac:dyDescent="0.25">
      <c r="C1029" s="201"/>
      <c r="E1029" s="201"/>
      <c r="F1029" s="201"/>
      <c r="I1029" s="198" t="s">
        <v>77</v>
      </c>
      <c r="J1029" s="198" t="s">
        <v>65</v>
      </c>
      <c r="K1029" s="202">
        <f t="shared" si="16"/>
        <v>529380</v>
      </c>
      <c r="L1029" s="202">
        <v>103.8</v>
      </c>
      <c r="N1029" s="202">
        <v>37</v>
      </c>
      <c r="S1029" s="204"/>
      <c r="W1029" s="198" t="s">
        <v>51</v>
      </c>
      <c r="AE1029" s="198" t="s">
        <v>831</v>
      </c>
    </row>
    <row r="1030" spans="3:31" x14ac:dyDescent="0.25">
      <c r="C1030" s="201"/>
      <c r="E1030" s="201"/>
      <c r="F1030" s="201"/>
      <c r="I1030" s="198" t="s">
        <v>122</v>
      </c>
      <c r="J1030" s="198" t="s">
        <v>126</v>
      </c>
      <c r="K1030" s="202">
        <f t="shared" si="16"/>
        <v>529890</v>
      </c>
      <c r="L1030" s="202">
        <v>103.9</v>
      </c>
      <c r="N1030" s="202">
        <v>-0.17</v>
      </c>
      <c r="S1030" s="204"/>
      <c r="W1030" s="198" t="s">
        <v>51</v>
      </c>
      <c r="AE1030" s="198" t="s">
        <v>835</v>
      </c>
    </row>
    <row r="1031" spans="3:31" x14ac:dyDescent="0.25">
      <c r="C1031" s="201"/>
      <c r="E1031" s="201"/>
      <c r="F1031" s="201"/>
      <c r="I1031" s="198" t="s">
        <v>131</v>
      </c>
      <c r="J1031" s="198" t="s">
        <v>132</v>
      </c>
      <c r="K1031" s="202">
        <f t="shared" si="16"/>
        <v>530400</v>
      </c>
      <c r="L1031" s="202">
        <v>104</v>
      </c>
      <c r="N1031" s="202">
        <v>-0.19</v>
      </c>
      <c r="S1031" s="204"/>
      <c r="W1031" s="198" t="s">
        <v>51</v>
      </c>
      <c r="AE1031" s="198" t="s">
        <v>833</v>
      </c>
    </row>
    <row r="1032" spans="3:31" x14ac:dyDescent="0.25">
      <c r="C1032" s="201"/>
      <c r="E1032" s="201"/>
      <c r="F1032" s="201"/>
      <c r="I1032" s="198" t="s">
        <v>555</v>
      </c>
      <c r="J1032" s="198" t="s">
        <v>132</v>
      </c>
      <c r="K1032" s="202">
        <f t="shared" si="16"/>
        <v>530910</v>
      </c>
      <c r="L1032" s="202">
        <v>104.1</v>
      </c>
      <c r="N1032" s="202">
        <v>3344261.25</v>
      </c>
      <c r="S1032" s="204"/>
      <c r="W1032" s="198" t="s">
        <v>51</v>
      </c>
      <c r="AE1032" s="198" t="s">
        <v>833</v>
      </c>
    </row>
    <row r="1033" spans="3:31" x14ac:dyDescent="0.25">
      <c r="C1033" s="201"/>
      <c r="E1033" s="201"/>
      <c r="F1033" s="201"/>
      <c r="I1033" s="198" t="s">
        <v>202</v>
      </c>
      <c r="J1033" s="198" t="s">
        <v>65</v>
      </c>
      <c r="K1033" s="202">
        <f t="shared" si="16"/>
        <v>531420</v>
      </c>
      <c r="L1033" s="202">
        <v>104.2</v>
      </c>
      <c r="N1033" s="202">
        <v>354290</v>
      </c>
      <c r="S1033" s="204"/>
      <c r="W1033" s="198" t="s">
        <v>51</v>
      </c>
      <c r="AE1033" s="198" t="s">
        <v>831</v>
      </c>
    </row>
    <row r="1034" spans="3:31" x14ac:dyDescent="0.25">
      <c r="C1034" s="201"/>
      <c r="E1034" s="201"/>
      <c r="F1034" s="201"/>
      <c r="I1034" s="198" t="s">
        <v>202</v>
      </c>
      <c r="J1034" s="198" t="s">
        <v>65</v>
      </c>
      <c r="K1034" s="202">
        <f t="shared" si="16"/>
        <v>531930</v>
      </c>
      <c r="L1034" s="202">
        <v>104.3</v>
      </c>
      <c r="N1034" s="202">
        <v>354290</v>
      </c>
      <c r="S1034" s="204"/>
      <c r="W1034" s="198" t="s">
        <v>51</v>
      </c>
      <c r="AE1034" s="198" t="s">
        <v>831</v>
      </c>
    </row>
    <row r="1035" spans="3:31" x14ac:dyDescent="0.25">
      <c r="C1035" s="201"/>
      <c r="E1035" s="201"/>
      <c r="F1035" s="201"/>
      <c r="I1035" s="198" t="s">
        <v>202</v>
      </c>
      <c r="J1035" s="198" t="s">
        <v>65</v>
      </c>
      <c r="K1035" s="202">
        <f t="shared" si="16"/>
        <v>532440</v>
      </c>
      <c r="L1035" s="202">
        <v>104.4</v>
      </c>
      <c r="N1035" s="202">
        <v>354290</v>
      </c>
      <c r="S1035" s="204"/>
      <c r="W1035" s="198" t="s">
        <v>51</v>
      </c>
      <c r="AE1035" s="198" t="s">
        <v>831</v>
      </c>
    </row>
    <row r="1036" spans="3:31" x14ac:dyDescent="0.25">
      <c r="C1036" s="201"/>
      <c r="E1036" s="201"/>
      <c r="F1036" s="201"/>
      <c r="I1036" s="198" t="s">
        <v>202</v>
      </c>
      <c r="J1036" s="198" t="s">
        <v>65</v>
      </c>
      <c r="K1036" s="202">
        <f t="shared" si="16"/>
        <v>532950</v>
      </c>
      <c r="L1036" s="202">
        <v>104.5</v>
      </c>
      <c r="N1036" s="202">
        <v>354290</v>
      </c>
      <c r="S1036" s="204"/>
      <c r="W1036" s="198" t="s">
        <v>51</v>
      </c>
      <c r="AE1036" s="198" t="s">
        <v>831</v>
      </c>
    </row>
    <row r="1037" spans="3:31" x14ac:dyDescent="0.25">
      <c r="C1037" s="201"/>
      <c r="E1037" s="201"/>
      <c r="F1037" s="201"/>
      <c r="I1037" s="198" t="s">
        <v>202</v>
      </c>
      <c r="J1037" s="198" t="s">
        <v>65</v>
      </c>
      <c r="K1037" s="202">
        <f t="shared" si="16"/>
        <v>533460</v>
      </c>
      <c r="L1037" s="202">
        <v>104.6</v>
      </c>
      <c r="N1037" s="202">
        <v>354290</v>
      </c>
      <c r="S1037" s="204"/>
      <c r="W1037" s="198" t="s">
        <v>51</v>
      </c>
      <c r="AE1037" s="198" t="s">
        <v>831</v>
      </c>
    </row>
    <row r="1038" spans="3:31" x14ac:dyDescent="0.25">
      <c r="C1038" s="201"/>
      <c r="E1038" s="201"/>
      <c r="F1038" s="201"/>
      <c r="I1038" s="198" t="s">
        <v>202</v>
      </c>
      <c r="J1038" s="198" t="s">
        <v>65</v>
      </c>
      <c r="K1038" s="202">
        <f t="shared" si="16"/>
        <v>533970</v>
      </c>
      <c r="L1038" s="202">
        <v>104.7</v>
      </c>
      <c r="N1038" s="202">
        <v>354290</v>
      </c>
      <c r="S1038" s="204"/>
      <c r="W1038" s="198" t="s">
        <v>51</v>
      </c>
      <c r="AE1038" s="198" t="s">
        <v>831</v>
      </c>
    </row>
    <row r="1039" spans="3:31" x14ac:dyDescent="0.25">
      <c r="C1039" s="201"/>
      <c r="E1039" s="201"/>
      <c r="F1039" s="201"/>
      <c r="I1039" s="198" t="s">
        <v>202</v>
      </c>
      <c r="J1039" s="198" t="s">
        <v>65</v>
      </c>
      <c r="K1039" s="202">
        <f t="shared" si="16"/>
        <v>534480</v>
      </c>
      <c r="L1039" s="202">
        <v>104.8</v>
      </c>
      <c r="N1039" s="202">
        <v>354290</v>
      </c>
      <c r="S1039" s="204"/>
      <c r="W1039" s="198" t="s">
        <v>51</v>
      </c>
      <c r="AE1039" s="198" t="s">
        <v>831</v>
      </c>
    </row>
    <row r="1040" spans="3:31" x14ac:dyDescent="0.25">
      <c r="C1040" s="201"/>
      <c r="E1040" s="201"/>
      <c r="F1040" s="201"/>
      <c r="I1040" s="198" t="s">
        <v>202</v>
      </c>
      <c r="J1040" s="198" t="s">
        <v>65</v>
      </c>
      <c r="K1040" s="202">
        <f t="shared" si="16"/>
        <v>534990</v>
      </c>
      <c r="L1040" s="202">
        <v>104.9</v>
      </c>
      <c r="N1040" s="202">
        <v>354290</v>
      </c>
      <c r="S1040" s="204"/>
      <c r="W1040" s="198" t="s">
        <v>51</v>
      </c>
      <c r="AE1040" s="198" t="s">
        <v>831</v>
      </c>
    </row>
    <row r="1041" spans="3:31" x14ac:dyDescent="0.25">
      <c r="C1041" s="201"/>
      <c r="E1041" s="201"/>
      <c r="F1041" s="201"/>
      <c r="I1041" s="198" t="s">
        <v>204</v>
      </c>
      <c r="J1041" s="198" t="s">
        <v>169</v>
      </c>
      <c r="K1041" s="202">
        <f t="shared" si="16"/>
        <v>535500</v>
      </c>
      <c r="L1041" s="202">
        <v>105</v>
      </c>
      <c r="N1041" s="202">
        <v>349040</v>
      </c>
      <c r="S1041" s="204"/>
      <c r="W1041" s="198" t="s">
        <v>51</v>
      </c>
      <c r="AE1041" s="198" t="s">
        <v>831</v>
      </c>
    </row>
    <row r="1042" spans="3:31" x14ac:dyDescent="0.25">
      <c r="C1042" s="201"/>
      <c r="E1042" s="201"/>
      <c r="F1042" s="201"/>
      <c r="I1042" s="198" t="s">
        <v>204</v>
      </c>
      <c r="J1042" s="198" t="s">
        <v>169</v>
      </c>
      <c r="K1042" s="202">
        <f t="shared" si="16"/>
        <v>536010</v>
      </c>
      <c r="L1042" s="202">
        <v>105.1</v>
      </c>
      <c r="N1042" s="202">
        <v>349040</v>
      </c>
      <c r="S1042" s="204"/>
      <c r="W1042" s="198" t="s">
        <v>51</v>
      </c>
      <c r="AE1042" s="198" t="s">
        <v>831</v>
      </c>
    </row>
    <row r="1043" spans="3:31" x14ac:dyDescent="0.25">
      <c r="C1043" s="201"/>
      <c r="E1043" s="201"/>
      <c r="F1043" s="201"/>
      <c r="I1043" s="198" t="s">
        <v>555</v>
      </c>
      <c r="J1043" s="198" t="s">
        <v>132</v>
      </c>
      <c r="K1043" s="202">
        <f t="shared" si="16"/>
        <v>536520</v>
      </c>
      <c r="L1043" s="202">
        <v>105.2</v>
      </c>
      <c r="N1043" s="202">
        <v>-0.28000000000000003</v>
      </c>
      <c r="S1043" s="204"/>
      <c r="W1043" s="198" t="s">
        <v>51</v>
      </c>
      <c r="AE1043" s="198" t="s">
        <v>833</v>
      </c>
    </row>
    <row r="1044" spans="3:31" x14ac:dyDescent="0.25">
      <c r="C1044" s="201"/>
      <c r="E1044" s="201"/>
      <c r="F1044" s="201"/>
      <c r="I1044" s="198" t="s">
        <v>131</v>
      </c>
      <c r="J1044" s="198" t="s">
        <v>132</v>
      </c>
      <c r="K1044" s="202">
        <f t="shared" si="16"/>
        <v>537030</v>
      </c>
      <c r="L1044" s="202">
        <v>105.3</v>
      </c>
      <c r="N1044" s="202">
        <v>-0.4</v>
      </c>
      <c r="S1044" s="204"/>
      <c r="W1044" s="198" t="s">
        <v>51</v>
      </c>
      <c r="AE1044" s="198" t="s">
        <v>833</v>
      </c>
    </row>
    <row r="1045" spans="3:31" x14ac:dyDescent="0.25">
      <c r="C1045" s="201"/>
      <c r="E1045" s="201"/>
      <c r="F1045" s="201"/>
      <c r="I1045" s="198" t="s">
        <v>122</v>
      </c>
      <c r="J1045" s="198" t="s">
        <v>126</v>
      </c>
      <c r="K1045" s="202">
        <f t="shared" si="16"/>
        <v>537540</v>
      </c>
      <c r="L1045" s="202">
        <v>105.4</v>
      </c>
      <c r="N1045" s="202">
        <v>-0.2</v>
      </c>
      <c r="S1045" s="204"/>
      <c r="W1045" s="198" t="s">
        <v>51</v>
      </c>
      <c r="AE1045" s="198" t="s">
        <v>835</v>
      </c>
    </row>
    <row r="1046" spans="3:31" x14ac:dyDescent="0.25">
      <c r="C1046" s="201"/>
      <c r="E1046" s="201"/>
      <c r="F1046" s="201"/>
      <c r="I1046" s="198" t="s">
        <v>135</v>
      </c>
      <c r="J1046" s="198" t="s">
        <v>117</v>
      </c>
      <c r="K1046" s="202">
        <f t="shared" si="16"/>
        <v>538050</v>
      </c>
      <c r="L1046" s="202">
        <v>105.5</v>
      </c>
      <c r="N1046" s="202">
        <v>-0.2</v>
      </c>
      <c r="S1046" s="204"/>
      <c r="W1046" s="198" t="s">
        <v>51</v>
      </c>
      <c r="AE1046" s="198" t="s">
        <v>878</v>
      </c>
    </row>
    <row r="1047" spans="3:31" x14ac:dyDescent="0.25">
      <c r="C1047" s="201"/>
      <c r="E1047" s="201"/>
      <c r="F1047" s="201"/>
      <c r="I1047" s="198" t="s">
        <v>740</v>
      </c>
      <c r="J1047" s="198" t="s">
        <v>153</v>
      </c>
      <c r="K1047" s="202">
        <f t="shared" si="16"/>
        <v>538560</v>
      </c>
      <c r="L1047" s="202">
        <v>105.6</v>
      </c>
      <c r="N1047" s="202">
        <v>1240000</v>
      </c>
      <c r="S1047" s="204"/>
      <c r="W1047" s="198" t="s">
        <v>51</v>
      </c>
      <c r="AE1047" s="198" t="s">
        <v>1768</v>
      </c>
    </row>
    <row r="1048" spans="3:31" x14ac:dyDescent="0.25">
      <c r="C1048" s="201"/>
      <c r="E1048" s="201"/>
      <c r="F1048" s="201"/>
      <c r="I1048" s="198" t="s">
        <v>239</v>
      </c>
      <c r="J1048" s="198" t="s">
        <v>148</v>
      </c>
      <c r="K1048" s="202">
        <f t="shared" si="16"/>
        <v>539070</v>
      </c>
      <c r="L1048" s="202">
        <v>105.7</v>
      </c>
      <c r="N1048" s="202">
        <v>1240000</v>
      </c>
      <c r="S1048" s="204"/>
      <c r="W1048" s="198" t="s">
        <v>51</v>
      </c>
      <c r="AE1048" s="198" t="s">
        <v>828</v>
      </c>
    </row>
    <row r="1049" spans="3:31" x14ac:dyDescent="0.25">
      <c r="C1049" s="201"/>
      <c r="E1049" s="201"/>
      <c r="F1049" s="201"/>
      <c r="I1049" s="198" t="s">
        <v>194</v>
      </c>
      <c r="J1049" s="198" t="s">
        <v>156</v>
      </c>
      <c r="K1049" s="202">
        <f t="shared" si="16"/>
        <v>539580</v>
      </c>
      <c r="L1049" s="202">
        <v>105.8</v>
      </c>
      <c r="N1049" s="202">
        <v>1240000</v>
      </c>
      <c r="S1049" s="204"/>
      <c r="W1049" s="198" t="s">
        <v>51</v>
      </c>
      <c r="AE1049" s="198" t="s">
        <v>828</v>
      </c>
    </row>
    <row r="1050" spans="3:31" x14ac:dyDescent="0.25">
      <c r="C1050" s="201"/>
      <c r="E1050" s="201"/>
      <c r="F1050" s="201"/>
      <c r="I1050" s="198" t="s">
        <v>741</v>
      </c>
      <c r="J1050" s="198" t="s">
        <v>274</v>
      </c>
      <c r="K1050" s="202">
        <f t="shared" si="16"/>
        <v>540090</v>
      </c>
      <c r="L1050" s="202">
        <v>105.9</v>
      </c>
      <c r="N1050" s="202">
        <v>1240000</v>
      </c>
      <c r="S1050" s="204"/>
      <c r="W1050" s="198" t="s">
        <v>51</v>
      </c>
      <c r="AE1050" s="198" t="s">
        <v>1767</v>
      </c>
    </row>
    <row r="1051" spans="3:31" x14ac:dyDescent="0.25">
      <c r="C1051" s="201"/>
      <c r="E1051" s="201"/>
      <c r="F1051" s="201"/>
      <c r="I1051" s="198" t="s">
        <v>194</v>
      </c>
      <c r="J1051" s="198" t="s">
        <v>156</v>
      </c>
      <c r="K1051" s="202">
        <f t="shared" si="16"/>
        <v>540600</v>
      </c>
      <c r="L1051" s="202">
        <v>106</v>
      </c>
      <c r="N1051" s="202">
        <v>1405500</v>
      </c>
      <c r="S1051" s="203"/>
      <c r="W1051" s="198" t="s">
        <v>51</v>
      </c>
      <c r="AE1051" s="198" t="s">
        <v>828</v>
      </c>
    </row>
    <row r="1052" spans="3:31" x14ac:dyDescent="0.25">
      <c r="C1052" s="201"/>
      <c r="E1052" s="201"/>
      <c r="F1052" s="201"/>
      <c r="I1052" s="198" t="s">
        <v>724</v>
      </c>
      <c r="J1052" s="198" t="s">
        <v>156</v>
      </c>
      <c r="K1052" s="202">
        <f t="shared" si="16"/>
        <v>541110</v>
      </c>
      <c r="L1052" s="202">
        <v>106.1</v>
      </c>
      <c r="N1052" s="202">
        <v>1190000</v>
      </c>
      <c r="S1052" s="203"/>
      <c r="W1052" s="198" t="s">
        <v>51</v>
      </c>
      <c r="AE1052" s="198" t="s">
        <v>828</v>
      </c>
    </row>
    <row r="1053" spans="3:31" x14ac:dyDescent="0.25">
      <c r="C1053" s="201"/>
      <c r="E1053" s="201"/>
      <c r="F1053" s="201"/>
      <c r="I1053" s="198" t="s">
        <v>740</v>
      </c>
      <c r="J1053" s="198" t="s">
        <v>153</v>
      </c>
      <c r="K1053" s="202">
        <f t="shared" si="16"/>
        <v>541620</v>
      </c>
      <c r="L1053" s="202">
        <v>106.2</v>
      </c>
      <c r="N1053" s="202">
        <v>1405500</v>
      </c>
      <c r="S1053" s="203"/>
      <c r="W1053" s="198" t="s">
        <v>51</v>
      </c>
      <c r="AE1053" s="198" t="s">
        <v>1768</v>
      </c>
    </row>
    <row r="1054" spans="3:31" x14ac:dyDescent="0.25">
      <c r="C1054" s="201"/>
      <c r="E1054" s="201"/>
      <c r="F1054" s="201"/>
      <c r="I1054" s="198" t="s">
        <v>239</v>
      </c>
      <c r="J1054" s="198" t="s">
        <v>148</v>
      </c>
      <c r="K1054" s="202">
        <f t="shared" si="16"/>
        <v>542130</v>
      </c>
      <c r="L1054" s="202">
        <v>106.3</v>
      </c>
      <c r="N1054" s="202">
        <v>1405500</v>
      </c>
      <c r="S1054" s="203"/>
      <c r="W1054" s="198" t="s">
        <v>51</v>
      </c>
      <c r="AE1054" s="198" t="s">
        <v>828</v>
      </c>
    </row>
    <row r="1055" spans="3:31" x14ac:dyDescent="0.25">
      <c r="C1055" s="201"/>
      <c r="E1055" s="201"/>
      <c r="F1055" s="201"/>
      <c r="I1055" s="198" t="s">
        <v>741</v>
      </c>
      <c r="J1055" s="198" t="s">
        <v>274</v>
      </c>
      <c r="K1055" s="202">
        <f t="shared" si="16"/>
        <v>542640</v>
      </c>
      <c r="L1055" s="202">
        <v>106.4</v>
      </c>
      <c r="N1055" s="202">
        <v>1405500</v>
      </c>
      <c r="S1055" s="203"/>
      <c r="W1055" s="198" t="s">
        <v>51</v>
      </c>
      <c r="AE1055" s="198" t="s">
        <v>1767</v>
      </c>
    </row>
    <row r="1056" spans="3:31" x14ac:dyDescent="0.25">
      <c r="C1056" s="201"/>
      <c r="E1056" s="201"/>
      <c r="F1056" s="201"/>
      <c r="I1056" s="198" t="s">
        <v>753</v>
      </c>
      <c r="J1056" s="198" t="s">
        <v>143</v>
      </c>
      <c r="K1056" s="202">
        <f t="shared" si="16"/>
        <v>543150</v>
      </c>
      <c r="L1056" s="202">
        <v>106.5</v>
      </c>
      <c r="N1056" s="202">
        <v>1190000</v>
      </c>
      <c r="S1056" s="203"/>
      <c r="W1056" s="198" t="s">
        <v>51</v>
      </c>
      <c r="AE1056" s="198" t="s">
        <v>829</v>
      </c>
    </row>
    <row r="1057" spans="3:31" x14ac:dyDescent="0.25">
      <c r="C1057" s="201"/>
      <c r="E1057" s="201"/>
      <c r="F1057" s="201"/>
      <c r="I1057" s="198" t="s">
        <v>721</v>
      </c>
      <c r="J1057" s="198" t="s">
        <v>274</v>
      </c>
      <c r="K1057" s="202">
        <f t="shared" si="16"/>
        <v>543660</v>
      </c>
      <c r="L1057" s="202">
        <v>106.6</v>
      </c>
      <c r="N1057" s="202">
        <v>1190000</v>
      </c>
      <c r="S1057" s="203"/>
      <c r="W1057" s="198" t="s">
        <v>51</v>
      </c>
      <c r="AE1057" s="198" t="s">
        <v>1767</v>
      </c>
    </row>
    <row r="1058" spans="3:31" x14ac:dyDescent="0.25">
      <c r="C1058" s="201"/>
      <c r="E1058" s="201"/>
      <c r="F1058" s="201"/>
      <c r="I1058" s="198" t="s">
        <v>721</v>
      </c>
      <c r="J1058" s="198" t="s">
        <v>274</v>
      </c>
      <c r="K1058" s="202">
        <f t="shared" si="16"/>
        <v>544170</v>
      </c>
      <c r="L1058" s="202">
        <v>106.7</v>
      </c>
      <c r="N1058" s="202">
        <v>892500</v>
      </c>
      <c r="S1058" s="203"/>
      <c r="W1058" s="198" t="s">
        <v>51</v>
      </c>
      <c r="AE1058" s="198" t="s">
        <v>1767</v>
      </c>
    </row>
    <row r="1059" spans="3:31" x14ac:dyDescent="0.25">
      <c r="C1059" s="201"/>
      <c r="E1059" s="201"/>
      <c r="F1059" s="201"/>
      <c r="I1059" s="198" t="s">
        <v>122</v>
      </c>
      <c r="J1059" s="198" t="s">
        <v>126</v>
      </c>
      <c r="K1059" s="202">
        <f t="shared" si="16"/>
        <v>544680</v>
      </c>
      <c r="L1059" s="202">
        <v>106.8</v>
      </c>
      <c r="N1059" s="202">
        <v>-0.7</v>
      </c>
      <c r="S1059" s="203"/>
      <c r="W1059" s="198" t="s">
        <v>51</v>
      </c>
      <c r="AE1059" s="198" t="s">
        <v>54</v>
      </c>
    </row>
    <row r="1060" spans="3:31" x14ac:dyDescent="0.25">
      <c r="C1060" s="201"/>
      <c r="E1060" s="201"/>
      <c r="F1060" s="201"/>
      <c r="I1060" s="198" t="s">
        <v>122</v>
      </c>
      <c r="J1060" s="198" t="s">
        <v>126</v>
      </c>
      <c r="K1060" s="202">
        <f t="shared" si="16"/>
        <v>545190</v>
      </c>
      <c r="L1060" s="202">
        <v>106.9</v>
      </c>
      <c r="N1060" s="202">
        <v>-1.06</v>
      </c>
      <c r="S1060" s="203"/>
      <c r="W1060" s="198" t="s">
        <v>51</v>
      </c>
      <c r="AE1060" s="198" t="s">
        <v>54</v>
      </c>
    </row>
    <row r="1061" spans="3:31" x14ac:dyDescent="0.25">
      <c r="C1061" s="201"/>
      <c r="E1061" s="201"/>
      <c r="F1061" s="201"/>
      <c r="I1061" s="198" t="s">
        <v>583</v>
      </c>
      <c r="J1061" s="198" t="s">
        <v>134</v>
      </c>
      <c r="K1061" s="202">
        <f t="shared" si="16"/>
        <v>545700</v>
      </c>
      <c r="L1061" s="202">
        <v>107</v>
      </c>
      <c r="N1061" s="202">
        <v>-0.38</v>
      </c>
      <c r="S1061" s="203"/>
      <c r="W1061" s="198" t="s">
        <v>51</v>
      </c>
      <c r="AE1061" s="198" t="s">
        <v>54</v>
      </c>
    </row>
    <row r="1062" spans="3:31" x14ac:dyDescent="0.25">
      <c r="C1062" s="201"/>
      <c r="E1062" s="201"/>
      <c r="F1062" s="201"/>
      <c r="I1062" s="198" t="s">
        <v>131</v>
      </c>
      <c r="J1062" s="198" t="s">
        <v>132</v>
      </c>
      <c r="K1062" s="202">
        <f t="shared" si="16"/>
        <v>546210</v>
      </c>
      <c r="L1062" s="202">
        <v>107.1</v>
      </c>
      <c r="N1062" s="202">
        <v>0.28000000000000003</v>
      </c>
      <c r="S1062" s="204"/>
      <c r="W1062" s="198" t="s">
        <v>51</v>
      </c>
      <c r="AE1062" s="198" t="s">
        <v>833</v>
      </c>
    </row>
    <row r="1063" spans="3:31" x14ac:dyDescent="0.25">
      <c r="C1063" s="201"/>
      <c r="E1063" s="201"/>
      <c r="F1063" s="201"/>
      <c r="I1063" s="198" t="s">
        <v>135</v>
      </c>
      <c r="J1063" s="198" t="s">
        <v>117</v>
      </c>
      <c r="K1063" s="202">
        <f t="shared" si="16"/>
        <v>546720</v>
      </c>
      <c r="L1063" s="202">
        <v>107.2</v>
      </c>
      <c r="N1063" s="202">
        <v>-0.4</v>
      </c>
      <c r="S1063" s="204"/>
      <c r="W1063" s="198" t="s">
        <v>51</v>
      </c>
      <c r="AE1063" s="198" t="s">
        <v>878</v>
      </c>
    </row>
    <row r="1064" spans="3:31" x14ac:dyDescent="0.25">
      <c r="C1064" s="201"/>
      <c r="E1064" s="201"/>
      <c r="F1064" s="201"/>
      <c r="I1064" s="198" t="s">
        <v>129</v>
      </c>
      <c r="J1064" s="198" t="s">
        <v>130</v>
      </c>
      <c r="K1064" s="202">
        <f t="shared" si="16"/>
        <v>547230</v>
      </c>
      <c r="L1064" s="202">
        <v>107.3</v>
      </c>
      <c r="N1064" s="202">
        <v>3408930</v>
      </c>
      <c r="S1064" s="204"/>
      <c r="W1064" s="198" t="s">
        <v>51</v>
      </c>
      <c r="AE1064" s="198" t="s">
        <v>833</v>
      </c>
    </row>
    <row r="1065" spans="3:31" x14ac:dyDescent="0.25">
      <c r="C1065" s="201"/>
      <c r="E1065" s="201"/>
      <c r="F1065" s="201"/>
      <c r="I1065" s="198" t="s">
        <v>129</v>
      </c>
      <c r="J1065" s="198" t="s">
        <v>130</v>
      </c>
      <c r="K1065" s="202">
        <f t="shared" si="16"/>
        <v>547740</v>
      </c>
      <c r="L1065" s="202">
        <v>107.4</v>
      </c>
      <c r="N1065" s="202">
        <v>337906.8</v>
      </c>
      <c r="S1065" s="204"/>
      <c r="W1065" s="198" t="s">
        <v>51</v>
      </c>
      <c r="AE1065" s="198" t="s">
        <v>833</v>
      </c>
    </row>
    <row r="1066" spans="3:31" x14ac:dyDescent="0.25">
      <c r="C1066" s="201"/>
      <c r="E1066" s="201"/>
      <c r="F1066" s="201"/>
      <c r="I1066" s="198" t="s">
        <v>129</v>
      </c>
      <c r="J1066" s="198" t="s">
        <v>130</v>
      </c>
      <c r="K1066" s="202">
        <f t="shared" si="16"/>
        <v>548250</v>
      </c>
      <c r="L1066" s="202">
        <v>107.5</v>
      </c>
      <c r="N1066" s="202">
        <v>2300007</v>
      </c>
      <c r="S1066" s="204"/>
      <c r="W1066" s="198" t="s">
        <v>51</v>
      </c>
      <c r="AE1066" s="198" t="s">
        <v>833</v>
      </c>
    </row>
    <row r="1067" spans="3:31" x14ac:dyDescent="0.25">
      <c r="C1067" s="201"/>
      <c r="E1067" s="201"/>
      <c r="F1067" s="201"/>
      <c r="I1067" s="198" t="s">
        <v>136</v>
      </c>
      <c r="J1067" s="198" t="s">
        <v>137</v>
      </c>
      <c r="K1067" s="202">
        <f t="shared" si="16"/>
        <v>548760</v>
      </c>
      <c r="L1067" s="202">
        <v>107.6</v>
      </c>
      <c r="N1067" s="202">
        <v>3408930</v>
      </c>
      <c r="S1067" s="204"/>
      <c r="W1067" s="198" t="s">
        <v>51</v>
      </c>
      <c r="AE1067" s="198" t="s">
        <v>844</v>
      </c>
    </row>
    <row r="1068" spans="3:31" x14ac:dyDescent="0.25">
      <c r="C1068" s="201"/>
      <c r="E1068" s="201"/>
      <c r="F1068" s="201"/>
      <c r="I1068" s="198" t="s">
        <v>278</v>
      </c>
      <c r="J1068" s="198" t="s">
        <v>193</v>
      </c>
      <c r="K1068" s="202">
        <f t="shared" si="16"/>
        <v>549270</v>
      </c>
      <c r="L1068" s="202">
        <v>107.7</v>
      </c>
      <c r="N1068" s="202">
        <v>88597.35</v>
      </c>
      <c r="S1068" s="203"/>
      <c r="W1068" s="198" t="s">
        <v>51</v>
      </c>
      <c r="AE1068" s="198" t="s">
        <v>830</v>
      </c>
    </row>
    <row r="1069" spans="3:31" x14ac:dyDescent="0.25">
      <c r="C1069" s="201"/>
      <c r="E1069" s="201"/>
      <c r="F1069" s="201"/>
      <c r="I1069" s="198" t="s">
        <v>278</v>
      </c>
      <c r="J1069" s="198" t="s">
        <v>193</v>
      </c>
      <c r="K1069" s="202">
        <f t="shared" si="16"/>
        <v>549780</v>
      </c>
      <c r="L1069" s="202">
        <v>107.8</v>
      </c>
      <c r="N1069" s="202">
        <v>145370.76999999999</v>
      </c>
      <c r="S1069" s="203"/>
      <c r="W1069" s="198" t="s">
        <v>51</v>
      </c>
      <c r="AE1069" s="198" t="s">
        <v>830</v>
      </c>
    </row>
    <row r="1070" spans="3:31" x14ac:dyDescent="0.25">
      <c r="C1070" s="201"/>
      <c r="E1070" s="201"/>
      <c r="F1070" s="201"/>
      <c r="I1070" s="198" t="s">
        <v>553</v>
      </c>
      <c r="J1070" s="198" t="s">
        <v>134</v>
      </c>
      <c r="K1070" s="202">
        <f t="shared" si="16"/>
        <v>550290</v>
      </c>
      <c r="L1070" s="202">
        <v>107.9</v>
      </c>
      <c r="N1070" s="202">
        <v>0.21</v>
      </c>
      <c r="S1070" s="204"/>
      <c r="W1070" s="198" t="s">
        <v>51</v>
      </c>
      <c r="AE1070" s="198" t="s">
        <v>846</v>
      </c>
    </row>
    <row r="1071" spans="3:31" x14ac:dyDescent="0.25">
      <c r="C1071" s="201"/>
      <c r="E1071" s="201"/>
      <c r="F1071" s="201"/>
      <c r="I1071" s="198" t="s">
        <v>138</v>
      </c>
      <c r="J1071" s="198" t="s">
        <v>143</v>
      </c>
      <c r="K1071" s="202">
        <f t="shared" si="16"/>
        <v>550800</v>
      </c>
      <c r="L1071" s="202">
        <v>108</v>
      </c>
      <c r="N1071" s="202">
        <v>24003.3</v>
      </c>
      <c r="S1071" s="204"/>
      <c r="W1071" s="198" t="s">
        <v>51</v>
      </c>
      <c r="AE1071" s="198" t="s">
        <v>829</v>
      </c>
    </row>
    <row r="1072" spans="3:31" x14ac:dyDescent="0.25">
      <c r="C1072" s="201"/>
      <c r="E1072" s="201"/>
      <c r="F1072" s="201"/>
      <c r="I1072" s="198" t="s">
        <v>204</v>
      </c>
      <c r="J1072" s="198" t="s">
        <v>169</v>
      </c>
      <c r="K1072" s="202">
        <f t="shared" si="16"/>
        <v>551310</v>
      </c>
      <c r="L1072" s="202">
        <v>108.1</v>
      </c>
      <c r="N1072" s="202">
        <v>349040</v>
      </c>
      <c r="S1072" s="204"/>
      <c r="W1072" s="198" t="s">
        <v>51</v>
      </c>
      <c r="AE1072" s="198" t="s">
        <v>831</v>
      </c>
    </row>
    <row r="1073" spans="3:31" x14ac:dyDescent="0.25">
      <c r="C1073" s="201"/>
      <c r="E1073" s="201"/>
      <c r="F1073" s="201"/>
      <c r="I1073" s="198" t="s">
        <v>430</v>
      </c>
      <c r="J1073" s="198" t="s">
        <v>130</v>
      </c>
      <c r="K1073" s="202">
        <f t="shared" si="16"/>
        <v>551820</v>
      </c>
      <c r="L1073" s="202">
        <v>108.2</v>
      </c>
      <c r="N1073" s="202">
        <v>4050000</v>
      </c>
      <c r="S1073" s="204"/>
      <c r="W1073" s="198" t="s">
        <v>51</v>
      </c>
      <c r="AE1073" s="198" t="s">
        <v>833</v>
      </c>
    </row>
    <row r="1074" spans="3:31" x14ac:dyDescent="0.25">
      <c r="C1074" s="201"/>
      <c r="E1074" s="201"/>
      <c r="F1074" s="201"/>
      <c r="I1074" s="198" t="s">
        <v>202</v>
      </c>
      <c r="J1074" s="198" t="s">
        <v>65</v>
      </c>
      <c r="K1074" s="202">
        <f t="shared" si="16"/>
        <v>552330</v>
      </c>
      <c r="L1074" s="202">
        <v>108.3</v>
      </c>
      <c r="N1074" s="202">
        <v>354290</v>
      </c>
      <c r="S1074" s="204"/>
      <c r="W1074" s="198" t="s">
        <v>51</v>
      </c>
      <c r="AE1074" s="198" t="s">
        <v>831</v>
      </c>
    </row>
    <row r="1075" spans="3:31" x14ac:dyDescent="0.25">
      <c r="C1075" s="201"/>
      <c r="E1075" s="201"/>
      <c r="F1075" s="201"/>
      <c r="I1075" s="198" t="s">
        <v>430</v>
      </c>
      <c r="J1075" s="198" t="s">
        <v>130</v>
      </c>
      <c r="K1075" s="202">
        <f t="shared" si="16"/>
        <v>552840</v>
      </c>
      <c r="L1075" s="202">
        <v>108.4</v>
      </c>
      <c r="N1075" s="202">
        <v>4050000</v>
      </c>
      <c r="S1075" s="204"/>
      <c r="W1075" s="198" t="s">
        <v>51</v>
      </c>
      <c r="AE1075" s="198" t="s">
        <v>833</v>
      </c>
    </row>
    <row r="1076" spans="3:31" x14ac:dyDescent="0.25">
      <c r="C1076" s="201"/>
      <c r="E1076" s="201"/>
      <c r="F1076" s="201"/>
      <c r="I1076" s="198" t="s">
        <v>202</v>
      </c>
      <c r="J1076" s="198" t="s">
        <v>65</v>
      </c>
      <c r="K1076" s="202">
        <f t="shared" si="16"/>
        <v>553350</v>
      </c>
      <c r="L1076" s="202">
        <v>108.5</v>
      </c>
      <c r="N1076" s="202">
        <v>354290</v>
      </c>
      <c r="S1076" s="204"/>
      <c r="W1076" s="198" t="s">
        <v>51</v>
      </c>
      <c r="AE1076" s="198" t="s">
        <v>831</v>
      </c>
    </row>
    <row r="1077" spans="3:31" x14ac:dyDescent="0.25">
      <c r="C1077" s="201"/>
      <c r="E1077" s="201"/>
      <c r="F1077" s="201"/>
      <c r="I1077" s="198" t="s">
        <v>430</v>
      </c>
      <c r="J1077" s="198" t="s">
        <v>130</v>
      </c>
      <c r="K1077" s="202">
        <f t="shared" si="16"/>
        <v>553860</v>
      </c>
      <c r="L1077" s="202">
        <v>108.6</v>
      </c>
      <c r="N1077" s="202">
        <v>4050000</v>
      </c>
      <c r="S1077" s="204"/>
      <c r="W1077" s="198" t="s">
        <v>51</v>
      </c>
      <c r="AE1077" s="198" t="s">
        <v>833</v>
      </c>
    </row>
    <row r="1078" spans="3:31" x14ac:dyDescent="0.25">
      <c r="C1078" s="201"/>
      <c r="E1078" s="201"/>
      <c r="F1078" s="201"/>
      <c r="I1078" s="198" t="s">
        <v>202</v>
      </c>
      <c r="J1078" s="198" t="s">
        <v>65</v>
      </c>
      <c r="K1078" s="202">
        <f t="shared" si="16"/>
        <v>554370</v>
      </c>
      <c r="L1078" s="202">
        <v>108.7</v>
      </c>
      <c r="N1078" s="202">
        <v>354290</v>
      </c>
      <c r="S1078" s="204"/>
      <c r="W1078" s="198" t="s">
        <v>51</v>
      </c>
      <c r="AE1078" s="198" t="s">
        <v>831</v>
      </c>
    </row>
    <row r="1079" spans="3:31" x14ac:dyDescent="0.25">
      <c r="C1079" s="201"/>
      <c r="E1079" s="201"/>
      <c r="F1079" s="201"/>
      <c r="I1079" s="198" t="s">
        <v>532</v>
      </c>
      <c r="J1079" s="198" t="s">
        <v>137</v>
      </c>
      <c r="K1079" s="202">
        <f t="shared" si="16"/>
        <v>554880</v>
      </c>
      <c r="L1079" s="202">
        <v>108.8</v>
      </c>
      <c r="N1079" s="202">
        <v>3747706.1</v>
      </c>
      <c r="S1079" s="204"/>
      <c r="W1079" s="198" t="s">
        <v>51</v>
      </c>
      <c r="AE1079" s="198" t="s">
        <v>844</v>
      </c>
    </row>
    <row r="1080" spans="3:31" x14ac:dyDescent="0.25">
      <c r="C1080" s="201"/>
      <c r="E1080" s="201"/>
      <c r="F1080" s="201"/>
      <c r="I1080" s="198" t="s">
        <v>197</v>
      </c>
      <c r="J1080" s="198" t="s">
        <v>156</v>
      </c>
      <c r="K1080" s="202">
        <f t="shared" si="16"/>
        <v>555390</v>
      </c>
      <c r="L1080" s="202">
        <v>108.9</v>
      </c>
      <c r="N1080" s="202">
        <v>18249.7</v>
      </c>
      <c r="S1080" s="204"/>
      <c r="W1080" s="198" t="s">
        <v>51</v>
      </c>
      <c r="AE1080" s="198" t="s">
        <v>828</v>
      </c>
    </row>
    <row r="1081" spans="3:31" x14ac:dyDescent="0.25">
      <c r="C1081" s="201"/>
      <c r="E1081" s="201"/>
      <c r="F1081" s="201"/>
      <c r="I1081" s="198" t="s">
        <v>430</v>
      </c>
      <c r="J1081" s="198" t="s">
        <v>130</v>
      </c>
      <c r="K1081" s="202">
        <f t="shared" si="16"/>
        <v>555900</v>
      </c>
      <c r="L1081" s="202">
        <v>109</v>
      </c>
      <c r="N1081" s="202">
        <v>16721000</v>
      </c>
      <c r="S1081" s="204"/>
      <c r="W1081" s="198" t="s">
        <v>51</v>
      </c>
      <c r="AE1081" s="198" t="s">
        <v>833</v>
      </c>
    </row>
    <row r="1082" spans="3:31" x14ac:dyDescent="0.25">
      <c r="C1082" s="201"/>
      <c r="E1082" s="201"/>
      <c r="F1082" s="201"/>
      <c r="I1082" s="198" t="s">
        <v>110</v>
      </c>
      <c r="J1082" s="198" t="s">
        <v>89</v>
      </c>
      <c r="K1082" s="202">
        <f t="shared" si="16"/>
        <v>556410</v>
      </c>
      <c r="L1082" s="202">
        <v>109.1</v>
      </c>
      <c r="N1082" s="202">
        <v>218051.17</v>
      </c>
      <c r="S1082" s="203"/>
      <c r="W1082" s="198" t="s">
        <v>51</v>
      </c>
      <c r="AE1082" s="198" t="s">
        <v>831</v>
      </c>
    </row>
    <row r="1083" spans="3:31" x14ac:dyDescent="0.25">
      <c r="C1083" s="201"/>
      <c r="E1083" s="201"/>
      <c r="F1083" s="201"/>
      <c r="I1083" s="198" t="s">
        <v>110</v>
      </c>
      <c r="J1083" s="198" t="s">
        <v>89</v>
      </c>
      <c r="K1083" s="202">
        <f t="shared" si="16"/>
        <v>556920</v>
      </c>
      <c r="L1083" s="202">
        <v>109.2</v>
      </c>
      <c r="N1083" s="202">
        <v>628901.22</v>
      </c>
      <c r="S1083" s="203"/>
      <c r="W1083" s="198" t="s">
        <v>51</v>
      </c>
      <c r="AE1083" s="198" t="s">
        <v>831</v>
      </c>
    </row>
    <row r="1084" spans="3:31" x14ac:dyDescent="0.25">
      <c r="C1084" s="201"/>
      <c r="E1084" s="201"/>
      <c r="F1084" s="201"/>
      <c r="I1084" s="198" t="s">
        <v>110</v>
      </c>
      <c r="J1084" s="198" t="s">
        <v>89</v>
      </c>
      <c r="K1084" s="202">
        <f t="shared" si="16"/>
        <v>557430</v>
      </c>
      <c r="L1084" s="202">
        <v>109.3</v>
      </c>
      <c r="N1084" s="202">
        <v>183179.2</v>
      </c>
      <c r="S1084" s="203"/>
      <c r="W1084" s="198" t="s">
        <v>51</v>
      </c>
      <c r="AE1084" s="198" t="s">
        <v>831</v>
      </c>
    </row>
    <row r="1085" spans="3:31" x14ac:dyDescent="0.25">
      <c r="C1085" s="201"/>
      <c r="E1085" s="201"/>
      <c r="F1085" s="201"/>
      <c r="I1085" s="198" t="s">
        <v>110</v>
      </c>
      <c r="J1085" s="198" t="s">
        <v>89</v>
      </c>
      <c r="K1085" s="202">
        <f t="shared" si="16"/>
        <v>557940</v>
      </c>
      <c r="L1085" s="202">
        <v>109.4</v>
      </c>
      <c r="N1085" s="202">
        <v>702980.51</v>
      </c>
      <c r="S1085" s="203"/>
      <c r="W1085" s="198" t="s">
        <v>51</v>
      </c>
      <c r="AE1085" s="198" t="s">
        <v>831</v>
      </c>
    </row>
    <row r="1086" spans="3:31" x14ac:dyDescent="0.25">
      <c r="C1086" s="201"/>
      <c r="E1086" s="201"/>
      <c r="F1086" s="201"/>
      <c r="I1086" s="198" t="s">
        <v>430</v>
      </c>
      <c r="J1086" s="198" t="s">
        <v>130</v>
      </c>
      <c r="K1086" s="202">
        <f t="shared" si="16"/>
        <v>558450</v>
      </c>
      <c r="L1086" s="202">
        <v>109.5</v>
      </c>
      <c r="N1086" s="202">
        <v>16721000</v>
      </c>
      <c r="S1086" s="204"/>
      <c r="W1086" s="198" t="s">
        <v>51</v>
      </c>
      <c r="AE1086" s="198" t="s">
        <v>833</v>
      </c>
    </row>
    <row r="1087" spans="3:31" x14ac:dyDescent="0.25">
      <c r="C1087" s="201"/>
      <c r="E1087" s="201"/>
      <c r="F1087" s="201"/>
      <c r="I1087" s="198" t="s">
        <v>430</v>
      </c>
      <c r="J1087" s="198" t="s">
        <v>130</v>
      </c>
      <c r="K1087" s="202">
        <f t="shared" si="16"/>
        <v>558960</v>
      </c>
      <c r="L1087" s="202">
        <v>109.6</v>
      </c>
      <c r="N1087" s="202">
        <v>16721000</v>
      </c>
      <c r="S1087" s="204"/>
      <c r="W1087" s="198" t="s">
        <v>51</v>
      </c>
      <c r="AE1087" s="198" t="s">
        <v>833</v>
      </c>
    </row>
    <row r="1088" spans="3:31" x14ac:dyDescent="0.25">
      <c r="C1088" s="201"/>
      <c r="E1088" s="201"/>
      <c r="F1088" s="201"/>
      <c r="I1088" s="198" t="s">
        <v>430</v>
      </c>
      <c r="J1088" s="198" t="s">
        <v>130</v>
      </c>
      <c r="K1088" s="202">
        <f t="shared" si="16"/>
        <v>559470</v>
      </c>
      <c r="L1088" s="202">
        <v>109.7</v>
      </c>
      <c r="N1088" s="202">
        <v>16721000</v>
      </c>
      <c r="S1088" s="204"/>
      <c r="W1088" s="198" t="s">
        <v>51</v>
      </c>
      <c r="AE1088" s="198" t="s">
        <v>833</v>
      </c>
    </row>
    <row r="1089" spans="3:31" x14ac:dyDescent="0.25">
      <c r="C1089" s="201"/>
      <c r="E1089" s="201"/>
      <c r="F1089" s="201"/>
      <c r="I1089" s="198" t="s">
        <v>430</v>
      </c>
      <c r="J1089" s="198" t="s">
        <v>130</v>
      </c>
      <c r="K1089" s="202">
        <f t="shared" si="16"/>
        <v>559980</v>
      </c>
      <c r="L1089" s="202">
        <v>109.8</v>
      </c>
      <c r="N1089" s="202">
        <v>16721000</v>
      </c>
      <c r="S1089" s="204"/>
      <c r="W1089" s="198" t="s">
        <v>51</v>
      </c>
      <c r="AE1089" s="198" t="s">
        <v>833</v>
      </c>
    </row>
    <row r="1090" spans="3:31" x14ac:dyDescent="0.25">
      <c r="C1090" s="201"/>
      <c r="E1090" s="201"/>
      <c r="F1090" s="201"/>
      <c r="I1090" s="198" t="s">
        <v>430</v>
      </c>
      <c r="J1090" s="198" t="s">
        <v>130</v>
      </c>
      <c r="K1090" s="202">
        <f t="shared" si="16"/>
        <v>560490</v>
      </c>
      <c r="L1090" s="202">
        <v>109.9</v>
      </c>
      <c r="N1090" s="202">
        <v>16721000</v>
      </c>
      <c r="S1090" s="204"/>
      <c r="W1090" s="198" t="s">
        <v>51</v>
      </c>
      <c r="AE1090" s="198" t="s">
        <v>833</v>
      </c>
    </row>
    <row r="1091" spans="3:31" x14ac:dyDescent="0.25">
      <c r="C1091" s="201"/>
      <c r="E1091" s="201"/>
      <c r="F1091" s="201"/>
      <c r="I1091" s="198" t="s">
        <v>430</v>
      </c>
      <c r="J1091" s="198" t="s">
        <v>130</v>
      </c>
      <c r="K1091" s="202">
        <f t="shared" ref="K1091:K1154" si="17">L1091*5100</f>
        <v>561000</v>
      </c>
      <c r="L1091" s="202">
        <v>110</v>
      </c>
      <c r="N1091" s="202">
        <v>16721000</v>
      </c>
      <c r="S1091" s="204"/>
      <c r="W1091" s="198" t="s">
        <v>51</v>
      </c>
      <c r="AE1091" s="198" t="s">
        <v>833</v>
      </c>
    </row>
    <row r="1092" spans="3:31" x14ac:dyDescent="0.25">
      <c r="C1092" s="201"/>
      <c r="E1092" s="201"/>
      <c r="F1092" s="201"/>
      <c r="I1092" s="198" t="s">
        <v>202</v>
      </c>
      <c r="J1092" s="198" t="s">
        <v>65</v>
      </c>
      <c r="K1092" s="202">
        <f t="shared" si="17"/>
        <v>561510</v>
      </c>
      <c r="L1092" s="202">
        <v>110.1</v>
      </c>
      <c r="N1092" s="202">
        <v>354290</v>
      </c>
      <c r="S1092" s="204"/>
      <c r="W1092" s="198" t="s">
        <v>51</v>
      </c>
      <c r="AE1092" s="198" t="s">
        <v>831</v>
      </c>
    </row>
    <row r="1093" spans="3:31" x14ac:dyDescent="0.25">
      <c r="C1093" s="201"/>
      <c r="E1093" s="201"/>
      <c r="F1093" s="201"/>
      <c r="I1093" s="198" t="s">
        <v>202</v>
      </c>
      <c r="J1093" s="198" t="s">
        <v>65</v>
      </c>
      <c r="K1093" s="202">
        <f t="shared" si="17"/>
        <v>562020</v>
      </c>
      <c r="L1093" s="202">
        <v>110.2</v>
      </c>
      <c r="N1093" s="202">
        <v>354290</v>
      </c>
      <c r="S1093" s="204"/>
      <c r="W1093" s="198" t="s">
        <v>51</v>
      </c>
      <c r="AE1093" s="198" t="s">
        <v>831</v>
      </c>
    </row>
    <row r="1094" spans="3:31" x14ac:dyDescent="0.25">
      <c r="C1094" s="201"/>
      <c r="E1094" s="201"/>
      <c r="F1094" s="201"/>
      <c r="I1094" s="198" t="s">
        <v>202</v>
      </c>
      <c r="J1094" s="198" t="s">
        <v>65</v>
      </c>
      <c r="K1094" s="202">
        <f t="shared" si="17"/>
        <v>562530</v>
      </c>
      <c r="L1094" s="202">
        <v>110.3</v>
      </c>
      <c r="N1094" s="202">
        <v>354290</v>
      </c>
      <c r="S1094" s="204"/>
      <c r="W1094" s="198" t="s">
        <v>51</v>
      </c>
      <c r="AE1094" s="198" t="s">
        <v>831</v>
      </c>
    </row>
    <row r="1095" spans="3:31" x14ac:dyDescent="0.25">
      <c r="C1095" s="201"/>
      <c r="E1095" s="201"/>
      <c r="F1095" s="201"/>
      <c r="I1095" s="198" t="s">
        <v>202</v>
      </c>
      <c r="J1095" s="198" t="s">
        <v>65</v>
      </c>
      <c r="K1095" s="202">
        <f t="shared" si="17"/>
        <v>563040</v>
      </c>
      <c r="L1095" s="202">
        <v>110.4</v>
      </c>
      <c r="N1095" s="202">
        <v>354290</v>
      </c>
      <c r="S1095" s="204"/>
      <c r="W1095" s="198" t="s">
        <v>51</v>
      </c>
      <c r="AE1095" s="198" t="s">
        <v>831</v>
      </c>
    </row>
    <row r="1096" spans="3:31" x14ac:dyDescent="0.25">
      <c r="C1096" s="201"/>
      <c r="E1096" s="201"/>
      <c r="F1096" s="201"/>
      <c r="I1096" s="198" t="s">
        <v>129</v>
      </c>
      <c r="J1096" s="198" t="s">
        <v>130</v>
      </c>
      <c r="K1096" s="202">
        <f t="shared" si="17"/>
        <v>563550</v>
      </c>
      <c r="L1096" s="202">
        <v>110.5</v>
      </c>
      <c r="N1096" s="202">
        <v>940680</v>
      </c>
      <c r="S1096" s="204"/>
      <c r="W1096" s="198" t="s">
        <v>51</v>
      </c>
      <c r="AE1096" s="198" t="s">
        <v>833</v>
      </c>
    </row>
    <row r="1097" spans="3:31" x14ac:dyDescent="0.25">
      <c r="C1097" s="201"/>
      <c r="E1097" s="201"/>
      <c r="F1097" s="201"/>
      <c r="I1097" s="198" t="s">
        <v>129</v>
      </c>
      <c r="J1097" s="198" t="s">
        <v>130</v>
      </c>
      <c r="K1097" s="202">
        <f t="shared" si="17"/>
        <v>564060</v>
      </c>
      <c r="L1097" s="202">
        <v>110.6</v>
      </c>
      <c r="N1097" s="202">
        <v>1224132</v>
      </c>
      <c r="S1097" s="204"/>
      <c r="W1097" s="198" t="s">
        <v>51</v>
      </c>
      <c r="AE1097" s="198" t="s">
        <v>833</v>
      </c>
    </row>
    <row r="1098" spans="3:31" x14ac:dyDescent="0.25">
      <c r="C1098" s="201"/>
      <c r="E1098" s="201"/>
      <c r="F1098" s="201"/>
      <c r="I1098" s="198" t="s">
        <v>129</v>
      </c>
      <c r="J1098" s="198" t="s">
        <v>130</v>
      </c>
      <c r="K1098" s="202">
        <f t="shared" si="17"/>
        <v>564570</v>
      </c>
      <c r="L1098" s="202">
        <v>110.7</v>
      </c>
      <c r="N1098" s="202">
        <v>3032812.33</v>
      </c>
      <c r="S1098" s="204"/>
      <c r="W1098" s="198" t="s">
        <v>51</v>
      </c>
      <c r="AE1098" s="198" t="s">
        <v>833</v>
      </c>
    </row>
    <row r="1099" spans="3:31" x14ac:dyDescent="0.25">
      <c r="C1099" s="201"/>
      <c r="E1099" s="201"/>
      <c r="F1099" s="201"/>
      <c r="I1099" s="198" t="s">
        <v>205</v>
      </c>
      <c r="J1099" s="198" t="s">
        <v>169</v>
      </c>
      <c r="K1099" s="202">
        <f t="shared" si="17"/>
        <v>565080</v>
      </c>
      <c r="L1099" s="202">
        <v>110.8</v>
      </c>
      <c r="N1099" s="202">
        <v>2.92</v>
      </c>
      <c r="S1099" s="204"/>
      <c r="W1099" s="198" t="s">
        <v>51</v>
      </c>
      <c r="AE1099" s="198" t="s">
        <v>831</v>
      </c>
    </row>
    <row r="1100" spans="3:31" x14ac:dyDescent="0.25">
      <c r="C1100" s="201"/>
      <c r="E1100" s="201"/>
      <c r="F1100" s="201"/>
      <c r="I1100" s="198" t="s">
        <v>668</v>
      </c>
      <c r="J1100" s="198" t="s">
        <v>112</v>
      </c>
      <c r="K1100" s="202">
        <f t="shared" si="17"/>
        <v>565590</v>
      </c>
      <c r="L1100" s="202">
        <v>110.9</v>
      </c>
      <c r="N1100" s="202">
        <v>58702.8</v>
      </c>
      <c r="S1100" s="203"/>
      <c r="W1100" s="198" t="s">
        <v>51</v>
      </c>
      <c r="AE1100" s="198" t="s">
        <v>831</v>
      </c>
    </row>
    <row r="1101" spans="3:31" x14ac:dyDescent="0.25">
      <c r="C1101" s="201"/>
      <c r="E1101" s="201"/>
      <c r="F1101" s="201"/>
      <c r="I1101" s="198" t="s">
        <v>669</v>
      </c>
      <c r="J1101" s="198" t="s">
        <v>112</v>
      </c>
      <c r="K1101" s="202">
        <f t="shared" si="17"/>
        <v>566100</v>
      </c>
      <c r="L1101" s="202">
        <v>111</v>
      </c>
      <c r="N1101" s="202">
        <v>549987.36</v>
      </c>
      <c r="S1101" s="203"/>
      <c r="W1101" s="198" t="s">
        <v>51</v>
      </c>
      <c r="AE1101" s="198" t="s">
        <v>831</v>
      </c>
    </row>
    <row r="1102" spans="3:31" x14ac:dyDescent="0.25">
      <c r="C1102" s="201"/>
      <c r="E1102" s="201"/>
      <c r="F1102" s="201"/>
      <c r="I1102" s="198" t="s">
        <v>671</v>
      </c>
      <c r="J1102" s="198" t="s">
        <v>95</v>
      </c>
      <c r="K1102" s="202">
        <f t="shared" si="17"/>
        <v>566610</v>
      </c>
      <c r="L1102" s="202">
        <v>111.1</v>
      </c>
      <c r="N1102" s="202">
        <v>14717.04</v>
      </c>
      <c r="S1102" s="203"/>
      <c r="W1102" s="198" t="s">
        <v>51</v>
      </c>
      <c r="AE1102" s="198" t="s">
        <v>831</v>
      </c>
    </row>
    <row r="1103" spans="3:31" x14ac:dyDescent="0.25">
      <c r="C1103" s="201"/>
      <c r="E1103" s="201"/>
      <c r="F1103" s="201"/>
      <c r="I1103" s="198" t="s">
        <v>110</v>
      </c>
      <c r="J1103" s="198" t="s">
        <v>89</v>
      </c>
      <c r="K1103" s="202">
        <f t="shared" si="17"/>
        <v>567120</v>
      </c>
      <c r="L1103" s="202">
        <v>111.2</v>
      </c>
      <c r="N1103" s="202">
        <v>473756.4</v>
      </c>
      <c r="S1103" s="203"/>
      <c r="W1103" s="198" t="s">
        <v>51</v>
      </c>
      <c r="AE1103" s="198" t="s">
        <v>831</v>
      </c>
    </row>
    <row r="1104" spans="3:31" x14ac:dyDescent="0.25">
      <c r="C1104" s="201"/>
      <c r="E1104" s="201"/>
      <c r="F1104" s="201"/>
      <c r="I1104" s="198" t="s">
        <v>129</v>
      </c>
      <c r="J1104" s="198" t="s">
        <v>130</v>
      </c>
      <c r="K1104" s="202">
        <f t="shared" si="17"/>
        <v>567630</v>
      </c>
      <c r="L1104" s="202">
        <v>111.3</v>
      </c>
      <c r="N1104" s="202">
        <v>-0.4</v>
      </c>
      <c r="S1104" s="204"/>
      <c r="W1104" s="198" t="s">
        <v>51</v>
      </c>
      <c r="AE1104" s="198" t="s">
        <v>833</v>
      </c>
    </row>
    <row r="1105" spans="3:31" x14ac:dyDescent="0.25">
      <c r="C1105" s="201"/>
      <c r="E1105" s="201"/>
      <c r="F1105" s="201"/>
      <c r="I1105" s="198" t="s">
        <v>136</v>
      </c>
      <c r="J1105" s="198" t="s">
        <v>137</v>
      </c>
      <c r="K1105" s="202">
        <f t="shared" si="17"/>
        <v>568140</v>
      </c>
      <c r="L1105" s="202">
        <v>111.4</v>
      </c>
      <c r="N1105" s="202">
        <v>-0.4</v>
      </c>
      <c r="S1105" s="204"/>
      <c r="W1105" s="198" t="s">
        <v>51</v>
      </c>
      <c r="AE1105" s="198" t="s">
        <v>844</v>
      </c>
    </row>
    <row r="1106" spans="3:31" x14ac:dyDescent="0.25">
      <c r="C1106" s="201"/>
      <c r="E1106" s="201"/>
      <c r="F1106" s="201"/>
      <c r="I1106" s="198" t="s">
        <v>276</v>
      </c>
      <c r="J1106" s="198" t="s">
        <v>143</v>
      </c>
      <c r="K1106" s="202">
        <f t="shared" si="17"/>
        <v>568650</v>
      </c>
      <c r="L1106" s="202">
        <v>111.5</v>
      </c>
      <c r="N1106" s="202">
        <v>83190</v>
      </c>
      <c r="S1106" s="204"/>
      <c r="W1106" s="198" t="s">
        <v>51</v>
      </c>
      <c r="AE1106" s="198" t="s">
        <v>829</v>
      </c>
    </row>
    <row r="1107" spans="3:31" x14ac:dyDescent="0.25">
      <c r="C1107" s="201"/>
      <c r="E1107" s="201"/>
      <c r="F1107" s="201"/>
      <c r="I1107" s="198" t="s">
        <v>276</v>
      </c>
      <c r="J1107" s="198" t="s">
        <v>143</v>
      </c>
      <c r="K1107" s="202">
        <f t="shared" si="17"/>
        <v>569160</v>
      </c>
      <c r="L1107" s="202">
        <v>111.6</v>
      </c>
      <c r="N1107" s="202">
        <v>135758.15</v>
      </c>
      <c r="S1107" s="204"/>
      <c r="W1107" s="198" t="s">
        <v>51</v>
      </c>
      <c r="AE1107" s="198" t="s">
        <v>829</v>
      </c>
    </row>
    <row r="1108" spans="3:31" x14ac:dyDescent="0.25">
      <c r="C1108" s="201"/>
      <c r="E1108" s="201"/>
      <c r="F1108" s="201"/>
      <c r="I1108" s="198" t="s">
        <v>135</v>
      </c>
      <c r="J1108" s="198" t="s">
        <v>117</v>
      </c>
      <c r="K1108" s="202">
        <f t="shared" si="17"/>
        <v>569670</v>
      </c>
      <c r="L1108" s="202">
        <v>111.7</v>
      </c>
      <c r="N1108" s="202">
        <v>1043410.41</v>
      </c>
      <c r="S1108" s="204"/>
      <c r="W1108" s="198" t="s">
        <v>51</v>
      </c>
      <c r="AE1108" s="198" t="s">
        <v>878</v>
      </c>
    </row>
    <row r="1109" spans="3:31" x14ac:dyDescent="0.25">
      <c r="C1109" s="201"/>
      <c r="E1109" s="201"/>
      <c r="F1109" s="201"/>
      <c r="I1109" s="198" t="s">
        <v>138</v>
      </c>
      <c r="J1109" s="198" t="s">
        <v>143</v>
      </c>
      <c r="K1109" s="202">
        <f t="shared" si="17"/>
        <v>570180</v>
      </c>
      <c r="L1109" s="202">
        <v>111.8</v>
      </c>
      <c r="N1109" s="202">
        <v>-0.3</v>
      </c>
      <c r="S1109" s="204"/>
      <c r="W1109" s="198" t="s">
        <v>51</v>
      </c>
      <c r="AE1109" s="198" t="s">
        <v>829</v>
      </c>
    </row>
    <row r="1110" spans="3:31" x14ac:dyDescent="0.25">
      <c r="C1110" s="201"/>
      <c r="E1110" s="201"/>
      <c r="F1110" s="201"/>
      <c r="I1110" s="198" t="s">
        <v>135</v>
      </c>
      <c r="J1110" s="198" t="s">
        <v>117</v>
      </c>
      <c r="K1110" s="202">
        <f t="shared" si="17"/>
        <v>570690</v>
      </c>
      <c r="L1110" s="202">
        <v>111.9</v>
      </c>
      <c r="N1110" s="202">
        <v>-1043410.41</v>
      </c>
      <c r="S1110" s="204"/>
      <c r="W1110" s="198" t="s">
        <v>51</v>
      </c>
      <c r="AE1110" s="198" t="s">
        <v>878</v>
      </c>
    </row>
    <row r="1111" spans="3:31" x14ac:dyDescent="0.25">
      <c r="C1111" s="201"/>
      <c r="E1111" s="201"/>
      <c r="F1111" s="201"/>
      <c r="I1111" s="198" t="s">
        <v>135</v>
      </c>
      <c r="J1111" s="198" t="s">
        <v>117</v>
      </c>
      <c r="K1111" s="202">
        <f t="shared" si="17"/>
        <v>571200</v>
      </c>
      <c r="L1111" s="202">
        <v>112</v>
      </c>
      <c r="N1111" s="202">
        <v>1043410.41</v>
      </c>
      <c r="S1111" s="204"/>
      <c r="W1111" s="198" t="s">
        <v>51</v>
      </c>
      <c r="AE1111" s="198" t="s">
        <v>878</v>
      </c>
    </row>
    <row r="1112" spans="3:31" x14ac:dyDescent="0.25">
      <c r="C1112" s="201"/>
      <c r="E1112" s="201"/>
      <c r="F1112" s="201"/>
      <c r="I1112" s="198" t="s">
        <v>532</v>
      </c>
      <c r="J1112" s="198" t="s">
        <v>137</v>
      </c>
      <c r="K1112" s="202">
        <f t="shared" si="17"/>
        <v>571710</v>
      </c>
      <c r="L1112" s="202">
        <v>112.1</v>
      </c>
      <c r="N1112" s="202">
        <v>-0.2</v>
      </c>
      <c r="S1112" s="204"/>
      <c r="W1112" s="198" t="s">
        <v>51</v>
      </c>
      <c r="AE1112" s="198" t="s">
        <v>844</v>
      </c>
    </row>
    <row r="1113" spans="3:31" x14ac:dyDescent="0.25">
      <c r="C1113" s="201"/>
      <c r="E1113" s="201"/>
      <c r="F1113" s="201"/>
      <c r="I1113" s="198" t="s">
        <v>197</v>
      </c>
      <c r="J1113" s="198" t="s">
        <v>156</v>
      </c>
      <c r="K1113" s="202">
        <f t="shared" si="17"/>
        <v>572220</v>
      </c>
      <c r="L1113" s="202">
        <v>112.2</v>
      </c>
      <c r="N1113" s="202">
        <v>0.3</v>
      </c>
      <c r="S1113" s="204"/>
      <c r="W1113" s="198" t="s">
        <v>51</v>
      </c>
      <c r="AE1113" s="198" t="s">
        <v>828</v>
      </c>
    </row>
    <row r="1114" spans="3:31" x14ac:dyDescent="0.25">
      <c r="C1114" s="201"/>
      <c r="E1114" s="201"/>
      <c r="F1114" s="201"/>
      <c r="I1114" s="198" t="s">
        <v>129</v>
      </c>
      <c r="J1114" s="198" t="s">
        <v>130</v>
      </c>
      <c r="K1114" s="202">
        <f t="shared" si="17"/>
        <v>572730</v>
      </c>
      <c r="L1114" s="202">
        <v>112.3</v>
      </c>
      <c r="N1114" s="202">
        <v>-0.28000000000000003</v>
      </c>
      <c r="S1114" s="204"/>
      <c r="W1114" s="198" t="s">
        <v>51</v>
      </c>
      <c r="AE1114" s="198" t="s">
        <v>833</v>
      </c>
    </row>
    <row r="1115" spans="3:31" x14ac:dyDescent="0.25">
      <c r="C1115" s="201"/>
      <c r="E1115" s="201"/>
      <c r="F1115" s="201"/>
      <c r="I1115" s="198" t="s">
        <v>204</v>
      </c>
      <c r="J1115" s="198" t="s">
        <v>169</v>
      </c>
      <c r="K1115" s="202">
        <f t="shared" si="17"/>
        <v>573240</v>
      </c>
      <c r="L1115" s="202">
        <v>112.4</v>
      </c>
      <c r="N1115" s="202">
        <v>349040</v>
      </c>
      <c r="S1115" s="204"/>
      <c r="W1115" s="198" t="s">
        <v>51</v>
      </c>
      <c r="AE1115" s="198" t="s">
        <v>831</v>
      </c>
    </row>
    <row r="1116" spans="3:31" x14ac:dyDescent="0.25">
      <c r="C1116" s="201"/>
      <c r="E1116" s="201"/>
      <c r="F1116" s="201"/>
      <c r="I1116" s="198" t="s">
        <v>202</v>
      </c>
      <c r="J1116" s="198" t="s">
        <v>65</v>
      </c>
      <c r="K1116" s="202">
        <f t="shared" si="17"/>
        <v>573750</v>
      </c>
      <c r="L1116" s="202">
        <v>112.5</v>
      </c>
      <c r="N1116" s="202">
        <v>354290</v>
      </c>
      <c r="S1116" s="204"/>
      <c r="W1116" s="198" t="s">
        <v>51</v>
      </c>
      <c r="AE1116" s="198" t="s">
        <v>831</v>
      </c>
    </row>
    <row r="1117" spans="3:31" x14ac:dyDescent="0.25">
      <c r="C1117" s="201"/>
      <c r="E1117" s="201"/>
      <c r="F1117" s="201"/>
      <c r="I1117" s="198" t="s">
        <v>202</v>
      </c>
      <c r="J1117" s="198" t="s">
        <v>65</v>
      </c>
      <c r="K1117" s="202">
        <f t="shared" si="17"/>
        <v>574260</v>
      </c>
      <c r="L1117" s="202">
        <v>112.6</v>
      </c>
      <c r="N1117" s="202">
        <v>354290</v>
      </c>
      <c r="S1117" s="204"/>
      <c r="W1117" s="198" t="s">
        <v>51</v>
      </c>
      <c r="AE1117" s="198" t="s">
        <v>831</v>
      </c>
    </row>
    <row r="1118" spans="3:31" x14ac:dyDescent="0.25">
      <c r="C1118" s="201"/>
      <c r="E1118" s="201"/>
      <c r="F1118" s="201"/>
      <c r="I1118" s="198" t="s">
        <v>202</v>
      </c>
      <c r="J1118" s="198" t="s">
        <v>65</v>
      </c>
      <c r="K1118" s="202">
        <f t="shared" si="17"/>
        <v>574770</v>
      </c>
      <c r="L1118" s="202">
        <v>112.7</v>
      </c>
      <c r="N1118" s="202">
        <v>354290</v>
      </c>
      <c r="S1118" s="204"/>
      <c r="W1118" s="198" t="s">
        <v>51</v>
      </c>
      <c r="AE1118" s="198" t="s">
        <v>831</v>
      </c>
    </row>
    <row r="1119" spans="3:31" x14ac:dyDescent="0.25">
      <c r="C1119" s="201"/>
      <c r="E1119" s="201"/>
      <c r="F1119" s="201"/>
      <c r="I1119" s="198" t="s">
        <v>131</v>
      </c>
      <c r="J1119" s="198" t="s">
        <v>132</v>
      </c>
      <c r="K1119" s="202">
        <f t="shared" si="17"/>
        <v>575280</v>
      </c>
      <c r="L1119" s="202">
        <v>112.8</v>
      </c>
      <c r="N1119" s="202">
        <v>5126825</v>
      </c>
      <c r="S1119" s="204"/>
      <c r="W1119" s="198" t="s">
        <v>51</v>
      </c>
      <c r="AE1119" s="198" t="s">
        <v>833</v>
      </c>
    </row>
    <row r="1120" spans="3:31" x14ac:dyDescent="0.25">
      <c r="C1120" s="201"/>
      <c r="E1120" s="201"/>
      <c r="F1120" s="201"/>
      <c r="I1120" s="198" t="s">
        <v>131</v>
      </c>
      <c r="J1120" s="198" t="s">
        <v>132</v>
      </c>
      <c r="K1120" s="202">
        <f t="shared" si="17"/>
        <v>575790</v>
      </c>
      <c r="L1120" s="202">
        <v>112.9</v>
      </c>
      <c r="N1120" s="202">
        <v>4101460</v>
      </c>
      <c r="S1120" s="204"/>
      <c r="W1120" s="198" t="s">
        <v>51</v>
      </c>
      <c r="AE1120" s="198" t="s">
        <v>833</v>
      </c>
    </row>
    <row r="1121" spans="3:31" x14ac:dyDescent="0.25">
      <c r="C1121" s="201"/>
      <c r="E1121" s="201"/>
      <c r="F1121" s="201"/>
      <c r="I1121" s="198" t="s">
        <v>131</v>
      </c>
      <c r="J1121" s="198" t="s">
        <v>132</v>
      </c>
      <c r="K1121" s="202">
        <f t="shared" si="17"/>
        <v>576300</v>
      </c>
      <c r="L1121" s="202">
        <v>113</v>
      </c>
      <c r="N1121" s="202">
        <v>3382240</v>
      </c>
      <c r="S1121" s="204"/>
      <c r="W1121" s="198" t="s">
        <v>51</v>
      </c>
      <c r="AE1121" s="198" t="s">
        <v>833</v>
      </c>
    </row>
    <row r="1122" spans="3:31" x14ac:dyDescent="0.25">
      <c r="C1122" s="201"/>
      <c r="E1122" s="201"/>
      <c r="F1122" s="201"/>
      <c r="I1122" s="198" t="s">
        <v>131</v>
      </c>
      <c r="J1122" s="198" t="s">
        <v>132</v>
      </c>
      <c r="K1122" s="202">
        <f t="shared" si="17"/>
        <v>576810</v>
      </c>
      <c r="L1122" s="202">
        <v>113.1</v>
      </c>
      <c r="N1122" s="202">
        <v>358094.66</v>
      </c>
      <c r="S1122" s="204"/>
      <c r="W1122" s="198" t="s">
        <v>51</v>
      </c>
      <c r="AE1122" s="198" t="s">
        <v>833</v>
      </c>
    </row>
    <row r="1123" spans="3:31" x14ac:dyDescent="0.25">
      <c r="C1123" s="201"/>
      <c r="E1123" s="201"/>
      <c r="F1123" s="201"/>
      <c r="I1123" s="198" t="s">
        <v>131</v>
      </c>
      <c r="J1123" s="198" t="s">
        <v>132</v>
      </c>
      <c r="K1123" s="202">
        <f t="shared" si="17"/>
        <v>577320</v>
      </c>
      <c r="L1123" s="202">
        <v>113.2</v>
      </c>
      <c r="N1123" s="202">
        <v>625872</v>
      </c>
      <c r="S1123" s="204"/>
      <c r="W1123" s="198" t="s">
        <v>51</v>
      </c>
      <c r="AE1123" s="198" t="s">
        <v>833</v>
      </c>
    </row>
    <row r="1124" spans="3:31" x14ac:dyDescent="0.25">
      <c r="C1124" s="201"/>
      <c r="E1124" s="201"/>
      <c r="F1124" s="201"/>
      <c r="I1124" s="198" t="s">
        <v>131</v>
      </c>
      <c r="J1124" s="198" t="s">
        <v>132</v>
      </c>
      <c r="K1124" s="202">
        <f t="shared" si="17"/>
        <v>577830</v>
      </c>
      <c r="L1124" s="202">
        <v>113.3</v>
      </c>
      <c r="N1124" s="202">
        <v>773136</v>
      </c>
      <c r="S1124" s="204"/>
      <c r="W1124" s="198" t="s">
        <v>51</v>
      </c>
      <c r="AE1124" s="198" t="s">
        <v>833</v>
      </c>
    </row>
    <row r="1125" spans="3:31" x14ac:dyDescent="0.25">
      <c r="C1125" s="201"/>
      <c r="E1125" s="201"/>
      <c r="F1125" s="201"/>
      <c r="I1125" s="198" t="s">
        <v>131</v>
      </c>
      <c r="J1125" s="198" t="s">
        <v>132</v>
      </c>
      <c r="K1125" s="202">
        <f t="shared" si="17"/>
        <v>578340</v>
      </c>
      <c r="L1125" s="202">
        <v>113.4</v>
      </c>
      <c r="N1125" s="202">
        <v>36808</v>
      </c>
      <c r="S1125" s="204"/>
      <c r="W1125" s="198" t="s">
        <v>51</v>
      </c>
      <c r="AE1125" s="198" t="s">
        <v>833</v>
      </c>
    </row>
    <row r="1126" spans="3:31" x14ac:dyDescent="0.25">
      <c r="C1126" s="201"/>
      <c r="E1126" s="201"/>
      <c r="F1126" s="201"/>
      <c r="I1126" s="198" t="s">
        <v>131</v>
      </c>
      <c r="J1126" s="198" t="s">
        <v>132</v>
      </c>
      <c r="K1126" s="202">
        <f t="shared" si="17"/>
        <v>578850</v>
      </c>
      <c r="L1126" s="202">
        <v>113.5</v>
      </c>
      <c r="N1126" s="202">
        <v>810000</v>
      </c>
      <c r="S1126" s="204"/>
      <c r="W1126" s="198" t="s">
        <v>51</v>
      </c>
      <c r="AE1126" s="198" t="s">
        <v>833</v>
      </c>
    </row>
    <row r="1127" spans="3:31" x14ac:dyDescent="0.25">
      <c r="C1127" s="201"/>
      <c r="E1127" s="201"/>
      <c r="F1127" s="201"/>
      <c r="I1127" s="198" t="s">
        <v>133</v>
      </c>
      <c r="J1127" s="198" t="s">
        <v>134</v>
      </c>
      <c r="K1127" s="202">
        <f t="shared" si="17"/>
        <v>579360</v>
      </c>
      <c r="L1127" s="202">
        <v>113.6</v>
      </c>
      <c r="N1127" s="202">
        <v>920400</v>
      </c>
      <c r="S1127" s="204"/>
      <c r="W1127" s="198" t="s">
        <v>51</v>
      </c>
      <c r="AE1127" s="198" t="s">
        <v>846</v>
      </c>
    </row>
    <row r="1128" spans="3:31" x14ac:dyDescent="0.25">
      <c r="C1128" s="201"/>
      <c r="E1128" s="201"/>
      <c r="F1128" s="201"/>
      <c r="I1128" s="198" t="s">
        <v>133</v>
      </c>
      <c r="J1128" s="198" t="s">
        <v>134</v>
      </c>
      <c r="K1128" s="202">
        <f t="shared" si="17"/>
        <v>579870</v>
      </c>
      <c r="L1128" s="202">
        <v>113.7</v>
      </c>
      <c r="N1128" s="202">
        <v>460200</v>
      </c>
      <c r="S1128" s="204"/>
      <c r="W1128" s="198" t="s">
        <v>51</v>
      </c>
      <c r="AE1128" s="198" t="s">
        <v>846</v>
      </c>
    </row>
    <row r="1129" spans="3:31" x14ac:dyDescent="0.25">
      <c r="C1129" s="201"/>
      <c r="E1129" s="201"/>
      <c r="F1129" s="201"/>
      <c r="I1129" s="198" t="s">
        <v>133</v>
      </c>
      <c r="J1129" s="198" t="s">
        <v>134</v>
      </c>
      <c r="K1129" s="202">
        <f t="shared" si="17"/>
        <v>580380</v>
      </c>
      <c r="L1129" s="202">
        <v>113.8</v>
      </c>
      <c r="N1129" s="202">
        <v>2537000</v>
      </c>
      <c r="S1129" s="204"/>
      <c r="W1129" s="198" t="s">
        <v>51</v>
      </c>
      <c r="AE1129" s="198" t="s">
        <v>846</v>
      </c>
    </row>
    <row r="1130" spans="3:31" x14ac:dyDescent="0.25">
      <c r="C1130" s="201"/>
      <c r="E1130" s="201"/>
      <c r="F1130" s="201"/>
      <c r="I1130" s="198" t="s">
        <v>135</v>
      </c>
      <c r="J1130" s="198" t="s">
        <v>117</v>
      </c>
      <c r="K1130" s="202">
        <f t="shared" si="17"/>
        <v>580890</v>
      </c>
      <c r="L1130" s="202">
        <v>113.9</v>
      </c>
      <c r="N1130" s="202">
        <v>-0.28000000000000003</v>
      </c>
      <c r="S1130" s="204"/>
      <c r="W1130" s="198" t="s">
        <v>51</v>
      </c>
      <c r="AE1130" s="198" t="s">
        <v>878</v>
      </c>
    </row>
    <row r="1131" spans="3:31" x14ac:dyDescent="0.25">
      <c r="C1131" s="201"/>
      <c r="E1131" s="201"/>
      <c r="F1131" s="201"/>
      <c r="I1131" s="198" t="s">
        <v>218</v>
      </c>
      <c r="J1131" s="198" t="s">
        <v>95</v>
      </c>
      <c r="K1131" s="202">
        <f t="shared" si="17"/>
        <v>581400</v>
      </c>
      <c r="L1131" s="202">
        <v>114</v>
      </c>
      <c r="N1131" s="202">
        <v>25116000</v>
      </c>
      <c r="S1131" s="204"/>
      <c r="W1131" s="198" t="s">
        <v>51</v>
      </c>
      <c r="AE1131" s="198" t="s">
        <v>831</v>
      </c>
    </row>
    <row r="1132" spans="3:31" x14ac:dyDescent="0.25">
      <c r="C1132" s="201"/>
      <c r="E1132" s="201"/>
      <c r="F1132" s="201"/>
      <c r="I1132" s="198" t="s">
        <v>218</v>
      </c>
      <c r="J1132" s="198" t="s">
        <v>95</v>
      </c>
      <c r="K1132" s="202">
        <f t="shared" si="17"/>
        <v>581910</v>
      </c>
      <c r="L1132" s="202">
        <v>114.1</v>
      </c>
      <c r="N1132" s="202">
        <v>20266350</v>
      </c>
      <c r="S1132" s="204"/>
      <c r="W1132" s="198" t="s">
        <v>51</v>
      </c>
      <c r="AE1132" s="198" t="s">
        <v>831</v>
      </c>
    </row>
    <row r="1133" spans="3:31" x14ac:dyDescent="0.25">
      <c r="C1133" s="201"/>
      <c r="E1133" s="201"/>
      <c r="F1133" s="201"/>
      <c r="I1133" s="198" t="s">
        <v>218</v>
      </c>
      <c r="J1133" s="198" t="s">
        <v>95</v>
      </c>
      <c r="K1133" s="202">
        <f t="shared" si="17"/>
        <v>582420</v>
      </c>
      <c r="L1133" s="202">
        <v>114.2</v>
      </c>
      <c r="N1133" s="202">
        <v>8742988.8000000007</v>
      </c>
      <c r="S1133" s="203"/>
      <c r="W1133" s="198" t="s">
        <v>51</v>
      </c>
      <c r="AE1133" s="198" t="s">
        <v>831</v>
      </c>
    </row>
    <row r="1134" spans="3:31" x14ac:dyDescent="0.25">
      <c r="C1134" s="201"/>
      <c r="E1134" s="201"/>
      <c r="F1134" s="201"/>
      <c r="I1134" s="198" t="s">
        <v>218</v>
      </c>
      <c r="J1134" s="198" t="s">
        <v>95</v>
      </c>
      <c r="K1134" s="202">
        <f t="shared" si="17"/>
        <v>582930</v>
      </c>
      <c r="L1134" s="202">
        <v>114.3</v>
      </c>
      <c r="N1134" s="202">
        <v>5828659.2000000002</v>
      </c>
      <c r="S1134" s="203"/>
      <c r="W1134" s="198" t="s">
        <v>51</v>
      </c>
      <c r="AE1134" s="198" t="s">
        <v>831</v>
      </c>
    </row>
    <row r="1135" spans="3:31" x14ac:dyDescent="0.25">
      <c r="C1135" s="201"/>
      <c r="E1135" s="201"/>
      <c r="F1135" s="201"/>
      <c r="I1135" s="198" t="s">
        <v>219</v>
      </c>
      <c r="J1135" s="198" t="s">
        <v>95</v>
      </c>
      <c r="K1135" s="202">
        <f t="shared" si="17"/>
        <v>583440</v>
      </c>
      <c r="L1135" s="202">
        <v>114.4</v>
      </c>
      <c r="N1135" s="202">
        <v>4709250</v>
      </c>
      <c r="S1135" s="204"/>
      <c r="W1135" s="198" t="s">
        <v>51</v>
      </c>
      <c r="AE1135" s="198" t="s">
        <v>831</v>
      </c>
    </row>
    <row r="1136" spans="3:31" x14ac:dyDescent="0.25">
      <c r="C1136" s="201"/>
      <c r="E1136" s="201"/>
      <c r="F1136" s="201"/>
      <c r="I1136" s="198" t="s">
        <v>219</v>
      </c>
      <c r="J1136" s="198" t="s">
        <v>95</v>
      </c>
      <c r="K1136" s="202">
        <f t="shared" si="17"/>
        <v>583950</v>
      </c>
      <c r="L1136" s="202">
        <v>114.5</v>
      </c>
      <c r="N1136" s="202">
        <v>4431282.5599999996</v>
      </c>
      <c r="S1136" s="203"/>
      <c r="W1136" s="198" t="s">
        <v>51</v>
      </c>
      <c r="AE1136" s="198" t="s">
        <v>831</v>
      </c>
    </row>
    <row r="1137" spans="3:31" x14ac:dyDescent="0.25">
      <c r="C1137" s="201"/>
      <c r="E1137" s="201"/>
      <c r="F1137" s="201"/>
      <c r="I1137" s="198" t="s">
        <v>219</v>
      </c>
      <c r="J1137" s="198" t="s">
        <v>95</v>
      </c>
      <c r="K1137" s="202">
        <f t="shared" si="17"/>
        <v>584460</v>
      </c>
      <c r="L1137" s="202">
        <v>114.6</v>
      </c>
      <c r="N1137" s="202">
        <v>1603929.6</v>
      </c>
      <c r="S1137" s="203"/>
      <c r="W1137" s="198" t="s">
        <v>51</v>
      </c>
      <c r="AE1137" s="198" t="s">
        <v>831</v>
      </c>
    </row>
    <row r="1138" spans="3:31" x14ac:dyDescent="0.25">
      <c r="C1138" s="201"/>
      <c r="E1138" s="201"/>
      <c r="F1138" s="201"/>
      <c r="I1138" s="198" t="s">
        <v>219</v>
      </c>
      <c r="J1138" s="198" t="s">
        <v>95</v>
      </c>
      <c r="K1138" s="202">
        <f t="shared" si="17"/>
        <v>584970</v>
      </c>
      <c r="L1138" s="202">
        <v>114.7</v>
      </c>
      <c r="N1138" s="202">
        <v>1069286.3999999999</v>
      </c>
      <c r="S1138" s="203"/>
      <c r="W1138" s="198" t="s">
        <v>51</v>
      </c>
      <c r="AE1138" s="198" t="s">
        <v>831</v>
      </c>
    </row>
    <row r="1139" spans="3:31" x14ac:dyDescent="0.25">
      <c r="C1139" s="201"/>
      <c r="E1139" s="201"/>
      <c r="F1139" s="201"/>
      <c r="I1139" s="198" t="s">
        <v>220</v>
      </c>
      <c r="J1139" s="198" t="s">
        <v>95</v>
      </c>
      <c r="K1139" s="202">
        <f t="shared" si="17"/>
        <v>585480</v>
      </c>
      <c r="L1139" s="202">
        <v>114.8</v>
      </c>
      <c r="N1139" s="202">
        <v>1046500</v>
      </c>
      <c r="S1139" s="204"/>
      <c r="W1139" s="198" t="s">
        <v>51</v>
      </c>
      <c r="AE1139" s="198" t="s">
        <v>831</v>
      </c>
    </row>
    <row r="1140" spans="3:31" x14ac:dyDescent="0.25">
      <c r="C1140" s="201"/>
      <c r="E1140" s="201"/>
      <c r="F1140" s="201"/>
      <c r="I1140" s="198" t="s">
        <v>220</v>
      </c>
      <c r="J1140" s="198" t="s">
        <v>95</v>
      </c>
      <c r="K1140" s="202">
        <f t="shared" si="17"/>
        <v>585990</v>
      </c>
      <c r="L1140" s="202">
        <v>114.9</v>
      </c>
      <c r="N1140" s="202">
        <v>984731.28</v>
      </c>
      <c r="S1140" s="203"/>
      <c r="W1140" s="198" t="s">
        <v>51</v>
      </c>
      <c r="AE1140" s="198" t="s">
        <v>831</v>
      </c>
    </row>
    <row r="1141" spans="3:31" x14ac:dyDescent="0.25">
      <c r="C1141" s="201"/>
      <c r="E1141" s="201"/>
      <c r="F1141" s="201"/>
      <c r="I1141" s="198" t="s">
        <v>220</v>
      </c>
      <c r="J1141" s="198" t="s">
        <v>95</v>
      </c>
      <c r="K1141" s="202">
        <f t="shared" si="17"/>
        <v>586500</v>
      </c>
      <c r="L1141" s="202">
        <v>115</v>
      </c>
      <c r="N1141" s="202">
        <v>356428.79999999999</v>
      </c>
      <c r="S1141" s="203"/>
      <c r="W1141" s="198" t="s">
        <v>51</v>
      </c>
      <c r="AE1141" s="198" t="s">
        <v>831</v>
      </c>
    </row>
    <row r="1142" spans="3:31" x14ac:dyDescent="0.25">
      <c r="C1142" s="201"/>
      <c r="E1142" s="201"/>
      <c r="F1142" s="201"/>
      <c r="I1142" s="198" t="s">
        <v>220</v>
      </c>
      <c r="J1142" s="198" t="s">
        <v>95</v>
      </c>
      <c r="K1142" s="202">
        <f t="shared" si="17"/>
        <v>587010</v>
      </c>
      <c r="L1142" s="202">
        <v>115.1</v>
      </c>
      <c r="N1142" s="202">
        <v>237619.20000000001</v>
      </c>
      <c r="S1142" s="203"/>
      <c r="W1142" s="198" t="s">
        <v>51</v>
      </c>
      <c r="AE1142" s="198" t="s">
        <v>831</v>
      </c>
    </row>
    <row r="1143" spans="3:31" x14ac:dyDescent="0.25">
      <c r="C1143" s="201"/>
      <c r="E1143" s="201"/>
      <c r="F1143" s="201"/>
      <c r="I1143" s="198" t="s">
        <v>229</v>
      </c>
      <c r="J1143" s="198" t="s">
        <v>95</v>
      </c>
      <c r="K1143" s="202">
        <f t="shared" si="17"/>
        <v>587520</v>
      </c>
      <c r="L1143" s="202">
        <v>115.2</v>
      </c>
      <c r="N1143" s="202">
        <v>598000</v>
      </c>
      <c r="S1143" s="204"/>
      <c r="W1143" s="198" t="s">
        <v>51</v>
      </c>
      <c r="AE1143" s="198" t="s">
        <v>831</v>
      </c>
    </row>
    <row r="1144" spans="3:31" x14ac:dyDescent="0.25">
      <c r="C1144" s="201"/>
      <c r="E1144" s="201"/>
      <c r="F1144" s="201"/>
      <c r="I1144" s="198" t="s">
        <v>229</v>
      </c>
      <c r="J1144" s="198" t="s">
        <v>95</v>
      </c>
      <c r="K1144" s="202">
        <f t="shared" si="17"/>
        <v>588030</v>
      </c>
      <c r="L1144" s="202">
        <v>115.3</v>
      </c>
      <c r="N1144" s="202">
        <v>484095</v>
      </c>
      <c r="S1144" s="204"/>
      <c r="W1144" s="198" t="s">
        <v>51</v>
      </c>
      <c r="AE1144" s="198" t="s">
        <v>831</v>
      </c>
    </row>
    <row r="1145" spans="3:31" x14ac:dyDescent="0.25">
      <c r="C1145" s="201"/>
      <c r="E1145" s="201"/>
      <c r="F1145" s="201"/>
      <c r="I1145" s="198" t="s">
        <v>229</v>
      </c>
      <c r="J1145" s="198" t="s">
        <v>95</v>
      </c>
      <c r="K1145" s="202">
        <f t="shared" si="17"/>
        <v>588540</v>
      </c>
      <c r="L1145" s="202">
        <v>115.4</v>
      </c>
      <c r="N1145" s="202">
        <v>203673.60000000001</v>
      </c>
      <c r="S1145" s="203"/>
      <c r="W1145" s="198" t="s">
        <v>51</v>
      </c>
      <c r="AE1145" s="198" t="s">
        <v>831</v>
      </c>
    </row>
    <row r="1146" spans="3:31" x14ac:dyDescent="0.25">
      <c r="C1146" s="201"/>
      <c r="E1146" s="201"/>
      <c r="F1146" s="201"/>
      <c r="I1146" s="198" t="s">
        <v>229</v>
      </c>
      <c r="J1146" s="198" t="s">
        <v>95</v>
      </c>
      <c r="K1146" s="202">
        <f t="shared" si="17"/>
        <v>589050</v>
      </c>
      <c r="L1146" s="202">
        <v>115.5</v>
      </c>
      <c r="N1146" s="202">
        <v>135782.39999999999</v>
      </c>
      <c r="S1146" s="203"/>
      <c r="W1146" s="198" t="s">
        <v>51</v>
      </c>
      <c r="AE1146" s="198" t="s">
        <v>831</v>
      </c>
    </row>
    <row r="1147" spans="3:31" x14ac:dyDescent="0.25">
      <c r="C1147" s="201"/>
      <c r="E1147" s="201"/>
      <c r="F1147" s="201"/>
      <c r="I1147" s="198" t="s">
        <v>215</v>
      </c>
      <c r="J1147" s="198" t="s">
        <v>89</v>
      </c>
      <c r="K1147" s="202">
        <f t="shared" si="17"/>
        <v>589560</v>
      </c>
      <c r="L1147" s="202">
        <v>115.6</v>
      </c>
      <c r="N1147" s="202">
        <v>32516250</v>
      </c>
      <c r="S1147" s="204"/>
      <c r="W1147" s="198" t="s">
        <v>51</v>
      </c>
      <c r="AE1147" s="198" t="s">
        <v>831</v>
      </c>
    </row>
    <row r="1148" spans="3:31" x14ac:dyDescent="0.25">
      <c r="C1148" s="201"/>
      <c r="E1148" s="201"/>
      <c r="F1148" s="201"/>
      <c r="I1148" s="198" t="s">
        <v>215</v>
      </c>
      <c r="J1148" s="198" t="s">
        <v>89</v>
      </c>
      <c r="K1148" s="202">
        <f t="shared" si="17"/>
        <v>590070</v>
      </c>
      <c r="L1148" s="202">
        <v>115.7</v>
      </c>
      <c r="N1148" s="202">
        <v>30596970.120000001</v>
      </c>
      <c r="S1148" s="203"/>
      <c r="W1148" s="198" t="s">
        <v>51</v>
      </c>
      <c r="AE1148" s="198" t="s">
        <v>831</v>
      </c>
    </row>
    <row r="1149" spans="3:31" x14ac:dyDescent="0.25">
      <c r="C1149" s="201"/>
      <c r="E1149" s="201"/>
      <c r="F1149" s="201"/>
      <c r="I1149" s="198" t="s">
        <v>215</v>
      </c>
      <c r="J1149" s="198" t="s">
        <v>89</v>
      </c>
      <c r="K1149" s="202">
        <f t="shared" si="17"/>
        <v>590580</v>
      </c>
      <c r="L1149" s="202">
        <v>115.8</v>
      </c>
      <c r="N1149" s="202">
        <v>13057761.6</v>
      </c>
      <c r="S1149" s="203"/>
      <c r="W1149" s="198" t="s">
        <v>51</v>
      </c>
      <c r="AE1149" s="198" t="s">
        <v>831</v>
      </c>
    </row>
    <row r="1150" spans="3:31" x14ac:dyDescent="0.25">
      <c r="C1150" s="201"/>
      <c r="E1150" s="201"/>
      <c r="F1150" s="201"/>
      <c r="I1150" s="198" t="s">
        <v>215</v>
      </c>
      <c r="J1150" s="198" t="s">
        <v>89</v>
      </c>
      <c r="K1150" s="202">
        <f t="shared" si="17"/>
        <v>591090</v>
      </c>
      <c r="L1150" s="202">
        <v>115.9</v>
      </c>
      <c r="N1150" s="202">
        <v>8705174.4000000004</v>
      </c>
      <c r="S1150" s="203"/>
      <c r="W1150" s="198" t="s">
        <v>51</v>
      </c>
      <c r="AE1150" s="198" t="s">
        <v>831</v>
      </c>
    </row>
    <row r="1151" spans="3:31" x14ac:dyDescent="0.25">
      <c r="C1151" s="201"/>
      <c r="E1151" s="201"/>
      <c r="F1151" s="201"/>
      <c r="I1151" s="198" t="s">
        <v>215</v>
      </c>
      <c r="J1151" s="198" t="s">
        <v>89</v>
      </c>
      <c r="K1151" s="202">
        <f t="shared" si="17"/>
        <v>591600</v>
      </c>
      <c r="L1151" s="202">
        <v>116</v>
      </c>
      <c r="N1151" s="202">
        <v>3882359.04</v>
      </c>
      <c r="S1151" s="203"/>
      <c r="W1151" s="198" t="s">
        <v>51</v>
      </c>
      <c r="AE1151" s="198" t="s">
        <v>831</v>
      </c>
    </row>
    <row r="1152" spans="3:31" x14ac:dyDescent="0.25">
      <c r="C1152" s="201"/>
      <c r="E1152" s="201"/>
      <c r="F1152" s="201"/>
      <c r="I1152" s="198" t="s">
        <v>215</v>
      </c>
      <c r="J1152" s="198" t="s">
        <v>89</v>
      </c>
      <c r="K1152" s="202">
        <f t="shared" si="17"/>
        <v>592110</v>
      </c>
      <c r="L1152" s="202">
        <v>116.1</v>
      </c>
      <c r="N1152" s="202">
        <v>1361098.05</v>
      </c>
      <c r="S1152" s="203"/>
      <c r="W1152" s="198" t="s">
        <v>51</v>
      </c>
      <c r="AE1152" s="198" t="s">
        <v>831</v>
      </c>
    </row>
    <row r="1153" spans="3:31" x14ac:dyDescent="0.25">
      <c r="C1153" s="201"/>
      <c r="E1153" s="201"/>
      <c r="F1153" s="201"/>
      <c r="I1153" s="198" t="s">
        <v>215</v>
      </c>
      <c r="J1153" s="198" t="s">
        <v>89</v>
      </c>
      <c r="K1153" s="202">
        <f t="shared" si="17"/>
        <v>592620</v>
      </c>
      <c r="L1153" s="202">
        <v>116.2</v>
      </c>
      <c r="N1153" s="202">
        <v>2541408</v>
      </c>
      <c r="S1153" s="203"/>
      <c r="W1153" s="198" t="s">
        <v>51</v>
      </c>
      <c r="AE1153" s="198" t="s">
        <v>831</v>
      </c>
    </row>
    <row r="1154" spans="3:31" x14ac:dyDescent="0.25">
      <c r="C1154" s="201"/>
      <c r="E1154" s="201"/>
      <c r="F1154" s="201"/>
      <c r="I1154" s="198" t="s">
        <v>215</v>
      </c>
      <c r="J1154" s="198" t="s">
        <v>89</v>
      </c>
      <c r="K1154" s="202">
        <f t="shared" si="17"/>
        <v>593130</v>
      </c>
      <c r="L1154" s="202">
        <v>116.3</v>
      </c>
      <c r="N1154" s="202">
        <v>622500</v>
      </c>
      <c r="S1154" s="204"/>
      <c r="W1154" s="198" t="s">
        <v>51</v>
      </c>
      <c r="AE1154" s="198" t="s">
        <v>831</v>
      </c>
    </row>
    <row r="1155" spans="3:31" x14ac:dyDescent="0.25">
      <c r="C1155" s="201"/>
      <c r="E1155" s="201"/>
      <c r="F1155" s="201"/>
      <c r="I1155" s="198" t="s">
        <v>216</v>
      </c>
      <c r="J1155" s="198" t="s">
        <v>89</v>
      </c>
      <c r="K1155" s="202">
        <f t="shared" ref="K1155:K1218" si="18">L1155*5100</f>
        <v>593640</v>
      </c>
      <c r="L1155" s="202">
        <v>116.4</v>
      </c>
      <c r="N1155" s="202">
        <v>6746187.5</v>
      </c>
      <c r="S1155" s="203"/>
      <c r="W1155" s="198" t="s">
        <v>51</v>
      </c>
      <c r="AE1155" s="198" t="s">
        <v>831</v>
      </c>
    </row>
    <row r="1156" spans="3:31" x14ac:dyDescent="0.25">
      <c r="C1156" s="201"/>
      <c r="E1156" s="201"/>
      <c r="F1156" s="201"/>
      <c r="I1156" s="198" t="s">
        <v>216</v>
      </c>
      <c r="J1156" s="198" t="s">
        <v>89</v>
      </c>
      <c r="K1156" s="202">
        <f t="shared" si="18"/>
        <v>594150</v>
      </c>
      <c r="L1156" s="202">
        <v>116.5</v>
      </c>
      <c r="N1156" s="202">
        <v>6347986.9699999997</v>
      </c>
      <c r="S1156" s="203"/>
      <c r="W1156" s="198" t="s">
        <v>51</v>
      </c>
      <c r="AE1156" s="198" t="s">
        <v>831</v>
      </c>
    </row>
    <row r="1157" spans="3:31" x14ac:dyDescent="0.25">
      <c r="C1157" s="201"/>
      <c r="E1157" s="201"/>
      <c r="F1157" s="201"/>
      <c r="I1157" s="198" t="s">
        <v>216</v>
      </c>
      <c r="J1157" s="198" t="s">
        <v>89</v>
      </c>
      <c r="K1157" s="202">
        <f t="shared" si="18"/>
        <v>594660</v>
      </c>
      <c r="L1157" s="202">
        <v>116.6</v>
      </c>
      <c r="N1157" s="202">
        <v>2297692.7999999998</v>
      </c>
      <c r="S1157" s="203"/>
      <c r="W1157" s="198" t="s">
        <v>51</v>
      </c>
      <c r="AE1157" s="198" t="s">
        <v>831</v>
      </c>
    </row>
    <row r="1158" spans="3:31" x14ac:dyDescent="0.25">
      <c r="C1158" s="201"/>
      <c r="E1158" s="201"/>
      <c r="F1158" s="201"/>
      <c r="I1158" s="198" t="s">
        <v>216</v>
      </c>
      <c r="J1158" s="198" t="s">
        <v>89</v>
      </c>
      <c r="K1158" s="202">
        <f t="shared" si="18"/>
        <v>595170</v>
      </c>
      <c r="L1158" s="202">
        <v>116.7</v>
      </c>
      <c r="N1158" s="202">
        <v>1531795.2</v>
      </c>
      <c r="S1158" s="203"/>
      <c r="W1158" s="198" t="s">
        <v>51</v>
      </c>
      <c r="AE1158" s="198" t="s">
        <v>831</v>
      </c>
    </row>
    <row r="1159" spans="3:31" x14ac:dyDescent="0.25">
      <c r="C1159" s="201"/>
      <c r="E1159" s="201"/>
      <c r="F1159" s="201"/>
      <c r="I1159" s="198" t="s">
        <v>217</v>
      </c>
      <c r="J1159" s="198" t="s">
        <v>89</v>
      </c>
      <c r="K1159" s="202">
        <f t="shared" si="18"/>
        <v>595680</v>
      </c>
      <c r="L1159" s="202">
        <v>116.8</v>
      </c>
      <c r="N1159" s="202">
        <v>1289437.5</v>
      </c>
      <c r="S1159" s="203"/>
      <c r="W1159" s="198" t="s">
        <v>51</v>
      </c>
      <c r="AE1159" s="198" t="s">
        <v>831</v>
      </c>
    </row>
    <row r="1160" spans="3:31" x14ac:dyDescent="0.25">
      <c r="C1160" s="201"/>
      <c r="E1160" s="201"/>
      <c r="F1160" s="201"/>
      <c r="I1160" s="198" t="s">
        <v>217</v>
      </c>
      <c r="J1160" s="198" t="s">
        <v>89</v>
      </c>
      <c r="K1160" s="202">
        <f t="shared" si="18"/>
        <v>596190</v>
      </c>
      <c r="L1160" s="202">
        <v>116.9</v>
      </c>
      <c r="N1160" s="202">
        <v>1213330.79</v>
      </c>
      <c r="S1160" s="203"/>
      <c r="W1160" s="198" t="s">
        <v>51</v>
      </c>
      <c r="AE1160" s="198" t="s">
        <v>831</v>
      </c>
    </row>
    <row r="1161" spans="3:31" x14ac:dyDescent="0.25">
      <c r="C1161" s="201"/>
      <c r="E1161" s="201"/>
      <c r="F1161" s="201"/>
      <c r="I1161" s="198" t="s">
        <v>217</v>
      </c>
      <c r="J1161" s="198" t="s">
        <v>89</v>
      </c>
      <c r="K1161" s="202">
        <f t="shared" si="18"/>
        <v>596700</v>
      </c>
      <c r="L1161" s="202">
        <v>117</v>
      </c>
      <c r="N1161" s="202">
        <v>439171.2</v>
      </c>
      <c r="S1161" s="203"/>
      <c r="W1161" s="198" t="s">
        <v>51</v>
      </c>
      <c r="AE1161" s="198" t="s">
        <v>831</v>
      </c>
    </row>
    <row r="1162" spans="3:31" x14ac:dyDescent="0.25">
      <c r="C1162" s="201"/>
      <c r="E1162" s="201"/>
      <c r="F1162" s="201"/>
      <c r="I1162" s="198" t="s">
        <v>217</v>
      </c>
      <c r="J1162" s="198" t="s">
        <v>89</v>
      </c>
      <c r="K1162" s="202">
        <f t="shared" si="18"/>
        <v>597210</v>
      </c>
      <c r="L1162" s="202">
        <v>117.1</v>
      </c>
      <c r="N1162" s="202">
        <v>292780.79999999999</v>
      </c>
      <c r="S1162" s="203"/>
      <c r="W1162" s="198" t="s">
        <v>51</v>
      </c>
      <c r="AE1162" s="198" t="s">
        <v>831</v>
      </c>
    </row>
    <row r="1163" spans="3:31" x14ac:dyDescent="0.25">
      <c r="C1163" s="201"/>
      <c r="E1163" s="201"/>
      <c r="F1163" s="201"/>
      <c r="I1163" s="198" t="s">
        <v>230</v>
      </c>
      <c r="J1163" s="198" t="s">
        <v>89</v>
      </c>
      <c r="K1163" s="202">
        <f t="shared" si="18"/>
        <v>597720</v>
      </c>
      <c r="L1163" s="202">
        <v>117.2</v>
      </c>
      <c r="N1163" s="202">
        <v>747500</v>
      </c>
      <c r="S1163" s="204"/>
      <c r="W1163" s="198" t="s">
        <v>51</v>
      </c>
      <c r="AE1163" s="198" t="s">
        <v>831</v>
      </c>
    </row>
    <row r="1164" spans="3:31" x14ac:dyDescent="0.25">
      <c r="C1164" s="201"/>
      <c r="E1164" s="201"/>
      <c r="F1164" s="201"/>
      <c r="I1164" s="198" t="s">
        <v>230</v>
      </c>
      <c r="J1164" s="198" t="s">
        <v>89</v>
      </c>
      <c r="K1164" s="202">
        <f t="shared" si="18"/>
        <v>598230</v>
      </c>
      <c r="L1164" s="202">
        <v>117.3</v>
      </c>
      <c r="N1164" s="202">
        <v>703381.83</v>
      </c>
      <c r="S1164" s="203"/>
      <c r="W1164" s="198" t="s">
        <v>51</v>
      </c>
      <c r="AE1164" s="198" t="s">
        <v>831</v>
      </c>
    </row>
    <row r="1165" spans="3:31" x14ac:dyDescent="0.25">
      <c r="C1165" s="201"/>
      <c r="E1165" s="201"/>
      <c r="F1165" s="201"/>
      <c r="I1165" s="198" t="s">
        <v>230</v>
      </c>
      <c r="J1165" s="198" t="s">
        <v>89</v>
      </c>
      <c r="K1165" s="202">
        <f t="shared" si="18"/>
        <v>598740</v>
      </c>
      <c r="L1165" s="202">
        <v>117.4</v>
      </c>
      <c r="N1165" s="202">
        <v>254592</v>
      </c>
      <c r="S1165" s="203"/>
      <c r="W1165" s="198" t="s">
        <v>51</v>
      </c>
      <c r="AE1165" s="198" t="s">
        <v>831</v>
      </c>
    </row>
    <row r="1166" spans="3:31" x14ac:dyDescent="0.25">
      <c r="C1166" s="201"/>
      <c r="E1166" s="201"/>
      <c r="F1166" s="201"/>
      <c r="I1166" s="198" t="s">
        <v>230</v>
      </c>
      <c r="J1166" s="198" t="s">
        <v>89</v>
      </c>
      <c r="K1166" s="202">
        <f t="shared" si="18"/>
        <v>599250</v>
      </c>
      <c r="L1166" s="202">
        <v>117.5</v>
      </c>
      <c r="N1166" s="202">
        <v>169728</v>
      </c>
      <c r="S1166" s="203"/>
      <c r="W1166" s="198" t="s">
        <v>51</v>
      </c>
      <c r="AE1166" s="198" t="s">
        <v>831</v>
      </c>
    </row>
    <row r="1167" spans="3:31" x14ac:dyDescent="0.25">
      <c r="C1167" s="201"/>
      <c r="E1167" s="201"/>
      <c r="F1167" s="201"/>
      <c r="I1167" s="198" t="s">
        <v>136</v>
      </c>
      <c r="J1167" s="198" t="s">
        <v>137</v>
      </c>
      <c r="K1167" s="202">
        <f t="shared" si="18"/>
        <v>599760</v>
      </c>
      <c r="L1167" s="202">
        <v>117.6</v>
      </c>
      <c r="N1167" s="202">
        <v>301702.5</v>
      </c>
      <c r="S1167" s="204"/>
      <c r="W1167" s="198" t="s">
        <v>51</v>
      </c>
      <c r="AE1167" s="198" t="s">
        <v>844</v>
      </c>
    </row>
    <row r="1168" spans="3:31" x14ac:dyDescent="0.25">
      <c r="C1168" s="201"/>
      <c r="E1168" s="201"/>
      <c r="F1168" s="201"/>
      <c r="I1168" s="198" t="s">
        <v>136</v>
      </c>
      <c r="J1168" s="198" t="s">
        <v>137</v>
      </c>
      <c r="K1168" s="202">
        <f t="shared" si="18"/>
        <v>600270</v>
      </c>
      <c r="L1168" s="202">
        <v>117.7</v>
      </c>
      <c r="N1168" s="202">
        <v>1735093</v>
      </c>
      <c r="S1168" s="204"/>
      <c r="W1168" s="198" t="s">
        <v>51</v>
      </c>
      <c r="AE1168" s="198" t="s">
        <v>844</v>
      </c>
    </row>
    <row r="1169" spans="3:31" x14ac:dyDescent="0.25">
      <c r="C1169" s="201"/>
      <c r="E1169" s="201"/>
      <c r="F1169" s="201"/>
      <c r="I1169" s="198" t="s">
        <v>362</v>
      </c>
      <c r="J1169" s="198" t="s">
        <v>132</v>
      </c>
      <c r="K1169" s="202">
        <f t="shared" si="18"/>
        <v>600780</v>
      </c>
      <c r="L1169" s="202">
        <v>117.8</v>
      </c>
      <c r="N1169" s="202">
        <v>-0.46</v>
      </c>
      <c r="S1169" s="204"/>
      <c r="W1169" s="198" t="s">
        <v>51</v>
      </c>
      <c r="AE1169" s="198" t="s">
        <v>833</v>
      </c>
    </row>
    <row r="1170" spans="3:31" x14ac:dyDescent="0.25">
      <c r="C1170" s="201"/>
      <c r="E1170" s="201"/>
      <c r="F1170" s="201"/>
      <c r="I1170" s="198" t="s">
        <v>843</v>
      </c>
      <c r="J1170" s="198" t="s">
        <v>137</v>
      </c>
      <c r="K1170" s="202">
        <f t="shared" si="18"/>
        <v>601290</v>
      </c>
      <c r="L1170" s="202">
        <v>117.9</v>
      </c>
      <c r="N1170" s="202">
        <v>6274750</v>
      </c>
      <c r="S1170" s="204"/>
      <c r="W1170" s="198" t="s">
        <v>51</v>
      </c>
      <c r="AE1170" s="198" t="s">
        <v>844</v>
      </c>
    </row>
    <row r="1171" spans="3:31" x14ac:dyDescent="0.25">
      <c r="C1171" s="201"/>
      <c r="E1171" s="201"/>
      <c r="F1171" s="201"/>
      <c r="I1171" s="198" t="s">
        <v>843</v>
      </c>
      <c r="J1171" s="198" t="s">
        <v>137</v>
      </c>
      <c r="K1171" s="202">
        <f t="shared" si="18"/>
        <v>601800</v>
      </c>
      <c r="L1171" s="202">
        <v>118</v>
      </c>
      <c r="N1171" s="202">
        <v>6251950</v>
      </c>
      <c r="S1171" s="204"/>
      <c r="W1171" s="198" t="s">
        <v>51</v>
      </c>
      <c r="AE1171" s="198" t="s">
        <v>844</v>
      </c>
    </row>
    <row r="1172" spans="3:31" x14ac:dyDescent="0.25">
      <c r="C1172" s="201"/>
      <c r="E1172" s="201"/>
      <c r="F1172" s="201"/>
      <c r="I1172" s="198" t="s">
        <v>362</v>
      </c>
      <c r="J1172" s="198" t="s">
        <v>132</v>
      </c>
      <c r="K1172" s="202">
        <f t="shared" si="18"/>
        <v>602310</v>
      </c>
      <c r="L1172" s="202">
        <v>118.1</v>
      </c>
      <c r="N1172" s="202">
        <v>16535647</v>
      </c>
      <c r="S1172" s="204"/>
      <c r="W1172" s="198" t="s">
        <v>51</v>
      </c>
      <c r="AE1172" s="198" t="s">
        <v>833</v>
      </c>
    </row>
    <row r="1173" spans="3:31" x14ac:dyDescent="0.25">
      <c r="C1173" s="201"/>
      <c r="E1173" s="201"/>
      <c r="F1173" s="201"/>
      <c r="I1173" s="198" t="s">
        <v>362</v>
      </c>
      <c r="J1173" s="198" t="s">
        <v>132</v>
      </c>
      <c r="K1173" s="202">
        <f t="shared" si="18"/>
        <v>602820</v>
      </c>
      <c r="L1173" s="202">
        <v>118.2</v>
      </c>
      <c r="N1173" s="202">
        <v>16535647</v>
      </c>
      <c r="S1173" s="204"/>
      <c r="W1173" s="198" t="s">
        <v>51</v>
      </c>
      <c r="AE1173" s="198" t="s">
        <v>833</v>
      </c>
    </row>
    <row r="1174" spans="3:31" x14ac:dyDescent="0.25">
      <c r="C1174" s="201"/>
      <c r="E1174" s="201"/>
      <c r="F1174" s="201"/>
      <c r="I1174" s="198" t="s">
        <v>843</v>
      </c>
      <c r="J1174" s="198" t="s">
        <v>137</v>
      </c>
      <c r="K1174" s="202">
        <f t="shared" si="18"/>
        <v>603330</v>
      </c>
      <c r="L1174" s="202">
        <v>118.3</v>
      </c>
      <c r="N1174" s="202">
        <v>6273800</v>
      </c>
      <c r="S1174" s="204"/>
      <c r="W1174" s="198" t="s">
        <v>51</v>
      </c>
      <c r="AE1174" s="198" t="s">
        <v>844</v>
      </c>
    </row>
    <row r="1175" spans="3:31" x14ac:dyDescent="0.25">
      <c r="C1175" s="201"/>
      <c r="E1175" s="201"/>
      <c r="F1175" s="201"/>
      <c r="I1175" s="198" t="s">
        <v>843</v>
      </c>
      <c r="J1175" s="198" t="s">
        <v>137</v>
      </c>
      <c r="K1175" s="202">
        <f t="shared" si="18"/>
        <v>603840</v>
      </c>
      <c r="L1175" s="202">
        <v>118.4</v>
      </c>
      <c r="N1175" s="202">
        <v>6268575</v>
      </c>
      <c r="S1175" s="204"/>
      <c r="W1175" s="198" t="s">
        <v>51</v>
      </c>
      <c r="AE1175" s="198" t="s">
        <v>844</v>
      </c>
    </row>
    <row r="1176" spans="3:31" x14ac:dyDescent="0.25">
      <c r="C1176" s="201"/>
      <c r="E1176" s="201"/>
      <c r="F1176" s="201"/>
      <c r="I1176" s="198" t="s">
        <v>204</v>
      </c>
      <c r="J1176" s="198" t="s">
        <v>169</v>
      </c>
      <c r="K1176" s="202">
        <f t="shared" si="18"/>
        <v>604350</v>
      </c>
      <c r="L1176" s="202">
        <v>118.5</v>
      </c>
      <c r="N1176" s="202">
        <v>349040</v>
      </c>
      <c r="S1176" s="204"/>
      <c r="W1176" s="198" t="s">
        <v>51</v>
      </c>
      <c r="AE1176" s="198" t="s">
        <v>831</v>
      </c>
    </row>
    <row r="1177" spans="3:31" x14ac:dyDescent="0.25">
      <c r="C1177" s="201"/>
      <c r="E1177" s="201"/>
      <c r="F1177" s="201"/>
      <c r="I1177" s="198" t="s">
        <v>204</v>
      </c>
      <c r="J1177" s="198" t="s">
        <v>169</v>
      </c>
      <c r="K1177" s="202">
        <f t="shared" si="18"/>
        <v>604860</v>
      </c>
      <c r="L1177" s="202">
        <v>118.6</v>
      </c>
      <c r="N1177" s="202">
        <v>349040</v>
      </c>
      <c r="S1177" s="204"/>
      <c r="W1177" s="198" t="s">
        <v>51</v>
      </c>
      <c r="AE1177" s="198" t="s">
        <v>831</v>
      </c>
    </row>
    <row r="1178" spans="3:31" x14ac:dyDescent="0.25">
      <c r="C1178" s="201"/>
      <c r="E1178" s="201"/>
      <c r="F1178" s="201"/>
      <c r="I1178" s="198" t="s">
        <v>204</v>
      </c>
      <c r="J1178" s="198" t="s">
        <v>169</v>
      </c>
      <c r="K1178" s="202">
        <f t="shared" si="18"/>
        <v>605370</v>
      </c>
      <c r="L1178" s="202">
        <v>118.7</v>
      </c>
      <c r="N1178" s="202">
        <v>-0.2</v>
      </c>
      <c r="S1178" s="204"/>
      <c r="W1178" s="198" t="s">
        <v>51</v>
      </c>
      <c r="AE1178" s="198" t="s">
        <v>831</v>
      </c>
    </row>
    <row r="1179" spans="3:31" x14ac:dyDescent="0.25">
      <c r="C1179" s="201"/>
      <c r="E1179" s="201"/>
      <c r="F1179" s="201"/>
      <c r="I1179" s="198" t="s">
        <v>131</v>
      </c>
      <c r="J1179" s="198" t="s">
        <v>132</v>
      </c>
      <c r="K1179" s="202">
        <f t="shared" si="18"/>
        <v>605880</v>
      </c>
      <c r="L1179" s="202">
        <v>118.8</v>
      </c>
      <c r="N1179" s="202">
        <v>4371354</v>
      </c>
      <c r="S1179" s="204"/>
      <c r="W1179" s="198" t="s">
        <v>51</v>
      </c>
      <c r="AE1179" s="198" t="s">
        <v>833</v>
      </c>
    </row>
    <row r="1180" spans="3:31" x14ac:dyDescent="0.25">
      <c r="C1180" s="201"/>
      <c r="E1180" s="201"/>
      <c r="F1180" s="201"/>
      <c r="I1180" s="198" t="s">
        <v>362</v>
      </c>
      <c r="J1180" s="198" t="s">
        <v>132</v>
      </c>
      <c r="K1180" s="202">
        <f t="shared" si="18"/>
        <v>606390</v>
      </c>
      <c r="L1180" s="202">
        <v>118.9</v>
      </c>
      <c r="N1180" s="202">
        <v>16535647</v>
      </c>
      <c r="S1180" s="204"/>
      <c r="W1180" s="198" t="s">
        <v>51</v>
      </c>
      <c r="AE1180" s="198" t="s">
        <v>833</v>
      </c>
    </row>
    <row r="1181" spans="3:31" x14ac:dyDescent="0.25">
      <c r="C1181" s="201"/>
      <c r="E1181" s="201"/>
      <c r="F1181" s="201"/>
      <c r="I1181" s="198" t="s">
        <v>362</v>
      </c>
      <c r="J1181" s="198" t="s">
        <v>132</v>
      </c>
      <c r="K1181" s="202">
        <f t="shared" si="18"/>
        <v>606900</v>
      </c>
      <c r="L1181" s="202">
        <v>119</v>
      </c>
      <c r="N1181" s="202">
        <v>16535647</v>
      </c>
      <c r="S1181" s="204"/>
      <c r="W1181" s="198" t="s">
        <v>51</v>
      </c>
      <c r="AE1181" s="198" t="s">
        <v>833</v>
      </c>
    </row>
    <row r="1182" spans="3:31" x14ac:dyDescent="0.25">
      <c r="C1182" s="201"/>
      <c r="E1182" s="201"/>
      <c r="F1182" s="201"/>
      <c r="I1182" s="198" t="s">
        <v>204</v>
      </c>
      <c r="J1182" s="198" t="s">
        <v>169</v>
      </c>
      <c r="K1182" s="202">
        <f t="shared" si="18"/>
        <v>607410</v>
      </c>
      <c r="L1182" s="202">
        <v>119.1</v>
      </c>
      <c r="N1182" s="202">
        <v>-349040</v>
      </c>
      <c r="S1182" s="204"/>
      <c r="W1182" s="198" t="s">
        <v>51</v>
      </c>
      <c r="AE1182" s="198" t="s">
        <v>831</v>
      </c>
    </row>
    <row r="1183" spans="3:31" x14ac:dyDescent="0.25">
      <c r="C1183" s="201"/>
      <c r="E1183" s="201"/>
      <c r="F1183" s="201"/>
      <c r="I1183" s="198" t="s">
        <v>204</v>
      </c>
      <c r="J1183" s="198" t="s">
        <v>169</v>
      </c>
      <c r="K1183" s="202">
        <f t="shared" si="18"/>
        <v>607920</v>
      </c>
      <c r="L1183" s="202">
        <v>119.2</v>
      </c>
      <c r="N1183" s="202">
        <v>349040</v>
      </c>
      <c r="S1183" s="204"/>
      <c r="W1183" s="198" t="s">
        <v>51</v>
      </c>
      <c r="AE1183" s="198" t="s">
        <v>831</v>
      </c>
    </row>
    <row r="1184" spans="3:31" x14ac:dyDescent="0.25">
      <c r="C1184" s="201"/>
      <c r="E1184" s="201"/>
      <c r="F1184" s="201"/>
      <c r="I1184" s="198" t="s">
        <v>131</v>
      </c>
      <c r="J1184" s="198" t="s">
        <v>132</v>
      </c>
      <c r="K1184" s="202">
        <f t="shared" si="18"/>
        <v>608430</v>
      </c>
      <c r="L1184" s="202">
        <v>119.3</v>
      </c>
      <c r="N1184" s="202">
        <v>0.5</v>
      </c>
      <c r="S1184" s="204"/>
      <c r="W1184" s="198" t="s">
        <v>51</v>
      </c>
      <c r="AE1184" s="198" t="s">
        <v>833</v>
      </c>
    </row>
    <row r="1185" spans="3:31" x14ac:dyDescent="0.25">
      <c r="C1185" s="201"/>
      <c r="E1185" s="201"/>
      <c r="F1185" s="201"/>
      <c r="I1185" s="198" t="s">
        <v>136</v>
      </c>
      <c r="J1185" s="198" t="s">
        <v>137</v>
      </c>
      <c r="K1185" s="202">
        <f t="shared" si="18"/>
        <v>608940</v>
      </c>
      <c r="L1185" s="202">
        <v>119.4</v>
      </c>
      <c r="N1185" s="202">
        <v>0.31</v>
      </c>
      <c r="S1185" s="204"/>
      <c r="W1185" s="198" t="s">
        <v>51</v>
      </c>
      <c r="AE1185" s="198" t="s">
        <v>844</v>
      </c>
    </row>
    <row r="1186" spans="3:31" x14ac:dyDescent="0.25">
      <c r="C1186" s="201"/>
      <c r="E1186" s="201"/>
      <c r="F1186" s="201"/>
      <c r="I1186" s="198" t="s">
        <v>131</v>
      </c>
      <c r="J1186" s="198" t="s">
        <v>132</v>
      </c>
      <c r="K1186" s="202">
        <f t="shared" si="18"/>
        <v>609450</v>
      </c>
      <c r="L1186" s="202">
        <v>119.5</v>
      </c>
      <c r="N1186" s="202">
        <v>0.2</v>
      </c>
      <c r="S1186" s="204"/>
      <c r="W1186" s="198" t="s">
        <v>51</v>
      </c>
      <c r="AE1186" s="198" t="s">
        <v>833</v>
      </c>
    </row>
    <row r="1187" spans="3:31" x14ac:dyDescent="0.25">
      <c r="C1187" s="201"/>
      <c r="E1187" s="201"/>
      <c r="F1187" s="201"/>
      <c r="I1187" s="198" t="s">
        <v>740</v>
      </c>
      <c r="J1187" s="198" t="s">
        <v>153</v>
      </c>
      <c r="K1187" s="202">
        <f t="shared" si="18"/>
        <v>609960</v>
      </c>
      <c r="L1187" s="202">
        <v>119.6</v>
      </c>
      <c r="N1187" s="202">
        <v>1240000</v>
      </c>
      <c r="S1187" s="204"/>
      <c r="W1187" s="198" t="s">
        <v>51</v>
      </c>
      <c r="AE1187" s="198" t="s">
        <v>1768</v>
      </c>
    </row>
    <row r="1188" spans="3:31" x14ac:dyDescent="0.25">
      <c r="C1188" s="201"/>
      <c r="E1188" s="201"/>
      <c r="F1188" s="201"/>
      <c r="I1188" s="198" t="s">
        <v>239</v>
      </c>
      <c r="J1188" s="198" t="s">
        <v>148</v>
      </c>
      <c r="K1188" s="202">
        <f t="shared" si="18"/>
        <v>610470</v>
      </c>
      <c r="L1188" s="202">
        <v>119.7</v>
      </c>
      <c r="N1188" s="202">
        <v>1240000</v>
      </c>
      <c r="S1188" s="204"/>
      <c r="W1188" s="198" t="s">
        <v>51</v>
      </c>
      <c r="AE1188" s="198" t="s">
        <v>828</v>
      </c>
    </row>
    <row r="1189" spans="3:31" x14ac:dyDescent="0.25">
      <c r="C1189" s="201"/>
      <c r="E1189" s="201"/>
      <c r="F1189" s="201"/>
      <c r="I1189" s="198" t="s">
        <v>194</v>
      </c>
      <c r="J1189" s="198" t="s">
        <v>156</v>
      </c>
      <c r="K1189" s="202">
        <f t="shared" si="18"/>
        <v>610980</v>
      </c>
      <c r="L1189" s="202">
        <v>119.8</v>
      </c>
      <c r="N1189" s="202">
        <v>1240000</v>
      </c>
      <c r="S1189" s="204"/>
      <c r="W1189" s="198" t="s">
        <v>51</v>
      </c>
      <c r="AE1189" s="198" t="s">
        <v>828</v>
      </c>
    </row>
    <row r="1190" spans="3:31" x14ac:dyDescent="0.25">
      <c r="C1190" s="201"/>
      <c r="E1190" s="201"/>
      <c r="F1190" s="201"/>
      <c r="I1190" s="198" t="s">
        <v>741</v>
      </c>
      <c r="J1190" s="198" t="s">
        <v>274</v>
      </c>
      <c r="K1190" s="202">
        <f t="shared" si="18"/>
        <v>611490</v>
      </c>
      <c r="L1190" s="202">
        <v>119.9</v>
      </c>
      <c r="N1190" s="202">
        <v>1240000</v>
      </c>
      <c r="S1190" s="204"/>
      <c r="W1190" s="198" t="s">
        <v>51</v>
      </c>
      <c r="AE1190" s="198" t="s">
        <v>1767</v>
      </c>
    </row>
    <row r="1191" spans="3:31" x14ac:dyDescent="0.25">
      <c r="C1191" s="201"/>
      <c r="E1191" s="201"/>
      <c r="F1191" s="201"/>
      <c r="I1191" s="198" t="s">
        <v>131</v>
      </c>
      <c r="J1191" s="198" t="s">
        <v>132</v>
      </c>
      <c r="K1191" s="202">
        <f t="shared" si="18"/>
        <v>612000</v>
      </c>
      <c r="L1191" s="202">
        <v>120</v>
      </c>
      <c r="N1191" s="202">
        <v>4371354</v>
      </c>
      <c r="S1191" s="204"/>
      <c r="W1191" s="198" t="s">
        <v>51</v>
      </c>
      <c r="AE1191" s="198" t="s">
        <v>833</v>
      </c>
    </row>
    <row r="1192" spans="3:31" x14ac:dyDescent="0.25">
      <c r="C1192" s="201"/>
      <c r="E1192" s="201"/>
      <c r="F1192" s="201"/>
      <c r="I1192" s="198" t="s">
        <v>843</v>
      </c>
      <c r="J1192" s="198" t="s">
        <v>137</v>
      </c>
      <c r="K1192" s="202">
        <f t="shared" si="18"/>
        <v>612510</v>
      </c>
      <c r="L1192" s="202">
        <v>120.1</v>
      </c>
      <c r="N1192" s="202">
        <v>6270000</v>
      </c>
      <c r="S1192" s="204"/>
      <c r="W1192" s="198" t="s">
        <v>51</v>
      </c>
      <c r="AE1192" s="198" t="s">
        <v>844</v>
      </c>
    </row>
    <row r="1193" spans="3:31" x14ac:dyDescent="0.25">
      <c r="C1193" s="201"/>
      <c r="E1193" s="201"/>
      <c r="F1193" s="201"/>
      <c r="I1193" s="198" t="s">
        <v>843</v>
      </c>
      <c r="J1193" s="198" t="s">
        <v>137</v>
      </c>
      <c r="K1193" s="202">
        <f t="shared" si="18"/>
        <v>613020</v>
      </c>
      <c r="L1193" s="202">
        <v>120.2</v>
      </c>
      <c r="N1193" s="202">
        <v>6240550</v>
      </c>
      <c r="S1193" s="204"/>
      <c r="W1193" s="198" t="s">
        <v>51</v>
      </c>
      <c r="AE1193" s="198" t="s">
        <v>844</v>
      </c>
    </row>
    <row r="1194" spans="3:31" x14ac:dyDescent="0.25">
      <c r="C1194" s="201"/>
      <c r="E1194" s="201"/>
      <c r="F1194" s="201"/>
      <c r="I1194" s="198" t="s">
        <v>843</v>
      </c>
      <c r="J1194" s="198" t="s">
        <v>137</v>
      </c>
      <c r="K1194" s="202">
        <f t="shared" si="18"/>
        <v>613530</v>
      </c>
      <c r="L1194" s="202">
        <v>120.3</v>
      </c>
      <c r="N1194" s="202">
        <v>6256225</v>
      </c>
      <c r="S1194" s="204"/>
      <c r="W1194" s="198" t="s">
        <v>51</v>
      </c>
      <c r="AE1194" s="198" t="s">
        <v>844</v>
      </c>
    </row>
    <row r="1195" spans="3:31" x14ac:dyDescent="0.25">
      <c r="C1195" s="201"/>
      <c r="E1195" s="201"/>
      <c r="F1195" s="201"/>
      <c r="I1195" s="198" t="s">
        <v>843</v>
      </c>
      <c r="J1195" s="198" t="s">
        <v>137</v>
      </c>
      <c r="K1195" s="202">
        <f t="shared" si="18"/>
        <v>614040</v>
      </c>
      <c r="L1195" s="202">
        <v>120.4</v>
      </c>
      <c r="N1195" s="202">
        <v>3365850</v>
      </c>
      <c r="S1195" s="204"/>
      <c r="W1195" s="198" t="s">
        <v>51</v>
      </c>
      <c r="AE1195" s="198" t="s">
        <v>844</v>
      </c>
    </row>
    <row r="1196" spans="3:31" x14ac:dyDescent="0.25">
      <c r="C1196" s="201"/>
      <c r="E1196" s="201"/>
      <c r="F1196" s="201"/>
      <c r="I1196" s="198" t="s">
        <v>362</v>
      </c>
      <c r="J1196" s="198" t="s">
        <v>132</v>
      </c>
      <c r="K1196" s="202">
        <f t="shared" si="18"/>
        <v>614550</v>
      </c>
      <c r="L1196" s="202">
        <v>120.5</v>
      </c>
      <c r="N1196" s="202">
        <v>16535647</v>
      </c>
      <c r="S1196" s="204"/>
      <c r="W1196" s="198" t="s">
        <v>51</v>
      </c>
      <c r="AE1196" s="198" t="s">
        <v>833</v>
      </c>
    </row>
    <row r="1197" spans="3:31" x14ac:dyDescent="0.25">
      <c r="C1197" s="201"/>
      <c r="E1197" s="201"/>
      <c r="F1197" s="201"/>
      <c r="I1197" s="198" t="s">
        <v>202</v>
      </c>
      <c r="J1197" s="198" t="s">
        <v>65</v>
      </c>
      <c r="K1197" s="202">
        <f t="shared" si="18"/>
        <v>615060</v>
      </c>
      <c r="L1197" s="202">
        <v>120.6</v>
      </c>
      <c r="N1197" s="202">
        <v>354290</v>
      </c>
      <c r="S1197" s="204"/>
      <c r="W1197" s="198" t="s">
        <v>51</v>
      </c>
      <c r="AE1197" s="198" t="s">
        <v>831</v>
      </c>
    </row>
    <row r="1198" spans="3:31" x14ac:dyDescent="0.25">
      <c r="C1198" s="201"/>
      <c r="E1198" s="201"/>
      <c r="F1198" s="201"/>
      <c r="I1198" s="198" t="s">
        <v>202</v>
      </c>
      <c r="J1198" s="198" t="s">
        <v>65</v>
      </c>
      <c r="K1198" s="202">
        <f t="shared" si="18"/>
        <v>615570</v>
      </c>
      <c r="L1198" s="202">
        <v>120.7</v>
      </c>
      <c r="N1198" s="202">
        <v>354290</v>
      </c>
      <c r="S1198" s="204"/>
      <c r="W1198" s="198" t="s">
        <v>51</v>
      </c>
      <c r="AE1198" s="198" t="s">
        <v>831</v>
      </c>
    </row>
    <row r="1199" spans="3:31" x14ac:dyDescent="0.25">
      <c r="C1199" s="201"/>
      <c r="E1199" s="201"/>
      <c r="F1199" s="201"/>
      <c r="I1199" s="198" t="s">
        <v>202</v>
      </c>
      <c r="J1199" s="198" t="s">
        <v>65</v>
      </c>
      <c r="K1199" s="202">
        <f t="shared" si="18"/>
        <v>616080</v>
      </c>
      <c r="L1199" s="202">
        <v>120.8</v>
      </c>
      <c r="N1199" s="202">
        <v>354290</v>
      </c>
      <c r="S1199" s="204"/>
      <c r="W1199" s="198" t="s">
        <v>51</v>
      </c>
      <c r="AE1199" s="198" t="s">
        <v>831</v>
      </c>
    </row>
    <row r="1200" spans="3:31" x14ac:dyDescent="0.25">
      <c r="C1200" s="201"/>
      <c r="E1200" s="201"/>
      <c r="F1200" s="201"/>
      <c r="I1200" s="198" t="s">
        <v>202</v>
      </c>
      <c r="J1200" s="198" t="s">
        <v>65</v>
      </c>
      <c r="K1200" s="202">
        <f t="shared" si="18"/>
        <v>616590</v>
      </c>
      <c r="L1200" s="202">
        <v>120.9</v>
      </c>
      <c r="N1200" s="202">
        <v>354290</v>
      </c>
      <c r="S1200" s="204"/>
      <c r="W1200" s="198" t="s">
        <v>51</v>
      </c>
      <c r="AE1200" s="198" t="s">
        <v>831</v>
      </c>
    </row>
    <row r="1201" spans="3:31" x14ac:dyDescent="0.25">
      <c r="C1201" s="201"/>
      <c r="E1201" s="201"/>
      <c r="F1201" s="201"/>
      <c r="I1201" s="198" t="s">
        <v>202</v>
      </c>
      <c r="J1201" s="198" t="s">
        <v>65</v>
      </c>
      <c r="K1201" s="202">
        <f t="shared" si="18"/>
        <v>617100</v>
      </c>
      <c r="L1201" s="202">
        <v>121</v>
      </c>
      <c r="N1201" s="202">
        <v>354290</v>
      </c>
      <c r="S1201" s="204"/>
      <c r="W1201" s="198" t="s">
        <v>51</v>
      </c>
      <c r="AE1201" s="198" t="s">
        <v>831</v>
      </c>
    </row>
    <row r="1202" spans="3:31" x14ac:dyDescent="0.25">
      <c r="C1202" s="201"/>
      <c r="E1202" s="201"/>
      <c r="F1202" s="201"/>
      <c r="I1202" s="198" t="s">
        <v>202</v>
      </c>
      <c r="J1202" s="198" t="s">
        <v>65</v>
      </c>
      <c r="K1202" s="202">
        <f t="shared" si="18"/>
        <v>617610</v>
      </c>
      <c r="L1202" s="202">
        <v>121.1</v>
      </c>
      <c r="N1202" s="202">
        <v>354290</v>
      </c>
      <c r="S1202" s="204"/>
      <c r="W1202" s="198" t="s">
        <v>51</v>
      </c>
      <c r="AE1202" s="198" t="s">
        <v>831</v>
      </c>
    </row>
    <row r="1203" spans="3:31" x14ac:dyDescent="0.25">
      <c r="C1203" s="201"/>
      <c r="E1203" s="201"/>
      <c r="F1203" s="201"/>
      <c r="I1203" s="198" t="s">
        <v>202</v>
      </c>
      <c r="J1203" s="198" t="s">
        <v>65</v>
      </c>
      <c r="K1203" s="202">
        <f t="shared" si="18"/>
        <v>618120</v>
      </c>
      <c r="L1203" s="202">
        <v>121.2</v>
      </c>
      <c r="N1203" s="202">
        <v>354290</v>
      </c>
      <c r="S1203" s="204"/>
      <c r="W1203" s="198" t="s">
        <v>51</v>
      </c>
      <c r="AE1203" s="198" t="s">
        <v>831</v>
      </c>
    </row>
    <row r="1204" spans="3:31" x14ac:dyDescent="0.25">
      <c r="C1204" s="201"/>
      <c r="E1204" s="201"/>
      <c r="F1204" s="201"/>
      <c r="I1204" s="198" t="s">
        <v>202</v>
      </c>
      <c r="J1204" s="198" t="s">
        <v>65</v>
      </c>
      <c r="K1204" s="202">
        <f t="shared" si="18"/>
        <v>618630</v>
      </c>
      <c r="L1204" s="202">
        <v>121.3</v>
      </c>
      <c r="N1204" s="202">
        <v>354290</v>
      </c>
      <c r="S1204" s="204"/>
      <c r="W1204" s="198" t="s">
        <v>51</v>
      </c>
      <c r="AE1204" s="198" t="s">
        <v>831</v>
      </c>
    </row>
    <row r="1205" spans="3:31" x14ac:dyDescent="0.25">
      <c r="C1205" s="201"/>
      <c r="E1205" s="201"/>
      <c r="F1205" s="201"/>
      <c r="I1205" s="198" t="s">
        <v>202</v>
      </c>
      <c r="J1205" s="198" t="s">
        <v>65</v>
      </c>
      <c r="K1205" s="202">
        <f t="shared" si="18"/>
        <v>619140</v>
      </c>
      <c r="L1205" s="202">
        <v>121.4</v>
      </c>
      <c r="N1205" s="202">
        <v>354290</v>
      </c>
      <c r="S1205" s="204"/>
      <c r="W1205" s="198" t="s">
        <v>51</v>
      </c>
      <c r="AE1205" s="198" t="s">
        <v>831</v>
      </c>
    </row>
    <row r="1206" spans="3:31" x14ac:dyDescent="0.25">
      <c r="C1206" s="201"/>
      <c r="E1206" s="201"/>
      <c r="F1206" s="201"/>
      <c r="I1206" s="198" t="s">
        <v>843</v>
      </c>
      <c r="J1206" s="198" t="s">
        <v>137</v>
      </c>
      <c r="K1206" s="202">
        <f t="shared" si="18"/>
        <v>619650</v>
      </c>
      <c r="L1206" s="202">
        <v>121.5</v>
      </c>
      <c r="N1206" s="202">
        <v>6254800</v>
      </c>
      <c r="S1206" s="204"/>
      <c r="W1206" s="198" t="s">
        <v>51</v>
      </c>
      <c r="AE1206" s="198" t="s">
        <v>844</v>
      </c>
    </row>
    <row r="1207" spans="3:31" x14ac:dyDescent="0.25">
      <c r="C1207" s="201"/>
      <c r="E1207" s="201"/>
      <c r="F1207" s="201"/>
      <c r="I1207" s="198" t="s">
        <v>843</v>
      </c>
      <c r="J1207" s="198" t="s">
        <v>137</v>
      </c>
      <c r="K1207" s="202">
        <f t="shared" si="18"/>
        <v>620160</v>
      </c>
      <c r="L1207" s="202">
        <v>121.6</v>
      </c>
      <c r="N1207" s="202">
        <v>6252425</v>
      </c>
      <c r="S1207" s="204"/>
      <c r="W1207" s="198" t="s">
        <v>51</v>
      </c>
      <c r="AE1207" s="198" t="s">
        <v>844</v>
      </c>
    </row>
    <row r="1208" spans="3:31" x14ac:dyDescent="0.25">
      <c r="C1208" s="201"/>
      <c r="E1208" s="201"/>
      <c r="F1208" s="201"/>
      <c r="I1208" s="198" t="s">
        <v>843</v>
      </c>
      <c r="J1208" s="198" t="s">
        <v>137</v>
      </c>
      <c r="K1208" s="202">
        <f t="shared" si="18"/>
        <v>620670</v>
      </c>
      <c r="L1208" s="202">
        <v>121.7</v>
      </c>
      <c r="N1208" s="202">
        <v>6248150</v>
      </c>
      <c r="S1208" s="204"/>
      <c r="W1208" s="198" t="s">
        <v>51</v>
      </c>
      <c r="AE1208" s="198" t="s">
        <v>844</v>
      </c>
    </row>
    <row r="1209" spans="3:31" x14ac:dyDescent="0.25">
      <c r="C1209" s="201"/>
      <c r="E1209" s="201"/>
      <c r="F1209" s="201"/>
      <c r="I1209" s="198" t="s">
        <v>843</v>
      </c>
      <c r="J1209" s="198" t="s">
        <v>137</v>
      </c>
      <c r="K1209" s="202">
        <f t="shared" si="18"/>
        <v>621180</v>
      </c>
      <c r="L1209" s="202">
        <v>121.8</v>
      </c>
      <c r="N1209" s="202">
        <v>6266675</v>
      </c>
      <c r="S1209" s="204"/>
      <c r="W1209" s="198" t="s">
        <v>51</v>
      </c>
      <c r="AE1209" s="198" t="s">
        <v>844</v>
      </c>
    </row>
    <row r="1210" spans="3:31" x14ac:dyDescent="0.25">
      <c r="C1210" s="201"/>
      <c r="E1210" s="201"/>
      <c r="F1210" s="201"/>
      <c r="I1210" s="198" t="s">
        <v>843</v>
      </c>
      <c r="J1210" s="198" t="s">
        <v>137</v>
      </c>
      <c r="K1210" s="202">
        <f t="shared" si="18"/>
        <v>621690</v>
      </c>
      <c r="L1210" s="202">
        <v>121.9</v>
      </c>
      <c r="N1210" s="202">
        <v>6256225</v>
      </c>
      <c r="S1210" s="204"/>
      <c r="W1210" s="198" t="s">
        <v>51</v>
      </c>
      <c r="AE1210" s="198" t="s">
        <v>844</v>
      </c>
    </row>
    <row r="1211" spans="3:31" x14ac:dyDescent="0.25">
      <c r="C1211" s="201"/>
      <c r="E1211" s="201"/>
      <c r="F1211" s="201"/>
      <c r="I1211" s="198" t="s">
        <v>843</v>
      </c>
      <c r="J1211" s="198" t="s">
        <v>137</v>
      </c>
      <c r="K1211" s="202">
        <f t="shared" si="18"/>
        <v>622200</v>
      </c>
      <c r="L1211" s="202">
        <v>122</v>
      </c>
      <c r="N1211" s="202">
        <v>6260025</v>
      </c>
      <c r="S1211" s="204"/>
      <c r="W1211" s="198" t="s">
        <v>51</v>
      </c>
      <c r="AE1211" s="198" t="s">
        <v>844</v>
      </c>
    </row>
    <row r="1212" spans="3:31" x14ac:dyDescent="0.25">
      <c r="C1212" s="201"/>
      <c r="E1212" s="201"/>
      <c r="F1212" s="201"/>
      <c r="I1212" s="198" t="s">
        <v>276</v>
      </c>
      <c r="J1212" s="198" t="s">
        <v>143</v>
      </c>
      <c r="K1212" s="202">
        <f t="shared" si="18"/>
        <v>622710</v>
      </c>
      <c r="L1212" s="202">
        <v>122.1</v>
      </c>
      <c r="N1212" s="202">
        <v>-0.18</v>
      </c>
      <c r="S1212" s="204"/>
      <c r="W1212" s="198" t="s">
        <v>51</v>
      </c>
      <c r="AE1212" s="198" t="s">
        <v>829</v>
      </c>
    </row>
    <row r="1213" spans="3:31" x14ac:dyDescent="0.25">
      <c r="C1213" s="201"/>
      <c r="E1213" s="201"/>
      <c r="F1213" s="201"/>
      <c r="I1213" s="198" t="s">
        <v>204</v>
      </c>
      <c r="J1213" s="198" t="s">
        <v>169</v>
      </c>
      <c r="K1213" s="202">
        <f t="shared" si="18"/>
        <v>623220</v>
      </c>
      <c r="L1213" s="202">
        <v>122.2</v>
      </c>
      <c r="N1213" s="202">
        <v>349040</v>
      </c>
      <c r="S1213" s="204"/>
      <c r="W1213" s="198" t="s">
        <v>51</v>
      </c>
      <c r="AE1213" s="198" t="s">
        <v>831</v>
      </c>
    </row>
    <row r="1214" spans="3:31" x14ac:dyDescent="0.25">
      <c r="C1214" s="201"/>
      <c r="E1214" s="201"/>
      <c r="F1214" s="201"/>
      <c r="I1214" s="198" t="s">
        <v>204</v>
      </c>
      <c r="J1214" s="198" t="s">
        <v>169</v>
      </c>
      <c r="K1214" s="202">
        <f t="shared" si="18"/>
        <v>623730</v>
      </c>
      <c r="L1214" s="202">
        <v>122.3</v>
      </c>
      <c r="N1214" s="202">
        <v>349040</v>
      </c>
      <c r="S1214" s="204"/>
      <c r="W1214" s="198" t="s">
        <v>51</v>
      </c>
      <c r="AE1214" s="198" t="s">
        <v>831</v>
      </c>
    </row>
    <row r="1215" spans="3:31" x14ac:dyDescent="0.25">
      <c r="C1215" s="201"/>
      <c r="E1215" s="201"/>
      <c r="F1215" s="201"/>
      <c r="I1215" s="198" t="s">
        <v>204</v>
      </c>
      <c r="J1215" s="198" t="s">
        <v>169</v>
      </c>
      <c r="K1215" s="202">
        <f t="shared" si="18"/>
        <v>624240</v>
      </c>
      <c r="L1215" s="202">
        <v>122.4</v>
      </c>
      <c r="N1215" s="202">
        <v>349040</v>
      </c>
      <c r="S1215" s="204"/>
      <c r="W1215" s="198" t="s">
        <v>51</v>
      </c>
      <c r="AE1215" s="198" t="s">
        <v>831</v>
      </c>
    </row>
    <row r="1216" spans="3:31" x14ac:dyDescent="0.25">
      <c r="C1216" s="201"/>
      <c r="E1216" s="201"/>
      <c r="F1216" s="201"/>
      <c r="I1216" s="198" t="s">
        <v>843</v>
      </c>
      <c r="J1216" s="198" t="s">
        <v>137</v>
      </c>
      <c r="K1216" s="202">
        <f t="shared" si="18"/>
        <v>624750</v>
      </c>
      <c r="L1216" s="202">
        <v>122.5</v>
      </c>
      <c r="N1216" s="202">
        <v>6256225</v>
      </c>
      <c r="S1216" s="204"/>
      <c r="W1216" s="198" t="s">
        <v>51</v>
      </c>
      <c r="AE1216" s="198" t="s">
        <v>844</v>
      </c>
    </row>
    <row r="1217" spans="3:31" x14ac:dyDescent="0.25">
      <c r="C1217" s="201"/>
      <c r="E1217" s="201"/>
      <c r="F1217" s="201"/>
      <c r="I1217" s="198" t="s">
        <v>362</v>
      </c>
      <c r="J1217" s="198" t="s">
        <v>132</v>
      </c>
      <c r="K1217" s="202">
        <f t="shared" si="18"/>
        <v>625260</v>
      </c>
      <c r="L1217" s="202">
        <v>122.6</v>
      </c>
      <c r="N1217" s="202">
        <v>16535647</v>
      </c>
      <c r="S1217" s="204"/>
      <c r="W1217" s="198" t="s">
        <v>51</v>
      </c>
      <c r="AE1217" s="198" t="s">
        <v>833</v>
      </c>
    </row>
    <row r="1218" spans="3:31" x14ac:dyDescent="0.25">
      <c r="C1218" s="201"/>
      <c r="E1218" s="201"/>
      <c r="F1218" s="201"/>
      <c r="I1218" s="198" t="s">
        <v>362</v>
      </c>
      <c r="J1218" s="198" t="s">
        <v>132</v>
      </c>
      <c r="K1218" s="202">
        <f t="shared" si="18"/>
        <v>625770</v>
      </c>
      <c r="L1218" s="202">
        <v>122.7</v>
      </c>
      <c r="N1218" s="202">
        <v>16535647</v>
      </c>
      <c r="S1218" s="204"/>
      <c r="W1218" s="198" t="s">
        <v>51</v>
      </c>
      <c r="AE1218" s="198" t="s">
        <v>833</v>
      </c>
    </row>
    <row r="1219" spans="3:31" x14ac:dyDescent="0.25">
      <c r="C1219" s="201"/>
      <c r="E1219" s="201"/>
      <c r="F1219" s="201"/>
      <c r="I1219" s="198" t="s">
        <v>131</v>
      </c>
      <c r="J1219" s="198" t="s">
        <v>132</v>
      </c>
      <c r="K1219" s="202">
        <f t="shared" ref="K1219:K1282" si="19">L1219*5100</f>
        <v>626280</v>
      </c>
      <c r="L1219" s="202">
        <v>122.8</v>
      </c>
      <c r="N1219" s="202">
        <v>-0.44</v>
      </c>
      <c r="S1219" s="204"/>
      <c r="W1219" s="198" t="s">
        <v>51</v>
      </c>
      <c r="AE1219" s="198" t="s">
        <v>833</v>
      </c>
    </row>
    <row r="1220" spans="3:31" x14ac:dyDescent="0.25">
      <c r="C1220" s="201"/>
      <c r="E1220" s="201"/>
      <c r="F1220" s="201"/>
      <c r="I1220" s="198" t="s">
        <v>131</v>
      </c>
      <c r="J1220" s="198" t="s">
        <v>132</v>
      </c>
      <c r="K1220" s="202">
        <f t="shared" si="19"/>
        <v>626790</v>
      </c>
      <c r="L1220" s="202">
        <v>122.9</v>
      </c>
      <c r="N1220" s="202">
        <v>-0.44</v>
      </c>
      <c r="S1220" s="204"/>
      <c r="W1220" s="198" t="s">
        <v>51</v>
      </c>
      <c r="AE1220" s="198" t="s">
        <v>833</v>
      </c>
    </row>
    <row r="1221" spans="3:31" x14ac:dyDescent="0.25">
      <c r="C1221" s="201"/>
      <c r="E1221" s="201"/>
      <c r="F1221" s="201"/>
      <c r="I1221" s="198" t="s">
        <v>362</v>
      </c>
      <c r="J1221" s="198" t="s">
        <v>132</v>
      </c>
      <c r="K1221" s="202">
        <f t="shared" si="19"/>
        <v>627300</v>
      </c>
      <c r="L1221" s="202">
        <v>123</v>
      </c>
      <c r="N1221" s="202">
        <v>16535647</v>
      </c>
      <c r="S1221" s="204"/>
      <c r="W1221" s="198" t="s">
        <v>51</v>
      </c>
      <c r="AE1221" s="198" t="s">
        <v>833</v>
      </c>
    </row>
    <row r="1222" spans="3:31" x14ac:dyDescent="0.25">
      <c r="C1222" s="201"/>
      <c r="E1222" s="201"/>
      <c r="F1222" s="201"/>
      <c r="I1222" s="198" t="s">
        <v>131</v>
      </c>
      <c r="J1222" s="198" t="s">
        <v>132</v>
      </c>
      <c r="K1222" s="202">
        <f t="shared" si="19"/>
        <v>627810</v>
      </c>
      <c r="L1222" s="202">
        <v>123.1</v>
      </c>
      <c r="N1222" s="202">
        <v>0.3</v>
      </c>
      <c r="S1222" s="204"/>
      <c r="W1222" s="198" t="s">
        <v>51</v>
      </c>
      <c r="AE1222" s="198" t="s">
        <v>833</v>
      </c>
    </row>
    <row r="1223" spans="3:31" x14ac:dyDescent="0.25">
      <c r="C1223" s="201"/>
      <c r="E1223" s="201"/>
      <c r="F1223" s="201"/>
      <c r="I1223" s="198" t="s">
        <v>362</v>
      </c>
      <c r="J1223" s="198" t="s">
        <v>132</v>
      </c>
      <c r="K1223" s="202">
        <f t="shared" si="19"/>
        <v>628320</v>
      </c>
      <c r="L1223" s="202">
        <v>123.2</v>
      </c>
      <c r="N1223" s="202">
        <v>16535647</v>
      </c>
      <c r="S1223" s="204"/>
      <c r="W1223" s="198" t="s">
        <v>51</v>
      </c>
      <c r="AE1223" s="198" t="s">
        <v>833</v>
      </c>
    </row>
    <row r="1224" spans="3:31" x14ac:dyDescent="0.25">
      <c r="C1224" s="201"/>
      <c r="E1224" s="201"/>
      <c r="F1224" s="201"/>
      <c r="I1224" s="198" t="s">
        <v>362</v>
      </c>
      <c r="J1224" s="198" t="s">
        <v>132</v>
      </c>
      <c r="K1224" s="202">
        <f t="shared" si="19"/>
        <v>628830</v>
      </c>
      <c r="L1224" s="202">
        <v>123.3</v>
      </c>
      <c r="N1224" s="202">
        <v>16535647</v>
      </c>
      <c r="S1224" s="204"/>
      <c r="W1224" s="198" t="s">
        <v>51</v>
      </c>
      <c r="AE1224" s="198" t="s">
        <v>833</v>
      </c>
    </row>
    <row r="1225" spans="3:31" x14ac:dyDescent="0.25">
      <c r="C1225" s="201"/>
      <c r="E1225" s="201"/>
      <c r="F1225" s="201"/>
      <c r="I1225" s="198" t="s">
        <v>131</v>
      </c>
      <c r="J1225" s="198" t="s">
        <v>132</v>
      </c>
      <c r="K1225" s="202">
        <f t="shared" si="19"/>
        <v>629340</v>
      </c>
      <c r="L1225" s="202">
        <v>123.4</v>
      </c>
      <c r="N1225" s="202">
        <v>-0.2</v>
      </c>
      <c r="S1225" s="204"/>
      <c r="W1225" s="198" t="s">
        <v>51</v>
      </c>
      <c r="AE1225" s="198" t="s">
        <v>833</v>
      </c>
    </row>
    <row r="1226" spans="3:31" x14ac:dyDescent="0.25">
      <c r="C1226" s="201"/>
      <c r="E1226" s="201"/>
      <c r="F1226" s="201"/>
      <c r="I1226" s="198" t="s">
        <v>843</v>
      </c>
      <c r="J1226" s="198" t="s">
        <v>137</v>
      </c>
      <c r="K1226" s="202">
        <f t="shared" si="19"/>
        <v>629850</v>
      </c>
      <c r="L1226" s="202">
        <v>123.5</v>
      </c>
      <c r="N1226" s="202">
        <v>0.5</v>
      </c>
      <c r="S1226" s="204"/>
      <c r="W1226" s="198" t="s">
        <v>51</v>
      </c>
      <c r="AE1226" s="198" t="s">
        <v>844</v>
      </c>
    </row>
    <row r="1227" spans="3:31" x14ac:dyDescent="0.25">
      <c r="C1227" s="201"/>
      <c r="E1227" s="201"/>
      <c r="F1227" s="201"/>
      <c r="I1227" s="198" t="s">
        <v>129</v>
      </c>
      <c r="J1227" s="198" t="s">
        <v>130</v>
      </c>
      <c r="K1227" s="202">
        <f t="shared" si="19"/>
        <v>630360</v>
      </c>
      <c r="L1227" s="202">
        <v>123.6</v>
      </c>
      <c r="N1227" s="202">
        <v>810000</v>
      </c>
      <c r="S1227" s="204"/>
      <c r="W1227" s="198" t="s">
        <v>51</v>
      </c>
      <c r="AE1227" s="198" t="s">
        <v>833</v>
      </c>
    </row>
    <row r="1228" spans="3:31" x14ac:dyDescent="0.25">
      <c r="C1228" s="201"/>
      <c r="E1228" s="201"/>
      <c r="F1228" s="201"/>
      <c r="I1228" s="198" t="s">
        <v>129</v>
      </c>
      <c r="J1228" s="198" t="s">
        <v>130</v>
      </c>
      <c r="K1228" s="202">
        <f t="shared" si="19"/>
        <v>630870</v>
      </c>
      <c r="L1228" s="202">
        <v>123.7</v>
      </c>
      <c r="N1228" s="202">
        <v>1594180</v>
      </c>
      <c r="S1228" s="204"/>
      <c r="W1228" s="198" t="s">
        <v>51</v>
      </c>
      <c r="AE1228" s="198" t="s">
        <v>833</v>
      </c>
    </row>
    <row r="1229" spans="3:31" x14ac:dyDescent="0.25">
      <c r="C1229" s="201"/>
      <c r="E1229" s="201"/>
      <c r="F1229" s="201"/>
      <c r="I1229" s="198" t="s">
        <v>129</v>
      </c>
      <c r="J1229" s="198" t="s">
        <v>130</v>
      </c>
      <c r="K1229" s="202">
        <f t="shared" si="19"/>
        <v>631380</v>
      </c>
      <c r="L1229" s="202">
        <v>123.8</v>
      </c>
      <c r="N1229" s="202">
        <v>2886107.67</v>
      </c>
      <c r="S1229" s="204"/>
      <c r="W1229" s="198" t="s">
        <v>51</v>
      </c>
      <c r="AE1229" s="198" t="s">
        <v>833</v>
      </c>
    </row>
    <row r="1230" spans="3:31" x14ac:dyDescent="0.25">
      <c r="C1230" s="201"/>
      <c r="E1230" s="201"/>
      <c r="F1230" s="201"/>
      <c r="I1230" s="198" t="s">
        <v>129</v>
      </c>
      <c r="J1230" s="198" t="s">
        <v>130</v>
      </c>
      <c r="K1230" s="202">
        <f t="shared" si="19"/>
        <v>631890</v>
      </c>
      <c r="L1230" s="202">
        <v>123.9</v>
      </c>
      <c r="N1230" s="202">
        <v>41409</v>
      </c>
      <c r="S1230" s="204"/>
      <c r="W1230" s="198" t="s">
        <v>51</v>
      </c>
      <c r="AE1230" s="198" t="s">
        <v>833</v>
      </c>
    </row>
    <row r="1231" spans="3:31" x14ac:dyDescent="0.25">
      <c r="C1231" s="201"/>
      <c r="E1231" s="201"/>
      <c r="F1231" s="201"/>
      <c r="I1231" s="198" t="s">
        <v>122</v>
      </c>
      <c r="J1231" s="198" t="s">
        <v>126</v>
      </c>
      <c r="K1231" s="202">
        <f t="shared" si="19"/>
        <v>632400</v>
      </c>
      <c r="L1231" s="202">
        <v>124</v>
      </c>
      <c r="N1231" s="202">
        <v>23005</v>
      </c>
      <c r="S1231" s="204"/>
      <c r="W1231" s="198" t="s">
        <v>51</v>
      </c>
      <c r="AE1231" s="198" t="s">
        <v>835</v>
      </c>
    </row>
    <row r="1232" spans="3:31" x14ac:dyDescent="0.25">
      <c r="C1232" s="201"/>
      <c r="E1232" s="201"/>
      <c r="F1232" s="201"/>
      <c r="I1232" s="198" t="s">
        <v>122</v>
      </c>
      <c r="J1232" s="198" t="s">
        <v>126</v>
      </c>
      <c r="K1232" s="202">
        <f t="shared" si="19"/>
        <v>632910</v>
      </c>
      <c r="L1232" s="202">
        <v>124.1</v>
      </c>
      <c r="N1232" s="202">
        <v>3382240</v>
      </c>
      <c r="S1232" s="204"/>
      <c r="W1232" s="198" t="s">
        <v>51</v>
      </c>
      <c r="AE1232" s="198" t="s">
        <v>835</v>
      </c>
    </row>
    <row r="1233" spans="3:31" x14ac:dyDescent="0.25">
      <c r="C1233" s="201"/>
      <c r="E1233" s="201"/>
      <c r="F1233" s="201"/>
      <c r="I1233" s="198" t="s">
        <v>122</v>
      </c>
      <c r="J1233" s="198" t="s">
        <v>126</v>
      </c>
      <c r="K1233" s="202">
        <f t="shared" si="19"/>
        <v>633420</v>
      </c>
      <c r="L1233" s="202">
        <v>124.2</v>
      </c>
      <c r="N1233" s="202">
        <v>681096</v>
      </c>
      <c r="S1233" s="204"/>
      <c r="W1233" s="198" t="s">
        <v>51</v>
      </c>
      <c r="AE1233" s="198" t="s">
        <v>835</v>
      </c>
    </row>
    <row r="1234" spans="3:31" x14ac:dyDescent="0.25">
      <c r="C1234" s="201"/>
      <c r="E1234" s="201"/>
      <c r="F1234" s="201"/>
      <c r="I1234" s="198" t="s">
        <v>122</v>
      </c>
      <c r="J1234" s="198" t="s">
        <v>126</v>
      </c>
      <c r="K1234" s="202">
        <f t="shared" si="19"/>
        <v>633930</v>
      </c>
      <c r="L1234" s="202">
        <v>124.3</v>
      </c>
      <c r="N1234" s="202">
        <v>487812</v>
      </c>
      <c r="S1234" s="204"/>
      <c r="W1234" s="198" t="s">
        <v>51</v>
      </c>
      <c r="AE1234" s="198" t="s">
        <v>835</v>
      </c>
    </row>
    <row r="1235" spans="3:31" x14ac:dyDescent="0.25">
      <c r="C1235" s="201"/>
      <c r="E1235" s="201"/>
      <c r="F1235" s="201"/>
      <c r="I1235" s="198" t="s">
        <v>136</v>
      </c>
      <c r="J1235" s="198" t="s">
        <v>137</v>
      </c>
      <c r="K1235" s="202">
        <f t="shared" si="19"/>
        <v>634440</v>
      </c>
      <c r="L1235" s="202">
        <v>124.4</v>
      </c>
      <c r="N1235" s="202">
        <v>2593666.6</v>
      </c>
      <c r="S1235" s="204"/>
      <c r="W1235" s="198" t="s">
        <v>51</v>
      </c>
      <c r="AE1235" s="198" t="s">
        <v>844</v>
      </c>
    </row>
    <row r="1236" spans="3:31" x14ac:dyDescent="0.25">
      <c r="C1236" s="201"/>
      <c r="E1236" s="201"/>
      <c r="F1236" s="201"/>
      <c r="I1236" s="198" t="s">
        <v>202</v>
      </c>
      <c r="J1236" s="198" t="s">
        <v>65</v>
      </c>
      <c r="K1236" s="202">
        <f t="shared" si="19"/>
        <v>634950</v>
      </c>
      <c r="L1236" s="202">
        <v>124.5</v>
      </c>
      <c r="N1236" s="202">
        <v>354290</v>
      </c>
      <c r="S1236" s="204"/>
      <c r="W1236" s="198" t="s">
        <v>51</v>
      </c>
      <c r="AE1236" s="198" t="s">
        <v>831</v>
      </c>
    </row>
    <row r="1237" spans="3:31" x14ac:dyDescent="0.25">
      <c r="C1237" s="201"/>
      <c r="E1237" s="201"/>
      <c r="F1237" s="201"/>
      <c r="I1237" s="198" t="s">
        <v>202</v>
      </c>
      <c r="J1237" s="198" t="s">
        <v>65</v>
      </c>
      <c r="K1237" s="202">
        <f t="shared" si="19"/>
        <v>635460</v>
      </c>
      <c r="L1237" s="202">
        <v>124.6</v>
      </c>
      <c r="N1237" s="202">
        <v>354290</v>
      </c>
      <c r="S1237" s="204"/>
      <c r="W1237" s="198" t="s">
        <v>51</v>
      </c>
      <c r="AE1237" s="198" t="s">
        <v>831</v>
      </c>
    </row>
    <row r="1238" spans="3:31" x14ac:dyDescent="0.25">
      <c r="C1238" s="201"/>
      <c r="E1238" s="201"/>
      <c r="F1238" s="201"/>
      <c r="I1238" s="198" t="s">
        <v>202</v>
      </c>
      <c r="J1238" s="198" t="s">
        <v>65</v>
      </c>
      <c r="K1238" s="202">
        <f t="shared" si="19"/>
        <v>635970</v>
      </c>
      <c r="L1238" s="202">
        <v>124.7</v>
      </c>
      <c r="N1238" s="202">
        <v>354290</v>
      </c>
      <c r="S1238" s="204"/>
      <c r="W1238" s="198" t="s">
        <v>51</v>
      </c>
      <c r="AE1238" s="198" t="s">
        <v>831</v>
      </c>
    </row>
    <row r="1239" spans="3:31" x14ac:dyDescent="0.25">
      <c r="C1239" s="201"/>
      <c r="E1239" s="201"/>
      <c r="F1239" s="201"/>
      <c r="I1239" s="198" t="s">
        <v>202</v>
      </c>
      <c r="J1239" s="198" t="s">
        <v>65</v>
      </c>
      <c r="K1239" s="202">
        <f t="shared" si="19"/>
        <v>636480</v>
      </c>
      <c r="L1239" s="202">
        <v>124.8</v>
      </c>
      <c r="N1239" s="202">
        <v>354290</v>
      </c>
      <c r="S1239" s="204"/>
      <c r="W1239" s="198" t="s">
        <v>51</v>
      </c>
      <c r="AE1239" s="198" t="s">
        <v>831</v>
      </c>
    </row>
    <row r="1240" spans="3:31" x14ac:dyDescent="0.25">
      <c r="C1240" s="201"/>
      <c r="E1240" s="201"/>
      <c r="F1240" s="201"/>
      <c r="I1240" s="198" t="s">
        <v>202</v>
      </c>
      <c r="J1240" s="198" t="s">
        <v>65</v>
      </c>
      <c r="K1240" s="202">
        <f t="shared" si="19"/>
        <v>636990</v>
      </c>
      <c r="L1240" s="202">
        <v>124.9</v>
      </c>
      <c r="N1240" s="202">
        <v>70858</v>
      </c>
      <c r="S1240" s="204"/>
      <c r="W1240" s="198" t="s">
        <v>51</v>
      </c>
      <c r="AE1240" s="198" t="s">
        <v>831</v>
      </c>
    </row>
    <row r="1241" spans="3:31" x14ac:dyDescent="0.25">
      <c r="C1241" s="201"/>
      <c r="E1241" s="201"/>
      <c r="F1241" s="201"/>
      <c r="I1241" s="198" t="s">
        <v>199</v>
      </c>
      <c r="J1241" s="198" t="s">
        <v>167</v>
      </c>
      <c r="K1241" s="202">
        <f t="shared" si="19"/>
        <v>637500</v>
      </c>
      <c r="L1241" s="202">
        <v>125</v>
      </c>
      <c r="N1241" s="202">
        <v>283432</v>
      </c>
      <c r="S1241" s="204"/>
      <c r="W1241" s="198" t="s">
        <v>51</v>
      </c>
      <c r="AE1241" s="198" t="s">
        <v>831</v>
      </c>
    </row>
    <row r="1242" spans="3:31" x14ac:dyDescent="0.25">
      <c r="C1242" s="201"/>
      <c r="E1242" s="201"/>
      <c r="F1242" s="201"/>
      <c r="I1242" s="198" t="s">
        <v>204</v>
      </c>
      <c r="J1242" s="198" t="s">
        <v>169</v>
      </c>
      <c r="K1242" s="202">
        <f t="shared" si="19"/>
        <v>638010</v>
      </c>
      <c r="L1242" s="202">
        <v>125.1</v>
      </c>
      <c r="N1242" s="202">
        <v>349040</v>
      </c>
      <c r="S1242" s="204"/>
      <c r="W1242" s="198" t="s">
        <v>51</v>
      </c>
      <c r="AE1242" s="198" t="s">
        <v>831</v>
      </c>
    </row>
    <row r="1243" spans="3:31" x14ac:dyDescent="0.25">
      <c r="C1243" s="201"/>
      <c r="E1243" s="201"/>
      <c r="F1243" s="201"/>
      <c r="I1243" s="198" t="s">
        <v>135</v>
      </c>
      <c r="J1243" s="198" t="s">
        <v>117</v>
      </c>
      <c r="K1243" s="202">
        <f t="shared" si="19"/>
        <v>638520</v>
      </c>
      <c r="L1243" s="202">
        <v>125.2</v>
      </c>
      <c r="N1243" s="202">
        <v>36399</v>
      </c>
      <c r="S1243" s="204"/>
      <c r="W1243" s="198" t="s">
        <v>51</v>
      </c>
      <c r="AE1243" s="198" t="s">
        <v>878</v>
      </c>
    </row>
    <row r="1244" spans="3:31" x14ac:dyDescent="0.25">
      <c r="C1244" s="201"/>
      <c r="E1244" s="201"/>
      <c r="F1244" s="201"/>
      <c r="I1244" s="198" t="s">
        <v>221</v>
      </c>
      <c r="J1244" s="198" t="s">
        <v>112</v>
      </c>
      <c r="K1244" s="202">
        <f t="shared" si="19"/>
        <v>639030</v>
      </c>
      <c r="L1244" s="202">
        <v>125.3</v>
      </c>
      <c r="N1244" s="202">
        <v>28199437.5</v>
      </c>
      <c r="S1244" s="203"/>
      <c r="W1244" s="198" t="s">
        <v>51</v>
      </c>
      <c r="AE1244" s="198" t="s">
        <v>831</v>
      </c>
    </row>
    <row r="1245" spans="3:31" x14ac:dyDescent="0.25">
      <c r="C1245" s="201"/>
      <c r="E1245" s="201"/>
      <c r="F1245" s="201"/>
      <c r="I1245" s="198" t="s">
        <v>221</v>
      </c>
      <c r="J1245" s="198" t="s">
        <v>112</v>
      </c>
      <c r="K1245" s="202">
        <f t="shared" si="19"/>
        <v>639540</v>
      </c>
      <c r="L1245" s="202">
        <v>125.4</v>
      </c>
      <c r="N1245" s="202">
        <v>17206787.550000001</v>
      </c>
      <c r="S1245" s="203"/>
      <c r="W1245" s="198" t="s">
        <v>51</v>
      </c>
      <c r="AE1245" s="198" t="s">
        <v>831</v>
      </c>
    </row>
    <row r="1246" spans="3:31" x14ac:dyDescent="0.25">
      <c r="C1246" s="201"/>
      <c r="E1246" s="201"/>
      <c r="F1246" s="201"/>
      <c r="I1246" s="198" t="s">
        <v>221</v>
      </c>
      <c r="J1246" s="198" t="s">
        <v>112</v>
      </c>
      <c r="K1246" s="202">
        <f t="shared" si="19"/>
        <v>640050</v>
      </c>
      <c r="L1246" s="202">
        <v>125.5</v>
      </c>
      <c r="N1246" s="202">
        <v>10390302</v>
      </c>
      <c r="S1246" s="203"/>
      <c r="W1246" s="198" t="s">
        <v>51</v>
      </c>
      <c r="AE1246" s="198" t="s">
        <v>831</v>
      </c>
    </row>
    <row r="1247" spans="3:31" x14ac:dyDescent="0.25">
      <c r="C1247" s="201"/>
      <c r="E1247" s="201"/>
      <c r="F1247" s="201"/>
      <c r="I1247" s="198" t="s">
        <v>221</v>
      </c>
      <c r="J1247" s="198" t="s">
        <v>112</v>
      </c>
      <c r="K1247" s="202">
        <f t="shared" si="19"/>
        <v>640560</v>
      </c>
      <c r="L1247" s="202">
        <v>125.6</v>
      </c>
      <c r="N1247" s="202">
        <v>6926868</v>
      </c>
      <c r="S1247" s="203"/>
      <c r="W1247" s="198" t="s">
        <v>51</v>
      </c>
      <c r="AE1247" s="198" t="s">
        <v>831</v>
      </c>
    </row>
    <row r="1248" spans="3:31" x14ac:dyDescent="0.25">
      <c r="C1248" s="201"/>
      <c r="E1248" s="201"/>
      <c r="F1248" s="201"/>
      <c r="I1248" s="198" t="s">
        <v>221</v>
      </c>
      <c r="J1248" s="198" t="s">
        <v>112</v>
      </c>
      <c r="K1248" s="202">
        <f t="shared" si="19"/>
        <v>641070</v>
      </c>
      <c r="L1248" s="202">
        <v>125.7</v>
      </c>
      <c r="N1248" s="202">
        <v>1281571.76</v>
      </c>
      <c r="S1248" s="203"/>
      <c r="W1248" s="198" t="s">
        <v>51</v>
      </c>
      <c r="AE1248" s="198" t="s">
        <v>831</v>
      </c>
    </row>
    <row r="1249" spans="3:31" x14ac:dyDescent="0.25">
      <c r="C1249" s="201"/>
      <c r="E1249" s="201"/>
      <c r="F1249" s="201"/>
      <c r="I1249" s="198" t="s">
        <v>221</v>
      </c>
      <c r="J1249" s="198" t="s">
        <v>112</v>
      </c>
      <c r="K1249" s="202">
        <f t="shared" si="19"/>
        <v>641580</v>
      </c>
      <c r="L1249" s="202">
        <v>125.8</v>
      </c>
      <c r="N1249" s="202">
        <v>360000.55</v>
      </c>
      <c r="S1249" s="203"/>
      <c r="W1249" s="198" t="s">
        <v>51</v>
      </c>
      <c r="AE1249" s="198" t="s">
        <v>831</v>
      </c>
    </row>
    <row r="1250" spans="3:31" x14ac:dyDescent="0.25">
      <c r="C1250" s="201"/>
      <c r="E1250" s="201"/>
      <c r="F1250" s="201"/>
      <c r="I1250" s="198" t="s">
        <v>221</v>
      </c>
      <c r="J1250" s="198" t="s">
        <v>112</v>
      </c>
      <c r="K1250" s="202">
        <f t="shared" si="19"/>
        <v>642090</v>
      </c>
      <c r="L1250" s="202">
        <v>125.9</v>
      </c>
      <c r="N1250" s="202">
        <v>838948</v>
      </c>
      <c r="S1250" s="203"/>
      <c r="W1250" s="198" t="s">
        <v>51</v>
      </c>
      <c r="AE1250" s="198" t="s">
        <v>831</v>
      </c>
    </row>
    <row r="1251" spans="3:31" x14ac:dyDescent="0.25">
      <c r="C1251" s="201"/>
      <c r="E1251" s="201"/>
      <c r="F1251" s="201"/>
      <c r="I1251" s="198" t="s">
        <v>222</v>
      </c>
      <c r="J1251" s="198" t="s">
        <v>112</v>
      </c>
      <c r="K1251" s="202">
        <f t="shared" si="19"/>
        <v>642600</v>
      </c>
      <c r="L1251" s="202">
        <v>126</v>
      </c>
      <c r="N1251" s="202">
        <v>5905250</v>
      </c>
      <c r="S1251" s="204"/>
      <c r="W1251" s="198" t="s">
        <v>51</v>
      </c>
      <c r="AE1251" s="198" t="s">
        <v>831</v>
      </c>
    </row>
    <row r="1252" spans="3:31" x14ac:dyDescent="0.25">
      <c r="C1252" s="201"/>
      <c r="E1252" s="201"/>
      <c r="F1252" s="201"/>
      <c r="I1252" s="198" t="s">
        <v>222</v>
      </c>
      <c r="J1252" s="198" t="s">
        <v>112</v>
      </c>
      <c r="K1252" s="202">
        <f t="shared" si="19"/>
        <v>643110</v>
      </c>
      <c r="L1252" s="202">
        <v>126.1</v>
      </c>
      <c r="N1252" s="202">
        <v>5556688.5599999996</v>
      </c>
      <c r="S1252" s="203"/>
      <c r="W1252" s="198" t="s">
        <v>51</v>
      </c>
      <c r="AE1252" s="198" t="s">
        <v>831</v>
      </c>
    </row>
    <row r="1253" spans="3:31" x14ac:dyDescent="0.25">
      <c r="C1253" s="201"/>
      <c r="E1253" s="201"/>
      <c r="F1253" s="201"/>
      <c r="I1253" s="198" t="s">
        <v>222</v>
      </c>
      <c r="J1253" s="198" t="s">
        <v>112</v>
      </c>
      <c r="K1253" s="202">
        <f t="shared" si="19"/>
        <v>643620</v>
      </c>
      <c r="L1253" s="202">
        <v>126.2</v>
      </c>
      <c r="N1253" s="202">
        <v>2011276.8</v>
      </c>
      <c r="S1253" s="203"/>
      <c r="W1253" s="198" t="s">
        <v>51</v>
      </c>
      <c r="AE1253" s="198" t="s">
        <v>831</v>
      </c>
    </row>
    <row r="1254" spans="3:31" x14ac:dyDescent="0.25">
      <c r="C1254" s="201"/>
      <c r="E1254" s="201"/>
      <c r="F1254" s="201"/>
      <c r="I1254" s="198" t="s">
        <v>222</v>
      </c>
      <c r="J1254" s="198" t="s">
        <v>112</v>
      </c>
      <c r="K1254" s="202">
        <f t="shared" si="19"/>
        <v>644130</v>
      </c>
      <c r="L1254" s="202">
        <v>126.3</v>
      </c>
      <c r="N1254" s="202">
        <v>1340851.2</v>
      </c>
      <c r="S1254" s="203"/>
      <c r="W1254" s="198" t="s">
        <v>51</v>
      </c>
      <c r="AE1254" s="198" t="s">
        <v>831</v>
      </c>
    </row>
    <row r="1255" spans="3:31" x14ac:dyDescent="0.25">
      <c r="C1255" s="201"/>
      <c r="E1255" s="201"/>
      <c r="F1255" s="201"/>
      <c r="I1255" s="198" t="s">
        <v>223</v>
      </c>
      <c r="J1255" s="198" t="s">
        <v>112</v>
      </c>
      <c r="K1255" s="202">
        <f t="shared" si="19"/>
        <v>644640</v>
      </c>
      <c r="L1255" s="202">
        <v>126.4</v>
      </c>
      <c r="N1255" s="202">
        <v>2616250</v>
      </c>
      <c r="S1255" s="204"/>
      <c r="W1255" s="198" t="s">
        <v>51</v>
      </c>
      <c r="AE1255" s="198" t="s">
        <v>831</v>
      </c>
    </row>
    <row r="1256" spans="3:31" x14ac:dyDescent="0.25">
      <c r="C1256" s="201"/>
      <c r="E1256" s="201"/>
      <c r="F1256" s="201"/>
      <c r="I1256" s="198" t="s">
        <v>223</v>
      </c>
      <c r="J1256" s="198" t="s">
        <v>112</v>
      </c>
      <c r="K1256" s="202">
        <f t="shared" si="19"/>
        <v>645150</v>
      </c>
      <c r="L1256" s="202">
        <v>126.5</v>
      </c>
      <c r="N1256" s="202">
        <v>2484802.2000000002</v>
      </c>
      <c r="S1256" s="203"/>
      <c r="W1256" s="198" t="s">
        <v>51</v>
      </c>
      <c r="AE1256" s="198" t="s">
        <v>831</v>
      </c>
    </row>
    <row r="1257" spans="3:31" x14ac:dyDescent="0.25">
      <c r="C1257" s="201"/>
      <c r="E1257" s="201"/>
      <c r="F1257" s="201"/>
      <c r="I1257" s="198" t="s">
        <v>223</v>
      </c>
      <c r="J1257" s="198" t="s">
        <v>112</v>
      </c>
      <c r="K1257" s="202">
        <f t="shared" si="19"/>
        <v>645660</v>
      </c>
      <c r="L1257" s="202">
        <v>126.6</v>
      </c>
      <c r="N1257" s="202">
        <v>891072</v>
      </c>
      <c r="S1257" s="203"/>
      <c r="W1257" s="198" t="s">
        <v>51</v>
      </c>
      <c r="AE1257" s="198" t="s">
        <v>831</v>
      </c>
    </row>
    <row r="1258" spans="3:31" x14ac:dyDescent="0.25">
      <c r="C1258" s="201"/>
      <c r="E1258" s="201"/>
      <c r="F1258" s="201"/>
      <c r="I1258" s="198" t="s">
        <v>223</v>
      </c>
      <c r="J1258" s="198" t="s">
        <v>112</v>
      </c>
      <c r="K1258" s="202">
        <f t="shared" si="19"/>
        <v>646170</v>
      </c>
      <c r="L1258" s="202">
        <v>126.7</v>
      </c>
      <c r="N1258" s="202">
        <v>594048</v>
      </c>
      <c r="S1258" s="203"/>
      <c r="W1258" s="198" t="s">
        <v>51</v>
      </c>
      <c r="AE1258" s="198" t="s">
        <v>831</v>
      </c>
    </row>
    <row r="1259" spans="3:31" x14ac:dyDescent="0.25">
      <c r="C1259" s="201"/>
      <c r="E1259" s="201"/>
      <c r="F1259" s="201"/>
      <c r="I1259" s="198" t="s">
        <v>225</v>
      </c>
      <c r="J1259" s="198" t="s">
        <v>112</v>
      </c>
      <c r="K1259" s="202">
        <f t="shared" si="19"/>
        <v>646680</v>
      </c>
      <c r="L1259" s="202">
        <v>126.8</v>
      </c>
      <c r="N1259" s="202">
        <v>897000</v>
      </c>
      <c r="S1259" s="204"/>
      <c r="W1259" s="198" t="s">
        <v>51</v>
      </c>
      <c r="AE1259" s="198" t="s">
        <v>831</v>
      </c>
    </row>
    <row r="1260" spans="3:31" x14ac:dyDescent="0.25">
      <c r="C1260" s="201"/>
      <c r="E1260" s="201"/>
      <c r="F1260" s="201"/>
      <c r="I1260" s="198" t="s">
        <v>225</v>
      </c>
      <c r="J1260" s="198" t="s">
        <v>112</v>
      </c>
      <c r="K1260" s="202">
        <f t="shared" si="19"/>
        <v>647190</v>
      </c>
      <c r="L1260" s="202">
        <v>126.9</v>
      </c>
      <c r="N1260" s="202">
        <v>617180.1</v>
      </c>
      <c r="S1260" s="203"/>
      <c r="W1260" s="198" t="s">
        <v>51</v>
      </c>
      <c r="AE1260" s="198" t="s">
        <v>831</v>
      </c>
    </row>
    <row r="1261" spans="3:31" x14ac:dyDescent="0.25">
      <c r="C1261" s="201"/>
      <c r="E1261" s="201"/>
      <c r="F1261" s="201"/>
      <c r="I1261" s="198" t="s">
        <v>225</v>
      </c>
      <c r="J1261" s="198" t="s">
        <v>112</v>
      </c>
      <c r="K1261" s="202">
        <f t="shared" si="19"/>
        <v>647700</v>
      </c>
      <c r="L1261" s="202">
        <v>127</v>
      </c>
      <c r="N1261" s="202">
        <v>305510.40000000002</v>
      </c>
      <c r="S1261" s="203"/>
      <c r="W1261" s="198" t="s">
        <v>51</v>
      </c>
      <c r="AE1261" s="198" t="s">
        <v>831</v>
      </c>
    </row>
    <row r="1262" spans="3:31" x14ac:dyDescent="0.25">
      <c r="C1262" s="201"/>
      <c r="E1262" s="201"/>
      <c r="F1262" s="201"/>
      <c r="I1262" s="198" t="s">
        <v>225</v>
      </c>
      <c r="J1262" s="198" t="s">
        <v>112</v>
      </c>
      <c r="K1262" s="202">
        <f t="shared" si="19"/>
        <v>648210</v>
      </c>
      <c r="L1262" s="202">
        <v>127.1</v>
      </c>
      <c r="N1262" s="202">
        <v>203673.60000000001</v>
      </c>
      <c r="S1262" s="203"/>
      <c r="W1262" s="198" t="s">
        <v>51</v>
      </c>
      <c r="AE1262" s="198" t="s">
        <v>831</v>
      </c>
    </row>
    <row r="1263" spans="3:31" x14ac:dyDescent="0.25">
      <c r="C1263" s="201"/>
      <c r="E1263" s="201"/>
      <c r="F1263" s="201"/>
      <c r="I1263" s="198" t="s">
        <v>843</v>
      </c>
      <c r="J1263" s="198" t="s">
        <v>137</v>
      </c>
      <c r="K1263" s="202">
        <f t="shared" si="19"/>
        <v>648720</v>
      </c>
      <c r="L1263" s="202">
        <v>127.2</v>
      </c>
      <c r="N1263" s="202">
        <v>0.5</v>
      </c>
      <c r="S1263" s="204"/>
      <c r="W1263" s="198" t="s">
        <v>51</v>
      </c>
      <c r="AE1263" s="198" t="s">
        <v>844</v>
      </c>
    </row>
    <row r="1264" spans="3:31" x14ac:dyDescent="0.25">
      <c r="C1264" s="201"/>
      <c r="E1264" s="201"/>
      <c r="F1264" s="201"/>
      <c r="I1264" s="198" t="s">
        <v>843</v>
      </c>
      <c r="J1264" s="198" t="s">
        <v>137</v>
      </c>
      <c r="K1264" s="202">
        <f t="shared" si="19"/>
        <v>649230</v>
      </c>
      <c r="L1264" s="202">
        <v>127.3</v>
      </c>
      <c r="N1264" s="202">
        <v>0.5</v>
      </c>
      <c r="S1264" s="204"/>
      <c r="W1264" s="198" t="s">
        <v>51</v>
      </c>
      <c r="AE1264" s="198" t="s">
        <v>844</v>
      </c>
    </row>
    <row r="1265" spans="3:31" x14ac:dyDescent="0.25">
      <c r="C1265" s="201"/>
      <c r="E1265" s="201"/>
      <c r="F1265" s="201"/>
      <c r="I1265" s="198" t="s">
        <v>843</v>
      </c>
      <c r="J1265" s="198" t="s">
        <v>137</v>
      </c>
      <c r="K1265" s="202">
        <f t="shared" si="19"/>
        <v>649740</v>
      </c>
      <c r="L1265" s="202">
        <v>127.4</v>
      </c>
      <c r="N1265" s="202">
        <v>1.5</v>
      </c>
      <c r="S1265" s="204"/>
      <c r="W1265" s="198" t="s">
        <v>51</v>
      </c>
      <c r="AE1265" s="198" t="s">
        <v>844</v>
      </c>
    </row>
    <row r="1266" spans="3:31" x14ac:dyDescent="0.25">
      <c r="C1266" s="201"/>
      <c r="E1266" s="201"/>
      <c r="F1266" s="201"/>
      <c r="I1266" s="198" t="s">
        <v>843</v>
      </c>
      <c r="J1266" s="198" t="s">
        <v>137</v>
      </c>
      <c r="K1266" s="202">
        <f t="shared" si="19"/>
        <v>650250</v>
      </c>
      <c r="L1266" s="202">
        <v>127.5</v>
      </c>
      <c r="N1266" s="202">
        <v>0.5</v>
      </c>
      <c r="S1266" s="204"/>
      <c r="W1266" s="198" t="s">
        <v>51</v>
      </c>
      <c r="AE1266" s="198" t="s">
        <v>844</v>
      </c>
    </row>
    <row r="1267" spans="3:31" x14ac:dyDescent="0.25">
      <c r="C1267" s="201"/>
      <c r="E1267" s="201"/>
      <c r="F1267" s="201"/>
      <c r="I1267" s="198" t="s">
        <v>843</v>
      </c>
      <c r="J1267" s="198" t="s">
        <v>137</v>
      </c>
      <c r="K1267" s="202">
        <f t="shared" si="19"/>
        <v>650760</v>
      </c>
      <c r="L1267" s="202">
        <v>127.6</v>
      </c>
      <c r="N1267" s="202">
        <v>0.5</v>
      </c>
      <c r="S1267" s="204"/>
      <c r="W1267" s="198" t="s">
        <v>51</v>
      </c>
      <c r="AE1267" s="198" t="s">
        <v>844</v>
      </c>
    </row>
    <row r="1268" spans="3:31" x14ac:dyDescent="0.25">
      <c r="C1268" s="201"/>
      <c r="E1268" s="201"/>
      <c r="F1268" s="201"/>
      <c r="I1268" s="198" t="s">
        <v>129</v>
      </c>
      <c r="J1268" s="198" t="s">
        <v>130</v>
      </c>
      <c r="K1268" s="202">
        <f t="shared" si="19"/>
        <v>651270</v>
      </c>
      <c r="L1268" s="202">
        <v>127.7</v>
      </c>
      <c r="N1268" s="202">
        <v>62178.66</v>
      </c>
      <c r="S1268" s="204"/>
      <c r="W1268" s="198" t="s">
        <v>51</v>
      </c>
      <c r="AE1268" s="198" t="s">
        <v>833</v>
      </c>
    </row>
    <row r="1269" spans="3:31" x14ac:dyDescent="0.25">
      <c r="C1269" s="201"/>
      <c r="E1269" s="201"/>
      <c r="F1269" s="201"/>
      <c r="I1269" s="198" t="s">
        <v>430</v>
      </c>
      <c r="J1269" s="198" t="s">
        <v>130</v>
      </c>
      <c r="K1269" s="202">
        <f t="shared" si="19"/>
        <v>651780</v>
      </c>
      <c r="L1269" s="202">
        <v>127.8</v>
      </c>
      <c r="N1269" s="202">
        <v>16721000</v>
      </c>
      <c r="S1269" s="204"/>
      <c r="W1269" s="198" t="s">
        <v>51</v>
      </c>
      <c r="AE1269" s="198" t="s">
        <v>833</v>
      </c>
    </row>
    <row r="1270" spans="3:31" x14ac:dyDescent="0.25">
      <c r="C1270" s="201"/>
      <c r="E1270" s="201"/>
      <c r="F1270" s="201"/>
      <c r="I1270" s="198" t="s">
        <v>430</v>
      </c>
      <c r="J1270" s="198" t="s">
        <v>130</v>
      </c>
      <c r="K1270" s="202">
        <f t="shared" si="19"/>
        <v>652290</v>
      </c>
      <c r="L1270" s="202">
        <v>127.9</v>
      </c>
      <c r="N1270" s="202">
        <v>16721000</v>
      </c>
      <c r="S1270" s="204"/>
      <c r="W1270" s="198" t="s">
        <v>51</v>
      </c>
      <c r="AE1270" s="198" t="s">
        <v>833</v>
      </c>
    </row>
    <row r="1271" spans="3:31" x14ac:dyDescent="0.25">
      <c r="C1271" s="201"/>
      <c r="E1271" s="201"/>
      <c r="F1271" s="201"/>
      <c r="I1271" s="198" t="s">
        <v>239</v>
      </c>
      <c r="J1271" s="198" t="s">
        <v>148</v>
      </c>
      <c r="K1271" s="202">
        <f t="shared" si="19"/>
        <v>652800</v>
      </c>
      <c r="L1271" s="202">
        <v>128</v>
      </c>
      <c r="N1271" s="202">
        <v>80000</v>
      </c>
      <c r="S1271" s="203"/>
      <c r="W1271" s="198" t="s">
        <v>51</v>
      </c>
      <c r="AE1271" s="198" t="s">
        <v>828</v>
      </c>
    </row>
    <row r="1272" spans="3:31" x14ac:dyDescent="0.25">
      <c r="C1272" s="201"/>
      <c r="E1272" s="201"/>
      <c r="F1272" s="201"/>
      <c r="I1272" s="198" t="s">
        <v>740</v>
      </c>
      <c r="J1272" s="198" t="s">
        <v>153</v>
      </c>
      <c r="K1272" s="202">
        <f t="shared" si="19"/>
        <v>653310</v>
      </c>
      <c r="L1272" s="202">
        <v>128.1</v>
      </c>
      <c r="N1272" s="202">
        <v>80000</v>
      </c>
      <c r="S1272" s="203"/>
      <c r="W1272" s="198" t="s">
        <v>51</v>
      </c>
      <c r="AE1272" s="198" t="s">
        <v>1768</v>
      </c>
    </row>
    <row r="1273" spans="3:31" x14ac:dyDescent="0.25">
      <c r="C1273" s="201"/>
      <c r="E1273" s="201"/>
      <c r="F1273" s="201"/>
      <c r="I1273" s="198" t="s">
        <v>194</v>
      </c>
      <c r="J1273" s="198" t="s">
        <v>156</v>
      </c>
      <c r="K1273" s="202">
        <f t="shared" si="19"/>
        <v>653820</v>
      </c>
      <c r="L1273" s="202">
        <v>128.19999999999999</v>
      </c>
      <c r="N1273" s="202">
        <v>80000</v>
      </c>
      <c r="S1273" s="203"/>
      <c r="W1273" s="198" t="s">
        <v>51</v>
      </c>
      <c r="AE1273" s="198" t="s">
        <v>828</v>
      </c>
    </row>
    <row r="1274" spans="3:31" x14ac:dyDescent="0.25">
      <c r="C1274" s="201"/>
      <c r="E1274" s="201"/>
      <c r="F1274" s="201"/>
      <c r="I1274" s="198" t="s">
        <v>741</v>
      </c>
      <c r="J1274" s="198" t="s">
        <v>274</v>
      </c>
      <c r="K1274" s="202">
        <f t="shared" si="19"/>
        <v>654330</v>
      </c>
      <c r="L1274" s="202">
        <v>128.30000000000001</v>
      </c>
      <c r="N1274" s="202">
        <v>80000</v>
      </c>
      <c r="S1274" s="203"/>
      <c r="W1274" s="198" t="s">
        <v>51</v>
      </c>
      <c r="AE1274" s="198" t="s">
        <v>1767</v>
      </c>
    </row>
    <row r="1275" spans="3:31" x14ac:dyDescent="0.25">
      <c r="C1275" s="201"/>
      <c r="E1275" s="201"/>
      <c r="F1275" s="201"/>
      <c r="I1275" s="198" t="s">
        <v>788</v>
      </c>
      <c r="J1275" s="198" t="s">
        <v>193</v>
      </c>
      <c r="K1275" s="202">
        <f t="shared" si="19"/>
        <v>654840</v>
      </c>
      <c r="L1275" s="202">
        <v>128.4</v>
      </c>
      <c r="N1275" s="202">
        <v>50000</v>
      </c>
      <c r="S1275" s="204"/>
      <c r="W1275" s="198" t="s">
        <v>51</v>
      </c>
      <c r="AE1275" s="198" t="s">
        <v>830</v>
      </c>
    </row>
    <row r="1276" spans="3:31" x14ac:dyDescent="0.25">
      <c r="C1276" s="201"/>
      <c r="E1276" s="201"/>
      <c r="F1276" s="201"/>
      <c r="I1276" s="198" t="s">
        <v>786</v>
      </c>
      <c r="J1276" s="198" t="s">
        <v>143</v>
      </c>
      <c r="K1276" s="202">
        <f t="shared" si="19"/>
        <v>655350</v>
      </c>
      <c r="L1276" s="202">
        <v>128.5</v>
      </c>
      <c r="N1276" s="202">
        <v>50000</v>
      </c>
      <c r="S1276" s="204"/>
      <c r="W1276" s="198" t="s">
        <v>51</v>
      </c>
      <c r="AE1276" s="198" t="s">
        <v>829</v>
      </c>
    </row>
    <row r="1277" spans="3:31" x14ac:dyDescent="0.25">
      <c r="C1277" s="201"/>
      <c r="E1277" s="201"/>
      <c r="F1277" s="201"/>
      <c r="I1277" s="198" t="s">
        <v>792</v>
      </c>
      <c r="J1277" s="198" t="s">
        <v>148</v>
      </c>
      <c r="K1277" s="202">
        <f t="shared" si="19"/>
        <v>655860</v>
      </c>
      <c r="L1277" s="202">
        <v>128.6</v>
      </c>
      <c r="N1277" s="202">
        <v>50000</v>
      </c>
      <c r="S1277" s="204"/>
      <c r="W1277" s="198" t="s">
        <v>51</v>
      </c>
      <c r="AE1277" s="198" t="s">
        <v>828</v>
      </c>
    </row>
    <row r="1278" spans="3:31" x14ac:dyDescent="0.25">
      <c r="C1278" s="201"/>
      <c r="E1278" s="201"/>
      <c r="F1278" s="201"/>
      <c r="I1278" s="198" t="s">
        <v>129</v>
      </c>
      <c r="J1278" s="198" t="s">
        <v>130</v>
      </c>
      <c r="K1278" s="202">
        <f t="shared" si="19"/>
        <v>656370</v>
      </c>
      <c r="L1278" s="202">
        <v>128.69999999999999</v>
      </c>
      <c r="N1278" s="202">
        <v>-0.4</v>
      </c>
      <c r="S1278" s="204"/>
      <c r="W1278" s="198" t="s">
        <v>51</v>
      </c>
      <c r="AE1278" s="198" t="s">
        <v>833</v>
      </c>
    </row>
    <row r="1279" spans="3:31" x14ac:dyDescent="0.25">
      <c r="C1279" s="201"/>
      <c r="E1279" s="201"/>
      <c r="F1279" s="201"/>
      <c r="I1279" s="198" t="s">
        <v>122</v>
      </c>
      <c r="J1279" s="198" t="s">
        <v>126</v>
      </c>
      <c r="K1279" s="202">
        <f t="shared" si="19"/>
        <v>656880</v>
      </c>
      <c r="L1279" s="202">
        <v>128.80000000000001</v>
      </c>
      <c r="N1279" s="202">
        <v>185834.7</v>
      </c>
      <c r="S1279" s="204"/>
      <c r="W1279" s="198" t="s">
        <v>51</v>
      </c>
      <c r="AE1279" s="198" t="s">
        <v>835</v>
      </c>
    </row>
    <row r="1280" spans="3:31" x14ac:dyDescent="0.25">
      <c r="C1280" s="201"/>
      <c r="E1280" s="201"/>
      <c r="F1280" s="201"/>
      <c r="I1280" s="198" t="s">
        <v>362</v>
      </c>
      <c r="J1280" s="198" t="s">
        <v>132</v>
      </c>
      <c r="K1280" s="202">
        <f t="shared" si="19"/>
        <v>657390</v>
      </c>
      <c r="L1280" s="202">
        <v>128.9</v>
      </c>
      <c r="N1280" s="202">
        <v>16535647</v>
      </c>
      <c r="S1280" s="204"/>
      <c r="W1280" s="198" t="s">
        <v>51</v>
      </c>
      <c r="AE1280" s="198" t="s">
        <v>833</v>
      </c>
    </row>
    <row r="1281" spans="3:31" x14ac:dyDescent="0.25">
      <c r="C1281" s="201"/>
      <c r="E1281" s="201"/>
      <c r="F1281" s="201"/>
      <c r="I1281" s="198" t="s">
        <v>362</v>
      </c>
      <c r="J1281" s="198" t="s">
        <v>132</v>
      </c>
      <c r="K1281" s="202">
        <f t="shared" si="19"/>
        <v>657900</v>
      </c>
      <c r="L1281" s="202">
        <v>129</v>
      </c>
      <c r="N1281" s="202">
        <v>16535647</v>
      </c>
      <c r="S1281" s="204"/>
      <c r="W1281" s="198" t="s">
        <v>51</v>
      </c>
      <c r="AE1281" s="198" t="s">
        <v>833</v>
      </c>
    </row>
    <row r="1282" spans="3:31" x14ac:dyDescent="0.25">
      <c r="C1282" s="201"/>
      <c r="E1282" s="201"/>
      <c r="F1282" s="201"/>
      <c r="I1282" s="198" t="s">
        <v>362</v>
      </c>
      <c r="J1282" s="198" t="s">
        <v>132</v>
      </c>
      <c r="K1282" s="202">
        <f t="shared" si="19"/>
        <v>658410</v>
      </c>
      <c r="L1282" s="202">
        <v>129.1</v>
      </c>
      <c r="N1282" s="202">
        <v>16535647</v>
      </c>
      <c r="S1282" s="204"/>
      <c r="W1282" s="198" t="s">
        <v>51</v>
      </c>
      <c r="AE1282" s="198" t="s">
        <v>833</v>
      </c>
    </row>
    <row r="1283" spans="3:31" x14ac:dyDescent="0.25">
      <c r="C1283" s="201"/>
      <c r="E1283" s="201"/>
      <c r="F1283" s="201"/>
      <c r="I1283" s="198" t="s">
        <v>362</v>
      </c>
      <c r="J1283" s="198" t="s">
        <v>132</v>
      </c>
      <c r="K1283" s="202">
        <f t="shared" ref="K1283:K1346" si="20">L1283*5100</f>
        <v>658920</v>
      </c>
      <c r="L1283" s="202">
        <v>129.19999999999999</v>
      </c>
      <c r="N1283" s="202">
        <v>16535647</v>
      </c>
      <c r="S1283" s="204"/>
      <c r="W1283" s="198" t="s">
        <v>51</v>
      </c>
      <c r="AE1283" s="198" t="s">
        <v>833</v>
      </c>
    </row>
    <row r="1284" spans="3:31" x14ac:dyDescent="0.25">
      <c r="C1284" s="201"/>
      <c r="E1284" s="201"/>
      <c r="F1284" s="201"/>
      <c r="I1284" s="198" t="s">
        <v>199</v>
      </c>
      <c r="J1284" s="198" t="s">
        <v>167</v>
      </c>
      <c r="K1284" s="202">
        <f t="shared" si="20"/>
        <v>659430</v>
      </c>
      <c r="L1284" s="202">
        <v>129.30000000000001</v>
      </c>
      <c r="N1284" s="202">
        <v>354290</v>
      </c>
      <c r="S1284" s="204"/>
      <c r="W1284" s="198" t="s">
        <v>51</v>
      </c>
      <c r="AE1284" s="198" t="s">
        <v>831</v>
      </c>
    </row>
    <row r="1285" spans="3:31" x14ac:dyDescent="0.25">
      <c r="C1285" s="201"/>
      <c r="E1285" s="201"/>
      <c r="F1285" s="201"/>
      <c r="I1285" s="198" t="s">
        <v>199</v>
      </c>
      <c r="J1285" s="198" t="s">
        <v>167</v>
      </c>
      <c r="K1285" s="202">
        <f t="shared" si="20"/>
        <v>659940</v>
      </c>
      <c r="L1285" s="202">
        <v>129.4</v>
      </c>
      <c r="N1285" s="202">
        <v>354290</v>
      </c>
      <c r="S1285" s="204"/>
      <c r="W1285" s="198" t="s">
        <v>51</v>
      </c>
      <c r="AE1285" s="198" t="s">
        <v>831</v>
      </c>
    </row>
    <row r="1286" spans="3:31" x14ac:dyDescent="0.25">
      <c r="C1286" s="201"/>
      <c r="E1286" s="201"/>
      <c r="F1286" s="201"/>
      <c r="I1286" s="198" t="s">
        <v>122</v>
      </c>
      <c r="J1286" s="198" t="s">
        <v>126</v>
      </c>
      <c r="K1286" s="202">
        <f t="shared" si="20"/>
        <v>660450</v>
      </c>
      <c r="L1286" s="202">
        <v>129.5</v>
      </c>
      <c r="N1286" s="202">
        <v>-0.2</v>
      </c>
      <c r="S1286" s="204"/>
      <c r="W1286" s="198" t="s">
        <v>51</v>
      </c>
      <c r="AE1286" s="198" t="s">
        <v>835</v>
      </c>
    </row>
    <row r="1287" spans="3:31" x14ac:dyDescent="0.25">
      <c r="C1287" s="201"/>
      <c r="E1287" s="201"/>
      <c r="F1287" s="201"/>
      <c r="I1287" s="198" t="s">
        <v>135</v>
      </c>
      <c r="J1287" s="198" t="s">
        <v>117</v>
      </c>
      <c r="K1287" s="202">
        <f t="shared" si="20"/>
        <v>660960</v>
      </c>
      <c r="L1287" s="202">
        <v>129.6</v>
      </c>
      <c r="N1287" s="202">
        <v>0.18</v>
      </c>
      <c r="S1287" s="204"/>
      <c r="W1287" s="198" t="s">
        <v>51</v>
      </c>
      <c r="AE1287" s="198" t="s">
        <v>878</v>
      </c>
    </row>
    <row r="1288" spans="3:31" x14ac:dyDescent="0.25">
      <c r="C1288" s="201"/>
      <c r="E1288" s="201"/>
      <c r="F1288" s="201"/>
      <c r="I1288" s="198" t="s">
        <v>122</v>
      </c>
      <c r="J1288" s="198" t="s">
        <v>126</v>
      </c>
      <c r="K1288" s="202">
        <f t="shared" si="20"/>
        <v>661470</v>
      </c>
      <c r="L1288" s="202">
        <v>129.69999999999999</v>
      </c>
      <c r="N1288" s="202">
        <v>-0.44</v>
      </c>
      <c r="S1288" s="204"/>
      <c r="W1288" s="198" t="s">
        <v>51</v>
      </c>
      <c r="AE1288" s="198" t="s">
        <v>835</v>
      </c>
    </row>
    <row r="1289" spans="3:31" x14ac:dyDescent="0.25">
      <c r="C1289" s="201"/>
      <c r="E1289" s="201"/>
      <c r="F1289" s="201"/>
      <c r="I1289" s="198" t="s">
        <v>122</v>
      </c>
      <c r="J1289" s="198" t="s">
        <v>126</v>
      </c>
      <c r="K1289" s="202">
        <f t="shared" si="20"/>
        <v>661980</v>
      </c>
      <c r="L1289" s="202">
        <v>129.80000000000001</v>
      </c>
      <c r="N1289" s="202">
        <v>0.1</v>
      </c>
      <c r="S1289" s="204"/>
      <c r="W1289" s="198" t="s">
        <v>51</v>
      </c>
      <c r="AE1289" s="198" t="s">
        <v>835</v>
      </c>
    </row>
    <row r="1290" spans="3:31" x14ac:dyDescent="0.25">
      <c r="C1290" s="201"/>
      <c r="E1290" s="201"/>
      <c r="F1290" s="201"/>
      <c r="I1290" s="198" t="s">
        <v>136</v>
      </c>
      <c r="J1290" s="198" t="s">
        <v>137</v>
      </c>
      <c r="K1290" s="202">
        <f t="shared" si="20"/>
        <v>662490</v>
      </c>
      <c r="L1290" s="202">
        <v>129.9</v>
      </c>
      <c r="N1290" s="202">
        <v>0.4</v>
      </c>
      <c r="S1290" s="204"/>
      <c r="W1290" s="198" t="s">
        <v>51</v>
      </c>
      <c r="AE1290" s="198" t="s">
        <v>844</v>
      </c>
    </row>
    <row r="1291" spans="3:31" x14ac:dyDescent="0.25">
      <c r="C1291" s="201"/>
      <c r="E1291" s="201"/>
      <c r="F1291" s="201"/>
      <c r="I1291" s="198" t="s">
        <v>199</v>
      </c>
      <c r="J1291" s="198" t="s">
        <v>167</v>
      </c>
      <c r="K1291" s="202">
        <f t="shared" si="20"/>
        <v>663000</v>
      </c>
      <c r="L1291" s="202">
        <v>130</v>
      </c>
      <c r="N1291" s="202">
        <v>354290</v>
      </c>
      <c r="S1291" s="204"/>
      <c r="W1291" s="198" t="s">
        <v>51</v>
      </c>
      <c r="AE1291" s="198" t="s">
        <v>831</v>
      </c>
    </row>
    <row r="1292" spans="3:31" x14ac:dyDescent="0.25">
      <c r="C1292" s="201"/>
      <c r="E1292" s="201"/>
      <c r="F1292" s="201"/>
      <c r="I1292" s="198" t="s">
        <v>131</v>
      </c>
      <c r="J1292" s="198" t="s">
        <v>132</v>
      </c>
      <c r="K1292" s="202">
        <f t="shared" si="20"/>
        <v>663510</v>
      </c>
      <c r="L1292" s="202">
        <v>130.1</v>
      </c>
      <c r="N1292" s="202">
        <v>0.24</v>
      </c>
      <c r="S1292" s="204"/>
      <c r="W1292" s="198" t="s">
        <v>51</v>
      </c>
      <c r="AE1292" s="198" t="s">
        <v>833</v>
      </c>
    </row>
    <row r="1293" spans="3:31" x14ac:dyDescent="0.25">
      <c r="C1293" s="201"/>
      <c r="E1293" s="201"/>
      <c r="F1293" s="201"/>
      <c r="I1293" s="198" t="s">
        <v>199</v>
      </c>
      <c r="J1293" s="198" t="s">
        <v>167</v>
      </c>
      <c r="K1293" s="202">
        <f t="shared" si="20"/>
        <v>664020</v>
      </c>
      <c r="L1293" s="202">
        <v>130.19999999999999</v>
      </c>
      <c r="N1293" s="202">
        <v>354290</v>
      </c>
      <c r="S1293" s="204"/>
      <c r="W1293" s="198" t="s">
        <v>51</v>
      </c>
      <c r="AE1293" s="198" t="s">
        <v>831</v>
      </c>
    </row>
    <row r="1294" spans="3:31" x14ac:dyDescent="0.25">
      <c r="C1294" s="201"/>
      <c r="E1294" s="201"/>
      <c r="F1294" s="201"/>
      <c r="I1294" s="198" t="s">
        <v>199</v>
      </c>
      <c r="J1294" s="198" t="s">
        <v>167</v>
      </c>
      <c r="K1294" s="202">
        <f t="shared" si="20"/>
        <v>664530</v>
      </c>
      <c r="L1294" s="202">
        <v>130.30000000000001</v>
      </c>
      <c r="N1294" s="202">
        <v>354290</v>
      </c>
      <c r="S1294" s="204"/>
      <c r="W1294" s="198" t="s">
        <v>51</v>
      </c>
      <c r="AE1294" s="198" t="s">
        <v>831</v>
      </c>
    </row>
    <row r="1295" spans="3:31" x14ac:dyDescent="0.25">
      <c r="C1295" s="201"/>
      <c r="E1295" s="201"/>
      <c r="F1295" s="201"/>
      <c r="I1295" s="198" t="s">
        <v>199</v>
      </c>
      <c r="J1295" s="198" t="s">
        <v>167</v>
      </c>
      <c r="K1295" s="202">
        <f t="shared" si="20"/>
        <v>665040</v>
      </c>
      <c r="L1295" s="202">
        <v>130.4</v>
      </c>
      <c r="N1295" s="202">
        <v>354290</v>
      </c>
      <c r="S1295" s="204"/>
      <c r="W1295" s="198" t="s">
        <v>51</v>
      </c>
      <c r="AE1295" s="198" t="s">
        <v>831</v>
      </c>
    </row>
    <row r="1296" spans="3:31" x14ac:dyDescent="0.25">
      <c r="C1296" s="201"/>
      <c r="E1296" s="201"/>
      <c r="F1296" s="201"/>
      <c r="I1296" s="198" t="s">
        <v>199</v>
      </c>
      <c r="J1296" s="198" t="s">
        <v>167</v>
      </c>
      <c r="K1296" s="202">
        <f t="shared" si="20"/>
        <v>665550</v>
      </c>
      <c r="L1296" s="202">
        <v>130.5</v>
      </c>
      <c r="N1296" s="202">
        <v>354290</v>
      </c>
      <c r="S1296" s="204"/>
      <c r="W1296" s="198" t="s">
        <v>51</v>
      </c>
      <c r="AE1296" s="198" t="s">
        <v>831</v>
      </c>
    </row>
    <row r="1297" spans="3:31" x14ac:dyDescent="0.25">
      <c r="C1297" s="201"/>
      <c r="E1297" s="201"/>
      <c r="F1297" s="201"/>
      <c r="I1297" s="198" t="s">
        <v>199</v>
      </c>
      <c r="J1297" s="198" t="s">
        <v>167</v>
      </c>
      <c r="K1297" s="202">
        <f t="shared" si="20"/>
        <v>666060</v>
      </c>
      <c r="L1297" s="202">
        <v>130.6</v>
      </c>
      <c r="N1297" s="202">
        <v>354290</v>
      </c>
      <c r="S1297" s="204"/>
      <c r="W1297" s="198" t="s">
        <v>51</v>
      </c>
      <c r="AE1297" s="198" t="s">
        <v>831</v>
      </c>
    </row>
    <row r="1298" spans="3:31" x14ac:dyDescent="0.25">
      <c r="C1298" s="201"/>
      <c r="E1298" s="201"/>
      <c r="F1298" s="201"/>
      <c r="I1298" s="198" t="s">
        <v>199</v>
      </c>
      <c r="J1298" s="198" t="s">
        <v>167</v>
      </c>
      <c r="K1298" s="202">
        <f t="shared" si="20"/>
        <v>666570</v>
      </c>
      <c r="L1298" s="202">
        <v>130.69999999999999</v>
      </c>
      <c r="N1298" s="202">
        <v>354290</v>
      </c>
      <c r="S1298" s="204"/>
      <c r="W1298" s="198" t="s">
        <v>51</v>
      </c>
      <c r="AE1298" s="198" t="s">
        <v>831</v>
      </c>
    </row>
    <row r="1299" spans="3:31" x14ac:dyDescent="0.25">
      <c r="C1299" s="201"/>
      <c r="E1299" s="201"/>
      <c r="F1299" s="201"/>
      <c r="I1299" s="198" t="s">
        <v>199</v>
      </c>
      <c r="J1299" s="198" t="s">
        <v>167</v>
      </c>
      <c r="K1299" s="202">
        <f t="shared" si="20"/>
        <v>667080</v>
      </c>
      <c r="L1299" s="202">
        <v>130.80000000000001</v>
      </c>
      <c r="N1299" s="202">
        <v>354290</v>
      </c>
      <c r="S1299" s="204"/>
      <c r="W1299" s="198" t="s">
        <v>51</v>
      </c>
      <c r="AE1299" s="198" t="s">
        <v>831</v>
      </c>
    </row>
    <row r="1300" spans="3:31" x14ac:dyDescent="0.25">
      <c r="C1300" s="201"/>
      <c r="E1300" s="201"/>
      <c r="F1300" s="201"/>
      <c r="I1300" s="198" t="s">
        <v>204</v>
      </c>
      <c r="J1300" s="198" t="s">
        <v>169</v>
      </c>
      <c r="K1300" s="202">
        <f t="shared" si="20"/>
        <v>667590</v>
      </c>
      <c r="L1300" s="202">
        <v>130.9</v>
      </c>
      <c r="N1300" s="202">
        <v>349040</v>
      </c>
      <c r="S1300" s="204"/>
      <c r="W1300" s="198" t="s">
        <v>51</v>
      </c>
      <c r="AE1300" s="198" t="s">
        <v>831</v>
      </c>
    </row>
    <row r="1301" spans="3:31" x14ac:dyDescent="0.25">
      <c r="C1301" s="201"/>
      <c r="E1301" s="201"/>
      <c r="F1301" s="201"/>
      <c r="I1301" s="198" t="s">
        <v>276</v>
      </c>
      <c r="J1301" s="198" t="s">
        <v>143</v>
      </c>
      <c r="K1301" s="202">
        <f t="shared" si="20"/>
        <v>668100</v>
      </c>
      <c r="L1301" s="202">
        <v>131</v>
      </c>
      <c r="N1301" s="202">
        <v>0.18</v>
      </c>
      <c r="S1301" s="204"/>
      <c r="W1301" s="198" t="s">
        <v>51</v>
      </c>
      <c r="AE1301" s="198" t="s">
        <v>829</v>
      </c>
    </row>
    <row r="1302" spans="3:31" x14ac:dyDescent="0.25">
      <c r="C1302" s="201"/>
      <c r="E1302" s="201"/>
      <c r="F1302" s="201"/>
      <c r="I1302" s="198" t="s">
        <v>430</v>
      </c>
      <c r="J1302" s="198" t="s">
        <v>130</v>
      </c>
      <c r="K1302" s="202">
        <f t="shared" si="20"/>
        <v>668610</v>
      </c>
      <c r="L1302" s="202">
        <v>131.1</v>
      </c>
      <c r="N1302" s="202">
        <v>18225000</v>
      </c>
      <c r="S1302" s="204"/>
      <c r="W1302" s="198" t="s">
        <v>51</v>
      </c>
      <c r="AE1302" s="198" t="s">
        <v>833</v>
      </c>
    </row>
    <row r="1303" spans="3:31" x14ac:dyDescent="0.25">
      <c r="C1303" s="201"/>
      <c r="E1303" s="201"/>
      <c r="F1303" s="201"/>
      <c r="I1303" s="198" t="s">
        <v>362</v>
      </c>
      <c r="J1303" s="198" t="s">
        <v>132</v>
      </c>
      <c r="K1303" s="202">
        <f t="shared" si="20"/>
        <v>669120</v>
      </c>
      <c r="L1303" s="202">
        <v>131.19999999999999</v>
      </c>
      <c r="N1303" s="202">
        <v>2301000</v>
      </c>
      <c r="S1303" s="204"/>
      <c r="W1303" s="198" t="s">
        <v>51</v>
      </c>
      <c r="AE1303" s="198" t="s">
        <v>833</v>
      </c>
    </row>
    <row r="1304" spans="3:31" x14ac:dyDescent="0.25">
      <c r="C1304" s="201"/>
      <c r="E1304" s="201"/>
      <c r="F1304" s="201"/>
      <c r="I1304" s="198" t="s">
        <v>430</v>
      </c>
      <c r="J1304" s="198" t="s">
        <v>130</v>
      </c>
      <c r="K1304" s="202">
        <f t="shared" si="20"/>
        <v>669630</v>
      </c>
      <c r="L1304" s="202">
        <v>131.30000000000001</v>
      </c>
      <c r="N1304" s="202">
        <v>16721000</v>
      </c>
      <c r="S1304" s="204"/>
      <c r="W1304" s="198" t="s">
        <v>51</v>
      </c>
      <c r="AE1304" s="198" t="s">
        <v>833</v>
      </c>
    </row>
    <row r="1305" spans="3:31" x14ac:dyDescent="0.25">
      <c r="C1305" s="201"/>
      <c r="E1305" s="201"/>
      <c r="F1305" s="201"/>
      <c r="I1305" s="198" t="s">
        <v>554</v>
      </c>
      <c r="J1305" s="198" t="s">
        <v>130</v>
      </c>
      <c r="K1305" s="202">
        <f t="shared" si="20"/>
        <v>670140</v>
      </c>
      <c r="L1305" s="202">
        <v>131.4</v>
      </c>
      <c r="N1305" s="202">
        <v>2007909.89</v>
      </c>
      <c r="S1305" s="204"/>
      <c r="W1305" s="198" t="s">
        <v>51</v>
      </c>
      <c r="AE1305" s="198" t="s">
        <v>833</v>
      </c>
    </row>
    <row r="1306" spans="3:31" x14ac:dyDescent="0.25">
      <c r="C1306" s="201"/>
      <c r="E1306" s="201"/>
      <c r="F1306" s="201"/>
      <c r="I1306" s="198" t="s">
        <v>554</v>
      </c>
      <c r="J1306" s="198" t="s">
        <v>130</v>
      </c>
      <c r="K1306" s="202">
        <f t="shared" si="20"/>
        <v>670650</v>
      </c>
      <c r="L1306" s="202">
        <v>131.5</v>
      </c>
      <c r="N1306" s="202">
        <v>489505.12</v>
      </c>
      <c r="S1306" s="204"/>
      <c r="W1306" s="198" t="s">
        <v>51</v>
      </c>
      <c r="AE1306" s="198" t="s">
        <v>833</v>
      </c>
    </row>
    <row r="1307" spans="3:31" x14ac:dyDescent="0.25">
      <c r="C1307" s="201"/>
      <c r="E1307" s="201"/>
      <c r="F1307" s="201"/>
      <c r="I1307" s="198" t="s">
        <v>554</v>
      </c>
      <c r="J1307" s="198" t="s">
        <v>130</v>
      </c>
      <c r="K1307" s="202">
        <f t="shared" si="20"/>
        <v>671160</v>
      </c>
      <c r="L1307" s="202">
        <v>131.6</v>
      </c>
      <c r="N1307" s="202">
        <v>277712.3</v>
      </c>
      <c r="S1307" s="204"/>
      <c r="W1307" s="198" t="s">
        <v>51</v>
      </c>
      <c r="AE1307" s="198" t="s">
        <v>833</v>
      </c>
    </row>
    <row r="1308" spans="3:31" x14ac:dyDescent="0.25">
      <c r="C1308" s="201"/>
      <c r="E1308" s="201"/>
      <c r="F1308" s="201"/>
      <c r="I1308" s="198" t="s">
        <v>554</v>
      </c>
      <c r="J1308" s="198" t="s">
        <v>130</v>
      </c>
      <c r="K1308" s="202">
        <f t="shared" si="20"/>
        <v>671670</v>
      </c>
      <c r="L1308" s="202">
        <v>131.69999999999999</v>
      </c>
      <c r="N1308" s="202">
        <v>439382.61</v>
      </c>
      <c r="S1308" s="204"/>
      <c r="W1308" s="198" t="s">
        <v>51</v>
      </c>
      <c r="AE1308" s="198" t="s">
        <v>833</v>
      </c>
    </row>
    <row r="1309" spans="3:31" x14ac:dyDescent="0.25">
      <c r="C1309" s="201"/>
      <c r="E1309" s="201"/>
      <c r="F1309" s="201"/>
      <c r="I1309" s="198" t="s">
        <v>554</v>
      </c>
      <c r="J1309" s="198" t="s">
        <v>130</v>
      </c>
      <c r="K1309" s="202">
        <f t="shared" si="20"/>
        <v>672180</v>
      </c>
      <c r="L1309" s="202">
        <v>131.80000000000001</v>
      </c>
      <c r="N1309" s="202">
        <v>173108.88</v>
      </c>
      <c r="S1309" s="204"/>
      <c r="W1309" s="198" t="s">
        <v>51</v>
      </c>
      <c r="AE1309" s="198" t="s">
        <v>833</v>
      </c>
    </row>
    <row r="1310" spans="3:31" x14ac:dyDescent="0.25">
      <c r="C1310" s="201"/>
      <c r="E1310" s="201"/>
      <c r="F1310" s="201"/>
      <c r="I1310" s="198" t="s">
        <v>554</v>
      </c>
      <c r="J1310" s="198" t="s">
        <v>130</v>
      </c>
      <c r="K1310" s="202">
        <f t="shared" si="20"/>
        <v>672690</v>
      </c>
      <c r="L1310" s="202">
        <v>131.9</v>
      </c>
      <c r="N1310" s="202">
        <v>3003085.33</v>
      </c>
      <c r="S1310" s="204"/>
      <c r="W1310" s="198" t="s">
        <v>51</v>
      </c>
      <c r="AE1310" s="198" t="s">
        <v>833</v>
      </c>
    </row>
    <row r="1311" spans="3:31" x14ac:dyDescent="0.25">
      <c r="C1311" s="201"/>
      <c r="E1311" s="201"/>
      <c r="F1311" s="201"/>
      <c r="I1311" s="198" t="s">
        <v>554</v>
      </c>
      <c r="J1311" s="198" t="s">
        <v>130</v>
      </c>
      <c r="K1311" s="202">
        <f t="shared" si="20"/>
        <v>673200</v>
      </c>
      <c r="L1311" s="202">
        <v>132</v>
      </c>
      <c r="N1311" s="202">
        <v>223079.48</v>
      </c>
      <c r="S1311" s="204"/>
      <c r="W1311" s="198" t="s">
        <v>51</v>
      </c>
      <c r="AE1311" s="198" t="s">
        <v>833</v>
      </c>
    </row>
    <row r="1312" spans="3:31" x14ac:dyDescent="0.25">
      <c r="C1312" s="201"/>
      <c r="E1312" s="201"/>
      <c r="F1312" s="201"/>
      <c r="I1312" s="198" t="s">
        <v>554</v>
      </c>
      <c r="J1312" s="198" t="s">
        <v>130</v>
      </c>
      <c r="K1312" s="202">
        <f t="shared" si="20"/>
        <v>673710</v>
      </c>
      <c r="L1312" s="202">
        <v>132.1</v>
      </c>
      <c r="N1312" s="202">
        <v>146460.87</v>
      </c>
      <c r="S1312" s="204"/>
      <c r="W1312" s="198" t="s">
        <v>51</v>
      </c>
      <c r="AE1312" s="198" t="s">
        <v>833</v>
      </c>
    </row>
    <row r="1313" spans="3:31" x14ac:dyDescent="0.25">
      <c r="C1313" s="201"/>
      <c r="E1313" s="201"/>
      <c r="F1313" s="201"/>
      <c r="I1313" s="198" t="s">
        <v>843</v>
      </c>
      <c r="J1313" s="198" t="s">
        <v>137</v>
      </c>
      <c r="K1313" s="202">
        <f t="shared" si="20"/>
        <v>674220</v>
      </c>
      <c r="L1313" s="202">
        <v>132.19999999999999</v>
      </c>
      <c r="N1313" s="202">
        <v>6271900</v>
      </c>
      <c r="S1313" s="204"/>
      <c r="W1313" s="198" t="s">
        <v>51</v>
      </c>
      <c r="AE1313" s="198" t="s">
        <v>844</v>
      </c>
    </row>
    <row r="1314" spans="3:31" x14ac:dyDescent="0.25">
      <c r="C1314" s="201"/>
      <c r="E1314" s="201"/>
      <c r="F1314" s="201"/>
      <c r="I1314" s="198" t="s">
        <v>122</v>
      </c>
      <c r="J1314" s="198" t="s">
        <v>126</v>
      </c>
      <c r="K1314" s="202">
        <f t="shared" si="20"/>
        <v>674730</v>
      </c>
      <c r="L1314" s="202">
        <v>132.30000000000001</v>
      </c>
      <c r="N1314" s="202">
        <v>450000</v>
      </c>
      <c r="S1314" s="204"/>
      <c r="W1314" s="198" t="s">
        <v>51</v>
      </c>
      <c r="AE1314" s="198" t="s">
        <v>835</v>
      </c>
    </row>
    <row r="1315" spans="3:31" x14ac:dyDescent="0.25">
      <c r="C1315" s="201"/>
      <c r="E1315" s="201"/>
      <c r="F1315" s="201"/>
      <c r="I1315" s="198" t="s">
        <v>131</v>
      </c>
      <c r="J1315" s="198" t="s">
        <v>132</v>
      </c>
      <c r="K1315" s="202">
        <f t="shared" si="20"/>
        <v>675240</v>
      </c>
      <c r="L1315" s="202">
        <v>132.4</v>
      </c>
      <c r="N1315" s="202">
        <v>18583.47</v>
      </c>
      <c r="S1315" s="204"/>
      <c r="W1315" s="198" t="s">
        <v>51</v>
      </c>
      <c r="AE1315" s="198" t="s">
        <v>833</v>
      </c>
    </row>
    <row r="1316" spans="3:31" x14ac:dyDescent="0.25">
      <c r="C1316" s="201"/>
      <c r="E1316" s="201"/>
      <c r="F1316" s="201"/>
      <c r="I1316" s="198" t="s">
        <v>131</v>
      </c>
      <c r="J1316" s="198" t="s">
        <v>132</v>
      </c>
      <c r="K1316" s="202">
        <f t="shared" si="20"/>
        <v>675750</v>
      </c>
      <c r="L1316" s="202">
        <v>132.5</v>
      </c>
      <c r="N1316" s="202">
        <v>2277400</v>
      </c>
      <c r="S1316" s="204"/>
      <c r="W1316" s="198" t="s">
        <v>51</v>
      </c>
      <c r="AE1316" s="198" t="s">
        <v>833</v>
      </c>
    </row>
    <row r="1317" spans="3:31" x14ac:dyDescent="0.25">
      <c r="C1317" s="201"/>
      <c r="E1317" s="201"/>
      <c r="F1317" s="201"/>
      <c r="I1317" s="198" t="s">
        <v>131</v>
      </c>
      <c r="J1317" s="198" t="s">
        <v>132</v>
      </c>
      <c r="K1317" s="202">
        <f t="shared" si="20"/>
        <v>676260</v>
      </c>
      <c r="L1317" s="202">
        <v>132.6</v>
      </c>
      <c r="N1317" s="202">
        <v>1708050</v>
      </c>
      <c r="S1317" s="204"/>
      <c r="W1317" s="198" t="s">
        <v>51</v>
      </c>
      <c r="AE1317" s="198" t="s">
        <v>833</v>
      </c>
    </row>
    <row r="1318" spans="3:31" x14ac:dyDescent="0.25">
      <c r="C1318" s="201"/>
      <c r="E1318" s="201"/>
      <c r="F1318" s="201"/>
      <c r="I1318" s="198" t="s">
        <v>131</v>
      </c>
      <c r="J1318" s="198" t="s">
        <v>132</v>
      </c>
      <c r="K1318" s="202">
        <f t="shared" si="20"/>
        <v>676770</v>
      </c>
      <c r="L1318" s="202">
        <v>132.69999999999999</v>
      </c>
      <c r="N1318" s="202">
        <v>1544415.34</v>
      </c>
      <c r="S1318" s="204"/>
      <c r="W1318" s="198" t="s">
        <v>51</v>
      </c>
      <c r="AE1318" s="198" t="s">
        <v>833</v>
      </c>
    </row>
    <row r="1319" spans="3:31" x14ac:dyDescent="0.25">
      <c r="C1319" s="201"/>
      <c r="E1319" s="201"/>
      <c r="F1319" s="201"/>
      <c r="I1319" s="198" t="s">
        <v>122</v>
      </c>
      <c r="J1319" s="198" t="s">
        <v>126</v>
      </c>
      <c r="K1319" s="202">
        <f t="shared" si="20"/>
        <v>677280</v>
      </c>
      <c r="L1319" s="202">
        <v>132.80000000000001</v>
      </c>
      <c r="N1319" s="202">
        <v>0.04</v>
      </c>
      <c r="S1319" s="204"/>
      <c r="W1319" s="198" t="s">
        <v>51</v>
      </c>
      <c r="AE1319" s="198" t="s">
        <v>835</v>
      </c>
    </row>
    <row r="1320" spans="3:31" x14ac:dyDescent="0.25">
      <c r="C1320" s="201"/>
      <c r="E1320" s="201"/>
      <c r="F1320" s="201"/>
      <c r="I1320" s="198" t="s">
        <v>129</v>
      </c>
      <c r="J1320" s="198" t="s">
        <v>130</v>
      </c>
      <c r="K1320" s="202">
        <f t="shared" si="20"/>
        <v>677790</v>
      </c>
      <c r="L1320" s="202">
        <v>132.9</v>
      </c>
      <c r="N1320" s="202">
        <v>-0.91</v>
      </c>
      <c r="S1320" s="203"/>
      <c r="W1320" s="198" t="s">
        <v>51</v>
      </c>
      <c r="AE1320" s="198" t="s">
        <v>54</v>
      </c>
    </row>
    <row r="1321" spans="3:31" x14ac:dyDescent="0.25">
      <c r="C1321" s="201"/>
      <c r="E1321" s="201"/>
      <c r="F1321" s="201"/>
      <c r="I1321" s="198" t="s">
        <v>582</v>
      </c>
      <c r="J1321" s="198" t="s">
        <v>132</v>
      </c>
      <c r="K1321" s="202">
        <f t="shared" si="20"/>
        <v>678300</v>
      </c>
      <c r="L1321" s="202">
        <v>133</v>
      </c>
      <c r="N1321" s="202">
        <v>3.28</v>
      </c>
      <c r="S1321" s="203"/>
      <c r="W1321" s="198" t="s">
        <v>51</v>
      </c>
      <c r="AE1321" s="198" t="s">
        <v>54</v>
      </c>
    </row>
    <row r="1322" spans="3:31" x14ac:dyDescent="0.25">
      <c r="C1322" s="201"/>
      <c r="E1322" s="201"/>
      <c r="F1322" s="201"/>
      <c r="I1322" s="198" t="s">
        <v>582</v>
      </c>
      <c r="J1322" s="198" t="s">
        <v>132</v>
      </c>
      <c r="K1322" s="202">
        <f t="shared" si="20"/>
        <v>678810</v>
      </c>
      <c r="L1322" s="202">
        <v>133.1</v>
      </c>
      <c r="N1322" s="202">
        <v>2.5</v>
      </c>
      <c r="S1322" s="203"/>
      <c r="W1322" s="198" t="s">
        <v>51</v>
      </c>
      <c r="AE1322" s="198" t="s">
        <v>54</v>
      </c>
    </row>
    <row r="1323" spans="3:31" x14ac:dyDescent="0.25">
      <c r="C1323" s="201"/>
      <c r="E1323" s="201"/>
      <c r="F1323" s="201"/>
      <c r="I1323" s="198" t="s">
        <v>554</v>
      </c>
      <c r="J1323" s="198" t="s">
        <v>130</v>
      </c>
      <c r="K1323" s="202">
        <f t="shared" si="20"/>
        <v>679320</v>
      </c>
      <c r="L1323" s="202">
        <v>133.19999999999999</v>
      </c>
      <c r="N1323" s="202">
        <v>-0.02</v>
      </c>
      <c r="S1323" s="204"/>
      <c r="W1323" s="198" t="s">
        <v>51</v>
      </c>
      <c r="AE1323" s="198" t="s">
        <v>833</v>
      </c>
    </row>
    <row r="1324" spans="3:31" x14ac:dyDescent="0.25">
      <c r="C1324" s="201"/>
      <c r="E1324" s="201"/>
      <c r="F1324" s="201"/>
      <c r="I1324" s="198" t="s">
        <v>82</v>
      </c>
      <c r="J1324" s="198" t="s">
        <v>89</v>
      </c>
      <c r="K1324" s="202">
        <f t="shared" si="20"/>
        <v>679830</v>
      </c>
      <c r="L1324" s="202">
        <v>133.30000000000001</v>
      </c>
      <c r="N1324" s="202">
        <v>520000</v>
      </c>
      <c r="S1324" s="204"/>
      <c r="W1324" s="198" t="s">
        <v>51</v>
      </c>
      <c r="AE1324" s="198" t="s">
        <v>831</v>
      </c>
    </row>
    <row r="1325" spans="3:31" x14ac:dyDescent="0.25">
      <c r="C1325" s="201"/>
      <c r="E1325" s="201"/>
      <c r="F1325" s="201"/>
      <c r="I1325" s="198" t="s">
        <v>82</v>
      </c>
      <c r="J1325" s="198" t="s">
        <v>89</v>
      </c>
      <c r="K1325" s="202">
        <f t="shared" si="20"/>
        <v>680340</v>
      </c>
      <c r="L1325" s="202">
        <v>133.4</v>
      </c>
      <c r="N1325" s="202">
        <v>520000</v>
      </c>
      <c r="S1325" s="204"/>
      <c r="W1325" s="198" t="s">
        <v>51</v>
      </c>
      <c r="AE1325" s="198" t="s">
        <v>831</v>
      </c>
    </row>
    <row r="1326" spans="3:31" x14ac:dyDescent="0.25">
      <c r="C1326" s="201"/>
      <c r="E1326" s="201"/>
      <c r="F1326" s="201"/>
      <c r="I1326" s="198" t="s">
        <v>554</v>
      </c>
      <c r="J1326" s="198" t="s">
        <v>130</v>
      </c>
      <c r="K1326" s="202">
        <f t="shared" si="20"/>
        <v>680850</v>
      </c>
      <c r="L1326" s="202">
        <v>133.5</v>
      </c>
      <c r="N1326" s="202">
        <v>251019.65</v>
      </c>
      <c r="S1326" s="204"/>
      <c r="W1326" s="198" t="s">
        <v>51</v>
      </c>
      <c r="AE1326" s="198" t="s">
        <v>833</v>
      </c>
    </row>
    <row r="1327" spans="3:31" x14ac:dyDescent="0.25">
      <c r="C1327" s="201"/>
      <c r="E1327" s="201"/>
      <c r="F1327" s="201"/>
      <c r="I1327" s="198" t="s">
        <v>554</v>
      </c>
      <c r="J1327" s="198" t="s">
        <v>130</v>
      </c>
      <c r="K1327" s="202">
        <f t="shared" si="20"/>
        <v>681360</v>
      </c>
      <c r="L1327" s="202">
        <v>133.6</v>
      </c>
      <c r="N1327" s="202">
        <v>292921.74</v>
      </c>
      <c r="S1327" s="204"/>
      <c r="W1327" s="198" t="s">
        <v>51</v>
      </c>
      <c r="AE1327" s="198" t="s">
        <v>833</v>
      </c>
    </row>
    <row r="1328" spans="3:31" x14ac:dyDescent="0.25">
      <c r="C1328" s="201"/>
      <c r="E1328" s="201"/>
      <c r="F1328" s="201"/>
      <c r="I1328" s="198" t="s">
        <v>554</v>
      </c>
      <c r="J1328" s="198" t="s">
        <v>130</v>
      </c>
      <c r="K1328" s="202">
        <f t="shared" si="20"/>
        <v>681870</v>
      </c>
      <c r="L1328" s="202">
        <v>133.69999999999999</v>
      </c>
      <c r="N1328" s="202">
        <v>156391.20000000001</v>
      </c>
      <c r="S1328" s="204"/>
      <c r="W1328" s="198" t="s">
        <v>51</v>
      </c>
      <c r="AE1328" s="198" t="s">
        <v>833</v>
      </c>
    </row>
    <row r="1329" spans="3:31" x14ac:dyDescent="0.25">
      <c r="C1329" s="201"/>
      <c r="E1329" s="201"/>
      <c r="F1329" s="201"/>
      <c r="I1329" s="198" t="s">
        <v>129</v>
      </c>
      <c r="J1329" s="198" t="s">
        <v>130</v>
      </c>
      <c r="K1329" s="202">
        <f t="shared" si="20"/>
        <v>682380</v>
      </c>
      <c r="L1329" s="202">
        <v>133.80000000000001</v>
      </c>
      <c r="N1329" s="202">
        <v>4371360</v>
      </c>
      <c r="S1329" s="204"/>
      <c r="W1329" s="198" t="s">
        <v>51</v>
      </c>
      <c r="AE1329" s="198" t="s">
        <v>833</v>
      </c>
    </row>
    <row r="1330" spans="3:31" x14ac:dyDescent="0.25">
      <c r="C1330" s="201"/>
      <c r="E1330" s="201"/>
      <c r="F1330" s="201"/>
      <c r="I1330" s="198" t="s">
        <v>199</v>
      </c>
      <c r="J1330" s="198" t="s">
        <v>167</v>
      </c>
      <c r="K1330" s="202">
        <f t="shared" si="20"/>
        <v>682890</v>
      </c>
      <c r="L1330" s="202">
        <v>133.9</v>
      </c>
      <c r="N1330" s="202">
        <v>354290</v>
      </c>
      <c r="S1330" s="204"/>
      <c r="W1330" s="198" t="s">
        <v>51</v>
      </c>
      <c r="AE1330" s="198" t="s">
        <v>831</v>
      </c>
    </row>
    <row r="1331" spans="3:31" x14ac:dyDescent="0.25">
      <c r="C1331" s="201"/>
      <c r="E1331" s="201"/>
      <c r="F1331" s="201"/>
      <c r="I1331" s="198" t="s">
        <v>199</v>
      </c>
      <c r="J1331" s="198" t="s">
        <v>167</v>
      </c>
      <c r="K1331" s="202">
        <f t="shared" si="20"/>
        <v>683400</v>
      </c>
      <c r="L1331" s="202">
        <v>134</v>
      </c>
      <c r="N1331" s="202">
        <v>354290</v>
      </c>
      <c r="S1331" s="204"/>
      <c r="W1331" s="198" t="s">
        <v>51</v>
      </c>
      <c r="AE1331" s="198" t="s">
        <v>831</v>
      </c>
    </row>
    <row r="1332" spans="3:31" x14ac:dyDescent="0.25">
      <c r="C1332" s="201"/>
      <c r="E1332" s="201"/>
      <c r="F1332" s="201"/>
      <c r="I1332" s="198" t="s">
        <v>199</v>
      </c>
      <c r="J1332" s="198" t="s">
        <v>167</v>
      </c>
      <c r="K1332" s="202">
        <f t="shared" si="20"/>
        <v>683910</v>
      </c>
      <c r="L1332" s="202">
        <v>134.1</v>
      </c>
      <c r="N1332" s="202">
        <v>354290</v>
      </c>
      <c r="S1332" s="204"/>
      <c r="W1332" s="198" t="s">
        <v>51</v>
      </c>
      <c r="AE1332" s="198" t="s">
        <v>831</v>
      </c>
    </row>
    <row r="1333" spans="3:31" x14ac:dyDescent="0.25">
      <c r="C1333" s="201"/>
      <c r="E1333" s="201"/>
      <c r="F1333" s="201"/>
      <c r="I1333" s="198" t="s">
        <v>199</v>
      </c>
      <c r="J1333" s="198" t="s">
        <v>167</v>
      </c>
      <c r="K1333" s="202">
        <f t="shared" si="20"/>
        <v>684420</v>
      </c>
      <c r="L1333" s="202">
        <v>134.19999999999999</v>
      </c>
      <c r="N1333" s="202">
        <v>354290</v>
      </c>
      <c r="S1333" s="204"/>
      <c r="W1333" s="198" t="s">
        <v>51</v>
      </c>
      <c r="AE1333" s="198" t="s">
        <v>831</v>
      </c>
    </row>
    <row r="1334" spans="3:31" x14ac:dyDescent="0.25">
      <c r="C1334" s="201"/>
      <c r="E1334" s="201"/>
      <c r="F1334" s="201"/>
      <c r="I1334" s="198" t="s">
        <v>199</v>
      </c>
      <c r="J1334" s="198" t="s">
        <v>167</v>
      </c>
      <c r="K1334" s="202">
        <f t="shared" si="20"/>
        <v>684930</v>
      </c>
      <c r="L1334" s="202">
        <v>134.30000000000001</v>
      </c>
      <c r="N1334" s="202">
        <v>354290</v>
      </c>
      <c r="S1334" s="204"/>
      <c r="W1334" s="198" t="s">
        <v>51</v>
      </c>
      <c r="AE1334" s="198" t="s">
        <v>831</v>
      </c>
    </row>
    <row r="1335" spans="3:31" x14ac:dyDescent="0.25">
      <c r="C1335" s="201"/>
      <c r="E1335" s="201"/>
      <c r="F1335" s="201"/>
      <c r="I1335" s="198" t="s">
        <v>199</v>
      </c>
      <c r="J1335" s="198" t="s">
        <v>167</v>
      </c>
      <c r="K1335" s="202">
        <f t="shared" si="20"/>
        <v>685440</v>
      </c>
      <c r="L1335" s="202">
        <v>134.4</v>
      </c>
      <c r="N1335" s="202">
        <v>354290</v>
      </c>
      <c r="S1335" s="204"/>
      <c r="W1335" s="198" t="s">
        <v>51</v>
      </c>
      <c r="AE1335" s="198" t="s">
        <v>831</v>
      </c>
    </row>
    <row r="1336" spans="3:31" x14ac:dyDescent="0.25">
      <c r="C1336" s="201"/>
      <c r="E1336" s="201"/>
      <c r="F1336" s="201"/>
      <c r="I1336" s="198" t="s">
        <v>199</v>
      </c>
      <c r="J1336" s="198" t="s">
        <v>167</v>
      </c>
      <c r="K1336" s="202">
        <f t="shared" si="20"/>
        <v>685950</v>
      </c>
      <c r="L1336" s="202">
        <v>134.5</v>
      </c>
      <c r="N1336" s="202">
        <v>354290</v>
      </c>
      <c r="S1336" s="204"/>
      <c r="W1336" s="198" t="s">
        <v>51</v>
      </c>
      <c r="AE1336" s="198" t="s">
        <v>831</v>
      </c>
    </row>
    <row r="1337" spans="3:31" x14ac:dyDescent="0.25">
      <c r="C1337" s="201"/>
      <c r="E1337" s="201"/>
      <c r="F1337" s="201"/>
      <c r="I1337" s="198" t="s">
        <v>199</v>
      </c>
      <c r="J1337" s="198" t="s">
        <v>167</v>
      </c>
      <c r="K1337" s="202">
        <f t="shared" si="20"/>
        <v>686460</v>
      </c>
      <c r="L1337" s="202">
        <v>134.6</v>
      </c>
      <c r="N1337" s="202">
        <v>354290</v>
      </c>
      <c r="S1337" s="204"/>
      <c r="W1337" s="198" t="s">
        <v>51</v>
      </c>
      <c r="AE1337" s="198" t="s">
        <v>831</v>
      </c>
    </row>
    <row r="1338" spans="3:31" x14ac:dyDescent="0.25">
      <c r="C1338" s="201"/>
      <c r="E1338" s="201"/>
      <c r="F1338" s="201"/>
      <c r="I1338" s="198" t="s">
        <v>536</v>
      </c>
      <c r="J1338" s="198" t="s">
        <v>126</v>
      </c>
      <c r="K1338" s="202">
        <f t="shared" si="20"/>
        <v>686970</v>
      </c>
      <c r="L1338" s="202">
        <v>134.69999999999999</v>
      </c>
      <c r="N1338" s="202">
        <v>324470.71999999997</v>
      </c>
      <c r="S1338" s="204"/>
      <c r="W1338" s="198" t="s">
        <v>51</v>
      </c>
      <c r="AE1338" s="198" t="s">
        <v>835</v>
      </c>
    </row>
    <row r="1339" spans="3:31" x14ac:dyDescent="0.25">
      <c r="C1339" s="201"/>
      <c r="E1339" s="201"/>
      <c r="F1339" s="201"/>
      <c r="I1339" s="198" t="s">
        <v>536</v>
      </c>
      <c r="J1339" s="198" t="s">
        <v>126</v>
      </c>
      <c r="K1339" s="202">
        <f t="shared" si="20"/>
        <v>687480</v>
      </c>
      <c r="L1339" s="202">
        <v>134.80000000000001</v>
      </c>
      <c r="N1339" s="202">
        <v>501759.91</v>
      </c>
      <c r="S1339" s="204"/>
      <c r="W1339" s="198" t="s">
        <v>51</v>
      </c>
      <c r="AE1339" s="198" t="s">
        <v>835</v>
      </c>
    </row>
    <row r="1340" spans="3:31" x14ac:dyDescent="0.25">
      <c r="C1340" s="201"/>
      <c r="E1340" s="201"/>
      <c r="F1340" s="201"/>
      <c r="I1340" s="198" t="s">
        <v>536</v>
      </c>
      <c r="J1340" s="198" t="s">
        <v>126</v>
      </c>
      <c r="K1340" s="202">
        <f t="shared" si="20"/>
        <v>687990</v>
      </c>
      <c r="L1340" s="202">
        <v>134.9</v>
      </c>
      <c r="N1340" s="202">
        <v>1495236.26</v>
      </c>
      <c r="S1340" s="204"/>
      <c r="W1340" s="198" t="s">
        <v>51</v>
      </c>
      <c r="AE1340" s="198" t="s">
        <v>835</v>
      </c>
    </row>
    <row r="1341" spans="3:31" x14ac:dyDescent="0.25">
      <c r="C1341" s="201"/>
      <c r="E1341" s="201"/>
      <c r="F1341" s="201"/>
      <c r="I1341" s="198" t="s">
        <v>536</v>
      </c>
      <c r="J1341" s="198" t="s">
        <v>126</v>
      </c>
      <c r="K1341" s="202">
        <f t="shared" si="20"/>
        <v>688500</v>
      </c>
      <c r="L1341" s="202">
        <v>135</v>
      </c>
      <c r="N1341" s="202">
        <v>500308.13</v>
      </c>
      <c r="S1341" s="204"/>
      <c r="W1341" s="198" t="s">
        <v>51</v>
      </c>
      <c r="AE1341" s="198" t="s">
        <v>835</v>
      </c>
    </row>
    <row r="1342" spans="3:31" x14ac:dyDescent="0.25">
      <c r="C1342" s="201"/>
      <c r="E1342" s="201"/>
      <c r="F1342" s="201"/>
      <c r="I1342" s="198" t="s">
        <v>536</v>
      </c>
      <c r="J1342" s="198" t="s">
        <v>126</v>
      </c>
      <c r="K1342" s="202">
        <f t="shared" si="20"/>
        <v>689010</v>
      </c>
      <c r="L1342" s="202">
        <v>135.1</v>
      </c>
      <c r="N1342" s="202">
        <v>502056.4</v>
      </c>
      <c r="S1342" s="204"/>
      <c r="W1342" s="198" t="s">
        <v>51</v>
      </c>
      <c r="AE1342" s="198" t="s">
        <v>835</v>
      </c>
    </row>
    <row r="1343" spans="3:31" x14ac:dyDescent="0.25">
      <c r="C1343" s="201"/>
      <c r="E1343" s="201"/>
      <c r="F1343" s="201"/>
      <c r="I1343" s="198" t="s">
        <v>131</v>
      </c>
      <c r="J1343" s="198" t="s">
        <v>132</v>
      </c>
      <c r="K1343" s="202">
        <f t="shared" si="20"/>
        <v>689520</v>
      </c>
      <c r="L1343" s="202">
        <v>135.19999999999999</v>
      </c>
      <c r="N1343" s="202">
        <v>-0.49</v>
      </c>
      <c r="S1343" s="204"/>
      <c r="W1343" s="198" t="s">
        <v>51</v>
      </c>
      <c r="AE1343" s="198" t="s">
        <v>833</v>
      </c>
    </row>
    <row r="1344" spans="3:31" x14ac:dyDescent="0.25">
      <c r="C1344" s="201"/>
      <c r="E1344" s="201"/>
      <c r="F1344" s="201"/>
      <c r="I1344" s="198" t="s">
        <v>131</v>
      </c>
      <c r="J1344" s="198" t="s">
        <v>132</v>
      </c>
      <c r="K1344" s="202">
        <f t="shared" si="20"/>
        <v>690030</v>
      </c>
      <c r="L1344" s="202">
        <v>135.30000000000001</v>
      </c>
      <c r="N1344" s="202">
        <v>-0.1</v>
      </c>
      <c r="S1344" s="204"/>
      <c r="W1344" s="198" t="s">
        <v>51</v>
      </c>
      <c r="AE1344" s="198" t="s">
        <v>833</v>
      </c>
    </row>
    <row r="1345" spans="3:31" x14ac:dyDescent="0.25">
      <c r="C1345" s="201"/>
      <c r="E1345" s="201"/>
      <c r="F1345" s="201"/>
      <c r="I1345" s="198" t="s">
        <v>566</v>
      </c>
      <c r="J1345" s="198" t="s">
        <v>117</v>
      </c>
      <c r="K1345" s="202">
        <f t="shared" si="20"/>
        <v>690540</v>
      </c>
      <c r="L1345" s="202">
        <v>135.4</v>
      </c>
      <c r="N1345" s="202">
        <v>1475873.88</v>
      </c>
      <c r="S1345" s="204"/>
      <c r="W1345" s="198" t="s">
        <v>51</v>
      </c>
      <c r="AE1345" s="198" t="s">
        <v>878</v>
      </c>
    </row>
    <row r="1346" spans="3:31" x14ac:dyDescent="0.25">
      <c r="C1346" s="201"/>
      <c r="E1346" s="201"/>
      <c r="F1346" s="201"/>
      <c r="I1346" s="198" t="s">
        <v>566</v>
      </c>
      <c r="J1346" s="198" t="s">
        <v>117</v>
      </c>
      <c r="K1346" s="202">
        <f t="shared" si="20"/>
        <v>691050</v>
      </c>
      <c r="L1346" s="202">
        <v>135.5</v>
      </c>
      <c r="N1346" s="202">
        <v>1065981.24</v>
      </c>
      <c r="S1346" s="204"/>
      <c r="W1346" s="198" t="s">
        <v>51</v>
      </c>
      <c r="AE1346" s="198" t="s">
        <v>878</v>
      </c>
    </row>
    <row r="1347" spans="3:31" x14ac:dyDescent="0.25">
      <c r="C1347" s="201"/>
      <c r="E1347" s="201"/>
      <c r="F1347" s="201"/>
      <c r="I1347" s="198" t="s">
        <v>566</v>
      </c>
      <c r="J1347" s="198" t="s">
        <v>117</v>
      </c>
      <c r="K1347" s="202">
        <f t="shared" ref="K1347:K1410" si="21">L1347*5100</f>
        <v>691560</v>
      </c>
      <c r="L1347" s="202">
        <v>135.6</v>
      </c>
      <c r="N1347" s="202">
        <v>1192688</v>
      </c>
      <c r="S1347" s="204"/>
      <c r="W1347" s="198" t="s">
        <v>51</v>
      </c>
      <c r="AE1347" s="198" t="s">
        <v>878</v>
      </c>
    </row>
    <row r="1348" spans="3:31" x14ac:dyDescent="0.25">
      <c r="C1348" s="201"/>
      <c r="E1348" s="201"/>
      <c r="F1348" s="201"/>
      <c r="I1348" s="198" t="s">
        <v>566</v>
      </c>
      <c r="J1348" s="198" t="s">
        <v>117</v>
      </c>
      <c r="K1348" s="202">
        <f t="shared" si="21"/>
        <v>692070</v>
      </c>
      <c r="L1348" s="202">
        <v>135.69999999999999</v>
      </c>
      <c r="N1348" s="202">
        <v>1126932.3799999999</v>
      </c>
      <c r="S1348" s="204"/>
      <c r="W1348" s="198" t="s">
        <v>51</v>
      </c>
      <c r="AE1348" s="198" t="s">
        <v>878</v>
      </c>
    </row>
    <row r="1349" spans="3:31" x14ac:dyDescent="0.25">
      <c r="C1349" s="201"/>
      <c r="E1349" s="201"/>
      <c r="F1349" s="201"/>
      <c r="I1349" s="198" t="s">
        <v>566</v>
      </c>
      <c r="J1349" s="198" t="s">
        <v>117</v>
      </c>
      <c r="K1349" s="202">
        <f t="shared" si="21"/>
        <v>692580</v>
      </c>
      <c r="L1349" s="202">
        <v>135.80000000000001</v>
      </c>
      <c r="N1349" s="202">
        <v>321024.59999999998</v>
      </c>
      <c r="S1349" s="204"/>
      <c r="W1349" s="198" t="s">
        <v>51</v>
      </c>
      <c r="AE1349" s="198" t="s">
        <v>878</v>
      </c>
    </row>
    <row r="1350" spans="3:31" x14ac:dyDescent="0.25">
      <c r="C1350" s="201"/>
      <c r="E1350" s="201"/>
      <c r="F1350" s="201"/>
      <c r="I1350" s="198" t="s">
        <v>566</v>
      </c>
      <c r="J1350" s="198" t="s">
        <v>117</v>
      </c>
      <c r="K1350" s="202">
        <f t="shared" si="21"/>
        <v>693090</v>
      </c>
      <c r="L1350" s="202">
        <v>135.9</v>
      </c>
      <c r="N1350" s="202">
        <v>655864.74</v>
      </c>
      <c r="S1350" s="204"/>
      <c r="W1350" s="198" t="s">
        <v>51</v>
      </c>
      <c r="AE1350" s="198" t="s">
        <v>878</v>
      </c>
    </row>
    <row r="1351" spans="3:31" x14ac:dyDescent="0.25">
      <c r="C1351" s="201"/>
      <c r="E1351" s="201"/>
      <c r="F1351" s="201"/>
      <c r="I1351" s="198" t="s">
        <v>566</v>
      </c>
      <c r="J1351" s="198" t="s">
        <v>117</v>
      </c>
      <c r="K1351" s="202">
        <f t="shared" si="21"/>
        <v>693600</v>
      </c>
      <c r="L1351" s="202">
        <v>136</v>
      </c>
      <c r="N1351" s="202">
        <v>1084920.1200000001</v>
      </c>
      <c r="S1351" s="204"/>
      <c r="W1351" s="198" t="s">
        <v>51</v>
      </c>
      <c r="AE1351" s="198" t="s">
        <v>878</v>
      </c>
    </row>
    <row r="1352" spans="3:31" x14ac:dyDescent="0.25">
      <c r="C1352" s="201"/>
      <c r="E1352" s="201"/>
      <c r="F1352" s="201"/>
      <c r="I1352" s="198" t="s">
        <v>566</v>
      </c>
      <c r="J1352" s="198" t="s">
        <v>117</v>
      </c>
      <c r="K1352" s="202">
        <f t="shared" si="21"/>
        <v>694110</v>
      </c>
      <c r="L1352" s="202">
        <v>136.1</v>
      </c>
      <c r="N1352" s="202">
        <v>3616433.52</v>
      </c>
      <c r="S1352" s="204"/>
      <c r="W1352" s="198" t="s">
        <v>51</v>
      </c>
      <c r="AE1352" s="198" t="s">
        <v>878</v>
      </c>
    </row>
    <row r="1353" spans="3:31" x14ac:dyDescent="0.25">
      <c r="C1353" s="201"/>
      <c r="E1353" s="201"/>
      <c r="F1353" s="201"/>
      <c r="I1353" s="198" t="s">
        <v>583</v>
      </c>
      <c r="J1353" s="198" t="s">
        <v>134</v>
      </c>
      <c r="K1353" s="202">
        <f t="shared" si="21"/>
        <v>694620</v>
      </c>
      <c r="L1353" s="202">
        <v>136.19999999999999</v>
      </c>
      <c r="N1353" s="202">
        <v>7956060</v>
      </c>
      <c r="S1353" s="204"/>
      <c r="W1353" s="198" t="s">
        <v>51</v>
      </c>
      <c r="AE1353" s="198" t="s">
        <v>846</v>
      </c>
    </row>
    <row r="1354" spans="3:31" x14ac:dyDescent="0.25">
      <c r="C1354" s="201"/>
      <c r="E1354" s="201"/>
      <c r="F1354" s="201"/>
      <c r="I1354" s="198" t="s">
        <v>583</v>
      </c>
      <c r="J1354" s="198" t="s">
        <v>134</v>
      </c>
      <c r="K1354" s="202">
        <f t="shared" si="21"/>
        <v>695130</v>
      </c>
      <c r="L1354" s="202">
        <v>136.30000000000001</v>
      </c>
      <c r="N1354" s="202">
        <v>6812640</v>
      </c>
      <c r="S1354" s="204"/>
      <c r="W1354" s="198" t="s">
        <v>51</v>
      </c>
      <c r="AE1354" s="198" t="s">
        <v>846</v>
      </c>
    </row>
    <row r="1355" spans="3:31" x14ac:dyDescent="0.25">
      <c r="C1355" s="201"/>
      <c r="E1355" s="201"/>
      <c r="F1355" s="201"/>
      <c r="I1355" s="198" t="s">
        <v>583</v>
      </c>
      <c r="J1355" s="198" t="s">
        <v>134</v>
      </c>
      <c r="K1355" s="202">
        <f t="shared" si="21"/>
        <v>695640</v>
      </c>
      <c r="L1355" s="202">
        <v>136.4</v>
      </c>
      <c r="N1355" s="202">
        <v>7909320</v>
      </c>
      <c r="S1355" s="204"/>
      <c r="W1355" s="198" t="s">
        <v>51</v>
      </c>
      <c r="AE1355" s="198" t="s">
        <v>846</v>
      </c>
    </row>
    <row r="1356" spans="3:31" x14ac:dyDescent="0.25">
      <c r="C1356" s="201"/>
      <c r="E1356" s="201"/>
      <c r="F1356" s="201"/>
      <c r="I1356" s="198" t="s">
        <v>528</v>
      </c>
      <c r="J1356" s="198" t="s">
        <v>134</v>
      </c>
      <c r="K1356" s="202">
        <f t="shared" si="21"/>
        <v>696150</v>
      </c>
      <c r="L1356" s="202">
        <v>136.5</v>
      </c>
      <c r="N1356" s="202">
        <v>445283.28</v>
      </c>
      <c r="S1356" s="204"/>
      <c r="W1356" s="198" t="s">
        <v>51</v>
      </c>
      <c r="AE1356" s="198" t="s">
        <v>846</v>
      </c>
    </row>
    <row r="1357" spans="3:31" x14ac:dyDescent="0.25">
      <c r="C1357" s="201"/>
      <c r="E1357" s="201"/>
      <c r="F1357" s="201"/>
      <c r="I1357" s="198" t="s">
        <v>528</v>
      </c>
      <c r="J1357" s="198" t="s">
        <v>134</v>
      </c>
      <c r="K1357" s="202">
        <f t="shared" si="21"/>
        <v>696660</v>
      </c>
      <c r="L1357" s="202">
        <v>136.6</v>
      </c>
      <c r="N1357" s="202">
        <v>1041322.24</v>
      </c>
      <c r="S1357" s="204"/>
      <c r="W1357" s="198" t="s">
        <v>51</v>
      </c>
      <c r="AE1357" s="198" t="s">
        <v>846</v>
      </c>
    </row>
    <row r="1358" spans="3:31" x14ac:dyDescent="0.25">
      <c r="C1358" s="201"/>
      <c r="E1358" s="201"/>
      <c r="F1358" s="201"/>
      <c r="I1358" s="198" t="s">
        <v>528</v>
      </c>
      <c r="J1358" s="198" t="s">
        <v>134</v>
      </c>
      <c r="K1358" s="202">
        <f t="shared" si="21"/>
        <v>697170</v>
      </c>
      <c r="L1358" s="202">
        <v>136.69999999999999</v>
      </c>
      <c r="N1358" s="202">
        <v>265112.12</v>
      </c>
      <c r="S1358" s="204"/>
      <c r="W1358" s="198" t="s">
        <v>51</v>
      </c>
      <c r="AE1358" s="198" t="s">
        <v>846</v>
      </c>
    </row>
    <row r="1359" spans="3:31" x14ac:dyDescent="0.25">
      <c r="C1359" s="201"/>
      <c r="E1359" s="201"/>
      <c r="F1359" s="201"/>
      <c r="I1359" s="198" t="s">
        <v>528</v>
      </c>
      <c r="J1359" s="198" t="s">
        <v>134</v>
      </c>
      <c r="K1359" s="202">
        <f t="shared" si="21"/>
        <v>697680</v>
      </c>
      <c r="L1359" s="202">
        <v>136.80000000000001</v>
      </c>
      <c r="N1359" s="202">
        <v>1159851.3600000001</v>
      </c>
      <c r="S1359" s="204"/>
      <c r="W1359" s="198" t="s">
        <v>51</v>
      </c>
      <c r="AE1359" s="198" t="s">
        <v>846</v>
      </c>
    </row>
    <row r="1360" spans="3:31" x14ac:dyDescent="0.25">
      <c r="C1360" s="201"/>
      <c r="E1360" s="201"/>
      <c r="F1360" s="201"/>
      <c r="I1360" s="198" t="s">
        <v>528</v>
      </c>
      <c r="J1360" s="198" t="s">
        <v>134</v>
      </c>
      <c r="K1360" s="202">
        <f t="shared" si="21"/>
        <v>698190</v>
      </c>
      <c r="L1360" s="202">
        <v>136.9</v>
      </c>
      <c r="N1360" s="202">
        <v>579868.64</v>
      </c>
      <c r="S1360" s="204"/>
      <c r="W1360" s="198" t="s">
        <v>51</v>
      </c>
      <c r="AE1360" s="198" t="s">
        <v>846</v>
      </c>
    </row>
    <row r="1361" spans="3:31" x14ac:dyDescent="0.25">
      <c r="C1361" s="201"/>
      <c r="E1361" s="201"/>
      <c r="F1361" s="201"/>
      <c r="I1361" s="198" t="s">
        <v>555</v>
      </c>
      <c r="J1361" s="198" t="s">
        <v>132</v>
      </c>
      <c r="K1361" s="202">
        <f t="shared" si="21"/>
        <v>698700</v>
      </c>
      <c r="L1361" s="202">
        <v>137</v>
      </c>
      <c r="N1361" s="202">
        <v>1892205.45</v>
      </c>
      <c r="S1361" s="204"/>
      <c r="W1361" s="198" t="s">
        <v>51</v>
      </c>
      <c r="AE1361" s="198" t="s">
        <v>833</v>
      </c>
    </row>
    <row r="1362" spans="3:31" x14ac:dyDescent="0.25">
      <c r="C1362" s="201"/>
      <c r="E1362" s="201"/>
      <c r="F1362" s="201"/>
      <c r="I1362" s="198" t="s">
        <v>555</v>
      </c>
      <c r="J1362" s="198" t="s">
        <v>132</v>
      </c>
      <c r="K1362" s="202">
        <f t="shared" si="21"/>
        <v>699210</v>
      </c>
      <c r="L1362" s="202">
        <v>137.1</v>
      </c>
      <c r="N1362" s="202">
        <v>888158.44</v>
      </c>
      <c r="S1362" s="204"/>
      <c r="W1362" s="198" t="s">
        <v>51</v>
      </c>
      <c r="AE1362" s="198" t="s">
        <v>833</v>
      </c>
    </row>
    <row r="1363" spans="3:31" x14ac:dyDescent="0.25">
      <c r="C1363" s="201"/>
      <c r="E1363" s="201"/>
      <c r="F1363" s="201"/>
      <c r="I1363" s="198" t="s">
        <v>555</v>
      </c>
      <c r="J1363" s="198" t="s">
        <v>132</v>
      </c>
      <c r="K1363" s="202">
        <f t="shared" si="21"/>
        <v>699720</v>
      </c>
      <c r="L1363" s="202">
        <v>137.19999999999999</v>
      </c>
      <c r="N1363" s="202">
        <v>1459146.96</v>
      </c>
      <c r="S1363" s="204"/>
      <c r="W1363" s="198" t="s">
        <v>51</v>
      </c>
      <c r="AE1363" s="198" t="s">
        <v>833</v>
      </c>
    </row>
    <row r="1364" spans="3:31" x14ac:dyDescent="0.25">
      <c r="C1364" s="201"/>
      <c r="E1364" s="201"/>
      <c r="F1364" s="201"/>
      <c r="I1364" s="198" t="s">
        <v>362</v>
      </c>
      <c r="J1364" s="198" t="s">
        <v>132</v>
      </c>
      <c r="K1364" s="202">
        <f t="shared" si="21"/>
        <v>700230</v>
      </c>
      <c r="L1364" s="202">
        <v>137.30000000000001</v>
      </c>
      <c r="N1364" s="202">
        <v>16535647</v>
      </c>
      <c r="S1364" s="204"/>
      <c r="W1364" s="198" t="s">
        <v>51</v>
      </c>
      <c r="AE1364" s="198" t="s">
        <v>833</v>
      </c>
    </row>
    <row r="1365" spans="3:31" x14ac:dyDescent="0.25">
      <c r="C1365" s="201"/>
      <c r="E1365" s="201"/>
      <c r="F1365" s="201"/>
      <c r="I1365" s="198" t="s">
        <v>555</v>
      </c>
      <c r="J1365" s="198" t="s">
        <v>132</v>
      </c>
      <c r="K1365" s="202">
        <f t="shared" si="21"/>
        <v>700740</v>
      </c>
      <c r="L1365" s="202">
        <v>137.4</v>
      </c>
      <c r="N1365" s="202">
        <v>133541.20000000001</v>
      </c>
      <c r="S1365" s="204"/>
      <c r="W1365" s="198" t="s">
        <v>51</v>
      </c>
      <c r="AE1365" s="198" t="s">
        <v>833</v>
      </c>
    </row>
    <row r="1366" spans="3:31" x14ac:dyDescent="0.25">
      <c r="C1366" s="201"/>
      <c r="E1366" s="201"/>
      <c r="F1366" s="201"/>
      <c r="I1366" s="198" t="s">
        <v>555</v>
      </c>
      <c r="J1366" s="198" t="s">
        <v>132</v>
      </c>
      <c r="K1366" s="202">
        <f t="shared" si="21"/>
        <v>701250</v>
      </c>
      <c r="L1366" s="202">
        <v>137.5</v>
      </c>
      <c r="N1366" s="202">
        <v>290757.86</v>
      </c>
      <c r="S1366" s="204"/>
      <c r="W1366" s="198" t="s">
        <v>51</v>
      </c>
      <c r="AE1366" s="198" t="s">
        <v>833</v>
      </c>
    </row>
    <row r="1367" spans="3:31" x14ac:dyDescent="0.25">
      <c r="C1367" s="201"/>
      <c r="E1367" s="201"/>
      <c r="F1367" s="201"/>
      <c r="I1367" s="198" t="s">
        <v>555</v>
      </c>
      <c r="J1367" s="198" t="s">
        <v>132</v>
      </c>
      <c r="K1367" s="202">
        <f t="shared" si="21"/>
        <v>701760</v>
      </c>
      <c r="L1367" s="202">
        <v>137.6</v>
      </c>
      <c r="N1367" s="202">
        <v>584406.18000000005</v>
      </c>
      <c r="S1367" s="204"/>
      <c r="W1367" s="198" t="s">
        <v>51</v>
      </c>
      <c r="AE1367" s="198" t="s">
        <v>833</v>
      </c>
    </row>
    <row r="1368" spans="3:31" x14ac:dyDescent="0.25">
      <c r="C1368" s="201"/>
      <c r="E1368" s="201"/>
      <c r="F1368" s="201"/>
      <c r="I1368" s="198" t="s">
        <v>430</v>
      </c>
      <c r="J1368" s="198" t="s">
        <v>130</v>
      </c>
      <c r="K1368" s="202">
        <f t="shared" si="21"/>
        <v>702270</v>
      </c>
      <c r="L1368" s="202">
        <v>137.69999999999999</v>
      </c>
      <c r="N1368" s="202">
        <v>16721000</v>
      </c>
      <c r="S1368" s="204"/>
      <c r="W1368" s="198" t="s">
        <v>51</v>
      </c>
      <c r="AE1368" s="198" t="s">
        <v>833</v>
      </c>
    </row>
    <row r="1369" spans="3:31" x14ac:dyDescent="0.25">
      <c r="C1369" s="201"/>
      <c r="E1369" s="201"/>
      <c r="F1369" s="201"/>
      <c r="I1369" s="198" t="s">
        <v>204</v>
      </c>
      <c r="J1369" s="198" t="s">
        <v>169</v>
      </c>
      <c r="K1369" s="202">
        <f t="shared" si="21"/>
        <v>702780</v>
      </c>
      <c r="L1369" s="202">
        <v>137.80000000000001</v>
      </c>
      <c r="N1369" s="202">
        <v>349040</v>
      </c>
      <c r="S1369" s="204"/>
      <c r="W1369" s="198" t="s">
        <v>51</v>
      </c>
      <c r="AE1369" s="198" t="s">
        <v>831</v>
      </c>
    </row>
    <row r="1370" spans="3:31" x14ac:dyDescent="0.25">
      <c r="C1370" s="201"/>
      <c r="E1370" s="201"/>
      <c r="F1370" s="201"/>
      <c r="I1370" s="198" t="s">
        <v>136</v>
      </c>
      <c r="J1370" s="198" t="s">
        <v>137</v>
      </c>
      <c r="K1370" s="202">
        <f t="shared" si="21"/>
        <v>703290</v>
      </c>
      <c r="L1370" s="202">
        <v>137.9</v>
      </c>
      <c r="N1370" s="202">
        <v>41409</v>
      </c>
      <c r="S1370" s="204"/>
      <c r="W1370" s="198" t="s">
        <v>51</v>
      </c>
      <c r="AE1370" s="198" t="s">
        <v>844</v>
      </c>
    </row>
    <row r="1371" spans="3:31" x14ac:dyDescent="0.25">
      <c r="C1371" s="201"/>
      <c r="E1371" s="201"/>
      <c r="F1371" s="201"/>
      <c r="I1371" s="198" t="s">
        <v>136</v>
      </c>
      <c r="J1371" s="198" t="s">
        <v>137</v>
      </c>
      <c r="K1371" s="202">
        <f t="shared" si="21"/>
        <v>703800</v>
      </c>
      <c r="L1371" s="202">
        <v>138</v>
      </c>
      <c r="N1371" s="202">
        <v>617288</v>
      </c>
      <c r="S1371" s="204"/>
      <c r="W1371" s="198" t="s">
        <v>51</v>
      </c>
      <c r="AE1371" s="198" t="s">
        <v>844</v>
      </c>
    </row>
    <row r="1372" spans="3:31" x14ac:dyDescent="0.25">
      <c r="C1372" s="201"/>
      <c r="E1372" s="201"/>
      <c r="F1372" s="201"/>
      <c r="I1372" s="198" t="s">
        <v>136</v>
      </c>
      <c r="J1372" s="198" t="s">
        <v>137</v>
      </c>
      <c r="K1372" s="202">
        <f t="shared" si="21"/>
        <v>704310</v>
      </c>
      <c r="L1372" s="202">
        <v>138.1</v>
      </c>
      <c r="N1372" s="202">
        <v>2683055.34</v>
      </c>
      <c r="S1372" s="204"/>
      <c r="W1372" s="198" t="s">
        <v>51</v>
      </c>
      <c r="AE1372" s="198" t="s">
        <v>844</v>
      </c>
    </row>
    <row r="1373" spans="3:31" x14ac:dyDescent="0.25">
      <c r="C1373" s="201"/>
      <c r="E1373" s="201"/>
      <c r="F1373" s="201"/>
      <c r="I1373" s="198" t="s">
        <v>136</v>
      </c>
      <c r="J1373" s="198" t="s">
        <v>137</v>
      </c>
      <c r="K1373" s="202">
        <f t="shared" si="21"/>
        <v>704820</v>
      </c>
      <c r="L1373" s="202">
        <v>138.19999999999999</v>
      </c>
      <c r="N1373" s="202">
        <v>2714590</v>
      </c>
      <c r="S1373" s="204"/>
      <c r="W1373" s="198" t="s">
        <v>51</v>
      </c>
      <c r="AE1373" s="198" t="s">
        <v>844</v>
      </c>
    </row>
    <row r="1374" spans="3:31" x14ac:dyDescent="0.25">
      <c r="C1374" s="201"/>
      <c r="E1374" s="201"/>
      <c r="F1374" s="201"/>
      <c r="I1374" s="198" t="s">
        <v>136</v>
      </c>
      <c r="J1374" s="198" t="s">
        <v>137</v>
      </c>
      <c r="K1374" s="202">
        <f t="shared" si="21"/>
        <v>705330</v>
      </c>
      <c r="L1374" s="202">
        <v>138.30000000000001</v>
      </c>
      <c r="N1374" s="202">
        <v>2708245.4</v>
      </c>
      <c r="S1374" s="204"/>
      <c r="W1374" s="198" t="s">
        <v>51</v>
      </c>
      <c r="AE1374" s="198" t="s">
        <v>844</v>
      </c>
    </row>
    <row r="1375" spans="3:31" x14ac:dyDescent="0.25">
      <c r="C1375" s="201"/>
      <c r="E1375" s="201"/>
      <c r="F1375" s="201"/>
      <c r="I1375" s="198" t="s">
        <v>430</v>
      </c>
      <c r="J1375" s="198" t="s">
        <v>130</v>
      </c>
      <c r="K1375" s="202">
        <f t="shared" si="21"/>
        <v>705840</v>
      </c>
      <c r="L1375" s="202">
        <v>138.4</v>
      </c>
      <c r="N1375" s="202">
        <v>16721000</v>
      </c>
      <c r="S1375" s="204"/>
      <c r="W1375" s="198" t="s">
        <v>51</v>
      </c>
      <c r="AE1375" s="198" t="s">
        <v>833</v>
      </c>
    </row>
    <row r="1376" spans="3:31" x14ac:dyDescent="0.25">
      <c r="C1376" s="201"/>
      <c r="E1376" s="201"/>
      <c r="F1376" s="201"/>
      <c r="I1376" s="198" t="s">
        <v>430</v>
      </c>
      <c r="J1376" s="198" t="s">
        <v>130</v>
      </c>
      <c r="K1376" s="202">
        <f t="shared" si="21"/>
        <v>706350</v>
      </c>
      <c r="L1376" s="202">
        <v>138.5</v>
      </c>
      <c r="N1376" s="202">
        <v>16721000</v>
      </c>
      <c r="S1376" s="204"/>
      <c r="W1376" s="198" t="s">
        <v>51</v>
      </c>
      <c r="AE1376" s="198" t="s">
        <v>833</v>
      </c>
    </row>
    <row r="1377" spans="3:31" x14ac:dyDescent="0.25">
      <c r="C1377" s="201"/>
      <c r="E1377" s="201"/>
      <c r="F1377" s="201"/>
      <c r="I1377" s="198" t="s">
        <v>430</v>
      </c>
      <c r="J1377" s="198" t="s">
        <v>130</v>
      </c>
      <c r="K1377" s="202">
        <f t="shared" si="21"/>
        <v>706860</v>
      </c>
      <c r="L1377" s="202">
        <v>138.6</v>
      </c>
      <c r="N1377" s="202">
        <v>16721000</v>
      </c>
      <c r="S1377" s="204"/>
      <c r="W1377" s="198" t="s">
        <v>51</v>
      </c>
      <c r="AE1377" s="198" t="s">
        <v>833</v>
      </c>
    </row>
    <row r="1378" spans="3:31" x14ac:dyDescent="0.25">
      <c r="C1378" s="201"/>
      <c r="E1378" s="201"/>
      <c r="F1378" s="201"/>
      <c r="I1378" s="198" t="s">
        <v>430</v>
      </c>
      <c r="J1378" s="198" t="s">
        <v>130</v>
      </c>
      <c r="K1378" s="202">
        <f t="shared" si="21"/>
        <v>707370</v>
      </c>
      <c r="L1378" s="202">
        <v>138.69999999999999</v>
      </c>
      <c r="N1378" s="202">
        <v>16721000</v>
      </c>
      <c r="S1378" s="204"/>
      <c r="W1378" s="198" t="s">
        <v>51</v>
      </c>
      <c r="AE1378" s="198" t="s">
        <v>833</v>
      </c>
    </row>
    <row r="1379" spans="3:31" x14ac:dyDescent="0.25">
      <c r="C1379" s="201"/>
      <c r="E1379" s="201"/>
      <c r="F1379" s="201"/>
      <c r="I1379" s="198" t="s">
        <v>430</v>
      </c>
      <c r="J1379" s="198" t="s">
        <v>130</v>
      </c>
      <c r="K1379" s="202">
        <f t="shared" si="21"/>
        <v>707880</v>
      </c>
      <c r="L1379" s="202">
        <v>138.80000000000001</v>
      </c>
      <c r="N1379" s="202">
        <v>16721000</v>
      </c>
      <c r="S1379" s="204"/>
      <c r="W1379" s="198" t="s">
        <v>51</v>
      </c>
      <c r="AE1379" s="198" t="s">
        <v>833</v>
      </c>
    </row>
    <row r="1380" spans="3:31" x14ac:dyDescent="0.25">
      <c r="C1380" s="201"/>
      <c r="E1380" s="201"/>
      <c r="F1380" s="201"/>
      <c r="I1380" s="198" t="s">
        <v>362</v>
      </c>
      <c r="J1380" s="198" t="s">
        <v>132</v>
      </c>
      <c r="K1380" s="202">
        <f t="shared" si="21"/>
        <v>708390</v>
      </c>
      <c r="L1380" s="202">
        <v>138.9</v>
      </c>
      <c r="N1380" s="202">
        <v>16535647</v>
      </c>
      <c r="S1380" s="204"/>
      <c r="W1380" s="198" t="s">
        <v>51</v>
      </c>
      <c r="AE1380" s="198" t="s">
        <v>833</v>
      </c>
    </row>
    <row r="1381" spans="3:31" x14ac:dyDescent="0.25">
      <c r="C1381" s="201"/>
      <c r="E1381" s="201"/>
      <c r="F1381" s="201"/>
      <c r="I1381" s="198" t="s">
        <v>362</v>
      </c>
      <c r="J1381" s="198" t="s">
        <v>132</v>
      </c>
      <c r="K1381" s="202">
        <f t="shared" si="21"/>
        <v>708900</v>
      </c>
      <c r="L1381" s="202">
        <v>139</v>
      </c>
      <c r="N1381" s="202">
        <v>16535647</v>
      </c>
      <c r="S1381" s="204"/>
      <c r="W1381" s="198" t="s">
        <v>51</v>
      </c>
      <c r="AE1381" s="198" t="s">
        <v>833</v>
      </c>
    </row>
    <row r="1382" spans="3:31" x14ac:dyDescent="0.25">
      <c r="C1382" s="201"/>
      <c r="E1382" s="201"/>
      <c r="F1382" s="201"/>
      <c r="I1382" s="198" t="s">
        <v>131</v>
      </c>
      <c r="J1382" s="198" t="s">
        <v>132</v>
      </c>
      <c r="K1382" s="202">
        <f t="shared" si="21"/>
        <v>709410</v>
      </c>
      <c r="L1382" s="202">
        <v>139.1</v>
      </c>
      <c r="N1382" s="202">
        <v>4371354</v>
      </c>
      <c r="S1382" s="204"/>
      <c r="W1382" s="198" t="s">
        <v>51</v>
      </c>
      <c r="AE1382" s="198" t="s">
        <v>833</v>
      </c>
    </row>
    <row r="1383" spans="3:31" x14ac:dyDescent="0.25">
      <c r="C1383" s="201"/>
      <c r="E1383" s="201"/>
      <c r="F1383" s="201"/>
      <c r="I1383" s="198" t="s">
        <v>199</v>
      </c>
      <c r="J1383" s="198" t="s">
        <v>167</v>
      </c>
      <c r="K1383" s="202">
        <f t="shared" si="21"/>
        <v>709920</v>
      </c>
      <c r="L1383" s="202">
        <v>139.19999999999999</v>
      </c>
      <c r="N1383" s="202">
        <v>354290</v>
      </c>
      <c r="S1383" s="204"/>
      <c r="W1383" s="198" t="s">
        <v>51</v>
      </c>
      <c r="AE1383" s="198" t="s">
        <v>831</v>
      </c>
    </row>
    <row r="1384" spans="3:31" x14ac:dyDescent="0.25">
      <c r="C1384" s="201"/>
      <c r="E1384" s="201"/>
      <c r="F1384" s="201"/>
      <c r="I1384" s="198" t="s">
        <v>199</v>
      </c>
      <c r="J1384" s="198" t="s">
        <v>167</v>
      </c>
      <c r="K1384" s="202">
        <f t="shared" si="21"/>
        <v>710430</v>
      </c>
      <c r="L1384" s="202">
        <v>139.30000000000001</v>
      </c>
      <c r="N1384" s="202">
        <v>354290</v>
      </c>
      <c r="S1384" s="204"/>
      <c r="W1384" s="198" t="s">
        <v>51</v>
      </c>
      <c r="AE1384" s="198" t="s">
        <v>831</v>
      </c>
    </row>
    <row r="1385" spans="3:31" x14ac:dyDescent="0.25">
      <c r="C1385" s="201"/>
      <c r="E1385" s="201"/>
      <c r="F1385" s="201"/>
      <c r="I1385" s="198" t="s">
        <v>199</v>
      </c>
      <c r="J1385" s="198" t="s">
        <v>167</v>
      </c>
      <c r="K1385" s="202">
        <f t="shared" si="21"/>
        <v>710940</v>
      </c>
      <c r="L1385" s="202">
        <v>139.4</v>
      </c>
      <c r="N1385" s="202">
        <v>354290</v>
      </c>
      <c r="S1385" s="204"/>
      <c r="W1385" s="198" t="s">
        <v>51</v>
      </c>
      <c r="AE1385" s="198" t="s">
        <v>831</v>
      </c>
    </row>
    <row r="1386" spans="3:31" x14ac:dyDescent="0.25">
      <c r="C1386" s="201"/>
      <c r="E1386" s="201"/>
      <c r="F1386" s="201"/>
      <c r="I1386" s="198" t="s">
        <v>131</v>
      </c>
      <c r="J1386" s="198" t="s">
        <v>132</v>
      </c>
      <c r="K1386" s="202">
        <f t="shared" si="21"/>
        <v>711450</v>
      </c>
      <c r="L1386" s="202">
        <v>139.5</v>
      </c>
      <c r="N1386" s="202">
        <v>-1.1100000000000001</v>
      </c>
      <c r="S1386" s="203"/>
      <c r="W1386" s="198" t="s">
        <v>51</v>
      </c>
      <c r="AE1386" s="198" t="s">
        <v>54</v>
      </c>
    </row>
    <row r="1387" spans="3:31" x14ac:dyDescent="0.25">
      <c r="C1387" s="201"/>
      <c r="E1387" s="201"/>
      <c r="F1387" s="201"/>
      <c r="I1387" s="198" t="s">
        <v>836</v>
      </c>
      <c r="J1387" s="198" t="s">
        <v>126</v>
      </c>
      <c r="K1387" s="202">
        <f t="shared" si="21"/>
        <v>711960</v>
      </c>
      <c r="L1387" s="202">
        <v>139.6</v>
      </c>
      <c r="N1387" s="202">
        <v>2960580</v>
      </c>
      <c r="S1387" s="204"/>
      <c r="W1387" s="198" t="s">
        <v>51</v>
      </c>
      <c r="AE1387" s="198" t="s">
        <v>835</v>
      </c>
    </row>
    <row r="1388" spans="3:31" x14ac:dyDescent="0.25">
      <c r="C1388" s="201"/>
      <c r="E1388" s="201"/>
      <c r="F1388" s="201"/>
      <c r="I1388" s="198" t="s">
        <v>836</v>
      </c>
      <c r="J1388" s="198" t="s">
        <v>126</v>
      </c>
      <c r="K1388" s="202">
        <f t="shared" si="21"/>
        <v>712470</v>
      </c>
      <c r="L1388" s="202">
        <v>139.69999999999999</v>
      </c>
      <c r="N1388" s="202">
        <v>-2960580</v>
      </c>
      <c r="S1388" s="204"/>
      <c r="W1388" s="198" t="s">
        <v>51</v>
      </c>
      <c r="AE1388" s="198" t="s">
        <v>835</v>
      </c>
    </row>
    <row r="1389" spans="3:31" x14ac:dyDescent="0.25">
      <c r="C1389" s="201"/>
      <c r="E1389" s="201"/>
      <c r="F1389" s="201"/>
      <c r="I1389" s="198" t="s">
        <v>836</v>
      </c>
      <c r="J1389" s="198" t="s">
        <v>126</v>
      </c>
      <c r="K1389" s="202">
        <f t="shared" si="21"/>
        <v>712980</v>
      </c>
      <c r="L1389" s="202">
        <v>139.80000000000001</v>
      </c>
      <c r="N1389" s="202">
        <v>1140284.7</v>
      </c>
      <c r="S1389" s="204"/>
      <c r="W1389" s="198" t="s">
        <v>51</v>
      </c>
      <c r="AE1389" s="198" t="s">
        <v>835</v>
      </c>
    </row>
    <row r="1390" spans="3:31" x14ac:dyDescent="0.25">
      <c r="C1390" s="201"/>
      <c r="E1390" s="201"/>
      <c r="F1390" s="201"/>
      <c r="I1390" s="198" t="s">
        <v>836</v>
      </c>
      <c r="J1390" s="198" t="s">
        <v>126</v>
      </c>
      <c r="K1390" s="202">
        <f t="shared" si="21"/>
        <v>713490</v>
      </c>
      <c r="L1390" s="202">
        <v>139.9</v>
      </c>
      <c r="N1390" s="202">
        <v>-1140284.7</v>
      </c>
      <c r="S1390" s="204"/>
      <c r="W1390" s="198" t="s">
        <v>51</v>
      </c>
      <c r="AE1390" s="198" t="s">
        <v>835</v>
      </c>
    </row>
    <row r="1391" spans="3:31" x14ac:dyDescent="0.25">
      <c r="C1391" s="201"/>
      <c r="E1391" s="201"/>
      <c r="F1391" s="201"/>
      <c r="I1391" s="198" t="s">
        <v>136</v>
      </c>
      <c r="J1391" s="198" t="s">
        <v>137</v>
      </c>
      <c r="K1391" s="202">
        <f t="shared" si="21"/>
        <v>714000</v>
      </c>
      <c r="L1391" s="202">
        <v>140</v>
      </c>
      <c r="N1391" s="202">
        <v>0.42</v>
      </c>
      <c r="S1391" s="204"/>
      <c r="W1391" s="198" t="s">
        <v>51</v>
      </c>
      <c r="AE1391" s="198" t="s">
        <v>844</v>
      </c>
    </row>
    <row r="1392" spans="3:31" x14ac:dyDescent="0.25">
      <c r="C1392" s="201"/>
      <c r="E1392" s="201"/>
      <c r="F1392" s="201"/>
      <c r="I1392" s="198" t="s">
        <v>430</v>
      </c>
      <c r="J1392" s="198" t="s">
        <v>130</v>
      </c>
      <c r="K1392" s="202">
        <f t="shared" si="21"/>
        <v>714510</v>
      </c>
      <c r="L1392" s="202">
        <v>140.1</v>
      </c>
      <c r="N1392" s="202">
        <v>16721000</v>
      </c>
      <c r="S1392" s="204"/>
      <c r="W1392" s="198" t="s">
        <v>51</v>
      </c>
      <c r="AE1392" s="198" t="s">
        <v>833</v>
      </c>
    </row>
    <row r="1393" spans="3:31" x14ac:dyDescent="0.25">
      <c r="C1393" s="201"/>
      <c r="E1393" s="201"/>
      <c r="F1393" s="201"/>
      <c r="I1393" s="198" t="s">
        <v>430</v>
      </c>
      <c r="J1393" s="198" t="s">
        <v>130</v>
      </c>
      <c r="K1393" s="202">
        <f t="shared" si="21"/>
        <v>715020</v>
      </c>
      <c r="L1393" s="202">
        <v>140.19999999999999</v>
      </c>
      <c r="N1393" s="202">
        <v>16721000</v>
      </c>
      <c r="S1393" s="204"/>
      <c r="W1393" s="198" t="s">
        <v>51</v>
      </c>
      <c r="AE1393" s="198" t="s">
        <v>833</v>
      </c>
    </row>
    <row r="1394" spans="3:31" x14ac:dyDescent="0.25">
      <c r="C1394" s="201"/>
      <c r="E1394" s="201"/>
      <c r="F1394" s="201"/>
      <c r="I1394" s="198" t="s">
        <v>430</v>
      </c>
      <c r="J1394" s="198" t="s">
        <v>130</v>
      </c>
      <c r="K1394" s="202">
        <f t="shared" si="21"/>
        <v>715530</v>
      </c>
      <c r="L1394" s="202">
        <v>140.30000000000001</v>
      </c>
      <c r="N1394" s="202">
        <v>16721000</v>
      </c>
      <c r="S1394" s="204"/>
      <c r="W1394" s="198" t="s">
        <v>51</v>
      </c>
      <c r="AE1394" s="198" t="s">
        <v>833</v>
      </c>
    </row>
    <row r="1395" spans="3:31" x14ac:dyDescent="0.25">
      <c r="C1395" s="201"/>
      <c r="E1395" s="201"/>
      <c r="F1395" s="201"/>
      <c r="I1395" s="198" t="s">
        <v>566</v>
      </c>
      <c r="J1395" s="198" t="s">
        <v>117</v>
      </c>
      <c r="K1395" s="202">
        <f t="shared" si="21"/>
        <v>716040</v>
      </c>
      <c r="L1395" s="202">
        <v>140.4</v>
      </c>
      <c r="N1395" s="202">
        <v>7905900</v>
      </c>
      <c r="S1395" s="204"/>
      <c r="W1395" s="198" t="s">
        <v>51</v>
      </c>
      <c r="AE1395" s="198" t="s">
        <v>878</v>
      </c>
    </row>
    <row r="1396" spans="3:31" x14ac:dyDescent="0.25">
      <c r="C1396" s="201"/>
      <c r="E1396" s="201"/>
      <c r="F1396" s="201"/>
      <c r="I1396" s="198" t="s">
        <v>536</v>
      </c>
      <c r="J1396" s="198" t="s">
        <v>126</v>
      </c>
      <c r="K1396" s="202">
        <f t="shared" si="21"/>
        <v>716550</v>
      </c>
      <c r="L1396" s="202">
        <v>140.5</v>
      </c>
      <c r="N1396" s="202">
        <v>-0.02</v>
      </c>
      <c r="S1396" s="204"/>
      <c r="W1396" s="198" t="s">
        <v>51</v>
      </c>
      <c r="AE1396" s="198" t="s">
        <v>835</v>
      </c>
    </row>
    <row r="1397" spans="3:31" x14ac:dyDescent="0.25">
      <c r="C1397" s="201"/>
      <c r="E1397" s="201"/>
      <c r="F1397" s="201"/>
      <c r="I1397" s="198" t="s">
        <v>131</v>
      </c>
      <c r="J1397" s="198" t="s">
        <v>132</v>
      </c>
      <c r="K1397" s="202">
        <f t="shared" si="21"/>
        <v>717060</v>
      </c>
      <c r="L1397" s="202">
        <v>140.6</v>
      </c>
      <c r="N1397" s="202">
        <v>0.28000000000000003</v>
      </c>
      <c r="S1397" s="204"/>
      <c r="W1397" s="198" t="s">
        <v>51</v>
      </c>
      <c r="AE1397" s="198" t="s">
        <v>833</v>
      </c>
    </row>
    <row r="1398" spans="3:31" x14ac:dyDescent="0.25">
      <c r="C1398" s="201"/>
      <c r="E1398" s="201"/>
      <c r="F1398" s="201"/>
      <c r="I1398" s="198" t="s">
        <v>136</v>
      </c>
      <c r="J1398" s="198" t="s">
        <v>137</v>
      </c>
      <c r="K1398" s="202">
        <f t="shared" si="21"/>
        <v>717570</v>
      </c>
      <c r="L1398" s="202">
        <v>140.69999999999999</v>
      </c>
      <c r="N1398" s="202">
        <v>-0.2</v>
      </c>
      <c r="S1398" s="204"/>
      <c r="W1398" s="198" t="s">
        <v>51</v>
      </c>
      <c r="AE1398" s="198" t="s">
        <v>844</v>
      </c>
    </row>
    <row r="1399" spans="3:31" x14ac:dyDescent="0.25">
      <c r="C1399" s="201"/>
      <c r="E1399" s="201"/>
      <c r="F1399" s="201"/>
      <c r="I1399" s="198" t="s">
        <v>536</v>
      </c>
      <c r="J1399" s="198" t="s">
        <v>126</v>
      </c>
      <c r="K1399" s="202">
        <f t="shared" si="21"/>
        <v>718080</v>
      </c>
      <c r="L1399" s="202">
        <v>140.80000000000001</v>
      </c>
      <c r="N1399" s="202">
        <v>-0.02</v>
      </c>
      <c r="S1399" s="204"/>
      <c r="W1399" s="198" t="s">
        <v>51</v>
      </c>
      <c r="AE1399" s="198" t="s">
        <v>835</v>
      </c>
    </row>
    <row r="1400" spans="3:31" x14ac:dyDescent="0.25">
      <c r="C1400" s="201"/>
      <c r="E1400" s="201"/>
      <c r="F1400" s="201"/>
      <c r="I1400" s="198" t="s">
        <v>136</v>
      </c>
      <c r="J1400" s="198" t="s">
        <v>137</v>
      </c>
      <c r="K1400" s="202">
        <f t="shared" si="21"/>
        <v>718590</v>
      </c>
      <c r="L1400" s="202">
        <v>140.9</v>
      </c>
      <c r="N1400" s="202">
        <v>-0.3</v>
      </c>
      <c r="S1400" s="204"/>
      <c r="W1400" s="198" t="s">
        <v>51</v>
      </c>
      <c r="AE1400" s="198" t="s">
        <v>844</v>
      </c>
    </row>
    <row r="1401" spans="3:31" x14ac:dyDescent="0.25">
      <c r="C1401" s="201"/>
      <c r="E1401" s="201"/>
      <c r="F1401" s="201"/>
      <c r="I1401" s="198" t="s">
        <v>566</v>
      </c>
      <c r="J1401" s="198" t="s">
        <v>117</v>
      </c>
      <c r="K1401" s="202">
        <f t="shared" si="21"/>
        <v>719100</v>
      </c>
      <c r="L1401" s="202">
        <v>141</v>
      </c>
      <c r="N1401" s="202">
        <v>0.28999999999999998</v>
      </c>
      <c r="S1401" s="204"/>
      <c r="W1401" s="198" t="s">
        <v>51</v>
      </c>
      <c r="AE1401" s="198" t="s">
        <v>878</v>
      </c>
    </row>
    <row r="1402" spans="3:31" x14ac:dyDescent="0.25">
      <c r="C1402" s="201"/>
      <c r="E1402" s="201"/>
      <c r="F1402" s="201"/>
      <c r="I1402" s="198" t="s">
        <v>136</v>
      </c>
      <c r="J1402" s="198" t="s">
        <v>137</v>
      </c>
      <c r="K1402" s="202">
        <f t="shared" si="21"/>
        <v>719610</v>
      </c>
      <c r="L1402" s="202">
        <v>141.1</v>
      </c>
      <c r="N1402" s="202">
        <v>0.38</v>
      </c>
      <c r="S1402" s="204"/>
      <c r="W1402" s="198" t="s">
        <v>51</v>
      </c>
      <c r="AE1402" s="198" t="s">
        <v>844</v>
      </c>
    </row>
    <row r="1403" spans="3:31" x14ac:dyDescent="0.25">
      <c r="C1403" s="201"/>
      <c r="E1403" s="201"/>
      <c r="F1403" s="201"/>
      <c r="I1403" s="198" t="s">
        <v>836</v>
      </c>
      <c r="J1403" s="198" t="s">
        <v>126</v>
      </c>
      <c r="K1403" s="202">
        <f t="shared" si="21"/>
        <v>720120</v>
      </c>
      <c r="L1403" s="202">
        <v>141.19999999999999</v>
      </c>
      <c r="N1403" s="202">
        <v>391891.71</v>
      </c>
      <c r="S1403" s="204"/>
      <c r="W1403" s="198" t="s">
        <v>51</v>
      </c>
      <c r="AE1403" s="198" t="s">
        <v>835</v>
      </c>
    </row>
    <row r="1404" spans="3:31" x14ac:dyDescent="0.25">
      <c r="C1404" s="201"/>
      <c r="E1404" s="201"/>
      <c r="F1404" s="201"/>
      <c r="I1404" s="198" t="s">
        <v>836</v>
      </c>
      <c r="J1404" s="198" t="s">
        <v>126</v>
      </c>
      <c r="K1404" s="202">
        <f t="shared" si="21"/>
        <v>720630</v>
      </c>
      <c r="L1404" s="202">
        <v>141.30000000000001</v>
      </c>
      <c r="N1404" s="202">
        <v>-391891.71</v>
      </c>
      <c r="S1404" s="204"/>
      <c r="W1404" s="198" t="s">
        <v>51</v>
      </c>
      <c r="AE1404" s="198" t="s">
        <v>835</v>
      </c>
    </row>
    <row r="1405" spans="3:31" x14ac:dyDescent="0.25">
      <c r="C1405" s="201"/>
      <c r="E1405" s="201"/>
      <c r="F1405" s="201"/>
      <c r="I1405" s="198" t="s">
        <v>110</v>
      </c>
      <c r="J1405" s="198" t="s">
        <v>89</v>
      </c>
      <c r="K1405" s="202">
        <f t="shared" si="21"/>
        <v>721140</v>
      </c>
      <c r="L1405" s="202">
        <v>141.4</v>
      </c>
      <c r="N1405" s="202">
        <v>0.15</v>
      </c>
      <c r="S1405" s="204"/>
      <c r="W1405" s="198" t="s">
        <v>51</v>
      </c>
      <c r="AE1405" s="198" t="s">
        <v>831</v>
      </c>
    </row>
    <row r="1406" spans="3:31" x14ac:dyDescent="0.25">
      <c r="C1406" s="201"/>
      <c r="E1406" s="201"/>
      <c r="F1406" s="201"/>
      <c r="I1406" s="198" t="s">
        <v>110</v>
      </c>
      <c r="J1406" s="198" t="s">
        <v>89</v>
      </c>
      <c r="K1406" s="202">
        <f t="shared" si="21"/>
        <v>721650</v>
      </c>
      <c r="L1406" s="202">
        <v>141.5</v>
      </c>
      <c r="N1406" s="202">
        <v>-0.37</v>
      </c>
      <c r="S1406" s="204"/>
      <c r="W1406" s="198" t="s">
        <v>51</v>
      </c>
      <c r="AE1406" s="198" t="s">
        <v>831</v>
      </c>
    </row>
    <row r="1407" spans="3:31" x14ac:dyDescent="0.25">
      <c r="C1407" s="201"/>
      <c r="E1407" s="201"/>
      <c r="F1407" s="201"/>
      <c r="I1407" s="198" t="s">
        <v>836</v>
      </c>
      <c r="J1407" s="198" t="s">
        <v>126</v>
      </c>
      <c r="K1407" s="202">
        <f t="shared" si="21"/>
        <v>722160</v>
      </c>
      <c r="L1407" s="202">
        <v>141.6</v>
      </c>
      <c r="N1407" s="202">
        <v>14312700.029999999</v>
      </c>
      <c r="S1407" s="204"/>
      <c r="W1407" s="198" t="s">
        <v>51</v>
      </c>
      <c r="AE1407" s="198" t="s">
        <v>835</v>
      </c>
    </row>
    <row r="1408" spans="3:31" x14ac:dyDescent="0.25">
      <c r="C1408" s="201"/>
      <c r="E1408" s="201"/>
      <c r="F1408" s="201"/>
      <c r="I1408" s="198" t="s">
        <v>836</v>
      </c>
      <c r="J1408" s="198" t="s">
        <v>126</v>
      </c>
      <c r="K1408" s="202">
        <f t="shared" si="21"/>
        <v>722670</v>
      </c>
      <c r="L1408" s="202">
        <v>141.69999999999999</v>
      </c>
      <c r="N1408" s="202">
        <v>1302161.5</v>
      </c>
      <c r="S1408" s="204"/>
      <c r="W1408" s="198" t="s">
        <v>51</v>
      </c>
      <c r="AE1408" s="198" t="s">
        <v>835</v>
      </c>
    </row>
    <row r="1409" spans="3:31" x14ac:dyDescent="0.25">
      <c r="C1409" s="201"/>
      <c r="E1409" s="201"/>
      <c r="F1409" s="201"/>
      <c r="I1409" s="198" t="s">
        <v>836</v>
      </c>
      <c r="J1409" s="198" t="s">
        <v>126</v>
      </c>
      <c r="K1409" s="202">
        <f t="shared" si="21"/>
        <v>723180</v>
      </c>
      <c r="L1409" s="202">
        <v>141.80000000000001</v>
      </c>
      <c r="N1409" s="202">
        <v>1157976</v>
      </c>
      <c r="S1409" s="204"/>
      <c r="W1409" s="198" t="s">
        <v>51</v>
      </c>
      <c r="AE1409" s="198" t="s">
        <v>835</v>
      </c>
    </row>
    <row r="1410" spans="3:31" x14ac:dyDescent="0.25">
      <c r="C1410" s="201"/>
      <c r="E1410" s="201"/>
      <c r="F1410" s="201"/>
      <c r="I1410" s="198" t="s">
        <v>836</v>
      </c>
      <c r="J1410" s="198" t="s">
        <v>126</v>
      </c>
      <c r="K1410" s="202">
        <f t="shared" si="21"/>
        <v>723690</v>
      </c>
      <c r="L1410" s="202">
        <v>141.9</v>
      </c>
      <c r="N1410" s="202">
        <v>1349867.17</v>
      </c>
      <c r="S1410" s="204"/>
      <c r="W1410" s="198" t="s">
        <v>51</v>
      </c>
      <c r="AE1410" s="198" t="s">
        <v>835</v>
      </c>
    </row>
    <row r="1411" spans="3:31" x14ac:dyDescent="0.25">
      <c r="C1411" s="201"/>
      <c r="E1411" s="201"/>
      <c r="F1411" s="201"/>
      <c r="I1411" s="198" t="s">
        <v>836</v>
      </c>
      <c r="J1411" s="198" t="s">
        <v>126</v>
      </c>
      <c r="K1411" s="202">
        <f t="shared" ref="K1411:K1474" si="22">L1411*5100</f>
        <v>724200</v>
      </c>
      <c r="L1411" s="202">
        <v>142</v>
      </c>
      <c r="N1411" s="202">
        <v>-14312700.029999999</v>
      </c>
      <c r="S1411" s="204"/>
      <c r="W1411" s="198" t="s">
        <v>51</v>
      </c>
      <c r="AE1411" s="198" t="s">
        <v>835</v>
      </c>
    </row>
    <row r="1412" spans="3:31" x14ac:dyDescent="0.25">
      <c r="C1412" s="201"/>
      <c r="E1412" s="201"/>
      <c r="F1412" s="201"/>
      <c r="I1412" s="198" t="s">
        <v>836</v>
      </c>
      <c r="J1412" s="198" t="s">
        <v>126</v>
      </c>
      <c r="K1412" s="202">
        <f t="shared" si="22"/>
        <v>724710</v>
      </c>
      <c r="L1412" s="202">
        <v>142.1</v>
      </c>
      <c r="N1412" s="202">
        <v>-1302161.5</v>
      </c>
      <c r="S1412" s="204"/>
      <c r="W1412" s="198" t="s">
        <v>51</v>
      </c>
      <c r="AE1412" s="198" t="s">
        <v>835</v>
      </c>
    </row>
    <row r="1413" spans="3:31" x14ac:dyDescent="0.25">
      <c r="C1413" s="201"/>
      <c r="E1413" s="201"/>
      <c r="F1413" s="201"/>
      <c r="I1413" s="198" t="s">
        <v>836</v>
      </c>
      <c r="J1413" s="198" t="s">
        <v>126</v>
      </c>
      <c r="K1413" s="202">
        <f t="shared" si="22"/>
        <v>725220</v>
      </c>
      <c r="L1413" s="202">
        <v>142.19999999999999</v>
      </c>
      <c r="N1413" s="202">
        <v>-1157976</v>
      </c>
      <c r="S1413" s="204"/>
      <c r="W1413" s="198" t="s">
        <v>51</v>
      </c>
      <c r="AE1413" s="198" t="s">
        <v>835</v>
      </c>
    </row>
    <row r="1414" spans="3:31" x14ac:dyDescent="0.25">
      <c r="C1414" s="201"/>
      <c r="E1414" s="201"/>
      <c r="F1414" s="201"/>
      <c r="I1414" s="198" t="s">
        <v>836</v>
      </c>
      <c r="J1414" s="198" t="s">
        <v>126</v>
      </c>
      <c r="K1414" s="202">
        <f t="shared" si="22"/>
        <v>725730</v>
      </c>
      <c r="L1414" s="202">
        <v>142.30000000000001</v>
      </c>
      <c r="N1414" s="202">
        <v>-1349867.17</v>
      </c>
      <c r="S1414" s="204"/>
      <c r="W1414" s="198" t="s">
        <v>51</v>
      </c>
      <c r="AE1414" s="198" t="s">
        <v>835</v>
      </c>
    </row>
    <row r="1415" spans="3:31" x14ac:dyDescent="0.25">
      <c r="C1415" s="201"/>
      <c r="E1415" s="201"/>
      <c r="F1415" s="201"/>
      <c r="I1415" s="198" t="s">
        <v>577</v>
      </c>
      <c r="J1415" s="198" t="s">
        <v>130</v>
      </c>
      <c r="K1415" s="202">
        <f t="shared" si="22"/>
        <v>726240</v>
      </c>
      <c r="L1415" s="202">
        <v>142.4</v>
      </c>
      <c r="N1415" s="202">
        <v>6196850</v>
      </c>
      <c r="S1415" s="204"/>
      <c r="W1415" s="198" t="s">
        <v>51</v>
      </c>
      <c r="AE1415" s="198" t="s">
        <v>833</v>
      </c>
    </row>
    <row r="1416" spans="3:31" x14ac:dyDescent="0.25">
      <c r="C1416" s="201"/>
      <c r="E1416" s="201"/>
      <c r="F1416" s="201"/>
      <c r="I1416" s="198" t="s">
        <v>577</v>
      </c>
      <c r="J1416" s="198" t="s">
        <v>130</v>
      </c>
      <c r="K1416" s="202">
        <f t="shared" si="22"/>
        <v>726750</v>
      </c>
      <c r="L1416" s="202">
        <v>142.5</v>
      </c>
      <c r="N1416" s="202">
        <v>6213475</v>
      </c>
      <c r="S1416" s="204"/>
      <c r="W1416" s="198" t="s">
        <v>51</v>
      </c>
      <c r="AE1416" s="198" t="s">
        <v>833</v>
      </c>
    </row>
    <row r="1417" spans="3:31" x14ac:dyDescent="0.25">
      <c r="C1417" s="201"/>
      <c r="E1417" s="201"/>
      <c r="F1417" s="201"/>
      <c r="I1417" s="198" t="s">
        <v>577</v>
      </c>
      <c r="J1417" s="198" t="s">
        <v>130</v>
      </c>
      <c r="K1417" s="202">
        <f t="shared" si="22"/>
        <v>727260</v>
      </c>
      <c r="L1417" s="202">
        <v>142.6</v>
      </c>
      <c r="N1417" s="202">
        <v>6216325</v>
      </c>
      <c r="S1417" s="204"/>
      <c r="W1417" s="198" t="s">
        <v>51</v>
      </c>
      <c r="AE1417" s="198" t="s">
        <v>833</v>
      </c>
    </row>
    <row r="1418" spans="3:31" x14ac:dyDescent="0.25">
      <c r="C1418" s="201"/>
      <c r="E1418" s="201"/>
      <c r="F1418" s="201"/>
      <c r="I1418" s="198" t="s">
        <v>129</v>
      </c>
      <c r="J1418" s="198" t="s">
        <v>130</v>
      </c>
      <c r="K1418" s="202">
        <f t="shared" si="22"/>
        <v>727770</v>
      </c>
      <c r="L1418" s="202">
        <v>142.69999999999999</v>
      </c>
      <c r="N1418" s="202">
        <v>3642800</v>
      </c>
      <c r="S1418" s="204"/>
      <c r="W1418" s="198" t="s">
        <v>51</v>
      </c>
      <c r="AE1418" s="198" t="s">
        <v>833</v>
      </c>
    </row>
    <row r="1419" spans="3:31" x14ac:dyDescent="0.25">
      <c r="C1419" s="201"/>
      <c r="E1419" s="201"/>
      <c r="F1419" s="201"/>
      <c r="I1419" s="198" t="s">
        <v>432</v>
      </c>
      <c r="J1419" s="198" t="s">
        <v>130</v>
      </c>
      <c r="K1419" s="202">
        <f t="shared" si="22"/>
        <v>728280</v>
      </c>
      <c r="L1419" s="202">
        <v>142.80000000000001</v>
      </c>
      <c r="N1419" s="202">
        <v>16721000</v>
      </c>
      <c r="S1419" s="204"/>
      <c r="W1419" s="198" t="s">
        <v>51</v>
      </c>
      <c r="AE1419" s="198" t="s">
        <v>833</v>
      </c>
    </row>
    <row r="1420" spans="3:31" x14ac:dyDescent="0.25">
      <c r="C1420" s="201"/>
      <c r="E1420" s="201"/>
      <c r="F1420" s="201"/>
      <c r="I1420" s="198" t="s">
        <v>362</v>
      </c>
      <c r="J1420" s="198" t="s">
        <v>132</v>
      </c>
      <c r="K1420" s="202">
        <f t="shared" si="22"/>
        <v>728790</v>
      </c>
      <c r="L1420" s="202">
        <v>142.9</v>
      </c>
      <c r="N1420" s="202">
        <v>16535647</v>
      </c>
      <c r="S1420" s="204"/>
      <c r="W1420" s="198" t="s">
        <v>51</v>
      </c>
      <c r="AE1420" s="198" t="s">
        <v>833</v>
      </c>
    </row>
    <row r="1421" spans="3:31" x14ac:dyDescent="0.25">
      <c r="C1421" s="201"/>
      <c r="E1421" s="201"/>
      <c r="F1421" s="201"/>
      <c r="I1421" s="198" t="s">
        <v>199</v>
      </c>
      <c r="J1421" s="198" t="s">
        <v>167</v>
      </c>
      <c r="K1421" s="202">
        <f t="shared" si="22"/>
        <v>729300</v>
      </c>
      <c r="L1421" s="202">
        <v>143</v>
      </c>
      <c r="N1421" s="202">
        <v>354290</v>
      </c>
      <c r="S1421" s="204"/>
      <c r="W1421" s="198" t="s">
        <v>51</v>
      </c>
      <c r="AE1421" s="198" t="s">
        <v>831</v>
      </c>
    </row>
    <row r="1422" spans="3:31" x14ac:dyDescent="0.25">
      <c r="C1422" s="201"/>
      <c r="E1422" s="201"/>
      <c r="F1422" s="201"/>
      <c r="I1422" s="198" t="s">
        <v>199</v>
      </c>
      <c r="J1422" s="198" t="s">
        <v>167</v>
      </c>
      <c r="K1422" s="202">
        <f t="shared" si="22"/>
        <v>729810</v>
      </c>
      <c r="L1422" s="202">
        <v>143.1</v>
      </c>
      <c r="N1422" s="202">
        <v>354290</v>
      </c>
      <c r="S1422" s="204"/>
      <c r="W1422" s="198" t="s">
        <v>51</v>
      </c>
      <c r="AE1422" s="198" t="s">
        <v>831</v>
      </c>
    </row>
    <row r="1423" spans="3:31" x14ac:dyDescent="0.25">
      <c r="C1423" s="201"/>
      <c r="E1423" s="201"/>
      <c r="F1423" s="201"/>
      <c r="I1423" s="198" t="s">
        <v>199</v>
      </c>
      <c r="J1423" s="198" t="s">
        <v>167</v>
      </c>
      <c r="K1423" s="202">
        <f t="shared" si="22"/>
        <v>730320</v>
      </c>
      <c r="L1423" s="202">
        <v>143.19999999999999</v>
      </c>
      <c r="N1423" s="202">
        <v>354290</v>
      </c>
      <c r="S1423" s="204"/>
      <c r="W1423" s="198" t="s">
        <v>51</v>
      </c>
      <c r="AE1423" s="198" t="s">
        <v>831</v>
      </c>
    </row>
    <row r="1424" spans="3:31" x14ac:dyDescent="0.25">
      <c r="C1424" s="201"/>
      <c r="E1424" s="201"/>
      <c r="F1424" s="201"/>
      <c r="I1424" s="198" t="s">
        <v>199</v>
      </c>
      <c r="J1424" s="198" t="s">
        <v>167</v>
      </c>
      <c r="K1424" s="202">
        <f t="shared" si="22"/>
        <v>730830</v>
      </c>
      <c r="L1424" s="202">
        <v>143.30000000000001</v>
      </c>
      <c r="N1424" s="202">
        <v>354290</v>
      </c>
      <c r="S1424" s="204"/>
      <c r="W1424" s="198" t="s">
        <v>51</v>
      </c>
      <c r="AE1424" s="198" t="s">
        <v>831</v>
      </c>
    </row>
    <row r="1425" spans="3:31" x14ac:dyDescent="0.25">
      <c r="C1425" s="201"/>
      <c r="E1425" s="201"/>
      <c r="F1425" s="201"/>
      <c r="I1425" s="198" t="s">
        <v>199</v>
      </c>
      <c r="J1425" s="198" t="s">
        <v>167</v>
      </c>
      <c r="K1425" s="202">
        <f t="shared" si="22"/>
        <v>731340</v>
      </c>
      <c r="L1425" s="202">
        <v>143.4</v>
      </c>
      <c r="N1425" s="202">
        <v>354290</v>
      </c>
      <c r="S1425" s="204"/>
      <c r="W1425" s="198" t="s">
        <v>51</v>
      </c>
      <c r="AE1425" s="198" t="s">
        <v>831</v>
      </c>
    </row>
    <row r="1426" spans="3:31" x14ac:dyDescent="0.25">
      <c r="C1426" s="201"/>
      <c r="E1426" s="201"/>
      <c r="F1426" s="201"/>
      <c r="I1426" s="198" t="s">
        <v>199</v>
      </c>
      <c r="J1426" s="198" t="s">
        <v>167</v>
      </c>
      <c r="K1426" s="202">
        <f t="shared" si="22"/>
        <v>731850</v>
      </c>
      <c r="L1426" s="202">
        <v>143.5</v>
      </c>
      <c r="N1426" s="202">
        <v>354290</v>
      </c>
      <c r="S1426" s="204"/>
      <c r="W1426" s="198" t="s">
        <v>51</v>
      </c>
      <c r="AE1426" s="198" t="s">
        <v>831</v>
      </c>
    </row>
    <row r="1427" spans="3:31" x14ac:dyDescent="0.25">
      <c r="C1427" s="201"/>
      <c r="E1427" s="201"/>
      <c r="F1427" s="201"/>
      <c r="I1427" s="198" t="s">
        <v>786</v>
      </c>
      <c r="J1427" s="198" t="s">
        <v>143</v>
      </c>
      <c r="K1427" s="202">
        <f t="shared" si="22"/>
        <v>732360</v>
      </c>
      <c r="L1427" s="202">
        <v>143.6</v>
      </c>
      <c r="N1427" s="202">
        <v>65000</v>
      </c>
      <c r="S1427" s="204"/>
      <c r="W1427" s="198" t="s">
        <v>51</v>
      </c>
      <c r="AE1427" s="198" t="s">
        <v>829</v>
      </c>
    </row>
    <row r="1428" spans="3:31" x14ac:dyDescent="0.25">
      <c r="C1428" s="201"/>
      <c r="E1428" s="201"/>
      <c r="F1428" s="201"/>
      <c r="I1428" s="198" t="s">
        <v>786</v>
      </c>
      <c r="J1428" s="198" t="s">
        <v>143</v>
      </c>
      <c r="K1428" s="202">
        <f t="shared" si="22"/>
        <v>732870</v>
      </c>
      <c r="L1428" s="202">
        <v>143.69999999999999</v>
      </c>
      <c r="N1428" s="202">
        <v>150000</v>
      </c>
      <c r="S1428" s="204"/>
      <c r="W1428" s="198" t="s">
        <v>51</v>
      </c>
      <c r="AE1428" s="198" t="s">
        <v>829</v>
      </c>
    </row>
    <row r="1429" spans="3:31" x14ac:dyDescent="0.25">
      <c r="C1429" s="201"/>
      <c r="E1429" s="201"/>
      <c r="F1429" s="201"/>
      <c r="I1429" s="198" t="s">
        <v>440</v>
      </c>
      <c r="J1429" s="198" t="s">
        <v>126</v>
      </c>
      <c r="K1429" s="202">
        <f t="shared" si="22"/>
        <v>733380</v>
      </c>
      <c r="L1429" s="202">
        <v>143.80000000000001</v>
      </c>
      <c r="N1429" s="202">
        <v>870648</v>
      </c>
      <c r="S1429" s="204"/>
      <c r="W1429" s="198" t="s">
        <v>51</v>
      </c>
      <c r="AE1429" s="198" t="s">
        <v>835</v>
      </c>
    </row>
    <row r="1430" spans="3:31" x14ac:dyDescent="0.25">
      <c r="C1430" s="201"/>
      <c r="E1430" s="201"/>
      <c r="F1430" s="201"/>
      <c r="I1430" s="198" t="s">
        <v>287</v>
      </c>
      <c r="J1430" s="198" t="s">
        <v>156</v>
      </c>
      <c r="K1430" s="202">
        <f t="shared" si="22"/>
        <v>733890</v>
      </c>
      <c r="L1430" s="202">
        <v>143.9</v>
      </c>
      <c r="N1430" s="202">
        <v>490113</v>
      </c>
      <c r="S1430" s="203"/>
      <c r="W1430" s="198" t="s">
        <v>51</v>
      </c>
      <c r="AE1430" s="198" t="s">
        <v>828</v>
      </c>
    </row>
    <row r="1431" spans="3:31" x14ac:dyDescent="0.25">
      <c r="C1431" s="201"/>
      <c r="E1431" s="201"/>
      <c r="F1431" s="201"/>
      <c r="I1431" s="198" t="s">
        <v>287</v>
      </c>
      <c r="J1431" s="198" t="s">
        <v>156</v>
      </c>
      <c r="K1431" s="202">
        <f t="shared" si="22"/>
        <v>734400</v>
      </c>
      <c r="L1431" s="202">
        <v>144</v>
      </c>
      <c r="N1431" s="202">
        <v>462884.5</v>
      </c>
      <c r="S1431" s="203"/>
      <c r="W1431" s="198" t="s">
        <v>51</v>
      </c>
      <c r="AE1431" s="198" t="s">
        <v>828</v>
      </c>
    </row>
    <row r="1432" spans="3:31" x14ac:dyDescent="0.25">
      <c r="C1432" s="201"/>
      <c r="E1432" s="201"/>
      <c r="F1432" s="201"/>
      <c r="I1432" s="198" t="s">
        <v>287</v>
      </c>
      <c r="J1432" s="198" t="s">
        <v>156</v>
      </c>
      <c r="K1432" s="202">
        <f t="shared" si="22"/>
        <v>734910</v>
      </c>
      <c r="L1432" s="202">
        <v>144.1</v>
      </c>
      <c r="N1432" s="202">
        <v>10891.4</v>
      </c>
      <c r="S1432" s="203"/>
      <c r="W1432" s="198" t="s">
        <v>51</v>
      </c>
      <c r="AE1432" s="198" t="s">
        <v>828</v>
      </c>
    </row>
    <row r="1433" spans="3:31" x14ac:dyDescent="0.25">
      <c r="C1433" s="201"/>
      <c r="E1433" s="201"/>
      <c r="F1433" s="201"/>
      <c r="I1433" s="198" t="s">
        <v>783</v>
      </c>
      <c r="J1433" s="198" t="s">
        <v>148</v>
      </c>
      <c r="K1433" s="202">
        <f t="shared" si="22"/>
        <v>735420</v>
      </c>
      <c r="L1433" s="202">
        <v>144.19999999999999</v>
      </c>
      <c r="N1433" s="202">
        <v>96660</v>
      </c>
      <c r="S1433" s="203"/>
      <c r="W1433" s="198" t="s">
        <v>51</v>
      </c>
      <c r="AE1433" s="198" t="s">
        <v>828</v>
      </c>
    </row>
    <row r="1434" spans="3:31" x14ac:dyDescent="0.25">
      <c r="C1434" s="201"/>
      <c r="E1434" s="201"/>
      <c r="F1434" s="201"/>
      <c r="I1434" s="198" t="s">
        <v>783</v>
      </c>
      <c r="J1434" s="198" t="s">
        <v>148</v>
      </c>
      <c r="K1434" s="202">
        <f t="shared" si="22"/>
        <v>735930</v>
      </c>
      <c r="L1434" s="202">
        <v>144.30000000000001</v>
      </c>
      <c r="N1434" s="202">
        <v>91290</v>
      </c>
      <c r="S1434" s="203"/>
      <c r="W1434" s="198" t="s">
        <v>51</v>
      </c>
      <c r="AE1434" s="198" t="s">
        <v>828</v>
      </c>
    </row>
    <row r="1435" spans="3:31" x14ac:dyDescent="0.25">
      <c r="C1435" s="201"/>
      <c r="E1435" s="201"/>
      <c r="F1435" s="201"/>
      <c r="I1435" s="198" t="s">
        <v>783</v>
      </c>
      <c r="J1435" s="198" t="s">
        <v>148</v>
      </c>
      <c r="K1435" s="202">
        <f t="shared" si="22"/>
        <v>736440</v>
      </c>
      <c r="L1435" s="202">
        <v>144.4</v>
      </c>
      <c r="N1435" s="202">
        <v>2148</v>
      </c>
      <c r="S1435" s="203"/>
      <c r="W1435" s="198" t="s">
        <v>51</v>
      </c>
      <c r="AE1435" s="198" t="s">
        <v>828</v>
      </c>
    </row>
    <row r="1436" spans="3:31" x14ac:dyDescent="0.25">
      <c r="C1436" s="201"/>
      <c r="E1436" s="201"/>
      <c r="F1436" s="201"/>
      <c r="I1436" s="198" t="s">
        <v>583</v>
      </c>
      <c r="J1436" s="198" t="s">
        <v>134</v>
      </c>
      <c r="K1436" s="202">
        <f t="shared" si="22"/>
        <v>736950</v>
      </c>
      <c r="L1436" s="202">
        <v>144.5</v>
      </c>
      <c r="N1436" s="202">
        <v>7921860</v>
      </c>
      <c r="S1436" s="204"/>
      <c r="W1436" s="198" t="s">
        <v>51</v>
      </c>
      <c r="AE1436" s="198" t="s">
        <v>846</v>
      </c>
    </row>
    <row r="1437" spans="3:31" x14ac:dyDescent="0.25">
      <c r="C1437" s="201"/>
      <c r="E1437" s="201"/>
      <c r="F1437" s="201"/>
      <c r="I1437" s="198" t="s">
        <v>583</v>
      </c>
      <c r="J1437" s="198" t="s">
        <v>134</v>
      </c>
      <c r="K1437" s="202">
        <f t="shared" si="22"/>
        <v>737460</v>
      </c>
      <c r="L1437" s="202">
        <v>144.6</v>
      </c>
      <c r="N1437" s="202">
        <v>4806050</v>
      </c>
      <c r="S1437" s="204"/>
      <c r="W1437" s="198" t="s">
        <v>51</v>
      </c>
      <c r="AE1437" s="198" t="s">
        <v>846</v>
      </c>
    </row>
    <row r="1438" spans="3:31" x14ac:dyDescent="0.25">
      <c r="C1438" s="201"/>
      <c r="E1438" s="201"/>
      <c r="F1438" s="201"/>
      <c r="I1438" s="198" t="s">
        <v>583</v>
      </c>
      <c r="J1438" s="198" t="s">
        <v>134</v>
      </c>
      <c r="K1438" s="202">
        <f t="shared" si="22"/>
        <v>737970</v>
      </c>
      <c r="L1438" s="202">
        <v>144.69999999999999</v>
      </c>
      <c r="N1438" s="202">
        <v>4796075</v>
      </c>
      <c r="S1438" s="204"/>
      <c r="W1438" s="198" t="s">
        <v>51</v>
      </c>
      <c r="AE1438" s="198" t="s">
        <v>846</v>
      </c>
    </row>
    <row r="1439" spans="3:31" x14ac:dyDescent="0.25">
      <c r="C1439" s="201"/>
      <c r="E1439" s="201"/>
      <c r="F1439" s="201"/>
      <c r="I1439" s="198" t="s">
        <v>583</v>
      </c>
      <c r="J1439" s="198" t="s">
        <v>134</v>
      </c>
      <c r="K1439" s="202">
        <f t="shared" si="22"/>
        <v>738480</v>
      </c>
      <c r="L1439" s="202">
        <v>144.80000000000001</v>
      </c>
      <c r="N1439" s="202">
        <v>4786100</v>
      </c>
      <c r="S1439" s="204"/>
      <c r="W1439" s="198" t="s">
        <v>51</v>
      </c>
      <c r="AE1439" s="198" t="s">
        <v>846</v>
      </c>
    </row>
    <row r="1440" spans="3:31" x14ac:dyDescent="0.25">
      <c r="C1440" s="201"/>
      <c r="E1440" s="201"/>
      <c r="F1440" s="201"/>
      <c r="I1440" s="198" t="s">
        <v>583</v>
      </c>
      <c r="J1440" s="198" t="s">
        <v>134</v>
      </c>
      <c r="K1440" s="202">
        <f t="shared" si="22"/>
        <v>738990</v>
      </c>
      <c r="L1440" s="202">
        <v>144.9</v>
      </c>
      <c r="N1440" s="202">
        <v>4808900</v>
      </c>
      <c r="S1440" s="204"/>
      <c r="W1440" s="198" t="s">
        <v>51</v>
      </c>
      <c r="AE1440" s="198" t="s">
        <v>846</v>
      </c>
    </row>
    <row r="1441" spans="3:31" x14ac:dyDescent="0.25">
      <c r="C1441" s="201"/>
      <c r="E1441" s="201"/>
      <c r="F1441" s="201"/>
      <c r="I1441" s="198" t="s">
        <v>583</v>
      </c>
      <c r="J1441" s="198" t="s">
        <v>134</v>
      </c>
      <c r="K1441" s="202">
        <f t="shared" si="22"/>
        <v>739500</v>
      </c>
      <c r="L1441" s="202">
        <v>145</v>
      </c>
      <c r="N1441" s="202">
        <v>4806525</v>
      </c>
      <c r="S1441" s="204"/>
      <c r="W1441" s="198" t="s">
        <v>51</v>
      </c>
      <c r="AE1441" s="198" t="s">
        <v>846</v>
      </c>
    </row>
    <row r="1442" spans="3:31" x14ac:dyDescent="0.25">
      <c r="C1442" s="201"/>
      <c r="E1442" s="201"/>
      <c r="F1442" s="201"/>
      <c r="I1442" s="198" t="s">
        <v>583</v>
      </c>
      <c r="J1442" s="198" t="s">
        <v>134</v>
      </c>
      <c r="K1442" s="202">
        <f t="shared" si="22"/>
        <v>740010</v>
      </c>
      <c r="L1442" s="202">
        <v>145.1</v>
      </c>
      <c r="N1442" s="202">
        <v>4801775</v>
      </c>
      <c r="S1442" s="204"/>
      <c r="W1442" s="198" t="s">
        <v>51</v>
      </c>
      <c r="AE1442" s="198" t="s">
        <v>846</v>
      </c>
    </row>
    <row r="1443" spans="3:31" x14ac:dyDescent="0.25">
      <c r="C1443" s="201"/>
      <c r="E1443" s="201"/>
      <c r="F1443" s="201"/>
      <c r="I1443" s="198" t="s">
        <v>583</v>
      </c>
      <c r="J1443" s="198" t="s">
        <v>134</v>
      </c>
      <c r="K1443" s="202">
        <f t="shared" si="22"/>
        <v>740520</v>
      </c>
      <c r="L1443" s="202">
        <v>145.19999999999999</v>
      </c>
      <c r="N1443" s="202">
        <v>4827900</v>
      </c>
      <c r="S1443" s="204"/>
      <c r="W1443" s="198" t="s">
        <v>51</v>
      </c>
      <c r="AE1443" s="198" t="s">
        <v>846</v>
      </c>
    </row>
    <row r="1444" spans="3:31" x14ac:dyDescent="0.25">
      <c r="C1444" s="201"/>
      <c r="E1444" s="201"/>
      <c r="F1444" s="201"/>
      <c r="I1444" s="198" t="s">
        <v>583</v>
      </c>
      <c r="J1444" s="198" t="s">
        <v>134</v>
      </c>
      <c r="K1444" s="202">
        <f t="shared" si="22"/>
        <v>741030</v>
      </c>
      <c r="L1444" s="202">
        <v>145.30000000000001</v>
      </c>
      <c r="N1444" s="202">
        <v>5272975</v>
      </c>
      <c r="S1444" s="204"/>
      <c r="W1444" s="198" t="s">
        <v>51</v>
      </c>
      <c r="AE1444" s="198" t="s">
        <v>846</v>
      </c>
    </row>
    <row r="1445" spans="3:31" x14ac:dyDescent="0.25">
      <c r="C1445" s="201"/>
      <c r="E1445" s="201"/>
      <c r="F1445" s="201"/>
      <c r="I1445" s="198" t="s">
        <v>583</v>
      </c>
      <c r="J1445" s="198" t="s">
        <v>134</v>
      </c>
      <c r="K1445" s="202">
        <f t="shared" si="22"/>
        <v>741540</v>
      </c>
      <c r="L1445" s="202">
        <v>145.4</v>
      </c>
      <c r="N1445" s="202">
        <v>4805575</v>
      </c>
      <c r="S1445" s="204"/>
      <c r="W1445" s="198" t="s">
        <v>51</v>
      </c>
      <c r="AE1445" s="198" t="s">
        <v>846</v>
      </c>
    </row>
    <row r="1446" spans="3:31" x14ac:dyDescent="0.25">
      <c r="C1446" s="201"/>
      <c r="E1446" s="201"/>
      <c r="F1446" s="201"/>
      <c r="I1446" s="198" t="s">
        <v>135</v>
      </c>
      <c r="J1446" s="198" t="s">
        <v>117</v>
      </c>
      <c r="K1446" s="202">
        <f t="shared" si="22"/>
        <v>742050</v>
      </c>
      <c r="L1446" s="202">
        <v>145.5</v>
      </c>
      <c r="N1446" s="202">
        <v>27634.959999999999</v>
      </c>
      <c r="S1446" s="204"/>
      <c r="W1446" s="198" t="s">
        <v>51</v>
      </c>
      <c r="AE1446" s="198" t="s">
        <v>878</v>
      </c>
    </row>
    <row r="1447" spans="3:31" x14ac:dyDescent="0.25">
      <c r="C1447" s="201"/>
      <c r="E1447" s="201"/>
      <c r="F1447" s="201"/>
      <c r="I1447" s="198" t="s">
        <v>135</v>
      </c>
      <c r="J1447" s="198" t="s">
        <v>117</v>
      </c>
      <c r="K1447" s="202">
        <f t="shared" si="22"/>
        <v>742560</v>
      </c>
      <c r="L1447" s="202">
        <v>145.6</v>
      </c>
      <c r="N1447" s="202">
        <v>811500</v>
      </c>
      <c r="S1447" s="204"/>
      <c r="W1447" s="198" t="s">
        <v>51</v>
      </c>
      <c r="AE1447" s="198" t="s">
        <v>878</v>
      </c>
    </row>
    <row r="1448" spans="3:31" x14ac:dyDescent="0.25">
      <c r="C1448" s="201"/>
      <c r="E1448" s="201"/>
      <c r="F1448" s="201"/>
      <c r="I1448" s="198" t="s">
        <v>135</v>
      </c>
      <c r="J1448" s="198" t="s">
        <v>117</v>
      </c>
      <c r="K1448" s="202">
        <f t="shared" si="22"/>
        <v>743070</v>
      </c>
      <c r="L1448" s="202">
        <v>145.69999999999999</v>
      </c>
      <c r="N1448" s="202">
        <v>3712162</v>
      </c>
      <c r="S1448" s="204"/>
      <c r="W1448" s="198" t="s">
        <v>51</v>
      </c>
      <c r="AE1448" s="198" t="s">
        <v>878</v>
      </c>
    </row>
    <row r="1449" spans="3:31" x14ac:dyDescent="0.25">
      <c r="C1449" s="201"/>
      <c r="E1449" s="201"/>
      <c r="F1449" s="201"/>
      <c r="I1449" s="198" t="s">
        <v>583</v>
      </c>
      <c r="J1449" s="198" t="s">
        <v>134</v>
      </c>
      <c r="K1449" s="202">
        <f t="shared" si="22"/>
        <v>743580</v>
      </c>
      <c r="L1449" s="202">
        <v>145.80000000000001</v>
      </c>
      <c r="N1449" s="202">
        <v>7944660</v>
      </c>
      <c r="S1449" s="204"/>
      <c r="W1449" s="198" t="s">
        <v>51</v>
      </c>
      <c r="AE1449" s="198" t="s">
        <v>846</v>
      </c>
    </row>
    <row r="1450" spans="3:31" x14ac:dyDescent="0.25">
      <c r="C1450" s="201"/>
      <c r="E1450" s="201"/>
      <c r="F1450" s="201"/>
      <c r="I1450" s="198" t="s">
        <v>528</v>
      </c>
      <c r="J1450" s="198" t="s">
        <v>134</v>
      </c>
      <c r="K1450" s="202">
        <f t="shared" si="22"/>
        <v>744090</v>
      </c>
      <c r="L1450" s="202">
        <v>145.9</v>
      </c>
      <c r="N1450" s="202">
        <v>3877550.91</v>
      </c>
      <c r="S1450" s="204"/>
      <c r="W1450" s="198" t="s">
        <v>51</v>
      </c>
      <c r="AE1450" s="198" t="s">
        <v>846</v>
      </c>
    </row>
    <row r="1451" spans="3:31" x14ac:dyDescent="0.25">
      <c r="C1451" s="201"/>
      <c r="E1451" s="201"/>
      <c r="F1451" s="201"/>
      <c r="I1451" s="198" t="s">
        <v>204</v>
      </c>
      <c r="J1451" s="198" t="s">
        <v>169</v>
      </c>
      <c r="K1451" s="202">
        <f t="shared" si="22"/>
        <v>744600</v>
      </c>
      <c r="L1451" s="202">
        <v>146</v>
      </c>
      <c r="N1451" s="202">
        <v>349040</v>
      </c>
      <c r="S1451" s="204"/>
      <c r="W1451" s="198" t="s">
        <v>51</v>
      </c>
      <c r="AE1451" s="198" t="s">
        <v>831</v>
      </c>
    </row>
    <row r="1452" spans="3:31" x14ac:dyDescent="0.25">
      <c r="C1452" s="201"/>
      <c r="E1452" s="201"/>
      <c r="F1452" s="201"/>
      <c r="I1452" s="198" t="s">
        <v>440</v>
      </c>
      <c r="J1452" s="198" t="s">
        <v>126</v>
      </c>
      <c r="K1452" s="202">
        <f t="shared" si="22"/>
        <v>745110</v>
      </c>
      <c r="L1452" s="202">
        <v>146.1</v>
      </c>
      <c r="N1452" s="202">
        <v>16721000</v>
      </c>
      <c r="S1452" s="204"/>
      <c r="W1452" s="198" t="s">
        <v>51</v>
      </c>
      <c r="AE1452" s="198" t="s">
        <v>835</v>
      </c>
    </row>
    <row r="1453" spans="3:31" x14ac:dyDescent="0.25">
      <c r="C1453" s="201"/>
      <c r="E1453" s="201"/>
      <c r="F1453" s="201"/>
      <c r="I1453" s="198" t="s">
        <v>440</v>
      </c>
      <c r="J1453" s="198" t="s">
        <v>126</v>
      </c>
      <c r="K1453" s="202">
        <f t="shared" si="22"/>
        <v>745620</v>
      </c>
      <c r="L1453" s="202">
        <v>146.19999999999999</v>
      </c>
      <c r="N1453" s="202">
        <v>16721000</v>
      </c>
      <c r="S1453" s="204"/>
      <c r="W1453" s="198" t="s">
        <v>51</v>
      </c>
      <c r="AE1453" s="198" t="s">
        <v>835</v>
      </c>
    </row>
    <row r="1454" spans="3:31" x14ac:dyDescent="0.25">
      <c r="C1454" s="201"/>
      <c r="E1454" s="201"/>
      <c r="F1454" s="201"/>
      <c r="I1454" s="198" t="s">
        <v>204</v>
      </c>
      <c r="J1454" s="198" t="s">
        <v>169</v>
      </c>
      <c r="K1454" s="202">
        <f t="shared" si="22"/>
        <v>746130</v>
      </c>
      <c r="L1454" s="202">
        <v>146.30000000000001</v>
      </c>
      <c r="N1454" s="202">
        <v>349040</v>
      </c>
      <c r="S1454" s="204"/>
      <c r="W1454" s="198" t="s">
        <v>51</v>
      </c>
      <c r="AE1454" s="198" t="s">
        <v>831</v>
      </c>
    </row>
    <row r="1455" spans="3:31" x14ac:dyDescent="0.25">
      <c r="C1455" s="201"/>
      <c r="E1455" s="201"/>
      <c r="F1455" s="201"/>
      <c r="I1455" s="198" t="s">
        <v>276</v>
      </c>
      <c r="J1455" s="198" t="s">
        <v>143</v>
      </c>
      <c r="K1455" s="202">
        <f t="shared" si="22"/>
        <v>746640</v>
      </c>
      <c r="L1455" s="202">
        <v>146.4</v>
      </c>
      <c r="N1455" s="202">
        <v>371700</v>
      </c>
      <c r="S1455" s="203"/>
      <c r="W1455" s="198" t="s">
        <v>51</v>
      </c>
      <c r="AE1455" s="198" t="s">
        <v>829</v>
      </c>
    </row>
    <row r="1456" spans="3:31" x14ac:dyDescent="0.25">
      <c r="C1456" s="201"/>
      <c r="E1456" s="201"/>
      <c r="F1456" s="201"/>
      <c r="I1456" s="198" t="s">
        <v>276</v>
      </c>
      <c r="J1456" s="198" t="s">
        <v>143</v>
      </c>
      <c r="K1456" s="202">
        <f t="shared" si="22"/>
        <v>747150</v>
      </c>
      <c r="L1456" s="202">
        <v>146.5</v>
      </c>
      <c r="N1456" s="202">
        <v>351050</v>
      </c>
      <c r="S1456" s="203"/>
      <c r="W1456" s="198" t="s">
        <v>51</v>
      </c>
      <c r="AE1456" s="198" t="s">
        <v>829</v>
      </c>
    </row>
    <row r="1457" spans="3:31" x14ac:dyDescent="0.25">
      <c r="C1457" s="201"/>
      <c r="E1457" s="201"/>
      <c r="F1457" s="201"/>
      <c r="I1457" s="198" t="s">
        <v>276</v>
      </c>
      <c r="J1457" s="198" t="s">
        <v>143</v>
      </c>
      <c r="K1457" s="202">
        <f t="shared" si="22"/>
        <v>747660</v>
      </c>
      <c r="L1457" s="202">
        <v>146.6</v>
      </c>
      <c r="N1457" s="202">
        <v>8260</v>
      </c>
      <c r="S1457" s="203"/>
      <c r="W1457" s="198" t="s">
        <v>51</v>
      </c>
      <c r="AE1457" s="198" t="s">
        <v>829</v>
      </c>
    </row>
    <row r="1458" spans="3:31" x14ac:dyDescent="0.25">
      <c r="C1458" s="201"/>
      <c r="E1458" s="201"/>
      <c r="F1458" s="201"/>
      <c r="I1458" s="198" t="s">
        <v>577</v>
      </c>
      <c r="J1458" s="198" t="s">
        <v>130</v>
      </c>
      <c r="K1458" s="202">
        <f t="shared" si="22"/>
        <v>748170</v>
      </c>
      <c r="L1458" s="202">
        <v>146.69999999999999</v>
      </c>
      <c r="N1458" s="202">
        <v>6185925</v>
      </c>
      <c r="S1458" s="204"/>
      <c r="W1458" s="198" t="s">
        <v>51</v>
      </c>
      <c r="AE1458" s="198" t="s">
        <v>833</v>
      </c>
    </row>
    <row r="1459" spans="3:31" x14ac:dyDescent="0.25">
      <c r="C1459" s="201"/>
      <c r="E1459" s="201"/>
      <c r="F1459" s="201"/>
      <c r="I1459" s="198" t="s">
        <v>577</v>
      </c>
      <c r="J1459" s="198" t="s">
        <v>130</v>
      </c>
      <c r="K1459" s="202">
        <f t="shared" si="22"/>
        <v>748680</v>
      </c>
      <c r="L1459" s="202">
        <v>146.80000000000001</v>
      </c>
      <c r="N1459" s="202">
        <v>6190200</v>
      </c>
      <c r="S1459" s="204"/>
      <c r="W1459" s="198" t="s">
        <v>51</v>
      </c>
      <c r="AE1459" s="198" t="s">
        <v>833</v>
      </c>
    </row>
    <row r="1460" spans="3:31" x14ac:dyDescent="0.25">
      <c r="C1460" s="201"/>
      <c r="E1460" s="201"/>
      <c r="F1460" s="201"/>
      <c r="I1460" s="198" t="s">
        <v>577</v>
      </c>
      <c r="J1460" s="198" t="s">
        <v>130</v>
      </c>
      <c r="K1460" s="202">
        <f t="shared" si="22"/>
        <v>749190</v>
      </c>
      <c r="L1460" s="202">
        <v>146.9</v>
      </c>
      <c r="N1460" s="202">
        <v>6185450</v>
      </c>
      <c r="S1460" s="204"/>
      <c r="W1460" s="198" t="s">
        <v>51</v>
      </c>
      <c r="AE1460" s="198" t="s">
        <v>833</v>
      </c>
    </row>
    <row r="1461" spans="3:31" x14ac:dyDescent="0.25">
      <c r="C1461" s="201"/>
      <c r="E1461" s="201"/>
      <c r="F1461" s="201"/>
      <c r="I1461" s="198" t="s">
        <v>577</v>
      </c>
      <c r="J1461" s="198" t="s">
        <v>130</v>
      </c>
      <c r="K1461" s="202">
        <f t="shared" si="22"/>
        <v>749700</v>
      </c>
      <c r="L1461" s="202">
        <v>147</v>
      </c>
      <c r="N1461" s="202">
        <v>6213000</v>
      </c>
      <c r="S1461" s="204"/>
      <c r="W1461" s="198" t="s">
        <v>51</v>
      </c>
      <c r="AE1461" s="198" t="s">
        <v>833</v>
      </c>
    </row>
    <row r="1462" spans="3:31" x14ac:dyDescent="0.25">
      <c r="C1462" s="201"/>
      <c r="E1462" s="201"/>
      <c r="F1462" s="201"/>
      <c r="I1462" s="198" t="s">
        <v>577</v>
      </c>
      <c r="J1462" s="198" t="s">
        <v>130</v>
      </c>
      <c r="K1462" s="202">
        <f t="shared" si="22"/>
        <v>750210</v>
      </c>
      <c r="L1462" s="202">
        <v>147.1</v>
      </c>
      <c r="N1462" s="202">
        <v>6207300</v>
      </c>
      <c r="S1462" s="204"/>
      <c r="W1462" s="198" t="s">
        <v>51</v>
      </c>
      <c r="AE1462" s="198" t="s">
        <v>833</v>
      </c>
    </row>
    <row r="1463" spans="3:31" x14ac:dyDescent="0.25">
      <c r="C1463" s="201"/>
      <c r="E1463" s="201"/>
      <c r="F1463" s="201"/>
      <c r="I1463" s="198" t="s">
        <v>577</v>
      </c>
      <c r="J1463" s="198" t="s">
        <v>130</v>
      </c>
      <c r="K1463" s="202">
        <f t="shared" si="22"/>
        <v>750720</v>
      </c>
      <c r="L1463" s="202">
        <v>147.19999999999999</v>
      </c>
      <c r="N1463" s="202">
        <v>6183550</v>
      </c>
      <c r="S1463" s="204"/>
      <c r="W1463" s="198" t="s">
        <v>51</v>
      </c>
      <c r="AE1463" s="198" t="s">
        <v>833</v>
      </c>
    </row>
    <row r="1464" spans="3:31" x14ac:dyDescent="0.25">
      <c r="C1464" s="201"/>
      <c r="E1464" s="201"/>
      <c r="F1464" s="201"/>
      <c r="I1464" s="198" t="s">
        <v>531</v>
      </c>
      <c r="J1464" s="198" t="s">
        <v>117</v>
      </c>
      <c r="K1464" s="202">
        <f t="shared" si="22"/>
        <v>751230</v>
      </c>
      <c r="L1464" s="202">
        <v>147.30000000000001</v>
      </c>
      <c r="N1464" s="202">
        <v>1521953.56</v>
      </c>
      <c r="S1464" s="204"/>
      <c r="W1464" s="198" t="s">
        <v>51</v>
      </c>
      <c r="AE1464" s="198" t="s">
        <v>878</v>
      </c>
    </row>
    <row r="1465" spans="3:31" x14ac:dyDescent="0.25">
      <c r="C1465" s="201"/>
      <c r="E1465" s="201"/>
      <c r="F1465" s="201"/>
      <c r="I1465" s="198" t="s">
        <v>440</v>
      </c>
      <c r="J1465" s="198" t="s">
        <v>126</v>
      </c>
      <c r="K1465" s="202">
        <f t="shared" si="22"/>
        <v>751740</v>
      </c>
      <c r="L1465" s="202">
        <v>147.4</v>
      </c>
      <c r="N1465" s="202">
        <v>16721000</v>
      </c>
      <c r="S1465" s="204"/>
      <c r="W1465" s="198" t="s">
        <v>51</v>
      </c>
      <c r="AE1465" s="198" t="s">
        <v>835</v>
      </c>
    </row>
    <row r="1466" spans="3:31" x14ac:dyDescent="0.25">
      <c r="C1466" s="201"/>
      <c r="E1466" s="201"/>
      <c r="F1466" s="201"/>
      <c r="I1466" s="198" t="s">
        <v>528</v>
      </c>
      <c r="J1466" s="198" t="s">
        <v>134</v>
      </c>
      <c r="K1466" s="202">
        <f t="shared" si="22"/>
        <v>752250</v>
      </c>
      <c r="L1466" s="202">
        <v>147.5</v>
      </c>
      <c r="N1466" s="202">
        <v>-7.0000000000000007E-2</v>
      </c>
      <c r="S1466" s="204"/>
      <c r="W1466" s="198" t="s">
        <v>51</v>
      </c>
      <c r="AE1466" s="198" t="s">
        <v>846</v>
      </c>
    </row>
    <row r="1467" spans="3:31" x14ac:dyDescent="0.25">
      <c r="C1467" s="201"/>
      <c r="E1467" s="201"/>
      <c r="F1467" s="201"/>
      <c r="I1467" s="198" t="s">
        <v>135</v>
      </c>
      <c r="J1467" s="198" t="s">
        <v>117</v>
      </c>
      <c r="K1467" s="202">
        <f t="shared" si="22"/>
        <v>752760</v>
      </c>
      <c r="L1467" s="202">
        <v>147.6</v>
      </c>
      <c r="N1467" s="202">
        <v>-0.25</v>
      </c>
      <c r="S1467" s="204"/>
      <c r="W1467" s="198" t="s">
        <v>51</v>
      </c>
      <c r="AE1467" s="198" t="s">
        <v>878</v>
      </c>
    </row>
    <row r="1468" spans="3:31" x14ac:dyDescent="0.25">
      <c r="C1468" s="201"/>
      <c r="E1468" s="201"/>
      <c r="F1468" s="201"/>
      <c r="I1468" s="198" t="s">
        <v>583</v>
      </c>
      <c r="J1468" s="198" t="s">
        <v>134</v>
      </c>
      <c r="K1468" s="202">
        <f t="shared" si="22"/>
        <v>753270</v>
      </c>
      <c r="L1468" s="202">
        <v>147.69999999999999</v>
      </c>
      <c r="N1468" s="202">
        <v>0.5</v>
      </c>
      <c r="S1468" s="204"/>
      <c r="W1468" s="198" t="s">
        <v>51</v>
      </c>
      <c r="AE1468" s="198" t="s">
        <v>846</v>
      </c>
    </row>
    <row r="1469" spans="3:31" x14ac:dyDescent="0.25">
      <c r="C1469" s="201"/>
      <c r="E1469" s="201"/>
      <c r="F1469" s="201"/>
      <c r="I1469" s="198" t="s">
        <v>583</v>
      </c>
      <c r="J1469" s="198" t="s">
        <v>134</v>
      </c>
      <c r="K1469" s="202">
        <f t="shared" si="22"/>
        <v>753780</v>
      </c>
      <c r="L1469" s="202">
        <v>147.80000000000001</v>
      </c>
      <c r="N1469" s="202">
        <v>0.5</v>
      </c>
      <c r="S1469" s="204"/>
      <c r="W1469" s="198" t="s">
        <v>51</v>
      </c>
      <c r="AE1469" s="198" t="s">
        <v>846</v>
      </c>
    </row>
    <row r="1470" spans="3:31" x14ac:dyDescent="0.25">
      <c r="C1470" s="201"/>
      <c r="E1470" s="201"/>
      <c r="F1470" s="201"/>
      <c r="I1470" s="198" t="s">
        <v>204</v>
      </c>
      <c r="J1470" s="198" t="s">
        <v>169</v>
      </c>
      <c r="K1470" s="202">
        <f t="shared" si="22"/>
        <v>754290</v>
      </c>
      <c r="L1470" s="202">
        <v>147.9</v>
      </c>
      <c r="N1470" s="202">
        <v>349040</v>
      </c>
      <c r="S1470" s="204"/>
      <c r="W1470" s="198" t="s">
        <v>51</v>
      </c>
      <c r="AE1470" s="198" t="s">
        <v>831</v>
      </c>
    </row>
    <row r="1471" spans="3:31" x14ac:dyDescent="0.25">
      <c r="C1471" s="201"/>
      <c r="E1471" s="201"/>
      <c r="F1471" s="201"/>
      <c r="I1471" s="198" t="s">
        <v>861</v>
      </c>
      <c r="J1471" s="198" t="s">
        <v>193</v>
      </c>
      <c r="K1471" s="202">
        <f t="shared" si="22"/>
        <v>754800</v>
      </c>
      <c r="L1471" s="202">
        <v>148</v>
      </c>
      <c r="N1471" s="202">
        <v>-13000</v>
      </c>
      <c r="S1471" s="203"/>
      <c r="W1471" s="198" t="s">
        <v>51</v>
      </c>
      <c r="AE1471" s="198" t="s">
        <v>54</v>
      </c>
    </row>
    <row r="1472" spans="3:31" x14ac:dyDescent="0.25">
      <c r="C1472" s="201"/>
      <c r="E1472" s="201"/>
      <c r="F1472" s="201"/>
      <c r="I1472" s="198" t="s">
        <v>1525</v>
      </c>
      <c r="J1472" s="198" t="s">
        <v>193</v>
      </c>
      <c r="K1472" s="202">
        <f t="shared" si="22"/>
        <v>755310</v>
      </c>
      <c r="L1472" s="202">
        <v>148.1</v>
      </c>
      <c r="N1472" s="202">
        <v>6940.64</v>
      </c>
      <c r="S1472" s="203"/>
      <c r="W1472" s="198" t="s">
        <v>51</v>
      </c>
      <c r="AE1472" s="198" t="s">
        <v>54</v>
      </c>
    </row>
    <row r="1473" spans="3:31" x14ac:dyDescent="0.25">
      <c r="C1473" s="201"/>
      <c r="E1473" s="201"/>
      <c r="F1473" s="201"/>
      <c r="I1473" s="198" t="s">
        <v>1525</v>
      </c>
      <c r="J1473" s="198" t="s">
        <v>193</v>
      </c>
      <c r="K1473" s="202">
        <f t="shared" si="22"/>
        <v>755820</v>
      </c>
      <c r="L1473" s="202">
        <v>148.19999999999999</v>
      </c>
      <c r="N1473" s="202">
        <v>24750.38</v>
      </c>
      <c r="S1473" s="203"/>
      <c r="W1473" s="198" t="s">
        <v>51</v>
      </c>
      <c r="AE1473" s="198" t="s">
        <v>54</v>
      </c>
    </row>
    <row r="1474" spans="3:31" x14ac:dyDescent="0.25">
      <c r="C1474" s="201"/>
      <c r="E1474" s="201"/>
      <c r="F1474" s="201"/>
      <c r="I1474" s="198" t="s">
        <v>862</v>
      </c>
      <c r="J1474" s="198" t="s">
        <v>193</v>
      </c>
      <c r="K1474" s="202">
        <f t="shared" si="22"/>
        <v>756330</v>
      </c>
      <c r="L1474" s="202">
        <v>148.30000000000001</v>
      </c>
      <c r="N1474" s="202">
        <v>64298</v>
      </c>
      <c r="S1474" s="203"/>
      <c r="W1474" s="198" t="s">
        <v>51</v>
      </c>
      <c r="AE1474" s="198" t="s">
        <v>54</v>
      </c>
    </row>
    <row r="1475" spans="3:31" x14ac:dyDescent="0.25">
      <c r="C1475" s="201"/>
      <c r="E1475" s="201"/>
      <c r="F1475" s="201"/>
      <c r="I1475" s="198" t="s">
        <v>860</v>
      </c>
      <c r="J1475" s="198" t="s">
        <v>193</v>
      </c>
      <c r="K1475" s="202">
        <f t="shared" ref="K1475:K1538" si="23">L1475*5100</f>
        <v>756840</v>
      </c>
      <c r="L1475" s="202">
        <v>148.4</v>
      </c>
      <c r="N1475" s="202">
        <v>74556.899999999994</v>
      </c>
      <c r="S1475" s="203"/>
      <c r="W1475" s="198" t="s">
        <v>51</v>
      </c>
      <c r="AE1475" s="198" t="s">
        <v>54</v>
      </c>
    </row>
    <row r="1476" spans="3:31" x14ac:dyDescent="0.25">
      <c r="C1476" s="201"/>
      <c r="E1476" s="201"/>
      <c r="F1476" s="201"/>
      <c r="I1476" s="198" t="s">
        <v>856</v>
      </c>
      <c r="J1476" s="198" t="s">
        <v>112</v>
      </c>
      <c r="K1476" s="202">
        <f t="shared" si="23"/>
        <v>757350</v>
      </c>
      <c r="L1476" s="202">
        <v>148.5</v>
      </c>
      <c r="N1476" s="202">
        <v>-89726607</v>
      </c>
      <c r="S1476" s="203"/>
      <c r="W1476" s="198" t="s">
        <v>51</v>
      </c>
      <c r="AE1476" s="198" t="s">
        <v>54</v>
      </c>
    </row>
    <row r="1477" spans="3:31" x14ac:dyDescent="0.25">
      <c r="C1477" s="201"/>
      <c r="E1477" s="201"/>
      <c r="F1477" s="201"/>
      <c r="I1477" s="198" t="s">
        <v>1773</v>
      </c>
      <c r="J1477" s="198" t="s">
        <v>89</v>
      </c>
      <c r="K1477" s="202">
        <f t="shared" si="23"/>
        <v>757860</v>
      </c>
      <c r="L1477" s="202">
        <v>148.6</v>
      </c>
      <c r="N1477" s="202">
        <v>-108066208</v>
      </c>
      <c r="S1477" s="203"/>
      <c r="W1477" s="198" t="s">
        <v>51</v>
      </c>
      <c r="AE1477" s="198" t="s">
        <v>54</v>
      </c>
    </row>
    <row r="1478" spans="3:31" x14ac:dyDescent="0.25">
      <c r="C1478" s="201"/>
      <c r="E1478" s="201"/>
      <c r="F1478" s="201"/>
      <c r="I1478" s="198" t="s">
        <v>583</v>
      </c>
      <c r="J1478" s="198" t="s">
        <v>134</v>
      </c>
      <c r="K1478" s="202">
        <f t="shared" si="23"/>
        <v>758370</v>
      </c>
      <c r="L1478" s="202">
        <v>148.69999999999999</v>
      </c>
      <c r="N1478" s="202">
        <v>0.5</v>
      </c>
      <c r="S1478" s="204"/>
      <c r="W1478" s="198" t="s">
        <v>51</v>
      </c>
      <c r="AE1478" s="198" t="s">
        <v>846</v>
      </c>
    </row>
    <row r="1479" spans="3:31" x14ac:dyDescent="0.25">
      <c r="C1479" s="201"/>
      <c r="E1479" s="201"/>
      <c r="F1479" s="201"/>
      <c r="I1479" s="198" t="s">
        <v>204</v>
      </c>
      <c r="J1479" s="198" t="s">
        <v>169</v>
      </c>
      <c r="K1479" s="202">
        <f t="shared" si="23"/>
        <v>758880</v>
      </c>
      <c r="L1479" s="202">
        <v>148.80000000000001</v>
      </c>
      <c r="N1479" s="202">
        <v>-349040</v>
      </c>
      <c r="S1479" s="204"/>
      <c r="W1479" s="198" t="s">
        <v>51</v>
      </c>
      <c r="AE1479" s="198" t="s">
        <v>831</v>
      </c>
    </row>
    <row r="1480" spans="3:31" x14ac:dyDescent="0.25">
      <c r="C1480" s="201"/>
      <c r="E1480" s="201"/>
      <c r="F1480" s="201"/>
      <c r="I1480" s="198" t="s">
        <v>278</v>
      </c>
      <c r="J1480" s="198" t="s">
        <v>193</v>
      </c>
      <c r="K1480" s="202">
        <f t="shared" si="23"/>
        <v>759390</v>
      </c>
      <c r="L1480" s="202">
        <v>148.9</v>
      </c>
      <c r="N1480" s="202">
        <v>-0.14000000000000001</v>
      </c>
      <c r="S1480" s="204"/>
      <c r="W1480" s="198" t="s">
        <v>51</v>
      </c>
      <c r="AE1480" s="198" t="s">
        <v>830</v>
      </c>
    </row>
    <row r="1481" spans="3:31" x14ac:dyDescent="0.25">
      <c r="C1481" s="201"/>
      <c r="E1481" s="201"/>
      <c r="F1481" s="201"/>
      <c r="I1481" s="198" t="s">
        <v>215</v>
      </c>
      <c r="J1481" s="198" t="s">
        <v>89</v>
      </c>
      <c r="K1481" s="202">
        <f t="shared" si="23"/>
        <v>759900</v>
      </c>
      <c r="L1481" s="202">
        <v>149</v>
      </c>
      <c r="N1481" s="202">
        <v>354290</v>
      </c>
      <c r="S1481" s="204"/>
      <c r="W1481" s="198" t="s">
        <v>51</v>
      </c>
      <c r="AE1481" s="198" t="s">
        <v>831</v>
      </c>
    </row>
    <row r="1482" spans="3:31" x14ac:dyDescent="0.25">
      <c r="C1482" s="201"/>
      <c r="E1482" s="201"/>
      <c r="F1482" s="201"/>
      <c r="I1482" s="198" t="s">
        <v>204</v>
      </c>
      <c r="J1482" s="198" t="s">
        <v>169</v>
      </c>
      <c r="K1482" s="202">
        <f t="shared" si="23"/>
        <v>760410</v>
      </c>
      <c r="L1482" s="202">
        <v>149.1</v>
      </c>
      <c r="N1482" s="202">
        <v>349040</v>
      </c>
      <c r="S1482" s="204"/>
      <c r="W1482" s="198" t="s">
        <v>51</v>
      </c>
      <c r="AE1482" s="198" t="s">
        <v>831</v>
      </c>
    </row>
    <row r="1483" spans="3:31" x14ac:dyDescent="0.25">
      <c r="C1483" s="201"/>
      <c r="E1483" s="201"/>
      <c r="F1483" s="201"/>
      <c r="I1483" s="198" t="s">
        <v>215</v>
      </c>
      <c r="J1483" s="198" t="s">
        <v>89</v>
      </c>
      <c r="K1483" s="202">
        <f t="shared" si="23"/>
        <v>760920</v>
      </c>
      <c r="L1483" s="202">
        <v>149.19999999999999</v>
      </c>
      <c r="N1483" s="202">
        <v>-354290</v>
      </c>
      <c r="S1483" s="204"/>
      <c r="W1483" s="198" t="s">
        <v>51</v>
      </c>
      <c r="AE1483" s="198" t="s">
        <v>831</v>
      </c>
    </row>
    <row r="1484" spans="3:31" x14ac:dyDescent="0.25">
      <c r="C1484" s="201"/>
      <c r="E1484" s="201"/>
      <c r="F1484" s="201"/>
      <c r="I1484" s="198" t="s">
        <v>204</v>
      </c>
      <c r="J1484" s="198" t="s">
        <v>169</v>
      </c>
      <c r="K1484" s="202">
        <f t="shared" si="23"/>
        <v>761430</v>
      </c>
      <c r="L1484" s="202">
        <v>149.30000000000001</v>
      </c>
      <c r="N1484" s="202">
        <v>-349040</v>
      </c>
      <c r="S1484" s="204"/>
      <c r="W1484" s="198" t="s">
        <v>51</v>
      </c>
      <c r="AE1484" s="198" t="s">
        <v>831</v>
      </c>
    </row>
    <row r="1485" spans="3:31" x14ac:dyDescent="0.25">
      <c r="C1485" s="201"/>
      <c r="E1485" s="201"/>
      <c r="F1485" s="201"/>
      <c r="I1485" s="198" t="s">
        <v>204</v>
      </c>
      <c r="J1485" s="198" t="s">
        <v>169</v>
      </c>
      <c r="K1485" s="202">
        <f t="shared" si="23"/>
        <v>761940</v>
      </c>
      <c r="L1485" s="202">
        <v>149.4</v>
      </c>
      <c r="N1485" s="202">
        <v>349040</v>
      </c>
      <c r="S1485" s="204"/>
      <c r="W1485" s="198" t="s">
        <v>51</v>
      </c>
      <c r="AE1485" s="198" t="s">
        <v>831</v>
      </c>
    </row>
    <row r="1486" spans="3:31" x14ac:dyDescent="0.25">
      <c r="C1486" s="201"/>
      <c r="E1486" s="201"/>
      <c r="F1486" s="201"/>
      <c r="I1486" s="198" t="s">
        <v>110</v>
      </c>
      <c r="J1486" s="198" t="s">
        <v>89</v>
      </c>
      <c r="K1486" s="202">
        <f t="shared" si="23"/>
        <v>762450</v>
      </c>
      <c r="L1486" s="202">
        <v>149.5</v>
      </c>
      <c r="N1486" s="202">
        <v>0.65</v>
      </c>
      <c r="S1486" s="203"/>
      <c r="W1486" s="198" t="s">
        <v>51</v>
      </c>
      <c r="AE1486" s="198" t="s">
        <v>54</v>
      </c>
    </row>
    <row r="1487" spans="3:31" x14ac:dyDescent="0.25">
      <c r="C1487" s="201"/>
      <c r="E1487" s="201"/>
      <c r="F1487" s="201"/>
      <c r="I1487" s="198" t="s">
        <v>1480</v>
      </c>
      <c r="J1487" s="198" t="s">
        <v>143</v>
      </c>
      <c r="K1487" s="202">
        <f t="shared" si="23"/>
        <v>762960</v>
      </c>
      <c r="L1487" s="202">
        <v>149.6</v>
      </c>
      <c r="N1487" s="202">
        <v>27235.87</v>
      </c>
      <c r="S1487" s="203"/>
      <c r="W1487" s="198" t="s">
        <v>51</v>
      </c>
      <c r="AE1487" s="198" t="s">
        <v>54</v>
      </c>
    </row>
    <row r="1488" spans="3:31" x14ac:dyDescent="0.25">
      <c r="C1488" s="201"/>
      <c r="E1488" s="201"/>
      <c r="F1488" s="201"/>
      <c r="I1488" s="198" t="s">
        <v>865</v>
      </c>
      <c r="J1488" s="198" t="s">
        <v>143</v>
      </c>
      <c r="K1488" s="202">
        <f t="shared" si="23"/>
        <v>763470</v>
      </c>
      <c r="L1488" s="202">
        <v>149.69999999999999</v>
      </c>
      <c r="N1488" s="202">
        <v>82047.850000000006</v>
      </c>
      <c r="S1488" s="203"/>
      <c r="W1488" s="198" t="s">
        <v>51</v>
      </c>
      <c r="AE1488" s="198" t="s">
        <v>54</v>
      </c>
    </row>
    <row r="1489" spans="3:31" x14ac:dyDescent="0.25">
      <c r="C1489" s="201"/>
      <c r="E1489" s="201"/>
      <c r="F1489" s="201"/>
      <c r="I1489" s="198" t="s">
        <v>872</v>
      </c>
      <c r="J1489" s="198" t="s">
        <v>134</v>
      </c>
      <c r="K1489" s="202">
        <f t="shared" si="23"/>
        <v>763980</v>
      </c>
      <c r="L1489" s="202">
        <v>149.80000000000001</v>
      </c>
      <c r="N1489" s="202">
        <v>-14374.2</v>
      </c>
      <c r="S1489" s="203"/>
      <c r="W1489" s="198" t="s">
        <v>51</v>
      </c>
      <c r="AE1489" s="198" t="s">
        <v>54</v>
      </c>
    </row>
    <row r="1490" spans="3:31" x14ac:dyDescent="0.25">
      <c r="C1490" s="201"/>
      <c r="E1490" s="201"/>
      <c r="F1490" s="201"/>
      <c r="I1490" s="198" t="s">
        <v>872</v>
      </c>
      <c r="J1490" s="198" t="s">
        <v>134</v>
      </c>
      <c r="K1490" s="202">
        <f t="shared" si="23"/>
        <v>764490</v>
      </c>
      <c r="L1490" s="202">
        <v>149.9</v>
      </c>
      <c r="N1490" s="202">
        <v>209066</v>
      </c>
      <c r="S1490" s="203"/>
      <c r="W1490" s="198" t="s">
        <v>51</v>
      </c>
      <c r="AE1490" s="198" t="s">
        <v>54</v>
      </c>
    </row>
    <row r="1491" spans="3:31" x14ac:dyDescent="0.25">
      <c r="C1491" s="201"/>
      <c r="E1491" s="201"/>
      <c r="F1491" s="201"/>
      <c r="I1491" s="198" t="s">
        <v>871</v>
      </c>
      <c r="J1491" s="198" t="s">
        <v>130</v>
      </c>
      <c r="K1491" s="202">
        <f t="shared" si="23"/>
        <v>765000</v>
      </c>
      <c r="L1491" s="202">
        <v>150</v>
      </c>
      <c r="N1491" s="202">
        <v>16632471</v>
      </c>
      <c r="S1491" s="203"/>
      <c r="W1491" s="198" t="s">
        <v>51</v>
      </c>
      <c r="AE1491" s="198" t="s">
        <v>54</v>
      </c>
    </row>
    <row r="1492" spans="3:31" x14ac:dyDescent="0.25">
      <c r="C1492" s="201"/>
      <c r="E1492" s="201"/>
      <c r="F1492" s="201"/>
      <c r="I1492" s="198" t="s">
        <v>840</v>
      </c>
      <c r="J1492" s="198" t="s">
        <v>126</v>
      </c>
      <c r="K1492" s="202">
        <f t="shared" si="23"/>
        <v>765510</v>
      </c>
      <c r="L1492" s="202">
        <v>150.1</v>
      </c>
      <c r="N1492" s="202">
        <v>3178973</v>
      </c>
      <c r="S1492" s="203"/>
      <c r="W1492" s="198" t="s">
        <v>51</v>
      </c>
      <c r="AE1492" s="198" t="s">
        <v>54</v>
      </c>
    </row>
    <row r="1493" spans="3:31" x14ac:dyDescent="0.25">
      <c r="C1493" s="201"/>
      <c r="E1493" s="201"/>
      <c r="F1493" s="201"/>
      <c r="I1493" s="198" t="s">
        <v>871</v>
      </c>
      <c r="J1493" s="198" t="s">
        <v>130</v>
      </c>
      <c r="K1493" s="202">
        <f t="shared" si="23"/>
        <v>766020</v>
      </c>
      <c r="L1493" s="202">
        <v>150.19999999999999</v>
      </c>
      <c r="N1493" s="202">
        <v>1793647.92</v>
      </c>
      <c r="S1493" s="203"/>
      <c r="W1493" s="198" t="s">
        <v>51</v>
      </c>
      <c r="AE1493" s="198" t="s">
        <v>54</v>
      </c>
    </row>
    <row r="1494" spans="3:31" x14ac:dyDescent="0.25">
      <c r="C1494" s="201"/>
      <c r="E1494" s="201"/>
      <c r="F1494" s="201"/>
      <c r="I1494" s="198" t="s">
        <v>867</v>
      </c>
      <c r="J1494" s="198" t="s">
        <v>132</v>
      </c>
      <c r="K1494" s="202">
        <f t="shared" si="23"/>
        <v>766530</v>
      </c>
      <c r="L1494" s="202">
        <v>150.30000000000001</v>
      </c>
      <c r="N1494" s="202">
        <v>165338.51999999999</v>
      </c>
      <c r="S1494" s="203"/>
      <c r="W1494" s="198" t="s">
        <v>51</v>
      </c>
      <c r="AE1494" s="198" t="s">
        <v>54</v>
      </c>
    </row>
    <row r="1495" spans="3:31" x14ac:dyDescent="0.25">
      <c r="C1495" s="201"/>
      <c r="E1495" s="201"/>
      <c r="F1495" s="201"/>
      <c r="I1495" s="198" t="s">
        <v>873</v>
      </c>
      <c r="J1495" s="198" t="s">
        <v>126</v>
      </c>
      <c r="K1495" s="202">
        <f t="shared" si="23"/>
        <v>767040</v>
      </c>
      <c r="L1495" s="202">
        <v>150.4</v>
      </c>
      <c r="N1495" s="202">
        <v>8327182.2400000002</v>
      </c>
      <c r="S1495" s="203"/>
      <c r="W1495" s="198" t="s">
        <v>51</v>
      </c>
      <c r="AE1495" s="198" t="s">
        <v>54</v>
      </c>
    </row>
    <row r="1496" spans="3:31" x14ac:dyDescent="0.25">
      <c r="C1496" s="201"/>
      <c r="E1496" s="201"/>
      <c r="F1496" s="201"/>
      <c r="I1496" s="198" t="s">
        <v>199</v>
      </c>
      <c r="J1496" s="198" t="s">
        <v>167</v>
      </c>
      <c r="K1496" s="202">
        <f t="shared" si="23"/>
        <v>767550</v>
      </c>
      <c r="L1496" s="202">
        <v>150.5</v>
      </c>
      <c r="N1496" s="202">
        <v>354290</v>
      </c>
      <c r="S1496" s="204"/>
      <c r="W1496" s="198" t="s">
        <v>51</v>
      </c>
      <c r="AE1496" s="198" t="s">
        <v>831</v>
      </c>
    </row>
    <row r="1497" spans="3:31" x14ac:dyDescent="0.25">
      <c r="C1497" s="201"/>
      <c r="E1497" s="201"/>
      <c r="F1497" s="201"/>
      <c r="I1497" s="198" t="s">
        <v>199</v>
      </c>
      <c r="J1497" s="198" t="s">
        <v>167</v>
      </c>
      <c r="K1497" s="202">
        <f t="shared" si="23"/>
        <v>768060</v>
      </c>
      <c r="L1497" s="202">
        <v>150.6</v>
      </c>
      <c r="N1497" s="202">
        <v>354290</v>
      </c>
      <c r="S1497" s="204"/>
      <c r="W1497" s="198" t="s">
        <v>51</v>
      </c>
      <c r="AE1497" s="198" t="s">
        <v>831</v>
      </c>
    </row>
    <row r="1498" spans="3:31" x14ac:dyDescent="0.25">
      <c r="C1498" s="201"/>
      <c r="E1498" s="201"/>
      <c r="F1498" s="201"/>
      <c r="I1498" s="198" t="s">
        <v>362</v>
      </c>
      <c r="J1498" s="198" t="s">
        <v>132</v>
      </c>
      <c r="K1498" s="202">
        <f t="shared" si="23"/>
        <v>768570</v>
      </c>
      <c r="L1498" s="202">
        <v>150.69999999999999</v>
      </c>
      <c r="N1498" s="202">
        <v>16535647</v>
      </c>
      <c r="S1498" s="204"/>
      <c r="W1498" s="198" t="s">
        <v>51</v>
      </c>
      <c r="AE1498" s="198" t="s">
        <v>833</v>
      </c>
    </row>
    <row r="1499" spans="3:31" x14ac:dyDescent="0.25">
      <c r="C1499" s="201"/>
      <c r="E1499" s="201"/>
      <c r="F1499" s="201"/>
      <c r="I1499" s="198" t="s">
        <v>199</v>
      </c>
      <c r="J1499" s="198" t="s">
        <v>167</v>
      </c>
      <c r="K1499" s="202">
        <f t="shared" si="23"/>
        <v>769080</v>
      </c>
      <c r="L1499" s="202">
        <v>150.80000000000001</v>
      </c>
      <c r="N1499" s="202">
        <v>354290</v>
      </c>
      <c r="S1499" s="204"/>
      <c r="W1499" s="198" t="s">
        <v>51</v>
      </c>
      <c r="AE1499" s="198" t="s">
        <v>831</v>
      </c>
    </row>
    <row r="1500" spans="3:31" x14ac:dyDescent="0.25">
      <c r="C1500" s="201"/>
      <c r="E1500" s="201"/>
      <c r="F1500" s="201"/>
      <c r="I1500" s="198" t="s">
        <v>362</v>
      </c>
      <c r="J1500" s="198" t="s">
        <v>132</v>
      </c>
      <c r="K1500" s="202">
        <f t="shared" si="23"/>
        <v>769590</v>
      </c>
      <c r="L1500" s="202">
        <v>150.9</v>
      </c>
      <c r="N1500" s="202">
        <v>16535647</v>
      </c>
      <c r="S1500" s="204"/>
      <c r="W1500" s="198" t="s">
        <v>51</v>
      </c>
      <c r="AE1500" s="198" t="s">
        <v>833</v>
      </c>
    </row>
    <row r="1501" spans="3:31" x14ac:dyDescent="0.25">
      <c r="C1501" s="201"/>
      <c r="E1501" s="201"/>
      <c r="F1501" s="201"/>
      <c r="I1501" s="198" t="s">
        <v>199</v>
      </c>
      <c r="J1501" s="198" t="s">
        <v>167</v>
      </c>
      <c r="K1501" s="202">
        <f t="shared" si="23"/>
        <v>770100</v>
      </c>
      <c r="L1501" s="202">
        <v>151</v>
      </c>
      <c r="N1501" s="202">
        <v>354290</v>
      </c>
      <c r="S1501" s="204"/>
      <c r="W1501" s="198" t="s">
        <v>51</v>
      </c>
      <c r="AE1501" s="198" t="s">
        <v>831</v>
      </c>
    </row>
    <row r="1502" spans="3:31" x14ac:dyDescent="0.25">
      <c r="C1502" s="201"/>
      <c r="E1502" s="201"/>
      <c r="F1502" s="201"/>
      <c r="I1502" s="198" t="s">
        <v>362</v>
      </c>
      <c r="J1502" s="198" t="s">
        <v>132</v>
      </c>
      <c r="K1502" s="202">
        <f t="shared" si="23"/>
        <v>770610</v>
      </c>
      <c r="L1502" s="202">
        <v>151.1</v>
      </c>
      <c r="N1502" s="202">
        <v>16535647</v>
      </c>
      <c r="S1502" s="204"/>
      <c r="W1502" s="198" t="s">
        <v>51</v>
      </c>
      <c r="AE1502" s="198" t="s">
        <v>833</v>
      </c>
    </row>
    <row r="1503" spans="3:31" x14ac:dyDescent="0.25">
      <c r="C1503" s="201"/>
      <c r="E1503" s="201"/>
      <c r="F1503" s="201"/>
      <c r="I1503" s="198" t="s">
        <v>199</v>
      </c>
      <c r="J1503" s="198" t="s">
        <v>167</v>
      </c>
      <c r="K1503" s="202">
        <f t="shared" si="23"/>
        <v>771120</v>
      </c>
      <c r="L1503" s="202">
        <v>151.19999999999999</v>
      </c>
      <c r="N1503" s="202">
        <v>354290</v>
      </c>
      <c r="S1503" s="204"/>
      <c r="W1503" s="198" t="s">
        <v>51</v>
      </c>
      <c r="AE1503" s="198" t="s">
        <v>831</v>
      </c>
    </row>
    <row r="1504" spans="3:31" x14ac:dyDescent="0.25">
      <c r="C1504" s="201"/>
      <c r="E1504" s="201"/>
      <c r="F1504" s="201"/>
      <c r="I1504" s="198" t="s">
        <v>362</v>
      </c>
      <c r="J1504" s="198" t="s">
        <v>132</v>
      </c>
      <c r="K1504" s="202">
        <f t="shared" si="23"/>
        <v>771630</v>
      </c>
      <c r="L1504" s="202">
        <v>151.30000000000001</v>
      </c>
      <c r="N1504" s="202">
        <v>16535647</v>
      </c>
      <c r="S1504" s="204"/>
      <c r="W1504" s="198" t="s">
        <v>51</v>
      </c>
      <c r="AE1504" s="198" t="s">
        <v>833</v>
      </c>
    </row>
    <row r="1505" spans="3:31" x14ac:dyDescent="0.25">
      <c r="C1505" s="201"/>
      <c r="E1505" s="201"/>
      <c r="F1505" s="201"/>
      <c r="I1505" s="198" t="s">
        <v>199</v>
      </c>
      <c r="J1505" s="198" t="s">
        <v>167</v>
      </c>
      <c r="K1505" s="202">
        <f t="shared" si="23"/>
        <v>772140</v>
      </c>
      <c r="L1505" s="202">
        <v>151.4</v>
      </c>
      <c r="N1505" s="202">
        <v>354290</v>
      </c>
      <c r="S1505" s="204"/>
      <c r="W1505" s="198" t="s">
        <v>51</v>
      </c>
      <c r="AE1505" s="198" t="s">
        <v>831</v>
      </c>
    </row>
    <row r="1506" spans="3:31" x14ac:dyDescent="0.25">
      <c r="C1506" s="201"/>
      <c r="E1506" s="201"/>
      <c r="F1506" s="201"/>
      <c r="I1506" s="198" t="s">
        <v>362</v>
      </c>
      <c r="J1506" s="198" t="s">
        <v>132</v>
      </c>
      <c r="K1506" s="202">
        <f t="shared" si="23"/>
        <v>772650</v>
      </c>
      <c r="L1506" s="202">
        <v>151.5</v>
      </c>
      <c r="N1506" s="202">
        <v>16535647</v>
      </c>
      <c r="S1506" s="204"/>
      <c r="W1506" s="198" t="s">
        <v>51</v>
      </c>
      <c r="AE1506" s="198" t="s">
        <v>833</v>
      </c>
    </row>
    <row r="1507" spans="3:31" x14ac:dyDescent="0.25">
      <c r="C1507" s="201"/>
      <c r="E1507" s="201"/>
      <c r="F1507" s="201"/>
      <c r="I1507" s="198" t="s">
        <v>199</v>
      </c>
      <c r="J1507" s="198" t="s">
        <v>167</v>
      </c>
      <c r="K1507" s="202">
        <f t="shared" si="23"/>
        <v>773160</v>
      </c>
      <c r="L1507" s="202">
        <v>151.6</v>
      </c>
      <c r="N1507" s="202">
        <v>354290</v>
      </c>
      <c r="S1507" s="204"/>
      <c r="W1507" s="198" t="s">
        <v>51</v>
      </c>
      <c r="AE1507" s="198" t="s">
        <v>831</v>
      </c>
    </row>
    <row r="1508" spans="3:31" x14ac:dyDescent="0.25">
      <c r="C1508" s="201"/>
      <c r="E1508" s="201"/>
      <c r="F1508" s="201"/>
      <c r="I1508" s="198" t="s">
        <v>362</v>
      </c>
      <c r="J1508" s="198" t="s">
        <v>132</v>
      </c>
      <c r="K1508" s="202">
        <f t="shared" si="23"/>
        <v>773670</v>
      </c>
      <c r="L1508" s="202">
        <v>151.69999999999999</v>
      </c>
      <c r="N1508" s="202">
        <v>16535647</v>
      </c>
      <c r="S1508" s="204"/>
      <c r="W1508" s="198" t="s">
        <v>51</v>
      </c>
      <c r="AE1508" s="198" t="s">
        <v>833</v>
      </c>
    </row>
    <row r="1509" spans="3:31" x14ac:dyDescent="0.25">
      <c r="C1509" s="201"/>
      <c r="E1509" s="201"/>
      <c r="F1509" s="201"/>
      <c r="I1509" s="198" t="s">
        <v>199</v>
      </c>
      <c r="J1509" s="198" t="s">
        <v>167</v>
      </c>
      <c r="K1509" s="202">
        <f t="shared" si="23"/>
        <v>774180</v>
      </c>
      <c r="L1509" s="202">
        <v>151.80000000000001</v>
      </c>
      <c r="N1509" s="202">
        <v>354290</v>
      </c>
      <c r="S1509" s="204"/>
      <c r="W1509" s="198" t="s">
        <v>51</v>
      </c>
      <c r="AE1509" s="198" t="s">
        <v>831</v>
      </c>
    </row>
    <row r="1510" spans="3:31" x14ac:dyDescent="0.25">
      <c r="C1510" s="201"/>
      <c r="E1510" s="201"/>
      <c r="F1510" s="201"/>
      <c r="I1510" s="198" t="s">
        <v>362</v>
      </c>
      <c r="J1510" s="198" t="s">
        <v>132</v>
      </c>
      <c r="K1510" s="202">
        <f t="shared" si="23"/>
        <v>774690</v>
      </c>
      <c r="L1510" s="202">
        <v>151.9</v>
      </c>
      <c r="N1510" s="202">
        <v>16535647</v>
      </c>
      <c r="S1510" s="204"/>
      <c r="W1510" s="198" t="s">
        <v>51</v>
      </c>
      <c r="AE1510" s="198" t="s">
        <v>833</v>
      </c>
    </row>
    <row r="1511" spans="3:31" x14ac:dyDescent="0.25">
      <c r="C1511" s="201"/>
      <c r="E1511" s="201"/>
      <c r="F1511" s="201"/>
      <c r="I1511" s="198" t="s">
        <v>362</v>
      </c>
      <c r="J1511" s="198" t="s">
        <v>132</v>
      </c>
      <c r="K1511" s="202">
        <f t="shared" si="23"/>
        <v>775200</v>
      </c>
      <c r="L1511" s="202">
        <v>152</v>
      </c>
      <c r="N1511" s="202">
        <v>16535647</v>
      </c>
      <c r="S1511" s="204"/>
      <c r="W1511" s="198" t="s">
        <v>51</v>
      </c>
      <c r="AE1511" s="198" t="s">
        <v>833</v>
      </c>
    </row>
    <row r="1512" spans="3:31" x14ac:dyDescent="0.25">
      <c r="C1512" s="201"/>
      <c r="E1512" s="201"/>
      <c r="F1512" s="201"/>
      <c r="I1512" s="198" t="s">
        <v>836</v>
      </c>
      <c r="J1512" s="198" t="s">
        <v>126</v>
      </c>
      <c r="K1512" s="202">
        <f t="shared" si="23"/>
        <v>775710</v>
      </c>
      <c r="L1512" s="202">
        <v>152.1</v>
      </c>
      <c r="N1512" s="202">
        <v>-1140284.7</v>
      </c>
      <c r="S1512" s="204"/>
      <c r="W1512" s="198" t="s">
        <v>51</v>
      </c>
      <c r="AE1512" s="198" t="s">
        <v>835</v>
      </c>
    </row>
    <row r="1513" spans="3:31" x14ac:dyDescent="0.25">
      <c r="C1513" s="201"/>
      <c r="E1513" s="201"/>
      <c r="F1513" s="201"/>
      <c r="I1513" s="198" t="s">
        <v>836</v>
      </c>
      <c r="J1513" s="198" t="s">
        <v>126</v>
      </c>
      <c r="K1513" s="202">
        <f t="shared" si="23"/>
        <v>776220</v>
      </c>
      <c r="L1513" s="202">
        <v>152.19999999999999</v>
      </c>
      <c r="N1513" s="202">
        <v>1140284.7</v>
      </c>
      <c r="S1513" s="204"/>
      <c r="W1513" s="198" t="s">
        <v>51</v>
      </c>
      <c r="AE1513" s="198" t="s">
        <v>835</v>
      </c>
    </row>
    <row r="1514" spans="3:31" x14ac:dyDescent="0.25">
      <c r="C1514" s="201"/>
      <c r="E1514" s="201"/>
      <c r="F1514" s="201"/>
      <c r="I1514" s="198" t="s">
        <v>1480</v>
      </c>
      <c r="J1514" s="198" t="s">
        <v>143</v>
      </c>
      <c r="K1514" s="202">
        <f t="shared" si="23"/>
        <v>776730</v>
      </c>
      <c r="L1514" s="202">
        <v>152.30000000000001</v>
      </c>
      <c r="N1514" s="202">
        <v>3453</v>
      </c>
      <c r="S1514" s="203"/>
      <c r="W1514" s="198" t="s">
        <v>51</v>
      </c>
      <c r="AE1514" s="198" t="s">
        <v>54</v>
      </c>
    </row>
    <row r="1515" spans="3:31" x14ac:dyDescent="0.25">
      <c r="C1515" s="201"/>
      <c r="E1515" s="201"/>
      <c r="F1515" s="201"/>
      <c r="I1515" s="198" t="s">
        <v>1480</v>
      </c>
      <c r="J1515" s="198" t="s">
        <v>143</v>
      </c>
      <c r="K1515" s="202">
        <f t="shared" si="23"/>
        <v>777240</v>
      </c>
      <c r="L1515" s="202">
        <v>152.4</v>
      </c>
      <c r="N1515" s="202">
        <v>18740</v>
      </c>
      <c r="S1515" s="203"/>
      <c r="W1515" s="198" t="s">
        <v>51</v>
      </c>
      <c r="AE1515" s="198" t="s">
        <v>54</v>
      </c>
    </row>
    <row r="1516" spans="3:31" x14ac:dyDescent="0.25">
      <c r="C1516" s="201"/>
      <c r="E1516" s="201"/>
      <c r="F1516" s="201"/>
      <c r="I1516" s="198" t="s">
        <v>836</v>
      </c>
      <c r="J1516" s="198" t="s">
        <v>126</v>
      </c>
      <c r="K1516" s="202">
        <f t="shared" si="23"/>
        <v>777750</v>
      </c>
      <c r="L1516" s="202">
        <v>152.5</v>
      </c>
      <c r="N1516" s="202">
        <v>-504407.3</v>
      </c>
      <c r="S1516" s="204"/>
      <c r="W1516" s="198" t="s">
        <v>51</v>
      </c>
      <c r="AE1516" s="198" t="s">
        <v>835</v>
      </c>
    </row>
    <row r="1517" spans="3:31" x14ac:dyDescent="0.25">
      <c r="C1517" s="201"/>
      <c r="E1517" s="201"/>
      <c r="F1517" s="201"/>
      <c r="I1517" s="198" t="s">
        <v>836</v>
      </c>
      <c r="J1517" s="198" t="s">
        <v>126</v>
      </c>
      <c r="K1517" s="202">
        <f t="shared" si="23"/>
        <v>778260</v>
      </c>
      <c r="L1517" s="202">
        <v>152.6</v>
      </c>
      <c r="N1517" s="202">
        <v>-14312700.029999999</v>
      </c>
      <c r="S1517" s="204"/>
      <c r="W1517" s="198" t="s">
        <v>51</v>
      </c>
      <c r="AE1517" s="198" t="s">
        <v>835</v>
      </c>
    </row>
    <row r="1518" spans="3:31" x14ac:dyDescent="0.25">
      <c r="C1518" s="201"/>
      <c r="E1518" s="201"/>
      <c r="F1518" s="201"/>
      <c r="I1518" s="198" t="s">
        <v>836</v>
      </c>
      <c r="J1518" s="198" t="s">
        <v>126</v>
      </c>
      <c r="K1518" s="202">
        <f t="shared" si="23"/>
        <v>778770</v>
      </c>
      <c r="L1518" s="202">
        <v>152.69999999999999</v>
      </c>
      <c r="N1518" s="202">
        <v>-1302161.5</v>
      </c>
      <c r="S1518" s="204"/>
      <c r="W1518" s="198" t="s">
        <v>51</v>
      </c>
      <c r="AE1518" s="198" t="s">
        <v>835</v>
      </c>
    </row>
    <row r="1519" spans="3:31" x14ac:dyDescent="0.25">
      <c r="C1519" s="201"/>
      <c r="E1519" s="201"/>
      <c r="F1519" s="201"/>
      <c r="I1519" s="198" t="s">
        <v>836</v>
      </c>
      <c r="J1519" s="198" t="s">
        <v>126</v>
      </c>
      <c r="K1519" s="202">
        <f t="shared" si="23"/>
        <v>779280</v>
      </c>
      <c r="L1519" s="202">
        <v>152.80000000000001</v>
      </c>
      <c r="N1519" s="202">
        <v>-1157976</v>
      </c>
      <c r="S1519" s="204"/>
      <c r="W1519" s="198" t="s">
        <v>51</v>
      </c>
      <c r="AE1519" s="198" t="s">
        <v>835</v>
      </c>
    </row>
    <row r="1520" spans="3:31" x14ac:dyDescent="0.25">
      <c r="C1520" s="201"/>
      <c r="E1520" s="201"/>
      <c r="F1520" s="201"/>
      <c r="I1520" s="198" t="s">
        <v>836</v>
      </c>
      <c r="J1520" s="198" t="s">
        <v>126</v>
      </c>
      <c r="K1520" s="202">
        <f t="shared" si="23"/>
        <v>779790</v>
      </c>
      <c r="L1520" s="202">
        <v>152.9</v>
      </c>
      <c r="N1520" s="202">
        <v>-1349867.17</v>
      </c>
      <c r="S1520" s="204"/>
      <c r="W1520" s="198" t="s">
        <v>51</v>
      </c>
      <c r="AE1520" s="198" t="s">
        <v>835</v>
      </c>
    </row>
    <row r="1521" spans="3:31" x14ac:dyDescent="0.25">
      <c r="C1521" s="201"/>
      <c r="E1521" s="201"/>
      <c r="F1521" s="201"/>
      <c r="I1521" s="198" t="s">
        <v>836</v>
      </c>
      <c r="J1521" s="198" t="s">
        <v>126</v>
      </c>
      <c r="K1521" s="202">
        <f t="shared" si="23"/>
        <v>780300</v>
      </c>
      <c r="L1521" s="202">
        <v>153</v>
      </c>
      <c r="N1521" s="202">
        <v>14312700.029999999</v>
      </c>
      <c r="S1521" s="204"/>
      <c r="W1521" s="198" t="s">
        <v>51</v>
      </c>
      <c r="AE1521" s="198" t="s">
        <v>835</v>
      </c>
    </row>
    <row r="1522" spans="3:31" x14ac:dyDescent="0.25">
      <c r="C1522" s="201"/>
      <c r="E1522" s="201"/>
      <c r="F1522" s="201"/>
      <c r="I1522" s="198" t="s">
        <v>836</v>
      </c>
      <c r="J1522" s="198" t="s">
        <v>126</v>
      </c>
      <c r="K1522" s="202">
        <f t="shared" si="23"/>
        <v>780810</v>
      </c>
      <c r="L1522" s="202">
        <v>153.1</v>
      </c>
      <c r="N1522" s="202">
        <v>1302161.5</v>
      </c>
      <c r="S1522" s="204"/>
      <c r="W1522" s="198" t="s">
        <v>51</v>
      </c>
      <c r="AE1522" s="198" t="s">
        <v>835</v>
      </c>
    </row>
    <row r="1523" spans="3:31" x14ac:dyDescent="0.25">
      <c r="C1523" s="201"/>
      <c r="E1523" s="201"/>
      <c r="F1523" s="201"/>
      <c r="I1523" s="198" t="s">
        <v>836</v>
      </c>
      <c r="J1523" s="198" t="s">
        <v>126</v>
      </c>
      <c r="K1523" s="202">
        <f t="shared" si="23"/>
        <v>781320</v>
      </c>
      <c r="L1523" s="202">
        <v>153.19999999999999</v>
      </c>
      <c r="N1523" s="202">
        <v>1157976</v>
      </c>
      <c r="S1523" s="204"/>
      <c r="W1523" s="198" t="s">
        <v>51</v>
      </c>
      <c r="AE1523" s="198" t="s">
        <v>835</v>
      </c>
    </row>
    <row r="1524" spans="3:31" x14ac:dyDescent="0.25">
      <c r="C1524" s="201"/>
      <c r="E1524" s="201"/>
      <c r="F1524" s="201"/>
      <c r="I1524" s="198" t="s">
        <v>836</v>
      </c>
      <c r="J1524" s="198" t="s">
        <v>126</v>
      </c>
      <c r="K1524" s="202">
        <f t="shared" si="23"/>
        <v>781830</v>
      </c>
      <c r="L1524" s="202">
        <v>153.30000000000001</v>
      </c>
      <c r="N1524" s="202">
        <v>1349867.17</v>
      </c>
      <c r="S1524" s="204"/>
      <c r="W1524" s="198" t="s">
        <v>51</v>
      </c>
      <c r="AE1524" s="198" t="s">
        <v>835</v>
      </c>
    </row>
    <row r="1525" spans="3:31" x14ac:dyDescent="0.25">
      <c r="C1525" s="201"/>
      <c r="E1525" s="201"/>
      <c r="F1525" s="201"/>
      <c r="I1525" s="198" t="s">
        <v>836</v>
      </c>
      <c r="J1525" s="198" t="s">
        <v>126</v>
      </c>
      <c r="K1525" s="202">
        <f t="shared" si="23"/>
        <v>782340</v>
      </c>
      <c r="L1525" s="202">
        <v>153.4</v>
      </c>
      <c r="N1525" s="202">
        <v>14312700.029999999</v>
      </c>
      <c r="S1525" s="204"/>
      <c r="W1525" s="198" t="s">
        <v>51</v>
      </c>
      <c r="AE1525" s="198" t="s">
        <v>835</v>
      </c>
    </row>
    <row r="1526" spans="3:31" x14ac:dyDescent="0.25">
      <c r="C1526" s="201"/>
      <c r="E1526" s="201"/>
      <c r="F1526" s="201"/>
      <c r="I1526" s="198" t="s">
        <v>836</v>
      </c>
      <c r="J1526" s="198" t="s">
        <v>126</v>
      </c>
      <c r="K1526" s="202">
        <f t="shared" si="23"/>
        <v>782850</v>
      </c>
      <c r="L1526" s="202">
        <v>153.5</v>
      </c>
      <c r="N1526" s="202">
        <v>1302161.5</v>
      </c>
      <c r="S1526" s="204"/>
      <c r="W1526" s="198" t="s">
        <v>51</v>
      </c>
      <c r="AE1526" s="198" t="s">
        <v>835</v>
      </c>
    </row>
    <row r="1527" spans="3:31" x14ac:dyDescent="0.25">
      <c r="C1527" s="201"/>
      <c r="E1527" s="201"/>
      <c r="F1527" s="201"/>
      <c r="I1527" s="198" t="s">
        <v>836</v>
      </c>
      <c r="J1527" s="198" t="s">
        <v>126</v>
      </c>
      <c r="K1527" s="202">
        <f t="shared" si="23"/>
        <v>783360</v>
      </c>
      <c r="L1527" s="202">
        <v>153.6</v>
      </c>
      <c r="N1527" s="202">
        <v>1157976</v>
      </c>
      <c r="S1527" s="204"/>
      <c r="W1527" s="198" t="s">
        <v>51</v>
      </c>
      <c r="AE1527" s="198" t="s">
        <v>835</v>
      </c>
    </row>
    <row r="1528" spans="3:31" x14ac:dyDescent="0.25">
      <c r="C1528" s="201"/>
      <c r="E1528" s="201"/>
      <c r="F1528" s="201"/>
      <c r="I1528" s="198" t="s">
        <v>836</v>
      </c>
      <c r="J1528" s="198" t="s">
        <v>126</v>
      </c>
      <c r="K1528" s="202">
        <f t="shared" si="23"/>
        <v>783870</v>
      </c>
      <c r="L1528" s="202">
        <v>153.69999999999999</v>
      </c>
      <c r="N1528" s="202">
        <v>-14312700.029999999</v>
      </c>
      <c r="S1528" s="204"/>
      <c r="W1528" s="198" t="s">
        <v>51</v>
      </c>
      <c r="AE1528" s="198" t="s">
        <v>835</v>
      </c>
    </row>
    <row r="1529" spans="3:31" x14ac:dyDescent="0.25">
      <c r="C1529" s="201"/>
      <c r="E1529" s="201"/>
      <c r="F1529" s="201"/>
      <c r="I1529" s="198" t="s">
        <v>836</v>
      </c>
      <c r="J1529" s="198" t="s">
        <v>126</v>
      </c>
      <c r="K1529" s="202">
        <f t="shared" si="23"/>
        <v>784380</v>
      </c>
      <c r="L1529" s="202">
        <v>153.80000000000001</v>
      </c>
      <c r="N1529" s="202">
        <v>-1302161.5</v>
      </c>
      <c r="S1529" s="204"/>
      <c r="W1529" s="198" t="s">
        <v>51</v>
      </c>
      <c r="AE1529" s="198" t="s">
        <v>835</v>
      </c>
    </row>
    <row r="1530" spans="3:31" x14ac:dyDescent="0.25">
      <c r="C1530" s="201"/>
      <c r="E1530" s="201"/>
      <c r="F1530" s="201"/>
      <c r="I1530" s="198" t="s">
        <v>836</v>
      </c>
      <c r="J1530" s="198" t="s">
        <v>126</v>
      </c>
      <c r="K1530" s="202">
        <f t="shared" si="23"/>
        <v>784890</v>
      </c>
      <c r="L1530" s="202">
        <v>153.9</v>
      </c>
      <c r="N1530" s="202">
        <v>-1157976</v>
      </c>
      <c r="S1530" s="204"/>
      <c r="W1530" s="198" t="s">
        <v>51</v>
      </c>
      <c r="AE1530" s="198" t="s">
        <v>835</v>
      </c>
    </row>
    <row r="1531" spans="3:31" x14ac:dyDescent="0.25">
      <c r="C1531" s="201"/>
      <c r="E1531" s="201"/>
      <c r="F1531" s="201"/>
      <c r="I1531" s="198" t="s">
        <v>836</v>
      </c>
      <c r="J1531" s="198" t="s">
        <v>126</v>
      </c>
      <c r="K1531" s="202">
        <f t="shared" si="23"/>
        <v>785400</v>
      </c>
      <c r="L1531" s="202">
        <v>154</v>
      </c>
      <c r="N1531" s="202">
        <v>1349867.17</v>
      </c>
      <c r="S1531" s="204"/>
      <c r="W1531" s="198" t="s">
        <v>51</v>
      </c>
      <c r="AE1531" s="198" t="s">
        <v>835</v>
      </c>
    </row>
    <row r="1532" spans="3:31" x14ac:dyDescent="0.25">
      <c r="C1532" s="201"/>
      <c r="E1532" s="201"/>
      <c r="F1532" s="201"/>
      <c r="I1532" s="198" t="s">
        <v>836</v>
      </c>
      <c r="J1532" s="198" t="s">
        <v>126</v>
      </c>
      <c r="K1532" s="202">
        <f t="shared" si="23"/>
        <v>785910</v>
      </c>
      <c r="L1532" s="202">
        <v>154.1</v>
      </c>
      <c r="N1532" s="202">
        <v>-1349867.17</v>
      </c>
      <c r="S1532" s="204"/>
      <c r="W1532" s="198" t="s">
        <v>51</v>
      </c>
      <c r="AE1532" s="198" t="s">
        <v>835</v>
      </c>
    </row>
    <row r="1533" spans="3:31" x14ac:dyDescent="0.25">
      <c r="C1533" s="201"/>
      <c r="E1533" s="201"/>
      <c r="F1533" s="201"/>
      <c r="I1533" s="198" t="s">
        <v>204</v>
      </c>
      <c r="J1533" s="198" t="s">
        <v>169</v>
      </c>
      <c r="K1533" s="202">
        <f t="shared" si="23"/>
        <v>786420</v>
      </c>
      <c r="L1533" s="202">
        <v>154.19999999999999</v>
      </c>
      <c r="N1533" s="202">
        <v>349040</v>
      </c>
      <c r="S1533" s="204"/>
      <c r="W1533" s="198" t="s">
        <v>51</v>
      </c>
      <c r="AE1533" s="198" t="s">
        <v>831</v>
      </c>
    </row>
    <row r="1534" spans="3:31" x14ac:dyDescent="0.25">
      <c r="C1534" s="201"/>
      <c r="E1534" s="201"/>
      <c r="F1534" s="201"/>
      <c r="I1534" s="198" t="s">
        <v>583</v>
      </c>
      <c r="J1534" s="198" t="s">
        <v>134</v>
      </c>
      <c r="K1534" s="202">
        <f t="shared" si="23"/>
        <v>786930</v>
      </c>
      <c r="L1534" s="202">
        <v>154.30000000000001</v>
      </c>
      <c r="N1534" s="202">
        <v>4813650</v>
      </c>
      <c r="S1534" s="204"/>
      <c r="W1534" s="198" t="s">
        <v>51</v>
      </c>
      <c r="AE1534" s="198" t="s">
        <v>846</v>
      </c>
    </row>
    <row r="1535" spans="3:31" x14ac:dyDescent="0.25">
      <c r="C1535" s="201"/>
      <c r="E1535" s="201"/>
      <c r="F1535" s="201"/>
      <c r="I1535" s="198" t="s">
        <v>583</v>
      </c>
      <c r="J1535" s="198" t="s">
        <v>134</v>
      </c>
      <c r="K1535" s="202">
        <f t="shared" si="23"/>
        <v>787440</v>
      </c>
      <c r="L1535" s="202">
        <v>154.4</v>
      </c>
      <c r="N1535" s="202">
        <v>4827900</v>
      </c>
      <c r="S1535" s="204"/>
      <c r="W1535" s="198" t="s">
        <v>51</v>
      </c>
      <c r="AE1535" s="198" t="s">
        <v>846</v>
      </c>
    </row>
    <row r="1536" spans="3:31" x14ac:dyDescent="0.25">
      <c r="C1536" s="201"/>
      <c r="E1536" s="201"/>
      <c r="F1536" s="201"/>
      <c r="I1536" s="198" t="s">
        <v>583</v>
      </c>
      <c r="J1536" s="198" t="s">
        <v>134</v>
      </c>
      <c r="K1536" s="202">
        <f t="shared" si="23"/>
        <v>787950</v>
      </c>
      <c r="L1536" s="202">
        <v>154.5</v>
      </c>
      <c r="N1536" s="202">
        <v>4798450</v>
      </c>
      <c r="S1536" s="204"/>
      <c r="W1536" s="198" t="s">
        <v>51</v>
      </c>
      <c r="AE1536" s="198" t="s">
        <v>846</v>
      </c>
    </row>
    <row r="1537" spans="3:31" x14ac:dyDescent="0.25">
      <c r="C1537" s="201"/>
      <c r="E1537" s="201"/>
      <c r="F1537" s="201"/>
      <c r="I1537" s="198" t="s">
        <v>583</v>
      </c>
      <c r="J1537" s="198" t="s">
        <v>134</v>
      </c>
      <c r="K1537" s="202">
        <f t="shared" si="23"/>
        <v>788460</v>
      </c>
      <c r="L1537" s="202">
        <v>154.6</v>
      </c>
      <c r="N1537" s="202">
        <v>5282950</v>
      </c>
      <c r="S1537" s="204"/>
      <c r="W1537" s="198" t="s">
        <v>51</v>
      </c>
      <c r="AE1537" s="198" t="s">
        <v>846</v>
      </c>
    </row>
    <row r="1538" spans="3:31" x14ac:dyDescent="0.25">
      <c r="C1538" s="201"/>
      <c r="E1538" s="201"/>
      <c r="F1538" s="201"/>
      <c r="I1538" s="198" t="s">
        <v>583</v>
      </c>
      <c r="J1538" s="198" t="s">
        <v>134</v>
      </c>
      <c r="K1538" s="202">
        <f t="shared" si="23"/>
        <v>788970</v>
      </c>
      <c r="L1538" s="202">
        <v>154.69999999999999</v>
      </c>
      <c r="N1538" s="202">
        <v>5291500</v>
      </c>
      <c r="S1538" s="204"/>
      <c r="W1538" s="198" t="s">
        <v>51</v>
      </c>
      <c r="AE1538" s="198" t="s">
        <v>846</v>
      </c>
    </row>
    <row r="1539" spans="3:31" x14ac:dyDescent="0.25">
      <c r="C1539" s="201"/>
      <c r="E1539" s="201"/>
      <c r="F1539" s="201"/>
      <c r="I1539" s="198" t="s">
        <v>583</v>
      </c>
      <c r="J1539" s="198" t="s">
        <v>134</v>
      </c>
      <c r="K1539" s="202">
        <f t="shared" ref="K1539:K1602" si="24">L1539*5100</f>
        <v>789480</v>
      </c>
      <c r="L1539" s="202">
        <v>154.80000000000001</v>
      </c>
      <c r="N1539" s="202">
        <v>5285325</v>
      </c>
      <c r="S1539" s="204"/>
      <c r="W1539" s="198" t="s">
        <v>51</v>
      </c>
      <c r="AE1539" s="198" t="s">
        <v>846</v>
      </c>
    </row>
    <row r="1540" spans="3:31" x14ac:dyDescent="0.25">
      <c r="C1540" s="201"/>
      <c r="E1540" s="201"/>
      <c r="F1540" s="201"/>
      <c r="I1540" s="198" t="s">
        <v>583</v>
      </c>
      <c r="J1540" s="198" t="s">
        <v>134</v>
      </c>
      <c r="K1540" s="202">
        <f t="shared" si="24"/>
        <v>789990</v>
      </c>
      <c r="L1540" s="202">
        <v>154.9</v>
      </c>
      <c r="N1540" s="202">
        <v>5260150</v>
      </c>
      <c r="S1540" s="204"/>
      <c r="W1540" s="198" t="s">
        <v>51</v>
      </c>
      <c r="AE1540" s="198" t="s">
        <v>846</v>
      </c>
    </row>
    <row r="1541" spans="3:31" x14ac:dyDescent="0.25">
      <c r="C1541" s="201"/>
      <c r="E1541" s="201"/>
      <c r="F1541" s="201"/>
      <c r="I1541" s="198" t="s">
        <v>199</v>
      </c>
      <c r="J1541" s="198" t="s">
        <v>167</v>
      </c>
      <c r="K1541" s="202">
        <f t="shared" si="24"/>
        <v>790500</v>
      </c>
      <c r="L1541" s="202">
        <v>155</v>
      </c>
      <c r="N1541" s="202">
        <v>354290</v>
      </c>
      <c r="S1541" s="204"/>
      <c r="W1541" s="198" t="s">
        <v>51</v>
      </c>
      <c r="AE1541" s="198" t="s">
        <v>831</v>
      </c>
    </row>
    <row r="1542" spans="3:31" x14ac:dyDescent="0.25">
      <c r="C1542" s="201"/>
      <c r="E1542" s="201"/>
      <c r="F1542" s="201"/>
      <c r="I1542" s="198" t="s">
        <v>199</v>
      </c>
      <c r="J1542" s="198" t="s">
        <v>167</v>
      </c>
      <c r="K1542" s="202">
        <f t="shared" si="24"/>
        <v>791010</v>
      </c>
      <c r="L1542" s="202">
        <v>155.1</v>
      </c>
      <c r="N1542" s="202">
        <v>354290</v>
      </c>
      <c r="S1542" s="204"/>
      <c r="W1542" s="198" t="s">
        <v>51</v>
      </c>
      <c r="AE1542" s="198" t="s">
        <v>831</v>
      </c>
    </row>
    <row r="1543" spans="3:31" x14ac:dyDescent="0.25">
      <c r="C1543" s="201"/>
      <c r="E1543" s="201"/>
      <c r="F1543" s="201"/>
      <c r="I1543" s="198" t="s">
        <v>199</v>
      </c>
      <c r="J1543" s="198" t="s">
        <v>167</v>
      </c>
      <c r="K1543" s="202">
        <f t="shared" si="24"/>
        <v>791520</v>
      </c>
      <c r="L1543" s="202">
        <v>155.19999999999999</v>
      </c>
      <c r="N1543" s="202">
        <v>354290</v>
      </c>
      <c r="S1543" s="204"/>
      <c r="W1543" s="198" t="s">
        <v>51</v>
      </c>
      <c r="AE1543" s="198" t="s">
        <v>831</v>
      </c>
    </row>
    <row r="1544" spans="3:31" x14ac:dyDescent="0.25">
      <c r="C1544" s="201"/>
      <c r="E1544" s="201"/>
      <c r="F1544" s="201"/>
      <c r="I1544" s="198" t="s">
        <v>131</v>
      </c>
      <c r="J1544" s="198" t="s">
        <v>132</v>
      </c>
      <c r="K1544" s="202">
        <f t="shared" si="24"/>
        <v>792030</v>
      </c>
      <c r="L1544" s="202">
        <v>155.30000000000001</v>
      </c>
      <c r="N1544" s="202">
        <v>2384938.08</v>
      </c>
      <c r="S1544" s="204"/>
      <c r="W1544" s="198" t="s">
        <v>51</v>
      </c>
      <c r="AE1544" s="198" t="s">
        <v>833</v>
      </c>
    </row>
    <row r="1545" spans="3:31" x14ac:dyDescent="0.25">
      <c r="C1545" s="201"/>
      <c r="E1545" s="201"/>
      <c r="F1545" s="201"/>
      <c r="I1545" s="198" t="s">
        <v>199</v>
      </c>
      <c r="J1545" s="198" t="s">
        <v>167</v>
      </c>
      <c r="K1545" s="202">
        <f t="shared" si="24"/>
        <v>792540</v>
      </c>
      <c r="L1545" s="202">
        <v>155.4</v>
      </c>
      <c r="N1545" s="202">
        <v>354290</v>
      </c>
      <c r="S1545" s="204"/>
      <c r="W1545" s="198" t="s">
        <v>51</v>
      </c>
      <c r="AE1545" s="198" t="s">
        <v>831</v>
      </c>
    </row>
    <row r="1546" spans="3:31" x14ac:dyDescent="0.25">
      <c r="C1546" s="201"/>
      <c r="E1546" s="201"/>
      <c r="F1546" s="201"/>
      <c r="I1546" s="198" t="s">
        <v>131</v>
      </c>
      <c r="J1546" s="198" t="s">
        <v>132</v>
      </c>
      <c r="K1546" s="202">
        <f t="shared" si="24"/>
        <v>793050</v>
      </c>
      <c r="L1546" s="202">
        <v>155.5</v>
      </c>
      <c r="N1546" s="202">
        <v>4371354</v>
      </c>
      <c r="S1546" s="204"/>
      <c r="W1546" s="198" t="s">
        <v>51</v>
      </c>
      <c r="AE1546" s="198" t="s">
        <v>833</v>
      </c>
    </row>
    <row r="1547" spans="3:31" x14ac:dyDescent="0.25">
      <c r="C1547" s="201"/>
      <c r="E1547" s="201"/>
      <c r="F1547" s="201"/>
      <c r="I1547" s="198" t="s">
        <v>122</v>
      </c>
      <c r="J1547" s="198" t="s">
        <v>126</v>
      </c>
      <c r="K1547" s="202">
        <f t="shared" si="24"/>
        <v>793560</v>
      </c>
      <c r="L1547" s="202">
        <v>155.6</v>
      </c>
      <c r="N1547" s="202">
        <v>34543.699999999997</v>
      </c>
      <c r="S1547" s="204"/>
      <c r="W1547" s="198" t="s">
        <v>51</v>
      </c>
      <c r="AE1547" s="198" t="s">
        <v>835</v>
      </c>
    </row>
    <row r="1548" spans="3:31" x14ac:dyDescent="0.25">
      <c r="C1548" s="201"/>
      <c r="E1548" s="201"/>
      <c r="F1548" s="201"/>
      <c r="I1548" s="198" t="s">
        <v>439</v>
      </c>
      <c r="J1548" s="198" t="s">
        <v>126</v>
      </c>
      <c r="K1548" s="202">
        <f t="shared" si="24"/>
        <v>794070</v>
      </c>
      <c r="L1548" s="202">
        <v>155.69999999999999</v>
      </c>
      <c r="N1548" s="202">
        <v>20229145.120000001</v>
      </c>
      <c r="S1548" s="204"/>
      <c r="W1548" s="198" t="s">
        <v>51</v>
      </c>
      <c r="AE1548" s="198" t="s">
        <v>835</v>
      </c>
    </row>
    <row r="1549" spans="3:31" x14ac:dyDescent="0.25">
      <c r="C1549" s="201"/>
      <c r="E1549" s="201"/>
      <c r="F1549" s="201"/>
      <c r="I1549" s="198" t="s">
        <v>439</v>
      </c>
      <c r="J1549" s="198" t="s">
        <v>126</v>
      </c>
      <c r="K1549" s="202">
        <f t="shared" si="24"/>
        <v>794580</v>
      </c>
      <c r="L1549" s="202">
        <v>155.80000000000001</v>
      </c>
      <c r="N1549" s="202">
        <v>-20229145.120000001</v>
      </c>
      <c r="S1549" s="204"/>
      <c r="W1549" s="198" t="s">
        <v>51</v>
      </c>
      <c r="AE1549" s="198" t="s">
        <v>835</v>
      </c>
    </row>
    <row r="1550" spans="3:31" x14ac:dyDescent="0.25">
      <c r="C1550" s="201"/>
      <c r="E1550" s="201"/>
      <c r="F1550" s="201"/>
      <c r="I1550" s="198" t="s">
        <v>430</v>
      </c>
      <c r="J1550" s="198" t="s">
        <v>130</v>
      </c>
      <c r="K1550" s="202">
        <f t="shared" si="24"/>
        <v>795090</v>
      </c>
      <c r="L1550" s="202">
        <v>155.9</v>
      </c>
      <c r="N1550" s="202">
        <v>3750000</v>
      </c>
      <c r="S1550" s="204"/>
      <c r="W1550" s="198" t="s">
        <v>51</v>
      </c>
      <c r="AE1550" s="198" t="s">
        <v>833</v>
      </c>
    </row>
    <row r="1551" spans="3:31" x14ac:dyDescent="0.25">
      <c r="C1551" s="201"/>
      <c r="E1551" s="201"/>
      <c r="F1551" s="201"/>
      <c r="I1551" s="198" t="s">
        <v>77</v>
      </c>
      <c r="J1551" s="198" t="s">
        <v>65</v>
      </c>
      <c r="K1551" s="202">
        <f t="shared" si="24"/>
        <v>795600</v>
      </c>
      <c r="L1551" s="202">
        <v>156</v>
      </c>
      <c r="N1551" s="202">
        <v>281611.40999999997</v>
      </c>
      <c r="S1551" s="203"/>
      <c r="W1551" s="198" t="s">
        <v>51</v>
      </c>
      <c r="AE1551" s="198" t="s">
        <v>831</v>
      </c>
    </row>
    <row r="1552" spans="3:31" x14ac:dyDescent="0.25">
      <c r="C1552" s="201"/>
      <c r="E1552" s="201"/>
      <c r="F1552" s="201"/>
      <c r="I1552" s="198" t="s">
        <v>77</v>
      </c>
      <c r="J1552" s="198" t="s">
        <v>65</v>
      </c>
      <c r="K1552" s="202">
        <f t="shared" si="24"/>
        <v>796110</v>
      </c>
      <c r="L1552" s="202">
        <v>156.1</v>
      </c>
      <c r="N1552" s="202">
        <v>717301.82</v>
      </c>
      <c r="S1552" s="203"/>
      <c r="W1552" s="198" t="s">
        <v>51</v>
      </c>
      <c r="AE1552" s="198" t="s">
        <v>831</v>
      </c>
    </row>
    <row r="1553" spans="3:31" x14ac:dyDescent="0.25">
      <c r="C1553" s="201"/>
      <c r="E1553" s="201"/>
      <c r="F1553" s="201"/>
      <c r="I1553" s="198" t="s">
        <v>430</v>
      </c>
      <c r="J1553" s="198" t="s">
        <v>130</v>
      </c>
      <c r="K1553" s="202">
        <f t="shared" si="24"/>
        <v>796620</v>
      </c>
      <c r="L1553" s="202">
        <v>156.19999999999999</v>
      </c>
      <c r="N1553" s="202">
        <v>36000</v>
      </c>
      <c r="S1553" s="204"/>
      <c r="W1553" s="198" t="s">
        <v>51</v>
      </c>
      <c r="AE1553" s="198" t="s">
        <v>833</v>
      </c>
    </row>
    <row r="1554" spans="3:31" x14ac:dyDescent="0.25">
      <c r="C1554" s="201"/>
      <c r="E1554" s="201"/>
      <c r="F1554" s="201"/>
      <c r="I1554" s="198" t="s">
        <v>430</v>
      </c>
      <c r="J1554" s="198" t="s">
        <v>130</v>
      </c>
      <c r="K1554" s="202">
        <f t="shared" si="24"/>
        <v>797130</v>
      </c>
      <c r="L1554" s="202">
        <v>156.30000000000001</v>
      </c>
      <c r="N1554" s="202">
        <v>143400</v>
      </c>
      <c r="S1554" s="204"/>
      <c r="W1554" s="198" t="s">
        <v>51</v>
      </c>
      <c r="AE1554" s="198" t="s">
        <v>833</v>
      </c>
    </row>
    <row r="1555" spans="3:31" x14ac:dyDescent="0.25">
      <c r="C1555" s="201"/>
      <c r="E1555" s="201"/>
      <c r="F1555" s="201"/>
      <c r="I1555" s="198" t="s">
        <v>430</v>
      </c>
      <c r="J1555" s="198" t="s">
        <v>130</v>
      </c>
      <c r="K1555" s="202">
        <f t="shared" si="24"/>
        <v>797640</v>
      </c>
      <c r="L1555" s="202">
        <v>156.4</v>
      </c>
      <c r="N1555" s="202">
        <v>28600</v>
      </c>
      <c r="S1555" s="204"/>
      <c r="W1555" s="198" t="s">
        <v>51</v>
      </c>
      <c r="AE1555" s="198" t="s">
        <v>833</v>
      </c>
    </row>
    <row r="1556" spans="3:31" x14ac:dyDescent="0.25">
      <c r="C1556" s="201"/>
      <c r="E1556" s="201"/>
      <c r="F1556" s="201"/>
      <c r="I1556" s="198" t="s">
        <v>430</v>
      </c>
      <c r="J1556" s="198" t="s">
        <v>130</v>
      </c>
      <c r="K1556" s="202">
        <f t="shared" si="24"/>
        <v>798150</v>
      </c>
      <c r="L1556" s="202">
        <v>156.5</v>
      </c>
      <c r="N1556" s="202">
        <v>79600</v>
      </c>
      <c r="S1556" s="204"/>
      <c r="W1556" s="198" t="s">
        <v>51</v>
      </c>
      <c r="AE1556" s="198" t="s">
        <v>833</v>
      </c>
    </row>
    <row r="1557" spans="3:31" x14ac:dyDescent="0.25">
      <c r="C1557" s="201"/>
      <c r="E1557" s="201"/>
      <c r="F1557" s="201"/>
      <c r="I1557" s="198" t="s">
        <v>430</v>
      </c>
      <c r="J1557" s="198" t="s">
        <v>130</v>
      </c>
      <c r="K1557" s="202">
        <f t="shared" si="24"/>
        <v>798660</v>
      </c>
      <c r="L1557" s="202">
        <v>156.6</v>
      </c>
      <c r="N1557" s="202">
        <v>67600</v>
      </c>
      <c r="S1557" s="204"/>
      <c r="W1557" s="198" t="s">
        <v>51</v>
      </c>
      <c r="AE1557" s="198" t="s">
        <v>833</v>
      </c>
    </row>
    <row r="1558" spans="3:31" x14ac:dyDescent="0.25">
      <c r="C1558" s="201"/>
      <c r="E1558" s="201"/>
      <c r="F1558" s="201"/>
      <c r="I1558" s="198" t="s">
        <v>430</v>
      </c>
      <c r="J1558" s="198" t="s">
        <v>130</v>
      </c>
      <c r="K1558" s="202">
        <f t="shared" si="24"/>
        <v>799170</v>
      </c>
      <c r="L1558" s="202">
        <v>156.69999999999999</v>
      </c>
      <c r="N1558" s="202">
        <v>28600</v>
      </c>
      <c r="S1558" s="204"/>
      <c r="W1558" s="198" t="s">
        <v>51</v>
      </c>
      <c r="AE1558" s="198" t="s">
        <v>833</v>
      </c>
    </row>
    <row r="1559" spans="3:31" x14ac:dyDescent="0.25">
      <c r="C1559" s="201"/>
      <c r="E1559" s="201"/>
      <c r="F1559" s="201"/>
      <c r="I1559" s="198" t="s">
        <v>430</v>
      </c>
      <c r="J1559" s="198" t="s">
        <v>130</v>
      </c>
      <c r="K1559" s="202">
        <f t="shared" si="24"/>
        <v>799680</v>
      </c>
      <c r="L1559" s="202">
        <v>156.80000000000001</v>
      </c>
      <c r="N1559" s="202">
        <v>21000</v>
      </c>
      <c r="S1559" s="204"/>
      <c r="W1559" s="198" t="s">
        <v>51</v>
      </c>
      <c r="AE1559" s="198" t="s">
        <v>833</v>
      </c>
    </row>
    <row r="1560" spans="3:31" x14ac:dyDescent="0.25">
      <c r="C1560" s="201"/>
      <c r="E1560" s="201"/>
      <c r="F1560" s="201"/>
      <c r="I1560" s="198" t="s">
        <v>430</v>
      </c>
      <c r="J1560" s="198" t="s">
        <v>130</v>
      </c>
      <c r="K1560" s="202">
        <f t="shared" si="24"/>
        <v>800190</v>
      </c>
      <c r="L1560" s="202">
        <v>156.9</v>
      </c>
      <c r="N1560" s="202">
        <v>105000</v>
      </c>
      <c r="S1560" s="204"/>
      <c r="W1560" s="198" t="s">
        <v>51</v>
      </c>
      <c r="AE1560" s="198" t="s">
        <v>833</v>
      </c>
    </row>
    <row r="1561" spans="3:31" x14ac:dyDescent="0.25">
      <c r="C1561" s="201"/>
      <c r="E1561" s="201"/>
      <c r="F1561" s="201"/>
      <c r="I1561" s="198" t="s">
        <v>430</v>
      </c>
      <c r="J1561" s="198" t="s">
        <v>130</v>
      </c>
      <c r="K1561" s="202">
        <f t="shared" si="24"/>
        <v>800700</v>
      </c>
      <c r="L1561" s="202">
        <v>157</v>
      </c>
      <c r="N1561" s="202">
        <v>120000</v>
      </c>
      <c r="S1561" s="204"/>
      <c r="W1561" s="198" t="s">
        <v>51</v>
      </c>
      <c r="AE1561" s="198" t="s">
        <v>833</v>
      </c>
    </row>
    <row r="1562" spans="3:31" x14ac:dyDescent="0.25">
      <c r="C1562" s="201"/>
      <c r="E1562" s="201"/>
      <c r="F1562" s="201"/>
      <c r="I1562" s="198" t="s">
        <v>430</v>
      </c>
      <c r="J1562" s="198" t="s">
        <v>130</v>
      </c>
      <c r="K1562" s="202">
        <f t="shared" si="24"/>
        <v>801210</v>
      </c>
      <c r="L1562" s="202">
        <v>157.1</v>
      </c>
      <c r="N1562" s="202">
        <v>39200</v>
      </c>
      <c r="S1562" s="204"/>
      <c r="W1562" s="198" t="s">
        <v>51</v>
      </c>
      <c r="AE1562" s="198" t="s">
        <v>833</v>
      </c>
    </row>
    <row r="1563" spans="3:31" x14ac:dyDescent="0.25">
      <c r="C1563" s="201"/>
      <c r="E1563" s="201"/>
      <c r="F1563" s="201"/>
      <c r="I1563" s="198" t="s">
        <v>430</v>
      </c>
      <c r="J1563" s="198" t="s">
        <v>130</v>
      </c>
      <c r="K1563" s="202">
        <f t="shared" si="24"/>
        <v>801720</v>
      </c>
      <c r="L1563" s="202">
        <v>157.19999999999999</v>
      </c>
      <c r="N1563" s="202">
        <v>30000</v>
      </c>
      <c r="S1563" s="204"/>
      <c r="W1563" s="198" t="s">
        <v>51</v>
      </c>
      <c r="AE1563" s="198" t="s">
        <v>833</v>
      </c>
    </row>
    <row r="1564" spans="3:31" x14ac:dyDescent="0.25">
      <c r="C1564" s="201"/>
      <c r="E1564" s="201"/>
      <c r="F1564" s="201"/>
      <c r="I1564" s="198" t="s">
        <v>430</v>
      </c>
      <c r="J1564" s="198" t="s">
        <v>130</v>
      </c>
      <c r="K1564" s="202">
        <f t="shared" si="24"/>
        <v>802230</v>
      </c>
      <c r="L1564" s="202">
        <v>157.30000000000001</v>
      </c>
      <c r="N1564" s="202">
        <v>48000</v>
      </c>
      <c r="S1564" s="204"/>
      <c r="W1564" s="198" t="s">
        <v>51</v>
      </c>
      <c r="AE1564" s="198" t="s">
        <v>833</v>
      </c>
    </row>
    <row r="1565" spans="3:31" x14ac:dyDescent="0.25">
      <c r="C1565" s="201"/>
      <c r="E1565" s="201"/>
      <c r="F1565" s="201"/>
      <c r="I1565" s="198" t="s">
        <v>430</v>
      </c>
      <c r="J1565" s="198" t="s">
        <v>130</v>
      </c>
      <c r="K1565" s="202">
        <f t="shared" si="24"/>
        <v>802740</v>
      </c>
      <c r="L1565" s="202">
        <v>157.4</v>
      </c>
      <c r="N1565" s="202">
        <v>31800</v>
      </c>
      <c r="S1565" s="204"/>
      <c r="W1565" s="198" t="s">
        <v>51</v>
      </c>
      <c r="AE1565" s="198" t="s">
        <v>833</v>
      </c>
    </row>
    <row r="1566" spans="3:31" x14ac:dyDescent="0.25">
      <c r="C1566" s="201"/>
      <c r="E1566" s="201"/>
      <c r="F1566" s="201"/>
      <c r="I1566" s="198" t="s">
        <v>430</v>
      </c>
      <c r="J1566" s="198" t="s">
        <v>130</v>
      </c>
      <c r="K1566" s="202">
        <f t="shared" si="24"/>
        <v>803250</v>
      </c>
      <c r="L1566" s="202">
        <v>157.5</v>
      </c>
      <c r="N1566" s="202">
        <v>16000</v>
      </c>
      <c r="S1566" s="204"/>
      <c r="W1566" s="198" t="s">
        <v>51</v>
      </c>
      <c r="AE1566" s="198" t="s">
        <v>833</v>
      </c>
    </row>
    <row r="1567" spans="3:31" x14ac:dyDescent="0.25">
      <c r="C1567" s="201"/>
      <c r="E1567" s="201"/>
      <c r="F1567" s="201"/>
      <c r="I1567" s="198" t="s">
        <v>430</v>
      </c>
      <c r="J1567" s="198" t="s">
        <v>130</v>
      </c>
      <c r="K1567" s="202">
        <f t="shared" si="24"/>
        <v>803760</v>
      </c>
      <c r="L1567" s="202">
        <v>157.6</v>
      </c>
      <c r="N1567" s="202">
        <v>16000</v>
      </c>
      <c r="S1567" s="204"/>
      <c r="W1567" s="198" t="s">
        <v>51</v>
      </c>
      <c r="AE1567" s="198" t="s">
        <v>833</v>
      </c>
    </row>
    <row r="1568" spans="3:31" x14ac:dyDescent="0.25">
      <c r="C1568" s="201"/>
      <c r="E1568" s="201"/>
      <c r="F1568" s="201"/>
      <c r="I1568" s="198" t="s">
        <v>430</v>
      </c>
      <c r="J1568" s="198" t="s">
        <v>130</v>
      </c>
      <c r="K1568" s="202">
        <f t="shared" si="24"/>
        <v>804270</v>
      </c>
      <c r="L1568" s="202">
        <v>157.69999999999999</v>
      </c>
      <c r="N1568" s="202">
        <v>12000</v>
      </c>
      <c r="S1568" s="204"/>
      <c r="W1568" s="198" t="s">
        <v>51</v>
      </c>
      <c r="AE1568" s="198" t="s">
        <v>833</v>
      </c>
    </row>
    <row r="1569" spans="3:31" x14ac:dyDescent="0.25">
      <c r="C1569" s="201"/>
      <c r="E1569" s="201"/>
      <c r="F1569" s="201"/>
      <c r="I1569" s="198" t="s">
        <v>430</v>
      </c>
      <c r="J1569" s="198" t="s">
        <v>130</v>
      </c>
      <c r="K1569" s="202">
        <f t="shared" si="24"/>
        <v>804780</v>
      </c>
      <c r="L1569" s="202">
        <v>157.80000000000001</v>
      </c>
      <c r="N1569" s="202">
        <v>64000</v>
      </c>
      <c r="S1569" s="204"/>
      <c r="W1569" s="198" t="s">
        <v>51</v>
      </c>
      <c r="AE1569" s="198" t="s">
        <v>833</v>
      </c>
    </row>
    <row r="1570" spans="3:31" x14ac:dyDescent="0.25">
      <c r="C1570" s="201"/>
      <c r="E1570" s="201"/>
      <c r="F1570" s="201"/>
      <c r="I1570" s="198" t="s">
        <v>430</v>
      </c>
      <c r="J1570" s="198" t="s">
        <v>130</v>
      </c>
      <c r="K1570" s="202">
        <f t="shared" si="24"/>
        <v>805290</v>
      </c>
      <c r="L1570" s="202">
        <v>157.9</v>
      </c>
      <c r="N1570" s="202">
        <v>318400</v>
      </c>
      <c r="S1570" s="204"/>
      <c r="W1570" s="198" t="s">
        <v>51</v>
      </c>
      <c r="AE1570" s="198" t="s">
        <v>833</v>
      </c>
    </row>
    <row r="1571" spans="3:31" x14ac:dyDescent="0.25">
      <c r="C1571" s="201"/>
      <c r="E1571" s="201"/>
      <c r="F1571" s="201"/>
      <c r="I1571" s="198" t="s">
        <v>430</v>
      </c>
      <c r="J1571" s="198" t="s">
        <v>130</v>
      </c>
      <c r="K1571" s="202">
        <f t="shared" si="24"/>
        <v>805800</v>
      </c>
      <c r="L1571" s="202">
        <v>158</v>
      </c>
      <c r="N1571" s="202">
        <v>800000</v>
      </c>
      <c r="S1571" s="204"/>
      <c r="W1571" s="198" t="s">
        <v>51</v>
      </c>
      <c r="AE1571" s="198" t="s">
        <v>833</v>
      </c>
    </row>
    <row r="1572" spans="3:31" x14ac:dyDescent="0.25">
      <c r="C1572" s="201"/>
      <c r="E1572" s="201"/>
      <c r="F1572" s="201"/>
      <c r="I1572" s="198" t="s">
        <v>430</v>
      </c>
      <c r="J1572" s="198" t="s">
        <v>130</v>
      </c>
      <c r="K1572" s="202">
        <f t="shared" si="24"/>
        <v>806310</v>
      </c>
      <c r="L1572" s="202">
        <v>158.1</v>
      </c>
      <c r="N1572" s="202">
        <v>160000</v>
      </c>
      <c r="S1572" s="204"/>
      <c r="W1572" s="198" t="s">
        <v>51</v>
      </c>
      <c r="AE1572" s="198" t="s">
        <v>833</v>
      </c>
    </row>
    <row r="1573" spans="3:31" x14ac:dyDescent="0.25">
      <c r="C1573" s="201"/>
      <c r="E1573" s="201"/>
      <c r="F1573" s="201"/>
      <c r="I1573" s="198" t="s">
        <v>430</v>
      </c>
      <c r="J1573" s="198" t="s">
        <v>130</v>
      </c>
      <c r="K1573" s="202">
        <f t="shared" si="24"/>
        <v>806820</v>
      </c>
      <c r="L1573" s="202">
        <v>158.19999999999999</v>
      </c>
      <c r="N1573" s="202">
        <v>260000</v>
      </c>
      <c r="S1573" s="204"/>
      <c r="W1573" s="198" t="s">
        <v>51</v>
      </c>
      <c r="AE1573" s="198" t="s">
        <v>833</v>
      </c>
    </row>
    <row r="1574" spans="3:31" x14ac:dyDescent="0.25">
      <c r="C1574" s="201"/>
      <c r="E1574" s="201"/>
      <c r="F1574" s="201"/>
      <c r="I1574" s="198" t="s">
        <v>430</v>
      </c>
      <c r="J1574" s="198" t="s">
        <v>130</v>
      </c>
      <c r="K1574" s="202">
        <f t="shared" si="24"/>
        <v>807330</v>
      </c>
      <c r="L1574" s="202">
        <v>158.30000000000001</v>
      </c>
      <c r="N1574" s="202">
        <v>6600</v>
      </c>
      <c r="S1574" s="204"/>
      <c r="W1574" s="198" t="s">
        <v>51</v>
      </c>
      <c r="AE1574" s="198" t="s">
        <v>833</v>
      </c>
    </row>
    <row r="1575" spans="3:31" x14ac:dyDescent="0.25">
      <c r="C1575" s="201"/>
      <c r="E1575" s="201"/>
      <c r="F1575" s="201"/>
      <c r="I1575" s="198" t="s">
        <v>430</v>
      </c>
      <c r="J1575" s="198" t="s">
        <v>130</v>
      </c>
      <c r="K1575" s="202">
        <f t="shared" si="24"/>
        <v>807840</v>
      </c>
      <c r="L1575" s="202">
        <v>158.4</v>
      </c>
      <c r="N1575" s="202">
        <v>142000</v>
      </c>
      <c r="S1575" s="204"/>
      <c r="W1575" s="198" t="s">
        <v>51</v>
      </c>
      <c r="AE1575" s="198" t="s">
        <v>833</v>
      </c>
    </row>
    <row r="1576" spans="3:31" x14ac:dyDescent="0.25">
      <c r="C1576" s="201"/>
      <c r="E1576" s="201"/>
      <c r="F1576" s="201"/>
      <c r="I1576" s="198" t="s">
        <v>430</v>
      </c>
      <c r="J1576" s="198" t="s">
        <v>130</v>
      </c>
      <c r="K1576" s="202">
        <f t="shared" si="24"/>
        <v>808350</v>
      </c>
      <c r="L1576" s="202">
        <v>158.5</v>
      </c>
      <c r="N1576" s="202">
        <v>71000</v>
      </c>
      <c r="S1576" s="204"/>
      <c r="W1576" s="198" t="s">
        <v>51</v>
      </c>
      <c r="AE1576" s="198" t="s">
        <v>833</v>
      </c>
    </row>
    <row r="1577" spans="3:31" x14ac:dyDescent="0.25">
      <c r="C1577" s="201"/>
      <c r="E1577" s="201"/>
      <c r="F1577" s="201"/>
      <c r="I1577" s="198" t="s">
        <v>440</v>
      </c>
      <c r="J1577" s="198" t="s">
        <v>126</v>
      </c>
      <c r="K1577" s="202">
        <f t="shared" si="24"/>
        <v>808860</v>
      </c>
      <c r="L1577" s="202">
        <v>158.6</v>
      </c>
      <c r="N1577" s="202">
        <v>36000</v>
      </c>
      <c r="S1577" s="204"/>
      <c r="W1577" s="198" t="s">
        <v>51</v>
      </c>
      <c r="AE1577" s="198" t="s">
        <v>835</v>
      </c>
    </row>
    <row r="1578" spans="3:31" x14ac:dyDescent="0.25">
      <c r="C1578" s="201"/>
      <c r="E1578" s="201"/>
      <c r="F1578" s="201"/>
      <c r="I1578" s="198" t="s">
        <v>440</v>
      </c>
      <c r="J1578" s="198" t="s">
        <v>126</v>
      </c>
      <c r="K1578" s="202">
        <f t="shared" si="24"/>
        <v>809370</v>
      </c>
      <c r="L1578" s="202">
        <v>158.69999999999999</v>
      </c>
      <c r="N1578" s="202">
        <v>143400</v>
      </c>
      <c r="S1578" s="204"/>
      <c r="W1578" s="198" t="s">
        <v>51</v>
      </c>
      <c r="AE1578" s="198" t="s">
        <v>835</v>
      </c>
    </row>
    <row r="1579" spans="3:31" x14ac:dyDescent="0.25">
      <c r="C1579" s="201"/>
      <c r="E1579" s="201"/>
      <c r="F1579" s="201"/>
      <c r="I1579" s="198" t="s">
        <v>440</v>
      </c>
      <c r="J1579" s="198" t="s">
        <v>126</v>
      </c>
      <c r="K1579" s="202">
        <f t="shared" si="24"/>
        <v>809880</v>
      </c>
      <c r="L1579" s="202">
        <v>158.80000000000001</v>
      </c>
      <c r="N1579" s="202">
        <v>28600</v>
      </c>
      <c r="S1579" s="204"/>
      <c r="W1579" s="198" t="s">
        <v>51</v>
      </c>
      <c r="AE1579" s="198" t="s">
        <v>835</v>
      </c>
    </row>
    <row r="1580" spans="3:31" x14ac:dyDescent="0.25">
      <c r="C1580" s="201"/>
      <c r="E1580" s="201"/>
      <c r="F1580" s="201"/>
      <c r="I1580" s="198" t="s">
        <v>440</v>
      </c>
      <c r="J1580" s="198" t="s">
        <v>126</v>
      </c>
      <c r="K1580" s="202">
        <f t="shared" si="24"/>
        <v>810390</v>
      </c>
      <c r="L1580" s="202">
        <v>158.9</v>
      </c>
      <c r="N1580" s="202">
        <v>79600</v>
      </c>
      <c r="S1580" s="204"/>
      <c r="W1580" s="198" t="s">
        <v>51</v>
      </c>
      <c r="AE1580" s="198" t="s">
        <v>835</v>
      </c>
    </row>
    <row r="1581" spans="3:31" x14ac:dyDescent="0.25">
      <c r="C1581" s="201"/>
      <c r="E1581" s="201"/>
      <c r="F1581" s="201"/>
      <c r="I1581" s="198" t="s">
        <v>440</v>
      </c>
      <c r="J1581" s="198" t="s">
        <v>126</v>
      </c>
      <c r="K1581" s="202">
        <f t="shared" si="24"/>
        <v>810900</v>
      </c>
      <c r="L1581" s="202">
        <v>159</v>
      </c>
      <c r="N1581" s="202">
        <v>67600</v>
      </c>
      <c r="S1581" s="204"/>
      <c r="W1581" s="198" t="s">
        <v>51</v>
      </c>
      <c r="AE1581" s="198" t="s">
        <v>835</v>
      </c>
    </row>
    <row r="1582" spans="3:31" x14ac:dyDescent="0.25">
      <c r="C1582" s="201"/>
      <c r="E1582" s="201"/>
      <c r="F1582" s="201"/>
      <c r="I1582" s="198" t="s">
        <v>440</v>
      </c>
      <c r="J1582" s="198" t="s">
        <v>126</v>
      </c>
      <c r="K1582" s="202">
        <f t="shared" si="24"/>
        <v>811410</v>
      </c>
      <c r="L1582" s="202">
        <v>159.1</v>
      </c>
      <c r="N1582" s="202">
        <v>28600</v>
      </c>
      <c r="S1582" s="204"/>
      <c r="W1582" s="198" t="s">
        <v>51</v>
      </c>
      <c r="AE1582" s="198" t="s">
        <v>835</v>
      </c>
    </row>
    <row r="1583" spans="3:31" x14ac:dyDescent="0.25">
      <c r="C1583" s="201"/>
      <c r="E1583" s="201"/>
      <c r="F1583" s="201"/>
      <c r="I1583" s="198" t="s">
        <v>440</v>
      </c>
      <c r="J1583" s="198" t="s">
        <v>126</v>
      </c>
      <c r="K1583" s="202">
        <f t="shared" si="24"/>
        <v>811920</v>
      </c>
      <c r="L1583" s="202">
        <v>159.19999999999999</v>
      </c>
      <c r="N1583" s="202">
        <v>21000</v>
      </c>
      <c r="S1583" s="204"/>
      <c r="W1583" s="198" t="s">
        <v>51</v>
      </c>
      <c r="AE1583" s="198" t="s">
        <v>835</v>
      </c>
    </row>
    <row r="1584" spans="3:31" x14ac:dyDescent="0.25">
      <c r="C1584" s="201"/>
      <c r="E1584" s="201"/>
      <c r="F1584" s="201"/>
      <c r="I1584" s="198" t="s">
        <v>440</v>
      </c>
      <c r="J1584" s="198" t="s">
        <v>126</v>
      </c>
      <c r="K1584" s="202">
        <f t="shared" si="24"/>
        <v>812430</v>
      </c>
      <c r="L1584" s="202">
        <v>159.30000000000001</v>
      </c>
      <c r="N1584" s="202">
        <v>105000</v>
      </c>
      <c r="S1584" s="204"/>
      <c r="W1584" s="198" t="s">
        <v>51</v>
      </c>
      <c r="AE1584" s="198" t="s">
        <v>835</v>
      </c>
    </row>
    <row r="1585" spans="3:31" x14ac:dyDescent="0.25">
      <c r="C1585" s="201"/>
      <c r="E1585" s="201"/>
      <c r="F1585" s="201"/>
      <c r="I1585" s="198" t="s">
        <v>440</v>
      </c>
      <c r="J1585" s="198" t="s">
        <v>126</v>
      </c>
      <c r="K1585" s="202">
        <f t="shared" si="24"/>
        <v>812940</v>
      </c>
      <c r="L1585" s="202">
        <v>159.4</v>
      </c>
      <c r="N1585" s="202">
        <v>120000</v>
      </c>
      <c r="S1585" s="204"/>
      <c r="W1585" s="198" t="s">
        <v>51</v>
      </c>
      <c r="AE1585" s="198" t="s">
        <v>835</v>
      </c>
    </row>
    <row r="1586" spans="3:31" x14ac:dyDescent="0.25">
      <c r="C1586" s="201"/>
      <c r="E1586" s="201"/>
      <c r="F1586" s="201"/>
      <c r="I1586" s="198" t="s">
        <v>440</v>
      </c>
      <c r="J1586" s="198" t="s">
        <v>126</v>
      </c>
      <c r="K1586" s="202">
        <f t="shared" si="24"/>
        <v>813450</v>
      </c>
      <c r="L1586" s="202">
        <v>159.5</v>
      </c>
      <c r="N1586" s="202">
        <v>39200</v>
      </c>
      <c r="S1586" s="204"/>
      <c r="W1586" s="198" t="s">
        <v>51</v>
      </c>
      <c r="AE1586" s="198" t="s">
        <v>835</v>
      </c>
    </row>
    <row r="1587" spans="3:31" x14ac:dyDescent="0.25">
      <c r="C1587" s="201"/>
      <c r="E1587" s="201"/>
      <c r="F1587" s="201"/>
      <c r="I1587" s="198" t="s">
        <v>440</v>
      </c>
      <c r="J1587" s="198" t="s">
        <v>126</v>
      </c>
      <c r="K1587" s="202">
        <f t="shared" si="24"/>
        <v>813960</v>
      </c>
      <c r="L1587" s="202">
        <v>159.6</v>
      </c>
      <c r="N1587" s="202">
        <v>30000</v>
      </c>
      <c r="S1587" s="204"/>
      <c r="W1587" s="198" t="s">
        <v>51</v>
      </c>
      <c r="AE1587" s="198" t="s">
        <v>835</v>
      </c>
    </row>
    <row r="1588" spans="3:31" x14ac:dyDescent="0.25">
      <c r="C1588" s="201"/>
      <c r="E1588" s="201"/>
      <c r="F1588" s="201"/>
      <c r="I1588" s="198" t="s">
        <v>440</v>
      </c>
      <c r="J1588" s="198" t="s">
        <v>126</v>
      </c>
      <c r="K1588" s="202">
        <f t="shared" si="24"/>
        <v>814470</v>
      </c>
      <c r="L1588" s="202">
        <v>159.69999999999999</v>
      </c>
      <c r="N1588" s="202">
        <v>48000</v>
      </c>
      <c r="S1588" s="204"/>
      <c r="W1588" s="198" t="s">
        <v>51</v>
      </c>
      <c r="AE1588" s="198" t="s">
        <v>835</v>
      </c>
    </row>
    <row r="1589" spans="3:31" x14ac:dyDescent="0.25">
      <c r="C1589" s="201"/>
      <c r="E1589" s="201"/>
      <c r="F1589" s="201"/>
      <c r="I1589" s="198" t="s">
        <v>440</v>
      </c>
      <c r="J1589" s="198" t="s">
        <v>126</v>
      </c>
      <c r="K1589" s="202">
        <f t="shared" si="24"/>
        <v>814980</v>
      </c>
      <c r="L1589" s="202">
        <v>159.80000000000001</v>
      </c>
      <c r="N1589" s="202">
        <v>31800</v>
      </c>
      <c r="S1589" s="204"/>
      <c r="W1589" s="198" t="s">
        <v>51</v>
      </c>
      <c r="AE1589" s="198" t="s">
        <v>835</v>
      </c>
    </row>
    <row r="1590" spans="3:31" x14ac:dyDescent="0.25">
      <c r="C1590" s="201"/>
      <c r="E1590" s="201"/>
      <c r="F1590" s="201"/>
      <c r="I1590" s="198" t="s">
        <v>440</v>
      </c>
      <c r="J1590" s="198" t="s">
        <v>126</v>
      </c>
      <c r="K1590" s="202">
        <f t="shared" si="24"/>
        <v>815490</v>
      </c>
      <c r="L1590" s="202">
        <v>159.9</v>
      </c>
      <c r="N1590" s="202">
        <v>16000</v>
      </c>
      <c r="S1590" s="204"/>
      <c r="W1590" s="198" t="s">
        <v>51</v>
      </c>
      <c r="AE1590" s="198" t="s">
        <v>835</v>
      </c>
    </row>
    <row r="1591" spans="3:31" x14ac:dyDescent="0.25">
      <c r="C1591" s="201"/>
      <c r="E1591" s="201"/>
      <c r="F1591" s="201"/>
      <c r="I1591" s="198" t="s">
        <v>440</v>
      </c>
      <c r="J1591" s="198" t="s">
        <v>126</v>
      </c>
      <c r="K1591" s="202">
        <f t="shared" si="24"/>
        <v>816000</v>
      </c>
      <c r="L1591" s="202">
        <v>160</v>
      </c>
      <c r="N1591" s="202">
        <v>16000</v>
      </c>
      <c r="S1591" s="204"/>
      <c r="W1591" s="198" t="s">
        <v>51</v>
      </c>
      <c r="AE1591" s="198" t="s">
        <v>835</v>
      </c>
    </row>
    <row r="1592" spans="3:31" x14ac:dyDescent="0.25">
      <c r="C1592" s="201"/>
      <c r="E1592" s="201"/>
      <c r="F1592" s="201"/>
      <c r="I1592" s="198" t="s">
        <v>440</v>
      </c>
      <c r="J1592" s="198" t="s">
        <v>126</v>
      </c>
      <c r="K1592" s="202">
        <f t="shared" si="24"/>
        <v>816510</v>
      </c>
      <c r="L1592" s="202">
        <v>160.1</v>
      </c>
      <c r="N1592" s="202">
        <v>12000</v>
      </c>
      <c r="S1592" s="204"/>
      <c r="W1592" s="198" t="s">
        <v>51</v>
      </c>
      <c r="AE1592" s="198" t="s">
        <v>835</v>
      </c>
    </row>
    <row r="1593" spans="3:31" x14ac:dyDescent="0.25">
      <c r="C1593" s="201"/>
      <c r="E1593" s="201"/>
      <c r="F1593" s="201"/>
      <c r="I1593" s="198" t="s">
        <v>440</v>
      </c>
      <c r="J1593" s="198" t="s">
        <v>126</v>
      </c>
      <c r="K1593" s="202">
        <f t="shared" si="24"/>
        <v>817020</v>
      </c>
      <c r="L1593" s="202">
        <v>160.19999999999999</v>
      </c>
      <c r="N1593" s="202">
        <v>64000</v>
      </c>
      <c r="S1593" s="204"/>
      <c r="W1593" s="198" t="s">
        <v>51</v>
      </c>
      <c r="AE1593" s="198" t="s">
        <v>835</v>
      </c>
    </row>
    <row r="1594" spans="3:31" x14ac:dyDescent="0.25">
      <c r="C1594" s="201"/>
      <c r="E1594" s="201"/>
      <c r="F1594" s="201"/>
      <c r="I1594" s="198" t="s">
        <v>440</v>
      </c>
      <c r="J1594" s="198" t="s">
        <v>126</v>
      </c>
      <c r="K1594" s="202">
        <f t="shared" si="24"/>
        <v>817530</v>
      </c>
      <c r="L1594" s="202">
        <v>160.30000000000001</v>
      </c>
      <c r="N1594" s="202">
        <v>318400</v>
      </c>
      <c r="S1594" s="204"/>
      <c r="W1594" s="198" t="s">
        <v>51</v>
      </c>
      <c r="AE1594" s="198" t="s">
        <v>835</v>
      </c>
    </row>
    <row r="1595" spans="3:31" x14ac:dyDescent="0.25">
      <c r="C1595" s="201"/>
      <c r="E1595" s="201"/>
      <c r="F1595" s="201"/>
      <c r="I1595" s="198" t="s">
        <v>440</v>
      </c>
      <c r="J1595" s="198" t="s">
        <v>126</v>
      </c>
      <c r="K1595" s="202">
        <f t="shared" si="24"/>
        <v>818040</v>
      </c>
      <c r="L1595" s="202">
        <v>160.4</v>
      </c>
      <c r="N1595" s="202">
        <v>800000</v>
      </c>
      <c r="S1595" s="204"/>
      <c r="W1595" s="198" t="s">
        <v>51</v>
      </c>
      <c r="AE1595" s="198" t="s">
        <v>835</v>
      </c>
    </row>
    <row r="1596" spans="3:31" x14ac:dyDescent="0.25">
      <c r="C1596" s="201"/>
      <c r="E1596" s="201"/>
      <c r="F1596" s="201"/>
      <c r="I1596" s="198" t="s">
        <v>440</v>
      </c>
      <c r="J1596" s="198" t="s">
        <v>126</v>
      </c>
      <c r="K1596" s="202">
        <f t="shared" si="24"/>
        <v>818550</v>
      </c>
      <c r="L1596" s="202">
        <v>160.5</v>
      </c>
      <c r="N1596" s="202">
        <v>160000</v>
      </c>
      <c r="S1596" s="204"/>
      <c r="W1596" s="198" t="s">
        <v>51</v>
      </c>
      <c r="AE1596" s="198" t="s">
        <v>835</v>
      </c>
    </row>
    <row r="1597" spans="3:31" x14ac:dyDescent="0.25">
      <c r="C1597" s="201"/>
      <c r="E1597" s="201"/>
      <c r="F1597" s="201"/>
      <c r="I1597" s="198" t="s">
        <v>440</v>
      </c>
      <c r="J1597" s="198" t="s">
        <v>126</v>
      </c>
      <c r="K1597" s="202">
        <f t="shared" si="24"/>
        <v>819060</v>
      </c>
      <c r="L1597" s="202">
        <v>160.6</v>
      </c>
      <c r="N1597" s="202">
        <v>260000</v>
      </c>
      <c r="S1597" s="204"/>
      <c r="W1597" s="198" t="s">
        <v>51</v>
      </c>
      <c r="AE1597" s="198" t="s">
        <v>835</v>
      </c>
    </row>
    <row r="1598" spans="3:31" x14ac:dyDescent="0.25">
      <c r="C1598" s="201"/>
      <c r="E1598" s="201"/>
      <c r="F1598" s="201"/>
      <c r="I1598" s="198" t="s">
        <v>440</v>
      </c>
      <c r="J1598" s="198" t="s">
        <v>126</v>
      </c>
      <c r="K1598" s="202">
        <f t="shared" si="24"/>
        <v>819570</v>
      </c>
      <c r="L1598" s="202">
        <v>160.69999999999999</v>
      </c>
      <c r="N1598" s="202">
        <v>6600</v>
      </c>
      <c r="S1598" s="204"/>
      <c r="W1598" s="198" t="s">
        <v>51</v>
      </c>
      <c r="AE1598" s="198" t="s">
        <v>835</v>
      </c>
    </row>
    <row r="1599" spans="3:31" x14ac:dyDescent="0.25">
      <c r="C1599" s="201"/>
      <c r="E1599" s="201"/>
      <c r="F1599" s="201"/>
      <c r="I1599" s="198" t="s">
        <v>440</v>
      </c>
      <c r="J1599" s="198" t="s">
        <v>126</v>
      </c>
      <c r="K1599" s="202">
        <f t="shared" si="24"/>
        <v>820080</v>
      </c>
      <c r="L1599" s="202">
        <v>160.80000000000001</v>
      </c>
      <c r="N1599" s="202">
        <v>142000</v>
      </c>
      <c r="S1599" s="204"/>
      <c r="W1599" s="198" t="s">
        <v>51</v>
      </c>
      <c r="AE1599" s="198" t="s">
        <v>835</v>
      </c>
    </row>
    <row r="1600" spans="3:31" x14ac:dyDescent="0.25">
      <c r="C1600" s="201"/>
      <c r="E1600" s="201"/>
      <c r="F1600" s="201"/>
      <c r="I1600" s="198" t="s">
        <v>440</v>
      </c>
      <c r="J1600" s="198" t="s">
        <v>126</v>
      </c>
      <c r="K1600" s="202">
        <f t="shared" si="24"/>
        <v>820590</v>
      </c>
      <c r="L1600" s="202">
        <v>160.9</v>
      </c>
      <c r="N1600" s="202">
        <v>71000</v>
      </c>
      <c r="S1600" s="204"/>
      <c r="W1600" s="198" t="s">
        <v>51</v>
      </c>
      <c r="AE1600" s="198" t="s">
        <v>835</v>
      </c>
    </row>
    <row r="1601" spans="3:31" x14ac:dyDescent="0.25">
      <c r="C1601" s="201"/>
      <c r="E1601" s="201"/>
      <c r="F1601" s="201"/>
      <c r="I1601" s="198" t="s">
        <v>740</v>
      </c>
      <c r="J1601" s="198" t="s">
        <v>153</v>
      </c>
      <c r="K1601" s="202">
        <f t="shared" si="24"/>
        <v>821100</v>
      </c>
      <c r="L1601" s="202">
        <v>161</v>
      </c>
      <c r="N1601" s="202">
        <v>1240000</v>
      </c>
      <c r="S1601" s="204"/>
      <c r="W1601" s="198" t="s">
        <v>51</v>
      </c>
      <c r="AE1601" s="198" t="s">
        <v>1768</v>
      </c>
    </row>
    <row r="1602" spans="3:31" x14ac:dyDescent="0.25">
      <c r="C1602" s="201"/>
      <c r="E1602" s="201"/>
      <c r="F1602" s="201"/>
      <c r="I1602" s="198" t="s">
        <v>741</v>
      </c>
      <c r="J1602" s="198" t="s">
        <v>274</v>
      </c>
      <c r="K1602" s="202">
        <f t="shared" si="24"/>
        <v>821610</v>
      </c>
      <c r="L1602" s="202">
        <v>161.1</v>
      </c>
      <c r="N1602" s="202">
        <v>1240000</v>
      </c>
      <c r="S1602" s="204"/>
      <c r="W1602" s="198" t="s">
        <v>51</v>
      </c>
      <c r="AE1602" s="198" t="s">
        <v>1767</v>
      </c>
    </row>
    <row r="1603" spans="3:31" x14ac:dyDescent="0.25">
      <c r="C1603" s="201"/>
      <c r="E1603" s="201"/>
      <c r="F1603" s="201"/>
      <c r="I1603" s="198" t="s">
        <v>740</v>
      </c>
      <c r="J1603" s="198" t="s">
        <v>153</v>
      </c>
      <c r="K1603" s="202">
        <f t="shared" ref="K1603:K1666" si="25">L1603*5100</f>
        <v>822120</v>
      </c>
      <c r="L1603" s="202">
        <v>161.19999999999999</v>
      </c>
      <c r="N1603" s="202">
        <v>1240000</v>
      </c>
      <c r="S1603" s="204"/>
      <c r="W1603" s="198" t="s">
        <v>51</v>
      </c>
      <c r="AE1603" s="198" t="s">
        <v>1768</v>
      </c>
    </row>
    <row r="1604" spans="3:31" x14ac:dyDescent="0.25">
      <c r="C1604" s="201"/>
      <c r="E1604" s="201"/>
      <c r="F1604" s="201"/>
      <c r="I1604" s="198" t="s">
        <v>239</v>
      </c>
      <c r="J1604" s="198" t="s">
        <v>148</v>
      </c>
      <c r="K1604" s="202">
        <f t="shared" si="25"/>
        <v>822630</v>
      </c>
      <c r="L1604" s="202">
        <v>161.30000000000001</v>
      </c>
      <c r="N1604" s="202">
        <v>1240000</v>
      </c>
      <c r="S1604" s="204"/>
      <c r="W1604" s="198" t="s">
        <v>51</v>
      </c>
      <c r="AE1604" s="198" t="s">
        <v>828</v>
      </c>
    </row>
    <row r="1605" spans="3:31" x14ac:dyDescent="0.25">
      <c r="C1605" s="201"/>
      <c r="E1605" s="201"/>
      <c r="F1605" s="201"/>
      <c r="I1605" s="198" t="s">
        <v>194</v>
      </c>
      <c r="J1605" s="198" t="s">
        <v>156</v>
      </c>
      <c r="K1605" s="202">
        <f t="shared" si="25"/>
        <v>823140</v>
      </c>
      <c r="L1605" s="202">
        <v>161.4</v>
      </c>
      <c r="N1605" s="202">
        <v>1240000</v>
      </c>
      <c r="S1605" s="204"/>
      <c r="W1605" s="198" t="s">
        <v>51</v>
      </c>
      <c r="AE1605" s="198" t="s">
        <v>828</v>
      </c>
    </row>
    <row r="1606" spans="3:31" x14ac:dyDescent="0.25">
      <c r="C1606" s="201"/>
      <c r="E1606" s="201"/>
      <c r="F1606" s="201"/>
      <c r="I1606" s="198" t="s">
        <v>192</v>
      </c>
      <c r="J1606" s="198" t="s">
        <v>193</v>
      </c>
      <c r="K1606" s="202">
        <f t="shared" si="25"/>
        <v>823650</v>
      </c>
      <c r="L1606" s="202">
        <v>161.5</v>
      </c>
      <c r="N1606" s="202">
        <v>5908385</v>
      </c>
      <c r="S1606" s="204"/>
      <c r="W1606" s="198" t="s">
        <v>51</v>
      </c>
      <c r="AE1606" s="198" t="s">
        <v>830</v>
      </c>
    </row>
    <row r="1607" spans="3:31" x14ac:dyDescent="0.25">
      <c r="C1607" s="201"/>
      <c r="E1607" s="201"/>
      <c r="F1607" s="201"/>
      <c r="I1607" s="198" t="s">
        <v>190</v>
      </c>
      <c r="J1607" s="198" t="s">
        <v>143</v>
      </c>
      <c r="K1607" s="202">
        <f t="shared" si="25"/>
        <v>824160</v>
      </c>
      <c r="L1607" s="202">
        <v>161.6</v>
      </c>
      <c r="N1607" s="202">
        <v>8106546</v>
      </c>
      <c r="S1607" s="204"/>
      <c r="W1607" s="198" t="s">
        <v>51</v>
      </c>
      <c r="AE1607" s="198" t="s">
        <v>829</v>
      </c>
    </row>
    <row r="1608" spans="3:31" x14ac:dyDescent="0.25">
      <c r="C1608" s="201"/>
      <c r="E1608" s="201"/>
      <c r="F1608" s="201"/>
      <c r="I1608" s="198" t="s">
        <v>131</v>
      </c>
      <c r="J1608" s="198" t="s">
        <v>132</v>
      </c>
      <c r="K1608" s="202">
        <f t="shared" si="25"/>
        <v>824670</v>
      </c>
      <c r="L1608" s="202">
        <v>161.69999999999999</v>
      </c>
      <c r="N1608" s="202">
        <v>0.06</v>
      </c>
      <c r="S1608" s="204"/>
      <c r="W1608" s="198" t="s">
        <v>51</v>
      </c>
      <c r="AE1608" s="198" t="s">
        <v>833</v>
      </c>
    </row>
    <row r="1609" spans="3:31" x14ac:dyDescent="0.25">
      <c r="C1609" s="201"/>
      <c r="E1609" s="201"/>
      <c r="F1609" s="201"/>
      <c r="I1609" s="198" t="s">
        <v>583</v>
      </c>
      <c r="J1609" s="198" t="s">
        <v>134</v>
      </c>
      <c r="K1609" s="202">
        <f t="shared" si="25"/>
        <v>825180</v>
      </c>
      <c r="L1609" s="202">
        <v>161.80000000000001</v>
      </c>
      <c r="N1609" s="202">
        <v>7956060</v>
      </c>
      <c r="S1609" s="204"/>
      <c r="W1609" s="198" t="s">
        <v>51</v>
      </c>
      <c r="AE1609" s="198" t="s">
        <v>846</v>
      </c>
    </row>
    <row r="1610" spans="3:31" x14ac:dyDescent="0.25">
      <c r="C1610" s="201"/>
      <c r="E1610" s="201"/>
      <c r="F1610" s="201"/>
      <c r="I1610" s="198" t="s">
        <v>583</v>
      </c>
      <c r="J1610" s="198" t="s">
        <v>134</v>
      </c>
      <c r="K1610" s="202">
        <f t="shared" si="25"/>
        <v>825690</v>
      </c>
      <c r="L1610" s="202">
        <v>161.9</v>
      </c>
      <c r="N1610" s="202">
        <v>5275825</v>
      </c>
      <c r="S1610" s="204"/>
      <c r="W1610" s="198" t="s">
        <v>51</v>
      </c>
      <c r="AE1610" s="198" t="s">
        <v>846</v>
      </c>
    </row>
    <row r="1611" spans="3:31" x14ac:dyDescent="0.25">
      <c r="C1611" s="201"/>
      <c r="E1611" s="201"/>
      <c r="F1611" s="201"/>
      <c r="I1611" s="198" t="s">
        <v>583</v>
      </c>
      <c r="J1611" s="198" t="s">
        <v>134</v>
      </c>
      <c r="K1611" s="202">
        <f t="shared" si="25"/>
        <v>826200</v>
      </c>
      <c r="L1611" s="202">
        <v>162</v>
      </c>
      <c r="N1611" s="202">
        <v>5256825</v>
      </c>
      <c r="S1611" s="204"/>
      <c r="W1611" s="198" t="s">
        <v>51</v>
      </c>
      <c r="AE1611" s="198" t="s">
        <v>846</v>
      </c>
    </row>
    <row r="1612" spans="3:31" x14ac:dyDescent="0.25">
      <c r="C1612" s="201"/>
      <c r="E1612" s="201"/>
      <c r="F1612" s="201"/>
      <c r="I1612" s="198" t="s">
        <v>583</v>
      </c>
      <c r="J1612" s="198" t="s">
        <v>134</v>
      </c>
      <c r="K1612" s="202">
        <f t="shared" si="25"/>
        <v>826710</v>
      </c>
      <c r="L1612" s="202">
        <v>162.1</v>
      </c>
      <c r="N1612" s="202">
        <v>5248275</v>
      </c>
      <c r="S1612" s="204"/>
      <c r="W1612" s="198" t="s">
        <v>51</v>
      </c>
      <c r="AE1612" s="198" t="s">
        <v>846</v>
      </c>
    </row>
    <row r="1613" spans="3:31" x14ac:dyDescent="0.25">
      <c r="C1613" s="201"/>
      <c r="E1613" s="201"/>
      <c r="F1613" s="201"/>
      <c r="I1613" s="198" t="s">
        <v>583</v>
      </c>
      <c r="J1613" s="198" t="s">
        <v>134</v>
      </c>
      <c r="K1613" s="202">
        <f t="shared" si="25"/>
        <v>827220</v>
      </c>
      <c r="L1613" s="202">
        <v>162.19999999999999</v>
      </c>
      <c r="N1613" s="202">
        <v>4797975</v>
      </c>
      <c r="S1613" s="204"/>
      <c r="W1613" s="198" t="s">
        <v>51</v>
      </c>
      <c r="AE1613" s="198" t="s">
        <v>846</v>
      </c>
    </row>
    <row r="1614" spans="3:31" x14ac:dyDescent="0.25">
      <c r="C1614" s="201"/>
      <c r="E1614" s="201"/>
      <c r="F1614" s="201"/>
      <c r="I1614" s="198" t="s">
        <v>583</v>
      </c>
      <c r="J1614" s="198" t="s">
        <v>134</v>
      </c>
      <c r="K1614" s="202">
        <f t="shared" si="25"/>
        <v>827730</v>
      </c>
      <c r="L1614" s="202">
        <v>162.30000000000001</v>
      </c>
      <c r="N1614" s="202">
        <v>5268700</v>
      </c>
      <c r="S1614" s="204"/>
      <c r="W1614" s="198" t="s">
        <v>51</v>
      </c>
      <c r="AE1614" s="198" t="s">
        <v>846</v>
      </c>
    </row>
    <row r="1615" spans="3:31" x14ac:dyDescent="0.25">
      <c r="C1615" s="201"/>
      <c r="E1615" s="201"/>
      <c r="F1615" s="201"/>
      <c r="I1615" s="198" t="s">
        <v>583</v>
      </c>
      <c r="J1615" s="198" t="s">
        <v>134</v>
      </c>
      <c r="K1615" s="202">
        <f t="shared" si="25"/>
        <v>828240</v>
      </c>
      <c r="L1615" s="202">
        <v>162.4</v>
      </c>
      <c r="N1615" s="202">
        <v>5271550</v>
      </c>
      <c r="S1615" s="204"/>
      <c r="W1615" s="198" t="s">
        <v>51</v>
      </c>
      <c r="AE1615" s="198" t="s">
        <v>846</v>
      </c>
    </row>
    <row r="1616" spans="3:31" x14ac:dyDescent="0.25">
      <c r="C1616" s="201"/>
      <c r="E1616" s="201"/>
      <c r="F1616" s="201"/>
      <c r="I1616" s="198" t="s">
        <v>583</v>
      </c>
      <c r="J1616" s="198" t="s">
        <v>134</v>
      </c>
      <c r="K1616" s="202">
        <f t="shared" si="25"/>
        <v>828750</v>
      </c>
      <c r="L1616" s="202">
        <v>162.5</v>
      </c>
      <c r="N1616" s="202">
        <v>4813175</v>
      </c>
      <c r="S1616" s="204"/>
      <c r="W1616" s="198" t="s">
        <v>51</v>
      </c>
      <c r="AE1616" s="198" t="s">
        <v>846</v>
      </c>
    </row>
    <row r="1617" spans="3:31" x14ac:dyDescent="0.25">
      <c r="C1617" s="201"/>
      <c r="E1617" s="201"/>
      <c r="F1617" s="201"/>
      <c r="I1617" s="198" t="s">
        <v>583</v>
      </c>
      <c r="J1617" s="198" t="s">
        <v>134</v>
      </c>
      <c r="K1617" s="202">
        <f t="shared" si="25"/>
        <v>829260</v>
      </c>
      <c r="L1617" s="202">
        <v>162.6</v>
      </c>
      <c r="N1617" s="202">
        <v>5270600</v>
      </c>
      <c r="S1617" s="204"/>
      <c r="W1617" s="198" t="s">
        <v>51</v>
      </c>
      <c r="AE1617" s="198" t="s">
        <v>846</v>
      </c>
    </row>
    <row r="1618" spans="3:31" x14ac:dyDescent="0.25">
      <c r="C1618" s="201"/>
      <c r="E1618" s="201"/>
      <c r="F1618" s="201"/>
      <c r="I1618" s="198" t="s">
        <v>566</v>
      </c>
      <c r="J1618" s="198" t="s">
        <v>117</v>
      </c>
      <c r="K1618" s="202">
        <f t="shared" si="25"/>
        <v>829770</v>
      </c>
      <c r="L1618" s="202">
        <v>162.69999999999999</v>
      </c>
      <c r="N1618" s="202">
        <v>7911600</v>
      </c>
      <c r="S1618" s="204"/>
      <c r="W1618" s="198" t="s">
        <v>51</v>
      </c>
      <c r="AE1618" s="198" t="s">
        <v>878</v>
      </c>
    </row>
    <row r="1619" spans="3:31" x14ac:dyDescent="0.25">
      <c r="C1619" s="201"/>
      <c r="E1619" s="201"/>
      <c r="F1619" s="201"/>
      <c r="I1619" s="198" t="s">
        <v>566</v>
      </c>
      <c r="J1619" s="198" t="s">
        <v>117</v>
      </c>
      <c r="K1619" s="202">
        <f t="shared" si="25"/>
        <v>830280</v>
      </c>
      <c r="L1619" s="202">
        <v>162.80000000000001</v>
      </c>
      <c r="N1619" s="202">
        <v>3388080</v>
      </c>
      <c r="S1619" s="204"/>
      <c r="W1619" s="198" t="s">
        <v>51</v>
      </c>
      <c r="AE1619" s="198" t="s">
        <v>878</v>
      </c>
    </row>
    <row r="1620" spans="3:31" x14ac:dyDescent="0.25">
      <c r="C1620" s="201"/>
      <c r="E1620" s="201"/>
      <c r="F1620" s="201"/>
      <c r="I1620" s="198" t="s">
        <v>566</v>
      </c>
      <c r="J1620" s="198" t="s">
        <v>117</v>
      </c>
      <c r="K1620" s="202">
        <f t="shared" si="25"/>
        <v>830790</v>
      </c>
      <c r="L1620" s="202">
        <v>162.9</v>
      </c>
      <c r="N1620" s="202">
        <v>1895163.5</v>
      </c>
      <c r="S1620" s="204"/>
      <c r="W1620" s="198" t="s">
        <v>51</v>
      </c>
      <c r="AE1620" s="198" t="s">
        <v>878</v>
      </c>
    </row>
    <row r="1621" spans="3:31" x14ac:dyDescent="0.25">
      <c r="C1621" s="201"/>
      <c r="E1621" s="201"/>
      <c r="F1621" s="201"/>
      <c r="I1621" s="198" t="s">
        <v>843</v>
      </c>
      <c r="J1621" s="198" t="s">
        <v>137</v>
      </c>
      <c r="K1621" s="202">
        <f t="shared" si="25"/>
        <v>831300</v>
      </c>
      <c r="L1621" s="202">
        <v>163</v>
      </c>
      <c r="N1621" s="202">
        <v>4.34</v>
      </c>
      <c r="S1621" s="203"/>
      <c r="W1621" s="198" t="s">
        <v>51</v>
      </c>
      <c r="AE1621" s="198" t="s">
        <v>54</v>
      </c>
    </row>
    <row r="1622" spans="3:31" x14ac:dyDescent="0.25">
      <c r="C1622" s="201"/>
      <c r="E1622" s="201"/>
      <c r="F1622" s="201"/>
      <c r="I1622" s="198" t="s">
        <v>136</v>
      </c>
      <c r="J1622" s="198" t="s">
        <v>137</v>
      </c>
      <c r="K1622" s="202">
        <f t="shared" si="25"/>
        <v>831810</v>
      </c>
      <c r="L1622" s="202">
        <v>163.1</v>
      </c>
      <c r="N1622" s="202">
        <v>109539</v>
      </c>
      <c r="S1622" s="204"/>
      <c r="W1622" s="198" t="s">
        <v>51</v>
      </c>
      <c r="AE1622" s="198" t="s">
        <v>844</v>
      </c>
    </row>
    <row r="1623" spans="3:31" x14ac:dyDescent="0.25">
      <c r="C1623" s="201"/>
      <c r="E1623" s="201"/>
      <c r="F1623" s="201"/>
      <c r="I1623" s="198" t="s">
        <v>136</v>
      </c>
      <c r="J1623" s="198" t="s">
        <v>137</v>
      </c>
      <c r="K1623" s="202">
        <f t="shared" si="25"/>
        <v>832320</v>
      </c>
      <c r="L1623" s="202">
        <v>163.19999999999999</v>
      </c>
      <c r="N1623" s="202">
        <v>73616.399999999994</v>
      </c>
      <c r="S1623" s="204"/>
      <c r="W1623" s="198" t="s">
        <v>51</v>
      </c>
      <c r="AE1623" s="198" t="s">
        <v>844</v>
      </c>
    </row>
    <row r="1624" spans="3:31" x14ac:dyDescent="0.25">
      <c r="C1624" s="201"/>
      <c r="E1624" s="201"/>
      <c r="F1624" s="201"/>
      <c r="I1624" s="198" t="s">
        <v>136</v>
      </c>
      <c r="J1624" s="198" t="s">
        <v>137</v>
      </c>
      <c r="K1624" s="202">
        <f t="shared" si="25"/>
        <v>832830</v>
      </c>
      <c r="L1624" s="202">
        <v>163.30000000000001</v>
      </c>
      <c r="N1624" s="202">
        <v>68796</v>
      </c>
      <c r="S1624" s="204"/>
      <c r="W1624" s="198" t="s">
        <v>51</v>
      </c>
      <c r="AE1624" s="198" t="s">
        <v>844</v>
      </c>
    </row>
    <row r="1625" spans="3:31" x14ac:dyDescent="0.25">
      <c r="C1625" s="201"/>
      <c r="E1625" s="201"/>
      <c r="F1625" s="201"/>
      <c r="I1625" s="198" t="s">
        <v>122</v>
      </c>
      <c r="J1625" s="198" t="s">
        <v>126</v>
      </c>
      <c r="K1625" s="202">
        <f t="shared" si="25"/>
        <v>833340</v>
      </c>
      <c r="L1625" s="202">
        <v>163.4</v>
      </c>
      <c r="N1625" s="202">
        <v>5161.5</v>
      </c>
      <c r="S1625" s="204"/>
      <c r="W1625" s="198" t="s">
        <v>51</v>
      </c>
      <c r="AE1625" s="198" t="s">
        <v>835</v>
      </c>
    </row>
    <row r="1626" spans="3:31" x14ac:dyDescent="0.25">
      <c r="C1626" s="201"/>
      <c r="E1626" s="201"/>
      <c r="F1626" s="201"/>
      <c r="I1626" s="198" t="s">
        <v>122</v>
      </c>
      <c r="J1626" s="198" t="s">
        <v>126</v>
      </c>
      <c r="K1626" s="202">
        <f t="shared" si="25"/>
        <v>833850</v>
      </c>
      <c r="L1626" s="202">
        <v>163.5</v>
      </c>
      <c r="N1626" s="202">
        <v>6358</v>
      </c>
      <c r="S1626" s="204"/>
      <c r="W1626" s="198" t="s">
        <v>51</v>
      </c>
      <c r="AE1626" s="198" t="s">
        <v>835</v>
      </c>
    </row>
    <row r="1627" spans="3:31" x14ac:dyDescent="0.25">
      <c r="C1627" s="201"/>
      <c r="E1627" s="201"/>
      <c r="F1627" s="201"/>
      <c r="I1627" s="198" t="s">
        <v>122</v>
      </c>
      <c r="J1627" s="198" t="s">
        <v>126</v>
      </c>
      <c r="K1627" s="202">
        <f t="shared" si="25"/>
        <v>834360</v>
      </c>
      <c r="L1627" s="202">
        <v>163.6</v>
      </c>
      <c r="N1627" s="202">
        <v>19887.8</v>
      </c>
      <c r="S1627" s="204"/>
      <c r="W1627" s="198" t="s">
        <v>51</v>
      </c>
      <c r="AE1627" s="198" t="s">
        <v>835</v>
      </c>
    </row>
    <row r="1628" spans="3:31" x14ac:dyDescent="0.25">
      <c r="C1628" s="201"/>
      <c r="E1628" s="201"/>
      <c r="F1628" s="201"/>
      <c r="I1628" s="198" t="s">
        <v>843</v>
      </c>
      <c r="J1628" s="198" t="s">
        <v>137</v>
      </c>
      <c r="K1628" s="202">
        <f t="shared" si="25"/>
        <v>834870</v>
      </c>
      <c r="L1628" s="202">
        <v>163.69999999999999</v>
      </c>
      <c r="N1628" s="202">
        <v>0.62</v>
      </c>
      <c r="S1628" s="203"/>
      <c r="W1628" s="198" t="s">
        <v>51</v>
      </c>
      <c r="AE1628" s="198" t="s">
        <v>54</v>
      </c>
    </row>
    <row r="1629" spans="3:31" x14ac:dyDescent="0.25">
      <c r="C1629" s="201"/>
      <c r="E1629" s="201"/>
      <c r="F1629" s="201"/>
      <c r="I1629" s="198" t="s">
        <v>122</v>
      </c>
      <c r="J1629" s="198" t="s">
        <v>126</v>
      </c>
      <c r="K1629" s="202">
        <f t="shared" si="25"/>
        <v>835380</v>
      </c>
      <c r="L1629" s="202">
        <v>163.80000000000001</v>
      </c>
      <c r="N1629" s="202">
        <v>58420.800000000003</v>
      </c>
      <c r="S1629" s="204"/>
      <c r="W1629" s="198" t="s">
        <v>51</v>
      </c>
      <c r="AE1629" s="198" t="s">
        <v>835</v>
      </c>
    </row>
    <row r="1630" spans="3:31" x14ac:dyDescent="0.25">
      <c r="C1630" s="201"/>
      <c r="E1630" s="201"/>
      <c r="F1630" s="201"/>
      <c r="I1630" s="198" t="s">
        <v>122</v>
      </c>
      <c r="J1630" s="198" t="s">
        <v>126</v>
      </c>
      <c r="K1630" s="202">
        <f t="shared" si="25"/>
        <v>835890</v>
      </c>
      <c r="L1630" s="202">
        <v>163.9</v>
      </c>
      <c r="N1630" s="202">
        <v>36691.199999999997</v>
      </c>
      <c r="S1630" s="204"/>
      <c r="W1630" s="198" t="s">
        <v>51</v>
      </c>
      <c r="AE1630" s="198" t="s">
        <v>835</v>
      </c>
    </row>
    <row r="1631" spans="3:31" x14ac:dyDescent="0.25">
      <c r="C1631" s="201"/>
      <c r="E1631" s="201"/>
      <c r="F1631" s="201"/>
      <c r="I1631" s="198" t="s">
        <v>122</v>
      </c>
      <c r="J1631" s="198" t="s">
        <v>126</v>
      </c>
      <c r="K1631" s="202">
        <f t="shared" si="25"/>
        <v>836400</v>
      </c>
      <c r="L1631" s="202">
        <v>164</v>
      </c>
      <c r="N1631" s="202">
        <v>39639.599999999999</v>
      </c>
      <c r="S1631" s="204"/>
      <c r="W1631" s="198" t="s">
        <v>51</v>
      </c>
      <c r="AE1631" s="198" t="s">
        <v>835</v>
      </c>
    </row>
    <row r="1632" spans="3:31" x14ac:dyDescent="0.25">
      <c r="C1632" s="201"/>
      <c r="E1632" s="201"/>
      <c r="F1632" s="201"/>
      <c r="I1632" s="198" t="s">
        <v>133</v>
      </c>
      <c r="J1632" s="198" t="s">
        <v>134</v>
      </c>
      <c r="K1632" s="202">
        <f t="shared" si="25"/>
        <v>836910</v>
      </c>
      <c r="L1632" s="202">
        <v>164.1</v>
      </c>
      <c r="N1632" s="202">
        <v>3895920</v>
      </c>
      <c r="S1632" s="204"/>
      <c r="W1632" s="198" t="s">
        <v>51</v>
      </c>
      <c r="AE1632" s="198" t="s">
        <v>846</v>
      </c>
    </row>
    <row r="1633" spans="3:31" x14ac:dyDescent="0.25">
      <c r="C1633" s="201"/>
      <c r="E1633" s="201"/>
      <c r="F1633" s="201"/>
      <c r="I1633" s="198" t="s">
        <v>753</v>
      </c>
      <c r="J1633" s="198" t="s">
        <v>143</v>
      </c>
      <c r="K1633" s="202">
        <f t="shared" si="25"/>
        <v>837420</v>
      </c>
      <c r="L1633" s="202">
        <v>164.2</v>
      </c>
      <c r="N1633" s="202">
        <v>1785000</v>
      </c>
      <c r="S1633" s="203"/>
      <c r="W1633" s="198" t="s">
        <v>51</v>
      </c>
      <c r="AE1633" s="198" t="s">
        <v>829</v>
      </c>
    </row>
    <row r="1634" spans="3:31" x14ac:dyDescent="0.25">
      <c r="C1634" s="201"/>
      <c r="E1634" s="201"/>
      <c r="F1634" s="201"/>
      <c r="I1634" s="198" t="s">
        <v>753</v>
      </c>
      <c r="J1634" s="198" t="s">
        <v>143</v>
      </c>
      <c r="K1634" s="202">
        <f t="shared" si="25"/>
        <v>837930</v>
      </c>
      <c r="L1634" s="202">
        <v>164.3</v>
      </c>
      <c r="N1634" s="202">
        <v>1487500</v>
      </c>
      <c r="S1634" s="203"/>
      <c r="W1634" s="198" t="s">
        <v>51</v>
      </c>
      <c r="AE1634" s="198" t="s">
        <v>829</v>
      </c>
    </row>
    <row r="1635" spans="3:31" x14ac:dyDescent="0.25">
      <c r="C1635" s="201"/>
      <c r="E1635" s="201"/>
      <c r="F1635" s="201"/>
      <c r="I1635" s="198" t="s">
        <v>723</v>
      </c>
      <c r="J1635" s="198" t="s">
        <v>153</v>
      </c>
      <c r="K1635" s="202">
        <f t="shared" si="25"/>
        <v>838440</v>
      </c>
      <c r="L1635" s="202">
        <v>164.4</v>
      </c>
      <c r="N1635" s="202">
        <v>1785000</v>
      </c>
      <c r="S1635" s="203"/>
      <c r="W1635" s="198" t="s">
        <v>51</v>
      </c>
      <c r="AE1635" s="198" t="s">
        <v>1768</v>
      </c>
    </row>
    <row r="1636" spans="3:31" x14ac:dyDescent="0.25">
      <c r="C1636" s="201"/>
      <c r="E1636" s="201"/>
      <c r="F1636" s="201"/>
      <c r="I1636" s="198" t="s">
        <v>724</v>
      </c>
      <c r="J1636" s="198" t="s">
        <v>156</v>
      </c>
      <c r="K1636" s="202">
        <f t="shared" si="25"/>
        <v>838950</v>
      </c>
      <c r="L1636" s="202">
        <v>164.5</v>
      </c>
      <c r="N1636" s="202">
        <v>1785000</v>
      </c>
      <c r="S1636" s="203"/>
      <c r="W1636" s="198" t="s">
        <v>51</v>
      </c>
      <c r="AE1636" s="198" t="s">
        <v>828</v>
      </c>
    </row>
    <row r="1637" spans="3:31" x14ac:dyDescent="0.25">
      <c r="C1637" s="201"/>
      <c r="E1637" s="201"/>
      <c r="F1637" s="201"/>
      <c r="I1637" s="198" t="s">
        <v>723</v>
      </c>
      <c r="J1637" s="198" t="s">
        <v>153</v>
      </c>
      <c r="K1637" s="202">
        <f t="shared" si="25"/>
        <v>839460</v>
      </c>
      <c r="L1637" s="202">
        <v>164.6</v>
      </c>
      <c r="N1637" s="202">
        <v>1190000</v>
      </c>
      <c r="S1637" s="203"/>
      <c r="W1637" s="198" t="s">
        <v>51</v>
      </c>
      <c r="AE1637" s="198" t="s">
        <v>1768</v>
      </c>
    </row>
    <row r="1638" spans="3:31" x14ac:dyDescent="0.25">
      <c r="C1638" s="201"/>
      <c r="E1638" s="201"/>
      <c r="F1638" s="201"/>
      <c r="I1638" s="198" t="s">
        <v>723</v>
      </c>
      <c r="J1638" s="198" t="s">
        <v>153</v>
      </c>
      <c r="K1638" s="202">
        <f t="shared" si="25"/>
        <v>839970</v>
      </c>
      <c r="L1638" s="202">
        <v>164.7</v>
      </c>
      <c r="N1638" s="202">
        <v>892500</v>
      </c>
      <c r="S1638" s="203"/>
      <c r="W1638" s="198" t="s">
        <v>51</v>
      </c>
      <c r="AE1638" s="198" t="s">
        <v>1768</v>
      </c>
    </row>
    <row r="1639" spans="3:31" x14ac:dyDescent="0.25">
      <c r="C1639" s="201"/>
      <c r="E1639" s="201"/>
      <c r="F1639" s="201"/>
      <c r="I1639" s="198" t="s">
        <v>583</v>
      </c>
      <c r="J1639" s="198" t="s">
        <v>134</v>
      </c>
      <c r="K1639" s="202">
        <f t="shared" si="25"/>
        <v>840480</v>
      </c>
      <c r="L1639" s="202">
        <v>164.8</v>
      </c>
      <c r="N1639" s="202">
        <v>0.5</v>
      </c>
      <c r="S1639" s="204"/>
      <c r="W1639" s="198" t="s">
        <v>51</v>
      </c>
      <c r="AE1639" s="198" t="s">
        <v>846</v>
      </c>
    </row>
    <row r="1640" spans="3:31" x14ac:dyDescent="0.25">
      <c r="C1640" s="201"/>
      <c r="E1640" s="201"/>
      <c r="F1640" s="201"/>
      <c r="I1640" s="198" t="s">
        <v>583</v>
      </c>
      <c r="J1640" s="198" t="s">
        <v>134</v>
      </c>
      <c r="K1640" s="202">
        <f t="shared" si="25"/>
        <v>840990</v>
      </c>
      <c r="L1640" s="202">
        <v>164.9</v>
      </c>
      <c r="N1640" s="202">
        <v>5283425</v>
      </c>
      <c r="S1640" s="204"/>
      <c r="W1640" s="198" t="s">
        <v>51</v>
      </c>
      <c r="AE1640" s="198" t="s">
        <v>846</v>
      </c>
    </row>
    <row r="1641" spans="3:31" x14ac:dyDescent="0.25">
      <c r="C1641" s="201"/>
      <c r="E1641" s="201"/>
      <c r="F1641" s="201"/>
      <c r="I1641" s="198" t="s">
        <v>583</v>
      </c>
      <c r="J1641" s="198" t="s">
        <v>134</v>
      </c>
      <c r="K1641" s="202">
        <f t="shared" si="25"/>
        <v>841500</v>
      </c>
      <c r="L1641" s="202">
        <v>165</v>
      </c>
      <c r="N1641" s="202">
        <v>5218825</v>
      </c>
      <c r="S1641" s="204"/>
      <c r="W1641" s="198" t="s">
        <v>51</v>
      </c>
      <c r="AE1641" s="198" t="s">
        <v>846</v>
      </c>
    </row>
    <row r="1642" spans="3:31" x14ac:dyDescent="0.25">
      <c r="C1642" s="201"/>
      <c r="E1642" s="201"/>
      <c r="F1642" s="201"/>
      <c r="I1642" s="198" t="s">
        <v>583</v>
      </c>
      <c r="J1642" s="198" t="s">
        <v>134</v>
      </c>
      <c r="K1642" s="202">
        <f t="shared" si="25"/>
        <v>842010</v>
      </c>
      <c r="L1642" s="202">
        <v>165.1</v>
      </c>
      <c r="N1642" s="202">
        <v>4750000</v>
      </c>
      <c r="S1642" s="204"/>
      <c r="W1642" s="198" t="s">
        <v>51</v>
      </c>
      <c r="AE1642" s="198" t="s">
        <v>846</v>
      </c>
    </row>
    <row r="1643" spans="3:31" x14ac:dyDescent="0.25">
      <c r="C1643" s="201"/>
      <c r="E1643" s="201"/>
      <c r="F1643" s="201"/>
      <c r="I1643" s="198" t="s">
        <v>583</v>
      </c>
      <c r="J1643" s="198" t="s">
        <v>134</v>
      </c>
      <c r="K1643" s="202">
        <f t="shared" si="25"/>
        <v>842520</v>
      </c>
      <c r="L1643" s="202">
        <v>165.2</v>
      </c>
      <c r="N1643" s="202">
        <v>5220250</v>
      </c>
      <c r="S1643" s="204"/>
      <c r="W1643" s="198" t="s">
        <v>51</v>
      </c>
      <c r="AE1643" s="198" t="s">
        <v>846</v>
      </c>
    </row>
    <row r="1644" spans="3:31" x14ac:dyDescent="0.25">
      <c r="C1644" s="201"/>
      <c r="E1644" s="201"/>
      <c r="F1644" s="201"/>
      <c r="I1644" s="198" t="s">
        <v>583</v>
      </c>
      <c r="J1644" s="198" t="s">
        <v>134</v>
      </c>
      <c r="K1644" s="202">
        <f t="shared" si="25"/>
        <v>843030</v>
      </c>
      <c r="L1644" s="202">
        <v>165.3</v>
      </c>
      <c r="N1644" s="202">
        <v>5262050</v>
      </c>
      <c r="S1644" s="204"/>
      <c r="W1644" s="198" t="s">
        <v>51</v>
      </c>
      <c r="AE1644" s="198" t="s">
        <v>846</v>
      </c>
    </row>
    <row r="1645" spans="3:31" x14ac:dyDescent="0.25">
      <c r="C1645" s="201"/>
      <c r="E1645" s="201"/>
      <c r="F1645" s="201"/>
      <c r="I1645" s="198" t="s">
        <v>430</v>
      </c>
      <c r="J1645" s="198" t="s">
        <v>130</v>
      </c>
      <c r="K1645" s="202">
        <f t="shared" si="25"/>
        <v>843540</v>
      </c>
      <c r="L1645" s="202">
        <v>165.4</v>
      </c>
      <c r="N1645" s="202">
        <v>401304000</v>
      </c>
      <c r="S1645" s="204"/>
      <c r="W1645" s="198" t="s">
        <v>51</v>
      </c>
      <c r="AE1645" s="198" t="s">
        <v>833</v>
      </c>
    </row>
    <row r="1646" spans="3:31" x14ac:dyDescent="0.25">
      <c r="C1646" s="201"/>
      <c r="E1646" s="201"/>
      <c r="F1646" s="201"/>
      <c r="I1646" s="198" t="s">
        <v>430</v>
      </c>
      <c r="J1646" s="198" t="s">
        <v>130</v>
      </c>
      <c r="K1646" s="202">
        <f t="shared" si="25"/>
        <v>844050</v>
      </c>
      <c r="L1646" s="202">
        <v>165.5</v>
      </c>
      <c r="N1646" s="202">
        <v>-401304000</v>
      </c>
      <c r="S1646" s="204"/>
      <c r="W1646" s="198" t="s">
        <v>51</v>
      </c>
      <c r="AE1646" s="198" t="s">
        <v>833</v>
      </c>
    </row>
    <row r="1647" spans="3:31" x14ac:dyDescent="0.25">
      <c r="C1647" s="201"/>
      <c r="E1647" s="201"/>
      <c r="F1647" s="201"/>
      <c r="I1647" s="198" t="s">
        <v>583</v>
      </c>
      <c r="J1647" s="198" t="s">
        <v>134</v>
      </c>
      <c r="K1647" s="202">
        <f t="shared" si="25"/>
        <v>844560</v>
      </c>
      <c r="L1647" s="202">
        <v>165.6</v>
      </c>
      <c r="N1647" s="202">
        <v>7899060</v>
      </c>
      <c r="S1647" s="204"/>
      <c r="W1647" s="198" t="s">
        <v>51</v>
      </c>
      <c r="AE1647" s="198" t="s">
        <v>846</v>
      </c>
    </row>
    <row r="1648" spans="3:31" x14ac:dyDescent="0.25">
      <c r="C1648" s="201"/>
      <c r="E1648" s="201"/>
      <c r="F1648" s="201"/>
      <c r="I1648" s="198" t="s">
        <v>133</v>
      </c>
      <c r="J1648" s="198" t="s">
        <v>134</v>
      </c>
      <c r="K1648" s="202">
        <f t="shared" si="25"/>
        <v>845070</v>
      </c>
      <c r="L1648" s="202">
        <v>165.7</v>
      </c>
      <c r="N1648" s="202">
        <v>847110</v>
      </c>
      <c r="S1648" s="204"/>
      <c r="W1648" s="198" t="s">
        <v>51</v>
      </c>
      <c r="AE1648" s="198" t="s">
        <v>846</v>
      </c>
    </row>
    <row r="1649" spans="3:31" x14ac:dyDescent="0.25">
      <c r="C1649" s="201"/>
      <c r="E1649" s="201"/>
      <c r="F1649" s="201"/>
      <c r="I1649" s="198" t="s">
        <v>133</v>
      </c>
      <c r="J1649" s="198" t="s">
        <v>134</v>
      </c>
      <c r="K1649" s="202">
        <f t="shared" si="25"/>
        <v>845580</v>
      </c>
      <c r="L1649" s="202">
        <v>165.8</v>
      </c>
      <c r="N1649" s="202">
        <v>700227</v>
      </c>
      <c r="S1649" s="204"/>
      <c r="W1649" s="198" t="s">
        <v>51</v>
      </c>
      <c r="AE1649" s="198" t="s">
        <v>846</v>
      </c>
    </row>
    <row r="1650" spans="3:31" x14ac:dyDescent="0.25">
      <c r="C1650" s="201"/>
      <c r="E1650" s="201"/>
      <c r="F1650" s="201"/>
      <c r="I1650" s="198" t="s">
        <v>362</v>
      </c>
      <c r="J1650" s="198" t="s">
        <v>132</v>
      </c>
      <c r="K1650" s="202">
        <f t="shared" si="25"/>
        <v>846090</v>
      </c>
      <c r="L1650" s="202">
        <v>165.9</v>
      </c>
      <c r="N1650" s="202">
        <v>297641645.75</v>
      </c>
      <c r="S1650" s="204"/>
      <c r="W1650" s="198" t="s">
        <v>51</v>
      </c>
      <c r="AE1650" s="198" t="s">
        <v>833</v>
      </c>
    </row>
    <row r="1651" spans="3:31" x14ac:dyDescent="0.25">
      <c r="C1651" s="201"/>
      <c r="E1651" s="201"/>
      <c r="F1651" s="201"/>
      <c r="I1651" s="198" t="s">
        <v>362</v>
      </c>
      <c r="J1651" s="198" t="s">
        <v>132</v>
      </c>
      <c r="K1651" s="202">
        <f t="shared" si="25"/>
        <v>846600</v>
      </c>
      <c r="L1651" s="202">
        <v>166</v>
      </c>
      <c r="N1651" s="202">
        <v>-297641645.75</v>
      </c>
      <c r="S1651" s="204"/>
      <c r="W1651" s="198" t="s">
        <v>51</v>
      </c>
      <c r="AE1651" s="198" t="s">
        <v>833</v>
      </c>
    </row>
    <row r="1652" spans="3:31" x14ac:dyDescent="0.25">
      <c r="C1652" s="201"/>
      <c r="E1652" s="201"/>
      <c r="F1652" s="201"/>
      <c r="I1652" s="198" t="s">
        <v>131</v>
      </c>
      <c r="J1652" s="198" t="s">
        <v>132</v>
      </c>
      <c r="K1652" s="202">
        <f t="shared" si="25"/>
        <v>847110</v>
      </c>
      <c r="L1652" s="202">
        <v>166.1</v>
      </c>
      <c r="N1652" s="202">
        <v>0.5</v>
      </c>
      <c r="S1652" s="203"/>
      <c r="W1652" s="198" t="s">
        <v>51</v>
      </c>
      <c r="AE1652" s="198" t="s">
        <v>54</v>
      </c>
    </row>
    <row r="1653" spans="3:31" x14ac:dyDescent="0.25">
      <c r="C1653" s="201"/>
      <c r="E1653" s="201"/>
      <c r="F1653" s="201"/>
      <c r="I1653" s="198" t="s">
        <v>122</v>
      </c>
      <c r="J1653" s="198" t="s">
        <v>126</v>
      </c>
      <c r="K1653" s="202">
        <f t="shared" si="25"/>
        <v>847620</v>
      </c>
      <c r="L1653" s="202">
        <v>166.2</v>
      </c>
      <c r="N1653" s="202">
        <v>0.44</v>
      </c>
      <c r="S1653" s="203"/>
      <c r="W1653" s="198" t="s">
        <v>51</v>
      </c>
      <c r="AE1653" s="198" t="s">
        <v>54</v>
      </c>
    </row>
    <row r="1654" spans="3:31" x14ac:dyDescent="0.25">
      <c r="C1654" s="201"/>
      <c r="E1654" s="201"/>
      <c r="F1654" s="201"/>
      <c r="I1654" s="198" t="s">
        <v>536</v>
      </c>
      <c r="J1654" s="198" t="s">
        <v>126</v>
      </c>
      <c r="K1654" s="202">
        <f t="shared" si="25"/>
        <v>848130</v>
      </c>
      <c r="L1654" s="202">
        <v>166.3</v>
      </c>
      <c r="N1654" s="202">
        <v>-0.53</v>
      </c>
      <c r="S1654" s="203"/>
      <c r="W1654" s="198" t="s">
        <v>51</v>
      </c>
      <c r="AE1654" s="198" t="s">
        <v>54</v>
      </c>
    </row>
    <row r="1655" spans="3:31" x14ac:dyDescent="0.25">
      <c r="C1655" s="201"/>
      <c r="E1655" s="201"/>
      <c r="F1655" s="201"/>
      <c r="I1655" s="198" t="s">
        <v>554</v>
      </c>
      <c r="J1655" s="198" t="s">
        <v>130</v>
      </c>
      <c r="K1655" s="202">
        <f t="shared" si="25"/>
        <v>848640</v>
      </c>
      <c r="L1655" s="202">
        <v>166.4</v>
      </c>
      <c r="N1655" s="202">
        <v>-0.25</v>
      </c>
      <c r="S1655" s="203"/>
      <c r="W1655" s="198" t="s">
        <v>51</v>
      </c>
      <c r="AE1655" s="198" t="s">
        <v>54</v>
      </c>
    </row>
    <row r="1656" spans="3:31" x14ac:dyDescent="0.25">
      <c r="C1656" s="201"/>
      <c r="E1656" s="201"/>
      <c r="F1656" s="201"/>
      <c r="I1656" s="198" t="s">
        <v>131</v>
      </c>
      <c r="J1656" s="198" t="s">
        <v>132</v>
      </c>
      <c r="K1656" s="202">
        <f t="shared" si="25"/>
        <v>849150</v>
      </c>
      <c r="L1656" s="202">
        <v>166.5</v>
      </c>
      <c r="N1656" s="202">
        <v>0.28000000000000003</v>
      </c>
      <c r="S1656" s="204"/>
      <c r="W1656" s="198" t="s">
        <v>51</v>
      </c>
      <c r="AE1656" s="198" t="s">
        <v>833</v>
      </c>
    </row>
    <row r="1657" spans="3:31" x14ac:dyDescent="0.25">
      <c r="C1657" s="201"/>
      <c r="E1657" s="201"/>
      <c r="F1657" s="201"/>
      <c r="I1657" s="198" t="s">
        <v>786</v>
      </c>
      <c r="J1657" s="198" t="s">
        <v>143</v>
      </c>
      <c r="K1657" s="202">
        <f t="shared" si="25"/>
        <v>849660</v>
      </c>
      <c r="L1657" s="202">
        <v>166.6</v>
      </c>
      <c r="N1657" s="202">
        <v>62.7</v>
      </c>
      <c r="S1657" s="204"/>
      <c r="W1657" s="198" t="s">
        <v>51</v>
      </c>
      <c r="AE1657" s="198" t="s">
        <v>829</v>
      </c>
    </row>
    <row r="1658" spans="3:31" x14ac:dyDescent="0.25">
      <c r="C1658" s="201"/>
      <c r="E1658" s="201"/>
      <c r="F1658" s="201"/>
      <c r="I1658" s="198" t="s">
        <v>135</v>
      </c>
      <c r="J1658" s="198" t="s">
        <v>117</v>
      </c>
      <c r="K1658" s="202">
        <f t="shared" si="25"/>
        <v>850170</v>
      </c>
      <c r="L1658" s="202">
        <v>166.7</v>
      </c>
      <c r="N1658" s="202">
        <v>2325400</v>
      </c>
      <c r="S1658" s="204"/>
      <c r="W1658" s="198" t="s">
        <v>51</v>
      </c>
      <c r="AE1658" s="198" t="s">
        <v>878</v>
      </c>
    </row>
    <row r="1659" spans="3:31" x14ac:dyDescent="0.25">
      <c r="C1659" s="201"/>
      <c r="E1659" s="201"/>
      <c r="F1659" s="201"/>
      <c r="I1659" s="198" t="s">
        <v>135</v>
      </c>
      <c r="J1659" s="198" t="s">
        <v>117</v>
      </c>
      <c r="K1659" s="202">
        <f t="shared" si="25"/>
        <v>850680</v>
      </c>
      <c r="L1659" s="202">
        <v>166.8</v>
      </c>
      <c r="N1659" s="202">
        <v>16157</v>
      </c>
      <c r="S1659" s="204"/>
      <c r="W1659" s="198" t="s">
        <v>51</v>
      </c>
      <c r="AE1659" s="198" t="s">
        <v>878</v>
      </c>
    </row>
    <row r="1660" spans="3:31" x14ac:dyDescent="0.25">
      <c r="C1660" s="201"/>
      <c r="E1660" s="201"/>
      <c r="F1660" s="201"/>
      <c r="I1660" s="198" t="s">
        <v>199</v>
      </c>
      <c r="J1660" s="198" t="s">
        <v>167</v>
      </c>
      <c r="K1660" s="202">
        <f t="shared" si="25"/>
        <v>851190</v>
      </c>
      <c r="L1660" s="202">
        <v>166.9</v>
      </c>
      <c r="N1660" s="202">
        <v>354290</v>
      </c>
      <c r="S1660" s="204"/>
      <c r="W1660" s="198" t="s">
        <v>51</v>
      </c>
      <c r="AE1660" s="198" t="s">
        <v>831</v>
      </c>
    </row>
    <row r="1661" spans="3:31" x14ac:dyDescent="0.25">
      <c r="C1661" s="201"/>
      <c r="E1661" s="201"/>
      <c r="F1661" s="201"/>
      <c r="I1661" s="198" t="s">
        <v>199</v>
      </c>
      <c r="J1661" s="198" t="s">
        <v>167</v>
      </c>
      <c r="K1661" s="202">
        <f t="shared" si="25"/>
        <v>851700</v>
      </c>
      <c r="L1661" s="202">
        <v>167</v>
      </c>
      <c r="N1661" s="202">
        <v>354290</v>
      </c>
      <c r="S1661" s="204"/>
      <c r="W1661" s="198" t="s">
        <v>51</v>
      </c>
      <c r="AE1661" s="198" t="s">
        <v>831</v>
      </c>
    </row>
    <row r="1662" spans="3:31" x14ac:dyDescent="0.25">
      <c r="C1662" s="201"/>
      <c r="E1662" s="201"/>
      <c r="F1662" s="201"/>
      <c r="I1662" s="198" t="s">
        <v>199</v>
      </c>
      <c r="J1662" s="198" t="s">
        <v>167</v>
      </c>
      <c r="K1662" s="202">
        <f t="shared" si="25"/>
        <v>852210</v>
      </c>
      <c r="L1662" s="202">
        <v>167.1</v>
      </c>
      <c r="N1662" s="202">
        <v>354290</v>
      </c>
      <c r="S1662" s="204"/>
      <c r="W1662" s="198" t="s">
        <v>51</v>
      </c>
      <c r="AE1662" s="198" t="s">
        <v>831</v>
      </c>
    </row>
    <row r="1663" spans="3:31" x14ac:dyDescent="0.25">
      <c r="C1663" s="201"/>
      <c r="E1663" s="201"/>
      <c r="F1663" s="201"/>
      <c r="I1663" s="198" t="s">
        <v>199</v>
      </c>
      <c r="J1663" s="198" t="s">
        <v>167</v>
      </c>
      <c r="K1663" s="202">
        <f t="shared" si="25"/>
        <v>852720</v>
      </c>
      <c r="L1663" s="202">
        <v>167.2</v>
      </c>
      <c r="N1663" s="202">
        <v>-354290</v>
      </c>
      <c r="S1663" s="204"/>
      <c r="W1663" s="198" t="s">
        <v>51</v>
      </c>
      <c r="AE1663" s="198" t="s">
        <v>831</v>
      </c>
    </row>
    <row r="1664" spans="3:31" x14ac:dyDescent="0.25">
      <c r="C1664" s="201"/>
      <c r="E1664" s="201"/>
      <c r="F1664" s="201"/>
      <c r="I1664" s="198" t="s">
        <v>199</v>
      </c>
      <c r="J1664" s="198" t="s">
        <v>167</v>
      </c>
      <c r="K1664" s="202">
        <f t="shared" si="25"/>
        <v>853230</v>
      </c>
      <c r="L1664" s="202">
        <v>167.3</v>
      </c>
      <c r="N1664" s="202">
        <v>354290</v>
      </c>
      <c r="S1664" s="204"/>
      <c r="W1664" s="198" t="s">
        <v>51</v>
      </c>
      <c r="AE1664" s="198" t="s">
        <v>831</v>
      </c>
    </row>
    <row r="1665" spans="3:31" x14ac:dyDescent="0.25">
      <c r="C1665" s="201"/>
      <c r="E1665" s="201"/>
      <c r="F1665" s="201"/>
      <c r="I1665" s="198" t="s">
        <v>199</v>
      </c>
      <c r="J1665" s="198" t="s">
        <v>167</v>
      </c>
      <c r="K1665" s="202">
        <f t="shared" si="25"/>
        <v>853740</v>
      </c>
      <c r="L1665" s="202">
        <v>167.4</v>
      </c>
      <c r="N1665" s="202">
        <v>354290</v>
      </c>
      <c r="S1665" s="204"/>
      <c r="W1665" s="198" t="s">
        <v>51</v>
      </c>
      <c r="AE1665" s="198" t="s">
        <v>831</v>
      </c>
    </row>
    <row r="1666" spans="3:31" x14ac:dyDescent="0.25">
      <c r="C1666" s="201"/>
      <c r="E1666" s="201"/>
      <c r="F1666" s="201"/>
      <c r="I1666" s="198" t="s">
        <v>199</v>
      </c>
      <c r="J1666" s="198" t="s">
        <v>167</v>
      </c>
      <c r="K1666" s="202">
        <f t="shared" si="25"/>
        <v>854250</v>
      </c>
      <c r="L1666" s="202">
        <v>167.5</v>
      </c>
      <c r="N1666" s="202">
        <v>354290</v>
      </c>
      <c r="S1666" s="204"/>
      <c r="W1666" s="198" t="s">
        <v>51</v>
      </c>
      <c r="AE1666" s="198" t="s">
        <v>831</v>
      </c>
    </row>
    <row r="1667" spans="3:31" x14ac:dyDescent="0.25">
      <c r="C1667" s="201"/>
      <c r="E1667" s="201"/>
      <c r="F1667" s="201"/>
      <c r="I1667" s="198" t="s">
        <v>199</v>
      </c>
      <c r="J1667" s="198" t="s">
        <v>167</v>
      </c>
      <c r="K1667" s="202">
        <f t="shared" ref="K1667:K1730" si="26">L1667*5100</f>
        <v>854760</v>
      </c>
      <c r="L1667" s="202">
        <v>167.6</v>
      </c>
      <c r="N1667" s="202">
        <v>354290</v>
      </c>
      <c r="S1667" s="204"/>
      <c r="W1667" s="198" t="s">
        <v>51</v>
      </c>
      <c r="AE1667" s="198" t="s">
        <v>831</v>
      </c>
    </row>
    <row r="1668" spans="3:31" x14ac:dyDescent="0.25">
      <c r="C1668" s="201"/>
      <c r="E1668" s="201"/>
      <c r="F1668" s="201"/>
      <c r="I1668" s="198" t="s">
        <v>199</v>
      </c>
      <c r="J1668" s="198" t="s">
        <v>167</v>
      </c>
      <c r="K1668" s="202">
        <f t="shared" si="26"/>
        <v>855270</v>
      </c>
      <c r="L1668" s="202">
        <v>167.7</v>
      </c>
      <c r="N1668" s="202">
        <v>354290</v>
      </c>
      <c r="S1668" s="204"/>
      <c r="W1668" s="198" t="s">
        <v>51</v>
      </c>
      <c r="AE1668" s="198" t="s">
        <v>831</v>
      </c>
    </row>
    <row r="1669" spans="3:31" x14ac:dyDescent="0.25">
      <c r="C1669" s="201"/>
      <c r="E1669" s="201"/>
      <c r="F1669" s="201"/>
      <c r="I1669" s="198" t="s">
        <v>199</v>
      </c>
      <c r="J1669" s="198" t="s">
        <v>167</v>
      </c>
      <c r="K1669" s="202">
        <f t="shared" si="26"/>
        <v>855780</v>
      </c>
      <c r="L1669" s="202">
        <v>167.8</v>
      </c>
      <c r="N1669" s="202">
        <v>354290</v>
      </c>
      <c r="S1669" s="204"/>
      <c r="W1669" s="198" t="s">
        <v>51</v>
      </c>
      <c r="AE1669" s="198" t="s">
        <v>831</v>
      </c>
    </row>
    <row r="1670" spans="3:31" x14ac:dyDescent="0.25">
      <c r="C1670" s="201"/>
      <c r="E1670" s="201"/>
      <c r="F1670" s="201"/>
      <c r="I1670" s="198" t="s">
        <v>199</v>
      </c>
      <c r="J1670" s="198" t="s">
        <v>167</v>
      </c>
      <c r="K1670" s="202">
        <f t="shared" si="26"/>
        <v>856290</v>
      </c>
      <c r="L1670" s="202">
        <v>167.9</v>
      </c>
      <c r="N1670" s="202">
        <v>354290</v>
      </c>
      <c r="S1670" s="204"/>
      <c r="W1670" s="198" t="s">
        <v>51</v>
      </c>
      <c r="AE1670" s="198" t="s">
        <v>831</v>
      </c>
    </row>
    <row r="1671" spans="3:31" x14ac:dyDescent="0.25">
      <c r="C1671" s="201"/>
      <c r="E1671" s="201"/>
      <c r="F1671" s="201"/>
      <c r="I1671" s="198" t="s">
        <v>199</v>
      </c>
      <c r="J1671" s="198" t="s">
        <v>167</v>
      </c>
      <c r="K1671" s="202">
        <f t="shared" si="26"/>
        <v>856800</v>
      </c>
      <c r="L1671" s="202">
        <v>168</v>
      </c>
      <c r="N1671" s="202">
        <v>354290</v>
      </c>
      <c r="S1671" s="204"/>
      <c r="W1671" s="198" t="s">
        <v>51</v>
      </c>
      <c r="AE1671" s="198" t="s">
        <v>831</v>
      </c>
    </row>
    <row r="1672" spans="3:31" x14ac:dyDescent="0.25">
      <c r="C1672" s="201"/>
      <c r="E1672" s="201"/>
      <c r="F1672" s="201"/>
      <c r="I1672" s="198" t="s">
        <v>199</v>
      </c>
      <c r="J1672" s="198" t="s">
        <v>167</v>
      </c>
      <c r="K1672" s="202">
        <f t="shared" si="26"/>
        <v>857310</v>
      </c>
      <c r="L1672" s="202">
        <v>168.1</v>
      </c>
      <c r="N1672" s="202">
        <v>354290</v>
      </c>
      <c r="S1672" s="204"/>
      <c r="W1672" s="198" t="s">
        <v>51</v>
      </c>
      <c r="AE1672" s="198" t="s">
        <v>831</v>
      </c>
    </row>
    <row r="1673" spans="3:31" x14ac:dyDescent="0.25">
      <c r="C1673" s="201"/>
      <c r="E1673" s="201"/>
      <c r="F1673" s="201"/>
      <c r="I1673" s="198" t="s">
        <v>199</v>
      </c>
      <c r="J1673" s="198" t="s">
        <v>167</v>
      </c>
      <c r="K1673" s="202">
        <f t="shared" si="26"/>
        <v>857820</v>
      </c>
      <c r="L1673" s="202">
        <v>168.2</v>
      </c>
      <c r="N1673" s="202">
        <v>354290</v>
      </c>
      <c r="S1673" s="204"/>
      <c r="W1673" s="198" t="s">
        <v>51</v>
      </c>
      <c r="AE1673" s="198" t="s">
        <v>831</v>
      </c>
    </row>
    <row r="1674" spans="3:31" x14ac:dyDescent="0.25">
      <c r="C1674" s="201"/>
      <c r="E1674" s="201"/>
      <c r="F1674" s="201"/>
      <c r="I1674" s="198" t="s">
        <v>199</v>
      </c>
      <c r="J1674" s="198" t="s">
        <v>167</v>
      </c>
      <c r="K1674" s="202">
        <f t="shared" si="26"/>
        <v>858330</v>
      </c>
      <c r="L1674" s="202">
        <v>168.3</v>
      </c>
      <c r="N1674" s="202">
        <v>354290</v>
      </c>
      <c r="S1674" s="204"/>
      <c r="W1674" s="198" t="s">
        <v>51</v>
      </c>
      <c r="AE1674" s="198" t="s">
        <v>831</v>
      </c>
    </row>
    <row r="1675" spans="3:31" x14ac:dyDescent="0.25">
      <c r="C1675" s="201"/>
      <c r="E1675" s="201"/>
      <c r="F1675" s="201"/>
      <c r="I1675" s="198" t="s">
        <v>668</v>
      </c>
      <c r="J1675" s="198" t="s">
        <v>112</v>
      </c>
      <c r="K1675" s="202">
        <f t="shared" si="26"/>
        <v>858840</v>
      </c>
      <c r="L1675" s="202">
        <v>168.4</v>
      </c>
      <c r="N1675" s="202">
        <v>-0.04</v>
      </c>
      <c r="S1675" s="204"/>
      <c r="W1675" s="198" t="s">
        <v>51</v>
      </c>
      <c r="AE1675" s="198" t="s">
        <v>831</v>
      </c>
    </row>
    <row r="1676" spans="3:31" x14ac:dyDescent="0.25">
      <c r="C1676" s="201"/>
      <c r="E1676" s="201"/>
      <c r="F1676" s="201"/>
      <c r="I1676" s="198" t="s">
        <v>583</v>
      </c>
      <c r="J1676" s="198" t="s">
        <v>134</v>
      </c>
      <c r="K1676" s="202">
        <f t="shared" si="26"/>
        <v>859350</v>
      </c>
      <c r="L1676" s="202">
        <v>168.5</v>
      </c>
      <c r="N1676" s="202">
        <v>0.5</v>
      </c>
      <c r="S1676" s="204"/>
      <c r="W1676" s="198" t="s">
        <v>51</v>
      </c>
      <c r="AE1676" s="198" t="s">
        <v>846</v>
      </c>
    </row>
    <row r="1677" spans="3:31" x14ac:dyDescent="0.25">
      <c r="C1677" s="201"/>
      <c r="E1677" s="201"/>
      <c r="F1677" s="201"/>
      <c r="I1677" s="198" t="s">
        <v>583</v>
      </c>
      <c r="J1677" s="198" t="s">
        <v>134</v>
      </c>
      <c r="K1677" s="202">
        <f t="shared" si="26"/>
        <v>859860</v>
      </c>
      <c r="L1677" s="202">
        <v>168.6</v>
      </c>
      <c r="N1677" s="202">
        <v>0.5</v>
      </c>
      <c r="S1677" s="204"/>
      <c r="W1677" s="198" t="s">
        <v>51</v>
      </c>
      <c r="AE1677" s="198" t="s">
        <v>846</v>
      </c>
    </row>
    <row r="1678" spans="3:31" x14ac:dyDescent="0.25">
      <c r="C1678" s="201"/>
      <c r="E1678" s="201"/>
      <c r="F1678" s="201"/>
      <c r="I1678" s="198" t="s">
        <v>77</v>
      </c>
      <c r="J1678" s="198" t="s">
        <v>65</v>
      </c>
      <c r="K1678" s="202">
        <f t="shared" si="26"/>
        <v>860370</v>
      </c>
      <c r="L1678" s="202">
        <v>168.7</v>
      </c>
      <c r="N1678" s="202">
        <v>-0.47</v>
      </c>
      <c r="S1678" s="204"/>
      <c r="W1678" s="198" t="s">
        <v>51</v>
      </c>
      <c r="AE1678" s="198" t="s">
        <v>831</v>
      </c>
    </row>
    <row r="1679" spans="3:31" x14ac:dyDescent="0.25">
      <c r="C1679" s="201"/>
      <c r="E1679" s="201"/>
      <c r="F1679" s="201"/>
      <c r="I1679" s="198" t="s">
        <v>133</v>
      </c>
      <c r="J1679" s="198" t="s">
        <v>134</v>
      </c>
      <c r="K1679" s="202">
        <f t="shared" si="26"/>
        <v>860880</v>
      </c>
      <c r="L1679" s="202">
        <v>168.8</v>
      </c>
      <c r="N1679" s="202">
        <v>0.4</v>
      </c>
      <c r="S1679" s="204"/>
      <c r="W1679" s="198" t="s">
        <v>51</v>
      </c>
      <c r="AE1679" s="198" t="s">
        <v>846</v>
      </c>
    </row>
    <row r="1680" spans="3:31" x14ac:dyDescent="0.25">
      <c r="C1680" s="201"/>
      <c r="E1680" s="201"/>
      <c r="F1680" s="201"/>
      <c r="I1680" s="198" t="s">
        <v>122</v>
      </c>
      <c r="J1680" s="198" t="s">
        <v>126</v>
      </c>
      <c r="K1680" s="202">
        <f t="shared" si="26"/>
        <v>861390</v>
      </c>
      <c r="L1680" s="202">
        <v>168.9</v>
      </c>
      <c r="N1680" s="202">
        <v>0.1</v>
      </c>
      <c r="S1680" s="204"/>
      <c r="W1680" s="198" t="s">
        <v>51</v>
      </c>
      <c r="AE1680" s="198" t="s">
        <v>835</v>
      </c>
    </row>
    <row r="1681" spans="3:31" x14ac:dyDescent="0.25">
      <c r="C1681" s="201"/>
      <c r="E1681" s="201"/>
      <c r="F1681" s="201"/>
      <c r="I1681" s="198" t="s">
        <v>583</v>
      </c>
      <c r="J1681" s="198" t="s">
        <v>134</v>
      </c>
      <c r="K1681" s="202">
        <f t="shared" si="26"/>
        <v>861900</v>
      </c>
      <c r="L1681" s="202">
        <v>169</v>
      </c>
      <c r="N1681" s="202">
        <v>0.5</v>
      </c>
      <c r="S1681" s="204"/>
      <c r="W1681" s="198" t="s">
        <v>51</v>
      </c>
      <c r="AE1681" s="198" t="s">
        <v>846</v>
      </c>
    </row>
    <row r="1682" spans="3:31" x14ac:dyDescent="0.25">
      <c r="C1682" s="201"/>
      <c r="E1682" s="201"/>
      <c r="F1682" s="201"/>
      <c r="I1682" s="198" t="s">
        <v>136</v>
      </c>
      <c r="J1682" s="198" t="s">
        <v>137</v>
      </c>
      <c r="K1682" s="202">
        <f t="shared" si="26"/>
        <v>862410</v>
      </c>
      <c r="L1682" s="202">
        <v>169.1</v>
      </c>
      <c r="N1682" s="202">
        <v>0.34</v>
      </c>
      <c r="S1682" s="204"/>
      <c r="W1682" s="198" t="s">
        <v>51</v>
      </c>
      <c r="AE1682" s="198" t="s">
        <v>844</v>
      </c>
    </row>
    <row r="1683" spans="3:31" x14ac:dyDescent="0.25">
      <c r="C1683" s="201"/>
      <c r="E1683" s="201"/>
      <c r="F1683" s="201"/>
      <c r="I1683" s="198" t="s">
        <v>122</v>
      </c>
      <c r="J1683" s="198" t="s">
        <v>126</v>
      </c>
      <c r="K1683" s="202">
        <f t="shared" si="26"/>
        <v>862920</v>
      </c>
      <c r="L1683" s="202">
        <v>169.2</v>
      </c>
      <c r="N1683" s="202">
        <v>0.38</v>
      </c>
      <c r="S1683" s="204"/>
      <c r="W1683" s="198" t="s">
        <v>51</v>
      </c>
      <c r="AE1683" s="198" t="s">
        <v>835</v>
      </c>
    </row>
    <row r="1684" spans="3:31" x14ac:dyDescent="0.25">
      <c r="C1684" s="201"/>
      <c r="E1684" s="201"/>
      <c r="F1684" s="201"/>
      <c r="I1684" s="198" t="s">
        <v>519</v>
      </c>
      <c r="J1684" s="198" t="s">
        <v>130</v>
      </c>
      <c r="K1684" s="202">
        <f t="shared" si="26"/>
        <v>863430</v>
      </c>
      <c r="L1684" s="202">
        <v>169.3</v>
      </c>
      <c r="N1684" s="202">
        <v>7740363</v>
      </c>
      <c r="S1684" s="204"/>
      <c r="W1684" s="198" t="s">
        <v>51</v>
      </c>
      <c r="AE1684" s="198" t="s">
        <v>833</v>
      </c>
    </row>
    <row r="1685" spans="3:31" x14ac:dyDescent="0.25">
      <c r="C1685" s="201"/>
      <c r="E1685" s="201"/>
      <c r="F1685" s="201"/>
      <c r="I1685" s="198" t="s">
        <v>519</v>
      </c>
      <c r="J1685" s="198" t="s">
        <v>130</v>
      </c>
      <c r="K1685" s="202">
        <f t="shared" si="26"/>
        <v>863940</v>
      </c>
      <c r="L1685" s="202">
        <v>169.4</v>
      </c>
      <c r="N1685" s="202">
        <v>7740363</v>
      </c>
      <c r="S1685" s="204"/>
      <c r="W1685" s="198" t="s">
        <v>51</v>
      </c>
      <c r="AE1685" s="198" t="s">
        <v>833</v>
      </c>
    </row>
    <row r="1686" spans="3:31" x14ac:dyDescent="0.25">
      <c r="C1686" s="201"/>
      <c r="E1686" s="201"/>
      <c r="F1686" s="201"/>
      <c r="I1686" s="198" t="s">
        <v>519</v>
      </c>
      <c r="J1686" s="198" t="s">
        <v>130</v>
      </c>
      <c r="K1686" s="202">
        <f t="shared" si="26"/>
        <v>864450</v>
      </c>
      <c r="L1686" s="202">
        <v>169.5</v>
      </c>
      <c r="N1686" s="202">
        <v>7740363</v>
      </c>
      <c r="S1686" s="204"/>
      <c r="W1686" s="198" t="s">
        <v>51</v>
      </c>
      <c r="AE1686" s="198" t="s">
        <v>833</v>
      </c>
    </row>
    <row r="1687" spans="3:31" x14ac:dyDescent="0.25">
      <c r="C1687" s="201"/>
      <c r="E1687" s="201"/>
      <c r="F1687" s="201"/>
      <c r="I1687" s="198" t="s">
        <v>519</v>
      </c>
      <c r="J1687" s="198" t="s">
        <v>130</v>
      </c>
      <c r="K1687" s="202">
        <f t="shared" si="26"/>
        <v>864960</v>
      </c>
      <c r="L1687" s="202">
        <v>169.6</v>
      </c>
      <c r="N1687" s="202">
        <v>7740363</v>
      </c>
      <c r="S1687" s="204"/>
      <c r="W1687" s="198" t="s">
        <v>51</v>
      </c>
      <c r="AE1687" s="198" t="s">
        <v>833</v>
      </c>
    </row>
    <row r="1688" spans="3:31" x14ac:dyDescent="0.25">
      <c r="C1688" s="201"/>
      <c r="E1688" s="201"/>
      <c r="F1688" s="201"/>
      <c r="I1688" s="198" t="s">
        <v>519</v>
      </c>
      <c r="J1688" s="198" t="s">
        <v>130</v>
      </c>
      <c r="K1688" s="202">
        <f t="shared" si="26"/>
        <v>865470</v>
      </c>
      <c r="L1688" s="202">
        <v>169.7</v>
      </c>
      <c r="N1688" s="202">
        <v>7740363</v>
      </c>
      <c r="S1688" s="204"/>
      <c r="W1688" s="198" t="s">
        <v>51</v>
      </c>
      <c r="AE1688" s="198" t="s">
        <v>833</v>
      </c>
    </row>
    <row r="1689" spans="3:31" x14ac:dyDescent="0.25">
      <c r="C1689" s="201"/>
      <c r="E1689" s="201"/>
      <c r="F1689" s="201"/>
      <c r="I1689" s="198" t="s">
        <v>519</v>
      </c>
      <c r="J1689" s="198" t="s">
        <v>130</v>
      </c>
      <c r="K1689" s="202">
        <f t="shared" si="26"/>
        <v>865980</v>
      </c>
      <c r="L1689" s="202">
        <v>169.8</v>
      </c>
      <c r="N1689" s="202">
        <v>7740363</v>
      </c>
      <c r="S1689" s="204"/>
      <c r="W1689" s="198" t="s">
        <v>51</v>
      </c>
      <c r="AE1689" s="198" t="s">
        <v>833</v>
      </c>
    </row>
    <row r="1690" spans="3:31" x14ac:dyDescent="0.25">
      <c r="C1690" s="201"/>
      <c r="E1690" s="201"/>
      <c r="F1690" s="201"/>
      <c r="I1690" s="198" t="s">
        <v>204</v>
      </c>
      <c r="J1690" s="198" t="s">
        <v>169</v>
      </c>
      <c r="K1690" s="202">
        <f t="shared" si="26"/>
        <v>866490</v>
      </c>
      <c r="L1690" s="202">
        <v>169.9</v>
      </c>
      <c r="N1690" s="202">
        <v>349040</v>
      </c>
      <c r="S1690" s="204"/>
      <c r="W1690" s="198" t="s">
        <v>51</v>
      </c>
      <c r="AE1690" s="198" t="s">
        <v>831</v>
      </c>
    </row>
    <row r="1691" spans="3:31" x14ac:dyDescent="0.25">
      <c r="C1691" s="201"/>
      <c r="E1691" s="201"/>
      <c r="F1691" s="201"/>
      <c r="I1691" s="198" t="s">
        <v>441</v>
      </c>
      <c r="J1691" s="198" t="s">
        <v>126</v>
      </c>
      <c r="K1691" s="202">
        <f t="shared" si="26"/>
        <v>867000</v>
      </c>
      <c r="L1691" s="202">
        <v>170</v>
      </c>
      <c r="N1691" s="202">
        <v>7762790</v>
      </c>
      <c r="S1691" s="204"/>
      <c r="W1691" s="198" t="s">
        <v>51</v>
      </c>
      <c r="AE1691" s="198" t="s">
        <v>835</v>
      </c>
    </row>
    <row r="1692" spans="3:31" x14ac:dyDescent="0.25">
      <c r="C1692" s="201"/>
      <c r="E1692" s="201"/>
      <c r="F1692" s="201"/>
      <c r="I1692" s="198" t="s">
        <v>441</v>
      </c>
      <c r="J1692" s="198" t="s">
        <v>126</v>
      </c>
      <c r="K1692" s="202">
        <f t="shared" si="26"/>
        <v>867510</v>
      </c>
      <c r="L1692" s="202">
        <v>170.1</v>
      </c>
      <c r="N1692" s="202">
        <v>7762790</v>
      </c>
      <c r="S1692" s="204"/>
      <c r="W1692" s="198" t="s">
        <v>51</v>
      </c>
      <c r="AE1692" s="198" t="s">
        <v>835</v>
      </c>
    </row>
    <row r="1693" spans="3:31" x14ac:dyDescent="0.25">
      <c r="C1693" s="201"/>
      <c r="E1693" s="201"/>
      <c r="F1693" s="201"/>
      <c r="I1693" s="198" t="s">
        <v>441</v>
      </c>
      <c r="J1693" s="198" t="s">
        <v>126</v>
      </c>
      <c r="K1693" s="202">
        <f t="shared" si="26"/>
        <v>868020</v>
      </c>
      <c r="L1693" s="202">
        <v>170.2</v>
      </c>
      <c r="N1693" s="202">
        <v>7762790</v>
      </c>
      <c r="S1693" s="204"/>
      <c r="W1693" s="198" t="s">
        <v>51</v>
      </c>
      <c r="AE1693" s="198" t="s">
        <v>835</v>
      </c>
    </row>
    <row r="1694" spans="3:31" x14ac:dyDescent="0.25">
      <c r="C1694" s="201"/>
      <c r="E1694" s="201"/>
      <c r="F1694" s="201"/>
      <c r="I1694" s="198" t="s">
        <v>441</v>
      </c>
      <c r="J1694" s="198" t="s">
        <v>126</v>
      </c>
      <c r="K1694" s="202">
        <f t="shared" si="26"/>
        <v>868530</v>
      </c>
      <c r="L1694" s="202">
        <v>170.3</v>
      </c>
      <c r="N1694" s="202">
        <v>7762790</v>
      </c>
      <c r="S1694" s="204"/>
      <c r="W1694" s="198" t="s">
        <v>51</v>
      </c>
      <c r="AE1694" s="198" t="s">
        <v>835</v>
      </c>
    </row>
    <row r="1695" spans="3:31" x14ac:dyDescent="0.25">
      <c r="C1695" s="201"/>
      <c r="E1695" s="201"/>
      <c r="F1695" s="201"/>
      <c r="I1695" s="198" t="s">
        <v>362</v>
      </c>
      <c r="J1695" s="198" t="s">
        <v>132</v>
      </c>
      <c r="K1695" s="202">
        <f t="shared" si="26"/>
        <v>869040</v>
      </c>
      <c r="L1695" s="202">
        <v>170.4</v>
      </c>
      <c r="N1695" s="202">
        <v>16535647</v>
      </c>
      <c r="S1695" s="204"/>
      <c r="W1695" s="198" t="s">
        <v>51</v>
      </c>
      <c r="AE1695" s="198" t="s">
        <v>833</v>
      </c>
    </row>
    <row r="1696" spans="3:31" x14ac:dyDescent="0.25">
      <c r="C1696" s="201"/>
      <c r="E1696" s="201"/>
      <c r="F1696" s="201"/>
      <c r="I1696" s="198" t="s">
        <v>555</v>
      </c>
      <c r="J1696" s="198" t="s">
        <v>132</v>
      </c>
      <c r="K1696" s="202">
        <f t="shared" si="26"/>
        <v>869550</v>
      </c>
      <c r="L1696" s="202">
        <v>170.5</v>
      </c>
      <c r="N1696" s="202">
        <v>5386164.4900000002</v>
      </c>
      <c r="S1696" s="204"/>
      <c r="W1696" s="198" t="s">
        <v>51</v>
      </c>
      <c r="AE1696" s="198" t="s">
        <v>833</v>
      </c>
    </row>
    <row r="1697" spans="3:31" x14ac:dyDescent="0.25">
      <c r="C1697" s="201"/>
      <c r="E1697" s="201"/>
      <c r="F1697" s="201"/>
      <c r="I1697" s="198" t="s">
        <v>555</v>
      </c>
      <c r="J1697" s="198" t="s">
        <v>132</v>
      </c>
      <c r="K1697" s="202">
        <f t="shared" si="26"/>
        <v>870060</v>
      </c>
      <c r="L1697" s="202">
        <v>170.6</v>
      </c>
      <c r="N1697" s="202">
        <v>1214027.72</v>
      </c>
      <c r="S1697" s="204"/>
      <c r="W1697" s="198" t="s">
        <v>51</v>
      </c>
      <c r="AE1697" s="198" t="s">
        <v>833</v>
      </c>
    </row>
    <row r="1698" spans="3:31" x14ac:dyDescent="0.25">
      <c r="C1698" s="201"/>
      <c r="E1698" s="201"/>
      <c r="F1698" s="201"/>
      <c r="I1698" s="198" t="s">
        <v>555</v>
      </c>
      <c r="J1698" s="198" t="s">
        <v>132</v>
      </c>
      <c r="K1698" s="202">
        <f t="shared" si="26"/>
        <v>870570</v>
      </c>
      <c r="L1698" s="202">
        <v>170.7</v>
      </c>
      <c r="N1698" s="202">
        <v>5249450.79</v>
      </c>
      <c r="S1698" s="204"/>
      <c r="W1698" s="198" t="s">
        <v>51</v>
      </c>
      <c r="AE1698" s="198" t="s">
        <v>833</v>
      </c>
    </row>
    <row r="1699" spans="3:31" x14ac:dyDescent="0.25">
      <c r="C1699" s="201"/>
      <c r="E1699" s="201"/>
      <c r="F1699" s="201"/>
      <c r="I1699" s="198" t="s">
        <v>555</v>
      </c>
      <c r="J1699" s="198" t="s">
        <v>132</v>
      </c>
      <c r="K1699" s="202">
        <f t="shared" si="26"/>
        <v>871080</v>
      </c>
      <c r="L1699" s="202">
        <v>170.8</v>
      </c>
      <c r="N1699" s="202">
        <v>1272934.24</v>
      </c>
      <c r="S1699" s="204"/>
      <c r="W1699" s="198" t="s">
        <v>51</v>
      </c>
      <c r="AE1699" s="198" t="s">
        <v>833</v>
      </c>
    </row>
    <row r="1700" spans="3:31" x14ac:dyDescent="0.25">
      <c r="C1700" s="201"/>
      <c r="E1700" s="201"/>
      <c r="F1700" s="201"/>
      <c r="I1700" s="198" t="s">
        <v>440</v>
      </c>
      <c r="J1700" s="198" t="s">
        <v>126</v>
      </c>
      <c r="K1700" s="202">
        <f t="shared" si="26"/>
        <v>871590</v>
      </c>
      <c r="L1700" s="202">
        <v>170.9</v>
      </c>
      <c r="N1700" s="202">
        <v>3750000</v>
      </c>
      <c r="S1700" s="204"/>
      <c r="W1700" s="198" t="s">
        <v>51</v>
      </c>
      <c r="AE1700" s="198" t="s">
        <v>835</v>
      </c>
    </row>
    <row r="1701" spans="3:31" x14ac:dyDescent="0.25">
      <c r="C1701" s="201"/>
      <c r="E1701" s="201"/>
      <c r="F1701" s="201"/>
      <c r="I1701" s="198" t="s">
        <v>190</v>
      </c>
      <c r="J1701" s="198" t="s">
        <v>143</v>
      </c>
      <c r="K1701" s="202">
        <f t="shared" si="26"/>
        <v>872100</v>
      </c>
      <c r="L1701" s="202">
        <v>171</v>
      </c>
      <c r="N1701" s="202">
        <v>80000</v>
      </c>
      <c r="S1701" s="203"/>
      <c r="W1701" s="198" t="s">
        <v>51</v>
      </c>
      <c r="AE1701" s="198" t="s">
        <v>829</v>
      </c>
    </row>
    <row r="1702" spans="3:31" x14ac:dyDescent="0.25">
      <c r="C1702" s="201"/>
      <c r="E1702" s="201"/>
      <c r="F1702" s="201"/>
      <c r="I1702" s="198" t="s">
        <v>190</v>
      </c>
      <c r="J1702" s="198" t="s">
        <v>143</v>
      </c>
      <c r="K1702" s="202">
        <f t="shared" si="26"/>
        <v>872610</v>
      </c>
      <c r="L1702" s="202">
        <v>171.1</v>
      </c>
      <c r="N1702" s="202">
        <v>3060000</v>
      </c>
      <c r="S1702" s="203"/>
      <c r="W1702" s="198" t="s">
        <v>51</v>
      </c>
      <c r="AE1702" s="198" t="s">
        <v>829</v>
      </c>
    </row>
    <row r="1703" spans="3:31" x14ac:dyDescent="0.25">
      <c r="C1703" s="201"/>
      <c r="E1703" s="201"/>
      <c r="F1703" s="201"/>
      <c r="I1703" s="198" t="s">
        <v>583</v>
      </c>
      <c r="J1703" s="198" t="s">
        <v>134</v>
      </c>
      <c r="K1703" s="202">
        <f t="shared" si="26"/>
        <v>873120</v>
      </c>
      <c r="L1703" s="202">
        <v>171.2</v>
      </c>
      <c r="N1703" s="202">
        <v>0.5</v>
      </c>
      <c r="S1703" s="204"/>
      <c r="W1703" s="198" t="s">
        <v>51</v>
      </c>
      <c r="AE1703" s="198" t="s">
        <v>846</v>
      </c>
    </row>
    <row r="1704" spans="3:31" x14ac:dyDescent="0.25">
      <c r="C1704" s="201"/>
      <c r="E1704" s="201"/>
      <c r="F1704" s="201"/>
      <c r="I1704" s="198" t="s">
        <v>583</v>
      </c>
      <c r="J1704" s="198" t="s">
        <v>134</v>
      </c>
      <c r="K1704" s="202">
        <f t="shared" si="26"/>
        <v>873630</v>
      </c>
      <c r="L1704" s="202">
        <v>171.3</v>
      </c>
      <c r="N1704" s="202">
        <v>0.5</v>
      </c>
      <c r="S1704" s="204"/>
      <c r="W1704" s="198" t="s">
        <v>51</v>
      </c>
      <c r="AE1704" s="198" t="s">
        <v>846</v>
      </c>
    </row>
    <row r="1705" spans="3:31" x14ac:dyDescent="0.25">
      <c r="C1705" s="201"/>
      <c r="E1705" s="201"/>
      <c r="F1705" s="201"/>
      <c r="I1705" s="198" t="s">
        <v>519</v>
      </c>
      <c r="J1705" s="198" t="s">
        <v>130</v>
      </c>
      <c r="K1705" s="202">
        <f t="shared" si="26"/>
        <v>874140</v>
      </c>
      <c r="L1705" s="202">
        <v>171.4</v>
      </c>
      <c r="N1705" s="202">
        <v>-0.34</v>
      </c>
      <c r="S1705" s="204"/>
      <c r="W1705" s="198" t="s">
        <v>51</v>
      </c>
      <c r="AE1705" s="198" t="s">
        <v>833</v>
      </c>
    </row>
    <row r="1706" spans="3:31" x14ac:dyDescent="0.25">
      <c r="C1706" s="201"/>
      <c r="E1706" s="201"/>
      <c r="F1706" s="201"/>
      <c r="I1706" s="198" t="s">
        <v>135</v>
      </c>
      <c r="J1706" s="198" t="s">
        <v>117</v>
      </c>
      <c r="K1706" s="202">
        <f t="shared" si="26"/>
        <v>874650</v>
      </c>
      <c r="L1706" s="202">
        <v>171.5</v>
      </c>
      <c r="N1706" s="202">
        <v>-0.26</v>
      </c>
      <c r="S1706" s="204"/>
      <c r="W1706" s="198" t="s">
        <v>51</v>
      </c>
      <c r="AE1706" s="198" t="s">
        <v>878</v>
      </c>
    </row>
    <row r="1707" spans="3:31" x14ac:dyDescent="0.25">
      <c r="C1707" s="201"/>
      <c r="E1707" s="201"/>
      <c r="F1707" s="201"/>
      <c r="I1707" s="198" t="s">
        <v>555</v>
      </c>
      <c r="J1707" s="198" t="s">
        <v>132</v>
      </c>
      <c r="K1707" s="202">
        <f t="shared" si="26"/>
        <v>875160</v>
      </c>
      <c r="L1707" s="202">
        <v>171.6</v>
      </c>
      <c r="N1707" s="202">
        <v>-0.04</v>
      </c>
      <c r="S1707" s="204"/>
      <c r="W1707" s="198" t="s">
        <v>51</v>
      </c>
      <c r="AE1707" s="198" t="s">
        <v>833</v>
      </c>
    </row>
    <row r="1708" spans="3:31" x14ac:dyDescent="0.25">
      <c r="C1708" s="201"/>
      <c r="E1708" s="201"/>
      <c r="F1708" s="201"/>
      <c r="I1708" s="198" t="s">
        <v>441</v>
      </c>
      <c r="J1708" s="198" t="s">
        <v>126</v>
      </c>
      <c r="K1708" s="202">
        <f t="shared" si="26"/>
        <v>875670</v>
      </c>
      <c r="L1708" s="202">
        <v>171.7</v>
      </c>
      <c r="N1708" s="202">
        <v>-0.2</v>
      </c>
      <c r="S1708" s="204"/>
      <c r="W1708" s="198" t="s">
        <v>51</v>
      </c>
      <c r="AE1708" s="198" t="s">
        <v>835</v>
      </c>
    </row>
    <row r="1709" spans="3:31" x14ac:dyDescent="0.25">
      <c r="C1709" s="201"/>
      <c r="E1709" s="201"/>
      <c r="F1709" s="201"/>
      <c r="I1709" s="198" t="s">
        <v>441</v>
      </c>
      <c r="J1709" s="198" t="s">
        <v>126</v>
      </c>
      <c r="K1709" s="202">
        <f t="shared" si="26"/>
        <v>876180</v>
      </c>
      <c r="L1709" s="202">
        <v>171.8</v>
      </c>
      <c r="N1709" s="202">
        <v>-0.2</v>
      </c>
      <c r="S1709" s="204"/>
      <c r="W1709" s="198" t="s">
        <v>51</v>
      </c>
      <c r="AE1709" s="198" t="s">
        <v>835</v>
      </c>
    </row>
    <row r="1710" spans="3:31" x14ac:dyDescent="0.25">
      <c r="C1710" s="201"/>
      <c r="E1710" s="201"/>
      <c r="F1710" s="201"/>
      <c r="I1710" s="198" t="s">
        <v>441</v>
      </c>
      <c r="J1710" s="198" t="s">
        <v>126</v>
      </c>
      <c r="K1710" s="202">
        <f t="shared" si="26"/>
        <v>876690</v>
      </c>
      <c r="L1710" s="202">
        <v>171.9</v>
      </c>
      <c r="N1710" s="202">
        <v>-0.2</v>
      </c>
      <c r="S1710" s="204"/>
      <c r="W1710" s="198" t="s">
        <v>51</v>
      </c>
      <c r="AE1710" s="198" t="s">
        <v>835</v>
      </c>
    </row>
    <row r="1711" spans="3:31" x14ac:dyDescent="0.25">
      <c r="C1711" s="201"/>
      <c r="E1711" s="201"/>
      <c r="F1711" s="201"/>
      <c r="I1711" s="198" t="s">
        <v>441</v>
      </c>
      <c r="J1711" s="198" t="s">
        <v>126</v>
      </c>
      <c r="K1711" s="202">
        <f t="shared" si="26"/>
        <v>877200</v>
      </c>
      <c r="L1711" s="202">
        <v>172</v>
      </c>
      <c r="N1711" s="202">
        <v>-0.2</v>
      </c>
      <c r="S1711" s="204"/>
      <c r="W1711" s="198" t="s">
        <v>51</v>
      </c>
      <c r="AE1711" s="198" t="s">
        <v>835</v>
      </c>
    </row>
    <row r="1712" spans="3:31" x14ac:dyDescent="0.25">
      <c r="C1712" s="201"/>
      <c r="E1712" s="201"/>
      <c r="F1712" s="201"/>
      <c r="I1712" s="198" t="s">
        <v>129</v>
      </c>
      <c r="J1712" s="198" t="s">
        <v>130</v>
      </c>
      <c r="K1712" s="202">
        <f t="shared" si="26"/>
        <v>877710</v>
      </c>
      <c r="L1712" s="202">
        <v>172.1</v>
      </c>
      <c r="N1712" s="202">
        <v>1594180</v>
      </c>
      <c r="S1712" s="204"/>
      <c r="W1712" s="198" t="s">
        <v>51</v>
      </c>
      <c r="AE1712" s="198" t="s">
        <v>833</v>
      </c>
    </row>
    <row r="1713" spans="3:31" x14ac:dyDescent="0.25">
      <c r="C1713" s="201"/>
      <c r="E1713" s="201"/>
      <c r="F1713" s="201"/>
      <c r="I1713" s="198" t="s">
        <v>129</v>
      </c>
      <c r="J1713" s="198" t="s">
        <v>130</v>
      </c>
      <c r="K1713" s="202">
        <f t="shared" si="26"/>
        <v>878220</v>
      </c>
      <c r="L1713" s="202">
        <v>172.2</v>
      </c>
      <c r="N1713" s="202">
        <v>1594180</v>
      </c>
      <c r="S1713" s="204"/>
      <c r="W1713" s="198" t="s">
        <v>51</v>
      </c>
      <c r="AE1713" s="198" t="s">
        <v>833</v>
      </c>
    </row>
    <row r="1714" spans="3:31" x14ac:dyDescent="0.25">
      <c r="C1714" s="201"/>
      <c r="E1714" s="201"/>
      <c r="F1714" s="201"/>
      <c r="I1714" s="198" t="s">
        <v>192</v>
      </c>
      <c r="J1714" s="198" t="s">
        <v>193</v>
      </c>
      <c r="K1714" s="202">
        <f t="shared" si="26"/>
        <v>878730</v>
      </c>
      <c r="L1714" s="202">
        <v>172.3</v>
      </c>
      <c r="N1714" s="202">
        <v>3060000</v>
      </c>
      <c r="S1714" s="203"/>
      <c r="W1714" s="198" t="s">
        <v>51</v>
      </c>
      <c r="AE1714" s="198" t="s">
        <v>830</v>
      </c>
    </row>
    <row r="1715" spans="3:31" x14ac:dyDescent="0.25">
      <c r="C1715" s="201"/>
      <c r="E1715" s="201"/>
      <c r="F1715" s="201"/>
      <c r="I1715" s="198" t="s">
        <v>192</v>
      </c>
      <c r="J1715" s="198" t="s">
        <v>193</v>
      </c>
      <c r="K1715" s="202">
        <f t="shared" si="26"/>
        <v>879240</v>
      </c>
      <c r="L1715" s="202">
        <v>172.4</v>
      </c>
      <c r="N1715" s="202">
        <v>80000</v>
      </c>
      <c r="S1715" s="203"/>
      <c r="W1715" s="198" t="s">
        <v>51</v>
      </c>
      <c r="AE1715" s="198" t="s">
        <v>830</v>
      </c>
    </row>
    <row r="1716" spans="3:31" x14ac:dyDescent="0.25">
      <c r="C1716" s="201"/>
      <c r="E1716" s="201"/>
      <c r="F1716" s="201"/>
      <c r="I1716" s="198" t="s">
        <v>566</v>
      </c>
      <c r="J1716" s="198" t="s">
        <v>117</v>
      </c>
      <c r="K1716" s="202">
        <f t="shared" si="26"/>
        <v>879750</v>
      </c>
      <c r="L1716" s="202">
        <v>172.5</v>
      </c>
      <c r="N1716" s="202">
        <v>3394920</v>
      </c>
      <c r="S1716" s="204"/>
      <c r="W1716" s="198" t="s">
        <v>51</v>
      </c>
      <c r="AE1716" s="198" t="s">
        <v>878</v>
      </c>
    </row>
    <row r="1717" spans="3:31" x14ac:dyDescent="0.25">
      <c r="C1717" s="201"/>
      <c r="E1717" s="201"/>
      <c r="F1717" s="201"/>
      <c r="I1717" s="198" t="s">
        <v>566</v>
      </c>
      <c r="J1717" s="198" t="s">
        <v>117</v>
      </c>
      <c r="K1717" s="202">
        <f t="shared" si="26"/>
        <v>880260</v>
      </c>
      <c r="L1717" s="202">
        <v>172.6</v>
      </c>
      <c r="N1717" s="202">
        <v>1655663.5</v>
      </c>
      <c r="S1717" s="204"/>
      <c r="W1717" s="198" t="s">
        <v>51</v>
      </c>
      <c r="AE1717" s="198" t="s">
        <v>878</v>
      </c>
    </row>
    <row r="1718" spans="3:31" x14ac:dyDescent="0.25">
      <c r="C1718" s="201"/>
      <c r="E1718" s="201"/>
      <c r="F1718" s="201"/>
      <c r="I1718" s="198" t="s">
        <v>583</v>
      </c>
      <c r="J1718" s="198" t="s">
        <v>134</v>
      </c>
      <c r="K1718" s="202">
        <f t="shared" si="26"/>
        <v>880770</v>
      </c>
      <c r="L1718" s="202">
        <v>172.7</v>
      </c>
      <c r="N1718" s="202">
        <v>3092184.5</v>
      </c>
      <c r="S1718" s="204"/>
      <c r="W1718" s="198" t="s">
        <v>51</v>
      </c>
      <c r="AE1718" s="198" t="s">
        <v>846</v>
      </c>
    </row>
    <row r="1719" spans="3:31" x14ac:dyDescent="0.25">
      <c r="C1719" s="201"/>
      <c r="E1719" s="201"/>
      <c r="F1719" s="201"/>
      <c r="I1719" s="198" t="s">
        <v>583</v>
      </c>
      <c r="J1719" s="198" t="s">
        <v>134</v>
      </c>
      <c r="K1719" s="202">
        <f t="shared" si="26"/>
        <v>881280</v>
      </c>
      <c r="L1719" s="202">
        <v>172.8</v>
      </c>
      <c r="N1719" s="202">
        <v>3084520.5</v>
      </c>
      <c r="S1719" s="204"/>
      <c r="W1719" s="198" t="s">
        <v>51</v>
      </c>
      <c r="AE1719" s="198" t="s">
        <v>846</v>
      </c>
    </row>
    <row r="1720" spans="3:31" x14ac:dyDescent="0.25">
      <c r="C1720" s="201"/>
      <c r="E1720" s="201"/>
      <c r="F1720" s="201"/>
      <c r="I1720" s="198" t="s">
        <v>583</v>
      </c>
      <c r="J1720" s="198" t="s">
        <v>134</v>
      </c>
      <c r="K1720" s="202">
        <f t="shared" si="26"/>
        <v>881790</v>
      </c>
      <c r="L1720" s="202">
        <v>172.9</v>
      </c>
      <c r="N1720" s="202">
        <v>5259200</v>
      </c>
      <c r="S1720" s="204"/>
      <c r="W1720" s="198" t="s">
        <v>51</v>
      </c>
      <c r="AE1720" s="198" t="s">
        <v>846</v>
      </c>
    </row>
    <row r="1721" spans="3:31" x14ac:dyDescent="0.25">
      <c r="C1721" s="201"/>
      <c r="E1721" s="201"/>
      <c r="F1721" s="201"/>
      <c r="I1721" s="198" t="s">
        <v>532</v>
      </c>
      <c r="J1721" s="198" t="s">
        <v>137</v>
      </c>
      <c r="K1721" s="202">
        <f t="shared" si="26"/>
        <v>882300</v>
      </c>
      <c r="L1721" s="202">
        <v>173</v>
      </c>
      <c r="N1721" s="202">
        <v>1154146.24</v>
      </c>
      <c r="S1721" s="204"/>
      <c r="W1721" s="198" t="s">
        <v>51</v>
      </c>
      <c r="AE1721" s="198" t="s">
        <v>844</v>
      </c>
    </row>
    <row r="1722" spans="3:31" x14ac:dyDescent="0.25">
      <c r="C1722" s="201"/>
      <c r="E1722" s="201"/>
      <c r="F1722" s="201"/>
      <c r="I1722" s="198" t="s">
        <v>199</v>
      </c>
      <c r="J1722" s="198" t="s">
        <v>167</v>
      </c>
      <c r="K1722" s="202">
        <f t="shared" si="26"/>
        <v>882810</v>
      </c>
      <c r="L1722" s="202">
        <v>173.1</v>
      </c>
      <c r="N1722" s="202">
        <v>354290</v>
      </c>
      <c r="S1722" s="204"/>
      <c r="W1722" s="198" t="s">
        <v>51</v>
      </c>
      <c r="AE1722" s="198" t="s">
        <v>831</v>
      </c>
    </row>
    <row r="1723" spans="3:31" x14ac:dyDescent="0.25">
      <c r="C1723" s="201"/>
      <c r="E1723" s="201"/>
      <c r="F1723" s="201"/>
      <c r="I1723" s="198" t="s">
        <v>199</v>
      </c>
      <c r="J1723" s="198" t="s">
        <v>167</v>
      </c>
      <c r="K1723" s="202">
        <f t="shared" si="26"/>
        <v>883320</v>
      </c>
      <c r="L1723" s="202">
        <v>173.2</v>
      </c>
      <c r="N1723" s="202">
        <v>354290</v>
      </c>
      <c r="S1723" s="204"/>
      <c r="W1723" s="198" t="s">
        <v>51</v>
      </c>
      <c r="AE1723" s="198" t="s">
        <v>831</v>
      </c>
    </row>
    <row r="1724" spans="3:31" x14ac:dyDescent="0.25">
      <c r="C1724" s="201"/>
      <c r="E1724" s="201"/>
      <c r="F1724" s="201"/>
      <c r="I1724" s="198" t="s">
        <v>528</v>
      </c>
      <c r="J1724" s="198" t="s">
        <v>134</v>
      </c>
      <c r="K1724" s="202">
        <f t="shared" si="26"/>
        <v>883830</v>
      </c>
      <c r="L1724" s="202">
        <v>173.3</v>
      </c>
      <c r="N1724" s="202">
        <v>4650417.24</v>
      </c>
      <c r="S1724" s="204"/>
      <c r="W1724" s="198" t="s">
        <v>51</v>
      </c>
      <c r="AE1724" s="198" t="s">
        <v>846</v>
      </c>
    </row>
    <row r="1725" spans="3:31" x14ac:dyDescent="0.25">
      <c r="C1725" s="201"/>
      <c r="E1725" s="201"/>
      <c r="F1725" s="201"/>
      <c r="I1725" s="198" t="s">
        <v>528</v>
      </c>
      <c r="J1725" s="198" t="s">
        <v>134</v>
      </c>
      <c r="K1725" s="202">
        <f t="shared" si="26"/>
        <v>884340</v>
      </c>
      <c r="L1725" s="202">
        <v>173.4</v>
      </c>
      <c r="N1725" s="202">
        <v>1219128</v>
      </c>
      <c r="S1725" s="204"/>
      <c r="W1725" s="198" t="s">
        <v>51</v>
      </c>
      <c r="AE1725" s="198" t="s">
        <v>846</v>
      </c>
    </row>
    <row r="1726" spans="3:31" x14ac:dyDescent="0.25">
      <c r="C1726" s="201"/>
      <c r="E1726" s="201"/>
      <c r="F1726" s="201"/>
      <c r="I1726" s="198" t="s">
        <v>519</v>
      </c>
      <c r="J1726" s="198" t="s">
        <v>130</v>
      </c>
      <c r="K1726" s="202">
        <f t="shared" si="26"/>
        <v>884850</v>
      </c>
      <c r="L1726" s="202">
        <v>173.5</v>
      </c>
      <c r="N1726" s="202">
        <v>-0.34</v>
      </c>
      <c r="S1726" s="204"/>
      <c r="W1726" s="198" t="s">
        <v>51</v>
      </c>
      <c r="AE1726" s="198" t="s">
        <v>833</v>
      </c>
    </row>
    <row r="1727" spans="3:31" x14ac:dyDescent="0.25">
      <c r="C1727" s="201"/>
      <c r="E1727" s="201"/>
      <c r="F1727" s="201"/>
      <c r="I1727" s="198" t="s">
        <v>519</v>
      </c>
      <c r="J1727" s="198" t="s">
        <v>130</v>
      </c>
      <c r="K1727" s="202">
        <f t="shared" si="26"/>
        <v>885360</v>
      </c>
      <c r="L1727" s="202">
        <v>173.6</v>
      </c>
      <c r="N1727" s="202">
        <v>-0.34</v>
      </c>
      <c r="S1727" s="204"/>
      <c r="W1727" s="198" t="s">
        <v>51</v>
      </c>
      <c r="AE1727" s="198" t="s">
        <v>833</v>
      </c>
    </row>
    <row r="1728" spans="3:31" x14ac:dyDescent="0.25">
      <c r="C1728" s="201"/>
      <c r="E1728" s="201"/>
      <c r="F1728" s="201"/>
      <c r="I1728" s="198" t="s">
        <v>519</v>
      </c>
      <c r="J1728" s="198" t="s">
        <v>130</v>
      </c>
      <c r="K1728" s="202">
        <f t="shared" si="26"/>
        <v>885870</v>
      </c>
      <c r="L1728" s="202">
        <v>173.7</v>
      </c>
      <c r="N1728" s="202">
        <v>-0.34</v>
      </c>
      <c r="S1728" s="204"/>
      <c r="W1728" s="198" t="s">
        <v>51</v>
      </c>
      <c r="AE1728" s="198" t="s">
        <v>833</v>
      </c>
    </row>
    <row r="1729" spans="3:31" x14ac:dyDescent="0.25">
      <c r="C1729" s="201"/>
      <c r="E1729" s="201"/>
      <c r="F1729" s="201"/>
      <c r="I1729" s="198" t="s">
        <v>199</v>
      </c>
      <c r="J1729" s="198" t="s">
        <v>167</v>
      </c>
      <c r="K1729" s="202">
        <f t="shared" si="26"/>
        <v>886380</v>
      </c>
      <c r="L1729" s="202">
        <v>173.8</v>
      </c>
      <c r="N1729" s="202">
        <v>354290</v>
      </c>
      <c r="S1729" s="204"/>
      <c r="W1729" s="198" t="s">
        <v>51</v>
      </c>
      <c r="AE1729" s="198" t="s">
        <v>831</v>
      </c>
    </row>
    <row r="1730" spans="3:31" x14ac:dyDescent="0.25">
      <c r="C1730" s="201"/>
      <c r="E1730" s="201"/>
      <c r="F1730" s="201"/>
      <c r="I1730" s="198" t="s">
        <v>440</v>
      </c>
      <c r="J1730" s="198" t="s">
        <v>126</v>
      </c>
      <c r="K1730" s="202">
        <f t="shared" si="26"/>
        <v>886890</v>
      </c>
      <c r="L1730" s="202">
        <v>173.9</v>
      </c>
      <c r="N1730" s="202">
        <v>16721000</v>
      </c>
      <c r="S1730" s="204"/>
      <c r="W1730" s="198" t="s">
        <v>51</v>
      </c>
      <c r="AE1730" s="198" t="s">
        <v>835</v>
      </c>
    </row>
    <row r="1731" spans="3:31" x14ac:dyDescent="0.25">
      <c r="C1731" s="201"/>
      <c r="E1731" s="201"/>
      <c r="F1731" s="201"/>
      <c r="I1731" s="198" t="s">
        <v>519</v>
      </c>
      <c r="J1731" s="198" t="s">
        <v>130</v>
      </c>
      <c r="K1731" s="202">
        <f t="shared" ref="K1731:K1794" si="27">L1731*5100</f>
        <v>887400</v>
      </c>
      <c r="L1731" s="202">
        <v>174</v>
      </c>
      <c r="N1731" s="202">
        <v>7740363</v>
      </c>
      <c r="S1731" s="204"/>
      <c r="W1731" s="198" t="s">
        <v>51</v>
      </c>
      <c r="AE1731" s="198" t="s">
        <v>833</v>
      </c>
    </row>
    <row r="1732" spans="3:31" x14ac:dyDescent="0.25">
      <c r="C1732" s="201"/>
      <c r="E1732" s="201"/>
      <c r="F1732" s="201"/>
      <c r="I1732" s="198" t="s">
        <v>204</v>
      </c>
      <c r="J1732" s="198" t="s">
        <v>169</v>
      </c>
      <c r="K1732" s="202">
        <f t="shared" si="27"/>
        <v>887910</v>
      </c>
      <c r="L1732" s="202">
        <v>174.1</v>
      </c>
      <c r="N1732" s="202">
        <v>349040</v>
      </c>
      <c r="S1732" s="204"/>
      <c r="W1732" s="198" t="s">
        <v>51</v>
      </c>
      <c r="AE1732" s="198" t="s">
        <v>831</v>
      </c>
    </row>
    <row r="1733" spans="3:31" x14ac:dyDescent="0.25">
      <c r="C1733" s="201"/>
      <c r="E1733" s="201"/>
      <c r="F1733" s="201"/>
      <c r="I1733" s="198" t="s">
        <v>531</v>
      </c>
      <c r="J1733" s="198" t="s">
        <v>117</v>
      </c>
      <c r="K1733" s="202">
        <f t="shared" si="27"/>
        <v>888420</v>
      </c>
      <c r="L1733" s="202">
        <v>174.2</v>
      </c>
      <c r="N1733" s="202">
        <v>4740790.32</v>
      </c>
      <c r="S1733" s="204"/>
      <c r="W1733" s="198" t="s">
        <v>51</v>
      </c>
      <c r="AE1733" s="198" t="s">
        <v>878</v>
      </c>
    </row>
    <row r="1734" spans="3:31" x14ac:dyDescent="0.25">
      <c r="C1734" s="201"/>
      <c r="E1734" s="201"/>
      <c r="F1734" s="201"/>
      <c r="I1734" s="198" t="s">
        <v>536</v>
      </c>
      <c r="J1734" s="198" t="s">
        <v>126</v>
      </c>
      <c r="K1734" s="202">
        <f t="shared" si="27"/>
        <v>888930</v>
      </c>
      <c r="L1734" s="202">
        <v>174.3</v>
      </c>
      <c r="N1734" s="202">
        <v>751575.09</v>
      </c>
      <c r="S1734" s="204"/>
      <c r="W1734" s="198" t="s">
        <v>51</v>
      </c>
      <c r="AE1734" s="198" t="s">
        <v>835</v>
      </c>
    </row>
    <row r="1735" spans="3:31" x14ac:dyDescent="0.25">
      <c r="C1735" s="201"/>
      <c r="E1735" s="201"/>
      <c r="F1735" s="201"/>
      <c r="I1735" s="198" t="s">
        <v>536</v>
      </c>
      <c r="J1735" s="198" t="s">
        <v>126</v>
      </c>
      <c r="K1735" s="202">
        <f t="shared" si="27"/>
        <v>889440</v>
      </c>
      <c r="L1735" s="202">
        <v>174.4</v>
      </c>
      <c r="N1735" s="202">
        <v>1233634.08</v>
      </c>
      <c r="S1735" s="204"/>
      <c r="W1735" s="198" t="s">
        <v>51</v>
      </c>
      <c r="AE1735" s="198" t="s">
        <v>835</v>
      </c>
    </row>
    <row r="1736" spans="3:31" x14ac:dyDescent="0.25">
      <c r="C1736" s="201"/>
      <c r="E1736" s="201"/>
      <c r="F1736" s="201"/>
      <c r="I1736" s="198" t="s">
        <v>131</v>
      </c>
      <c r="J1736" s="198" t="s">
        <v>132</v>
      </c>
      <c r="K1736" s="202">
        <f t="shared" si="27"/>
        <v>889950</v>
      </c>
      <c r="L1736" s="202">
        <v>174.5</v>
      </c>
      <c r="N1736" s="202">
        <v>4371354</v>
      </c>
      <c r="S1736" s="204"/>
      <c r="W1736" s="198" t="s">
        <v>51</v>
      </c>
      <c r="AE1736" s="198" t="s">
        <v>833</v>
      </c>
    </row>
    <row r="1737" spans="3:31" x14ac:dyDescent="0.25">
      <c r="C1737" s="201"/>
      <c r="E1737" s="201"/>
      <c r="F1737" s="201"/>
      <c r="I1737" s="198" t="s">
        <v>129</v>
      </c>
      <c r="J1737" s="198" t="s">
        <v>130</v>
      </c>
      <c r="K1737" s="202">
        <f t="shared" si="27"/>
        <v>890460</v>
      </c>
      <c r="L1737" s="202">
        <v>174.6</v>
      </c>
      <c r="N1737" s="202">
        <v>4371360</v>
      </c>
      <c r="S1737" s="204"/>
      <c r="W1737" s="198" t="s">
        <v>51</v>
      </c>
      <c r="AE1737" s="198" t="s">
        <v>833</v>
      </c>
    </row>
    <row r="1738" spans="3:31" x14ac:dyDescent="0.25">
      <c r="C1738" s="201"/>
      <c r="E1738" s="201"/>
      <c r="F1738" s="201"/>
      <c r="I1738" s="198" t="s">
        <v>836</v>
      </c>
      <c r="J1738" s="198" t="s">
        <v>126</v>
      </c>
      <c r="K1738" s="202">
        <f t="shared" si="27"/>
        <v>890970</v>
      </c>
      <c r="L1738" s="202">
        <v>174.7</v>
      </c>
      <c r="N1738" s="202">
        <v>-6199225</v>
      </c>
      <c r="S1738" s="204"/>
      <c r="W1738" s="198" t="s">
        <v>51</v>
      </c>
      <c r="AE1738" s="198" t="s">
        <v>835</v>
      </c>
    </row>
    <row r="1739" spans="3:31" x14ac:dyDescent="0.25">
      <c r="C1739" s="201"/>
      <c r="E1739" s="201"/>
      <c r="F1739" s="201"/>
      <c r="I1739" s="198" t="s">
        <v>583</v>
      </c>
      <c r="J1739" s="198" t="s">
        <v>134</v>
      </c>
      <c r="K1739" s="202">
        <f t="shared" si="27"/>
        <v>891480</v>
      </c>
      <c r="L1739" s="202">
        <v>174.8</v>
      </c>
      <c r="N1739" s="202">
        <v>7866000</v>
      </c>
      <c r="S1739" s="204"/>
      <c r="W1739" s="198" t="s">
        <v>51</v>
      </c>
      <c r="AE1739" s="198" t="s">
        <v>846</v>
      </c>
    </row>
    <row r="1740" spans="3:31" x14ac:dyDescent="0.25">
      <c r="C1740" s="201"/>
      <c r="E1740" s="201"/>
      <c r="F1740" s="201"/>
      <c r="I1740" s="198" t="s">
        <v>583</v>
      </c>
      <c r="J1740" s="198" t="s">
        <v>134</v>
      </c>
      <c r="K1740" s="202">
        <f t="shared" si="27"/>
        <v>891990</v>
      </c>
      <c r="L1740" s="202">
        <v>174.9</v>
      </c>
      <c r="N1740" s="202">
        <v>2133466</v>
      </c>
      <c r="S1740" s="204"/>
      <c r="W1740" s="198" t="s">
        <v>51</v>
      </c>
      <c r="AE1740" s="198" t="s">
        <v>846</v>
      </c>
    </row>
    <row r="1741" spans="3:31" x14ac:dyDescent="0.25">
      <c r="C1741" s="201"/>
      <c r="E1741" s="201"/>
      <c r="F1741" s="201"/>
      <c r="I1741" s="198" t="s">
        <v>129</v>
      </c>
      <c r="J1741" s="198" t="s">
        <v>130</v>
      </c>
      <c r="K1741" s="202">
        <f t="shared" si="27"/>
        <v>892500</v>
      </c>
      <c r="L1741" s="202">
        <v>175</v>
      </c>
      <c r="N1741" s="202">
        <v>4371360</v>
      </c>
      <c r="S1741" s="204"/>
      <c r="W1741" s="198" t="s">
        <v>51</v>
      </c>
      <c r="AE1741" s="198" t="s">
        <v>833</v>
      </c>
    </row>
    <row r="1742" spans="3:31" x14ac:dyDescent="0.25">
      <c r="C1742" s="201"/>
      <c r="E1742" s="201"/>
      <c r="F1742" s="201"/>
      <c r="I1742" s="198" t="s">
        <v>190</v>
      </c>
      <c r="J1742" s="198" t="s">
        <v>143</v>
      </c>
      <c r="K1742" s="202">
        <f t="shared" si="27"/>
        <v>893010</v>
      </c>
      <c r="L1742" s="202">
        <v>175.1</v>
      </c>
      <c r="N1742" s="202">
        <v>2295000</v>
      </c>
      <c r="S1742" s="203"/>
      <c r="W1742" s="198" t="s">
        <v>51</v>
      </c>
      <c r="AE1742" s="198" t="s">
        <v>829</v>
      </c>
    </row>
    <row r="1743" spans="3:31" x14ac:dyDescent="0.25">
      <c r="C1743" s="201"/>
      <c r="E1743" s="201"/>
      <c r="F1743" s="201"/>
      <c r="I1743" s="198" t="s">
        <v>741</v>
      </c>
      <c r="J1743" s="198" t="s">
        <v>274</v>
      </c>
      <c r="K1743" s="202">
        <f t="shared" si="27"/>
        <v>893520</v>
      </c>
      <c r="L1743" s="202">
        <v>175.2</v>
      </c>
      <c r="N1743" s="202">
        <v>1405500</v>
      </c>
      <c r="S1743" s="203"/>
      <c r="W1743" s="198" t="s">
        <v>51</v>
      </c>
      <c r="AE1743" s="198" t="s">
        <v>1767</v>
      </c>
    </row>
    <row r="1744" spans="3:31" x14ac:dyDescent="0.25">
      <c r="C1744" s="201"/>
      <c r="E1744" s="201"/>
      <c r="F1744" s="201"/>
      <c r="I1744" s="198" t="s">
        <v>194</v>
      </c>
      <c r="J1744" s="198" t="s">
        <v>156</v>
      </c>
      <c r="K1744" s="202">
        <f t="shared" si="27"/>
        <v>894030</v>
      </c>
      <c r="L1744" s="202">
        <v>175.3</v>
      </c>
      <c r="N1744" s="202">
        <v>1405500</v>
      </c>
      <c r="S1744" s="203"/>
      <c r="W1744" s="198" t="s">
        <v>51</v>
      </c>
      <c r="AE1744" s="198" t="s">
        <v>828</v>
      </c>
    </row>
    <row r="1745" spans="3:31" x14ac:dyDescent="0.25">
      <c r="C1745" s="201"/>
      <c r="E1745" s="201"/>
      <c r="F1745" s="201"/>
      <c r="I1745" s="198" t="s">
        <v>239</v>
      </c>
      <c r="J1745" s="198" t="s">
        <v>148</v>
      </c>
      <c r="K1745" s="202">
        <f t="shared" si="27"/>
        <v>894540</v>
      </c>
      <c r="L1745" s="202">
        <v>175.4</v>
      </c>
      <c r="N1745" s="202">
        <v>1405500</v>
      </c>
      <c r="S1745" s="203"/>
      <c r="W1745" s="198" t="s">
        <v>51</v>
      </c>
      <c r="AE1745" s="198" t="s">
        <v>828</v>
      </c>
    </row>
    <row r="1746" spans="3:31" x14ac:dyDescent="0.25">
      <c r="C1746" s="201"/>
      <c r="E1746" s="201"/>
      <c r="F1746" s="201"/>
      <c r="I1746" s="198" t="s">
        <v>740</v>
      </c>
      <c r="J1746" s="198" t="s">
        <v>153</v>
      </c>
      <c r="K1746" s="202">
        <f t="shared" si="27"/>
        <v>895050</v>
      </c>
      <c r="L1746" s="202">
        <v>175.5</v>
      </c>
      <c r="N1746" s="202">
        <v>1405500</v>
      </c>
      <c r="S1746" s="203"/>
      <c r="W1746" s="198" t="s">
        <v>51</v>
      </c>
      <c r="AE1746" s="198" t="s">
        <v>1768</v>
      </c>
    </row>
    <row r="1747" spans="3:31" x14ac:dyDescent="0.25">
      <c r="C1747" s="201"/>
      <c r="E1747" s="201"/>
      <c r="F1747" s="201"/>
      <c r="I1747" s="198" t="s">
        <v>192</v>
      </c>
      <c r="J1747" s="198" t="s">
        <v>193</v>
      </c>
      <c r="K1747" s="202">
        <f t="shared" si="27"/>
        <v>895560</v>
      </c>
      <c r="L1747" s="202">
        <v>175.6</v>
      </c>
      <c r="N1747" s="202">
        <v>2295000</v>
      </c>
      <c r="S1747" s="203"/>
      <c r="W1747" s="198" t="s">
        <v>51</v>
      </c>
      <c r="AE1747" s="198" t="s">
        <v>830</v>
      </c>
    </row>
    <row r="1748" spans="3:31" x14ac:dyDescent="0.25">
      <c r="C1748" s="201"/>
      <c r="E1748" s="201"/>
      <c r="F1748" s="201"/>
      <c r="I1748" s="198" t="s">
        <v>190</v>
      </c>
      <c r="J1748" s="198" t="s">
        <v>143</v>
      </c>
      <c r="K1748" s="202">
        <f t="shared" si="27"/>
        <v>896070</v>
      </c>
      <c r="L1748" s="202">
        <v>175.7</v>
      </c>
      <c r="N1748" s="202">
        <v>60000</v>
      </c>
      <c r="S1748" s="203"/>
      <c r="W1748" s="198" t="s">
        <v>51</v>
      </c>
      <c r="AE1748" s="198" t="s">
        <v>829</v>
      </c>
    </row>
    <row r="1749" spans="3:31" x14ac:dyDescent="0.25">
      <c r="C1749" s="201"/>
      <c r="E1749" s="201"/>
      <c r="F1749" s="201"/>
      <c r="I1749" s="198" t="s">
        <v>741</v>
      </c>
      <c r="J1749" s="198" t="s">
        <v>274</v>
      </c>
      <c r="K1749" s="202">
        <f t="shared" si="27"/>
        <v>896580</v>
      </c>
      <c r="L1749" s="202">
        <v>175.8</v>
      </c>
      <c r="N1749" s="202">
        <v>60000</v>
      </c>
      <c r="S1749" s="203"/>
      <c r="W1749" s="198" t="s">
        <v>51</v>
      </c>
      <c r="AE1749" s="198" t="s">
        <v>1767</v>
      </c>
    </row>
    <row r="1750" spans="3:31" x14ac:dyDescent="0.25">
      <c r="C1750" s="201"/>
      <c r="E1750" s="201"/>
      <c r="F1750" s="201"/>
      <c r="I1750" s="198" t="s">
        <v>194</v>
      </c>
      <c r="J1750" s="198" t="s">
        <v>156</v>
      </c>
      <c r="K1750" s="202">
        <f t="shared" si="27"/>
        <v>897090</v>
      </c>
      <c r="L1750" s="202">
        <v>175.9</v>
      </c>
      <c r="N1750" s="202">
        <v>60000</v>
      </c>
      <c r="S1750" s="203"/>
      <c r="W1750" s="198" t="s">
        <v>51</v>
      </c>
      <c r="AE1750" s="198" t="s">
        <v>828</v>
      </c>
    </row>
    <row r="1751" spans="3:31" x14ac:dyDescent="0.25">
      <c r="C1751" s="201"/>
      <c r="E1751" s="201"/>
      <c r="F1751" s="201"/>
      <c r="I1751" s="198" t="s">
        <v>239</v>
      </c>
      <c r="J1751" s="198" t="s">
        <v>148</v>
      </c>
      <c r="K1751" s="202">
        <f t="shared" si="27"/>
        <v>897600</v>
      </c>
      <c r="L1751" s="202">
        <v>176</v>
      </c>
      <c r="N1751" s="202">
        <v>60000</v>
      </c>
      <c r="S1751" s="203"/>
      <c r="W1751" s="198" t="s">
        <v>51</v>
      </c>
      <c r="AE1751" s="198" t="s">
        <v>828</v>
      </c>
    </row>
    <row r="1752" spans="3:31" x14ac:dyDescent="0.25">
      <c r="C1752" s="201"/>
      <c r="E1752" s="201"/>
      <c r="F1752" s="201"/>
      <c r="I1752" s="198" t="s">
        <v>740</v>
      </c>
      <c r="J1752" s="198" t="s">
        <v>153</v>
      </c>
      <c r="K1752" s="202">
        <f t="shared" si="27"/>
        <v>898110</v>
      </c>
      <c r="L1752" s="202">
        <v>176.1</v>
      </c>
      <c r="N1752" s="202">
        <v>60000</v>
      </c>
      <c r="S1752" s="203"/>
      <c r="W1752" s="198" t="s">
        <v>51</v>
      </c>
      <c r="AE1752" s="198" t="s">
        <v>1768</v>
      </c>
    </row>
    <row r="1753" spans="3:31" x14ac:dyDescent="0.25">
      <c r="C1753" s="201"/>
      <c r="E1753" s="201"/>
      <c r="F1753" s="201"/>
      <c r="I1753" s="198" t="s">
        <v>192</v>
      </c>
      <c r="J1753" s="198" t="s">
        <v>193</v>
      </c>
      <c r="K1753" s="202">
        <f t="shared" si="27"/>
        <v>898620</v>
      </c>
      <c r="L1753" s="202">
        <v>176.2</v>
      </c>
      <c r="N1753" s="202">
        <v>60000</v>
      </c>
      <c r="S1753" s="203"/>
      <c r="W1753" s="198" t="s">
        <v>51</v>
      </c>
      <c r="AE1753" s="198" t="s">
        <v>830</v>
      </c>
    </row>
    <row r="1754" spans="3:31" x14ac:dyDescent="0.25">
      <c r="C1754" s="201"/>
      <c r="E1754" s="201"/>
      <c r="F1754" s="201"/>
      <c r="I1754" s="198" t="s">
        <v>230</v>
      </c>
      <c r="J1754" s="198" t="s">
        <v>89</v>
      </c>
      <c r="K1754" s="202">
        <f t="shared" si="27"/>
        <v>899130</v>
      </c>
      <c r="L1754" s="202">
        <v>176.3</v>
      </c>
      <c r="N1754" s="202">
        <v>299000</v>
      </c>
      <c r="S1754" s="204"/>
      <c r="W1754" s="198" t="s">
        <v>51</v>
      </c>
      <c r="AE1754" s="198" t="s">
        <v>831</v>
      </c>
    </row>
    <row r="1755" spans="3:31" x14ac:dyDescent="0.25">
      <c r="C1755" s="201"/>
      <c r="E1755" s="201"/>
      <c r="F1755" s="201"/>
      <c r="I1755" s="198" t="s">
        <v>230</v>
      </c>
      <c r="J1755" s="198" t="s">
        <v>89</v>
      </c>
      <c r="K1755" s="202">
        <f t="shared" si="27"/>
        <v>899640</v>
      </c>
      <c r="L1755" s="202">
        <v>176.4</v>
      </c>
      <c r="N1755" s="202">
        <v>91764.72</v>
      </c>
      <c r="S1755" s="203"/>
      <c r="W1755" s="198" t="s">
        <v>51</v>
      </c>
      <c r="AE1755" s="198" t="s">
        <v>831</v>
      </c>
    </row>
    <row r="1756" spans="3:31" x14ac:dyDescent="0.25">
      <c r="C1756" s="201"/>
      <c r="E1756" s="201"/>
      <c r="F1756" s="201"/>
      <c r="I1756" s="198" t="s">
        <v>230</v>
      </c>
      <c r="J1756" s="198" t="s">
        <v>89</v>
      </c>
      <c r="K1756" s="202">
        <f t="shared" si="27"/>
        <v>900150</v>
      </c>
      <c r="L1756" s="202">
        <v>176.5</v>
      </c>
      <c r="N1756" s="202">
        <v>101836.8</v>
      </c>
      <c r="S1756" s="203"/>
      <c r="W1756" s="198" t="s">
        <v>51</v>
      </c>
      <c r="AE1756" s="198" t="s">
        <v>831</v>
      </c>
    </row>
    <row r="1757" spans="3:31" x14ac:dyDescent="0.25">
      <c r="C1757" s="201"/>
      <c r="E1757" s="201"/>
      <c r="F1757" s="201"/>
      <c r="I1757" s="198" t="s">
        <v>230</v>
      </c>
      <c r="J1757" s="198" t="s">
        <v>89</v>
      </c>
      <c r="K1757" s="202">
        <f t="shared" si="27"/>
        <v>900660</v>
      </c>
      <c r="L1757" s="202">
        <v>176.6</v>
      </c>
      <c r="N1757" s="202">
        <v>67891.199999999997</v>
      </c>
      <c r="S1757" s="203"/>
      <c r="W1757" s="198" t="s">
        <v>51</v>
      </c>
      <c r="AE1757" s="198" t="s">
        <v>831</v>
      </c>
    </row>
    <row r="1758" spans="3:31" x14ac:dyDescent="0.25">
      <c r="C1758" s="201"/>
      <c r="E1758" s="201"/>
      <c r="F1758" s="201"/>
      <c r="I1758" s="198" t="s">
        <v>230</v>
      </c>
      <c r="J1758" s="198" t="s">
        <v>89</v>
      </c>
      <c r="K1758" s="202">
        <f t="shared" si="27"/>
        <v>901170</v>
      </c>
      <c r="L1758" s="202">
        <v>176.7</v>
      </c>
      <c r="N1758" s="202">
        <v>27000</v>
      </c>
      <c r="S1758" s="204"/>
      <c r="W1758" s="198" t="s">
        <v>51</v>
      </c>
      <c r="AE1758" s="198" t="s">
        <v>831</v>
      </c>
    </row>
    <row r="1759" spans="3:31" x14ac:dyDescent="0.25">
      <c r="C1759" s="201"/>
      <c r="E1759" s="201"/>
      <c r="F1759" s="201"/>
      <c r="I1759" s="198" t="s">
        <v>223</v>
      </c>
      <c r="J1759" s="198" t="s">
        <v>112</v>
      </c>
      <c r="K1759" s="202">
        <f t="shared" si="27"/>
        <v>901680</v>
      </c>
      <c r="L1759" s="202">
        <v>176.8</v>
      </c>
      <c r="N1759" s="202">
        <v>26250</v>
      </c>
      <c r="S1759" s="204"/>
      <c r="W1759" s="198" t="s">
        <v>51</v>
      </c>
      <c r="AE1759" s="198" t="s">
        <v>831</v>
      </c>
    </row>
    <row r="1760" spans="3:31" x14ac:dyDescent="0.25">
      <c r="C1760" s="201"/>
      <c r="E1760" s="201"/>
      <c r="F1760" s="201"/>
      <c r="I1760" s="198" t="s">
        <v>225</v>
      </c>
      <c r="J1760" s="198" t="s">
        <v>112</v>
      </c>
      <c r="K1760" s="202">
        <f t="shared" si="27"/>
        <v>902190</v>
      </c>
      <c r="L1760" s="202">
        <v>176.9</v>
      </c>
      <c r="N1760" s="202">
        <v>15000</v>
      </c>
      <c r="S1760" s="204"/>
      <c r="W1760" s="198" t="s">
        <v>51</v>
      </c>
      <c r="AE1760" s="198" t="s">
        <v>831</v>
      </c>
    </row>
    <row r="1761" spans="3:31" x14ac:dyDescent="0.25">
      <c r="C1761" s="201"/>
      <c r="E1761" s="201"/>
      <c r="F1761" s="201"/>
      <c r="I1761" s="198" t="s">
        <v>215</v>
      </c>
      <c r="J1761" s="198" t="s">
        <v>89</v>
      </c>
      <c r="K1761" s="202">
        <f t="shared" si="27"/>
        <v>902700</v>
      </c>
      <c r="L1761" s="202">
        <v>177</v>
      </c>
      <c r="N1761" s="202">
        <v>12146875</v>
      </c>
      <c r="S1761" s="204"/>
      <c r="W1761" s="198" t="s">
        <v>51</v>
      </c>
      <c r="AE1761" s="198" t="s">
        <v>831</v>
      </c>
    </row>
    <row r="1762" spans="3:31" x14ac:dyDescent="0.25">
      <c r="C1762" s="201"/>
      <c r="E1762" s="201"/>
      <c r="F1762" s="201"/>
      <c r="I1762" s="198" t="s">
        <v>215</v>
      </c>
      <c r="J1762" s="198" t="s">
        <v>89</v>
      </c>
      <c r="K1762" s="202">
        <f t="shared" si="27"/>
        <v>903210</v>
      </c>
      <c r="L1762" s="202">
        <v>177.1</v>
      </c>
      <c r="N1762" s="202">
        <v>2322417.0499999998</v>
      </c>
      <c r="S1762" s="203"/>
      <c r="W1762" s="198" t="s">
        <v>51</v>
      </c>
      <c r="AE1762" s="198" t="s">
        <v>831</v>
      </c>
    </row>
    <row r="1763" spans="3:31" x14ac:dyDescent="0.25">
      <c r="C1763" s="201"/>
      <c r="E1763" s="201"/>
      <c r="F1763" s="201"/>
      <c r="I1763" s="198" t="s">
        <v>215</v>
      </c>
      <c r="J1763" s="198" t="s">
        <v>89</v>
      </c>
      <c r="K1763" s="202">
        <f t="shared" si="27"/>
        <v>903720</v>
      </c>
      <c r="L1763" s="202">
        <v>177.2</v>
      </c>
      <c r="N1763" s="202">
        <v>6290575.2000000002</v>
      </c>
      <c r="S1763" s="203"/>
      <c r="W1763" s="198" t="s">
        <v>51</v>
      </c>
      <c r="AE1763" s="198" t="s">
        <v>831</v>
      </c>
    </row>
    <row r="1764" spans="3:31" x14ac:dyDescent="0.25">
      <c r="C1764" s="201"/>
      <c r="E1764" s="201"/>
      <c r="F1764" s="201"/>
      <c r="I1764" s="198" t="s">
        <v>215</v>
      </c>
      <c r="J1764" s="198" t="s">
        <v>89</v>
      </c>
      <c r="K1764" s="202">
        <f t="shared" si="27"/>
        <v>904230</v>
      </c>
      <c r="L1764" s="202">
        <v>177.3</v>
      </c>
      <c r="N1764" s="202">
        <v>4193716.8</v>
      </c>
      <c r="S1764" s="203"/>
      <c r="W1764" s="198" t="s">
        <v>51</v>
      </c>
      <c r="AE1764" s="198" t="s">
        <v>831</v>
      </c>
    </row>
    <row r="1765" spans="3:31" x14ac:dyDescent="0.25">
      <c r="C1765" s="201"/>
      <c r="E1765" s="201"/>
      <c r="F1765" s="201"/>
      <c r="I1765" s="198" t="s">
        <v>215</v>
      </c>
      <c r="J1765" s="198" t="s">
        <v>89</v>
      </c>
      <c r="K1765" s="202">
        <f t="shared" si="27"/>
        <v>904740</v>
      </c>
      <c r="L1765" s="202">
        <v>177.4</v>
      </c>
      <c r="N1765" s="202">
        <v>4765167.68</v>
      </c>
      <c r="S1765" s="203"/>
      <c r="W1765" s="198" t="s">
        <v>51</v>
      </c>
      <c r="AE1765" s="198" t="s">
        <v>831</v>
      </c>
    </row>
    <row r="1766" spans="3:31" x14ac:dyDescent="0.25">
      <c r="C1766" s="201"/>
      <c r="E1766" s="201"/>
      <c r="F1766" s="201"/>
      <c r="I1766" s="198" t="s">
        <v>215</v>
      </c>
      <c r="J1766" s="198" t="s">
        <v>89</v>
      </c>
      <c r="K1766" s="202">
        <f t="shared" si="27"/>
        <v>905250</v>
      </c>
      <c r="L1766" s="202">
        <v>177.5</v>
      </c>
      <c r="N1766" s="202">
        <v>3497146.9</v>
      </c>
      <c r="S1766" s="203"/>
      <c r="W1766" s="198" t="s">
        <v>51</v>
      </c>
      <c r="AE1766" s="198" t="s">
        <v>831</v>
      </c>
    </row>
    <row r="1767" spans="3:31" x14ac:dyDescent="0.25">
      <c r="C1767" s="201"/>
      <c r="E1767" s="201"/>
      <c r="F1767" s="201"/>
      <c r="I1767" s="198" t="s">
        <v>215</v>
      </c>
      <c r="J1767" s="198" t="s">
        <v>89</v>
      </c>
      <c r="K1767" s="202">
        <f t="shared" si="27"/>
        <v>905760</v>
      </c>
      <c r="L1767" s="202">
        <v>177.6</v>
      </c>
      <c r="N1767" s="202">
        <v>2227872</v>
      </c>
      <c r="S1767" s="203"/>
      <c r="W1767" s="198" t="s">
        <v>51</v>
      </c>
      <c r="AE1767" s="198" t="s">
        <v>831</v>
      </c>
    </row>
    <row r="1768" spans="3:31" x14ac:dyDescent="0.25">
      <c r="C1768" s="201"/>
      <c r="E1768" s="201"/>
      <c r="F1768" s="201"/>
      <c r="I1768" s="198" t="s">
        <v>215</v>
      </c>
      <c r="J1768" s="198" t="s">
        <v>89</v>
      </c>
      <c r="K1768" s="202">
        <f t="shared" si="27"/>
        <v>906270</v>
      </c>
      <c r="L1768" s="202">
        <v>177.7</v>
      </c>
      <c r="N1768" s="202">
        <v>673500</v>
      </c>
      <c r="S1768" s="204"/>
      <c r="W1768" s="198" t="s">
        <v>51</v>
      </c>
      <c r="AE1768" s="198" t="s">
        <v>831</v>
      </c>
    </row>
    <row r="1769" spans="3:31" x14ac:dyDescent="0.25">
      <c r="C1769" s="201"/>
      <c r="E1769" s="201"/>
      <c r="F1769" s="201"/>
      <c r="I1769" s="198" t="s">
        <v>215</v>
      </c>
      <c r="J1769" s="198" t="s">
        <v>89</v>
      </c>
      <c r="K1769" s="202">
        <f t="shared" si="27"/>
        <v>906780</v>
      </c>
      <c r="L1769" s="202">
        <v>177.8</v>
      </c>
      <c r="N1769" s="202">
        <v>110000</v>
      </c>
      <c r="S1769" s="204"/>
      <c r="W1769" s="198" t="s">
        <v>51</v>
      </c>
      <c r="AE1769" s="198" t="s">
        <v>831</v>
      </c>
    </row>
    <row r="1770" spans="3:31" x14ac:dyDescent="0.25">
      <c r="C1770" s="201"/>
      <c r="E1770" s="201"/>
      <c r="F1770" s="201"/>
      <c r="I1770" s="198" t="s">
        <v>216</v>
      </c>
      <c r="J1770" s="198" t="s">
        <v>89</v>
      </c>
      <c r="K1770" s="202">
        <f t="shared" si="27"/>
        <v>907290</v>
      </c>
      <c r="L1770" s="202">
        <v>177.9</v>
      </c>
      <c r="N1770" s="202">
        <v>3139500</v>
      </c>
      <c r="S1770" s="204"/>
      <c r="W1770" s="198" t="s">
        <v>51</v>
      </c>
      <c r="AE1770" s="198" t="s">
        <v>831</v>
      </c>
    </row>
    <row r="1771" spans="3:31" x14ac:dyDescent="0.25">
      <c r="C1771" s="201"/>
      <c r="E1771" s="201"/>
      <c r="F1771" s="201"/>
      <c r="I1771" s="198" t="s">
        <v>216</v>
      </c>
      <c r="J1771" s="198" t="s">
        <v>89</v>
      </c>
      <c r="K1771" s="202">
        <f t="shared" si="27"/>
        <v>907800</v>
      </c>
      <c r="L1771" s="202">
        <v>178</v>
      </c>
      <c r="N1771" s="202">
        <v>2954193.84</v>
      </c>
      <c r="S1771" s="203"/>
      <c r="W1771" s="198" t="s">
        <v>51</v>
      </c>
      <c r="AE1771" s="198" t="s">
        <v>831</v>
      </c>
    </row>
    <row r="1772" spans="3:31" x14ac:dyDescent="0.25">
      <c r="C1772" s="201"/>
      <c r="E1772" s="201"/>
      <c r="F1772" s="201"/>
      <c r="I1772" s="198" t="s">
        <v>216</v>
      </c>
      <c r="J1772" s="198" t="s">
        <v>89</v>
      </c>
      <c r="K1772" s="202">
        <f t="shared" si="27"/>
        <v>908310</v>
      </c>
      <c r="L1772" s="202">
        <v>178.1</v>
      </c>
      <c r="N1772" s="202">
        <v>1069286.3999999999</v>
      </c>
      <c r="S1772" s="203"/>
      <c r="W1772" s="198" t="s">
        <v>51</v>
      </c>
      <c r="AE1772" s="198" t="s">
        <v>831</v>
      </c>
    </row>
    <row r="1773" spans="3:31" x14ac:dyDescent="0.25">
      <c r="C1773" s="201"/>
      <c r="E1773" s="201"/>
      <c r="F1773" s="201"/>
      <c r="I1773" s="198" t="s">
        <v>216</v>
      </c>
      <c r="J1773" s="198" t="s">
        <v>89</v>
      </c>
      <c r="K1773" s="202">
        <f t="shared" si="27"/>
        <v>908820</v>
      </c>
      <c r="L1773" s="202">
        <v>178.2</v>
      </c>
      <c r="N1773" s="202">
        <v>712857.59999999998</v>
      </c>
      <c r="S1773" s="203"/>
      <c r="W1773" s="198" t="s">
        <v>51</v>
      </c>
      <c r="AE1773" s="198" t="s">
        <v>831</v>
      </c>
    </row>
    <row r="1774" spans="3:31" x14ac:dyDescent="0.25">
      <c r="C1774" s="201"/>
      <c r="E1774" s="201"/>
      <c r="F1774" s="201"/>
      <c r="I1774" s="198" t="s">
        <v>216</v>
      </c>
      <c r="J1774" s="198" t="s">
        <v>89</v>
      </c>
      <c r="K1774" s="202">
        <f t="shared" si="27"/>
        <v>909330</v>
      </c>
      <c r="L1774" s="202">
        <v>178.3</v>
      </c>
      <c r="N1774" s="202">
        <v>243000</v>
      </c>
      <c r="S1774" s="204"/>
      <c r="W1774" s="198" t="s">
        <v>51</v>
      </c>
      <c r="AE1774" s="198" t="s">
        <v>831</v>
      </c>
    </row>
    <row r="1775" spans="3:31" x14ac:dyDescent="0.25">
      <c r="C1775" s="201"/>
      <c r="E1775" s="201"/>
      <c r="F1775" s="201"/>
      <c r="I1775" s="198" t="s">
        <v>217</v>
      </c>
      <c r="J1775" s="198" t="s">
        <v>89</v>
      </c>
      <c r="K1775" s="202">
        <f t="shared" si="27"/>
        <v>909840</v>
      </c>
      <c r="L1775" s="202">
        <v>178.4</v>
      </c>
      <c r="N1775" s="202">
        <v>541937.5</v>
      </c>
      <c r="S1775" s="203"/>
      <c r="W1775" s="198" t="s">
        <v>51</v>
      </c>
      <c r="AE1775" s="198" t="s">
        <v>831</v>
      </c>
    </row>
    <row r="1776" spans="3:31" x14ac:dyDescent="0.25">
      <c r="C1776" s="201"/>
      <c r="E1776" s="201"/>
      <c r="F1776" s="201"/>
      <c r="I1776" s="198" t="s">
        <v>217</v>
      </c>
      <c r="J1776" s="198" t="s">
        <v>89</v>
      </c>
      <c r="K1776" s="202">
        <f t="shared" si="27"/>
        <v>910350</v>
      </c>
      <c r="L1776" s="202">
        <v>178.5</v>
      </c>
      <c r="N1776" s="202">
        <v>509948.96</v>
      </c>
      <c r="S1776" s="203"/>
      <c r="W1776" s="198" t="s">
        <v>51</v>
      </c>
      <c r="AE1776" s="198" t="s">
        <v>831</v>
      </c>
    </row>
    <row r="1777" spans="3:31" x14ac:dyDescent="0.25">
      <c r="C1777" s="201"/>
      <c r="E1777" s="201"/>
      <c r="F1777" s="201"/>
      <c r="I1777" s="198" t="s">
        <v>217</v>
      </c>
      <c r="J1777" s="198" t="s">
        <v>89</v>
      </c>
      <c r="K1777" s="202">
        <f t="shared" si="27"/>
        <v>910860</v>
      </c>
      <c r="L1777" s="202">
        <v>178.6</v>
      </c>
      <c r="N1777" s="202">
        <v>184579.20000000001</v>
      </c>
      <c r="S1777" s="203"/>
      <c r="W1777" s="198" t="s">
        <v>51</v>
      </c>
      <c r="AE1777" s="198" t="s">
        <v>831</v>
      </c>
    </row>
    <row r="1778" spans="3:31" x14ac:dyDescent="0.25">
      <c r="C1778" s="201"/>
      <c r="E1778" s="201"/>
      <c r="F1778" s="201"/>
      <c r="I1778" s="198" t="s">
        <v>217</v>
      </c>
      <c r="J1778" s="198" t="s">
        <v>89</v>
      </c>
      <c r="K1778" s="202">
        <f t="shared" si="27"/>
        <v>911370</v>
      </c>
      <c r="L1778" s="202">
        <v>178.7</v>
      </c>
      <c r="N1778" s="202">
        <v>123052.8</v>
      </c>
      <c r="S1778" s="203"/>
      <c r="W1778" s="198" t="s">
        <v>51</v>
      </c>
      <c r="AE1778" s="198" t="s">
        <v>831</v>
      </c>
    </row>
    <row r="1779" spans="3:31" x14ac:dyDescent="0.25">
      <c r="C1779" s="201"/>
      <c r="E1779" s="201"/>
      <c r="F1779" s="201"/>
      <c r="I1779" s="198" t="s">
        <v>217</v>
      </c>
      <c r="J1779" s="198" t="s">
        <v>89</v>
      </c>
      <c r="K1779" s="202">
        <f t="shared" si="27"/>
        <v>911880</v>
      </c>
      <c r="L1779" s="202">
        <v>178.8</v>
      </c>
      <c r="N1779" s="202">
        <v>47250</v>
      </c>
      <c r="S1779" s="204"/>
      <c r="W1779" s="198" t="s">
        <v>51</v>
      </c>
      <c r="AE1779" s="198" t="s">
        <v>831</v>
      </c>
    </row>
    <row r="1780" spans="3:31" x14ac:dyDescent="0.25">
      <c r="C1780" s="201"/>
      <c r="E1780" s="201"/>
      <c r="F1780" s="201"/>
      <c r="I1780" s="198" t="s">
        <v>221</v>
      </c>
      <c r="J1780" s="198" t="s">
        <v>112</v>
      </c>
      <c r="K1780" s="202">
        <f t="shared" si="27"/>
        <v>912390</v>
      </c>
      <c r="L1780" s="202">
        <v>178.9</v>
      </c>
      <c r="N1780" s="202">
        <v>747500</v>
      </c>
      <c r="S1780" s="204"/>
      <c r="W1780" s="198" t="s">
        <v>51</v>
      </c>
      <c r="AE1780" s="198" t="s">
        <v>831</v>
      </c>
    </row>
    <row r="1781" spans="3:31" x14ac:dyDescent="0.25">
      <c r="C1781" s="201"/>
      <c r="E1781" s="201"/>
      <c r="F1781" s="201"/>
      <c r="I1781" s="198" t="s">
        <v>221</v>
      </c>
      <c r="J1781" s="198" t="s">
        <v>112</v>
      </c>
      <c r="K1781" s="202">
        <f t="shared" si="27"/>
        <v>912900</v>
      </c>
      <c r="L1781" s="202">
        <v>179</v>
      </c>
      <c r="N1781" s="202">
        <v>2001168</v>
      </c>
      <c r="S1781" s="203"/>
      <c r="W1781" s="198" t="s">
        <v>51</v>
      </c>
      <c r="AE1781" s="198" t="s">
        <v>831</v>
      </c>
    </row>
    <row r="1782" spans="3:31" x14ac:dyDescent="0.25">
      <c r="C1782" s="201"/>
      <c r="E1782" s="201"/>
      <c r="F1782" s="201"/>
      <c r="I1782" s="198" t="s">
        <v>221</v>
      </c>
      <c r="J1782" s="198" t="s">
        <v>112</v>
      </c>
      <c r="K1782" s="202">
        <f t="shared" si="27"/>
        <v>913410</v>
      </c>
      <c r="L1782" s="202">
        <v>179.1</v>
      </c>
      <c r="N1782" s="202">
        <v>1334112</v>
      </c>
      <c r="S1782" s="203"/>
      <c r="W1782" s="198" t="s">
        <v>51</v>
      </c>
      <c r="AE1782" s="198" t="s">
        <v>831</v>
      </c>
    </row>
    <row r="1783" spans="3:31" x14ac:dyDescent="0.25">
      <c r="C1783" s="201"/>
      <c r="E1783" s="201"/>
      <c r="F1783" s="201"/>
      <c r="I1783" s="198" t="s">
        <v>221</v>
      </c>
      <c r="J1783" s="198" t="s">
        <v>112</v>
      </c>
      <c r="K1783" s="202">
        <f t="shared" si="27"/>
        <v>913920</v>
      </c>
      <c r="L1783" s="202">
        <v>179.2</v>
      </c>
      <c r="N1783" s="202">
        <v>3887387.52</v>
      </c>
      <c r="S1783" s="203"/>
      <c r="W1783" s="198" t="s">
        <v>51</v>
      </c>
      <c r="AE1783" s="198" t="s">
        <v>831</v>
      </c>
    </row>
    <row r="1784" spans="3:31" x14ac:dyDescent="0.25">
      <c r="C1784" s="201"/>
      <c r="E1784" s="201"/>
      <c r="F1784" s="201"/>
      <c r="I1784" s="198" t="s">
        <v>221</v>
      </c>
      <c r="J1784" s="198" t="s">
        <v>112</v>
      </c>
      <c r="K1784" s="202">
        <f t="shared" si="27"/>
        <v>914430</v>
      </c>
      <c r="L1784" s="202">
        <v>179.3</v>
      </c>
      <c r="N1784" s="202">
        <v>2543957</v>
      </c>
      <c r="S1784" s="203"/>
      <c r="W1784" s="198" t="s">
        <v>51</v>
      </c>
      <c r="AE1784" s="198" t="s">
        <v>831</v>
      </c>
    </row>
    <row r="1785" spans="3:31" x14ac:dyDescent="0.25">
      <c r="C1785" s="201"/>
      <c r="E1785" s="201"/>
      <c r="F1785" s="201"/>
      <c r="I1785" s="198" t="s">
        <v>221</v>
      </c>
      <c r="J1785" s="198" t="s">
        <v>112</v>
      </c>
      <c r="K1785" s="202">
        <f t="shared" si="27"/>
        <v>914940</v>
      </c>
      <c r="L1785" s="202">
        <v>179.4</v>
      </c>
      <c r="N1785" s="202">
        <v>2544720</v>
      </c>
      <c r="S1785" s="203"/>
      <c r="W1785" s="198" t="s">
        <v>51</v>
      </c>
      <c r="AE1785" s="198" t="s">
        <v>831</v>
      </c>
    </row>
    <row r="1786" spans="3:31" x14ac:dyDescent="0.25">
      <c r="C1786" s="201"/>
      <c r="E1786" s="201"/>
      <c r="F1786" s="201"/>
      <c r="I1786" s="198" t="s">
        <v>221</v>
      </c>
      <c r="J1786" s="198" t="s">
        <v>112</v>
      </c>
      <c r="K1786" s="202">
        <f t="shared" si="27"/>
        <v>915450</v>
      </c>
      <c r="L1786" s="202">
        <v>179.5</v>
      </c>
      <c r="N1786" s="202">
        <v>672000</v>
      </c>
      <c r="S1786" s="204"/>
      <c r="W1786" s="198" t="s">
        <v>51</v>
      </c>
      <c r="AE1786" s="198" t="s">
        <v>831</v>
      </c>
    </row>
    <row r="1787" spans="3:31" x14ac:dyDescent="0.25">
      <c r="C1787" s="201"/>
      <c r="E1787" s="201"/>
      <c r="F1787" s="201"/>
      <c r="I1787" s="198" t="s">
        <v>221</v>
      </c>
      <c r="J1787" s="198" t="s">
        <v>112</v>
      </c>
      <c r="K1787" s="202">
        <f t="shared" si="27"/>
        <v>915960</v>
      </c>
      <c r="L1787" s="202">
        <v>179.6</v>
      </c>
      <c r="N1787" s="202">
        <v>110000</v>
      </c>
      <c r="S1787" s="204"/>
      <c r="W1787" s="198" t="s">
        <v>51</v>
      </c>
      <c r="AE1787" s="198" t="s">
        <v>831</v>
      </c>
    </row>
    <row r="1788" spans="3:31" x14ac:dyDescent="0.25">
      <c r="C1788" s="201"/>
      <c r="E1788" s="201"/>
      <c r="F1788" s="201"/>
      <c r="I1788" s="198" t="s">
        <v>222</v>
      </c>
      <c r="J1788" s="198" t="s">
        <v>112</v>
      </c>
      <c r="K1788" s="202">
        <f t="shared" si="27"/>
        <v>916470</v>
      </c>
      <c r="L1788" s="202">
        <v>179.7</v>
      </c>
      <c r="N1788" s="202">
        <v>373750</v>
      </c>
      <c r="S1788" s="204"/>
      <c r="W1788" s="198" t="s">
        <v>51</v>
      </c>
      <c r="AE1788" s="198" t="s">
        <v>831</v>
      </c>
    </row>
    <row r="1789" spans="3:31" x14ac:dyDescent="0.25">
      <c r="C1789" s="201"/>
      <c r="E1789" s="201"/>
      <c r="F1789" s="201"/>
      <c r="I1789" s="198" t="s">
        <v>222</v>
      </c>
      <c r="J1789" s="198" t="s">
        <v>112</v>
      </c>
      <c r="K1789" s="202">
        <f t="shared" si="27"/>
        <v>916980</v>
      </c>
      <c r="L1789" s="202">
        <v>179.8</v>
      </c>
      <c r="N1789" s="202">
        <v>351690.92</v>
      </c>
      <c r="S1789" s="203"/>
      <c r="W1789" s="198" t="s">
        <v>51</v>
      </c>
      <c r="AE1789" s="198" t="s">
        <v>831</v>
      </c>
    </row>
    <row r="1790" spans="3:31" x14ac:dyDescent="0.25">
      <c r="C1790" s="201"/>
      <c r="E1790" s="201"/>
      <c r="F1790" s="201"/>
      <c r="I1790" s="198" t="s">
        <v>222</v>
      </c>
      <c r="J1790" s="198" t="s">
        <v>112</v>
      </c>
      <c r="K1790" s="202">
        <f t="shared" si="27"/>
        <v>917490</v>
      </c>
      <c r="L1790" s="202">
        <v>179.9</v>
      </c>
      <c r="N1790" s="202">
        <v>127296</v>
      </c>
      <c r="S1790" s="203"/>
      <c r="W1790" s="198" t="s">
        <v>51</v>
      </c>
      <c r="AE1790" s="198" t="s">
        <v>831</v>
      </c>
    </row>
    <row r="1791" spans="3:31" x14ac:dyDescent="0.25">
      <c r="C1791" s="201"/>
      <c r="E1791" s="201"/>
      <c r="F1791" s="201"/>
      <c r="I1791" s="198" t="s">
        <v>222</v>
      </c>
      <c r="J1791" s="198" t="s">
        <v>112</v>
      </c>
      <c r="K1791" s="202">
        <f t="shared" si="27"/>
        <v>918000</v>
      </c>
      <c r="L1791" s="202">
        <v>180</v>
      </c>
      <c r="N1791" s="202">
        <v>84864</v>
      </c>
      <c r="S1791" s="203"/>
      <c r="W1791" s="198" t="s">
        <v>51</v>
      </c>
      <c r="AE1791" s="198" t="s">
        <v>831</v>
      </c>
    </row>
    <row r="1792" spans="3:31" x14ac:dyDescent="0.25">
      <c r="C1792" s="201"/>
      <c r="E1792" s="201"/>
      <c r="F1792" s="201"/>
      <c r="I1792" s="198" t="s">
        <v>222</v>
      </c>
      <c r="J1792" s="198" t="s">
        <v>112</v>
      </c>
      <c r="K1792" s="202">
        <f t="shared" si="27"/>
        <v>918510</v>
      </c>
      <c r="L1792" s="202">
        <v>180.1</v>
      </c>
      <c r="N1792" s="202">
        <v>117000</v>
      </c>
      <c r="S1792" s="204"/>
      <c r="W1792" s="198" t="s">
        <v>51</v>
      </c>
      <c r="AE1792" s="198" t="s">
        <v>831</v>
      </c>
    </row>
    <row r="1793" spans="3:31" x14ac:dyDescent="0.25">
      <c r="C1793" s="201"/>
      <c r="E1793" s="201"/>
      <c r="F1793" s="201"/>
      <c r="I1793" s="198" t="s">
        <v>566</v>
      </c>
      <c r="J1793" s="198" t="s">
        <v>117</v>
      </c>
      <c r="K1793" s="202">
        <f t="shared" si="27"/>
        <v>919020</v>
      </c>
      <c r="L1793" s="202">
        <v>180.2</v>
      </c>
      <c r="N1793" s="202">
        <v>2262900</v>
      </c>
      <c r="S1793" s="204"/>
      <c r="W1793" s="198" t="s">
        <v>51</v>
      </c>
      <c r="AE1793" s="198" t="s">
        <v>878</v>
      </c>
    </row>
    <row r="1794" spans="3:31" x14ac:dyDescent="0.25">
      <c r="C1794" s="201"/>
      <c r="E1794" s="201"/>
      <c r="F1794" s="201"/>
      <c r="I1794" s="198" t="s">
        <v>519</v>
      </c>
      <c r="J1794" s="198" t="s">
        <v>130</v>
      </c>
      <c r="K1794" s="202">
        <f t="shared" si="27"/>
        <v>919530</v>
      </c>
      <c r="L1794" s="202">
        <v>180.3</v>
      </c>
      <c r="N1794" s="202">
        <v>-0.34</v>
      </c>
      <c r="S1794" s="204"/>
      <c r="W1794" s="198" t="s">
        <v>51</v>
      </c>
      <c r="AE1794" s="198" t="s">
        <v>833</v>
      </c>
    </row>
    <row r="1795" spans="3:31" x14ac:dyDescent="0.25">
      <c r="C1795" s="201"/>
      <c r="E1795" s="201"/>
      <c r="F1795" s="201"/>
      <c r="I1795" s="198" t="s">
        <v>129</v>
      </c>
      <c r="J1795" s="198" t="s">
        <v>130</v>
      </c>
      <c r="K1795" s="202">
        <f t="shared" ref="K1795:K1858" si="28">L1795*5100</f>
        <v>920040</v>
      </c>
      <c r="L1795" s="202">
        <v>180.4</v>
      </c>
      <c r="N1795" s="202">
        <v>0.2</v>
      </c>
      <c r="S1795" s="204"/>
      <c r="W1795" s="198" t="s">
        <v>51</v>
      </c>
      <c r="AE1795" s="198" t="s">
        <v>833</v>
      </c>
    </row>
    <row r="1796" spans="3:31" x14ac:dyDescent="0.25">
      <c r="C1796" s="201"/>
      <c r="E1796" s="201"/>
      <c r="F1796" s="201"/>
      <c r="I1796" s="198" t="s">
        <v>129</v>
      </c>
      <c r="J1796" s="198" t="s">
        <v>130</v>
      </c>
      <c r="K1796" s="202">
        <f t="shared" si="28"/>
        <v>920550</v>
      </c>
      <c r="L1796" s="202">
        <v>180.5</v>
      </c>
      <c r="N1796" s="202">
        <v>0.2</v>
      </c>
      <c r="S1796" s="204"/>
      <c r="W1796" s="198" t="s">
        <v>51</v>
      </c>
      <c r="AE1796" s="198" t="s">
        <v>833</v>
      </c>
    </row>
    <row r="1797" spans="3:31" x14ac:dyDescent="0.25">
      <c r="C1797" s="201"/>
      <c r="E1797" s="201"/>
      <c r="F1797" s="201"/>
      <c r="I1797" s="198" t="s">
        <v>199</v>
      </c>
      <c r="J1797" s="198" t="s">
        <v>167</v>
      </c>
      <c r="K1797" s="202">
        <f t="shared" si="28"/>
        <v>921060</v>
      </c>
      <c r="L1797" s="202">
        <v>180.6</v>
      </c>
      <c r="N1797" s="202">
        <v>354290</v>
      </c>
      <c r="S1797" s="204"/>
      <c r="W1797" s="198" t="s">
        <v>51</v>
      </c>
      <c r="AE1797" s="198" t="s">
        <v>831</v>
      </c>
    </row>
    <row r="1798" spans="3:31" x14ac:dyDescent="0.25">
      <c r="C1798" s="201"/>
      <c r="E1798" s="201"/>
      <c r="F1798" s="201"/>
      <c r="I1798" s="198" t="s">
        <v>199</v>
      </c>
      <c r="J1798" s="198" t="s">
        <v>167</v>
      </c>
      <c r="K1798" s="202">
        <f t="shared" si="28"/>
        <v>921570</v>
      </c>
      <c r="L1798" s="202">
        <v>180.7</v>
      </c>
      <c r="N1798" s="202">
        <v>354290</v>
      </c>
      <c r="S1798" s="204"/>
      <c r="W1798" s="198" t="s">
        <v>51</v>
      </c>
      <c r="AE1798" s="198" t="s">
        <v>831</v>
      </c>
    </row>
    <row r="1799" spans="3:31" x14ac:dyDescent="0.25">
      <c r="C1799" s="201"/>
      <c r="E1799" s="201"/>
      <c r="F1799" s="201"/>
      <c r="I1799" s="198" t="s">
        <v>199</v>
      </c>
      <c r="J1799" s="198" t="s">
        <v>167</v>
      </c>
      <c r="K1799" s="202">
        <f t="shared" si="28"/>
        <v>922080</v>
      </c>
      <c r="L1799" s="202">
        <v>180.8</v>
      </c>
      <c r="N1799" s="202">
        <v>354290</v>
      </c>
      <c r="S1799" s="204"/>
      <c r="W1799" s="198" t="s">
        <v>51</v>
      </c>
      <c r="AE1799" s="198" t="s">
        <v>831</v>
      </c>
    </row>
    <row r="1800" spans="3:31" x14ac:dyDescent="0.25">
      <c r="C1800" s="201"/>
      <c r="E1800" s="201"/>
      <c r="F1800" s="201"/>
      <c r="I1800" s="198" t="s">
        <v>199</v>
      </c>
      <c r="J1800" s="198" t="s">
        <v>167</v>
      </c>
      <c r="K1800" s="202">
        <f t="shared" si="28"/>
        <v>922590</v>
      </c>
      <c r="L1800" s="202">
        <v>180.9</v>
      </c>
      <c r="N1800" s="202">
        <v>354290</v>
      </c>
      <c r="S1800" s="204"/>
      <c r="W1800" s="198" t="s">
        <v>51</v>
      </c>
      <c r="AE1800" s="198" t="s">
        <v>831</v>
      </c>
    </row>
    <row r="1801" spans="3:31" x14ac:dyDescent="0.25">
      <c r="C1801" s="201"/>
      <c r="E1801" s="201"/>
      <c r="F1801" s="201"/>
      <c r="I1801" s="198" t="s">
        <v>199</v>
      </c>
      <c r="J1801" s="198" t="s">
        <v>167</v>
      </c>
      <c r="K1801" s="202">
        <f t="shared" si="28"/>
        <v>923100</v>
      </c>
      <c r="L1801" s="202">
        <v>181</v>
      </c>
      <c r="N1801" s="202">
        <v>354290</v>
      </c>
      <c r="S1801" s="204"/>
      <c r="W1801" s="198" t="s">
        <v>51</v>
      </c>
      <c r="AE1801" s="198" t="s">
        <v>831</v>
      </c>
    </row>
    <row r="1802" spans="3:31" x14ac:dyDescent="0.25">
      <c r="C1802" s="201"/>
      <c r="E1802" s="201"/>
      <c r="F1802" s="201"/>
      <c r="I1802" s="198" t="s">
        <v>199</v>
      </c>
      <c r="J1802" s="198" t="s">
        <v>167</v>
      </c>
      <c r="K1802" s="202">
        <f t="shared" si="28"/>
        <v>923610</v>
      </c>
      <c r="L1802" s="202">
        <v>181.1</v>
      </c>
      <c r="N1802" s="202">
        <v>354290</v>
      </c>
      <c r="S1802" s="204"/>
      <c r="W1802" s="198" t="s">
        <v>51</v>
      </c>
      <c r="AE1802" s="198" t="s">
        <v>831</v>
      </c>
    </row>
    <row r="1803" spans="3:31" x14ac:dyDescent="0.25">
      <c r="C1803" s="201"/>
      <c r="E1803" s="201"/>
      <c r="F1803" s="201"/>
      <c r="I1803" s="198" t="s">
        <v>199</v>
      </c>
      <c r="J1803" s="198" t="s">
        <v>167</v>
      </c>
      <c r="K1803" s="202">
        <f t="shared" si="28"/>
        <v>924120</v>
      </c>
      <c r="L1803" s="202">
        <v>181.2</v>
      </c>
      <c r="N1803" s="202">
        <v>354290</v>
      </c>
      <c r="S1803" s="204"/>
      <c r="W1803" s="198" t="s">
        <v>51</v>
      </c>
      <c r="AE1803" s="198" t="s">
        <v>831</v>
      </c>
    </row>
    <row r="1804" spans="3:31" x14ac:dyDescent="0.25">
      <c r="C1804" s="201"/>
      <c r="E1804" s="201"/>
      <c r="F1804" s="201"/>
      <c r="I1804" s="198" t="s">
        <v>199</v>
      </c>
      <c r="J1804" s="198" t="s">
        <v>167</v>
      </c>
      <c r="K1804" s="202">
        <f t="shared" si="28"/>
        <v>924630</v>
      </c>
      <c r="L1804" s="202">
        <v>181.3</v>
      </c>
      <c r="N1804" s="202">
        <v>354290</v>
      </c>
      <c r="S1804" s="204"/>
      <c r="W1804" s="198" t="s">
        <v>51</v>
      </c>
      <c r="AE1804" s="198" t="s">
        <v>831</v>
      </c>
    </row>
    <row r="1805" spans="3:31" x14ac:dyDescent="0.25">
      <c r="C1805" s="201"/>
      <c r="E1805" s="201"/>
      <c r="F1805" s="201"/>
      <c r="I1805" s="198" t="s">
        <v>199</v>
      </c>
      <c r="J1805" s="198" t="s">
        <v>167</v>
      </c>
      <c r="K1805" s="202">
        <f t="shared" si="28"/>
        <v>925140</v>
      </c>
      <c r="L1805" s="202">
        <v>181.4</v>
      </c>
      <c r="N1805" s="202">
        <v>354290</v>
      </c>
      <c r="S1805" s="204"/>
      <c r="W1805" s="198" t="s">
        <v>51</v>
      </c>
      <c r="AE1805" s="198" t="s">
        <v>831</v>
      </c>
    </row>
    <row r="1806" spans="3:31" x14ac:dyDescent="0.25">
      <c r="C1806" s="201"/>
      <c r="E1806" s="201"/>
      <c r="F1806" s="201"/>
      <c r="I1806" s="198" t="s">
        <v>199</v>
      </c>
      <c r="J1806" s="198" t="s">
        <v>167</v>
      </c>
      <c r="K1806" s="202">
        <f t="shared" si="28"/>
        <v>925650</v>
      </c>
      <c r="L1806" s="202">
        <v>181.5</v>
      </c>
      <c r="N1806" s="202">
        <v>354290</v>
      </c>
      <c r="S1806" s="204"/>
      <c r="W1806" s="198" t="s">
        <v>51</v>
      </c>
      <c r="AE1806" s="198" t="s">
        <v>831</v>
      </c>
    </row>
    <row r="1807" spans="3:31" x14ac:dyDescent="0.25">
      <c r="C1807" s="201"/>
      <c r="E1807" s="201"/>
      <c r="F1807" s="201"/>
      <c r="I1807" s="198" t="s">
        <v>199</v>
      </c>
      <c r="J1807" s="198" t="s">
        <v>167</v>
      </c>
      <c r="K1807" s="202">
        <f t="shared" si="28"/>
        <v>926160</v>
      </c>
      <c r="L1807" s="202">
        <v>181.6</v>
      </c>
      <c r="N1807" s="202">
        <v>354290</v>
      </c>
      <c r="S1807" s="204"/>
      <c r="W1807" s="198" t="s">
        <v>51</v>
      </c>
      <c r="AE1807" s="198" t="s">
        <v>831</v>
      </c>
    </row>
    <row r="1808" spans="3:31" x14ac:dyDescent="0.25">
      <c r="C1808" s="201"/>
      <c r="E1808" s="201"/>
      <c r="F1808" s="201"/>
      <c r="I1808" s="198" t="s">
        <v>199</v>
      </c>
      <c r="J1808" s="198" t="s">
        <v>167</v>
      </c>
      <c r="K1808" s="202">
        <f t="shared" si="28"/>
        <v>926670</v>
      </c>
      <c r="L1808" s="202">
        <v>181.7</v>
      </c>
      <c r="N1808" s="202">
        <v>354290</v>
      </c>
      <c r="S1808" s="204"/>
      <c r="W1808" s="198" t="s">
        <v>51</v>
      </c>
      <c r="AE1808" s="198" t="s">
        <v>831</v>
      </c>
    </row>
    <row r="1809" spans="3:31" x14ac:dyDescent="0.25">
      <c r="C1809" s="201"/>
      <c r="E1809" s="201"/>
      <c r="F1809" s="201"/>
      <c r="I1809" s="198" t="s">
        <v>199</v>
      </c>
      <c r="J1809" s="198" t="s">
        <v>167</v>
      </c>
      <c r="K1809" s="202">
        <f t="shared" si="28"/>
        <v>927180</v>
      </c>
      <c r="L1809" s="202">
        <v>181.8</v>
      </c>
      <c r="N1809" s="202">
        <v>354290</v>
      </c>
      <c r="S1809" s="204"/>
      <c r="W1809" s="198" t="s">
        <v>51</v>
      </c>
      <c r="AE1809" s="198" t="s">
        <v>831</v>
      </c>
    </row>
    <row r="1810" spans="3:31" x14ac:dyDescent="0.25">
      <c r="C1810" s="201"/>
      <c r="E1810" s="201"/>
      <c r="F1810" s="201"/>
      <c r="I1810" s="198" t="s">
        <v>199</v>
      </c>
      <c r="J1810" s="198" t="s">
        <v>167</v>
      </c>
      <c r="K1810" s="202">
        <f t="shared" si="28"/>
        <v>927690</v>
      </c>
      <c r="L1810" s="202">
        <v>181.9</v>
      </c>
      <c r="N1810" s="202">
        <v>354290</v>
      </c>
      <c r="S1810" s="204"/>
      <c r="W1810" s="198" t="s">
        <v>51</v>
      </c>
      <c r="AE1810" s="198" t="s">
        <v>831</v>
      </c>
    </row>
    <row r="1811" spans="3:31" x14ac:dyDescent="0.25">
      <c r="C1811" s="201"/>
      <c r="E1811" s="201"/>
      <c r="F1811" s="201"/>
      <c r="I1811" s="198" t="s">
        <v>199</v>
      </c>
      <c r="J1811" s="198" t="s">
        <v>167</v>
      </c>
      <c r="K1811" s="202">
        <f t="shared" si="28"/>
        <v>928200</v>
      </c>
      <c r="L1811" s="202">
        <v>182</v>
      </c>
      <c r="N1811" s="202">
        <v>354290</v>
      </c>
      <c r="S1811" s="204"/>
      <c r="W1811" s="198" t="s">
        <v>51</v>
      </c>
      <c r="AE1811" s="198" t="s">
        <v>831</v>
      </c>
    </row>
    <row r="1812" spans="3:31" x14ac:dyDescent="0.25">
      <c r="C1812" s="201"/>
      <c r="E1812" s="201"/>
      <c r="F1812" s="201"/>
      <c r="I1812" s="198" t="s">
        <v>577</v>
      </c>
      <c r="J1812" s="198" t="s">
        <v>130</v>
      </c>
      <c r="K1812" s="202">
        <f t="shared" si="28"/>
        <v>928710</v>
      </c>
      <c r="L1812" s="202">
        <v>182.1</v>
      </c>
      <c r="N1812" s="202">
        <v>-0.67</v>
      </c>
      <c r="S1812" s="203"/>
      <c r="W1812" s="198" t="s">
        <v>51</v>
      </c>
      <c r="AE1812" s="198" t="s">
        <v>54</v>
      </c>
    </row>
    <row r="1813" spans="3:31" x14ac:dyDescent="0.25">
      <c r="C1813" s="201"/>
      <c r="E1813" s="201"/>
      <c r="F1813" s="201"/>
      <c r="I1813" s="198" t="s">
        <v>566</v>
      </c>
      <c r="J1813" s="198" t="s">
        <v>117</v>
      </c>
      <c r="K1813" s="202">
        <f t="shared" si="28"/>
        <v>929220</v>
      </c>
      <c r="L1813" s="202">
        <v>182.2</v>
      </c>
      <c r="N1813" s="202">
        <v>-1.36</v>
      </c>
      <c r="S1813" s="203"/>
      <c r="W1813" s="198" t="s">
        <v>51</v>
      </c>
      <c r="AE1813" s="198" t="s">
        <v>54</v>
      </c>
    </row>
    <row r="1814" spans="3:31" x14ac:dyDescent="0.25">
      <c r="C1814" s="201"/>
      <c r="E1814" s="201"/>
      <c r="F1814" s="201"/>
      <c r="I1814" s="198" t="s">
        <v>528</v>
      </c>
      <c r="J1814" s="198" t="s">
        <v>134</v>
      </c>
      <c r="K1814" s="202">
        <f t="shared" si="28"/>
        <v>929730</v>
      </c>
      <c r="L1814" s="202">
        <v>182.3</v>
      </c>
      <c r="N1814" s="202">
        <v>-0.28999999999999998</v>
      </c>
      <c r="S1814" s="203"/>
      <c r="W1814" s="198" t="s">
        <v>51</v>
      </c>
      <c r="AE1814" s="198" t="s">
        <v>54</v>
      </c>
    </row>
    <row r="1815" spans="3:31" x14ac:dyDescent="0.25">
      <c r="C1815" s="201"/>
      <c r="E1815" s="201"/>
      <c r="F1815" s="201"/>
      <c r="I1815" s="198" t="s">
        <v>133</v>
      </c>
      <c r="J1815" s="198" t="s">
        <v>134</v>
      </c>
      <c r="K1815" s="202">
        <f t="shared" si="28"/>
        <v>930240</v>
      </c>
      <c r="L1815" s="202">
        <v>182.4</v>
      </c>
      <c r="N1815" s="202">
        <v>355150.76</v>
      </c>
      <c r="S1815" s="204"/>
      <c r="W1815" s="198" t="s">
        <v>51</v>
      </c>
      <c r="AE1815" s="198" t="s">
        <v>846</v>
      </c>
    </row>
    <row r="1816" spans="3:31" x14ac:dyDescent="0.25">
      <c r="C1816" s="201"/>
      <c r="E1816" s="201"/>
      <c r="F1816" s="201"/>
      <c r="I1816" s="198" t="s">
        <v>133</v>
      </c>
      <c r="J1816" s="198" t="s">
        <v>134</v>
      </c>
      <c r="K1816" s="202">
        <f t="shared" si="28"/>
        <v>930750</v>
      </c>
      <c r="L1816" s="202">
        <v>182.5</v>
      </c>
      <c r="N1816" s="202">
        <v>6152190</v>
      </c>
      <c r="S1816" s="204"/>
      <c r="W1816" s="198" t="s">
        <v>51</v>
      </c>
      <c r="AE1816" s="198" t="s">
        <v>846</v>
      </c>
    </row>
    <row r="1817" spans="3:31" x14ac:dyDescent="0.25">
      <c r="C1817" s="201"/>
      <c r="E1817" s="201"/>
      <c r="F1817" s="201"/>
      <c r="I1817" s="198" t="s">
        <v>133</v>
      </c>
      <c r="J1817" s="198" t="s">
        <v>134</v>
      </c>
      <c r="K1817" s="202">
        <f t="shared" si="28"/>
        <v>931260</v>
      </c>
      <c r="L1817" s="202">
        <v>182.6</v>
      </c>
      <c r="N1817" s="202">
        <v>2959460</v>
      </c>
      <c r="S1817" s="204"/>
      <c r="W1817" s="198" t="s">
        <v>51</v>
      </c>
      <c r="AE1817" s="198" t="s">
        <v>846</v>
      </c>
    </row>
    <row r="1818" spans="3:31" x14ac:dyDescent="0.25">
      <c r="C1818" s="201"/>
      <c r="E1818" s="201"/>
      <c r="F1818" s="201"/>
      <c r="I1818" s="198" t="s">
        <v>133</v>
      </c>
      <c r="J1818" s="198" t="s">
        <v>134</v>
      </c>
      <c r="K1818" s="202">
        <f t="shared" si="28"/>
        <v>931770</v>
      </c>
      <c r="L1818" s="202">
        <v>182.7</v>
      </c>
      <c r="N1818" s="202">
        <v>3170850</v>
      </c>
      <c r="S1818" s="204"/>
      <c r="W1818" s="198" t="s">
        <v>51</v>
      </c>
      <c r="AE1818" s="198" t="s">
        <v>846</v>
      </c>
    </row>
    <row r="1819" spans="3:31" x14ac:dyDescent="0.25">
      <c r="C1819" s="201"/>
      <c r="E1819" s="201"/>
      <c r="F1819" s="201"/>
      <c r="I1819" s="198" t="s">
        <v>133</v>
      </c>
      <c r="J1819" s="198" t="s">
        <v>134</v>
      </c>
      <c r="K1819" s="202">
        <f t="shared" si="28"/>
        <v>932280</v>
      </c>
      <c r="L1819" s="202">
        <v>182.8</v>
      </c>
      <c r="N1819" s="202">
        <v>42907</v>
      </c>
      <c r="S1819" s="204"/>
      <c r="W1819" s="198" t="s">
        <v>51</v>
      </c>
      <c r="AE1819" s="198" t="s">
        <v>846</v>
      </c>
    </row>
    <row r="1820" spans="3:31" x14ac:dyDescent="0.25">
      <c r="C1820" s="201"/>
      <c r="E1820" s="201"/>
      <c r="F1820" s="201"/>
      <c r="I1820" s="198" t="s">
        <v>133</v>
      </c>
      <c r="J1820" s="198" t="s">
        <v>134</v>
      </c>
      <c r="K1820" s="202">
        <f t="shared" si="28"/>
        <v>932790</v>
      </c>
      <c r="L1820" s="202">
        <v>182.9</v>
      </c>
      <c r="N1820" s="202">
        <v>358956</v>
      </c>
      <c r="S1820" s="204"/>
      <c r="W1820" s="198" t="s">
        <v>51</v>
      </c>
      <c r="AE1820" s="198" t="s">
        <v>846</v>
      </c>
    </row>
    <row r="1821" spans="3:31" x14ac:dyDescent="0.25">
      <c r="C1821" s="201"/>
      <c r="E1821" s="201"/>
      <c r="F1821" s="201"/>
      <c r="I1821" s="198" t="s">
        <v>133</v>
      </c>
      <c r="J1821" s="198" t="s">
        <v>134</v>
      </c>
      <c r="K1821" s="202">
        <f t="shared" si="28"/>
        <v>933300</v>
      </c>
      <c r="L1821" s="202">
        <v>183</v>
      </c>
      <c r="N1821" s="202">
        <v>506220</v>
      </c>
      <c r="S1821" s="204"/>
      <c r="W1821" s="198" t="s">
        <v>51</v>
      </c>
      <c r="AE1821" s="198" t="s">
        <v>846</v>
      </c>
    </row>
    <row r="1822" spans="3:31" x14ac:dyDescent="0.25">
      <c r="C1822" s="201"/>
      <c r="E1822" s="201"/>
      <c r="F1822" s="201"/>
      <c r="I1822" s="198" t="s">
        <v>133</v>
      </c>
      <c r="J1822" s="198" t="s">
        <v>134</v>
      </c>
      <c r="K1822" s="202">
        <f t="shared" si="28"/>
        <v>933810</v>
      </c>
      <c r="L1822" s="202">
        <v>183.1</v>
      </c>
      <c r="N1822" s="202">
        <v>3247360</v>
      </c>
      <c r="S1822" s="204"/>
      <c r="W1822" s="198" t="s">
        <v>51</v>
      </c>
      <c r="AE1822" s="198" t="s">
        <v>846</v>
      </c>
    </row>
    <row r="1823" spans="3:31" x14ac:dyDescent="0.25">
      <c r="C1823" s="201"/>
      <c r="E1823" s="201"/>
      <c r="F1823" s="201"/>
      <c r="I1823" s="198" t="s">
        <v>77</v>
      </c>
      <c r="J1823" s="198" t="s">
        <v>65</v>
      </c>
      <c r="K1823" s="202">
        <f t="shared" si="28"/>
        <v>934320</v>
      </c>
      <c r="L1823" s="202">
        <v>183.2</v>
      </c>
      <c r="N1823" s="202">
        <v>467142.55</v>
      </c>
      <c r="S1823" s="203"/>
      <c r="W1823" s="198" t="s">
        <v>51</v>
      </c>
      <c r="AE1823" s="198" t="s">
        <v>831</v>
      </c>
    </row>
    <row r="1824" spans="3:31" x14ac:dyDescent="0.25">
      <c r="C1824" s="201"/>
      <c r="E1824" s="201"/>
      <c r="F1824" s="201"/>
      <c r="I1824" s="198" t="s">
        <v>77</v>
      </c>
      <c r="J1824" s="198" t="s">
        <v>65</v>
      </c>
      <c r="K1824" s="202">
        <f t="shared" si="28"/>
        <v>934830</v>
      </c>
      <c r="L1824" s="202">
        <v>183.3</v>
      </c>
      <c r="N1824" s="202">
        <v>725544.3</v>
      </c>
      <c r="S1824" s="203"/>
      <c r="W1824" s="198" t="s">
        <v>51</v>
      </c>
      <c r="AE1824" s="198" t="s">
        <v>831</v>
      </c>
    </row>
    <row r="1825" spans="3:31" x14ac:dyDescent="0.25">
      <c r="C1825" s="201"/>
      <c r="E1825" s="201"/>
      <c r="F1825" s="201"/>
      <c r="I1825" s="198" t="s">
        <v>77</v>
      </c>
      <c r="J1825" s="198" t="s">
        <v>65</v>
      </c>
      <c r="K1825" s="202">
        <f t="shared" si="28"/>
        <v>935340</v>
      </c>
      <c r="L1825" s="202">
        <v>183.4</v>
      </c>
      <c r="N1825" s="202">
        <v>667846.93999999994</v>
      </c>
      <c r="S1825" s="203"/>
      <c r="W1825" s="198" t="s">
        <v>51</v>
      </c>
      <c r="AE1825" s="198" t="s">
        <v>831</v>
      </c>
    </row>
    <row r="1826" spans="3:31" x14ac:dyDescent="0.25">
      <c r="C1826" s="201"/>
      <c r="E1826" s="201"/>
      <c r="F1826" s="201"/>
      <c r="I1826" s="198" t="s">
        <v>199</v>
      </c>
      <c r="J1826" s="198" t="s">
        <v>167</v>
      </c>
      <c r="K1826" s="202">
        <f t="shared" si="28"/>
        <v>935850</v>
      </c>
      <c r="L1826" s="202">
        <v>183.5</v>
      </c>
      <c r="N1826" s="202">
        <v>354290</v>
      </c>
      <c r="S1826" s="204"/>
      <c r="W1826" s="198" t="s">
        <v>51</v>
      </c>
      <c r="AE1826" s="198" t="s">
        <v>831</v>
      </c>
    </row>
    <row r="1827" spans="3:31" x14ac:dyDescent="0.25">
      <c r="C1827" s="201"/>
      <c r="E1827" s="201"/>
      <c r="F1827" s="201"/>
      <c r="I1827" s="198" t="s">
        <v>199</v>
      </c>
      <c r="J1827" s="198" t="s">
        <v>167</v>
      </c>
      <c r="K1827" s="202">
        <f t="shared" si="28"/>
        <v>936360</v>
      </c>
      <c r="L1827" s="202">
        <v>183.6</v>
      </c>
      <c r="N1827" s="202">
        <v>354290</v>
      </c>
      <c r="S1827" s="204"/>
      <c r="W1827" s="198" t="s">
        <v>51</v>
      </c>
      <c r="AE1827" s="198" t="s">
        <v>831</v>
      </c>
    </row>
    <row r="1828" spans="3:31" x14ac:dyDescent="0.25">
      <c r="C1828" s="201"/>
      <c r="E1828" s="201"/>
      <c r="F1828" s="201"/>
      <c r="I1828" s="198" t="s">
        <v>199</v>
      </c>
      <c r="J1828" s="198" t="s">
        <v>167</v>
      </c>
      <c r="K1828" s="202">
        <f t="shared" si="28"/>
        <v>936870</v>
      </c>
      <c r="L1828" s="202">
        <v>183.7</v>
      </c>
      <c r="N1828" s="202">
        <v>354290</v>
      </c>
      <c r="S1828" s="204"/>
      <c r="W1828" s="198" t="s">
        <v>51</v>
      </c>
      <c r="AE1828" s="198" t="s">
        <v>831</v>
      </c>
    </row>
    <row r="1829" spans="3:31" x14ac:dyDescent="0.25">
      <c r="C1829" s="201"/>
      <c r="E1829" s="201"/>
      <c r="F1829" s="201"/>
      <c r="I1829" s="198" t="s">
        <v>199</v>
      </c>
      <c r="J1829" s="198" t="s">
        <v>167</v>
      </c>
      <c r="K1829" s="202">
        <f t="shared" si="28"/>
        <v>937380</v>
      </c>
      <c r="L1829" s="202">
        <v>183.8</v>
      </c>
      <c r="N1829" s="202">
        <v>354290</v>
      </c>
      <c r="S1829" s="204"/>
      <c r="W1829" s="198" t="s">
        <v>51</v>
      </c>
      <c r="AE1829" s="198" t="s">
        <v>831</v>
      </c>
    </row>
    <row r="1830" spans="3:31" x14ac:dyDescent="0.25">
      <c r="C1830" s="201"/>
      <c r="E1830" s="201"/>
      <c r="F1830" s="201"/>
      <c r="I1830" s="198" t="s">
        <v>199</v>
      </c>
      <c r="J1830" s="198" t="s">
        <v>167</v>
      </c>
      <c r="K1830" s="202">
        <f t="shared" si="28"/>
        <v>937890</v>
      </c>
      <c r="L1830" s="202">
        <v>183.9</v>
      </c>
      <c r="N1830" s="202">
        <v>354290</v>
      </c>
      <c r="S1830" s="204"/>
      <c r="W1830" s="198" t="s">
        <v>51</v>
      </c>
      <c r="AE1830" s="198" t="s">
        <v>831</v>
      </c>
    </row>
    <row r="1831" spans="3:31" x14ac:dyDescent="0.25">
      <c r="C1831" s="201"/>
      <c r="E1831" s="201"/>
      <c r="F1831" s="201"/>
      <c r="I1831" s="198" t="s">
        <v>199</v>
      </c>
      <c r="J1831" s="198" t="s">
        <v>167</v>
      </c>
      <c r="K1831" s="202">
        <f t="shared" si="28"/>
        <v>938400</v>
      </c>
      <c r="L1831" s="202">
        <v>184</v>
      </c>
      <c r="N1831" s="202">
        <v>354290</v>
      </c>
      <c r="S1831" s="204"/>
      <c r="W1831" s="198" t="s">
        <v>51</v>
      </c>
      <c r="AE1831" s="198" t="s">
        <v>831</v>
      </c>
    </row>
    <row r="1832" spans="3:31" x14ac:dyDescent="0.25">
      <c r="C1832" s="201"/>
      <c r="E1832" s="201"/>
      <c r="F1832" s="201"/>
      <c r="I1832" s="198" t="s">
        <v>180</v>
      </c>
      <c r="J1832" s="198" t="s">
        <v>65</v>
      </c>
      <c r="K1832" s="202">
        <f t="shared" si="28"/>
        <v>938910</v>
      </c>
      <c r="L1832" s="202">
        <v>184.1</v>
      </c>
      <c r="N1832" s="202">
        <v>1040000</v>
      </c>
      <c r="S1832" s="204"/>
      <c r="W1832" s="198" t="s">
        <v>51</v>
      </c>
      <c r="AE1832" s="198" t="s">
        <v>831</v>
      </c>
    </row>
    <row r="1833" spans="3:31" x14ac:dyDescent="0.25">
      <c r="C1833" s="201"/>
      <c r="E1833" s="201"/>
      <c r="F1833" s="201"/>
      <c r="I1833" s="198" t="s">
        <v>180</v>
      </c>
      <c r="J1833" s="198" t="s">
        <v>65</v>
      </c>
      <c r="K1833" s="202">
        <f t="shared" si="28"/>
        <v>939420</v>
      </c>
      <c r="L1833" s="202">
        <v>184.2</v>
      </c>
      <c r="N1833" s="202">
        <v>-1040000</v>
      </c>
      <c r="S1833" s="204"/>
      <c r="W1833" s="198" t="s">
        <v>51</v>
      </c>
      <c r="AE1833" s="198" t="s">
        <v>831</v>
      </c>
    </row>
    <row r="1834" spans="3:31" x14ac:dyDescent="0.25">
      <c r="C1834" s="201"/>
      <c r="E1834" s="201"/>
      <c r="F1834" s="201"/>
      <c r="I1834" s="198" t="s">
        <v>82</v>
      </c>
      <c r="J1834" s="198" t="s">
        <v>89</v>
      </c>
      <c r="K1834" s="202">
        <f t="shared" si="28"/>
        <v>939930</v>
      </c>
      <c r="L1834" s="202">
        <v>184.3</v>
      </c>
      <c r="N1834" s="202">
        <v>3640000</v>
      </c>
      <c r="S1834" s="204"/>
      <c r="W1834" s="198" t="s">
        <v>51</v>
      </c>
      <c r="AE1834" s="198" t="s">
        <v>831</v>
      </c>
    </row>
    <row r="1835" spans="3:31" x14ac:dyDescent="0.25">
      <c r="C1835" s="201"/>
      <c r="E1835" s="201"/>
      <c r="F1835" s="201"/>
      <c r="I1835" s="198" t="s">
        <v>82</v>
      </c>
      <c r="J1835" s="198" t="s">
        <v>89</v>
      </c>
      <c r="K1835" s="202">
        <f t="shared" si="28"/>
        <v>940440</v>
      </c>
      <c r="L1835" s="202">
        <v>184.4</v>
      </c>
      <c r="N1835" s="202">
        <v>-3640000</v>
      </c>
      <c r="S1835" s="204"/>
      <c r="W1835" s="198" t="s">
        <v>51</v>
      </c>
      <c r="AE1835" s="198" t="s">
        <v>831</v>
      </c>
    </row>
    <row r="1836" spans="3:31" x14ac:dyDescent="0.25">
      <c r="C1836" s="201"/>
      <c r="E1836" s="201"/>
      <c r="F1836" s="201"/>
      <c r="I1836" s="198" t="s">
        <v>860</v>
      </c>
      <c r="J1836" s="198" t="s">
        <v>193</v>
      </c>
      <c r="K1836" s="202">
        <f t="shared" si="28"/>
        <v>940950</v>
      </c>
      <c r="L1836" s="202">
        <v>184.5</v>
      </c>
      <c r="N1836" s="202">
        <v>5100</v>
      </c>
      <c r="S1836" s="203"/>
      <c r="W1836" s="198" t="s">
        <v>51</v>
      </c>
      <c r="AE1836" s="198" t="s">
        <v>830</v>
      </c>
    </row>
    <row r="1837" spans="3:31" x14ac:dyDescent="0.25">
      <c r="C1837" s="201"/>
      <c r="E1837" s="201"/>
      <c r="F1837" s="201"/>
      <c r="I1837" s="198" t="s">
        <v>131</v>
      </c>
      <c r="J1837" s="198" t="s">
        <v>132</v>
      </c>
      <c r="K1837" s="202">
        <f t="shared" si="28"/>
        <v>941460</v>
      </c>
      <c r="L1837" s="202">
        <v>184.6</v>
      </c>
      <c r="N1837" s="202">
        <v>109539</v>
      </c>
      <c r="S1837" s="204"/>
      <c r="W1837" s="198" t="s">
        <v>51</v>
      </c>
      <c r="AE1837" s="198" t="s">
        <v>833</v>
      </c>
    </row>
    <row r="1838" spans="3:31" x14ac:dyDescent="0.25">
      <c r="C1838" s="201"/>
      <c r="E1838" s="201"/>
      <c r="F1838" s="201"/>
      <c r="I1838" s="198" t="s">
        <v>131</v>
      </c>
      <c r="J1838" s="198" t="s">
        <v>132</v>
      </c>
      <c r="K1838" s="202">
        <f t="shared" si="28"/>
        <v>941970</v>
      </c>
      <c r="L1838" s="202">
        <v>184.7</v>
      </c>
      <c r="N1838" s="202">
        <v>68796</v>
      </c>
      <c r="S1838" s="204"/>
      <c r="W1838" s="198" t="s">
        <v>51</v>
      </c>
      <c r="AE1838" s="198" t="s">
        <v>833</v>
      </c>
    </row>
    <row r="1839" spans="3:31" x14ac:dyDescent="0.25">
      <c r="C1839" s="201"/>
      <c r="E1839" s="201"/>
      <c r="F1839" s="201"/>
      <c r="I1839" s="198" t="s">
        <v>131</v>
      </c>
      <c r="J1839" s="198" t="s">
        <v>132</v>
      </c>
      <c r="K1839" s="202">
        <f t="shared" si="28"/>
        <v>942480</v>
      </c>
      <c r="L1839" s="202">
        <v>184.8</v>
      </c>
      <c r="N1839" s="202">
        <v>73616.399999999994</v>
      </c>
      <c r="S1839" s="204"/>
      <c r="W1839" s="198" t="s">
        <v>51</v>
      </c>
      <c r="AE1839" s="198" t="s">
        <v>833</v>
      </c>
    </row>
    <row r="1840" spans="3:31" x14ac:dyDescent="0.25">
      <c r="C1840" s="201"/>
      <c r="E1840" s="201"/>
      <c r="F1840" s="201"/>
      <c r="I1840" s="198" t="s">
        <v>131</v>
      </c>
      <c r="J1840" s="198" t="s">
        <v>132</v>
      </c>
      <c r="K1840" s="202">
        <f t="shared" si="28"/>
        <v>942990</v>
      </c>
      <c r="L1840" s="202">
        <v>184.9</v>
      </c>
      <c r="N1840" s="202">
        <v>1817760</v>
      </c>
      <c r="S1840" s="204"/>
      <c r="W1840" s="198" t="s">
        <v>51</v>
      </c>
      <c r="AE1840" s="198" t="s">
        <v>833</v>
      </c>
    </row>
    <row r="1841" spans="3:31" x14ac:dyDescent="0.25">
      <c r="C1841" s="201"/>
      <c r="E1841" s="201"/>
      <c r="F1841" s="201"/>
      <c r="I1841" s="198" t="s">
        <v>131</v>
      </c>
      <c r="J1841" s="198" t="s">
        <v>132</v>
      </c>
      <c r="K1841" s="202">
        <f t="shared" si="28"/>
        <v>943500</v>
      </c>
      <c r="L1841" s="202">
        <v>185</v>
      </c>
      <c r="N1841" s="202">
        <v>9290.7000000000007</v>
      </c>
      <c r="S1841" s="204"/>
      <c r="W1841" s="198" t="s">
        <v>51</v>
      </c>
      <c r="AE1841" s="198" t="s">
        <v>833</v>
      </c>
    </row>
    <row r="1842" spans="3:31" x14ac:dyDescent="0.25">
      <c r="C1842" s="201"/>
      <c r="E1842" s="201"/>
      <c r="F1842" s="201"/>
      <c r="I1842" s="198" t="s">
        <v>131</v>
      </c>
      <c r="J1842" s="198" t="s">
        <v>132</v>
      </c>
      <c r="K1842" s="202">
        <f t="shared" si="28"/>
        <v>944010</v>
      </c>
      <c r="L1842" s="202">
        <v>185.1</v>
      </c>
      <c r="N1842" s="202">
        <v>11444.4</v>
      </c>
      <c r="S1842" s="204"/>
      <c r="W1842" s="198" t="s">
        <v>51</v>
      </c>
      <c r="AE1842" s="198" t="s">
        <v>833</v>
      </c>
    </row>
    <row r="1843" spans="3:31" x14ac:dyDescent="0.25">
      <c r="C1843" s="201"/>
      <c r="E1843" s="201"/>
      <c r="F1843" s="201"/>
      <c r="I1843" s="198" t="s">
        <v>131</v>
      </c>
      <c r="J1843" s="198" t="s">
        <v>132</v>
      </c>
      <c r="K1843" s="202">
        <f t="shared" si="28"/>
        <v>944520</v>
      </c>
      <c r="L1843" s="202">
        <v>185.2</v>
      </c>
      <c r="N1843" s="202">
        <v>35798.04</v>
      </c>
      <c r="S1843" s="204"/>
      <c r="W1843" s="198" t="s">
        <v>51</v>
      </c>
      <c r="AE1843" s="198" t="s">
        <v>833</v>
      </c>
    </row>
    <row r="1844" spans="3:31" x14ac:dyDescent="0.25">
      <c r="C1844" s="201"/>
      <c r="E1844" s="201"/>
      <c r="F1844" s="201"/>
      <c r="I1844" s="198" t="s">
        <v>131</v>
      </c>
      <c r="J1844" s="198" t="s">
        <v>132</v>
      </c>
      <c r="K1844" s="202">
        <f t="shared" si="28"/>
        <v>945030</v>
      </c>
      <c r="L1844" s="202">
        <v>185.3</v>
      </c>
      <c r="N1844" s="202">
        <v>2277400</v>
      </c>
      <c r="S1844" s="204"/>
      <c r="W1844" s="198" t="s">
        <v>51</v>
      </c>
      <c r="AE1844" s="198" t="s">
        <v>833</v>
      </c>
    </row>
    <row r="1845" spans="3:31" x14ac:dyDescent="0.25">
      <c r="C1845" s="201"/>
      <c r="E1845" s="201"/>
      <c r="F1845" s="201"/>
      <c r="I1845" s="198" t="s">
        <v>136</v>
      </c>
      <c r="J1845" s="198" t="s">
        <v>137</v>
      </c>
      <c r="K1845" s="202">
        <f t="shared" si="28"/>
        <v>945540</v>
      </c>
      <c r="L1845" s="202">
        <v>185.4</v>
      </c>
      <c r="N1845" s="202">
        <v>1224132</v>
      </c>
      <c r="S1845" s="204"/>
      <c r="W1845" s="198" t="s">
        <v>51</v>
      </c>
      <c r="AE1845" s="198" t="s">
        <v>844</v>
      </c>
    </row>
    <row r="1846" spans="3:31" x14ac:dyDescent="0.25">
      <c r="C1846" s="201"/>
      <c r="E1846" s="201"/>
      <c r="F1846" s="201"/>
      <c r="I1846" s="198" t="s">
        <v>136</v>
      </c>
      <c r="J1846" s="198" t="s">
        <v>137</v>
      </c>
      <c r="K1846" s="202">
        <f t="shared" si="28"/>
        <v>946050</v>
      </c>
      <c r="L1846" s="202">
        <v>185.5</v>
      </c>
      <c r="N1846" s="202">
        <v>874380</v>
      </c>
      <c r="S1846" s="204"/>
      <c r="W1846" s="198" t="s">
        <v>51</v>
      </c>
      <c r="AE1846" s="198" t="s">
        <v>844</v>
      </c>
    </row>
    <row r="1847" spans="3:31" x14ac:dyDescent="0.25">
      <c r="C1847" s="201"/>
      <c r="E1847" s="201"/>
      <c r="F1847" s="201"/>
      <c r="I1847" s="198" t="s">
        <v>136</v>
      </c>
      <c r="J1847" s="198" t="s">
        <v>137</v>
      </c>
      <c r="K1847" s="202">
        <f t="shared" si="28"/>
        <v>946560</v>
      </c>
      <c r="L1847" s="202">
        <v>185.6</v>
      </c>
      <c r="N1847" s="202">
        <v>62178.66</v>
      </c>
      <c r="S1847" s="204"/>
      <c r="W1847" s="198" t="s">
        <v>51</v>
      </c>
      <c r="AE1847" s="198" t="s">
        <v>844</v>
      </c>
    </row>
    <row r="1848" spans="3:31" x14ac:dyDescent="0.25">
      <c r="C1848" s="201"/>
      <c r="E1848" s="201"/>
      <c r="F1848" s="201"/>
      <c r="I1848" s="198" t="s">
        <v>136</v>
      </c>
      <c r="J1848" s="198" t="s">
        <v>137</v>
      </c>
      <c r="K1848" s="202">
        <f t="shared" si="28"/>
        <v>947070</v>
      </c>
      <c r="L1848" s="202">
        <v>185.7</v>
      </c>
      <c r="N1848" s="202">
        <v>2044980</v>
      </c>
      <c r="S1848" s="204"/>
      <c r="W1848" s="198" t="s">
        <v>51</v>
      </c>
      <c r="AE1848" s="198" t="s">
        <v>844</v>
      </c>
    </row>
    <row r="1849" spans="3:31" x14ac:dyDescent="0.25">
      <c r="C1849" s="201"/>
      <c r="E1849" s="201"/>
      <c r="F1849" s="201"/>
      <c r="I1849" s="198" t="s">
        <v>136</v>
      </c>
      <c r="J1849" s="198" t="s">
        <v>137</v>
      </c>
      <c r="K1849" s="202">
        <f t="shared" si="28"/>
        <v>947580</v>
      </c>
      <c r="L1849" s="202">
        <v>185.8</v>
      </c>
      <c r="N1849" s="202">
        <v>5126825</v>
      </c>
      <c r="S1849" s="204"/>
      <c r="W1849" s="198" t="s">
        <v>51</v>
      </c>
      <c r="AE1849" s="198" t="s">
        <v>844</v>
      </c>
    </row>
    <row r="1850" spans="3:31" x14ac:dyDescent="0.25">
      <c r="C1850" s="201"/>
      <c r="E1850" s="201"/>
      <c r="F1850" s="201"/>
      <c r="I1850" s="198" t="s">
        <v>136</v>
      </c>
      <c r="J1850" s="198" t="s">
        <v>137</v>
      </c>
      <c r="K1850" s="202">
        <f t="shared" si="28"/>
        <v>948090</v>
      </c>
      <c r="L1850" s="202">
        <v>185.9</v>
      </c>
      <c r="N1850" s="202">
        <v>5126825</v>
      </c>
      <c r="S1850" s="204"/>
      <c r="W1850" s="198" t="s">
        <v>51</v>
      </c>
      <c r="AE1850" s="198" t="s">
        <v>844</v>
      </c>
    </row>
    <row r="1851" spans="3:31" x14ac:dyDescent="0.25">
      <c r="C1851" s="201"/>
      <c r="E1851" s="201"/>
      <c r="F1851" s="201"/>
      <c r="I1851" s="198" t="s">
        <v>136</v>
      </c>
      <c r="J1851" s="198" t="s">
        <v>137</v>
      </c>
      <c r="K1851" s="202">
        <f t="shared" si="28"/>
        <v>948600</v>
      </c>
      <c r="L1851" s="202">
        <v>186</v>
      </c>
      <c r="N1851" s="202">
        <v>9290.7000000000007</v>
      </c>
      <c r="S1851" s="204"/>
      <c r="W1851" s="198" t="s">
        <v>51</v>
      </c>
      <c r="AE1851" s="198" t="s">
        <v>844</v>
      </c>
    </row>
    <row r="1852" spans="3:31" x14ac:dyDescent="0.25">
      <c r="C1852" s="201"/>
      <c r="E1852" s="201"/>
      <c r="F1852" s="201"/>
      <c r="I1852" s="198" t="s">
        <v>136</v>
      </c>
      <c r="J1852" s="198" t="s">
        <v>137</v>
      </c>
      <c r="K1852" s="202">
        <f t="shared" si="28"/>
        <v>949110</v>
      </c>
      <c r="L1852" s="202">
        <v>186.1</v>
      </c>
      <c r="N1852" s="202">
        <v>11444.4</v>
      </c>
      <c r="S1852" s="204"/>
      <c r="W1852" s="198" t="s">
        <v>51</v>
      </c>
      <c r="AE1852" s="198" t="s">
        <v>844</v>
      </c>
    </row>
    <row r="1853" spans="3:31" x14ac:dyDescent="0.25">
      <c r="C1853" s="201"/>
      <c r="E1853" s="201"/>
      <c r="F1853" s="201"/>
      <c r="I1853" s="198" t="s">
        <v>136</v>
      </c>
      <c r="J1853" s="198" t="s">
        <v>137</v>
      </c>
      <c r="K1853" s="202">
        <f t="shared" si="28"/>
        <v>949620</v>
      </c>
      <c r="L1853" s="202">
        <v>186.2</v>
      </c>
      <c r="N1853" s="202">
        <v>35798.04</v>
      </c>
      <c r="S1853" s="204"/>
      <c r="W1853" s="198" t="s">
        <v>51</v>
      </c>
      <c r="AE1853" s="198" t="s">
        <v>844</v>
      </c>
    </row>
    <row r="1854" spans="3:31" x14ac:dyDescent="0.25">
      <c r="C1854" s="201"/>
      <c r="E1854" s="201"/>
      <c r="F1854" s="201"/>
      <c r="I1854" s="198" t="s">
        <v>440</v>
      </c>
      <c r="J1854" s="198" t="s">
        <v>126</v>
      </c>
      <c r="K1854" s="202">
        <f t="shared" si="28"/>
        <v>950130</v>
      </c>
      <c r="L1854" s="202">
        <v>186.3</v>
      </c>
      <c r="N1854" s="202">
        <v>67464432</v>
      </c>
      <c r="S1854" s="204"/>
      <c r="W1854" s="198" t="s">
        <v>51</v>
      </c>
      <c r="AE1854" s="198" t="s">
        <v>835</v>
      </c>
    </row>
    <row r="1855" spans="3:31" x14ac:dyDescent="0.25">
      <c r="C1855" s="201"/>
      <c r="E1855" s="201"/>
      <c r="F1855" s="201"/>
      <c r="I1855" s="198" t="s">
        <v>440</v>
      </c>
      <c r="J1855" s="198" t="s">
        <v>126</v>
      </c>
      <c r="K1855" s="202">
        <f t="shared" si="28"/>
        <v>950640</v>
      </c>
      <c r="L1855" s="202">
        <v>186.4</v>
      </c>
      <c r="N1855" s="202">
        <v>-67464432</v>
      </c>
      <c r="S1855" s="204"/>
      <c r="W1855" s="198" t="s">
        <v>51</v>
      </c>
      <c r="AE1855" s="198" t="s">
        <v>835</v>
      </c>
    </row>
    <row r="1856" spans="3:31" x14ac:dyDescent="0.25">
      <c r="C1856" s="201"/>
      <c r="E1856" s="201"/>
      <c r="F1856" s="201"/>
      <c r="I1856" s="198" t="s">
        <v>440</v>
      </c>
      <c r="J1856" s="198" t="s">
        <v>126</v>
      </c>
      <c r="K1856" s="202">
        <f t="shared" si="28"/>
        <v>951150</v>
      </c>
      <c r="L1856" s="202">
        <v>186.5</v>
      </c>
      <c r="N1856" s="202">
        <v>33732216</v>
      </c>
      <c r="S1856" s="204"/>
      <c r="W1856" s="198" t="s">
        <v>51</v>
      </c>
      <c r="AE1856" s="198" t="s">
        <v>835</v>
      </c>
    </row>
    <row r="1857" spans="3:31" x14ac:dyDescent="0.25">
      <c r="C1857" s="201"/>
      <c r="E1857" s="201"/>
      <c r="F1857" s="201"/>
      <c r="I1857" s="198" t="s">
        <v>440</v>
      </c>
      <c r="J1857" s="198" t="s">
        <v>126</v>
      </c>
      <c r="K1857" s="202">
        <f t="shared" si="28"/>
        <v>951660</v>
      </c>
      <c r="L1857" s="202">
        <v>186.6</v>
      </c>
      <c r="N1857" s="202">
        <v>-33732216</v>
      </c>
      <c r="S1857" s="204"/>
      <c r="W1857" s="198" t="s">
        <v>51</v>
      </c>
      <c r="AE1857" s="198" t="s">
        <v>835</v>
      </c>
    </row>
    <row r="1858" spans="3:31" x14ac:dyDescent="0.25">
      <c r="C1858" s="201"/>
      <c r="E1858" s="201"/>
      <c r="F1858" s="201"/>
      <c r="I1858" s="198" t="s">
        <v>178</v>
      </c>
      <c r="J1858" s="198" t="s">
        <v>167</v>
      </c>
      <c r="K1858" s="202">
        <f t="shared" si="28"/>
        <v>952170</v>
      </c>
      <c r="L1858" s="202">
        <v>186.7</v>
      </c>
      <c r="N1858" s="202">
        <v>1456765.59</v>
      </c>
      <c r="S1858" s="203"/>
      <c r="W1858" s="198" t="s">
        <v>51</v>
      </c>
      <c r="AE1858" s="198" t="s">
        <v>831</v>
      </c>
    </row>
    <row r="1859" spans="3:31" x14ac:dyDescent="0.25">
      <c r="C1859" s="201"/>
      <c r="E1859" s="201"/>
      <c r="F1859" s="201"/>
      <c r="I1859" s="198" t="s">
        <v>178</v>
      </c>
      <c r="J1859" s="198" t="s">
        <v>167</v>
      </c>
      <c r="K1859" s="202">
        <f t="shared" ref="K1859:K1922" si="29">L1859*5100</f>
        <v>952680</v>
      </c>
      <c r="L1859" s="202">
        <v>186.8</v>
      </c>
      <c r="N1859" s="202">
        <v>768222</v>
      </c>
      <c r="S1859" s="203"/>
      <c r="W1859" s="198" t="s">
        <v>51</v>
      </c>
      <c r="AE1859" s="198" t="s">
        <v>831</v>
      </c>
    </row>
    <row r="1860" spans="3:31" x14ac:dyDescent="0.25">
      <c r="C1860" s="201"/>
      <c r="E1860" s="201"/>
      <c r="F1860" s="201"/>
      <c r="I1860" s="198" t="s">
        <v>178</v>
      </c>
      <c r="J1860" s="198" t="s">
        <v>167</v>
      </c>
      <c r="K1860" s="202">
        <f t="shared" si="29"/>
        <v>953190</v>
      </c>
      <c r="L1860" s="202">
        <v>186.9</v>
      </c>
      <c r="N1860" s="202">
        <v>738675</v>
      </c>
      <c r="S1860" s="203"/>
      <c r="W1860" s="198" t="s">
        <v>51</v>
      </c>
      <c r="AE1860" s="198" t="s">
        <v>831</v>
      </c>
    </row>
    <row r="1861" spans="3:31" x14ac:dyDescent="0.25">
      <c r="C1861" s="201"/>
      <c r="E1861" s="201"/>
      <c r="F1861" s="201"/>
      <c r="I1861" s="198" t="s">
        <v>178</v>
      </c>
      <c r="J1861" s="198" t="s">
        <v>167</v>
      </c>
      <c r="K1861" s="202">
        <f t="shared" si="29"/>
        <v>953700</v>
      </c>
      <c r="L1861" s="202">
        <v>187</v>
      </c>
      <c r="N1861" s="202">
        <v>966383.88</v>
      </c>
      <c r="S1861" s="203"/>
      <c r="W1861" s="198" t="s">
        <v>51</v>
      </c>
      <c r="AE1861" s="198" t="s">
        <v>831</v>
      </c>
    </row>
    <row r="1862" spans="3:31" x14ac:dyDescent="0.25">
      <c r="C1862" s="201"/>
      <c r="E1862" s="201"/>
      <c r="F1862" s="201"/>
      <c r="I1862" s="198" t="s">
        <v>178</v>
      </c>
      <c r="J1862" s="198" t="s">
        <v>167</v>
      </c>
      <c r="K1862" s="202">
        <f t="shared" si="29"/>
        <v>954210</v>
      </c>
      <c r="L1862" s="202">
        <v>187.1</v>
      </c>
      <c r="N1862" s="202">
        <v>3094823.49</v>
      </c>
      <c r="S1862" s="203"/>
      <c r="W1862" s="198" t="s">
        <v>51</v>
      </c>
      <c r="AE1862" s="198" t="s">
        <v>831</v>
      </c>
    </row>
    <row r="1863" spans="3:31" x14ac:dyDescent="0.25">
      <c r="C1863" s="201"/>
      <c r="E1863" s="201"/>
      <c r="F1863" s="201"/>
      <c r="I1863" s="198" t="s">
        <v>77</v>
      </c>
      <c r="J1863" s="198" t="s">
        <v>65</v>
      </c>
      <c r="K1863" s="202">
        <f t="shared" si="29"/>
        <v>954720</v>
      </c>
      <c r="L1863" s="202">
        <v>187.2</v>
      </c>
      <c r="N1863" s="202">
        <v>175474.93</v>
      </c>
      <c r="S1863" s="203"/>
      <c r="W1863" s="198" t="s">
        <v>51</v>
      </c>
      <c r="AE1863" s="198" t="s">
        <v>831</v>
      </c>
    </row>
    <row r="1864" spans="3:31" x14ac:dyDescent="0.25">
      <c r="C1864" s="201"/>
      <c r="E1864" s="201"/>
      <c r="F1864" s="201"/>
      <c r="I1864" s="198" t="s">
        <v>77</v>
      </c>
      <c r="J1864" s="198" t="s">
        <v>65</v>
      </c>
      <c r="K1864" s="202">
        <f t="shared" si="29"/>
        <v>955230</v>
      </c>
      <c r="L1864" s="202">
        <v>187.3</v>
      </c>
      <c r="N1864" s="202">
        <v>152362.12</v>
      </c>
      <c r="S1864" s="203"/>
      <c r="W1864" s="198" t="s">
        <v>51</v>
      </c>
      <c r="AE1864" s="198" t="s">
        <v>831</v>
      </c>
    </row>
    <row r="1865" spans="3:31" x14ac:dyDescent="0.25">
      <c r="C1865" s="201"/>
      <c r="E1865" s="201"/>
      <c r="F1865" s="201"/>
      <c r="I1865" s="198" t="s">
        <v>77</v>
      </c>
      <c r="J1865" s="198" t="s">
        <v>65</v>
      </c>
      <c r="K1865" s="202">
        <f t="shared" si="29"/>
        <v>955740</v>
      </c>
      <c r="L1865" s="202">
        <v>187.4</v>
      </c>
      <c r="N1865" s="202">
        <v>228391.11</v>
      </c>
      <c r="S1865" s="203"/>
      <c r="W1865" s="198" t="s">
        <v>51</v>
      </c>
      <c r="AE1865" s="198" t="s">
        <v>831</v>
      </c>
    </row>
    <row r="1866" spans="3:31" x14ac:dyDescent="0.25">
      <c r="C1866" s="201"/>
      <c r="E1866" s="201"/>
      <c r="F1866" s="201"/>
      <c r="I1866" s="198" t="s">
        <v>77</v>
      </c>
      <c r="J1866" s="198" t="s">
        <v>65</v>
      </c>
      <c r="K1866" s="202">
        <f t="shared" si="29"/>
        <v>956250</v>
      </c>
      <c r="L1866" s="202">
        <v>187.5</v>
      </c>
      <c r="N1866" s="202">
        <v>181658.62</v>
      </c>
      <c r="S1866" s="203"/>
      <c r="W1866" s="198" t="s">
        <v>51</v>
      </c>
      <c r="AE1866" s="198" t="s">
        <v>831</v>
      </c>
    </row>
    <row r="1867" spans="3:31" x14ac:dyDescent="0.25">
      <c r="C1867" s="201"/>
      <c r="E1867" s="201"/>
      <c r="F1867" s="201"/>
      <c r="I1867" s="198" t="s">
        <v>77</v>
      </c>
      <c r="J1867" s="198" t="s">
        <v>65</v>
      </c>
      <c r="K1867" s="202">
        <f t="shared" si="29"/>
        <v>956760</v>
      </c>
      <c r="L1867" s="202">
        <v>187.6</v>
      </c>
      <c r="N1867" s="202">
        <v>230215.81</v>
      </c>
      <c r="S1867" s="203"/>
      <c r="W1867" s="198" t="s">
        <v>51</v>
      </c>
      <c r="AE1867" s="198" t="s">
        <v>831</v>
      </c>
    </row>
    <row r="1868" spans="3:31" x14ac:dyDescent="0.25">
      <c r="C1868" s="201"/>
      <c r="E1868" s="201"/>
      <c r="F1868" s="201"/>
      <c r="I1868" s="198" t="s">
        <v>77</v>
      </c>
      <c r="J1868" s="198" t="s">
        <v>65</v>
      </c>
      <c r="K1868" s="202">
        <f t="shared" si="29"/>
        <v>957270</v>
      </c>
      <c r="L1868" s="202">
        <v>187.7</v>
      </c>
      <c r="N1868" s="202">
        <v>249577.86</v>
      </c>
      <c r="S1868" s="203"/>
      <c r="W1868" s="198" t="s">
        <v>51</v>
      </c>
      <c r="AE1868" s="198" t="s">
        <v>831</v>
      </c>
    </row>
    <row r="1869" spans="3:31" x14ac:dyDescent="0.25">
      <c r="C1869" s="201"/>
      <c r="E1869" s="201"/>
      <c r="F1869" s="201"/>
      <c r="I1869" s="198" t="s">
        <v>77</v>
      </c>
      <c r="J1869" s="198" t="s">
        <v>65</v>
      </c>
      <c r="K1869" s="202">
        <f t="shared" si="29"/>
        <v>957780</v>
      </c>
      <c r="L1869" s="202">
        <v>187.8</v>
      </c>
      <c r="N1869" s="202">
        <v>537615.76</v>
      </c>
      <c r="S1869" s="203"/>
      <c r="W1869" s="198" t="s">
        <v>51</v>
      </c>
      <c r="AE1869" s="198" t="s">
        <v>831</v>
      </c>
    </row>
    <row r="1870" spans="3:31" x14ac:dyDescent="0.25">
      <c r="C1870" s="201"/>
      <c r="E1870" s="201"/>
      <c r="F1870" s="201"/>
      <c r="I1870" s="198" t="s">
        <v>77</v>
      </c>
      <c r="J1870" s="198" t="s">
        <v>65</v>
      </c>
      <c r="K1870" s="202">
        <f t="shared" si="29"/>
        <v>958290</v>
      </c>
      <c r="L1870" s="202">
        <v>187.9</v>
      </c>
      <c r="N1870" s="202">
        <v>558324.99</v>
      </c>
      <c r="S1870" s="203"/>
      <c r="W1870" s="198" t="s">
        <v>51</v>
      </c>
      <c r="AE1870" s="198" t="s">
        <v>831</v>
      </c>
    </row>
    <row r="1871" spans="3:31" x14ac:dyDescent="0.25">
      <c r="C1871" s="201"/>
      <c r="E1871" s="201"/>
      <c r="F1871" s="201"/>
      <c r="I1871" s="198" t="s">
        <v>77</v>
      </c>
      <c r="J1871" s="198" t="s">
        <v>65</v>
      </c>
      <c r="K1871" s="202">
        <f t="shared" si="29"/>
        <v>958800</v>
      </c>
      <c r="L1871" s="202">
        <v>188</v>
      </c>
      <c r="N1871" s="202">
        <v>844648.14</v>
      </c>
      <c r="S1871" s="203"/>
      <c r="W1871" s="198" t="s">
        <v>51</v>
      </c>
      <c r="AE1871" s="198" t="s">
        <v>831</v>
      </c>
    </row>
    <row r="1872" spans="3:31" x14ac:dyDescent="0.25">
      <c r="C1872" s="201"/>
      <c r="E1872" s="201"/>
      <c r="F1872" s="201"/>
      <c r="I1872" s="198" t="s">
        <v>77</v>
      </c>
      <c r="J1872" s="198" t="s">
        <v>65</v>
      </c>
      <c r="K1872" s="202">
        <f t="shared" si="29"/>
        <v>959310</v>
      </c>
      <c r="L1872" s="202">
        <v>188.1</v>
      </c>
      <c r="N1872" s="202">
        <v>-0.27</v>
      </c>
      <c r="S1872" s="204"/>
      <c r="W1872" s="198" t="s">
        <v>51</v>
      </c>
      <c r="AE1872" s="198" t="s">
        <v>831</v>
      </c>
    </row>
    <row r="1873" spans="3:31" x14ac:dyDescent="0.25">
      <c r="C1873" s="201"/>
      <c r="E1873" s="201"/>
      <c r="F1873" s="201"/>
      <c r="I1873" s="198" t="s">
        <v>77</v>
      </c>
      <c r="J1873" s="198" t="s">
        <v>65</v>
      </c>
      <c r="K1873" s="202">
        <f t="shared" si="29"/>
        <v>959820</v>
      </c>
      <c r="L1873" s="202">
        <v>188.2</v>
      </c>
      <c r="N1873" s="202">
        <v>-0.39</v>
      </c>
      <c r="S1873" s="204"/>
      <c r="W1873" s="198" t="s">
        <v>51</v>
      </c>
      <c r="AE1873" s="198" t="s">
        <v>831</v>
      </c>
    </row>
    <row r="1874" spans="3:31" x14ac:dyDescent="0.25">
      <c r="C1874" s="201"/>
      <c r="E1874" s="201"/>
      <c r="F1874" s="201"/>
      <c r="I1874" s="198" t="s">
        <v>440</v>
      </c>
      <c r="J1874" s="198" t="s">
        <v>126</v>
      </c>
      <c r="K1874" s="202">
        <f t="shared" si="29"/>
        <v>960330</v>
      </c>
      <c r="L1874" s="202">
        <v>188.3</v>
      </c>
      <c r="N1874" s="202">
        <v>16721000</v>
      </c>
      <c r="S1874" s="204"/>
      <c r="W1874" s="198" t="s">
        <v>51</v>
      </c>
      <c r="AE1874" s="198" t="s">
        <v>835</v>
      </c>
    </row>
    <row r="1875" spans="3:31" x14ac:dyDescent="0.25">
      <c r="C1875" s="201"/>
      <c r="E1875" s="201"/>
      <c r="F1875" s="201"/>
      <c r="I1875" s="198" t="s">
        <v>440</v>
      </c>
      <c r="J1875" s="198" t="s">
        <v>126</v>
      </c>
      <c r="K1875" s="202">
        <f t="shared" si="29"/>
        <v>960840</v>
      </c>
      <c r="L1875" s="202">
        <v>188.4</v>
      </c>
      <c r="N1875" s="202">
        <v>16721000</v>
      </c>
      <c r="S1875" s="204"/>
      <c r="W1875" s="198" t="s">
        <v>51</v>
      </c>
      <c r="AE1875" s="198" t="s">
        <v>835</v>
      </c>
    </row>
    <row r="1876" spans="3:31" x14ac:dyDescent="0.25">
      <c r="C1876" s="201"/>
      <c r="E1876" s="201"/>
      <c r="F1876" s="201"/>
      <c r="I1876" s="198" t="s">
        <v>440</v>
      </c>
      <c r="J1876" s="198" t="s">
        <v>126</v>
      </c>
      <c r="K1876" s="202">
        <f t="shared" si="29"/>
        <v>961350</v>
      </c>
      <c r="L1876" s="202">
        <v>188.5</v>
      </c>
      <c r="N1876" s="202">
        <v>16721000</v>
      </c>
      <c r="S1876" s="204"/>
      <c r="W1876" s="198" t="s">
        <v>51</v>
      </c>
      <c r="AE1876" s="198" t="s">
        <v>835</v>
      </c>
    </row>
    <row r="1877" spans="3:31" x14ac:dyDescent="0.25">
      <c r="C1877" s="201"/>
      <c r="E1877" s="201"/>
      <c r="F1877" s="201"/>
      <c r="I1877" s="198" t="s">
        <v>77</v>
      </c>
      <c r="J1877" s="198" t="s">
        <v>65</v>
      </c>
      <c r="K1877" s="202">
        <f t="shared" si="29"/>
        <v>961860</v>
      </c>
      <c r="L1877" s="202">
        <v>188.6</v>
      </c>
      <c r="N1877" s="202">
        <v>577282.68999999994</v>
      </c>
      <c r="S1877" s="203"/>
      <c r="W1877" s="198" t="s">
        <v>51</v>
      </c>
      <c r="AE1877" s="198" t="s">
        <v>831</v>
      </c>
    </row>
    <row r="1878" spans="3:31" x14ac:dyDescent="0.25">
      <c r="C1878" s="201"/>
      <c r="E1878" s="201"/>
      <c r="F1878" s="201"/>
      <c r="I1878" s="198" t="s">
        <v>77</v>
      </c>
      <c r="J1878" s="198" t="s">
        <v>65</v>
      </c>
      <c r="K1878" s="202">
        <f t="shared" si="29"/>
        <v>962370</v>
      </c>
      <c r="L1878" s="202">
        <v>188.7</v>
      </c>
      <c r="N1878" s="202">
        <v>688041.02</v>
      </c>
      <c r="S1878" s="203"/>
      <c r="W1878" s="198" t="s">
        <v>51</v>
      </c>
      <c r="AE1878" s="198" t="s">
        <v>831</v>
      </c>
    </row>
    <row r="1879" spans="3:31" x14ac:dyDescent="0.25">
      <c r="C1879" s="201"/>
      <c r="E1879" s="201"/>
      <c r="F1879" s="201"/>
      <c r="I1879" s="198" t="s">
        <v>583</v>
      </c>
      <c r="J1879" s="198" t="s">
        <v>134</v>
      </c>
      <c r="K1879" s="202">
        <f t="shared" si="29"/>
        <v>962880</v>
      </c>
      <c r="L1879" s="202">
        <v>188.8</v>
      </c>
      <c r="N1879" s="202">
        <v>99259.76</v>
      </c>
      <c r="S1879" s="204"/>
      <c r="W1879" s="198" t="s">
        <v>51</v>
      </c>
      <c r="AE1879" s="198" t="s">
        <v>846</v>
      </c>
    </row>
    <row r="1880" spans="3:31" x14ac:dyDescent="0.25">
      <c r="C1880" s="201"/>
      <c r="E1880" s="201"/>
      <c r="F1880" s="201"/>
      <c r="I1880" s="198" t="s">
        <v>583</v>
      </c>
      <c r="J1880" s="198" t="s">
        <v>134</v>
      </c>
      <c r="K1880" s="202">
        <f t="shared" si="29"/>
        <v>963390</v>
      </c>
      <c r="L1880" s="202">
        <v>188.9</v>
      </c>
      <c r="N1880" s="202">
        <v>150000</v>
      </c>
      <c r="S1880" s="204"/>
      <c r="W1880" s="198" t="s">
        <v>51</v>
      </c>
      <c r="AE1880" s="198" t="s">
        <v>846</v>
      </c>
    </row>
    <row r="1881" spans="3:31" x14ac:dyDescent="0.25">
      <c r="C1881" s="201"/>
      <c r="E1881" s="201"/>
      <c r="F1881" s="201"/>
      <c r="I1881" s="198" t="s">
        <v>583</v>
      </c>
      <c r="J1881" s="198" t="s">
        <v>134</v>
      </c>
      <c r="K1881" s="202">
        <f t="shared" si="29"/>
        <v>963900</v>
      </c>
      <c r="L1881" s="202">
        <v>189</v>
      </c>
      <c r="N1881" s="202">
        <v>150000</v>
      </c>
      <c r="S1881" s="204"/>
      <c r="W1881" s="198" t="s">
        <v>51</v>
      </c>
      <c r="AE1881" s="198" t="s">
        <v>846</v>
      </c>
    </row>
    <row r="1882" spans="3:31" x14ac:dyDescent="0.25">
      <c r="C1882" s="201"/>
      <c r="E1882" s="201"/>
      <c r="F1882" s="201"/>
      <c r="I1882" s="198" t="s">
        <v>583</v>
      </c>
      <c r="J1882" s="198" t="s">
        <v>134</v>
      </c>
      <c r="K1882" s="202">
        <f t="shared" si="29"/>
        <v>964410</v>
      </c>
      <c r="L1882" s="202">
        <v>189.1</v>
      </c>
      <c r="N1882" s="202">
        <v>98270.7</v>
      </c>
      <c r="S1882" s="204"/>
      <c r="W1882" s="198" t="s">
        <v>51</v>
      </c>
      <c r="AE1882" s="198" t="s">
        <v>846</v>
      </c>
    </row>
    <row r="1883" spans="3:31" x14ac:dyDescent="0.25">
      <c r="C1883" s="201"/>
      <c r="E1883" s="201"/>
      <c r="F1883" s="201"/>
      <c r="I1883" s="198" t="s">
        <v>583</v>
      </c>
      <c r="J1883" s="198" t="s">
        <v>134</v>
      </c>
      <c r="K1883" s="202">
        <f t="shared" si="29"/>
        <v>964920</v>
      </c>
      <c r="L1883" s="202">
        <v>189.2</v>
      </c>
      <c r="N1883" s="202">
        <v>100000</v>
      </c>
      <c r="S1883" s="204"/>
      <c r="W1883" s="198" t="s">
        <v>51</v>
      </c>
      <c r="AE1883" s="198" t="s">
        <v>846</v>
      </c>
    </row>
    <row r="1884" spans="3:31" x14ac:dyDescent="0.25">
      <c r="C1884" s="201"/>
      <c r="E1884" s="201"/>
      <c r="F1884" s="201"/>
      <c r="I1884" s="198" t="s">
        <v>583</v>
      </c>
      <c r="J1884" s="198" t="s">
        <v>134</v>
      </c>
      <c r="K1884" s="202">
        <f t="shared" si="29"/>
        <v>965430</v>
      </c>
      <c r="L1884" s="202">
        <v>189.3</v>
      </c>
      <c r="N1884" s="202">
        <v>100000</v>
      </c>
      <c r="S1884" s="204"/>
      <c r="W1884" s="198" t="s">
        <v>51</v>
      </c>
      <c r="AE1884" s="198" t="s">
        <v>846</v>
      </c>
    </row>
    <row r="1885" spans="3:31" x14ac:dyDescent="0.25">
      <c r="C1885" s="201"/>
      <c r="E1885" s="201"/>
      <c r="F1885" s="201"/>
      <c r="I1885" s="198" t="s">
        <v>583</v>
      </c>
      <c r="J1885" s="198" t="s">
        <v>134</v>
      </c>
      <c r="K1885" s="202">
        <f t="shared" si="29"/>
        <v>965940</v>
      </c>
      <c r="L1885" s="202">
        <v>189.4</v>
      </c>
      <c r="N1885" s="202">
        <v>100000</v>
      </c>
      <c r="S1885" s="204"/>
      <c r="W1885" s="198" t="s">
        <v>51</v>
      </c>
      <c r="AE1885" s="198" t="s">
        <v>846</v>
      </c>
    </row>
    <row r="1886" spans="3:31" x14ac:dyDescent="0.25">
      <c r="C1886" s="201"/>
      <c r="E1886" s="201"/>
      <c r="F1886" s="201"/>
      <c r="I1886" s="198" t="s">
        <v>566</v>
      </c>
      <c r="J1886" s="198" t="s">
        <v>117</v>
      </c>
      <c r="K1886" s="202">
        <f t="shared" si="29"/>
        <v>966450</v>
      </c>
      <c r="L1886" s="202">
        <v>189.5</v>
      </c>
      <c r="N1886" s="202">
        <v>248328.88</v>
      </c>
      <c r="S1886" s="204"/>
      <c r="W1886" s="198" t="s">
        <v>51</v>
      </c>
      <c r="AE1886" s="198" t="s">
        <v>878</v>
      </c>
    </row>
    <row r="1887" spans="3:31" x14ac:dyDescent="0.25">
      <c r="C1887" s="201"/>
      <c r="E1887" s="201"/>
      <c r="F1887" s="201"/>
      <c r="I1887" s="198" t="s">
        <v>566</v>
      </c>
      <c r="J1887" s="198" t="s">
        <v>117</v>
      </c>
      <c r="K1887" s="202">
        <f t="shared" si="29"/>
        <v>966960</v>
      </c>
      <c r="L1887" s="202">
        <v>189.6</v>
      </c>
      <c r="N1887" s="202">
        <v>169404</v>
      </c>
      <c r="S1887" s="204"/>
      <c r="W1887" s="198" t="s">
        <v>51</v>
      </c>
      <c r="AE1887" s="198" t="s">
        <v>878</v>
      </c>
    </row>
    <row r="1888" spans="3:31" x14ac:dyDescent="0.25">
      <c r="C1888" s="201"/>
      <c r="E1888" s="201"/>
      <c r="F1888" s="201"/>
      <c r="I1888" s="198" t="s">
        <v>566</v>
      </c>
      <c r="J1888" s="198" t="s">
        <v>117</v>
      </c>
      <c r="K1888" s="202">
        <f t="shared" si="29"/>
        <v>967470</v>
      </c>
      <c r="L1888" s="202">
        <v>189.7</v>
      </c>
      <c r="N1888" s="202">
        <v>169746</v>
      </c>
      <c r="S1888" s="204"/>
      <c r="W1888" s="198" t="s">
        <v>51</v>
      </c>
      <c r="AE1888" s="198" t="s">
        <v>878</v>
      </c>
    </row>
    <row r="1889" spans="3:31" x14ac:dyDescent="0.25">
      <c r="C1889" s="201"/>
      <c r="E1889" s="201"/>
      <c r="F1889" s="201"/>
      <c r="I1889" s="198" t="s">
        <v>566</v>
      </c>
      <c r="J1889" s="198" t="s">
        <v>117</v>
      </c>
      <c r="K1889" s="202">
        <f t="shared" si="29"/>
        <v>967980</v>
      </c>
      <c r="L1889" s="202">
        <v>189.8</v>
      </c>
      <c r="N1889" s="202">
        <v>94758.2</v>
      </c>
      <c r="S1889" s="204"/>
      <c r="W1889" s="198" t="s">
        <v>51</v>
      </c>
      <c r="AE1889" s="198" t="s">
        <v>878</v>
      </c>
    </row>
    <row r="1890" spans="3:31" x14ac:dyDescent="0.25">
      <c r="C1890" s="201"/>
      <c r="E1890" s="201"/>
      <c r="F1890" s="201"/>
      <c r="I1890" s="198" t="s">
        <v>566</v>
      </c>
      <c r="J1890" s="198" t="s">
        <v>117</v>
      </c>
      <c r="K1890" s="202">
        <f t="shared" si="29"/>
        <v>968490</v>
      </c>
      <c r="L1890" s="202">
        <v>189.9</v>
      </c>
      <c r="N1890" s="202">
        <v>82783.199999999997</v>
      </c>
      <c r="S1890" s="204"/>
      <c r="W1890" s="198" t="s">
        <v>51</v>
      </c>
      <c r="AE1890" s="198" t="s">
        <v>878</v>
      </c>
    </row>
    <row r="1891" spans="3:31" x14ac:dyDescent="0.25">
      <c r="C1891" s="201"/>
      <c r="E1891" s="201"/>
      <c r="F1891" s="201"/>
      <c r="I1891" s="198" t="s">
        <v>77</v>
      </c>
      <c r="J1891" s="198" t="s">
        <v>65</v>
      </c>
      <c r="K1891" s="202">
        <f t="shared" si="29"/>
        <v>969000</v>
      </c>
      <c r="L1891" s="202">
        <v>190</v>
      </c>
      <c r="N1891" s="202">
        <v>186727.22</v>
      </c>
      <c r="S1891" s="203"/>
      <c r="W1891" s="198" t="s">
        <v>51</v>
      </c>
      <c r="AE1891" s="198" t="s">
        <v>831</v>
      </c>
    </row>
    <row r="1892" spans="3:31" x14ac:dyDescent="0.25">
      <c r="C1892" s="201"/>
      <c r="E1892" s="201"/>
      <c r="F1892" s="201"/>
      <c r="I1892" s="198" t="s">
        <v>77</v>
      </c>
      <c r="J1892" s="198" t="s">
        <v>65</v>
      </c>
      <c r="K1892" s="202">
        <f t="shared" si="29"/>
        <v>969510</v>
      </c>
      <c r="L1892" s="202">
        <v>190.1</v>
      </c>
      <c r="N1892" s="202">
        <v>211563.36</v>
      </c>
      <c r="S1892" s="203"/>
      <c r="W1892" s="198" t="s">
        <v>51</v>
      </c>
      <c r="AE1892" s="198" t="s">
        <v>831</v>
      </c>
    </row>
    <row r="1893" spans="3:31" x14ac:dyDescent="0.25">
      <c r="C1893" s="201"/>
      <c r="E1893" s="201"/>
      <c r="F1893" s="201"/>
      <c r="I1893" s="198" t="s">
        <v>77</v>
      </c>
      <c r="J1893" s="198" t="s">
        <v>65</v>
      </c>
      <c r="K1893" s="202">
        <f t="shared" si="29"/>
        <v>970020</v>
      </c>
      <c r="L1893" s="202">
        <v>190.2</v>
      </c>
      <c r="N1893" s="202">
        <v>596858.57999999996</v>
      </c>
      <c r="S1893" s="203"/>
      <c r="W1893" s="198" t="s">
        <v>51</v>
      </c>
      <c r="AE1893" s="198" t="s">
        <v>831</v>
      </c>
    </row>
    <row r="1894" spans="3:31" x14ac:dyDescent="0.25">
      <c r="C1894" s="201"/>
      <c r="E1894" s="201"/>
      <c r="F1894" s="201"/>
      <c r="I1894" s="198" t="s">
        <v>136</v>
      </c>
      <c r="J1894" s="198" t="s">
        <v>137</v>
      </c>
      <c r="K1894" s="202">
        <f t="shared" si="29"/>
        <v>970530</v>
      </c>
      <c r="L1894" s="202">
        <v>190.3</v>
      </c>
      <c r="N1894" s="202">
        <v>0.5</v>
      </c>
      <c r="S1894" s="204"/>
      <c r="W1894" s="198" t="s">
        <v>51</v>
      </c>
      <c r="AE1894" s="198" t="s">
        <v>844</v>
      </c>
    </row>
    <row r="1895" spans="3:31" x14ac:dyDescent="0.25">
      <c r="C1895" s="201"/>
      <c r="E1895" s="201"/>
      <c r="F1895" s="201"/>
      <c r="I1895" s="198" t="s">
        <v>136</v>
      </c>
      <c r="J1895" s="198" t="s">
        <v>137</v>
      </c>
      <c r="K1895" s="202">
        <f t="shared" si="29"/>
        <v>971040</v>
      </c>
      <c r="L1895" s="202">
        <v>190.4</v>
      </c>
      <c r="N1895" s="202">
        <v>0.5</v>
      </c>
      <c r="S1895" s="204"/>
      <c r="W1895" s="198" t="s">
        <v>51</v>
      </c>
      <c r="AE1895" s="198" t="s">
        <v>844</v>
      </c>
    </row>
    <row r="1896" spans="3:31" x14ac:dyDescent="0.25">
      <c r="C1896" s="201"/>
      <c r="E1896" s="201"/>
      <c r="F1896" s="201"/>
      <c r="I1896" s="198" t="s">
        <v>136</v>
      </c>
      <c r="J1896" s="198" t="s">
        <v>137</v>
      </c>
      <c r="K1896" s="202">
        <f t="shared" si="29"/>
        <v>971550</v>
      </c>
      <c r="L1896" s="202">
        <v>190.5</v>
      </c>
      <c r="N1896" s="202">
        <v>-0.22</v>
      </c>
      <c r="S1896" s="204"/>
      <c r="W1896" s="198" t="s">
        <v>51</v>
      </c>
      <c r="AE1896" s="198" t="s">
        <v>844</v>
      </c>
    </row>
    <row r="1897" spans="3:31" x14ac:dyDescent="0.25">
      <c r="C1897" s="201"/>
      <c r="E1897" s="201"/>
      <c r="F1897" s="201"/>
      <c r="I1897" s="198" t="s">
        <v>136</v>
      </c>
      <c r="J1897" s="198" t="s">
        <v>137</v>
      </c>
      <c r="K1897" s="202">
        <f t="shared" si="29"/>
        <v>972060</v>
      </c>
      <c r="L1897" s="202">
        <v>190.6</v>
      </c>
      <c r="N1897" s="202">
        <v>-0.16</v>
      </c>
      <c r="S1897" s="204"/>
      <c r="W1897" s="198" t="s">
        <v>51</v>
      </c>
      <c r="AE1897" s="198" t="s">
        <v>844</v>
      </c>
    </row>
    <row r="1898" spans="3:31" x14ac:dyDescent="0.25">
      <c r="C1898" s="201"/>
      <c r="E1898" s="201"/>
      <c r="F1898" s="201"/>
      <c r="I1898" s="198" t="s">
        <v>131</v>
      </c>
      <c r="J1898" s="198" t="s">
        <v>132</v>
      </c>
      <c r="K1898" s="202">
        <f t="shared" si="29"/>
        <v>972570</v>
      </c>
      <c r="L1898" s="202">
        <v>190.7</v>
      </c>
      <c r="N1898" s="202">
        <v>-0.14000000000000001</v>
      </c>
      <c r="S1898" s="204"/>
      <c r="W1898" s="198" t="s">
        <v>51</v>
      </c>
      <c r="AE1898" s="198" t="s">
        <v>833</v>
      </c>
    </row>
    <row r="1899" spans="3:31" x14ac:dyDescent="0.25">
      <c r="C1899" s="201"/>
      <c r="E1899" s="201"/>
      <c r="F1899" s="201"/>
      <c r="I1899" s="198" t="s">
        <v>131</v>
      </c>
      <c r="J1899" s="198" t="s">
        <v>132</v>
      </c>
      <c r="K1899" s="202">
        <f t="shared" si="29"/>
        <v>973080</v>
      </c>
      <c r="L1899" s="202">
        <v>190.8</v>
      </c>
      <c r="N1899" s="202">
        <v>0.28000000000000003</v>
      </c>
      <c r="S1899" s="204"/>
      <c r="W1899" s="198" t="s">
        <v>51</v>
      </c>
      <c r="AE1899" s="198" t="s">
        <v>833</v>
      </c>
    </row>
    <row r="1900" spans="3:31" x14ac:dyDescent="0.25">
      <c r="C1900" s="201"/>
      <c r="E1900" s="201"/>
      <c r="F1900" s="201"/>
      <c r="I1900" s="198" t="s">
        <v>131</v>
      </c>
      <c r="J1900" s="198" t="s">
        <v>132</v>
      </c>
      <c r="K1900" s="202">
        <f t="shared" si="29"/>
        <v>973590</v>
      </c>
      <c r="L1900" s="202">
        <v>190.9</v>
      </c>
      <c r="N1900" s="202">
        <v>0.2</v>
      </c>
      <c r="S1900" s="204"/>
      <c r="W1900" s="198" t="s">
        <v>51</v>
      </c>
      <c r="AE1900" s="198" t="s">
        <v>833</v>
      </c>
    </row>
    <row r="1901" spans="3:31" x14ac:dyDescent="0.25">
      <c r="C1901" s="201"/>
      <c r="E1901" s="201"/>
      <c r="F1901" s="201"/>
      <c r="I1901" s="198" t="s">
        <v>131</v>
      </c>
      <c r="J1901" s="198" t="s">
        <v>132</v>
      </c>
      <c r="K1901" s="202">
        <f t="shared" si="29"/>
        <v>974100</v>
      </c>
      <c r="L1901" s="202">
        <v>191</v>
      </c>
      <c r="N1901" s="202">
        <v>0.34</v>
      </c>
      <c r="S1901" s="204"/>
      <c r="W1901" s="198" t="s">
        <v>51</v>
      </c>
      <c r="AE1901" s="198" t="s">
        <v>833</v>
      </c>
    </row>
    <row r="1902" spans="3:31" x14ac:dyDescent="0.25">
      <c r="C1902" s="201"/>
      <c r="E1902" s="201"/>
      <c r="F1902" s="201"/>
      <c r="I1902" s="198" t="s">
        <v>136</v>
      </c>
      <c r="J1902" s="198" t="s">
        <v>137</v>
      </c>
      <c r="K1902" s="202">
        <f t="shared" si="29"/>
        <v>974610</v>
      </c>
      <c r="L1902" s="202">
        <v>191.1</v>
      </c>
      <c r="N1902" s="202">
        <v>-0.14000000000000001</v>
      </c>
      <c r="S1902" s="204"/>
      <c r="W1902" s="198" t="s">
        <v>51</v>
      </c>
      <c r="AE1902" s="198" t="s">
        <v>844</v>
      </c>
    </row>
    <row r="1903" spans="3:31" x14ac:dyDescent="0.25">
      <c r="C1903" s="201"/>
      <c r="E1903" s="201"/>
      <c r="F1903" s="201"/>
      <c r="I1903" s="198" t="s">
        <v>77</v>
      </c>
      <c r="J1903" s="198" t="s">
        <v>65</v>
      </c>
      <c r="K1903" s="202">
        <f t="shared" si="29"/>
        <v>975120</v>
      </c>
      <c r="L1903" s="202">
        <v>191.2</v>
      </c>
      <c r="N1903" s="202">
        <v>-0.21</v>
      </c>
      <c r="S1903" s="204"/>
      <c r="W1903" s="198" t="s">
        <v>51</v>
      </c>
      <c r="AE1903" s="198" t="s">
        <v>831</v>
      </c>
    </row>
    <row r="1904" spans="3:31" x14ac:dyDescent="0.25">
      <c r="C1904" s="201"/>
      <c r="E1904" s="201"/>
      <c r="F1904" s="201"/>
      <c r="I1904" s="198" t="s">
        <v>82</v>
      </c>
      <c r="J1904" s="198" t="s">
        <v>89</v>
      </c>
      <c r="K1904" s="202">
        <f t="shared" si="29"/>
        <v>975630</v>
      </c>
      <c r="L1904" s="202">
        <v>191.3</v>
      </c>
      <c r="N1904" s="202">
        <v>372812.38</v>
      </c>
      <c r="S1904" s="203"/>
      <c r="W1904" s="198" t="s">
        <v>51</v>
      </c>
      <c r="AE1904" s="198" t="s">
        <v>831</v>
      </c>
    </row>
    <row r="1905" spans="3:31" x14ac:dyDescent="0.25">
      <c r="C1905" s="201"/>
      <c r="E1905" s="201"/>
      <c r="F1905" s="201"/>
      <c r="I1905" s="198" t="s">
        <v>82</v>
      </c>
      <c r="J1905" s="198" t="s">
        <v>89</v>
      </c>
      <c r="K1905" s="202">
        <f t="shared" si="29"/>
        <v>976140</v>
      </c>
      <c r="L1905" s="202">
        <v>191.4</v>
      </c>
      <c r="N1905" s="202">
        <v>151317.9</v>
      </c>
      <c r="S1905" s="203"/>
      <c r="W1905" s="198" t="s">
        <v>51</v>
      </c>
      <c r="AE1905" s="198" t="s">
        <v>831</v>
      </c>
    </row>
    <row r="1906" spans="3:31" x14ac:dyDescent="0.25">
      <c r="C1906" s="201"/>
      <c r="E1906" s="201"/>
      <c r="F1906" s="201"/>
      <c r="I1906" s="198" t="s">
        <v>82</v>
      </c>
      <c r="J1906" s="198" t="s">
        <v>89</v>
      </c>
      <c r="K1906" s="202">
        <f t="shared" si="29"/>
        <v>976650</v>
      </c>
      <c r="L1906" s="202">
        <v>191.5</v>
      </c>
      <c r="N1906" s="202">
        <v>34662.18</v>
      </c>
      <c r="S1906" s="203"/>
      <c r="W1906" s="198" t="s">
        <v>51</v>
      </c>
      <c r="AE1906" s="198" t="s">
        <v>831</v>
      </c>
    </row>
    <row r="1907" spans="3:31" x14ac:dyDescent="0.25">
      <c r="C1907" s="201"/>
      <c r="E1907" s="201"/>
      <c r="F1907" s="201"/>
      <c r="I1907" s="198" t="s">
        <v>82</v>
      </c>
      <c r="J1907" s="198" t="s">
        <v>89</v>
      </c>
      <c r="K1907" s="202">
        <f t="shared" si="29"/>
        <v>977160</v>
      </c>
      <c r="L1907" s="202">
        <v>191.6</v>
      </c>
      <c r="N1907" s="202">
        <v>774325.2</v>
      </c>
      <c r="S1907" s="203"/>
      <c r="W1907" s="198" t="s">
        <v>51</v>
      </c>
      <c r="AE1907" s="198" t="s">
        <v>831</v>
      </c>
    </row>
    <row r="1908" spans="3:31" x14ac:dyDescent="0.25">
      <c r="C1908" s="201"/>
      <c r="E1908" s="201"/>
      <c r="F1908" s="201"/>
      <c r="I1908" s="198" t="s">
        <v>82</v>
      </c>
      <c r="J1908" s="198" t="s">
        <v>89</v>
      </c>
      <c r="K1908" s="202">
        <f t="shared" si="29"/>
        <v>977670</v>
      </c>
      <c r="L1908" s="202">
        <v>191.7</v>
      </c>
      <c r="N1908" s="202">
        <v>6546847.2000000002</v>
      </c>
      <c r="S1908" s="203"/>
      <c r="W1908" s="198" t="s">
        <v>51</v>
      </c>
      <c r="AE1908" s="198" t="s">
        <v>831</v>
      </c>
    </row>
    <row r="1909" spans="3:31" x14ac:dyDescent="0.25">
      <c r="C1909" s="201"/>
      <c r="E1909" s="201"/>
      <c r="F1909" s="201"/>
      <c r="I1909" s="198" t="s">
        <v>82</v>
      </c>
      <c r="J1909" s="198" t="s">
        <v>89</v>
      </c>
      <c r="K1909" s="202">
        <f t="shared" si="29"/>
        <v>978180</v>
      </c>
      <c r="L1909" s="202">
        <v>191.8</v>
      </c>
      <c r="N1909" s="202">
        <v>3812274</v>
      </c>
      <c r="S1909" s="203"/>
      <c r="W1909" s="198" t="s">
        <v>51</v>
      </c>
      <c r="AE1909" s="198" t="s">
        <v>831</v>
      </c>
    </row>
    <row r="1910" spans="3:31" x14ac:dyDescent="0.25">
      <c r="C1910" s="201"/>
      <c r="E1910" s="201"/>
      <c r="F1910" s="201"/>
      <c r="I1910" s="198" t="s">
        <v>82</v>
      </c>
      <c r="J1910" s="198" t="s">
        <v>89</v>
      </c>
      <c r="K1910" s="202">
        <f t="shared" si="29"/>
        <v>978690</v>
      </c>
      <c r="L1910" s="202">
        <v>191.9</v>
      </c>
      <c r="N1910" s="202">
        <v>1784273.6</v>
      </c>
      <c r="S1910" s="203"/>
      <c r="W1910" s="198" t="s">
        <v>51</v>
      </c>
      <c r="AE1910" s="198" t="s">
        <v>831</v>
      </c>
    </row>
    <row r="1911" spans="3:31" x14ac:dyDescent="0.25">
      <c r="C1911" s="201"/>
      <c r="E1911" s="201"/>
      <c r="F1911" s="201"/>
      <c r="I1911" s="198" t="s">
        <v>82</v>
      </c>
      <c r="J1911" s="198" t="s">
        <v>89</v>
      </c>
      <c r="K1911" s="202">
        <f t="shared" si="29"/>
        <v>979200</v>
      </c>
      <c r="L1911" s="202">
        <v>192</v>
      </c>
      <c r="N1911" s="202">
        <v>1388888.8</v>
      </c>
      <c r="S1911" s="203"/>
      <c r="W1911" s="198" t="s">
        <v>51</v>
      </c>
      <c r="AE1911" s="198" t="s">
        <v>831</v>
      </c>
    </row>
    <row r="1912" spans="3:31" x14ac:dyDescent="0.25">
      <c r="C1912" s="201"/>
      <c r="E1912" s="201"/>
      <c r="F1912" s="201"/>
      <c r="I1912" s="198" t="s">
        <v>82</v>
      </c>
      <c r="J1912" s="198" t="s">
        <v>89</v>
      </c>
      <c r="K1912" s="202">
        <f t="shared" si="29"/>
        <v>979710</v>
      </c>
      <c r="L1912" s="202">
        <v>192.1</v>
      </c>
      <c r="N1912" s="202">
        <v>94679.97</v>
      </c>
      <c r="S1912" s="203"/>
      <c r="W1912" s="198" t="s">
        <v>51</v>
      </c>
      <c r="AE1912" s="198" t="s">
        <v>831</v>
      </c>
    </row>
    <row r="1913" spans="3:31" x14ac:dyDescent="0.25">
      <c r="C1913" s="201"/>
      <c r="E1913" s="201"/>
      <c r="F1913" s="201"/>
      <c r="I1913" s="198" t="s">
        <v>82</v>
      </c>
      <c r="J1913" s="198" t="s">
        <v>89</v>
      </c>
      <c r="K1913" s="202">
        <f t="shared" si="29"/>
        <v>980220</v>
      </c>
      <c r="L1913" s="202">
        <v>192.2</v>
      </c>
      <c r="N1913" s="202">
        <v>38428.92</v>
      </c>
      <c r="S1913" s="203"/>
      <c r="W1913" s="198" t="s">
        <v>51</v>
      </c>
      <c r="AE1913" s="198" t="s">
        <v>831</v>
      </c>
    </row>
    <row r="1914" spans="3:31" x14ac:dyDescent="0.25">
      <c r="C1914" s="201"/>
      <c r="E1914" s="201"/>
      <c r="F1914" s="201"/>
      <c r="I1914" s="198" t="s">
        <v>216</v>
      </c>
      <c r="J1914" s="198" t="s">
        <v>89</v>
      </c>
      <c r="K1914" s="202">
        <f t="shared" si="29"/>
        <v>980730</v>
      </c>
      <c r="L1914" s="202">
        <v>192.3</v>
      </c>
      <c r="N1914" s="202">
        <v>466263.6</v>
      </c>
      <c r="S1914" s="203"/>
      <c r="W1914" s="198" t="s">
        <v>51</v>
      </c>
      <c r="AE1914" s="198" t="s">
        <v>831</v>
      </c>
    </row>
    <row r="1915" spans="3:31" x14ac:dyDescent="0.25">
      <c r="C1915" s="201"/>
      <c r="E1915" s="201"/>
      <c r="F1915" s="201"/>
      <c r="I1915" s="198" t="s">
        <v>216</v>
      </c>
      <c r="J1915" s="198" t="s">
        <v>89</v>
      </c>
      <c r="K1915" s="202">
        <f t="shared" si="29"/>
        <v>981240</v>
      </c>
      <c r="L1915" s="202">
        <v>192.4</v>
      </c>
      <c r="N1915" s="202">
        <v>627597.5</v>
      </c>
      <c r="S1915" s="203"/>
      <c r="W1915" s="198" t="s">
        <v>51</v>
      </c>
      <c r="AE1915" s="198" t="s">
        <v>831</v>
      </c>
    </row>
    <row r="1916" spans="3:31" x14ac:dyDescent="0.25">
      <c r="C1916" s="201"/>
      <c r="E1916" s="201"/>
      <c r="F1916" s="201"/>
      <c r="I1916" s="198" t="s">
        <v>216</v>
      </c>
      <c r="J1916" s="198" t="s">
        <v>89</v>
      </c>
      <c r="K1916" s="202">
        <f t="shared" si="29"/>
        <v>981750</v>
      </c>
      <c r="L1916" s="202">
        <v>192.5</v>
      </c>
      <c r="N1916" s="202">
        <v>2068161</v>
      </c>
      <c r="S1916" s="203"/>
      <c r="W1916" s="198" t="s">
        <v>51</v>
      </c>
      <c r="AE1916" s="198" t="s">
        <v>831</v>
      </c>
    </row>
    <row r="1917" spans="3:31" x14ac:dyDescent="0.25">
      <c r="C1917" s="201"/>
      <c r="E1917" s="201"/>
      <c r="F1917" s="201"/>
      <c r="I1917" s="198" t="s">
        <v>216</v>
      </c>
      <c r="J1917" s="198" t="s">
        <v>89</v>
      </c>
      <c r="K1917" s="202">
        <f t="shared" si="29"/>
        <v>982260</v>
      </c>
      <c r="L1917" s="202">
        <v>192.6</v>
      </c>
      <c r="N1917" s="202">
        <v>417745.6</v>
      </c>
      <c r="S1917" s="203"/>
      <c r="W1917" s="198" t="s">
        <v>51</v>
      </c>
      <c r="AE1917" s="198" t="s">
        <v>831</v>
      </c>
    </row>
    <row r="1918" spans="3:31" x14ac:dyDescent="0.25">
      <c r="C1918" s="201"/>
      <c r="E1918" s="201"/>
      <c r="F1918" s="201"/>
      <c r="I1918" s="198" t="s">
        <v>216</v>
      </c>
      <c r="J1918" s="198" t="s">
        <v>89</v>
      </c>
      <c r="K1918" s="202">
        <f t="shared" si="29"/>
        <v>982770</v>
      </c>
      <c r="L1918" s="202">
        <v>192.7</v>
      </c>
      <c r="N1918" s="202">
        <v>445856.25</v>
      </c>
      <c r="S1918" s="203"/>
      <c r="W1918" s="198" t="s">
        <v>51</v>
      </c>
      <c r="AE1918" s="198" t="s">
        <v>831</v>
      </c>
    </row>
    <row r="1919" spans="3:31" x14ac:dyDescent="0.25">
      <c r="C1919" s="201"/>
      <c r="E1919" s="201"/>
      <c r="F1919" s="201"/>
      <c r="I1919" s="198" t="s">
        <v>216</v>
      </c>
      <c r="J1919" s="198" t="s">
        <v>89</v>
      </c>
      <c r="K1919" s="202">
        <f t="shared" si="29"/>
        <v>983280</v>
      </c>
      <c r="L1919" s="202">
        <v>192.8</v>
      </c>
      <c r="N1919" s="202">
        <v>201480</v>
      </c>
      <c r="S1919" s="203"/>
      <c r="W1919" s="198" t="s">
        <v>51</v>
      </c>
      <c r="AE1919" s="198" t="s">
        <v>831</v>
      </c>
    </row>
    <row r="1920" spans="3:31" x14ac:dyDescent="0.25">
      <c r="C1920" s="201"/>
      <c r="E1920" s="201"/>
      <c r="F1920" s="201"/>
      <c r="I1920" s="198" t="s">
        <v>230</v>
      </c>
      <c r="J1920" s="198" t="s">
        <v>89</v>
      </c>
      <c r="K1920" s="202">
        <f t="shared" si="29"/>
        <v>983790</v>
      </c>
      <c r="L1920" s="202">
        <v>192.9</v>
      </c>
      <c r="N1920" s="202">
        <v>62429.4</v>
      </c>
      <c r="S1920" s="203"/>
      <c r="W1920" s="198" t="s">
        <v>51</v>
      </c>
      <c r="AE1920" s="198" t="s">
        <v>831</v>
      </c>
    </row>
    <row r="1921" spans="3:31" x14ac:dyDescent="0.25">
      <c r="C1921" s="201"/>
      <c r="E1921" s="201"/>
      <c r="F1921" s="201"/>
      <c r="I1921" s="198" t="s">
        <v>230</v>
      </c>
      <c r="J1921" s="198" t="s">
        <v>89</v>
      </c>
      <c r="K1921" s="202">
        <f t="shared" si="29"/>
        <v>984300</v>
      </c>
      <c r="L1921" s="202">
        <v>193</v>
      </c>
      <c r="N1921" s="202">
        <v>139400</v>
      </c>
      <c r="S1921" s="204"/>
      <c r="W1921" s="198" t="s">
        <v>51</v>
      </c>
      <c r="AE1921" s="198" t="s">
        <v>831</v>
      </c>
    </row>
    <row r="1922" spans="3:31" x14ac:dyDescent="0.25">
      <c r="C1922" s="201"/>
      <c r="E1922" s="201"/>
      <c r="F1922" s="201"/>
      <c r="I1922" s="198" t="s">
        <v>230</v>
      </c>
      <c r="J1922" s="198" t="s">
        <v>89</v>
      </c>
      <c r="K1922" s="202">
        <f t="shared" si="29"/>
        <v>984810</v>
      </c>
      <c r="L1922" s="202">
        <v>193.1</v>
      </c>
      <c r="N1922" s="202">
        <v>115457.8</v>
      </c>
      <c r="S1922" s="203"/>
      <c r="W1922" s="198" t="s">
        <v>51</v>
      </c>
      <c r="AE1922" s="198" t="s">
        <v>831</v>
      </c>
    </row>
    <row r="1923" spans="3:31" x14ac:dyDescent="0.25">
      <c r="C1923" s="201"/>
      <c r="E1923" s="201"/>
      <c r="F1923" s="201"/>
      <c r="I1923" s="198" t="s">
        <v>230</v>
      </c>
      <c r="J1923" s="198" t="s">
        <v>89</v>
      </c>
      <c r="K1923" s="202">
        <f t="shared" ref="K1923:K1986" si="30">L1923*5100</f>
        <v>985320</v>
      </c>
      <c r="L1923" s="202">
        <v>193.2</v>
      </c>
      <c r="N1923" s="202">
        <v>189686.88</v>
      </c>
      <c r="S1923" s="203"/>
      <c r="W1923" s="198" t="s">
        <v>51</v>
      </c>
      <c r="AE1923" s="198" t="s">
        <v>831</v>
      </c>
    </row>
    <row r="1924" spans="3:31" x14ac:dyDescent="0.25">
      <c r="C1924" s="201"/>
      <c r="E1924" s="201"/>
      <c r="F1924" s="201"/>
      <c r="I1924" s="198" t="s">
        <v>230</v>
      </c>
      <c r="J1924" s="198" t="s">
        <v>89</v>
      </c>
      <c r="K1924" s="202">
        <f t="shared" si="30"/>
        <v>985830</v>
      </c>
      <c r="L1924" s="202">
        <v>193.3</v>
      </c>
      <c r="N1924" s="202">
        <v>35880</v>
      </c>
      <c r="S1924" s="203"/>
      <c r="W1924" s="198" t="s">
        <v>51</v>
      </c>
      <c r="AE1924" s="198" t="s">
        <v>831</v>
      </c>
    </row>
    <row r="1925" spans="3:31" x14ac:dyDescent="0.25">
      <c r="C1925" s="201"/>
      <c r="E1925" s="201"/>
      <c r="F1925" s="201"/>
      <c r="I1925" s="198" t="s">
        <v>217</v>
      </c>
      <c r="J1925" s="198" t="s">
        <v>89</v>
      </c>
      <c r="K1925" s="202">
        <f t="shared" si="30"/>
        <v>986340</v>
      </c>
      <c r="L1925" s="202">
        <v>193.4</v>
      </c>
      <c r="N1925" s="202">
        <v>59400</v>
      </c>
      <c r="S1925" s="204"/>
      <c r="W1925" s="198" t="s">
        <v>51</v>
      </c>
      <c r="AE1925" s="198" t="s">
        <v>831</v>
      </c>
    </row>
    <row r="1926" spans="3:31" x14ac:dyDescent="0.25">
      <c r="C1926" s="201"/>
      <c r="E1926" s="201"/>
      <c r="F1926" s="201"/>
      <c r="I1926" s="198" t="s">
        <v>217</v>
      </c>
      <c r="J1926" s="198" t="s">
        <v>89</v>
      </c>
      <c r="K1926" s="202">
        <f t="shared" si="30"/>
        <v>986850</v>
      </c>
      <c r="L1926" s="202">
        <v>193.5</v>
      </c>
      <c r="N1926" s="202">
        <v>191972.5</v>
      </c>
      <c r="S1926" s="203"/>
      <c r="W1926" s="198" t="s">
        <v>51</v>
      </c>
      <c r="AE1926" s="198" t="s">
        <v>831</v>
      </c>
    </row>
    <row r="1927" spans="3:31" x14ac:dyDescent="0.25">
      <c r="C1927" s="201"/>
      <c r="E1927" s="201"/>
      <c r="F1927" s="201"/>
      <c r="I1927" s="198" t="s">
        <v>217</v>
      </c>
      <c r="J1927" s="198" t="s">
        <v>89</v>
      </c>
      <c r="K1927" s="202">
        <f t="shared" si="30"/>
        <v>987360</v>
      </c>
      <c r="L1927" s="202">
        <v>193.6</v>
      </c>
      <c r="N1927" s="202">
        <v>1550532</v>
      </c>
      <c r="S1927" s="203"/>
      <c r="W1927" s="198" t="s">
        <v>51</v>
      </c>
      <c r="AE1927" s="198" t="s">
        <v>831</v>
      </c>
    </row>
    <row r="1928" spans="3:31" x14ac:dyDescent="0.25">
      <c r="C1928" s="201"/>
      <c r="E1928" s="201"/>
      <c r="F1928" s="201"/>
      <c r="I1928" s="198" t="s">
        <v>217</v>
      </c>
      <c r="J1928" s="198" t="s">
        <v>89</v>
      </c>
      <c r="K1928" s="202">
        <f t="shared" si="30"/>
        <v>987870</v>
      </c>
      <c r="L1928" s="202">
        <v>193.7</v>
      </c>
      <c r="N1928" s="202">
        <v>122334.39999999999</v>
      </c>
      <c r="S1928" s="203"/>
      <c r="W1928" s="198" t="s">
        <v>51</v>
      </c>
      <c r="AE1928" s="198" t="s">
        <v>831</v>
      </c>
    </row>
    <row r="1929" spans="3:31" x14ac:dyDescent="0.25">
      <c r="C1929" s="201"/>
      <c r="E1929" s="201"/>
      <c r="F1929" s="201"/>
      <c r="I1929" s="198" t="s">
        <v>217</v>
      </c>
      <c r="J1929" s="198" t="s">
        <v>89</v>
      </c>
      <c r="K1929" s="202">
        <f t="shared" si="30"/>
        <v>988380</v>
      </c>
      <c r="L1929" s="202">
        <v>193.8</v>
      </c>
      <c r="N1929" s="202">
        <v>137267.38</v>
      </c>
      <c r="S1929" s="203"/>
      <c r="W1929" s="198" t="s">
        <v>51</v>
      </c>
      <c r="AE1929" s="198" t="s">
        <v>831</v>
      </c>
    </row>
    <row r="1930" spans="3:31" x14ac:dyDescent="0.25">
      <c r="C1930" s="201"/>
      <c r="E1930" s="201"/>
      <c r="F1930" s="201"/>
      <c r="I1930" s="198" t="s">
        <v>217</v>
      </c>
      <c r="J1930" s="198" t="s">
        <v>89</v>
      </c>
      <c r="K1930" s="202">
        <f t="shared" si="30"/>
        <v>988890</v>
      </c>
      <c r="L1930" s="202">
        <v>193.9</v>
      </c>
      <c r="N1930" s="202">
        <v>45264</v>
      </c>
      <c r="S1930" s="203"/>
      <c r="W1930" s="198" t="s">
        <v>51</v>
      </c>
      <c r="AE1930" s="198" t="s">
        <v>831</v>
      </c>
    </row>
    <row r="1931" spans="3:31" x14ac:dyDescent="0.25">
      <c r="C1931" s="201"/>
      <c r="E1931" s="201"/>
      <c r="F1931" s="201"/>
      <c r="I1931" s="198" t="s">
        <v>82</v>
      </c>
      <c r="J1931" s="198" t="s">
        <v>89</v>
      </c>
      <c r="K1931" s="202">
        <f t="shared" si="30"/>
        <v>989400</v>
      </c>
      <c r="L1931" s="202">
        <v>194</v>
      </c>
      <c r="N1931" s="202">
        <v>4446494.33</v>
      </c>
      <c r="S1931" s="203"/>
      <c r="W1931" s="198" t="s">
        <v>51</v>
      </c>
      <c r="AE1931" s="198" t="s">
        <v>831</v>
      </c>
    </row>
    <row r="1932" spans="3:31" x14ac:dyDescent="0.25">
      <c r="C1932" s="201"/>
      <c r="E1932" s="201"/>
      <c r="F1932" s="201"/>
      <c r="I1932" s="198" t="s">
        <v>216</v>
      </c>
      <c r="J1932" s="198" t="s">
        <v>89</v>
      </c>
      <c r="K1932" s="202">
        <f t="shared" si="30"/>
        <v>989910</v>
      </c>
      <c r="L1932" s="202">
        <v>194.1</v>
      </c>
      <c r="N1932" s="202">
        <v>860065.2</v>
      </c>
      <c r="S1932" s="203"/>
      <c r="W1932" s="198" t="s">
        <v>51</v>
      </c>
      <c r="AE1932" s="198" t="s">
        <v>831</v>
      </c>
    </row>
    <row r="1933" spans="3:31" x14ac:dyDescent="0.25">
      <c r="C1933" s="201"/>
      <c r="E1933" s="201"/>
      <c r="F1933" s="201"/>
      <c r="I1933" s="198" t="s">
        <v>216</v>
      </c>
      <c r="J1933" s="198" t="s">
        <v>89</v>
      </c>
      <c r="K1933" s="202">
        <f t="shared" si="30"/>
        <v>990420</v>
      </c>
      <c r="L1933" s="202">
        <v>194.2</v>
      </c>
      <c r="N1933" s="202">
        <v>347490</v>
      </c>
      <c r="S1933" s="203"/>
      <c r="W1933" s="198" t="s">
        <v>51</v>
      </c>
      <c r="AE1933" s="198" t="s">
        <v>831</v>
      </c>
    </row>
    <row r="1934" spans="3:31" x14ac:dyDescent="0.25">
      <c r="C1934" s="201"/>
      <c r="E1934" s="201"/>
      <c r="F1934" s="201"/>
      <c r="I1934" s="198" t="s">
        <v>230</v>
      </c>
      <c r="J1934" s="198" t="s">
        <v>89</v>
      </c>
      <c r="K1934" s="202">
        <f t="shared" si="30"/>
        <v>990930</v>
      </c>
      <c r="L1934" s="202">
        <v>194.3</v>
      </c>
      <c r="N1934" s="202">
        <v>252654</v>
      </c>
      <c r="S1934" s="203"/>
      <c r="W1934" s="198" t="s">
        <v>51</v>
      </c>
      <c r="AE1934" s="198" t="s">
        <v>831</v>
      </c>
    </row>
    <row r="1935" spans="3:31" x14ac:dyDescent="0.25">
      <c r="C1935" s="201"/>
      <c r="E1935" s="201"/>
      <c r="F1935" s="201"/>
      <c r="I1935" s="198" t="s">
        <v>230</v>
      </c>
      <c r="J1935" s="198" t="s">
        <v>89</v>
      </c>
      <c r="K1935" s="202">
        <f t="shared" si="30"/>
        <v>991440</v>
      </c>
      <c r="L1935" s="202">
        <v>194.4</v>
      </c>
      <c r="N1935" s="202">
        <v>40365</v>
      </c>
      <c r="S1935" s="203"/>
      <c r="W1935" s="198" t="s">
        <v>51</v>
      </c>
      <c r="AE1935" s="198" t="s">
        <v>831</v>
      </c>
    </row>
    <row r="1936" spans="3:31" x14ac:dyDescent="0.25">
      <c r="C1936" s="201"/>
      <c r="E1936" s="201"/>
      <c r="F1936" s="201"/>
      <c r="I1936" s="198" t="s">
        <v>217</v>
      </c>
      <c r="J1936" s="198" t="s">
        <v>89</v>
      </c>
      <c r="K1936" s="202">
        <f t="shared" si="30"/>
        <v>991950</v>
      </c>
      <c r="L1936" s="202">
        <v>194.5</v>
      </c>
      <c r="N1936" s="202">
        <v>202859.8</v>
      </c>
      <c r="S1936" s="203"/>
      <c r="W1936" s="198" t="s">
        <v>51</v>
      </c>
      <c r="AE1936" s="198" t="s">
        <v>831</v>
      </c>
    </row>
    <row r="1937" spans="3:31" x14ac:dyDescent="0.25">
      <c r="C1937" s="201"/>
      <c r="E1937" s="201"/>
      <c r="F1937" s="201"/>
      <c r="I1937" s="198" t="s">
        <v>217</v>
      </c>
      <c r="J1937" s="198" t="s">
        <v>89</v>
      </c>
      <c r="K1937" s="202">
        <f t="shared" si="30"/>
        <v>992460</v>
      </c>
      <c r="L1937" s="202">
        <v>194.6</v>
      </c>
      <c r="N1937" s="202">
        <v>27027</v>
      </c>
      <c r="S1937" s="203"/>
      <c r="W1937" s="198" t="s">
        <v>51</v>
      </c>
      <c r="AE1937" s="198" t="s">
        <v>831</v>
      </c>
    </row>
    <row r="1938" spans="3:31" x14ac:dyDescent="0.25">
      <c r="C1938" s="201"/>
      <c r="E1938" s="201"/>
      <c r="F1938" s="201"/>
      <c r="I1938" s="198" t="s">
        <v>577</v>
      </c>
      <c r="J1938" s="198" t="s">
        <v>130</v>
      </c>
      <c r="K1938" s="202">
        <f t="shared" si="30"/>
        <v>992970</v>
      </c>
      <c r="L1938" s="202">
        <v>194.7</v>
      </c>
      <c r="N1938" s="202">
        <v>1022878.1</v>
      </c>
      <c r="S1938" s="204"/>
      <c r="W1938" s="198" t="s">
        <v>51</v>
      </c>
      <c r="AE1938" s="198" t="s">
        <v>833</v>
      </c>
    </row>
    <row r="1939" spans="3:31" x14ac:dyDescent="0.25">
      <c r="C1939" s="201"/>
      <c r="E1939" s="201"/>
      <c r="F1939" s="201"/>
      <c r="I1939" s="198" t="s">
        <v>577</v>
      </c>
      <c r="J1939" s="198" t="s">
        <v>130</v>
      </c>
      <c r="K1939" s="202">
        <f t="shared" si="30"/>
        <v>993480</v>
      </c>
      <c r="L1939" s="202">
        <v>194.8</v>
      </c>
      <c r="N1939" s="202">
        <v>1022511.83</v>
      </c>
      <c r="S1939" s="204"/>
      <c r="W1939" s="198" t="s">
        <v>51</v>
      </c>
      <c r="AE1939" s="198" t="s">
        <v>833</v>
      </c>
    </row>
    <row r="1940" spans="3:31" x14ac:dyDescent="0.25">
      <c r="C1940" s="201"/>
      <c r="E1940" s="201"/>
      <c r="F1940" s="201"/>
      <c r="I1940" s="198" t="s">
        <v>577</v>
      </c>
      <c r="J1940" s="198" t="s">
        <v>130</v>
      </c>
      <c r="K1940" s="202">
        <f t="shared" si="30"/>
        <v>993990</v>
      </c>
      <c r="L1940" s="202">
        <v>194.9</v>
      </c>
      <c r="N1940" s="202">
        <v>1023663.6</v>
      </c>
      <c r="S1940" s="204"/>
      <c r="W1940" s="198" t="s">
        <v>51</v>
      </c>
      <c r="AE1940" s="198" t="s">
        <v>833</v>
      </c>
    </row>
    <row r="1941" spans="3:31" x14ac:dyDescent="0.25">
      <c r="C1941" s="201"/>
      <c r="E1941" s="201"/>
      <c r="F1941" s="201"/>
      <c r="I1941" s="198" t="s">
        <v>577</v>
      </c>
      <c r="J1941" s="198" t="s">
        <v>130</v>
      </c>
      <c r="K1941" s="202">
        <f t="shared" si="30"/>
        <v>994500</v>
      </c>
      <c r="L1941" s="202">
        <v>195</v>
      </c>
      <c r="N1941" s="202">
        <v>1027512.55</v>
      </c>
      <c r="S1941" s="204"/>
      <c r="W1941" s="198" t="s">
        <v>51</v>
      </c>
      <c r="AE1941" s="198" t="s">
        <v>833</v>
      </c>
    </row>
    <row r="1942" spans="3:31" x14ac:dyDescent="0.25">
      <c r="C1942" s="201"/>
      <c r="E1942" s="201"/>
      <c r="F1942" s="201"/>
      <c r="I1942" s="198" t="s">
        <v>577</v>
      </c>
      <c r="J1942" s="198" t="s">
        <v>130</v>
      </c>
      <c r="K1942" s="202">
        <f t="shared" si="30"/>
        <v>995010</v>
      </c>
      <c r="L1942" s="202">
        <v>195.1</v>
      </c>
      <c r="N1942" s="202">
        <v>1027434</v>
      </c>
      <c r="S1942" s="204"/>
      <c r="W1942" s="198" t="s">
        <v>51</v>
      </c>
      <c r="AE1942" s="198" t="s">
        <v>833</v>
      </c>
    </row>
    <row r="1943" spans="3:31" x14ac:dyDescent="0.25">
      <c r="C1943" s="201"/>
      <c r="E1943" s="201"/>
      <c r="F1943" s="201"/>
      <c r="I1943" s="198" t="s">
        <v>577</v>
      </c>
      <c r="J1943" s="198" t="s">
        <v>130</v>
      </c>
      <c r="K1943" s="202">
        <f t="shared" si="30"/>
        <v>995520</v>
      </c>
      <c r="L1943" s="202">
        <v>195.2</v>
      </c>
      <c r="N1943" s="202">
        <v>1022904.56</v>
      </c>
      <c r="S1943" s="204"/>
      <c r="W1943" s="198" t="s">
        <v>51</v>
      </c>
      <c r="AE1943" s="198" t="s">
        <v>833</v>
      </c>
    </row>
    <row r="1944" spans="3:31" x14ac:dyDescent="0.25">
      <c r="C1944" s="201"/>
      <c r="E1944" s="201"/>
      <c r="F1944" s="201"/>
      <c r="I1944" s="198" t="s">
        <v>577</v>
      </c>
      <c r="J1944" s="198" t="s">
        <v>130</v>
      </c>
      <c r="K1944" s="202">
        <f t="shared" si="30"/>
        <v>996030</v>
      </c>
      <c r="L1944" s="202">
        <v>195.3</v>
      </c>
      <c r="N1944" s="202">
        <v>1024711.12</v>
      </c>
      <c r="S1944" s="204"/>
      <c r="W1944" s="198" t="s">
        <v>51</v>
      </c>
      <c r="AE1944" s="198" t="s">
        <v>833</v>
      </c>
    </row>
    <row r="1945" spans="3:31" x14ac:dyDescent="0.25">
      <c r="C1945" s="201"/>
      <c r="E1945" s="201"/>
      <c r="F1945" s="201"/>
      <c r="I1945" s="198" t="s">
        <v>577</v>
      </c>
      <c r="J1945" s="198" t="s">
        <v>130</v>
      </c>
      <c r="K1945" s="202">
        <f t="shared" si="30"/>
        <v>996540</v>
      </c>
      <c r="L1945" s="202">
        <v>195.4</v>
      </c>
      <c r="N1945" s="202">
        <v>1026439.13</v>
      </c>
      <c r="S1945" s="204"/>
      <c r="W1945" s="198" t="s">
        <v>51</v>
      </c>
      <c r="AE1945" s="198" t="s">
        <v>833</v>
      </c>
    </row>
    <row r="1946" spans="3:31" x14ac:dyDescent="0.25">
      <c r="C1946" s="201"/>
      <c r="E1946" s="201"/>
      <c r="F1946" s="201"/>
      <c r="I1946" s="198" t="s">
        <v>577</v>
      </c>
      <c r="J1946" s="198" t="s">
        <v>130</v>
      </c>
      <c r="K1946" s="202">
        <f t="shared" si="30"/>
        <v>997050</v>
      </c>
      <c r="L1946" s="202">
        <v>195.5</v>
      </c>
      <c r="N1946" s="202">
        <v>1027931.5</v>
      </c>
      <c r="S1946" s="204"/>
      <c r="W1946" s="198" t="s">
        <v>51</v>
      </c>
      <c r="AE1946" s="198" t="s">
        <v>833</v>
      </c>
    </row>
    <row r="1947" spans="3:31" x14ac:dyDescent="0.25">
      <c r="C1947" s="201"/>
      <c r="E1947" s="201"/>
      <c r="F1947" s="201"/>
      <c r="I1947" s="198" t="s">
        <v>77</v>
      </c>
      <c r="J1947" s="198" t="s">
        <v>65</v>
      </c>
      <c r="K1947" s="202">
        <f t="shared" si="30"/>
        <v>997560</v>
      </c>
      <c r="L1947" s="202">
        <v>195.6</v>
      </c>
      <c r="N1947" s="202">
        <v>679489.45</v>
      </c>
      <c r="S1947" s="203"/>
      <c r="W1947" s="198" t="s">
        <v>51</v>
      </c>
      <c r="AE1947" s="198" t="s">
        <v>831</v>
      </c>
    </row>
    <row r="1948" spans="3:31" x14ac:dyDescent="0.25">
      <c r="C1948" s="201"/>
      <c r="E1948" s="201"/>
      <c r="F1948" s="201"/>
      <c r="I1948" s="198" t="s">
        <v>77</v>
      </c>
      <c r="J1948" s="198" t="s">
        <v>65</v>
      </c>
      <c r="K1948" s="202">
        <f t="shared" si="30"/>
        <v>998070</v>
      </c>
      <c r="L1948" s="202">
        <v>195.7</v>
      </c>
      <c r="N1948" s="202">
        <v>222511.54</v>
      </c>
      <c r="S1948" s="203"/>
      <c r="W1948" s="198" t="s">
        <v>51</v>
      </c>
      <c r="AE1948" s="198" t="s">
        <v>831</v>
      </c>
    </row>
    <row r="1949" spans="3:31" x14ac:dyDescent="0.25">
      <c r="C1949" s="201"/>
      <c r="E1949" s="201"/>
      <c r="F1949" s="201"/>
      <c r="I1949" s="198" t="s">
        <v>77</v>
      </c>
      <c r="J1949" s="198" t="s">
        <v>65</v>
      </c>
      <c r="K1949" s="202">
        <f t="shared" si="30"/>
        <v>998580</v>
      </c>
      <c r="L1949" s="202">
        <v>195.8</v>
      </c>
      <c r="N1949" s="202">
        <v>2866217.01</v>
      </c>
      <c r="S1949" s="203"/>
      <c r="W1949" s="198" t="s">
        <v>51</v>
      </c>
      <c r="AE1949" s="198" t="s">
        <v>831</v>
      </c>
    </row>
    <row r="1950" spans="3:31" x14ac:dyDescent="0.25">
      <c r="C1950" s="201"/>
      <c r="E1950" s="201"/>
      <c r="F1950" s="201"/>
      <c r="I1950" s="198" t="s">
        <v>204</v>
      </c>
      <c r="J1950" s="198" t="s">
        <v>169</v>
      </c>
      <c r="K1950" s="202">
        <f t="shared" si="30"/>
        <v>999090</v>
      </c>
      <c r="L1950" s="202">
        <v>195.9</v>
      </c>
      <c r="N1950" s="202">
        <v>349040</v>
      </c>
      <c r="S1950" s="204"/>
      <c r="W1950" s="198" t="s">
        <v>51</v>
      </c>
      <c r="AE1950" s="198" t="s">
        <v>831</v>
      </c>
    </row>
    <row r="1951" spans="3:31" x14ac:dyDescent="0.25">
      <c r="C1951" s="201"/>
      <c r="E1951" s="201"/>
      <c r="F1951" s="201"/>
      <c r="I1951" s="198" t="s">
        <v>204</v>
      </c>
      <c r="J1951" s="198" t="s">
        <v>169</v>
      </c>
      <c r="K1951" s="202">
        <f t="shared" si="30"/>
        <v>999600</v>
      </c>
      <c r="L1951" s="202">
        <v>196</v>
      </c>
      <c r="N1951" s="202">
        <v>349040</v>
      </c>
      <c r="S1951" s="204"/>
      <c r="W1951" s="198" t="s">
        <v>51</v>
      </c>
      <c r="AE1951" s="198" t="s">
        <v>831</v>
      </c>
    </row>
    <row r="1952" spans="3:31" x14ac:dyDescent="0.25">
      <c r="C1952" s="201"/>
      <c r="E1952" s="201"/>
      <c r="F1952" s="201"/>
      <c r="I1952" s="198" t="s">
        <v>204</v>
      </c>
      <c r="J1952" s="198" t="s">
        <v>169</v>
      </c>
      <c r="K1952" s="202">
        <f t="shared" si="30"/>
        <v>1000110</v>
      </c>
      <c r="L1952" s="202">
        <v>196.1</v>
      </c>
      <c r="N1952" s="202">
        <v>349040</v>
      </c>
      <c r="S1952" s="204"/>
      <c r="W1952" s="198" t="s">
        <v>51</v>
      </c>
      <c r="AE1952" s="198" t="s">
        <v>831</v>
      </c>
    </row>
    <row r="1953" spans="3:31" x14ac:dyDescent="0.25">
      <c r="C1953" s="201"/>
      <c r="E1953" s="201"/>
      <c r="F1953" s="201"/>
      <c r="I1953" s="198" t="s">
        <v>204</v>
      </c>
      <c r="J1953" s="198" t="s">
        <v>169</v>
      </c>
      <c r="K1953" s="202">
        <f t="shared" si="30"/>
        <v>1000620</v>
      </c>
      <c r="L1953" s="202">
        <v>196.2</v>
      </c>
      <c r="N1953" s="202">
        <v>349040</v>
      </c>
      <c r="S1953" s="204"/>
      <c r="W1953" s="198" t="s">
        <v>51</v>
      </c>
      <c r="AE1953" s="198" t="s">
        <v>831</v>
      </c>
    </row>
    <row r="1954" spans="3:31" x14ac:dyDescent="0.25">
      <c r="C1954" s="201"/>
      <c r="E1954" s="201"/>
      <c r="F1954" s="201"/>
      <c r="I1954" s="198" t="s">
        <v>204</v>
      </c>
      <c r="J1954" s="198" t="s">
        <v>169</v>
      </c>
      <c r="K1954" s="202">
        <f t="shared" si="30"/>
        <v>1001130</v>
      </c>
      <c r="L1954" s="202">
        <v>196.3</v>
      </c>
      <c r="N1954" s="202">
        <v>349040</v>
      </c>
      <c r="S1954" s="204"/>
      <c r="W1954" s="198" t="s">
        <v>51</v>
      </c>
      <c r="AE1954" s="198" t="s">
        <v>831</v>
      </c>
    </row>
    <row r="1955" spans="3:31" x14ac:dyDescent="0.25">
      <c r="C1955" s="201"/>
      <c r="E1955" s="201"/>
      <c r="F1955" s="201"/>
      <c r="I1955" s="198" t="s">
        <v>77</v>
      </c>
      <c r="J1955" s="198" t="s">
        <v>65</v>
      </c>
      <c r="K1955" s="202">
        <f t="shared" si="30"/>
        <v>1001640</v>
      </c>
      <c r="L1955" s="202">
        <v>196.4</v>
      </c>
      <c r="N1955" s="202">
        <v>634155.81000000006</v>
      </c>
      <c r="S1955" s="203"/>
      <c r="W1955" s="198" t="s">
        <v>51</v>
      </c>
      <c r="AE1955" s="198" t="s">
        <v>831</v>
      </c>
    </row>
    <row r="1956" spans="3:31" x14ac:dyDescent="0.25">
      <c r="C1956" s="201"/>
      <c r="E1956" s="201"/>
      <c r="F1956" s="201"/>
      <c r="I1956" s="198" t="s">
        <v>77</v>
      </c>
      <c r="J1956" s="198" t="s">
        <v>65</v>
      </c>
      <c r="K1956" s="202">
        <f t="shared" si="30"/>
        <v>1002150</v>
      </c>
      <c r="L1956" s="202">
        <v>196.5</v>
      </c>
      <c r="N1956" s="202">
        <v>226566.42</v>
      </c>
      <c r="S1956" s="203"/>
      <c r="W1956" s="198" t="s">
        <v>51</v>
      </c>
      <c r="AE1956" s="198" t="s">
        <v>831</v>
      </c>
    </row>
    <row r="1957" spans="3:31" x14ac:dyDescent="0.25">
      <c r="C1957" s="201"/>
      <c r="E1957" s="201"/>
      <c r="F1957" s="201"/>
      <c r="I1957" s="198" t="s">
        <v>77</v>
      </c>
      <c r="J1957" s="198" t="s">
        <v>65</v>
      </c>
      <c r="K1957" s="202">
        <f t="shared" si="30"/>
        <v>1002660</v>
      </c>
      <c r="L1957" s="202">
        <v>196.6</v>
      </c>
      <c r="N1957" s="202">
        <v>135230.25</v>
      </c>
      <c r="S1957" s="203"/>
      <c r="W1957" s="198" t="s">
        <v>51</v>
      </c>
      <c r="AE1957" s="198" t="s">
        <v>831</v>
      </c>
    </row>
    <row r="1958" spans="3:31" x14ac:dyDescent="0.25">
      <c r="C1958" s="201"/>
      <c r="E1958" s="201"/>
      <c r="F1958" s="201"/>
      <c r="I1958" s="198" t="s">
        <v>77</v>
      </c>
      <c r="J1958" s="198" t="s">
        <v>65</v>
      </c>
      <c r="K1958" s="202">
        <f t="shared" si="30"/>
        <v>1003170</v>
      </c>
      <c r="L1958" s="202">
        <v>196.7</v>
      </c>
      <c r="N1958" s="202">
        <v>154490.93</v>
      </c>
      <c r="S1958" s="203"/>
      <c r="W1958" s="198" t="s">
        <v>51</v>
      </c>
      <c r="AE1958" s="198" t="s">
        <v>831</v>
      </c>
    </row>
    <row r="1959" spans="3:31" x14ac:dyDescent="0.25">
      <c r="C1959" s="201"/>
      <c r="E1959" s="201"/>
      <c r="F1959" s="201"/>
      <c r="I1959" s="198" t="s">
        <v>77</v>
      </c>
      <c r="J1959" s="198" t="s">
        <v>65</v>
      </c>
      <c r="K1959" s="202">
        <f t="shared" si="30"/>
        <v>1003680</v>
      </c>
      <c r="L1959" s="202">
        <v>196.8</v>
      </c>
      <c r="N1959" s="202">
        <v>253430</v>
      </c>
      <c r="S1959" s="203"/>
      <c r="W1959" s="198" t="s">
        <v>51</v>
      </c>
      <c r="AE1959" s="198" t="s">
        <v>831</v>
      </c>
    </row>
    <row r="1960" spans="3:31" x14ac:dyDescent="0.25">
      <c r="C1960" s="201"/>
      <c r="E1960" s="201"/>
      <c r="F1960" s="201"/>
      <c r="I1960" s="198" t="s">
        <v>77</v>
      </c>
      <c r="J1960" s="198" t="s">
        <v>65</v>
      </c>
      <c r="K1960" s="202">
        <f t="shared" si="30"/>
        <v>1004190</v>
      </c>
      <c r="L1960" s="202">
        <v>196.9</v>
      </c>
      <c r="N1960" s="202">
        <v>212070.22</v>
      </c>
      <c r="S1960" s="203"/>
      <c r="W1960" s="198" t="s">
        <v>51</v>
      </c>
      <c r="AE1960" s="198" t="s">
        <v>831</v>
      </c>
    </row>
    <row r="1961" spans="3:31" x14ac:dyDescent="0.25">
      <c r="C1961" s="201"/>
      <c r="E1961" s="201"/>
      <c r="F1961" s="201"/>
      <c r="I1961" s="198" t="s">
        <v>77</v>
      </c>
      <c r="J1961" s="198" t="s">
        <v>65</v>
      </c>
      <c r="K1961" s="202">
        <f t="shared" si="30"/>
        <v>1004700</v>
      </c>
      <c r="L1961" s="202">
        <v>197</v>
      </c>
      <c r="N1961" s="202">
        <v>128046.1</v>
      </c>
      <c r="S1961" s="203"/>
      <c r="W1961" s="198" t="s">
        <v>51</v>
      </c>
      <c r="AE1961" s="198" t="s">
        <v>831</v>
      </c>
    </row>
    <row r="1962" spans="3:31" x14ac:dyDescent="0.25">
      <c r="C1962" s="201"/>
      <c r="E1962" s="201"/>
      <c r="F1962" s="201"/>
      <c r="I1962" s="198" t="s">
        <v>77</v>
      </c>
      <c r="J1962" s="198" t="s">
        <v>65</v>
      </c>
      <c r="K1962" s="202">
        <f t="shared" si="30"/>
        <v>1005210</v>
      </c>
      <c r="L1962" s="202">
        <v>197.1</v>
      </c>
      <c r="N1962" s="202">
        <v>659501.43000000005</v>
      </c>
      <c r="S1962" s="203"/>
      <c r="W1962" s="198" t="s">
        <v>51</v>
      </c>
      <c r="AE1962" s="198" t="s">
        <v>831</v>
      </c>
    </row>
    <row r="1963" spans="3:31" x14ac:dyDescent="0.25">
      <c r="C1963" s="201"/>
      <c r="E1963" s="201"/>
      <c r="F1963" s="201"/>
      <c r="I1963" s="198" t="s">
        <v>77</v>
      </c>
      <c r="J1963" s="198" t="s">
        <v>65</v>
      </c>
      <c r="K1963" s="202">
        <f t="shared" si="30"/>
        <v>1005720</v>
      </c>
      <c r="L1963" s="202">
        <v>197.2</v>
      </c>
      <c r="N1963" s="202">
        <v>282674</v>
      </c>
      <c r="S1963" s="203"/>
      <c r="W1963" s="198" t="s">
        <v>51</v>
      </c>
      <c r="AE1963" s="198" t="s">
        <v>831</v>
      </c>
    </row>
    <row r="1964" spans="3:31" x14ac:dyDescent="0.25">
      <c r="C1964" s="201"/>
      <c r="E1964" s="201"/>
      <c r="F1964" s="201"/>
      <c r="I1964" s="198" t="s">
        <v>77</v>
      </c>
      <c r="J1964" s="198" t="s">
        <v>65</v>
      </c>
      <c r="K1964" s="202">
        <f t="shared" si="30"/>
        <v>1006230</v>
      </c>
      <c r="L1964" s="202">
        <v>197.3</v>
      </c>
      <c r="N1964" s="202">
        <v>36753.97</v>
      </c>
      <c r="S1964" s="203"/>
      <c r="W1964" s="198" t="s">
        <v>51</v>
      </c>
      <c r="AE1964" s="198" t="s">
        <v>831</v>
      </c>
    </row>
    <row r="1965" spans="3:31" x14ac:dyDescent="0.25">
      <c r="C1965" s="201"/>
      <c r="E1965" s="201"/>
      <c r="F1965" s="201"/>
      <c r="I1965" s="198" t="s">
        <v>77</v>
      </c>
      <c r="J1965" s="198" t="s">
        <v>65</v>
      </c>
      <c r="K1965" s="202">
        <f t="shared" si="30"/>
        <v>1006740</v>
      </c>
      <c r="L1965" s="202">
        <v>197.4</v>
      </c>
      <c r="N1965" s="202">
        <v>572646.30000000005</v>
      </c>
      <c r="S1965" s="203"/>
      <c r="W1965" s="198" t="s">
        <v>51</v>
      </c>
      <c r="AE1965" s="198" t="s">
        <v>831</v>
      </c>
    </row>
    <row r="1966" spans="3:31" x14ac:dyDescent="0.25">
      <c r="C1966" s="201"/>
      <c r="E1966" s="201"/>
      <c r="F1966" s="201"/>
      <c r="I1966" s="198" t="s">
        <v>77</v>
      </c>
      <c r="J1966" s="198" t="s">
        <v>65</v>
      </c>
      <c r="K1966" s="202">
        <f t="shared" si="30"/>
        <v>1007250</v>
      </c>
      <c r="L1966" s="202">
        <v>197.5</v>
      </c>
      <c r="N1966" s="202">
        <v>684228.87</v>
      </c>
      <c r="S1966" s="203"/>
      <c r="W1966" s="198" t="s">
        <v>51</v>
      </c>
      <c r="AE1966" s="198" t="s">
        <v>831</v>
      </c>
    </row>
    <row r="1967" spans="3:31" x14ac:dyDescent="0.25">
      <c r="C1967" s="201"/>
      <c r="E1967" s="201"/>
      <c r="F1967" s="201"/>
      <c r="I1967" s="198" t="s">
        <v>77</v>
      </c>
      <c r="J1967" s="198" t="s">
        <v>65</v>
      </c>
      <c r="K1967" s="202">
        <f t="shared" si="30"/>
        <v>1007760</v>
      </c>
      <c r="L1967" s="202">
        <v>197.6</v>
      </c>
      <c r="N1967" s="202">
        <v>533288.46</v>
      </c>
      <c r="S1967" s="203"/>
      <c r="W1967" s="198" t="s">
        <v>51</v>
      </c>
      <c r="AE1967" s="198" t="s">
        <v>831</v>
      </c>
    </row>
    <row r="1968" spans="3:31" x14ac:dyDescent="0.25">
      <c r="C1968" s="201"/>
      <c r="E1968" s="201"/>
      <c r="F1968" s="201"/>
      <c r="I1968" s="198" t="s">
        <v>865</v>
      </c>
      <c r="J1968" s="198" t="s">
        <v>143</v>
      </c>
      <c r="K1968" s="202">
        <f t="shared" si="30"/>
        <v>1008270</v>
      </c>
      <c r="L1968" s="202">
        <v>197.7</v>
      </c>
      <c r="N1968" s="202">
        <v>5100</v>
      </c>
      <c r="S1968" s="203"/>
      <c r="W1968" s="198" t="s">
        <v>51</v>
      </c>
      <c r="AE1968" s="198" t="s">
        <v>829</v>
      </c>
    </row>
    <row r="1969" spans="3:31" x14ac:dyDescent="0.25">
      <c r="C1969" s="201"/>
      <c r="E1969" s="201"/>
      <c r="F1969" s="201"/>
      <c r="I1969" s="198" t="s">
        <v>215</v>
      </c>
      <c r="J1969" s="198" t="s">
        <v>89</v>
      </c>
      <c r="K1969" s="202">
        <f t="shared" si="30"/>
        <v>1008780</v>
      </c>
      <c r="L1969" s="202">
        <v>197.8</v>
      </c>
      <c r="N1969" s="202">
        <v>354290</v>
      </c>
      <c r="S1969" s="204"/>
      <c r="W1969" s="198" t="s">
        <v>51</v>
      </c>
      <c r="AE1969" s="198" t="s">
        <v>831</v>
      </c>
    </row>
    <row r="1970" spans="3:31" x14ac:dyDescent="0.25">
      <c r="C1970" s="201"/>
      <c r="E1970" s="201"/>
      <c r="F1970" s="201"/>
      <c r="I1970" s="198" t="s">
        <v>215</v>
      </c>
      <c r="J1970" s="198" t="s">
        <v>89</v>
      </c>
      <c r="K1970" s="202">
        <f t="shared" si="30"/>
        <v>1009290</v>
      </c>
      <c r="L1970" s="202">
        <v>197.9</v>
      </c>
      <c r="N1970" s="202">
        <v>354290</v>
      </c>
      <c r="S1970" s="204"/>
      <c r="W1970" s="198" t="s">
        <v>51</v>
      </c>
      <c r="AE1970" s="198" t="s">
        <v>831</v>
      </c>
    </row>
    <row r="1971" spans="3:31" x14ac:dyDescent="0.25">
      <c r="C1971" s="201"/>
      <c r="E1971" s="201"/>
      <c r="F1971" s="201"/>
      <c r="I1971" s="198" t="s">
        <v>215</v>
      </c>
      <c r="J1971" s="198" t="s">
        <v>89</v>
      </c>
      <c r="K1971" s="202">
        <f t="shared" si="30"/>
        <v>1009800</v>
      </c>
      <c r="L1971" s="202">
        <v>198</v>
      </c>
      <c r="N1971" s="202">
        <v>354290</v>
      </c>
      <c r="S1971" s="204"/>
      <c r="W1971" s="198" t="s">
        <v>51</v>
      </c>
      <c r="AE1971" s="198" t="s">
        <v>831</v>
      </c>
    </row>
    <row r="1972" spans="3:31" x14ac:dyDescent="0.25">
      <c r="C1972" s="201"/>
      <c r="E1972" s="201"/>
      <c r="F1972" s="201"/>
      <c r="I1972" s="198" t="s">
        <v>215</v>
      </c>
      <c r="J1972" s="198" t="s">
        <v>89</v>
      </c>
      <c r="K1972" s="202">
        <f t="shared" si="30"/>
        <v>1010310</v>
      </c>
      <c r="L1972" s="202">
        <v>198.1</v>
      </c>
      <c r="N1972" s="202">
        <v>354290</v>
      </c>
      <c r="S1972" s="204"/>
      <c r="W1972" s="198" t="s">
        <v>51</v>
      </c>
      <c r="AE1972" s="198" t="s">
        <v>831</v>
      </c>
    </row>
    <row r="1973" spans="3:31" x14ac:dyDescent="0.25">
      <c r="C1973" s="201"/>
      <c r="E1973" s="201"/>
      <c r="F1973" s="201"/>
      <c r="I1973" s="198" t="s">
        <v>215</v>
      </c>
      <c r="J1973" s="198" t="s">
        <v>89</v>
      </c>
      <c r="K1973" s="202">
        <f t="shared" si="30"/>
        <v>1010820</v>
      </c>
      <c r="L1973" s="202">
        <v>198.2</v>
      </c>
      <c r="N1973" s="202">
        <v>354290</v>
      </c>
      <c r="S1973" s="204"/>
      <c r="W1973" s="198" t="s">
        <v>51</v>
      </c>
      <c r="AE1973" s="198" t="s">
        <v>831</v>
      </c>
    </row>
    <row r="1974" spans="3:31" x14ac:dyDescent="0.25">
      <c r="C1974" s="201"/>
      <c r="E1974" s="201"/>
      <c r="F1974" s="201"/>
      <c r="I1974" s="198" t="s">
        <v>215</v>
      </c>
      <c r="J1974" s="198" t="s">
        <v>89</v>
      </c>
      <c r="K1974" s="202">
        <f t="shared" si="30"/>
        <v>1011330</v>
      </c>
      <c r="L1974" s="202">
        <v>198.3</v>
      </c>
      <c r="N1974" s="202">
        <v>354290</v>
      </c>
      <c r="S1974" s="204"/>
      <c r="W1974" s="198" t="s">
        <v>51</v>
      </c>
      <c r="AE1974" s="198" t="s">
        <v>831</v>
      </c>
    </row>
    <row r="1975" spans="3:31" x14ac:dyDescent="0.25">
      <c r="C1975" s="201"/>
      <c r="E1975" s="201"/>
      <c r="F1975" s="201"/>
      <c r="I1975" s="198" t="s">
        <v>77</v>
      </c>
      <c r="J1975" s="198" t="s">
        <v>65</v>
      </c>
      <c r="K1975" s="202">
        <f t="shared" si="30"/>
        <v>1011840</v>
      </c>
      <c r="L1975" s="202">
        <v>198.4</v>
      </c>
      <c r="N1975" s="202">
        <v>0.49</v>
      </c>
      <c r="S1975" s="204"/>
      <c r="W1975" s="198" t="s">
        <v>51</v>
      </c>
      <c r="AE1975" s="198" t="s">
        <v>831</v>
      </c>
    </row>
    <row r="1976" spans="3:31" x14ac:dyDescent="0.25">
      <c r="C1976" s="201"/>
      <c r="E1976" s="201"/>
      <c r="F1976" s="201"/>
      <c r="I1976" s="198" t="s">
        <v>77</v>
      </c>
      <c r="J1976" s="198" t="s">
        <v>65</v>
      </c>
      <c r="K1976" s="202">
        <f t="shared" si="30"/>
        <v>1012350</v>
      </c>
      <c r="L1976" s="202">
        <v>198.5</v>
      </c>
      <c r="N1976" s="202">
        <v>-0.4</v>
      </c>
      <c r="S1976" s="204"/>
      <c r="W1976" s="198" t="s">
        <v>51</v>
      </c>
      <c r="AE1976" s="198" t="s">
        <v>831</v>
      </c>
    </row>
    <row r="1977" spans="3:31" x14ac:dyDescent="0.25">
      <c r="C1977" s="201"/>
      <c r="E1977" s="201"/>
      <c r="F1977" s="201"/>
      <c r="I1977" s="198" t="s">
        <v>77</v>
      </c>
      <c r="J1977" s="198" t="s">
        <v>65</v>
      </c>
      <c r="K1977" s="202">
        <f t="shared" si="30"/>
        <v>1012860</v>
      </c>
      <c r="L1977" s="202">
        <v>198.6</v>
      </c>
      <c r="N1977" s="202">
        <v>0.24</v>
      </c>
      <c r="S1977" s="204"/>
      <c r="W1977" s="198" t="s">
        <v>51</v>
      </c>
      <c r="AE1977" s="198" t="s">
        <v>831</v>
      </c>
    </row>
    <row r="1978" spans="3:31" x14ac:dyDescent="0.25">
      <c r="C1978" s="201"/>
      <c r="E1978" s="201"/>
      <c r="F1978" s="201"/>
      <c r="I1978" s="198" t="s">
        <v>77</v>
      </c>
      <c r="J1978" s="198" t="s">
        <v>65</v>
      </c>
      <c r="K1978" s="202">
        <f t="shared" si="30"/>
        <v>1013370</v>
      </c>
      <c r="L1978" s="202">
        <v>198.7</v>
      </c>
      <c r="N1978" s="202">
        <v>0.34</v>
      </c>
      <c r="S1978" s="204"/>
      <c r="W1978" s="198" t="s">
        <v>51</v>
      </c>
      <c r="AE1978" s="198" t="s">
        <v>831</v>
      </c>
    </row>
    <row r="1979" spans="3:31" x14ac:dyDescent="0.25">
      <c r="C1979" s="201"/>
      <c r="E1979" s="201"/>
      <c r="F1979" s="201"/>
      <c r="I1979" s="198" t="s">
        <v>77</v>
      </c>
      <c r="J1979" s="198" t="s">
        <v>65</v>
      </c>
      <c r="K1979" s="202">
        <f t="shared" si="30"/>
        <v>1013880</v>
      </c>
      <c r="L1979" s="202">
        <v>198.8</v>
      </c>
      <c r="N1979" s="202">
        <v>-0.49</v>
      </c>
      <c r="S1979" s="204"/>
      <c r="W1979" s="198" t="s">
        <v>51</v>
      </c>
      <c r="AE1979" s="198" t="s">
        <v>831</v>
      </c>
    </row>
    <row r="1980" spans="3:31" x14ac:dyDescent="0.25">
      <c r="C1980" s="201"/>
      <c r="E1980" s="201"/>
      <c r="F1980" s="201"/>
      <c r="I1980" s="198" t="s">
        <v>77</v>
      </c>
      <c r="J1980" s="198" t="s">
        <v>65</v>
      </c>
      <c r="K1980" s="202">
        <f t="shared" si="30"/>
        <v>1014390</v>
      </c>
      <c r="L1980" s="202">
        <v>198.9</v>
      </c>
      <c r="N1980" s="202">
        <v>-0.12</v>
      </c>
      <c r="S1980" s="204"/>
      <c r="W1980" s="198" t="s">
        <v>51</v>
      </c>
      <c r="AE1980" s="198" t="s">
        <v>831</v>
      </c>
    </row>
    <row r="1981" spans="3:31" x14ac:dyDescent="0.25">
      <c r="C1981" s="201"/>
      <c r="E1981" s="201"/>
      <c r="F1981" s="201"/>
      <c r="I1981" s="198" t="s">
        <v>77</v>
      </c>
      <c r="J1981" s="198" t="s">
        <v>65</v>
      </c>
      <c r="K1981" s="202">
        <f t="shared" si="30"/>
        <v>1014900</v>
      </c>
      <c r="L1981" s="202">
        <v>199</v>
      </c>
      <c r="N1981" s="202">
        <v>0.13</v>
      </c>
      <c r="S1981" s="204"/>
      <c r="W1981" s="198" t="s">
        <v>51</v>
      </c>
      <c r="AE1981" s="198" t="s">
        <v>831</v>
      </c>
    </row>
    <row r="1982" spans="3:31" x14ac:dyDescent="0.25">
      <c r="C1982" s="201"/>
      <c r="E1982" s="201"/>
      <c r="F1982" s="201"/>
      <c r="I1982" s="198" t="s">
        <v>77</v>
      </c>
      <c r="J1982" s="198" t="s">
        <v>65</v>
      </c>
      <c r="K1982" s="202">
        <f t="shared" si="30"/>
        <v>1015410</v>
      </c>
      <c r="L1982" s="202">
        <v>199.1</v>
      </c>
      <c r="N1982" s="202">
        <v>0.4</v>
      </c>
      <c r="S1982" s="204"/>
      <c r="W1982" s="198" t="s">
        <v>51</v>
      </c>
      <c r="AE1982" s="198" t="s">
        <v>831</v>
      </c>
    </row>
    <row r="1983" spans="3:31" x14ac:dyDescent="0.25">
      <c r="C1983" s="201"/>
      <c r="E1983" s="201"/>
      <c r="F1983" s="201"/>
      <c r="I1983" s="198" t="s">
        <v>77</v>
      </c>
      <c r="J1983" s="198" t="s">
        <v>65</v>
      </c>
      <c r="K1983" s="202">
        <f t="shared" si="30"/>
        <v>1015920</v>
      </c>
      <c r="L1983" s="202">
        <v>199.2</v>
      </c>
      <c r="N1983" s="202">
        <v>0.43</v>
      </c>
      <c r="S1983" s="204"/>
      <c r="W1983" s="198" t="s">
        <v>51</v>
      </c>
      <c r="AE1983" s="198" t="s">
        <v>831</v>
      </c>
    </row>
    <row r="1984" spans="3:31" x14ac:dyDescent="0.25">
      <c r="C1984" s="201"/>
      <c r="E1984" s="201"/>
      <c r="F1984" s="201"/>
      <c r="I1984" s="198" t="s">
        <v>77</v>
      </c>
      <c r="J1984" s="198" t="s">
        <v>65</v>
      </c>
      <c r="K1984" s="202">
        <f t="shared" si="30"/>
        <v>1016430</v>
      </c>
      <c r="L1984" s="202">
        <v>199.3</v>
      </c>
      <c r="N1984" s="202">
        <v>-0.17</v>
      </c>
      <c r="S1984" s="204"/>
      <c r="W1984" s="198" t="s">
        <v>51</v>
      </c>
      <c r="AE1984" s="198" t="s">
        <v>831</v>
      </c>
    </row>
    <row r="1985" spans="3:31" x14ac:dyDescent="0.25">
      <c r="C1985" s="201"/>
      <c r="E1985" s="201"/>
      <c r="F1985" s="201"/>
      <c r="I1985" s="198" t="s">
        <v>77</v>
      </c>
      <c r="J1985" s="198" t="s">
        <v>65</v>
      </c>
      <c r="K1985" s="202">
        <f t="shared" si="30"/>
        <v>1016940</v>
      </c>
      <c r="L1985" s="202">
        <v>199.4</v>
      </c>
      <c r="N1985" s="202">
        <v>-0.12</v>
      </c>
      <c r="S1985" s="204"/>
      <c r="W1985" s="198" t="s">
        <v>51</v>
      </c>
      <c r="AE1985" s="198" t="s">
        <v>831</v>
      </c>
    </row>
    <row r="1986" spans="3:31" x14ac:dyDescent="0.25">
      <c r="C1986" s="201"/>
      <c r="E1986" s="201"/>
      <c r="F1986" s="201"/>
      <c r="I1986" s="198" t="s">
        <v>77</v>
      </c>
      <c r="J1986" s="198" t="s">
        <v>65</v>
      </c>
      <c r="K1986" s="202">
        <f t="shared" si="30"/>
        <v>1017450</v>
      </c>
      <c r="L1986" s="202">
        <v>199.5</v>
      </c>
      <c r="N1986" s="202">
        <v>-0.42</v>
      </c>
      <c r="S1986" s="204"/>
      <c r="W1986" s="198" t="s">
        <v>51</v>
      </c>
      <c r="AE1986" s="198" t="s">
        <v>831</v>
      </c>
    </row>
    <row r="1987" spans="3:31" x14ac:dyDescent="0.25">
      <c r="C1987" s="201"/>
      <c r="E1987" s="201"/>
      <c r="F1987" s="201"/>
      <c r="I1987" s="198" t="s">
        <v>77</v>
      </c>
      <c r="J1987" s="198" t="s">
        <v>65</v>
      </c>
      <c r="K1987" s="202">
        <f t="shared" ref="K1987:K2050" si="31">L1987*5100</f>
        <v>1017960</v>
      </c>
      <c r="L1987" s="202">
        <v>199.6</v>
      </c>
      <c r="N1987" s="202">
        <v>-0.17</v>
      </c>
      <c r="S1987" s="204"/>
      <c r="W1987" s="198" t="s">
        <v>51</v>
      </c>
      <c r="AE1987" s="198" t="s">
        <v>831</v>
      </c>
    </row>
    <row r="1988" spans="3:31" x14ac:dyDescent="0.25">
      <c r="C1988" s="201"/>
      <c r="E1988" s="201"/>
      <c r="F1988" s="201"/>
      <c r="I1988" s="198" t="s">
        <v>77</v>
      </c>
      <c r="J1988" s="198" t="s">
        <v>65</v>
      </c>
      <c r="K1988" s="202">
        <f t="shared" si="31"/>
        <v>1018470</v>
      </c>
      <c r="L1988" s="202">
        <v>199.7</v>
      </c>
      <c r="N1988" s="202">
        <v>-0.3</v>
      </c>
      <c r="S1988" s="204"/>
      <c r="W1988" s="198" t="s">
        <v>51</v>
      </c>
      <c r="AE1988" s="198" t="s">
        <v>831</v>
      </c>
    </row>
    <row r="1989" spans="3:31" x14ac:dyDescent="0.25">
      <c r="C1989" s="201"/>
      <c r="E1989" s="201"/>
      <c r="F1989" s="201"/>
      <c r="I1989" s="198" t="s">
        <v>77</v>
      </c>
      <c r="J1989" s="198" t="s">
        <v>65</v>
      </c>
      <c r="K1989" s="202">
        <f t="shared" si="31"/>
        <v>1018980</v>
      </c>
      <c r="L1989" s="202">
        <v>199.8</v>
      </c>
      <c r="N1989" s="202">
        <v>0.19</v>
      </c>
      <c r="S1989" s="204"/>
      <c r="W1989" s="198" t="s">
        <v>51</v>
      </c>
      <c r="AE1989" s="198" t="s">
        <v>831</v>
      </c>
    </row>
    <row r="1990" spans="3:31" x14ac:dyDescent="0.25">
      <c r="C1990" s="201"/>
      <c r="E1990" s="201"/>
      <c r="F1990" s="201"/>
      <c r="I1990" s="198" t="s">
        <v>178</v>
      </c>
      <c r="J1990" s="198" t="s">
        <v>167</v>
      </c>
      <c r="K1990" s="202">
        <f t="shared" si="31"/>
        <v>1019490</v>
      </c>
      <c r="L1990" s="202">
        <v>199.9</v>
      </c>
      <c r="N1990" s="202">
        <v>-0.41</v>
      </c>
      <c r="S1990" s="204"/>
      <c r="W1990" s="198" t="s">
        <v>51</v>
      </c>
      <c r="AE1990" s="198" t="s">
        <v>831</v>
      </c>
    </row>
    <row r="1991" spans="3:31" x14ac:dyDescent="0.25">
      <c r="C1991" s="201"/>
      <c r="E1991" s="201"/>
      <c r="F1991" s="201"/>
      <c r="I1991" s="198" t="s">
        <v>178</v>
      </c>
      <c r="J1991" s="198" t="s">
        <v>167</v>
      </c>
      <c r="K1991" s="202">
        <f t="shared" si="31"/>
        <v>1020000</v>
      </c>
      <c r="L1991" s="202">
        <v>200</v>
      </c>
      <c r="N1991" s="202">
        <v>0.02</v>
      </c>
      <c r="S1991" s="204"/>
      <c r="W1991" s="198" t="s">
        <v>51</v>
      </c>
      <c r="AE1991" s="198" t="s">
        <v>831</v>
      </c>
    </row>
    <row r="1992" spans="3:31" x14ac:dyDescent="0.25">
      <c r="C1992" s="201"/>
      <c r="E1992" s="201"/>
      <c r="F1992" s="201"/>
      <c r="I1992" s="198" t="s">
        <v>178</v>
      </c>
      <c r="J1992" s="198" t="s">
        <v>167</v>
      </c>
      <c r="K1992" s="202">
        <f t="shared" si="31"/>
        <v>1020510</v>
      </c>
      <c r="L1992" s="202">
        <v>200.1</v>
      </c>
      <c r="N1992" s="202">
        <v>0.5</v>
      </c>
      <c r="S1992" s="204"/>
      <c r="W1992" s="198" t="s">
        <v>51</v>
      </c>
      <c r="AE1992" s="198" t="s">
        <v>831</v>
      </c>
    </row>
    <row r="1993" spans="3:31" x14ac:dyDescent="0.25">
      <c r="C1993" s="201"/>
      <c r="E1993" s="201"/>
      <c r="F1993" s="201"/>
      <c r="I1993" s="198" t="s">
        <v>178</v>
      </c>
      <c r="J1993" s="198" t="s">
        <v>167</v>
      </c>
      <c r="K1993" s="202">
        <f t="shared" si="31"/>
        <v>1021020</v>
      </c>
      <c r="L1993" s="202">
        <v>200.2</v>
      </c>
      <c r="N1993" s="202">
        <v>0.27</v>
      </c>
      <c r="S1993" s="204"/>
      <c r="W1993" s="198" t="s">
        <v>51</v>
      </c>
      <c r="AE1993" s="198" t="s">
        <v>831</v>
      </c>
    </row>
    <row r="1994" spans="3:31" x14ac:dyDescent="0.25">
      <c r="C1994" s="201"/>
      <c r="E1994" s="201"/>
      <c r="F1994" s="201"/>
      <c r="I1994" s="198" t="s">
        <v>178</v>
      </c>
      <c r="J1994" s="198" t="s">
        <v>167</v>
      </c>
      <c r="K1994" s="202">
        <f t="shared" si="31"/>
        <v>1021530</v>
      </c>
      <c r="L1994" s="202">
        <v>200.3</v>
      </c>
      <c r="N1994" s="202">
        <v>0.04</v>
      </c>
      <c r="S1994" s="204"/>
      <c r="W1994" s="198" t="s">
        <v>51</v>
      </c>
      <c r="AE1994" s="198" t="s">
        <v>831</v>
      </c>
    </row>
    <row r="1995" spans="3:31" x14ac:dyDescent="0.25">
      <c r="C1995" s="201"/>
      <c r="E1995" s="201"/>
      <c r="F1995" s="201"/>
      <c r="I1995" s="198" t="s">
        <v>129</v>
      </c>
      <c r="J1995" s="198" t="s">
        <v>130</v>
      </c>
      <c r="K1995" s="202">
        <f t="shared" si="31"/>
        <v>1022040</v>
      </c>
      <c r="L1995" s="202">
        <v>200.4</v>
      </c>
      <c r="N1995" s="202">
        <v>4371360</v>
      </c>
      <c r="S1995" s="204"/>
      <c r="W1995" s="198" t="s">
        <v>51</v>
      </c>
      <c r="AE1995" s="198" t="s">
        <v>833</v>
      </c>
    </row>
    <row r="1996" spans="3:31" x14ac:dyDescent="0.25">
      <c r="C1996" s="201"/>
      <c r="E1996" s="201"/>
      <c r="F1996" s="201"/>
      <c r="I1996" s="198" t="s">
        <v>77</v>
      </c>
      <c r="J1996" s="198" t="s">
        <v>65</v>
      </c>
      <c r="K1996" s="202">
        <f t="shared" si="31"/>
        <v>1022550</v>
      </c>
      <c r="L1996" s="202">
        <v>200.5</v>
      </c>
      <c r="N1996" s="202">
        <v>733889.81</v>
      </c>
      <c r="S1996" s="203"/>
      <c r="W1996" s="198" t="s">
        <v>51</v>
      </c>
      <c r="AE1996" s="198" t="s">
        <v>831</v>
      </c>
    </row>
    <row r="1997" spans="3:31" x14ac:dyDescent="0.25">
      <c r="C1997" s="201"/>
      <c r="E1997" s="201"/>
      <c r="F1997" s="201"/>
      <c r="I1997" s="198" t="s">
        <v>77</v>
      </c>
      <c r="J1997" s="198" t="s">
        <v>65</v>
      </c>
      <c r="K1997" s="202">
        <f t="shared" si="31"/>
        <v>1023060</v>
      </c>
      <c r="L1997" s="202">
        <v>200.6</v>
      </c>
      <c r="N1997" s="202">
        <v>247550.42</v>
      </c>
      <c r="S1997" s="203"/>
      <c r="W1997" s="198" t="s">
        <v>51</v>
      </c>
      <c r="AE1997" s="198" t="s">
        <v>831</v>
      </c>
    </row>
    <row r="1998" spans="3:31" x14ac:dyDescent="0.25">
      <c r="C1998" s="201"/>
      <c r="E1998" s="201"/>
      <c r="F1998" s="201"/>
      <c r="I1998" s="198" t="s">
        <v>577</v>
      </c>
      <c r="J1998" s="198" t="s">
        <v>130</v>
      </c>
      <c r="K1998" s="202">
        <f t="shared" si="31"/>
        <v>1023570</v>
      </c>
      <c r="L1998" s="202">
        <v>200.7</v>
      </c>
      <c r="N1998" s="202">
        <v>6212525</v>
      </c>
      <c r="S1998" s="204"/>
      <c r="W1998" s="198" t="s">
        <v>51</v>
      </c>
      <c r="AE1998" s="198" t="s">
        <v>833</v>
      </c>
    </row>
    <row r="1999" spans="3:31" x14ac:dyDescent="0.25">
      <c r="C1999" s="201"/>
      <c r="E1999" s="201"/>
      <c r="F1999" s="201"/>
      <c r="I1999" s="198" t="s">
        <v>77</v>
      </c>
      <c r="J1999" s="198" t="s">
        <v>65</v>
      </c>
      <c r="K1999" s="202">
        <f t="shared" si="31"/>
        <v>1024080</v>
      </c>
      <c r="L1999" s="202">
        <v>200.8</v>
      </c>
      <c r="N1999" s="202">
        <v>529064.18999999994</v>
      </c>
      <c r="S1999" s="203"/>
      <c r="W1999" s="198" t="s">
        <v>51</v>
      </c>
      <c r="AE1999" s="198" t="s">
        <v>831</v>
      </c>
    </row>
    <row r="2000" spans="3:31" x14ac:dyDescent="0.25">
      <c r="C2000" s="201"/>
      <c r="E2000" s="201"/>
      <c r="F2000" s="201"/>
      <c r="I2000" s="198" t="s">
        <v>577</v>
      </c>
      <c r="J2000" s="198" t="s">
        <v>130</v>
      </c>
      <c r="K2000" s="202">
        <f t="shared" si="31"/>
        <v>1024590</v>
      </c>
      <c r="L2000" s="202">
        <v>200.9</v>
      </c>
      <c r="N2000" s="202">
        <v>6702250</v>
      </c>
      <c r="S2000" s="204"/>
      <c r="W2000" s="198" t="s">
        <v>51</v>
      </c>
      <c r="AE2000" s="198" t="s">
        <v>833</v>
      </c>
    </row>
    <row r="2001" spans="3:31" x14ac:dyDescent="0.25">
      <c r="C2001" s="201"/>
      <c r="E2001" s="201"/>
      <c r="F2001" s="201"/>
      <c r="I2001" s="198" t="s">
        <v>77</v>
      </c>
      <c r="J2001" s="198" t="s">
        <v>65</v>
      </c>
      <c r="K2001" s="202">
        <f t="shared" si="31"/>
        <v>1025100</v>
      </c>
      <c r="L2001" s="202">
        <v>201</v>
      </c>
      <c r="N2001" s="202">
        <v>159660.9</v>
      </c>
      <c r="S2001" s="203"/>
      <c r="W2001" s="198" t="s">
        <v>51</v>
      </c>
      <c r="AE2001" s="198" t="s">
        <v>831</v>
      </c>
    </row>
    <row r="2002" spans="3:31" x14ac:dyDescent="0.25">
      <c r="C2002" s="201"/>
      <c r="E2002" s="201"/>
      <c r="F2002" s="201"/>
      <c r="I2002" s="198" t="s">
        <v>577</v>
      </c>
      <c r="J2002" s="198" t="s">
        <v>130</v>
      </c>
      <c r="K2002" s="202">
        <f t="shared" si="31"/>
        <v>1025610</v>
      </c>
      <c r="L2002" s="202">
        <v>201.1</v>
      </c>
      <c r="N2002" s="202">
        <v>6660925</v>
      </c>
      <c r="S2002" s="204"/>
      <c r="W2002" s="198" t="s">
        <v>51</v>
      </c>
      <c r="AE2002" s="198" t="s">
        <v>833</v>
      </c>
    </row>
    <row r="2003" spans="3:31" x14ac:dyDescent="0.25">
      <c r="C2003" s="201"/>
      <c r="E2003" s="201"/>
      <c r="F2003" s="201"/>
      <c r="I2003" s="198" t="s">
        <v>77</v>
      </c>
      <c r="J2003" s="198" t="s">
        <v>65</v>
      </c>
      <c r="K2003" s="202">
        <f t="shared" si="31"/>
        <v>1026120</v>
      </c>
      <c r="L2003" s="202">
        <v>201.2</v>
      </c>
      <c r="N2003" s="202">
        <v>511136.79</v>
      </c>
      <c r="S2003" s="203"/>
      <c r="W2003" s="198" t="s">
        <v>51</v>
      </c>
      <c r="AE2003" s="198" t="s">
        <v>831</v>
      </c>
    </row>
    <row r="2004" spans="3:31" x14ac:dyDescent="0.25">
      <c r="C2004" s="201"/>
      <c r="E2004" s="201"/>
      <c r="F2004" s="201"/>
      <c r="I2004" s="198" t="s">
        <v>77</v>
      </c>
      <c r="J2004" s="198" t="s">
        <v>65</v>
      </c>
      <c r="K2004" s="202">
        <f t="shared" si="31"/>
        <v>1026630</v>
      </c>
      <c r="L2004" s="202">
        <v>201.3</v>
      </c>
      <c r="N2004" s="202">
        <v>210245.53</v>
      </c>
      <c r="S2004" s="203"/>
      <c r="W2004" s="198" t="s">
        <v>51</v>
      </c>
      <c r="AE2004" s="198" t="s">
        <v>831</v>
      </c>
    </row>
    <row r="2005" spans="3:31" x14ac:dyDescent="0.25">
      <c r="C2005" s="201"/>
      <c r="E2005" s="201"/>
      <c r="F2005" s="201"/>
      <c r="I2005" s="198" t="s">
        <v>215</v>
      </c>
      <c r="J2005" s="198" t="s">
        <v>89</v>
      </c>
      <c r="K2005" s="202">
        <f t="shared" si="31"/>
        <v>1027140</v>
      </c>
      <c r="L2005" s="202">
        <v>201.4</v>
      </c>
      <c r="N2005" s="202">
        <v>354290</v>
      </c>
      <c r="S2005" s="204"/>
      <c r="W2005" s="198" t="s">
        <v>51</v>
      </c>
      <c r="AE2005" s="198" t="s">
        <v>831</v>
      </c>
    </row>
    <row r="2006" spans="3:31" x14ac:dyDescent="0.25">
      <c r="C2006" s="201"/>
      <c r="E2006" s="201"/>
      <c r="F2006" s="201"/>
      <c r="I2006" s="198" t="s">
        <v>215</v>
      </c>
      <c r="J2006" s="198" t="s">
        <v>89</v>
      </c>
      <c r="K2006" s="202">
        <f t="shared" si="31"/>
        <v>1027650</v>
      </c>
      <c r="L2006" s="202">
        <v>201.5</v>
      </c>
      <c r="N2006" s="202">
        <v>354290</v>
      </c>
      <c r="S2006" s="204"/>
      <c r="W2006" s="198" t="s">
        <v>51</v>
      </c>
      <c r="AE2006" s="198" t="s">
        <v>831</v>
      </c>
    </row>
    <row r="2007" spans="3:31" x14ac:dyDescent="0.25">
      <c r="C2007" s="201"/>
      <c r="E2007" s="201"/>
      <c r="F2007" s="201"/>
      <c r="I2007" s="198" t="s">
        <v>215</v>
      </c>
      <c r="J2007" s="198" t="s">
        <v>89</v>
      </c>
      <c r="K2007" s="202">
        <f t="shared" si="31"/>
        <v>1028160</v>
      </c>
      <c r="L2007" s="202">
        <v>201.6</v>
      </c>
      <c r="N2007" s="202">
        <v>354290</v>
      </c>
      <c r="S2007" s="204"/>
      <c r="W2007" s="198" t="s">
        <v>51</v>
      </c>
      <c r="AE2007" s="198" t="s">
        <v>831</v>
      </c>
    </row>
    <row r="2008" spans="3:31" x14ac:dyDescent="0.25">
      <c r="C2008" s="201"/>
      <c r="E2008" s="201"/>
      <c r="F2008" s="201"/>
      <c r="I2008" s="198" t="s">
        <v>133</v>
      </c>
      <c r="J2008" s="198" t="s">
        <v>134</v>
      </c>
      <c r="K2008" s="202">
        <f t="shared" si="31"/>
        <v>1028670</v>
      </c>
      <c r="L2008" s="202">
        <v>201.7</v>
      </c>
      <c r="N2008" s="202">
        <v>215720</v>
      </c>
      <c r="S2008" s="204"/>
      <c r="W2008" s="198" t="s">
        <v>51</v>
      </c>
      <c r="AE2008" s="198" t="s">
        <v>846</v>
      </c>
    </row>
    <row r="2009" spans="3:31" x14ac:dyDescent="0.25">
      <c r="C2009" s="201"/>
      <c r="E2009" s="201"/>
      <c r="F2009" s="201"/>
      <c r="I2009" s="198" t="s">
        <v>133</v>
      </c>
      <c r="J2009" s="198" t="s">
        <v>134</v>
      </c>
      <c r="K2009" s="202">
        <f t="shared" si="31"/>
        <v>1029180</v>
      </c>
      <c r="L2009" s="202">
        <v>201.8</v>
      </c>
      <c r="N2009" s="202">
        <v>150000</v>
      </c>
      <c r="S2009" s="204"/>
      <c r="W2009" s="198" t="s">
        <v>51</v>
      </c>
      <c r="AE2009" s="198" t="s">
        <v>846</v>
      </c>
    </row>
    <row r="2010" spans="3:31" x14ac:dyDescent="0.25">
      <c r="C2010" s="201"/>
      <c r="E2010" s="201"/>
      <c r="F2010" s="201"/>
      <c r="I2010" s="198" t="s">
        <v>583</v>
      </c>
      <c r="J2010" s="198" t="s">
        <v>134</v>
      </c>
      <c r="K2010" s="202">
        <f t="shared" si="31"/>
        <v>1029690</v>
      </c>
      <c r="L2010" s="202">
        <v>201.9</v>
      </c>
      <c r="N2010" s="202">
        <v>1277224.5</v>
      </c>
      <c r="S2010" s="204"/>
      <c r="W2010" s="198" t="s">
        <v>51</v>
      </c>
      <c r="AE2010" s="198" t="s">
        <v>846</v>
      </c>
    </row>
    <row r="2011" spans="3:31" x14ac:dyDescent="0.25">
      <c r="C2011" s="201"/>
      <c r="E2011" s="201"/>
      <c r="F2011" s="201"/>
      <c r="I2011" s="198" t="s">
        <v>135</v>
      </c>
      <c r="J2011" s="198" t="s">
        <v>117</v>
      </c>
      <c r="K2011" s="202">
        <f t="shared" si="31"/>
        <v>1030200</v>
      </c>
      <c r="L2011" s="202">
        <v>202</v>
      </c>
      <c r="N2011" s="202">
        <v>163101</v>
      </c>
      <c r="S2011" s="204"/>
      <c r="W2011" s="198" t="s">
        <v>51</v>
      </c>
      <c r="AE2011" s="198" t="s">
        <v>878</v>
      </c>
    </row>
    <row r="2012" spans="3:31" x14ac:dyDescent="0.25">
      <c r="C2012" s="201"/>
      <c r="E2012" s="201"/>
      <c r="F2012" s="201"/>
      <c r="I2012" s="198" t="s">
        <v>136</v>
      </c>
      <c r="J2012" s="198" t="s">
        <v>137</v>
      </c>
      <c r="K2012" s="202">
        <f t="shared" si="31"/>
        <v>1030710</v>
      </c>
      <c r="L2012" s="202">
        <v>202.1</v>
      </c>
      <c r="N2012" s="202">
        <v>166328</v>
      </c>
      <c r="S2012" s="204"/>
      <c r="W2012" s="198" t="s">
        <v>51</v>
      </c>
      <c r="AE2012" s="198" t="s">
        <v>844</v>
      </c>
    </row>
    <row r="2013" spans="3:31" x14ac:dyDescent="0.25">
      <c r="C2013" s="201"/>
      <c r="E2013" s="201"/>
      <c r="F2013" s="201"/>
      <c r="I2013" s="198" t="s">
        <v>287</v>
      </c>
      <c r="J2013" s="198" t="s">
        <v>156</v>
      </c>
      <c r="K2013" s="202">
        <f t="shared" si="31"/>
        <v>1031220</v>
      </c>
      <c r="L2013" s="202">
        <v>202.2</v>
      </c>
      <c r="N2013" s="202">
        <v>-74762.899999999994</v>
      </c>
      <c r="S2013" s="204"/>
      <c r="W2013" s="198" t="s">
        <v>51</v>
      </c>
      <c r="AE2013" s="198" t="s">
        <v>828</v>
      </c>
    </row>
    <row r="2014" spans="3:31" x14ac:dyDescent="0.25">
      <c r="C2014" s="201"/>
      <c r="E2014" s="201"/>
      <c r="F2014" s="201"/>
      <c r="I2014" s="198" t="s">
        <v>287</v>
      </c>
      <c r="J2014" s="198" t="s">
        <v>156</v>
      </c>
      <c r="K2014" s="202">
        <f t="shared" si="31"/>
        <v>1031730</v>
      </c>
      <c r="L2014" s="202">
        <v>202.3</v>
      </c>
      <c r="N2014" s="202">
        <v>-70609.5</v>
      </c>
      <c r="S2014" s="204"/>
      <c r="W2014" s="198" t="s">
        <v>51</v>
      </c>
      <c r="AE2014" s="198" t="s">
        <v>828</v>
      </c>
    </row>
    <row r="2015" spans="3:31" x14ac:dyDescent="0.25">
      <c r="C2015" s="201"/>
      <c r="E2015" s="201"/>
      <c r="F2015" s="201"/>
      <c r="I2015" s="198" t="s">
        <v>287</v>
      </c>
      <c r="J2015" s="198" t="s">
        <v>156</v>
      </c>
      <c r="K2015" s="202">
        <f t="shared" si="31"/>
        <v>1032240</v>
      </c>
      <c r="L2015" s="202">
        <v>202.4</v>
      </c>
      <c r="N2015" s="202">
        <v>-1661.4</v>
      </c>
      <c r="S2015" s="204"/>
      <c r="W2015" s="198" t="s">
        <v>51</v>
      </c>
      <c r="AE2015" s="198" t="s">
        <v>828</v>
      </c>
    </row>
    <row r="2016" spans="3:31" x14ac:dyDescent="0.25">
      <c r="C2016" s="201"/>
      <c r="E2016" s="201"/>
      <c r="F2016" s="201"/>
      <c r="I2016" s="198" t="s">
        <v>129</v>
      </c>
      <c r="J2016" s="198" t="s">
        <v>130</v>
      </c>
      <c r="K2016" s="202">
        <f t="shared" si="31"/>
        <v>1032750</v>
      </c>
      <c r="L2016" s="202">
        <v>202.5</v>
      </c>
      <c r="N2016" s="202">
        <v>0.2</v>
      </c>
      <c r="S2016" s="204"/>
      <c r="W2016" s="198" t="s">
        <v>51</v>
      </c>
      <c r="AE2016" s="198" t="s">
        <v>833</v>
      </c>
    </row>
    <row r="2017" spans="3:31" x14ac:dyDescent="0.25">
      <c r="C2017" s="201"/>
      <c r="E2017" s="201"/>
      <c r="F2017" s="201"/>
      <c r="I2017" s="198" t="s">
        <v>77</v>
      </c>
      <c r="J2017" s="198" t="s">
        <v>65</v>
      </c>
      <c r="K2017" s="202">
        <f t="shared" si="31"/>
        <v>1033260</v>
      </c>
      <c r="L2017" s="202">
        <v>202.6</v>
      </c>
      <c r="N2017" s="202">
        <v>0.02</v>
      </c>
      <c r="S2017" s="204"/>
      <c r="W2017" s="198" t="s">
        <v>51</v>
      </c>
      <c r="AE2017" s="198" t="s">
        <v>831</v>
      </c>
    </row>
    <row r="2018" spans="3:31" x14ac:dyDescent="0.25">
      <c r="C2018" s="201"/>
      <c r="E2018" s="201"/>
      <c r="F2018" s="201"/>
      <c r="I2018" s="198" t="s">
        <v>77</v>
      </c>
      <c r="J2018" s="198" t="s">
        <v>65</v>
      </c>
      <c r="K2018" s="202">
        <f t="shared" si="31"/>
        <v>1033770</v>
      </c>
      <c r="L2018" s="202">
        <v>202.7</v>
      </c>
      <c r="N2018" s="202">
        <v>0.5</v>
      </c>
      <c r="S2018" s="204"/>
      <c r="W2018" s="198" t="s">
        <v>51</v>
      </c>
      <c r="AE2018" s="198" t="s">
        <v>831</v>
      </c>
    </row>
    <row r="2019" spans="3:31" x14ac:dyDescent="0.25">
      <c r="C2019" s="201"/>
      <c r="E2019" s="201"/>
      <c r="F2019" s="201"/>
      <c r="I2019" s="198" t="s">
        <v>77</v>
      </c>
      <c r="J2019" s="198" t="s">
        <v>65</v>
      </c>
      <c r="K2019" s="202">
        <f t="shared" si="31"/>
        <v>1034280</v>
      </c>
      <c r="L2019" s="202">
        <v>202.8</v>
      </c>
      <c r="N2019" s="202">
        <v>0.26</v>
      </c>
      <c r="S2019" s="204"/>
      <c r="W2019" s="198" t="s">
        <v>51</v>
      </c>
      <c r="AE2019" s="198" t="s">
        <v>831</v>
      </c>
    </row>
    <row r="2020" spans="3:31" x14ac:dyDescent="0.25">
      <c r="C2020" s="201"/>
      <c r="E2020" s="201"/>
      <c r="F2020" s="201"/>
      <c r="I2020" s="198" t="s">
        <v>77</v>
      </c>
      <c r="J2020" s="198" t="s">
        <v>65</v>
      </c>
      <c r="K2020" s="202">
        <f t="shared" si="31"/>
        <v>1034790</v>
      </c>
      <c r="L2020" s="202">
        <v>202.9</v>
      </c>
      <c r="N2020" s="202">
        <v>0.14000000000000001</v>
      </c>
      <c r="S2020" s="204"/>
      <c r="W2020" s="198" t="s">
        <v>51</v>
      </c>
      <c r="AE2020" s="198" t="s">
        <v>831</v>
      </c>
    </row>
    <row r="2021" spans="3:31" x14ac:dyDescent="0.25">
      <c r="C2021" s="201"/>
      <c r="E2021" s="201"/>
      <c r="F2021" s="201"/>
      <c r="I2021" s="198" t="s">
        <v>77</v>
      </c>
      <c r="J2021" s="198" t="s">
        <v>65</v>
      </c>
      <c r="K2021" s="202">
        <f t="shared" si="31"/>
        <v>1035300</v>
      </c>
      <c r="L2021" s="202">
        <v>203</v>
      </c>
      <c r="N2021" s="202">
        <v>-0.41</v>
      </c>
      <c r="S2021" s="204"/>
      <c r="W2021" s="198" t="s">
        <v>51</v>
      </c>
      <c r="AE2021" s="198" t="s">
        <v>831</v>
      </c>
    </row>
    <row r="2022" spans="3:31" x14ac:dyDescent="0.25">
      <c r="C2022" s="201"/>
      <c r="E2022" s="201"/>
      <c r="F2022" s="201"/>
      <c r="I2022" s="198" t="s">
        <v>77</v>
      </c>
      <c r="J2022" s="198" t="s">
        <v>65</v>
      </c>
      <c r="K2022" s="202">
        <f t="shared" si="31"/>
        <v>1035810</v>
      </c>
      <c r="L2022" s="202">
        <v>203.1</v>
      </c>
      <c r="N2022" s="202">
        <v>0.27</v>
      </c>
      <c r="S2022" s="204"/>
      <c r="W2022" s="198" t="s">
        <v>51</v>
      </c>
      <c r="AE2022" s="198" t="s">
        <v>831</v>
      </c>
    </row>
    <row r="2023" spans="3:31" x14ac:dyDescent="0.25">
      <c r="C2023" s="201"/>
      <c r="E2023" s="201"/>
      <c r="F2023" s="201"/>
      <c r="I2023" s="198" t="s">
        <v>583</v>
      </c>
      <c r="J2023" s="198" t="s">
        <v>134</v>
      </c>
      <c r="K2023" s="202">
        <f t="shared" si="31"/>
        <v>1036320</v>
      </c>
      <c r="L2023" s="202">
        <v>203.2</v>
      </c>
      <c r="N2023" s="202">
        <v>275470.99</v>
      </c>
      <c r="S2023" s="204"/>
      <c r="W2023" s="198" t="s">
        <v>51</v>
      </c>
      <c r="AE2023" s="198" t="s">
        <v>846</v>
      </c>
    </row>
    <row r="2024" spans="3:31" x14ac:dyDescent="0.25">
      <c r="C2024" s="201"/>
      <c r="E2024" s="201"/>
      <c r="F2024" s="201"/>
      <c r="I2024" s="198" t="s">
        <v>566</v>
      </c>
      <c r="J2024" s="198" t="s">
        <v>117</v>
      </c>
      <c r="K2024" s="202">
        <f t="shared" si="31"/>
        <v>1036830</v>
      </c>
      <c r="L2024" s="202">
        <v>203.3</v>
      </c>
      <c r="N2024" s="202">
        <v>367433.43</v>
      </c>
      <c r="S2024" s="204"/>
      <c r="W2024" s="198" t="s">
        <v>51</v>
      </c>
      <c r="AE2024" s="198" t="s">
        <v>878</v>
      </c>
    </row>
    <row r="2025" spans="3:31" x14ac:dyDescent="0.25">
      <c r="C2025" s="201"/>
      <c r="E2025" s="201"/>
      <c r="F2025" s="201"/>
      <c r="I2025" s="198" t="s">
        <v>836</v>
      </c>
      <c r="J2025" s="198" t="s">
        <v>126</v>
      </c>
      <c r="K2025" s="202">
        <f t="shared" si="31"/>
        <v>1037340</v>
      </c>
      <c r="L2025" s="202">
        <v>203.4</v>
      </c>
      <c r="N2025" s="202">
        <v>771984</v>
      </c>
      <c r="S2025" s="204"/>
      <c r="W2025" s="198" t="s">
        <v>51</v>
      </c>
      <c r="AE2025" s="198" t="s">
        <v>835</v>
      </c>
    </row>
    <row r="2026" spans="3:31" x14ac:dyDescent="0.25">
      <c r="C2026" s="201"/>
      <c r="E2026" s="201"/>
      <c r="F2026" s="201"/>
      <c r="I2026" s="198" t="s">
        <v>836</v>
      </c>
      <c r="J2026" s="198" t="s">
        <v>126</v>
      </c>
      <c r="K2026" s="202">
        <f t="shared" si="31"/>
        <v>1037850</v>
      </c>
      <c r="L2026" s="202">
        <v>203.5</v>
      </c>
      <c r="N2026" s="202">
        <v>-771984</v>
      </c>
      <c r="S2026" s="204"/>
      <c r="W2026" s="198" t="s">
        <v>51</v>
      </c>
      <c r="AE2026" s="198" t="s">
        <v>835</v>
      </c>
    </row>
    <row r="2027" spans="3:31" x14ac:dyDescent="0.25">
      <c r="C2027" s="201"/>
      <c r="E2027" s="201"/>
      <c r="F2027" s="201"/>
      <c r="I2027" s="198" t="s">
        <v>531</v>
      </c>
      <c r="J2027" s="198" t="s">
        <v>117</v>
      </c>
      <c r="K2027" s="202">
        <f t="shared" si="31"/>
        <v>1038360</v>
      </c>
      <c r="L2027" s="202">
        <v>203.6</v>
      </c>
      <c r="N2027" s="202">
        <v>424923.72</v>
      </c>
      <c r="S2027" s="204"/>
      <c r="W2027" s="198" t="s">
        <v>51</v>
      </c>
      <c r="AE2027" s="198" t="s">
        <v>878</v>
      </c>
    </row>
    <row r="2028" spans="3:31" x14ac:dyDescent="0.25">
      <c r="C2028" s="201"/>
      <c r="E2028" s="201"/>
      <c r="F2028" s="201"/>
      <c r="I2028" s="198" t="s">
        <v>215</v>
      </c>
      <c r="J2028" s="198" t="s">
        <v>89</v>
      </c>
      <c r="K2028" s="202">
        <f t="shared" si="31"/>
        <v>1038870</v>
      </c>
      <c r="L2028" s="202">
        <v>203.7</v>
      </c>
      <c r="N2028" s="202">
        <v>354290</v>
      </c>
      <c r="S2028" s="204"/>
      <c r="W2028" s="198" t="s">
        <v>51</v>
      </c>
      <c r="AE2028" s="198" t="s">
        <v>831</v>
      </c>
    </row>
    <row r="2029" spans="3:31" x14ac:dyDescent="0.25">
      <c r="C2029" s="201"/>
      <c r="E2029" s="201"/>
      <c r="F2029" s="201"/>
      <c r="I2029" s="198" t="s">
        <v>215</v>
      </c>
      <c r="J2029" s="198" t="s">
        <v>89</v>
      </c>
      <c r="K2029" s="202">
        <f t="shared" si="31"/>
        <v>1039380</v>
      </c>
      <c r="L2029" s="202">
        <v>203.8</v>
      </c>
      <c r="N2029" s="202">
        <v>354290</v>
      </c>
      <c r="S2029" s="204"/>
      <c r="W2029" s="198" t="s">
        <v>51</v>
      </c>
      <c r="AE2029" s="198" t="s">
        <v>831</v>
      </c>
    </row>
    <row r="2030" spans="3:31" x14ac:dyDescent="0.25">
      <c r="C2030" s="201"/>
      <c r="E2030" s="201"/>
      <c r="F2030" s="201"/>
      <c r="I2030" s="198" t="s">
        <v>215</v>
      </c>
      <c r="J2030" s="198" t="s">
        <v>89</v>
      </c>
      <c r="K2030" s="202">
        <f t="shared" si="31"/>
        <v>1039890</v>
      </c>
      <c r="L2030" s="202">
        <v>203.9</v>
      </c>
      <c r="N2030" s="202">
        <v>354290</v>
      </c>
      <c r="S2030" s="204"/>
      <c r="W2030" s="198" t="s">
        <v>51</v>
      </c>
      <c r="AE2030" s="198" t="s">
        <v>831</v>
      </c>
    </row>
    <row r="2031" spans="3:31" x14ac:dyDescent="0.25">
      <c r="C2031" s="201"/>
      <c r="E2031" s="201"/>
      <c r="F2031" s="201"/>
      <c r="I2031" s="198" t="s">
        <v>215</v>
      </c>
      <c r="J2031" s="198" t="s">
        <v>89</v>
      </c>
      <c r="K2031" s="202">
        <f t="shared" si="31"/>
        <v>1040400</v>
      </c>
      <c r="L2031" s="202">
        <v>204</v>
      </c>
      <c r="N2031" s="202">
        <v>354290</v>
      </c>
      <c r="S2031" s="204"/>
      <c r="W2031" s="198" t="s">
        <v>51</v>
      </c>
      <c r="AE2031" s="198" t="s">
        <v>831</v>
      </c>
    </row>
    <row r="2032" spans="3:31" x14ac:dyDescent="0.25">
      <c r="C2032" s="201"/>
      <c r="E2032" s="201"/>
      <c r="F2032" s="201"/>
      <c r="I2032" s="198" t="s">
        <v>77</v>
      </c>
      <c r="J2032" s="198" t="s">
        <v>65</v>
      </c>
      <c r="K2032" s="202">
        <f t="shared" si="31"/>
        <v>1040910</v>
      </c>
      <c r="L2032" s="202">
        <v>204.1</v>
      </c>
      <c r="N2032" s="202">
        <v>142224.92000000001</v>
      </c>
      <c r="S2032" s="203"/>
      <c r="W2032" s="198" t="s">
        <v>51</v>
      </c>
      <c r="AE2032" s="198" t="s">
        <v>831</v>
      </c>
    </row>
    <row r="2033" spans="3:31" x14ac:dyDescent="0.25">
      <c r="C2033" s="201"/>
      <c r="E2033" s="201"/>
      <c r="F2033" s="201"/>
      <c r="I2033" s="198" t="s">
        <v>528</v>
      </c>
      <c r="J2033" s="198" t="s">
        <v>134</v>
      </c>
      <c r="K2033" s="202">
        <f t="shared" si="31"/>
        <v>1041420</v>
      </c>
      <c r="L2033" s="202">
        <v>204.2</v>
      </c>
      <c r="N2033" s="202">
        <v>2254725.27</v>
      </c>
      <c r="S2033" s="204"/>
      <c r="W2033" s="198" t="s">
        <v>51</v>
      </c>
      <c r="AE2033" s="198" t="s">
        <v>846</v>
      </c>
    </row>
    <row r="2034" spans="3:31" x14ac:dyDescent="0.25">
      <c r="C2034" s="201"/>
      <c r="E2034" s="201"/>
      <c r="F2034" s="201"/>
      <c r="I2034" s="198" t="s">
        <v>528</v>
      </c>
      <c r="J2034" s="198" t="s">
        <v>134</v>
      </c>
      <c r="K2034" s="202">
        <f t="shared" si="31"/>
        <v>1041930</v>
      </c>
      <c r="L2034" s="202">
        <v>204.3</v>
      </c>
      <c r="N2034" s="202">
        <v>1744843.65</v>
      </c>
      <c r="S2034" s="204"/>
      <c r="W2034" s="198" t="s">
        <v>51</v>
      </c>
      <c r="AE2034" s="198" t="s">
        <v>846</v>
      </c>
    </row>
    <row r="2035" spans="3:31" x14ac:dyDescent="0.25">
      <c r="C2035" s="201"/>
      <c r="E2035" s="201"/>
      <c r="F2035" s="201"/>
      <c r="I2035" s="198" t="s">
        <v>528</v>
      </c>
      <c r="J2035" s="198" t="s">
        <v>134</v>
      </c>
      <c r="K2035" s="202">
        <f t="shared" si="31"/>
        <v>1042440</v>
      </c>
      <c r="L2035" s="202">
        <v>204.4</v>
      </c>
      <c r="N2035" s="202">
        <v>147619.51999999999</v>
      </c>
      <c r="S2035" s="204"/>
      <c r="W2035" s="198" t="s">
        <v>51</v>
      </c>
      <c r="AE2035" s="198" t="s">
        <v>846</v>
      </c>
    </row>
    <row r="2036" spans="3:31" x14ac:dyDescent="0.25">
      <c r="C2036" s="201"/>
      <c r="E2036" s="201"/>
      <c r="F2036" s="201"/>
      <c r="I2036" s="198" t="s">
        <v>528</v>
      </c>
      <c r="J2036" s="198" t="s">
        <v>134</v>
      </c>
      <c r="K2036" s="202">
        <f t="shared" si="31"/>
        <v>1042950</v>
      </c>
      <c r="L2036" s="202">
        <v>204.5</v>
      </c>
      <c r="N2036" s="202">
        <v>416355.36</v>
      </c>
      <c r="S2036" s="204"/>
      <c r="W2036" s="198" t="s">
        <v>51</v>
      </c>
      <c r="AE2036" s="198" t="s">
        <v>846</v>
      </c>
    </row>
    <row r="2037" spans="3:31" x14ac:dyDescent="0.25">
      <c r="C2037" s="201"/>
      <c r="E2037" s="201"/>
      <c r="F2037" s="201"/>
      <c r="I2037" s="198" t="s">
        <v>77</v>
      </c>
      <c r="J2037" s="198" t="s">
        <v>65</v>
      </c>
      <c r="K2037" s="202">
        <f t="shared" si="31"/>
        <v>1043460</v>
      </c>
      <c r="L2037" s="202">
        <v>204.6</v>
      </c>
      <c r="N2037" s="202">
        <v>-142224.92000000001</v>
      </c>
      <c r="S2037" s="203"/>
      <c r="W2037" s="198" t="s">
        <v>51</v>
      </c>
      <c r="AE2037" s="198" t="s">
        <v>831</v>
      </c>
    </row>
    <row r="2038" spans="3:31" x14ac:dyDescent="0.25">
      <c r="C2038" s="201"/>
      <c r="E2038" s="201"/>
      <c r="F2038" s="201"/>
      <c r="I2038" s="198" t="s">
        <v>77</v>
      </c>
      <c r="J2038" s="198" t="s">
        <v>65</v>
      </c>
      <c r="K2038" s="202">
        <f t="shared" si="31"/>
        <v>1043970</v>
      </c>
      <c r="L2038" s="202">
        <v>204.7</v>
      </c>
      <c r="N2038" s="202">
        <v>142224.92000000001</v>
      </c>
      <c r="S2038" s="203"/>
      <c r="W2038" s="198" t="s">
        <v>51</v>
      </c>
      <c r="AE2038" s="198" t="s">
        <v>831</v>
      </c>
    </row>
    <row r="2039" spans="3:31" x14ac:dyDescent="0.25">
      <c r="C2039" s="201"/>
      <c r="E2039" s="201"/>
      <c r="F2039" s="201"/>
      <c r="I2039" s="198" t="s">
        <v>790</v>
      </c>
      <c r="J2039" s="198" t="s">
        <v>153</v>
      </c>
      <c r="K2039" s="202">
        <f t="shared" si="31"/>
        <v>1044480</v>
      </c>
      <c r="L2039" s="202">
        <v>204.8</v>
      </c>
      <c r="N2039" s="202">
        <v>5500</v>
      </c>
      <c r="S2039" s="203"/>
      <c r="W2039" s="198" t="s">
        <v>51</v>
      </c>
      <c r="AE2039" s="198" t="s">
        <v>1768</v>
      </c>
    </row>
    <row r="2040" spans="3:31" x14ac:dyDescent="0.25">
      <c r="C2040" s="201"/>
      <c r="E2040" s="201"/>
      <c r="F2040" s="201"/>
      <c r="I2040" s="198" t="s">
        <v>133</v>
      </c>
      <c r="J2040" s="198" t="s">
        <v>134</v>
      </c>
      <c r="K2040" s="202">
        <f t="shared" si="31"/>
        <v>1044990</v>
      </c>
      <c r="L2040" s="202">
        <v>204.9</v>
      </c>
      <c r="N2040" s="202">
        <v>0.4</v>
      </c>
      <c r="S2040" s="204"/>
      <c r="W2040" s="198" t="s">
        <v>51</v>
      </c>
      <c r="AE2040" s="198" t="s">
        <v>846</v>
      </c>
    </row>
    <row r="2041" spans="3:31" x14ac:dyDescent="0.25">
      <c r="C2041" s="201"/>
      <c r="E2041" s="201"/>
      <c r="F2041" s="201"/>
      <c r="I2041" s="198" t="s">
        <v>136</v>
      </c>
      <c r="J2041" s="198" t="s">
        <v>137</v>
      </c>
      <c r="K2041" s="202">
        <f t="shared" si="31"/>
        <v>1045500</v>
      </c>
      <c r="L2041" s="202">
        <v>205</v>
      </c>
      <c r="N2041" s="202">
        <v>-0.04</v>
      </c>
      <c r="S2041" s="204"/>
      <c r="W2041" s="198" t="s">
        <v>51</v>
      </c>
      <c r="AE2041" s="198" t="s">
        <v>844</v>
      </c>
    </row>
    <row r="2042" spans="3:31" x14ac:dyDescent="0.25">
      <c r="C2042" s="201"/>
      <c r="E2042" s="201"/>
      <c r="F2042" s="201"/>
      <c r="I2042" s="198" t="s">
        <v>135</v>
      </c>
      <c r="J2042" s="198" t="s">
        <v>117</v>
      </c>
      <c r="K2042" s="202">
        <f t="shared" si="31"/>
        <v>1046010</v>
      </c>
      <c r="L2042" s="202">
        <v>205.1</v>
      </c>
      <c r="N2042" s="202">
        <v>-0.18</v>
      </c>
      <c r="S2042" s="204"/>
      <c r="W2042" s="198" t="s">
        <v>51</v>
      </c>
      <c r="AE2042" s="198" t="s">
        <v>878</v>
      </c>
    </row>
    <row r="2043" spans="3:31" x14ac:dyDescent="0.25">
      <c r="C2043" s="201"/>
      <c r="E2043" s="201"/>
      <c r="F2043" s="201"/>
      <c r="I2043" s="198" t="s">
        <v>197</v>
      </c>
      <c r="J2043" s="198" t="s">
        <v>156</v>
      </c>
      <c r="K2043" s="202">
        <f t="shared" si="31"/>
        <v>1046520</v>
      </c>
      <c r="L2043" s="202">
        <v>205.2</v>
      </c>
      <c r="N2043" s="202">
        <v>36000</v>
      </c>
      <c r="S2043" s="204"/>
      <c r="W2043" s="198" t="s">
        <v>51</v>
      </c>
      <c r="AE2043" s="198" t="s">
        <v>828</v>
      </c>
    </row>
    <row r="2044" spans="3:31" x14ac:dyDescent="0.25">
      <c r="C2044" s="201"/>
      <c r="E2044" s="201"/>
      <c r="F2044" s="201"/>
      <c r="I2044" s="198" t="s">
        <v>197</v>
      </c>
      <c r="J2044" s="198" t="s">
        <v>156</v>
      </c>
      <c r="K2044" s="202">
        <f t="shared" si="31"/>
        <v>1047030</v>
      </c>
      <c r="L2044" s="202">
        <v>205.3</v>
      </c>
      <c r="N2044" s="202">
        <v>26000</v>
      </c>
      <c r="S2044" s="204"/>
      <c r="W2044" s="198" t="s">
        <v>51</v>
      </c>
      <c r="AE2044" s="198" t="s">
        <v>828</v>
      </c>
    </row>
    <row r="2045" spans="3:31" x14ac:dyDescent="0.25">
      <c r="C2045" s="201"/>
      <c r="E2045" s="201"/>
      <c r="F2045" s="201"/>
      <c r="I2045" s="198" t="s">
        <v>138</v>
      </c>
      <c r="J2045" s="198" t="s">
        <v>143</v>
      </c>
      <c r="K2045" s="202">
        <f t="shared" si="31"/>
        <v>1047540</v>
      </c>
      <c r="L2045" s="202">
        <v>205.4</v>
      </c>
      <c r="N2045" s="202">
        <v>36000</v>
      </c>
      <c r="S2045" s="204"/>
      <c r="W2045" s="198" t="s">
        <v>51</v>
      </c>
      <c r="AE2045" s="198" t="s">
        <v>829</v>
      </c>
    </row>
    <row r="2046" spans="3:31" x14ac:dyDescent="0.25">
      <c r="C2046" s="201"/>
      <c r="E2046" s="201"/>
      <c r="F2046" s="201"/>
      <c r="I2046" s="198" t="s">
        <v>138</v>
      </c>
      <c r="J2046" s="198" t="s">
        <v>143</v>
      </c>
      <c r="K2046" s="202">
        <f t="shared" si="31"/>
        <v>1048050</v>
      </c>
      <c r="L2046" s="202">
        <v>205.5</v>
      </c>
      <c r="N2046" s="202">
        <v>26000</v>
      </c>
      <c r="S2046" s="204"/>
      <c r="W2046" s="198" t="s">
        <v>51</v>
      </c>
      <c r="AE2046" s="198" t="s">
        <v>829</v>
      </c>
    </row>
    <row r="2047" spans="3:31" x14ac:dyDescent="0.25">
      <c r="C2047" s="201"/>
      <c r="E2047" s="201"/>
      <c r="F2047" s="201"/>
      <c r="I2047" s="198" t="s">
        <v>131</v>
      </c>
      <c r="J2047" s="198" t="s">
        <v>132</v>
      </c>
      <c r="K2047" s="202">
        <f t="shared" si="31"/>
        <v>1048560</v>
      </c>
      <c r="L2047" s="202">
        <v>205.6</v>
      </c>
      <c r="N2047" s="202">
        <v>2049660</v>
      </c>
      <c r="S2047" s="204"/>
      <c r="W2047" s="198" t="s">
        <v>51</v>
      </c>
      <c r="AE2047" s="198" t="s">
        <v>833</v>
      </c>
    </row>
    <row r="2048" spans="3:31" x14ac:dyDescent="0.25">
      <c r="C2048" s="201"/>
      <c r="E2048" s="201"/>
      <c r="F2048" s="201"/>
      <c r="I2048" s="198" t="s">
        <v>131</v>
      </c>
      <c r="J2048" s="198" t="s">
        <v>132</v>
      </c>
      <c r="K2048" s="202">
        <f t="shared" si="31"/>
        <v>1049070</v>
      </c>
      <c r="L2048" s="202">
        <v>205.7</v>
      </c>
      <c r="N2048" s="202">
        <v>68322</v>
      </c>
      <c r="S2048" s="204"/>
      <c r="W2048" s="198" t="s">
        <v>51</v>
      </c>
      <c r="AE2048" s="198" t="s">
        <v>833</v>
      </c>
    </row>
    <row r="2049" spans="3:31" x14ac:dyDescent="0.25">
      <c r="C2049" s="201"/>
      <c r="E2049" s="201"/>
      <c r="F2049" s="201"/>
      <c r="I2049" s="198" t="s">
        <v>136</v>
      </c>
      <c r="J2049" s="198" t="s">
        <v>137</v>
      </c>
      <c r="K2049" s="202">
        <f t="shared" si="31"/>
        <v>1049580</v>
      </c>
      <c r="L2049" s="202">
        <v>205.8</v>
      </c>
      <c r="N2049" s="202">
        <v>810000</v>
      </c>
      <c r="S2049" s="204"/>
      <c r="W2049" s="198" t="s">
        <v>51</v>
      </c>
      <c r="AE2049" s="198" t="s">
        <v>844</v>
      </c>
    </row>
    <row r="2050" spans="3:31" x14ac:dyDescent="0.25">
      <c r="C2050" s="201"/>
      <c r="E2050" s="201"/>
      <c r="F2050" s="201"/>
      <c r="I2050" s="198" t="s">
        <v>136</v>
      </c>
      <c r="J2050" s="198" t="s">
        <v>137</v>
      </c>
      <c r="K2050" s="202">
        <f t="shared" si="31"/>
        <v>1050090</v>
      </c>
      <c r="L2050" s="202">
        <v>205.9</v>
      </c>
      <c r="N2050" s="202">
        <v>614898</v>
      </c>
      <c r="S2050" s="204"/>
      <c r="W2050" s="198" t="s">
        <v>51</v>
      </c>
      <c r="AE2050" s="198" t="s">
        <v>844</v>
      </c>
    </row>
    <row r="2051" spans="3:31" x14ac:dyDescent="0.25">
      <c r="C2051" s="201"/>
      <c r="E2051" s="201"/>
      <c r="F2051" s="201"/>
      <c r="I2051" s="198" t="s">
        <v>136</v>
      </c>
      <c r="J2051" s="198" t="s">
        <v>137</v>
      </c>
      <c r="K2051" s="202">
        <f t="shared" ref="K2051:K2114" si="32">L2051*5100</f>
        <v>1050600</v>
      </c>
      <c r="L2051" s="202">
        <v>206</v>
      </c>
      <c r="N2051" s="202">
        <v>144538.1</v>
      </c>
      <c r="S2051" s="204"/>
      <c r="W2051" s="198" t="s">
        <v>51</v>
      </c>
      <c r="AE2051" s="198" t="s">
        <v>844</v>
      </c>
    </row>
    <row r="2052" spans="3:31" x14ac:dyDescent="0.25">
      <c r="C2052" s="201"/>
      <c r="E2052" s="201"/>
      <c r="F2052" s="201"/>
      <c r="I2052" s="198" t="s">
        <v>205</v>
      </c>
      <c r="J2052" s="198" t="s">
        <v>169</v>
      </c>
      <c r="K2052" s="202">
        <f t="shared" si="32"/>
        <v>1051110</v>
      </c>
      <c r="L2052" s="202">
        <v>206.1</v>
      </c>
      <c r="N2052" s="202">
        <v>520000</v>
      </c>
      <c r="S2052" s="204"/>
      <c r="W2052" s="198" t="s">
        <v>51</v>
      </c>
      <c r="AE2052" s="198" t="s">
        <v>831</v>
      </c>
    </row>
    <row r="2053" spans="3:31" x14ac:dyDescent="0.25">
      <c r="C2053" s="201"/>
      <c r="E2053" s="201"/>
      <c r="F2053" s="201"/>
      <c r="I2053" s="198" t="s">
        <v>205</v>
      </c>
      <c r="J2053" s="198" t="s">
        <v>169</v>
      </c>
      <c r="K2053" s="202">
        <f t="shared" si="32"/>
        <v>1051620</v>
      </c>
      <c r="L2053" s="202">
        <v>206.2</v>
      </c>
      <c r="N2053" s="202">
        <v>520000</v>
      </c>
      <c r="S2053" s="204"/>
      <c r="W2053" s="198" t="s">
        <v>51</v>
      </c>
      <c r="AE2053" s="198" t="s">
        <v>831</v>
      </c>
    </row>
    <row r="2054" spans="3:31" x14ac:dyDescent="0.25">
      <c r="C2054" s="201"/>
      <c r="E2054" s="201"/>
      <c r="F2054" s="201"/>
      <c r="I2054" s="198" t="s">
        <v>205</v>
      </c>
      <c r="J2054" s="198" t="s">
        <v>169</v>
      </c>
      <c r="K2054" s="202">
        <f t="shared" si="32"/>
        <v>1052130</v>
      </c>
      <c r="L2054" s="202">
        <v>206.3</v>
      </c>
      <c r="N2054" s="202">
        <v>520000</v>
      </c>
      <c r="S2054" s="204"/>
      <c r="W2054" s="198" t="s">
        <v>51</v>
      </c>
      <c r="AE2054" s="198" t="s">
        <v>831</v>
      </c>
    </row>
    <row r="2055" spans="3:31" x14ac:dyDescent="0.25">
      <c r="C2055" s="201"/>
      <c r="E2055" s="201"/>
      <c r="F2055" s="201"/>
      <c r="I2055" s="198" t="s">
        <v>164</v>
      </c>
      <c r="J2055" s="198" t="s">
        <v>167</v>
      </c>
      <c r="K2055" s="202">
        <f t="shared" si="32"/>
        <v>1052640</v>
      </c>
      <c r="L2055" s="202">
        <v>206.4</v>
      </c>
      <c r="N2055" s="202">
        <v>21040.05</v>
      </c>
      <c r="S2055" s="203"/>
      <c r="W2055" s="198" t="s">
        <v>51</v>
      </c>
      <c r="AE2055" s="198" t="s">
        <v>831</v>
      </c>
    </row>
    <row r="2056" spans="3:31" x14ac:dyDescent="0.25">
      <c r="C2056" s="201"/>
      <c r="E2056" s="201"/>
      <c r="F2056" s="201"/>
      <c r="I2056" s="198" t="s">
        <v>164</v>
      </c>
      <c r="J2056" s="198" t="s">
        <v>167</v>
      </c>
      <c r="K2056" s="202">
        <f t="shared" si="32"/>
        <v>1053150</v>
      </c>
      <c r="L2056" s="202">
        <v>206.5</v>
      </c>
      <c r="N2056" s="202">
        <v>9727.92</v>
      </c>
      <c r="S2056" s="203"/>
      <c r="W2056" s="198" t="s">
        <v>51</v>
      </c>
      <c r="AE2056" s="198" t="s">
        <v>831</v>
      </c>
    </row>
    <row r="2057" spans="3:31" x14ac:dyDescent="0.25">
      <c r="C2057" s="201"/>
      <c r="E2057" s="201"/>
      <c r="F2057" s="201"/>
      <c r="I2057" s="198" t="s">
        <v>164</v>
      </c>
      <c r="J2057" s="198" t="s">
        <v>167</v>
      </c>
      <c r="K2057" s="202">
        <f t="shared" si="32"/>
        <v>1053660</v>
      </c>
      <c r="L2057" s="202">
        <v>206.6</v>
      </c>
      <c r="N2057" s="202">
        <v>15127.2</v>
      </c>
      <c r="S2057" s="203"/>
      <c r="W2057" s="198" t="s">
        <v>51</v>
      </c>
      <c r="AE2057" s="198" t="s">
        <v>831</v>
      </c>
    </row>
    <row r="2058" spans="3:31" x14ac:dyDescent="0.25">
      <c r="C2058" s="201"/>
      <c r="E2058" s="201"/>
      <c r="F2058" s="201"/>
      <c r="I2058" s="198" t="s">
        <v>164</v>
      </c>
      <c r="J2058" s="198" t="s">
        <v>167</v>
      </c>
      <c r="K2058" s="202">
        <f t="shared" si="32"/>
        <v>1054170</v>
      </c>
      <c r="L2058" s="202">
        <v>206.7</v>
      </c>
      <c r="N2058" s="202">
        <v>54366</v>
      </c>
      <c r="S2058" s="203"/>
      <c r="W2058" s="198" t="s">
        <v>51</v>
      </c>
      <c r="AE2058" s="198" t="s">
        <v>831</v>
      </c>
    </row>
    <row r="2059" spans="3:31" x14ac:dyDescent="0.25">
      <c r="C2059" s="201"/>
      <c r="E2059" s="201"/>
      <c r="F2059" s="201"/>
      <c r="I2059" s="198" t="s">
        <v>164</v>
      </c>
      <c r="J2059" s="198" t="s">
        <v>167</v>
      </c>
      <c r="K2059" s="202">
        <f t="shared" si="32"/>
        <v>1054680</v>
      </c>
      <c r="L2059" s="202">
        <v>206.8</v>
      </c>
      <c r="N2059" s="202">
        <v>29255.200000000001</v>
      </c>
      <c r="S2059" s="203"/>
      <c r="W2059" s="198" t="s">
        <v>51</v>
      </c>
      <c r="AE2059" s="198" t="s">
        <v>831</v>
      </c>
    </row>
    <row r="2060" spans="3:31" x14ac:dyDescent="0.25">
      <c r="C2060" s="201"/>
      <c r="E2060" s="201"/>
      <c r="F2060" s="201"/>
      <c r="I2060" s="198" t="s">
        <v>164</v>
      </c>
      <c r="J2060" s="198" t="s">
        <v>167</v>
      </c>
      <c r="K2060" s="202">
        <f t="shared" si="32"/>
        <v>1055190</v>
      </c>
      <c r="L2060" s="202">
        <v>206.9</v>
      </c>
      <c r="N2060" s="202">
        <v>9501.2999999999993</v>
      </c>
      <c r="S2060" s="203"/>
      <c r="W2060" s="198" t="s">
        <v>51</v>
      </c>
      <c r="AE2060" s="198" t="s">
        <v>831</v>
      </c>
    </row>
    <row r="2061" spans="3:31" x14ac:dyDescent="0.25">
      <c r="C2061" s="201"/>
      <c r="E2061" s="201"/>
      <c r="F2061" s="201"/>
      <c r="I2061" s="198" t="s">
        <v>170</v>
      </c>
      <c r="J2061" s="198" t="s">
        <v>167</v>
      </c>
      <c r="K2061" s="202">
        <f t="shared" si="32"/>
        <v>1055700</v>
      </c>
      <c r="L2061" s="202">
        <v>207</v>
      </c>
      <c r="N2061" s="202">
        <v>151396.6</v>
      </c>
      <c r="S2061" s="203"/>
      <c r="W2061" s="198" t="s">
        <v>51</v>
      </c>
      <c r="AE2061" s="198" t="s">
        <v>831</v>
      </c>
    </row>
    <row r="2062" spans="3:31" x14ac:dyDescent="0.25">
      <c r="C2062" s="201"/>
      <c r="E2062" s="201"/>
      <c r="F2062" s="201"/>
      <c r="I2062" s="198" t="s">
        <v>170</v>
      </c>
      <c r="J2062" s="198" t="s">
        <v>167</v>
      </c>
      <c r="K2062" s="202">
        <f t="shared" si="32"/>
        <v>1056210</v>
      </c>
      <c r="L2062" s="202">
        <v>207.1</v>
      </c>
      <c r="N2062" s="202">
        <v>113397.7</v>
      </c>
      <c r="S2062" s="203"/>
      <c r="W2062" s="198" t="s">
        <v>51</v>
      </c>
      <c r="AE2062" s="198" t="s">
        <v>831</v>
      </c>
    </row>
    <row r="2063" spans="3:31" x14ac:dyDescent="0.25">
      <c r="C2063" s="201"/>
      <c r="E2063" s="201"/>
      <c r="F2063" s="201"/>
      <c r="I2063" s="198" t="s">
        <v>171</v>
      </c>
      <c r="J2063" s="198" t="s">
        <v>167</v>
      </c>
      <c r="K2063" s="202">
        <f t="shared" si="32"/>
        <v>1056720</v>
      </c>
      <c r="L2063" s="202">
        <v>207.2</v>
      </c>
      <c r="N2063" s="202">
        <v>378981</v>
      </c>
      <c r="S2063" s="203"/>
      <c r="W2063" s="198" t="s">
        <v>51</v>
      </c>
      <c r="AE2063" s="198" t="s">
        <v>831</v>
      </c>
    </row>
    <row r="2064" spans="3:31" x14ac:dyDescent="0.25">
      <c r="C2064" s="201"/>
      <c r="E2064" s="201"/>
      <c r="F2064" s="201"/>
      <c r="I2064" s="198" t="s">
        <v>171</v>
      </c>
      <c r="J2064" s="198" t="s">
        <v>167</v>
      </c>
      <c r="K2064" s="202">
        <f t="shared" si="32"/>
        <v>1057230</v>
      </c>
      <c r="L2064" s="202">
        <v>207.3</v>
      </c>
      <c r="N2064" s="202">
        <v>36400</v>
      </c>
      <c r="S2064" s="204"/>
      <c r="W2064" s="198" t="s">
        <v>51</v>
      </c>
      <c r="AE2064" s="198" t="s">
        <v>831</v>
      </c>
    </row>
    <row r="2065" spans="3:31" x14ac:dyDescent="0.25">
      <c r="C2065" s="201"/>
      <c r="E2065" s="201"/>
      <c r="F2065" s="201"/>
      <c r="I2065" s="198" t="s">
        <v>173</v>
      </c>
      <c r="J2065" s="198" t="s">
        <v>167</v>
      </c>
      <c r="K2065" s="202">
        <f t="shared" si="32"/>
        <v>1057740</v>
      </c>
      <c r="L2065" s="202">
        <v>207.4</v>
      </c>
      <c r="N2065" s="202">
        <v>303400</v>
      </c>
      <c r="S2065" s="204"/>
      <c r="W2065" s="198" t="s">
        <v>51</v>
      </c>
      <c r="AE2065" s="198" t="s">
        <v>831</v>
      </c>
    </row>
    <row r="2066" spans="3:31" x14ac:dyDescent="0.25">
      <c r="C2066" s="201"/>
      <c r="E2066" s="201"/>
      <c r="F2066" s="201"/>
      <c r="I2066" s="198" t="s">
        <v>173</v>
      </c>
      <c r="J2066" s="198" t="s">
        <v>167</v>
      </c>
      <c r="K2066" s="202">
        <f t="shared" si="32"/>
        <v>1058250</v>
      </c>
      <c r="L2066" s="202">
        <v>207.5</v>
      </c>
      <c r="N2066" s="202">
        <v>68640</v>
      </c>
      <c r="S2066" s="203"/>
      <c r="W2066" s="198" t="s">
        <v>51</v>
      </c>
      <c r="AE2066" s="198" t="s">
        <v>831</v>
      </c>
    </row>
    <row r="2067" spans="3:31" x14ac:dyDescent="0.25">
      <c r="C2067" s="201"/>
      <c r="E2067" s="201"/>
      <c r="F2067" s="201"/>
      <c r="I2067" s="198" t="s">
        <v>201</v>
      </c>
      <c r="J2067" s="198" t="s">
        <v>167</v>
      </c>
      <c r="K2067" s="202">
        <f t="shared" si="32"/>
        <v>1058760</v>
      </c>
      <c r="L2067" s="202">
        <v>207.6</v>
      </c>
      <c r="N2067" s="202">
        <v>1148000</v>
      </c>
      <c r="S2067" s="204"/>
      <c r="W2067" s="198" t="s">
        <v>51</v>
      </c>
      <c r="AE2067" s="198" t="s">
        <v>831</v>
      </c>
    </row>
    <row r="2068" spans="3:31" x14ac:dyDescent="0.25">
      <c r="C2068" s="201"/>
      <c r="E2068" s="201"/>
      <c r="F2068" s="201"/>
      <c r="I2068" s="198" t="s">
        <v>201</v>
      </c>
      <c r="J2068" s="198" t="s">
        <v>167</v>
      </c>
      <c r="K2068" s="202">
        <f t="shared" si="32"/>
        <v>1059270</v>
      </c>
      <c r="L2068" s="202">
        <v>207.7</v>
      </c>
      <c r="N2068" s="202">
        <v>309400</v>
      </c>
      <c r="S2068" s="204"/>
      <c r="W2068" s="198" t="s">
        <v>51</v>
      </c>
      <c r="AE2068" s="198" t="s">
        <v>831</v>
      </c>
    </row>
    <row r="2069" spans="3:31" x14ac:dyDescent="0.25">
      <c r="C2069" s="201"/>
      <c r="E2069" s="201"/>
      <c r="F2069" s="201"/>
      <c r="I2069" s="198" t="s">
        <v>164</v>
      </c>
      <c r="J2069" s="198" t="s">
        <v>167</v>
      </c>
      <c r="K2069" s="202">
        <f t="shared" si="32"/>
        <v>1059780</v>
      </c>
      <c r="L2069" s="202">
        <v>207.8</v>
      </c>
      <c r="N2069" s="202">
        <v>17544.060000000001</v>
      </c>
      <c r="S2069" s="203"/>
      <c r="W2069" s="198" t="s">
        <v>51</v>
      </c>
      <c r="AE2069" s="198" t="s">
        <v>831</v>
      </c>
    </row>
    <row r="2070" spans="3:31" x14ac:dyDescent="0.25">
      <c r="C2070" s="201"/>
      <c r="E2070" s="201"/>
      <c r="F2070" s="201"/>
      <c r="I2070" s="198" t="s">
        <v>164</v>
      </c>
      <c r="J2070" s="198" t="s">
        <v>167</v>
      </c>
      <c r="K2070" s="202">
        <f t="shared" si="32"/>
        <v>1060290</v>
      </c>
      <c r="L2070" s="202">
        <v>207.9</v>
      </c>
      <c r="N2070" s="202">
        <v>43465.38</v>
      </c>
      <c r="S2070" s="203"/>
      <c r="W2070" s="198" t="s">
        <v>51</v>
      </c>
      <c r="AE2070" s="198" t="s">
        <v>831</v>
      </c>
    </row>
    <row r="2071" spans="3:31" x14ac:dyDescent="0.25">
      <c r="C2071" s="201"/>
      <c r="E2071" s="201"/>
      <c r="F2071" s="201"/>
      <c r="I2071" s="198" t="s">
        <v>164</v>
      </c>
      <c r="J2071" s="198" t="s">
        <v>167</v>
      </c>
      <c r="K2071" s="202">
        <f t="shared" si="32"/>
        <v>1060800</v>
      </c>
      <c r="L2071" s="202">
        <v>208</v>
      </c>
      <c r="N2071" s="202">
        <v>472573.2</v>
      </c>
      <c r="S2071" s="203"/>
      <c r="W2071" s="198" t="s">
        <v>51</v>
      </c>
      <c r="AE2071" s="198" t="s">
        <v>831</v>
      </c>
    </row>
    <row r="2072" spans="3:31" x14ac:dyDescent="0.25">
      <c r="C2072" s="201"/>
      <c r="E2072" s="201"/>
      <c r="F2072" s="201"/>
      <c r="I2072" s="198" t="s">
        <v>164</v>
      </c>
      <c r="J2072" s="198" t="s">
        <v>167</v>
      </c>
      <c r="K2072" s="202">
        <f t="shared" si="32"/>
        <v>1061310</v>
      </c>
      <c r="L2072" s="202">
        <v>208.1</v>
      </c>
      <c r="N2072" s="202">
        <v>1418977.2</v>
      </c>
      <c r="S2072" s="203"/>
      <c r="W2072" s="198" t="s">
        <v>51</v>
      </c>
      <c r="AE2072" s="198" t="s">
        <v>831</v>
      </c>
    </row>
    <row r="2073" spans="3:31" x14ac:dyDescent="0.25">
      <c r="C2073" s="201"/>
      <c r="E2073" s="201"/>
      <c r="F2073" s="201"/>
      <c r="I2073" s="198" t="s">
        <v>164</v>
      </c>
      <c r="J2073" s="198" t="s">
        <v>167</v>
      </c>
      <c r="K2073" s="202">
        <f t="shared" si="32"/>
        <v>1061820</v>
      </c>
      <c r="L2073" s="202">
        <v>208.2</v>
      </c>
      <c r="N2073" s="202">
        <v>3014975.5</v>
      </c>
      <c r="S2073" s="203"/>
      <c r="W2073" s="198" t="s">
        <v>51</v>
      </c>
      <c r="AE2073" s="198" t="s">
        <v>831</v>
      </c>
    </row>
    <row r="2074" spans="3:31" x14ac:dyDescent="0.25">
      <c r="C2074" s="201"/>
      <c r="E2074" s="201"/>
      <c r="F2074" s="201"/>
      <c r="I2074" s="198" t="s">
        <v>164</v>
      </c>
      <c r="J2074" s="198" t="s">
        <v>167</v>
      </c>
      <c r="K2074" s="202">
        <f t="shared" si="32"/>
        <v>1062330</v>
      </c>
      <c r="L2074" s="202">
        <v>208.3</v>
      </c>
      <c r="N2074" s="202">
        <v>1872225</v>
      </c>
      <c r="S2074" s="203"/>
      <c r="W2074" s="198" t="s">
        <v>51</v>
      </c>
      <c r="AE2074" s="198" t="s">
        <v>831</v>
      </c>
    </row>
    <row r="2075" spans="3:31" x14ac:dyDescent="0.25">
      <c r="C2075" s="201"/>
      <c r="E2075" s="201"/>
      <c r="F2075" s="201"/>
      <c r="I2075" s="198" t="s">
        <v>164</v>
      </c>
      <c r="J2075" s="198" t="s">
        <v>167</v>
      </c>
      <c r="K2075" s="202">
        <f t="shared" si="32"/>
        <v>1062840</v>
      </c>
      <c r="L2075" s="202">
        <v>208.4</v>
      </c>
      <c r="N2075" s="202">
        <v>1485785.2</v>
      </c>
      <c r="S2075" s="203"/>
      <c r="W2075" s="198" t="s">
        <v>51</v>
      </c>
      <c r="AE2075" s="198" t="s">
        <v>831</v>
      </c>
    </row>
    <row r="2076" spans="3:31" x14ac:dyDescent="0.25">
      <c r="C2076" s="201"/>
      <c r="E2076" s="201"/>
      <c r="F2076" s="201"/>
      <c r="I2076" s="198" t="s">
        <v>164</v>
      </c>
      <c r="J2076" s="198" t="s">
        <v>167</v>
      </c>
      <c r="K2076" s="202">
        <f t="shared" si="32"/>
        <v>1063350</v>
      </c>
      <c r="L2076" s="202">
        <v>208.5</v>
      </c>
      <c r="N2076" s="202">
        <v>370537.7</v>
      </c>
      <c r="S2076" s="203"/>
      <c r="W2076" s="198" t="s">
        <v>51</v>
      </c>
      <c r="AE2076" s="198" t="s">
        <v>831</v>
      </c>
    </row>
    <row r="2077" spans="3:31" x14ac:dyDescent="0.25">
      <c r="C2077" s="201"/>
      <c r="E2077" s="201"/>
      <c r="F2077" s="201"/>
      <c r="I2077" s="198" t="s">
        <v>164</v>
      </c>
      <c r="J2077" s="198" t="s">
        <v>167</v>
      </c>
      <c r="K2077" s="202">
        <f t="shared" si="32"/>
        <v>1063860</v>
      </c>
      <c r="L2077" s="202">
        <v>208.6</v>
      </c>
      <c r="N2077" s="202">
        <v>1727275.38</v>
      </c>
      <c r="S2077" s="203"/>
      <c r="W2077" s="198" t="s">
        <v>51</v>
      </c>
      <c r="AE2077" s="198" t="s">
        <v>831</v>
      </c>
    </row>
    <row r="2078" spans="3:31" x14ac:dyDescent="0.25">
      <c r="C2078" s="201"/>
      <c r="E2078" s="201"/>
      <c r="F2078" s="201"/>
      <c r="I2078" s="198" t="s">
        <v>164</v>
      </c>
      <c r="J2078" s="198" t="s">
        <v>167</v>
      </c>
      <c r="K2078" s="202">
        <f t="shared" si="32"/>
        <v>1064370</v>
      </c>
      <c r="L2078" s="202">
        <v>208.7</v>
      </c>
      <c r="N2078" s="202">
        <v>4176150</v>
      </c>
      <c r="S2078" s="203"/>
      <c r="W2078" s="198" t="s">
        <v>51</v>
      </c>
      <c r="AE2078" s="198" t="s">
        <v>831</v>
      </c>
    </row>
    <row r="2079" spans="3:31" x14ac:dyDescent="0.25">
      <c r="C2079" s="201"/>
      <c r="E2079" s="201"/>
      <c r="F2079" s="201"/>
      <c r="I2079" s="198" t="s">
        <v>164</v>
      </c>
      <c r="J2079" s="198" t="s">
        <v>167</v>
      </c>
      <c r="K2079" s="202">
        <f t="shared" si="32"/>
        <v>1064880</v>
      </c>
      <c r="L2079" s="202">
        <v>208.8</v>
      </c>
      <c r="N2079" s="202">
        <v>286410</v>
      </c>
      <c r="S2079" s="203"/>
      <c r="W2079" s="198" t="s">
        <v>51</v>
      </c>
      <c r="AE2079" s="198" t="s">
        <v>831</v>
      </c>
    </row>
    <row r="2080" spans="3:31" x14ac:dyDescent="0.25">
      <c r="C2080" s="201"/>
      <c r="E2080" s="201"/>
      <c r="F2080" s="201"/>
      <c r="I2080" s="198" t="s">
        <v>201</v>
      </c>
      <c r="J2080" s="198" t="s">
        <v>167</v>
      </c>
      <c r="K2080" s="202">
        <f t="shared" si="32"/>
        <v>1065390</v>
      </c>
      <c r="L2080" s="202">
        <v>208.9</v>
      </c>
      <c r="N2080" s="202">
        <v>455472.6</v>
      </c>
      <c r="S2080" s="203"/>
      <c r="W2080" s="198" t="s">
        <v>51</v>
      </c>
      <c r="AE2080" s="198" t="s">
        <v>831</v>
      </c>
    </row>
    <row r="2081" spans="3:31" x14ac:dyDescent="0.25">
      <c r="C2081" s="201"/>
      <c r="E2081" s="201"/>
      <c r="F2081" s="201"/>
      <c r="I2081" s="198" t="s">
        <v>201</v>
      </c>
      <c r="J2081" s="198" t="s">
        <v>167</v>
      </c>
      <c r="K2081" s="202">
        <f t="shared" si="32"/>
        <v>1065900</v>
      </c>
      <c r="L2081" s="202">
        <v>209</v>
      </c>
      <c r="N2081" s="202">
        <v>6066747.5</v>
      </c>
      <c r="S2081" s="203"/>
      <c r="W2081" s="198" t="s">
        <v>51</v>
      </c>
      <c r="AE2081" s="198" t="s">
        <v>831</v>
      </c>
    </row>
    <row r="2082" spans="3:31" x14ac:dyDescent="0.25">
      <c r="C2082" s="201"/>
      <c r="E2082" s="201"/>
      <c r="F2082" s="201"/>
      <c r="I2082" s="198" t="s">
        <v>201</v>
      </c>
      <c r="J2082" s="198" t="s">
        <v>167</v>
      </c>
      <c r="K2082" s="202">
        <f t="shared" si="32"/>
        <v>1066410</v>
      </c>
      <c r="L2082" s="202">
        <v>209.1</v>
      </c>
      <c r="N2082" s="202">
        <v>192600</v>
      </c>
      <c r="S2082" s="203"/>
      <c r="W2082" s="198" t="s">
        <v>51</v>
      </c>
      <c r="AE2082" s="198" t="s">
        <v>831</v>
      </c>
    </row>
    <row r="2083" spans="3:31" x14ac:dyDescent="0.25">
      <c r="C2083" s="201"/>
      <c r="E2083" s="201"/>
      <c r="F2083" s="201"/>
      <c r="I2083" s="198" t="s">
        <v>201</v>
      </c>
      <c r="J2083" s="198" t="s">
        <v>167</v>
      </c>
      <c r="K2083" s="202">
        <f t="shared" si="32"/>
        <v>1066920</v>
      </c>
      <c r="L2083" s="202">
        <v>209.2</v>
      </c>
      <c r="N2083" s="202">
        <v>7827078</v>
      </c>
      <c r="S2083" s="203"/>
      <c r="W2083" s="198" t="s">
        <v>51</v>
      </c>
      <c r="AE2083" s="198" t="s">
        <v>831</v>
      </c>
    </row>
    <row r="2084" spans="3:31" x14ac:dyDescent="0.25">
      <c r="C2084" s="201"/>
      <c r="E2084" s="201"/>
      <c r="F2084" s="201"/>
      <c r="I2084" s="198" t="s">
        <v>201</v>
      </c>
      <c r="J2084" s="198" t="s">
        <v>167</v>
      </c>
      <c r="K2084" s="202">
        <f t="shared" si="32"/>
        <v>1067430</v>
      </c>
      <c r="L2084" s="202">
        <v>209.3</v>
      </c>
      <c r="N2084" s="202">
        <v>4603083</v>
      </c>
      <c r="S2084" s="203"/>
      <c r="W2084" s="198" t="s">
        <v>51</v>
      </c>
      <c r="AE2084" s="198" t="s">
        <v>831</v>
      </c>
    </row>
    <row r="2085" spans="3:31" x14ac:dyDescent="0.25">
      <c r="C2085" s="201"/>
      <c r="E2085" s="201"/>
      <c r="F2085" s="201"/>
      <c r="I2085" s="198" t="s">
        <v>201</v>
      </c>
      <c r="J2085" s="198" t="s">
        <v>167</v>
      </c>
      <c r="K2085" s="202">
        <f t="shared" si="32"/>
        <v>1067940</v>
      </c>
      <c r="L2085" s="202">
        <v>209.4</v>
      </c>
      <c r="N2085" s="202">
        <v>3931781.88</v>
      </c>
      <c r="S2085" s="203"/>
      <c r="W2085" s="198" t="s">
        <v>51</v>
      </c>
      <c r="AE2085" s="198" t="s">
        <v>831</v>
      </c>
    </row>
    <row r="2086" spans="3:31" x14ac:dyDescent="0.25">
      <c r="C2086" s="201"/>
      <c r="E2086" s="201"/>
      <c r="F2086" s="201"/>
      <c r="I2086" s="198" t="s">
        <v>201</v>
      </c>
      <c r="J2086" s="198" t="s">
        <v>167</v>
      </c>
      <c r="K2086" s="202">
        <f t="shared" si="32"/>
        <v>1068450</v>
      </c>
      <c r="L2086" s="202">
        <v>209.5</v>
      </c>
      <c r="N2086" s="202">
        <v>1948008</v>
      </c>
      <c r="S2086" s="203"/>
      <c r="W2086" s="198" t="s">
        <v>51</v>
      </c>
      <c r="AE2086" s="198" t="s">
        <v>831</v>
      </c>
    </row>
    <row r="2087" spans="3:31" x14ac:dyDescent="0.25">
      <c r="C2087" s="201"/>
      <c r="E2087" s="201"/>
      <c r="F2087" s="201"/>
      <c r="I2087" s="198" t="s">
        <v>201</v>
      </c>
      <c r="J2087" s="198" t="s">
        <v>167</v>
      </c>
      <c r="K2087" s="202">
        <f t="shared" si="32"/>
        <v>1068960</v>
      </c>
      <c r="L2087" s="202">
        <v>209.6</v>
      </c>
      <c r="N2087" s="202">
        <v>188396.06</v>
      </c>
      <c r="S2087" s="203"/>
      <c r="W2087" s="198" t="s">
        <v>51</v>
      </c>
      <c r="AE2087" s="198" t="s">
        <v>831</v>
      </c>
    </row>
    <row r="2088" spans="3:31" x14ac:dyDescent="0.25">
      <c r="C2088" s="201"/>
      <c r="E2088" s="201"/>
      <c r="F2088" s="201"/>
      <c r="I2088" s="198" t="s">
        <v>170</v>
      </c>
      <c r="J2088" s="198" t="s">
        <v>167</v>
      </c>
      <c r="K2088" s="202">
        <f t="shared" si="32"/>
        <v>1069470</v>
      </c>
      <c r="L2088" s="202">
        <v>209.7</v>
      </c>
      <c r="N2088" s="202">
        <v>44629.42</v>
      </c>
      <c r="S2088" s="203"/>
      <c r="W2088" s="198" t="s">
        <v>51</v>
      </c>
      <c r="AE2088" s="198" t="s">
        <v>831</v>
      </c>
    </row>
    <row r="2089" spans="3:31" x14ac:dyDescent="0.25">
      <c r="C2089" s="201"/>
      <c r="E2089" s="201"/>
      <c r="F2089" s="201"/>
      <c r="I2089" s="198" t="s">
        <v>170</v>
      </c>
      <c r="J2089" s="198" t="s">
        <v>167</v>
      </c>
      <c r="K2089" s="202">
        <f t="shared" si="32"/>
        <v>1069980</v>
      </c>
      <c r="L2089" s="202">
        <v>209.8</v>
      </c>
      <c r="N2089" s="202">
        <v>138807</v>
      </c>
      <c r="S2089" s="203"/>
      <c r="W2089" s="198" t="s">
        <v>51</v>
      </c>
      <c r="AE2089" s="198" t="s">
        <v>831</v>
      </c>
    </row>
    <row r="2090" spans="3:31" x14ac:dyDescent="0.25">
      <c r="C2090" s="201"/>
      <c r="E2090" s="201"/>
      <c r="F2090" s="201"/>
      <c r="I2090" s="198" t="s">
        <v>170</v>
      </c>
      <c r="J2090" s="198" t="s">
        <v>167</v>
      </c>
      <c r="K2090" s="202">
        <f t="shared" si="32"/>
        <v>1070490</v>
      </c>
      <c r="L2090" s="202">
        <v>209.9</v>
      </c>
      <c r="N2090" s="202">
        <v>110642.4</v>
      </c>
      <c r="S2090" s="203"/>
      <c r="W2090" s="198" t="s">
        <v>51</v>
      </c>
      <c r="AE2090" s="198" t="s">
        <v>831</v>
      </c>
    </row>
    <row r="2091" spans="3:31" x14ac:dyDescent="0.25">
      <c r="C2091" s="201"/>
      <c r="E2091" s="201"/>
      <c r="F2091" s="201"/>
      <c r="I2091" s="198" t="s">
        <v>170</v>
      </c>
      <c r="J2091" s="198" t="s">
        <v>167</v>
      </c>
      <c r="K2091" s="202">
        <f t="shared" si="32"/>
        <v>1071000</v>
      </c>
      <c r="L2091" s="202">
        <v>210</v>
      </c>
      <c r="N2091" s="202">
        <v>144814.5</v>
      </c>
      <c r="S2091" s="203"/>
      <c r="W2091" s="198" t="s">
        <v>51</v>
      </c>
      <c r="AE2091" s="198" t="s">
        <v>831</v>
      </c>
    </row>
    <row r="2092" spans="3:31" x14ac:dyDescent="0.25">
      <c r="C2092" s="201"/>
      <c r="E2092" s="201"/>
      <c r="F2092" s="201"/>
      <c r="I2092" s="198" t="s">
        <v>170</v>
      </c>
      <c r="J2092" s="198" t="s">
        <v>167</v>
      </c>
      <c r="K2092" s="202">
        <f t="shared" si="32"/>
        <v>1071510</v>
      </c>
      <c r="L2092" s="202">
        <v>210.1</v>
      </c>
      <c r="N2092" s="202">
        <v>1380972</v>
      </c>
      <c r="S2092" s="203"/>
      <c r="W2092" s="198" t="s">
        <v>51</v>
      </c>
      <c r="AE2092" s="198" t="s">
        <v>831</v>
      </c>
    </row>
    <row r="2093" spans="3:31" x14ac:dyDescent="0.25">
      <c r="C2093" s="201"/>
      <c r="E2093" s="201"/>
      <c r="F2093" s="201"/>
      <c r="I2093" s="198" t="s">
        <v>170</v>
      </c>
      <c r="J2093" s="198" t="s">
        <v>167</v>
      </c>
      <c r="K2093" s="202">
        <f t="shared" si="32"/>
        <v>1072020</v>
      </c>
      <c r="L2093" s="202">
        <v>210.2</v>
      </c>
      <c r="N2093" s="202">
        <v>80132.800000000003</v>
      </c>
      <c r="S2093" s="203"/>
      <c r="W2093" s="198" t="s">
        <v>51</v>
      </c>
      <c r="AE2093" s="198" t="s">
        <v>831</v>
      </c>
    </row>
    <row r="2094" spans="3:31" x14ac:dyDescent="0.25">
      <c r="C2094" s="201"/>
      <c r="E2094" s="201"/>
      <c r="F2094" s="201"/>
      <c r="I2094" s="198" t="s">
        <v>170</v>
      </c>
      <c r="J2094" s="198" t="s">
        <v>167</v>
      </c>
      <c r="K2094" s="202">
        <f t="shared" si="32"/>
        <v>1072530</v>
      </c>
      <c r="L2094" s="202">
        <v>210.3</v>
      </c>
      <c r="N2094" s="202">
        <v>148110.38</v>
      </c>
      <c r="S2094" s="203"/>
      <c r="W2094" s="198" t="s">
        <v>51</v>
      </c>
      <c r="AE2094" s="198" t="s">
        <v>831</v>
      </c>
    </row>
    <row r="2095" spans="3:31" x14ac:dyDescent="0.25">
      <c r="C2095" s="201"/>
      <c r="E2095" s="201"/>
      <c r="F2095" s="201"/>
      <c r="I2095" s="198" t="s">
        <v>171</v>
      </c>
      <c r="J2095" s="198" t="s">
        <v>167</v>
      </c>
      <c r="K2095" s="202">
        <f t="shared" si="32"/>
        <v>1073040</v>
      </c>
      <c r="L2095" s="202">
        <v>210.4</v>
      </c>
      <c r="N2095" s="202">
        <v>52027.8</v>
      </c>
      <c r="S2095" s="203"/>
      <c r="W2095" s="198" t="s">
        <v>51</v>
      </c>
      <c r="AE2095" s="198" t="s">
        <v>831</v>
      </c>
    </row>
    <row r="2096" spans="3:31" x14ac:dyDescent="0.25">
      <c r="C2096" s="201"/>
      <c r="E2096" s="201"/>
      <c r="F2096" s="201"/>
      <c r="I2096" s="198" t="s">
        <v>171</v>
      </c>
      <c r="J2096" s="198" t="s">
        <v>167</v>
      </c>
      <c r="K2096" s="202">
        <f t="shared" si="32"/>
        <v>1073550</v>
      </c>
      <c r="L2096" s="202">
        <v>210.5</v>
      </c>
      <c r="N2096" s="202">
        <v>131200</v>
      </c>
      <c r="S2096" s="204"/>
      <c r="W2096" s="198" t="s">
        <v>51</v>
      </c>
      <c r="AE2096" s="198" t="s">
        <v>831</v>
      </c>
    </row>
    <row r="2097" spans="3:31" x14ac:dyDescent="0.25">
      <c r="C2097" s="201"/>
      <c r="E2097" s="201"/>
      <c r="F2097" s="201"/>
      <c r="I2097" s="198" t="s">
        <v>171</v>
      </c>
      <c r="J2097" s="198" t="s">
        <v>167</v>
      </c>
      <c r="K2097" s="202">
        <f t="shared" si="32"/>
        <v>1074060</v>
      </c>
      <c r="L2097" s="202">
        <v>210.6</v>
      </c>
      <c r="N2097" s="202">
        <v>934935</v>
      </c>
      <c r="S2097" s="203"/>
      <c r="W2097" s="198" t="s">
        <v>51</v>
      </c>
      <c r="AE2097" s="198" t="s">
        <v>831</v>
      </c>
    </row>
    <row r="2098" spans="3:31" x14ac:dyDescent="0.25">
      <c r="C2098" s="201"/>
      <c r="E2098" s="201"/>
      <c r="F2098" s="201"/>
      <c r="I2098" s="198" t="s">
        <v>171</v>
      </c>
      <c r="J2098" s="198" t="s">
        <v>167</v>
      </c>
      <c r="K2098" s="202">
        <f t="shared" si="32"/>
        <v>1074570</v>
      </c>
      <c r="L2098" s="202">
        <v>210.7</v>
      </c>
      <c r="N2098" s="202">
        <v>292648</v>
      </c>
      <c r="S2098" s="203"/>
      <c r="W2098" s="198" t="s">
        <v>51</v>
      </c>
      <c r="AE2098" s="198" t="s">
        <v>831</v>
      </c>
    </row>
    <row r="2099" spans="3:31" x14ac:dyDescent="0.25">
      <c r="C2099" s="201"/>
      <c r="E2099" s="201"/>
      <c r="F2099" s="201"/>
      <c r="I2099" s="198" t="s">
        <v>171</v>
      </c>
      <c r="J2099" s="198" t="s">
        <v>167</v>
      </c>
      <c r="K2099" s="202">
        <f t="shared" si="32"/>
        <v>1075080</v>
      </c>
      <c r="L2099" s="202">
        <v>210.8</v>
      </c>
      <c r="N2099" s="202">
        <v>280278.25</v>
      </c>
      <c r="S2099" s="203"/>
      <c r="W2099" s="198" t="s">
        <v>51</v>
      </c>
      <c r="AE2099" s="198" t="s">
        <v>831</v>
      </c>
    </row>
    <row r="2100" spans="3:31" x14ac:dyDescent="0.25">
      <c r="C2100" s="201"/>
      <c r="E2100" s="201"/>
      <c r="F2100" s="201"/>
      <c r="I2100" s="198" t="s">
        <v>171</v>
      </c>
      <c r="J2100" s="198" t="s">
        <v>167</v>
      </c>
      <c r="K2100" s="202">
        <f t="shared" si="32"/>
        <v>1075590</v>
      </c>
      <c r="L2100" s="202">
        <v>210.9</v>
      </c>
      <c r="N2100" s="202">
        <v>53820</v>
      </c>
      <c r="S2100" s="203"/>
      <c r="W2100" s="198" t="s">
        <v>51</v>
      </c>
      <c r="AE2100" s="198" t="s">
        <v>831</v>
      </c>
    </row>
    <row r="2101" spans="3:31" x14ac:dyDescent="0.25">
      <c r="C2101" s="201"/>
      <c r="E2101" s="201"/>
      <c r="F2101" s="201"/>
      <c r="I2101" s="198" t="s">
        <v>173</v>
      </c>
      <c r="J2101" s="198" t="s">
        <v>167</v>
      </c>
      <c r="K2101" s="202">
        <f t="shared" si="32"/>
        <v>1076100</v>
      </c>
      <c r="L2101" s="202">
        <v>211</v>
      </c>
      <c r="N2101" s="202">
        <v>52800</v>
      </c>
      <c r="S2101" s="204"/>
      <c r="W2101" s="198" t="s">
        <v>51</v>
      </c>
      <c r="AE2101" s="198" t="s">
        <v>831</v>
      </c>
    </row>
    <row r="2102" spans="3:31" x14ac:dyDescent="0.25">
      <c r="C2102" s="201"/>
      <c r="E2102" s="201"/>
      <c r="F2102" s="201"/>
      <c r="I2102" s="198" t="s">
        <v>173</v>
      </c>
      <c r="J2102" s="198" t="s">
        <v>167</v>
      </c>
      <c r="K2102" s="202">
        <f t="shared" si="32"/>
        <v>1076610</v>
      </c>
      <c r="L2102" s="202">
        <v>211.1</v>
      </c>
      <c r="N2102" s="202">
        <v>610147</v>
      </c>
      <c r="S2102" s="203"/>
      <c r="W2102" s="198" t="s">
        <v>51</v>
      </c>
      <c r="AE2102" s="198" t="s">
        <v>831</v>
      </c>
    </row>
    <row r="2103" spans="3:31" x14ac:dyDescent="0.25">
      <c r="C2103" s="201"/>
      <c r="E2103" s="201"/>
      <c r="F2103" s="201"/>
      <c r="I2103" s="198" t="s">
        <v>173</v>
      </c>
      <c r="J2103" s="198" t="s">
        <v>167</v>
      </c>
      <c r="K2103" s="202">
        <f t="shared" si="32"/>
        <v>1077120</v>
      </c>
      <c r="L2103" s="202">
        <v>211.2</v>
      </c>
      <c r="N2103" s="202">
        <v>1365429</v>
      </c>
      <c r="S2103" s="203"/>
      <c r="W2103" s="198" t="s">
        <v>51</v>
      </c>
      <c r="AE2103" s="198" t="s">
        <v>831</v>
      </c>
    </row>
    <row r="2104" spans="3:31" x14ac:dyDescent="0.25">
      <c r="C2104" s="201"/>
      <c r="E2104" s="201"/>
      <c r="F2104" s="201"/>
      <c r="I2104" s="198" t="s">
        <v>173</v>
      </c>
      <c r="J2104" s="198" t="s">
        <v>167</v>
      </c>
      <c r="K2104" s="202">
        <f t="shared" si="32"/>
        <v>1077630</v>
      </c>
      <c r="L2104" s="202">
        <v>211.3</v>
      </c>
      <c r="N2104" s="202">
        <v>382860.2</v>
      </c>
      <c r="S2104" s="203"/>
      <c r="W2104" s="198" t="s">
        <v>51</v>
      </c>
      <c r="AE2104" s="198" t="s">
        <v>831</v>
      </c>
    </row>
    <row r="2105" spans="3:31" x14ac:dyDescent="0.25">
      <c r="C2105" s="201"/>
      <c r="E2105" s="201"/>
      <c r="F2105" s="201"/>
      <c r="I2105" s="198" t="s">
        <v>173</v>
      </c>
      <c r="J2105" s="198" t="s">
        <v>167</v>
      </c>
      <c r="K2105" s="202">
        <f t="shared" si="32"/>
        <v>1078140</v>
      </c>
      <c r="L2105" s="202">
        <v>211.4</v>
      </c>
      <c r="N2105" s="202">
        <v>437271.63</v>
      </c>
      <c r="S2105" s="203"/>
      <c r="W2105" s="198" t="s">
        <v>51</v>
      </c>
      <c r="AE2105" s="198" t="s">
        <v>831</v>
      </c>
    </row>
    <row r="2106" spans="3:31" x14ac:dyDescent="0.25">
      <c r="C2106" s="201"/>
      <c r="E2106" s="201"/>
      <c r="F2106" s="201"/>
      <c r="I2106" s="198" t="s">
        <v>173</v>
      </c>
      <c r="J2106" s="198" t="s">
        <v>167</v>
      </c>
      <c r="K2106" s="202">
        <f t="shared" si="32"/>
        <v>1078650</v>
      </c>
      <c r="L2106" s="202">
        <v>211.5</v>
      </c>
      <c r="N2106" s="202">
        <v>135930</v>
      </c>
      <c r="S2106" s="203"/>
      <c r="W2106" s="198" t="s">
        <v>51</v>
      </c>
      <c r="AE2106" s="198" t="s">
        <v>831</v>
      </c>
    </row>
    <row r="2107" spans="3:31" x14ac:dyDescent="0.25">
      <c r="C2107" s="201"/>
      <c r="E2107" s="201"/>
      <c r="F2107" s="201"/>
      <c r="I2107" s="198" t="s">
        <v>77</v>
      </c>
      <c r="J2107" s="198" t="s">
        <v>65</v>
      </c>
      <c r="K2107" s="202">
        <f t="shared" si="32"/>
        <v>1079160</v>
      </c>
      <c r="L2107" s="202">
        <v>211.6</v>
      </c>
      <c r="N2107" s="202">
        <v>687937.99</v>
      </c>
      <c r="S2107" s="203"/>
      <c r="W2107" s="198" t="s">
        <v>51</v>
      </c>
      <c r="AE2107" s="198" t="s">
        <v>831</v>
      </c>
    </row>
    <row r="2108" spans="3:31" x14ac:dyDescent="0.25">
      <c r="C2108" s="201"/>
      <c r="E2108" s="201"/>
      <c r="F2108" s="201"/>
      <c r="I2108" s="198" t="s">
        <v>77</v>
      </c>
      <c r="J2108" s="198" t="s">
        <v>65</v>
      </c>
      <c r="K2108" s="202">
        <f t="shared" si="32"/>
        <v>1079670</v>
      </c>
      <c r="L2108" s="202">
        <v>211.7</v>
      </c>
      <c r="N2108" s="202">
        <v>176691.4</v>
      </c>
      <c r="S2108" s="203"/>
      <c r="W2108" s="198" t="s">
        <v>51</v>
      </c>
      <c r="AE2108" s="198" t="s">
        <v>831</v>
      </c>
    </row>
    <row r="2109" spans="3:31" x14ac:dyDescent="0.25">
      <c r="C2109" s="201"/>
      <c r="E2109" s="201"/>
      <c r="F2109" s="201"/>
      <c r="I2109" s="198" t="s">
        <v>77</v>
      </c>
      <c r="J2109" s="198" t="s">
        <v>65</v>
      </c>
      <c r="K2109" s="202">
        <f t="shared" si="32"/>
        <v>1080180</v>
      </c>
      <c r="L2109" s="202">
        <v>211.8</v>
      </c>
      <c r="N2109" s="202">
        <v>665168.14</v>
      </c>
      <c r="S2109" s="203"/>
      <c r="W2109" s="198" t="s">
        <v>51</v>
      </c>
      <c r="AE2109" s="198" t="s">
        <v>831</v>
      </c>
    </row>
    <row r="2110" spans="3:31" x14ac:dyDescent="0.25">
      <c r="C2110" s="201"/>
      <c r="E2110" s="201"/>
      <c r="F2110" s="201"/>
      <c r="I2110" s="198" t="s">
        <v>77</v>
      </c>
      <c r="J2110" s="198" t="s">
        <v>65</v>
      </c>
      <c r="K2110" s="202">
        <f t="shared" si="32"/>
        <v>1080690</v>
      </c>
      <c r="L2110" s="202">
        <v>211.9</v>
      </c>
      <c r="N2110" s="202">
        <v>230519.93</v>
      </c>
      <c r="S2110" s="203"/>
      <c r="W2110" s="198" t="s">
        <v>51</v>
      </c>
      <c r="AE2110" s="198" t="s">
        <v>831</v>
      </c>
    </row>
    <row r="2111" spans="3:31" x14ac:dyDescent="0.25">
      <c r="C2111" s="201"/>
      <c r="E2111" s="201"/>
      <c r="F2111" s="201"/>
      <c r="I2111" s="198" t="s">
        <v>77</v>
      </c>
      <c r="J2111" s="198" t="s">
        <v>65</v>
      </c>
      <c r="K2111" s="202">
        <f t="shared" si="32"/>
        <v>1081200</v>
      </c>
      <c r="L2111" s="202">
        <v>212</v>
      </c>
      <c r="N2111" s="202">
        <v>435615.07</v>
      </c>
      <c r="S2111" s="203"/>
      <c r="W2111" s="198" t="s">
        <v>51</v>
      </c>
      <c r="AE2111" s="198" t="s">
        <v>831</v>
      </c>
    </row>
    <row r="2112" spans="3:31" x14ac:dyDescent="0.25">
      <c r="C2112" s="201"/>
      <c r="E2112" s="201"/>
      <c r="F2112" s="201"/>
      <c r="I2112" s="198" t="s">
        <v>77</v>
      </c>
      <c r="J2112" s="198" t="s">
        <v>65</v>
      </c>
      <c r="K2112" s="202">
        <f t="shared" si="32"/>
        <v>1081710</v>
      </c>
      <c r="L2112" s="202">
        <v>212.1</v>
      </c>
      <c r="N2112" s="202">
        <v>182672.34</v>
      </c>
      <c r="S2112" s="203"/>
      <c r="W2112" s="198" t="s">
        <v>51</v>
      </c>
      <c r="AE2112" s="198" t="s">
        <v>831</v>
      </c>
    </row>
    <row r="2113" spans="3:31" x14ac:dyDescent="0.25">
      <c r="C2113" s="201"/>
      <c r="E2113" s="201"/>
      <c r="F2113" s="201"/>
      <c r="I2113" s="198" t="s">
        <v>129</v>
      </c>
      <c r="J2113" s="198" t="s">
        <v>130</v>
      </c>
      <c r="K2113" s="202">
        <f t="shared" si="32"/>
        <v>1082220</v>
      </c>
      <c r="L2113" s="202">
        <v>212.2</v>
      </c>
      <c r="N2113" s="202">
        <v>23000000</v>
      </c>
      <c r="S2113" s="204"/>
      <c r="W2113" s="198" t="s">
        <v>51</v>
      </c>
      <c r="AE2113" s="198" t="s">
        <v>833</v>
      </c>
    </row>
    <row r="2114" spans="3:31" x14ac:dyDescent="0.25">
      <c r="C2114" s="201"/>
      <c r="E2114" s="201"/>
      <c r="F2114" s="201"/>
      <c r="I2114" s="198" t="s">
        <v>129</v>
      </c>
      <c r="J2114" s="198" t="s">
        <v>130</v>
      </c>
      <c r="K2114" s="202">
        <f t="shared" si="32"/>
        <v>1082730</v>
      </c>
      <c r="L2114" s="202">
        <v>212.3</v>
      </c>
      <c r="N2114" s="202">
        <v>23000000</v>
      </c>
      <c r="S2114" s="204"/>
      <c r="W2114" s="198" t="s">
        <v>51</v>
      </c>
      <c r="AE2114" s="198" t="s">
        <v>833</v>
      </c>
    </row>
    <row r="2115" spans="3:31" x14ac:dyDescent="0.25">
      <c r="C2115" s="201"/>
      <c r="E2115" s="201"/>
      <c r="F2115" s="201"/>
      <c r="I2115" s="198" t="s">
        <v>131</v>
      </c>
      <c r="J2115" s="198" t="s">
        <v>132</v>
      </c>
      <c r="K2115" s="202">
        <f t="shared" ref="K2115:K2178" si="33">L2115*5100</f>
        <v>1083240</v>
      </c>
      <c r="L2115" s="202">
        <v>212.4</v>
      </c>
      <c r="N2115" s="202">
        <v>4371354</v>
      </c>
      <c r="S2115" s="204"/>
      <c r="W2115" s="198" t="s">
        <v>51</v>
      </c>
      <c r="AE2115" s="198" t="s">
        <v>833</v>
      </c>
    </row>
    <row r="2116" spans="3:31" x14ac:dyDescent="0.25">
      <c r="C2116" s="201"/>
      <c r="E2116" s="201"/>
      <c r="F2116" s="201"/>
      <c r="I2116" s="198" t="s">
        <v>129</v>
      </c>
      <c r="J2116" s="198" t="s">
        <v>130</v>
      </c>
      <c r="K2116" s="202">
        <f t="shared" si="33"/>
        <v>1083750</v>
      </c>
      <c r="L2116" s="202">
        <v>212.5</v>
      </c>
      <c r="N2116" s="202">
        <v>-23000000</v>
      </c>
      <c r="S2116" s="204"/>
      <c r="W2116" s="198" t="s">
        <v>51</v>
      </c>
      <c r="AE2116" s="198" t="s">
        <v>833</v>
      </c>
    </row>
    <row r="2117" spans="3:31" x14ac:dyDescent="0.25">
      <c r="C2117" s="201"/>
      <c r="E2117" s="201"/>
      <c r="F2117" s="201"/>
      <c r="I2117" s="198" t="s">
        <v>129</v>
      </c>
      <c r="J2117" s="198" t="s">
        <v>130</v>
      </c>
      <c r="K2117" s="202">
        <f t="shared" si="33"/>
        <v>1084260</v>
      </c>
      <c r="L2117" s="202">
        <v>212.6</v>
      </c>
      <c r="N2117" s="202">
        <v>-23000000</v>
      </c>
      <c r="S2117" s="204"/>
      <c r="W2117" s="198" t="s">
        <v>51</v>
      </c>
      <c r="AE2117" s="198" t="s">
        <v>833</v>
      </c>
    </row>
    <row r="2118" spans="3:31" x14ac:dyDescent="0.25">
      <c r="C2118" s="201"/>
      <c r="E2118" s="201"/>
      <c r="F2118" s="201"/>
      <c r="I2118" s="198" t="s">
        <v>129</v>
      </c>
      <c r="J2118" s="198" t="s">
        <v>130</v>
      </c>
      <c r="K2118" s="202">
        <f t="shared" si="33"/>
        <v>1084770</v>
      </c>
      <c r="L2118" s="202">
        <v>212.7</v>
      </c>
      <c r="N2118" s="202">
        <v>23000000</v>
      </c>
      <c r="S2118" s="204"/>
      <c r="W2118" s="198" t="s">
        <v>51</v>
      </c>
      <c r="AE2118" s="198" t="s">
        <v>833</v>
      </c>
    </row>
    <row r="2119" spans="3:31" x14ac:dyDescent="0.25">
      <c r="C2119" s="201"/>
      <c r="E2119" s="201"/>
      <c r="F2119" s="201"/>
      <c r="I2119" s="198" t="s">
        <v>129</v>
      </c>
      <c r="J2119" s="198" t="s">
        <v>130</v>
      </c>
      <c r="K2119" s="202">
        <f t="shared" si="33"/>
        <v>1085280</v>
      </c>
      <c r="L2119" s="202">
        <v>212.8</v>
      </c>
      <c r="N2119" s="202">
        <v>23000000</v>
      </c>
      <c r="S2119" s="204"/>
      <c r="W2119" s="198" t="s">
        <v>51</v>
      </c>
      <c r="AE2119" s="198" t="s">
        <v>833</v>
      </c>
    </row>
    <row r="2120" spans="3:31" x14ac:dyDescent="0.25">
      <c r="C2120" s="201"/>
      <c r="E2120" s="201"/>
      <c r="F2120" s="201"/>
      <c r="I2120" s="198" t="s">
        <v>215</v>
      </c>
      <c r="J2120" s="198" t="s">
        <v>89</v>
      </c>
      <c r="K2120" s="202">
        <f t="shared" si="33"/>
        <v>1085790</v>
      </c>
      <c r="L2120" s="202">
        <v>212.9</v>
      </c>
      <c r="N2120" s="202">
        <v>354290</v>
      </c>
      <c r="S2120" s="204"/>
      <c r="W2120" s="198" t="s">
        <v>51</v>
      </c>
      <c r="AE2120" s="198" t="s">
        <v>831</v>
      </c>
    </row>
    <row r="2121" spans="3:31" x14ac:dyDescent="0.25">
      <c r="C2121" s="201"/>
      <c r="E2121" s="201"/>
      <c r="F2121" s="201"/>
      <c r="I2121" s="198" t="s">
        <v>215</v>
      </c>
      <c r="J2121" s="198" t="s">
        <v>89</v>
      </c>
      <c r="K2121" s="202">
        <f t="shared" si="33"/>
        <v>1086300</v>
      </c>
      <c r="L2121" s="202">
        <v>213</v>
      </c>
      <c r="N2121" s="202">
        <v>354290</v>
      </c>
      <c r="S2121" s="204"/>
      <c r="W2121" s="198" t="s">
        <v>51</v>
      </c>
      <c r="AE2121" s="198" t="s">
        <v>831</v>
      </c>
    </row>
    <row r="2122" spans="3:31" x14ac:dyDescent="0.25">
      <c r="C2122" s="201"/>
      <c r="E2122" s="201"/>
      <c r="F2122" s="201"/>
      <c r="I2122" s="198" t="s">
        <v>215</v>
      </c>
      <c r="J2122" s="198" t="s">
        <v>89</v>
      </c>
      <c r="K2122" s="202">
        <f t="shared" si="33"/>
        <v>1086810</v>
      </c>
      <c r="L2122" s="202">
        <v>213.1</v>
      </c>
      <c r="N2122" s="202">
        <v>354290</v>
      </c>
      <c r="S2122" s="204"/>
      <c r="W2122" s="198" t="s">
        <v>51</v>
      </c>
      <c r="AE2122" s="198" t="s">
        <v>831</v>
      </c>
    </row>
    <row r="2123" spans="3:31" x14ac:dyDescent="0.25">
      <c r="C2123" s="201"/>
      <c r="E2123" s="201"/>
      <c r="F2123" s="201"/>
      <c r="I2123" s="198" t="s">
        <v>215</v>
      </c>
      <c r="J2123" s="198" t="s">
        <v>89</v>
      </c>
      <c r="K2123" s="202">
        <f t="shared" si="33"/>
        <v>1087320</v>
      </c>
      <c r="L2123" s="202">
        <v>213.2</v>
      </c>
      <c r="N2123" s="202">
        <v>354290</v>
      </c>
      <c r="S2123" s="204"/>
      <c r="W2123" s="198" t="s">
        <v>51</v>
      </c>
      <c r="AE2123" s="198" t="s">
        <v>831</v>
      </c>
    </row>
    <row r="2124" spans="3:31" x14ac:dyDescent="0.25">
      <c r="C2124" s="201"/>
      <c r="E2124" s="201"/>
      <c r="F2124" s="201"/>
      <c r="I2124" s="198" t="s">
        <v>215</v>
      </c>
      <c r="J2124" s="198" t="s">
        <v>89</v>
      </c>
      <c r="K2124" s="202">
        <f t="shared" si="33"/>
        <v>1087830</v>
      </c>
      <c r="L2124" s="202">
        <v>213.3</v>
      </c>
      <c r="N2124" s="202">
        <v>354290</v>
      </c>
      <c r="S2124" s="204"/>
      <c r="W2124" s="198" t="s">
        <v>51</v>
      </c>
      <c r="AE2124" s="198" t="s">
        <v>831</v>
      </c>
    </row>
    <row r="2125" spans="3:31" x14ac:dyDescent="0.25">
      <c r="C2125" s="201"/>
      <c r="E2125" s="201"/>
      <c r="F2125" s="201"/>
      <c r="I2125" s="198" t="s">
        <v>215</v>
      </c>
      <c r="J2125" s="198" t="s">
        <v>89</v>
      </c>
      <c r="K2125" s="202">
        <f t="shared" si="33"/>
        <v>1088340</v>
      </c>
      <c r="L2125" s="202">
        <v>213.4</v>
      </c>
      <c r="N2125" s="202">
        <v>354290</v>
      </c>
      <c r="S2125" s="204"/>
      <c r="W2125" s="198" t="s">
        <v>51</v>
      </c>
      <c r="AE2125" s="198" t="s">
        <v>831</v>
      </c>
    </row>
    <row r="2126" spans="3:31" x14ac:dyDescent="0.25">
      <c r="C2126" s="201"/>
      <c r="E2126" s="201"/>
      <c r="F2126" s="201"/>
      <c r="I2126" s="198" t="s">
        <v>215</v>
      </c>
      <c r="J2126" s="198" t="s">
        <v>89</v>
      </c>
      <c r="K2126" s="202">
        <f t="shared" si="33"/>
        <v>1088850</v>
      </c>
      <c r="L2126" s="202">
        <v>213.5</v>
      </c>
      <c r="N2126" s="202">
        <v>354290</v>
      </c>
      <c r="S2126" s="204"/>
      <c r="W2126" s="198" t="s">
        <v>51</v>
      </c>
      <c r="AE2126" s="198" t="s">
        <v>831</v>
      </c>
    </row>
    <row r="2127" spans="3:31" x14ac:dyDescent="0.25">
      <c r="C2127" s="201"/>
      <c r="E2127" s="201"/>
      <c r="F2127" s="201"/>
      <c r="I2127" s="198" t="s">
        <v>215</v>
      </c>
      <c r="J2127" s="198" t="s">
        <v>89</v>
      </c>
      <c r="K2127" s="202">
        <f t="shared" si="33"/>
        <v>1089360</v>
      </c>
      <c r="L2127" s="202">
        <v>213.6</v>
      </c>
      <c r="N2127" s="202">
        <v>354290</v>
      </c>
      <c r="S2127" s="204"/>
      <c r="W2127" s="198" t="s">
        <v>51</v>
      </c>
      <c r="AE2127" s="198" t="s">
        <v>831</v>
      </c>
    </row>
    <row r="2128" spans="3:31" x14ac:dyDescent="0.25">
      <c r="C2128" s="201"/>
      <c r="E2128" s="201"/>
      <c r="F2128" s="201"/>
      <c r="I2128" s="198" t="s">
        <v>843</v>
      </c>
      <c r="J2128" s="198" t="s">
        <v>137</v>
      </c>
      <c r="K2128" s="202">
        <f t="shared" si="33"/>
        <v>1089870</v>
      </c>
      <c r="L2128" s="202">
        <v>213.7</v>
      </c>
      <c r="N2128" s="202">
        <v>3.25</v>
      </c>
      <c r="S2128" s="203"/>
      <c r="W2128" s="198" t="s">
        <v>51</v>
      </c>
      <c r="AE2128" s="198" t="s">
        <v>54</v>
      </c>
    </row>
    <row r="2129" spans="3:31" x14ac:dyDescent="0.25">
      <c r="C2129" s="201"/>
      <c r="E2129" s="201"/>
      <c r="F2129" s="201"/>
      <c r="I2129" s="198" t="s">
        <v>215</v>
      </c>
      <c r="J2129" s="198" t="s">
        <v>89</v>
      </c>
      <c r="K2129" s="202">
        <f t="shared" si="33"/>
        <v>1090380</v>
      </c>
      <c r="L2129" s="202">
        <v>213.8</v>
      </c>
      <c r="N2129" s="202">
        <v>354290</v>
      </c>
      <c r="S2129" s="204"/>
      <c r="W2129" s="198" t="s">
        <v>51</v>
      </c>
      <c r="AE2129" s="198" t="s">
        <v>831</v>
      </c>
    </row>
    <row r="2130" spans="3:31" x14ac:dyDescent="0.25">
      <c r="C2130" s="201"/>
      <c r="E2130" s="201"/>
      <c r="F2130" s="201"/>
      <c r="I2130" s="198" t="s">
        <v>215</v>
      </c>
      <c r="J2130" s="198" t="s">
        <v>89</v>
      </c>
      <c r="K2130" s="202">
        <f t="shared" si="33"/>
        <v>1090890</v>
      </c>
      <c r="L2130" s="202">
        <v>213.9</v>
      </c>
      <c r="N2130" s="202">
        <v>354290</v>
      </c>
      <c r="S2130" s="204"/>
      <c r="W2130" s="198" t="s">
        <v>51</v>
      </c>
      <c r="AE2130" s="198" t="s">
        <v>831</v>
      </c>
    </row>
    <row r="2131" spans="3:31" x14ac:dyDescent="0.25">
      <c r="C2131" s="201"/>
      <c r="E2131" s="201"/>
      <c r="F2131" s="201"/>
      <c r="I2131" s="198" t="s">
        <v>122</v>
      </c>
      <c r="J2131" s="198" t="s">
        <v>126</v>
      </c>
      <c r="K2131" s="202">
        <f t="shared" si="33"/>
        <v>1091400</v>
      </c>
      <c r="L2131" s="202">
        <v>214</v>
      </c>
      <c r="N2131" s="202">
        <v>163100</v>
      </c>
      <c r="S2131" s="204"/>
      <c r="W2131" s="198" t="s">
        <v>51</v>
      </c>
      <c r="AE2131" s="198" t="s">
        <v>835</v>
      </c>
    </row>
    <row r="2132" spans="3:31" x14ac:dyDescent="0.25">
      <c r="C2132" s="201"/>
      <c r="E2132" s="201"/>
      <c r="F2132" s="201"/>
      <c r="I2132" s="198" t="s">
        <v>122</v>
      </c>
      <c r="J2132" s="198" t="s">
        <v>126</v>
      </c>
      <c r="K2132" s="202">
        <f t="shared" si="33"/>
        <v>1091910</v>
      </c>
      <c r="L2132" s="202">
        <v>214.1</v>
      </c>
      <c r="N2132" s="202">
        <v>162330</v>
      </c>
      <c r="S2132" s="204"/>
      <c r="W2132" s="198" t="s">
        <v>51</v>
      </c>
      <c r="AE2132" s="198" t="s">
        <v>835</v>
      </c>
    </row>
    <row r="2133" spans="3:31" x14ac:dyDescent="0.25">
      <c r="C2133" s="201"/>
      <c r="E2133" s="201"/>
      <c r="F2133" s="201"/>
      <c r="I2133" s="198" t="s">
        <v>129</v>
      </c>
      <c r="J2133" s="198" t="s">
        <v>130</v>
      </c>
      <c r="K2133" s="202">
        <f t="shared" si="33"/>
        <v>1092420</v>
      </c>
      <c r="L2133" s="202">
        <v>214.2</v>
      </c>
      <c r="N2133" s="202">
        <v>166328</v>
      </c>
      <c r="S2133" s="204"/>
      <c r="W2133" s="198" t="s">
        <v>51</v>
      </c>
      <c r="AE2133" s="198" t="s">
        <v>833</v>
      </c>
    </row>
    <row r="2134" spans="3:31" x14ac:dyDescent="0.25">
      <c r="C2134" s="201"/>
      <c r="E2134" s="201"/>
      <c r="F2134" s="201"/>
      <c r="I2134" s="198" t="s">
        <v>131</v>
      </c>
      <c r="J2134" s="198" t="s">
        <v>132</v>
      </c>
      <c r="K2134" s="202">
        <f t="shared" si="33"/>
        <v>1092930</v>
      </c>
      <c r="L2134" s="202">
        <v>214.3</v>
      </c>
      <c r="N2134" s="202">
        <v>166328</v>
      </c>
      <c r="S2134" s="204"/>
      <c r="W2134" s="198" t="s">
        <v>51</v>
      </c>
      <c r="AE2134" s="198" t="s">
        <v>833</v>
      </c>
    </row>
    <row r="2135" spans="3:31" x14ac:dyDescent="0.25">
      <c r="C2135" s="201"/>
      <c r="E2135" s="201"/>
      <c r="F2135" s="201"/>
      <c r="I2135" s="198" t="s">
        <v>129</v>
      </c>
      <c r="J2135" s="198" t="s">
        <v>130</v>
      </c>
      <c r="K2135" s="202">
        <f t="shared" si="33"/>
        <v>1093440</v>
      </c>
      <c r="L2135" s="202">
        <v>214.4</v>
      </c>
      <c r="N2135" s="202">
        <v>-166328</v>
      </c>
      <c r="S2135" s="204"/>
      <c r="W2135" s="198" t="s">
        <v>51</v>
      </c>
      <c r="AE2135" s="198" t="s">
        <v>833</v>
      </c>
    </row>
    <row r="2136" spans="3:31" x14ac:dyDescent="0.25">
      <c r="C2136" s="201"/>
      <c r="E2136" s="201"/>
      <c r="F2136" s="201"/>
      <c r="I2136" s="198" t="s">
        <v>122</v>
      </c>
      <c r="J2136" s="198" t="s">
        <v>126</v>
      </c>
      <c r="K2136" s="202">
        <f t="shared" si="33"/>
        <v>1093950</v>
      </c>
      <c r="L2136" s="202">
        <v>214.5</v>
      </c>
      <c r="N2136" s="202">
        <v>166328</v>
      </c>
      <c r="S2136" s="204"/>
      <c r="W2136" s="198" t="s">
        <v>51</v>
      </c>
      <c r="AE2136" s="198" t="s">
        <v>833</v>
      </c>
    </row>
    <row r="2137" spans="3:31" x14ac:dyDescent="0.25">
      <c r="C2137" s="201"/>
      <c r="E2137" s="201"/>
      <c r="F2137" s="201"/>
      <c r="I2137" s="198" t="s">
        <v>77</v>
      </c>
      <c r="J2137" s="198" t="s">
        <v>65</v>
      </c>
      <c r="K2137" s="202">
        <f t="shared" si="33"/>
        <v>1094460</v>
      </c>
      <c r="L2137" s="202">
        <v>214.6</v>
      </c>
      <c r="N2137" s="202">
        <v>-0.49</v>
      </c>
      <c r="S2137" s="204"/>
      <c r="W2137" s="198" t="s">
        <v>51</v>
      </c>
      <c r="AE2137" s="198" t="s">
        <v>831</v>
      </c>
    </row>
    <row r="2138" spans="3:31" x14ac:dyDescent="0.25">
      <c r="C2138" s="201"/>
      <c r="E2138" s="201"/>
      <c r="F2138" s="201"/>
      <c r="I2138" s="198" t="s">
        <v>77</v>
      </c>
      <c r="J2138" s="198" t="s">
        <v>65</v>
      </c>
      <c r="K2138" s="202">
        <f t="shared" si="33"/>
        <v>1094970</v>
      </c>
      <c r="L2138" s="202">
        <v>214.7</v>
      </c>
      <c r="N2138" s="202">
        <v>0.4</v>
      </c>
      <c r="S2138" s="204"/>
      <c r="W2138" s="198" t="s">
        <v>51</v>
      </c>
      <c r="AE2138" s="198" t="s">
        <v>831</v>
      </c>
    </row>
    <row r="2139" spans="3:31" x14ac:dyDescent="0.25">
      <c r="C2139" s="201"/>
      <c r="E2139" s="201"/>
      <c r="F2139" s="201"/>
      <c r="I2139" s="198" t="s">
        <v>77</v>
      </c>
      <c r="J2139" s="198" t="s">
        <v>65</v>
      </c>
      <c r="K2139" s="202">
        <f t="shared" si="33"/>
        <v>1095480</v>
      </c>
      <c r="L2139" s="202">
        <v>214.8</v>
      </c>
      <c r="N2139" s="202">
        <v>-0.24</v>
      </c>
      <c r="S2139" s="204"/>
      <c r="W2139" s="198" t="s">
        <v>51</v>
      </c>
      <c r="AE2139" s="198" t="s">
        <v>831</v>
      </c>
    </row>
    <row r="2140" spans="3:31" x14ac:dyDescent="0.25">
      <c r="C2140" s="201"/>
      <c r="E2140" s="201"/>
      <c r="F2140" s="201"/>
      <c r="I2140" s="198" t="s">
        <v>77</v>
      </c>
      <c r="J2140" s="198" t="s">
        <v>65</v>
      </c>
      <c r="K2140" s="202">
        <f t="shared" si="33"/>
        <v>1095990</v>
      </c>
      <c r="L2140" s="202">
        <v>214.9</v>
      </c>
      <c r="N2140" s="202">
        <v>-0.34</v>
      </c>
      <c r="S2140" s="204"/>
      <c r="W2140" s="198" t="s">
        <v>51</v>
      </c>
      <c r="AE2140" s="198" t="s">
        <v>831</v>
      </c>
    </row>
    <row r="2141" spans="3:31" x14ac:dyDescent="0.25">
      <c r="C2141" s="201"/>
      <c r="E2141" s="201"/>
      <c r="F2141" s="201"/>
      <c r="I2141" s="198" t="s">
        <v>77</v>
      </c>
      <c r="J2141" s="198" t="s">
        <v>65</v>
      </c>
      <c r="K2141" s="202">
        <f t="shared" si="33"/>
        <v>1096500</v>
      </c>
      <c r="L2141" s="202">
        <v>215</v>
      </c>
      <c r="N2141" s="202">
        <v>0.49</v>
      </c>
      <c r="S2141" s="204"/>
      <c r="W2141" s="198" t="s">
        <v>51</v>
      </c>
      <c r="AE2141" s="198" t="s">
        <v>831</v>
      </c>
    </row>
    <row r="2142" spans="3:31" x14ac:dyDescent="0.25">
      <c r="C2142" s="201"/>
      <c r="E2142" s="201"/>
      <c r="F2142" s="201"/>
      <c r="I2142" s="198" t="s">
        <v>77</v>
      </c>
      <c r="J2142" s="198" t="s">
        <v>65</v>
      </c>
      <c r="K2142" s="202">
        <f t="shared" si="33"/>
        <v>1097010</v>
      </c>
      <c r="L2142" s="202">
        <v>215.1</v>
      </c>
      <c r="N2142" s="202">
        <v>0.12</v>
      </c>
      <c r="S2142" s="204"/>
      <c r="W2142" s="198" t="s">
        <v>51</v>
      </c>
      <c r="AE2142" s="198" t="s">
        <v>831</v>
      </c>
    </row>
    <row r="2143" spans="3:31" x14ac:dyDescent="0.25">
      <c r="C2143" s="201"/>
      <c r="E2143" s="201"/>
      <c r="F2143" s="201"/>
      <c r="I2143" s="198" t="s">
        <v>77</v>
      </c>
      <c r="J2143" s="198" t="s">
        <v>65</v>
      </c>
      <c r="K2143" s="202">
        <f t="shared" si="33"/>
        <v>1097520</v>
      </c>
      <c r="L2143" s="202">
        <v>215.2</v>
      </c>
      <c r="N2143" s="202">
        <v>-0.13</v>
      </c>
      <c r="S2143" s="204"/>
      <c r="W2143" s="198" t="s">
        <v>51</v>
      </c>
      <c r="AE2143" s="198" t="s">
        <v>831</v>
      </c>
    </row>
    <row r="2144" spans="3:31" x14ac:dyDescent="0.25">
      <c r="C2144" s="201"/>
      <c r="E2144" s="201"/>
      <c r="F2144" s="201"/>
      <c r="I2144" s="198" t="s">
        <v>77</v>
      </c>
      <c r="J2144" s="198" t="s">
        <v>65</v>
      </c>
      <c r="K2144" s="202">
        <f t="shared" si="33"/>
        <v>1098030</v>
      </c>
      <c r="L2144" s="202">
        <v>215.3</v>
      </c>
      <c r="N2144" s="202">
        <v>-0.4</v>
      </c>
      <c r="S2144" s="204"/>
      <c r="W2144" s="198" t="s">
        <v>51</v>
      </c>
      <c r="AE2144" s="198" t="s">
        <v>831</v>
      </c>
    </row>
    <row r="2145" spans="3:31" x14ac:dyDescent="0.25">
      <c r="C2145" s="201"/>
      <c r="E2145" s="201"/>
      <c r="F2145" s="201"/>
      <c r="I2145" s="198" t="s">
        <v>77</v>
      </c>
      <c r="J2145" s="198" t="s">
        <v>65</v>
      </c>
      <c r="K2145" s="202">
        <f t="shared" si="33"/>
        <v>1098540</v>
      </c>
      <c r="L2145" s="202">
        <v>215.4</v>
      </c>
      <c r="N2145" s="202">
        <v>-0.43</v>
      </c>
      <c r="S2145" s="204"/>
      <c r="W2145" s="198" t="s">
        <v>51</v>
      </c>
      <c r="AE2145" s="198" t="s">
        <v>831</v>
      </c>
    </row>
    <row r="2146" spans="3:31" x14ac:dyDescent="0.25">
      <c r="C2146" s="201"/>
      <c r="E2146" s="201"/>
      <c r="F2146" s="201"/>
      <c r="I2146" s="198" t="s">
        <v>77</v>
      </c>
      <c r="J2146" s="198" t="s">
        <v>65</v>
      </c>
      <c r="K2146" s="202">
        <f t="shared" si="33"/>
        <v>1099050</v>
      </c>
      <c r="L2146" s="202">
        <v>215.5</v>
      </c>
      <c r="N2146" s="202">
        <v>0.17</v>
      </c>
      <c r="S2146" s="204"/>
      <c r="W2146" s="198" t="s">
        <v>51</v>
      </c>
      <c r="AE2146" s="198" t="s">
        <v>831</v>
      </c>
    </row>
    <row r="2147" spans="3:31" x14ac:dyDescent="0.25">
      <c r="C2147" s="201"/>
      <c r="E2147" s="201"/>
      <c r="F2147" s="201"/>
      <c r="I2147" s="198" t="s">
        <v>77</v>
      </c>
      <c r="J2147" s="198" t="s">
        <v>65</v>
      </c>
      <c r="K2147" s="202">
        <f t="shared" si="33"/>
        <v>1099560</v>
      </c>
      <c r="L2147" s="202">
        <v>215.6</v>
      </c>
      <c r="N2147" s="202">
        <v>0.12</v>
      </c>
      <c r="S2147" s="204"/>
      <c r="W2147" s="198" t="s">
        <v>51</v>
      </c>
      <c r="AE2147" s="198" t="s">
        <v>831</v>
      </c>
    </row>
    <row r="2148" spans="3:31" x14ac:dyDescent="0.25">
      <c r="C2148" s="201"/>
      <c r="E2148" s="201"/>
      <c r="F2148" s="201"/>
      <c r="I2148" s="198" t="s">
        <v>77</v>
      </c>
      <c r="J2148" s="198" t="s">
        <v>65</v>
      </c>
      <c r="K2148" s="202">
        <f t="shared" si="33"/>
        <v>1100070</v>
      </c>
      <c r="L2148" s="202">
        <v>215.7</v>
      </c>
      <c r="N2148" s="202">
        <v>0.42</v>
      </c>
      <c r="S2148" s="204"/>
      <c r="W2148" s="198" t="s">
        <v>51</v>
      </c>
      <c r="AE2148" s="198" t="s">
        <v>831</v>
      </c>
    </row>
    <row r="2149" spans="3:31" x14ac:dyDescent="0.25">
      <c r="C2149" s="201"/>
      <c r="E2149" s="201"/>
      <c r="F2149" s="201"/>
      <c r="I2149" s="198" t="s">
        <v>77</v>
      </c>
      <c r="J2149" s="198" t="s">
        <v>65</v>
      </c>
      <c r="K2149" s="202">
        <f t="shared" si="33"/>
        <v>1100580</v>
      </c>
      <c r="L2149" s="202">
        <v>215.8</v>
      </c>
      <c r="N2149" s="202">
        <v>0.17</v>
      </c>
      <c r="S2149" s="204"/>
      <c r="W2149" s="198" t="s">
        <v>51</v>
      </c>
      <c r="AE2149" s="198" t="s">
        <v>831</v>
      </c>
    </row>
    <row r="2150" spans="3:31" x14ac:dyDescent="0.25">
      <c r="C2150" s="201"/>
      <c r="E2150" s="201"/>
      <c r="F2150" s="201"/>
      <c r="I2150" s="198" t="s">
        <v>77</v>
      </c>
      <c r="J2150" s="198" t="s">
        <v>65</v>
      </c>
      <c r="K2150" s="202">
        <f t="shared" si="33"/>
        <v>1101090</v>
      </c>
      <c r="L2150" s="202">
        <v>215.9</v>
      </c>
      <c r="N2150" s="202">
        <v>0.3</v>
      </c>
      <c r="S2150" s="204"/>
      <c r="W2150" s="198" t="s">
        <v>51</v>
      </c>
      <c r="AE2150" s="198" t="s">
        <v>831</v>
      </c>
    </row>
    <row r="2151" spans="3:31" x14ac:dyDescent="0.25">
      <c r="C2151" s="201"/>
      <c r="E2151" s="201"/>
      <c r="F2151" s="201"/>
      <c r="I2151" s="198" t="s">
        <v>77</v>
      </c>
      <c r="J2151" s="198" t="s">
        <v>65</v>
      </c>
      <c r="K2151" s="202">
        <f t="shared" si="33"/>
        <v>1101600</v>
      </c>
      <c r="L2151" s="202">
        <v>216</v>
      </c>
      <c r="N2151" s="202">
        <v>-0.19</v>
      </c>
      <c r="S2151" s="204"/>
      <c r="W2151" s="198" t="s">
        <v>51</v>
      </c>
      <c r="AE2151" s="198" t="s">
        <v>831</v>
      </c>
    </row>
    <row r="2152" spans="3:31" x14ac:dyDescent="0.25">
      <c r="C2152" s="201"/>
      <c r="E2152" s="201"/>
      <c r="F2152" s="201"/>
      <c r="I2152" s="198" t="s">
        <v>832</v>
      </c>
      <c r="J2152" s="198" t="s">
        <v>132</v>
      </c>
      <c r="K2152" s="202">
        <f t="shared" si="33"/>
        <v>1102110</v>
      </c>
      <c r="L2152" s="202">
        <v>216.1</v>
      </c>
      <c r="N2152" s="202">
        <v>39963504</v>
      </c>
      <c r="S2152" s="204"/>
      <c r="W2152" s="198" t="s">
        <v>51</v>
      </c>
      <c r="AE2152" s="198" t="s">
        <v>833</v>
      </c>
    </row>
    <row r="2153" spans="3:31" x14ac:dyDescent="0.25">
      <c r="C2153" s="201"/>
      <c r="E2153" s="201"/>
      <c r="F2153" s="201"/>
      <c r="I2153" s="198" t="s">
        <v>582</v>
      </c>
      <c r="J2153" s="198" t="s">
        <v>132</v>
      </c>
      <c r="K2153" s="202">
        <f t="shared" si="33"/>
        <v>1102620</v>
      </c>
      <c r="L2153" s="202">
        <v>216.2</v>
      </c>
      <c r="N2153" s="202">
        <v>2618200.02</v>
      </c>
      <c r="S2153" s="204"/>
      <c r="W2153" s="198" t="s">
        <v>51</v>
      </c>
      <c r="AE2153" s="198" t="s">
        <v>833</v>
      </c>
    </row>
    <row r="2154" spans="3:31" x14ac:dyDescent="0.25">
      <c r="C2154" s="201"/>
      <c r="E2154" s="201"/>
      <c r="F2154" s="201"/>
      <c r="I2154" s="198" t="s">
        <v>131</v>
      </c>
      <c r="J2154" s="198" t="s">
        <v>132</v>
      </c>
      <c r="K2154" s="202">
        <f t="shared" si="33"/>
        <v>1103130</v>
      </c>
      <c r="L2154" s="202">
        <v>216.3</v>
      </c>
      <c r="N2154" s="202">
        <v>128947.9</v>
      </c>
      <c r="S2154" s="204"/>
      <c r="W2154" s="198" t="s">
        <v>51</v>
      </c>
      <c r="AE2154" s="198" t="s">
        <v>833</v>
      </c>
    </row>
    <row r="2155" spans="3:31" x14ac:dyDescent="0.25">
      <c r="C2155" s="201"/>
      <c r="E2155" s="201"/>
      <c r="F2155" s="201"/>
      <c r="I2155" s="198" t="s">
        <v>832</v>
      </c>
      <c r="J2155" s="198" t="s">
        <v>132</v>
      </c>
      <c r="K2155" s="202">
        <f t="shared" si="33"/>
        <v>1103640</v>
      </c>
      <c r="L2155" s="202">
        <v>216.4</v>
      </c>
      <c r="N2155" s="202">
        <v>-39963504</v>
      </c>
      <c r="S2155" s="204"/>
      <c r="W2155" s="198" t="s">
        <v>51</v>
      </c>
      <c r="AE2155" s="198" t="s">
        <v>833</v>
      </c>
    </row>
    <row r="2156" spans="3:31" x14ac:dyDescent="0.25">
      <c r="C2156" s="201"/>
      <c r="E2156" s="201"/>
      <c r="F2156" s="201"/>
      <c r="I2156" s="198" t="s">
        <v>582</v>
      </c>
      <c r="J2156" s="198" t="s">
        <v>132</v>
      </c>
      <c r="K2156" s="202">
        <f t="shared" si="33"/>
        <v>1104150</v>
      </c>
      <c r="L2156" s="202">
        <v>216.5</v>
      </c>
      <c r="N2156" s="202">
        <v>-2618200.02</v>
      </c>
      <c r="S2156" s="204"/>
      <c r="W2156" s="198" t="s">
        <v>51</v>
      </c>
      <c r="AE2156" s="198" t="s">
        <v>833</v>
      </c>
    </row>
    <row r="2157" spans="3:31" x14ac:dyDescent="0.25">
      <c r="C2157" s="201"/>
      <c r="E2157" s="201"/>
      <c r="F2157" s="201"/>
      <c r="I2157" s="198" t="s">
        <v>131</v>
      </c>
      <c r="J2157" s="198" t="s">
        <v>132</v>
      </c>
      <c r="K2157" s="202">
        <f t="shared" si="33"/>
        <v>1104660</v>
      </c>
      <c r="L2157" s="202">
        <v>216.6</v>
      </c>
      <c r="N2157" s="202">
        <v>-128947.9</v>
      </c>
      <c r="S2157" s="204"/>
      <c r="W2157" s="198" t="s">
        <v>51</v>
      </c>
      <c r="AE2157" s="198" t="s">
        <v>833</v>
      </c>
    </row>
    <row r="2158" spans="3:31" x14ac:dyDescent="0.25">
      <c r="C2158" s="201"/>
      <c r="E2158" s="201"/>
      <c r="F2158" s="201"/>
      <c r="I2158" s="198" t="s">
        <v>583</v>
      </c>
      <c r="J2158" s="198" t="s">
        <v>134</v>
      </c>
      <c r="K2158" s="202">
        <f t="shared" si="33"/>
        <v>1105170</v>
      </c>
      <c r="L2158" s="202">
        <v>216.7</v>
      </c>
      <c r="N2158" s="202">
        <v>-1277224.5</v>
      </c>
      <c r="S2158" s="204"/>
      <c r="W2158" s="198" t="s">
        <v>51</v>
      </c>
      <c r="AE2158" s="198" t="s">
        <v>846</v>
      </c>
    </row>
    <row r="2159" spans="3:31" x14ac:dyDescent="0.25">
      <c r="C2159" s="201"/>
      <c r="E2159" s="201"/>
      <c r="F2159" s="201"/>
      <c r="I2159" s="198" t="s">
        <v>583</v>
      </c>
      <c r="J2159" s="198" t="s">
        <v>134</v>
      </c>
      <c r="K2159" s="202">
        <f t="shared" si="33"/>
        <v>1105680</v>
      </c>
      <c r="L2159" s="202">
        <v>216.8</v>
      </c>
      <c r="N2159" s="202">
        <v>-275470.99</v>
      </c>
      <c r="S2159" s="204"/>
      <c r="W2159" s="198" t="s">
        <v>51</v>
      </c>
      <c r="AE2159" s="198" t="s">
        <v>846</v>
      </c>
    </row>
    <row r="2160" spans="3:31" x14ac:dyDescent="0.25">
      <c r="C2160" s="201"/>
      <c r="E2160" s="201"/>
      <c r="F2160" s="201"/>
      <c r="I2160" s="198" t="s">
        <v>566</v>
      </c>
      <c r="J2160" s="198" t="s">
        <v>117</v>
      </c>
      <c r="K2160" s="202">
        <f t="shared" si="33"/>
        <v>1106190</v>
      </c>
      <c r="L2160" s="202">
        <v>216.9</v>
      </c>
      <c r="N2160" s="202">
        <v>-367433.43</v>
      </c>
      <c r="S2160" s="204"/>
      <c r="W2160" s="198" t="s">
        <v>51</v>
      </c>
      <c r="AE2160" s="198" t="s">
        <v>878</v>
      </c>
    </row>
    <row r="2161" spans="3:31" x14ac:dyDescent="0.25">
      <c r="C2161" s="201"/>
      <c r="E2161" s="201"/>
      <c r="F2161" s="201"/>
      <c r="I2161" s="198" t="s">
        <v>180</v>
      </c>
      <c r="J2161" s="198" t="s">
        <v>65</v>
      </c>
      <c r="K2161" s="202">
        <f t="shared" si="33"/>
        <v>1106700</v>
      </c>
      <c r="L2161" s="202">
        <v>217</v>
      </c>
      <c r="N2161" s="202">
        <v>19737</v>
      </c>
      <c r="S2161" s="203"/>
      <c r="W2161" s="198" t="s">
        <v>51</v>
      </c>
      <c r="AE2161" s="198" t="s">
        <v>831</v>
      </c>
    </row>
    <row r="2162" spans="3:31" x14ac:dyDescent="0.25">
      <c r="C2162" s="201"/>
      <c r="E2162" s="201"/>
      <c r="F2162" s="201"/>
      <c r="I2162" s="198" t="s">
        <v>180</v>
      </c>
      <c r="J2162" s="198" t="s">
        <v>65</v>
      </c>
      <c r="K2162" s="202">
        <f t="shared" si="33"/>
        <v>1107210</v>
      </c>
      <c r="L2162" s="202">
        <v>217.1</v>
      </c>
      <c r="N2162" s="202">
        <v>28497.98</v>
      </c>
      <c r="S2162" s="203"/>
      <c r="W2162" s="198" t="s">
        <v>51</v>
      </c>
      <c r="AE2162" s="198" t="s">
        <v>831</v>
      </c>
    </row>
    <row r="2163" spans="3:31" x14ac:dyDescent="0.25">
      <c r="C2163" s="201"/>
      <c r="E2163" s="201"/>
      <c r="F2163" s="201"/>
      <c r="I2163" s="198" t="s">
        <v>180</v>
      </c>
      <c r="J2163" s="198" t="s">
        <v>65</v>
      </c>
      <c r="K2163" s="202">
        <f t="shared" si="33"/>
        <v>1107720</v>
      </c>
      <c r="L2163" s="202">
        <v>217.2</v>
      </c>
      <c r="N2163" s="202">
        <v>394944</v>
      </c>
      <c r="S2163" s="203"/>
      <c r="W2163" s="198" t="s">
        <v>51</v>
      </c>
      <c r="AE2163" s="198" t="s">
        <v>831</v>
      </c>
    </row>
    <row r="2164" spans="3:31" x14ac:dyDescent="0.25">
      <c r="C2164" s="201"/>
      <c r="E2164" s="201"/>
      <c r="F2164" s="201"/>
      <c r="I2164" s="198" t="s">
        <v>180</v>
      </c>
      <c r="J2164" s="198" t="s">
        <v>65</v>
      </c>
      <c r="K2164" s="202">
        <f t="shared" si="33"/>
        <v>1108230</v>
      </c>
      <c r="L2164" s="202">
        <v>217.3</v>
      </c>
      <c r="N2164" s="202">
        <v>765429</v>
      </c>
      <c r="S2164" s="203"/>
      <c r="W2164" s="198" t="s">
        <v>51</v>
      </c>
      <c r="AE2164" s="198" t="s">
        <v>831</v>
      </c>
    </row>
    <row r="2165" spans="3:31" x14ac:dyDescent="0.25">
      <c r="C2165" s="201"/>
      <c r="E2165" s="201"/>
      <c r="F2165" s="201"/>
      <c r="I2165" s="198" t="s">
        <v>180</v>
      </c>
      <c r="J2165" s="198" t="s">
        <v>65</v>
      </c>
      <c r="K2165" s="202">
        <f t="shared" si="33"/>
        <v>1108740</v>
      </c>
      <c r="L2165" s="202">
        <v>217.4</v>
      </c>
      <c r="N2165" s="202">
        <v>2979972.5</v>
      </c>
      <c r="S2165" s="203"/>
      <c r="W2165" s="198" t="s">
        <v>51</v>
      </c>
      <c r="AE2165" s="198" t="s">
        <v>831</v>
      </c>
    </row>
    <row r="2166" spans="3:31" x14ac:dyDescent="0.25">
      <c r="C2166" s="201"/>
      <c r="E2166" s="201"/>
      <c r="F2166" s="201"/>
      <c r="I2166" s="198" t="s">
        <v>180</v>
      </c>
      <c r="J2166" s="198" t="s">
        <v>65</v>
      </c>
      <c r="K2166" s="202">
        <f t="shared" si="33"/>
        <v>1109250</v>
      </c>
      <c r="L2166" s="202">
        <v>217.5</v>
      </c>
      <c r="N2166" s="202">
        <v>2161890</v>
      </c>
      <c r="S2166" s="203"/>
      <c r="W2166" s="198" t="s">
        <v>51</v>
      </c>
      <c r="AE2166" s="198" t="s">
        <v>831</v>
      </c>
    </row>
    <row r="2167" spans="3:31" x14ac:dyDescent="0.25">
      <c r="C2167" s="201"/>
      <c r="E2167" s="201"/>
      <c r="F2167" s="201"/>
      <c r="I2167" s="198" t="s">
        <v>180</v>
      </c>
      <c r="J2167" s="198" t="s">
        <v>65</v>
      </c>
      <c r="K2167" s="202">
        <f t="shared" si="33"/>
        <v>1109760</v>
      </c>
      <c r="L2167" s="202">
        <v>217.6</v>
      </c>
      <c r="N2167" s="202">
        <v>923474</v>
      </c>
      <c r="S2167" s="203"/>
      <c r="W2167" s="198" t="s">
        <v>51</v>
      </c>
      <c r="AE2167" s="198" t="s">
        <v>831</v>
      </c>
    </row>
    <row r="2168" spans="3:31" x14ac:dyDescent="0.25">
      <c r="C2168" s="201"/>
      <c r="E2168" s="201"/>
      <c r="F2168" s="201"/>
      <c r="I2168" s="198" t="s">
        <v>180</v>
      </c>
      <c r="J2168" s="198" t="s">
        <v>65</v>
      </c>
      <c r="K2168" s="202">
        <f t="shared" si="33"/>
        <v>1110270</v>
      </c>
      <c r="L2168" s="202">
        <v>217.7</v>
      </c>
      <c r="N2168" s="202">
        <v>268162.05</v>
      </c>
      <c r="S2168" s="203"/>
      <c r="W2168" s="198" t="s">
        <v>51</v>
      </c>
      <c r="AE2168" s="198" t="s">
        <v>831</v>
      </c>
    </row>
    <row r="2169" spans="3:31" x14ac:dyDescent="0.25">
      <c r="C2169" s="201"/>
      <c r="E2169" s="201"/>
      <c r="F2169" s="201"/>
      <c r="I2169" s="198" t="s">
        <v>180</v>
      </c>
      <c r="J2169" s="198" t="s">
        <v>65</v>
      </c>
      <c r="K2169" s="202">
        <f t="shared" si="33"/>
        <v>1110780</v>
      </c>
      <c r="L2169" s="202">
        <v>217.8</v>
      </c>
      <c r="N2169" s="202">
        <v>1151671.5</v>
      </c>
      <c r="S2169" s="203"/>
      <c r="W2169" s="198" t="s">
        <v>51</v>
      </c>
      <c r="AE2169" s="198" t="s">
        <v>831</v>
      </c>
    </row>
    <row r="2170" spans="3:31" x14ac:dyDescent="0.25">
      <c r="C2170" s="201"/>
      <c r="E2170" s="201"/>
      <c r="F2170" s="201"/>
      <c r="I2170" s="198" t="s">
        <v>180</v>
      </c>
      <c r="J2170" s="198" t="s">
        <v>65</v>
      </c>
      <c r="K2170" s="202">
        <f t="shared" si="33"/>
        <v>1111290</v>
      </c>
      <c r="L2170" s="202">
        <v>217.9</v>
      </c>
      <c r="N2170" s="202">
        <v>4365450</v>
      </c>
      <c r="S2170" s="203"/>
      <c r="W2170" s="198" t="s">
        <v>51</v>
      </c>
      <c r="AE2170" s="198" t="s">
        <v>831</v>
      </c>
    </row>
    <row r="2171" spans="3:31" x14ac:dyDescent="0.25">
      <c r="C2171" s="201"/>
      <c r="E2171" s="201"/>
      <c r="F2171" s="201"/>
      <c r="I2171" s="198" t="s">
        <v>180</v>
      </c>
      <c r="J2171" s="198" t="s">
        <v>65</v>
      </c>
      <c r="K2171" s="202">
        <f t="shared" si="33"/>
        <v>1111800</v>
      </c>
      <c r="L2171" s="202">
        <v>218</v>
      </c>
      <c r="N2171" s="202">
        <v>303620</v>
      </c>
      <c r="S2171" s="203"/>
      <c r="W2171" s="198" t="s">
        <v>51</v>
      </c>
      <c r="AE2171" s="198" t="s">
        <v>831</v>
      </c>
    </row>
    <row r="2172" spans="3:31" x14ac:dyDescent="0.25">
      <c r="C2172" s="201"/>
      <c r="E2172" s="201"/>
      <c r="F2172" s="201"/>
      <c r="I2172" s="198" t="s">
        <v>180</v>
      </c>
      <c r="J2172" s="198" t="s">
        <v>65</v>
      </c>
      <c r="K2172" s="202">
        <f t="shared" si="33"/>
        <v>1112310</v>
      </c>
      <c r="L2172" s="202">
        <v>218.1</v>
      </c>
      <c r="N2172" s="202">
        <v>489294</v>
      </c>
      <c r="S2172" s="203"/>
      <c r="W2172" s="198" t="s">
        <v>51</v>
      </c>
      <c r="AE2172" s="198" t="s">
        <v>831</v>
      </c>
    </row>
    <row r="2173" spans="3:31" x14ac:dyDescent="0.25">
      <c r="C2173" s="201"/>
      <c r="E2173" s="201"/>
      <c r="F2173" s="201"/>
      <c r="I2173" s="198" t="s">
        <v>180</v>
      </c>
      <c r="J2173" s="198" t="s">
        <v>65</v>
      </c>
      <c r="K2173" s="202">
        <f t="shared" si="33"/>
        <v>1112820</v>
      </c>
      <c r="L2173" s="202">
        <v>218.2</v>
      </c>
      <c r="N2173" s="202">
        <v>263296.8</v>
      </c>
      <c r="S2173" s="203"/>
      <c r="W2173" s="198" t="s">
        <v>51</v>
      </c>
      <c r="AE2173" s="198" t="s">
        <v>831</v>
      </c>
    </row>
    <row r="2174" spans="3:31" x14ac:dyDescent="0.25">
      <c r="C2174" s="201"/>
      <c r="E2174" s="201"/>
      <c r="F2174" s="201"/>
      <c r="I2174" s="198" t="s">
        <v>180</v>
      </c>
      <c r="J2174" s="198" t="s">
        <v>65</v>
      </c>
      <c r="K2174" s="202">
        <f t="shared" si="33"/>
        <v>1113330</v>
      </c>
      <c r="L2174" s="202">
        <v>218.3</v>
      </c>
      <c r="N2174" s="202">
        <v>85509</v>
      </c>
      <c r="S2174" s="203"/>
      <c r="W2174" s="198" t="s">
        <v>51</v>
      </c>
      <c r="AE2174" s="198" t="s">
        <v>831</v>
      </c>
    </row>
    <row r="2175" spans="3:31" x14ac:dyDescent="0.25">
      <c r="C2175" s="201"/>
      <c r="E2175" s="201"/>
      <c r="F2175" s="201"/>
      <c r="I2175" s="198" t="s">
        <v>180</v>
      </c>
      <c r="J2175" s="198" t="s">
        <v>65</v>
      </c>
      <c r="K2175" s="202">
        <f t="shared" si="33"/>
        <v>1113840</v>
      </c>
      <c r="L2175" s="202">
        <v>218.4</v>
      </c>
      <c r="N2175" s="202">
        <v>207145.8</v>
      </c>
      <c r="S2175" s="203"/>
      <c r="W2175" s="198" t="s">
        <v>51</v>
      </c>
      <c r="AE2175" s="198" t="s">
        <v>831</v>
      </c>
    </row>
    <row r="2176" spans="3:31" x14ac:dyDescent="0.25">
      <c r="C2176" s="201"/>
      <c r="E2176" s="201"/>
      <c r="F2176" s="201"/>
      <c r="I2176" s="198" t="s">
        <v>181</v>
      </c>
      <c r="J2176" s="198" t="s">
        <v>65</v>
      </c>
      <c r="K2176" s="202">
        <f t="shared" si="33"/>
        <v>1114350</v>
      </c>
      <c r="L2176" s="202">
        <v>218.5</v>
      </c>
      <c r="N2176" s="202">
        <v>428003.4</v>
      </c>
      <c r="S2176" s="203"/>
      <c r="W2176" s="198" t="s">
        <v>51</v>
      </c>
      <c r="AE2176" s="198" t="s">
        <v>831</v>
      </c>
    </row>
    <row r="2177" spans="3:31" x14ac:dyDescent="0.25">
      <c r="C2177" s="201"/>
      <c r="E2177" s="201"/>
      <c r="F2177" s="201"/>
      <c r="I2177" s="198" t="s">
        <v>181</v>
      </c>
      <c r="J2177" s="198" t="s">
        <v>65</v>
      </c>
      <c r="K2177" s="202">
        <f t="shared" si="33"/>
        <v>1114860</v>
      </c>
      <c r="L2177" s="202">
        <v>218.6</v>
      </c>
      <c r="N2177" s="202">
        <v>5578890</v>
      </c>
      <c r="S2177" s="203"/>
      <c r="W2177" s="198" t="s">
        <v>51</v>
      </c>
      <c r="AE2177" s="198" t="s">
        <v>831</v>
      </c>
    </row>
    <row r="2178" spans="3:31" x14ac:dyDescent="0.25">
      <c r="C2178" s="201"/>
      <c r="E2178" s="201"/>
      <c r="F2178" s="201"/>
      <c r="I2178" s="198" t="s">
        <v>181</v>
      </c>
      <c r="J2178" s="198" t="s">
        <v>65</v>
      </c>
      <c r="K2178" s="202">
        <f t="shared" si="33"/>
        <v>1115370</v>
      </c>
      <c r="L2178" s="202">
        <v>218.7</v>
      </c>
      <c r="N2178" s="202">
        <v>965612.5</v>
      </c>
      <c r="S2178" s="203"/>
      <c r="W2178" s="198" t="s">
        <v>51</v>
      </c>
      <c r="AE2178" s="198" t="s">
        <v>831</v>
      </c>
    </row>
    <row r="2179" spans="3:31" x14ac:dyDescent="0.25">
      <c r="C2179" s="201"/>
      <c r="E2179" s="201"/>
      <c r="F2179" s="201"/>
      <c r="I2179" s="198" t="s">
        <v>181</v>
      </c>
      <c r="J2179" s="198" t="s">
        <v>65</v>
      </c>
      <c r="K2179" s="202">
        <f t="shared" ref="K2179:K2242" si="34">L2179*5100</f>
        <v>1115880</v>
      </c>
      <c r="L2179" s="202">
        <v>218.8</v>
      </c>
      <c r="N2179" s="202">
        <v>4523955</v>
      </c>
      <c r="S2179" s="203"/>
      <c r="W2179" s="198" t="s">
        <v>51</v>
      </c>
      <c r="AE2179" s="198" t="s">
        <v>831</v>
      </c>
    </row>
    <row r="2180" spans="3:31" x14ac:dyDescent="0.25">
      <c r="C2180" s="201"/>
      <c r="E2180" s="201"/>
      <c r="F2180" s="201"/>
      <c r="I2180" s="198" t="s">
        <v>181</v>
      </c>
      <c r="J2180" s="198" t="s">
        <v>65</v>
      </c>
      <c r="K2180" s="202">
        <f t="shared" si="34"/>
        <v>1116390</v>
      </c>
      <c r="L2180" s="202">
        <v>218.9</v>
      </c>
      <c r="N2180" s="202">
        <v>3764294.8</v>
      </c>
      <c r="S2180" s="203"/>
      <c r="W2180" s="198" t="s">
        <v>51</v>
      </c>
      <c r="AE2180" s="198" t="s">
        <v>831</v>
      </c>
    </row>
    <row r="2181" spans="3:31" x14ac:dyDescent="0.25">
      <c r="C2181" s="201"/>
      <c r="E2181" s="201"/>
      <c r="F2181" s="201"/>
      <c r="I2181" s="198" t="s">
        <v>181</v>
      </c>
      <c r="J2181" s="198" t="s">
        <v>65</v>
      </c>
      <c r="K2181" s="202">
        <f t="shared" si="34"/>
        <v>1116900</v>
      </c>
      <c r="L2181" s="202">
        <v>219</v>
      </c>
      <c r="N2181" s="202">
        <v>4055289.88</v>
      </c>
      <c r="S2181" s="203"/>
      <c r="W2181" s="198" t="s">
        <v>51</v>
      </c>
      <c r="AE2181" s="198" t="s">
        <v>831</v>
      </c>
    </row>
    <row r="2182" spans="3:31" x14ac:dyDescent="0.25">
      <c r="C2182" s="201"/>
      <c r="E2182" s="201"/>
      <c r="F2182" s="201"/>
      <c r="I2182" s="198" t="s">
        <v>181</v>
      </c>
      <c r="J2182" s="198" t="s">
        <v>65</v>
      </c>
      <c r="K2182" s="202">
        <f t="shared" si="34"/>
        <v>1117410</v>
      </c>
      <c r="L2182" s="202">
        <v>219.1</v>
      </c>
      <c r="N2182" s="202">
        <v>2090010</v>
      </c>
      <c r="S2182" s="203"/>
      <c r="W2182" s="198" t="s">
        <v>51</v>
      </c>
      <c r="AE2182" s="198" t="s">
        <v>831</v>
      </c>
    </row>
    <row r="2183" spans="3:31" x14ac:dyDescent="0.25">
      <c r="C2183" s="201"/>
      <c r="E2183" s="201"/>
      <c r="F2183" s="201"/>
      <c r="I2183" s="198" t="s">
        <v>181</v>
      </c>
      <c r="J2183" s="198" t="s">
        <v>65</v>
      </c>
      <c r="K2183" s="202">
        <f t="shared" si="34"/>
        <v>1117920</v>
      </c>
      <c r="L2183" s="202">
        <v>219.2</v>
      </c>
      <c r="N2183" s="202">
        <v>942438.41</v>
      </c>
      <c r="S2183" s="203"/>
      <c r="W2183" s="198" t="s">
        <v>51</v>
      </c>
      <c r="AE2183" s="198" t="s">
        <v>831</v>
      </c>
    </row>
    <row r="2184" spans="3:31" x14ac:dyDescent="0.25">
      <c r="C2184" s="201"/>
      <c r="E2184" s="201"/>
      <c r="F2184" s="201"/>
      <c r="I2184" s="198" t="s">
        <v>181</v>
      </c>
      <c r="J2184" s="198" t="s">
        <v>65</v>
      </c>
      <c r="K2184" s="202">
        <f t="shared" si="34"/>
        <v>1118430</v>
      </c>
      <c r="L2184" s="202">
        <v>219.3</v>
      </c>
      <c r="N2184" s="202">
        <v>1295600</v>
      </c>
      <c r="S2184" s="204"/>
      <c r="W2184" s="198" t="s">
        <v>51</v>
      </c>
      <c r="AE2184" s="198" t="s">
        <v>831</v>
      </c>
    </row>
    <row r="2185" spans="3:31" x14ac:dyDescent="0.25">
      <c r="C2185" s="201"/>
      <c r="E2185" s="201"/>
      <c r="F2185" s="201"/>
      <c r="I2185" s="198" t="s">
        <v>181</v>
      </c>
      <c r="J2185" s="198" t="s">
        <v>65</v>
      </c>
      <c r="K2185" s="202">
        <f t="shared" si="34"/>
        <v>1118940</v>
      </c>
      <c r="L2185" s="202">
        <v>219.4</v>
      </c>
      <c r="N2185" s="202">
        <v>347750</v>
      </c>
      <c r="S2185" s="204"/>
      <c r="W2185" s="198" t="s">
        <v>51</v>
      </c>
      <c r="AE2185" s="198" t="s">
        <v>831</v>
      </c>
    </row>
    <row r="2186" spans="3:31" x14ac:dyDescent="0.25">
      <c r="C2186" s="201"/>
      <c r="E2186" s="201"/>
      <c r="F2186" s="201"/>
      <c r="I2186" s="198" t="s">
        <v>185</v>
      </c>
      <c r="J2186" s="198" t="s">
        <v>65</v>
      </c>
      <c r="K2186" s="202">
        <f t="shared" si="34"/>
        <v>1119450</v>
      </c>
      <c r="L2186" s="202">
        <v>219.5</v>
      </c>
      <c r="N2186" s="202">
        <v>68850</v>
      </c>
      <c r="S2186" s="204"/>
      <c r="W2186" s="198" t="s">
        <v>51</v>
      </c>
      <c r="AE2186" s="198" t="s">
        <v>831</v>
      </c>
    </row>
    <row r="2187" spans="3:31" x14ac:dyDescent="0.25">
      <c r="C2187" s="201"/>
      <c r="E2187" s="201"/>
      <c r="F2187" s="201"/>
      <c r="I2187" s="198" t="s">
        <v>185</v>
      </c>
      <c r="J2187" s="198" t="s">
        <v>65</v>
      </c>
      <c r="K2187" s="202">
        <f t="shared" si="34"/>
        <v>1119960</v>
      </c>
      <c r="L2187" s="202">
        <v>219.6</v>
      </c>
      <c r="N2187" s="202">
        <v>7746.34</v>
      </c>
      <c r="S2187" s="203"/>
      <c r="W2187" s="198" t="s">
        <v>51</v>
      </c>
      <c r="AE2187" s="198" t="s">
        <v>831</v>
      </c>
    </row>
    <row r="2188" spans="3:31" x14ac:dyDescent="0.25">
      <c r="C2188" s="201"/>
      <c r="E2188" s="201"/>
      <c r="F2188" s="201"/>
      <c r="I2188" s="198" t="s">
        <v>185</v>
      </c>
      <c r="J2188" s="198" t="s">
        <v>65</v>
      </c>
      <c r="K2188" s="202">
        <f t="shared" si="34"/>
        <v>1120470</v>
      </c>
      <c r="L2188" s="202">
        <v>219.7</v>
      </c>
      <c r="N2188" s="202">
        <v>222091.2</v>
      </c>
      <c r="S2188" s="203"/>
      <c r="W2188" s="198" t="s">
        <v>51</v>
      </c>
      <c r="AE2188" s="198" t="s">
        <v>831</v>
      </c>
    </row>
    <row r="2189" spans="3:31" x14ac:dyDescent="0.25">
      <c r="C2189" s="201"/>
      <c r="E2189" s="201"/>
      <c r="F2189" s="201"/>
      <c r="I2189" s="198" t="s">
        <v>185</v>
      </c>
      <c r="J2189" s="198" t="s">
        <v>65</v>
      </c>
      <c r="K2189" s="202">
        <f t="shared" si="34"/>
        <v>1120980</v>
      </c>
      <c r="L2189" s="202">
        <v>219.8</v>
      </c>
      <c r="N2189" s="202">
        <v>154902</v>
      </c>
      <c r="S2189" s="203"/>
      <c r="W2189" s="198" t="s">
        <v>51</v>
      </c>
      <c r="AE2189" s="198" t="s">
        <v>831</v>
      </c>
    </row>
    <row r="2190" spans="3:31" x14ac:dyDescent="0.25">
      <c r="C2190" s="201"/>
      <c r="E2190" s="201"/>
      <c r="F2190" s="201"/>
      <c r="I2190" s="198" t="s">
        <v>185</v>
      </c>
      <c r="J2190" s="198" t="s">
        <v>65</v>
      </c>
      <c r="K2190" s="202">
        <f t="shared" si="34"/>
        <v>1121490</v>
      </c>
      <c r="L2190" s="202">
        <v>219.9</v>
      </c>
      <c r="N2190" s="202">
        <v>289637.5</v>
      </c>
      <c r="S2190" s="203"/>
      <c r="W2190" s="198" t="s">
        <v>51</v>
      </c>
      <c r="AE2190" s="198" t="s">
        <v>831</v>
      </c>
    </row>
    <row r="2191" spans="3:31" x14ac:dyDescent="0.25">
      <c r="C2191" s="201"/>
      <c r="E2191" s="201"/>
      <c r="F2191" s="201"/>
      <c r="I2191" s="198" t="s">
        <v>185</v>
      </c>
      <c r="J2191" s="198" t="s">
        <v>65</v>
      </c>
      <c r="K2191" s="202">
        <f t="shared" si="34"/>
        <v>1122000</v>
      </c>
      <c r="L2191" s="202">
        <v>220</v>
      </c>
      <c r="N2191" s="202">
        <v>506796</v>
      </c>
      <c r="S2191" s="203"/>
      <c r="W2191" s="198" t="s">
        <v>51</v>
      </c>
      <c r="AE2191" s="198" t="s">
        <v>831</v>
      </c>
    </row>
    <row r="2192" spans="3:31" x14ac:dyDescent="0.25">
      <c r="C2192" s="201"/>
      <c r="E2192" s="201"/>
      <c r="F2192" s="201"/>
      <c r="I2192" s="198" t="s">
        <v>185</v>
      </c>
      <c r="J2192" s="198" t="s">
        <v>65</v>
      </c>
      <c r="K2192" s="202">
        <f t="shared" si="34"/>
        <v>1122510</v>
      </c>
      <c r="L2192" s="202">
        <v>220.1</v>
      </c>
      <c r="N2192" s="202">
        <v>107199.6</v>
      </c>
      <c r="S2192" s="203"/>
      <c r="W2192" s="198" t="s">
        <v>51</v>
      </c>
      <c r="AE2192" s="198" t="s">
        <v>831</v>
      </c>
    </row>
    <row r="2193" spans="3:31" x14ac:dyDescent="0.25">
      <c r="C2193" s="201"/>
      <c r="E2193" s="201"/>
      <c r="F2193" s="201"/>
      <c r="I2193" s="198" t="s">
        <v>185</v>
      </c>
      <c r="J2193" s="198" t="s">
        <v>65</v>
      </c>
      <c r="K2193" s="202">
        <f t="shared" si="34"/>
        <v>1123020</v>
      </c>
      <c r="L2193" s="202">
        <v>220.2</v>
      </c>
      <c r="N2193" s="202">
        <v>296221.63</v>
      </c>
      <c r="S2193" s="203"/>
      <c r="W2193" s="198" t="s">
        <v>51</v>
      </c>
      <c r="AE2193" s="198" t="s">
        <v>831</v>
      </c>
    </row>
    <row r="2194" spans="3:31" x14ac:dyDescent="0.25">
      <c r="C2194" s="201"/>
      <c r="E2194" s="201"/>
      <c r="F2194" s="201"/>
      <c r="I2194" s="198" t="s">
        <v>203</v>
      </c>
      <c r="J2194" s="198" t="s">
        <v>65</v>
      </c>
      <c r="K2194" s="202">
        <f t="shared" si="34"/>
        <v>1123530</v>
      </c>
      <c r="L2194" s="202">
        <v>220.3</v>
      </c>
      <c r="N2194" s="202">
        <v>4659.6000000000004</v>
      </c>
      <c r="S2194" s="203"/>
      <c r="W2194" s="198" t="s">
        <v>51</v>
      </c>
      <c r="AE2194" s="198" t="s">
        <v>831</v>
      </c>
    </row>
    <row r="2195" spans="3:31" x14ac:dyDescent="0.25">
      <c r="C2195" s="201"/>
      <c r="E2195" s="201"/>
      <c r="F2195" s="201"/>
      <c r="I2195" s="198" t="s">
        <v>203</v>
      </c>
      <c r="J2195" s="198" t="s">
        <v>65</v>
      </c>
      <c r="K2195" s="202">
        <f t="shared" si="34"/>
        <v>1124040</v>
      </c>
      <c r="L2195" s="202">
        <v>220.4</v>
      </c>
      <c r="N2195" s="202">
        <v>656565.5</v>
      </c>
      <c r="S2195" s="203"/>
      <c r="W2195" s="198" t="s">
        <v>51</v>
      </c>
      <c r="AE2195" s="198" t="s">
        <v>831</v>
      </c>
    </row>
    <row r="2196" spans="3:31" x14ac:dyDescent="0.25">
      <c r="C2196" s="201"/>
      <c r="E2196" s="201"/>
      <c r="F2196" s="201"/>
      <c r="I2196" s="198" t="s">
        <v>203</v>
      </c>
      <c r="J2196" s="198" t="s">
        <v>65</v>
      </c>
      <c r="K2196" s="202">
        <f t="shared" si="34"/>
        <v>1124550</v>
      </c>
      <c r="L2196" s="202">
        <v>220.5</v>
      </c>
      <c r="N2196" s="202">
        <v>179825</v>
      </c>
      <c r="S2196" s="203"/>
      <c r="W2196" s="198" t="s">
        <v>51</v>
      </c>
      <c r="AE2196" s="198" t="s">
        <v>831</v>
      </c>
    </row>
    <row r="2197" spans="3:31" x14ac:dyDescent="0.25">
      <c r="C2197" s="201"/>
      <c r="E2197" s="201"/>
      <c r="F2197" s="201"/>
      <c r="I2197" s="198" t="s">
        <v>203</v>
      </c>
      <c r="J2197" s="198" t="s">
        <v>65</v>
      </c>
      <c r="K2197" s="202">
        <f t="shared" si="34"/>
        <v>1125060</v>
      </c>
      <c r="L2197" s="202">
        <v>220.6</v>
      </c>
      <c r="N2197" s="202">
        <v>331646.8</v>
      </c>
      <c r="S2197" s="203"/>
      <c r="W2197" s="198" t="s">
        <v>51</v>
      </c>
      <c r="AE2197" s="198" t="s">
        <v>831</v>
      </c>
    </row>
    <row r="2198" spans="3:31" x14ac:dyDescent="0.25">
      <c r="C2198" s="201"/>
      <c r="E2198" s="201"/>
      <c r="F2198" s="201"/>
      <c r="I2198" s="198" t="s">
        <v>203</v>
      </c>
      <c r="J2198" s="198" t="s">
        <v>65</v>
      </c>
      <c r="K2198" s="202">
        <f t="shared" si="34"/>
        <v>1125570</v>
      </c>
      <c r="L2198" s="202">
        <v>220.7</v>
      </c>
      <c r="N2198" s="202">
        <v>479714.38</v>
      </c>
      <c r="S2198" s="203"/>
      <c r="W2198" s="198" t="s">
        <v>51</v>
      </c>
      <c r="AE2198" s="198" t="s">
        <v>831</v>
      </c>
    </row>
    <row r="2199" spans="3:31" x14ac:dyDescent="0.25">
      <c r="C2199" s="201"/>
      <c r="E2199" s="201"/>
      <c r="F2199" s="201"/>
      <c r="I2199" s="198" t="s">
        <v>203</v>
      </c>
      <c r="J2199" s="198" t="s">
        <v>65</v>
      </c>
      <c r="K2199" s="202">
        <f t="shared" si="34"/>
        <v>1126080</v>
      </c>
      <c r="L2199" s="202">
        <v>220.8</v>
      </c>
      <c r="N2199" s="202">
        <v>184782</v>
      </c>
      <c r="S2199" s="203"/>
      <c r="W2199" s="198" t="s">
        <v>51</v>
      </c>
      <c r="AE2199" s="198" t="s">
        <v>831</v>
      </c>
    </row>
    <row r="2200" spans="3:31" x14ac:dyDescent="0.25">
      <c r="C2200" s="201"/>
      <c r="E2200" s="201"/>
      <c r="F2200" s="201"/>
      <c r="I2200" s="198" t="s">
        <v>203</v>
      </c>
      <c r="J2200" s="198" t="s">
        <v>65</v>
      </c>
      <c r="K2200" s="202">
        <f t="shared" si="34"/>
        <v>1126590</v>
      </c>
      <c r="L2200" s="202">
        <v>220.9</v>
      </c>
      <c r="N2200" s="202">
        <v>175511.64</v>
      </c>
      <c r="S2200" s="203"/>
      <c r="W2200" s="198" t="s">
        <v>51</v>
      </c>
      <c r="AE2200" s="198" t="s">
        <v>831</v>
      </c>
    </row>
    <row r="2201" spans="3:31" x14ac:dyDescent="0.25">
      <c r="C2201" s="201"/>
      <c r="E2201" s="201"/>
      <c r="F2201" s="201"/>
      <c r="I2201" s="198" t="s">
        <v>180</v>
      </c>
      <c r="J2201" s="198" t="s">
        <v>65</v>
      </c>
      <c r="K2201" s="202">
        <f t="shared" si="34"/>
        <v>1127100</v>
      </c>
      <c r="L2201" s="202">
        <v>221</v>
      </c>
      <c r="N2201" s="202">
        <v>22690.799999999999</v>
      </c>
      <c r="S2201" s="203"/>
      <c r="W2201" s="198" t="s">
        <v>51</v>
      </c>
      <c r="AE2201" s="198" t="s">
        <v>831</v>
      </c>
    </row>
    <row r="2202" spans="3:31" x14ac:dyDescent="0.25">
      <c r="C2202" s="201"/>
      <c r="E2202" s="201"/>
      <c r="F2202" s="201"/>
      <c r="I2202" s="198" t="s">
        <v>185</v>
      </c>
      <c r="J2202" s="198" t="s">
        <v>65</v>
      </c>
      <c r="K2202" s="202">
        <f t="shared" si="34"/>
        <v>1127610</v>
      </c>
      <c r="L2202" s="202">
        <v>221.1</v>
      </c>
      <c r="N2202" s="202">
        <v>377979</v>
      </c>
      <c r="S2202" s="203"/>
      <c r="W2202" s="198" t="s">
        <v>51</v>
      </c>
      <c r="AE2202" s="198" t="s">
        <v>831</v>
      </c>
    </row>
    <row r="2203" spans="3:31" x14ac:dyDescent="0.25">
      <c r="C2203" s="201"/>
      <c r="E2203" s="201"/>
      <c r="F2203" s="201"/>
      <c r="I2203" s="198" t="s">
        <v>185</v>
      </c>
      <c r="J2203" s="198" t="s">
        <v>65</v>
      </c>
      <c r="K2203" s="202">
        <f t="shared" si="34"/>
        <v>1128120</v>
      </c>
      <c r="L2203" s="202">
        <v>221.2</v>
      </c>
      <c r="N2203" s="202">
        <v>173411.55</v>
      </c>
      <c r="S2203" s="203"/>
      <c r="W2203" s="198" t="s">
        <v>51</v>
      </c>
      <c r="AE2203" s="198" t="s">
        <v>831</v>
      </c>
    </row>
    <row r="2204" spans="3:31" x14ac:dyDescent="0.25">
      <c r="C2204" s="201"/>
      <c r="E2204" s="201"/>
      <c r="F2204" s="201"/>
      <c r="I2204" s="198" t="s">
        <v>720</v>
      </c>
      <c r="J2204" s="198" t="s">
        <v>65</v>
      </c>
      <c r="K2204" s="202">
        <f t="shared" si="34"/>
        <v>1128630</v>
      </c>
      <c r="L2204" s="202">
        <v>221.3</v>
      </c>
      <c r="N2204" s="202">
        <v>19806.599999999999</v>
      </c>
      <c r="S2204" s="203"/>
      <c r="W2204" s="198" t="s">
        <v>51</v>
      </c>
      <c r="AE2204" s="198" t="s">
        <v>831</v>
      </c>
    </row>
    <row r="2205" spans="3:31" x14ac:dyDescent="0.25">
      <c r="C2205" s="201"/>
      <c r="E2205" s="201"/>
      <c r="F2205" s="201"/>
      <c r="I2205" s="198" t="s">
        <v>720</v>
      </c>
      <c r="J2205" s="198" t="s">
        <v>65</v>
      </c>
      <c r="K2205" s="202">
        <f t="shared" si="34"/>
        <v>1129140</v>
      </c>
      <c r="L2205" s="202">
        <v>221.4</v>
      </c>
      <c r="N2205" s="202">
        <v>200175</v>
      </c>
      <c r="S2205" s="203"/>
      <c r="W2205" s="198" t="s">
        <v>51</v>
      </c>
      <c r="AE2205" s="198" t="s">
        <v>831</v>
      </c>
    </row>
    <row r="2206" spans="3:31" x14ac:dyDescent="0.25">
      <c r="C2206" s="201"/>
      <c r="E2206" s="201"/>
      <c r="F2206" s="201"/>
      <c r="I2206" s="198" t="s">
        <v>720</v>
      </c>
      <c r="J2206" s="198" t="s">
        <v>65</v>
      </c>
      <c r="K2206" s="202">
        <f t="shared" si="34"/>
        <v>1129650</v>
      </c>
      <c r="L2206" s="202">
        <v>221.5</v>
      </c>
      <c r="N2206" s="202">
        <v>338429.2</v>
      </c>
      <c r="S2206" s="203"/>
      <c r="W2206" s="198" t="s">
        <v>51</v>
      </c>
      <c r="AE2206" s="198" t="s">
        <v>831</v>
      </c>
    </row>
    <row r="2207" spans="3:31" x14ac:dyDescent="0.25">
      <c r="C2207" s="201"/>
      <c r="E2207" s="201"/>
      <c r="F2207" s="201"/>
      <c r="I2207" s="198" t="s">
        <v>720</v>
      </c>
      <c r="J2207" s="198" t="s">
        <v>65</v>
      </c>
      <c r="K2207" s="202">
        <f t="shared" si="34"/>
        <v>1130160</v>
      </c>
      <c r="L2207" s="202">
        <v>221.6</v>
      </c>
      <c r="N2207" s="202">
        <v>371918.75</v>
      </c>
      <c r="S2207" s="203"/>
      <c r="W2207" s="198" t="s">
        <v>51</v>
      </c>
      <c r="AE2207" s="198" t="s">
        <v>831</v>
      </c>
    </row>
    <row r="2208" spans="3:31" x14ac:dyDescent="0.25">
      <c r="C2208" s="201"/>
      <c r="E2208" s="201"/>
      <c r="F2208" s="201"/>
      <c r="I2208" s="198" t="s">
        <v>720</v>
      </c>
      <c r="J2208" s="198" t="s">
        <v>65</v>
      </c>
      <c r="K2208" s="202">
        <f t="shared" si="34"/>
        <v>1130670</v>
      </c>
      <c r="L2208" s="202">
        <v>221.7</v>
      </c>
      <c r="N2208" s="202">
        <v>63756</v>
      </c>
      <c r="S2208" s="203"/>
      <c r="W2208" s="198" t="s">
        <v>51</v>
      </c>
      <c r="AE2208" s="198" t="s">
        <v>831</v>
      </c>
    </row>
    <row r="2209" spans="3:31" x14ac:dyDescent="0.25">
      <c r="C2209" s="201"/>
      <c r="E2209" s="201"/>
      <c r="F2209" s="201"/>
      <c r="I2209" s="198" t="s">
        <v>720</v>
      </c>
      <c r="J2209" s="198" t="s">
        <v>65</v>
      </c>
      <c r="K2209" s="202">
        <f t="shared" si="34"/>
        <v>1131180</v>
      </c>
      <c r="L2209" s="202">
        <v>221.8</v>
      </c>
      <c r="N2209" s="202">
        <v>499596</v>
      </c>
      <c r="S2209" s="203"/>
      <c r="W2209" s="198" t="s">
        <v>51</v>
      </c>
      <c r="AE2209" s="198" t="s">
        <v>831</v>
      </c>
    </row>
    <row r="2210" spans="3:31" x14ac:dyDescent="0.25">
      <c r="C2210" s="201"/>
      <c r="E2210" s="201"/>
      <c r="F2210" s="201"/>
      <c r="I2210" s="198" t="s">
        <v>720</v>
      </c>
      <c r="J2210" s="198" t="s">
        <v>65</v>
      </c>
      <c r="K2210" s="202">
        <f t="shared" si="34"/>
        <v>1131690</v>
      </c>
      <c r="L2210" s="202">
        <v>221.9</v>
      </c>
      <c r="N2210" s="202">
        <v>40365</v>
      </c>
      <c r="S2210" s="203"/>
      <c r="W2210" s="198" t="s">
        <v>51</v>
      </c>
      <c r="AE2210" s="198" t="s">
        <v>831</v>
      </c>
    </row>
    <row r="2211" spans="3:31" x14ac:dyDescent="0.25">
      <c r="C2211" s="201"/>
      <c r="E2211" s="201"/>
      <c r="F2211" s="201"/>
      <c r="I2211" s="198" t="s">
        <v>203</v>
      </c>
      <c r="J2211" s="198" t="s">
        <v>65</v>
      </c>
      <c r="K2211" s="202">
        <f t="shared" si="34"/>
        <v>1132200</v>
      </c>
      <c r="L2211" s="202">
        <v>222</v>
      </c>
      <c r="N2211" s="202">
        <v>340956</v>
      </c>
      <c r="S2211" s="203"/>
      <c r="W2211" s="198" t="s">
        <v>51</v>
      </c>
      <c r="AE2211" s="198" t="s">
        <v>831</v>
      </c>
    </row>
    <row r="2212" spans="3:31" x14ac:dyDescent="0.25">
      <c r="C2212" s="201"/>
      <c r="E2212" s="201"/>
      <c r="F2212" s="201"/>
      <c r="I2212" s="198" t="s">
        <v>203</v>
      </c>
      <c r="J2212" s="198" t="s">
        <v>65</v>
      </c>
      <c r="K2212" s="202">
        <f t="shared" si="34"/>
        <v>1132710</v>
      </c>
      <c r="L2212" s="202">
        <v>222.1</v>
      </c>
      <c r="N2212" s="202">
        <v>77350</v>
      </c>
      <c r="S2212" s="204"/>
      <c r="W2212" s="198" t="s">
        <v>51</v>
      </c>
      <c r="AE2212" s="198" t="s">
        <v>831</v>
      </c>
    </row>
    <row r="2213" spans="3:31" x14ac:dyDescent="0.25">
      <c r="C2213" s="201"/>
      <c r="E2213" s="201"/>
      <c r="F2213" s="201"/>
      <c r="I2213" s="198" t="s">
        <v>222</v>
      </c>
      <c r="J2213" s="198" t="s">
        <v>112</v>
      </c>
      <c r="K2213" s="202">
        <f t="shared" si="34"/>
        <v>1133220</v>
      </c>
      <c r="L2213" s="202">
        <v>222.2</v>
      </c>
      <c r="N2213" s="202">
        <v>4685604</v>
      </c>
      <c r="S2213" s="203"/>
      <c r="W2213" s="198" t="s">
        <v>51</v>
      </c>
      <c r="AE2213" s="198" t="s">
        <v>831</v>
      </c>
    </row>
    <row r="2214" spans="3:31" x14ac:dyDescent="0.25">
      <c r="C2214" s="201"/>
      <c r="E2214" s="201"/>
      <c r="F2214" s="201"/>
      <c r="I2214" s="198" t="s">
        <v>583</v>
      </c>
      <c r="J2214" s="198" t="s">
        <v>134</v>
      </c>
      <c r="K2214" s="202">
        <f t="shared" si="34"/>
        <v>1133730</v>
      </c>
      <c r="L2214" s="202">
        <v>222.3</v>
      </c>
      <c r="N2214" s="202">
        <v>1277224.5</v>
      </c>
      <c r="S2214" s="204"/>
      <c r="W2214" s="198" t="s">
        <v>51</v>
      </c>
      <c r="AE2214" s="198" t="s">
        <v>846</v>
      </c>
    </row>
    <row r="2215" spans="3:31" x14ac:dyDescent="0.25">
      <c r="C2215" s="201"/>
      <c r="E2215" s="201"/>
      <c r="F2215" s="201"/>
      <c r="I2215" s="198" t="s">
        <v>583</v>
      </c>
      <c r="J2215" s="198" t="s">
        <v>134</v>
      </c>
      <c r="K2215" s="202">
        <f t="shared" si="34"/>
        <v>1134240</v>
      </c>
      <c r="L2215" s="202">
        <v>222.4</v>
      </c>
      <c r="N2215" s="202">
        <v>275470.99</v>
      </c>
      <c r="S2215" s="204"/>
      <c r="W2215" s="198" t="s">
        <v>51</v>
      </c>
      <c r="AE2215" s="198" t="s">
        <v>846</v>
      </c>
    </row>
    <row r="2216" spans="3:31" x14ac:dyDescent="0.25">
      <c r="C2216" s="201"/>
      <c r="E2216" s="201"/>
      <c r="F2216" s="201"/>
      <c r="I2216" s="198" t="s">
        <v>566</v>
      </c>
      <c r="J2216" s="198" t="s">
        <v>117</v>
      </c>
      <c r="K2216" s="202">
        <f t="shared" si="34"/>
        <v>1134750</v>
      </c>
      <c r="L2216" s="202">
        <v>222.5</v>
      </c>
      <c r="N2216" s="202">
        <v>367433.43</v>
      </c>
      <c r="S2216" s="204"/>
      <c r="W2216" s="198" t="s">
        <v>51</v>
      </c>
      <c r="AE2216" s="198" t="s">
        <v>878</v>
      </c>
    </row>
    <row r="2217" spans="3:31" x14ac:dyDescent="0.25">
      <c r="C2217" s="201"/>
      <c r="E2217" s="201"/>
      <c r="F2217" s="201"/>
      <c r="I2217" s="198" t="s">
        <v>178</v>
      </c>
      <c r="J2217" s="198" t="s">
        <v>167</v>
      </c>
      <c r="K2217" s="202">
        <f t="shared" si="34"/>
        <v>1135260</v>
      </c>
      <c r="L2217" s="202">
        <v>222.6</v>
      </c>
      <c r="N2217" s="202">
        <v>988248.66</v>
      </c>
      <c r="S2217" s="203"/>
      <c r="W2217" s="198" t="s">
        <v>51</v>
      </c>
      <c r="AE2217" s="198" t="s">
        <v>831</v>
      </c>
    </row>
    <row r="2218" spans="3:31" x14ac:dyDescent="0.25">
      <c r="C2218" s="201"/>
      <c r="E2218" s="201"/>
      <c r="F2218" s="201"/>
      <c r="I2218" s="198" t="s">
        <v>129</v>
      </c>
      <c r="J2218" s="198" t="s">
        <v>130</v>
      </c>
      <c r="K2218" s="202">
        <f t="shared" si="34"/>
        <v>1135770</v>
      </c>
      <c r="L2218" s="202">
        <v>222.7</v>
      </c>
      <c r="N2218" s="202">
        <v>76500</v>
      </c>
      <c r="S2218" s="204"/>
      <c r="W2218" s="198" t="s">
        <v>51</v>
      </c>
      <c r="AE2218" s="198" t="s">
        <v>833</v>
      </c>
    </row>
    <row r="2219" spans="3:31" x14ac:dyDescent="0.25">
      <c r="C2219" s="201"/>
      <c r="E2219" s="201"/>
      <c r="F2219" s="201"/>
      <c r="I2219" s="198" t="s">
        <v>178</v>
      </c>
      <c r="J2219" s="198" t="s">
        <v>167</v>
      </c>
      <c r="K2219" s="202">
        <f t="shared" si="34"/>
        <v>1136280</v>
      </c>
      <c r="L2219" s="202">
        <v>222.8</v>
      </c>
      <c r="N2219" s="202">
        <v>1348722.06</v>
      </c>
      <c r="S2219" s="203"/>
      <c r="W2219" s="198" t="s">
        <v>51</v>
      </c>
      <c r="AE2219" s="198" t="s">
        <v>831</v>
      </c>
    </row>
    <row r="2220" spans="3:31" x14ac:dyDescent="0.25">
      <c r="C2220" s="201"/>
      <c r="E2220" s="201"/>
      <c r="F2220" s="201"/>
      <c r="I2220" s="198" t="s">
        <v>536</v>
      </c>
      <c r="J2220" s="198" t="s">
        <v>126</v>
      </c>
      <c r="K2220" s="202">
        <f t="shared" si="34"/>
        <v>1136790</v>
      </c>
      <c r="L2220" s="202">
        <v>222.9</v>
      </c>
      <c r="N2220" s="202">
        <v>311006.24</v>
      </c>
      <c r="S2220" s="204"/>
      <c r="W2220" s="198" t="s">
        <v>51</v>
      </c>
      <c r="AE2220" s="198" t="s">
        <v>835</v>
      </c>
    </row>
    <row r="2221" spans="3:31" x14ac:dyDescent="0.25">
      <c r="C2221" s="201"/>
      <c r="E2221" s="201"/>
      <c r="F2221" s="201"/>
      <c r="I2221" s="198" t="s">
        <v>204</v>
      </c>
      <c r="J2221" s="198" t="s">
        <v>169</v>
      </c>
      <c r="K2221" s="202">
        <f t="shared" si="34"/>
        <v>1137300</v>
      </c>
      <c r="L2221" s="202">
        <v>223</v>
      </c>
      <c r="N2221" s="202">
        <v>349040</v>
      </c>
      <c r="S2221" s="204"/>
      <c r="W2221" s="198" t="s">
        <v>51</v>
      </c>
      <c r="AE2221" s="198" t="s">
        <v>831</v>
      </c>
    </row>
    <row r="2222" spans="3:31" x14ac:dyDescent="0.25">
      <c r="C2222" s="201"/>
      <c r="E2222" s="201"/>
      <c r="F2222" s="201"/>
      <c r="I2222" s="198" t="s">
        <v>430</v>
      </c>
      <c r="J2222" s="198" t="s">
        <v>130</v>
      </c>
      <c r="K2222" s="202">
        <f t="shared" si="34"/>
        <v>1137810</v>
      </c>
      <c r="L2222" s="202">
        <v>223.1</v>
      </c>
      <c r="N2222" s="202">
        <v>490511.5</v>
      </c>
      <c r="S2222" s="204"/>
      <c r="W2222" s="198" t="s">
        <v>51</v>
      </c>
      <c r="AE2222" s="198" t="s">
        <v>833</v>
      </c>
    </row>
    <row r="2223" spans="3:31" x14ac:dyDescent="0.25">
      <c r="C2223" s="201"/>
      <c r="E2223" s="201"/>
      <c r="F2223" s="201"/>
      <c r="I2223" s="198" t="s">
        <v>430</v>
      </c>
      <c r="J2223" s="198" t="s">
        <v>130</v>
      </c>
      <c r="K2223" s="202">
        <f t="shared" si="34"/>
        <v>1138320</v>
      </c>
      <c r="L2223" s="202">
        <v>223.2</v>
      </c>
      <c r="N2223" s="202">
        <v>490511.5</v>
      </c>
      <c r="S2223" s="204"/>
      <c r="W2223" s="198" t="s">
        <v>51</v>
      </c>
      <c r="AE2223" s="198" t="s">
        <v>833</v>
      </c>
    </row>
    <row r="2224" spans="3:31" x14ac:dyDescent="0.25">
      <c r="C2224" s="201"/>
      <c r="E2224" s="201"/>
      <c r="F2224" s="201"/>
      <c r="I2224" s="198" t="s">
        <v>430</v>
      </c>
      <c r="J2224" s="198" t="s">
        <v>130</v>
      </c>
      <c r="K2224" s="202">
        <f t="shared" si="34"/>
        <v>1138830</v>
      </c>
      <c r="L2224" s="202">
        <v>223.3</v>
      </c>
      <c r="N2224" s="202">
        <v>490511.5</v>
      </c>
      <c r="S2224" s="204"/>
      <c r="W2224" s="198" t="s">
        <v>51</v>
      </c>
      <c r="AE2224" s="198" t="s">
        <v>833</v>
      </c>
    </row>
    <row r="2225" spans="3:31" x14ac:dyDescent="0.25">
      <c r="C2225" s="201"/>
      <c r="E2225" s="201"/>
      <c r="F2225" s="201"/>
      <c r="I2225" s="198" t="s">
        <v>430</v>
      </c>
      <c r="J2225" s="198" t="s">
        <v>130</v>
      </c>
      <c r="K2225" s="202">
        <f t="shared" si="34"/>
        <v>1139340</v>
      </c>
      <c r="L2225" s="202">
        <v>223.4</v>
      </c>
      <c r="N2225" s="202">
        <v>490511.5</v>
      </c>
      <c r="S2225" s="204"/>
      <c r="W2225" s="198" t="s">
        <v>51</v>
      </c>
      <c r="AE2225" s="198" t="s">
        <v>833</v>
      </c>
    </row>
    <row r="2226" spans="3:31" x14ac:dyDescent="0.25">
      <c r="C2226" s="201"/>
      <c r="E2226" s="201"/>
      <c r="F2226" s="201"/>
      <c r="I2226" s="198" t="s">
        <v>430</v>
      </c>
      <c r="J2226" s="198" t="s">
        <v>130</v>
      </c>
      <c r="K2226" s="202">
        <f t="shared" si="34"/>
        <v>1139850</v>
      </c>
      <c r="L2226" s="202">
        <v>223.5</v>
      </c>
      <c r="N2226" s="202">
        <v>490511.5</v>
      </c>
      <c r="S2226" s="204"/>
      <c r="W2226" s="198" t="s">
        <v>51</v>
      </c>
      <c r="AE2226" s="198" t="s">
        <v>833</v>
      </c>
    </row>
    <row r="2227" spans="3:31" x14ac:dyDescent="0.25">
      <c r="C2227" s="201"/>
      <c r="E2227" s="201"/>
      <c r="F2227" s="201"/>
      <c r="I2227" s="198" t="s">
        <v>430</v>
      </c>
      <c r="J2227" s="198" t="s">
        <v>130</v>
      </c>
      <c r="K2227" s="202">
        <f t="shared" si="34"/>
        <v>1140360</v>
      </c>
      <c r="L2227" s="202">
        <v>223.6</v>
      </c>
      <c r="N2227" s="202">
        <v>490511.5</v>
      </c>
      <c r="S2227" s="204"/>
      <c r="W2227" s="198" t="s">
        <v>51</v>
      </c>
      <c r="AE2227" s="198" t="s">
        <v>833</v>
      </c>
    </row>
    <row r="2228" spans="3:31" x14ac:dyDescent="0.25">
      <c r="C2228" s="201"/>
      <c r="E2228" s="201"/>
      <c r="F2228" s="201"/>
      <c r="I2228" s="198" t="s">
        <v>430</v>
      </c>
      <c r="J2228" s="198" t="s">
        <v>130</v>
      </c>
      <c r="K2228" s="202">
        <f t="shared" si="34"/>
        <v>1140870</v>
      </c>
      <c r="L2228" s="202">
        <v>223.7</v>
      </c>
      <c r="N2228" s="202">
        <v>490511.5</v>
      </c>
      <c r="S2228" s="204"/>
      <c r="W2228" s="198" t="s">
        <v>51</v>
      </c>
      <c r="AE2228" s="198" t="s">
        <v>833</v>
      </c>
    </row>
    <row r="2229" spans="3:31" x14ac:dyDescent="0.25">
      <c r="C2229" s="201"/>
      <c r="E2229" s="201"/>
      <c r="F2229" s="201"/>
      <c r="I2229" s="198" t="s">
        <v>430</v>
      </c>
      <c r="J2229" s="198" t="s">
        <v>130</v>
      </c>
      <c r="K2229" s="202">
        <f t="shared" si="34"/>
        <v>1141380</v>
      </c>
      <c r="L2229" s="202">
        <v>223.8</v>
      </c>
      <c r="N2229" s="202">
        <v>490511.5</v>
      </c>
      <c r="S2229" s="204"/>
      <c r="W2229" s="198" t="s">
        <v>51</v>
      </c>
      <c r="AE2229" s="198" t="s">
        <v>833</v>
      </c>
    </row>
    <row r="2230" spans="3:31" x14ac:dyDescent="0.25">
      <c r="C2230" s="201"/>
      <c r="E2230" s="201"/>
      <c r="F2230" s="201"/>
      <c r="I2230" s="198" t="s">
        <v>430</v>
      </c>
      <c r="J2230" s="198" t="s">
        <v>130</v>
      </c>
      <c r="K2230" s="202">
        <f t="shared" si="34"/>
        <v>1141890</v>
      </c>
      <c r="L2230" s="202">
        <v>223.9</v>
      </c>
      <c r="N2230" s="202">
        <v>490511.5</v>
      </c>
      <c r="S2230" s="204"/>
      <c r="W2230" s="198" t="s">
        <v>51</v>
      </c>
      <c r="AE2230" s="198" t="s">
        <v>833</v>
      </c>
    </row>
    <row r="2231" spans="3:31" x14ac:dyDescent="0.25">
      <c r="C2231" s="201"/>
      <c r="E2231" s="201"/>
      <c r="F2231" s="201"/>
      <c r="I2231" s="198" t="s">
        <v>430</v>
      </c>
      <c r="J2231" s="198" t="s">
        <v>130</v>
      </c>
      <c r="K2231" s="202">
        <f t="shared" si="34"/>
        <v>1142400</v>
      </c>
      <c r="L2231" s="202">
        <v>224</v>
      </c>
      <c r="N2231" s="202">
        <v>490511.5</v>
      </c>
      <c r="S2231" s="204"/>
      <c r="W2231" s="198" t="s">
        <v>51</v>
      </c>
      <c r="AE2231" s="198" t="s">
        <v>833</v>
      </c>
    </row>
    <row r="2232" spans="3:31" x14ac:dyDescent="0.25">
      <c r="C2232" s="201"/>
      <c r="E2232" s="201"/>
      <c r="F2232" s="201"/>
      <c r="I2232" s="198" t="s">
        <v>430</v>
      </c>
      <c r="J2232" s="198" t="s">
        <v>130</v>
      </c>
      <c r="K2232" s="202">
        <f t="shared" si="34"/>
        <v>1142910</v>
      </c>
      <c r="L2232" s="202">
        <v>224.1</v>
      </c>
      <c r="N2232" s="202">
        <v>490511.5</v>
      </c>
      <c r="S2232" s="204"/>
      <c r="W2232" s="198" t="s">
        <v>51</v>
      </c>
      <c r="AE2232" s="198" t="s">
        <v>833</v>
      </c>
    </row>
    <row r="2233" spans="3:31" x14ac:dyDescent="0.25">
      <c r="C2233" s="201"/>
      <c r="E2233" s="201"/>
      <c r="F2233" s="201"/>
      <c r="I2233" s="198" t="s">
        <v>430</v>
      </c>
      <c r="J2233" s="198" t="s">
        <v>130</v>
      </c>
      <c r="K2233" s="202">
        <f t="shared" si="34"/>
        <v>1143420</v>
      </c>
      <c r="L2233" s="202">
        <v>224.2</v>
      </c>
      <c r="N2233" s="202">
        <v>490511.5</v>
      </c>
      <c r="S2233" s="204"/>
      <c r="W2233" s="198" t="s">
        <v>51</v>
      </c>
      <c r="AE2233" s="198" t="s">
        <v>833</v>
      </c>
    </row>
    <row r="2234" spans="3:31" x14ac:dyDescent="0.25">
      <c r="C2234" s="201"/>
      <c r="E2234" s="201"/>
      <c r="F2234" s="201"/>
      <c r="I2234" s="198" t="s">
        <v>430</v>
      </c>
      <c r="J2234" s="198" t="s">
        <v>130</v>
      </c>
      <c r="K2234" s="202">
        <f t="shared" si="34"/>
        <v>1143930</v>
      </c>
      <c r="L2234" s="202">
        <v>224.3</v>
      </c>
      <c r="N2234" s="202">
        <v>490511.5</v>
      </c>
      <c r="S2234" s="204"/>
      <c r="W2234" s="198" t="s">
        <v>51</v>
      </c>
      <c r="AE2234" s="198" t="s">
        <v>833</v>
      </c>
    </row>
    <row r="2235" spans="3:31" x14ac:dyDescent="0.25">
      <c r="C2235" s="201"/>
      <c r="E2235" s="201"/>
      <c r="F2235" s="201"/>
      <c r="I2235" s="198" t="s">
        <v>430</v>
      </c>
      <c r="J2235" s="198" t="s">
        <v>130</v>
      </c>
      <c r="K2235" s="202">
        <f t="shared" si="34"/>
        <v>1144440</v>
      </c>
      <c r="L2235" s="202">
        <v>224.4</v>
      </c>
      <c r="N2235" s="202">
        <v>490511.5</v>
      </c>
      <c r="S2235" s="204"/>
      <c r="W2235" s="198" t="s">
        <v>51</v>
      </c>
      <c r="AE2235" s="198" t="s">
        <v>833</v>
      </c>
    </row>
    <row r="2236" spans="3:31" x14ac:dyDescent="0.25">
      <c r="C2236" s="201"/>
      <c r="E2236" s="201"/>
      <c r="F2236" s="201"/>
      <c r="I2236" s="198" t="s">
        <v>430</v>
      </c>
      <c r="J2236" s="198" t="s">
        <v>130</v>
      </c>
      <c r="K2236" s="202">
        <f t="shared" si="34"/>
        <v>1144950</v>
      </c>
      <c r="L2236" s="202">
        <v>224.5</v>
      </c>
      <c r="N2236" s="202">
        <v>490511.5</v>
      </c>
      <c r="S2236" s="204"/>
      <c r="W2236" s="198" t="s">
        <v>51</v>
      </c>
      <c r="AE2236" s="198" t="s">
        <v>833</v>
      </c>
    </row>
    <row r="2237" spans="3:31" x14ac:dyDescent="0.25">
      <c r="C2237" s="201"/>
      <c r="E2237" s="201"/>
      <c r="F2237" s="201"/>
      <c r="I2237" s="198" t="s">
        <v>430</v>
      </c>
      <c r="J2237" s="198" t="s">
        <v>130</v>
      </c>
      <c r="K2237" s="202">
        <f t="shared" si="34"/>
        <v>1145460</v>
      </c>
      <c r="L2237" s="202">
        <v>224.6</v>
      </c>
      <c r="N2237" s="202">
        <v>490511.5</v>
      </c>
      <c r="S2237" s="204"/>
      <c r="W2237" s="198" t="s">
        <v>51</v>
      </c>
      <c r="AE2237" s="198" t="s">
        <v>833</v>
      </c>
    </row>
    <row r="2238" spans="3:31" x14ac:dyDescent="0.25">
      <c r="C2238" s="201"/>
      <c r="E2238" s="201"/>
      <c r="F2238" s="201"/>
      <c r="I2238" s="198" t="s">
        <v>430</v>
      </c>
      <c r="J2238" s="198" t="s">
        <v>130</v>
      </c>
      <c r="K2238" s="202">
        <f t="shared" si="34"/>
        <v>1145970</v>
      </c>
      <c r="L2238" s="202">
        <v>224.7</v>
      </c>
      <c r="N2238" s="202">
        <v>490511.5</v>
      </c>
      <c r="S2238" s="204"/>
      <c r="W2238" s="198" t="s">
        <v>51</v>
      </c>
      <c r="AE2238" s="198" t="s">
        <v>833</v>
      </c>
    </row>
    <row r="2239" spans="3:31" x14ac:dyDescent="0.25">
      <c r="C2239" s="201"/>
      <c r="E2239" s="201"/>
      <c r="F2239" s="201"/>
      <c r="I2239" s="198" t="s">
        <v>430</v>
      </c>
      <c r="J2239" s="198" t="s">
        <v>130</v>
      </c>
      <c r="K2239" s="202">
        <f t="shared" si="34"/>
        <v>1146480</v>
      </c>
      <c r="L2239" s="202">
        <v>224.8</v>
      </c>
      <c r="N2239" s="202">
        <v>490511.5</v>
      </c>
      <c r="S2239" s="204"/>
      <c r="W2239" s="198" t="s">
        <v>51</v>
      </c>
      <c r="AE2239" s="198" t="s">
        <v>833</v>
      </c>
    </row>
    <row r="2240" spans="3:31" x14ac:dyDescent="0.25">
      <c r="C2240" s="201"/>
      <c r="E2240" s="201"/>
      <c r="F2240" s="201"/>
      <c r="I2240" s="198" t="s">
        <v>430</v>
      </c>
      <c r="J2240" s="198" t="s">
        <v>130</v>
      </c>
      <c r="K2240" s="202">
        <f t="shared" si="34"/>
        <v>1146990</v>
      </c>
      <c r="L2240" s="202">
        <v>224.9</v>
      </c>
      <c r="N2240" s="202">
        <v>490511.5</v>
      </c>
      <c r="S2240" s="204"/>
      <c r="W2240" s="198" t="s">
        <v>51</v>
      </c>
      <c r="AE2240" s="198" t="s">
        <v>833</v>
      </c>
    </row>
    <row r="2241" spans="3:31" x14ac:dyDescent="0.25">
      <c r="C2241" s="201"/>
      <c r="E2241" s="201"/>
      <c r="F2241" s="201"/>
      <c r="I2241" s="198" t="s">
        <v>430</v>
      </c>
      <c r="J2241" s="198" t="s">
        <v>130</v>
      </c>
      <c r="K2241" s="202">
        <f t="shared" si="34"/>
        <v>1147500</v>
      </c>
      <c r="L2241" s="202">
        <v>225</v>
      </c>
      <c r="N2241" s="202">
        <v>490511.5</v>
      </c>
      <c r="S2241" s="204"/>
      <c r="W2241" s="198" t="s">
        <v>51</v>
      </c>
      <c r="AE2241" s="198" t="s">
        <v>833</v>
      </c>
    </row>
    <row r="2242" spans="3:31" x14ac:dyDescent="0.25">
      <c r="C2242" s="201"/>
      <c r="E2242" s="201"/>
      <c r="F2242" s="201"/>
      <c r="I2242" s="198" t="s">
        <v>430</v>
      </c>
      <c r="J2242" s="198" t="s">
        <v>130</v>
      </c>
      <c r="K2242" s="202">
        <f t="shared" si="34"/>
        <v>1148010</v>
      </c>
      <c r="L2242" s="202">
        <v>225.1</v>
      </c>
      <c r="N2242" s="202">
        <v>490511.5</v>
      </c>
      <c r="S2242" s="204"/>
      <c r="W2242" s="198" t="s">
        <v>51</v>
      </c>
      <c r="AE2242" s="198" t="s">
        <v>833</v>
      </c>
    </row>
    <row r="2243" spans="3:31" x14ac:dyDescent="0.25">
      <c r="C2243" s="201"/>
      <c r="E2243" s="201"/>
      <c r="F2243" s="201"/>
      <c r="I2243" s="198" t="s">
        <v>430</v>
      </c>
      <c r="J2243" s="198" t="s">
        <v>130</v>
      </c>
      <c r="K2243" s="202">
        <f t="shared" ref="K2243:K2306" si="35">L2243*5100</f>
        <v>1148520</v>
      </c>
      <c r="L2243" s="202">
        <v>225.2</v>
      </c>
      <c r="N2243" s="202">
        <v>490511.5</v>
      </c>
      <c r="S2243" s="204"/>
      <c r="W2243" s="198" t="s">
        <v>51</v>
      </c>
      <c r="AE2243" s="198" t="s">
        <v>833</v>
      </c>
    </row>
    <row r="2244" spans="3:31" x14ac:dyDescent="0.25">
      <c r="C2244" s="201"/>
      <c r="E2244" s="201"/>
      <c r="F2244" s="201"/>
      <c r="I2244" s="198" t="s">
        <v>129</v>
      </c>
      <c r="J2244" s="198" t="s">
        <v>130</v>
      </c>
      <c r="K2244" s="202">
        <f t="shared" si="35"/>
        <v>1149030</v>
      </c>
      <c r="L2244" s="202">
        <v>225.3</v>
      </c>
      <c r="N2244" s="202">
        <v>1457536</v>
      </c>
      <c r="S2244" s="204"/>
      <c r="W2244" s="198" t="s">
        <v>51</v>
      </c>
      <c r="AE2244" s="198" t="s">
        <v>833</v>
      </c>
    </row>
    <row r="2245" spans="3:31" x14ac:dyDescent="0.25">
      <c r="C2245" s="201"/>
      <c r="E2245" s="201"/>
      <c r="F2245" s="201"/>
      <c r="I2245" s="198" t="s">
        <v>129</v>
      </c>
      <c r="J2245" s="198" t="s">
        <v>130</v>
      </c>
      <c r="K2245" s="202">
        <f t="shared" si="35"/>
        <v>1149540</v>
      </c>
      <c r="L2245" s="202">
        <v>225.4</v>
      </c>
      <c r="N2245" s="202">
        <v>762399</v>
      </c>
      <c r="S2245" s="204"/>
      <c r="W2245" s="198" t="s">
        <v>51</v>
      </c>
      <c r="AE2245" s="198" t="s">
        <v>833</v>
      </c>
    </row>
    <row r="2246" spans="3:31" x14ac:dyDescent="0.25">
      <c r="C2246" s="201"/>
      <c r="E2246" s="201"/>
      <c r="F2246" s="201"/>
      <c r="I2246" s="198" t="s">
        <v>129</v>
      </c>
      <c r="J2246" s="198" t="s">
        <v>130</v>
      </c>
      <c r="K2246" s="202">
        <f t="shared" si="35"/>
        <v>1150050</v>
      </c>
      <c r="L2246" s="202">
        <v>225.5</v>
      </c>
      <c r="N2246" s="202">
        <v>636570</v>
      </c>
      <c r="S2246" s="204"/>
      <c r="W2246" s="198" t="s">
        <v>51</v>
      </c>
      <c r="AE2246" s="198" t="s">
        <v>833</v>
      </c>
    </row>
    <row r="2247" spans="3:31" x14ac:dyDescent="0.25">
      <c r="C2247" s="201"/>
      <c r="E2247" s="201"/>
      <c r="F2247" s="201"/>
      <c r="I2247" s="198" t="s">
        <v>129</v>
      </c>
      <c r="J2247" s="198" t="s">
        <v>130</v>
      </c>
      <c r="K2247" s="202">
        <f t="shared" si="35"/>
        <v>1150560</v>
      </c>
      <c r="L2247" s="202">
        <v>225.6</v>
      </c>
      <c r="N2247" s="202">
        <v>128538</v>
      </c>
      <c r="S2247" s="204"/>
      <c r="W2247" s="198" t="s">
        <v>51</v>
      </c>
      <c r="AE2247" s="198" t="s">
        <v>833</v>
      </c>
    </row>
    <row r="2248" spans="3:31" x14ac:dyDescent="0.25">
      <c r="C2248" s="201"/>
      <c r="E2248" s="201"/>
      <c r="F2248" s="201"/>
      <c r="I2248" s="198" t="s">
        <v>133</v>
      </c>
      <c r="J2248" s="198" t="s">
        <v>134</v>
      </c>
      <c r="K2248" s="202">
        <f t="shared" si="35"/>
        <v>1151070</v>
      </c>
      <c r="L2248" s="202">
        <v>225.7</v>
      </c>
      <c r="N2248" s="202">
        <v>4825800</v>
      </c>
      <c r="S2248" s="204"/>
      <c r="W2248" s="198" t="s">
        <v>51</v>
      </c>
      <c r="AE2248" s="198" t="s">
        <v>846</v>
      </c>
    </row>
    <row r="2249" spans="3:31" x14ac:dyDescent="0.25">
      <c r="C2249" s="201"/>
      <c r="E2249" s="201"/>
      <c r="F2249" s="201"/>
      <c r="I2249" s="198" t="s">
        <v>133</v>
      </c>
      <c r="J2249" s="198" t="s">
        <v>134</v>
      </c>
      <c r="K2249" s="202">
        <f t="shared" si="35"/>
        <v>1151580</v>
      </c>
      <c r="L2249" s="202">
        <v>225.8</v>
      </c>
      <c r="N2249" s="202">
        <v>2277400</v>
      </c>
      <c r="S2249" s="204"/>
      <c r="W2249" s="198" t="s">
        <v>51</v>
      </c>
      <c r="AE2249" s="198" t="s">
        <v>846</v>
      </c>
    </row>
    <row r="2250" spans="3:31" x14ac:dyDescent="0.25">
      <c r="C2250" s="201"/>
      <c r="E2250" s="201"/>
      <c r="F2250" s="201"/>
      <c r="I2250" s="198" t="s">
        <v>215</v>
      </c>
      <c r="J2250" s="198" t="s">
        <v>89</v>
      </c>
      <c r="K2250" s="202">
        <f t="shared" si="35"/>
        <v>1152090</v>
      </c>
      <c r="L2250" s="202">
        <v>225.9</v>
      </c>
      <c r="N2250" s="202">
        <v>354290</v>
      </c>
      <c r="S2250" s="204"/>
      <c r="W2250" s="198" t="s">
        <v>51</v>
      </c>
      <c r="AE2250" s="198" t="s">
        <v>831</v>
      </c>
    </row>
    <row r="2251" spans="3:31" x14ac:dyDescent="0.25">
      <c r="C2251" s="201"/>
      <c r="E2251" s="201"/>
      <c r="F2251" s="201"/>
      <c r="I2251" s="198" t="s">
        <v>215</v>
      </c>
      <c r="J2251" s="198" t="s">
        <v>89</v>
      </c>
      <c r="K2251" s="202">
        <f t="shared" si="35"/>
        <v>1152600</v>
      </c>
      <c r="L2251" s="202">
        <v>226</v>
      </c>
      <c r="N2251" s="202">
        <v>354290</v>
      </c>
      <c r="S2251" s="204"/>
      <c r="W2251" s="198" t="s">
        <v>51</v>
      </c>
      <c r="AE2251" s="198" t="s">
        <v>831</v>
      </c>
    </row>
    <row r="2252" spans="3:31" x14ac:dyDescent="0.25">
      <c r="C2252" s="201"/>
      <c r="E2252" s="201"/>
      <c r="F2252" s="201"/>
      <c r="I2252" s="198" t="s">
        <v>215</v>
      </c>
      <c r="J2252" s="198" t="s">
        <v>89</v>
      </c>
      <c r="K2252" s="202">
        <f t="shared" si="35"/>
        <v>1153110</v>
      </c>
      <c r="L2252" s="202">
        <v>226.1</v>
      </c>
      <c r="N2252" s="202">
        <v>354290</v>
      </c>
      <c r="S2252" s="204"/>
      <c r="W2252" s="198" t="s">
        <v>51</v>
      </c>
      <c r="AE2252" s="198" t="s">
        <v>831</v>
      </c>
    </row>
    <row r="2253" spans="3:31" x14ac:dyDescent="0.25">
      <c r="C2253" s="201"/>
      <c r="E2253" s="201"/>
      <c r="F2253" s="201"/>
      <c r="I2253" s="198" t="s">
        <v>215</v>
      </c>
      <c r="J2253" s="198" t="s">
        <v>89</v>
      </c>
      <c r="K2253" s="202">
        <f t="shared" si="35"/>
        <v>1153620</v>
      </c>
      <c r="L2253" s="202">
        <v>226.2</v>
      </c>
      <c r="N2253" s="202">
        <v>354290</v>
      </c>
      <c r="S2253" s="204"/>
      <c r="W2253" s="198" t="s">
        <v>51</v>
      </c>
      <c r="AE2253" s="198" t="s">
        <v>831</v>
      </c>
    </row>
    <row r="2254" spans="3:31" x14ac:dyDescent="0.25">
      <c r="C2254" s="201"/>
      <c r="E2254" s="201"/>
      <c r="F2254" s="201"/>
      <c r="I2254" s="198" t="s">
        <v>440</v>
      </c>
      <c r="J2254" s="198" t="s">
        <v>126</v>
      </c>
      <c r="K2254" s="202">
        <f t="shared" si="35"/>
        <v>1154130</v>
      </c>
      <c r="L2254" s="202">
        <v>226.3</v>
      </c>
      <c r="N2254" s="202">
        <v>16721000</v>
      </c>
      <c r="S2254" s="204"/>
      <c r="W2254" s="198" t="s">
        <v>51</v>
      </c>
      <c r="AE2254" s="198" t="s">
        <v>835</v>
      </c>
    </row>
    <row r="2255" spans="3:31" x14ac:dyDescent="0.25">
      <c r="C2255" s="201"/>
      <c r="E2255" s="201"/>
      <c r="F2255" s="201"/>
      <c r="I2255" s="198" t="s">
        <v>215</v>
      </c>
      <c r="J2255" s="198" t="s">
        <v>89</v>
      </c>
      <c r="K2255" s="202">
        <f t="shared" si="35"/>
        <v>1154640</v>
      </c>
      <c r="L2255" s="202">
        <v>226.4</v>
      </c>
      <c r="N2255" s="202">
        <v>354290</v>
      </c>
      <c r="S2255" s="204"/>
      <c r="W2255" s="198" t="s">
        <v>51</v>
      </c>
      <c r="AE2255" s="198" t="s">
        <v>831</v>
      </c>
    </row>
    <row r="2256" spans="3:31" x14ac:dyDescent="0.25">
      <c r="C2256" s="201"/>
      <c r="E2256" s="201"/>
      <c r="F2256" s="201"/>
      <c r="I2256" s="198" t="s">
        <v>440</v>
      </c>
      <c r="J2256" s="198" t="s">
        <v>126</v>
      </c>
      <c r="K2256" s="202">
        <f t="shared" si="35"/>
        <v>1155150</v>
      </c>
      <c r="L2256" s="202">
        <v>226.5</v>
      </c>
      <c r="N2256" s="202">
        <v>16721000</v>
      </c>
      <c r="S2256" s="204"/>
      <c r="W2256" s="198" t="s">
        <v>51</v>
      </c>
      <c r="AE2256" s="198" t="s">
        <v>835</v>
      </c>
    </row>
    <row r="2257" spans="3:31" x14ac:dyDescent="0.25">
      <c r="C2257" s="201"/>
      <c r="E2257" s="201"/>
      <c r="F2257" s="201"/>
      <c r="I2257" s="198" t="s">
        <v>164</v>
      </c>
      <c r="J2257" s="198" t="s">
        <v>167</v>
      </c>
      <c r="K2257" s="202">
        <f t="shared" si="35"/>
        <v>1155660</v>
      </c>
      <c r="L2257" s="202">
        <v>226.6</v>
      </c>
      <c r="N2257" s="202">
        <v>-33</v>
      </c>
      <c r="S2257" s="204"/>
      <c r="W2257" s="198" t="s">
        <v>51</v>
      </c>
      <c r="AE2257" s="198" t="s">
        <v>831</v>
      </c>
    </row>
    <row r="2258" spans="3:31" x14ac:dyDescent="0.25">
      <c r="C2258" s="201"/>
      <c r="E2258" s="201"/>
      <c r="F2258" s="201"/>
      <c r="I2258" s="198" t="s">
        <v>77</v>
      </c>
      <c r="J2258" s="198" t="s">
        <v>65</v>
      </c>
      <c r="K2258" s="202">
        <f t="shared" si="35"/>
        <v>1156170</v>
      </c>
      <c r="L2258" s="202">
        <v>226.7</v>
      </c>
      <c r="N2258" s="202">
        <v>0.17</v>
      </c>
      <c r="S2258" s="204"/>
      <c r="W2258" s="198" t="s">
        <v>51</v>
      </c>
      <c r="AE2258" s="198" t="s">
        <v>831</v>
      </c>
    </row>
    <row r="2259" spans="3:31" x14ac:dyDescent="0.25">
      <c r="C2259" s="201"/>
      <c r="E2259" s="201"/>
      <c r="F2259" s="201"/>
      <c r="I2259" s="198" t="s">
        <v>136</v>
      </c>
      <c r="J2259" s="198" t="s">
        <v>137</v>
      </c>
      <c r="K2259" s="202">
        <f t="shared" si="35"/>
        <v>1156680</v>
      </c>
      <c r="L2259" s="202">
        <v>226.8</v>
      </c>
      <c r="N2259" s="202">
        <v>0.04</v>
      </c>
      <c r="S2259" s="204"/>
      <c r="W2259" s="198" t="s">
        <v>51</v>
      </c>
      <c r="AE2259" s="198" t="s">
        <v>844</v>
      </c>
    </row>
    <row r="2260" spans="3:31" x14ac:dyDescent="0.25">
      <c r="C2260" s="201"/>
      <c r="E2260" s="201"/>
      <c r="F2260" s="201"/>
      <c r="I2260" s="198" t="s">
        <v>77</v>
      </c>
      <c r="J2260" s="198" t="s">
        <v>65</v>
      </c>
      <c r="K2260" s="202">
        <f t="shared" si="35"/>
        <v>1157190</v>
      </c>
      <c r="L2260" s="202">
        <v>226.9</v>
      </c>
      <c r="N2260" s="202">
        <v>0.3</v>
      </c>
      <c r="S2260" s="204"/>
      <c r="W2260" s="198" t="s">
        <v>51</v>
      </c>
      <c r="AE2260" s="198" t="s">
        <v>831</v>
      </c>
    </row>
    <row r="2261" spans="3:31" x14ac:dyDescent="0.25">
      <c r="C2261" s="201"/>
      <c r="E2261" s="201"/>
      <c r="F2261" s="201"/>
      <c r="I2261" s="198" t="s">
        <v>131</v>
      </c>
      <c r="J2261" s="198" t="s">
        <v>132</v>
      </c>
      <c r="K2261" s="202">
        <f t="shared" si="35"/>
        <v>1157700</v>
      </c>
      <c r="L2261" s="202">
        <v>227</v>
      </c>
      <c r="N2261" s="202">
        <v>0.2</v>
      </c>
      <c r="S2261" s="204"/>
      <c r="W2261" s="198" t="s">
        <v>51</v>
      </c>
      <c r="AE2261" s="198" t="s">
        <v>833</v>
      </c>
    </row>
    <row r="2262" spans="3:31" x14ac:dyDescent="0.25">
      <c r="C2262" s="201"/>
      <c r="E2262" s="201"/>
      <c r="F2262" s="201"/>
      <c r="I2262" s="198" t="s">
        <v>131</v>
      </c>
      <c r="J2262" s="198" t="s">
        <v>132</v>
      </c>
      <c r="K2262" s="202">
        <f t="shared" si="35"/>
        <v>1158210</v>
      </c>
      <c r="L2262" s="202">
        <v>227.1</v>
      </c>
      <c r="N2262" s="202">
        <v>0.04</v>
      </c>
      <c r="S2262" s="204"/>
      <c r="W2262" s="198" t="s">
        <v>51</v>
      </c>
      <c r="AE2262" s="198" t="s">
        <v>833</v>
      </c>
    </row>
    <row r="2263" spans="3:31" x14ac:dyDescent="0.25">
      <c r="C2263" s="201"/>
      <c r="E2263" s="201"/>
      <c r="F2263" s="201"/>
      <c r="I2263" s="198" t="s">
        <v>122</v>
      </c>
      <c r="J2263" s="198" t="s">
        <v>126</v>
      </c>
      <c r="K2263" s="202">
        <f t="shared" si="35"/>
        <v>1158720</v>
      </c>
      <c r="L2263" s="202">
        <v>227.2</v>
      </c>
      <c r="N2263" s="202">
        <v>-0.4</v>
      </c>
      <c r="S2263" s="204"/>
      <c r="W2263" s="198" t="s">
        <v>51</v>
      </c>
      <c r="AE2263" s="198" t="s">
        <v>835</v>
      </c>
    </row>
    <row r="2264" spans="3:31" x14ac:dyDescent="0.25">
      <c r="C2264" s="201"/>
      <c r="E2264" s="201"/>
      <c r="F2264" s="201"/>
      <c r="I2264" s="198" t="s">
        <v>77</v>
      </c>
      <c r="J2264" s="198" t="s">
        <v>65</v>
      </c>
      <c r="K2264" s="202">
        <f t="shared" si="35"/>
        <v>1159230</v>
      </c>
      <c r="L2264" s="202">
        <v>227.3</v>
      </c>
      <c r="N2264" s="202">
        <v>-0.24</v>
      </c>
      <c r="S2264" s="204"/>
      <c r="W2264" s="198" t="s">
        <v>51</v>
      </c>
      <c r="AE2264" s="198" t="s">
        <v>831</v>
      </c>
    </row>
    <row r="2265" spans="3:31" x14ac:dyDescent="0.25">
      <c r="C2265" s="201"/>
      <c r="E2265" s="201"/>
      <c r="F2265" s="201"/>
      <c r="I2265" s="198" t="s">
        <v>77</v>
      </c>
      <c r="J2265" s="198" t="s">
        <v>65</v>
      </c>
      <c r="K2265" s="202">
        <f t="shared" si="35"/>
        <v>1159740</v>
      </c>
      <c r="L2265" s="202">
        <v>227.4</v>
      </c>
      <c r="N2265" s="202">
        <v>-0.3</v>
      </c>
      <c r="S2265" s="204"/>
      <c r="W2265" s="198" t="s">
        <v>51</v>
      </c>
      <c r="AE2265" s="198" t="s">
        <v>831</v>
      </c>
    </row>
    <row r="2266" spans="3:31" x14ac:dyDescent="0.25">
      <c r="C2266" s="201"/>
      <c r="E2266" s="201"/>
      <c r="F2266" s="201"/>
      <c r="I2266" s="198" t="s">
        <v>77</v>
      </c>
      <c r="J2266" s="198" t="s">
        <v>65</v>
      </c>
      <c r="K2266" s="202">
        <f t="shared" si="35"/>
        <v>1160250</v>
      </c>
      <c r="L2266" s="202">
        <v>227.5</v>
      </c>
      <c r="N2266" s="202">
        <v>-0.4</v>
      </c>
      <c r="S2266" s="204"/>
      <c r="W2266" s="198" t="s">
        <v>51</v>
      </c>
      <c r="AE2266" s="198" t="s">
        <v>831</v>
      </c>
    </row>
    <row r="2267" spans="3:31" x14ac:dyDescent="0.25">
      <c r="C2267" s="201"/>
      <c r="E2267" s="201"/>
      <c r="F2267" s="201"/>
      <c r="I2267" s="198" t="s">
        <v>77</v>
      </c>
      <c r="J2267" s="198" t="s">
        <v>65</v>
      </c>
      <c r="K2267" s="202">
        <f t="shared" si="35"/>
        <v>1160760</v>
      </c>
      <c r="L2267" s="202">
        <v>227.6</v>
      </c>
      <c r="N2267" s="202">
        <v>-7.0000000000000007E-2</v>
      </c>
      <c r="S2267" s="204"/>
      <c r="W2267" s="198" t="s">
        <v>51</v>
      </c>
      <c r="AE2267" s="198" t="s">
        <v>831</v>
      </c>
    </row>
    <row r="2268" spans="3:31" x14ac:dyDescent="0.25">
      <c r="C2268" s="201"/>
      <c r="E2268" s="201"/>
      <c r="F2268" s="201"/>
      <c r="I2268" s="198" t="s">
        <v>77</v>
      </c>
      <c r="J2268" s="198" t="s">
        <v>65</v>
      </c>
      <c r="K2268" s="202">
        <f t="shared" si="35"/>
        <v>1161270</v>
      </c>
      <c r="L2268" s="202">
        <v>227.7</v>
      </c>
      <c r="N2268" s="202">
        <v>-0.38</v>
      </c>
      <c r="S2268" s="204"/>
      <c r="W2268" s="198" t="s">
        <v>51</v>
      </c>
      <c r="AE2268" s="198" t="s">
        <v>831</v>
      </c>
    </row>
    <row r="2269" spans="3:31" x14ac:dyDescent="0.25">
      <c r="C2269" s="201"/>
      <c r="E2269" s="201"/>
      <c r="F2269" s="201"/>
      <c r="I2269" s="198" t="s">
        <v>77</v>
      </c>
      <c r="J2269" s="198" t="s">
        <v>65</v>
      </c>
      <c r="K2269" s="202">
        <f t="shared" si="35"/>
        <v>1161780</v>
      </c>
      <c r="L2269" s="202">
        <v>227.8</v>
      </c>
      <c r="N2269" s="202">
        <v>0.48</v>
      </c>
      <c r="S2269" s="204"/>
      <c r="W2269" s="198" t="s">
        <v>51</v>
      </c>
      <c r="AE2269" s="198" t="s">
        <v>831</v>
      </c>
    </row>
    <row r="2270" spans="3:31" x14ac:dyDescent="0.25">
      <c r="C2270" s="201"/>
      <c r="E2270" s="201"/>
      <c r="F2270" s="201"/>
      <c r="I2270" s="198" t="s">
        <v>77</v>
      </c>
      <c r="J2270" s="198" t="s">
        <v>65</v>
      </c>
      <c r="K2270" s="202">
        <f t="shared" si="35"/>
        <v>1162290</v>
      </c>
      <c r="L2270" s="202">
        <v>227.9</v>
      </c>
      <c r="N2270" s="202">
        <v>0.22</v>
      </c>
      <c r="S2270" s="204"/>
      <c r="W2270" s="198" t="s">
        <v>51</v>
      </c>
      <c r="AE2270" s="198" t="s">
        <v>831</v>
      </c>
    </row>
    <row r="2271" spans="3:31" x14ac:dyDescent="0.25">
      <c r="C2271" s="201"/>
      <c r="E2271" s="201"/>
      <c r="F2271" s="201"/>
      <c r="I2271" s="198" t="s">
        <v>77</v>
      </c>
      <c r="J2271" s="198" t="s">
        <v>65</v>
      </c>
      <c r="K2271" s="202">
        <f t="shared" si="35"/>
        <v>1162800</v>
      </c>
      <c r="L2271" s="202">
        <v>228</v>
      </c>
      <c r="N2271" s="202">
        <v>-0.41</v>
      </c>
      <c r="S2271" s="204"/>
      <c r="W2271" s="198" t="s">
        <v>51</v>
      </c>
      <c r="AE2271" s="198" t="s">
        <v>831</v>
      </c>
    </row>
    <row r="2272" spans="3:31" x14ac:dyDescent="0.25">
      <c r="C2272" s="201"/>
      <c r="E2272" s="201"/>
      <c r="F2272" s="201"/>
      <c r="I2272" s="198" t="s">
        <v>77</v>
      </c>
      <c r="J2272" s="198" t="s">
        <v>65</v>
      </c>
      <c r="K2272" s="202">
        <f t="shared" si="35"/>
        <v>1163310</v>
      </c>
      <c r="L2272" s="202">
        <v>228.1</v>
      </c>
      <c r="N2272" s="202">
        <v>-0.41</v>
      </c>
      <c r="S2272" s="204"/>
      <c r="W2272" s="198" t="s">
        <v>51</v>
      </c>
      <c r="AE2272" s="198" t="s">
        <v>831</v>
      </c>
    </row>
    <row r="2273" spans="3:31" x14ac:dyDescent="0.25">
      <c r="C2273" s="201"/>
      <c r="E2273" s="201"/>
      <c r="F2273" s="201"/>
      <c r="I2273" s="198" t="s">
        <v>531</v>
      </c>
      <c r="J2273" s="198" t="s">
        <v>117</v>
      </c>
      <c r="K2273" s="202">
        <f t="shared" si="35"/>
        <v>1163820</v>
      </c>
      <c r="L2273" s="202">
        <v>228.2</v>
      </c>
      <c r="N2273" s="202">
        <v>-0.02</v>
      </c>
      <c r="S2273" s="204"/>
      <c r="W2273" s="198" t="s">
        <v>51</v>
      </c>
      <c r="AE2273" s="198" t="s">
        <v>878</v>
      </c>
    </row>
    <row r="2274" spans="3:31" x14ac:dyDescent="0.25">
      <c r="C2274" s="201"/>
      <c r="E2274" s="201"/>
      <c r="F2274" s="201"/>
      <c r="I2274" s="198" t="s">
        <v>528</v>
      </c>
      <c r="J2274" s="198" t="s">
        <v>134</v>
      </c>
      <c r="K2274" s="202">
        <f t="shared" si="35"/>
        <v>1164330</v>
      </c>
      <c r="L2274" s="202">
        <v>228.3</v>
      </c>
      <c r="N2274" s="202">
        <v>-0.02</v>
      </c>
      <c r="S2274" s="204"/>
      <c r="W2274" s="198" t="s">
        <v>51</v>
      </c>
      <c r="AE2274" s="198" t="s">
        <v>846</v>
      </c>
    </row>
    <row r="2275" spans="3:31" x14ac:dyDescent="0.25">
      <c r="C2275" s="201"/>
      <c r="E2275" s="201"/>
      <c r="F2275" s="201"/>
      <c r="I2275" s="198" t="s">
        <v>136</v>
      </c>
      <c r="J2275" s="198" t="s">
        <v>137</v>
      </c>
      <c r="K2275" s="202">
        <f t="shared" si="35"/>
        <v>1164840</v>
      </c>
      <c r="L2275" s="202">
        <v>228.4</v>
      </c>
      <c r="N2275" s="202">
        <v>0.36</v>
      </c>
      <c r="S2275" s="204"/>
      <c r="W2275" s="198" t="s">
        <v>51</v>
      </c>
      <c r="AE2275" s="198" t="s">
        <v>844</v>
      </c>
    </row>
    <row r="2276" spans="3:31" x14ac:dyDescent="0.25">
      <c r="C2276" s="201"/>
      <c r="E2276" s="201"/>
      <c r="F2276" s="201"/>
      <c r="I2276" s="198" t="s">
        <v>129</v>
      </c>
      <c r="J2276" s="198" t="s">
        <v>130</v>
      </c>
      <c r="K2276" s="202">
        <f t="shared" si="35"/>
        <v>1165350</v>
      </c>
      <c r="L2276" s="202">
        <v>228.5</v>
      </c>
      <c r="N2276" s="202">
        <v>-0.04</v>
      </c>
      <c r="S2276" s="204"/>
      <c r="W2276" s="198" t="s">
        <v>51</v>
      </c>
      <c r="AE2276" s="198" t="s">
        <v>833</v>
      </c>
    </row>
    <row r="2277" spans="3:31" x14ac:dyDescent="0.25">
      <c r="C2277" s="201"/>
      <c r="E2277" s="201"/>
      <c r="F2277" s="201"/>
      <c r="I2277" s="198" t="s">
        <v>848</v>
      </c>
      <c r="J2277" s="198" t="s">
        <v>193</v>
      </c>
      <c r="K2277" s="202">
        <f t="shared" si="35"/>
        <v>1165860</v>
      </c>
      <c r="L2277" s="202">
        <v>228.6</v>
      </c>
      <c r="N2277" s="202">
        <v>-892500</v>
      </c>
      <c r="S2277" s="203"/>
      <c r="W2277" s="198" t="s">
        <v>51</v>
      </c>
      <c r="AE2277" s="198" t="s">
        <v>54</v>
      </c>
    </row>
    <row r="2278" spans="3:31" x14ac:dyDescent="0.25">
      <c r="C2278" s="201"/>
      <c r="E2278" s="201"/>
      <c r="F2278" s="201"/>
      <c r="I2278" s="198" t="s">
        <v>362</v>
      </c>
      <c r="J2278" s="198" t="s">
        <v>132</v>
      </c>
      <c r="K2278" s="202">
        <f t="shared" si="35"/>
        <v>1166370</v>
      </c>
      <c r="L2278" s="202">
        <v>228.7</v>
      </c>
      <c r="N2278" s="202">
        <v>16535647</v>
      </c>
      <c r="S2278" s="204"/>
      <c r="W2278" s="198" t="s">
        <v>51</v>
      </c>
      <c r="AE2278" s="198" t="s">
        <v>833</v>
      </c>
    </row>
    <row r="2279" spans="3:31" x14ac:dyDescent="0.25">
      <c r="C2279" s="201"/>
      <c r="E2279" s="201"/>
      <c r="F2279" s="201"/>
      <c r="I2279" s="198" t="s">
        <v>362</v>
      </c>
      <c r="J2279" s="198" t="s">
        <v>132</v>
      </c>
      <c r="K2279" s="202">
        <f t="shared" si="35"/>
        <v>1166880</v>
      </c>
      <c r="L2279" s="202">
        <v>228.8</v>
      </c>
      <c r="N2279" s="202">
        <v>16535647</v>
      </c>
      <c r="S2279" s="204"/>
      <c r="W2279" s="198" t="s">
        <v>51</v>
      </c>
      <c r="AE2279" s="198" t="s">
        <v>833</v>
      </c>
    </row>
    <row r="2280" spans="3:31" x14ac:dyDescent="0.25">
      <c r="C2280" s="201"/>
      <c r="E2280" s="201"/>
      <c r="F2280" s="201"/>
      <c r="I2280" s="198" t="s">
        <v>77</v>
      </c>
      <c r="J2280" s="198" t="s">
        <v>65</v>
      </c>
      <c r="K2280" s="202">
        <f t="shared" si="35"/>
        <v>1167390</v>
      </c>
      <c r="L2280" s="202">
        <v>228.9</v>
      </c>
      <c r="N2280" s="202">
        <v>608604.12</v>
      </c>
      <c r="S2280" s="203"/>
      <c r="W2280" s="198" t="s">
        <v>51</v>
      </c>
      <c r="AE2280" s="198" t="s">
        <v>831</v>
      </c>
    </row>
    <row r="2281" spans="3:31" x14ac:dyDescent="0.25">
      <c r="C2281" s="201"/>
      <c r="E2281" s="201"/>
      <c r="F2281" s="201"/>
      <c r="I2281" s="198" t="s">
        <v>362</v>
      </c>
      <c r="J2281" s="198" t="s">
        <v>132</v>
      </c>
      <c r="K2281" s="202">
        <f t="shared" si="35"/>
        <v>1167900</v>
      </c>
      <c r="L2281" s="202">
        <v>229</v>
      </c>
      <c r="N2281" s="202">
        <v>16535647</v>
      </c>
      <c r="S2281" s="204"/>
      <c r="W2281" s="198" t="s">
        <v>51</v>
      </c>
      <c r="AE2281" s="198" t="s">
        <v>833</v>
      </c>
    </row>
    <row r="2282" spans="3:31" x14ac:dyDescent="0.25">
      <c r="C2282" s="201"/>
      <c r="E2282" s="201"/>
      <c r="F2282" s="201"/>
      <c r="I2282" s="198" t="s">
        <v>77</v>
      </c>
      <c r="J2282" s="198" t="s">
        <v>65</v>
      </c>
      <c r="K2282" s="202">
        <f t="shared" si="35"/>
        <v>1168410</v>
      </c>
      <c r="L2282" s="202">
        <v>229.1</v>
      </c>
      <c r="N2282" s="202">
        <v>253734.12</v>
      </c>
      <c r="S2282" s="203"/>
      <c r="W2282" s="198" t="s">
        <v>51</v>
      </c>
      <c r="AE2282" s="198" t="s">
        <v>831</v>
      </c>
    </row>
    <row r="2283" spans="3:31" x14ac:dyDescent="0.25">
      <c r="C2283" s="201"/>
      <c r="E2283" s="201"/>
      <c r="F2283" s="201"/>
      <c r="I2283" s="198" t="s">
        <v>77</v>
      </c>
      <c r="J2283" s="198" t="s">
        <v>65</v>
      </c>
      <c r="K2283" s="202">
        <f t="shared" si="35"/>
        <v>1168920</v>
      </c>
      <c r="L2283" s="202">
        <v>229.2</v>
      </c>
      <c r="N2283" s="202">
        <v>817241.89</v>
      </c>
      <c r="S2283" s="203"/>
      <c r="W2283" s="198" t="s">
        <v>51</v>
      </c>
      <c r="AE2283" s="198" t="s">
        <v>831</v>
      </c>
    </row>
    <row r="2284" spans="3:31" x14ac:dyDescent="0.25">
      <c r="C2284" s="201"/>
      <c r="E2284" s="201"/>
      <c r="F2284" s="201"/>
      <c r="I2284" s="198" t="s">
        <v>77</v>
      </c>
      <c r="J2284" s="198" t="s">
        <v>65</v>
      </c>
      <c r="K2284" s="202">
        <f t="shared" si="35"/>
        <v>1169430</v>
      </c>
      <c r="L2284" s="202">
        <v>229.3</v>
      </c>
      <c r="N2284" s="202">
        <v>111306.46</v>
      </c>
      <c r="S2284" s="203"/>
      <c r="W2284" s="198" t="s">
        <v>51</v>
      </c>
      <c r="AE2284" s="198" t="s">
        <v>831</v>
      </c>
    </row>
    <row r="2285" spans="3:31" x14ac:dyDescent="0.25">
      <c r="C2285" s="201"/>
      <c r="E2285" s="201"/>
      <c r="F2285" s="201"/>
      <c r="I2285" s="198" t="s">
        <v>669</v>
      </c>
      <c r="J2285" s="198" t="s">
        <v>112</v>
      </c>
      <c r="K2285" s="202">
        <f t="shared" si="35"/>
        <v>1169940</v>
      </c>
      <c r="L2285" s="202">
        <v>229.4</v>
      </c>
      <c r="N2285" s="202">
        <v>232243.25</v>
      </c>
      <c r="S2285" s="203"/>
      <c r="W2285" s="198" t="s">
        <v>51</v>
      </c>
      <c r="AE2285" s="198" t="s">
        <v>831</v>
      </c>
    </row>
    <row r="2286" spans="3:31" x14ac:dyDescent="0.25">
      <c r="C2286" s="201"/>
      <c r="E2286" s="201"/>
      <c r="F2286" s="201"/>
      <c r="I2286" s="198" t="s">
        <v>669</v>
      </c>
      <c r="J2286" s="198" t="s">
        <v>112</v>
      </c>
      <c r="K2286" s="202">
        <f t="shared" si="35"/>
        <v>1170450</v>
      </c>
      <c r="L2286" s="202">
        <v>229.5</v>
      </c>
      <c r="N2286" s="202">
        <v>867933.14</v>
      </c>
      <c r="S2286" s="203"/>
      <c r="W2286" s="198" t="s">
        <v>51</v>
      </c>
      <c r="AE2286" s="198" t="s">
        <v>831</v>
      </c>
    </row>
    <row r="2287" spans="3:31" x14ac:dyDescent="0.25">
      <c r="C2287" s="201"/>
      <c r="E2287" s="201"/>
      <c r="F2287" s="201"/>
      <c r="I2287" s="198" t="s">
        <v>669</v>
      </c>
      <c r="J2287" s="198" t="s">
        <v>112</v>
      </c>
      <c r="K2287" s="202">
        <f t="shared" si="35"/>
        <v>1170960</v>
      </c>
      <c r="L2287" s="202">
        <v>229.6</v>
      </c>
      <c r="N2287" s="202">
        <v>284348.46000000002</v>
      </c>
      <c r="S2287" s="203"/>
      <c r="W2287" s="198" t="s">
        <v>51</v>
      </c>
      <c r="AE2287" s="198" t="s">
        <v>831</v>
      </c>
    </row>
    <row r="2288" spans="3:31" x14ac:dyDescent="0.25">
      <c r="C2288" s="201"/>
      <c r="E2288" s="201"/>
      <c r="F2288" s="201"/>
      <c r="I2288" s="198" t="s">
        <v>669</v>
      </c>
      <c r="J2288" s="198" t="s">
        <v>112</v>
      </c>
      <c r="K2288" s="202">
        <f t="shared" si="35"/>
        <v>1171470</v>
      </c>
      <c r="L2288" s="202">
        <v>229.7</v>
      </c>
      <c r="N2288" s="202">
        <v>783550.76</v>
      </c>
      <c r="S2288" s="203"/>
      <c r="W2288" s="198" t="s">
        <v>51</v>
      </c>
      <c r="AE2288" s="198" t="s">
        <v>831</v>
      </c>
    </row>
    <row r="2289" spans="3:31" x14ac:dyDescent="0.25">
      <c r="C2289" s="201"/>
      <c r="E2289" s="201"/>
      <c r="F2289" s="201"/>
      <c r="I2289" s="198" t="s">
        <v>669</v>
      </c>
      <c r="J2289" s="198" t="s">
        <v>112</v>
      </c>
      <c r="K2289" s="202">
        <f t="shared" si="35"/>
        <v>1171980</v>
      </c>
      <c r="L2289" s="202">
        <v>229.8</v>
      </c>
      <c r="N2289" s="202">
        <v>139082.38</v>
      </c>
      <c r="S2289" s="203"/>
      <c r="W2289" s="198" t="s">
        <v>51</v>
      </c>
      <c r="AE2289" s="198" t="s">
        <v>831</v>
      </c>
    </row>
    <row r="2290" spans="3:31" x14ac:dyDescent="0.25">
      <c r="C2290" s="201"/>
      <c r="E2290" s="201"/>
      <c r="F2290" s="201"/>
      <c r="I2290" s="198" t="s">
        <v>669</v>
      </c>
      <c r="J2290" s="198" t="s">
        <v>112</v>
      </c>
      <c r="K2290" s="202">
        <f t="shared" si="35"/>
        <v>1172490</v>
      </c>
      <c r="L2290" s="202">
        <v>229.9</v>
      </c>
      <c r="N2290" s="202">
        <v>460342.51</v>
      </c>
      <c r="S2290" s="203"/>
      <c r="W2290" s="198" t="s">
        <v>51</v>
      </c>
      <c r="AE2290" s="198" t="s">
        <v>831</v>
      </c>
    </row>
    <row r="2291" spans="3:31" x14ac:dyDescent="0.25">
      <c r="C2291" s="201"/>
      <c r="E2291" s="201"/>
      <c r="F2291" s="201"/>
      <c r="I2291" s="198" t="s">
        <v>669</v>
      </c>
      <c r="J2291" s="198" t="s">
        <v>112</v>
      </c>
      <c r="K2291" s="202">
        <f t="shared" si="35"/>
        <v>1173000</v>
      </c>
      <c r="L2291" s="202">
        <v>230</v>
      </c>
      <c r="N2291" s="202">
        <v>251909.42</v>
      </c>
      <c r="S2291" s="203"/>
      <c r="W2291" s="198" t="s">
        <v>51</v>
      </c>
      <c r="AE2291" s="198" t="s">
        <v>831</v>
      </c>
    </row>
    <row r="2292" spans="3:31" x14ac:dyDescent="0.25">
      <c r="C2292" s="201"/>
      <c r="E2292" s="201"/>
      <c r="F2292" s="201"/>
      <c r="I2292" s="198" t="s">
        <v>669</v>
      </c>
      <c r="J2292" s="198" t="s">
        <v>112</v>
      </c>
      <c r="K2292" s="202">
        <f t="shared" si="35"/>
        <v>1173510</v>
      </c>
      <c r="L2292" s="202">
        <v>230.1</v>
      </c>
      <c r="N2292" s="202">
        <v>661459.02</v>
      </c>
      <c r="S2292" s="203"/>
      <c r="W2292" s="198" t="s">
        <v>51</v>
      </c>
      <c r="AE2292" s="198" t="s">
        <v>831</v>
      </c>
    </row>
    <row r="2293" spans="3:31" x14ac:dyDescent="0.25">
      <c r="C2293" s="201"/>
      <c r="E2293" s="201"/>
      <c r="F2293" s="201"/>
      <c r="I2293" s="198" t="s">
        <v>179</v>
      </c>
      <c r="J2293" s="198" t="s">
        <v>169</v>
      </c>
      <c r="K2293" s="202">
        <f t="shared" si="35"/>
        <v>1174020</v>
      </c>
      <c r="L2293" s="202">
        <v>230.2</v>
      </c>
      <c r="N2293" s="202">
        <v>2649762.5499999998</v>
      </c>
      <c r="S2293" s="203"/>
      <c r="W2293" s="198" t="s">
        <v>51</v>
      </c>
      <c r="AE2293" s="198" t="s">
        <v>831</v>
      </c>
    </row>
    <row r="2294" spans="3:31" x14ac:dyDescent="0.25">
      <c r="C2294" s="201"/>
      <c r="E2294" s="201"/>
      <c r="F2294" s="201"/>
      <c r="I2294" s="198" t="s">
        <v>178</v>
      </c>
      <c r="J2294" s="198" t="s">
        <v>167</v>
      </c>
      <c r="K2294" s="202">
        <f t="shared" si="35"/>
        <v>1174530</v>
      </c>
      <c r="L2294" s="202">
        <v>230.3</v>
      </c>
      <c r="N2294" s="202">
        <v>1188084.8700000001</v>
      </c>
      <c r="S2294" s="203"/>
      <c r="W2294" s="198" t="s">
        <v>51</v>
      </c>
      <c r="AE2294" s="198" t="s">
        <v>831</v>
      </c>
    </row>
    <row r="2295" spans="3:31" x14ac:dyDescent="0.25">
      <c r="C2295" s="201"/>
      <c r="E2295" s="201"/>
      <c r="F2295" s="201"/>
      <c r="I2295" s="198" t="s">
        <v>740</v>
      </c>
      <c r="J2295" s="198" t="s">
        <v>153</v>
      </c>
      <c r="K2295" s="202">
        <f t="shared" si="35"/>
        <v>1175040</v>
      </c>
      <c r="L2295" s="202">
        <v>230.4</v>
      </c>
      <c r="N2295" s="202">
        <v>1240000</v>
      </c>
      <c r="S2295" s="204"/>
      <c r="W2295" s="198" t="s">
        <v>51</v>
      </c>
      <c r="AE2295" s="198" t="s">
        <v>1768</v>
      </c>
    </row>
    <row r="2296" spans="3:31" x14ac:dyDescent="0.25">
      <c r="C2296" s="201"/>
      <c r="E2296" s="201"/>
      <c r="F2296" s="201"/>
      <c r="I2296" s="198" t="s">
        <v>239</v>
      </c>
      <c r="J2296" s="198" t="s">
        <v>148</v>
      </c>
      <c r="K2296" s="202">
        <f t="shared" si="35"/>
        <v>1175550</v>
      </c>
      <c r="L2296" s="202">
        <v>230.5</v>
      </c>
      <c r="N2296" s="202">
        <v>1240000</v>
      </c>
      <c r="S2296" s="204"/>
      <c r="W2296" s="198" t="s">
        <v>51</v>
      </c>
      <c r="AE2296" s="198" t="s">
        <v>828</v>
      </c>
    </row>
    <row r="2297" spans="3:31" x14ac:dyDescent="0.25">
      <c r="C2297" s="201"/>
      <c r="E2297" s="201"/>
      <c r="F2297" s="201"/>
      <c r="I2297" s="198" t="s">
        <v>194</v>
      </c>
      <c r="J2297" s="198" t="s">
        <v>156</v>
      </c>
      <c r="K2297" s="202">
        <f t="shared" si="35"/>
        <v>1176060</v>
      </c>
      <c r="L2297" s="202">
        <v>230.6</v>
      </c>
      <c r="N2297" s="202">
        <v>1240000</v>
      </c>
      <c r="S2297" s="204"/>
      <c r="W2297" s="198" t="s">
        <v>51</v>
      </c>
      <c r="AE2297" s="198" t="s">
        <v>828</v>
      </c>
    </row>
    <row r="2298" spans="3:31" x14ac:dyDescent="0.25">
      <c r="C2298" s="201"/>
      <c r="E2298" s="201"/>
      <c r="F2298" s="201"/>
      <c r="I2298" s="198" t="s">
        <v>741</v>
      </c>
      <c r="J2298" s="198" t="s">
        <v>274</v>
      </c>
      <c r="K2298" s="202">
        <f t="shared" si="35"/>
        <v>1176570</v>
      </c>
      <c r="L2298" s="202">
        <v>230.7</v>
      </c>
      <c r="N2298" s="202">
        <v>1240000</v>
      </c>
      <c r="S2298" s="204"/>
      <c r="W2298" s="198" t="s">
        <v>51</v>
      </c>
      <c r="AE2298" s="198" t="s">
        <v>1767</v>
      </c>
    </row>
    <row r="2299" spans="3:31" x14ac:dyDescent="0.25">
      <c r="C2299" s="201"/>
      <c r="E2299" s="201"/>
      <c r="F2299" s="201"/>
      <c r="I2299" s="198" t="s">
        <v>158</v>
      </c>
      <c r="J2299" s="198" t="s">
        <v>65</v>
      </c>
      <c r="K2299" s="202">
        <f t="shared" si="35"/>
        <v>1177080</v>
      </c>
      <c r="L2299" s="202">
        <v>230.8</v>
      </c>
      <c r="N2299" s="202">
        <v>966000</v>
      </c>
      <c r="S2299" s="204"/>
      <c r="W2299" s="198" t="s">
        <v>51</v>
      </c>
      <c r="AE2299" s="198" t="s">
        <v>831</v>
      </c>
    </row>
    <row r="2300" spans="3:31" x14ac:dyDescent="0.25">
      <c r="C2300" s="201"/>
      <c r="E2300" s="201"/>
      <c r="F2300" s="201"/>
      <c r="I2300" s="198" t="s">
        <v>158</v>
      </c>
      <c r="J2300" s="198" t="s">
        <v>65</v>
      </c>
      <c r="K2300" s="202">
        <f t="shared" si="35"/>
        <v>1177590</v>
      </c>
      <c r="L2300" s="202">
        <v>230.9</v>
      </c>
      <c r="N2300" s="202">
        <v>400000</v>
      </c>
      <c r="S2300" s="204"/>
      <c r="W2300" s="198" t="s">
        <v>51</v>
      </c>
      <c r="AE2300" s="198" t="s">
        <v>831</v>
      </c>
    </row>
    <row r="2301" spans="3:31" x14ac:dyDescent="0.25">
      <c r="C2301" s="201"/>
      <c r="E2301" s="201"/>
      <c r="F2301" s="201"/>
      <c r="I2301" s="198" t="s">
        <v>158</v>
      </c>
      <c r="J2301" s="198" t="s">
        <v>65</v>
      </c>
      <c r="K2301" s="202">
        <f t="shared" si="35"/>
        <v>1178100</v>
      </c>
      <c r="L2301" s="202">
        <v>231</v>
      </c>
      <c r="N2301" s="202">
        <v>36000</v>
      </c>
      <c r="S2301" s="204"/>
      <c r="W2301" s="198" t="s">
        <v>51</v>
      </c>
      <c r="AE2301" s="198" t="s">
        <v>831</v>
      </c>
    </row>
    <row r="2302" spans="3:31" x14ac:dyDescent="0.25">
      <c r="C2302" s="201"/>
      <c r="E2302" s="201"/>
      <c r="F2302" s="201"/>
      <c r="I2302" s="198" t="s">
        <v>265</v>
      </c>
      <c r="J2302" s="198" t="s">
        <v>169</v>
      </c>
      <c r="K2302" s="202">
        <f t="shared" si="35"/>
        <v>1178610</v>
      </c>
      <c r="L2302" s="202">
        <v>231.1</v>
      </c>
      <c r="N2302" s="202">
        <v>36000</v>
      </c>
      <c r="S2302" s="204"/>
      <c r="W2302" s="198" t="s">
        <v>51</v>
      </c>
      <c r="AE2302" s="198" t="s">
        <v>831</v>
      </c>
    </row>
    <row r="2303" spans="3:31" x14ac:dyDescent="0.25">
      <c r="C2303" s="201"/>
      <c r="E2303" s="201"/>
      <c r="F2303" s="201"/>
      <c r="I2303" s="198" t="s">
        <v>178</v>
      </c>
      <c r="J2303" s="198" t="s">
        <v>167</v>
      </c>
      <c r="K2303" s="202">
        <f t="shared" si="35"/>
        <v>1179120</v>
      </c>
      <c r="L2303" s="202">
        <v>231.2</v>
      </c>
      <c r="N2303" s="202">
        <v>-0.04</v>
      </c>
      <c r="S2303" s="204"/>
      <c r="W2303" s="198" t="s">
        <v>51</v>
      </c>
      <c r="AE2303" s="198" t="s">
        <v>831</v>
      </c>
    </row>
    <row r="2304" spans="3:31" x14ac:dyDescent="0.25">
      <c r="C2304" s="201"/>
      <c r="E2304" s="201"/>
      <c r="F2304" s="201"/>
      <c r="I2304" s="198" t="s">
        <v>178</v>
      </c>
      <c r="J2304" s="198" t="s">
        <v>167</v>
      </c>
      <c r="K2304" s="202">
        <f t="shared" si="35"/>
        <v>1179630</v>
      </c>
      <c r="L2304" s="202">
        <v>231.3</v>
      </c>
      <c r="N2304" s="202">
        <v>-0.42</v>
      </c>
      <c r="S2304" s="204"/>
      <c r="W2304" s="198" t="s">
        <v>51</v>
      </c>
      <c r="AE2304" s="198" t="s">
        <v>831</v>
      </c>
    </row>
    <row r="2305" spans="3:31" x14ac:dyDescent="0.25">
      <c r="C2305" s="201"/>
      <c r="E2305" s="201"/>
      <c r="F2305" s="201"/>
      <c r="I2305" s="198" t="s">
        <v>178</v>
      </c>
      <c r="J2305" s="198" t="s">
        <v>167</v>
      </c>
      <c r="K2305" s="202">
        <f t="shared" si="35"/>
        <v>1180140</v>
      </c>
      <c r="L2305" s="202">
        <v>231.4</v>
      </c>
      <c r="N2305" s="202">
        <v>1005287.43</v>
      </c>
      <c r="S2305" s="203"/>
      <c r="W2305" s="198" t="s">
        <v>51</v>
      </c>
      <c r="AE2305" s="198" t="s">
        <v>831</v>
      </c>
    </row>
    <row r="2306" spans="3:31" x14ac:dyDescent="0.25">
      <c r="C2306" s="201"/>
      <c r="E2306" s="201"/>
      <c r="F2306" s="201"/>
      <c r="I2306" s="198" t="s">
        <v>178</v>
      </c>
      <c r="J2306" s="198" t="s">
        <v>167</v>
      </c>
      <c r="K2306" s="202">
        <f t="shared" si="35"/>
        <v>1180650</v>
      </c>
      <c r="L2306" s="202">
        <v>231.5</v>
      </c>
      <c r="N2306" s="202">
        <v>943041.75</v>
      </c>
      <c r="S2306" s="203"/>
      <c r="W2306" s="198" t="s">
        <v>51</v>
      </c>
      <c r="AE2306" s="198" t="s">
        <v>831</v>
      </c>
    </row>
    <row r="2307" spans="3:31" x14ac:dyDescent="0.25">
      <c r="C2307" s="201"/>
      <c r="E2307" s="201"/>
      <c r="F2307" s="201"/>
      <c r="I2307" s="198" t="s">
        <v>110</v>
      </c>
      <c r="J2307" s="198" t="s">
        <v>89</v>
      </c>
      <c r="K2307" s="202">
        <f t="shared" ref="K2307:K2370" si="36">L2307*5100</f>
        <v>1181160</v>
      </c>
      <c r="L2307" s="202">
        <v>231.6</v>
      </c>
      <c r="N2307" s="202">
        <v>2790992.03</v>
      </c>
      <c r="S2307" s="203"/>
      <c r="W2307" s="198" t="s">
        <v>51</v>
      </c>
      <c r="AE2307" s="198" t="s">
        <v>831</v>
      </c>
    </row>
    <row r="2308" spans="3:31" x14ac:dyDescent="0.25">
      <c r="C2308" s="201"/>
      <c r="E2308" s="201"/>
      <c r="F2308" s="201"/>
      <c r="I2308" s="198" t="s">
        <v>215</v>
      </c>
      <c r="J2308" s="198" t="s">
        <v>89</v>
      </c>
      <c r="K2308" s="202">
        <f t="shared" si="36"/>
        <v>1181670</v>
      </c>
      <c r="L2308" s="202">
        <v>231.7</v>
      </c>
      <c r="N2308" s="202">
        <v>354290</v>
      </c>
      <c r="S2308" s="204"/>
      <c r="W2308" s="198" t="s">
        <v>51</v>
      </c>
      <c r="AE2308" s="198" t="s">
        <v>831</v>
      </c>
    </row>
    <row r="2309" spans="3:31" x14ac:dyDescent="0.25">
      <c r="C2309" s="201"/>
      <c r="E2309" s="201"/>
      <c r="F2309" s="201"/>
      <c r="I2309" s="198" t="s">
        <v>215</v>
      </c>
      <c r="J2309" s="198" t="s">
        <v>89</v>
      </c>
      <c r="K2309" s="202">
        <f t="shared" si="36"/>
        <v>1182180</v>
      </c>
      <c r="L2309" s="202">
        <v>231.8</v>
      </c>
      <c r="N2309" s="202">
        <v>354290</v>
      </c>
      <c r="S2309" s="204"/>
      <c r="W2309" s="198" t="s">
        <v>51</v>
      </c>
      <c r="AE2309" s="198" t="s">
        <v>831</v>
      </c>
    </row>
    <row r="2310" spans="3:31" x14ac:dyDescent="0.25">
      <c r="C2310" s="201"/>
      <c r="E2310" s="201"/>
      <c r="F2310" s="201"/>
      <c r="I2310" s="198" t="s">
        <v>215</v>
      </c>
      <c r="J2310" s="198" t="s">
        <v>89</v>
      </c>
      <c r="K2310" s="202">
        <f t="shared" si="36"/>
        <v>1182690</v>
      </c>
      <c r="L2310" s="202">
        <v>231.9</v>
      </c>
      <c r="N2310" s="202">
        <v>354290</v>
      </c>
      <c r="S2310" s="204"/>
      <c r="W2310" s="198" t="s">
        <v>51</v>
      </c>
      <c r="AE2310" s="198" t="s">
        <v>831</v>
      </c>
    </row>
    <row r="2311" spans="3:31" x14ac:dyDescent="0.25">
      <c r="C2311" s="201"/>
      <c r="E2311" s="201"/>
      <c r="F2311" s="201"/>
      <c r="I2311" s="198" t="s">
        <v>215</v>
      </c>
      <c r="J2311" s="198" t="s">
        <v>89</v>
      </c>
      <c r="K2311" s="202">
        <f t="shared" si="36"/>
        <v>1183200</v>
      </c>
      <c r="L2311" s="202">
        <v>232</v>
      </c>
      <c r="N2311" s="202">
        <v>354290</v>
      </c>
      <c r="S2311" s="204"/>
      <c r="W2311" s="198" t="s">
        <v>51</v>
      </c>
      <c r="AE2311" s="198" t="s">
        <v>831</v>
      </c>
    </row>
    <row r="2312" spans="3:31" x14ac:dyDescent="0.25">
      <c r="C2312" s="201"/>
      <c r="E2312" s="201"/>
      <c r="F2312" s="201"/>
      <c r="I2312" s="198" t="s">
        <v>215</v>
      </c>
      <c r="J2312" s="198" t="s">
        <v>89</v>
      </c>
      <c r="K2312" s="202">
        <f t="shared" si="36"/>
        <v>1183710</v>
      </c>
      <c r="L2312" s="202">
        <v>232.1</v>
      </c>
      <c r="N2312" s="202">
        <v>354290</v>
      </c>
      <c r="S2312" s="204"/>
      <c r="W2312" s="198" t="s">
        <v>51</v>
      </c>
      <c r="AE2312" s="198" t="s">
        <v>831</v>
      </c>
    </row>
    <row r="2313" spans="3:31" x14ac:dyDescent="0.25">
      <c r="C2313" s="201"/>
      <c r="E2313" s="201"/>
      <c r="F2313" s="201"/>
      <c r="I2313" s="198" t="s">
        <v>215</v>
      </c>
      <c r="J2313" s="198" t="s">
        <v>89</v>
      </c>
      <c r="K2313" s="202">
        <f t="shared" si="36"/>
        <v>1184220</v>
      </c>
      <c r="L2313" s="202">
        <v>232.2</v>
      </c>
      <c r="N2313" s="202">
        <v>354290</v>
      </c>
      <c r="S2313" s="204"/>
      <c r="W2313" s="198" t="s">
        <v>51</v>
      </c>
      <c r="AE2313" s="198" t="s">
        <v>831</v>
      </c>
    </row>
    <row r="2314" spans="3:31" x14ac:dyDescent="0.25">
      <c r="C2314" s="201"/>
      <c r="E2314" s="201"/>
      <c r="F2314" s="201"/>
      <c r="I2314" s="198" t="s">
        <v>215</v>
      </c>
      <c r="J2314" s="198" t="s">
        <v>89</v>
      </c>
      <c r="K2314" s="202">
        <f t="shared" si="36"/>
        <v>1184730</v>
      </c>
      <c r="L2314" s="202">
        <v>232.3</v>
      </c>
      <c r="N2314" s="202">
        <v>354290</v>
      </c>
      <c r="S2314" s="204"/>
      <c r="W2314" s="198" t="s">
        <v>51</v>
      </c>
      <c r="AE2314" s="198" t="s">
        <v>831</v>
      </c>
    </row>
    <row r="2315" spans="3:31" x14ac:dyDescent="0.25">
      <c r="C2315" s="201"/>
      <c r="E2315" s="201"/>
      <c r="F2315" s="201"/>
      <c r="I2315" s="198" t="s">
        <v>215</v>
      </c>
      <c r="J2315" s="198" t="s">
        <v>89</v>
      </c>
      <c r="K2315" s="202">
        <f t="shared" si="36"/>
        <v>1185240</v>
      </c>
      <c r="L2315" s="202">
        <v>232.4</v>
      </c>
      <c r="N2315" s="202">
        <v>354290</v>
      </c>
      <c r="S2315" s="204"/>
      <c r="W2315" s="198" t="s">
        <v>51</v>
      </c>
      <c r="AE2315" s="198" t="s">
        <v>831</v>
      </c>
    </row>
    <row r="2316" spans="3:31" x14ac:dyDescent="0.25">
      <c r="C2316" s="201"/>
      <c r="E2316" s="201"/>
      <c r="F2316" s="201"/>
      <c r="I2316" s="198" t="s">
        <v>215</v>
      </c>
      <c r="J2316" s="198" t="s">
        <v>89</v>
      </c>
      <c r="K2316" s="202">
        <f t="shared" si="36"/>
        <v>1185750</v>
      </c>
      <c r="L2316" s="202">
        <v>232.5</v>
      </c>
      <c r="N2316" s="202">
        <v>354290</v>
      </c>
      <c r="S2316" s="204"/>
      <c r="W2316" s="198" t="s">
        <v>51</v>
      </c>
      <c r="AE2316" s="198" t="s">
        <v>831</v>
      </c>
    </row>
    <row r="2317" spans="3:31" x14ac:dyDescent="0.25">
      <c r="C2317" s="201"/>
      <c r="E2317" s="201"/>
      <c r="F2317" s="201"/>
      <c r="I2317" s="198" t="s">
        <v>215</v>
      </c>
      <c r="J2317" s="198" t="s">
        <v>89</v>
      </c>
      <c r="K2317" s="202">
        <f t="shared" si="36"/>
        <v>1186260</v>
      </c>
      <c r="L2317" s="202">
        <v>232.6</v>
      </c>
      <c r="N2317" s="202">
        <v>354290</v>
      </c>
      <c r="S2317" s="204"/>
      <c r="W2317" s="198" t="s">
        <v>51</v>
      </c>
      <c r="AE2317" s="198" t="s">
        <v>831</v>
      </c>
    </row>
    <row r="2318" spans="3:31" x14ac:dyDescent="0.25">
      <c r="C2318" s="201"/>
      <c r="E2318" s="201"/>
      <c r="F2318" s="201"/>
      <c r="I2318" s="198" t="s">
        <v>215</v>
      </c>
      <c r="J2318" s="198" t="s">
        <v>89</v>
      </c>
      <c r="K2318" s="202">
        <f t="shared" si="36"/>
        <v>1186770</v>
      </c>
      <c r="L2318" s="202">
        <v>232.7</v>
      </c>
      <c r="N2318" s="202">
        <v>354290</v>
      </c>
      <c r="S2318" s="204"/>
      <c r="W2318" s="198" t="s">
        <v>51</v>
      </c>
      <c r="AE2318" s="198" t="s">
        <v>831</v>
      </c>
    </row>
    <row r="2319" spans="3:31" x14ac:dyDescent="0.25">
      <c r="C2319" s="201"/>
      <c r="E2319" s="201"/>
      <c r="F2319" s="201"/>
      <c r="I2319" s="198" t="s">
        <v>754</v>
      </c>
      <c r="J2319" s="198" t="s">
        <v>193</v>
      </c>
      <c r="K2319" s="202">
        <f t="shared" si="36"/>
        <v>1187280</v>
      </c>
      <c r="L2319" s="202">
        <v>232.8</v>
      </c>
      <c r="N2319" s="202">
        <v>1785000</v>
      </c>
      <c r="S2319" s="203"/>
      <c r="W2319" s="198" t="s">
        <v>51</v>
      </c>
      <c r="AE2319" s="198" t="s">
        <v>830</v>
      </c>
    </row>
    <row r="2320" spans="3:31" x14ac:dyDescent="0.25">
      <c r="C2320" s="201"/>
      <c r="E2320" s="201"/>
      <c r="F2320" s="201"/>
      <c r="I2320" s="198" t="s">
        <v>754</v>
      </c>
      <c r="J2320" s="198" t="s">
        <v>193</v>
      </c>
      <c r="K2320" s="202">
        <f t="shared" si="36"/>
        <v>1187790</v>
      </c>
      <c r="L2320" s="202">
        <v>232.9</v>
      </c>
      <c r="N2320" s="202">
        <v>1487500</v>
      </c>
      <c r="S2320" s="203"/>
      <c r="W2320" s="198" t="s">
        <v>51</v>
      </c>
      <c r="AE2320" s="198" t="s">
        <v>830</v>
      </c>
    </row>
    <row r="2321" spans="3:31" x14ac:dyDescent="0.25">
      <c r="C2321" s="201"/>
      <c r="E2321" s="201"/>
      <c r="F2321" s="201"/>
      <c r="I2321" s="198" t="s">
        <v>754</v>
      </c>
      <c r="J2321" s="198" t="s">
        <v>193</v>
      </c>
      <c r="K2321" s="202">
        <f t="shared" si="36"/>
        <v>1188300</v>
      </c>
      <c r="L2321" s="202">
        <v>233</v>
      </c>
      <c r="N2321" s="202">
        <v>1190000</v>
      </c>
      <c r="S2321" s="203"/>
      <c r="W2321" s="198" t="s">
        <v>51</v>
      </c>
      <c r="AE2321" s="198" t="s">
        <v>830</v>
      </c>
    </row>
    <row r="2322" spans="3:31" x14ac:dyDescent="0.25">
      <c r="C2322" s="201"/>
      <c r="E2322" s="201"/>
      <c r="F2322" s="201"/>
      <c r="I2322" s="198" t="s">
        <v>754</v>
      </c>
      <c r="J2322" s="198" t="s">
        <v>193</v>
      </c>
      <c r="K2322" s="202">
        <f t="shared" si="36"/>
        <v>1188810</v>
      </c>
      <c r="L2322" s="202">
        <v>233.1</v>
      </c>
      <c r="N2322" s="202">
        <v>892500</v>
      </c>
      <c r="S2322" s="203"/>
      <c r="W2322" s="198" t="s">
        <v>51</v>
      </c>
      <c r="AE2322" s="198" t="s">
        <v>830</v>
      </c>
    </row>
    <row r="2323" spans="3:31" x14ac:dyDescent="0.25">
      <c r="C2323" s="201"/>
      <c r="E2323" s="201"/>
      <c r="F2323" s="201"/>
      <c r="I2323" s="198" t="s">
        <v>577</v>
      </c>
      <c r="J2323" s="198" t="s">
        <v>130</v>
      </c>
      <c r="K2323" s="202">
        <f t="shared" si="36"/>
        <v>1189320</v>
      </c>
      <c r="L2323" s="202">
        <v>233.2</v>
      </c>
      <c r="N2323" s="202">
        <v>1027303.13</v>
      </c>
      <c r="S2323" s="204"/>
      <c r="W2323" s="198" t="s">
        <v>51</v>
      </c>
      <c r="AE2323" s="198" t="s">
        <v>833</v>
      </c>
    </row>
    <row r="2324" spans="3:31" x14ac:dyDescent="0.25">
      <c r="C2324" s="201"/>
      <c r="E2324" s="201"/>
      <c r="F2324" s="201"/>
      <c r="I2324" s="198" t="s">
        <v>577</v>
      </c>
      <c r="J2324" s="198" t="s">
        <v>130</v>
      </c>
      <c r="K2324" s="202">
        <f t="shared" si="36"/>
        <v>1189830</v>
      </c>
      <c r="L2324" s="202">
        <v>233.3</v>
      </c>
      <c r="N2324" s="202">
        <v>1108284.07</v>
      </c>
      <c r="S2324" s="204"/>
      <c r="W2324" s="198" t="s">
        <v>51</v>
      </c>
      <c r="AE2324" s="198" t="s">
        <v>833</v>
      </c>
    </row>
    <row r="2325" spans="3:31" x14ac:dyDescent="0.25">
      <c r="C2325" s="201"/>
      <c r="E2325" s="201"/>
      <c r="F2325" s="201"/>
      <c r="I2325" s="198" t="s">
        <v>77</v>
      </c>
      <c r="J2325" s="198" t="s">
        <v>65</v>
      </c>
      <c r="K2325" s="202">
        <f t="shared" si="36"/>
        <v>1190340</v>
      </c>
      <c r="L2325" s="202">
        <v>233.4</v>
      </c>
      <c r="N2325" s="202">
        <v>-0.26</v>
      </c>
      <c r="S2325" s="204"/>
      <c r="W2325" s="198" t="s">
        <v>51</v>
      </c>
      <c r="AE2325" s="198" t="s">
        <v>831</v>
      </c>
    </row>
    <row r="2326" spans="3:31" x14ac:dyDescent="0.25">
      <c r="C2326" s="201"/>
      <c r="E2326" s="201"/>
      <c r="F2326" s="201"/>
      <c r="I2326" s="198" t="s">
        <v>577</v>
      </c>
      <c r="J2326" s="198" t="s">
        <v>130</v>
      </c>
      <c r="K2326" s="202">
        <f t="shared" si="36"/>
        <v>1190850</v>
      </c>
      <c r="L2326" s="202">
        <v>233.5</v>
      </c>
      <c r="N2326" s="202">
        <v>9896839.2400000002</v>
      </c>
      <c r="S2326" s="204"/>
      <c r="W2326" s="198" t="s">
        <v>51</v>
      </c>
      <c r="AE2326" s="198" t="s">
        <v>833</v>
      </c>
    </row>
    <row r="2327" spans="3:31" x14ac:dyDescent="0.25">
      <c r="C2327" s="201"/>
      <c r="E2327" s="201"/>
      <c r="F2327" s="201"/>
      <c r="I2327" s="198" t="s">
        <v>577</v>
      </c>
      <c r="J2327" s="198" t="s">
        <v>130</v>
      </c>
      <c r="K2327" s="202">
        <f t="shared" si="36"/>
        <v>1191360</v>
      </c>
      <c r="L2327" s="202">
        <v>233.6</v>
      </c>
      <c r="N2327" s="202">
        <v>-9896839.2400000002</v>
      </c>
      <c r="S2327" s="204"/>
      <c r="W2327" s="198" t="s">
        <v>51</v>
      </c>
      <c r="AE2327" s="198" t="s">
        <v>833</v>
      </c>
    </row>
    <row r="2328" spans="3:31" x14ac:dyDescent="0.25">
      <c r="C2328" s="201"/>
      <c r="E2328" s="201"/>
      <c r="F2328" s="201"/>
      <c r="I2328" s="198" t="s">
        <v>215</v>
      </c>
      <c r="J2328" s="198" t="s">
        <v>89</v>
      </c>
      <c r="K2328" s="202">
        <f t="shared" si="36"/>
        <v>1191870</v>
      </c>
      <c r="L2328" s="202">
        <v>233.7</v>
      </c>
      <c r="N2328" s="202">
        <v>9211540</v>
      </c>
      <c r="S2328" s="204"/>
      <c r="W2328" s="198" t="s">
        <v>51</v>
      </c>
      <c r="AE2328" s="198" t="s">
        <v>831</v>
      </c>
    </row>
    <row r="2329" spans="3:31" x14ac:dyDescent="0.25">
      <c r="C2329" s="201"/>
      <c r="E2329" s="201"/>
      <c r="F2329" s="201"/>
      <c r="I2329" s="198" t="s">
        <v>215</v>
      </c>
      <c r="J2329" s="198" t="s">
        <v>89</v>
      </c>
      <c r="K2329" s="202">
        <f t="shared" si="36"/>
        <v>1192380</v>
      </c>
      <c r="L2329" s="202">
        <v>233.8</v>
      </c>
      <c r="N2329" s="202">
        <v>-9211540</v>
      </c>
      <c r="S2329" s="204"/>
      <c r="W2329" s="198" t="s">
        <v>51</v>
      </c>
      <c r="AE2329" s="198" t="s">
        <v>831</v>
      </c>
    </row>
    <row r="2330" spans="3:31" x14ac:dyDescent="0.25">
      <c r="C2330" s="201"/>
      <c r="E2330" s="201"/>
      <c r="F2330" s="201"/>
      <c r="I2330" s="198" t="s">
        <v>577</v>
      </c>
      <c r="J2330" s="198" t="s">
        <v>130</v>
      </c>
      <c r="K2330" s="202">
        <f t="shared" si="36"/>
        <v>1192890</v>
      </c>
      <c r="L2330" s="202">
        <v>233.9</v>
      </c>
      <c r="N2330" s="202">
        <v>7217379.0599999996</v>
      </c>
      <c r="S2330" s="204"/>
      <c r="W2330" s="198" t="s">
        <v>51</v>
      </c>
      <c r="AE2330" s="198" t="s">
        <v>833</v>
      </c>
    </row>
    <row r="2331" spans="3:31" x14ac:dyDescent="0.25">
      <c r="C2331" s="201"/>
      <c r="E2331" s="201"/>
      <c r="F2331" s="201"/>
      <c r="I2331" s="198" t="s">
        <v>577</v>
      </c>
      <c r="J2331" s="198" t="s">
        <v>130</v>
      </c>
      <c r="K2331" s="202">
        <f t="shared" si="36"/>
        <v>1193400</v>
      </c>
      <c r="L2331" s="202">
        <v>234</v>
      </c>
      <c r="N2331" s="202">
        <v>-7217379.0599999996</v>
      </c>
      <c r="S2331" s="204"/>
      <c r="W2331" s="198" t="s">
        <v>51</v>
      </c>
      <c r="AE2331" s="198" t="s">
        <v>833</v>
      </c>
    </row>
    <row r="2332" spans="3:31" x14ac:dyDescent="0.25">
      <c r="C2332" s="201"/>
      <c r="E2332" s="201"/>
      <c r="F2332" s="201"/>
      <c r="I2332" s="198" t="s">
        <v>843</v>
      </c>
      <c r="J2332" s="198" t="s">
        <v>137</v>
      </c>
      <c r="K2332" s="202">
        <f t="shared" si="36"/>
        <v>1193910</v>
      </c>
      <c r="L2332" s="202">
        <v>234.1</v>
      </c>
      <c r="N2332" s="202">
        <v>8116800</v>
      </c>
      <c r="S2332" s="204"/>
      <c r="W2332" s="198" t="s">
        <v>51</v>
      </c>
      <c r="AE2332" s="198" t="s">
        <v>844</v>
      </c>
    </row>
    <row r="2333" spans="3:31" x14ac:dyDescent="0.25">
      <c r="C2333" s="201"/>
      <c r="E2333" s="201"/>
      <c r="F2333" s="201"/>
      <c r="I2333" s="198" t="s">
        <v>843</v>
      </c>
      <c r="J2333" s="198" t="s">
        <v>137</v>
      </c>
      <c r="K2333" s="202">
        <f t="shared" si="36"/>
        <v>1194420</v>
      </c>
      <c r="L2333" s="202">
        <v>234.2</v>
      </c>
      <c r="N2333" s="202">
        <v>-8116800</v>
      </c>
      <c r="S2333" s="204"/>
      <c r="W2333" s="198" t="s">
        <v>51</v>
      </c>
      <c r="AE2333" s="198" t="s">
        <v>844</v>
      </c>
    </row>
    <row r="2334" spans="3:31" x14ac:dyDescent="0.25">
      <c r="C2334" s="201"/>
      <c r="E2334" s="201"/>
      <c r="F2334" s="201"/>
      <c r="I2334" s="198" t="s">
        <v>129</v>
      </c>
      <c r="J2334" s="198" t="s">
        <v>130</v>
      </c>
      <c r="K2334" s="202">
        <f t="shared" si="36"/>
        <v>1194930</v>
      </c>
      <c r="L2334" s="202">
        <v>234.3</v>
      </c>
      <c r="N2334" s="202">
        <v>16028320.390000001</v>
      </c>
      <c r="S2334" s="204"/>
      <c r="W2334" s="198" t="s">
        <v>51</v>
      </c>
      <c r="AE2334" s="198" t="s">
        <v>833</v>
      </c>
    </row>
    <row r="2335" spans="3:31" x14ac:dyDescent="0.25">
      <c r="C2335" s="201"/>
      <c r="E2335" s="201"/>
      <c r="F2335" s="201"/>
      <c r="I2335" s="198" t="s">
        <v>129</v>
      </c>
      <c r="J2335" s="198" t="s">
        <v>130</v>
      </c>
      <c r="K2335" s="202">
        <f t="shared" si="36"/>
        <v>1195440</v>
      </c>
      <c r="L2335" s="202">
        <v>234.4</v>
      </c>
      <c r="N2335" s="202">
        <v>-16028320.390000001</v>
      </c>
      <c r="S2335" s="204"/>
      <c r="W2335" s="198" t="s">
        <v>51</v>
      </c>
      <c r="AE2335" s="198" t="s">
        <v>833</v>
      </c>
    </row>
    <row r="2336" spans="3:31" x14ac:dyDescent="0.25">
      <c r="C2336" s="201"/>
      <c r="E2336" s="201"/>
      <c r="F2336" s="201"/>
      <c r="I2336" s="198" t="s">
        <v>131</v>
      </c>
      <c r="J2336" s="198" t="s">
        <v>132</v>
      </c>
      <c r="K2336" s="202">
        <f t="shared" si="36"/>
        <v>1195950</v>
      </c>
      <c r="L2336" s="202">
        <v>234.5</v>
      </c>
      <c r="N2336" s="202">
        <v>4371354.1900000004</v>
      </c>
      <c r="S2336" s="204"/>
      <c r="W2336" s="198" t="s">
        <v>51</v>
      </c>
      <c r="AE2336" s="198" t="s">
        <v>833</v>
      </c>
    </row>
    <row r="2337" spans="3:31" x14ac:dyDescent="0.25">
      <c r="C2337" s="201"/>
      <c r="E2337" s="201"/>
      <c r="F2337" s="201"/>
      <c r="I2337" s="198" t="s">
        <v>131</v>
      </c>
      <c r="J2337" s="198" t="s">
        <v>132</v>
      </c>
      <c r="K2337" s="202">
        <f t="shared" si="36"/>
        <v>1196460</v>
      </c>
      <c r="L2337" s="202">
        <v>234.6</v>
      </c>
      <c r="N2337" s="202">
        <v>-4371354.1900000004</v>
      </c>
      <c r="S2337" s="204"/>
      <c r="W2337" s="198" t="s">
        <v>51</v>
      </c>
      <c r="AE2337" s="198" t="s">
        <v>833</v>
      </c>
    </row>
    <row r="2338" spans="3:31" x14ac:dyDescent="0.25">
      <c r="C2338" s="201"/>
      <c r="E2338" s="201"/>
      <c r="F2338" s="201"/>
      <c r="I2338" s="198" t="s">
        <v>430</v>
      </c>
      <c r="J2338" s="198" t="s">
        <v>130</v>
      </c>
      <c r="K2338" s="202">
        <f t="shared" si="36"/>
        <v>1196970</v>
      </c>
      <c r="L2338" s="202">
        <v>234.7</v>
      </c>
      <c r="N2338" s="202">
        <v>85403542.170000002</v>
      </c>
      <c r="S2338" s="204"/>
      <c r="W2338" s="198" t="s">
        <v>51</v>
      </c>
      <c r="AE2338" s="198" t="s">
        <v>833</v>
      </c>
    </row>
    <row r="2339" spans="3:31" x14ac:dyDescent="0.25">
      <c r="C2339" s="201"/>
      <c r="E2339" s="201"/>
      <c r="F2339" s="201"/>
      <c r="I2339" s="198" t="s">
        <v>430</v>
      </c>
      <c r="J2339" s="198" t="s">
        <v>130</v>
      </c>
      <c r="K2339" s="202">
        <f t="shared" si="36"/>
        <v>1197480</v>
      </c>
      <c r="L2339" s="202">
        <v>234.8</v>
      </c>
      <c r="N2339" s="202">
        <v>-85403542.170000002</v>
      </c>
      <c r="S2339" s="204"/>
      <c r="W2339" s="198" t="s">
        <v>51</v>
      </c>
      <c r="AE2339" s="198" t="s">
        <v>833</v>
      </c>
    </row>
    <row r="2340" spans="3:31" x14ac:dyDescent="0.25">
      <c r="C2340" s="201"/>
      <c r="E2340" s="201"/>
      <c r="F2340" s="201"/>
      <c r="I2340" s="198" t="s">
        <v>202</v>
      </c>
      <c r="J2340" s="198" t="s">
        <v>65</v>
      </c>
      <c r="K2340" s="202">
        <f t="shared" si="36"/>
        <v>1197990</v>
      </c>
      <c r="L2340" s="202">
        <v>234.9</v>
      </c>
      <c r="N2340" s="202">
        <v>30610656</v>
      </c>
      <c r="S2340" s="204"/>
      <c r="W2340" s="198" t="s">
        <v>51</v>
      </c>
      <c r="AE2340" s="198" t="s">
        <v>831</v>
      </c>
    </row>
    <row r="2341" spans="3:31" x14ac:dyDescent="0.25">
      <c r="C2341" s="201"/>
      <c r="E2341" s="201"/>
      <c r="F2341" s="201"/>
      <c r="I2341" s="198" t="s">
        <v>202</v>
      </c>
      <c r="J2341" s="198" t="s">
        <v>65</v>
      </c>
      <c r="K2341" s="202">
        <f t="shared" si="36"/>
        <v>1198500</v>
      </c>
      <c r="L2341" s="202">
        <v>235</v>
      </c>
      <c r="N2341" s="202">
        <v>-30610656</v>
      </c>
      <c r="S2341" s="204"/>
      <c r="W2341" s="198" t="s">
        <v>51</v>
      </c>
      <c r="AE2341" s="198" t="s">
        <v>831</v>
      </c>
    </row>
    <row r="2342" spans="3:31" x14ac:dyDescent="0.25">
      <c r="C2342" s="201"/>
      <c r="E2342" s="201"/>
      <c r="F2342" s="201"/>
      <c r="I2342" s="198" t="s">
        <v>129</v>
      </c>
      <c r="J2342" s="198" t="s">
        <v>130</v>
      </c>
      <c r="K2342" s="202">
        <f t="shared" si="36"/>
        <v>1199010</v>
      </c>
      <c r="L2342" s="202">
        <v>235.1</v>
      </c>
      <c r="N2342" s="202">
        <v>23000000</v>
      </c>
      <c r="S2342" s="204"/>
      <c r="W2342" s="198" t="s">
        <v>51</v>
      </c>
      <c r="AE2342" s="198" t="s">
        <v>833</v>
      </c>
    </row>
    <row r="2343" spans="3:31" x14ac:dyDescent="0.25">
      <c r="C2343" s="201"/>
      <c r="E2343" s="201"/>
      <c r="F2343" s="201"/>
      <c r="I2343" s="198" t="s">
        <v>215</v>
      </c>
      <c r="J2343" s="198" t="s">
        <v>89</v>
      </c>
      <c r="K2343" s="202">
        <f t="shared" si="36"/>
        <v>1199520</v>
      </c>
      <c r="L2343" s="202">
        <v>235.2</v>
      </c>
      <c r="N2343" s="202">
        <v>354290</v>
      </c>
      <c r="S2343" s="204"/>
      <c r="W2343" s="198" t="s">
        <v>51</v>
      </c>
      <c r="AE2343" s="198" t="s">
        <v>831</v>
      </c>
    </row>
    <row r="2344" spans="3:31" x14ac:dyDescent="0.25">
      <c r="C2344" s="201"/>
      <c r="E2344" s="201"/>
      <c r="F2344" s="201"/>
      <c r="I2344" s="198" t="s">
        <v>129</v>
      </c>
      <c r="J2344" s="198" t="s">
        <v>130</v>
      </c>
      <c r="K2344" s="202">
        <f t="shared" si="36"/>
        <v>1200030</v>
      </c>
      <c r="L2344" s="202">
        <v>235.3</v>
      </c>
      <c r="N2344" s="202">
        <v>23000000</v>
      </c>
      <c r="S2344" s="204"/>
      <c r="W2344" s="198" t="s">
        <v>51</v>
      </c>
      <c r="AE2344" s="198" t="s">
        <v>833</v>
      </c>
    </row>
    <row r="2345" spans="3:31" x14ac:dyDescent="0.25">
      <c r="C2345" s="201"/>
      <c r="E2345" s="201"/>
      <c r="F2345" s="201"/>
      <c r="I2345" s="198" t="s">
        <v>362</v>
      </c>
      <c r="J2345" s="198" t="s">
        <v>132</v>
      </c>
      <c r="K2345" s="202">
        <f t="shared" si="36"/>
        <v>1200540</v>
      </c>
      <c r="L2345" s="202">
        <v>235.4</v>
      </c>
      <c r="N2345" s="202">
        <v>16535647</v>
      </c>
      <c r="S2345" s="204"/>
      <c r="W2345" s="198" t="s">
        <v>51</v>
      </c>
      <c r="AE2345" s="198" t="s">
        <v>833</v>
      </c>
    </row>
    <row r="2346" spans="3:31" x14ac:dyDescent="0.25">
      <c r="C2346" s="201"/>
      <c r="E2346" s="201"/>
      <c r="F2346" s="201"/>
      <c r="I2346" s="198" t="s">
        <v>215</v>
      </c>
      <c r="J2346" s="198" t="s">
        <v>89</v>
      </c>
      <c r="K2346" s="202">
        <f t="shared" si="36"/>
        <v>1201050</v>
      </c>
      <c r="L2346" s="202">
        <v>235.5</v>
      </c>
      <c r="N2346" s="202">
        <v>354290</v>
      </c>
      <c r="S2346" s="204"/>
      <c r="W2346" s="198" t="s">
        <v>51</v>
      </c>
      <c r="AE2346" s="198" t="s">
        <v>831</v>
      </c>
    </row>
    <row r="2347" spans="3:31" x14ac:dyDescent="0.25">
      <c r="C2347" s="201"/>
      <c r="E2347" s="201"/>
      <c r="F2347" s="201"/>
      <c r="I2347" s="198" t="s">
        <v>362</v>
      </c>
      <c r="J2347" s="198" t="s">
        <v>132</v>
      </c>
      <c r="K2347" s="202">
        <f t="shared" si="36"/>
        <v>1201560</v>
      </c>
      <c r="L2347" s="202">
        <v>235.6</v>
      </c>
      <c r="N2347" s="202">
        <v>16535647</v>
      </c>
      <c r="S2347" s="204"/>
      <c r="W2347" s="198" t="s">
        <v>51</v>
      </c>
      <c r="AE2347" s="198" t="s">
        <v>833</v>
      </c>
    </row>
    <row r="2348" spans="3:31" x14ac:dyDescent="0.25">
      <c r="C2348" s="201"/>
      <c r="E2348" s="201"/>
      <c r="F2348" s="201"/>
      <c r="I2348" s="198" t="s">
        <v>362</v>
      </c>
      <c r="J2348" s="198" t="s">
        <v>132</v>
      </c>
      <c r="K2348" s="202">
        <f t="shared" si="36"/>
        <v>1202070</v>
      </c>
      <c r="L2348" s="202">
        <v>235.7</v>
      </c>
      <c r="N2348" s="202">
        <v>16535647</v>
      </c>
      <c r="S2348" s="204"/>
      <c r="W2348" s="198" t="s">
        <v>51</v>
      </c>
      <c r="AE2348" s="198" t="s">
        <v>833</v>
      </c>
    </row>
    <row r="2349" spans="3:31" x14ac:dyDescent="0.25">
      <c r="C2349" s="201"/>
      <c r="E2349" s="201"/>
      <c r="F2349" s="201"/>
      <c r="I2349" s="198" t="s">
        <v>204</v>
      </c>
      <c r="J2349" s="198" t="s">
        <v>169</v>
      </c>
      <c r="K2349" s="202">
        <f t="shared" si="36"/>
        <v>1202580</v>
      </c>
      <c r="L2349" s="202">
        <v>235.8</v>
      </c>
      <c r="N2349" s="202">
        <v>349040</v>
      </c>
      <c r="S2349" s="204"/>
      <c r="W2349" s="198" t="s">
        <v>51</v>
      </c>
      <c r="AE2349" s="198" t="s">
        <v>831</v>
      </c>
    </row>
    <row r="2350" spans="3:31" x14ac:dyDescent="0.25">
      <c r="C2350" s="201"/>
      <c r="E2350" s="201"/>
      <c r="F2350" s="201"/>
      <c r="I2350" s="198" t="s">
        <v>77</v>
      </c>
      <c r="J2350" s="198" t="s">
        <v>65</v>
      </c>
      <c r="K2350" s="202">
        <f t="shared" si="36"/>
        <v>1203090</v>
      </c>
      <c r="L2350" s="202">
        <v>235.9</v>
      </c>
      <c r="N2350" s="202">
        <v>2941305.77</v>
      </c>
      <c r="S2350" s="203"/>
      <c r="W2350" s="198" t="s">
        <v>51</v>
      </c>
      <c r="AE2350" s="198" t="s">
        <v>831</v>
      </c>
    </row>
    <row r="2351" spans="3:31" x14ac:dyDescent="0.25">
      <c r="C2351" s="201"/>
      <c r="E2351" s="201"/>
      <c r="F2351" s="201"/>
      <c r="I2351" s="198" t="s">
        <v>204</v>
      </c>
      <c r="J2351" s="198" t="s">
        <v>169</v>
      </c>
      <c r="K2351" s="202">
        <f t="shared" si="36"/>
        <v>1203600</v>
      </c>
      <c r="L2351" s="202">
        <v>236</v>
      </c>
      <c r="N2351" s="202">
        <v>349040</v>
      </c>
      <c r="S2351" s="204"/>
      <c r="W2351" s="198" t="s">
        <v>51</v>
      </c>
      <c r="AE2351" s="198" t="s">
        <v>831</v>
      </c>
    </row>
    <row r="2352" spans="3:31" x14ac:dyDescent="0.25">
      <c r="C2352" s="201"/>
      <c r="E2352" s="201"/>
      <c r="F2352" s="201"/>
      <c r="I2352" s="198" t="s">
        <v>843</v>
      </c>
      <c r="J2352" s="198" t="s">
        <v>137</v>
      </c>
      <c r="K2352" s="202">
        <f t="shared" si="36"/>
        <v>1204110</v>
      </c>
      <c r="L2352" s="202">
        <v>236.1</v>
      </c>
      <c r="N2352" s="202">
        <v>475377</v>
      </c>
      <c r="S2352" s="204"/>
      <c r="W2352" s="198" t="s">
        <v>51</v>
      </c>
      <c r="AE2352" s="198" t="s">
        <v>844</v>
      </c>
    </row>
    <row r="2353" spans="3:31" x14ac:dyDescent="0.25">
      <c r="C2353" s="201"/>
      <c r="E2353" s="201"/>
      <c r="F2353" s="201"/>
      <c r="I2353" s="198" t="s">
        <v>843</v>
      </c>
      <c r="J2353" s="198" t="s">
        <v>137</v>
      </c>
      <c r="K2353" s="202">
        <f t="shared" si="36"/>
        <v>1204620</v>
      </c>
      <c r="L2353" s="202">
        <v>236.2</v>
      </c>
      <c r="N2353" s="202">
        <v>475991</v>
      </c>
      <c r="S2353" s="204"/>
      <c r="W2353" s="198" t="s">
        <v>51</v>
      </c>
      <c r="AE2353" s="198" t="s">
        <v>844</v>
      </c>
    </row>
    <row r="2354" spans="3:31" x14ac:dyDescent="0.25">
      <c r="C2354" s="201"/>
      <c r="E2354" s="201"/>
      <c r="F2354" s="201"/>
      <c r="I2354" s="198" t="s">
        <v>843</v>
      </c>
      <c r="J2354" s="198" t="s">
        <v>137</v>
      </c>
      <c r="K2354" s="202">
        <f t="shared" si="36"/>
        <v>1205130</v>
      </c>
      <c r="L2354" s="202">
        <v>236.3</v>
      </c>
      <c r="N2354" s="202">
        <v>476171</v>
      </c>
      <c r="S2354" s="204"/>
      <c r="W2354" s="198" t="s">
        <v>51</v>
      </c>
      <c r="AE2354" s="198" t="s">
        <v>844</v>
      </c>
    </row>
    <row r="2355" spans="3:31" x14ac:dyDescent="0.25">
      <c r="C2355" s="201"/>
      <c r="E2355" s="201"/>
      <c r="F2355" s="201"/>
      <c r="I2355" s="198" t="s">
        <v>843</v>
      </c>
      <c r="J2355" s="198" t="s">
        <v>137</v>
      </c>
      <c r="K2355" s="202">
        <f t="shared" si="36"/>
        <v>1205640</v>
      </c>
      <c r="L2355" s="202">
        <v>236.4</v>
      </c>
      <c r="N2355" s="202">
        <v>474836.13</v>
      </c>
      <c r="S2355" s="204"/>
      <c r="W2355" s="198" t="s">
        <v>51</v>
      </c>
      <c r="AE2355" s="198" t="s">
        <v>844</v>
      </c>
    </row>
    <row r="2356" spans="3:31" x14ac:dyDescent="0.25">
      <c r="C2356" s="201"/>
      <c r="E2356" s="201"/>
      <c r="F2356" s="201"/>
      <c r="I2356" s="198" t="s">
        <v>843</v>
      </c>
      <c r="J2356" s="198" t="s">
        <v>137</v>
      </c>
      <c r="K2356" s="202">
        <f t="shared" si="36"/>
        <v>1206150</v>
      </c>
      <c r="L2356" s="202">
        <v>236.5</v>
      </c>
      <c r="N2356" s="202">
        <v>475088.76</v>
      </c>
      <c r="S2356" s="204"/>
      <c r="W2356" s="198" t="s">
        <v>51</v>
      </c>
      <c r="AE2356" s="198" t="s">
        <v>844</v>
      </c>
    </row>
    <row r="2357" spans="3:31" x14ac:dyDescent="0.25">
      <c r="C2357" s="201"/>
      <c r="E2357" s="201"/>
      <c r="F2357" s="201"/>
      <c r="I2357" s="198" t="s">
        <v>843</v>
      </c>
      <c r="J2357" s="198" t="s">
        <v>137</v>
      </c>
      <c r="K2357" s="202">
        <f t="shared" si="36"/>
        <v>1206660</v>
      </c>
      <c r="L2357" s="202">
        <v>236.6</v>
      </c>
      <c r="N2357" s="202">
        <v>475774.47</v>
      </c>
      <c r="S2357" s="204"/>
      <c r="W2357" s="198" t="s">
        <v>51</v>
      </c>
      <c r="AE2357" s="198" t="s">
        <v>844</v>
      </c>
    </row>
    <row r="2358" spans="3:31" x14ac:dyDescent="0.25">
      <c r="C2358" s="201"/>
      <c r="E2358" s="201"/>
      <c r="F2358" s="201"/>
      <c r="I2358" s="198" t="s">
        <v>77</v>
      </c>
      <c r="J2358" s="198" t="s">
        <v>65</v>
      </c>
      <c r="K2358" s="202">
        <f t="shared" si="36"/>
        <v>1207170</v>
      </c>
      <c r="L2358" s="202">
        <v>236.7</v>
      </c>
      <c r="N2358" s="202">
        <v>0.15</v>
      </c>
      <c r="S2358" s="204"/>
      <c r="W2358" s="198" t="s">
        <v>51</v>
      </c>
      <c r="AE2358" s="198" t="s">
        <v>831</v>
      </c>
    </row>
    <row r="2359" spans="3:31" x14ac:dyDescent="0.25">
      <c r="C2359" s="201"/>
      <c r="E2359" s="201"/>
      <c r="F2359" s="201"/>
      <c r="I2359" s="198" t="s">
        <v>519</v>
      </c>
      <c r="J2359" s="198" t="s">
        <v>130</v>
      </c>
      <c r="K2359" s="202">
        <f t="shared" si="36"/>
        <v>1207680</v>
      </c>
      <c r="L2359" s="202">
        <v>236.8</v>
      </c>
      <c r="N2359" s="202">
        <v>0.62</v>
      </c>
      <c r="S2359" s="203"/>
      <c r="W2359" s="198" t="s">
        <v>51</v>
      </c>
      <c r="AE2359" s="198" t="s">
        <v>54</v>
      </c>
    </row>
    <row r="2360" spans="3:31" x14ac:dyDescent="0.25">
      <c r="C2360" s="201"/>
      <c r="E2360" s="201"/>
      <c r="F2360" s="201"/>
      <c r="I2360" s="198" t="s">
        <v>843</v>
      </c>
      <c r="J2360" s="198" t="s">
        <v>137</v>
      </c>
      <c r="K2360" s="202">
        <f t="shared" si="36"/>
        <v>1208190</v>
      </c>
      <c r="L2360" s="202">
        <v>236.9</v>
      </c>
      <c r="N2360" s="202">
        <v>475197</v>
      </c>
      <c r="S2360" s="204"/>
      <c r="W2360" s="198" t="s">
        <v>51</v>
      </c>
      <c r="AE2360" s="198" t="s">
        <v>844</v>
      </c>
    </row>
    <row r="2361" spans="3:31" x14ac:dyDescent="0.25">
      <c r="C2361" s="201"/>
      <c r="E2361" s="201"/>
      <c r="F2361" s="201"/>
      <c r="I2361" s="198" t="s">
        <v>843</v>
      </c>
      <c r="J2361" s="198" t="s">
        <v>137</v>
      </c>
      <c r="K2361" s="202">
        <f t="shared" si="36"/>
        <v>1208700</v>
      </c>
      <c r="L2361" s="202">
        <v>237</v>
      </c>
      <c r="N2361" s="202">
        <v>475413.57</v>
      </c>
      <c r="S2361" s="204"/>
      <c r="W2361" s="198" t="s">
        <v>51</v>
      </c>
      <c r="AE2361" s="198" t="s">
        <v>844</v>
      </c>
    </row>
    <row r="2362" spans="3:31" x14ac:dyDescent="0.25">
      <c r="C2362" s="201"/>
      <c r="E2362" s="201"/>
      <c r="F2362" s="201"/>
      <c r="I2362" s="198" t="s">
        <v>843</v>
      </c>
      <c r="J2362" s="198" t="s">
        <v>137</v>
      </c>
      <c r="K2362" s="202">
        <f t="shared" si="36"/>
        <v>1209210</v>
      </c>
      <c r="L2362" s="202">
        <v>237.1</v>
      </c>
      <c r="N2362" s="202">
        <v>72829</v>
      </c>
      <c r="S2362" s="204"/>
      <c r="W2362" s="198" t="s">
        <v>51</v>
      </c>
      <c r="AE2362" s="198" t="s">
        <v>844</v>
      </c>
    </row>
    <row r="2363" spans="3:31" x14ac:dyDescent="0.25">
      <c r="C2363" s="201"/>
      <c r="E2363" s="201"/>
      <c r="F2363" s="201"/>
      <c r="I2363" s="198" t="s">
        <v>843</v>
      </c>
      <c r="J2363" s="198" t="s">
        <v>137</v>
      </c>
      <c r="K2363" s="202">
        <f t="shared" si="36"/>
        <v>1209720</v>
      </c>
      <c r="L2363" s="202">
        <v>237.2</v>
      </c>
      <c r="N2363" s="202">
        <v>475449.62</v>
      </c>
      <c r="S2363" s="204"/>
      <c r="W2363" s="198" t="s">
        <v>51</v>
      </c>
      <c r="AE2363" s="198" t="s">
        <v>844</v>
      </c>
    </row>
    <row r="2364" spans="3:31" x14ac:dyDescent="0.25">
      <c r="C2364" s="201"/>
      <c r="E2364" s="201"/>
      <c r="F2364" s="201"/>
      <c r="I2364" s="198" t="s">
        <v>843</v>
      </c>
      <c r="J2364" s="198" t="s">
        <v>137</v>
      </c>
      <c r="K2364" s="202">
        <f t="shared" si="36"/>
        <v>1210230</v>
      </c>
      <c r="L2364" s="202">
        <v>237.3</v>
      </c>
      <c r="N2364" s="202">
        <v>476424</v>
      </c>
      <c r="S2364" s="204"/>
      <c r="W2364" s="198" t="s">
        <v>51</v>
      </c>
      <c r="AE2364" s="198" t="s">
        <v>844</v>
      </c>
    </row>
    <row r="2365" spans="3:31" x14ac:dyDescent="0.25">
      <c r="C2365" s="201"/>
      <c r="E2365" s="201"/>
      <c r="F2365" s="201"/>
      <c r="I2365" s="198" t="s">
        <v>843</v>
      </c>
      <c r="J2365" s="198" t="s">
        <v>137</v>
      </c>
      <c r="K2365" s="202">
        <f t="shared" si="36"/>
        <v>1210740</v>
      </c>
      <c r="L2365" s="202">
        <v>237.4</v>
      </c>
      <c r="N2365" s="202">
        <v>475557.58</v>
      </c>
      <c r="S2365" s="204"/>
      <c r="W2365" s="198" t="s">
        <v>51</v>
      </c>
      <c r="AE2365" s="198" t="s">
        <v>844</v>
      </c>
    </row>
    <row r="2366" spans="3:31" x14ac:dyDescent="0.25">
      <c r="C2366" s="201"/>
      <c r="E2366" s="201"/>
      <c r="F2366" s="201"/>
      <c r="I2366" s="198" t="s">
        <v>843</v>
      </c>
      <c r="J2366" s="198" t="s">
        <v>137</v>
      </c>
      <c r="K2366" s="202">
        <f t="shared" si="36"/>
        <v>1211250</v>
      </c>
      <c r="L2366" s="202">
        <v>237.5</v>
      </c>
      <c r="N2366" s="202">
        <v>475305.2</v>
      </c>
      <c r="S2366" s="204"/>
      <c r="W2366" s="198" t="s">
        <v>51</v>
      </c>
      <c r="AE2366" s="198" t="s">
        <v>844</v>
      </c>
    </row>
    <row r="2367" spans="3:31" x14ac:dyDescent="0.25">
      <c r="C2367" s="201"/>
      <c r="E2367" s="201"/>
      <c r="F2367" s="201"/>
      <c r="I2367" s="198" t="s">
        <v>77</v>
      </c>
      <c r="J2367" s="198" t="s">
        <v>65</v>
      </c>
      <c r="K2367" s="202">
        <f t="shared" si="36"/>
        <v>1211760</v>
      </c>
      <c r="L2367" s="202">
        <v>237.6</v>
      </c>
      <c r="N2367" s="202">
        <v>-0.36</v>
      </c>
      <c r="S2367" s="204"/>
      <c r="W2367" s="198" t="s">
        <v>51</v>
      </c>
      <c r="AE2367" s="198" t="s">
        <v>831</v>
      </c>
    </row>
    <row r="2368" spans="3:31" x14ac:dyDescent="0.25">
      <c r="C2368" s="201"/>
      <c r="E2368" s="201"/>
      <c r="F2368" s="201"/>
      <c r="I2368" s="198" t="s">
        <v>843</v>
      </c>
      <c r="J2368" s="198" t="s">
        <v>137</v>
      </c>
      <c r="K2368" s="202">
        <f t="shared" si="36"/>
        <v>1212270</v>
      </c>
      <c r="L2368" s="202">
        <v>237.7</v>
      </c>
      <c r="N2368" s="202">
        <v>475521.84</v>
      </c>
      <c r="S2368" s="204"/>
      <c r="W2368" s="198" t="s">
        <v>51</v>
      </c>
      <c r="AE2368" s="198" t="s">
        <v>844</v>
      </c>
    </row>
    <row r="2369" spans="3:31" x14ac:dyDescent="0.25">
      <c r="C2369" s="201"/>
      <c r="E2369" s="201"/>
      <c r="F2369" s="201"/>
      <c r="I2369" s="198" t="s">
        <v>582</v>
      </c>
      <c r="J2369" s="198" t="s">
        <v>132</v>
      </c>
      <c r="K2369" s="202">
        <f t="shared" si="36"/>
        <v>1212780</v>
      </c>
      <c r="L2369" s="202">
        <v>237.8</v>
      </c>
      <c r="N2369" s="202">
        <v>475016.58</v>
      </c>
      <c r="S2369" s="204"/>
      <c r="W2369" s="198" t="s">
        <v>51</v>
      </c>
      <c r="AE2369" s="198" t="s">
        <v>833</v>
      </c>
    </row>
    <row r="2370" spans="3:31" x14ac:dyDescent="0.25">
      <c r="C2370" s="201"/>
      <c r="E2370" s="201"/>
      <c r="F2370" s="201"/>
      <c r="I2370" s="198" t="s">
        <v>582</v>
      </c>
      <c r="J2370" s="198" t="s">
        <v>132</v>
      </c>
      <c r="K2370" s="202">
        <f t="shared" si="36"/>
        <v>1213290</v>
      </c>
      <c r="L2370" s="202">
        <v>237.9</v>
      </c>
      <c r="N2370" s="202">
        <v>476315.82</v>
      </c>
      <c r="S2370" s="204"/>
      <c r="W2370" s="198" t="s">
        <v>51</v>
      </c>
      <c r="AE2370" s="198" t="s">
        <v>833</v>
      </c>
    </row>
    <row r="2371" spans="3:31" x14ac:dyDescent="0.25">
      <c r="C2371" s="201"/>
      <c r="E2371" s="201"/>
      <c r="F2371" s="201"/>
      <c r="I2371" s="198" t="s">
        <v>582</v>
      </c>
      <c r="J2371" s="198" t="s">
        <v>132</v>
      </c>
      <c r="K2371" s="202">
        <f t="shared" ref="K2371:K2434" si="37">L2371*5100</f>
        <v>1213800</v>
      </c>
      <c r="L2371" s="202">
        <v>238</v>
      </c>
      <c r="N2371" s="202">
        <v>477181</v>
      </c>
      <c r="S2371" s="204"/>
      <c r="W2371" s="198" t="s">
        <v>51</v>
      </c>
      <c r="AE2371" s="198" t="s">
        <v>833</v>
      </c>
    </row>
    <row r="2372" spans="3:31" x14ac:dyDescent="0.25">
      <c r="C2372" s="201"/>
      <c r="E2372" s="201"/>
      <c r="F2372" s="201"/>
      <c r="I2372" s="198" t="s">
        <v>582</v>
      </c>
      <c r="J2372" s="198" t="s">
        <v>132</v>
      </c>
      <c r="K2372" s="202">
        <f t="shared" si="37"/>
        <v>1214310</v>
      </c>
      <c r="L2372" s="202">
        <v>238.1</v>
      </c>
      <c r="N2372" s="202">
        <v>476857.17</v>
      </c>
      <c r="S2372" s="204"/>
      <c r="W2372" s="198" t="s">
        <v>51</v>
      </c>
      <c r="AE2372" s="198" t="s">
        <v>833</v>
      </c>
    </row>
    <row r="2373" spans="3:31" x14ac:dyDescent="0.25">
      <c r="C2373" s="201"/>
      <c r="E2373" s="201"/>
      <c r="F2373" s="201"/>
      <c r="I2373" s="198" t="s">
        <v>582</v>
      </c>
      <c r="J2373" s="198" t="s">
        <v>132</v>
      </c>
      <c r="K2373" s="202">
        <f t="shared" si="37"/>
        <v>1214820</v>
      </c>
      <c r="L2373" s="202">
        <v>238.2</v>
      </c>
      <c r="N2373" s="202">
        <v>219715.92</v>
      </c>
      <c r="S2373" s="204"/>
      <c r="W2373" s="198" t="s">
        <v>51</v>
      </c>
      <c r="AE2373" s="198" t="s">
        <v>833</v>
      </c>
    </row>
    <row r="2374" spans="3:31" x14ac:dyDescent="0.25">
      <c r="C2374" s="201"/>
      <c r="E2374" s="201"/>
      <c r="F2374" s="201"/>
      <c r="I2374" s="198" t="s">
        <v>843</v>
      </c>
      <c r="J2374" s="198" t="s">
        <v>137</v>
      </c>
      <c r="K2374" s="202">
        <f t="shared" si="37"/>
        <v>1215330</v>
      </c>
      <c r="L2374" s="202">
        <v>238.3</v>
      </c>
      <c r="N2374" s="202">
        <v>476207</v>
      </c>
      <c r="S2374" s="204"/>
      <c r="W2374" s="198" t="s">
        <v>51</v>
      </c>
      <c r="AE2374" s="198" t="s">
        <v>844</v>
      </c>
    </row>
    <row r="2375" spans="3:31" x14ac:dyDescent="0.25">
      <c r="C2375" s="201"/>
      <c r="E2375" s="201"/>
      <c r="F2375" s="201"/>
      <c r="I2375" s="198" t="s">
        <v>77</v>
      </c>
      <c r="J2375" s="198" t="s">
        <v>65</v>
      </c>
      <c r="K2375" s="202">
        <f t="shared" si="37"/>
        <v>1215840</v>
      </c>
      <c r="L2375" s="202">
        <v>238.4</v>
      </c>
      <c r="N2375" s="202">
        <v>-7.0000000000000007E-2</v>
      </c>
      <c r="S2375" s="204"/>
      <c r="W2375" s="198" t="s">
        <v>51</v>
      </c>
      <c r="AE2375" s="198" t="s">
        <v>831</v>
      </c>
    </row>
    <row r="2376" spans="3:31" x14ac:dyDescent="0.25">
      <c r="C2376" s="201"/>
      <c r="E2376" s="201"/>
      <c r="F2376" s="201"/>
      <c r="I2376" s="198" t="s">
        <v>582</v>
      </c>
      <c r="J2376" s="198" t="s">
        <v>132</v>
      </c>
      <c r="K2376" s="202">
        <f t="shared" si="37"/>
        <v>1216350</v>
      </c>
      <c r="L2376" s="202">
        <v>238.5</v>
      </c>
      <c r="N2376" s="202">
        <v>475197.03</v>
      </c>
      <c r="S2376" s="204"/>
      <c r="W2376" s="198" t="s">
        <v>51</v>
      </c>
      <c r="AE2376" s="198" t="s">
        <v>833</v>
      </c>
    </row>
    <row r="2377" spans="3:31" x14ac:dyDescent="0.25">
      <c r="C2377" s="201"/>
      <c r="E2377" s="201"/>
      <c r="F2377" s="201"/>
      <c r="I2377" s="198" t="s">
        <v>582</v>
      </c>
      <c r="J2377" s="198" t="s">
        <v>132</v>
      </c>
      <c r="K2377" s="202">
        <f t="shared" si="37"/>
        <v>1216860</v>
      </c>
      <c r="L2377" s="202">
        <v>238.6</v>
      </c>
      <c r="N2377" s="202">
        <v>475197.03</v>
      </c>
      <c r="S2377" s="204"/>
      <c r="W2377" s="198" t="s">
        <v>51</v>
      </c>
      <c r="AE2377" s="198" t="s">
        <v>833</v>
      </c>
    </row>
    <row r="2378" spans="3:31" x14ac:dyDescent="0.25">
      <c r="C2378" s="201"/>
      <c r="E2378" s="201"/>
      <c r="F2378" s="201"/>
      <c r="I2378" s="198" t="s">
        <v>843</v>
      </c>
      <c r="J2378" s="198" t="s">
        <v>137</v>
      </c>
      <c r="K2378" s="202">
        <f t="shared" si="37"/>
        <v>1217370</v>
      </c>
      <c r="L2378" s="202">
        <v>238.7</v>
      </c>
      <c r="N2378" s="202">
        <v>476965.44</v>
      </c>
      <c r="S2378" s="204"/>
      <c r="W2378" s="198" t="s">
        <v>51</v>
      </c>
      <c r="AE2378" s="198" t="s">
        <v>844</v>
      </c>
    </row>
    <row r="2379" spans="3:31" x14ac:dyDescent="0.25">
      <c r="C2379" s="201"/>
      <c r="E2379" s="201"/>
      <c r="F2379" s="201"/>
      <c r="I2379" s="198" t="s">
        <v>843</v>
      </c>
      <c r="J2379" s="198" t="s">
        <v>137</v>
      </c>
      <c r="K2379" s="202">
        <f t="shared" si="37"/>
        <v>1217880</v>
      </c>
      <c r="L2379" s="202">
        <v>238.8</v>
      </c>
      <c r="N2379" s="202">
        <v>182651.49</v>
      </c>
      <c r="S2379" s="204"/>
      <c r="W2379" s="198" t="s">
        <v>51</v>
      </c>
      <c r="AE2379" s="198" t="s">
        <v>844</v>
      </c>
    </row>
    <row r="2380" spans="3:31" x14ac:dyDescent="0.25">
      <c r="C2380" s="201"/>
      <c r="E2380" s="201"/>
      <c r="F2380" s="201"/>
      <c r="I2380" s="198" t="s">
        <v>843</v>
      </c>
      <c r="J2380" s="198" t="s">
        <v>137</v>
      </c>
      <c r="K2380" s="202">
        <f t="shared" si="37"/>
        <v>1218390</v>
      </c>
      <c r="L2380" s="202">
        <v>238.9</v>
      </c>
      <c r="N2380" s="202">
        <v>474763.95</v>
      </c>
      <c r="S2380" s="204"/>
      <c r="W2380" s="198" t="s">
        <v>51</v>
      </c>
      <c r="AE2380" s="198" t="s">
        <v>844</v>
      </c>
    </row>
    <row r="2381" spans="3:31" x14ac:dyDescent="0.25">
      <c r="C2381" s="201"/>
      <c r="E2381" s="201"/>
      <c r="F2381" s="201"/>
      <c r="I2381" s="198" t="s">
        <v>77</v>
      </c>
      <c r="J2381" s="198" t="s">
        <v>65</v>
      </c>
      <c r="K2381" s="202">
        <f t="shared" si="37"/>
        <v>1218900</v>
      </c>
      <c r="L2381" s="202">
        <v>239</v>
      </c>
      <c r="N2381" s="202">
        <v>-0.31</v>
      </c>
      <c r="S2381" s="204"/>
      <c r="W2381" s="198" t="s">
        <v>51</v>
      </c>
      <c r="AE2381" s="198" t="s">
        <v>831</v>
      </c>
    </row>
    <row r="2382" spans="3:31" x14ac:dyDescent="0.25">
      <c r="C2382" s="201"/>
      <c r="E2382" s="201"/>
      <c r="F2382" s="201"/>
      <c r="I2382" s="198" t="s">
        <v>843</v>
      </c>
      <c r="J2382" s="198" t="s">
        <v>137</v>
      </c>
      <c r="K2382" s="202">
        <f t="shared" si="37"/>
        <v>1219410</v>
      </c>
      <c r="L2382" s="202">
        <v>239.1</v>
      </c>
      <c r="N2382" s="202">
        <v>475016.58</v>
      </c>
      <c r="S2382" s="204"/>
      <c r="W2382" s="198" t="s">
        <v>51</v>
      </c>
      <c r="AE2382" s="198" t="s">
        <v>844</v>
      </c>
    </row>
    <row r="2383" spans="3:31" x14ac:dyDescent="0.25">
      <c r="C2383" s="201"/>
      <c r="E2383" s="201"/>
      <c r="F2383" s="201"/>
      <c r="I2383" s="198" t="s">
        <v>843</v>
      </c>
      <c r="J2383" s="198" t="s">
        <v>137</v>
      </c>
      <c r="K2383" s="202">
        <f t="shared" si="37"/>
        <v>1219920</v>
      </c>
      <c r="L2383" s="202">
        <v>239.2</v>
      </c>
      <c r="N2383" s="202">
        <v>474619.59</v>
      </c>
      <c r="S2383" s="204"/>
      <c r="W2383" s="198" t="s">
        <v>51</v>
      </c>
      <c r="AE2383" s="198" t="s">
        <v>844</v>
      </c>
    </row>
    <row r="2384" spans="3:31" x14ac:dyDescent="0.25">
      <c r="C2384" s="201"/>
      <c r="E2384" s="201"/>
      <c r="F2384" s="201"/>
      <c r="I2384" s="198" t="s">
        <v>843</v>
      </c>
      <c r="J2384" s="198" t="s">
        <v>137</v>
      </c>
      <c r="K2384" s="202">
        <f t="shared" si="37"/>
        <v>1220430</v>
      </c>
      <c r="L2384" s="202">
        <v>239.3</v>
      </c>
      <c r="N2384" s="202">
        <v>475666.2</v>
      </c>
      <c r="S2384" s="204"/>
      <c r="W2384" s="198" t="s">
        <v>51</v>
      </c>
      <c r="AE2384" s="198" t="s">
        <v>844</v>
      </c>
    </row>
    <row r="2385" spans="3:31" x14ac:dyDescent="0.25">
      <c r="C2385" s="201"/>
      <c r="E2385" s="201"/>
      <c r="F2385" s="201"/>
      <c r="I2385" s="198" t="s">
        <v>843</v>
      </c>
      <c r="J2385" s="198" t="s">
        <v>137</v>
      </c>
      <c r="K2385" s="202">
        <f t="shared" si="37"/>
        <v>1220940</v>
      </c>
      <c r="L2385" s="202">
        <v>239.4</v>
      </c>
      <c r="N2385" s="202">
        <v>474872.22</v>
      </c>
      <c r="S2385" s="204"/>
      <c r="W2385" s="198" t="s">
        <v>51</v>
      </c>
      <c r="AE2385" s="198" t="s">
        <v>844</v>
      </c>
    </row>
    <row r="2386" spans="3:31" x14ac:dyDescent="0.25">
      <c r="C2386" s="201"/>
      <c r="E2386" s="201"/>
      <c r="F2386" s="201"/>
      <c r="I2386" s="198" t="s">
        <v>582</v>
      </c>
      <c r="J2386" s="198" t="s">
        <v>132</v>
      </c>
      <c r="K2386" s="202">
        <f t="shared" si="37"/>
        <v>1221450</v>
      </c>
      <c r="L2386" s="202">
        <v>239.5</v>
      </c>
      <c r="N2386" s="202">
        <v>475738.38</v>
      </c>
      <c r="S2386" s="204"/>
      <c r="W2386" s="198" t="s">
        <v>51</v>
      </c>
      <c r="AE2386" s="198" t="s">
        <v>833</v>
      </c>
    </row>
    <row r="2387" spans="3:31" x14ac:dyDescent="0.25">
      <c r="C2387" s="201"/>
      <c r="E2387" s="201"/>
      <c r="F2387" s="201"/>
      <c r="I2387" s="198" t="s">
        <v>582</v>
      </c>
      <c r="J2387" s="198" t="s">
        <v>132</v>
      </c>
      <c r="K2387" s="202">
        <f t="shared" si="37"/>
        <v>1221960</v>
      </c>
      <c r="L2387" s="202">
        <v>239.6</v>
      </c>
      <c r="N2387" s="202">
        <v>475666.2</v>
      </c>
      <c r="S2387" s="204"/>
      <c r="W2387" s="198" t="s">
        <v>51</v>
      </c>
      <c r="AE2387" s="198" t="s">
        <v>833</v>
      </c>
    </row>
    <row r="2388" spans="3:31" x14ac:dyDescent="0.25">
      <c r="C2388" s="201"/>
      <c r="E2388" s="201"/>
      <c r="F2388" s="201"/>
      <c r="I2388" s="198" t="s">
        <v>582</v>
      </c>
      <c r="J2388" s="198" t="s">
        <v>132</v>
      </c>
      <c r="K2388" s="202">
        <f t="shared" si="37"/>
        <v>1222470</v>
      </c>
      <c r="L2388" s="202">
        <v>239.7</v>
      </c>
      <c r="N2388" s="202">
        <v>475991.01</v>
      </c>
      <c r="S2388" s="204"/>
      <c r="W2388" s="198" t="s">
        <v>51</v>
      </c>
      <c r="AE2388" s="198" t="s">
        <v>833</v>
      </c>
    </row>
    <row r="2389" spans="3:31" x14ac:dyDescent="0.25">
      <c r="C2389" s="201"/>
      <c r="E2389" s="201"/>
      <c r="F2389" s="201"/>
      <c r="I2389" s="198" t="s">
        <v>582</v>
      </c>
      <c r="J2389" s="198" t="s">
        <v>132</v>
      </c>
      <c r="K2389" s="202">
        <f t="shared" si="37"/>
        <v>1222980</v>
      </c>
      <c r="L2389" s="202">
        <v>239.8</v>
      </c>
      <c r="N2389" s="202">
        <v>475954.92</v>
      </c>
      <c r="S2389" s="204"/>
      <c r="W2389" s="198" t="s">
        <v>51</v>
      </c>
      <c r="AE2389" s="198" t="s">
        <v>833</v>
      </c>
    </row>
    <row r="2390" spans="3:31" x14ac:dyDescent="0.25">
      <c r="C2390" s="201"/>
      <c r="E2390" s="201"/>
      <c r="F2390" s="201"/>
      <c r="I2390" s="198" t="s">
        <v>77</v>
      </c>
      <c r="J2390" s="198" t="s">
        <v>65</v>
      </c>
      <c r="K2390" s="202">
        <f t="shared" si="37"/>
        <v>1223490</v>
      </c>
      <c r="L2390" s="202">
        <v>239.9</v>
      </c>
      <c r="N2390" s="202">
        <v>-0.41</v>
      </c>
      <c r="S2390" s="204"/>
      <c r="W2390" s="198" t="s">
        <v>51</v>
      </c>
      <c r="AE2390" s="198" t="s">
        <v>831</v>
      </c>
    </row>
    <row r="2391" spans="3:31" x14ac:dyDescent="0.25">
      <c r="C2391" s="201"/>
      <c r="E2391" s="201"/>
      <c r="F2391" s="201"/>
      <c r="I2391" s="198" t="s">
        <v>582</v>
      </c>
      <c r="J2391" s="198" t="s">
        <v>132</v>
      </c>
      <c r="K2391" s="202">
        <f t="shared" si="37"/>
        <v>1224000</v>
      </c>
      <c r="L2391" s="202">
        <v>240</v>
      </c>
      <c r="N2391" s="202">
        <v>476099.28</v>
      </c>
      <c r="S2391" s="204"/>
      <c r="W2391" s="198" t="s">
        <v>51</v>
      </c>
      <c r="AE2391" s="198" t="s">
        <v>833</v>
      </c>
    </row>
    <row r="2392" spans="3:31" x14ac:dyDescent="0.25">
      <c r="C2392" s="201"/>
      <c r="E2392" s="201"/>
      <c r="F2392" s="201"/>
      <c r="I2392" s="198" t="s">
        <v>843</v>
      </c>
      <c r="J2392" s="198" t="s">
        <v>137</v>
      </c>
      <c r="K2392" s="202">
        <f t="shared" si="37"/>
        <v>1224510</v>
      </c>
      <c r="L2392" s="202">
        <v>240.1</v>
      </c>
      <c r="N2392" s="202">
        <v>474691.77</v>
      </c>
      <c r="S2392" s="204"/>
      <c r="W2392" s="198" t="s">
        <v>51</v>
      </c>
      <c r="AE2392" s="198" t="s">
        <v>844</v>
      </c>
    </row>
    <row r="2393" spans="3:31" x14ac:dyDescent="0.25">
      <c r="C2393" s="201"/>
      <c r="E2393" s="201"/>
      <c r="F2393" s="201"/>
      <c r="I2393" s="198" t="s">
        <v>843</v>
      </c>
      <c r="J2393" s="198" t="s">
        <v>137</v>
      </c>
      <c r="K2393" s="202">
        <f t="shared" si="37"/>
        <v>1225020</v>
      </c>
      <c r="L2393" s="202">
        <v>240.2</v>
      </c>
      <c r="N2393" s="202">
        <v>475269.21</v>
      </c>
      <c r="S2393" s="204"/>
      <c r="W2393" s="198" t="s">
        <v>51</v>
      </c>
      <c r="AE2393" s="198" t="s">
        <v>844</v>
      </c>
    </row>
    <row r="2394" spans="3:31" x14ac:dyDescent="0.25">
      <c r="C2394" s="201"/>
      <c r="E2394" s="201"/>
      <c r="F2394" s="201"/>
      <c r="I2394" s="198" t="s">
        <v>843</v>
      </c>
      <c r="J2394" s="198" t="s">
        <v>137</v>
      </c>
      <c r="K2394" s="202">
        <f t="shared" si="37"/>
        <v>1225530</v>
      </c>
      <c r="L2394" s="202">
        <v>240.3</v>
      </c>
      <c r="N2394" s="202">
        <v>474727.86</v>
      </c>
      <c r="S2394" s="204"/>
      <c r="W2394" s="198" t="s">
        <v>51</v>
      </c>
      <c r="AE2394" s="198" t="s">
        <v>844</v>
      </c>
    </row>
    <row r="2395" spans="3:31" x14ac:dyDescent="0.25">
      <c r="C2395" s="201"/>
      <c r="E2395" s="201"/>
      <c r="F2395" s="201"/>
      <c r="I2395" s="198" t="s">
        <v>843</v>
      </c>
      <c r="J2395" s="198" t="s">
        <v>137</v>
      </c>
      <c r="K2395" s="202">
        <f t="shared" si="37"/>
        <v>1226040</v>
      </c>
      <c r="L2395" s="202">
        <v>240.4</v>
      </c>
      <c r="N2395" s="202">
        <v>476965.44</v>
      </c>
      <c r="S2395" s="204"/>
      <c r="W2395" s="198" t="s">
        <v>51</v>
      </c>
      <c r="AE2395" s="198" t="s">
        <v>844</v>
      </c>
    </row>
    <row r="2396" spans="3:31" x14ac:dyDescent="0.25">
      <c r="C2396" s="201"/>
      <c r="E2396" s="201"/>
      <c r="F2396" s="201"/>
      <c r="I2396" s="198" t="s">
        <v>582</v>
      </c>
      <c r="J2396" s="198" t="s">
        <v>132</v>
      </c>
      <c r="K2396" s="202">
        <f t="shared" si="37"/>
        <v>1226550</v>
      </c>
      <c r="L2396" s="202">
        <v>240.5</v>
      </c>
      <c r="N2396" s="202">
        <v>475918.83</v>
      </c>
      <c r="S2396" s="204"/>
      <c r="W2396" s="198" t="s">
        <v>51</v>
      </c>
      <c r="AE2396" s="198" t="s">
        <v>833</v>
      </c>
    </row>
    <row r="2397" spans="3:31" x14ac:dyDescent="0.25">
      <c r="C2397" s="201"/>
      <c r="E2397" s="201"/>
      <c r="F2397" s="201"/>
      <c r="I2397" s="198" t="s">
        <v>77</v>
      </c>
      <c r="J2397" s="198" t="s">
        <v>65</v>
      </c>
      <c r="K2397" s="202">
        <f t="shared" si="37"/>
        <v>1227060</v>
      </c>
      <c r="L2397" s="202">
        <v>240.6</v>
      </c>
      <c r="N2397" s="202">
        <v>0.14000000000000001</v>
      </c>
      <c r="S2397" s="204"/>
      <c r="W2397" s="198" t="s">
        <v>51</v>
      </c>
      <c r="AE2397" s="198" t="s">
        <v>831</v>
      </c>
    </row>
    <row r="2398" spans="3:31" x14ac:dyDescent="0.25">
      <c r="C2398" s="201"/>
      <c r="E2398" s="201"/>
      <c r="F2398" s="201"/>
      <c r="I2398" s="198" t="s">
        <v>164</v>
      </c>
      <c r="J2398" s="198" t="s">
        <v>167</v>
      </c>
      <c r="K2398" s="202">
        <f t="shared" si="37"/>
        <v>1227570</v>
      </c>
      <c r="L2398" s="202">
        <v>240.7</v>
      </c>
      <c r="N2398" s="202">
        <v>520000</v>
      </c>
      <c r="S2398" s="204"/>
      <c r="W2398" s="198" t="s">
        <v>51</v>
      </c>
      <c r="AE2398" s="198" t="s">
        <v>831</v>
      </c>
    </row>
    <row r="2399" spans="3:31" x14ac:dyDescent="0.25">
      <c r="C2399" s="201"/>
      <c r="E2399" s="201"/>
      <c r="F2399" s="201"/>
      <c r="I2399" s="198" t="s">
        <v>582</v>
      </c>
      <c r="J2399" s="198" t="s">
        <v>132</v>
      </c>
      <c r="K2399" s="202">
        <f t="shared" si="37"/>
        <v>1228080</v>
      </c>
      <c r="L2399" s="202">
        <v>240.8</v>
      </c>
      <c r="N2399" s="202">
        <v>475594</v>
      </c>
      <c r="S2399" s="204"/>
      <c r="W2399" s="198" t="s">
        <v>51</v>
      </c>
      <c r="AE2399" s="198" t="s">
        <v>833</v>
      </c>
    </row>
    <row r="2400" spans="3:31" x14ac:dyDescent="0.25">
      <c r="C2400" s="201"/>
      <c r="E2400" s="201"/>
      <c r="F2400" s="201"/>
      <c r="I2400" s="198" t="s">
        <v>582</v>
      </c>
      <c r="J2400" s="198" t="s">
        <v>132</v>
      </c>
      <c r="K2400" s="202">
        <f t="shared" si="37"/>
        <v>1228590</v>
      </c>
      <c r="L2400" s="202">
        <v>240.9</v>
      </c>
      <c r="N2400" s="202">
        <v>475124</v>
      </c>
      <c r="S2400" s="204"/>
      <c r="W2400" s="198" t="s">
        <v>51</v>
      </c>
      <c r="AE2400" s="198" t="s">
        <v>833</v>
      </c>
    </row>
    <row r="2401" spans="3:31" x14ac:dyDescent="0.25">
      <c r="C2401" s="201"/>
      <c r="E2401" s="201"/>
      <c r="F2401" s="201"/>
      <c r="I2401" s="198" t="s">
        <v>843</v>
      </c>
      <c r="J2401" s="198" t="s">
        <v>137</v>
      </c>
      <c r="K2401" s="202">
        <f t="shared" si="37"/>
        <v>1229100</v>
      </c>
      <c r="L2401" s="202">
        <v>241</v>
      </c>
      <c r="N2401" s="202">
        <v>473789</v>
      </c>
      <c r="S2401" s="204"/>
      <c r="W2401" s="198" t="s">
        <v>51</v>
      </c>
      <c r="AE2401" s="198" t="s">
        <v>844</v>
      </c>
    </row>
    <row r="2402" spans="3:31" x14ac:dyDescent="0.25">
      <c r="C2402" s="201"/>
      <c r="E2402" s="201"/>
      <c r="F2402" s="201"/>
      <c r="I2402" s="198" t="s">
        <v>843</v>
      </c>
      <c r="J2402" s="198" t="s">
        <v>137</v>
      </c>
      <c r="K2402" s="202">
        <f t="shared" si="37"/>
        <v>1229610</v>
      </c>
      <c r="L2402" s="202">
        <v>241.1</v>
      </c>
      <c r="N2402" s="202">
        <v>476460</v>
      </c>
      <c r="S2402" s="204"/>
      <c r="W2402" s="198" t="s">
        <v>51</v>
      </c>
      <c r="AE2402" s="198" t="s">
        <v>844</v>
      </c>
    </row>
    <row r="2403" spans="3:31" x14ac:dyDescent="0.25">
      <c r="C2403" s="201"/>
      <c r="E2403" s="201"/>
      <c r="F2403" s="201"/>
      <c r="I2403" s="198" t="s">
        <v>843</v>
      </c>
      <c r="J2403" s="198" t="s">
        <v>137</v>
      </c>
      <c r="K2403" s="202">
        <f t="shared" si="37"/>
        <v>1230120</v>
      </c>
      <c r="L2403" s="202">
        <v>241.2</v>
      </c>
      <c r="N2403" s="202">
        <v>329032</v>
      </c>
      <c r="S2403" s="204"/>
      <c r="W2403" s="198" t="s">
        <v>51</v>
      </c>
      <c r="AE2403" s="198" t="s">
        <v>844</v>
      </c>
    </row>
    <row r="2404" spans="3:31" x14ac:dyDescent="0.25">
      <c r="C2404" s="201"/>
      <c r="E2404" s="201"/>
      <c r="F2404" s="201"/>
      <c r="I2404" s="198" t="s">
        <v>843</v>
      </c>
      <c r="J2404" s="198" t="s">
        <v>137</v>
      </c>
      <c r="K2404" s="202">
        <f t="shared" si="37"/>
        <v>1230630</v>
      </c>
      <c r="L2404" s="202">
        <v>241.3</v>
      </c>
      <c r="N2404" s="202">
        <v>476424</v>
      </c>
      <c r="S2404" s="204"/>
      <c r="W2404" s="198" t="s">
        <v>51</v>
      </c>
      <c r="AE2404" s="198" t="s">
        <v>844</v>
      </c>
    </row>
    <row r="2405" spans="3:31" x14ac:dyDescent="0.25">
      <c r="C2405" s="201"/>
      <c r="E2405" s="201"/>
      <c r="F2405" s="201"/>
      <c r="I2405" s="198" t="s">
        <v>843</v>
      </c>
      <c r="J2405" s="198" t="s">
        <v>137</v>
      </c>
      <c r="K2405" s="202">
        <f t="shared" si="37"/>
        <v>1231140</v>
      </c>
      <c r="L2405" s="202">
        <v>241.4</v>
      </c>
      <c r="N2405" s="202">
        <v>476712</v>
      </c>
      <c r="S2405" s="204"/>
      <c r="W2405" s="198" t="s">
        <v>51</v>
      </c>
      <c r="AE2405" s="198" t="s">
        <v>844</v>
      </c>
    </row>
    <row r="2406" spans="3:31" x14ac:dyDescent="0.25">
      <c r="C2406" s="201"/>
      <c r="E2406" s="201"/>
      <c r="F2406" s="201"/>
      <c r="I2406" s="198" t="s">
        <v>843</v>
      </c>
      <c r="J2406" s="198" t="s">
        <v>137</v>
      </c>
      <c r="K2406" s="202">
        <f t="shared" si="37"/>
        <v>1231650</v>
      </c>
      <c r="L2406" s="202">
        <v>241.5</v>
      </c>
      <c r="N2406" s="202">
        <v>476748</v>
      </c>
      <c r="S2406" s="204"/>
      <c r="W2406" s="198" t="s">
        <v>51</v>
      </c>
      <c r="AE2406" s="198" t="s">
        <v>844</v>
      </c>
    </row>
    <row r="2407" spans="3:31" x14ac:dyDescent="0.25">
      <c r="C2407" s="201"/>
      <c r="E2407" s="201"/>
      <c r="F2407" s="201"/>
      <c r="I2407" s="198" t="s">
        <v>843</v>
      </c>
      <c r="J2407" s="198" t="s">
        <v>137</v>
      </c>
      <c r="K2407" s="202">
        <f t="shared" si="37"/>
        <v>1232160</v>
      </c>
      <c r="L2407" s="202">
        <v>241.6</v>
      </c>
      <c r="N2407" s="202">
        <v>476821</v>
      </c>
      <c r="S2407" s="204"/>
      <c r="W2407" s="198" t="s">
        <v>51</v>
      </c>
      <c r="AE2407" s="198" t="s">
        <v>844</v>
      </c>
    </row>
    <row r="2408" spans="3:31" x14ac:dyDescent="0.25">
      <c r="C2408" s="201"/>
      <c r="E2408" s="201"/>
      <c r="F2408" s="201"/>
      <c r="I2408" s="198" t="s">
        <v>843</v>
      </c>
      <c r="J2408" s="198" t="s">
        <v>137</v>
      </c>
      <c r="K2408" s="202">
        <f t="shared" si="37"/>
        <v>1232670</v>
      </c>
      <c r="L2408" s="202">
        <v>241.7</v>
      </c>
      <c r="N2408" s="202">
        <v>476424</v>
      </c>
      <c r="S2408" s="204"/>
      <c r="W2408" s="198" t="s">
        <v>51</v>
      </c>
      <c r="AE2408" s="198" t="s">
        <v>844</v>
      </c>
    </row>
    <row r="2409" spans="3:31" x14ac:dyDescent="0.25">
      <c r="C2409" s="201"/>
      <c r="E2409" s="201"/>
      <c r="F2409" s="201"/>
      <c r="I2409" s="198" t="s">
        <v>843</v>
      </c>
      <c r="J2409" s="198" t="s">
        <v>137</v>
      </c>
      <c r="K2409" s="202">
        <f t="shared" si="37"/>
        <v>1233180</v>
      </c>
      <c r="L2409" s="202">
        <v>241.8</v>
      </c>
      <c r="N2409" s="202">
        <v>476821</v>
      </c>
      <c r="S2409" s="204"/>
      <c r="W2409" s="198" t="s">
        <v>51</v>
      </c>
      <c r="AE2409" s="198" t="s">
        <v>844</v>
      </c>
    </row>
    <row r="2410" spans="3:31" x14ac:dyDescent="0.25">
      <c r="C2410" s="201"/>
      <c r="E2410" s="201"/>
      <c r="F2410" s="201"/>
      <c r="I2410" s="198" t="s">
        <v>843</v>
      </c>
      <c r="J2410" s="198" t="s">
        <v>137</v>
      </c>
      <c r="K2410" s="202">
        <f t="shared" si="37"/>
        <v>1233690</v>
      </c>
      <c r="L2410" s="202">
        <v>241.9</v>
      </c>
      <c r="N2410" s="202">
        <v>474836</v>
      </c>
      <c r="S2410" s="204"/>
      <c r="W2410" s="198" t="s">
        <v>51</v>
      </c>
      <c r="AE2410" s="198" t="s">
        <v>844</v>
      </c>
    </row>
    <row r="2411" spans="3:31" x14ac:dyDescent="0.25">
      <c r="C2411" s="201"/>
      <c r="E2411" s="201"/>
      <c r="F2411" s="201"/>
      <c r="I2411" s="198" t="s">
        <v>843</v>
      </c>
      <c r="J2411" s="198" t="s">
        <v>137</v>
      </c>
      <c r="K2411" s="202">
        <f t="shared" si="37"/>
        <v>1234200</v>
      </c>
      <c r="L2411" s="202">
        <v>242</v>
      </c>
      <c r="N2411" s="202">
        <v>477181</v>
      </c>
      <c r="S2411" s="204"/>
      <c r="W2411" s="198" t="s">
        <v>51</v>
      </c>
      <c r="AE2411" s="198" t="s">
        <v>844</v>
      </c>
    </row>
    <row r="2412" spans="3:31" x14ac:dyDescent="0.25">
      <c r="C2412" s="201"/>
      <c r="E2412" s="201"/>
      <c r="F2412" s="201"/>
      <c r="I2412" s="198" t="s">
        <v>843</v>
      </c>
      <c r="J2412" s="198" t="s">
        <v>137</v>
      </c>
      <c r="K2412" s="202">
        <f t="shared" si="37"/>
        <v>1234710</v>
      </c>
      <c r="L2412" s="202">
        <v>242.1</v>
      </c>
      <c r="N2412" s="202">
        <v>476207</v>
      </c>
      <c r="S2412" s="204"/>
      <c r="W2412" s="198" t="s">
        <v>51</v>
      </c>
      <c r="AE2412" s="198" t="s">
        <v>844</v>
      </c>
    </row>
    <row r="2413" spans="3:31" x14ac:dyDescent="0.25">
      <c r="C2413" s="201"/>
      <c r="E2413" s="201"/>
      <c r="F2413" s="201"/>
      <c r="I2413" s="198" t="s">
        <v>843</v>
      </c>
      <c r="J2413" s="198" t="s">
        <v>137</v>
      </c>
      <c r="K2413" s="202">
        <f t="shared" si="37"/>
        <v>1235220</v>
      </c>
      <c r="L2413" s="202">
        <v>242.2</v>
      </c>
      <c r="N2413" s="202">
        <v>474800</v>
      </c>
      <c r="S2413" s="204"/>
      <c r="W2413" s="198" t="s">
        <v>51</v>
      </c>
      <c r="AE2413" s="198" t="s">
        <v>844</v>
      </c>
    </row>
    <row r="2414" spans="3:31" x14ac:dyDescent="0.25">
      <c r="C2414" s="201"/>
      <c r="E2414" s="201"/>
      <c r="F2414" s="201"/>
      <c r="I2414" s="198" t="s">
        <v>843</v>
      </c>
      <c r="J2414" s="198" t="s">
        <v>137</v>
      </c>
      <c r="K2414" s="202">
        <f t="shared" si="37"/>
        <v>1235730</v>
      </c>
      <c r="L2414" s="202">
        <v>242.3</v>
      </c>
      <c r="N2414" s="202">
        <v>476821</v>
      </c>
      <c r="S2414" s="204"/>
      <c r="W2414" s="198" t="s">
        <v>51</v>
      </c>
      <c r="AE2414" s="198" t="s">
        <v>844</v>
      </c>
    </row>
    <row r="2415" spans="3:31" x14ac:dyDescent="0.25">
      <c r="C2415" s="201"/>
      <c r="E2415" s="201"/>
      <c r="F2415" s="201"/>
      <c r="I2415" s="198" t="s">
        <v>582</v>
      </c>
      <c r="J2415" s="198" t="s">
        <v>132</v>
      </c>
      <c r="K2415" s="202">
        <f t="shared" si="37"/>
        <v>1236240</v>
      </c>
      <c r="L2415" s="202">
        <v>242.4</v>
      </c>
      <c r="N2415" s="202">
        <v>475666</v>
      </c>
      <c r="S2415" s="204"/>
      <c r="W2415" s="198" t="s">
        <v>51</v>
      </c>
      <c r="AE2415" s="198" t="s">
        <v>833</v>
      </c>
    </row>
    <row r="2416" spans="3:31" x14ac:dyDescent="0.25">
      <c r="C2416" s="201"/>
      <c r="E2416" s="201"/>
      <c r="F2416" s="201"/>
      <c r="I2416" s="198" t="s">
        <v>582</v>
      </c>
      <c r="J2416" s="198" t="s">
        <v>132</v>
      </c>
      <c r="K2416" s="202">
        <f t="shared" si="37"/>
        <v>1236750</v>
      </c>
      <c r="L2416" s="202">
        <v>242.5</v>
      </c>
      <c r="N2416" s="202">
        <v>476784</v>
      </c>
      <c r="S2416" s="204"/>
      <c r="W2416" s="198" t="s">
        <v>51</v>
      </c>
      <c r="AE2416" s="198" t="s">
        <v>833</v>
      </c>
    </row>
    <row r="2417" spans="3:31" x14ac:dyDescent="0.25">
      <c r="C2417" s="201"/>
      <c r="E2417" s="201"/>
      <c r="F2417" s="201"/>
      <c r="I2417" s="198" t="s">
        <v>582</v>
      </c>
      <c r="J2417" s="198" t="s">
        <v>132</v>
      </c>
      <c r="K2417" s="202">
        <f t="shared" si="37"/>
        <v>1237260</v>
      </c>
      <c r="L2417" s="202">
        <v>242.6</v>
      </c>
      <c r="N2417" s="202">
        <v>476460</v>
      </c>
      <c r="S2417" s="204"/>
      <c r="W2417" s="198" t="s">
        <v>51</v>
      </c>
      <c r="AE2417" s="198" t="s">
        <v>833</v>
      </c>
    </row>
    <row r="2418" spans="3:31" x14ac:dyDescent="0.25">
      <c r="C2418" s="201"/>
      <c r="E2418" s="201"/>
      <c r="F2418" s="201"/>
      <c r="I2418" s="198" t="s">
        <v>582</v>
      </c>
      <c r="J2418" s="198" t="s">
        <v>132</v>
      </c>
      <c r="K2418" s="202">
        <f t="shared" si="37"/>
        <v>1237770</v>
      </c>
      <c r="L2418" s="202">
        <v>242.7</v>
      </c>
      <c r="N2418" s="202">
        <v>474691</v>
      </c>
      <c r="S2418" s="204"/>
      <c r="W2418" s="198" t="s">
        <v>51</v>
      </c>
      <c r="AE2418" s="198" t="s">
        <v>833</v>
      </c>
    </row>
    <row r="2419" spans="3:31" x14ac:dyDescent="0.25">
      <c r="C2419" s="201"/>
      <c r="E2419" s="201"/>
      <c r="F2419" s="201"/>
      <c r="I2419" s="198" t="s">
        <v>685</v>
      </c>
      <c r="J2419" s="198" t="s">
        <v>153</v>
      </c>
      <c r="K2419" s="202">
        <f t="shared" si="37"/>
        <v>1238280</v>
      </c>
      <c r="L2419" s="202">
        <v>242.8</v>
      </c>
      <c r="N2419" s="202">
        <v>-3000</v>
      </c>
      <c r="S2419" s="204"/>
      <c r="W2419" s="198" t="s">
        <v>51</v>
      </c>
      <c r="AE2419" s="198" t="s">
        <v>1768</v>
      </c>
    </row>
    <row r="2420" spans="3:31" x14ac:dyDescent="0.25">
      <c r="C2420" s="201"/>
      <c r="E2420" s="201"/>
      <c r="F2420" s="201"/>
      <c r="I2420" s="198" t="s">
        <v>685</v>
      </c>
      <c r="J2420" s="198" t="s">
        <v>153</v>
      </c>
      <c r="K2420" s="202">
        <f t="shared" si="37"/>
        <v>1238790</v>
      </c>
      <c r="L2420" s="202">
        <v>242.9</v>
      </c>
      <c r="N2420" s="202">
        <v>-13170</v>
      </c>
      <c r="S2420" s="204"/>
      <c r="W2420" s="198" t="s">
        <v>51</v>
      </c>
      <c r="AE2420" s="198" t="s">
        <v>1768</v>
      </c>
    </row>
    <row r="2421" spans="3:31" x14ac:dyDescent="0.25">
      <c r="C2421" s="201"/>
      <c r="E2421" s="201"/>
      <c r="F2421" s="201"/>
      <c r="I2421" s="198" t="s">
        <v>685</v>
      </c>
      <c r="J2421" s="198" t="s">
        <v>153</v>
      </c>
      <c r="K2421" s="202">
        <f t="shared" si="37"/>
        <v>1239300</v>
      </c>
      <c r="L2421" s="202">
        <v>243</v>
      </c>
      <c r="N2421" s="202">
        <v>-60000</v>
      </c>
      <c r="S2421" s="204"/>
      <c r="W2421" s="198" t="s">
        <v>51</v>
      </c>
      <c r="AE2421" s="198" t="s">
        <v>1768</v>
      </c>
    </row>
    <row r="2422" spans="3:31" x14ac:dyDescent="0.25">
      <c r="C2422" s="201"/>
      <c r="E2422" s="201"/>
      <c r="F2422" s="201"/>
      <c r="I2422" s="198" t="s">
        <v>685</v>
      </c>
      <c r="J2422" s="198" t="s">
        <v>153</v>
      </c>
      <c r="K2422" s="202">
        <f t="shared" si="37"/>
        <v>1239810</v>
      </c>
      <c r="L2422" s="202">
        <v>243.1</v>
      </c>
      <c r="N2422" s="202">
        <v>-30000</v>
      </c>
      <c r="S2422" s="204"/>
      <c r="W2422" s="198" t="s">
        <v>51</v>
      </c>
      <c r="AE2422" s="198" t="s">
        <v>1768</v>
      </c>
    </row>
    <row r="2423" spans="3:31" x14ac:dyDescent="0.25">
      <c r="C2423" s="201"/>
      <c r="E2423" s="201"/>
      <c r="F2423" s="201"/>
      <c r="I2423" s="198" t="s">
        <v>685</v>
      </c>
      <c r="J2423" s="198" t="s">
        <v>153</v>
      </c>
      <c r="K2423" s="202">
        <f t="shared" si="37"/>
        <v>1240320</v>
      </c>
      <c r="L2423" s="202">
        <v>243.2</v>
      </c>
      <c r="N2423" s="202">
        <v>-3000</v>
      </c>
      <c r="S2423" s="204"/>
      <c r="W2423" s="198" t="s">
        <v>51</v>
      </c>
      <c r="AE2423" s="198" t="s">
        <v>1768</v>
      </c>
    </row>
    <row r="2424" spans="3:31" x14ac:dyDescent="0.25">
      <c r="C2424" s="201"/>
      <c r="E2424" s="201"/>
      <c r="F2424" s="201"/>
      <c r="I2424" s="198" t="s">
        <v>740</v>
      </c>
      <c r="J2424" s="198" t="s">
        <v>153</v>
      </c>
      <c r="K2424" s="202">
        <f t="shared" si="37"/>
        <v>1240830</v>
      </c>
      <c r="L2424" s="202">
        <v>243.3</v>
      </c>
      <c r="N2424" s="202">
        <v>-1240000</v>
      </c>
      <c r="S2424" s="204"/>
      <c r="W2424" s="198" t="s">
        <v>51</v>
      </c>
      <c r="AE2424" s="198" t="s">
        <v>1768</v>
      </c>
    </row>
    <row r="2425" spans="3:31" x14ac:dyDescent="0.25">
      <c r="C2425" s="201"/>
      <c r="E2425" s="201"/>
      <c r="F2425" s="201"/>
      <c r="I2425" s="198" t="s">
        <v>843</v>
      </c>
      <c r="J2425" s="198" t="s">
        <v>137</v>
      </c>
      <c r="K2425" s="202">
        <f t="shared" si="37"/>
        <v>1241340</v>
      </c>
      <c r="L2425" s="202">
        <v>243.4</v>
      </c>
      <c r="N2425" s="202">
        <v>475160.94</v>
      </c>
      <c r="S2425" s="204"/>
      <c r="W2425" s="198" t="s">
        <v>51</v>
      </c>
      <c r="AE2425" s="198" t="s">
        <v>844</v>
      </c>
    </row>
    <row r="2426" spans="3:31" x14ac:dyDescent="0.25">
      <c r="C2426" s="201"/>
      <c r="E2426" s="201"/>
      <c r="F2426" s="201"/>
      <c r="I2426" s="198" t="s">
        <v>843</v>
      </c>
      <c r="J2426" s="198" t="s">
        <v>137</v>
      </c>
      <c r="K2426" s="202">
        <f t="shared" si="37"/>
        <v>1241850</v>
      </c>
      <c r="L2426" s="202">
        <v>243.5</v>
      </c>
      <c r="N2426" s="202">
        <v>475305.3</v>
      </c>
      <c r="S2426" s="204"/>
      <c r="W2426" s="198" t="s">
        <v>51</v>
      </c>
      <c r="AE2426" s="198" t="s">
        <v>844</v>
      </c>
    </row>
    <row r="2427" spans="3:31" x14ac:dyDescent="0.25">
      <c r="C2427" s="201"/>
      <c r="E2427" s="201"/>
      <c r="F2427" s="201"/>
      <c r="I2427" s="198" t="s">
        <v>843</v>
      </c>
      <c r="J2427" s="198" t="s">
        <v>137</v>
      </c>
      <c r="K2427" s="202">
        <f t="shared" si="37"/>
        <v>1242360</v>
      </c>
      <c r="L2427" s="202">
        <v>243.6</v>
      </c>
      <c r="N2427" s="202">
        <v>475052.67</v>
      </c>
      <c r="S2427" s="204"/>
      <c r="W2427" s="198" t="s">
        <v>51</v>
      </c>
      <c r="AE2427" s="198" t="s">
        <v>844</v>
      </c>
    </row>
    <row r="2428" spans="3:31" x14ac:dyDescent="0.25">
      <c r="C2428" s="201"/>
      <c r="E2428" s="201"/>
      <c r="F2428" s="201"/>
      <c r="I2428" s="198" t="s">
        <v>843</v>
      </c>
      <c r="J2428" s="198" t="s">
        <v>137</v>
      </c>
      <c r="K2428" s="202">
        <f t="shared" si="37"/>
        <v>1242870</v>
      </c>
      <c r="L2428" s="202">
        <v>243.7</v>
      </c>
      <c r="N2428" s="202">
        <v>475341.39</v>
      </c>
      <c r="S2428" s="204"/>
      <c r="W2428" s="198" t="s">
        <v>51</v>
      </c>
      <c r="AE2428" s="198" t="s">
        <v>844</v>
      </c>
    </row>
    <row r="2429" spans="3:31" x14ac:dyDescent="0.25">
      <c r="C2429" s="201"/>
      <c r="E2429" s="201"/>
      <c r="F2429" s="201"/>
      <c r="I2429" s="198" t="s">
        <v>843</v>
      </c>
      <c r="J2429" s="198" t="s">
        <v>137</v>
      </c>
      <c r="K2429" s="202">
        <f t="shared" si="37"/>
        <v>1243380</v>
      </c>
      <c r="L2429" s="202">
        <v>243.8</v>
      </c>
      <c r="N2429" s="202">
        <v>476857.17</v>
      </c>
      <c r="S2429" s="204"/>
      <c r="W2429" s="198" t="s">
        <v>51</v>
      </c>
      <c r="AE2429" s="198" t="s">
        <v>844</v>
      </c>
    </row>
    <row r="2430" spans="3:31" x14ac:dyDescent="0.25">
      <c r="C2430" s="201"/>
      <c r="E2430" s="201"/>
      <c r="F2430" s="201"/>
      <c r="I2430" s="198" t="s">
        <v>843</v>
      </c>
      <c r="J2430" s="198" t="s">
        <v>137</v>
      </c>
      <c r="K2430" s="202">
        <f t="shared" si="37"/>
        <v>1243890</v>
      </c>
      <c r="L2430" s="202">
        <v>243.9</v>
      </c>
      <c r="N2430" s="202">
        <v>476460.18</v>
      </c>
      <c r="S2430" s="204"/>
      <c r="W2430" s="198" t="s">
        <v>51</v>
      </c>
      <c r="AE2430" s="198" t="s">
        <v>844</v>
      </c>
    </row>
    <row r="2431" spans="3:31" x14ac:dyDescent="0.25">
      <c r="C2431" s="201"/>
      <c r="E2431" s="201"/>
      <c r="F2431" s="201"/>
      <c r="I2431" s="198" t="s">
        <v>843</v>
      </c>
      <c r="J2431" s="198" t="s">
        <v>137</v>
      </c>
      <c r="K2431" s="202">
        <f t="shared" si="37"/>
        <v>1244400</v>
      </c>
      <c r="L2431" s="202">
        <v>244</v>
      </c>
      <c r="N2431" s="202">
        <v>475954.92</v>
      </c>
      <c r="S2431" s="204"/>
      <c r="W2431" s="198" t="s">
        <v>51</v>
      </c>
      <c r="AE2431" s="198" t="s">
        <v>844</v>
      </c>
    </row>
    <row r="2432" spans="3:31" x14ac:dyDescent="0.25">
      <c r="C2432" s="201"/>
      <c r="E2432" s="201"/>
      <c r="F2432" s="201"/>
      <c r="I2432" s="198" t="s">
        <v>843</v>
      </c>
      <c r="J2432" s="198" t="s">
        <v>137</v>
      </c>
      <c r="K2432" s="202">
        <f t="shared" si="37"/>
        <v>1244910</v>
      </c>
      <c r="L2432" s="202">
        <v>244.1</v>
      </c>
      <c r="N2432" s="202">
        <v>439431.84</v>
      </c>
      <c r="S2432" s="204"/>
      <c r="W2432" s="198" t="s">
        <v>51</v>
      </c>
      <c r="AE2432" s="198" t="s">
        <v>844</v>
      </c>
    </row>
    <row r="2433" spans="3:31" x14ac:dyDescent="0.25">
      <c r="C2433" s="201"/>
      <c r="E2433" s="201"/>
      <c r="F2433" s="201"/>
      <c r="I2433" s="198" t="s">
        <v>843</v>
      </c>
      <c r="J2433" s="198" t="s">
        <v>137</v>
      </c>
      <c r="K2433" s="202">
        <f t="shared" si="37"/>
        <v>1245420</v>
      </c>
      <c r="L2433" s="202">
        <v>244.2</v>
      </c>
      <c r="N2433" s="202">
        <v>36270.449999999997</v>
      </c>
      <c r="S2433" s="204"/>
      <c r="W2433" s="198" t="s">
        <v>51</v>
      </c>
      <c r="AE2433" s="198" t="s">
        <v>844</v>
      </c>
    </row>
    <row r="2434" spans="3:31" x14ac:dyDescent="0.25">
      <c r="C2434" s="201"/>
      <c r="E2434" s="201"/>
      <c r="F2434" s="201"/>
      <c r="I2434" s="198" t="s">
        <v>843</v>
      </c>
      <c r="J2434" s="198" t="s">
        <v>137</v>
      </c>
      <c r="K2434" s="202">
        <f t="shared" si="37"/>
        <v>1245930</v>
      </c>
      <c r="L2434" s="202">
        <v>244.3</v>
      </c>
      <c r="N2434" s="202">
        <v>475991.01</v>
      </c>
      <c r="S2434" s="204"/>
      <c r="W2434" s="198" t="s">
        <v>51</v>
      </c>
      <c r="AE2434" s="198" t="s">
        <v>844</v>
      </c>
    </row>
    <row r="2435" spans="3:31" x14ac:dyDescent="0.25">
      <c r="C2435" s="201"/>
      <c r="E2435" s="201"/>
      <c r="F2435" s="201"/>
      <c r="I2435" s="198" t="s">
        <v>843</v>
      </c>
      <c r="J2435" s="198" t="s">
        <v>137</v>
      </c>
      <c r="K2435" s="202">
        <f t="shared" ref="K2435:K2498" si="38">L2435*5100</f>
        <v>1246440</v>
      </c>
      <c r="L2435" s="202">
        <v>244.4</v>
      </c>
      <c r="N2435" s="202">
        <v>476893.26</v>
      </c>
      <c r="S2435" s="204"/>
      <c r="W2435" s="198" t="s">
        <v>51</v>
      </c>
      <c r="AE2435" s="198" t="s">
        <v>844</v>
      </c>
    </row>
    <row r="2436" spans="3:31" x14ac:dyDescent="0.25">
      <c r="C2436" s="201"/>
      <c r="E2436" s="201"/>
      <c r="F2436" s="201"/>
      <c r="I2436" s="198" t="s">
        <v>843</v>
      </c>
      <c r="J2436" s="198" t="s">
        <v>137</v>
      </c>
      <c r="K2436" s="202">
        <f t="shared" si="38"/>
        <v>1246950</v>
      </c>
      <c r="L2436" s="202">
        <v>244.5</v>
      </c>
      <c r="N2436" s="202">
        <v>476532.36</v>
      </c>
      <c r="S2436" s="204"/>
      <c r="W2436" s="198" t="s">
        <v>51</v>
      </c>
      <c r="AE2436" s="198" t="s">
        <v>844</v>
      </c>
    </row>
    <row r="2437" spans="3:31" x14ac:dyDescent="0.25">
      <c r="C2437" s="201"/>
      <c r="E2437" s="201"/>
      <c r="F2437" s="201"/>
      <c r="I2437" s="198" t="s">
        <v>843</v>
      </c>
      <c r="J2437" s="198" t="s">
        <v>137</v>
      </c>
      <c r="K2437" s="202">
        <f t="shared" si="38"/>
        <v>1247460</v>
      </c>
      <c r="L2437" s="202">
        <v>244.6</v>
      </c>
      <c r="N2437" s="202">
        <v>475846.65</v>
      </c>
      <c r="S2437" s="204"/>
      <c r="W2437" s="198" t="s">
        <v>51</v>
      </c>
      <c r="AE2437" s="198" t="s">
        <v>844</v>
      </c>
    </row>
    <row r="2438" spans="3:31" x14ac:dyDescent="0.25">
      <c r="C2438" s="201"/>
      <c r="E2438" s="201"/>
      <c r="F2438" s="201"/>
      <c r="I2438" s="198" t="s">
        <v>843</v>
      </c>
      <c r="J2438" s="198" t="s">
        <v>137</v>
      </c>
      <c r="K2438" s="202">
        <f t="shared" si="38"/>
        <v>1247970</v>
      </c>
      <c r="L2438" s="202">
        <v>244.7</v>
      </c>
      <c r="N2438" s="202">
        <v>476424.09</v>
      </c>
      <c r="S2438" s="204"/>
      <c r="W2438" s="198" t="s">
        <v>51</v>
      </c>
      <c r="AE2438" s="198" t="s">
        <v>844</v>
      </c>
    </row>
    <row r="2439" spans="3:31" x14ac:dyDescent="0.25">
      <c r="C2439" s="201"/>
      <c r="E2439" s="201"/>
      <c r="F2439" s="201"/>
      <c r="I2439" s="198" t="s">
        <v>362</v>
      </c>
      <c r="J2439" s="198" t="s">
        <v>132</v>
      </c>
      <c r="K2439" s="202">
        <f t="shared" si="38"/>
        <v>1248480</v>
      </c>
      <c r="L2439" s="202">
        <v>244.8</v>
      </c>
      <c r="N2439" s="202">
        <v>16535647</v>
      </c>
      <c r="S2439" s="204"/>
      <c r="W2439" s="198" t="s">
        <v>51</v>
      </c>
      <c r="AE2439" s="198" t="s">
        <v>833</v>
      </c>
    </row>
    <row r="2440" spans="3:31" x14ac:dyDescent="0.25">
      <c r="C2440" s="201"/>
      <c r="E2440" s="201"/>
      <c r="F2440" s="201"/>
      <c r="I2440" s="198" t="s">
        <v>843</v>
      </c>
      <c r="J2440" s="198" t="s">
        <v>137</v>
      </c>
      <c r="K2440" s="202">
        <f t="shared" si="38"/>
        <v>1248990</v>
      </c>
      <c r="L2440" s="202">
        <v>244.9</v>
      </c>
      <c r="N2440" s="202">
        <v>0.54</v>
      </c>
      <c r="S2440" s="203"/>
      <c r="W2440" s="198" t="s">
        <v>51</v>
      </c>
      <c r="AE2440" s="198" t="s">
        <v>54</v>
      </c>
    </row>
    <row r="2441" spans="3:31" x14ac:dyDescent="0.25">
      <c r="C2441" s="201"/>
      <c r="E2441" s="201"/>
      <c r="F2441" s="201"/>
      <c r="I2441" s="198" t="s">
        <v>362</v>
      </c>
      <c r="J2441" s="198" t="s">
        <v>132</v>
      </c>
      <c r="K2441" s="202">
        <f t="shared" si="38"/>
        <v>1249500</v>
      </c>
      <c r="L2441" s="202">
        <v>245</v>
      </c>
      <c r="N2441" s="202">
        <v>198427763.88999999</v>
      </c>
      <c r="S2441" s="204"/>
      <c r="W2441" s="198" t="s">
        <v>51</v>
      </c>
      <c r="AE2441" s="198" t="s">
        <v>833</v>
      </c>
    </row>
    <row r="2442" spans="3:31" x14ac:dyDescent="0.25">
      <c r="C2442" s="201"/>
      <c r="E2442" s="201"/>
      <c r="F2442" s="201"/>
      <c r="I2442" s="198" t="s">
        <v>362</v>
      </c>
      <c r="J2442" s="198" t="s">
        <v>132</v>
      </c>
      <c r="K2442" s="202">
        <f t="shared" si="38"/>
        <v>1250010</v>
      </c>
      <c r="L2442" s="202">
        <v>245.1</v>
      </c>
      <c r="N2442" s="202">
        <v>-198427763.88999999</v>
      </c>
      <c r="S2442" s="204"/>
      <c r="W2442" s="198" t="s">
        <v>51</v>
      </c>
      <c r="AE2442" s="198" t="s">
        <v>833</v>
      </c>
    </row>
    <row r="2443" spans="3:31" x14ac:dyDescent="0.25">
      <c r="C2443" s="201"/>
      <c r="E2443" s="201"/>
      <c r="F2443" s="201"/>
      <c r="I2443" s="198" t="s">
        <v>582</v>
      </c>
      <c r="J2443" s="198" t="s">
        <v>132</v>
      </c>
      <c r="K2443" s="202">
        <f t="shared" si="38"/>
        <v>1250520</v>
      </c>
      <c r="L2443" s="202">
        <v>245.2</v>
      </c>
      <c r="N2443" s="202">
        <v>284456843.25999999</v>
      </c>
      <c r="S2443" s="204"/>
      <c r="W2443" s="198" t="s">
        <v>51</v>
      </c>
      <c r="AE2443" s="198" t="s">
        <v>833</v>
      </c>
    </row>
    <row r="2444" spans="3:31" x14ac:dyDescent="0.25">
      <c r="C2444" s="201"/>
      <c r="E2444" s="201"/>
      <c r="F2444" s="201"/>
      <c r="I2444" s="198" t="s">
        <v>582</v>
      </c>
      <c r="J2444" s="198" t="s">
        <v>132</v>
      </c>
      <c r="K2444" s="202">
        <f t="shared" si="38"/>
        <v>1251030</v>
      </c>
      <c r="L2444" s="202">
        <v>245.3</v>
      </c>
      <c r="N2444" s="202">
        <v>-284456843.25999999</v>
      </c>
      <c r="S2444" s="204"/>
      <c r="W2444" s="198" t="s">
        <v>51</v>
      </c>
      <c r="AE2444" s="198" t="s">
        <v>833</v>
      </c>
    </row>
    <row r="2445" spans="3:31" x14ac:dyDescent="0.25">
      <c r="C2445" s="201"/>
      <c r="E2445" s="201"/>
      <c r="F2445" s="201"/>
      <c r="I2445" s="198" t="s">
        <v>178</v>
      </c>
      <c r="J2445" s="198" t="s">
        <v>167</v>
      </c>
      <c r="K2445" s="202">
        <f t="shared" si="38"/>
        <v>1251540</v>
      </c>
      <c r="L2445" s="202">
        <v>245.4</v>
      </c>
      <c r="N2445" s="202">
        <v>-0.15</v>
      </c>
      <c r="S2445" s="204"/>
      <c r="W2445" s="198" t="s">
        <v>51</v>
      </c>
      <c r="AE2445" s="198" t="s">
        <v>831</v>
      </c>
    </row>
    <row r="2446" spans="3:31" x14ac:dyDescent="0.25">
      <c r="C2446" s="201"/>
      <c r="E2446" s="201"/>
      <c r="F2446" s="201"/>
      <c r="I2446" s="198" t="s">
        <v>583</v>
      </c>
      <c r="J2446" s="198" t="s">
        <v>134</v>
      </c>
      <c r="K2446" s="202">
        <f t="shared" si="38"/>
        <v>1252050</v>
      </c>
      <c r="L2446" s="202">
        <v>245.5</v>
      </c>
      <c r="N2446" s="202">
        <v>0.57999999999999996</v>
      </c>
      <c r="S2446" s="203"/>
      <c r="W2446" s="198" t="s">
        <v>51</v>
      </c>
      <c r="AE2446" s="198" t="s">
        <v>54</v>
      </c>
    </row>
    <row r="2447" spans="3:31" x14ac:dyDescent="0.25">
      <c r="C2447" s="201"/>
      <c r="E2447" s="201"/>
      <c r="F2447" s="201"/>
      <c r="I2447" s="198" t="s">
        <v>77</v>
      </c>
      <c r="J2447" s="198" t="s">
        <v>65</v>
      </c>
      <c r="K2447" s="202">
        <f t="shared" si="38"/>
        <v>1252560</v>
      </c>
      <c r="L2447" s="202">
        <v>245.6</v>
      </c>
      <c r="N2447" s="202">
        <v>0.12</v>
      </c>
      <c r="S2447" s="204"/>
      <c r="W2447" s="198" t="s">
        <v>51</v>
      </c>
      <c r="AE2447" s="198" t="s">
        <v>831</v>
      </c>
    </row>
    <row r="2448" spans="3:31" x14ac:dyDescent="0.25">
      <c r="C2448" s="201"/>
      <c r="E2448" s="201"/>
      <c r="F2448" s="201"/>
      <c r="I2448" s="198" t="s">
        <v>77</v>
      </c>
      <c r="J2448" s="198" t="s">
        <v>65</v>
      </c>
      <c r="K2448" s="202">
        <f t="shared" si="38"/>
        <v>1253070</v>
      </c>
      <c r="L2448" s="202">
        <v>245.7</v>
      </c>
      <c r="N2448" s="202">
        <v>0.32</v>
      </c>
      <c r="S2448" s="204"/>
      <c r="W2448" s="198" t="s">
        <v>51</v>
      </c>
      <c r="AE2448" s="198" t="s">
        <v>831</v>
      </c>
    </row>
    <row r="2449" spans="3:31" x14ac:dyDescent="0.25">
      <c r="C2449" s="201"/>
      <c r="E2449" s="201"/>
      <c r="F2449" s="201"/>
      <c r="I2449" s="198" t="s">
        <v>77</v>
      </c>
      <c r="J2449" s="198" t="s">
        <v>65</v>
      </c>
      <c r="K2449" s="202">
        <f t="shared" si="38"/>
        <v>1253580</v>
      </c>
      <c r="L2449" s="202">
        <v>245.8</v>
      </c>
      <c r="N2449" s="202">
        <v>-0.37</v>
      </c>
      <c r="S2449" s="204"/>
      <c r="W2449" s="198" t="s">
        <v>51</v>
      </c>
      <c r="AE2449" s="198" t="s">
        <v>831</v>
      </c>
    </row>
    <row r="2450" spans="3:31" x14ac:dyDescent="0.25">
      <c r="C2450" s="201"/>
      <c r="E2450" s="201"/>
      <c r="F2450" s="201"/>
      <c r="I2450" s="198" t="s">
        <v>669</v>
      </c>
      <c r="J2450" s="198" t="s">
        <v>112</v>
      </c>
      <c r="K2450" s="202">
        <f t="shared" si="38"/>
        <v>1254090</v>
      </c>
      <c r="L2450" s="202">
        <v>245.9</v>
      </c>
      <c r="N2450" s="202">
        <v>-0.12</v>
      </c>
      <c r="S2450" s="204"/>
      <c r="W2450" s="198" t="s">
        <v>51</v>
      </c>
      <c r="AE2450" s="198" t="s">
        <v>831</v>
      </c>
    </row>
    <row r="2451" spans="3:31" x14ac:dyDescent="0.25">
      <c r="C2451" s="201"/>
      <c r="E2451" s="201"/>
      <c r="F2451" s="201"/>
      <c r="I2451" s="198" t="s">
        <v>669</v>
      </c>
      <c r="J2451" s="198" t="s">
        <v>112</v>
      </c>
      <c r="K2451" s="202">
        <f t="shared" si="38"/>
        <v>1254600</v>
      </c>
      <c r="L2451" s="202">
        <v>246</v>
      </c>
      <c r="N2451" s="202">
        <v>-7.0000000000000007E-2</v>
      </c>
      <c r="S2451" s="204"/>
      <c r="W2451" s="198" t="s">
        <v>51</v>
      </c>
      <c r="AE2451" s="198" t="s">
        <v>831</v>
      </c>
    </row>
    <row r="2452" spans="3:31" x14ac:dyDescent="0.25">
      <c r="C2452" s="201"/>
      <c r="E2452" s="201"/>
      <c r="F2452" s="201"/>
      <c r="I2452" s="198" t="s">
        <v>669</v>
      </c>
      <c r="J2452" s="198" t="s">
        <v>112</v>
      </c>
      <c r="K2452" s="202">
        <f t="shared" si="38"/>
        <v>1255110</v>
      </c>
      <c r="L2452" s="202">
        <v>246.1</v>
      </c>
      <c r="N2452" s="202">
        <v>-0.3</v>
      </c>
      <c r="S2452" s="204"/>
      <c r="W2452" s="198" t="s">
        <v>51</v>
      </c>
      <c r="AE2452" s="198" t="s">
        <v>831</v>
      </c>
    </row>
    <row r="2453" spans="3:31" x14ac:dyDescent="0.25">
      <c r="C2453" s="201"/>
      <c r="E2453" s="201"/>
      <c r="F2453" s="201"/>
      <c r="I2453" s="198" t="s">
        <v>178</v>
      </c>
      <c r="J2453" s="198" t="s">
        <v>167</v>
      </c>
      <c r="K2453" s="202">
        <f t="shared" si="38"/>
        <v>1255620</v>
      </c>
      <c r="L2453" s="202">
        <v>246.2</v>
      </c>
      <c r="N2453" s="202">
        <v>-0.13</v>
      </c>
      <c r="S2453" s="204"/>
      <c r="W2453" s="198" t="s">
        <v>51</v>
      </c>
      <c r="AE2453" s="198" t="s">
        <v>831</v>
      </c>
    </row>
    <row r="2454" spans="3:31" x14ac:dyDescent="0.25">
      <c r="C2454" s="201"/>
      <c r="E2454" s="201"/>
      <c r="F2454" s="201"/>
      <c r="I2454" s="198" t="s">
        <v>669</v>
      </c>
      <c r="J2454" s="198" t="s">
        <v>112</v>
      </c>
      <c r="K2454" s="202">
        <f t="shared" si="38"/>
        <v>1256130</v>
      </c>
      <c r="L2454" s="202">
        <v>246.3</v>
      </c>
      <c r="N2454" s="202">
        <v>0.2</v>
      </c>
      <c r="S2454" s="204"/>
      <c r="W2454" s="198" t="s">
        <v>51</v>
      </c>
      <c r="AE2454" s="198" t="s">
        <v>831</v>
      </c>
    </row>
    <row r="2455" spans="3:31" x14ac:dyDescent="0.25">
      <c r="C2455" s="201"/>
      <c r="E2455" s="201"/>
      <c r="F2455" s="201"/>
      <c r="I2455" s="198" t="s">
        <v>178</v>
      </c>
      <c r="J2455" s="198" t="s">
        <v>167</v>
      </c>
      <c r="K2455" s="202">
        <f t="shared" si="38"/>
        <v>1256640</v>
      </c>
      <c r="L2455" s="202">
        <v>246.4</v>
      </c>
      <c r="N2455" s="202">
        <v>-0.23</v>
      </c>
      <c r="S2455" s="204"/>
      <c r="W2455" s="198" t="s">
        <v>51</v>
      </c>
      <c r="AE2455" s="198" t="s">
        <v>831</v>
      </c>
    </row>
    <row r="2456" spans="3:31" x14ac:dyDescent="0.25">
      <c r="C2456" s="201"/>
      <c r="E2456" s="201"/>
      <c r="F2456" s="201"/>
      <c r="I2456" s="198" t="s">
        <v>110</v>
      </c>
      <c r="J2456" s="198" t="s">
        <v>89</v>
      </c>
      <c r="K2456" s="202">
        <f t="shared" si="38"/>
        <v>1257150</v>
      </c>
      <c r="L2456" s="202">
        <v>246.5</v>
      </c>
      <c r="N2456" s="202">
        <v>0.33</v>
      </c>
      <c r="S2456" s="204"/>
      <c r="W2456" s="198" t="s">
        <v>51</v>
      </c>
      <c r="AE2456" s="198" t="s">
        <v>831</v>
      </c>
    </row>
    <row r="2457" spans="3:31" x14ac:dyDescent="0.25">
      <c r="C2457" s="201"/>
      <c r="E2457" s="201"/>
      <c r="F2457" s="201"/>
      <c r="I2457" s="198" t="s">
        <v>179</v>
      </c>
      <c r="J2457" s="198" t="s">
        <v>169</v>
      </c>
      <c r="K2457" s="202">
        <f t="shared" si="38"/>
        <v>1257660</v>
      </c>
      <c r="L2457" s="202">
        <v>246.6</v>
      </c>
      <c r="N2457" s="202">
        <v>0.15</v>
      </c>
      <c r="S2457" s="204"/>
      <c r="W2457" s="198" t="s">
        <v>51</v>
      </c>
      <c r="AE2457" s="198" t="s">
        <v>831</v>
      </c>
    </row>
    <row r="2458" spans="3:31" x14ac:dyDescent="0.25">
      <c r="C2458" s="201"/>
      <c r="E2458" s="201"/>
      <c r="F2458" s="201"/>
      <c r="I2458" s="198" t="s">
        <v>832</v>
      </c>
      <c r="J2458" s="198" t="s">
        <v>132</v>
      </c>
      <c r="K2458" s="202">
        <f t="shared" si="38"/>
        <v>1258170</v>
      </c>
      <c r="L2458" s="202">
        <v>246.7</v>
      </c>
      <c r="N2458" s="202">
        <v>-39963504</v>
      </c>
      <c r="S2458" s="204"/>
      <c r="W2458" s="198" t="s">
        <v>51</v>
      </c>
      <c r="AE2458" s="198" t="s">
        <v>833</v>
      </c>
    </row>
    <row r="2459" spans="3:31" x14ac:dyDescent="0.25">
      <c r="C2459" s="201"/>
      <c r="E2459" s="201"/>
      <c r="F2459" s="201"/>
      <c r="I2459" s="198" t="s">
        <v>131</v>
      </c>
      <c r="J2459" s="198" t="s">
        <v>132</v>
      </c>
      <c r="K2459" s="202">
        <f t="shared" si="38"/>
        <v>1258680</v>
      </c>
      <c r="L2459" s="202">
        <v>246.8</v>
      </c>
      <c r="N2459" s="202">
        <v>-128947.9</v>
      </c>
      <c r="S2459" s="204"/>
      <c r="W2459" s="198" t="s">
        <v>51</v>
      </c>
      <c r="AE2459" s="198" t="s">
        <v>833</v>
      </c>
    </row>
    <row r="2460" spans="3:31" x14ac:dyDescent="0.25">
      <c r="C2460" s="201"/>
      <c r="E2460" s="201"/>
      <c r="F2460" s="201"/>
      <c r="I2460" s="198" t="s">
        <v>832</v>
      </c>
      <c r="J2460" s="198" t="s">
        <v>132</v>
      </c>
      <c r="K2460" s="202">
        <f t="shared" si="38"/>
        <v>1259190</v>
      </c>
      <c r="L2460" s="202">
        <v>246.9</v>
      </c>
      <c r="N2460" s="202">
        <v>39963504</v>
      </c>
      <c r="S2460" s="204"/>
      <c r="W2460" s="198" t="s">
        <v>51</v>
      </c>
      <c r="AE2460" s="198" t="s">
        <v>833</v>
      </c>
    </row>
    <row r="2461" spans="3:31" x14ac:dyDescent="0.25">
      <c r="C2461" s="201"/>
      <c r="E2461" s="201"/>
      <c r="F2461" s="201"/>
      <c r="I2461" s="198" t="s">
        <v>131</v>
      </c>
      <c r="J2461" s="198" t="s">
        <v>132</v>
      </c>
      <c r="K2461" s="202">
        <f t="shared" si="38"/>
        <v>1259700</v>
      </c>
      <c r="L2461" s="202">
        <v>247</v>
      </c>
      <c r="N2461" s="202">
        <v>128947.9</v>
      </c>
      <c r="S2461" s="204"/>
      <c r="W2461" s="198" t="s">
        <v>51</v>
      </c>
      <c r="AE2461" s="198" t="s">
        <v>833</v>
      </c>
    </row>
    <row r="2462" spans="3:31" x14ac:dyDescent="0.25">
      <c r="C2462" s="201"/>
      <c r="E2462" s="201"/>
      <c r="F2462" s="201"/>
      <c r="I2462" s="198" t="s">
        <v>832</v>
      </c>
      <c r="J2462" s="198" t="s">
        <v>132</v>
      </c>
      <c r="K2462" s="202">
        <f t="shared" si="38"/>
        <v>1260210</v>
      </c>
      <c r="L2462" s="202">
        <v>247.1</v>
      </c>
      <c r="N2462" s="202">
        <v>147919676.74000001</v>
      </c>
      <c r="S2462" s="204"/>
      <c r="W2462" s="198" t="s">
        <v>51</v>
      </c>
      <c r="AE2462" s="198" t="s">
        <v>833</v>
      </c>
    </row>
    <row r="2463" spans="3:31" x14ac:dyDescent="0.25">
      <c r="C2463" s="201"/>
      <c r="E2463" s="201"/>
      <c r="F2463" s="201"/>
      <c r="I2463" s="198" t="s">
        <v>832</v>
      </c>
      <c r="J2463" s="198" t="s">
        <v>132</v>
      </c>
      <c r="K2463" s="202">
        <f t="shared" si="38"/>
        <v>1260720</v>
      </c>
      <c r="L2463" s="202">
        <v>247.2</v>
      </c>
      <c r="N2463" s="202">
        <v>-147919676.74000001</v>
      </c>
      <c r="S2463" s="204"/>
      <c r="W2463" s="198" t="s">
        <v>51</v>
      </c>
      <c r="AE2463" s="198" t="s">
        <v>833</v>
      </c>
    </row>
    <row r="2464" spans="3:31" x14ac:dyDescent="0.25">
      <c r="C2464" s="201"/>
      <c r="E2464" s="201"/>
      <c r="F2464" s="201"/>
      <c r="I2464" s="198" t="s">
        <v>131</v>
      </c>
      <c r="J2464" s="198" t="s">
        <v>132</v>
      </c>
      <c r="K2464" s="202">
        <f t="shared" si="38"/>
        <v>1261230</v>
      </c>
      <c r="L2464" s="202">
        <v>247.3</v>
      </c>
      <c r="N2464" s="202">
        <v>5284750</v>
      </c>
      <c r="S2464" s="204"/>
      <c r="W2464" s="198" t="s">
        <v>51</v>
      </c>
      <c r="AE2464" s="198" t="s">
        <v>833</v>
      </c>
    </row>
    <row r="2465" spans="3:31" x14ac:dyDescent="0.25">
      <c r="C2465" s="201"/>
      <c r="E2465" s="201"/>
      <c r="F2465" s="201"/>
      <c r="I2465" s="198" t="s">
        <v>131</v>
      </c>
      <c r="J2465" s="198" t="s">
        <v>132</v>
      </c>
      <c r="K2465" s="202">
        <f t="shared" si="38"/>
        <v>1261740</v>
      </c>
      <c r="L2465" s="202">
        <v>247.4</v>
      </c>
      <c r="N2465" s="202">
        <v>-5284750</v>
      </c>
      <c r="S2465" s="204"/>
      <c r="W2465" s="198" t="s">
        <v>51</v>
      </c>
      <c r="AE2465" s="198" t="s">
        <v>833</v>
      </c>
    </row>
    <row r="2466" spans="3:31" x14ac:dyDescent="0.25">
      <c r="C2466" s="201"/>
      <c r="E2466" s="201"/>
      <c r="F2466" s="201"/>
      <c r="I2466" s="198" t="s">
        <v>48</v>
      </c>
      <c r="J2466" s="198" t="s">
        <v>65</v>
      </c>
      <c r="K2466" s="202">
        <f t="shared" si="38"/>
        <v>1262250</v>
      </c>
      <c r="L2466" s="202">
        <v>247.5</v>
      </c>
      <c r="N2466" s="202">
        <v>91234.8</v>
      </c>
      <c r="S2466" s="203"/>
      <c r="W2466" s="198" t="s">
        <v>51</v>
      </c>
      <c r="AE2466" s="198" t="s">
        <v>831</v>
      </c>
    </row>
    <row r="2467" spans="3:31" x14ac:dyDescent="0.25">
      <c r="C2467" s="201"/>
      <c r="E2467" s="201"/>
      <c r="F2467" s="201"/>
      <c r="I2467" s="198" t="s">
        <v>48</v>
      </c>
      <c r="J2467" s="198" t="s">
        <v>65</v>
      </c>
      <c r="K2467" s="202">
        <f t="shared" si="38"/>
        <v>1262760</v>
      </c>
      <c r="L2467" s="202">
        <v>247.6</v>
      </c>
      <c r="N2467" s="202">
        <v>499288.23</v>
      </c>
      <c r="S2467" s="203"/>
      <c r="W2467" s="198" t="s">
        <v>51</v>
      </c>
      <c r="AE2467" s="198" t="s">
        <v>831</v>
      </c>
    </row>
    <row r="2468" spans="3:31" x14ac:dyDescent="0.25">
      <c r="C2468" s="201"/>
      <c r="E2468" s="201"/>
      <c r="F2468" s="201"/>
      <c r="I2468" s="198" t="s">
        <v>48</v>
      </c>
      <c r="J2468" s="198" t="s">
        <v>65</v>
      </c>
      <c r="K2468" s="202">
        <f t="shared" si="38"/>
        <v>1263270</v>
      </c>
      <c r="L2468" s="202">
        <v>247.7</v>
      </c>
      <c r="N2468" s="202">
        <v>37442.720000000001</v>
      </c>
      <c r="S2468" s="203"/>
      <c r="W2468" s="198" t="s">
        <v>51</v>
      </c>
      <c r="AE2468" s="198" t="s">
        <v>831</v>
      </c>
    </row>
    <row r="2469" spans="3:31" x14ac:dyDescent="0.25">
      <c r="C2469" s="201"/>
      <c r="E2469" s="201"/>
      <c r="F2469" s="201"/>
      <c r="I2469" s="198" t="s">
        <v>48</v>
      </c>
      <c r="J2469" s="198" t="s">
        <v>65</v>
      </c>
      <c r="K2469" s="202">
        <f t="shared" si="38"/>
        <v>1263780</v>
      </c>
      <c r="L2469" s="202">
        <v>247.8</v>
      </c>
      <c r="N2469" s="202">
        <v>146178.43</v>
      </c>
      <c r="S2469" s="203"/>
      <c r="W2469" s="198" t="s">
        <v>51</v>
      </c>
      <c r="AE2469" s="198" t="s">
        <v>831</v>
      </c>
    </row>
    <row r="2470" spans="3:31" x14ac:dyDescent="0.25">
      <c r="C2470" s="201"/>
      <c r="E2470" s="201"/>
      <c r="F2470" s="201"/>
      <c r="I2470" s="198" t="s">
        <v>577</v>
      </c>
      <c r="J2470" s="198" t="s">
        <v>130</v>
      </c>
      <c r="K2470" s="202">
        <f t="shared" si="38"/>
        <v>1264290</v>
      </c>
      <c r="L2470" s="202">
        <v>247.9</v>
      </c>
      <c r="N2470" s="202">
        <v>8356056</v>
      </c>
      <c r="S2470" s="204"/>
      <c r="W2470" s="198" t="s">
        <v>51</v>
      </c>
      <c r="AE2470" s="198" t="s">
        <v>833</v>
      </c>
    </row>
    <row r="2471" spans="3:31" x14ac:dyDescent="0.25">
      <c r="C2471" s="201"/>
      <c r="E2471" s="201"/>
      <c r="F2471" s="201"/>
      <c r="I2471" s="198" t="s">
        <v>577</v>
      </c>
      <c r="J2471" s="198" t="s">
        <v>130</v>
      </c>
      <c r="K2471" s="202">
        <f t="shared" si="38"/>
        <v>1264800</v>
      </c>
      <c r="L2471" s="202">
        <v>248</v>
      </c>
      <c r="N2471" s="202">
        <v>8381067</v>
      </c>
      <c r="S2471" s="204"/>
      <c r="W2471" s="198" t="s">
        <v>51</v>
      </c>
      <c r="AE2471" s="198" t="s">
        <v>833</v>
      </c>
    </row>
    <row r="2472" spans="3:31" x14ac:dyDescent="0.25">
      <c r="C2472" s="201"/>
      <c r="E2472" s="201"/>
      <c r="F2472" s="201"/>
      <c r="I2472" s="198" t="s">
        <v>577</v>
      </c>
      <c r="J2472" s="198" t="s">
        <v>130</v>
      </c>
      <c r="K2472" s="202">
        <f t="shared" si="38"/>
        <v>1265310</v>
      </c>
      <c r="L2472" s="202">
        <v>248.1</v>
      </c>
      <c r="N2472" s="202">
        <v>8378685</v>
      </c>
      <c r="S2472" s="204"/>
      <c r="W2472" s="198" t="s">
        <v>51</v>
      </c>
      <c r="AE2472" s="198" t="s">
        <v>833</v>
      </c>
    </row>
    <row r="2473" spans="3:31" x14ac:dyDescent="0.25">
      <c r="C2473" s="201"/>
      <c r="E2473" s="201"/>
      <c r="F2473" s="201"/>
      <c r="I2473" s="198" t="s">
        <v>215</v>
      </c>
      <c r="J2473" s="198" t="s">
        <v>89</v>
      </c>
      <c r="K2473" s="202">
        <f t="shared" si="38"/>
        <v>1265820</v>
      </c>
      <c r="L2473" s="202">
        <v>248.2</v>
      </c>
      <c r="N2473" s="202">
        <v>354290</v>
      </c>
      <c r="S2473" s="204"/>
      <c r="W2473" s="198" t="s">
        <v>51</v>
      </c>
      <c r="AE2473" s="198" t="s">
        <v>831</v>
      </c>
    </row>
    <row r="2474" spans="3:31" x14ac:dyDescent="0.25">
      <c r="C2474" s="201"/>
      <c r="E2474" s="201"/>
      <c r="F2474" s="201"/>
      <c r="I2474" s="198" t="s">
        <v>536</v>
      </c>
      <c r="J2474" s="198" t="s">
        <v>126</v>
      </c>
      <c r="K2474" s="202">
        <f t="shared" si="38"/>
        <v>1266330</v>
      </c>
      <c r="L2474" s="202">
        <v>248.3</v>
      </c>
      <c r="N2474" s="202">
        <v>66596.72</v>
      </c>
      <c r="S2474" s="204"/>
      <c r="W2474" s="198" t="s">
        <v>51</v>
      </c>
      <c r="AE2474" s="198" t="s">
        <v>835</v>
      </c>
    </row>
    <row r="2475" spans="3:31" x14ac:dyDescent="0.25">
      <c r="C2475" s="201"/>
      <c r="E2475" s="201"/>
      <c r="F2475" s="201"/>
      <c r="I2475" s="198" t="s">
        <v>528</v>
      </c>
      <c r="J2475" s="198" t="s">
        <v>134</v>
      </c>
      <c r="K2475" s="202">
        <f t="shared" si="38"/>
        <v>1266840</v>
      </c>
      <c r="L2475" s="202">
        <v>248.4</v>
      </c>
      <c r="N2475" s="202">
        <v>923727.14</v>
      </c>
      <c r="S2475" s="204"/>
      <c r="W2475" s="198" t="s">
        <v>51</v>
      </c>
      <c r="AE2475" s="198" t="s">
        <v>846</v>
      </c>
    </row>
    <row r="2476" spans="3:31" x14ac:dyDescent="0.25">
      <c r="C2476" s="201"/>
      <c r="E2476" s="201"/>
      <c r="F2476" s="201"/>
      <c r="I2476" s="198" t="s">
        <v>536</v>
      </c>
      <c r="J2476" s="198" t="s">
        <v>126</v>
      </c>
      <c r="K2476" s="202">
        <f t="shared" si="38"/>
        <v>1267350</v>
      </c>
      <c r="L2476" s="202">
        <v>248.5</v>
      </c>
      <c r="N2476" s="202">
        <v>162169.5</v>
      </c>
      <c r="S2476" s="204"/>
      <c r="W2476" s="198" t="s">
        <v>51</v>
      </c>
      <c r="AE2476" s="198" t="s">
        <v>835</v>
      </c>
    </row>
    <row r="2477" spans="3:31" x14ac:dyDescent="0.25">
      <c r="C2477" s="201"/>
      <c r="E2477" s="201"/>
      <c r="F2477" s="201"/>
      <c r="I2477" s="198" t="s">
        <v>554</v>
      </c>
      <c r="J2477" s="198" t="s">
        <v>130</v>
      </c>
      <c r="K2477" s="202">
        <f t="shared" si="38"/>
        <v>1267860</v>
      </c>
      <c r="L2477" s="202">
        <v>248.6</v>
      </c>
      <c r="N2477" s="202">
        <v>576931.36</v>
      </c>
      <c r="S2477" s="204"/>
      <c r="W2477" s="198" t="s">
        <v>51</v>
      </c>
      <c r="AE2477" s="198" t="s">
        <v>833</v>
      </c>
    </row>
    <row r="2478" spans="3:31" x14ac:dyDescent="0.25">
      <c r="C2478" s="201"/>
      <c r="E2478" s="201"/>
      <c r="F2478" s="201"/>
      <c r="I2478" s="198" t="s">
        <v>215</v>
      </c>
      <c r="J2478" s="198" t="s">
        <v>89</v>
      </c>
      <c r="K2478" s="202">
        <f t="shared" si="38"/>
        <v>1268370</v>
      </c>
      <c r="L2478" s="202">
        <v>248.7</v>
      </c>
      <c r="N2478" s="202">
        <v>354290</v>
      </c>
      <c r="S2478" s="204"/>
      <c r="W2478" s="198" t="s">
        <v>51</v>
      </c>
      <c r="AE2478" s="198" t="s">
        <v>831</v>
      </c>
    </row>
    <row r="2479" spans="3:31" x14ac:dyDescent="0.25">
      <c r="C2479" s="201"/>
      <c r="E2479" s="201"/>
      <c r="F2479" s="201"/>
      <c r="I2479" s="198" t="s">
        <v>215</v>
      </c>
      <c r="J2479" s="198" t="s">
        <v>89</v>
      </c>
      <c r="K2479" s="202">
        <f t="shared" si="38"/>
        <v>1268880</v>
      </c>
      <c r="L2479" s="202">
        <v>248.8</v>
      </c>
      <c r="N2479" s="202">
        <v>354290</v>
      </c>
      <c r="S2479" s="204"/>
      <c r="W2479" s="198" t="s">
        <v>51</v>
      </c>
      <c r="AE2479" s="198" t="s">
        <v>831</v>
      </c>
    </row>
    <row r="2480" spans="3:31" x14ac:dyDescent="0.25">
      <c r="C2480" s="201"/>
      <c r="E2480" s="201"/>
      <c r="F2480" s="201"/>
      <c r="I2480" s="198" t="s">
        <v>215</v>
      </c>
      <c r="J2480" s="198" t="s">
        <v>89</v>
      </c>
      <c r="K2480" s="202">
        <f t="shared" si="38"/>
        <v>1269390</v>
      </c>
      <c r="L2480" s="202">
        <v>248.9</v>
      </c>
      <c r="N2480" s="202">
        <v>354290</v>
      </c>
      <c r="S2480" s="204"/>
      <c r="W2480" s="198" t="s">
        <v>51</v>
      </c>
      <c r="AE2480" s="198" t="s">
        <v>831</v>
      </c>
    </row>
    <row r="2481" spans="3:31" x14ac:dyDescent="0.25">
      <c r="C2481" s="201"/>
      <c r="E2481" s="201"/>
      <c r="F2481" s="201"/>
      <c r="I2481" s="198" t="s">
        <v>215</v>
      </c>
      <c r="J2481" s="198" t="s">
        <v>89</v>
      </c>
      <c r="K2481" s="202">
        <f t="shared" si="38"/>
        <v>1269900</v>
      </c>
      <c r="L2481" s="202">
        <v>249</v>
      </c>
      <c r="N2481" s="202">
        <v>354290</v>
      </c>
      <c r="S2481" s="204"/>
      <c r="W2481" s="198" t="s">
        <v>51</v>
      </c>
      <c r="AE2481" s="198" t="s">
        <v>831</v>
      </c>
    </row>
    <row r="2482" spans="3:31" x14ac:dyDescent="0.25">
      <c r="C2482" s="201"/>
      <c r="E2482" s="201"/>
      <c r="F2482" s="201"/>
      <c r="I2482" s="198" t="s">
        <v>215</v>
      </c>
      <c r="J2482" s="198" t="s">
        <v>89</v>
      </c>
      <c r="K2482" s="202">
        <f t="shared" si="38"/>
        <v>1270410</v>
      </c>
      <c r="L2482" s="202">
        <v>249.1</v>
      </c>
      <c r="N2482" s="202">
        <v>354290</v>
      </c>
      <c r="S2482" s="204"/>
      <c r="W2482" s="198" t="s">
        <v>51</v>
      </c>
      <c r="AE2482" s="198" t="s">
        <v>831</v>
      </c>
    </row>
    <row r="2483" spans="3:31" x14ac:dyDescent="0.25">
      <c r="C2483" s="201"/>
      <c r="E2483" s="201"/>
      <c r="F2483" s="201"/>
      <c r="I2483" s="198" t="s">
        <v>215</v>
      </c>
      <c r="J2483" s="198" t="s">
        <v>89</v>
      </c>
      <c r="K2483" s="202">
        <f t="shared" si="38"/>
        <v>1270920</v>
      </c>
      <c r="L2483" s="202">
        <v>249.2</v>
      </c>
      <c r="N2483" s="202">
        <v>354290</v>
      </c>
      <c r="S2483" s="204"/>
      <c r="W2483" s="198" t="s">
        <v>51</v>
      </c>
      <c r="AE2483" s="198" t="s">
        <v>831</v>
      </c>
    </row>
    <row r="2484" spans="3:31" x14ac:dyDescent="0.25">
      <c r="C2484" s="201"/>
      <c r="E2484" s="201"/>
      <c r="F2484" s="201"/>
      <c r="I2484" s="198" t="s">
        <v>215</v>
      </c>
      <c r="J2484" s="198" t="s">
        <v>89</v>
      </c>
      <c r="K2484" s="202">
        <f t="shared" si="38"/>
        <v>1271430</v>
      </c>
      <c r="L2484" s="202">
        <v>249.3</v>
      </c>
      <c r="N2484" s="202">
        <v>354290</v>
      </c>
      <c r="S2484" s="204"/>
      <c r="W2484" s="198" t="s">
        <v>51</v>
      </c>
      <c r="AE2484" s="198" t="s">
        <v>831</v>
      </c>
    </row>
    <row r="2485" spans="3:31" x14ac:dyDescent="0.25">
      <c r="C2485" s="201"/>
      <c r="E2485" s="201"/>
      <c r="F2485" s="201"/>
      <c r="I2485" s="198" t="s">
        <v>215</v>
      </c>
      <c r="J2485" s="198" t="s">
        <v>89</v>
      </c>
      <c r="K2485" s="202">
        <f t="shared" si="38"/>
        <v>1271940</v>
      </c>
      <c r="L2485" s="202">
        <v>249.4</v>
      </c>
      <c r="N2485" s="202">
        <v>354290</v>
      </c>
      <c r="S2485" s="204"/>
      <c r="W2485" s="198" t="s">
        <v>51</v>
      </c>
      <c r="AE2485" s="198" t="s">
        <v>831</v>
      </c>
    </row>
    <row r="2486" spans="3:31" x14ac:dyDescent="0.25">
      <c r="C2486" s="201"/>
      <c r="E2486" s="201"/>
      <c r="F2486" s="201"/>
      <c r="I2486" s="198" t="s">
        <v>215</v>
      </c>
      <c r="J2486" s="198" t="s">
        <v>89</v>
      </c>
      <c r="K2486" s="202">
        <f t="shared" si="38"/>
        <v>1272450</v>
      </c>
      <c r="L2486" s="202">
        <v>249.5</v>
      </c>
      <c r="N2486" s="202">
        <v>354290</v>
      </c>
      <c r="S2486" s="204"/>
      <c r="W2486" s="198" t="s">
        <v>51</v>
      </c>
      <c r="AE2486" s="198" t="s">
        <v>831</v>
      </c>
    </row>
    <row r="2487" spans="3:31" x14ac:dyDescent="0.25">
      <c r="C2487" s="201"/>
      <c r="E2487" s="201"/>
      <c r="F2487" s="201"/>
      <c r="I2487" s="198" t="s">
        <v>555</v>
      </c>
      <c r="J2487" s="198" t="s">
        <v>132</v>
      </c>
      <c r="K2487" s="202">
        <f t="shared" si="38"/>
        <v>1272960</v>
      </c>
      <c r="L2487" s="202">
        <v>249.6</v>
      </c>
      <c r="N2487" s="202">
        <v>1332109.42</v>
      </c>
      <c r="S2487" s="204"/>
      <c r="W2487" s="198" t="s">
        <v>51</v>
      </c>
      <c r="AE2487" s="198" t="s">
        <v>833</v>
      </c>
    </row>
    <row r="2488" spans="3:31" x14ac:dyDescent="0.25">
      <c r="C2488" s="201"/>
      <c r="E2488" s="201"/>
      <c r="F2488" s="201"/>
      <c r="I2488" s="198" t="s">
        <v>554</v>
      </c>
      <c r="J2488" s="198" t="s">
        <v>130</v>
      </c>
      <c r="K2488" s="202">
        <f t="shared" si="38"/>
        <v>1273470</v>
      </c>
      <c r="L2488" s="202">
        <v>249.7</v>
      </c>
      <c r="N2488" s="202">
        <v>116903.01</v>
      </c>
      <c r="S2488" s="204"/>
      <c r="W2488" s="198" t="s">
        <v>51</v>
      </c>
      <c r="AE2488" s="198" t="s">
        <v>833</v>
      </c>
    </row>
    <row r="2489" spans="3:31" x14ac:dyDescent="0.25">
      <c r="C2489" s="201"/>
      <c r="E2489" s="201"/>
      <c r="F2489" s="201"/>
      <c r="I2489" s="198" t="s">
        <v>536</v>
      </c>
      <c r="J2489" s="198" t="s">
        <v>126</v>
      </c>
      <c r="K2489" s="202">
        <f t="shared" si="38"/>
        <v>1273980</v>
      </c>
      <c r="L2489" s="202">
        <v>249.8</v>
      </c>
      <c r="N2489" s="202">
        <v>132070.17000000001</v>
      </c>
      <c r="S2489" s="204"/>
      <c r="W2489" s="198" t="s">
        <v>51</v>
      </c>
      <c r="AE2489" s="198" t="s">
        <v>835</v>
      </c>
    </row>
    <row r="2490" spans="3:31" x14ac:dyDescent="0.25">
      <c r="C2490" s="201"/>
      <c r="E2490" s="201"/>
      <c r="F2490" s="201"/>
      <c r="I2490" s="198" t="s">
        <v>554</v>
      </c>
      <c r="J2490" s="198" t="s">
        <v>130</v>
      </c>
      <c r="K2490" s="202">
        <f t="shared" si="38"/>
        <v>1274490</v>
      </c>
      <c r="L2490" s="202">
        <v>249.9</v>
      </c>
      <c r="N2490" s="202">
        <v>573414.99</v>
      </c>
      <c r="S2490" s="204"/>
      <c r="W2490" s="198" t="s">
        <v>51</v>
      </c>
      <c r="AE2490" s="198" t="s">
        <v>833</v>
      </c>
    </row>
    <row r="2491" spans="3:31" x14ac:dyDescent="0.25">
      <c r="C2491" s="201"/>
      <c r="E2491" s="201"/>
      <c r="F2491" s="201"/>
      <c r="I2491" s="198" t="s">
        <v>799</v>
      </c>
      <c r="J2491" s="198" t="s">
        <v>193</v>
      </c>
      <c r="K2491" s="202">
        <f t="shared" si="38"/>
        <v>1275000</v>
      </c>
      <c r="L2491" s="202">
        <v>250</v>
      </c>
      <c r="N2491" s="202">
        <v>855000000</v>
      </c>
      <c r="S2491" s="204"/>
      <c r="W2491" s="198" t="s">
        <v>51</v>
      </c>
      <c r="AE2491" s="198" t="s">
        <v>830</v>
      </c>
    </row>
    <row r="2492" spans="3:31" x14ac:dyDescent="0.25">
      <c r="C2492" s="201"/>
      <c r="E2492" s="201"/>
      <c r="F2492" s="201"/>
      <c r="I2492" s="198" t="s">
        <v>799</v>
      </c>
      <c r="J2492" s="198" t="s">
        <v>193</v>
      </c>
      <c r="K2492" s="202">
        <f t="shared" si="38"/>
        <v>1275510</v>
      </c>
      <c r="L2492" s="202">
        <v>250.1</v>
      </c>
      <c r="N2492" s="202">
        <v>855000000</v>
      </c>
      <c r="S2492" s="204"/>
      <c r="W2492" s="198" t="s">
        <v>51</v>
      </c>
      <c r="AE2492" s="198" t="s">
        <v>830</v>
      </c>
    </row>
    <row r="2493" spans="3:31" x14ac:dyDescent="0.25">
      <c r="C2493" s="201"/>
      <c r="E2493" s="201"/>
      <c r="F2493" s="201"/>
      <c r="I2493" s="198" t="s">
        <v>802</v>
      </c>
      <c r="J2493" s="198" t="s">
        <v>143</v>
      </c>
      <c r="K2493" s="202">
        <f t="shared" si="38"/>
        <v>1276020</v>
      </c>
      <c r="L2493" s="202">
        <v>250.2</v>
      </c>
      <c r="N2493" s="202">
        <v>950000000</v>
      </c>
      <c r="S2493" s="204"/>
      <c r="W2493" s="198" t="s">
        <v>51</v>
      </c>
      <c r="AE2493" s="198" t="s">
        <v>829</v>
      </c>
    </row>
    <row r="2494" spans="3:31" x14ac:dyDescent="0.25">
      <c r="C2494" s="201"/>
      <c r="E2494" s="201"/>
      <c r="F2494" s="201"/>
      <c r="I2494" s="198" t="s">
        <v>802</v>
      </c>
      <c r="J2494" s="198" t="s">
        <v>143</v>
      </c>
      <c r="K2494" s="202">
        <f t="shared" si="38"/>
        <v>1276530</v>
      </c>
      <c r="L2494" s="202">
        <v>250.3</v>
      </c>
      <c r="N2494" s="202">
        <v>950000000</v>
      </c>
      <c r="S2494" s="204"/>
      <c r="W2494" s="198" t="s">
        <v>51</v>
      </c>
      <c r="AE2494" s="198" t="s">
        <v>829</v>
      </c>
    </row>
    <row r="2495" spans="3:31" x14ac:dyDescent="0.25">
      <c r="C2495" s="201"/>
      <c r="E2495" s="201"/>
      <c r="F2495" s="201"/>
      <c r="I2495" s="198" t="s">
        <v>536</v>
      </c>
      <c r="J2495" s="198" t="s">
        <v>126</v>
      </c>
      <c r="K2495" s="202">
        <f t="shared" si="38"/>
        <v>1277040</v>
      </c>
      <c r="L2495" s="202">
        <v>250.4</v>
      </c>
      <c r="N2495" s="202">
        <v>422250.51</v>
      </c>
      <c r="S2495" s="204"/>
      <c r="W2495" s="198" t="s">
        <v>51</v>
      </c>
      <c r="AE2495" s="198" t="s">
        <v>835</v>
      </c>
    </row>
    <row r="2496" spans="3:31" x14ac:dyDescent="0.25">
      <c r="C2496" s="201"/>
      <c r="E2496" s="201"/>
      <c r="F2496" s="201"/>
      <c r="I2496" s="198" t="s">
        <v>531</v>
      </c>
      <c r="J2496" s="198" t="s">
        <v>117</v>
      </c>
      <c r="K2496" s="202">
        <f t="shared" si="38"/>
        <v>1277550</v>
      </c>
      <c r="L2496" s="202">
        <v>250.5</v>
      </c>
      <c r="N2496" s="202">
        <v>956865.84</v>
      </c>
      <c r="S2496" s="204"/>
      <c r="W2496" s="198" t="s">
        <v>51</v>
      </c>
      <c r="AE2496" s="198" t="s">
        <v>878</v>
      </c>
    </row>
    <row r="2497" spans="3:31" x14ac:dyDescent="0.25">
      <c r="C2497" s="201"/>
      <c r="E2497" s="201"/>
      <c r="F2497" s="201"/>
      <c r="I2497" s="198" t="s">
        <v>843</v>
      </c>
      <c r="J2497" s="198" t="s">
        <v>137</v>
      </c>
      <c r="K2497" s="202">
        <f t="shared" si="38"/>
        <v>1278060</v>
      </c>
      <c r="L2497" s="202">
        <v>250.6</v>
      </c>
      <c r="N2497" s="202">
        <v>1372977.12</v>
      </c>
      <c r="S2497" s="204"/>
      <c r="W2497" s="198" t="s">
        <v>51</v>
      </c>
      <c r="AE2497" s="198" t="s">
        <v>844</v>
      </c>
    </row>
    <row r="2498" spans="3:31" x14ac:dyDescent="0.25">
      <c r="C2498" s="201"/>
      <c r="E2498" s="201"/>
      <c r="F2498" s="201"/>
      <c r="I2498" s="198" t="s">
        <v>836</v>
      </c>
      <c r="J2498" s="198" t="s">
        <v>126</v>
      </c>
      <c r="K2498" s="202">
        <f t="shared" si="38"/>
        <v>1278570</v>
      </c>
      <c r="L2498" s="202">
        <v>250.7</v>
      </c>
      <c r="N2498" s="202">
        <v>985255.95</v>
      </c>
      <c r="S2498" s="204"/>
      <c r="W2498" s="198" t="s">
        <v>51</v>
      </c>
      <c r="AE2498" s="198" t="s">
        <v>835</v>
      </c>
    </row>
    <row r="2499" spans="3:31" x14ac:dyDescent="0.25">
      <c r="C2499" s="201"/>
      <c r="E2499" s="201"/>
      <c r="F2499" s="201"/>
      <c r="I2499" s="198" t="s">
        <v>836</v>
      </c>
      <c r="J2499" s="198" t="s">
        <v>126</v>
      </c>
      <c r="K2499" s="202">
        <f t="shared" ref="K2499:K2562" si="39">L2499*5100</f>
        <v>1279080</v>
      </c>
      <c r="L2499" s="202">
        <v>250.8</v>
      </c>
      <c r="N2499" s="202">
        <v>942207.52</v>
      </c>
      <c r="S2499" s="204"/>
      <c r="W2499" s="198" t="s">
        <v>51</v>
      </c>
      <c r="AE2499" s="198" t="s">
        <v>835</v>
      </c>
    </row>
    <row r="2500" spans="3:31" x14ac:dyDescent="0.25">
      <c r="C2500" s="201"/>
      <c r="E2500" s="201"/>
      <c r="F2500" s="201"/>
      <c r="I2500" s="198" t="s">
        <v>836</v>
      </c>
      <c r="J2500" s="198" t="s">
        <v>126</v>
      </c>
      <c r="K2500" s="202">
        <f t="shared" si="39"/>
        <v>1279590</v>
      </c>
      <c r="L2500" s="202">
        <v>250.9</v>
      </c>
      <c r="N2500" s="202">
        <v>834574.12</v>
      </c>
      <c r="S2500" s="204"/>
      <c r="W2500" s="198" t="s">
        <v>51</v>
      </c>
      <c r="AE2500" s="198" t="s">
        <v>835</v>
      </c>
    </row>
    <row r="2501" spans="3:31" x14ac:dyDescent="0.25">
      <c r="C2501" s="201"/>
      <c r="E2501" s="201"/>
      <c r="F2501" s="201"/>
      <c r="I2501" s="198" t="s">
        <v>577</v>
      </c>
      <c r="J2501" s="198" t="s">
        <v>130</v>
      </c>
      <c r="K2501" s="202">
        <f t="shared" si="39"/>
        <v>1280100</v>
      </c>
      <c r="L2501" s="202">
        <v>251</v>
      </c>
      <c r="N2501" s="202">
        <v>1034738</v>
      </c>
      <c r="S2501" s="204"/>
      <c r="W2501" s="198" t="s">
        <v>51</v>
      </c>
      <c r="AE2501" s="198" t="s">
        <v>833</v>
      </c>
    </row>
    <row r="2502" spans="3:31" x14ac:dyDescent="0.25">
      <c r="C2502" s="201"/>
      <c r="E2502" s="201"/>
      <c r="F2502" s="201"/>
      <c r="I2502" s="198" t="s">
        <v>577</v>
      </c>
      <c r="J2502" s="198" t="s">
        <v>130</v>
      </c>
      <c r="K2502" s="202">
        <f t="shared" si="39"/>
        <v>1280610</v>
      </c>
      <c r="L2502" s="202">
        <v>251.1</v>
      </c>
      <c r="N2502" s="202">
        <v>1557852</v>
      </c>
      <c r="S2502" s="204"/>
      <c r="W2502" s="198" t="s">
        <v>51</v>
      </c>
      <c r="AE2502" s="198" t="s">
        <v>833</v>
      </c>
    </row>
    <row r="2503" spans="3:31" x14ac:dyDescent="0.25">
      <c r="C2503" s="201"/>
      <c r="E2503" s="201"/>
      <c r="F2503" s="201"/>
      <c r="I2503" s="198" t="s">
        <v>583</v>
      </c>
      <c r="J2503" s="198" t="s">
        <v>134</v>
      </c>
      <c r="K2503" s="202">
        <f t="shared" si="39"/>
        <v>1281120</v>
      </c>
      <c r="L2503" s="202">
        <v>251.2</v>
      </c>
      <c r="N2503" s="202">
        <v>1377898</v>
      </c>
      <c r="S2503" s="204"/>
      <c r="W2503" s="198" t="s">
        <v>51</v>
      </c>
      <c r="AE2503" s="198" t="s">
        <v>846</v>
      </c>
    </row>
    <row r="2504" spans="3:31" x14ac:dyDescent="0.25">
      <c r="C2504" s="201"/>
      <c r="E2504" s="201"/>
      <c r="F2504" s="201"/>
      <c r="I2504" s="198" t="s">
        <v>583</v>
      </c>
      <c r="J2504" s="198" t="s">
        <v>134</v>
      </c>
      <c r="K2504" s="202">
        <f t="shared" si="39"/>
        <v>1281630</v>
      </c>
      <c r="L2504" s="202">
        <v>251.3</v>
      </c>
      <c r="N2504" s="202">
        <v>929616</v>
      </c>
      <c r="S2504" s="204"/>
      <c r="W2504" s="198" t="s">
        <v>51</v>
      </c>
      <c r="AE2504" s="198" t="s">
        <v>846</v>
      </c>
    </row>
    <row r="2505" spans="3:31" x14ac:dyDescent="0.25">
      <c r="C2505" s="201"/>
      <c r="E2505" s="201"/>
      <c r="F2505" s="201"/>
      <c r="I2505" s="198" t="s">
        <v>583</v>
      </c>
      <c r="J2505" s="198" t="s">
        <v>134</v>
      </c>
      <c r="K2505" s="202">
        <f t="shared" si="39"/>
        <v>1282140</v>
      </c>
      <c r="L2505" s="202">
        <v>251.4</v>
      </c>
      <c r="N2505" s="202">
        <v>1484705</v>
      </c>
      <c r="S2505" s="204"/>
      <c r="W2505" s="198" t="s">
        <v>51</v>
      </c>
      <c r="AE2505" s="198" t="s">
        <v>846</v>
      </c>
    </row>
    <row r="2506" spans="3:31" x14ac:dyDescent="0.25">
      <c r="C2506" s="201"/>
      <c r="E2506" s="201"/>
      <c r="F2506" s="201"/>
      <c r="I2506" s="198" t="s">
        <v>180</v>
      </c>
      <c r="J2506" s="198" t="s">
        <v>65</v>
      </c>
      <c r="K2506" s="202">
        <f t="shared" si="39"/>
        <v>1282650</v>
      </c>
      <c r="L2506" s="202">
        <v>251.5</v>
      </c>
      <c r="N2506" s="202">
        <v>287925</v>
      </c>
      <c r="S2506" s="204"/>
      <c r="W2506" s="198" t="s">
        <v>51</v>
      </c>
      <c r="AE2506" s="198" t="s">
        <v>831</v>
      </c>
    </row>
    <row r="2507" spans="3:31" x14ac:dyDescent="0.25">
      <c r="C2507" s="201"/>
      <c r="E2507" s="201"/>
      <c r="F2507" s="201"/>
      <c r="I2507" s="198" t="s">
        <v>583</v>
      </c>
      <c r="J2507" s="198" t="s">
        <v>134</v>
      </c>
      <c r="K2507" s="202">
        <f t="shared" si="39"/>
        <v>1283160</v>
      </c>
      <c r="L2507" s="202">
        <v>251.6</v>
      </c>
      <c r="N2507" s="202">
        <v>1354527</v>
      </c>
      <c r="S2507" s="204"/>
      <c r="W2507" s="198" t="s">
        <v>51</v>
      </c>
      <c r="AE2507" s="198" t="s">
        <v>846</v>
      </c>
    </row>
    <row r="2508" spans="3:31" x14ac:dyDescent="0.25">
      <c r="C2508" s="201"/>
      <c r="E2508" s="201"/>
      <c r="F2508" s="201"/>
      <c r="I2508" s="198" t="s">
        <v>582</v>
      </c>
      <c r="J2508" s="198" t="s">
        <v>132</v>
      </c>
      <c r="K2508" s="202">
        <f t="shared" si="39"/>
        <v>1283670</v>
      </c>
      <c r="L2508" s="202">
        <v>251.7</v>
      </c>
      <c r="N2508" s="202">
        <v>1389209.6000000001</v>
      </c>
      <c r="S2508" s="204"/>
      <c r="W2508" s="198" t="s">
        <v>51</v>
      </c>
      <c r="AE2508" s="198" t="s">
        <v>833</v>
      </c>
    </row>
    <row r="2509" spans="3:31" x14ac:dyDescent="0.25">
      <c r="C2509" s="201"/>
      <c r="E2509" s="201"/>
      <c r="F2509" s="201"/>
      <c r="I2509" s="198" t="s">
        <v>582</v>
      </c>
      <c r="J2509" s="198" t="s">
        <v>132</v>
      </c>
      <c r="K2509" s="202">
        <f t="shared" si="39"/>
        <v>1284180</v>
      </c>
      <c r="L2509" s="202">
        <v>251.8</v>
      </c>
      <c r="N2509" s="202">
        <v>961653.04</v>
      </c>
      <c r="S2509" s="204"/>
      <c r="W2509" s="198" t="s">
        <v>51</v>
      </c>
      <c r="AE2509" s="198" t="s">
        <v>833</v>
      </c>
    </row>
    <row r="2510" spans="3:31" x14ac:dyDescent="0.25">
      <c r="C2510" s="201"/>
      <c r="E2510" s="201"/>
      <c r="F2510" s="201"/>
      <c r="I2510" s="198" t="s">
        <v>582</v>
      </c>
      <c r="J2510" s="198" t="s">
        <v>132</v>
      </c>
      <c r="K2510" s="202">
        <f t="shared" si="39"/>
        <v>1284690</v>
      </c>
      <c r="L2510" s="202">
        <v>251.9</v>
      </c>
      <c r="N2510" s="202">
        <v>1173839.8400000001</v>
      </c>
      <c r="S2510" s="204"/>
      <c r="W2510" s="198" t="s">
        <v>51</v>
      </c>
      <c r="AE2510" s="198" t="s">
        <v>833</v>
      </c>
    </row>
    <row r="2511" spans="3:31" x14ac:dyDescent="0.25">
      <c r="C2511" s="201"/>
      <c r="E2511" s="201"/>
      <c r="F2511" s="201"/>
      <c r="I2511" s="198" t="s">
        <v>180</v>
      </c>
      <c r="J2511" s="198" t="s">
        <v>65</v>
      </c>
      <c r="K2511" s="202">
        <f t="shared" si="39"/>
        <v>1285200</v>
      </c>
      <c r="L2511" s="202">
        <v>252</v>
      </c>
      <c r="N2511" s="202">
        <v>287925</v>
      </c>
      <c r="S2511" s="204"/>
      <c r="W2511" s="198" t="s">
        <v>51</v>
      </c>
      <c r="AE2511" s="198" t="s">
        <v>831</v>
      </c>
    </row>
    <row r="2512" spans="3:31" x14ac:dyDescent="0.25">
      <c r="C2512" s="201"/>
      <c r="E2512" s="201"/>
      <c r="F2512" s="201"/>
      <c r="I2512" s="198" t="s">
        <v>164</v>
      </c>
      <c r="J2512" s="198" t="s">
        <v>167</v>
      </c>
      <c r="K2512" s="202">
        <f t="shared" si="39"/>
        <v>1285710</v>
      </c>
      <c r="L2512" s="202">
        <v>252.1</v>
      </c>
      <c r="N2512" s="202">
        <v>287925</v>
      </c>
      <c r="S2512" s="204"/>
      <c r="W2512" s="198" t="s">
        <v>51</v>
      </c>
      <c r="AE2512" s="198" t="s">
        <v>831</v>
      </c>
    </row>
    <row r="2513" spans="3:31" x14ac:dyDescent="0.25">
      <c r="C2513" s="201"/>
      <c r="E2513" s="201"/>
      <c r="F2513" s="201"/>
      <c r="I2513" s="198" t="s">
        <v>212</v>
      </c>
      <c r="J2513" s="198" t="s">
        <v>112</v>
      </c>
      <c r="K2513" s="202">
        <f t="shared" si="39"/>
        <v>1286220</v>
      </c>
      <c r="L2513" s="202">
        <v>252.2</v>
      </c>
      <c r="N2513" s="202">
        <v>211145</v>
      </c>
      <c r="S2513" s="204"/>
      <c r="W2513" s="198" t="s">
        <v>51</v>
      </c>
      <c r="AE2513" s="198" t="s">
        <v>831</v>
      </c>
    </row>
    <row r="2514" spans="3:31" x14ac:dyDescent="0.25">
      <c r="C2514" s="201"/>
      <c r="E2514" s="201"/>
      <c r="F2514" s="201"/>
      <c r="I2514" s="198" t="s">
        <v>82</v>
      </c>
      <c r="J2514" s="198" t="s">
        <v>89</v>
      </c>
      <c r="K2514" s="202">
        <f t="shared" si="39"/>
        <v>1286730</v>
      </c>
      <c r="L2514" s="202">
        <v>252.3</v>
      </c>
      <c r="N2514" s="202">
        <v>287925</v>
      </c>
      <c r="S2514" s="204"/>
      <c r="W2514" s="198" t="s">
        <v>51</v>
      </c>
      <c r="AE2514" s="198" t="s">
        <v>831</v>
      </c>
    </row>
    <row r="2515" spans="3:31" x14ac:dyDescent="0.25">
      <c r="C2515" s="201"/>
      <c r="E2515" s="201"/>
      <c r="F2515" s="201"/>
      <c r="I2515" s="198" t="s">
        <v>82</v>
      </c>
      <c r="J2515" s="198" t="s">
        <v>89</v>
      </c>
      <c r="K2515" s="202">
        <f t="shared" si="39"/>
        <v>1287240</v>
      </c>
      <c r="L2515" s="202">
        <v>252.4</v>
      </c>
      <c r="N2515" s="202">
        <v>287925</v>
      </c>
      <c r="S2515" s="204"/>
      <c r="W2515" s="198" t="s">
        <v>51</v>
      </c>
      <c r="AE2515" s="198" t="s">
        <v>831</v>
      </c>
    </row>
    <row r="2516" spans="3:31" x14ac:dyDescent="0.25">
      <c r="C2516" s="201"/>
      <c r="E2516" s="201"/>
      <c r="F2516" s="201"/>
      <c r="I2516" s="198" t="s">
        <v>136</v>
      </c>
      <c r="J2516" s="198" t="s">
        <v>137</v>
      </c>
      <c r="K2516" s="202">
        <f t="shared" si="39"/>
        <v>1287750</v>
      </c>
      <c r="L2516" s="202">
        <v>252.5</v>
      </c>
      <c r="N2516" s="202">
        <v>189964.36</v>
      </c>
      <c r="S2516" s="204"/>
      <c r="W2516" s="198" t="s">
        <v>51</v>
      </c>
      <c r="AE2516" s="198" t="s">
        <v>844</v>
      </c>
    </row>
    <row r="2517" spans="3:31" x14ac:dyDescent="0.25">
      <c r="C2517" s="201"/>
      <c r="E2517" s="201"/>
      <c r="F2517" s="201"/>
      <c r="I2517" s="198" t="s">
        <v>122</v>
      </c>
      <c r="J2517" s="198" t="s">
        <v>126</v>
      </c>
      <c r="K2517" s="202">
        <f t="shared" si="39"/>
        <v>1288260</v>
      </c>
      <c r="L2517" s="202">
        <v>252.6</v>
      </c>
      <c r="N2517" s="202">
        <v>262348.5</v>
      </c>
      <c r="S2517" s="204"/>
      <c r="W2517" s="198" t="s">
        <v>51</v>
      </c>
      <c r="AE2517" s="198" t="s">
        <v>835</v>
      </c>
    </row>
    <row r="2518" spans="3:31" x14ac:dyDescent="0.25">
      <c r="C2518" s="201"/>
      <c r="E2518" s="201"/>
      <c r="F2518" s="201"/>
      <c r="I2518" s="198" t="s">
        <v>122</v>
      </c>
      <c r="J2518" s="198" t="s">
        <v>126</v>
      </c>
      <c r="K2518" s="202">
        <f t="shared" si="39"/>
        <v>1288770</v>
      </c>
      <c r="L2518" s="202">
        <v>252.7</v>
      </c>
      <c r="N2518" s="202">
        <v>135000</v>
      </c>
      <c r="S2518" s="204"/>
      <c r="W2518" s="198" t="s">
        <v>51</v>
      </c>
      <c r="AE2518" s="198" t="s">
        <v>835</v>
      </c>
    </row>
    <row r="2519" spans="3:31" x14ac:dyDescent="0.25">
      <c r="C2519" s="201"/>
      <c r="E2519" s="201"/>
      <c r="F2519" s="201"/>
      <c r="I2519" s="198" t="s">
        <v>131</v>
      </c>
      <c r="J2519" s="198" t="s">
        <v>132</v>
      </c>
      <c r="K2519" s="202">
        <f t="shared" si="39"/>
        <v>1289280</v>
      </c>
      <c r="L2519" s="202">
        <v>252.8</v>
      </c>
      <c r="N2519" s="202">
        <v>425185.5</v>
      </c>
      <c r="S2519" s="204"/>
      <c r="W2519" s="198" t="s">
        <v>51</v>
      </c>
      <c r="AE2519" s="198" t="s">
        <v>833</v>
      </c>
    </row>
    <row r="2520" spans="3:31" x14ac:dyDescent="0.25">
      <c r="C2520" s="201"/>
      <c r="E2520" s="201"/>
      <c r="F2520" s="201"/>
      <c r="I2520" s="198" t="s">
        <v>131</v>
      </c>
      <c r="J2520" s="198" t="s">
        <v>132</v>
      </c>
      <c r="K2520" s="202">
        <f t="shared" si="39"/>
        <v>1289790</v>
      </c>
      <c r="L2520" s="202">
        <v>252.9</v>
      </c>
      <c r="N2520" s="202">
        <v>243000</v>
      </c>
      <c r="S2520" s="204"/>
      <c r="W2520" s="198" t="s">
        <v>51</v>
      </c>
      <c r="AE2520" s="198" t="s">
        <v>833</v>
      </c>
    </row>
    <row r="2521" spans="3:31" x14ac:dyDescent="0.25">
      <c r="C2521" s="201"/>
      <c r="E2521" s="201"/>
      <c r="F2521" s="201"/>
      <c r="I2521" s="198" t="s">
        <v>215</v>
      </c>
      <c r="J2521" s="198" t="s">
        <v>89</v>
      </c>
      <c r="K2521" s="202">
        <f t="shared" si="39"/>
        <v>1290300</v>
      </c>
      <c r="L2521" s="202">
        <v>253</v>
      </c>
      <c r="N2521" s="202">
        <v>283432</v>
      </c>
      <c r="S2521" s="204"/>
      <c r="W2521" s="198" t="s">
        <v>51</v>
      </c>
      <c r="AE2521" s="198" t="s">
        <v>831</v>
      </c>
    </row>
    <row r="2522" spans="3:31" x14ac:dyDescent="0.25">
      <c r="C2522" s="201"/>
      <c r="E2522" s="201"/>
      <c r="F2522" s="201"/>
      <c r="I2522" s="198" t="s">
        <v>215</v>
      </c>
      <c r="J2522" s="198" t="s">
        <v>89</v>
      </c>
      <c r="K2522" s="202">
        <f t="shared" si="39"/>
        <v>1290810</v>
      </c>
      <c r="L2522" s="202">
        <v>253.1</v>
      </c>
      <c r="N2522" s="202">
        <v>354290</v>
      </c>
      <c r="S2522" s="204"/>
      <c r="W2522" s="198" t="s">
        <v>51</v>
      </c>
      <c r="AE2522" s="198" t="s">
        <v>831</v>
      </c>
    </row>
    <row r="2523" spans="3:31" x14ac:dyDescent="0.25">
      <c r="C2523" s="201"/>
      <c r="E2523" s="201"/>
      <c r="F2523" s="201"/>
      <c r="I2523" s="198" t="s">
        <v>566</v>
      </c>
      <c r="J2523" s="198" t="s">
        <v>117</v>
      </c>
      <c r="K2523" s="202">
        <f t="shared" si="39"/>
        <v>1291320</v>
      </c>
      <c r="L2523" s="202">
        <v>253.2</v>
      </c>
      <c r="N2523" s="202">
        <v>1157110</v>
      </c>
      <c r="S2523" s="204"/>
      <c r="W2523" s="198" t="s">
        <v>51</v>
      </c>
      <c r="AE2523" s="198" t="s">
        <v>878</v>
      </c>
    </row>
    <row r="2524" spans="3:31" x14ac:dyDescent="0.25">
      <c r="C2524" s="201"/>
      <c r="E2524" s="201"/>
      <c r="F2524" s="201"/>
      <c r="I2524" s="198" t="s">
        <v>566</v>
      </c>
      <c r="J2524" s="198" t="s">
        <v>117</v>
      </c>
      <c r="K2524" s="202">
        <f t="shared" si="39"/>
        <v>1291830</v>
      </c>
      <c r="L2524" s="202">
        <v>253.3</v>
      </c>
      <c r="N2524" s="202">
        <v>979553.84</v>
      </c>
      <c r="S2524" s="204"/>
      <c r="W2524" s="198" t="s">
        <v>51</v>
      </c>
      <c r="AE2524" s="198" t="s">
        <v>878</v>
      </c>
    </row>
    <row r="2525" spans="3:31" x14ac:dyDescent="0.25">
      <c r="C2525" s="201"/>
      <c r="E2525" s="201"/>
      <c r="F2525" s="201"/>
      <c r="I2525" s="198" t="s">
        <v>215</v>
      </c>
      <c r="J2525" s="198" t="s">
        <v>89</v>
      </c>
      <c r="K2525" s="202">
        <f t="shared" si="39"/>
        <v>1292340</v>
      </c>
      <c r="L2525" s="202">
        <v>253.4</v>
      </c>
      <c r="N2525" s="202">
        <v>354290</v>
      </c>
      <c r="S2525" s="204"/>
      <c r="W2525" s="198" t="s">
        <v>51</v>
      </c>
      <c r="AE2525" s="198" t="s">
        <v>831</v>
      </c>
    </row>
    <row r="2526" spans="3:31" x14ac:dyDescent="0.25">
      <c r="C2526" s="201"/>
      <c r="E2526" s="201"/>
      <c r="F2526" s="201"/>
      <c r="I2526" s="198" t="s">
        <v>843</v>
      </c>
      <c r="J2526" s="198" t="s">
        <v>137</v>
      </c>
      <c r="K2526" s="202">
        <f t="shared" si="39"/>
        <v>1292850</v>
      </c>
      <c r="L2526" s="202">
        <v>253.5</v>
      </c>
      <c r="N2526" s="202">
        <v>935983.96</v>
      </c>
      <c r="S2526" s="204"/>
      <c r="W2526" s="198" t="s">
        <v>51</v>
      </c>
      <c r="AE2526" s="198" t="s">
        <v>844</v>
      </c>
    </row>
    <row r="2527" spans="3:31" x14ac:dyDescent="0.25">
      <c r="C2527" s="201"/>
      <c r="E2527" s="201"/>
      <c r="F2527" s="201"/>
      <c r="I2527" s="198" t="s">
        <v>843</v>
      </c>
      <c r="J2527" s="198" t="s">
        <v>137</v>
      </c>
      <c r="K2527" s="202">
        <f t="shared" si="39"/>
        <v>1293360</v>
      </c>
      <c r="L2527" s="202">
        <v>253.6</v>
      </c>
      <c r="N2527" s="202">
        <v>1167954</v>
      </c>
      <c r="S2527" s="204"/>
      <c r="W2527" s="198" t="s">
        <v>51</v>
      </c>
      <c r="AE2527" s="198" t="s">
        <v>844</v>
      </c>
    </row>
    <row r="2528" spans="3:31" x14ac:dyDescent="0.25">
      <c r="C2528" s="201"/>
      <c r="E2528" s="201"/>
      <c r="F2528" s="201"/>
      <c r="I2528" s="198" t="s">
        <v>843</v>
      </c>
      <c r="J2528" s="198" t="s">
        <v>137</v>
      </c>
      <c r="K2528" s="202">
        <f t="shared" si="39"/>
        <v>1293870</v>
      </c>
      <c r="L2528" s="202">
        <v>253.7</v>
      </c>
      <c r="N2528" s="202">
        <v>1463363</v>
      </c>
      <c r="S2528" s="204"/>
      <c r="W2528" s="198" t="s">
        <v>51</v>
      </c>
      <c r="AE2528" s="198" t="s">
        <v>844</v>
      </c>
    </row>
    <row r="2529" spans="3:31" x14ac:dyDescent="0.25">
      <c r="C2529" s="201"/>
      <c r="E2529" s="201"/>
      <c r="F2529" s="201"/>
      <c r="I2529" s="198" t="s">
        <v>577</v>
      </c>
      <c r="J2529" s="198" t="s">
        <v>130</v>
      </c>
      <c r="K2529" s="202">
        <f t="shared" si="39"/>
        <v>1294380</v>
      </c>
      <c r="L2529" s="202">
        <v>253.8</v>
      </c>
      <c r="N2529" s="202">
        <v>1103855</v>
      </c>
      <c r="S2529" s="204"/>
      <c r="W2529" s="198" t="s">
        <v>51</v>
      </c>
      <c r="AE2529" s="198" t="s">
        <v>833</v>
      </c>
    </row>
    <row r="2530" spans="3:31" x14ac:dyDescent="0.25">
      <c r="C2530" s="201"/>
      <c r="E2530" s="201"/>
      <c r="F2530" s="201"/>
      <c r="I2530" s="198" t="s">
        <v>577</v>
      </c>
      <c r="J2530" s="198" t="s">
        <v>130</v>
      </c>
      <c r="K2530" s="202">
        <f t="shared" si="39"/>
        <v>1294890</v>
      </c>
      <c r="L2530" s="202">
        <v>253.9</v>
      </c>
      <c r="N2530" s="202">
        <v>1265284</v>
      </c>
      <c r="S2530" s="204"/>
      <c r="W2530" s="198" t="s">
        <v>51</v>
      </c>
      <c r="AE2530" s="198" t="s">
        <v>833</v>
      </c>
    </row>
    <row r="2531" spans="3:31" x14ac:dyDescent="0.25">
      <c r="C2531" s="201"/>
      <c r="E2531" s="201"/>
      <c r="F2531" s="201"/>
      <c r="I2531" s="198" t="s">
        <v>669</v>
      </c>
      <c r="J2531" s="198" t="s">
        <v>112</v>
      </c>
      <c r="K2531" s="202">
        <f t="shared" si="39"/>
        <v>1295400</v>
      </c>
      <c r="L2531" s="202">
        <v>254</v>
      </c>
      <c r="N2531" s="202">
        <v>115600.78</v>
      </c>
      <c r="S2531" s="203"/>
      <c r="W2531" s="198" t="s">
        <v>51</v>
      </c>
      <c r="AE2531" s="198" t="s">
        <v>831</v>
      </c>
    </row>
    <row r="2532" spans="3:31" x14ac:dyDescent="0.25">
      <c r="C2532" s="201"/>
      <c r="E2532" s="201"/>
      <c r="F2532" s="201"/>
      <c r="I2532" s="198" t="s">
        <v>77</v>
      </c>
      <c r="J2532" s="198" t="s">
        <v>65</v>
      </c>
      <c r="K2532" s="202">
        <f t="shared" si="39"/>
        <v>1295910</v>
      </c>
      <c r="L2532" s="202">
        <v>254.1</v>
      </c>
      <c r="N2532" s="202">
        <v>185647.08</v>
      </c>
      <c r="S2532" s="203"/>
      <c r="W2532" s="198" t="s">
        <v>51</v>
      </c>
      <c r="AE2532" s="198" t="s">
        <v>831</v>
      </c>
    </row>
    <row r="2533" spans="3:31" x14ac:dyDescent="0.25">
      <c r="C2533" s="201"/>
      <c r="E2533" s="201"/>
      <c r="F2533" s="201"/>
      <c r="I2533" s="198" t="s">
        <v>77</v>
      </c>
      <c r="J2533" s="198" t="s">
        <v>65</v>
      </c>
      <c r="K2533" s="202">
        <f t="shared" si="39"/>
        <v>1296420</v>
      </c>
      <c r="L2533" s="202">
        <v>254.2</v>
      </c>
      <c r="N2533" s="202">
        <v>489721.12</v>
      </c>
      <c r="S2533" s="203"/>
      <c r="W2533" s="198" t="s">
        <v>51</v>
      </c>
      <c r="AE2533" s="198" t="s">
        <v>831</v>
      </c>
    </row>
    <row r="2534" spans="3:31" x14ac:dyDescent="0.25">
      <c r="C2534" s="201"/>
      <c r="E2534" s="201"/>
      <c r="F2534" s="201"/>
      <c r="I2534" s="198" t="s">
        <v>77</v>
      </c>
      <c r="J2534" s="198" t="s">
        <v>65</v>
      </c>
      <c r="K2534" s="202">
        <f t="shared" si="39"/>
        <v>1296930</v>
      </c>
      <c r="L2534" s="202">
        <v>254.3</v>
      </c>
      <c r="N2534" s="202">
        <v>62039.66</v>
      </c>
      <c r="S2534" s="203"/>
      <c r="W2534" s="198" t="s">
        <v>51</v>
      </c>
      <c r="AE2534" s="198" t="s">
        <v>831</v>
      </c>
    </row>
    <row r="2535" spans="3:31" x14ac:dyDescent="0.25">
      <c r="C2535" s="201"/>
      <c r="E2535" s="201"/>
      <c r="F2535" s="201"/>
      <c r="I2535" s="198" t="s">
        <v>772</v>
      </c>
      <c r="J2535" s="198" t="s">
        <v>153</v>
      </c>
      <c r="K2535" s="202">
        <f t="shared" si="39"/>
        <v>1297440</v>
      </c>
      <c r="L2535" s="202">
        <v>254.4</v>
      </c>
      <c r="N2535" s="202">
        <v>149152542.25999999</v>
      </c>
      <c r="S2535" s="204"/>
      <c r="W2535" s="198" t="s">
        <v>51</v>
      </c>
      <c r="AE2535" s="198" t="s">
        <v>1768</v>
      </c>
    </row>
    <row r="2536" spans="3:31" x14ac:dyDescent="0.25">
      <c r="C2536" s="201"/>
      <c r="E2536" s="201"/>
      <c r="F2536" s="201"/>
      <c r="I2536" s="198" t="s">
        <v>768</v>
      </c>
      <c r="J2536" s="198" t="s">
        <v>143</v>
      </c>
      <c r="K2536" s="202">
        <f t="shared" si="39"/>
        <v>1297950</v>
      </c>
      <c r="L2536" s="202">
        <v>254.5</v>
      </c>
      <c r="N2536" s="202">
        <v>149576271.88</v>
      </c>
      <c r="S2536" s="204"/>
      <c r="W2536" s="198" t="s">
        <v>51</v>
      </c>
      <c r="AE2536" s="198" t="s">
        <v>829</v>
      </c>
    </row>
    <row r="2537" spans="3:31" x14ac:dyDescent="0.25">
      <c r="C2537" s="201"/>
      <c r="E2537" s="201"/>
      <c r="F2537" s="201"/>
      <c r="I2537" s="198" t="s">
        <v>773</v>
      </c>
      <c r="J2537" s="198" t="s">
        <v>193</v>
      </c>
      <c r="K2537" s="202">
        <f t="shared" si="39"/>
        <v>1298460</v>
      </c>
      <c r="L2537" s="202">
        <v>254.6</v>
      </c>
      <c r="N2537" s="202">
        <v>133474576.38</v>
      </c>
      <c r="S2537" s="204"/>
      <c r="W2537" s="198" t="s">
        <v>51</v>
      </c>
      <c r="AE2537" s="198" t="s">
        <v>830</v>
      </c>
    </row>
    <row r="2538" spans="3:31" x14ac:dyDescent="0.25">
      <c r="C2538" s="201"/>
      <c r="E2538" s="201"/>
      <c r="F2538" s="201"/>
      <c r="I2538" s="198" t="s">
        <v>776</v>
      </c>
      <c r="J2538" s="198" t="s">
        <v>148</v>
      </c>
      <c r="K2538" s="202">
        <f t="shared" si="39"/>
        <v>1298970</v>
      </c>
      <c r="L2538" s="202">
        <v>254.7</v>
      </c>
      <c r="N2538" s="202">
        <v>52966101.689999998</v>
      </c>
      <c r="S2538" s="204"/>
      <c r="W2538" s="198" t="s">
        <v>51</v>
      </c>
      <c r="AE2538" s="198" t="s">
        <v>828</v>
      </c>
    </row>
    <row r="2539" spans="3:31" x14ac:dyDescent="0.25">
      <c r="C2539" s="201"/>
      <c r="E2539" s="201"/>
      <c r="F2539" s="201"/>
      <c r="I2539" s="198" t="s">
        <v>775</v>
      </c>
      <c r="J2539" s="198" t="s">
        <v>274</v>
      </c>
      <c r="K2539" s="202">
        <f t="shared" si="39"/>
        <v>1299480</v>
      </c>
      <c r="L2539" s="202">
        <v>254.8</v>
      </c>
      <c r="N2539" s="202">
        <v>156779661</v>
      </c>
      <c r="S2539" s="204"/>
      <c r="W2539" s="198" t="s">
        <v>51</v>
      </c>
      <c r="AE2539" s="198" t="s">
        <v>1767</v>
      </c>
    </row>
    <row r="2540" spans="3:31" x14ac:dyDescent="0.25">
      <c r="C2540" s="201"/>
      <c r="E2540" s="201"/>
      <c r="F2540" s="201"/>
      <c r="I2540" s="198" t="s">
        <v>777</v>
      </c>
      <c r="J2540" s="198" t="s">
        <v>156</v>
      </c>
      <c r="K2540" s="202">
        <f t="shared" si="39"/>
        <v>1299990</v>
      </c>
      <c r="L2540" s="202">
        <v>254.9</v>
      </c>
      <c r="N2540" s="202">
        <v>74152542.400000006</v>
      </c>
      <c r="S2540" s="204"/>
      <c r="W2540" s="198" t="s">
        <v>51</v>
      </c>
      <c r="AE2540" s="198" t="s">
        <v>828</v>
      </c>
    </row>
    <row r="2541" spans="3:31" x14ac:dyDescent="0.25">
      <c r="C2541" s="201"/>
      <c r="E2541" s="201"/>
      <c r="F2541" s="201"/>
      <c r="I2541" s="198" t="s">
        <v>135</v>
      </c>
      <c r="J2541" s="198" t="s">
        <v>117</v>
      </c>
      <c r="K2541" s="202">
        <f t="shared" si="39"/>
        <v>1300500</v>
      </c>
      <c r="L2541" s="202">
        <v>255</v>
      </c>
      <c r="N2541" s="202">
        <v>10760.16</v>
      </c>
      <c r="S2541" s="204"/>
      <c r="W2541" s="198" t="s">
        <v>51</v>
      </c>
      <c r="AE2541" s="198" t="s">
        <v>878</v>
      </c>
    </row>
    <row r="2542" spans="3:31" x14ac:dyDescent="0.25">
      <c r="C2542" s="201"/>
      <c r="E2542" s="201"/>
      <c r="F2542" s="201"/>
      <c r="I2542" s="198" t="s">
        <v>135</v>
      </c>
      <c r="J2542" s="198" t="s">
        <v>117</v>
      </c>
      <c r="K2542" s="202">
        <f t="shared" si="39"/>
        <v>1301010</v>
      </c>
      <c r="L2542" s="202">
        <v>255.1</v>
      </c>
      <c r="N2542" s="202">
        <v>23375.52</v>
      </c>
      <c r="S2542" s="204"/>
      <c r="W2542" s="198" t="s">
        <v>51</v>
      </c>
      <c r="AE2542" s="198" t="s">
        <v>878</v>
      </c>
    </row>
    <row r="2543" spans="3:31" x14ac:dyDescent="0.25">
      <c r="C2543" s="201"/>
      <c r="E2543" s="201"/>
      <c r="F2543" s="201"/>
      <c r="I2543" s="198" t="s">
        <v>135</v>
      </c>
      <c r="J2543" s="198" t="s">
        <v>117</v>
      </c>
      <c r="K2543" s="202">
        <f t="shared" si="39"/>
        <v>1301520</v>
      </c>
      <c r="L2543" s="202">
        <v>255.2</v>
      </c>
      <c r="N2543" s="202">
        <v>6029.4</v>
      </c>
      <c r="S2543" s="204"/>
      <c r="W2543" s="198" t="s">
        <v>51</v>
      </c>
      <c r="AE2543" s="198" t="s">
        <v>878</v>
      </c>
    </row>
    <row r="2544" spans="3:31" x14ac:dyDescent="0.25">
      <c r="C2544" s="201"/>
      <c r="E2544" s="201"/>
      <c r="F2544" s="201"/>
      <c r="I2544" s="198" t="s">
        <v>135</v>
      </c>
      <c r="J2544" s="198" t="s">
        <v>117</v>
      </c>
      <c r="K2544" s="202">
        <f t="shared" si="39"/>
        <v>1302030</v>
      </c>
      <c r="L2544" s="202">
        <v>255.3</v>
      </c>
      <c r="N2544" s="202">
        <v>7012.44</v>
      </c>
      <c r="S2544" s="204"/>
      <c r="W2544" s="198" t="s">
        <v>51</v>
      </c>
      <c r="AE2544" s="198" t="s">
        <v>878</v>
      </c>
    </row>
    <row r="2545" spans="3:31" x14ac:dyDescent="0.25">
      <c r="C2545" s="201"/>
      <c r="E2545" s="201"/>
      <c r="F2545" s="201"/>
      <c r="I2545" s="198" t="s">
        <v>220</v>
      </c>
      <c r="J2545" s="198" t="s">
        <v>95</v>
      </c>
      <c r="K2545" s="202">
        <f t="shared" si="39"/>
        <v>1302540</v>
      </c>
      <c r="L2545" s="202">
        <v>255.4</v>
      </c>
      <c r="N2545" s="202">
        <v>655578</v>
      </c>
      <c r="S2545" s="203"/>
      <c r="W2545" s="198" t="s">
        <v>51</v>
      </c>
      <c r="AE2545" s="198" t="s">
        <v>831</v>
      </c>
    </row>
    <row r="2546" spans="3:31" x14ac:dyDescent="0.25">
      <c r="C2546" s="201"/>
      <c r="E2546" s="201"/>
      <c r="F2546" s="201"/>
      <c r="I2546" s="198" t="s">
        <v>229</v>
      </c>
      <c r="J2546" s="198" t="s">
        <v>95</v>
      </c>
      <c r="K2546" s="202">
        <f t="shared" si="39"/>
        <v>1303050</v>
      </c>
      <c r="L2546" s="202">
        <v>255.5</v>
      </c>
      <c r="N2546" s="202">
        <v>379856.4</v>
      </c>
      <c r="S2546" s="203"/>
      <c r="W2546" s="198" t="s">
        <v>51</v>
      </c>
      <c r="AE2546" s="198" t="s">
        <v>831</v>
      </c>
    </row>
    <row r="2547" spans="3:31" x14ac:dyDescent="0.25">
      <c r="C2547" s="201"/>
      <c r="E2547" s="201"/>
      <c r="F2547" s="201"/>
      <c r="I2547" s="198" t="s">
        <v>219</v>
      </c>
      <c r="J2547" s="198" t="s">
        <v>95</v>
      </c>
      <c r="K2547" s="202">
        <f t="shared" si="39"/>
        <v>1303560</v>
      </c>
      <c r="L2547" s="202">
        <v>255.6</v>
      </c>
      <c r="N2547" s="202">
        <v>3773616</v>
      </c>
      <c r="S2547" s="203"/>
      <c r="W2547" s="198" t="s">
        <v>51</v>
      </c>
      <c r="AE2547" s="198" t="s">
        <v>831</v>
      </c>
    </row>
    <row r="2548" spans="3:31" x14ac:dyDescent="0.25">
      <c r="C2548" s="201"/>
      <c r="E2548" s="201"/>
      <c r="F2548" s="201"/>
      <c r="I2548" s="198" t="s">
        <v>759</v>
      </c>
      <c r="J2548" s="198" t="s">
        <v>148</v>
      </c>
      <c r="K2548" s="202">
        <f t="shared" si="39"/>
        <v>1304070</v>
      </c>
      <c r="L2548" s="202">
        <v>255.7</v>
      </c>
      <c r="N2548" s="202">
        <v>94562.84</v>
      </c>
      <c r="S2548" s="203"/>
      <c r="W2548" s="198" t="s">
        <v>51</v>
      </c>
      <c r="AE2548" s="198" t="s">
        <v>828</v>
      </c>
    </row>
    <row r="2549" spans="3:31" x14ac:dyDescent="0.25">
      <c r="C2549" s="201"/>
      <c r="E2549" s="201"/>
      <c r="F2549" s="201"/>
      <c r="I2549" s="198" t="s">
        <v>761</v>
      </c>
      <c r="J2549" s="198" t="s">
        <v>156</v>
      </c>
      <c r="K2549" s="202">
        <f t="shared" si="39"/>
        <v>1304580</v>
      </c>
      <c r="L2549" s="202">
        <v>255.8</v>
      </c>
      <c r="N2549" s="202">
        <v>96007.16</v>
      </c>
      <c r="S2549" s="203"/>
      <c r="W2549" s="198" t="s">
        <v>51</v>
      </c>
      <c r="AE2549" s="198" t="s">
        <v>828</v>
      </c>
    </row>
    <row r="2550" spans="3:31" x14ac:dyDescent="0.25">
      <c r="C2550" s="201"/>
      <c r="E2550" s="201"/>
      <c r="F2550" s="201"/>
      <c r="I2550" s="198" t="s">
        <v>763</v>
      </c>
      <c r="J2550" s="198" t="s">
        <v>143</v>
      </c>
      <c r="K2550" s="202">
        <f t="shared" si="39"/>
        <v>1305090</v>
      </c>
      <c r="L2550" s="202">
        <v>255.9</v>
      </c>
      <c r="N2550" s="202">
        <v>143288.57999999999</v>
      </c>
      <c r="S2550" s="203"/>
      <c r="W2550" s="198" t="s">
        <v>51</v>
      </c>
      <c r="AE2550" s="198" t="s">
        <v>829</v>
      </c>
    </row>
    <row r="2551" spans="3:31" x14ac:dyDescent="0.25">
      <c r="C2551" s="201"/>
      <c r="E2551" s="201"/>
      <c r="F2551" s="201"/>
      <c r="I2551" s="198" t="s">
        <v>763</v>
      </c>
      <c r="J2551" s="198" t="s">
        <v>143</v>
      </c>
      <c r="K2551" s="202">
        <f t="shared" si="39"/>
        <v>1305600</v>
      </c>
      <c r="L2551" s="202">
        <v>256</v>
      </c>
      <c r="N2551" s="202">
        <v>84577.68</v>
      </c>
      <c r="S2551" s="203"/>
      <c r="W2551" s="198" t="s">
        <v>51</v>
      </c>
      <c r="AE2551" s="198" t="s">
        <v>829</v>
      </c>
    </row>
    <row r="2552" spans="3:31" x14ac:dyDescent="0.25">
      <c r="C2552" s="201"/>
      <c r="E2552" s="201"/>
      <c r="F2552" s="201"/>
      <c r="I2552" s="198" t="s">
        <v>740</v>
      </c>
      <c r="J2552" s="198" t="s">
        <v>153</v>
      </c>
      <c r="K2552" s="202">
        <f t="shared" si="39"/>
        <v>1306110</v>
      </c>
      <c r="L2552" s="202">
        <v>256.10000000000002</v>
      </c>
      <c r="N2552" s="202">
        <v>1308461.3999999999</v>
      </c>
      <c r="S2552" s="203"/>
      <c r="W2552" s="198" t="s">
        <v>51</v>
      </c>
      <c r="AE2552" s="198" t="s">
        <v>1768</v>
      </c>
    </row>
    <row r="2553" spans="3:31" x14ac:dyDescent="0.25">
      <c r="C2553" s="201"/>
      <c r="E2553" s="201"/>
      <c r="F2553" s="201"/>
      <c r="I2553" s="198" t="s">
        <v>239</v>
      </c>
      <c r="J2553" s="198" t="s">
        <v>148</v>
      </c>
      <c r="K2553" s="202">
        <f t="shared" si="39"/>
        <v>1306620</v>
      </c>
      <c r="L2553" s="202">
        <v>256.2</v>
      </c>
      <c r="N2553" s="202">
        <v>1723846.5</v>
      </c>
      <c r="S2553" s="203"/>
      <c r="W2553" s="198" t="s">
        <v>51</v>
      </c>
      <c r="AE2553" s="198" t="s">
        <v>828</v>
      </c>
    </row>
    <row r="2554" spans="3:31" x14ac:dyDescent="0.25">
      <c r="C2554" s="201"/>
      <c r="E2554" s="201"/>
      <c r="F2554" s="201"/>
      <c r="I2554" s="198" t="s">
        <v>786</v>
      </c>
      <c r="J2554" s="198" t="s">
        <v>143</v>
      </c>
      <c r="K2554" s="202">
        <f t="shared" si="39"/>
        <v>1307130</v>
      </c>
      <c r="L2554" s="202">
        <v>256.3</v>
      </c>
      <c r="N2554" s="202">
        <v>65000</v>
      </c>
      <c r="S2554" s="204"/>
      <c r="W2554" s="198" t="s">
        <v>51</v>
      </c>
      <c r="AE2554" s="198" t="s">
        <v>829</v>
      </c>
    </row>
    <row r="2555" spans="3:31" x14ac:dyDescent="0.25">
      <c r="C2555" s="201"/>
      <c r="E2555" s="201"/>
      <c r="F2555" s="201"/>
      <c r="I2555" s="198" t="s">
        <v>532</v>
      </c>
      <c r="J2555" s="198" t="s">
        <v>137</v>
      </c>
      <c r="K2555" s="202">
        <f t="shared" si="39"/>
        <v>1307640</v>
      </c>
      <c r="L2555" s="202">
        <v>256.39999999999998</v>
      </c>
      <c r="N2555" s="202">
        <v>252950.56</v>
      </c>
      <c r="S2555" s="204"/>
      <c r="W2555" s="198" t="s">
        <v>51</v>
      </c>
      <c r="AE2555" s="198" t="s">
        <v>844</v>
      </c>
    </row>
    <row r="2556" spans="3:31" x14ac:dyDescent="0.25">
      <c r="C2556" s="201"/>
      <c r="E2556" s="201"/>
      <c r="F2556" s="201"/>
      <c r="I2556" s="198" t="s">
        <v>531</v>
      </c>
      <c r="J2556" s="198" t="s">
        <v>117</v>
      </c>
      <c r="K2556" s="202">
        <f t="shared" si="39"/>
        <v>1308150</v>
      </c>
      <c r="L2556" s="202">
        <v>256.5</v>
      </c>
      <c r="N2556" s="202">
        <v>93129.18</v>
      </c>
      <c r="S2556" s="204"/>
      <c r="W2556" s="198" t="s">
        <v>51</v>
      </c>
      <c r="AE2556" s="198" t="s">
        <v>878</v>
      </c>
    </row>
    <row r="2557" spans="3:31" x14ac:dyDescent="0.25">
      <c r="C2557" s="201"/>
      <c r="E2557" s="201"/>
      <c r="F2557" s="201"/>
      <c r="I2557" s="198" t="s">
        <v>784</v>
      </c>
      <c r="J2557" s="198" t="s">
        <v>153</v>
      </c>
      <c r="K2557" s="202">
        <f t="shared" si="39"/>
        <v>1308660</v>
      </c>
      <c r="L2557" s="202">
        <v>256.60000000000002</v>
      </c>
      <c r="N2557" s="202">
        <v>180000</v>
      </c>
      <c r="S2557" s="204"/>
      <c r="W2557" s="198" t="s">
        <v>51</v>
      </c>
      <c r="AE2557" s="198" t="s">
        <v>1768</v>
      </c>
    </row>
    <row r="2558" spans="3:31" x14ac:dyDescent="0.25">
      <c r="C2558" s="201"/>
      <c r="E2558" s="201"/>
      <c r="F2558" s="201"/>
      <c r="I2558" s="198" t="s">
        <v>784</v>
      </c>
      <c r="J2558" s="198" t="s">
        <v>153</v>
      </c>
      <c r="K2558" s="202">
        <f t="shared" si="39"/>
        <v>1309170</v>
      </c>
      <c r="L2558" s="202">
        <v>256.7</v>
      </c>
      <c r="N2558" s="202">
        <v>170000</v>
      </c>
      <c r="S2558" s="204"/>
      <c r="W2558" s="198" t="s">
        <v>51</v>
      </c>
      <c r="AE2558" s="198" t="s">
        <v>1768</v>
      </c>
    </row>
    <row r="2559" spans="3:31" x14ac:dyDescent="0.25">
      <c r="C2559" s="201"/>
      <c r="E2559" s="201"/>
      <c r="F2559" s="201"/>
      <c r="I2559" s="198" t="s">
        <v>784</v>
      </c>
      <c r="J2559" s="198" t="s">
        <v>153</v>
      </c>
      <c r="K2559" s="202">
        <f t="shared" si="39"/>
        <v>1309680</v>
      </c>
      <c r="L2559" s="202">
        <v>256.8</v>
      </c>
      <c r="N2559" s="202">
        <v>4000</v>
      </c>
      <c r="S2559" s="204"/>
      <c r="W2559" s="198" t="s">
        <v>51</v>
      </c>
      <c r="AE2559" s="198" t="s">
        <v>1768</v>
      </c>
    </row>
    <row r="2560" spans="3:31" x14ac:dyDescent="0.25">
      <c r="C2560" s="201"/>
      <c r="E2560" s="201"/>
      <c r="F2560" s="201"/>
      <c r="I2560" s="198" t="s">
        <v>783</v>
      </c>
      <c r="J2560" s="198" t="s">
        <v>148</v>
      </c>
      <c r="K2560" s="202">
        <f t="shared" si="39"/>
        <v>1310190</v>
      </c>
      <c r="L2560" s="202">
        <v>256.89999999999998</v>
      </c>
      <c r="N2560" s="202">
        <v>93420</v>
      </c>
      <c r="S2560" s="203"/>
      <c r="W2560" s="198" t="s">
        <v>51</v>
      </c>
      <c r="AE2560" s="198" t="s">
        <v>828</v>
      </c>
    </row>
    <row r="2561" spans="3:31" x14ac:dyDescent="0.25">
      <c r="C2561" s="201"/>
      <c r="E2561" s="201"/>
      <c r="F2561" s="201"/>
      <c r="I2561" s="198" t="s">
        <v>783</v>
      </c>
      <c r="J2561" s="198" t="s">
        <v>148</v>
      </c>
      <c r="K2561" s="202">
        <f t="shared" si="39"/>
        <v>1310700</v>
      </c>
      <c r="L2561" s="202">
        <v>257</v>
      </c>
      <c r="N2561" s="202">
        <v>88230</v>
      </c>
      <c r="S2561" s="203"/>
      <c r="W2561" s="198" t="s">
        <v>51</v>
      </c>
      <c r="AE2561" s="198" t="s">
        <v>828</v>
      </c>
    </row>
    <row r="2562" spans="3:31" x14ac:dyDescent="0.25">
      <c r="C2562" s="201"/>
      <c r="E2562" s="201"/>
      <c r="F2562" s="201"/>
      <c r="I2562" s="198" t="s">
        <v>783</v>
      </c>
      <c r="J2562" s="198" t="s">
        <v>148</v>
      </c>
      <c r="K2562" s="202">
        <f t="shared" si="39"/>
        <v>1311210</v>
      </c>
      <c r="L2562" s="202">
        <v>257.10000000000002</v>
      </c>
      <c r="N2562" s="202">
        <v>2076</v>
      </c>
      <c r="S2562" s="203"/>
      <c r="W2562" s="198" t="s">
        <v>51</v>
      </c>
      <c r="AE2562" s="198" t="s">
        <v>828</v>
      </c>
    </row>
    <row r="2563" spans="3:31" x14ac:dyDescent="0.25">
      <c r="C2563" s="201"/>
      <c r="E2563" s="201"/>
      <c r="F2563" s="201"/>
      <c r="I2563" s="198" t="s">
        <v>202</v>
      </c>
      <c r="J2563" s="198" t="s">
        <v>65</v>
      </c>
      <c r="K2563" s="202">
        <f t="shared" ref="K2563:K2626" si="40">L2563*5100</f>
        <v>1311720</v>
      </c>
      <c r="L2563" s="202">
        <v>257.2</v>
      </c>
      <c r="N2563" s="202">
        <v>6080625</v>
      </c>
      <c r="S2563" s="204"/>
      <c r="W2563" s="198" t="s">
        <v>51</v>
      </c>
      <c r="AE2563" s="198" t="s">
        <v>831</v>
      </c>
    </row>
    <row r="2564" spans="3:31" x14ac:dyDescent="0.25">
      <c r="C2564" s="201"/>
      <c r="E2564" s="201"/>
      <c r="F2564" s="201"/>
      <c r="I2564" s="198" t="s">
        <v>202</v>
      </c>
      <c r="J2564" s="198" t="s">
        <v>65</v>
      </c>
      <c r="K2564" s="202">
        <f t="shared" si="40"/>
        <v>1312230</v>
      </c>
      <c r="L2564" s="202">
        <v>257.3</v>
      </c>
      <c r="N2564" s="202">
        <v>3185676</v>
      </c>
      <c r="S2564" s="203"/>
      <c r="W2564" s="198" t="s">
        <v>51</v>
      </c>
      <c r="AE2564" s="198" t="s">
        <v>831</v>
      </c>
    </row>
    <row r="2565" spans="3:31" x14ac:dyDescent="0.25">
      <c r="C2565" s="201"/>
      <c r="E2565" s="201"/>
      <c r="F2565" s="201"/>
      <c r="I2565" s="198" t="s">
        <v>202</v>
      </c>
      <c r="J2565" s="198" t="s">
        <v>65</v>
      </c>
      <c r="K2565" s="202">
        <f t="shared" si="40"/>
        <v>1312740</v>
      </c>
      <c r="L2565" s="202">
        <v>257.39999999999998</v>
      </c>
      <c r="N2565" s="202">
        <v>2123784</v>
      </c>
      <c r="S2565" s="203"/>
      <c r="W2565" s="198" t="s">
        <v>51</v>
      </c>
      <c r="AE2565" s="198" t="s">
        <v>831</v>
      </c>
    </row>
    <row r="2566" spans="3:31" x14ac:dyDescent="0.25">
      <c r="C2566" s="201"/>
      <c r="E2566" s="201"/>
      <c r="F2566" s="201"/>
      <c r="I2566" s="198" t="s">
        <v>202</v>
      </c>
      <c r="J2566" s="198" t="s">
        <v>65</v>
      </c>
      <c r="K2566" s="202">
        <f t="shared" si="40"/>
        <v>1313250</v>
      </c>
      <c r="L2566" s="202">
        <v>257.5</v>
      </c>
      <c r="N2566" s="202">
        <v>1717916.56</v>
      </c>
      <c r="S2566" s="203"/>
      <c r="W2566" s="198" t="s">
        <v>51</v>
      </c>
      <c r="AE2566" s="198" t="s">
        <v>831</v>
      </c>
    </row>
    <row r="2567" spans="3:31" x14ac:dyDescent="0.25">
      <c r="C2567" s="201"/>
      <c r="E2567" s="201"/>
      <c r="F2567" s="201"/>
      <c r="I2567" s="198" t="s">
        <v>202</v>
      </c>
      <c r="J2567" s="198" t="s">
        <v>65</v>
      </c>
      <c r="K2567" s="202">
        <f t="shared" si="40"/>
        <v>1313760</v>
      </c>
      <c r="L2567" s="202">
        <v>257.60000000000002</v>
      </c>
      <c r="N2567" s="202">
        <v>965171.35</v>
      </c>
      <c r="S2567" s="203"/>
      <c r="W2567" s="198" t="s">
        <v>51</v>
      </c>
      <c r="AE2567" s="198" t="s">
        <v>831</v>
      </c>
    </row>
    <row r="2568" spans="3:31" x14ac:dyDescent="0.25">
      <c r="C2568" s="201"/>
      <c r="E2568" s="201"/>
      <c r="F2568" s="201"/>
      <c r="I2568" s="198" t="s">
        <v>202</v>
      </c>
      <c r="J2568" s="198" t="s">
        <v>65</v>
      </c>
      <c r="K2568" s="202">
        <f t="shared" si="40"/>
        <v>1314270</v>
      </c>
      <c r="L2568" s="202">
        <v>257.7</v>
      </c>
      <c r="N2568" s="202">
        <v>1062784</v>
      </c>
      <c r="S2568" s="203"/>
      <c r="W2568" s="198" t="s">
        <v>51</v>
      </c>
      <c r="AE2568" s="198" t="s">
        <v>831</v>
      </c>
    </row>
    <row r="2569" spans="3:31" x14ac:dyDescent="0.25">
      <c r="C2569" s="201"/>
      <c r="E2569" s="201"/>
      <c r="F2569" s="201"/>
      <c r="I2569" s="198" t="s">
        <v>202</v>
      </c>
      <c r="J2569" s="198" t="s">
        <v>65</v>
      </c>
      <c r="K2569" s="202">
        <f t="shared" si="40"/>
        <v>1314780</v>
      </c>
      <c r="L2569" s="202">
        <v>257.8</v>
      </c>
      <c r="N2569" s="202">
        <v>864000</v>
      </c>
      <c r="S2569" s="204"/>
      <c r="W2569" s="198" t="s">
        <v>51</v>
      </c>
      <c r="AE2569" s="198" t="s">
        <v>831</v>
      </c>
    </row>
    <row r="2570" spans="3:31" x14ac:dyDescent="0.25">
      <c r="C2570" s="201"/>
      <c r="E2570" s="201"/>
      <c r="F2570" s="201"/>
      <c r="I2570" s="198" t="s">
        <v>202</v>
      </c>
      <c r="J2570" s="198" t="s">
        <v>65</v>
      </c>
      <c r="K2570" s="202">
        <f t="shared" si="40"/>
        <v>1315290</v>
      </c>
      <c r="L2570" s="202">
        <v>257.89999999999998</v>
      </c>
      <c r="N2570" s="202">
        <v>80000</v>
      </c>
      <c r="S2570" s="204"/>
      <c r="W2570" s="198" t="s">
        <v>51</v>
      </c>
      <c r="AE2570" s="198" t="s">
        <v>831</v>
      </c>
    </row>
    <row r="2571" spans="3:31" x14ac:dyDescent="0.25">
      <c r="C2571" s="201"/>
      <c r="E2571" s="201"/>
      <c r="F2571" s="201"/>
      <c r="I2571" s="198" t="s">
        <v>202</v>
      </c>
      <c r="J2571" s="198" t="s">
        <v>65</v>
      </c>
      <c r="K2571" s="202">
        <f t="shared" si="40"/>
        <v>1315800</v>
      </c>
      <c r="L2571" s="202">
        <v>258</v>
      </c>
      <c r="N2571" s="202">
        <v>110000</v>
      </c>
      <c r="S2571" s="204"/>
      <c r="W2571" s="198" t="s">
        <v>51</v>
      </c>
      <c r="AE2571" s="198" t="s">
        <v>831</v>
      </c>
    </row>
    <row r="2572" spans="3:31" x14ac:dyDescent="0.25">
      <c r="C2572" s="201"/>
      <c r="E2572" s="201"/>
      <c r="F2572" s="201"/>
      <c r="I2572" s="198" t="s">
        <v>181</v>
      </c>
      <c r="J2572" s="198" t="s">
        <v>65</v>
      </c>
      <c r="K2572" s="202">
        <f t="shared" si="40"/>
        <v>1316310</v>
      </c>
      <c r="L2572" s="202">
        <v>258.10000000000002</v>
      </c>
      <c r="N2572" s="202">
        <v>1155750</v>
      </c>
      <c r="S2572" s="204"/>
      <c r="W2572" s="198" t="s">
        <v>51</v>
      </c>
      <c r="AE2572" s="198" t="s">
        <v>831</v>
      </c>
    </row>
    <row r="2573" spans="3:31" x14ac:dyDescent="0.25">
      <c r="C2573" s="201"/>
      <c r="E2573" s="201"/>
      <c r="F2573" s="201"/>
      <c r="I2573" s="198" t="s">
        <v>181</v>
      </c>
      <c r="J2573" s="198" t="s">
        <v>65</v>
      </c>
      <c r="K2573" s="202">
        <f t="shared" si="40"/>
        <v>1316820</v>
      </c>
      <c r="L2573" s="202">
        <v>258.2</v>
      </c>
      <c r="N2573" s="202">
        <v>1059043.97</v>
      </c>
      <c r="S2573" s="203"/>
      <c r="W2573" s="198" t="s">
        <v>51</v>
      </c>
      <c r="AE2573" s="198" t="s">
        <v>831</v>
      </c>
    </row>
    <row r="2574" spans="3:31" x14ac:dyDescent="0.25">
      <c r="C2574" s="201"/>
      <c r="E2574" s="201"/>
      <c r="F2574" s="201"/>
      <c r="I2574" s="198" t="s">
        <v>181</v>
      </c>
      <c r="J2574" s="198" t="s">
        <v>65</v>
      </c>
      <c r="K2574" s="202">
        <f t="shared" si="40"/>
        <v>1317330</v>
      </c>
      <c r="L2574" s="202">
        <v>258.3</v>
      </c>
      <c r="N2574" s="202">
        <v>381326.4</v>
      </c>
      <c r="S2574" s="203"/>
      <c r="W2574" s="198" t="s">
        <v>51</v>
      </c>
      <c r="AE2574" s="198" t="s">
        <v>831</v>
      </c>
    </row>
    <row r="2575" spans="3:31" x14ac:dyDescent="0.25">
      <c r="C2575" s="201"/>
      <c r="E2575" s="201"/>
      <c r="F2575" s="201"/>
      <c r="I2575" s="198" t="s">
        <v>181</v>
      </c>
      <c r="J2575" s="198" t="s">
        <v>65</v>
      </c>
      <c r="K2575" s="202">
        <f t="shared" si="40"/>
        <v>1317840</v>
      </c>
      <c r="L2575" s="202">
        <v>258.39999999999998</v>
      </c>
      <c r="N2575" s="202">
        <v>254217.60000000001</v>
      </c>
      <c r="S2575" s="203"/>
      <c r="W2575" s="198" t="s">
        <v>51</v>
      </c>
      <c r="AE2575" s="198" t="s">
        <v>831</v>
      </c>
    </row>
    <row r="2576" spans="3:31" x14ac:dyDescent="0.25">
      <c r="C2576" s="201"/>
      <c r="E2576" s="201"/>
      <c r="F2576" s="201"/>
      <c r="I2576" s="198" t="s">
        <v>181</v>
      </c>
      <c r="J2576" s="198" t="s">
        <v>65</v>
      </c>
      <c r="K2576" s="202">
        <f t="shared" si="40"/>
        <v>1318350</v>
      </c>
      <c r="L2576" s="202">
        <v>258.5</v>
      </c>
      <c r="N2576" s="202">
        <v>273375</v>
      </c>
      <c r="S2576" s="204"/>
      <c r="W2576" s="198" t="s">
        <v>51</v>
      </c>
      <c r="AE2576" s="198" t="s">
        <v>831</v>
      </c>
    </row>
    <row r="2577" spans="3:31" x14ac:dyDescent="0.25">
      <c r="C2577" s="201"/>
      <c r="E2577" s="201"/>
      <c r="F2577" s="201"/>
      <c r="I2577" s="198" t="s">
        <v>203</v>
      </c>
      <c r="J2577" s="198" t="s">
        <v>65</v>
      </c>
      <c r="K2577" s="202">
        <f t="shared" si="40"/>
        <v>1318860</v>
      </c>
      <c r="L2577" s="202">
        <v>258.60000000000002</v>
      </c>
      <c r="N2577" s="202">
        <v>382375</v>
      </c>
      <c r="S2577" s="204"/>
      <c r="W2577" s="198" t="s">
        <v>51</v>
      </c>
      <c r="AE2577" s="198" t="s">
        <v>831</v>
      </c>
    </row>
    <row r="2578" spans="3:31" x14ac:dyDescent="0.25">
      <c r="C2578" s="201"/>
      <c r="E2578" s="201"/>
      <c r="F2578" s="201"/>
      <c r="I2578" s="198" t="s">
        <v>203</v>
      </c>
      <c r="J2578" s="198" t="s">
        <v>65</v>
      </c>
      <c r="K2578" s="202">
        <f t="shared" si="40"/>
        <v>1319370</v>
      </c>
      <c r="L2578" s="202">
        <v>258.7</v>
      </c>
      <c r="N2578" s="202">
        <v>252451.44</v>
      </c>
      <c r="S2578" s="203"/>
      <c r="W2578" s="198" t="s">
        <v>51</v>
      </c>
      <c r="AE2578" s="198" t="s">
        <v>831</v>
      </c>
    </row>
    <row r="2579" spans="3:31" x14ac:dyDescent="0.25">
      <c r="C2579" s="201"/>
      <c r="E2579" s="201"/>
      <c r="F2579" s="201"/>
      <c r="I2579" s="198" t="s">
        <v>203</v>
      </c>
      <c r="J2579" s="198" t="s">
        <v>65</v>
      </c>
      <c r="K2579" s="202">
        <f t="shared" si="40"/>
        <v>1319880</v>
      </c>
      <c r="L2579" s="202">
        <v>258.8</v>
      </c>
      <c r="N2579" s="202">
        <v>124488</v>
      </c>
      <c r="S2579" s="203"/>
      <c r="W2579" s="198" t="s">
        <v>51</v>
      </c>
      <c r="AE2579" s="198" t="s">
        <v>831</v>
      </c>
    </row>
    <row r="2580" spans="3:31" x14ac:dyDescent="0.25">
      <c r="C2580" s="201"/>
      <c r="E2580" s="201"/>
      <c r="F2580" s="201"/>
      <c r="I2580" s="198" t="s">
        <v>203</v>
      </c>
      <c r="J2580" s="198" t="s">
        <v>65</v>
      </c>
      <c r="K2580" s="202">
        <f t="shared" si="40"/>
        <v>1320390</v>
      </c>
      <c r="L2580" s="202">
        <v>258.89999999999998</v>
      </c>
      <c r="N2580" s="202">
        <v>82992</v>
      </c>
      <c r="S2580" s="203"/>
      <c r="W2580" s="198" t="s">
        <v>51</v>
      </c>
      <c r="AE2580" s="198" t="s">
        <v>831</v>
      </c>
    </row>
    <row r="2581" spans="3:31" x14ac:dyDescent="0.25">
      <c r="C2581" s="201"/>
      <c r="E2581" s="201"/>
      <c r="F2581" s="201"/>
      <c r="I2581" s="198" t="s">
        <v>203</v>
      </c>
      <c r="J2581" s="198" t="s">
        <v>65</v>
      </c>
      <c r="K2581" s="202">
        <f t="shared" si="40"/>
        <v>1320900</v>
      </c>
      <c r="L2581" s="202">
        <v>259</v>
      </c>
      <c r="N2581" s="202">
        <v>26250</v>
      </c>
      <c r="S2581" s="204"/>
      <c r="W2581" s="198" t="s">
        <v>51</v>
      </c>
      <c r="AE2581" s="198" t="s">
        <v>831</v>
      </c>
    </row>
    <row r="2582" spans="3:31" x14ac:dyDescent="0.25">
      <c r="C2582" s="201"/>
      <c r="E2582" s="201"/>
      <c r="F2582" s="201"/>
      <c r="I2582" s="198" t="s">
        <v>720</v>
      </c>
      <c r="J2582" s="198" t="s">
        <v>65</v>
      </c>
      <c r="K2582" s="202">
        <f t="shared" si="40"/>
        <v>1321410</v>
      </c>
      <c r="L2582" s="202">
        <v>259.10000000000002</v>
      </c>
      <c r="N2582" s="202">
        <v>149500</v>
      </c>
      <c r="S2582" s="204"/>
      <c r="W2582" s="198" t="s">
        <v>51</v>
      </c>
      <c r="AE2582" s="198" t="s">
        <v>831</v>
      </c>
    </row>
    <row r="2583" spans="3:31" x14ac:dyDescent="0.25">
      <c r="C2583" s="201"/>
      <c r="E2583" s="201"/>
      <c r="F2583" s="201"/>
      <c r="I2583" s="198" t="s">
        <v>720</v>
      </c>
      <c r="J2583" s="198" t="s">
        <v>65</v>
      </c>
      <c r="K2583" s="202">
        <f t="shared" si="40"/>
        <v>1321920</v>
      </c>
      <c r="L2583" s="202">
        <v>259.2</v>
      </c>
      <c r="N2583" s="202">
        <v>71136</v>
      </c>
      <c r="S2583" s="203"/>
      <c r="W2583" s="198" t="s">
        <v>51</v>
      </c>
      <c r="AE2583" s="198" t="s">
        <v>831</v>
      </c>
    </row>
    <row r="2584" spans="3:31" x14ac:dyDescent="0.25">
      <c r="C2584" s="201"/>
      <c r="E2584" s="201"/>
      <c r="F2584" s="201"/>
      <c r="I2584" s="198" t="s">
        <v>720</v>
      </c>
      <c r="J2584" s="198" t="s">
        <v>65</v>
      </c>
      <c r="K2584" s="202">
        <f t="shared" si="40"/>
        <v>1322430</v>
      </c>
      <c r="L2584" s="202">
        <v>259.3</v>
      </c>
      <c r="N2584" s="202">
        <v>47424</v>
      </c>
      <c r="S2584" s="203"/>
      <c r="W2584" s="198" t="s">
        <v>51</v>
      </c>
      <c r="AE2584" s="198" t="s">
        <v>831</v>
      </c>
    </row>
    <row r="2585" spans="3:31" x14ac:dyDescent="0.25">
      <c r="C2585" s="201"/>
      <c r="E2585" s="201"/>
      <c r="F2585" s="201"/>
      <c r="I2585" s="198" t="s">
        <v>720</v>
      </c>
      <c r="J2585" s="198" t="s">
        <v>65</v>
      </c>
      <c r="K2585" s="202">
        <f t="shared" si="40"/>
        <v>1322940</v>
      </c>
      <c r="L2585" s="202">
        <v>259.39999999999998</v>
      </c>
      <c r="N2585" s="202">
        <v>15000</v>
      </c>
      <c r="S2585" s="204"/>
      <c r="W2585" s="198" t="s">
        <v>51</v>
      </c>
      <c r="AE2585" s="198" t="s">
        <v>831</v>
      </c>
    </row>
    <row r="2586" spans="3:31" x14ac:dyDescent="0.25">
      <c r="C2586" s="201"/>
      <c r="E2586" s="201"/>
      <c r="F2586" s="201"/>
      <c r="I2586" s="198" t="s">
        <v>199</v>
      </c>
      <c r="J2586" s="198" t="s">
        <v>167</v>
      </c>
      <c r="K2586" s="202">
        <f t="shared" si="40"/>
        <v>1323450</v>
      </c>
      <c r="L2586" s="202">
        <v>259.5</v>
      </c>
      <c r="N2586" s="202">
        <v>448500</v>
      </c>
      <c r="S2586" s="204"/>
      <c r="W2586" s="198" t="s">
        <v>51</v>
      </c>
      <c r="AE2586" s="198" t="s">
        <v>831</v>
      </c>
    </row>
    <row r="2587" spans="3:31" x14ac:dyDescent="0.25">
      <c r="C2587" s="201"/>
      <c r="E2587" s="201"/>
      <c r="F2587" s="201"/>
      <c r="I2587" s="198" t="s">
        <v>199</v>
      </c>
      <c r="J2587" s="198" t="s">
        <v>167</v>
      </c>
      <c r="K2587" s="202">
        <f t="shared" si="40"/>
        <v>1323960</v>
      </c>
      <c r="L2587" s="202">
        <v>259.60000000000002</v>
      </c>
      <c r="N2587" s="202">
        <v>3503616.72</v>
      </c>
      <c r="S2587" s="203"/>
      <c r="W2587" s="198" t="s">
        <v>51</v>
      </c>
      <c r="AE2587" s="198" t="s">
        <v>831</v>
      </c>
    </row>
    <row r="2588" spans="3:31" x14ac:dyDescent="0.25">
      <c r="C2588" s="201"/>
      <c r="E2588" s="201"/>
      <c r="F2588" s="201"/>
      <c r="I2588" s="198" t="s">
        <v>199</v>
      </c>
      <c r="J2588" s="198" t="s">
        <v>167</v>
      </c>
      <c r="K2588" s="202">
        <f t="shared" si="40"/>
        <v>1324470</v>
      </c>
      <c r="L2588" s="202">
        <v>259.7</v>
      </c>
      <c r="N2588" s="202">
        <v>1968377.45</v>
      </c>
      <c r="S2588" s="203"/>
      <c r="W2588" s="198" t="s">
        <v>51</v>
      </c>
      <c r="AE2588" s="198" t="s">
        <v>831</v>
      </c>
    </row>
    <row r="2589" spans="3:31" x14ac:dyDescent="0.25">
      <c r="C2589" s="201"/>
      <c r="E2589" s="201"/>
      <c r="F2589" s="201"/>
      <c r="I2589" s="198" t="s">
        <v>199</v>
      </c>
      <c r="J2589" s="198" t="s">
        <v>167</v>
      </c>
      <c r="K2589" s="202">
        <f t="shared" si="40"/>
        <v>1324980</v>
      </c>
      <c r="L2589" s="202">
        <v>259.8</v>
      </c>
      <c r="N2589" s="202">
        <v>2293560</v>
      </c>
      <c r="S2589" s="203"/>
      <c r="W2589" s="198" t="s">
        <v>51</v>
      </c>
      <c r="AE2589" s="198" t="s">
        <v>831</v>
      </c>
    </row>
    <row r="2590" spans="3:31" x14ac:dyDescent="0.25">
      <c r="C2590" s="201"/>
      <c r="E2590" s="201"/>
      <c r="F2590" s="201"/>
      <c r="I2590" s="198" t="s">
        <v>199</v>
      </c>
      <c r="J2590" s="198" t="s">
        <v>167</v>
      </c>
      <c r="K2590" s="202">
        <f t="shared" si="40"/>
        <v>1325490</v>
      </c>
      <c r="L2590" s="202">
        <v>259.89999999999998</v>
      </c>
      <c r="N2590" s="202">
        <v>1152000</v>
      </c>
      <c r="S2590" s="204"/>
      <c r="W2590" s="198" t="s">
        <v>51</v>
      </c>
      <c r="AE2590" s="198" t="s">
        <v>831</v>
      </c>
    </row>
    <row r="2591" spans="3:31" x14ac:dyDescent="0.25">
      <c r="C2591" s="201"/>
      <c r="E2591" s="201"/>
      <c r="F2591" s="201"/>
      <c r="I2591" s="198" t="s">
        <v>199</v>
      </c>
      <c r="J2591" s="198" t="s">
        <v>167</v>
      </c>
      <c r="K2591" s="202">
        <f t="shared" si="40"/>
        <v>1326000</v>
      </c>
      <c r="L2591" s="202">
        <v>260</v>
      </c>
      <c r="N2591" s="202">
        <v>110000</v>
      </c>
      <c r="S2591" s="204"/>
      <c r="W2591" s="198" t="s">
        <v>51</v>
      </c>
      <c r="AE2591" s="198" t="s">
        <v>831</v>
      </c>
    </row>
    <row r="2592" spans="3:31" x14ac:dyDescent="0.25">
      <c r="C2592" s="201"/>
      <c r="E2592" s="201"/>
      <c r="F2592" s="201"/>
      <c r="I2592" s="198" t="s">
        <v>201</v>
      </c>
      <c r="J2592" s="198" t="s">
        <v>167</v>
      </c>
      <c r="K2592" s="202">
        <f t="shared" si="40"/>
        <v>1326510</v>
      </c>
      <c r="L2592" s="202">
        <v>260.10000000000002</v>
      </c>
      <c r="N2592" s="202">
        <v>224250</v>
      </c>
      <c r="S2592" s="204"/>
      <c r="W2592" s="198" t="s">
        <v>51</v>
      </c>
      <c r="AE2592" s="198" t="s">
        <v>831</v>
      </c>
    </row>
    <row r="2593" spans="3:31" x14ac:dyDescent="0.25">
      <c r="C2593" s="201"/>
      <c r="E2593" s="201"/>
      <c r="F2593" s="201"/>
      <c r="I2593" s="198" t="s">
        <v>201</v>
      </c>
      <c r="J2593" s="198" t="s">
        <v>167</v>
      </c>
      <c r="K2593" s="202">
        <f t="shared" si="40"/>
        <v>1327020</v>
      </c>
      <c r="L2593" s="202">
        <v>260.2</v>
      </c>
      <c r="N2593" s="202">
        <v>211016.19</v>
      </c>
      <c r="S2593" s="203"/>
      <c r="W2593" s="198" t="s">
        <v>51</v>
      </c>
      <c r="AE2593" s="198" t="s">
        <v>831</v>
      </c>
    </row>
    <row r="2594" spans="3:31" x14ac:dyDescent="0.25">
      <c r="C2594" s="201"/>
      <c r="E2594" s="201"/>
      <c r="F2594" s="201"/>
      <c r="I2594" s="198" t="s">
        <v>201</v>
      </c>
      <c r="J2594" s="198" t="s">
        <v>167</v>
      </c>
      <c r="K2594" s="202">
        <f t="shared" si="40"/>
        <v>1327530</v>
      </c>
      <c r="L2594" s="202">
        <v>260.3</v>
      </c>
      <c r="N2594" s="202">
        <v>76377.600000000006</v>
      </c>
      <c r="S2594" s="203"/>
      <c r="W2594" s="198" t="s">
        <v>51</v>
      </c>
      <c r="AE2594" s="198" t="s">
        <v>831</v>
      </c>
    </row>
    <row r="2595" spans="3:31" x14ac:dyDescent="0.25">
      <c r="C2595" s="201"/>
      <c r="E2595" s="201"/>
      <c r="F2595" s="201"/>
      <c r="I2595" s="198" t="s">
        <v>201</v>
      </c>
      <c r="J2595" s="198" t="s">
        <v>167</v>
      </c>
      <c r="K2595" s="202">
        <f t="shared" si="40"/>
        <v>1328040</v>
      </c>
      <c r="L2595" s="202">
        <v>260.39999999999998</v>
      </c>
      <c r="N2595" s="202">
        <v>50918.400000000001</v>
      </c>
      <c r="S2595" s="203"/>
      <c r="W2595" s="198" t="s">
        <v>51</v>
      </c>
      <c r="AE2595" s="198" t="s">
        <v>831</v>
      </c>
    </row>
    <row r="2596" spans="3:31" x14ac:dyDescent="0.25">
      <c r="C2596" s="201"/>
      <c r="E2596" s="201"/>
      <c r="F2596" s="201"/>
      <c r="I2596" s="198" t="s">
        <v>201</v>
      </c>
      <c r="J2596" s="198" t="s">
        <v>167</v>
      </c>
      <c r="K2596" s="202">
        <f t="shared" si="40"/>
        <v>1328550</v>
      </c>
      <c r="L2596" s="202">
        <v>260.5</v>
      </c>
      <c r="N2596" s="202">
        <v>232875</v>
      </c>
      <c r="S2596" s="204"/>
      <c r="W2596" s="198" t="s">
        <v>51</v>
      </c>
      <c r="AE2596" s="198" t="s">
        <v>831</v>
      </c>
    </row>
    <row r="2597" spans="3:31" x14ac:dyDescent="0.25">
      <c r="C2597" s="201"/>
      <c r="E2597" s="201"/>
      <c r="F2597" s="201"/>
      <c r="I2597" s="198" t="s">
        <v>173</v>
      </c>
      <c r="J2597" s="198" t="s">
        <v>167</v>
      </c>
      <c r="K2597" s="202">
        <f t="shared" si="40"/>
        <v>1329060</v>
      </c>
      <c r="L2597" s="202">
        <v>260.60000000000002</v>
      </c>
      <c r="N2597" s="202">
        <v>42000</v>
      </c>
      <c r="S2597" s="204"/>
      <c r="W2597" s="198" t="s">
        <v>51</v>
      </c>
      <c r="AE2597" s="198" t="s">
        <v>831</v>
      </c>
    </row>
    <row r="2598" spans="3:31" x14ac:dyDescent="0.25">
      <c r="C2598" s="201"/>
      <c r="E2598" s="201"/>
      <c r="F2598" s="201"/>
      <c r="I2598" s="198" t="s">
        <v>171</v>
      </c>
      <c r="J2598" s="198" t="s">
        <v>167</v>
      </c>
      <c r="K2598" s="202">
        <f t="shared" si="40"/>
        <v>1329570</v>
      </c>
      <c r="L2598" s="202">
        <v>260.7</v>
      </c>
      <c r="N2598" s="202">
        <v>24000</v>
      </c>
      <c r="S2598" s="204"/>
      <c r="W2598" s="198" t="s">
        <v>51</v>
      </c>
      <c r="AE2598" s="198" t="s">
        <v>831</v>
      </c>
    </row>
    <row r="2599" spans="3:31" x14ac:dyDescent="0.25">
      <c r="C2599" s="201"/>
      <c r="E2599" s="201"/>
      <c r="F2599" s="201"/>
      <c r="I2599" s="198" t="s">
        <v>1455</v>
      </c>
      <c r="J2599" s="198" t="s">
        <v>143</v>
      </c>
      <c r="K2599" s="202">
        <f t="shared" si="40"/>
        <v>1330080</v>
      </c>
      <c r="L2599" s="202">
        <v>260.8</v>
      </c>
      <c r="N2599" s="202">
        <v>15001987</v>
      </c>
      <c r="S2599" s="203"/>
      <c r="W2599" s="198" t="s">
        <v>51</v>
      </c>
      <c r="AE2599" s="198" t="s">
        <v>54</v>
      </c>
    </row>
    <row r="2600" spans="3:31" x14ac:dyDescent="0.25">
      <c r="C2600" s="201"/>
      <c r="E2600" s="201"/>
      <c r="F2600" s="201"/>
      <c r="I2600" s="198" t="s">
        <v>1455</v>
      </c>
      <c r="J2600" s="198" t="s">
        <v>143</v>
      </c>
      <c r="K2600" s="202">
        <f t="shared" si="40"/>
        <v>1330590</v>
      </c>
      <c r="L2600" s="202">
        <v>260.89999999999998</v>
      </c>
      <c r="N2600" s="202">
        <v>2700358</v>
      </c>
      <c r="S2600" s="203"/>
      <c r="W2600" s="198" t="s">
        <v>51</v>
      </c>
      <c r="AE2600" s="198" t="s">
        <v>54</v>
      </c>
    </row>
    <row r="2601" spans="3:31" x14ac:dyDescent="0.25">
      <c r="C2601" s="201"/>
      <c r="E2601" s="201"/>
      <c r="F2601" s="201"/>
      <c r="I2601" s="198" t="s">
        <v>1524</v>
      </c>
      <c r="J2601" s="198" t="s">
        <v>193</v>
      </c>
      <c r="K2601" s="202">
        <f t="shared" si="40"/>
        <v>1331100</v>
      </c>
      <c r="L2601" s="202">
        <v>261</v>
      </c>
      <c r="N2601" s="202">
        <v>13335100</v>
      </c>
      <c r="S2601" s="203"/>
      <c r="W2601" s="198" t="s">
        <v>51</v>
      </c>
      <c r="AE2601" s="198" t="s">
        <v>54</v>
      </c>
    </row>
    <row r="2602" spans="3:31" x14ac:dyDescent="0.25">
      <c r="C2602" s="201"/>
      <c r="E2602" s="201"/>
      <c r="F2602" s="201"/>
      <c r="I2602" s="198" t="s">
        <v>1524</v>
      </c>
      <c r="J2602" s="198" t="s">
        <v>193</v>
      </c>
      <c r="K2602" s="202">
        <f t="shared" si="40"/>
        <v>1331610</v>
      </c>
      <c r="L2602" s="202">
        <v>261.10000000000002</v>
      </c>
      <c r="N2602" s="202">
        <v>2400318</v>
      </c>
      <c r="S2602" s="203"/>
      <c r="W2602" s="198" t="s">
        <v>51</v>
      </c>
      <c r="AE2602" s="198" t="s">
        <v>54</v>
      </c>
    </row>
    <row r="2603" spans="3:31" x14ac:dyDescent="0.25">
      <c r="C2603" s="201"/>
      <c r="E2603" s="201"/>
      <c r="F2603" s="201"/>
      <c r="I2603" s="198" t="s">
        <v>1529</v>
      </c>
      <c r="J2603" s="198" t="s">
        <v>156</v>
      </c>
      <c r="K2603" s="202">
        <f t="shared" si="40"/>
        <v>1332120</v>
      </c>
      <c r="L2603" s="202">
        <v>261.2</v>
      </c>
      <c r="N2603" s="202">
        <v>8334437</v>
      </c>
      <c r="S2603" s="203"/>
      <c r="W2603" s="198" t="s">
        <v>51</v>
      </c>
      <c r="AE2603" s="198" t="s">
        <v>54</v>
      </c>
    </row>
    <row r="2604" spans="3:31" x14ac:dyDescent="0.25">
      <c r="C2604" s="201"/>
      <c r="E2604" s="201"/>
      <c r="F2604" s="201"/>
      <c r="I2604" s="198" t="s">
        <v>1529</v>
      </c>
      <c r="J2604" s="198" t="s">
        <v>156</v>
      </c>
      <c r="K2604" s="202">
        <f t="shared" si="40"/>
        <v>1332630</v>
      </c>
      <c r="L2604" s="202">
        <v>261.3</v>
      </c>
      <c r="N2604" s="202">
        <v>1500199</v>
      </c>
      <c r="S2604" s="203"/>
      <c r="W2604" s="198" t="s">
        <v>51</v>
      </c>
      <c r="AE2604" s="198" t="s">
        <v>54</v>
      </c>
    </row>
    <row r="2605" spans="3:31" x14ac:dyDescent="0.25">
      <c r="C2605" s="201"/>
      <c r="E2605" s="201"/>
      <c r="F2605" s="201"/>
      <c r="I2605" s="198" t="s">
        <v>1535</v>
      </c>
      <c r="J2605" s="198" t="s">
        <v>153</v>
      </c>
      <c r="K2605" s="202">
        <f t="shared" si="40"/>
        <v>1333140</v>
      </c>
      <c r="L2605" s="202">
        <v>261.39999999999998</v>
      </c>
      <c r="N2605" s="202">
        <v>15001987</v>
      </c>
      <c r="S2605" s="203"/>
      <c r="W2605" s="198" t="s">
        <v>51</v>
      </c>
      <c r="AE2605" s="198" t="s">
        <v>54</v>
      </c>
    </row>
    <row r="2606" spans="3:31" x14ac:dyDescent="0.25">
      <c r="C2606" s="201"/>
      <c r="E2606" s="201"/>
      <c r="F2606" s="201"/>
      <c r="I2606" s="198" t="s">
        <v>1535</v>
      </c>
      <c r="J2606" s="198" t="s">
        <v>153</v>
      </c>
      <c r="K2606" s="202">
        <f t="shared" si="40"/>
        <v>1333650</v>
      </c>
      <c r="L2606" s="202">
        <v>261.5</v>
      </c>
      <c r="N2606" s="202">
        <v>2700358</v>
      </c>
      <c r="S2606" s="203"/>
      <c r="W2606" s="198" t="s">
        <v>51</v>
      </c>
      <c r="AE2606" s="198" t="s">
        <v>54</v>
      </c>
    </row>
    <row r="2607" spans="3:31" x14ac:dyDescent="0.25">
      <c r="C2607" s="201"/>
      <c r="E2607" s="201"/>
      <c r="F2607" s="201"/>
      <c r="I2607" s="198" t="s">
        <v>1543</v>
      </c>
      <c r="J2607" s="198" t="s">
        <v>148</v>
      </c>
      <c r="K2607" s="202">
        <f t="shared" si="40"/>
        <v>1334160</v>
      </c>
      <c r="L2607" s="202">
        <v>261.60000000000002</v>
      </c>
      <c r="N2607" s="202">
        <v>5834106</v>
      </c>
      <c r="S2607" s="203"/>
      <c r="W2607" s="198" t="s">
        <v>51</v>
      </c>
      <c r="AE2607" s="198" t="s">
        <v>54</v>
      </c>
    </row>
    <row r="2608" spans="3:31" x14ac:dyDescent="0.25">
      <c r="C2608" s="201"/>
      <c r="E2608" s="201"/>
      <c r="F2608" s="201"/>
      <c r="I2608" s="198" t="s">
        <v>1543</v>
      </c>
      <c r="J2608" s="198" t="s">
        <v>148</v>
      </c>
      <c r="K2608" s="202">
        <f t="shared" si="40"/>
        <v>1334670</v>
      </c>
      <c r="L2608" s="202">
        <v>261.7</v>
      </c>
      <c r="N2608" s="202">
        <v>1050139</v>
      </c>
      <c r="S2608" s="203"/>
      <c r="W2608" s="198" t="s">
        <v>51</v>
      </c>
      <c r="AE2608" s="198" t="s">
        <v>54</v>
      </c>
    </row>
    <row r="2609" spans="3:31" x14ac:dyDescent="0.25">
      <c r="C2609" s="201"/>
      <c r="E2609" s="201"/>
      <c r="F2609" s="201"/>
      <c r="I2609" s="198" t="s">
        <v>1539</v>
      </c>
      <c r="J2609" s="198" t="s">
        <v>274</v>
      </c>
      <c r="K2609" s="202">
        <f t="shared" si="40"/>
        <v>1335180</v>
      </c>
      <c r="L2609" s="202">
        <v>261.8</v>
      </c>
      <c r="N2609" s="202">
        <v>15557616</v>
      </c>
      <c r="S2609" s="203"/>
      <c r="W2609" s="198" t="s">
        <v>51</v>
      </c>
      <c r="AE2609" s="198" t="s">
        <v>54</v>
      </c>
    </row>
    <row r="2610" spans="3:31" x14ac:dyDescent="0.25">
      <c r="C2610" s="201"/>
      <c r="E2610" s="201"/>
      <c r="F2610" s="201"/>
      <c r="I2610" s="198" t="s">
        <v>1539</v>
      </c>
      <c r="J2610" s="198" t="s">
        <v>274</v>
      </c>
      <c r="K2610" s="202">
        <f t="shared" si="40"/>
        <v>1335690</v>
      </c>
      <c r="L2610" s="202">
        <v>261.89999999999998</v>
      </c>
      <c r="N2610" s="202">
        <v>2800371</v>
      </c>
      <c r="S2610" s="203"/>
      <c r="W2610" s="198" t="s">
        <v>51</v>
      </c>
      <c r="AE2610" s="198" t="s">
        <v>54</v>
      </c>
    </row>
    <row r="2611" spans="3:31" x14ac:dyDescent="0.25">
      <c r="C2611" s="201"/>
      <c r="E2611" s="201"/>
      <c r="F2611" s="201"/>
      <c r="I2611" s="198" t="s">
        <v>554</v>
      </c>
      <c r="J2611" s="198" t="s">
        <v>130</v>
      </c>
      <c r="K2611" s="202">
        <f t="shared" si="40"/>
        <v>1336200</v>
      </c>
      <c r="L2611" s="202">
        <v>262</v>
      </c>
      <c r="N2611" s="202">
        <v>1252625.1499999999</v>
      </c>
      <c r="S2611" s="204"/>
      <c r="W2611" s="198" t="s">
        <v>51</v>
      </c>
      <c r="AE2611" s="198" t="s">
        <v>833</v>
      </c>
    </row>
    <row r="2612" spans="3:31" x14ac:dyDescent="0.25">
      <c r="C2612" s="201"/>
      <c r="E2612" s="201"/>
      <c r="F2612" s="201"/>
      <c r="I2612" s="198" t="s">
        <v>554</v>
      </c>
      <c r="J2612" s="198" t="s">
        <v>130</v>
      </c>
      <c r="K2612" s="202">
        <f t="shared" si="40"/>
        <v>1336710</v>
      </c>
      <c r="L2612" s="202">
        <v>262.10000000000002</v>
      </c>
      <c r="N2612" s="202">
        <v>6587720.8200000003</v>
      </c>
      <c r="S2612" s="204"/>
      <c r="W2612" s="198" t="s">
        <v>51</v>
      </c>
      <c r="AE2612" s="198" t="s">
        <v>833</v>
      </c>
    </row>
    <row r="2613" spans="3:31" x14ac:dyDescent="0.25">
      <c r="C2613" s="201"/>
      <c r="E2613" s="201"/>
      <c r="F2613" s="201"/>
      <c r="I2613" s="198" t="s">
        <v>554</v>
      </c>
      <c r="J2613" s="198" t="s">
        <v>130</v>
      </c>
      <c r="K2613" s="202">
        <f t="shared" si="40"/>
        <v>1337220</v>
      </c>
      <c r="L2613" s="202">
        <v>262.2</v>
      </c>
      <c r="N2613" s="202">
        <v>1351225.92</v>
      </c>
      <c r="S2613" s="204"/>
      <c r="W2613" s="198" t="s">
        <v>51</v>
      </c>
      <c r="AE2613" s="198" t="s">
        <v>833</v>
      </c>
    </row>
    <row r="2614" spans="3:31" x14ac:dyDescent="0.25">
      <c r="C2614" s="201"/>
      <c r="E2614" s="201"/>
      <c r="F2614" s="201"/>
      <c r="I2614" s="198" t="s">
        <v>440</v>
      </c>
      <c r="J2614" s="198" t="s">
        <v>126</v>
      </c>
      <c r="K2614" s="202">
        <f t="shared" si="40"/>
        <v>1337730</v>
      </c>
      <c r="L2614" s="202">
        <v>262.3</v>
      </c>
      <c r="N2614" s="202">
        <v>16721000</v>
      </c>
      <c r="S2614" s="204"/>
      <c r="W2614" s="198" t="s">
        <v>51</v>
      </c>
      <c r="AE2614" s="198" t="s">
        <v>835</v>
      </c>
    </row>
    <row r="2615" spans="3:31" x14ac:dyDescent="0.25">
      <c r="C2615" s="201"/>
      <c r="E2615" s="201"/>
      <c r="F2615" s="201"/>
      <c r="I2615" s="198" t="s">
        <v>435</v>
      </c>
      <c r="J2615" s="198" t="s">
        <v>130</v>
      </c>
      <c r="K2615" s="202">
        <f t="shared" si="40"/>
        <v>1338240</v>
      </c>
      <c r="L2615" s="202">
        <v>262.39999999999998</v>
      </c>
      <c r="N2615" s="202">
        <v>5434446.5999999996</v>
      </c>
      <c r="S2615" s="204"/>
      <c r="W2615" s="198" t="s">
        <v>51</v>
      </c>
      <c r="AE2615" s="198" t="s">
        <v>833</v>
      </c>
    </row>
    <row r="2616" spans="3:31" x14ac:dyDescent="0.25">
      <c r="C2616" s="201"/>
      <c r="E2616" s="201"/>
      <c r="F2616" s="201"/>
      <c r="I2616" s="198" t="s">
        <v>435</v>
      </c>
      <c r="J2616" s="198" t="s">
        <v>130</v>
      </c>
      <c r="K2616" s="202">
        <f t="shared" si="40"/>
        <v>1338750</v>
      </c>
      <c r="L2616" s="202">
        <v>262.5</v>
      </c>
      <c r="N2616" s="202">
        <v>5372799.2999999998</v>
      </c>
      <c r="S2616" s="204"/>
      <c r="W2616" s="198" t="s">
        <v>51</v>
      </c>
      <c r="AE2616" s="198" t="s">
        <v>833</v>
      </c>
    </row>
    <row r="2617" spans="3:31" x14ac:dyDescent="0.25">
      <c r="C2617" s="201"/>
      <c r="E2617" s="201"/>
      <c r="F2617" s="201"/>
      <c r="I2617" s="198" t="s">
        <v>435</v>
      </c>
      <c r="J2617" s="198" t="s">
        <v>130</v>
      </c>
      <c r="K2617" s="202">
        <f t="shared" si="40"/>
        <v>1339260</v>
      </c>
      <c r="L2617" s="202">
        <v>262.60000000000002</v>
      </c>
      <c r="N2617" s="202">
        <v>5377541.4000000004</v>
      </c>
      <c r="S2617" s="204"/>
      <c r="W2617" s="198" t="s">
        <v>51</v>
      </c>
      <c r="AE2617" s="198" t="s">
        <v>833</v>
      </c>
    </row>
    <row r="2618" spans="3:31" x14ac:dyDescent="0.25">
      <c r="C2618" s="201"/>
      <c r="E2618" s="201"/>
      <c r="F2618" s="201"/>
      <c r="I2618" s="198" t="s">
        <v>435</v>
      </c>
      <c r="J2618" s="198" t="s">
        <v>130</v>
      </c>
      <c r="K2618" s="202">
        <f t="shared" si="40"/>
        <v>1339770</v>
      </c>
      <c r="L2618" s="202">
        <v>262.7</v>
      </c>
      <c r="N2618" s="202">
        <v>5396509.7999999998</v>
      </c>
      <c r="S2618" s="204"/>
      <c r="W2618" s="198" t="s">
        <v>51</v>
      </c>
      <c r="AE2618" s="198" t="s">
        <v>833</v>
      </c>
    </row>
    <row r="2619" spans="3:31" x14ac:dyDescent="0.25">
      <c r="C2619" s="201"/>
      <c r="E2619" s="201"/>
      <c r="F2619" s="201"/>
      <c r="I2619" s="198" t="s">
        <v>435</v>
      </c>
      <c r="J2619" s="198" t="s">
        <v>130</v>
      </c>
      <c r="K2619" s="202">
        <f t="shared" si="40"/>
        <v>1340280</v>
      </c>
      <c r="L2619" s="202">
        <v>262.8</v>
      </c>
      <c r="N2619" s="202">
        <v>5424962.4000000004</v>
      </c>
      <c r="S2619" s="204"/>
      <c r="W2619" s="198" t="s">
        <v>51</v>
      </c>
      <c r="AE2619" s="198" t="s">
        <v>833</v>
      </c>
    </row>
    <row r="2620" spans="3:31" x14ac:dyDescent="0.25">
      <c r="C2620" s="201"/>
      <c r="E2620" s="201"/>
      <c r="F2620" s="201"/>
      <c r="I2620" s="198" t="s">
        <v>435</v>
      </c>
      <c r="J2620" s="198" t="s">
        <v>130</v>
      </c>
      <c r="K2620" s="202">
        <f t="shared" si="40"/>
        <v>1340790</v>
      </c>
      <c r="L2620" s="202">
        <v>262.89999999999998</v>
      </c>
      <c r="N2620" s="202">
        <v>5403622.9500000002</v>
      </c>
      <c r="S2620" s="204"/>
      <c r="W2620" s="198" t="s">
        <v>51</v>
      </c>
      <c r="AE2620" s="198" t="s">
        <v>833</v>
      </c>
    </row>
    <row r="2621" spans="3:31" x14ac:dyDescent="0.25">
      <c r="C2621" s="201"/>
      <c r="E2621" s="201"/>
      <c r="F2621" s="201"/>
      <c r="I2621" s="198" t="s">
        <v>435</v>
      </c>
      <c r="J2621" s="198" t="s">
        <v>130</v>
      </c>
      <c r="K2621" s="202">
        <f t="shared" si="40"/>
        <v>1341300</v>
      </c>
      <c r="L2621" s="202">
        <v>263</v>
      </c>
      <c r="N2621" s="202">
        <v>5398880.8499999996</v>
      </c>
      <c r="S2621" s="204"/>
      <c r="W2621" s="198" t="s">
        <v>51</v>
      </c>
      <c r="AE2621" s="198" t="s">
        <v>833</v>
      </c>
    </row>
    <row r="2622" spans="3:31" x14ac:dyDescent="0.25">
      <c r="C2622" s="201"/>
      <c r="E2622" s="201"/>
      <c r="F2622" s="201"/>
      <c r="I2622" s="198" t="s">
        <v>435</v>
      </c>
      <c r="J2622" s="198" t="s">
        <v>130</v>
      </c>
      <c r="K2622" s="202">
        <f t="shared" si="40"/>
        <v>1341810</v>
      </c>
      <c r="L2622" s="202">
        <v>263.10000000000002</v>
      </c>
      <c r="N2622" s="202">
        <v>5387025.5999999996</v>
      </c>
      <c r="S2622" s="204"/>
      <c r="W2622" s="198" t="s">
        <v>51</v>
      </c>
      <c r="AE2622" s="198" t="s">
        <v>833</v>
      </c>
    </row>
    <row r="2623" spans="3:31" x14ac:dyDescent="0.25">
      <c r="C2623" s="201"/>
      <c r="E2623" s="201"/>
      <c r="F2623" s="201"/>
      <c r="I2623" s="198" t="s">
        <v>435</v>
      </c>
      <c r="J2623" s="198" t="s">
        <v>130</v>
      </c>
      <c r="K2623" s="202">
        <f t="shared" si="40"/>
        <v>1342320</v>
      </c>
      <c r="L2623" s="202">
        <v>263.2</v>
      </c>
      <c r="N2623" s="202">
        <v>5448672.9000000004</v>
      </c>
      <c r="S2623" s="204"/>
      <c r="W2623" s="198" t="s">
        <v>51</v>
      </c>
      <c r="AE2623" s="198" t="s">
        <v>833</v>
      </c>
    </row>
    <row r="2624" spans="3:31" x14ac:dyDescent="0.25">
      <c r="C2624" s="201"/>
      <c r="E2624" s="201"/>
      <c r="F2624" s="201"/>
      <c r="I2624" s="198" t="s">
        <v>435</v>
      </c>
      <c r="J2624" s="198" t="s">
        <v>130</v>
      </c>
      <c r="K2624" s="202">
        <f t="shared" si="40"/>
        <v>1342830</v>
      </c>
      <c r="L2624" s="202">
        <v>263.3</v>
      </c>
      <c r="N2624" s="202">
        <v>5379912.4500000002</v>
      </c>
      <c r="S2624" s="204"/>
      <c r="W2624" s="198" t="s">
        <v>51</v>
      </c>
      <c r="AE2624" s="198" t="s">
        <v>833</v>
      </c>
    </row>
    <row r="2625" spans="3:31" x14ac:dyDescent="0.25">
      <c r="C2625" s="201"/>
      <c r="E2625" s="201"/>
      <c r="F2625" s="201"/>
      <c r="I2625" s="198" t="s">
        <v>360</v>
      </c>
      <c r="J2625" s="198" t="s">
        <v>130</v>
      </c>
      <c r="K2625" s="202">
        <f t="shared" si="40"/>
        <v>1343340</v>
      </c>
      <c r="L2625" s="202">
        <v>263.39999999999998</v>
      </c>
      <c r="N2625" s="202">
        <v>31250000</v>
      </c>
      <c r="S2625" s="203"/>
      <c r="W2625" s="198" t="s">
        <v>51</v>
      </c>
      <c r="AE2625" s="198" t="s">
        <v>833</v>
      </c>
    </row>
    <row r="2626" spans="3:31" x14ac:dyDescent="0.25">
      <c r="C2626" s="201"/>
      <c r="E2626" s="201"/>
      <c r="F2626" s="201"/>
      <c r="I2626" s="198" t="s">
        <v>435</v>
      </c>
      <c r="J2626" s="198" t="s">
        <v>130</v>
      </c>
      <c r="K2626" s="202">
        <f t="shared" si="40"/>
        <v>1343850</v>
      </c>
      <c r="L2626" s="202">
        <v>263.5</v>
      </c>
      <c r="N2626" s="202">
        <v>5389396.6500000004</v>
      </c>
      <c r="S2626" s="204"/>
      <c r="W2626" s="198" t="s">
        <v>51</v>
      </c>
      <c r="AE2626" s="198" t="s">
        <v>833</v>
      </c>
    </row>
    <row r="2627" spans="3:31" x14ac:dyDescent="0.25">
      <c r="C2627" s="201"/>
      <c r="E2627" s="201"/>
      <c r="F2627" s="201"/>
      <c r="I2627" s="198" t="s">
        <v>435</v>
      </c>
      <c r="J2627" s="198" t="s">
        <v>130</v>
      </c>
      <c r="K2627" s="202">
        <f t="shared" ref="K2627:K2690" si="41">L2627*5100</f>
        <v>1344360</v>
      </c>
      <c r="L2627" s="202">
        <v>263.60000000000002</v>
      </c>
      <c r="N2627" s="202">
        <v>5387025.5999999996</v>
      </c>
      <c r="S2627" s="204"/>
      <c r="W2627" s="198" t="s">
        <v>51</v>
      </c>
      <c r="AE2627" s="198" t="s">
        <v>833</v>
      </c>
    </row>
    <row r="2628" spans="3:31" x14ac:dyDescent="0.25">
      <c r="C2628" s="201"/>
      <c r="E2628" s="201"/>
      <c r="F2628" s="201"/>
      <c r="I2628" s="198" t="s">
        <v>435</v>
      </c>
      <c r="J2628" s="198" t="s">
        <v>130</v>
      </c>
      <c r="K2628" s="202">
        <f t="shared" si="41"/>
        <v>1344870</v>
      </c>
      <c r="L2628" s="202">
        <v>263.7</v>
      </c>
      <c r="N2628" s="202">
        <v>5394138.75</v>
      </c>
      <c r="S2628" s="204"/>
      <c r="W2628" s="198" t="s">
        <v>51</v>
      </c>
      <c r="AE2628" s="198" t="s">
        <v>833</v>
      </c>
    </row>
    <row r="2629" spans="3:31" x14ac:dyDescent="0.25">
      <c r="C2629" s="201"/>
      <c r="E2629" s="201"/>
      <c r="F2629" s="201"/>
      <c r="I2629" s="198" t="s">
        <v>776</v>
      </c>
      <c r="J2629" s="198" t="s">
        <v>148</v>
      </c>
      <c r="K2629" s="202">
        <f t="shared" si="41"/>
        <v>1345380</v>
      </c>
      <c r="L2629" s="202">
        <v>263.8</v>
      </c>
      <c r="N2629" s="202">
        <v>0.01</v>
      </c>
      <c r="S2629" s="204"/>
      <c r="W2629" s="198" t="s">
        <v>51</v>
      </c>
      <c r="AE2629" s="198" t="s">
        <v>828</v>
      </c>
    </row>
    <row r="2630" spans="3:31" x14ac:dyDescent="0.25">
      <c r="C2630" s="201"/>
      <c r="E2630" s="201"/>
      <c r="F2630" s="201"/>
      <c r="I2630" s="198" t="s">
        <v>777</v>
      </c>
      <c r="J2630" s="198" t="s">
        <v>156</v>
      </c>
      <c r="K2630" s="202">
        <f t="shared" si="41"/>
        <v>1345890</v>
      </c>
      <c r="L2630" s="202">
        <v>263.89999999999998</v>
      </c>
      <c r="N2630" s="202">
        <v>-0.05</v>
      </c>
      <c r="S2630" s="204"/>
      <c r="W2630" s="198" t="s">
        <v>51</v>
      </c>
      <c r="AE2630" s="198" t="s">
        <v>828</v>
      </c>
    </row>
    <row r="2631" spans="3:31" x14ac:dyDescent="0.25">
      <c r="C2631" s="201"/>
      <c r="E2631" s="201"/>
      <c r="F2631" s="201"/>
      <c r="I2631" s="198" t="s">
        <v>783</v>
      </c>
      <c r="J2631" s="198" t="s">
        <v>148</v>
      </c>
      <c r="K2631" s="202">
        <f t="shared" si="41"/>
        <v>1346400</v>
      </c>
      <c r="L2631" s="202">
        <v>264</v>
      </c>
      <c r="N2631" s="202">
        <v>0.2</v>
      </c>
      <c r="S2631" s="204"/>
      <c r="W2631" s="198" t="s">
        <v>51</v>
      </c>
      <c r="AE2631" s="198" t="s">
        <v>828</v>
      </c>
    </row>
    <row r="2632" spans="3:31" x14ac:dyDescent="0.25">
      <c r="C2632" s="201"/>
      <c r="E2632" s="201"/>
      <c r="F2632" s="201"/>
      <c r="I2632" s="198" t="s">
        <v>783</v>
      </c>
      <c r="J2632" s="198" t="s">
        <v>148</v>
      </c>
      <c r="K2632" s="202">
        <f t="shared" si="41"/>
        <v>1346910</v>
      </c>
      <c r="L2632" s="202">
        <v>264.10000000000002</v>
      </c>
      <c r="N2632" s="202">
        <v>1</v>
      </c>
      <c r="S2632" s="204"/>
      <c r="W2632" s="198" t="s">
        <v>51</v>
      </c>
      <c r="AE2632" s="198" t="s">
        <v>828</v>
      </c>
    </row>
    <row r="2633" spans="3:31" x14ac:dyDescent="0.25">
      <c r="C2633" s="201"/>
      <c r="E2633" s="201"/>
      <c r="F2633" s="201"/>
      <c r="I2633" s="198" t="s">
        <v>133</v>
      </c>
      <c r="J2633" s="198" t="s">
        <v>134</v>
      </c>
      <c r="K2633" s="202">
        <f t="shared" si="41"/>
        <v>1347420</v>
      </c>
      <c r="L2633" s="202">
        <v>264.2</v>
      </c>
      <c r="N2633" s="202">
        <v>15540</v>
      </c>
      <c r="S2633" s="204"/>
      <c r="W2633" s="198" t="s">
        <v>51</v>
      </c>
      <c r="AE2633" s="198" t="s">
        <v>846</v>
      </c>
    </row>
    <row r="2634" spans="3:31" x14ac:dyDescent="0.25">
      <c r="C2634" s="201"/>
      <c r="E2634" s="201"/>
      <c r="F2634" s="201"/>
      <c r="I2634" s="198" t="s">
        <v>133</v>
      </c>
      <c r="J2634" s="198" t="s">
        <v>134</v>
      </c>
      <c r="K2634" s="202">
        <f t="shared" si="41"/>
        <v>1347930</v>
      </c>
      <c r="L2634" s="202">
        <v>264.3</v>
      </c>
      <c r="N2634" s="202">
        <v>16140.24</v>
      </c>
      <c r="S2634" s="204"/>
      <c r="W2634" s="198" t="s">
        <v>51</v>
      </c>
      <c r="AE2634" s="198" t="s">
        <v>846</v>
      </c>
    </row>
    <row r="2635" spans="3:31" x14ac:dyDescent="0.25">
      <c r="C2635" s="201"/>
      <c r="E2635" s="201"/>
      <c r="F2635" s="201"/>
      <c r="I2635" s="198" t="s">
        <v>133</v>
      </c>
      <c r="J2635" s="198" t="s">
        <v>134</v>
      </c>
      <c r="K2635" s="202">
        <f t="shared" si="41"/>
        <v>1348440</v>
      </c>
      <c r="L2635" s="202">
        <v>264.39999999999998</v>
      </c>
      <c r="N2635" s="202">
        <v>27820</v>
      </c>
      <c r="S2635" s="204"/>
      <c r="W2635" s="198" t="s">
        <v>51</v>
      </c>
      <c r="AE2635" s="198" t="s">
        <v>846</v>
      </c>
    </row>
    <row r="2636" spans="3:31" x14ac:dyDescent="0.25">
      <c r="C2636" s="201"/>
      <c r="E2636" s="201"/>
      <c r="F2636" s="201"/>
      <c r="I2636" s="198" t="s">
        <v>133</v>
      </c>
      <c r="J2636" s="198" t="s">
        <v>134</v>
      </c>
      <c r="K2636" s="202">
        <f t="shared" si="41"/>
        <v>1348950</v>
      </c>
      <c r="L2636" s="202">
        <v>264.5</v>
      </c>
      <c r="N2636" s="202">
        <v>8625</v>
      </c>
      <c r="S2636" s="204"/>
      <c r="W2636" s="198" t="s">
        <v>51</v>
      </c>
      <c r="AE2636" s="198" t="s">
        <v>846</v>
      </c>
    </row>
    <row r="2637" spans="3:31" x14ac:dyDescent="0.25">
      <c r="C2637" s="201"/>
      <c r="E2637" s="201"/>
      <c r="F2637" s="201"/>
      <c r="I2637" s="198" t="s">
        <v>133</v>
      </c>
      <c r="J2637" s="198" t="s">
        <v>134</v>
      </c>
      <c r="K2637" s="202">
        <f t="shared" si="41"/>
        <v>1349460</v>
      </c>
      <c r="L2637" s="202">
        <v>264.60000000000002</v>
      </c>
      <c r="N2637" s="202">
        <v>12060</v>
      </c>
      <c r="S2637" s="204"/>
      <c r="W2637" s="198" t="s">
        <v>51</v>
      </c>
      <c r="AE2637" s="198" t="s">
        <v>846</v>
      </c>
    </row>
    <row r="2638" spans="3:31" x14ac:dyDescent="0.25">
      <c r="C2638" s="201"/>
      <c r="E2638" s="201"/>
      <c r="F2638" s="201"/>
      <c r="I2638" s="198" t="s">
        <v>133</v>
      </c>
      <c r="J2638" s="198" t="s">
        <v>134</v>
      </c>
      <c r="K2638" s="202">
        <f t="shared" si="41"/>
        <v>1349970</v>
      </c>
      <c r="L2638" s="202">
        <v>264.7</v>
      </c>
      <c r="N2638" s="202">
        <v>5810</v>
      </c>
      <c r="S2638" s="204"/>
      <c r="W2638" s="198" t="s">
        <v>51</v>
      </c>
      <c r="AE2638" s="198" t="s">
        <v>846</v>
      </c>
    </row>
    <row r="2639" spans="3:31" x14ac:dyDescent="0.25">
      <c r="C2639" s="201"/>
      <c r="E2639" s="201"/>
      <c r="F2639" s="201"/>
      <c r="I2639" s="198" t="s">
        <v>131</v>
      </c>
      <c r="J2639" s="198" t="s">
        <v>132</v>
      </c>
      <c r="K2639" s="202">
        <f t="shared" si="41"/>
        <v>1350480</v>
      </c>
      <c r="L2639" s="202">
        <v>264.8</v>
      </c>
      <c r="N2639" s="202">
        <v>278752.05</v>
      </c>
      <c r="S2639" s="204"/>
      <c r="W2639" s="198" t="s">
        <v>51</v>
      </c>
      <c r="AE2639" s="198" t="s">
        <v>833</v>
      </c>
    </row>
    <row r="2640" spans="3:31" x14ac:dyDescent="0.25">
      <c r="C2640" s="201"/>
      <c r="E2640" s="201"/>
      <c r="F2640" s="201"/>
      <c r="I2640" s="198" t="s">
        <v>136</v>
      </c>
      <c r="J2640" s="198" t="s">
        <v>137</v>
      </c>
      <c r="K2640" s="202">
        <f t="shared" si="41"/>
        <v>1350990</v>
      </c>
      <c r="L2640" s="202">
        <v>264.89999999999998</v>
      </c>
      <c r="N2640" s="202">
        <v>2482366</v>
      </c>
      <c r="S2640" s="204"/>
      <c r="W2640" s="198" t="s">
        <v>51</v>
      </c>
      <c r="AE2640" s="198" t="s">
        <v>844</v>
      </c>
    </row>
    <row r="2641" spans="3:31" x14ac:dyDescent="0.25">
      <c r="C2641" s="201"/>
      <c r="E2641" s="201"/>
      <c r="F2641" s="201"/>
      <c r="I2641" s="198" t="s">
        <v>136</v>
      </c>
      <c r="J2641" s="198" t="s">
        <v>137</v>
      </c>
      <c r="K2641" s="202">
        <f t="shared" si="41"/>
        <v>1351500</v>
      </c>
      <c r="L2641" s="202">
        <v>265</v>
      </c>
      <c r="N2641" s="202">
        <v>479464.5</v>
      </c>
      <c r="S2641" s="204"/>
      <c r="W2641" s="198" t="s">
        <v>51</v>
      </c>
      <c r="AE2641" s="198" t="s">
        <v>844</v>
      </c>
    </row>
    <row r="2642" spans="3:31" x14ac:dyDescent="0.25">
      <c r="C2642" s="201"/>
      <c r="E2642" s="201"/>
      <c r="F2642" s="201"/>
      <c r="I2642" s="198" t="s">
        <v>136</v>
      </c>
      <c r="J2642" s="198" t="s">
        <v>137</v>
      </c>
      <c r="K2642" s="202">
        <f t="shared" si="41"/>
        <v>1352010</v>
      </c>
      <c r="L2642" s="202">
        <v>265.10000000000002</v>
      </c>
      <c r="N2642" s="202">
        <v>243000</v>
      </c>
      <c r="S2642" s="204"/>
      <c r="W2642" s="198" t="s">
        <v>51</v>
      </c>
      <c r="AE2642" s="198" t="s">
        <v>844</v>
      </c>
    </row>
    <row r="2643" spans="3:31" x14ac:dyDescent="0.25">
      <c r="C2643" s="201"/>
      <c r="E2643" s="201"/>
      <c r="F2643" s="201"/>
      <c r="I2643" s="198" t="s">
        <v>802</v>
      </c>
      <c r="J2643" s="198" t="s">
        <v>143</v>
      </c>
      <c r="K2643" s="202">
        <f t="shared" si="41"/>
        <v>1352520</v>
      </c>
      <c r="L2643" s="202">
        <v>265.2</v>
      </c>
      <c r="N2643" s="202">
        <v>-1900000000</v>
      </c>
      <c r="S2643" s="203"/>
      <c r="W2643" s="198" t="s">
        <v>51</v>
      </c>
      <c r="AE2643" s="198" t="s">
        <v>54</v>
      </c>
    </row>
    <row r="2644" spans="3:31" x14ac:dyDescent="0.25">
      <c r="C2644" s="201"/>
      <c r="E2644" s="201"/>
      <c r="F2644" s="201"/>
      <c r="I2644" s="198" t="s">
        <v>122</v>
      </c>
      <c r="J2644" s="198" t="s">
        <v>126</v>
      </c>
      <c r="K2644" s="202">
        <f t="shared" si="41"/>
        <v>1353030</v>
      </c>
      <c r="L2644" s="202">
        <v>265.3</v>
      </c>
      <c r="N2644" s="202">
        <v>32280.48</v>
      </c>
      <c r="S2644" s="204"/>
      <c r="W2644" s="198" t="s">
        <v>51</v>
      </c>
      <c r="AE2644" s="198" t="s">
        <v>835</v>
      </c>
    </row>
    <row r="2645" spans="3:31" x14ac:dyDescent="0.25">
      <c r="C2645" s="201"/>
      <c r="E2645" s="201"/>
      <c r="F2645" s="201"/>
      <c r="I2645" s="198" t="s">
        <v>122</v>
      </c>
      <c r="J2645" s="198" t="s">
        <v>126</v>
      </c>
      <c r="K2645" s="202">
        <f t="shared" si="41"/>
        <v>1353540</v>
      </c>
      <c r="L2645" s="202">
        <v>265.39999999999998</v>
      </c>
      <c r="N2645" s="202">
        <v>22262.400000000001</v>
      </c>
      <c r="S2645" s="204"/>
      <c r="W2645" s="198" t="s">
        <v>51</v>
      </c>
      <c r="AE2645" s="198" t="s">
        <v>835</v>
      </c>
    </row>
    <row r="2646" spans="3:31" x14ac:dyDescent="0.25">
      <c r="C2646" s="201"/>
      <c r="E2646" s="201"/>
      <c r="F2646" s="201"/>
      <c r="I2646" s="198" t="s">
        <v>122</v>
      </c>
      <c r="J2646" s="198" t="s">
        <v>126</v>
      </c>
      <c r="K2646" s="202">
        <f t="shared" si="41"/>
        <v>1354050</v>
      </c>
      <c r="L2646" s="202">
        <v>265.5</v>
      </c>
      <c r="N2646" s="202">
        <v>13357.44</v>
      </c>
      <c r="S2646" s="204"/>
      <c r="W2646" s="198" t="s">
        <v>51</v>
      </c>
      <c r="AE2646" s="198" t="s">
        <v>835</v>
      </c>
    </row>
    <row r="2647" spans="3:31" x14ac:dyDescent="0.25">
      <c r="C2647" s="201"/>
      <c r="E2647" s="201"/>
      <c r="F2647" s="201"/>
      <c r="I2647" s="198" t="s">
        <v>122</v>
      </c>
      <c r="J2647" s="198" t="s">
        <v>126</v>
      </c>
      <c r="K2647" s="202">
        <f t="shared" si="41"/>
        <v>1354560</v>
      </c>
      <c r="L2647" s="202">
        <v>265.60000000000002</v>
      </c>
      <c r="N2647" s="202">
        <v>14120</v>
      </c>
      <c r="S2647" s="204"/>
      <c r="W2647" s="198" t="s">
        <v>51</v>
      </c>
      <c r="AE2647" s="198" t="s">
        <v>835</v>
      </c>
    </row>
    <row r="2648" spans="3:31" x14ac:dyDescent="0.25">
      <c r="C2648" s="201"/>
      <c r="E2648" s="201"/>
      <c r="F2648" s="201"/>
      <c r="I2648" s="198" t="s">
        <v>122</v>
      </c>
      <c r="J2648" s="198" t="s">
        <v>126</v>
      </c>
      <c r="K2648" s="202">
        <f t="shared" si="41"/>
        <v>1355070</v>
      </c>
      <c r="L2648" s="202">
        <v>265.7</v>
      </c>
      <c r="N2648" s="202">
        <v>4591.3999999999996</v>
      </c>
      <c r="S2648" s="204"/>
      <c r="W2648" s="198" t="s">
        <v>51</v>
      </c>
      <c r="AE2648" s="198" t="s">
        <v>835</v>
      </c>
    </row>
    <row r="2649" spans="3:31" x14ac:dyDescent="0.25">
      <c r="C2649" s="201"/>
      <c r="E2649" s="201"/>
      <c r="F2649" s="201"/>
      <c r="I2649" s="198" t="s">
        <v>122</v>
      </c>
      <c r="J2649" s="198" t="s">
        <v>126</v>
      </c>
      <c r="K2649" s="202">
        <f t="shared" si="41"/>
        <v>1355580</v>
      </c>
      <c r="L2649" s="202">
        <v>265.8</v>
      </c>
      <c r="N2649" s="202">
        <v>8050</v>
      </c>
      <c r="S2649" s="204"/>
      <c r="W2649" s="198" t="s">
        <v>51</v>
      </c>
      <c r="AE2649" s="198" t="s">
        <v>835</v>
      </c>
    </row>
    <row r="2650" spans="3:31" x14ac:dyDescent="0.25">
      <c r="C2650" s="201"/>
      <c r="E2650" s="201"/>
      <c r="F2650" s="201"/>
      <c r="I2650" s="198" t="s">
        <v>799</v>
      </c>
      <c r="J2650" s="198" t="s">
        <v>193</v>
      </c>
      <c r="K2650" s="202">
        <f t="shared" si="41"/>
        <v>1356090</v>
      </c>
      <c r="L2650" s="202">
        <v>265.89999999999998</v>
      </c>
      <c r="N2650" s="202">
        <v>-1710000000</v>
      </c>
      <c r="S2650" s="203"/>
      <c r="W2650" s="198" t="s">
        <v>51</v>
      </c>
      <c r="AE2650" s="198" t="s">
        <v>54</v>
      </c>
    </row>
    <row r="2651" spans="3:31" x14ac:dyDescent="0.25">
      <c r="C2651" s="201"/>
      <c r="E2651" s="201"/>
      <c r="F2651" s="201"/>
      <c r="I2651" s="198" t="s">
        <v>861</v>
      </c>
      <c r="J2651" s="198" t="s">
        <v>193</v>
      </c>
      <c r="K2651" s="202">
        <f t="shared" si="41"/>
        <v>1356600</v>
      </c>
      <c r="L2651" s="202">
        <v>266</v>
      </c>
      <c r="N2651" s="202">
        <v>-1500</v>
      </c>
      <c r="S2651" s="203"/>
      <c r="W2651" s="198" t="s">
        <v>51</v>
      </c>
      <c r="AE2651" s="198" t="s">
        <v>54</v>
      </c>
    </row>
    <row r="2652" spans="3:31" x14ac:dyDescent="0.25">
      <c r="C2652" s="201"/>
      <c r="E2652" s="201"/>
      <c r="F2652" s="201"/>
      <c r="I2652" s="198" t="s">
        <v>860</v>
      </c>
      <c r="J2652" s="198" t="s">
        <v>193</v>
      </c>
      <c r="K2652" s="202">
        <f t="shared" si="41"/>
        <v>1357110</v>
      </c>
      <c r="L2652" s="202">
        <v>266.10000000000002</v>
      </c>
      <c r="N2652" s="202">
        <v>-74556.899999999994</v>
      </c>
      <c r="S2652" s="203"/>
      <c r="W2652" s="198" t="s">
        <v>51</v>
      </c>
      <c r="AE2652" s="198" t="s">
        <v>54</v>
      </c>
    </row>
    <row r="2653" spans="3:31" x14ac:dyDescent="0.25">
      <c r="C2653" s="201"/>
      <c r="E2653" s="201"/>
      <c r="F2653" s="201"/>
      <c r="I2653" s="198" t="s">
        <v>1525</v>
      </c>
      <c r="J2653" s="198" t="s">
        <v>193</v>
      </c>
      <c r="K2653" s="202">
        <f t="shared" si="41"/>
        <v>1357620</v>
      </c>
      <c r="L2653" s="202">
        <v>266.2</v>
      </c>
      <c r="N2653" s="202">
        <v>-49718.76</v>
      </c>
      <c r="S2653" s="203"/>
      <c r="W2653" s="198" t="s">
        <v>51</v>
      </c>
      <c r="AE2653" s="198" t="s">
        <v>54</v>
      </c>
    </row>
    <row r="2654" spans="3:31" x14ac:dyDescent="0.25">
      <c r="C2654" s="201"/>
      <c r="E2654" s="201"/>
      <c r="F2654" s="201"/>
      <c r="I2654" s="198" t="s">
        <v>874</v>
      </c>
      <c r="J2654" s="198" t="s">
        <v>193</v>
      </c>
      <c r="K2654" s="202">
        <f t="shared" si="41"/>
        <v>1358130</v>
      </c>
      <c r="L2654" s="202">
        <v>266.3</v>
      </c>
      <c r="N2654" s="202">
        <v>118</v>
      </c>
      <c r="S2654" s="203"/>
      <c r="W2654" s="198" t="s">
        <v>51</v>
      </c>
      <c r="AE2654" s="198" t="s">
        <v>54</v>
      </c>
    </row>
    <row r="2655" spans="3:31" x14ac:dyDescent="0.25">
      <c r="C2655" s="201"/>
      <c r="E2655" s="201"/>
      <c r="F2655" s="201"/>
      <c r="I2655" s="198" t="s">
        <v>862</v>
      </c>
      <c r="J2655" s="198" t="s">
        <v>193</v>
      </c>
      <c r="K2655" s="202">
        <f t="shared" si="41"/>
        <v>1358640</v>
      </c>
      <c r="L2655" s="202">
        <v>266.39999999999998</v>
      </c>
      <c r="N2655" s="202">
        <v>66441</v>
      </c>
      <c r="S2655" s="203"/>
      <c r="W2655" s="198" t="s">
        <v>51</v>
      </c>
      <c r="AE2655" s="198" t="s">
        <v>54</v>
      </c>
    </row>
    <row r="2656" spans="3:31" x14ac:dyDescent="0.25">
      <c r="C2656" s="201"/>
      <c r="E2656" s="201"/>
      <c r="F2656" s="201"/>
      <c r="I2656" s="198" t="s">
        <v>1525</v>
      </c>
      <c r="J2656" s="198" t="s">
        <v>193</v>
      </c>
      <c r="K2656" s="202">
        <f t="shared" si="41"/>
        <v>1359150</v>
      </c>
      <c r="L2656" s="202">
        <v>266.5</v>
      </c>
      <c r="N2656" s="202">
        <v>10758</v>
      </c>
      <c r="S2656" s="203"/>
      <c r="W2656" s="198" t="s">
        <v>51</v>
      </c>
      <c r="AE2656" s="198" t="s">
        <v>54</v>
      </c>
    </row>
    <row r="2657" spans="3:31" x14ac:dyDescent="0.25">
      <c r="C2657" s="201"/>
      <c r="E2657" s="201"/>
      <c r="F2657" s="201"/>
      <c r="I2657" s="198" t="s">
        <v>1525</v>
      </c>
      <c r="J2657" s="198" t="s">
        <v>193</v>
      </c>
      <c r="K2657" s="202">
        <f t="shared" si="41"/>
        <v>1359660</v>
      </c>
      <c r="L2657" s="202">
        <v>266.60000000000002</v>
      </c>
      <c r="N2657" s="202">
        <v>25575.38</v>
      </c>
      <c r="S2657" s="203"/>
      <c r="W2657" s="198" t="s">
        <v>51</v>
      </c>
      <c r="AE2657" s="198" t="s">
        <v>54</v>
      </c>
    </row>
    <row r="2658" spans="3:31" x14ac:dyDescent="0.25">
      <c r="C2658" s="201"/>
      <c r="E2658" s="201"/>
      <c r="F2658" s="201"/>
      <c r="I2658" s="198" t="s">
        <v>865</v>
      </c>
      <c r="J2658" s="198" t="s">
        <v>143</v>
      </c>
      <c r="K2658" s="202">
        <f t="shared" si="41"/>
        <v>1360170</v>
      </c>
      <c r="L2658" s="202">
        <v>266.7</v>
      </c>
      <c r="N2658" s="202">
        <v>84782.78</v>
      </c>
      <c r="S2658" s="203"/>
      <c r="W2658" s="198" t="s">
        <v>51</v>
      </c>
      <c r="AE2658" s="198" t="s">
        <v>54</v>
      </c>
    </row>
    <row r="2659" spans="3:31" x14ac:dyDescent="0.25">
      <c r="C2659" s="201"/>
      <c r="E2659" s="201"/>
      <c r="F2659" s="201"/>
      <c r="I2659" s="198" t="s">
        <v>1480</v>
      </c>
      <c r="J2659" s="198" t="s">
        <v>143</v>
      </c>
      <c r="K2659" s="202">
        <f t="shared" si="41"/>
        <v>1360680</v>
      </c>
      <c r="L2659" s="202">
        <v>266.8</v>
      </c>
      <c r="N2659" s="202">
        <v>21516</v>
      </c>
      <c r="S2659" s="203"/>
      <c r="W2659" s="198" t="s">
        <v>51</v>
      </c>
      <c r="AE2659" s="198" t="s">
        <v>54</v>
      </c>
    </row>
    <row r="2660" spans="3:31" x14ac:dyDescent="0.25">
      <c r="C2660" s="201"/>
      <c r="E2660" s="201"/>
      <c r="F2660" s="201"/>
      <c r="I2660" s="198" t="s">
        <v>1480</v>
      </c>
      <c r="J2660" s="198" t="s">
        <v>143</v>
      </c>
      <c r="K2660" s="202">
        <f t="shared" si="41"/>
        <v>1361190</v>
      </c>
      <c r="L2660" s="202">
        <v>266.89999999999998</v>
      </c>
      <c r="N2660" s="202">
        <v>4181.75</v>
      </c>
      <c r="S2660" s="203"/>
      <c r="W2660" s="198" t="s">
        <v>51</v>
      </c>
      <c r="AE2660" s="198" t="s">
        <v>54</v>
      </c>
    </row>
    <row r="2661" spans="3:31" x14ac:dyDescent="0.25">
      <c r="C2661" s="201"/>
      <c r="E2661" s="201"/>
      <c r="F2661" s="201"/>
      <c r="I2661" s="198" t="s">
        <v>1480</v>
      </c>
      <c r="J2661" s="198" t="s">
        <v>143</v>
      </c>
      <c r="K2661" s="202">
        <f t="shared" si="41"/>
        <v>1361700</v>
      </c>
      <c r="L2661" s="202">
        <v>267</v>
      </c>
      <c r="N2661" s="202">
        <v>28143.73</v>
      </c>
      <c r="S2661" s="203"/>
      <c r="W2661" s="198" t="s">
        <v>51</v>
      </c>
      <c r="AE2661" s="198" t="s">
        <v>54</v>
      </c>
    </row>
    <row r="2662" spans="3:31" x14ac:dyDescent="0.25">
      <c r="C2662" s="201"/>
      <c r="E2662" s="201"/>
      <c r="F2662" s="201"/>
      <c r="I2662" s="198" t="s">
        <v>1545</v>
      </c>
      <c r="J2662" s="198" t="s">
        <v>117</v>
      </c>
      <c r="K2662" s="202">
        <f t="shared" si="41"/>
        <v>1362210</v>
      </c>
      <c r="L2662" s="202">
        <v>267.10000000000002</v>
      </c>
      <c r="N2662" s="202">
        <v>-16168</v>
      </c>
      <c r="S2662" s="203"/>
      <c r="W2662" s="198" t="s">
        <v>51</v>
      </c>
      <c r="AE2662" s="198" t="s">
        <v>54</v>
      </c>
    </row>
    <row r="2663" spans="3:31" x14ac:dyDescent="0.25">
      <c r="C2663" s="201"/>
      <c r="E2663" s="201"/>
      <c r="F2663" s="201"/>
      <c r="I2663" s="198" t="s">
        <v>870</v>
      </c>
      <c r="J2663" s="198" t="s">
        <v>137</v>
      </c>
      <c r="K2663" s="202">
        <f t="shared" si="41"/>
        <v>1362720</v>
      </c>
      <c r="L2663" s="202">
        <v>267.2</v>
      </c>
      <c r="N2663" s="202">
        <v>5001</v>
      </c>
      <c r="S2663" s="203"/>
      <c r="W2663" s="198" t="s">
        <v>51</v>
      </c>
      <c r="AE2663" s="198" t="s">
        <v>54</v>
      </c>
    </row>
    <row r="2664" spans="3:31" x14ac:dyDescent="0.25">
      <c r="C2664" s="201"/>
      <c r="E2664" s="201"/>
      <c r="F2664" s="201"/>
      <c r="I2664" s="198" t="s">
        <v>871</v>
      </c>
      <c r="J2664" s="198" t="s">
        <v>130</v>
      </c>
      <c r="K2664" s="202">
        <f t="shared" si="41"/>
        <v>1363230</v>
      </c>
      <c r="L2664" s="202">
        <v>267.3</v>
      </c>
      <c r="N2664" s="202">
        <v>14070181</v>
      </c>
      <c r="S2664" s="203"/>
      <c r="W2664" s="198" t="s">
        <v>51</v>
      </c>
      <c r="AE2664" s="198" t="s">
        <v>54</v>
      </c>
    </row>
    <row r="2665" spans="3:31" x14ac:dyDescent="0.25">
      <c r="C2665" s="201"/>
      <c r="E2665" s="201"/>
      <c r="F2665" s="201"/>
      <c r="I2665" s="198" t="s">
        <v>838</v>
      </c>
      <c r="J2665" s="198" t="s">
        <v>132</v>
      </c>
      <c r="K2665" s="202">
        <f t="shared" si="41"/>
        <v>1363740</v>
      </c>
      <c r="L2665" s="202">
        <v>267.39999999999998</v>
      </c>
      <c r="N2665" s="202">
        <v>7430</v>
      </c>
      <c r="S2665" s="203"/>
      <c r="W2665" s="198" t="s">
        <v>51</v>
      </c>
      <c r="AE2665" s="198" t="s">
        <v>54</v>
      </c>
    </row>
    <row r="2666" spans="3:31" x14ac:dyDescent="0.25">
      <c r="C2666" s="201"/>
      <c r="E2666" s="201"/>
      <c r="F2666" s="201"/>
      <c r="I2666" s="198" t="s">
        <v>840</v>
      </c>
      <c r="J2666" s="198" t="s">
        <v>126</v>
      </c>
      <c r="K2666" s="202">
        <f t="shared" si="41"/>
        <v>1364250</v>
      </c>
      <c r="L2666" s="202">
        <v>267.5</v>
      </c>
      <c r="N2666" s="202">
        <v>5817577</v>
      </c>
      <c r="S2666" s="203"/>
      <c r="W2666" s="198" t="s">
        <v>51</v>
      </c>
      <c r="AE2666" s="198" t="s">
        <v>54</v>
      </c>
    </row>
    <row r="2667" spans="3:31" x14ac:dyDescent="0.25">
      <c r="C2667" s="201"/>
      <c r="E2667" s="201"/>
      <c r="F2667" s="201"/>
      <c r="I2667" s="198" t="s">
        <v>872</v>
      </c>
      <c r="J2667" s="198" t="s">
        <v>134</v>
      </c>
      <c r="K2667" s="202">
        <f t="shared" si="41"/>
        <v>1364760</v>
      </c>
      <c r="L2667" s="202">
        <v>267.60000000000002</v>
      </c>
      <c r="N2667" s="202">
        <v>4952</v>
      </c>
      <c r="S2667" s="203"/>
      <c r="W2667" s="198" t="s">
        <v>51</v>
      </c>
      <c r="AE2667" s="198" t="s">
        <v>54</v>
      </c>
    </row>
    <row r="2668" spans="3:31" x14ac:dyDescent="0.25">
      <c r="C2668" s="201"/>
      <c r="E2668" s="201"/>
      <c r="F2668" s="201"/>
      <c r="I2668" s="198" t="s">
        <v>1536</v>
      </c>
      <c r="J2668" s="198" t="s">
        <v>137</v>
      </c>
      <c r="K2668" s="202">
        <f t="shared" si="41"/>
        <v>1365270</v>
      </c>
      <c r="L2668" s="202">
        <v>267.7</v>
      </c>
      <c r="N2668" s="202">
        <v>3002150</v>
      </c>
      <c r="S2668" s="203"/>
      <c r="W2668" s="198" t="s">
        <v>51</v>
      </c>
      <c r="AE2668" s="198" t="s">
        <v>54</v>
      </c>
    </row>
    <row r="2669" spans="3:31" x14ac:dyDescent="0.25">
      <c r="C2669" s="201"/>
      <c r="E2669" s="201"/>
      <c r="F2669" s="201"/>
      <c r="I2669" s="198" t="s">
        <v>871</v>
      </c>
      <c r="J2669" s="198" t="s">
        <v>130</v>
      </c>
      <c r="K2669" s="202">
        <f t="shared" si="41"/>
        <v>1365780</v>
      </c>
      <c r="L2669" s="202">
        <v>267.8</v>
      </c>
      <c r="N2669" s="202">
        <v>1931977</v>
      </c>
      <c r="S2669" s="203"/>
      <c r="W2669" s="198" t="s">
        <v>51</v>
      </c>
      <c r="AE2669" s="198" t="s">
        <v>54</v>
      </c>
    </row>
    <row r="2670" spans="3:31" x14ac:dyDescent="0.25">
      <c r="C2670" s="201"/>
      <c r="E2670" s="201"/>
      <c r="F2670" s="201"/>
      <c r="I2670" s="198" t="s">
        <v>867</v>
      </c>
      <c r="J2670" s="198" t="s">
        <v>132</v>
      </c>
      <c r="K2670" s="202">
        <f t="shared" si="41"/>
        <v>1366290</v>
      </c>
      <c r="L2670" s="202">
        <v>267.89999999999998</v>
      </c>
      <c r="N2670" s="202">
        <v>2591128</v>
      </c>
      <c r="S2670" s="203"/>
      <c r="W2670" s="198" t="s">
        <v>51</v>
      </c>
      <c r="AE2670" s="198" t="s">
        <v>54</v>
      </c>
    </row>
    <row r="2671" spans="3:31" x14ac:dyDescent="0.25">
      <c r="C2671" s="201"/>
      <c r="E2671" s="201"/>
      <c r="F2671" s="201"/>
      <c r="I2671" s="198" t="s">
        <v>873</v>
      </c>
      <c r="J2671" s="198" t="s">
        <v>126</v>
      </c>
      <c r="K2671" s="202">
        <f t="shared" si="41"/>
        <v>1366800</v>
      </c>
      <c r="L2671" s="202">
        <v>268</v>
      </c>
      <c r="N2671" s="202">
        <v>9064479</v>
      </c>
      <c r="S2671" s="203"/>
      <c r="W2671" s="198" t="s">
        <v>51</v>
      </c>
      <c r="AE2671" s="198" t="s">
        <v>54</v>
      </c>
    </row>
    <row r="2672" spans="3:31" x14ac:dyDescent="0.25">
      <c r="C2672" s="201"/>
      <c r="E2672" s="201"/>
      <c r="F2672" s="201"/>
      <c r="I2672" s="198" t="s">
        <v>872</v>
      </c>
      <c r="J2672" s="198" t="s">
        <v>134</v>
      </c>
      <c r="K2672" s="202">
        <f t="shared" si="41"/>
        <v>1367310</v>
      </c>
      <c r="L2672" s="202">
        <v>268.10000000000002</v>
      </c>
      <c r="N2672" s="202">
        <v>2053325.68</v>
      </c>
      <c r="S2672" s="203"/>
      <c r="W2672" s="198" t="s">
        <v>51</v>
      </c>
      <c r="AE2672" s="198" t="s">
        <v>54</v>
      </c>
    </row>
    <row r="2673" spans="3:31" x14ac:dyDescent="0.25">
      <c r="C2673" s="201"/>
      <c r="E2673" s="201"/>
      <c r="F2673" s="201"/>
      <c r="I2673" s="198" t="s">
        <v>136</v>
      </c>
      <c r="J2673" s="198" t="s">
        <v>137</v>
      </c>
      <c r="K2673" s="202">
        <f t="shared" si="41"/>
        <v>1367820</v>
      </c>
      <c r="L2673" s="202">
        <v>268.2</v>
      </c>
      <c r="N2673" s="202">
        <v>10760.16</v>
      </c>
      <c r="S2673" s="204"/>
      <c r="W2673" s="198" t="s">
        <v>51</v>
      </c>
      <c r="AE2673" s="198" t="s">
        <v>844</v>
      </c>
    </row>
    <row r="2674" spans="3:31" x14ac:dyDescent="0.25">
      <c r="C2674" s="201"/>
      <c r="E2674" s="201"/>
      <c r="F2674" s="201"/>
      <c r="I2674" s="198" t="s">
        <v>136</v>
      </c>
      <c r="J2674" s="198" t="s">
        <v>137</v>
      </c>
      <c r="K2674" s="202">
        <f t="shared" si="41"/>
        <v>1368330</v>
      </c>
      <c r="L2674" s="202">
        <v>268.3</v>
      </c>
      <c r="N2674" s="202">
        <v>30054.240000000002</v>
      </c>
      <c r="S2674" s="204"/>
      <c r="W2674" s="198" t="s">
        <v>51</v>
      </c>
      <c r="AE2674" s="198" t="s">
        <v>844</v>
      </c>
    </row>
    <row r="2675" spans="3:31" x14ac:dyDescent="0.25">
      <c r="C2675" s="201"/>
      <c r="E2675" s="201"/>
      <c r="F2675" s="201"/>
      <c r="I2675" s="198" t="s">
        <v>136</v>
      </c>
      <c r="J2675" s="198" t="s">
        <v>137</v>
      </c>
      <c r="K2675" s="202">
        <f t="shared" si="41"/>
        <v>1368840</v>
      </c>
      <c r="L2675" s="202">
        <v>268.39999999999998</v>
      </c>
      <c r="N2675" s="202">
        <v>6029.4</v>
      </c>
      <c r="S2675" s="204"/>
      <c r="W2675" s="198" t="s">
        <v>51</v>
      </c>
      <c r="AE2675" s="198" t="s">
        <v>844</v>
      </c>
    </row>
    <row r="2676" spans="3:31" x14ac:dyDescent="0.25">
      <c r="C2676" s="201"/>
      <c r="E2676" s="201"/>
      <c r="F2676" s="201"/>
      <c r="I2676" s="198" t="s">
        <v>136</v>
      </c>
      <c r="J2676" s="198" t="s">
        <v>137</v>
      </c>
      <c r="K2676" s="202">
        <f t="shared" si="41"/>
        <v>1369350</v>
      </c>
      <c r="L2676" s="202">
        <v>268.5</v>
      </c>
      <c r="N2676" s="202">
        <v>8311.0400000000009</v>
      </c>
      <c r="S2676" s="204"/>
      <c r="W2676" s="198" t="s">
        <v>51</v>
      </c>
      <c r="AE2676" s="198" t="s">
        <v>844</v>
      </c>
    </row>
    <row r="2677" spans="3:31" x14ac:dyDescent="0.25">
      <c r="C2677" s="201"/>
      <c r="E2677" s="201"/>
      <c r="F2677" s="201"/>
      <c r="I2677" s="198" t="s">
        <v>131</v>
      </c>
      <c r="J2677" s="198" t="s">
        <v>132</v>
      </c>
      <c r="K2677" s="202">
        <f t="shared" si="41"/>
        <v>1369860</v>
      </c>
      <c r="L2677" s="202">
        <v>268.60000000000002</v>
      </c>
      <c r="N2677" s="202">
        <v>10760.16</v>
      </c>
      <c r="S2677" s="204"/>
      <c r="W2677" s="198" t="s">
        <v>51</v>
      </c>
      <c r="AE2677" s="198" t="s">
        <v>833</v>
      </c>
    </row>
    <row r="2678" spans="3:31" x14ac:dyDescent="0.25">
      <c r="C2678" s="201"/>
      <c r="E2678" s="201"/>
      <c r="F2678" s="201"/>
      <c r="I2678" s="198" t="s">
        <v>131</v>
      </c>
      <c r="J2678" s="198" t="s">
        <v>132</v>
      </c>
      <c r="K2678" s="202">
        <f t="shared" si="41"/>
        <v>1370370</v>
      </c>
      <c r="L2678" s="202">
        <v>268.7</v>
      </c>
      <c r="N2678" s="202">
        <v>30054.240000000002</v>
      </c>
      <c r="S2678" s="204"/>
      <c r="W2678" s="198" t="s">
        <v>51</v>
      </c>
      <c r="AE2678" s="198" t="s">
        <v>833</v>
      </c>
    </row>
    <row r="2679" spans="3:31" x14ac:dyDescent="0.25">
      <c r="C2679" s="201"/>
      <c r="E2679" s="201"/>
      <c r="F2679" s="201"/>
      <c r="I2679" s="198" t="s">
        <v>131</v>
      </c>
      <c r="J2679" s="198" t="s">
        <v>132</v>
      </c>
      <c r="K2679" s="202">
        <f t="shared" si="41"/>
        <v>1370880</v>
      </c>
      <c r="L2679" s="202">
        <v>268.8</v>
      </c>
      <c r="N2679" s="202">
        <v>6029.4</v>
      </c>
      <c r="S2679" s="204"/>
      <c r="W2679" s="198" t="s">
        <v>51</v>
      </c>
      <c r="AE2679" s="198" t="s">
        <v>833</v>
      </c>
    </row>
    <row r="2680" spans="3:31" x14ac:dyDescent="0.25">
      <c r="C2680" s="201"/>
      <c r="E2680" s="201"/>
      <c r="F2680" s="201"/>
      <c r="I2680" s="198" t="s">
        <v>131</v>
      </c>
      <c r="J2680" s="198" t="s">
        <v>132</v>
      </c>
      <c r="K2680" s="202">
        <f t="shared" si="41"/>
        <v>1371390</v>
      </c>
      <c r="L2680" s="202">
        <v>268.89999999999998</v>
      </c>
      <c r="N2680" s="202">
        <v>8311.0400000000009</v>
      </c>
      <c r="S2680" s="204"/>
      <c r="W2680" s="198" t="s">
        <v>51</v>
      </c>
      <c r="AE2680" s="198" t="s">
        <v>833</v>
      </c>
    </row>
    <row r="2681" spans="3:31" x14ac:dyDescent="0.25">
      <c r="C2681" s="201"/>
      <c r="E2681" s="201"/>
      <c r="F2681" s="201"/>
      <c r="I2681" s="198" t="s">
        <v>129</v>
      </c>
      <c r="J2681" s="198" t="s">
        <v>130</v>
      </c>
      <c r="K2681" s="202">
        <f t="shared" si="41"/>
        <v>1371900</v>
      </c>
      <c r="L2681" s="202">
        <v>269</v>
      </c>
      <c r="N2681" s="202">
        <v>10760.16</v>
      </c>
      <c r="S2681" s="204"/>
      <c r="W2681" s="198" t="s">
        <v>51</v>
      </c>
      <c r="AE2681" s="198" t="s">
        <v>833</v>
      </c>
    </row>
    <row r="2682" spans="3:31" x14ac:dyDescent="0.25">
      <c r="C2682" s="201"/>
      <c r="E2682" s="201"/>
      <c r="F2682" s="201"/>
      <c r="I2682" s="198" t="s">
        <v>129</v>
      </c>
      <c r="J2682" s="198" t="s">
        <v>130</v>
      </c>
      <c r="K2682" s="202">
        <f t="shared" si="41"/>
        <v>1372410</v>
      </c>
      <c r="L2682" s="202">
        <v>269.10000000000002</v>
      </c>
      <c r="N2682" s="202">
        <v>30054.240000000002</v>
      </c>
      <c r="S2682" s="204"/>
      <c r="W2682" s="198" t="s">
        <v>51</v>
      </c>
      <c r="AE2682" s="198" t="s">
        <v>833</v>
      </c>
    </row>
    <row r="2683" spans="3:31" x14ac:dyDescent="0.25">
      <c r="C2683" s="201"/>
      <c r="E2683" s="201"/>
      <c r="F2683" s="201"/>
      <c r="I2683" s="198" t="s">
        <v>129</v>
      </c>
      <c r="J2683" s="198" t="s">
        <v>130</v>
      </c>
      <c r="K2683" s="202">
        <f t="shared" si="41"/>
        <v>1372920</v>
      </c>
      <c r="L2683" s="202">
        <v>269.2</v>
      </c>
      <c r="N2683" s="202">
        <v>6029.4</v>
      </c>
      <c r="S2683" s="204"/>
      <c r="W2683" s="198" t="s">
        <v>51</v>
      </c>
      <c r="AE2683" s="198" t="s">
        <v>833</v>
      </c>
    </row>
    <row r="2684" spans="3:31" x14ac:dyDescent="0.25">
      <c r="C2684" s="201"/>
      <c r="E2684" s="201"/>
      <c r="F2684" s="201"/>
      <c r="I2684" s="198" t="s">
        <v>129</v>
      </c>
      <c r="J2684" s="198" t="s">
        <v>130</v>
      </c>
      <c r="K2684" s="202">
        <f t="shared" si="41"/>
        <v>1373430</v>
      </c>
      <c r="L2684" s="202">
        <v>269.3</v>
      </c>
      <c r="N2684" s="202">
        <v>8311.0400000000009</v>
      </c>
      <c r="S2684" s="204"/>
      <c r="W2684" s="198" t="s">
        <v>51</v>
      </c>
      <c r="AE2684" s="198" t="s">
        <v>833</v>
      </c>
    </row>
    <row r="2685" spans="3:31" x14ac:dyDescent="0.25">
      <c r="C2685" s="201"/>
      <c r="E2685" s="201"/>
      <c r="F2685" s="201"/>
      <c r="I2685" s="198" t="s">
        <v>48</v>
      </c>
      <c r="J2685" s="198" t="s">
        <v>65</v>
      </c>
      <c r="K2685" s="202">
        <f t="shared" si="41"/>
        <v>1373940</v>
      </c>
      <c r="L2685" s="202">
        <v>269.39999999999998</v>
      </c>
      <c r="N2685" s="202">
        <v>-0.12</v>
      </c>
      <c r="S2685" s="204"/>
      <c r="W2685" s="198" t="s">
        <v>51</v>
      </c>
      <c r="AE2685" s="198" t="s">
        <v>831</v>
      </c>
    </row>
    <row r="2686" spans="3:31" x14ac:dyDescent="0.25">
      <c r="C2686" s="201"/>
      <c r="E2686" s="201"/>
      <c r="F2686" s="201"/>
      <c r="I2686" s="198" t="s">
        <v>48</v>
      </c>
      <c r="J2686" s="198" t="s">
        <v>65</v>
      </c>
      <c r="K2686" s="202">
        <f t="shared" si="41"/>
        <v>1374450</v>
      </c>
      <c r="L2686" s="202">
        <v>269.5</v>
      </c>
      <c r="N2686" s="202">
        <v>-0.01</v>
      </c>
      <c r="S2686" s="204"/>
      <c r="W2686" s="198" t="s">
        <v>51</v>
      </c>
      <c r="AE2686" s="198" t="s">
        <v>831</v>
      </c>
    </row>
    <row r="2687" spans="3:31" x14ac:dyDescent="0.25">
      <c r="C2687" s="201"/>
      <c r="E2687" s="201"/>
      <c r="F2687" s="201"/>
      <c r="I2687" s="198" t="s">
        <v>205</v>
      </c>
      <c r="J2687" s="198" t="s">
        <v>169</v>
      </c>
      <c r="K2687" s="202">
        <f t="shared" si="41"/>
        <v>1374960</v>
      </c>
      <c r="L2687" s="202">
        <v>269.60000000000002</v>
      </c>
      <c r="N2687" s="202">
        <v>575850</v>
      </c>
      <c r="S2687" s="204"/>
      <c r="W2687" s="198" t="s">
        <v>51</v>
      </c>
      <c r="AE2687" s="198" t="s">
        <v>831</v>
      </c>
    </row>
    <row r="2688" spans="3:31" x14ac:dyDescent="0.25">
      <c r="C2688" s="201"/>
      <c r="E2688" s="201"/>
      <c r="F2688" s="201"/>
      <c r="I2688" s="198" t="s">
        <v>180</v>
      </c>
      <c r="J2688" s="198" t="s">
        <v>65</v>
      </c>
      <c r="K2688" s="202">
        <f t="shared" si="41"/>
        <v>1375470</v>
      </c>
      <c r="L2688" s="202">
        <v>269.7</v>
      </c>
      <c r="N2688" s="202">
        <v>287925</v>
      </c>
      <c r="S2688" s="204"/>
      <c r="W2688" s="198" t="s">
        <v>51</v>
      </c>
      <c r="AE2688" s="198" t="s">
        <v>831</v>
      </c>
    </row>
    <row r="2689" spans="3:31" x14ac:dyDescent="0.25">
      <c r="C2689" s="201"/>
      <c r="E2689" s="201"/>
      <c r="F2689" s="201"/>
      <c r="I2689" s="198" t="s">
        <v>212</v>
      </c>
      <c r="J2689" s="198" t="s">
        <v>112</v>
      </c>
      <c r="K2689" s="202">
        <f t="shared" si="41"/>
        <v>1375980</v>
      </c>
      <c r="L2689" s="202">
        <v>269.8</v>
      </c>
      <c r="N2689" s="202">
        <v>769770.23</v>
      </c>
      <c r="S2689" s="204"/>
      <c r="W2689" s="198" t="s">
        <v>51</v>
      </c>
      <c r="AE2689" s="198" t="s">
        <v>831</v>
      </c>
    </row>
    <row r="2690" spans="3:31" x14ac:dyDescent="0.25">
      <c r="C2690" s="201"/>
      <c r="E2690" s="201"/>
      <c r="F2690" s="201"/>
      <c r="I2690" s="198" t="s">
        <v>212</v>
      </c>
      <c r="J2690" s="198" t="s">
        <v>112</v>
      </c>
      <c r="K2690" s="202">
        <f t="shared" si="41"/>
        <v>1376490</v>
      </c>
      <c r="L2690" s="202">
        <v>269.89999999999998</v>
      </c>
      <c r="N2690" s="202">
        <v>-769770.23</v>
      </c>
      <c r="S2690" s="204"/>
      <c r="W2690" s="198" t="s">
        <v>51</v>
      </c>
      <c r="AE2690" s="198" t="s">
        <v>831</v>
      </c>
    </row>
    <row r="2691" spans="3:31" x14ac:dyDescent="0.25">
      <c r="C2691" s="201"/>
      <c r="E2691" s="201"/>
      <c r="F2691" s="201"/>
      <c r="I2691" s="198" t="s">
        <v>110</v>
      </c>
      <c r="J2691" s="198" t="s">
        <v>89</v>
      </c>
      <c r="K2691" s="202">
        <f t="shared" ref="K2691:K2754" si="42">L2691*5100</f>
        <v>1377000</v>
      </c>
      <c r="L2691" s="202">
        <v>270</v>
      </c>
      <c r="N2691" s="202">
        <v>-195951.6</v>
      </c>
      <c r="S2691" s="203"/>
      <c r="W2691" s="198" t="s">
        <v>51</v>
      </c>
      <c r="AE2691" s="198" t="s">
        <v>831</v>
      </c>
    </row>
    <row r="2692" spans="3:31" x14ac:dyDescent="0.25">
      <c r="C2692" s="201"/>
      <c r="E2692" s="201"/>
      <c r="F2692" s="201"/>
      <c r="I2692" s="198" t="s">
        <v>669</v>
      </c>
      <c r="J2692" s="198" t="s">
        <v>112</v>
      </c>
      <c r="K2692" s="202">
        <f t="shared" si="42"/>
        <v>1377510</v>
      </c>
      <c r="L2692" s="202">
        <v>270.10000000000002</v>
      </c>
      <c r="N2692" s="202">
        <v>195951.6</v>
      </c>
      <c r="S2692" s="203"/>
      <c r="W2692" s="198" t="s">
        <v>51</v>
      </c>
      <c r="AE2692" s="198" t="s">
        <v>831</v>
      </c>
    </row>
    <row r="2693" spans="3:31" x14ac:dyDescent="0.25">
      <c r="C2693" s="201"/>
      <c r="E2693" s="201"/>
      <c r="F2693" s="201"/>
      <c r="I2693" s="198" t="s">
        <v>577</v>
      </c>
      <c r="J2693" s="198" t="s">
        <v>130</v>
      </c>
      <c r="K2693" s="202">
        <f t="shared" si="42"/>
        <v>1378020</v>
      </c>
      <c r="L2693" s="202">
        <v>270.2</v>
      </c>
      <c r="N2693" s="202">
        <v>8366775</v>
      </c>
      <c r="S2693" s="204"/>
      <c r="W2693" s="198" t="s">
        <v>51</v>
      </c>
      <c r="AE2693" s="198" t="s">
        <v>833</v>
      </c>
    </row>
    <row r="2694" spans="3:31" x14ac:dyDescent="0.25">
      <c r="C2694" s="201"/>
      <c r="E2694" s="201"/>
      <c r="F2694" s="201"/>
      <c r="I2694" s="198" t="s">
        <v>348</v>
      </c>
      <c r="J2694" s="198" t="s">
        <v>89</v>
      </c>
      <c r="K2694" s="202">
        <f t="shared" si="42"/>
        <v>1378530</v>
      </c>
      <c r="L2694" s="202">
        <v>270.3</v>
      </c>
      <c r="N2694" s="202">
        <v>1127500</v>
      </c>
      <c r="S2694" s="204"/>
      <c r="W2694" s="198" t="s">
        <v>51</v>
      </c>
      <c r="AE2694" s="198" t="s">
        <v>831</v>
      </c>
    </row>
    <row r="2695" spans="3:31" x14ac:dyDescent="0.25">
      <c r="C2695" s="201"/>
      <c r="E2695" s="201"/>
      <c r="F2695" s="201"/>
      <c r="I2695" s="198" t="s">
        <v>351</v>
      </c>
      <c r="J2695" s="198" t="s">
        <v>112</v>
      </c>
      <c r="K2695" s="202">
        <f t="shared" si="42"/>
        <v>1379040</v>
      </c>
      <c r="L2695" s="202">
        <v>270.39999999999998</v>
      </c>
      <c r="N2695" s="202">
        <v>522060</v>
      </c>
      <c r="S2695" s="204"/>
      <c r="W2695" s="198" t="s">
        <v>51</v>
      </c>
      <c r="AE2695" s="198" t="s">
        <v>831</v>
      </c>
    </row>
    <row r="2696" spans="3:31" x14ac:dyDescent="0.25">
      <c r="C2696" s="201"/>
      <c r="E2696" s="201"/>
      <c r="F2696" s="201"/>
      <c r="I2696" s="198" t="s">
        <v>215</v>
      </c>
      <c r="J2696" s="198" t="s">
        <v>89</v>
      </c>
      <c r="K2696" s="202">
        <f t="shared" si="42"/>
        <v>1379550</v>
      </c>
      <c r="L2696" s="202">
        <v>270.5</v>
      </c>
      <c r="N2696" s="202">
        <v>354290</v>
      </c>
      <c r="S2696" s="204"/>
      <c r="W2696" s="198" t="s">
        <v>51</v>
      </c>
      <c r="AE2696" s="198" t="s">
        <v>831</v>
      </c>
    </row>
    <row r="2697" spans="3:31" x14ac:dyDescent="0.25">
      <c r="C2697" s="201"/>
      <c r="E2697" s="201"/>
      <c r="F2697" s="201"/>
      <c r="I2697" s="198" t="s">
        <v>215</v>
      </c>
      <c r="J2697" s="198" t="s">
        <v>89</v>
      </c>
      <c r="K2697" s="202">
        <f t="shared" si="42"/>
        <v>1380060</v>
      </c>
      <c r="L2697" s="202">
        <v>270.60000000000002</v>
      </c>
      <c r="N2697" s="202">
        <v>354290</v>
      </c>
      <c r="S2697" s="204"/>
      <c r="W2697" s="198" t="s">
        <v>51</v>
      </c>
      <c r="AE2697" s="198" t="s">
        <v>831</v>
      </c>
    </row>
    <row r="2698" spans="3:31" x14ac:dyDescent="0.25">
      <c r="C2698" s="201"/>
      <c r="E2698" s="201"/>
      <c r="F2698" s="201"/>
      <c r="I2698" s="198" t="s">
        <v>215</v>
      </c>
      <c r="J2698" s="198" t="s">
        <v>89</v>
      </c>
      <c r="K2698" s="202">
        <f t="shared" si="42"/>
        <v>1380570</v>
      </c>
      <c r="L2698" s="202">
        <v>270.7</v>
      </c>
      <c r="N2698" s="202">
        <v>354290</v>
      </c>
      <c r="S2698" s="204"/>
      <c r="W2698" s="198" t="s">
        <v>51</v>
      </c>
      <c r="AE2698" s="198" t="s">
        <v>831</v>
      </c>
    </row>
    <row r="2699" spans="3:31" x14ac:dyDescent="0.25">
      <c r="C2699" s="201"/>
      <c r="E2699" s="201"/>
      <c r="F2699" s="201"/>
      <c r="I2699" s="198" t="s">
        <v>215</v>
      </c>
      <c r="J2699" s="198" t="s">
        <v>89</v>
      </c>
      <c r="K2699" s="202">
        <f t="shared" si="42"/>
        <v>1381080</v>
      </c>
      <c r="L2699" s="202">
        <v>270.8</v>
      </c>
      <c r="N2699" s="202">
        <v>354290</v>
      </c>
      <c r="S2699" s="204"/>
      <c r="W2699" s="198" t="s">
        <v>51</v>
      </c>
      <c r="AE2699" s="198" t="s">
        <v>831</v>
      </c>
    </row>
    <row r="2700" spans="3:31" x14ac:dyDescent="0.25">
      <c r="C2700" s="201"/>
      <c r="E2700" s="201"/>
      <c r="F2700" s="201"/>
      <c r="I2700" s="198" t="s">
        <v>215</v>
      </c>
      <c r="J2700" s="198" t="s">
        <v>89</v>
      </c>
      <c r="K2700" s="202">
        <f t="shared" si="42"/>
        <v>1381590</v>
      </c>
      <c r="L2700" s="202">
        <v>270.89999999999998</v>
      </c>
      <c r="N2700" s="202">
        <v>354290</v>
      </c>
      <c r="S2700" s="204"/>
      <c r="W2700" s="198" t="s">
        <v>51</v>
      </c>
      <c r="AE2700" s="198" t="s">
        <v>831</v>
      </c>
    </row>
    <row r="2701" spans="3:31" x14ac:dyDescent="0.25">
      <c r="C2701" s="201"/>
      <c r="E2701" s="201"/>
      <c r="F2701" s="201"/>
      <c r="I2701" s="198" t="s">
        <v>215</v>
      </c>
      <c r="J2701" s="198" t="s">
        <v>89</v>
      </c>
      <c r="K2701" s="202">
        <f t="shared" si="42"/>
        <v>1382100</v>
      </c>
      <c r="L2701" s="202">
        <v>271</v>
      </c>
      <c r="N2701" s="202">
        <v>354290</v>
      </c>
      <c r="S2701" s="204"/>
      <c r="W2701" s="198" t="s">
        <v>51</v>
      </c>
      <c r="AE2701" s="198" t="s">
        <v>831</v>
      </c>
    </row>
    <row r="2702" spans="3:31" x14ac:dyDescent="0.25">
      <c r="C2702" s="201"/>
      <c r="E2702" s="201"/>
      <c r="F2702" s="201"/>
      <c r="I2702" s="198" t="s">
        <v>215</v>
      </c>
      <c r="J2702" s="198" t="s">
        <v>89</v>
      </c>
      <c r="K2702" s="202">
        <f t="shared" si="42"/>
        <v>1382610</v>
      </c>
      <c r="L2702" s="202">
        <v>271.10000000000002</v>
      </c>
      <c r="N2702" s="202">
        <v>354290</v>
      </c>
      <c r="S2702" s="204"/>
      <c r="W2702" s="198" t="s">
        <v>51</v>
      </c>
      <c r="AE2702" s="198" t="s">
        <v>831</v>
      </c>
    </row>
    <row r="2703" spans="3:31" x14ac:dyDescent="0.25">
      <c r="C2703" s="201"/>
      <c r="E2703" s="201"/>
      <c r="F2703" s="201"/>
      <c r="I2703" s="198" t="s">
        <v>215</v>
      </c>
      <c r="J2703" s="198" t="s">
        <v>89</v>
      </c>
      <c r="K2703" s="202">
        <f t="shared" si="42"/>
        <v>1383120</v>
      </c>
      <c r="L2703" s="202">
        <v>271.2</v>
      </c>
      <c r="N2703" s="202">
        <v>354290</v>
      </c>
      <c r="S2703" s="204"/>
      <c r="W2703" s="198" t="s">
        <v>51</v>
      </c>
      <c r="AE2703" s="198" t="s">
        <v>831</v>
      </c>
    </row>
    <row r="2704" spans="3:31" x14ac:dyDescent="0.25">
      <c r="C2704" s="201"/>
      <c r="E2704" s="201"/>
      <c r="F2704" s="201"/>
      <c r="I2704" s="198" t="s">
        <v>215</v>
      </c>
      <c r="J2704" s="198" t="s">
        <v>89</v>
      </c>
      <c r="K2704" s="202">
        <f t="shared" si="42"/>
        <v>1383630</v>
      </c>
      <c r="L2704" s="202">
        <v>271.3</v>
      </c>
      <c r="N2704" s="202">
        <v>354290</v>
      </c>
      <c r="S2704" s="204"/>
      <c r="W2704" s="198" t="s">
        <v>51</v>
      </c>
      <c r="AE2704" s="198" t="s">
        <v>831</v>
      </c>
    </row>
    <row r="2705" spans="3:31" x14ac:dyDescent="0.25">
      <c r="C2705" s="201"/>
      <c r="E2705" s="201"/>
      <c r="F2705" s="201"/>
      <c r="I2705" s="198" t="s">
        <v>215</v>
      </c>
      <c r="J2705" s="198" t="s">
        <v>89</v>
      </c>
      <c r="K2705" s="202">
        <f t="shared" si="42"/>
        <v>1384140</v>
      </c>
      <c r="L2705" s="202">
        <v>271.39999999999998</v>
      </c>
      <c r="N2705" s="202">
        <v>354290</v>
      </c>
      <c r="S2705" s="204"/>
      <c r="W2705" s="198" t="s">
        <v>51</v>
      </c>
      <c r="AE2705" s="198" t="s">
        <v>831</v>
      </c>
    </row>
    <row r="2706" spans="3:31" x14ac:dyDescent="0.25">
      <c r="C2706" s="201"/>
      <c r="E2706" s="201"/>
      <c r="F2706" s="201"/>
      <c r="I2706" s="198" t="s">
        <v>215</v>
      </c>
      <c r="J2706" s="198" t="s">
        <v>89</v>
      </c>
      <c r="K2706" s="202">
        <f t="shared" si="42"/>
        <v>1384650</v>
      </c>
      <c r="L2706" s="202">
        <v>271.5</v>
      </c>
      <c r="N2706" s="202">
        <v>354290</v>
      </c>
      <c r="S2706" s="204"/>
      <c r="W2706" s="198" t="s">
        <v>51</v>
      </c>
      <c r="AE2706" s="198" t="s">
        <v>831</v>
      </c>
    </row>
    <row r="2707" spans="3:31" x14ac:dyDescent="0.25">
      <c r="C2707" s="201"/>
      <c r="E2707" s="201"/>
      <c r="F2707" s="201"/>
      <c r="I2707" s="198" t="s">
        <v>215</v>
      </c>
      <c r="J2707" s="198" t="s">
        <v>89</v>
      </c>
      <c r="K2707" s="202">
        <f t="shared" si="42"/>
        <v>1385160</v>
      </c>
      <c r="L2707" s="202">
        <v>271.60000000000002</v>
      </c>
      <c r="N2707" s="202">
        <v>354290</v>
      </c>
      <c r="S2707" s="204"/>
      <c r="W2707" s="198" t="s">
        <v>51</v>
      </c>
      <c r="AE2707" s="198" t="s">
        <v>831</v>
      </c>
    </row>
    <row r="2708" spans="3:31" x14ac:dyDescent="0.25">
      <c r="C2708" s="201"/>
      <c r="E2708" s="201"/>
      <c r="F2708" s="201"/>
      <c r="I2708" s="198" t="s">
        <v>215</v>
      </c>
      <c r="J2708" s="198" t="s">
        <v>89</v>
      </c>
      <c r="K2708" s="202">
        <f t="shared" si="42"/>
        <v>1385670</v>
      </c>
      <c r="L2708" s="202">
        <v>271.7</v>
      </c>
      <c r="N2708" s="202">
        <v>354290</v>
      </c>
      <c r="S2708" s="204"/>
      <c r="W2708" s="198" t="s">
        <v>51</v>
      </c>
      <c r="AE2708" s="198" t="s">
        <v>831</v>
      </c>
    </row>
    <row r="2709" spans="3:31" x14ac:dyDescent="0.25">
      <c r="C2709" s="201"/>
      <c r="E2709" s="201"/>
      <c r="F2709" s="201"/>
      <c r="I2709" s="198" t="s">
        <v>215</v>
      </c>
      <c r="J2709" s="198" t="s">
        <v>89</v>
      </c>
      <c r="K2709" s="202">
        <f t="shared" si="42"/>
        <v>1386180</v>
      </c>
      <c r="L2709" s="202">
        <v>271.8</v>
      </c>
      <c r="N2709" s="202">
        <v>354290</v>
      </c>
      <c r="S2709" s="204"/>
      <c r="W2709" s="198" t="s">
        <v>51</v>
      </c>
      <c r="AE2709" s="198" t="s">
        <v>831</v>
      </c>
    </row>
    <row r="2710" spans="3:31" x14ac:dyDescent="0.25">
      <c r="C2710" s="201"/>
      <c r="E2710" s="201"/>
      <c r="F2710" s="201"/>
      <c r="I2710" s="198" t="s">
        <v>215</v>
      </c>
      <c r="J2710" s="198" t="s">
        <v>89</v>
      </c>
      <c r="K2710" s="202">
        <f t="shared" si="42"/>
        <v>1386690</v>
      </c>
      <c r="L2710" s="202">
        <v>271.89999999999998</v>
      </c>
      <c r="N2710" s="202">
        <v>354290</v>
      </c>
      <c r="S2710" s="204"/>
      <c r="W2710" s="198" t="s">
        <v>51</v>
      </c>
      <c r="AE2710" s="198" t="s">
        <v>831</v>
      </c>
    </row>
    <row r="2711" spans="3:31" x14ac:dyDescent="0.25">
      <c r="C2711" s="201"/>
      <c r="E2711" s="201"/>
      <c r="F2711" s="201"/>
      <c r="I2711" s="198" t="s">
        <v>762</v>
      </c>
      <c r="J2711" s="198" t="s">
        <v>193</v>
      </c>
      <c r="K2711" s="202">
        <f t="shared" si="42"/>
        <v>1387200</v>
      </c>
      <c r="L2711" s="202">
        <v>272</v>
      </c>
      <c r="N2711" s="202">
        <v>94562.84</v>
      </c>
      <c r="S2711" s="203"/>
      <c r="W2711" s="198" t="s">
        <v>51</v>
      </c>
      <c r="AE2711" s="198" t="s">
        <v>830</v>
      </c>
    </row>
    <row r="2712" spans="3:31" x14ac:dyDescent="0.25">
      <c r="C2712" s="201"/>
      <c r="E2712" s="201"/>
      <c r="F2712" s="201"/>
      <c r="I2712" s="198" t="s">
        <v>763</v>
      </c>
      <c r="J2712" s="198" t="s">
        <v>143</v>
      </c>
      <c r="K2712" s="202">
        <f t="shared" si="42"/>
        <v>1387710</v>
      </c>
      <c r="L2712" s="202">
        <v>272.10000000000002</v>
      </c>
      <c r="N2712" s="202">
        <v>-21857.58</v>
      </c>
      <c r="S2712" s="204"/>
      <c r="W2712" s="198" t="s">
        <v>51</v>
      </c>
      <c r="AE2712" s="198" t="s">
        <v>829</v>
      </c>
    </row>
    <row r="2713" spans="3:31" x14ac:dyDescent="0.25">
      <c r="C2713" s="201"/>
      <c r="E2713" s="201"/>
      <c r="F2713" s="201"/>
      <c r="I2713" s="198" t="s">
        <v>763</v>
      </c>
      <c r="J2713" s="198" t="s">
        <v>143</v>
      </c>
      <c r="K2713" s="202">
        <f t="shared" si="42"/>
        <v>1388220</v>
      </c>
      <c r="L2713" s="202">
        <v>272.2</v>
      </c>
      <c r="N2713" s="202">
        <v>-12901.68</v>
      </c>
      <c r="S2713" s="204"/>
      <c r="W2713" s="198" t="s">
        <v>51</v>
      </c>
      <c r="AE2713" s="198" t="s">
        <v>829</v>
      </c>
    </row>
    <row r="2714" spans="3:31" x14ac:dyDescent="0.25">
      <c r="C2714" s="201"/>
      <c r="E2714" s="201"/>
      <c r="F2714" s="201"/>
      <c r="I2714" s="198" t="s">
        <v>761</v>
      </c>
      <c r="J2714" s="198" t="s">
        <v>156</v>
      </c>
      <c r="K2714" s="202">
        <f t="shared" si="42"/>
        <v>1388730</v>
      </c>
      <c r="L2714" s="202">
        <v>272.3</v>
      </c>
      <c r="N2714" s="202">
        <v>-14645.16</v>
      </c>
      <c r="S2714" s="204"/>
      <c r="W2714" s="198" t="s">
        <v>51</v>
      </c>
      <c r="AE2714" s="198" t="s">
        <v>828</v>
      </c>
    </row>
    <row r="2715" spans="3:31" x14ac:dyDescent="0.25">
      <c r="C2715" s="201"/>
      <c r="E2715" s="201"/>
      <c r="F2715" s="201"/>
      <c r="I2715" s="198" t="s">
        <v>759</v>
      </c>
      <c r="J2715" s="198" t="s">
        <v>148</v>
      </c>
      <c r="K2715" s="202">
        <f t="shared" si="42"/>
        <v>1389240</v>
      </c>
      <c r="L2715" s="202">
        <v>272.39999999999998</v>
      </c>
      <c r="N2715" s="202">
        <v>-14424.84</v>
      </c>
      <c r="S2715" s="204"/>
      <c r="W2715" s="198" t="s">
        <v>51</v>
      </c>
      <c r="AE2715" s="198" t="s">
        <v>828</v>
      </c>
    </row>
    <row r="2716" spans="3:31" x14ac:dyDescent="0.25">
      <c r="C2716" s="201"/>
      <c r="E2716" s="201"/>
      <c r="F2716" s="201"/>
      <c r="I2716" s="198" t="s">
        <v>215</v>
      </c>
      <c r="J2716" s="198" t="s">
        <v>89</v>
      </c>
      <c r="K2716" s="202">
        <f t="shared" si="42"/>
        <v>1389750</v>
      </c>
      <c r="L2716" s="202">
        <v>272.5</v>
      </c>
      <c r="N2716" s="202">
        <v>354290</v>
      </c>
      <c r="S2716" s="204"/>
      <c r="W2716" s="198" t="s">
        <v>51</v>
      </c>
      <c r="AE2716" s="198" t="s">
        <v>831</v>
      </c>
    </row>
    <row r="2717" spans="3:31" x14ac:dyDescent="0.25">
      <c r="C2717" s="201"/>
      <c r="E2717" s="201"/>
      <c r="F2717" s="201"/>
      <c r="I2717" s="198" t="s">
        <v>212</v>
      </c>
      <c r="J2717" s="198" t="s">
        <v>112</v>
      </c>
      <c r="K2717" s="202">
        <f t="shared" si="42"/>
        <v>1390260</v>
      </c>
      <c r="L2717" s="202">
        <v>272.60000000000002</v>
      </c>
      <c r="N2717" s="202">
        <v>769770.23</v>
      </c>
      <c r="S2717" s="204"/>
      <c r="W2717" s="198" t="s">
        <v>51</v>
      </c>
      <c r="AE2717" s="198" t="s">
        <v>831</v>
      </c>
    </row>
    <row r="2718" spans="3:31" x14ac:dyDescent="0.25">
      <c r="C2718" s="201"/>
      <c r="E2718" s="201"/>
      <c r="F2718" s="201"/>
      <c r="I2718" s="198" t="s">
        <v>212</v>
      </c>
      <c r="J2718" s="198" t="s">
        <v>112</v>
      </c>
      <c r="K2718" s="202">
        <f t="shared" si="42"/>
        <v>1390770</v>
      </c>
      <c r="L2718" s="202">
        <v>272.7</v>
      </c>
      <c r="N2718" s="202">
        <v>769770.23</v>
      </c>
      <c r="S2718" s="204"/>
      <c r="W2718" s="198" t="s">
        <v>51</v>
      </c>
      <c r="AE2718" s="198" t="s">
        <v>831</v>
      </c>
    </row>
    <row r="2719" spans="3:31" x14ac:dyDescent="0.25">
      <c r="C2719" s="201"/>
      <c r="E2719" s="201"/>
      <c r="F2719" s="201"/>
      <c r="I2719" s="198" t="s">
        <v>212</v>
      </c>
      <c r="J2719" s="198" t="s">
        <v>112</v>
      </c>
      <c r="K2719" s="202">
        <f t="shared" si="42"/>
        <v>1391280</v>
      </c>
      <c r="L2719" s="202">
        <v>272.8</v>
      </c>
      <c r="N2719" s="202">
        <v>769770.23</v>
      </c>
      <c r="S2719" s="204"/>
      <c r="W2719" s="198" t="s">
        <v>51</v>
      </c>
      <c r="AE2719" s="198" t="s">
        <v>831</v>
      </c>
    </row>
    <row r="2720" spans="3:31" x14ac:dyDescent="0.25">
      <c r="C2720" s="201"/>
      <c r="E2720" s="201"/>
      <c r="F2720" s="201"/>
      <c r="I2720" s="198" t="s">
        <v>212</v>
      </c>
      <c r="J2720" s="198" t="s">
        <v>112</v>
      </c>
      <c r="K2720" s="202">
        <f t="shared" si="42"/>
        <v>1391790</v>
      </c>
      <c r="L2720" s="202">
        <v>272.89999999999998</v>
      </c>
      <c r="N2720" s="202">
        <v>769770.23</v>
      </c>
      <c r="S2720" s="204"/>
      <c r="W2720" s="198" t="s">
        <v>51</v>
      </c>
      <c r="AE2720" s="198" t="s">
        <v>831</v>
      </c>
    </row>
    <row r="2721" spans="3:31" x14ac:dyDescent="0.25">
      <c r="C2721" s="201"/>
      <c r="E2721" s="201"/>
      <c r="F2721" s="201"/>
      <c r="I2721" s="198" t="s">
        <v>135</v>
      </c>
      <c r="J2721" s="198" t="s">
        <v>117</v>
      </c>
      <c r="K2721" s="202">
        <f t="shared" si="42"/>
        <v>1392300</v>
      </c>
      <c r="L2721" s="202">
        <v>273</v>
      </c>
      <c r="N2721" s="202">
        <v>-0.47</v>
      </c>
      <c r="S2721" s="204"/>
      <c r="W2721" s="198" t="s">
        <v>51</v>
      </c>
      <c r="AE2721" s="198" t="s">
        <v>878</v>
      </c>
    </row>
    <row r="2722" spans="3:31" x14ac:dyDescent="0.25">
      <c r="C2722" s="201"/>
      <c r="E2722" s="201"/>
      <c r="F2722" s="201"/>
      <c r="I2722" s="198" t="s">
        <v>77</v>
      </c>
      <c r="J2722" s="198" t="s">
        <v>65</v>
      </c>
      <c r="K2722" s="202">
        <f t="shared" si="42"/>
        <v>1392810</v>
      </c>
      <c r="L2722" s="202">
        <v>273.10000000000002</v>
      </c>
      <c r="N2722" s="202">
        <v>0.19</v>
      </c>
      <c r="S2722" s="204"/>
      <c r="W2722" s="198" t="s">
        <v>51</v>
      </c>
      <c r="AE2722" s="198" t="s">
        <v>831</v>
      </c>
    </row>
    <row r="2723" spans="3:31" x14ac:dyDescent="0.25">
      <c r="C2723" s="201"/>
      <c r="E2723" s="201"/>
      <c r="F2723" s="201"/>
      <c r="I2723" s="198" t="s">
        <v>122</v>
      </c>
      <c r="J2723" s="198" t="s">
        <v>126</v>
      </c>
      <c r="K2723" s="202">
        <f t="shared" si="42"/>
        <v>1393320</v>
      </c>
      <c r="L2723" s="202">
        <v>273.2</v>
      </c>
      <c r="N2723" s="202">
        <v>0.17</v>
      </c>
      <c r="S2723" s="204"/>
      <c r="W2723" s="198" t="s">
        <v>51</v>
      </c>
      <c r="AE2723" s="198" t="s">
        <v>835</v>
      </c>
    </row>
    <row r="2724" spans="3:31" x14ac:dyDescent="0.25">
      <c r="C2724" s="201"/>
      <c r="E2724" s="201"/>
      <c r="F2724" s="201"/>
      <c r="I2724" s="198" t="s">
        <v>129</v>
      </c>
      <c r="J2724" s="198" t="s">
        <v>130</v>
      </c>
      <c r="K2724" s="202">
        <f t="shared" si="42"/>
        <v>1393830</v>
      </c>
      <c r="L2724" s="202">
        <v>273.3</v>
      </c>
      <c r="N2724" s="202">
        <v>0.28999999999999998</v>
      </c>
      <c r="S2724" s="204"/>
      <c r="W2724" s="198" t="s">
        <v>51</v>
      </c>
      <c r="AE2724" s="198" t="s">
        <v>833</v>
      </c>
    </row>
    <row r="2725" spans="3:31" x14ac:dyDescent="0.25">
      <c r="C2725" s="201"/>
      <c r="E2725" s="201"/>
      <c r="F2725" s="201"/>
      <c r="I2725" s="198" t="s">
        <v>131</v>
      </c>
      <c r="J2725" s="198" t="s">
        <v>132</v>
      </c>
      <c r="K2725" s="202">
        <f t="shared" si="42"/>
        <v>1394340</v>
      </c>
      <c r="L2725" s="202">
        <v>273.39999999999998</v>
      </c>
      <c r="N2725" s="202">
        <v>0.28999999999999998</v>
      </c>
      <c r="S2725" s="204"/>
      <c r="W2725" s="198" t="s">
        <v>51</v>
      </c>
      <c r="AE2725" s="198" t="s">
        <v>833</v>
      </c>
    </row>
    <row r="2726" spans="3:31" x14ac:dyDescent="0.25">
      <c r="C2726" s="201"/>
      <c r="E2726" s="201"/>
      <c r="F2726" s="201"/>
      <c r="I2726" s="198" t="s">
        <v>129</v>
      </c>
      <c r="J2726" s="198" t="s">
        <v>130</v>
      </c>
      <c r="K2726" s="202">
        <f t="shared" si="42"/>
        <v>1394850</v>
      </c>
      <c r="L2726" s="202">
        <v>273.5</v>
      </c>
      <c r="N2726" s="202">
        <v>23000000</v>
      </c>
      <c r="S2726" s="204"/>
      <c r="W2726" s="198" t="s">
        <v>51</v>
      </c>
      <c r="AE2726" s="198" t="s">
        <v>833</v>
      </c>
    </row>
    <row r="2727" spans="3:31" x14ac:dyDescent="0.25">
      <c r="C2727" s="201"/>
      <c r="E2727" s="201"/>
      <c r="F2727" s="201"/>
      <c r="I2727" s="198" t="s">
        <v>204</v>
      </c>
      <c r="J2727" s="198" t="s">
        <v>169</v>
      </c>
      <c r="K2727" s="202">
        <f t="shared" si="42"/>
        <v>1395360</v>
      </c>
      <c r="L2727" s="202">
        <v>273.60000000000002</v>
      </c>
      <c r="N2727" s="202">
        <v>209424</v>
      </c>
      <c r="S2727" s="204"/>
      <c r="W2727" s="198" t="s">
        <v>51</v>
      </c>
      <c r="AE2727" s="198" t="s">
        <v>831</v>
      </c>
    </row>
    <row r="2728" spans="3:31" x14ac:dyDescent="0.25">
      <c r="C2728" s="201"/>
      <c r="E2728" s="201"/>
      <c r="F2728" s="201"/>
      <c r="I2728" s="198" t="s">
        <v>435</v>
      </c>
      <c r="J2728" s="198" t="s">
        <v>130</v>
      </c>
      <c r="K2728" s="202">
        <f t="shared" si="42"/>
        <v>1395870</v>
      </c>
      <c r="L2728" s="202">
        <v>273.7</v>
      </c>
      <c r="N2728" s="202">
        <v>5387025.5999999996</v>
      </c>
      <c r="S2728" s="204"/>
      <c r="W2728" s="198" t="s">
        <v>51</v>
      </c>
      <c r="AE2728" s="198" t="s">
        <v>833</v>
      </c>
    </row>
    <row r="2729" spans="3:31" x14ac:dyDescent="0.25">
      <c r="C2729" s="201"/>
      <c r="E2729" s="201"/>
      <c r="F2729" s="201"/>
      <c r="I2729" s="198" t="s">
        <v>435</v>
      </c>
      <c r="J2729" s="198" t="s">
        <v>130</v>
      </c>
      <c r="K2729" s="202">
        <f t="shared" si="42"/>
        <v>1396380</v>
      </c>
      <c r="L2729" s="202">
        <v>273.8</v>
      </c>
      <c r="N2729" s="202">
        <v>5377541.4000000004</v>
      </c>
      <c r="S2729" s="204"/>
      <c r="W2729" s="198" t="s">
        <v>51</v>
      </c>
      <c r="AE2729" s="198" t="s">
        <v>833</v>
      </c>
    </row>
    <row r="2730" spans="3:31" x14ac:dyDescent="0.25">
      <c r="C2730" s="201"/>
      <c r="E2730" s="201"/>
      <c r="F2730" s="201"/>
      <c r="I2730" s="198" t="s">
        <v>435</v>
      </c>
      <c r="J2730" s="198" t="s">
        <v>130</v>
      </c>
      <c r="K2730" s="202">
        <f t="shared" si="42"/>
        <v>1396890</v>
      </c>
      <c r="L2730" s="202">
        <v>273.89999999999998</v>
      </c>
      <c r="N2730" s="202">
        <v>5372799.2999999998</v>
      </c>
      <c r="S2730" s="204"/>
      <c r="W2730" s="198" t="s">
        <v>51</v>
      </c>
      <c r="AE2730" s="198" t="s">
        <v>833</v>
      </c>
    </row>
    <row r="2731" spans="3:31" x14ac:dyDescent="0.25">
      <c r="C2731" s="201"/>
      <c r="E2731" s="201"/>
      <c r="F2731" s="201"/>
      <c r="I2731" s="198" t="s">
        <v>435</v>
      </c>
      <c r="J2731" s="198" t="s">
        <v>130</v>
      </c>
      <c r="K2731" s="202">
        <f t="shared" si="42"/>
        <v>1397400</v>
      </c>
      <c r="L2731" s="202">
        <v>274</v>
      </c>
      <c r="N2731" s="202">
        <v>5403622.9500000002</v>
      </c>
      <c r="S2731" s="204"/>
      <c r="W2731" s="198" t="s">
        <v>51</v>
      </c>
      <c r="AE2731" s="198" t="s">
        <v>833</v>
      </c>
    </row>
    <row r="2732" spans="3:31" x14ac:dyDescent="0.25">
      <c r="C2732" s="201"/>
      <c r="E2732" s="201"/>
      <c r="F2732" s="201"/>
      <c r="I2732" s="198" t="s">
        <v>435</v>
      </c>
      <c r="J2732" s="198" t="s">
        <v>130</v>
      </c>
      <c r="K2732" s="202">
        <f t="shared" si="42"/>
        <v>1397910</v>
      </c>
      <c r="L2732" s="202">
        <v>274.10000000000002</v>
      </c>
      <c r="N2732" s="202">
        <v>5368057.2</v>
      </c>
      <c r="S2732" s="204"/>
      <c r="W2732" s="198" t="s">
        <v>51</v>
      </c>
      <c r="AE2732" s="198" t="s">
        <v>833</v>
      </c>
    </row>
    <row r="2733" spans="3:31" x14ac:dyDescent="0.25">
      <c r="C2733" s="201"/>
      <c r="E2733" s="201"/>
      <c r="F2733" s="201"/>
      <c r="I2733" s="198" t="s">
        <v>577</v>
      </c>
      <c r="J2733" s="198" t="s">
        <v>130</v>
      </c>
      <c r="K2733" s="202">
        <f t="shared" si="42"/>
        <v>1398420</v>
      </c>
      <c r="L2733" s="202">
        <v>274.2</v>
      </c>
      <c r="N2733" s="202">
        <v>6671850</v>
      </c>
      <c r="S2733" s="204"/>
      <c r="W2733" s="198" t="s">
        <v>51</v>
      </c>
      <c r="AE2733" s="198" t="s">
        <v>833</v>
      </c>
    </row>
    <row r="2734" spans="3:31" x14ac:dyDescent="0.25">
      <c r="C2734" s="201"/>
      <c r="E2734" s="201"/>
      <c r="F2734" s="201"/>
      <c r="I2734" s="198" t="s">
        <v>577</v>
      </c>
      <c r="J2734" s="198" t="s">
        <v>130</v>
      </c>
      <c r="K2734" s="202">
        <f t="shared" si="42"/>
        <v>1398930</v>
      </c>
      <c r="L2734" s="202">
        <v>274.3</v>
      </c>
      <c r="N2734" s="202">
        <v>5477700</v>
      </c>
      <c r="S2734" s="204"/>
      <c r="W2734" s="198" t="s">
        <v>51</v>
      </c>
      <c r="AE2734" s="198" t="s">
        <v>833</v>
      </c>
    </row>
    <row r="2735" spans="3:31" x14ac:dyDescent="0.25">
      <c r="C2735" s="201"/>
      <c r="E2735" s="201"/>
      <c r="F2735" s="201"/>
      <c r="I2735" s="198" t="s">
        <v>577</v>
      </c>
      <c r="J2735" s="198" t="s">
        <v>130</v>
      </c>
      <c r="K2735" s="202">
        <f t="shared" si="42"/>
        <v>1399440</v>
      </c>
      <c r="L2735" s="202">
        <v>274.39999999999998</v>
      </c>
      <c r="N2735" s="202">
        <v>1186550</v>
      </c>
      <c r="S2735" s="204"/>
      <c r="W2735" s="198" t="s">
        <v>51</v>
      </c>
      <c r="AE2735" s="198" t="s">
        <v>833</v>
      </c>
    </row>
    <row r="2736" spans="3:31" x14ac:dyDescent="0.25">
      <c r="C2736" s="201"/>
      <c r="E2736" s="201"/>
      <c r="F2736" s="201"/>
      <c r="I2736" s="198" t="s">
        <v>435</v>
      </c>
      <c r="J2736" s="198" t="s">
        <v>130</v>
      </c>
      <c r="K2736" s="202">
        <f t="shared" si="42"/>
        <v>1399950</v>
      </c>
      <c r="L2736" s="202">
        <v>274.5</v>
      </c>
      <c r="N2736" s="202">
        <v>1801998</v>
      </c>
      <c r="S2736" s="204"/>
      <c r="W2736" s="198" t="s">
        <v>51</v>
      </c>
      <c r="AE2736" s="198" t="s">
        <v>833</v>
      </c>
    </row>
    <row r="2737" spans="3:31" x14ac:dyDescent="0.25">
      <c r="C2737" s="201"/>
      <c r="E2737" s="201"/>
      <c r="F2737" s="201"/>
      <c r="I2737" s="198" t="s">
        <v>577</v>
      </c>
      <c r="J2737" s="198" t="s">
        <v>130</v>
      </c>
      <c r="K2737" s="202">
        <f t="shared" si="42"/>
        <v>1400460</v>
      </c>
      <c r="L2737" s="202">
        <v>274.60000000000002</v>
      </c>
      <c r="N2737" s="202">
        <v>0.28000000000000003</v>
      </c>
      <c r="S2737" s="203"/>
      <c r="W2737" s="198" t="s">
        <v>51</v>
      </c>
      <c r="AE2737" s="198" t="s">
        <v>54</v>
      </c>
    </row>
    <row r="2738" spans="3:31" x14ac:dyDescent="0.25">
      <c r="C2738" s="201"/>
      <c r="E2738" s="201"/>
      <c r="F2738" s="201"/>
      <c r="I2738" s="198" t="s">
        <v>290</v>
      </c>
      <c r="J2738" s="198" t="s">
        <v>65</v>
      </c>
      <c r="K2738" s="202">
        <f t="shared" si="42"/>
        <v>1400970</v>
      </c>
      <c r="L2738" s="202">
        <v>274.7</v>
      </c>
      <c r="N2738" s="202">
        <v>1100000</v>
      </c>
      <c r="S2738" s="204"/>
      <c r="W2738" s="198" t="s">
        <v>51</v>
      </c>
      <c r="AE2738" s="198" t="s">
        <v>831</v>
      </c>
    </row>
    <row r="2739" spans="3:31" x14ac:dyDescent="0.25">
      <c r="C2739" s="201"/>
      <c r="E2739" s="201"/>
      <c r="F2739" s="201"/>
      <c r="I2739" s="198" t="s">
        <v>129</v>
      </c>
      <c r="J2739" s="198" t="s">
        <v>130</v>
      </c>
      <c r="K2739" s="202">
        <f t="shared" si="42"/>
        <v>1401480</v>
      </c>
      <c r="L2739" s="202">
        <v>274.8</v>
      </c>
      <c r="N2739" s="202">
        <v>23000000</v>
      </c>
      <c r="S2739" s="204"/>
      <c r="W2739" s="198" t="s">
        <v>51</v>
      </c>
      <c r="AE2739" s="198" t="s">
        <v>833</v>
      </c>
    </row>
    <row r="2740" spans="3:31" x14ac:dyDescent="0.25">
      <c r="C2740" s="201"/>
      <c r="E2740" s="201"/>
      <c r="F2740" s="201"/>
      <c r="I2740" s="198" t="s">
        <v>129</v>
      </c>
      <c r="J2740" s="198" t="s">
        <v>130</v>
      </c>
      <c r="K2740" s="202">
        <f t="shared" si="42"/>
        <v>1401990</v>
      </c>
      <c r="L2740" s="202">
        <v>274.89999999999998</v>
      </c>
      <c r="N2740" s="202">
        <v>23000000</v>
      </c>
      <c r="S2740" s="204"/>
      <c r="W2740" s="198" t="s">
        <v>51</v>
      </c>
      <c r="AE2740" s="198" t="s">
        <v>833</v>
      </c>
    </row>
    <row r="2741" spans="3:31" x14ac:dyDescent="0.25">
      <c r="C2741" s="201"/>
      <c r="E2741" s="201"/>
      <c r="F2741" s="201"/>
      <c r="I2741" s="198" t="s">
        <v>519</v>
      </c>
      <c r="J2741" s="198" t="s">
        <v>130</v>
      </c>
      <c r="K2741" s="202">
        <f t="shared" si="42"/>
        <v>1402500</v>
      </c>
      <c r="L2741" s="202">
        <v>275</v>
      </c>
      <c r="N2741" s="202">
        <v>7740363</v>
      </c>
      <c r="S2741" s="204"/>
      <c r="W2741" s="198" t="s">
        <v>51</v>
      </c>
      <c r="AE2741" s="198" t="s">
        <v>833</v>
      </c>
    </row>
    <row r="2742" spans="3:31" x14ac:dyDescent="0.25">
      <c r="C2742" s="201"/>
      <c r="E2742" s="201"/>
      <c r="F2742" s="201"/>
      <c r="I2742" s="198" t="s">
        <v>519</v>
      </c>
      <c r="J2742" s="198" t="s">
        <v>130</v>
      </c>
      <c r="K2742" s="202">
        <f t="shared" si="42"/>
        <v>1403010</v>
      </c>
      <c r="L2742" s="202">
        <v>275.10000000000002</v>
      </c>
      <c r="N2742" s="202">
        <v>7740363</v>
      </c>
      <c r="S2742" s="204"/>
      <c r="W2742" s="198" t="s">
        <v>51</v>
      </c>
      <c r="AE2742" s="198" t="s">
        <v>833</v>
      </c>
    </row>
    <row r="2743" spans="3:31" x14ac:dyDescent="0.25">
      <c r="C2743" s="201"/>
      <c r="E2743" s="201"/>
      <c r="F2743" s="201"/>
      <c r="I2743" s="198" t="s">
        <v>582</v>
      </c>
      <c r="J2743" s="198" t="s">
        <v>132</v>
      </c>
      <c r="K2743" s="202">
        <f t="shared" si="42"/>
        <v>1403520</v>
      </c>
      <c r="L2743" s="202">
        <v>275.2</v>
      </c>
      <c r="N2743" s="202">
        <v>876972.41</v>
      </c>
      <c r="S2743" s="204"/>
      <c r="W2743" s="198" t="s">
        <v>51</v>
      </c>
      <c r="AE2743" s="198" t="s">
        <v>833</v>
      </c>
    </row>
    <row r="2744" spans="3:31" x14ac:dyDescent="0.25">
      <c r="C2744" s="201"/>
      <c r="E2744" s="201"/>
      <c r="F2744" s="201"/>
      <c r="I2744" s="198" t="s">
        <v>122</v>
      </c>
      <c r="J2744" s="198" t="s">
        <v>126</v>
      </c>
      <c r="K2744" s="202">
        <f t="shared" si="42"/>
        <v>1404030</v>
      </c>
      <c r="L2744" s="202">
        <v>275.3</v>
      </c>
      <c r="N2744" s="202">
        <v>-0.24</v>
      </c>
      <c r="S2744" s="204"/>
      <c r="W2744" s="198" t="s">
        <v>51</v>
      </c>
      <c r="AE2744" s="198" t="s">
        <v>835</v>
      </c>
    </row>
    <row r="2745" spans="3:31" x14ac:dyDescent="0.25">
      <c r="C2745" s="201"/>
      <c r="E2745" s="201"/>
      <c r="F2745" s="201"/>
      <c r="I2745" s="198" t="s">
        <v>157</v>
      </c>
      <c r="J2745" s="198" t="s">
        <v>143</v>
      </c>
      <c r="K2745" s="202">
        <f t="shared" si="42"/>
        <v>1404540</v>
      </c>
      <c r="L2745" s="202">
        <v>275.39999999999998</v>
      </c>
      <c r="N2745" s="202">
        <v>563750</v>
      </c>
      <c r="S2745" s="204"/>
      <c r="W2745" s="198" t="s">
        <v>51</v>
      </c>
      <c r="AE2745" s="198" t="s">
        <v>829</v>
      </c>
    </row>
    <row r="2746" spans="3:31" x14ac:dyDescent="0.25">
      <c r="C2746" s="201"/>
      <c r="E2746" s="201"/>
      <c r="F2746" s="201"/>
      <c r="I2746" s="198" t="s">
        <v>150</v>
      </c>
      <c r="J2746" s="198" t="s">
        <v>153</v>
      </c>
      <c r="K2746" s="202">
        <f t="shared" si="42"/>
        <v>1405050</v>
      </c>
      <c r="L2746" s="202">
        <v>275.5</v>
      </c>
      <c r="N2746" s="202">
        <v>225500</v>
      </c>
      <c r="S2746" s="204"/>
      <c r="W2746" s="198" t="s">
        <v>51</v>
      </c>
      <c r="AE2746" s="198" t="s">
        <v>1768</v>
      </c>
    </row>
    <row r="2747" spans="3:31" x14ac:dyDescent="0.25">
      <c r="C2747" s="201"/>
      <c r="E2747" s="201"/>
      <c r="F2747" s="201"/>
      <c r="I2747" s="198" t="s">
        <v>164</v>
      </c>
      <c r="J2747" s="198" t="s">
        <v>167</v>
      </c>
      <c r="K2747" s="202">
        <f t="shared" si="42"/>
        <v>1405560</v>
      </c>
      <c r="L2747" s="202">
        <v>275.60000000000002</v>
      </c>
      <c r="N2747" s="202">
        <v>287925</v>
      </c>
      <c r="S2747" s="204"/>
      <c r="W2747" s="198" t="s">
        <v>51</v>
      </c>
      <c r="AE2747" s="198" t="s">
        <v>831</v>
      </c>
    </row>
    <row r="2748" spans="3:31" x14ac:dyDescent="0.25">
      <c r="C2748" s="201"/>
      <c r="E2748" s="201"/>
      <c r="F2748" s="201"/>
      <c r="I2748" s="198" t="s">
        <v>164</v>
      </c>
      <c r="J2748" s="198" t="s">
        <v>167</v>
      </c>
      <c r="K2748" s="202">
        <f t="shared" si="42"/>
        <v>1406070</v>
      </c>
      <c r="L2748" s="202">
        <v>275.7</v>
      </c>
      <c r="N2748" s="202">
        <v>191950</v>
      </c>
      <c r="S2748" s="204"/>
      <c r="W2748" s="198" t="s">
        <v>51</v>
      </c>
      <c r="AE2748" s="198" t="s">
        <v>831</v>
      </c>
    </row>
    <row r="2749" spans="3:31" x14ac:dyDescent="0.25">
      <c r="C2749" s="201"/>
      <c r="E2749" s="201"/>
      <c r="F2749" s="201"/>
      <c r="I2749" s="198" t="s">
        <v>131</v>
      </c>
      <c r="J2749" s="198" t="s">
        <v>132</v>
      </c>
      <c r="K2749" s="202">
        <f t="shared" si="42"/>
        <v>1406580</v>
      </c>
      <c r="L2749" s="202">
        <v>275.8</v>
      </c>
      <c r="N2749" s="202">
        <v>4371354</v>
      </c>
      <c r="S2749" s="204"/>
      <c r="W2749" s="198" t="s">
        <v>51</v>
      </c>
      <c r="AE2749" s="198" t="s">
        <v>833</v>
      </c>
    </row>
    <row r="2750" spans="3:31" x14ac:dyDescent="0.25">
      <c r="C2750" s="201"/>
      <c r="E2750" s="201"/>
      <c r="F2750" s="201"/>
      <c r="I2750" s="198" t="s">
        <v>129</v>
      </c>
      <c r="J2750" s="198" t="s">
        <v>130</v>
      </c>
      <c r="K2750" s="202">
        <f t="shared" si="42"/>
        <v>1407090</v>
      </c>
      <c r="L2750" s="202">
        <v>275.89999999999998</v>
      </c>
      <c r="N2750" s="202">
        <v>23000000</v>
      </c>
      <c r="S2750" s="204"/>
      <c r="W2750" s="198" t="s">
        <v>51</v>
      </c>
      <c r="AE2750" s="198" t="s">
        <v>833</v>
      </c>
    </row>
    <row r="2751" spans="3:31" x14ac:dyDescent="0.25">
      <c r="C2751" s="201"/>
      <c r="E2751" s="201"/>
      <c r="F2751" s="201"/>
      <c r="I2751" s="198" t="s">
        <v>349</v>
      </c>
      <c r="J2751" s="198" t="s">
        <v>167</v>
      </c>
      <c r="K2751" s="202">
        <f t="shared" si="42"/>
        <v>1407600</v>
      </c>
      <c r="L2751" s="202">
        <v>276</v>
      </c>
      <c r="N2751" s="202">
        <v>990000</v>
      </c>
      <c r="S2751" s="204"/>
      <c r="W2751" s="198" t="s">
        <v>51</v>
      </c>
      <c r="AE2751" s="198" t="s">
        <v>831</v>
      </c>
    </row>
    <row r="2752" spans="3:31" x14ac:dyDescent="0.25">
      <c r="C2752" s="201"/>
      <c r="E2752" s="201"/>
      <c r="F2752" s="201"/>
      <c r="I2752" s="198" t="s">
        <v>519</v>
      </c>
      <c r="J2752" s="198" t="s">
        <v>130</v>
      </c>
      <c r="K2752" s="202">
        <f t="shared" si="42"/>
        <v>1408110</v>
      </c>
      <c r="L2752" s="202">
        <v>276.10000000000002</v>
      </c>
      <c r="N2752" s="202">
        <v>7740363</v>
      </c>
      <c r="S2752" s="204"/>
      <c r="W2752" s="198" t="s">
        <v>51</v>
      </c>
      <c r="AE2752" s="198" t="s">
        <v>833</v>
      </c>
    </row>
    <row r="2753" spans="3:31" x14ac:dyDescent="0.25">
      <c r="C2753" s="201"/>
      <c r="E2753" s="201"/>
      <c r="F2753" s="201"/>
      <c r="I2753" s="198" t="s">
        <v>519</v>
      </c>
      <c r="J2753" s="198" t="s">
        <v>130</v>
      </c>
      <c r="K2753" s="202">
        <f t="shared" si="42"/>
        <v>1408620</v>
      </c>
      <c r="L2753" s="202">
        <v>276.2</v>
      </c>
      <c r="N2753" s="202">
        <v>7740363</v>
      </c>
      <c r="S2753" s="204"/>
      <c r="W2753" s="198" t="s">
        <v>51</v>
      </c>
      <c r="AE2753" s="198" t="s">
        <v>833</v>
      </c>
    </row>
    <row r="2754" spans="3:31" x14ac:dyDescent="0.25">
      <c r="C2754" s="201"/>
      <c r="E2754" s="201"/>
      <c r="F2754" s="201"/>
      <c r="I2754" s="198" t="s">
        <v>164</v>
      </c>
      <c r="J2754" s="198" t="s">
        <v>167</v>
      </c>
      <c r="K2754" s="202">
        <f t="shared" si="42"/>
        <v>1409130</v>
      </c>
      <c r="L2754" s="202">
        <v>276.3</v>
      </c>
      <c r="N2754" s="202">
        <v>-191950</v>
      </c>
      <c r="S2754" s="204"/>
      <c r="W2754" s="198" t="s">
        <v>51</v>
      </c>
      <c r="AE2754" s="198" t="s">
        <v>831</v>
      </c>
    </row>
    <row r="2755" spans="3:31" x14ac:dyDescent="0.25">
      <c r="C2755" s="201"/>
      <c r="E2755" s="201"/>
      <c r="F2755" s="201"/>
      <c r="I2755" s="198" t="s">
        <v>164</v>
      </c>
      <c r="J2755" s="198" t="s">
        <v>167</v>
      </c>
      <c r="K2755" s="202">
        <f t="shared" ref="K2755:K2818" si="43">L2755*5100</f>
        <v>1409640</v>
      </c>
      <c r="L2755" s="202">
        <v>276.39999999999998</v>
      </c>
      <c r="N2755" s="202">
        <v>191950</v>
      </c>
      <c r="S2755" s="204"/>
      <c r="W2755" s="198" t="s">
        <v>51</v>
      </c>
      <c r="AE2755" s="198" t="s">
        <v>831</v>
      </c>
    </row>
    <row r="2756" spans="3:31" x14ac:dyDescent="0.25">
      <c r="C2756" s="201"/>
      <c r="E2756" s="201"/>
      <c r="F2756" s="201"/>
      <c r="I2756" s="198" t="s">
        <v>131</v>
      </c>
      <c r="J2756" s="198" t="s">
        <v>132</v>
      </c>
      <c r="K2756" s="202">
        <f t="shared" si="43"/>
        <v>1410150</v>
      </c>
      <c r="L2756" s="202">
        <v>276.5</v>
      </c>
      <c r="N2756" s="202">
        <v>-0.43</v>
      </c>
      <c r="S2756" s="204"/>
      <c r="W2756" s="198" t="s">
        <v>51</v>
      </c>
      <c r="AE2756" s="198" t="s">
        <v>833</v>
      </c>
    </row>
    <row r="2757" spans="3:31" x14ac:dyDescent="0.25">
      <c r="C2757" s="201"/>
      <c r="E2757" s="201"/>
      <c r="F2757" s="201"/>
      <c r="I2757" s="198" t="s">
        <v>136</v>
      </c>
      <c r="J2757" s="198" t="s">
        <v>137</v>
      </c>
      <c r="K2757" s="202">
        <f t="shared" si="43"/>
        <v>1410660</v>
      </c>
      <c r="L2757" s="202">
        <v>276.60000000000002</v>
      </c>
      <c r="N2757" s="202">
        <v>-0.12</v>
      </c>
      <c r="S2757" s="204"/>
      <c r="W2757" s="198" t="s">
        <v>51</v>
      </c>
      <c r="AE2757" s="198" t="s">
        <v>844</v>
      </c>
    </row>
    <row r="2758" spans="3:31" x14ac:dyDescent="0.25">
      <c r="C2758" s="201"/>
      <c r="E2758" s="201"/>
      <c r="F2758" s="201"/>
      <c r="I2758" s="198" t="s">
        <v>133</v>
      </c>
      <c r="J2758" s="198" t="s">
        <v>134</v>
      </c>
      <c r="K2758" s="202">
        <f t="shared" si="43"/>
        <v>1411170</v>
      </c>
      <c r="L2758" s="202">
        <v>276.7</v>
      </c>
      <c r="N2758" s="202">
        <v>-0.38</v>
      </c>
      <c r="S2758" s="204"/>
      <c r="W2758" s="198" t="s">
        <v>51</v>
      </c>
      <c r="AE2758" s="198" t="s">
        <v>846</v>
      </c>
    </row>
    <row r="2759" spans="3:31" x14ac:dyDescent="0.25">
      <c r="C2759" s="201"/>
      <c r="E2759" s="201"/>
      <c r="F2759" s="201"/>
      <c r="I2759" s="198" t="s">
        <v>669</v>
      </c>
      <c r="J2759" s="198" t="s">
        <v>112</v>
      </c>
      <c r="K2759" s="202">
        <f t="shared" si="43"/>
        <v>1411680</v>
      </c>
      <c r="L2759" s="202">
        <v>276.8</v>
      </c>
      <c r="N2759" s="202">
        <v>-0.19</v>
      </c>
      <c r="S2759" s="204"/>
      <c r="W2759" s="198" t="s">
        <v>51</v>
      </c>
      <c r="AE2759" s="198" t="s">
        <v>831</v>
      </c>
    </row>
    <row r="2760" spans="3:31" x14ac:dyDescent="0.25">
      <c r="C2760" s="201"/>
      <c r="E2760" s="201"/>
      <c r="F2760" s="201"/>
      <c r="I2760" s="198" t="s">
        <v>135</v>
      </c>
      <c r="J2760" s="198" t="s">
        <v>117</v>
      </c>
      <c r="K2760" s="202">
        <f t="shared" si="43"/>
        <v>1412190</v>
      </c>
      <c r="L2760" s="202">
        <v>276.89999999999998</v>
      </c>
      <c r="N2760" s="202">
        <v>5126825</v>
      </c>
      <c r="S2760" s="204"/>
      <c r="W2760" s="198" t="s">
        <v>51</v>
      </c>
      <c r="AE2760" s="198" t="s">
        <v>878</v>
      </c>
    </row>
    <row r="2761" spans="3:31" x14ac:dyDescent="0.25">
      <c r="C2761" s="201"/>
      <c r="E2761" s="201"/>
      <c r="F2761" s="201"/>
      <c r="I2761" s="198" t="s">
        <v>362</v>
      </c>
      <c r="J2761" s="198" t="s">
        <v>132</v>
      </c>
      <c r="K2761" s="202">
        <f t="shared" si="43"/>
        <v>1412700</v>
      </c>
      <c r="L2761" s="202">
        <v>277</v>
      </c>
      <c r="N2761" s="202">
        <v>617373.81000000006</v>
      </c>
      <c r="S2761" s="204"/>
      <c r="W2761" s="198" t="s">
        <v>51</v>
      </c>
      <c r="AE2761" s="198" t="s">
        <v>833</v>
      </c>
    </row>
    <row r="2762" spans="3:31" x14ac:dyDescent="0.25">
      <c r="C2762" s="201"/>
      <c r="E2762" s="201"/>
      <c r="F2762" s="201"/>
      <c r="I2762" s="198" t="s">
        <v>362</v>
      </c>
      <c r="J2762" s="198" t="s">
        <v>132</v>
      </c>
      <c r="K2762" s="202">
        <f t="shared" si="43"/>
        <v>1413210</v>
      </c>
      <c r="L2762" s="202">
        <v>277.10000000000002</v>
      </c>
      <c r="N2762" s="202">
        <v>617373.81000000006</v>
      </c>
      <c r="S2762" s="204"/>
      <c r="W2762" s="198" t="s">
        <v>51</v>
      </c>
      <c r="AE2762" s="198" t="s">
        <v>833</v>
      </c>
    </row>
    <row r="2763" spans="3:31" x14ac:dyDescent="0.25">
      <c r="C2763" s="201"/>
      <c r="E2763" s="201"/>
      <c r="F2763" s="201"/>
      <c r="I2763" s="198" t="s">
        <v>362</v>
      </c>
      <c r="J2763" s="198" t="s">
        <v>132</v>
      </c>
      <c r="K2763" s="202">
        <f t="shared" si="43"/>
        <v>1413720</v>
      </c>
      <c r="L2763" s="202">
        <v>277.2</v>
      </c>
      <c r="N2763" s="202">
        <v>617373.81000000006</v>
      </c>
      <c r="S2763" s="204"/>
      <c r="W2763" s="198" t="s">
        <v>51</v>
      </c>
      <c r="AE2763" s="198" t="s">
        <v>833</v>
      </c>
    </row>
    <row r="2764" spans="3:31" x14ac:dyDescent="0.25">
      <c r="C2764" s="201"/>
      <c r="E2764" s="201"/>
      <c r="F2764" s="201"/>
      <c r="I2764" s="198" t="s">
        <v>362</v>
      </c>
      <c r="J2764" s="198" t="s">
        <v>132</v>
      </c>
      <c r="K2764" s="202">
        <f t="shared" si="43"/>
        <v>1414230</v>
      </c>
      <c r="L2764" s="202">
        <v>277.3</v>
      </c>
      <c r="N2764" s="202">
        <v>617373.81000000006</v>
      </c>
      <c r="S2764" s="204"/>
      <c r="W2764" s="198" t="s">
        <v>51</v>
      </c>
      <c r="AE2764" s="198" t="s">
        <v>833</v>
      </c>
    </row>
    <row r="2765" spans="3:31" x14ac:dyDescent="0.25">
      <c r="C2765" s="201"/>
      <c r="E2765" s="201"/>
      <c r="F2765" s="201"/>
      <c r="I2765" s="198" t="s">
        <v>362</v>
      </c>
      <c r="J2765" s="198" t="s">
        <v>132</v>
      </c>
      <c r="K2765" s="202">
        <f t="shared" si="43"/>
        <v>1414740</v>
      </c>
      <c r="L2765" s="202">
        <v>277.39999999999998</v>
      </c>
      <c r="N2765" s="202">
        <v>617373.81000000006</v>
      </c>
      <c r="S2765" s="204"/>
      <c r="W2765" s="198" t="s">
        <v>51</v>
      </c>
      <c r="AE2765" s="198" t="s">
        <v>833</v>
      </c>
    </row>
    <row r="2766" spans="3:31" x14ac:dyDescent="0.25">
      <c r="C2766" s="201"/>
      <c r="E2766" s="201"/>
      <c r="F2766" s="201"/>
      <c r="I2766" s="198" t="s">
        <v>362</v>
      </c>
      <c r="J2766" s="198" t="s">
        <v>132</v>
      </c>
      <c r="K2766" s="202">
        <f t="shared" si="43"/>
        <v>1415250</v>
      </c>
      <c r="L2766" s="202">
        <v>277.5</v>
      </c>
      <c r="N2766" s="202">
        <v>617373.81000000006</v>
      </c>
      <c r="S2766" s="204"/>
      <c r="W2766" s="198" t="s">
        <v>51</v>
      </c>
      <c r="AE2766" s="198" t="s">
        <v>833</v>
      </c>
    </row>
    <row r="2767" spans="3:31" x14ac:dyDescent="0.25">
      <c r="C2767" s="201"/>
      <c r="E2767" s="201"/>
      <c r="F2767" s="201"/>
      <c r="I2767" s="198" t="s">
        <v>362</v>
      </c>
      <c r="J2767" s="198" t="s">
        <v>132</v>
      </c>
      <c r="K2767" s="202">
        <f t="shared" si="43"/>
        <v>1415760</v>
      </c>
      <c r="L2767" s="202">
        <v>277.60000000000002</v>
      </c>
      <c r="N2767" s="202">
        <v>617373.81000000006</v>
      </c>
      <c r="S2767" s="204"/>
      <c r="W2767" s="198" t="s">
        <v>51</v>
      </c>
      <c r="AE2767" s="198" t="s">
        <v>833</v>
      </c>
    </row>
    <row r="2768" spans="3:31" x14ac:dyDescent="0.25">
      <c r="C2768" s="201"/>
      <c r="E2768" s="201"/>
      <c r="F2768" s="201"/>
      <c r="I2768" s="198" t="s">
        <v>362</v>
      </c>
      <c r="J2768" s="198" t="s">
        <v>132</v>
      </c>
      <c r="K2768" s="202">
        <f t="shared" si="43"/>
        <v>1416270</v>
      </c>
      <c r="L2768" s="202">
        <v>277.7</v>
      </c>
      <c r="N2768" s="202">
        <v>617373.81000000006</v>
      </c>
      <c r="S2768" s="204"/>
      <c r="W2768" s="198" t="s">
        <v>51</v>
      </c>
      <c r="AE2768" s="198" t="s">
        <v>833</v>
      </c>
    </row>
    <row r="2769" spans="3:31" x14ac:dyDescent="0.25">
      <c r="C2769" s="201"/>
      <c r="E2769" s="201"/>
      <c r="F2769" s="201"/>
      <c r="I2769" s="198" t="s">
        <v>362</v>
      </c>
      <c r="J2769" s="198" t="s">
        <v>132</v>
      </c>
      <c r="K2769" s="202">
        <f t="shared" si="43"/>
        <v>1416780</v>
      </c>
      <c r="L2769" s="202">
        <v>277.8</v>
      </c>
      <c r="N2769" s="202">
        <v>617373.81000000006</v>
      </c>
      <c r="S2769" s="204"/>
      <c r="W2769" s="198" t="s">
        <v>51</v>
      </c>
      <c r="AE2769" s="198" t="s">
        <v>833</v>
      </c>
    </row>
    <row r="2770" spans="3:31" x14ac:dyDescent="0.25">
      <c r="C2770" s="201"/>
      <c r="E2770" s="201"/>
      <c r="F2770" s="201"/>
      <c r="I2770" s="198" t="s">
        <v>362</v>
      </c>
      <c r="J2770" s="198" t="s">
        <v>132</v>
      </c>
      <c r="K2770" s="202">
        <f t="shared" si="43"/>
        <v>1417290</v>
      </c>
      <c r="L2770" s="202">
        <v>277.89999999999998</v>
      </c>
      <c r="N2770" s="202">
        <v>617373.81000000006</v>
      </c>
      <c r="S2770" s="204"/>
      <c r="W2770" s="198" t="s">
        <v>51</v>
      </c>
      <c r="AE2770" s="198" t="s">
        <v>833</v>
      </c>
    </row>
    <row r="2771" spans="3:31" x14ac:dyDescent="0.25">
      <c r="C2771" s="201"/>
      <c r="E2771" s="201"/>
      <c r="F2771" s="201"/>
      <c r="I2771" s="198" t="s">
        <v>362</v>
      </c>
      <c r="J2771" s="198" t="s">
        <v>132</v>
      </c>
      <c r="K2771" s="202">
        <f t="shared" si="43"/>
        <v>1417800</v>
      </c>
      <c r="L2771" s="202">
        <v>278</v>
      </c>
      <c r="N2771" s="202">
        <v>617373.81000000006</v>
      </c>
      <c r="S2771" s="204"/>
      <c r="W2771" s="198" t="s">
        <v>51</v>
      </c>
      <c r="AE2771" s="198" t="s">
        <v>833</v>
      </c>
    </row>
    <row r="2772" spans="3:31" x14ac:dyDescent="0.25">
      <c r="C2772" s="201"/>
      <c r="E2772" s="201"/>
      <c r="F2772" s="201"/>
      <c r="I2772" s="198" t="s">
        <v>362</v>
      </c>
      <c r="J2772" s="198" t="s">
        <v>132</v>
      </c>
      <c r="K2772" s="202">
        <f t="shared" si="43"/>
        <v>1418310</v>
      </c>
      <c r="L2772" s="202">
        <v>278.10000000000002</v>
      </c>
      <c r="N2772" s="202">
        <v>617373.81000000006</v>
      </c>
      <c r="S2772" s="204"/>
      <c r="W2772" s="198" t="s">
        <v>51</v>
      </c>
      <c r="AE2772" s="198" t="s">
        <v>833</v>
      </c>
    </row>
    <row r="2773" spans="3:31" x14ac:dyDescent="0.25">
      <c r="C2773" s="201"/>
      <c r="E2773" s="201"/>
      <c r="F2773" s="201"/>
      <c r="I2773" s="198" t="s">
        <v>362</v>
      </c>
      <c r="J2773" s="198" t="s">
        <v>132</v>
      </c>
      <c r="K2773" s="202">
        <f t="shared" si="43"/>
        <v>1418820</v>
      </c>
      <c r="L2773" s="202">
        <v>278.2</v>
      </c>
      <c r="N2773" s="202">
        <v>617373.81000000006</v>
      </c>
      <c r="S2773" s="204"/>
      <c r="W2773" s="198" t="s">
        <v>51</v>
      </c>
      <c r="AE2773" s="198" t="s">
        <v>833</v>
      </c>
    </row>
    <row r="2774" spans="3:31" x14ac:dyDescent="0.25">
      <c r="C2774" s="201"/>
      <c r="E2774" s="201"/>
      <c r="F2774" s="201"/>
      <c r="I2774" s="198" t="s">
        <v>362</v>
      </c>
      <c r="J2774" s="198" t="s">
        <v>132</v>
      </c>
      <c r="K2774" s="202">
        <f t="shared" si="43"/>
        <v>1419330</v>
      </c>
      <c r="L2774" s="202">
        <v>278.3</v>
      </c>
      <c r="N2774" s="202">
        <v>617373.81000000006</v>
      </c>
      <c r="S2774" s="204"/>
      <c r="W2774" s="198" t="s">
        <v>51</v>
      </c>
      <c r="AE2774" s="198" t="s">
        <v>833</v>
      </c>
    </row>
    <row r="2775" spans="3:31" x14ac:dyDescent="0.25">
      <c r="C2775" s="201"/>
      <c r="E2775" s="201"/>
      <c r="F2775" s="201"/>
      <c r="I2775" s="198" t="s">
        <v>362</v>
      </c>
      <c r="J2775" s="198" t="s">
        <v>132</v>
      </c>
      <c r="K2775" s="202">
        <f t="shared" si="43"/>
        <v>1419840</v>
      </c>
      <c r="L2775" s="202">
        <v>278.39999999999998</v>
      </c>
      <c r="N2775" s="202">
        <v>617373.81000000006</v>
      </c>
      <c r="S2775" s="204"/>
      <c r="W2775" s="198" t="s">
        <v>51</v>
      </c>
      <c r="AE2775" s="198" t="s">
        <v>833</v>
      </c>
    </row>
    <row r="2776" spans="3:31" x14ac:dyDescent="0.25">
      <c r="C2776" s="201"/>
      <c r="E2776" s="201"/>
      <c r="F2776" s="201"/>
      <c r="I2776" s="198" t="s">
        <v>362</v>
      </c>
      <c r="J2776" s="198" t="s">
        <v>132</v>
      </c>
      <c r="K2776" s="202">
        <f t="shared" si="43"/>
        <v>1420350</v>
      </c>
      <c r="L2776" s="202">
        <v>278.5</v>
      </c>
      <c r="N2776" s="202">
        <v>617373.81000000006</v>
      </c>
      <c r="S2776" s="204"/>
      <c r="W2776" s="198" t="s">
        <v>51</v>
      </c>
      <c r="AE2776" s="198" t="s">
        <v>833</v>
      </c>
    </row>
    <row r="2777" spans="3:31" x14ac:dyDescent="0.25">
      <c r="C2777" s="201"/>
      <c r="E2777" s="201"/>
      <c r="F2777" s="201"/>
      <c r="I2777" s="198" t="s">
        <v>362</v>
      </c>
      <c r="J2777" s="198" t="s">
        <v>132</v>
      </c>
      <c r="K2777" s="202">
        <f t="shared" si="43"/>
        <v>1420860</v>
      </c>
      <c r="L2777" s="202">
        <v>278.60000000000002</v>
      </c>
      <c r="N2777" s="202">
        <v>617373.81000000006</v>
      </c>
      <c r="S2777" s="204"/>
      <c r="W2777" s="198" t="s">
        <v>51</v>
      </c>
      <c r="AE2777" s="198" t="s">
        <v>833</v>
      </c>
    </row>
    <row r="2778" spans="3:31" x14ac:dyDescent="0.25">
      <c r="C2778" s="201"/>
      <c r="E2778" s="201"/>
      <c r="F2778" s="201"/>
      <c r="I2778" s="198" t="s">
        <v>362</v>
      </c>
      <c r="J2778" s="198" t="s">
        <v>132</v>
      </c>
      <c r="K2778" s="202">
        <f t="shared" si="43"/>
        <v>1421370</v>
      </c>
      <c r="L2778" s="202">
        <v>278.7</v>
      </c>
      <c r="N2778" s="202">
        <v>617373.81000000006</v>
      </c>
      <c r="S2778" s="204"/>
      <c r="W2778" s="198" t="s">
        <v>51</v>
      </c>
      <c r="AE2778" s="198" t="s">
        <v>833</v>
      </c>
    </row>
    <row r="2779" spans="3:31" x14ac:dyDescent="0.25">
      <c r="C2779" s="201"/>
      <c r="E2779" s="201"/>
      <c r="F2779" s="201"/>
      <c r="I2779" s="198" t="s">
        <v>362</v>
      </c>
      <c r="J2779" s="198" t="s">
        <v>132</v>
      </c>
      <c r="K2779" s="202">
        <f t="shared" si="43"/>
        <v>1421880</v>
      </c>
      <c r="L2779" s="202">
        <v>278.8</v>
      </c>
      <c r="N2779" s="202">
        <v>617373.81000000006</v>
      </c>
      <c r="S2779" s="204"/>
      <c r="W2779" s="198" t="s">
        <v>51</v>
      </c>
      <c r="AE2779" s="198" t="s">
        <v>833</v>
      </c>
    </row>
    <row r="2780" spans="3:31" x14ac:dyDescent="0.25">
      <c r="C2780" s="201"/>
      <c r="E2780" s="201"/>
      <c r="F2780" s="201"/>
      <c r="I2780" s="198" t="s">
        <v>362</v>
      </c>
      <c r="J2780" s="198" t="s">
        <v>132</v>
      </c>
      <c r="K2780" s="202">
        <f t="shared" si="43"/>
        <v>1422390</v>
      </c>
      <c r="L2780" s="202">
        <v>278.89999999999998</v>
      </c>
      <c r="N2780" s="202">
        <v>617373.81000000006</v>
      </c>
      <c r="S2780" s="204"/>
      <c r="W2780" s="198" t="s">
        <v>51</v>
      </c>
      <c r="AE2780" s="198" t="s">
        <v>833</v>
      </c>
    </row>
    <row r="2781" spans="3:31" x14ac:dyDescent="0.25">
      <c r="C2781" s="201"/>
      <c r="E2781" s="201"/>
      <c r="F2781" s="201"/>
      <c r="I2781" s="198" t="s">
        <v>362</v>
      </c>
      <c r="J2781" s="198" t="s">
        <v>132</v>
      </c>
      <c r="K2781" s="202">
        <f t="shared" si="43"/>
        <v>1422900</v>
      </c>
      <c r="L2781" s="202">
        <v>279</v>
      </c>
      <c r="N2781" s="202">
        <v>617373.81000000006</v>
      </c>
      <c r="S2781" s="204"/>
      <c r="W2781" s="198" t="s">
        <v>51</v>
      </c>
      <c r="AE2781" s="198" t="s">
        <v>833</v>
      </c>
    </row>
    <row r="2782" spans="3:31" x14ac:dyDescent="0.25">
      <c r="C2782" s="201"/>
      <c r="E2782" s="201"/>
      <c r="F2782" s="201"/>
      <c r="I2782" s="198" t="s">
        <v>362</v>
      </c>
      <c r="J2782" s="198" t="s">
        <v>132</v>
      </c>
      <c r="K2782" s="202">
        <f t="shared" si="43"/>
        <v>1423410</v>
      </c>
      <c r="L2782" s="202">
        <v>279.10000000000002</v>
      </c>
      <c r="N2782" s="202">
        <v>617373.81000000006</v>
      </c>
      <c r="S2782" s="204"/>
      <c r="W2782" s="198" t="s">
        <v>51</v>
      </c>
      <c r="AE2782" s="198" t="s">
        <v>833</v>
      </c>
    </row>
    <row r="2783" spans="3:31" x14ac:dyDescent="0.25">
      <c r="C2783" s="201"/>
      <c r="E2783" s="201"/>
      <c r="F2783" s="201"/>
      <c r="I2783" s="198" t="s">
        <v>362</v>
      </c>
      <c r="J2783" s="198" t="s">
        <v>132</v>
      </c>
      <c r="K2783" s="202">
        <f t="shared" si="43"/>
        <v>1423920</v>
      </c>
      <c r="L2783" s="202">
        <v>279.2</v>
      </c>
      <c r="N2783" s="202">
        <v>617373.81000000006</v>
      </c>
      <c r="S2783" s="204"/>
      <c r="W2783" s="198" t="s">
        <v>51</v>
      </c>
      <c r="AE2783" s="198" t="s">
        <v>833</v>
      </c>
    </row>
    <row r="2784" spans="3:31" x14ac:dyDescent="0.25">
      <c r="C2784" s="201"/>
      <c r="E2784" s="201"/>
      <c r="F2784" s="201"/>
      <c r="I2784" s="198" t="s">
        <v>362</v>
      </c>
      <c r="J2784" s="198" t="s">
        <v>132</v>
      </c>
      <c r="K2784" s="202">
        <f t="shared" si="43"/>
        <v>1424430</v>
      </c>
      <c r="L2784" s="202">
        <v>279.3</v>
      </c>
      <c r="N2784" s="202">
        <v>617373.81000000006</v>
      </c>
      <c r="S2784" s="204"/>
      <c r="W2784" s="198" t="s">
        <v>51</v>
      </c>
      <c r="AE2784" s="198" t="s">
        <v>833</v>
      </c>
    </row>
    <row r="2785" spans="3:31" x14ac:dyDescent="0.25">
      <c r="C2785" s="201"/>
      <c r="E2785" s="201"/>
      <c r="F2785" s="201"/>
      <c r="I2785" s="198" t="s">
        <v>131</v>
      </c>
      <c r="J2785" s="198" t="s">
        <v>132</v>
      </c>
      <c r="K2785" s="202">
        <f t="shared" si="43"/>
        <v>1424940</v>
      </c>
      <c r="L2785" s="202">
        <v>279.39999999999998</v>
      </c>
      <c r="N2785" s="202">
        <v>240</v>
      </c>
      <c r="S2785" s="204"/>
      <c r="W2785" s="198" t="s">
        <v>51</v>
      </c>
      <c r="AE2785" s="198" t="s">
        <v>833</v>
      </c>
    </row>
    <row r="2786" spans="3:31" x14ac:dyDescent="0.25">
      <c r="C2786" s="201"/>
      <c r="E2786" s="201"/>
      <c r="F2786" s="201"/>
      <c r="I2786" s="198" t="s">
        <v>131</v>
      </c>
      <c r="J2786" s="198" t="s">
        <v>132</v>
      </c>
      <c r="K2786" s="202">
        <f t="shared" si="43"/>
        <v>1425450</v>
      </c>
      <c r="L2786" s="202">
        <v>279.5</v>
      </c>
      <c r="N2786" s="202">
        <v>-240</v>
      </c>
      <c r="S2786" s="204"/>
      <c r="W2786" s="198" t="s">
        <v>51</v>
      </c>
      <c r="AE2786" s="198" t="s">
        <v>833</v>
      </c>
    </row>
    <row r="2787" spans="3:31" x14ac:dyDescent="0.25">
      <c r="C2787" s="201"/>
      <c r="E2787" s="201"/>
      <c r="F2787" s="201"/>
      <c r="I2787" s="198" t="s">
        <v>48</v>
      </c>
      <c r="J2787" s="198" t="s">
        <v>65</v>
      </c>
      <c r="K2787" s="202">
        <f t="shared" si="43"/>
        <v>1425960</v>
      </c>
      <c r="L2787" s="202">
        <v>279.60000000000002</v>
      </c>
      <c r="N2787" s="202">
        <v>407384.57</v>
      </c>
      <c r="S2787" s="203"/>
      <c r="W2787" s="198" t="s">
        <v>51</v>
      </c>
      <c r="AE2787" s="198" t="s">
        <v>831</v>
      </c>
    </row>
    <row r="2788" spans="3:31" x14ac:dyDescent="0.25">
      <c r="C2788" s="201"/>
      <c r="E2788" s="201"/>
      <c r="F2788" s="201"/>
      <c r="I2788" s="198" t="s">
        <v>48</v>
      </c>
      <c r="J2788" s="198" t="s">
        <v>65</v>
      </c>
      <c r="K2788" s="202">
        <f t="shared" si="43"/>
        <v>1426470</v>
      </c>
      <c r="L2788" s="202">
        <v>279.7</v>
      </c>
      <c r="N2788" s="202">
        <v>73773.279999999999</v>
      </c>
      <c r="S2788" s="203"/>
      <c r="W2788" s="198" t="s">
        <v>51</v>
      </c>
      <c r="AE2788" s="198" t="s">
        <v>831</v>
      </c>
    </row>
    <row r="2789" spans="3:31" x14ac:dyDescent="0.25">
      <c r="C2789" s="201"/>
      <c r="E2789" s="201"/>
      <c r="F2789" s="201"/>
      <c r="I2789" s="198" t="s">
        <v>48</v>
      </c>
      <c r="J2789" s="198" t="s">
        <v>65</v>
      </c>
      <c r="K2789" s="202">
        <f t="shared" si="43"/>
        <v>1426980</v>
      </c>
      <c r="L2789" s="202">
        <v>279.8</v>
      </c>
      <c r="N2789" s="202">
        <v>42880.36</v>
      </c>
      <c r="S2789" s="203"/>
      <c r="W2789" s="198" t="s">
        <v>51</v>
      </c>
      <c r="AE2789" s="198" t="s">
        <v>831</v>
      </c>
    </row>
    <row r="2790" spans="3:31" x14ac:dyDescent="0.25">
      <c r="C2790" s="201"/>
      <c r="E2790" s="201"/>
      <c r="F2790" s="201"/>
      <c r="I2790" s="198" t="s">
        <v>180</v>
      </c>
      <c r="J2790" s="198" t="s">
        <v>65</v>
      </c>
      <c r="K2790" s="202">
        <f t="shared" si="43"/>
        <v>1427490</v>
      </c>
      <c r="L2790" s="202">
        <v>279.89999999999998</v>
      </c>
      <c r="N2790" s="202">
        <v>172755</v>
      </c>
      <c r="S2790" s="204"/>
      <c r="W2790" s="198" t="s">
        <v>51</v>
      </c>
      <c r="AE2790" s="198" t="s">
        <v>831</v>
      </c>
    </row>
    <row r="2791" spans="3:31" x14ac:dyDescent="0.25">
      <c r="C2791" s="201"/>
      <c r="E2791" s="201"/>
      <c r="F2791" s="201"/>
      <c r="I2791" s="198" t="s">
        <v>164</v>
      </c>
      <c r="J2791" s="198" t="s">
        <v>167</v>
      </c>
      <c r="K2791" s="202">
        <f t="shared" si="43"/>
        <v>1428000</v>
      </c>
      <c r="L2791" s="202">
        <v>280</v>
      </c>
      <c r="N2791" s="202">
        <v>115170</v>
      </c>
      <c r="S2791" s="204"/>
      <c r="W2791" s="198" t="s">
        <v>51</v>
      </c>
      <c r="AE2791" s="198" t="s">
        <v>831</v>
      </c>
    </row>
    <row r="2792" spans="3:31" x14ac:dyDescent="0.25">
      <c r="C2792" s="201"/>
      <c r="E2792" s="201"/>
      <c r="F2792" s="201"/>
      <c r="I2792" s="198" t="s">
        <v>212</v>
      </c>
      <c r="J2792" s="198" t="s">
        <v>112</v>
      </c>
      <c r="K2792" s="202">
        <f t="shared" si="43"/>
        <v>1428510</v>
      </c>
      <c r="L2792" s="202">
        <v>280.10000000000002</v>
      </c>
      <c r="N2792" s="202">
        <v>769770.23</v>
      </c>
      <c r="S2792" s="204"/>
      <c r="W2792" s="198" t="s">
        <v>51</v>
      </c>
      <c r="AE2792" s="198" t="s">
        <v>831</v>
      </c>
    </row>
    <row r="2793" spans="3:31" x14ac:dyDescent="0.25">
      <c r="C2793" s="201"/>
      <c r="E2793" s="201"/>
      <c r="F2793" s="201"/>
      <c r="I2793" s="198" t="s">
        <v>212</v>
      </c>
      <c r="J2793" s="198" t="s">
        <v>112</v>
      </c>
      <c r="K2793" s="202">
        <f t="shared" si="43"/>
        <v>1429020</v>
      </c>
      <c r="L2793" s="202">
        <v>280.2</v>
      </c>
      <c r="N2793" s="202">
        <v>769770.23</v>
      </c>
      <c r="S2793" s="204"/>
      <c r="W2793" s="198" t="s">
        <v>51</v>
      </c>
      <c r="AE2793" s="198" t="s">
        <v>831</v>
      </c>
    </row>
    <row r="2794" spans="3:31" x14ac:dyDescent="0.25">
      <c r="C2794" s="201"/>
      <c r="E2794" s="201"/>
      <c r="F2794" s="201"/>
      <c r="I2794" s="198" t="s">
        <v>212</v>
      </c>
      <c r="J2794" s="198" t="s">
        <v>112</v>
      </c>
      <c r="K2794" s="202">
        <f t="shared" si="43"/>
        <v>1429530</v>
      </c>
      <c r="L2794" s="202">
        <v>280.3</v>
      </c>
      <c r="N2794" s="202">
        <v>769770.23</v>
      </c>
      <c r="S2794" s="204"/>
      <c r="W2794" s="198" t="s">
        <v>51</v>
      </c>
      <c r="AE2794" s="198" t="s">
        <v>831</v>
      </c>
    </row>
    <row r="2795" spans="3:31" x14ac:dyDescent="0.25">
      <c r="C2795" s="201"/>
      <c r="E2795" s="201"/>
      <c r="F2795" s="201"/>
      <c r="I2795" s="198" t="s">
        <v>212</v>
      </c>
      <c r="J2795" s="198" t="s">
        <v>112</v>
      </c>
      <c r="K2795" s="202">
        <f t="shared" si="43"/>
        <v>1430040</v>
      </c>
      <c r="L2795" s="202">
        <v>280.39999999999998</v>
      </c>
      <c r="N2795" s="202">
        <v>769770.23</v>
      </c>
      <c r="S2795" s="204"/>
      <c r="W2795" s="198" t="s">
        <v>51</v>
      </c>
      <c r="AE2795" s="198" t="s">
        <v>831</v>
      </c>
    </row>
    <row r="2796" spans="3:31" x14ac:dyDescent="0.25">
      <c r="C2796" s="201"/>
      <c r="E2796" s="201"/>
      <c r="F2796" s="201"/>
      <c r="I2796" s="198" t="s">
        <v>136</v>
      </c>
      <c r="J2796" s="198" t="s">
        <v>137</v>
      </c>
      <c r="K2796" s="202">
        <f t="shared" si="43"/>
        <v>1430550</v>
      </c>
      <c r="L2796" s="202">
        <v>280.5</v>
      </c>
      <c r="N2796" s="202">
        <v>0.06</v>
      </c>
      <c r="S2796" s="204"/>
      <c r="W2796" s="198" t="s">
        <v>51</v>
      </c>
      <c r="AE2796" s="198" t="s">
        <v>844</v>
      </c>
    </row>
    <row r="2797" spans="3:31" x14ac:dyDescent="0.25">
      <c r="C2797" s="201"/>
      <c r="E2797" s="201"/>
      <c r="F2797" s="201"/>
      <c r="I2797" s="198" t="s">
        <v>136</v>
      </c>
      <c r="J2797" s="198" t="s">
        <v>137</v>
      </c>
      <c r="K2797" s="202">
        <f t="shared" si="43"/>
        <v>1431060</v>
      </c>
      <c r="L2797" s="202">
        <v>280.60000000000002</v>
      </c>
      <c r="N2797" s="202">
        <v>0.12</v>
      </c>
      <c r="S2797" s="204"/>
      <c r="W2797" s="198" t="s">
        <v>51</v>
      </c>
      <c r="AE2797" s="198" t="s">
        <v>844</v>
      </c>
    </row>
    <row r="2798" spans="3:31" x14ac:dyDescent="0.25">
      <c r="C2798" s="201"/>
      <c r="E2798" s="201"/>
      <c r="F2798" s="201"/>
      <c r="I2798" s="198" t="s">
        <v>788</v>
      </c>
      <c r="J2798" s="198" t="s">
        <v>193</v>
      </c>
      <c r="K2798" s="202">
        <f t="shared" si="43"/>
        <v>1431570</v>
      </c>
      <c r="L2798" s="202">
        <v>280.7</v>
      </c>
      <c r="N2798" s="202">
        <v>100050</v>
      </c>
      <c r="S2798" s="203"/>
      <c r="W2798" s="198" t="s">
        <v>51</v>
      </c>
      <c r="AE2798" s="198" t="s">
        <v>830</v>
      </c>
    </row>
    <row r="2799" spans="3:31" x14ac:dyDescent="0.25">
      <c r="C2799" s="201"/>
      <c r="E2799" s="201"/>
      <c r="F2799" s="201"/>
      <c r="I2799" s="198" t="s">
        <v>278</v>
      </c>
      <c r="J2799" s="198" t="s">
        <v>193</v>
      </c>
      <c r="K2799" s="202">
        <f t="shared" si="43"/>
        <v>1432080</v>
      </c>
      <c r="L2799" s="202">
        <v>280.8</v>
      </c>
      <c r="N2799" s="202">
        <v>11240.97</v>
      </c>
      <c r="S2799" s="203"/>
      <c r="W2799" s="198" t="s">
        <v>51</v>
      </c>
      <c r="AE2799" s="198" t="s">
        <v>830</v>
      </c>
    </row>
    <row r="2800" spans="3:31" x14ac:dyDescent="0.25">
      <c r="C2800" s="201"/>
      <c r="E2800" s="201"/>
      <c r="F2800" s="201"/>
      <c r="I2800" s="198" t="s">
        <v>278</v>
      </c>
      <c r="J2800" s="198" t="s">
        <v>193</v>
      </c>
      <c r="K2800" s="202">
        <f t="shared" si="43"/>
        <v>1432590</v>
      </c>
      <c r="L2800" s="202">
        <v>280.89999999999998</v>
      </c>
      <c r="N2800" s="202">
        <v>46512</v>
      </c>
      <c r="S2800" s="203"/>
      <c r="W2800" s="198" t="s">
        <v>51</v>
      </c>
      <c r="AE2800" s="198" t="s">
        <v>830</v>
      </c>
    </row>
    <row r="2801" spans="3:31" x14ac:dyDescent="0.25">
      <c r="C2801" s="201"/>
      <c r="E2801" s="201"/>
      <c r="F2801" s="201"/>
      <c r="I2801" s="198" t="s">
        <v>278</v>
      </c>
      <c r="J2801" s="198" t="s">
        <v>193</v>
      </c>
      <c r="K2801" s="202">
        <f t="shared" si="43"/>
        <v>1433100</v>
      </c>
      <c r="L2801" s="202">
        <v>281</v>
      </c>
      <c r="N2801" s="202">
        <v>10000</v>
      </c>
      <c r="S2801" s="204"/>
      <c r="W2801" s="198" t="s">
        <v>51</v>
      </c>
      <c r="AE2801" s="198" t="s">
        <v>830</v>
      </c>
    </row>
    <row r="2802" spans="3:31" x14ac:dyDescent="0.25">
      <c r="C2802" s="201"/>
      <c r="E2802" s="201"/>
      <c r="F2802" s="201"/>
      <c r="I2802" s="198" t="s">
        <v>278</v>
      </c>
      <c r="J2802" s="198" t="s">
        <v>193</v>
      </c>
      <c r="K2802" s="202">
        <f t="shared" si="43"/>
        <v>1433610</v>
      </c>
      <c r="L2802" s="202">
        <v>281.10000000000002</v>
      </c>
      <c r="N2802" s="202">
        <v>144000</v>
      </c>
      <c r="S2802" s="204"/>
      <c r="W2802" s="198" t="s">
        <v>51</v>
      </c>
      <c r="AE2802" s="198" t="s">
        <v>830</v>
      </c>
    </row>
    <row r="2803" spans="3:31" x14ac:dyDescent="0.25">
      <c r="C2803" s="201"/>
      <c r="E2803" s="201"/>
      <c r="F2803" s="201"/>
      <c r="I2803" s="198" t="s">
        <v>278</v>
      </c>
      <c r="J2803" s="198" t="s">
        <v>193</v>
      </c>
      <c r="K2803" s="202">
        <f t="shared" si="43"/>
        <v>1434120</v>
      </c>
      <c r="L2803" s="202">
        <v>281.2</v>
      </c>
      <c r="N2803" s="202">
        <v>42460.83</v>
      </c>
      <c r="S2803" s="203"/>
      <c r="W2803" s="198" t="s">
        <v>51</v>
      </c>
      <c r="AE2803" s="198" t="s">
        <v>830</v>
      </c>
    </row>
    <row r="2804" spans="3:31" x14ac:dyDescent="0.25">
      <c r="C2804" s="201"/>
      <c r="E2804" s="201"/>
      <c r="F2804" s="201"/>
      <c r="I2804" s="198" t="s">
        <v>773</v>
      </c>
      <c r="J2804" s="198" t="s">
        <v>193</v>
      </c>
      <c r="K2804" s="202">
        <f t="shared" si="43"/>
        <v>1434630</v>
      </c>
      <c r="L2804" s="202">
        <v>281.3</v>
      </c>
      <c r="N2804" s="202">
        <v>-0.13</v>
      </c>
      <c r="S2804" s="204"/>
      <c r="W2804" s="198" t="s">
        <v>51</v>
      </c>
      <c r="AE2804" s="198" t="s">
        <v>830</v>
      </c>
    </row>
    <row r="2805" spans="3:31" x14ac:dyDescent="0.25">
      <c r="C2805" s="201"/>
      <c r="E2805" s="201"/>
      <c r="F2805" s="201"/>
      <c r="I2805" s="198" t="s">
        <v>198</v>
      </c>
      <c r="J2805" s="198" t="s">
        <v>193</v>
      </c>
      <c r="K2805" s="202">
        <f t="shared" si="43"/>
        <v>1435140</v>
      </c>
      <c r="L2805" s="202">
        <v>281.39999999999998</v>
      </c>
      <c r="N2805" s="202">
        <v>36000</v>
      </c>
      <c r="S2805" s="204"/>
      <c r="W2805" s="198" t="s">
        <v>51</v>
      </c>
      <c r="AE2805" s="198" t="s">
        <v>830</v>
      </c>
    </row>
    <row r="2806" spans="3:31" x14ac:dyDescent="0.25">
      <c r="C2806" s="201"/>
      <c r="E2806" s="201"/>
      <c r="F2806" s="201"/>
      <c r="I2806" s="198" t="s">
        <v>198</v>
      </c>
      <c r="J2806" s="198" t="s">
        <v>193</v>
      </c>
      <c r="K2806" s="202">
        <f t="shared" si="43"/>
        <v>1435650</v>
      </c>
      <c r="L2806" s="202">
        <v>281.5</v>
      </c>
      <c r="N2806" s="202">
        <v>26000</v>
      </c>
      <c r="S2806" s="204"/>
      <c r="W2806" s="198" t="s">
        <v>51</v>
      </c>
      <c r="AE2806" s="198" t="s">
        <v>830</v>
      </c>
    </row>
    <row r="2807" spans="3:31" x14ac:dyDescent="0.25">
      <c r="C2807" s="201"/>
      <c r="E2807" s="201"/>
      <c r="F2807" s="201"/>
      <c r="I2807" s="198" t="s">
        <v>218</v>
      </c>
      <c r="J2807" s="198" t="s">
        <v>95</v>
      </c>
      <c r="K2807" s="202">
        <f t="shared" si="43"/>
        <v>1436160</v>
      </c>
      <c r="L2807" s="202">
        <v>281.60000000000002</v>
      </c>
      <c r="N2807" s="202">
        <v>775008</v>
      </c>
      <c r="S2807" s="203"/>
      <c r="W2807" s="198" t="s">
        <v>51</v>
      </c>
      <c r="AE2807" s="198" t="s">
        <v>831</v>
      </c>
    </row>
    <row r="2808" spans="3:31" x14ac:dyDescent="0.25">
      <c r="C2808" s="201"/>
      <c r="E2808" s="201"/>
      <c r="F2808" s="201"/>
      <c r="I2808" s="198" t="s">
        <v>218</v>
      </c>
      <c r="J2808" s="198" t="s">
        <v>95</v>
      </c>
      <c r="K2808" s="202">
        <f t="shared" si="43"/>
        <v>1436670</v>
      </c>
      <c r="L2808" s="202">
        <v>281.7</v>
      </c>
      <c r="N2808" s="202">
        <v>516672</v>
      </c>
      <c r="S2808" s="203"/>
      <c r="W2808" s="198" t="s">
        <v>51</v>
      </c>
      <c r="AE2808" s="198" t="s">
        <v>831</v>
      </c>
    </row>
    <row r="2809" spans="3:31" x14ac:dyDescent="0.25">
      <c r="C2809" s="201"/>
      <c r="E2809" s="201"/>
      <c r="F2809" s="201"/>
      <c r="I2809" s="198" t="s">
        <v>218</v>
      </c>
      <c r="J2809" s="198" t="s">
        <v>95</v>
      </c>
      <c r="K2809" s="202">
        <f t="shared" si="43"/>
        <v>1437180</v>
      </c>
      <c r="L2809" s="202">
        <v>281.8</v>
      </c>
      <c r="N2809" s="202">
        <v>1747746</v>
      </c>
      <c r="S2809" s="203"/>
      <c r="W2809" s="198" t="s">
        <v>51</v>
      </c>
      <c r="AE2809" s="198" t="s">
        <v>831</v>
      </c>
    </row>
    <row r="2810" spans="3:31" x14ac:dyDescent="0.25">
      <c r="C2810" s="201"/>
      <c r="E2810" s="201"/>
      <c r="F2810" s="201"/>
      <c r="I2810" s="198" t="s">
        <v>218</v>
      </c>
      <c r="J2810" s="198" t="s">
        <v>95</v>
      </c>
      <c r="K2810" s="202">
        <f t="shared" si="43"/>
        <v>1437690</v>
      </c>
      <c r="L2810" s="202">
        <v>281.89999999999998</v>
      </c>
      <c r="N2810" s="202">
        <v>980666.7</v>
      </c>
      <c r="S2810" s="203"/>
      <c r="W2810" s="198" t="s">
        <v>51</v>
      </c>
      <c r="AE2810" s="198" t="s">
        <v>831</v>
      </c>
    </row>
    <row r="2811" spans="3:31" x14ac:dyDescent="0.25">
      <c r="C2811" s="201"/>
      <c r="E2811" s="201"/>
      <c r="F2811" s="201"/>
      <c r="I2811" s="198" t="s">
        <v>218</v>
      </c>
      <c r="J2811" s="198" t="s">
        <v>95</v>
      </c>
      <c r="K2811" s="202">
        <f t="shared" si="43"/>
        <v>1438200</v>
      </c>
      <c r="L2811" s="202">
        <v>282</v>
      </c>
      <c r="N2811" s="202">
        <v>906200</v>
      </c>
      <c r="S2811" s="203"/>
      <c r="W2811" s="198" t="s">
        <v>51</v>
      </c>
      <c r="AE2811" s="198" t="s">
        <v>831</v>
      </c>
    </row>
    <row r="2812" spans="3:31" x14ac:dyDescent="0.25">
      <c r="C2812" s="201"/>
      <c r="E2812" s="201"/>
      <c r="F2812" s="201"/>
      <c r="I2812" s="198" t="s">
        <v>218</v>
      </c>
      <c r="J2812" s="198" t="s">
        <v>95</v>
      </c>
      <c r="K2812" s="202">
        <f t="shared" si="43"/>
        <v>1438710</v>
      </c>
      <c r="L2812" s="202">
        <v>282.10000000000002</v>
      </c>
      <c r="N2812" s="202">
        <v>276000</v>
      </c>
      <c r="S2812" s="204"/>
      <c r="W2812" s="198" t="s">
        <v>51</v>
      </c>
      <c r="AE2812" s="198" t="s">
        <v>831</v>
      </c>
    </row>
    <row r="2813" spans="3:31" x14ac:dyDescent="0.25">
      <c r="C2813" s="201"/>
      <c r="E2813" s="201"/>
      <c r="F2813" s="201"/>
      <c r="I2813" s="198" t="s">
        <v>218</v>
      </c>
      <c r="J2813" s="198" t="s">
        <v>95</v>
      </c>
      <c r="K2813" s="202">
        <f t="shared" si="43"/>
        <v>1439220</v>
      </c>
      <c r="L2813" s="202">
        <v>282.2</v>
      </c>
      <c r="N2813" s="202">
        <v>110000</v>
      </c>
      <c r="S2813" s="204"/>
      <c r="W2813" s="198" t="s">
        <v>51</v>
      </c>
      <c r="AE2813" s="198" t="s">
        <v>831</v>
      </c>
    </row>
    <row r="2814" spans="3:31" x14ac:dyDescent="0.25">
      <c r="C2814" s="201"/>
      <c r="E2814" s="201"/>
      <c r="F2814" s="201"/>
      <c r="I2814" s="198" t="s">
        <v>221</v>
      </c>
      <c r="J2814" s="198" t="s">
        <v>112</v>
      </c>
      <c r="K2814" s="202">
        <f t="shared" si="43"/>
        <v>1439730</v>
      </c>
      <c r="L2814" s="202">
        <v>282.3</v>
      </c>
      <c r="N2814" s="202">
        <v>1501718.4</v>
      </c>
      <c r="S2814" s="203"/>
      <c r="W2814" s="198" t="s">
        <v>51</v>
      </c>
      <c r="AE2814" s="198" t="s">
        <v>831</v>
      </c>
    </row>
    <row r="2815" spans="3:31" x14ac:dyDescent="0.25">
      <c r="C2815" s="201"/>
      <c r="E2815" s="201"/>
      <c r="F2815" s="201"/>
      <c r="I2815" s="198" t="s">
        <v>221</v>
      </c>
      <c r="J2815" s="198" t="s">
        <v>112</v>
      </c>
      <c r="K2815" s="202">
        <f t="shared" si="43"/>
        <v>1440240</v>
      </c>
      <c r="L2815" s="202">
        <v>282.39999999999998</v>
      </c>
      <c r="N2815" s="202">
        <v>1001145.6</v>
      </c>
      <c r="S2815" s="203"/>
      <c r="W2815" s="198" t="s">
        <v>51</v>
      </c>
      <c r="AE2815" s="198" t="s">
        <v>831</v>
      </c>
    </row>
    <row r="2816" spans="3:31" x14ac:dyDescent="0.25">
      <c r="C2816" s="201"/>
      <c r="E2816" s="201"/>
      <c r="F2816" s="201"/>
      <c r="I2816" s="198" t="s">
        <v>221</v>
      </c>
      <c r="J2816" s="198" t="s">
        <v>112</v>
      </c>
      <c r="K2816" s="202">
        <f t="shared" si="43"/>
        <v>1440750</v>
      </c>
      <c r="L2816" s="202">
        <v>282.5</v>
      </c>
      <c r="N2816" s="202">
        <v>3353173.6</v>
      </c>
      <c r="S2816" s="203"/>
      <c r="W2816" s="198" t="s">
        <v>51</v>
      </c>
      <c r="AE2816" s="198" t="s">
        <v>831</v>
      </c>
    </row>
    <row r="2817" spans="3:31" x14ac:dyDescent="0.25">
      <c r="C2817" s="201"/>
      <c r="E2817" s="201"/>
      <c r="F2817" s="201"/>
      <c r="I2817" s="198" t="s">
        <v>221</v>
      </c>
      <c r="J2817" s="198" t="s">
        <v>112</v>
      </c>
      <c r="K2817" s="202">
        <f t="shared" si="43"/>
        <v>1441260</v>
      </c>
      <c r="L2817" s="202">
        <v>282.60000000000002</v>
      </c>
      <c r="N2817" s="202">
        <v>1883837.15</v>
      </c>
      <c r="S2817" s="203"/>
      <c r="W2817" s="198" t="s">
        <v>51</v>
      </c>
      <c r="AE2817" s="198" t="s">
        <v>831</v>
      </c>
    </row>
    <row r="2818" spans="3:31" x14ac:dyDescent="0.25">
      <c r="C2818" s="201"/>
      <c r="E2818" s="201"/>
      <c r="F2818" s="201"/>
      <c r="I2818" s="198" t="s">
        <v>221</v>
      </c>
      <c r="J2818" s="198" t="s">
        <v>112</v>
      </c>
      <c r="K2818" s="202">
        <f t="shared" si="43"/>
        <v>1441770</v>
      </c>
      <c r="L2818" s="202">
        <v>282.7</v>
      </c>
      <c r="N2818" s="202">
        <v>1584332</v>
      </c>
      <c r="S2818" s="203"/>
      <c r="W2818" s="198" t="s">
        <v>51</v>
      </c>
      <c r="AE2818" s="198" t="s">
        <v>831</v>
      </c>
    </row>
    <row r="2819" spans="3:31" x14ac:dyDescent="0.25">
      <c r="C2819" s="201"/>
      <c r="E2819" s="201"/>
      <c r="F2819" s="201"/>
      <c r="I2819" s="198" t="s">
        <v>221</v>
      </c>
      <c r="J2819" s="198" t="s">
        <v>112</v>
      </c>
      <c r="K2819" s="202">
        <f t="shared" ref="K2819:K2882" si="44">L2819*5100</f>
        <v>1442280</v>
      </c>
      <c r="L2819" s="202">
        <v>282.8</v>
      </c>
      <c r="N2819" s="202">
        <v>468000</v>
      </c>
      <c r="S2819" s="204"/>
      <c r="W2819" s="198" t="s">
        <v>51</v>
      </c>
      <c r="AE2819" s="198" t="s">
        <v>831</v>
      </c>
    </row>
    <row r="2820" spans="3:31" x14ac:dyDescent="0.25">
      <c r="C2820" s="201"/>
      <c r="E2820" s="201"/>
      <c r="F2820" s="201"/>
      <c r="I2820" s="198" t="s">
        <v>222</v>
      </c>
      <c r="J2820" s="198" t="s">
        <v>112</v>
      </c>
      <c r="K2820" s="202">
        <f t="shared" si="44"/>
        <v>1442790</v>
      </c>
      <c r="L2820" s="202">
        <v>282.89999999999998</v>
      </c>
      <c r="N2820" s="202">
        <v>27000</v>
      </c>
      <c r="S2820" s="204"/>
      <c r="W2820" s="198" t="s">
        <v>51</v>
      </c>
      <c r="AE2820" s="198" t="s">
        <v>831</v>
      </c>
    </row>
    <row r="2821" spans="3:31" x14ac:dyDescent="0.25">
      <c r="C2821" s="201"/>
      <c r="E2821" s="201"/>
      <c r="F2821" s="201"/>
      <c r="I2821" s="198" t="s">
        <v>223</v>
      </c>
      <c r="J2821" s="198" t="s">
        <v>112</v>
      </c>
      <c r="K2821" s="202">
        <f t="shared" si="44"/>
        <v>1443300</v>
      </c>
      <c r="L2821" s="202">
        <v>283</v>
      </c>
      <c r="N2821" s="202">
        <v>5250</v>
      </c>
      <c r="S2821" s="204"/>
      <c r="W2821" s="198" t="s">
        <v>51</v>
      </c>
      <c r="AE2821" s="198" t="s">
        <v>831</v>
      </c>
    </row>
    <row r="2822" spans="3:31" x14ac:dyDescent="0.25">
      <c r="C2822" s="201"/>
      <c r="E2822" s="201"/>
      <c r="F2822" s="201"/>
      <c r="I2822" s="198" t="s">
        <v>225</v>
      </c>
      <c r="J2822" s="198" t="s">
        <v>112</v>
      </c>
      <c r="K2822" s="202">
        <f t="shared" si="44"/>
        <v>1443810</v>
      </c>
      <c r="L2822" s="202">
        <v>283.10000000000002</v>
      </c>
      <c r="N2822" s="202">
        <v>3000</v>
      </c>
      <c r="S2822" s="204"/>
      <c r="W2822" s="198" t="s">
        <v>51</v>
      </c>
      <c r="AE2822" s="198" t="s">
        <v>831</v>
      </c>
    </row>
    <row r="2823" spans="3:31" x14ac:dyDescent="0.25">
      <c r="C2823" s="201"/>
      <c r="E2823" s="201"/>
      <c r="F2823" s="201"/>
      <c r="I2823" s="198" t="s">
        <v>219</v>
      </c>
      <c r="J2823" s="198" t="s">
        <v>95</v>
      </c>
      <c r="K2823" s="202">
        <f t="shared" si="44"/>
        <v>1444320</v>
      </c>
      <c r="L2823" s="202">
        <v>283.2</v>
      </c>
      <c r="N2823" s="202">
        <v>27000</v>
      </c>
      <c r="S2823" s="204"/>
      <c r="W2823" s="198" t="s">
        <v>51</v>
      </c>
      <c r="AE2823" s="198" t="s">
        <v>831</v>
      </c>
    </row>
    <row r="2824" spans="3:31" x14ac:dyDescent="0.25">
      <c r="C2824" s="201"/>
      <c r="E2824" s="201"/>
      <c r="F2824" s="201"/>
      <c r="I2824" s="198" t="s">
        <v>755</v>
      </c>
      <c r="J2824" s="198" t="s">
        <v>274</v>
      </c>
      <c r="K2824" s="202">
        <f t="shared" si="44"/>
        <v>1444830</v>
      </c>
      <c r="L2824" s="202">
        <v>283.3</v>
      </c>
      <c r="N2824" s="202">
        <v>96007.16</v>
      </c>
      <c r="S2824" s="203"/>
      <c r="W2824" s="198" t="s">
        <v>51</v>
      </c>
      <c r="AE2824" s="198" t="s">
        <v>1767</v>
      </c>
    </row>
    <row r="2825" spans="3:31" x14ac:dyDescent="0.25">
      <c r="C2825" s="201"/>
      <c r="E2825" s="201"/>
      <c r="F2825" s="201"/>
      <c r="I2825" s="198" t="s">
        <v>760</v>
      </c>
      <c r="J2825" s="198" t="s">
        <v>153</v>
      </c>
      <c r="K2825" s="202">
        <f t="shared" si="44"/>
        <v>1445340</v>
      </c>
      <c r="L2825" s="202">
        <v>283.39999999999998</v>
      </c>
      <c r="N2825" s="202">
        <v>96007.16</v>
      </c>
      <c r="S2825" s="203"/>
      <c r="W2825" s="198" t="s">
        <v>51</v>
      </c>
      <c r="AE2825" s="198" t="s">
        <v>1768</v>
      </c>
    </row>
    <row r="2826" spans="3:31" x14ac:dyDescent="0.25">
      <c r="C2826" s="201"/>
      <c r="E2826" s="201"/>
      <c r="F2826" s="201"/>
      <c r="I2826" s="198" t="s">
        <v>779</v>
      </c>
      <c r="J2826" s="198" t="s">
        <v>148</v>
      </c>
      <c r="K2826" s="202">
        <f t="shared" si="44"/>
        <v>1445850</v>
      </c>
      <c r="L2826" s="202">
        <v>283.5</v>
      </c>
      <c r="N2826" s="202">
        <v>24390</v>
      </c>
      <c r="S2826" s="203"/>
      <c r="W2826" s="198" t="s">
        <v>51</v>
      </c>
      <c r="AE2826" s="198" t="s">
        <v>828</v>
      </c>
    </row>
    <row r="2827" spans="3:31" x14ac:dyDescent="0.25">
      <c r="C2827" s="201"/>
      <c r="E2827" s="201"/>
      <c r="F2827" s="201"/>
      <c r="I2827" s="198" t="s">
        <v>779</v>
      </c>
      <c r="J2827" s="198" t="s">
        <v>148</v>
      </c>
      <c r="K2827" s="202">
        <f t="shared" si="44"/>
        <v>1446360</v>
      </c>
      <c r="L2827" s="202">
        <v>283.60000000000002</v>
      </c>
      <c r="N2827" s="202">
        <v>13000</v>
      </c>
      <c r="S2827" s="204"/>
      <c r="W2827" s="198" t="s">
        <v>51</v>
      </c>
      <c r="AE2827" s="198" t="s">
        <v>828</v>
      </c>
    </row>
    <row r="2828" spans="3:31" x14ac:dyDescent="0.25">
      <c r="C2828" s="201"/>
      <c r="E2828" s="201"/>
      <c r="F2828" s="201"/>
      <c r="I2828" s="198" t="s">
        <v>778</v>
      </c>
      <c r="J2828" s="198" t="s">
        <v>153</v>
      </c>
      <c r="K2828" s="202">
        <f t="shared" si="44"/>
        <v>1446870</v>
      </c>
      <c r="L2828" s="202">
        <v>283.7</v>
      </c>
      <c r="N2828" s="202">
        <v>23814</v>
      </c>
      <c r="S2828" s="203"/>
      <c r="W2828" s="198" t="s">
        <v>51</v>
      </c>
      <c r="AE2828" s="198" t="s">
        <v>1768</v>
      </c>
    </row>
    <row r="2829" spans="3:31" x14ac:dyDescent="0.25">
      <c r="C2829" s="201"/>
      <c r="E2829" s="201"/>
      <c r="F2829" s="201"/>
      <c r="I2829" s="198" t="s">
        <v>778</v>
      </c>
      <c r="J2829" s="198" t="s">
        <v>153</v>
      </c>
      <c r="K2829" s="202">
        <f t="shared" si="44"/>
        <v>1447380</v>
      </c>
      <c r="L2829" s="202">
        <v>283.8</v>
      </c>
      <c r="N2829" s="202">
        <v>13000</v>
      </c>
      <c r="S2829" s="204"/>
      <c r="W2829" s="198" t="s">
        <v>51</v>
      </c>
      <c r="AE2829" s="198" t="s">
        <v>1768</v>
      </c>
    </row>
    <row r="2830" spans="3:31" x14ac:dyDescent="0.25">
      <c r="C2830" s="201"/>
      <c r="E2830" s="201"/>
      <c r="F2830" s="201"/>
      <c r="I2830" s="198" t="s">
        <v>780</v>
      </c>
      <c r="J2830" s="198" t="s">
        <v>274</v>
      </c>
      <c r="K2830" s="202">
        <f t="shared" si="44"/>
        <v>1447890</v>
      </c>
      <c r="L2830" s="202">
        <v>283.89999999999998</v>
      </c>
      <c r="N2830" s="202">
        <v>23220</v>
      </c>
      <c r="S2830" s="203"/>
      <c r="W2830" s="198" t="s">
        <v>51</v>
      </c>
      <c r="AE2830" s="198" t="s">
        <v>1767</v>
      </c>
    </row>
    <row r="2831" spans="3:31" x14ac:dyDescent="0.25">
      <c r="C2831" s="201"/>
      <c r="E2831" s="201"/>
      <c r="F2831" s="201"/>
      <c r="I2831" s="198" t="s">
        <v>780</v>
      </c>
      <c r="J2831" s="198" t="s">
        <v>274</v>
      </c>
      <c r="K2831" s="202">
        <f t="shared" si="44"/>
        <v>1448400</v>
      </c>
      <c r="L2831" s="202">
        <v>284</v>
      </c>
      <c r="N2831" s="202">
        <v>13000</v>
      </c>
      <c r="S2831" s="204"/>
      <c r="W2831" s="198" t="s">
        <v>51</v>
      </c>
      <c r="AE2831" s="198" t="s">
        <v>1767</v>
      </c>
    </row>
    <row r="2832" spans="3:31" x14ac:dyDescent="0.25">
      <c r="C2832" s="201"/>
      <c r="E2832" s="201"/>
      <c r="F2832" s="201"/>
      <c r="I2832" s="198" t="s">
        <v>136</v>
      </c>
      <c r="J2832" s="198" t="s">
        <v>137</v>
      </c>
      <c r="K2832" s="202">
        <f t="shared" si="44"/>
        <v>1448910</v>
      </c>
      <c r="L2832" s="202">
        <v>284.10000000000002</v>
      </c>
      <c r="N2832" s="202">
        <v>128538</v>
      </c>
      <c r="S2832" s="204"/>
      <c r="W2832" s="198" t="s">
        <v>51</v>
      </c>
      <c r="AE2832" s="198" t="s">
        <v>844</v>
      </c>
    </row>
    <row r="2833" spans="3:31" x14ac:dyDescent="0.25">
      <c r="C2833" s="201"/>
      <c r="E2833" s="201"/>
      <c r="F2833" s="201"/>
      <c r="I2833" s="198" t="s">
        <v>136</v>
      </c>
      <c r="J2833" s="198" t="s">
        <v>137</v>
      </c>
      <c r="K2833" s="202">
        <f t="shared" si="44"/>
        <v>1449420</v>
      </c>
      <c r="L2833" s="202">
        <v>284.2</v>
      </c>
      <c r="N2833" s="202">
        <v>636570</v>
      </c>
      <c r="S2833" s="204"/>
      <c r="W2833" s="198" t="s">
        <v>51</v>
      </c>
      <c r="AE2833" s="198" t="s">
        <v>844</v>
      </c>
    </row>
    <row r="2834" spans="3:31" x14ac:dyDescent="0.25">
      <c r="C2834" s="201"/>
      <c r="E2834" s="201"/>
      <c r="F2834" s="201"/>
      <c r="I2834" s="198" t="s">
        <v>136</v>
      </c>
      <c r="J2834" s="198" t="s">
        <v>137</v>
      </c>
      <c r="K2834" s="202">
        <f t="shared" si="44"/>
        <v>1449930</v>
      </c>
      <c r="L2834" s="202">
        <v>284.3</v>
      </c>
      <c r="N2834" s="202">
        <v>762399</v>
      </c>
      <c r="S2834" s="204"/>
      <c r="W2834" s="198" t="s">
        <v>51</v>
      </c>
      <c r="AE2834" s="198" t="s">
        <v>844</v>
      </c>
    </row>
    <row r="2835" spans="3:31" x14ac:dyDescent="0.25">
      <c r="C2835" s="201"/>
      <c r="E2835" s="201"/>
      <c r="F2835" s="201"/>
      <c r="I2835" s="198" t="s">
        <v>136</v>
      </c>
      <c r="J2835" s="198" t="s">
        <v>137</v>
      </c>
      <c r="K2835" s="202">
        <f t="shared" si="44"/>
        <v>1450440</v>
      </c>
      <c r="L2835" s="202">
        <v>284.39999999999998</v>
      </c>
      <c r="N2835" s="202">
        <v>68322</v>
      </c>
      <c r="S2835" s="204"/>
      <c r="W2835" s="198" t="s">
        <v>51</v>
      </c>
      <c r="AE2835" s="198" t="s">
        <v>844</v>
      </c>
    </row>
    <row r="2836" spans="3:31" x14ac:dyDescent="0.25">
      <c r="C2836" s="201"/>
      <c r="E2836" s="201"/>
      <c r="F2836" s="201"/>
      <c r="I2836" s="198" t="s">
        <v>131</v>
      </c>
      <c r="J2836" s="198" t="s">
        <v>132</v>
      </c>
      <c r="K2836" s="202">
        <f t="shared" si="44"/>
        <v>1450950</v>
      </c>
      <c r="L2836" s="202">
        <v>284.5</v>
      </c>
      <c r="N2836" s="202">
        <v>128538</v>
      </c>
      <c r="S2836" s="204"/>
      <c r="W2836" s="198" t="s">
        <v>51</v>
      </c>
      <c r="AE2836" s="198" t="s">
        <v>833</v>
      </c>
    </row>
    <row r="2837" spans="3:31" x14ac:dyDescent="0.25">
      <c r="C2837" s="201"/>
      <c r="E2837" s="201"/>
      <c r="F2837" s="201"/>
      <c r="I2837" s="198" t="s">
        <v>122</v>
      </c>
      <c r="J2837" s="198" t="s">
        <v>126</v>
      </c>
      <c r="K2837" s="202">
        <f t="shared" si="44"/>
        <v>1451460</v>
      </c>
      <c r="L2837" s="202">
        <v>284.60000000000002</v>
      </c>
      <c r="N2837" s="202">
        <v>71410</v>
      </c>
      <c r="S2837" s="204"/>
      <c r="W2837" s="198" t="s">
        <v>51</v>
      </c>
      <c r="AE2837" s="198" t="s">
        <v>835</v>
      </c>
    </row>
    <row r="2838" spans="3:31" x14ac:dyDescent="0.25">
      <c r="C2838" s="201"/>
      <c r="E2838" s="201"/>
      <c r="F2838" s="201"/>
      <c r="I2838" s="198" t="s">
        <v>179</v>
      </c>
      <c r="J2838" s="198" t="s">
        <v>169</v>
      </c>
      <c r="K2838" s="202">
        <f t="shared" si="44"/>
        <v>1451970</v>
      </c>
      <c r="L2838" s="202">
        <v>284.7</v>
      </c>
      <c r="N2838" s="202">
        <v>15561.42</v>
      </c>
      <c r="S2838" s="203"/>
      <c r="W2838" s="198" t="s">
        <v>51</v>
      </c>
      <c r="AE2838" s="198" t="s">
        <v>831</v>
      </c>
    </row>
    <row r="2839" spans="3:31" x14ac:dyDescent="0.25">
      <c r="C2839" s="201"/>
      <c r="E2839" s="201"/>
      <c r="F2839" s="201"/>
      <c r="I2839" s="198" t="s">
        <v>178</v>
      </c>
      <c r="J2839" s="198" t="s">
        <v>167</v>
      </c>
      <c r="K2839" s="202">
        <f t="shared" si="44"/>
        <v>1452480</v>
      </c>
      <c r="L2839" s="202">
        <v>284.8</v>
      </c>
      <c r="N2839" s="202">
        <v>695536.38</v>
      </c>
      <c r="S2839" s="203"/>
      <c r="W2839" s="198" t="s">
        <v>51</v>
      </c>
      <c r="AE2839" s="198" t="s">
        <v>831</v>
      </c>
    </row>
    <row r="2840" spans="3:31" x14ac:dyDescent="0.25">
      <c r="C2840" s="201"/>
      <c r="E2840" s="201"/>
      <c r="F2840" s="201"/>
      <c r="I2840" s="198" t="s">
        <v>110</v>
      </c>
      <c r="J2840" s="198" t="s">
        <v>89</v>
      </c>
      <c r="K2840" s="202">
        <f t="shared" si="44"/>
        <v>1452990</v>
      </c>
      <c r="L2840" s="202">
        <v>284.89999999999998</v>
      </c>
      <c r="N2840" s="202">
        <v>97997.55</v>
      </c>
      <c r="S2840" s="203"/>
      <c r="W2840" s="198" t="s">
        <v>51</v>
      </c>
      <c r="AE2840" s="198" t="s">
        <v>831</v>
      </c>
    </row>
    <row r="2841" spans="3:31" x14ac:dyDescent="0.25">
      <c r="C2841" s="201"/>
      <c r="E2841" s="201"/>
      <c r="F2841" s="201"/>
      <c r="I2841" s="198" t="s">
        <v>129</v>
      </c>
      <c r="J2841" s="198" t="s">
        <v>130</v>
      </c>
      <c r="K2841" s="202">
        <f t="shared" si="44"/>
        <v>1453500</v>
      </c>
      <c r="L2841" s="202">
        <v>285</v>
      </c>
      <c r="N2841" s="202">
        <v>1.08</v>
      </c>
      <c r="S2841" s="203"/>
      <c r="W2841" s="198" t="s">
        <v>51</v>
      </c>
      <c r="AE2841" s="198" t="s">
        <v>54</v>
      </c>
    </row>
    <row r="2842" spans="3:31" x14ac:dyDescent="0.25">
      <c r="C2842" s="201"/>
      <c r="E2842" s="201"/>
      <c r="F2842" s="201"/>
      <c r="I2842" s="198" t="s">
        <v>129</v>
      </c>
      <c r="J2842" s="198" t="s">
        <v>130</v>
      </c>
      <c r="K2842" s="202">
        <f t="shared" si="44"/>
        <v>1454010</v>
      </c>
      <c r="L2842" s="202">
        <v>285.10000000000002</v>
      </c>
      <c r="N2842" s="202">
        <v>-0.68</v>
      </c>
      <c r="S2842" s="203"/>
      <c r="W2842" s="198" t="s">
        <v>51</v>
      </c>
      <c r="AE2842" s="198" t="s">
        <v>54</v>
      </c>
    </row>
    <row r="2843" spans="3:31" x14ac:dyDescent="0.25">
      <c r="C2843" s="201"/>
      <c r="E2843" s="201"/>
      <c r="F2843" s="201"/>
      <c r="I2843" s="198" t="s">
        <v>783</v>
      </c>
      <c r="J2843" s="198" t="s">
        <v>148</v>
      </c>
      <c r="K2843" s="202">
        <f t="shared" si="44"/>
        <v>1454520</v>
      </c>
      <c r="L2843" s="202">
        <v>285.2</v>
      </c>
      <c r="N2843" s="202">
        <v>0.32</v>
      </c>
      <c r="S2843" s="204"/>
      <c r="W2843" s="198" t="s">
        <v>51</v>
      </c>
      <c r="AE2843" s="198" t="s">
        <v>828</v>
      </c>
    </row>
    <row r="2844" spans="3:31" x14ac:dyDescent="0.25">
      <c r="C2844" s="201"/>
      <c r="E2844" s="201"/>
      <c r="F2844" s="201"/>
      <c r="I2844" s="198" t="s">
        <v>179</v>
      </c>
      <c r="J2844" s="198" t="s">
        <v>169</v>
      </c>
      <c r="K2844" s="202">
        <f t="shared" si="44"/>
        <v>1455030</v>
      </c>
      <c r="L2844" s="202">
        <v>285.3</v>
      </c>
      <c r="N2844" s="202">
        <v>216185.55</v>
      </c>
      <c r="S2844" s="203"/>
      <c r="W2844" s="198" t="s">
        <v>51</v>
      </c>
      <c r="AE2844" s="198" t="s">
        <v>831</v>
      </c>
    </row>
    <row r="2845" spans="3:31" x14ac:dyDescent="0.25">
      <c r="C2845" s="201"/>
      <c r="E2845" s="201"/>
      <c r="F2845" s="201"/>
      <c r="I2845" s="198" t="s">
        <v>178</v>
      </c>
      <c r="J2845" s="198" t="s">
        <v>167</v>
      </c>
      <c r="K2845" s="202">
        <f t="shared" si="44"/>
        <v>1455540</v>
      </c>
      <c r="L2845" s="202">
        <v>285.39999999999998</v>
      </c>
      <c r="N2845" s="202">
        <v>736508.22</v>
      </c>
      <c r="S2845" s="203"/>
      <c r="W2845" s="198" t="s">
        <v>51</v>
      </c>
      <c r="AE2845" s="198" t="s">
        <v>831</v>
      </c>
    </row>
    <row r="2846" spans="3:31" x14ac:dyDescent="0.25">
      <c r="C2846" s="201"/>
      <c r="E2846" s="201"/>
      <c r="F2846" s="201"/>
      <c r="I2846" s="198" t="s">
        <v>110</v>
      </c>
      <c r="J2846" s="198" t="s">
        <v>89</v>
      </c>
      <c r="K2846" s="202">
        <f t="shared" si="44"/>
        <v>1456050</v>
      </c>
      <c r="L2846" s="202">
        <v>285.5</v>
      </c>
      <c r="N2846" s="202">
        <v>103020.54</v>
      </c>
      <c r="S2846" s="203"/>
      <c r="W2846" s="198" t="s">
        <v>51</v>
      </c>
      <c r="AE2846" s="198" t="s">
        <v>831</v>
      </c>
    </row>
    <row r="2847" spans="3:31" x14ac:dyDescent="0.25">
      <c r="C2847" s="201"/>
      <c r="E2847" s="201"/>
      <c r="F2847" s="201"/>
      <c r="I2847" s="198" t="s">
        <v>155</v>
      </c>
      <c r="J2847" s="198" t="s">
        <v>156</v>
      </c>
      <c r="K2847" s="202">
        <f t="shared" si="44"/>
        <v>1456560</v>
      </c>
      <c r="L2847" s="202">
        <v>285.60000000000002</v>
      </c>
      <c r="N2847" s="202">
        <v>563750</v>
      </c>
      <c r="S2847" s="204"/>
      <c r="W2847" s="198" t="s">
        <v>51</v>
      </c>
      <c r="AE2847" s="198" t="s">
        <v>828</v>
      </c>
    </row>
    <row r="2848" spans="3:31" x14ac:dyDescent="0.25">
      <c r="C2848" s="201"/>
      <c r="E2848" s="201"/>
      <c r="F2848" s="201"/>
      <c r="I2848" s="198" t="s">
        <v>347</v>
      </c>
      <c r="J2848" s="198" t="s">
        <v>169</v>
      </c>
      <c r="K2848" s="202">
        <f t="shared" si="44"/>
        <v>1457070</v>
      </c>
      <c r="L2848" s="202">
        <v>285.7</v>
      </c>
      <c r="N2848" s="202">
        <v>495000</v>
      </c>
      <c r="S2848" s="204"/>
      <c r="W2848" s="198" t="s">
        <v>51</v>
      </c>
      <c r="AE2848" s="198" t="s">
        <v>831</v>
      </c>
    </row>
    <row r="2849" spans="3:31" x14ac:dyDescent="0.25">
      <c r="C2849" s="201"/>
      <c r="E2849" s="201"/>
      <c r="F2849" s="201"/>
      <c r="I2849" s="198" t="s">
        <v>135</v>
      </c>
      <c r="J2849" s="198" t="s">
        <v>117</v>
      </c>
      <c r="K2849" s="202">
        <f t="shared" si="44"/>
        <v>1457580</v>
      </c>
      <c r="L2849" s="202">
        <v>285.8</v>
      </c>
      <c r="N2849" s="202">
        <v>338844</v>
      </c>
      <c r="S2849" s="204"/>
      <c r="W2849" s="198" t="s">
        <v>51</v>
      </c>
      <c r="AE2849" s="198" t="s">
        <v>878</v>
      </c>
    </row>
    <row r="2850" spans="3:31" x14ac:dyDescent="0.25">
      <c r="C2850" s="201"/>
      <c r="E2850" s="201"/>
      <c r="F2850" s="201"/>
      <c r="I2850" s="198" t="s">
        <v>135</v>
      </c>
      <c r="J2850" s="198" t="s">
        <v>117</v>
      </c>
      <c r="K2850" s="202">
        <f t="shared" si="44"/>
        <v>1458090</v>
      </c>
      <c r="L2850" s="202">
        <v>285.89999999999998</v>
      </c>
      <c r="N2850" s="202">
        <v>57128</v>
      </c>
      <c r="S2850" s="204"/>
      <c r="W2850" s="198" t="s">
        <v>51</v>
      </c>
      <c r="AE2850" s="198" t="s">
        <v>878</v>
      </c>
    </row>
    <row r="2851" spans="3:31" x14ac:dyDescent="0.25">
      <c r="C2851" s="201"/>
      <c r="E2851" s="201"/>
      <c r="F2851" s="201"/>
      <c r="I2851" s="198" t="s">
        <v>135</v>
      </c>
      <c r="J2851" s="198" t="s">
        <v>117</v>
      </c>
      <c r="K2851" s="202">
        <f t="shared" si="44"/>
        <v>1458600</v>
      </c>
      <c r="L2851" s="202">
        <v>286</v>
      </c>
      <c r="N2851" s="202">
        <v>318285</v>
      </c>
      <c r="S2851" s="204"/>
      <c r="W2851" s="198" t="s">
        <v>51</v>
      </c>
      <c r="AE2851" s="198" t="s">
        <v>878</v>
      </c>
    </row>
    <row r="2852" spans="3:31" x14ac:dyDescent="0.25">
      <c r="C2852" s="201"/>
      <c r="E2852" s="201"/>
      <c r="F2852" s="201"/>
      <c r="I2852" s="198" t="s">
        <v>215</v>
      </c>
      <c r="J2852" s="198" t="s">
        <v>89</v>
      </c>
      <c r="K2852" s="202">
        <f t="shared" si="44"/>
        <v>1459110</v>
      </c>
      <c r="L2852" s="202">
        <v>286.10000000000002</v>
      </c>
      <c r="N2852" s="202">
        <v>354290</v>
      </c>
      <c r="S2852" s="204"/>
      <c r="W2852" s="198" t="s">
        <v>51</v>
      </c>
      <c r="AE2852" s="198" t="s">
        <v>831</v>
      </c>
    </row>
    <row r="2853" spans="3:31" x14ac:dyDescent="0.25">
      <c r="C2853" s="201"/>
      <c r="E2853" s="201"/>
      <c r="F2853" s="201"/>
      <c r="I2853" s="198" t="s">
        <v>215</v>
      </c>
      <c r="J2853" s="198" t="s">
        <v>89</v>
      </c>
      <c r="K2853" s="202">
        <f t="shared" si="44"/>
        <v>1459620</v>
      </c>
      <c r="L2853" s="202">
        <v>286.2</v>
      </c>
      <c r="N2853" s="202">
        <v>354290</v>
      </c>
      <c r="S2853" s="204"/>
      <c r="W2853" s="198" t="s">
        <v>51</v>
      </c>
      <c r="AE2853" s="198" t="s">
        <v>831</v>
      </c>
    </row>
    <row r="2854" spans="3:31" x14ac:dyDescent="0.25">
      <c r="C2854" s="201"/>
      <c r="E2854" s="201"/>
      <c r="F2854" s="201"/>
      <c r="I2854" s="198" t="s">
        <v>215</v>
      </c>
      <c r="J2854" s="198" t="s">
        <v>89</v>
      </c>
      <c r="K2854" s="202">
        <f t="shared" si="44"/>
        <v>1460130</v>
      </c>
      <c r="L2854" s="202">
        <v>286.3</v>
      </c>
      <c r="N2854" s="202">
        <v>354290</v>
      </c>
      <c r="S2854" s="204"/>
      <c r="W2854" s="198" t="s">
        <v>51</v>
      </c>
      <c r="AE2854" s="198" t="s">
        <v>831</v>
      </c>
    </row>
    <row r="2855" spans="3:31" x14ac:dyDescent="0.25">
      <c r="C2855" s="201"/>
      <c r="E2855" s="201"/>
      <c r="F2855" s="201"/>
      <c r="I2855" s="198" t="s">
        <v>215</v>
      </c>
      <c r="J2855" s="198" t="s">
        <v>89</v>
      </c>
      <c r="K2855" s="202">
        <f t="shared" si="44"/>
        <v>1460640</v>
      </c>
      <c r="L2855" s="202">
        <v>286.39999999999998</v>
      </c>
      <c r="N2855" s="202">
        <v>354290</v>
      </c>
      <c r="S2855" s="204"/>
      <c r="W2855" s="198" t="s">
        <v>51</v>
      </c>
      <c r="AE2855" s="198" t="s">
        <v>831</v>
      </c>
    </row>
    <row r="2856" spans="3:31" x14ac:dyDescent="0.25">
      <c r="C2856" s="201"/>
      <c r="E2856" s="201"/>
      <c r="F2856" s="201"/>
      <c r="I2856" s="198" t="s">
        <v>215</v>
      </c>
      <c r="J2856" s="198" t="s">
        <v>89</v>
      </c>
      <c r="K2856" s="202">
        <f t="shared" si="44"/>
        <v>1461150</v>
      </c>
      <c r="L2856" s="202">
        <v>286.5</v>
      </c>
      <c r="N2856" s="202">
        <v>354290</v>
      </c>
      <c r="S2856" s="204"/>
      <c r="W2856" s="198" t="s">
        <v>51</v>
      </c>
      <c r="AE2856" s="198" t="s">
        <v>831</v>
      </c>
    </row>
    <row r="2857" spans="3:31" x14ac:dyDescent="0.25">
      <c r="C2857" s="201"/>
      <c r="E2857" s="201"/>
      <c r="F2857" s="201"/>
      <c r="I2857" s="198" t="s">
        <v>215</v>
      </c>
      <c r="J2857" s="198" t="s">
        <v>89</v>
      </c>
      <c r="K2857" s="202">
        <f t="shared" si="44"/>
        <v>1461660</v>
      </c>
      <c r="L2857" s="202">
        <v>286.60000000000002</v>
      </c>
      <c r="N2857" s="202">
        <v>354290</v>
      </c>
      <c r="S2857" s="204"/>
      <c r="W2857" s="198" t="s">
        <v>51</v>
      </c>
      <c r="AE2857" s="198" t="s">
        <v>831</v>
      </c>
    </row>
    <row r="2858" spans="3:31" x14ac:dyDescent="0.25">
      <c r="C2858" s="201"/>
      <c r="E2858" s="201"/>
      <c r="F2858" s="201"/>
      <c r="I2858" s="198" t="s">
        <v>215</v>
      </c>
      <c r="J2858" s="198" t="s">
        <v>89</v>
      </c>
      <c r="K2858" s="202">
        <f t="shared" si="44"/>
        <v>1462170</v>
      </c>
      <c r="L2858" s="202">
        <v>286.7</v>
      </c>
      <c r="N2858" s="202">
        <v>354290</v>
      </c>
      <c r="S2858" s="204"/>
      <c r="W2858" s="198" t="s">
        <v>51</v>
      </c>
      <c r="AE2858" s="198" t="s">
        <v>831</v>
      </c>
    </row>
    <row r="2859" spans="3:31" x14ac:dyDescent="0.25">
      <c r="C2859" s="201"/>
      <c r="E2859" s="201"/>
      <c r="F2859" s="201"/>
      <c r="I2859" s="198" t="s">
        <v>1900</v>
      </c>
      <c r="J2859" s="198" t="s">
        <v>143</v>
      </c>
      <c r="K2859" s="202">
        <f t="shared" si="44"/>
        <v>1462680</v>
      </c>
      <c r="L2859" s="202">
        <v>286.8</v>
      </c>
      <c r="N2859" s="202">
        <v>378000000</v>
      </c>
      <c r="S2859" s="203"/>
      <c r="W2859" s="198" t="s">
        <v>51</v>
      </c>
      <c r="AE2859" s="198" t="s">
        <v>829</v>
      </c>
    </row>
    <row r="2860" spans="3:31" x14ac:dyDescent="0.25">
      <c r="C2860" s="201"/>
      <c r="E2860" s="201"/>
      <c r="F2860" s="201"/>
      <c r="I2860" s="198" t="s">
        <v>2065</v>
      </c>
      <c r="J2860" s="198" t="s">
        <v>193</v>
      </c>
      <c r="K2860" s="202">
        <f t="shared" si="44"/>
        <v>1463190</v>
      </c>
      <c r="L2860" s="202">
        <v>286.89999999999998</v>
      </c>
      <c r="N2860" s="202">
        <v>304200000</v>
      </c>
      <c r="S2860" s="203"/>
      <c r="W2860" s="198" t="s">
        <v>51</v>
      </c>
      <c r="AE2860" s="198" t="s">
        <v>830</v>
      </c>
    </row>
    <row r="2861" spans="3:31" x14ac:dyDescent="0.25">
      <c r="C2861" s="201"/>
      <c r="E2861" s="201"/>
      <c r="F2861" s="201"/>
      <c r="I2861" s="198" t="s">
        <v>582</v>
      </c>
      <c r="J2861" s="198" t="s">
        <v>132</v>
      </c>
      <c r="K2861" s="202">
        <f t="shared" si="44"/>
        <v>1463700</v>
      </c>
      <c r="L2861" s="202">
        <v>287</v>
      </c>
      <c r="N2861" s="202">
        <v>6340308.6799999997</v>
      </c>
      <c r="S2861" s="204"/>
      <c r="W2861" s="198" t="s">
        <v>51</v>
      </c>
      <c r="AE2861" s="198" t="s">
        <v>833</v>
      </c>
    </row>
    <row r="2862" spans="3:31" x14ac:dyDescent="0.25">
      <c r="C2862" s="201"/>
      <c r="E2862" s="201"/>
      <c r="F2862" s="201"/>
      <c r="I2862" s="198" t="s">
        <v>555</v>
      </c>
      <c r="J2862" s="198" t="s">
        <v>132</v>
      </c>
      <c r="K2862" s="202">
        <f t="shared" si="44"/>
        <v>1464210</v>
      </c>
      <c r="L2862" s="202">
        <v>287.10000000000002</v>
      </c>
      <c r="N2862" s="202">
        <v>5386164.4500000002</v>
      </c>
      <c r="S2862" s="204"/>
      <c r="W2862" s="198" t="s">
        <v>51</v>
      </c>
      <c r="AE2862" s="198" t="s">
        <v>833</v>
      </c>
    </row>
    <row r="2863" spans="3:31" x14ac:dyDescent="0.25">
      <c r="C2863" s="201"/>
      <c r="E2863" s="201"/>
      <c r="F2863" s="201"/>
      <c r="I2863" s="198" t="s">
        <v>555</v>
      </c>
      <c r="J2863" s="198" t="s">
        <v>132</v>
      </c>
      <c r="K2863" s="202">
        <f t="shared" si="44"/>
        <v>1464720</v>
      </c>
      <c r="L2863" s="202">
        <v>287.2</v>
      </c>
      <c r="N2863" s="202">
        <v>1021699.64</v>
      </c>
      <c r="S2863" s="204"/>
      <c r="W2863" s="198" t="s">
        <v>51</v>
      </c>
      <c r="AE2863" s="198" t="s">
        <v>833</v>
      </c>
    </row>
    <row r="2864" spans="3:31" x14ac:dyDescent="0.25">
      <c r="C2864" s="201"/>
      <c r="E2864" s="201"/>
      <c r="F2864" s="201"/>
      <c r="I2864" s="198" t="s">
        <v>555</v>
      </c>
      <c r="J2864" s="198" t="s">
        <v>132</v>
      </c>
      <c r="K2864" s="202">
        <f t="shared" si="44"/>
        <v>1465230</v>
      </c>
      <c r="L2864" s="202">
        <v>287.3</v>
      </c>
      <c r="N2864" s="202">
        <v>9848157.5600000005</v>
      </c>
      <c r="S2864" s="204"/>
      <c r="W2864" s="198" t="s">
        <v>51</v>
      </c>
      <c r="AE2864" s="198" t="s">
        <v>833</v>
      </c>
    </row>
    <row r="2865" spans="3:31" x14ac:dyDescent="0.25">
      <c r="C2865" s="201"/>
      <c r="E2865" s="201"/>
      <c r="F2865" s="201"/>
      <c r="I2865" s="198" t="s">
        <v>554</v>
      </c>
      <c r="J2865" s="198" t="s">
        <v>130</v>
      </c>
      <c r="K2865" s="202">
        <f t="shared" si="44"/>
        <v>1465740</v>
      </c>
      <c r="L2865" s="202">
        <v>287.39999999999998</v>
      </c>
      <c r="N2865" s="202">
        <v>584406.18000000005</v>
      </c>
      <c r="S2865" s="204"/>
      <c r="W2865" s="198" t="s">
        <v>51</v>
      </c>
      <c r="AE2865" s="198" t="s">
        <v>833</v>
      </c>
    </row>
    <row r="2866" spans="3:31" x14ac:dyDescent="0.25">
      <c r="C2866" s="201"/>
      <c r="E2866" s="201"/>
      <c r="F2866" s="201"/>
      <c r="I2866" s="198" t="s">
        <v>582</v>
      </c>
      <c r="J2866" s="198" t="s">
        <v>132</v>
      </c>
      <c r="K2866" s="202">
        <f t="shared" si="44"/>
        <v>1466250</v>
      </c>
      <c r="L2866" s="202">
        <v>287.5</v>
      </c>
      <c r="N2866" s="202">
        <v>5938822.9800000004</v>
      </c>
      <c r="S2866" s="204"/>
      <c r="W2866" s="198" t="s">
        <v>51</v>
      </c>
      <c r="AE2866" s="198" t="s">
        <v>833</v>
      </c>
    </row>
    <row r="2867" spans="3:31" x14ac:dyDescent="0.25">
      <c r="C2867" s="201"/>
      <c r="E2867" s="201"/>
      <c r="F2867" s="201"/>
      <c r="I2867" s="198" t="s">
        <v>582</v>
      </c>
      <c r="J2867" s="198" t="s">
        <v>132</v>
      </c>
      <c r="K2867" s="202">
        <f t="shared" si="44"/>
        <v>1466760</v>
      </c>
      <c r="L2867" s="202">
        <v>287.60000000000002</v>
      </c>
      <c r="N2867" s="202">
        <v>3743800.74</v>
      </c>
      <c r="S2867" s="204"/>
      <c r="W2867" s="198" t="s">
        <v>51</v>
      </c>
      <c r="AE2867" s="198" t="s">
        <v>833</v>
      </c>
    </row>
    <row r="2868" spans="3:31" x14ac:dyDescent="0.25">
      <c r="C2868" s="201"/>
      <c r="E2868" s="201"/>
      <c r="F2868" s="201"/>
      <c r="I2868" s="198" t="s">
        <v>555</v>
      </c>
      <c r="J2868" s="198" t="s">
        <v>132</v>
      </c>
      <c r="K2868" s="202">
        <f t="shared" si="44"/>
        <v>1467270</v>
      </c>
      <c r="L2868" s="202">
        <v>287.7</v>
      </c>
      <c r="N2868" s="202">
        <v>986852.59</v>
      </c>
      <c r="S2868" s="204"/>
      <c r="W2868" s="198" t="s">
        <v>51</v>
      </c>
      <c r="AE2868" s="198" t="s">
        <v>833</v>
      </c>
    </row>
    <row r="2869" spans="3:31" x14ac:dyDescent="0.25">
      <c r="C2869" s="201"/>
      <c r="E2869" s="201"/>
      <c r="F2869" s="201"/>
      <c r="I2869" s="198" t="s">
        <v>129</v>
      </c>
      <c r="J2869" s="198" t="s">
        <v>130</v>
      </c>
      <c r="K2869" s="202">
        <f t="shared" si="44"/>
        <v>1467780</v>
      </c>
      <c r="L2869" s="202">
        <v>287.8</v>
      </c>
      <c r="N2869" s="202">
        <v>46000000</v>
      </c>
      <c r="S2869" s="204"/>
      <c r="W2869" s="198" t="s">
        <v>51</v>
      </c>
      <c r="AE2869" s="198" t="s">
        <v>833</v>
      </c>
    </row>
    <row r="2870" spans="3:31" x14ac:dyDescent="0.25">
      <c r="C2870" s="201"/>
      <c r="E2870" s="201"/>
      <c r="F2870" s="201"/>
      <c r="I2870" s="198" t="s">
        <v>129</v>
      </c>
      <c r="J2870" s="198" t="s">
        <v>130</v>
      </c>
      <c r="K2870" s="202">
        <f t="shared" si="44"/>
        <v>1468290</v>
      </c>
      <c r="L2870" s="202">
        <v>287.89999999999998</v>
      </c>
      <c r="N2870" s="202">
        <v>23000000</v>
      </c>
      <c r="S2870" s="204"/>
      <c r="W2870" s="198" t="s">
        <v>51</v>
      </c>
      <c r="AE2870" s="198" t="s">
        <v>833</v>
      </c>
    </row>
    <row r="2871" spans="3:31" x14ac:dyDescent="0.25">
      <c r="C2871" s="201"/>
      <c r="E2871" s="201"/>
      <c r="F2871" s="201"/>
      <c r="I2871" s="198" t="s">
        <v>582</v>
      </c>
      <c r="J2871" s="198" t="s">
        <v>132</v>
      </c>
      <c r="K2871" s="202">
        <f t="shared" si="44"/>
        <v>1468800</v>
      </c>
      <c r="L2871" s="202">
        <v>288</v>
      </c>
      <c r="N2871" s="202">
        <v>-6340308.6799999997</v>
      </c>
      <c r="S2871" s="204"/>
      <c r="W2871" s="198" t="s">
        <v>51</v>
      </c>
      <c r="AE2871" s="198" t="s">
        <v>833</v>
      </c>
    </row>
    <row r="2872" spans="3:31" x14ac:dyDescent="0.25">
      <c r="C2872" s="201"/>
      <c r="E2872" s="201"/>
      <c r="F2872" s="201"/>
      <c r="I2872" s="198" t="s">
        <v>555</v>
      </c>
      <c r="J2872" s="198" t="s">
        <v>132</v>
      </c>
      <c r="K2872" s="202">
        <f t="shared" si="44"/>
        <v>1469310</v>
      </c>
      <c r="L2872" s="202">
        <v>288.10000000000002</v>
      </c>
      <c r="N2872" s="202">
        <v>-5386164.4500000002</v>
      </c>
      <c r="S2872" s="204"/>
      <c r="W2872" s="198" t="s">
        <v>51</v>
      </c>
      <c r="AE2872" s="198" t="s">
        <v>833</v>
      </c>
    </row>
    <row r="2873" spans="3:31" x14ac:dyDescent="0.25">
      <c r="C2873" s="201"/>
      <c r="E2873" s="201"/>
      <c r="F2873" s="201"/>
      <c r="I2873" s="198" t="s">
        <v>555</v>
      </c>
      <c r="J2873" s="198" t="s">
        <v>132</v>
      </c>
      <c r="K2873" s="202">
        <f t="shared" si="44"/>
        <v>1469820</v>
      </c>
      <c r="L2873" s="202">
        <v>288.2</v>
      </c>
      <c r="N2873" s="202">
        <v>-1021699.64</v>
      </c>
      <c r="S2873" s="204"/>
      <c r="W2873" s="198" t="s">
        <v>51</v>
      </c>
      <c r="AE2873" s="198" t="s">
        <v>833</v>
      </c>
    </row>
    <row r="2874" spans="3:31" x14ac:dyDescent="0.25">
      <c r="C2874" s="201"/>
      <c r="E2874" s="201"/>
      <c r="F2874" s="201"/>
      <c r="I2874" s="198" t="s">
        <v>555</v>
      </c>
      <c r="J2874" s="198" t="s">
        <v>132</v>
      </c>
      <c r="K2874" s="202">
        <f t="shared" si="44"/>
        <v>1470330</v>
      </c>
      <c r="L2874" s="202">
        <v>288.3</v>
      </c>
      <c r="N2874" s="202">
        <v>-9848157.5600000005</v>
      </c>
      <c r="S2874" s="204"/>
      <c r="W2874" s="198" t="s">
        <v>51</v>
      </c>
      <c r="AE2874" s="198" t="s">
        <v>833</v>
      </c>
    </row>
    <row r="2875" spans="3:31" x14ac:dyDescent="0.25">
      <c r="C2875" s="201"/>
      <c r="E2875" s="201"/>
      <c r="F2875" s="201"/>
      <c r="I2875" s="198" t="s">
        <v>554</v>
      </c>
      <c r="J2875" s="198" t="s">
        <v>130</v>
      </c>
      <c r="K2875" s="202">
        <f t="shared" si="44"/>
        <v>1470840</v>
      </c>
      <c r="L2875" s="202">
        <v>288.39999999999998</v>
      </c>
      <c r="N2875" s="202">
        <v>-584406.18000000005</v>
      </c>
      <c r="S2875" s="204"/>
      <c r="W2875" s="198" t="s">
        <v>51</v>
      </c>
      <c r="AE2875" s="198" t="s">
        <v>833</v>
      </c>
    </row>
    <row r="2876" spans="3:31" x14ac:dyDescent="0.25">
      <c r="C2876" s="201"/>
      <c r="E2876" s="201"/>
      <c r="F2876" s="201"/>
      <c r="I2876" s="198" t="s">
        <v>582</v>
      </c>
      <c r="J2876" s="198" t="s">
        <v>132</v>
      </c>
      <c r="K2876" s="202">
        <f t="shared" si="44"/>
        <v>1471350</v>
      </c>
      <c r="L2876" s="202">
        <v>288.5</v>
      </c>
      <c r="N2876" s="202">
        <v>-5938822.9800000004</v>
      </c>
      <c r="S2876" s="204"/>
      <c r="W2876" s="198" t="s">
        <v>51</v>
      </c>
      <c r="AE2876" s="198" t="s">
        <v>833</v>
      </c>
    </row>
    <row r="2877" spans="3:31" x14ac:dyDescent="0.25">
      <c r="C2877" s="201"/>
      <c r="E2877" s="201"/>
      <c r="F2877" s="201"/>
      <c r="I2877" s="198" t="s">
        <v>582</v>
      </c>
      <c r="J2877" s="198" t="s">
        <v>132</v>
      </c>
      <c r="K2877" s="202">
        <f t="shared" si="44"/>
        <v>1471860</v>
      </c>
      <c r="L2877" s="202">
        <v>288.60000000000002</v>
      </c>
      <c r="N2877" s="202">
        <v>-3743800.74</v>
      </c>
      <c r="S2877" s="204"/>
      <c r="W2877" s="198" t="s">
        <v>51</v>
      </c>
      <c r="AE2877" s="198" t="s">
        <v>833</v>
      </c>
    </row>
    <row r="2878" spans="3:31" x14ac:dyDescent="0.25">
      <c r="C2878" s="201"/>
      <c r="E2878" s="201"/>
      <c r="F2878" s="201"/>
      <c r="I2878" s="198" t="s">
        <v>555</v>
      </c>
      <c r="J2878" s="198" t="s">
        <v>132</v>
      </c>
      <c r="K2878" s="202">
        <f t="shared" si="44"/>
        <v>1472370</v>
      </c>
      <c r="L2878" s="202">
        <v>288.7</v>
      </c>
      <c r="N2878" s="202">
        <v>-986852.59</v>
      </c>
      <c r="S2878" s="204"/>
      <c r="W2878" s="198" t="s">
        <v>51</v>
      </c>
      <c r="AE2878" s="198" t="s">
        <v>833</v>
      </c>
    </row>
    <row r="2879" spans="3:31" x14ac:dyDescent="0.25">
      <c r="C2879" s="201"/>
      <c r="E2879" s="201"/>
      <c r="F2879" s="201"/>
      <c r="I2879" s="198" t="s">
        <v>129</v>
      </c>
      <c r="J2879" s="198" t="s">
        <v>130</v>
      </c>
      <c r="K2879" s="202">
        <f t="shared" si="44"/>
        <v>1472880</v>
      </c>
      <c r="L2879" s="202">
        <v>288.8</v>
      </c>
      <c r="N2879" s="202">
        <v>-46000000</v>
      </c>
      <c r="S2879" s="204"/>
      <c r="W2879" s="198" t="s">
        <v>51</v>
      </c>
      <c r="AE2879" s="198" t="s">
        <v>833</v>
      </c>
    </row>
    <row r="2880" spans="3:31" x14ac:dyDescent="0.25">
      <c r="C2880" s="201"/>
      <c r="E2880" s="201"/>
      <c r="F2880" s="201"/>
      <c r="I2880" s="198" t="s">
        <v>129</v>
      </c>
      <c r="J2880" s="198" t="s">
        <v>130</v>
      </c>
      <c r="K2880" s="202">
        <f t="shared" si="44"/>
        <v>1473390</v>
      </c>
      <c r="L2880" s="202">
        <v>288.89999999999998</v>
      </c>
      <c r="N2880" s="202">
        <v>-23000000</v>
      </c>
      <c r="S2880" s="204"/>
      <c r="W2880" s="198" t="s">
        <v>51</v>
      </c>
      <c r="AE2880" s="198" t="s">
        <v>833</v>
      </c>
    </row>
    <row r="2881" spans="3:31" x14ac:dyDescent="0.25">
      <c r="C2881" s="201"/>
      <c r="E2881" s="201"/>
      <c r="F2881" s="201"/>
      <c r="I2881" s="198" t="s">
        <v>122</v>
      </c>
      <c r="J2881" s="198" t="s">
        <v>126</v>
      </c>
      <c r="K2881" s="202">
        <f t="shared" si="44"/>
        <v>1473900</v>
      </c>
      <c r="L2881" s="202">
        <v>289</v>
      </c>
      <c r="N2881" s="202">
        <v>423555</v>
      </c>
      <c r="S2881" s="204"/>
      <c r="W2881" s="198" t="s">
        <v>51</v>
      </c>
      <c r="AE2881" s="198" t="s">
        <v>835</v>
      </c>
    </row>
    <row r="2882" spans="3:31" x14ac:dyDescent="0.25">
      <c r="C2882" s="201"/>
      <c r="E2882" s="201"/>
      <c r="F2882" s="201"/>
      <c r="I2882" s="198" t="s">
        <v>122</v>
      </c>
      <c r="J2882" s="198" t="s">
        <v>126</v>
      </c>
      <c r="K2882" s="202">
        <f t="shared" si="44"/>
        <v>1474410</v>
      </c>
      <c r="L2882" s="202">
        <v>289.10000000000002</v>
      </c>
      <c r="N2882" s="202">
        <v>381942</v>
      </c>
      <c r="S2882" s="204"/>
      <c r="W2882" s="198" t="s">
        <v>51</v>
      </c>
      <c r="AE2882" s="198" t="s">
        <v>835</v>
      </c>
    </row>
    <row r="2883" spans="3:31" x14ac:dyDescent="0.25">
      <c r="C2883" s="201"/>
      <c r="E2883" s="201"/>
      <c r="F2883" s="201"/>
      <c r="I2883" s="198" t="s">
        <v>131</v>
      </c>
      <c r="J2883" s="198" t="s">
        <v>132</v>
      </c>
      <c r="K2883" s="202">
        <f t="shared" ref="K2883:K2946" si="45">L2883*5100</f>
        <v>1474920</v>
      </c>
      <c r="L2883" s="202">
        <v>289.2</v>
      </c>
      <c r="N2883" s="202">
        <v>572913</v>
      </c>
      <c r="S2883" s="204"/>
      <c r="W2883" s="198" t="s">
        <v>51</v>
      </c>
      <c r="AE2883" s="198" t="s">
        <v>833</v>
      </c>
    </row>
    <row r="2884" spans="3:31" x14ac:dyDescent="0.25">
      <c r="C2884" s="201"/>
      <c r="E2884" s="201"/>
      <c r="F2884" s="201"/>
      <c r="I2884" s="198" t="s">
        <v>131</v>
      </c>
      <c r="J2884" s="198" t="s">
        <v>132</v>
      </c>
      <c r="K2884" s="202">
        <f t="shared" si="45"/>
        <v>1475430</v>
      </c>
      <c r="L2884" s="202">
        <v>289.3</v>
      </c>
      <c r="N2884" s="202">
        <v>677688</v>
      </c>
      <c r="S2884" s="204"/>
      <c r="W2884" s="198" t="s">
        <v>51</v>
      </c>
      <c r="AE2884" s="198" t="s">
        <v>833</v>
      </c>
    </row>
    <row r="2885" spans="3:31" x14ac:dyDescent="0.25">
      <c r="C2885" s="201"/>
      <c r="E2885" s="201"/>
      <c r="F2885" s="201"/>
      <c r="I2885" s="198" t="s">
        <v>276</v>
      </c>
      <c r="J2885" s="198" t="s">
        <v>143</v>
      </c>
      <c r="K2885" s="202">
        <f t="shared" si="45"/>
        <v>1475940</v>
      </c>
      <c r="L2885" s="202">
        <v>289.39999999999998</v>
      </c>
      <c r="N2885" s="202">
        <v>110235.6</v>
      </c>
      <c r="S2885" s="203"/>
      <c r="W2885" s="198" t="s">
        <v>51</v>
      </c>
      <c r="AE2885" s="198" t="s">
        <v>829</v>
      </c>
    </row>
    <row r="2886" spans="3:31" x14ac:dyDescent="0.25">
      <c r="C2886" s="201"/>
      <c r="E2886" s="201"/>
      <c r="F2886" s="201"/>
      <c r="I2886" s="198" t="s">
        <v>276</v>
      </c>
      <c r="J2886" s="198" t="s">
        <v>143</v>
      </c>
      <c r="K2886" s="202">
        <f t="shared" si="45"/>
        <v>1476450</v>
      </c>
      <c r="L2886" s="202">
        <v>289.5</v>
      </c>
      <c r="N2886" s="202">
        <v>104111.4</v>
      </c>
      <c r="S2886" s="203"/>
      <c r="W2886" s="198" t="s">
        <v>51</v>
      </c>
      <c r="AE2886" s="198" t="s">
        <v>829</v>
      </c>
    </row>
    <row r="2887" spans="3:31" x14ac:dyDescent="0.25">
      <c r="C2887" s="201"/>
      <c r="E2887" s="201"/>
      <c r="F2887" s="201"/>
      <c r="I2887" s="198" t="s">
        <v>276</v>
      </c>
      <c r="J2887" s="198" t="s">
        <v>143</v>
      </c>
      <c r="K2887" s="202">
        <f t="shared" si="45"/>
        <v>1476960</v>
      </c>
      <c r="L2887" s="202">
        <v>289.60000000000002</v>
      </c>
      <c r="N2887" s="202">
        <v>2449.6799999999998</v>
      </c>
      <c r="S2887" s="203"/>
      <c r="W2887" s="198" t="s">
        <v>51</v>
      </c>
      <c r="AE2887" s="198" t="s">
        <v>829</v>
      </c>
    </row>
    <row r="2888" spans="3:31" x14ac:dyDescent="0.25">
      <c r="C2888" s="201"/>
      <c r="E2888" s="201"/>
      <c r="F2888" s="201"/>
      <c r="I2888" s="198" t="s">
        <v>48</v>
      </c>
      <c r="J2888" s="198" t="s">
        <v>65</v>
      </c>
      <c r="K2888" s="202">
        <f t="shared" si="45"/>
        <v>1477470</v>
      </c>
      <c r="L2888" s="202">
        <v>289.7</v>
      </c>
      <c r="N2888" s="202">
        <v>-0.08</v>
      </c>
      <c r="S2888" s="204"/>
      <c r="W2888" s="198" t="s">
        <v>51</v>
      </c>
      <c r="AE2888" s="198" t="s">
        <v>831</v>
      </c>
    </row>
    <row r="2889" spans="3:31" x14ac:dyDescent="0.25">
      <c r="C2889" s="201"/>
      <c r="E2889" s="201"/>
      <c r="F2889" s="201"/>
      <c r="I2889" s="198" t="s">
        <v>577</v>
      </c>
      <c r="J2889" s="198" t="s">
        <v>130</v>
      </c>
      <c r="K2889" s="202">
        <f t="shared" si="45"/>
        <v>1477980</v>
      </c>
      <c r="L2889" s="202">
        <v>289.8</v>
      </c>
      <c r="N2889" s="202">
        <v>6000258</v>
      </c>
      <c r="S2889" s="204"/>
      <c r="W2889" s="198" t="s">
        <v>51</v>
      </c>
      <c r="AE2889" s="198" t="s">
        <v>833</v>
      </c>
    </row>
    <row r="2890" spans="3:31" x14ac:dyDescent="0.25">
      <c r="C2890" s="201"/>
      <c r="E2890" s="201"/>
      <c r="F2890" s="201"/>
      <c r="I2890" s="198" t="s">
        <v>577</v>
      </c>
      <c r="J2890" s="198" t="s">
        <v>130</v>
      </c>
      <c r="K2890" s="202">
        <f t="shared" si="45"/>
        <v>1478490</v>
      </c>
      <c r="L2890" s="202">
        <v>289.89999999999998</v>
      </c>
      <c r="N2890" s="202">
        <v>8388213</v>
      </c>
      <c r="S2890" s="204"/>
      <c r="W2890" s="198" t="s">
        <v>51</v>
      </c>
      <c r="AE2890" s="198" t="s">
        <v>833</v>
      </c>
    </row>
    <row r="2891" spans="3:31" x14ac:dyDescent="0.25">
      <c r="C2891" s="201"/>
      <c r="E2891" s="201"/>
      <c r="F2891" s="201"/>
      <c r="I2891" s="198" t="s">
        <v>519</v>
      </c>
      <c r="J2891" s="198" t="s">
        <v>130</v>
      </c>
      <c r="K2891" s="202">
        <f t="shared" si="45"/>
        <v>1479000</v>
      </c>
      <c r="L2891" s="202">
        <v>290</v>
      </c>
      <c r="N2891" s="202">
        <v>7740363</v>
      </c>
      <c r="S2891" s="204"/>
      <c r="W2891" s="198" t="s">
        <v>51</v>
      </c>
      <c r="AE2891" s="198" t="s">
        <v>833</v>
      </c>
    </row>
    <row r="2892" spans="3:31" x14ac:dyDescent="0.25">
      <c r="C2892" s="201"/>
      <c r="E2892" s="201"/>
      <c r="F2892" s="201"/>
      <c r="I2892" s="198" t="s">
        <v>519</v>
      </c>
      <c r="J2892" s="198" t="s">
        <v>130</v>
      </c>
      <c r="K2892" s="202">
        <f t="shared" si="45"/>
        <v>1479510</v>
      </c>
      <c r="L2892" s="202">
        <v>290.10000000000002</v>
      </c>
      <c r="N2892" s="202">
        <v>7740363</v>
      </c>
      <c r="S2892" s="204"/>
      <c r="W2892" s="198" t="s">
        <v>51</v>
      </c>
      <c r="AE2892" s="198" t="s">
        <v>833</v>
      </c>
    </row>
    <row r="2893" spans="3:31" x14ac:dyDescent="0.25">
      <c r="C2893" s="201"/>
      <c r="E2893" s="201"/>
      <c r="F2893" s="201"/>
      <c r="I2893" s="198" t="s">
        <v>519</v>
      </c>
      <c r="J2893" s="198" t="s">
        <v>130</v>
      </c>
      <c r="K2893" s="202">
        <f t="shared" si="45"/>
        <v>1480020</v>
      </c>
      <c r="L2893" s="202">
        <v>290.2</v>
      </c>
      <c r="N2893" s="202">
        <v>7740363</v>
      </c>
      <c r="S2893" s="204"/>
      <c r="W2893" s="198" t="s">
        <v>51</v>
      </c>
      <c r="AE2893" s="198" t="s">
        <v>833</v>
      </c>
    </row>
    <row r="2894" spans="3:31" x14ac:dyDescent="0.25">
      <c r="C2894" s="201"/>
      <c r="E2894" s="201"/>
      <c r="F2894" s="201"/>
      <c r="I2894" s="198" t="s">
        <v>531</v>
      </c>
      <c r="J2894" s="198" t="s">
        <v>117</v>
      </c>
      <c r="K2894" s="202">
        <f t="shared" si="45"/>
        <v>1480530</v>
      </c>
      <c r="L2894" s="202">
        <v>290.3</v>
      </c>
      <c r="N2894" s="202">
        <v>1294451.3999999999</v>
      </c>
      <c r="S2894" s="204"/>
      <c r="W2894" s="198" t="s">
        <v>51</v>
      </c>
      <c r="AE2894" s="198" t="s">
        <v>878</v>
      </c>
    </row>
    <row r="2895" spans="3:31" x14ac:dyDescent="0.25">
      <c r="C2895" s="201"/>
      <c r="E2895" s="201"/>
      <c r="F2895" s="201"/>
      <c r="I2895" s="198" t="s">
        <v>553</v>
      </c>
      <c r="J2895" s="198" t="s">
        <v>134</v>
      </c>
      <c r="K2895" s="202">
        <f t="shared" si="45"/>
        <v>1481040</v>
      </c>
      <c r="L2895" s="202">
        <v>290.39999999999998</v>
      </c>
      <c r="N2895" s="202">
        <v>5389396.6500000004</v>
      </c>
      <c r="S2895" s="204"/>
      <c r="W2895" s="198" t="s">
        <v>51</v>
      </c>
      <c r="AE2895" s="198" t="s">
        <v>846</v>
      </c>
    </row>
    <row r="2896" spans="3:31" x14ac:dyDescent="0.25">
      <c r="C2896" s="201"/>
      <c r="E2896" s="201"/>
      <c r="F2896" s="201"/>
      <c r="I2896" s="198" t="s">
        <v>553</v>
      </c>
      <c r="J2896" s="198" t="s">
        <v>134</v>
      </c>
      <c r="K2896" s="202">
        <f t="shared" si="45"/>
        <v>1481550</v>
      </c>
      <c r="L2896" s="202">
        <v>290.5</v>
      </c>
      <c r="N2896" s="202">
        <v>5370428.25</v>
      </c>
      <c r="S2896" s="204"/>
      <c r="W2896" s="198" t="s">
        <v>51</v>
      </c>
      <c r="AE2896" s="198" t="s">
        <v>846</v>
      </c>
    </row>
    <row r="2897" spans="3:31" x14ac:dyDescent="0.25">
      <c r="C2897" s="201"/>
      <c r="E2897" s="201"/>
      <c r="F2897" s="201"/>
      <c r="I2897" s="198" t="s">
        <v>553</v>
      </c>
      <c r="J2897" s="198" t="s">
        <v>134</v>
      </c>
      <c r="K2897" s="202">
        <f t="shared" si="45"/>
        <v>1482060</v>
      </c>
      <c r="L2897" s="202">
        <v>290.60000000000002</v>
      </c>
      <c r="N2897" s="202">
        <v>5387025.5999999996</v>
      </c>
      <c r="S2897" s="204"/>
      <c r="W2897" s="198" t="s">
        <v>51</v>
      </c>
      <c r="AE2897" s="198" t="s">
        <v>846</v>
      </c>
    </row>
    <row r="2898" spans="3:31" x14ac:dyDescent="0.25">
      <c r="C2898" s="201"/>
      <c r="E2898" s="201"/>
      <c r="F2898" s="201"/>
      <c r="I2898" s="198" t="s">
        <v>553</v>
      </c>
      <c r="J2898" s="198" t="s">
        <v>134</v>
      </c>
      <c r="K2898" s="202">
        <f t="shared" si="45"/>
        <v>1482570</v>
      </c>
      <c r="L2898" s="202">
        <v>290.7</v>
      </c>
      <c r="N2898" s="202">
        <v>5401251.9000000004</v>
      </c>
      <c r="S2898" s="204"/>
      <c r="W2898" s="198" t="s">
        <v>51</v>
      </c>
      <c r="AE2898" s="198" t="s">
        <v>846</v>
      </c>
    </row>
    <row r="2899" spans="3:31" x14ac:dyDescent="0.25">
      <c r="C2899" s="201"/>
      <c r="E2899" s="201"/>
      <c r="F2899" s="201"/>
      <c r="I2899" s="198" t="s">
        <v>553</v>
      </c>
      <c r="J2899" s="198" t="s">
        <v>134</v>
      </c>
      <c r="K2899" s="202">
        <f t="shared" si="45"/>
        <v>1483080</v>
      </c>
      <c r="L2899" s="202">
        <v>290.8</v>
      </c>
      <c r="N2899" s="202">
        <v>5375170.3499999996</v>
      </c>
      <c r="S2899" s="204"/>
      <c r="W2899" s="198" t="s">
        <v>51</v>
      </c>
      <c r="AE2899" s="198" t="s">
        <v>846</v>
      </c>
    </row>
    <row r="2900" spans="3:31" x14ac:dyDescent="0.25">
      <c r="C2900" s="201"/>
      <c r="E2900" s="201"/>
      <c r="F2900" s="201"/>
      <c r="I2900" s="198" t="s">
        <v>519</v>
      </c>
      <c r="J2900" s="198" t="s">
        <v>130</v>
      </c>
      <c r="K2900" s="202">
        <f t="shared" si="45"/>
        <v>1483590</v>
      </c>
      <c r="L2900" s="202">
        <v>290.89999999999998</v>
      </c>
      <c r="N2900" s="202">
        <v>7740363</v>
      </c>
      <c r="S2900" s="204"/>
      <c r="W2900" s="198" t="s">
        <v>51</v>
      </c>
      <c r="AE2900" s="198" t="s">
        <v>833</v>
      </c>
    </row>
    <row r="2901" spans="3:31" x14ac:dyDescent="0.25">
      <c r="C2901" s="201"/>
      <c r="E2901" s="201"/>
      <c r="F2901" s="201"/>
      <c r="I2901" s="198" t="s">
        <v>519</v>
      </c>
      <c r="J2901" s="198" t="s">
        <v>130</v>
      </c>
      <c r="K2901" s="202">
        <f t="shared" si="45"/>
        <v>1484100</v>
      </c>
      <c r="L2901" s="202">
        <v>291</v>
      </c>
      <c r="N2901" s="202">
        <v>7740363</v>
      </c>
      <c r="S2901" s="204"/>
      <c r="W2901" s="198" t="s">
        <v>51</v>
      </c>
      <c r="AE2901" s="198" t="s">
        <v>833</v>
      </c>
    </row>
    <row r="2902" spans="3:31" x14ac:dyDescent="0.25">
      <c r="C2902" s="201"/>
      <c r="E2902" s="201"/>
      <c r="F2902" s="201"/>
      <c r="I2902" s="198" t="s">
        <v>519</v>
      </c>
      <c r="J2902" s="198" t="s">
        <v>130</v>
      </c>
      <c r="K2902" s="202">
        <f t="shared" si="45"/>
        <v>1484610</v>
      </c>
      <c r="L2902" s="202">
        <v>291.10000000000002</v>
      </c>
      <c r="N2902" s="202">
        <v>7740363</v>
      </c>
      <c r="S2902" s="204"/>
      <c r="W2902" s="198" t="s">
        <v>51</v>
      </c>
      <c r="AE2902" s="198" t="s">
        <v>833</v>
      </c>
    </row>
    <row r="2903" spans="3:31" x14ac:dyDescent="0.25">
      <c r="C2903" s="201"/>
      <c r="E2903" s="201"/>
      <c r="F2903" s="201"/>
      <c r="I2903" s="198" t="s">
        <v>577</v>
      </c>
      <c r="J2903" s="198" t="s">
        <v>130</v>
      </c>
      <c r="K2903" s="202">
        <f t="shared" si="45"/>
        <v>1485120</v>
      </c>
      <c r="L2903" s="202">
        <v>291.2</v>
      </c>
      <c r="N2903" s="202">
        <v>6669475</v>
      </c>
      <c r="S2903" s="204"/>
      <c r="W2903" s="198" t="s">
        <v>51</v>
      </c>
      <c r="AE2903" s="198" t="s">
        <v>833</v>
      </c>
    </row>
    <row r="2904" spans="3:31" x14ac:dyDescent="0.25">
      <c r="C2904" s="201"/>
      <c r="E2904" s="201"/>
      <c r="F2904" s="201"/>
      <c r="I2904" s="198" t="s">
        <v>519</v>
      </c>
      <c r="J2904" s="198" t="s">
        <v>130</v>
      </c>
      <c r="K2904" s="202">
        <f t="shared" si="45"/>
        <v>1485630</v>
      </c>
      <c r="L2904" s="202">
        <v>291.3</v>
      </c>
      <c r="N2904" s="202">
        <v>7740363</v>
      </c>
      <c r="S2904" s="204"/>
      <c r="W2904" s="198" t="s">
        <v>51</v>
      </c>
      <c r="AE2904" s="198" t="s">
        <v>833</v>
      </c>
    </row>
    <row r="2905" spans="3:31" x14ac:dyDescent="0.25">
      <c r="C2905" s="201"/>
      <c r="E2905" s="201"/>
      <c r="F2905" s="201"/>
      <c r="I2905" s="198" t="s">
        <v>788</v>
      </c>
      <c r="J2905" s="198" t="s">
        <v>193</v>
      </c>
      <c r="K2905" s="202">
        <f t="shared" si="45"/>
        <v>1486140</v>
      </c>
      <c r="L2905" s="202">
        <v>291.39999999999998</v>
      </c>
      <c r="N2905" s="202">
        <v>-50</v>
      </c>
      <c r="S2905" s="204"/>
      <c r="W2905" s="198" t="s">
        <v>51</v>
      </c>
      <c r="AE2905" s="198" t="s">
        <v>830</v>
      </c>
    </row>
    <row r="2906" spans="3:31" x14ac:dyDescent="0.25">
      <c r="C2906" s="201"/>
      <c r="E2906" s="201"/>
      <c r="F2906" s="201"/>
      <c r="I2906" s="198" t="s">
        <v>755</v>
      </c>
      <c r="J2906" s="198" t="s">
        <v>274</v>
      </c>
      <c r="K2906" s="202">
        <f t="shared" si="45"/>
        <v>1486650</v>
      </c>
      <c r="L2906" s="202">
        <v>291.5</v>
      </c>
      <c r="N2906" s="202">
        <v>-14645.16</v>
      </c>
      <c r="S2906" s="204"/>
      <c r="W2906" s="198" t="s">
        <v>51</v>
      </c>
      <c r="AE2906" s="198" t="s">
        <v>1767</v>
      </c>
    </row>
    <row r="2907" spans="3:31" x14ac:dyDescent="0.25">
      <c r="C2907" s="201"/>
      <c r="E2907" s="201"/>
      <c r="F2907" s="201"/>
      <c r="I2907" s="198" t="s">
        <v>762</v>
      </c>
      <c r="J2907" s="198" t="s">
        <v>193</v>
      </c>
      <c r="K2907" s="202">
        <f t="shared" si="45"/>
        <v>1487160</v>
      </c>
      <c r="L2907" s="202">
        <v>291.60000000000002</v>
      </c>
      <c r="N2907" s="202">
        <v>-14424.84</v>
      </c>
      <c r="S2907" s="204"/>
      <c r="W2907" s="198" t="s">
        <v>51</v>
      </c>
      <c r="AE2907" s="198" t="s">
        <v>830</v>
      </c>
    </row>
    <row r="2908" spans="3:31" x14ac:dyDescent="0.25">
      <c r="C2908" s="201"/>
      <c r="E2908" s="201"/>
      <c r="F2908" s="201"/>
      <c r="I2908" s="198" t="s">
        <v>215</v>
      </c>
      <c r="J2908" s="198" t="s">
        <v>89</v>
      </c>
      <c r="K2908" s="202">
        <f t="shared" si="45"/>
        <v>1487670</v>
      </c>
      <c r="L2908" s="202">
        <v>291.7</v>
      </c>
      <c r="N2908" s="202">
        <v>354290</v>
      </c>
      <c r="S2908" s="204"/>
      <c r="W2908" s="198" t="s">
        <v>51</v>
      </c>
      <c r="AE2908" s="198" t="s">
        <v>831</v>
      </c>
    </row>
    <row r="2909" spans="3:31" x14ac:dyDescent="0.25">
      <c r="C2909" s="201"/>
      <c r="E2909" s="201"/>
      <c r="F2909" s="201"/>
      <c r="I2909" s="198" t="s">
        <v>215</v>
      </c>
      <c r="J2909" s="198" t="s">
        <v>89</v>
      </c>
      <c r="K2909" s="202">
        <f t="shared" si="45"/>
        <v>1488180</v>
      </c>
      <c r="L2909" s="202">
        <v>291.8</v>
      </c>
      <c r="N2909" s="202">
        <v>354290</v>
      </c>
      <c r="S2909" s="204"/>
      <c r="W2909" s="198" t="s">
        <v>51</v>
      </c>
      <c r="AE2909" s="198" t="s">
        <v>831</v>
      </c>
    </row>
    <row r="2910" spans="3:31" x14ac:dyDescent="0.25">
      <c r="C2910" s="201"/>
      <c r="E2910" s="201"/>
      <c r="F2910" s="201"/>
      <c r="I2910" s="198" t="s">
        <v>215</v>
      </c>
      <c r="J2910" s="198" t="s">
        <v>89</v>
      </c>
      <c r="K2910" s="202">
        <f t="shared" si="45"/>
        <v>1488690</v>
      </c>
      <c r="L2910" s="202">
        <v>291.89999999999998</v>
      </c>
      <c r="N2910" s="202">
        <v>354290</v>
      </c>
      <c r="S2910" s="204"/>
      <c r="W2910" s="198" t="s">
        <v>51</v>
      </c>
      <c r="AE2910" s="198" t="s">
        <v>831</v>
      </c>
    </row>
    <row r="2911" spans="3:31" x14ac:dyDescent="0.25">
      <c r="C2911" s="201"/>
      <c r="E2911" s="201"/>
      <c r="F2911" s="201"/>
      <c r="I2911" s="198" t="s">
        <v>215</v>
      </c>
      <c r="J2911" s="198" t="s">
        <v>89</v>
      </c>
      <c r="K2911" s="202">
        <f t="shared" si="45"/>
        <v>1489200</v>
      </c>
      <c r="L2911" s="202">
        <v>292</v>
      </c>
      <c r="N2911" s="202">
        <v>354290</v>
      </c>
      <c r="S2911" s="204"/>
      <c r="W2911" s="198" t="s">
        <v>51</v>
      </c>
      <c r="AE2911" s="198" t="s">
        <v>831</v>
      </c>
    </row>
    <row r="2912" spans="3:31" x14ac:dyDescent="0.25">
      <c r="C2912" s="201"/>
      <c r="E2912" s="201"/>
      <c r="F2912" s="201"/>
      <c r="I2912" s="198" t="s">
        <v>215</v>
      </c>
      <c r="J2912" s="198" t="s">
        <v>89</v>
      </c>
      <c r="K2912" s="202">
        <f t="shared" si="45"/>
        <v>1489710</v>
      </c>
      <c r="L2912" s="202">
        <v>292.10000000000002</v>
      </c>
      <c r="N2912" s="202">
        <v>354290</v>
      </c>
      <c r="S2912" s="204"/>
      <c r="W2912" s="198" t="s">
        <v>51</v>
      </c>
      <c r="AE2912" s="198" t="s">
        <v>831</v>
      </c>
    </row>
    <row r="2913" spans="3:31" x14ac:dyDescent="0.25">
      <c r="C2913" s="201"/>
      <c r="E2913" s="201"/>
      <c r="F2913" s="201"/>
      <c r="I2913" s="198" t="s">
        <v>215</v>
      </c>
      <c r="J2913" s="198" t="s">
        <v>89</v>
      </c>
      <c r="K2913" s="202">
        <f t="shared" si="45"/>
        <v>1490220</v>
      </c>
      <c r="L2913" s="202">
        <v>292.2</v>
      </c>
      <c r="N2913" s="202">
        <v>354290</v>
      </c>
      <c r="S2913" s="204"/>
      <c r="W2913" s="198" t="s">
        <v>51</v>
      </c>
      <c r="AE2913" s="198" t="s">
        <v>831</v>
      </c>
    </row>
    <row r="2914" spans="3:31" x14ac:dyDescent="0.25">
      <c r="C2914" s="201"/>
      <c r="E2914" s="201"/>
      <c r="F2914" s="201"/>
      <c r="I2914" s="198" t="s">
        <v>215</v>
      </c>
      <c r="J2914" s="198" t="s">
        <v>89</v>
      </c>
      <c r="K2914" s="202">
        <f t="shared" si="45"/>
        <v>1490730</v>
      </c>
      <c r="L2914" s="202">
        <v>292.3</v>
      </c>
      <c r="N2914" s="202">
        <v>354290</v>
      </c>
      <c r="S2914" s="204"/>
      <c r="W2914" s="198" t="s">
        <v>51</v>
      </c>
      <c r="AE2914" s="198" t="s">
        <v>831</v>
      </c>
    </row>
    <row r="2915" spans="3:31" x14ac:dyDescent="0.25">
      <c r="C2915" s="201"/>
      <c r="E2915" s="201"/>
      <c r="F2915" s="201"/>
      <c r="I2915" s="198" t="s">
        <v>215</v>
      </c>
      <c r="J2915" s="198" t="s">
        <v>89</v>
      </c>
      <c r="K2915" s="202">
        <f t="shared" si="45"/>
        <v>1491240</v>
      </c>
      <c r="L2915" s="202">
        <v>292.39999999999998</v>
      </c>
      <c r="N2915" s="202">
        <v>354290</v>
      </c>
      <c r="S2915" s="204"/>
      <c r="W2915" s="198" t="s">
        <v>51</v>
      </c>
      <c r="AE2915" s="198" t="s">
        <v>831</v>
      </c>
    </row>
    <row r="2916" spans="3:31" x14ac:dyDescent="0.25">
      <c r="C2916" s="201"/>
      <c r="E2916" s="201"/>
      <c r="F2916" s="201"/>
      <c r="I2916" s="198" t="s">
        <v>215</v>
      </c>
      <c r="J2916" s="198" t="s">
        <v>89</v>
      </c>
      <c r="K2916" s="202">
        <f t="shared" si="45"/>
        <v>1491750</v>
      </c>
      <c r="L2916" s="202">
        <v>292.5</v>
      </c>
      <c r="N2916" s="202">
        <v>354290</v>
      </c>
      <c r="S2916" s="204"/>
      <c r="W2916" s="198" t="s">
        <v>51</v>
      </c>
      <c r="AE2916" s="198" t="s">
        <v>831</v>
      </c>
    </row>
    <row r="2917" spans="3:31" x14ac:dyDescent="0.25">
      <c r="C2917" s="201"/>
      <c r="E2917" s="201"/>
      <c r="F2917" s="201"/>
      <c r="I2917" s="198" t="s">
        <v>215</v>
      </c>
      <c r="J2917" s="198" t="s">
        <v>89</v>
      </c>
      <c r="K2917" s="202">
        <f t="shared" si="45"/>
        <v>1492260</v>
      </c>
      <c r="L2917" s="202">
        <v>292.60000000000002</v>
      </c>
      <c r="N2917" s="202">
        <v>212574</v>
      </c>
      <c r="S2917" s="204"/>
      <c r="W2917" s="198" t="s">
        <v>51</v>
      </c>
      <c r="AE2917" s="198" t="s">
        <v>831</v>
      </c>
    </row>
    <row r="2918" spans="3:31" x14ac:dyDescent="0.25">
      <c r="C2918" s="201"/>
      <c r="E2918" s="201"/>
      <c r="F2918" s="201"/>
      <c r="I2918" s="198" t="s">
        <v>221</v>
      </c>
      <c r="J2918" s="198" t="s">
        <v>112</v>
      </c>
      <c r="K2918" s="202">
        <f t="shared" si="45"/>
        <v>1492770</v>
      </c>
      <c r="L2918" s="202">
        <v>292.7</v>
      </c>
      <c r="N2918" s="202">
        <v>141716</v>
      </c>
      <c r="S2918" s="204"/>
      <c r="W2918" s="198" t="s">
        <v>51</v>
      </c>
      <c r="AE2918" s="198" t="s">
        <v>831</v>
      </c>
    </row>
    <row r="2919" spans="3:31" x14ac:dyDescent="0.25">
      <c r="C2919" s="201"/>
      <c r="E2919" s="201"/>
      <c r="F2919" s="201"/>
      <c r="I2919" s="198" t="s">
        <v>221</v>
      </c>
      <c r="J2919" s="198" t="s">
        <v>112</v>
      </c>
      <c r="K2919" s="202">
        <f t="shared" si="45"/>
        <v>1493280</v>
      </c>
      <c r="L2919" s="202">
        <v>292.8</v>
      </c>
      <c r="N2919" s="202">
        <v>354290</v>
      </c>
      <c r="S2919" s="204"/>
      <c r="W2919" s="198" t="s">
        <v>51</v>
      </c>
      <c r="AE2919" s="198" t="s">
        <v>831</v>
      </c>
    </row>
    <row r="2920" spans="3:31" x14ac:dyDescent="0.25">
      <c r="C2920" s="201"/>
      <c r="E2920" s="201"/>
      <c r="F2920" s="201"/>
      <c r="I2920" s="198" t="s">
        <v>212</v>
      </c>
      <c r="J2920" s="198" t="s">
        <v>112</v>
      </c>
      <c r="K2920" s="202">
        <f t="shared" si="45"/>
        <v>1493790</v>
      </c>
      <c r="L2920" s="202">
        <v>292.89999999999998</v>
      </c>
      <c r="N2920" s="202">
        <v>769770.23</v>
      </c>
      <c r="S2920" s="204"/>
      <c r="W2920" s="198" t="s">
        <v>51</v>
      </c>
      <c r="AE2920" s="198" t="s">
        <v>831</v>
      </c>
    </row>
    <row r="2921" spans="3:31" x14ac:dyDescent="0.25">
      <c r="C2921" s="201"/>
      <c r="E2921" s="201"/>
      <c r="F2921" s="201"/>
      <c r="I2921" s="198" t="s">
        <v>276</v>
      </c>
      <c r="J2921" s="198" t="s">
        <v>143</v>
      </c>
      <c r="K2921" s="202">
        <f t="shared" si="45"/>
        <v>1494300</v>
      </c>
      <c r="L2921" s="202">
        <v>293</v>
      </c>
      <c r="N2921" s="202">
        <v>166380</v>
      </c>
      <c r="S2921" s="204"/>
      <c r="W2921" s="198" t="s">
        <v>51</v>
      </c>
      <c r="AE2921" s="198" t="s">
        <v>829</v>
      </c>
    </row>
    <row r="2922" spans="3:31" x14ac:dyDescent="0.25">
      <c r="C2922" s="201"/>
      <c r="E2922" s="201"/>
      <c r="F2922" s="201"/>
      <c r="I2922" s="198" t="s">
        <v>276</v>
      </c>
      <c r="J2922" s="198" t="s">
        <v>143</v>
      </c>
      <c r="K2922" s="202">
        <f t="shared" si="45"/>
        <v>1494810</v>
      </c>
      <c r="L2922" s="202">
        <v>293.10000000000002</v>
      </c>
      <c r="N2922" s="202">
        <v>277316.09999999998</v>
      </c>
      <c r="S2922" s="204"/>
      <c r="W2922" s="198" t="s">
        <v>51</v>
      </c>
      <c r="AE2922" s="198" t="s">
        <v>829</v>
      </c>
    </row>
    <row r="2923" spans="3:31" x14ac:dyDescent="0.25">
      <c r="C2923" s="201"/>
      <c r="E2923" s="201"/>
      <c r="F2923" s="201"/>
      <c r="I2923" s="198" t="s">
        <v>278</v>
      </c>
      <c r="J2923" s="198" t="s">
        <v>193</v>
      </c>
      <c r="K2923" s="202">
        <f t="shared" si="45"/>
        <v>1495320</v>
      </c>
      <c r="L2923" s="202">
        <v>293.2</v>
      </c>
      <c r="N2923" s="202">
        <v>160972.65</v>
      </c>
      <c r="S2923" s="203"/>
      <c r="W2923" s="198" t="s">
        <v>51</v>
      </c>
      <c r="AE2923" s="198" t="s">
        <v>830</v>
      </c>
    </row>
    <row r="2924" spans="3:31" x14ac:dyDescent="0.25">
      <c r="C2924" s="201"/>
      <c r="E2924" s="201"/>
      <c r="F2924" s="201"/>
      <c r="I2924" s="198" t="s">
        <v>278</v>
      </c>
      <c r="J2924" s="198" t="s">
        <v>193</v>
      </c>
      <c r="K2924" s="202">
        <f t="shared" si="45"/>
        <v>1495830</v>
      </c>
      <c r="L2924" s="202">
        <v>293.3</v>
      </c>
      <c r="N2924" s="202">
        <v>278712.34000000003</v>
      </c>
      <c r="S2924" s="204"/>
      <c r="W2924" s="198" t="s">
        <v>51</v>
      </c>
      <c r="AE2924" s="198" t="s">
        <v>830</v>
      </c>
    </row>
    <row r="2925" spans="3:31" x14ac:dyDescent="0.25">
      <c r="C2925" s="201"/>
      <c r="E2925" s="201"/>
      <c r="F2925" s="201"/>
      <c r="I2925" s="198" t="s">
        <v>212</v>
      </c>
      <c r="J2925" s="198" t="s">
        <v>112</v>
      </c>
      <c r="K2925" s="202">
        <f t="shared" si="45"/>
        <v>1496340</v>
      </c>
      <c r="L2925" s="202">
        <v>293.39999999999998</v>
      </c>
      <c r="N2925" s="202">
        <v>769770.23</v>
      </c>
      <c r="S2925" s="204"/>
      <c r="W2925" s="198" t="s">
        <v>51</v>
      </c>
      <c r="AE2925" s="198" t="s">
        <v>831</v>
      </c>
    </row>
    <row r="2926" spans="3:31" x14ac:dyDescent="0.25">
      <c r="C2926" s="201"/>
      <c r="E2926" s="201"/>
      <c r="F2926" s="201"/>
      <c r="I2926" s="198" t="s">
        <v>212</v>
      </c>
      <c r="J2926" s="198" t="s">
        <v>112</v>
      </c>
      <c r="K2926" s="202">
        <f t="shared" si="45"/>
        <v>1496850</v>
      </c>
      <c r="L2926" s="202">
        <v>293.5</v>
      </c>
      <c r="N2926" s="202">
        <v>769770.23</v>
      </c>
      <c r="S2926" s="204"/>
      <c r="W2926" s="198" t="s">
        <v>51</v>
      </c>
      <c r="AE2926" s="198" t="s">
        <v>831</v>
      </c>
    </row>
    <row r="2927" spans="3:31" x14ac:dyDescent="0.25">
      <c r="C2927" s="201"/>
      <c r="E2927" s="201"/>
      <c r="F2927" s="201"/>
      <c r="I2927" s="198" t="s">
        <v>212</v>
      </c>
      <c r="J2927" s="198" t="s">
        <v>112</v>
      </c>
      <c r="K2927" s="202">
        <f t="shared" si="45"/>
        <v>1497360</v>
      </c>
      <c r="L2927" s="202">
        <v>293.60000000000002</v>
      </c>
      <c r="N2927" s="202">
        <v>769770.23</v>
      </c>
      <c r="S2927" s="204"/>
      <c r="W2927" s="198" t="s">
        <v>51</v>
      </c>
      <c r="AE2927" s="198" t="s">
        <v>831</v>
      </c>
    </row>
    <row r="2928" spans="3:31" x14ac:dyDescent="0.25">
      <c r="C2928" s="201"/>
      <c r="E2928" s="201"/>
      <c r="F2928" s="201"/>
      <c r="I2928" s="198" t="s">
        <v>212</v>
      </c>
      <c r="J2928" s="198" t="s">
        <v>112</v>
      </c>
      <c r="K2928" s="202">
        <f t="shared" si="45"/>
        <v>1497870</v>
      </c>
      <c r="L2928" s="202">
        <v>293.7</v>
      </c>
      <c r="N2928" s="202">
        <v>769770.23</v>
      </c>
      <c r="S2928" s="204"/>
      <c r="W2928" s="198" t="s">
        <v>51</v>
      </c>
      <c r="AE2928" s="198" t="s">
        <v>831</v>
      </c>
    </row>
    <row r="2929" spans="3:31" x14ac:dyDescent="0.25">
      <c r="C2929" s="201"/>
      <c r="E2929" s="201"/>
      <c r="F2929" s="201"/>
      <c r="I2929" s="198" t="s">
        <v>221</v>
      </c>
      <c r="J2929" s="198" t="s">
        <v>112</v>
      </c>
      <c r="K2929" s="202">
        <f t="shared" si="45"/>
        <v>1498380</v>
      </c>
      <c r="L2929" s="202">
        <v>293.8</v>
      </c>
      <c r="N2929" s="202">
        <v>354290</v>
      </c>
      <c r="S2929" s="204"/>
      <c r="W2929" s="198" t="s">
        <v>51</v>
      </c>
      <c r="AE2929" s="198" t="s">
        <v>831</v>
      </c>
    </row>
    <row r="2930" spans="3:31" x14ac:dyDescent="0.25">
      <c r="C2930" s="201"/>
      <c r="E2930" s="201"/>
      <c r="F2930" s="201"/>
      <c r="I2930" s="198" t="s">
        <v>441</v>
      </c>
      <c r="J2930" s="198" t="s">
        <v>126</v>
      </c>
      <c r="K2930" s="202">
        <f t="shared" si="45"/>
        <v>1498890</v>
      </c>
      <c r="L2930" s="202">
        <v>293.89999999999998</v>
      </c>
      <c r="N2930" s="202">
        <v>80000</v>
      </c>
      <c r="S2930" s="204"/>
      <c r="W2930" s="198" t="s">
        <v>51</v>
      </c>
      <c r="AE2930" s="198" t="s">
        <v>835</v>
      </c>
    </row>
    <row r="2931" spans="3:31" x14ac:dyDescent="0.25">
      <c r="C2931" s="201"/>
      <c r="E2931" s="201"/>
      <c r="F2931" s="201"/>
      <c r="I2931" s="198" t="s">
        <v>441</v>
      </c>
      <c r="J2931" s="198" t="s">
        <v>126</v>
      </c>
      <c r="K2931" s="202">
        <f t="shared" si="45"/>
        <v>1499400</v>
      </c>
      <c r="L2931" s="202">
        <v>294</v>
      </c>
      <c r="N2931" s="202">
        <v>80000</v>
      </c>
      <c r="S2931" s="204"/>
      <c r="W2931" s="198" t="s">
        <v>51</v>
      </c>
      <c r="AE2931" s="198" t="s">
        <v>835</v>
      </c>
    </row>
    <row r="2932" spans="3:31" x14ac:dyDescent="0.25">
      <c r="C2932" s="201"/>
      <c r="E2932" s="201"/>
      <c r="F2932" s="201"/>
      <c r="I2932" s="198" t="s">
        <v>441</v>
      </c>
      <c r="J2932" s="198" t="s">
        <v>126</v>
      </c>
      <c r="K2932" s="202">
        <f t="shared" si="45"/>
        <v>1499910</v>
      </c>
      <c r="L2932" s="202">
        <v>294.10000000000002</v>
      </c>
      <c r="N2932" s="202">
        <v>280000</v>
      </c>
      <c r="S2932" s="204"/>
      <c r="W2932" s="198" t="s">
        <v>51</v>
      </c>
      <c r="AE2932" s="198" t="s">
        <v>835</v>
      </c>
    </row>
    <row r="2933" spans="3:31" x14ac:dyDescent="0.25">
      <c r="C2933" s="201"/>
      <c r="E2933" s="201"/>
      <c r="F2933" s="201"/>
      <c r="I2933" s="198" t="s">
        <v>441</v>
      </c>
      <c r="J2933" s="198" t="s">
        <v>126</v>
      </c>
      <c r="K2933" s="202">
        <f t="shared" si="45"/>
        <v>1500420</v>
      </c>
      <c r="L2933" s="202">
        <v>294.2</v>
      </c>
      <c r="N2933" s="202">
        <v>30000</v>
      </c>
      <c r="S2933" s="204"/>
      <c r="W2933" s="198" t="s">
        <v>51</v>
      </c>
      <c r="AE2933" s="198" t="s">
        <v>835</v>
      </c>
    </row>
    <row r="2934" spans="3:31" x14ac:dyDescent="0.25">
      <c r="C2934" s="201"/>
      <c r="E2934" s="201"/>
      <c r="F2934" s="201"/>
      <c r="I2934" s="198" t="s">
        <v>441</v>
      </c>
      <c r="J2934" s="198" t="s">
        <v>126</v>
      </c>
      <c r="K2934" s="202">
        <f t="shared" si="45"/>
        <v>1500930</v>
      </c>
      <c r="L2934" s="202">
        <v>294.3</v>
      </c>
      <c r="N2934" s="202">
        <v>24000</v>
      </c>
      <c r="S2934" s="204"/>
      <c r="W2934" s="198" t="s">
        <v>51</v>
      </c>
      <c r="AE2934" s="198" t="s">
        <v>835</v>
      </c>
    </row>
    <row r="2935" spans="3:31" x14ac:dyDescent="0.25">
      <c r="C2935" s="201"/>
      <c r="E2935" s="201"/>
      <c r="F2935" s="201"/>
      <c r="I2935" s="198" t="s">
        <v>441</v>
      </c>
      <c r="J2935" s="198" t="s">
        <v>126</v>
      </c>
      <c r="K2935" s="202">
        <f t="shared" si="45"/>
        <v>1501440</v>
      </c>
      <c r="L2935" s="202">
        <v>294.39999999999998</v>
      </c>
      <c r="N2935" s="202">
        <v>4000</v>
      </c>
      <c r="S2935" s="204"/>
      <c r="W2935" s="198" t="s">
        <v>51</v>
      </c>
      <c r="AE2935" s="198" t="s">
        <v>835</v>
      </c>
    </row>
    <row r="2936" spans="3:31" x14ac:dyDescent="0.25">
      <c r="C2936" s="201"/>
      <c r="E2936" s="201"/>
      <c r="F2936" s="201"/>
      <c r="I2936" s="198" t="s">
        <v>441</v>
      </c>
      <c r="J2936" s="198" t="s">
        <v>126</v>
      </c>
      <c r="K2936" s="202">
        <f t="shared" si="45"/>
        <v>1501950</v>
      </c>
      <c r="L2936" s="202">
        <v>294.5</v>
      </c>
      <c r="N2936" s="202">
        <v>4000</v>
      </c>
      <c r="S2936" s="204"/>
      <c r="W2936" s="198" t="s">
        <v>51</v>
      </c>
      <c r="AE2936" s="198" t="s">
        <v>835</v>
      </c>
    </row>
    <row r="2937" spans="3:31" x14ac:dyDescent="0.25">
      <c r="C2937" s="201"/>
      <c r="E2937" s="201"/>
      <c r="F2937" s="201"/>
      <c r="I2937" s="198" t="s">
        <v>441</v>
      </c>
      <c r="J2937" s="198" t="s">
        <v>126</v>
      </c>
      <c r="K2937" s="202">
        <f t="shared" si="45"/>
        <v>1502460</v>
      </c>
      <c r="L2937" s="202">
        <v>294.60000000000002</v>
      </c>
      <c r="N2937" s="202">
        <v>45000</v>
      </c>
      <c r="S2937" s="204"/>
      <c r="W2937" s="198" t="s">
        <v>51</v>
      </c>
      <c r="AE2937" s="198" t="s">
        <v>835</v>
      </c>
    </row>
    <row r="2938" spans="3:31" x14ac:dyDescent="0.25">
      <c r="C2938" s="201"/>
      <c r="E2938" s="201"/>
      <c r="F2938" s="201"/>
      <c r="I2938" s="198" t="s">
        <v>441</v>
      </c>
      <c r="J2938" s="198" t="s">
        <v>126</v>
      </c>
      <c r="K2938" s="202">
        <f t="shared" si="45"/>
        <v>1502970</v>
      </c>
      <c r="L2938" s="202">
        <v>294.7</v>
      </c>
      <c r="N2938" s="202">
        <v>45000</v>
      </c>
      <c r="S2938" s="204"/>
      <c r="W2938" s="198" t="s">
        <v>51</v>
      </c>
      <c r="AE2938" s="198" t="s">
        <v>835</v>
      </c>
    </row>
    <row r="2939" spans="3:31" x14ac:dyDescent="0.25">
      <c r="C2939" s="201"/>
      <c r="E2939" s="201"/>
      <c r="F2939" s="201"/>
      <c r="I2939" s="198" t="s">
        <v>441</v>
      </c>
      <c r="J2939" s="198" t="s">
        <v>126</v>
      </c>
      <c r="K2939" s="202">
        <f t="shared" si="45"/>
        <v>1503480</v>
      </c>
      <c r="L2939" s="202">
        <v>294.8</v>
      </c>
      <c r="N2939" s="202">
        <v>10000</v>
      </c>
      <c r="S2939" s="204"/>
      <c r="W2939" s="198" t="s">
        <v>51</v>
      </c>
      <c r="AE2939" s="198" t="s">
        <v>835</v>
      </c>
    </row>
    <row r="2940" spans="3:31" x14ac:dyDescent="0.25">
      <c r="C2940" s="201"/>
      <c r="E2940" s="201"/>
      <c r="F2940" s="201"/>
      <c r="I2940" s="198" t="s">
        <v>441</v>
      </c>
      <c r="J2940" s="198" t="s">
        <v>126</v>
      </c>
      <c r="K2940" s="202">
        <f t="shared" si="45"/>
        <v>1503990</v>
      </c>
      <c r="L2940" s="202">
        <v>294.89999999999998</v>
      </c>
      <c r="N2940" s="202">
        <v>10000</v>
      </c>
      <c r="S2940" s="204"/>
      <c r="W2940" s="198" t="s">
        <v>51</v>
      </c>
      <c r="AE2940" s="198" t="s">
        <v>835</v>
      </c>
    </row>
    <row r="2941" spans="3:31" x14ac:dyDescent="0.25">
      <c r="C2941" s="201"/>
      <c r="E2941" s="201"/>
      <c r="F2941" s="201"/>
      <c r="I2941" s="198" t="s">
        <v>441</v>
      </c>
      <c r="J2941" s="198" t="s">
        <v>126</v>
      </c>
      <c r="K2941" s="202">
        <f t="shared" si="45"/>
        <v>1504500</v>
      </c>
      <c r="L2941" s="202">
        <v>295</v>
      </c>
      <c r="N2941" s="202">
        <v>1000</v>
      </c>
      <c r="S2941" s="204"/>
      <c r="W2941" s="198" t="s">
        <v>51</v>
      </c>
      <c r="AE2941" s="198" t="s">
        <v>835</v>
      </c>
    </row>
    <row r="2942" spans="3:31" x14ac:dyDescent="0.25">
      <c r="C2942" s="201"/>
      <c r="E2942" s="201"/>
      <c r="F2942" s="201"/>
      <c r="I2942" s="198" t="s">
        <v>441</v>
      </c>
      <c r="J2942" s="198" t="s">
        <v>126</v>
      </c>
      <c r="K2942" s="202">
        <f t="shared" si="45"/>
        <v>1505010</v>
      </c>
      <c r="L2942" s="202">
        <v>295.10000000000002</v>
      </c>
      <c r="N2942" s="202">
        <v>58000</v>
      </c>
      <c r="S2942" s="204"/>
      <c r="W2942" s="198" t="s">
        <v>51</v>
      </c>
      <c r="AE2942" s="198" t="s">
        <v>835</v>
      </c>
    </row>
    <row r="2943" spans="3:31" x14ac:dyDescent="0.25">
      <c r="C2943" s="201"/>
      <c r="E2943" s="201"/>
      <c r="F2943" s="201"/>
      <c r="I2943" s="198" t="s">
        <v>441</v>
      </c>
      <c r="J2943" s="198" t="s">
        <v>126</v>
      </c>
      <c r="K2943" s="202">
        <f t="shared" si="45"/>
        <v>1505520</v>
      </c>
      <c r="L2943" s="202">
        <v>295.2</v>
      </c>
      <c r="N2943" s="202">
        <v>58000</v>
      </c>
      <c r="S2943" s="204"/>
      <c r="W2943" s="198" t="s">
        <v>51</v>
      </c>
      <c r="AE2943" s="198" t="s">
        <v>835</v>
      </c>
    </row>
    <row r="2944" spans="3:31" x14ac:dyDescent="0.25">
      <c r="C2944" s="201"/>
      <c r="E2944" s="201"/>
      <c r="F2944" s="201"/>
      <c r="I2944" s="198" t="s">
        <v>441</v>
      </c>
      <c r="J2944" s="198" t="s">
        <v>126</v>
      </c>
      <c r="K2944" s="202">
        <f t="shared" si="45"/>
        <v>1506030</v>
      </c>
      <c r="L2944" s="202">
        <v>295.3</v>
      </c>
      <c r="N2944" s="202">
        <v>58000</v>
      </c>
      <c r="S2944" s="204"/>
      <c r="W2944" s="198" t="s">
        <v>51</v>
      </c>
      <c r="AE2944" s="198" t="s">
        <v>835</v>
      </c>
    </row>
    <row r="2945" spans="3:31" x14ac:dyDescent="0.25">
      <c r="C2945" s="201"/>
      <c r="E2945" s="201"/>
      <c r="F2945" s="201"/>
      <c r="I2945" s="198" t="s">
        <v>441</v>
      </c>
      <c r="J2945" s="198" t="s">
        <v>126</v>
      </c>
      <c r="K2945" s="202">
        <f t="shared" si="45"/>
        <v>1506540</v>
      </c>
      <c r="L2945" s="202">
        <v>295.39999999999998</v>
      </c>
      <c r="N2945" s="202">
        <v>68000</v>
      </c>
      <c r="S2945" s="204"/>
      <c r="W2945" s="198" t="s">
        <v>51</v>
      </c>
      <c r="AE2945" s="198" t="s">
        <v>835</v>
      </c>
    </row>
    <row r="2946" spans="3:31" x14ac:dyDescent="0.25">
      <c r="C2946" s="201"/>
      <c r="E2946" s="201"/>
      <c r="F2946" s="201"/>
      <c r="I2946" s="198" t="s">
        <v>441</v>
      </c>
      <c r="J2946" s="198" t="s">
        <v>126</v>
      </c>
      <c r="K2946" s="202">
        <f t="shared" si="45"/>
        <v>1507050</v>
      </c>
      <c r="L2946" s="202">
        <v>295.5</v>
      </c>
      <c r="N2946" s="202">
        <v>750</v>
      </c>
      <c r="S2946" s="204"/>
      <c r="W2946" s="198" t="s">
        <v>51</v>
      </c>
      <c r="AE2946" s="198" t="s">
        <v>835</v>
      </c>
    </row>
    <row r="2947" spans="3:31" x14ac:dyDescent="0.25">
      <c r="C2947" s="201"/>
      <c r="E2947" s="201"/>
      <c r="F2947" s="201"/>
      <c r="I2947" s="198" t="s">
        <v>441</v>
      </c>
      <c r="J2947" s="198" t="s">
        <v>126</v>
      </c>
      <c r="K2947" s="202">
        <f t="shared" ref="K2947:K3010" si="46">L2947*5100</f>
        <v>1507560</v>
      </c>
      <c r="L2947" s="202">
        <v>295.60000000000002</v>
      </c>
      <c r="N2947" s="202">
        <v>5000</v>
      </c>
      <c r="S2947" s="204"/>
      <c r="W2947" s="198" t="s">
        <v>51</v>
      </c>
      <c r="AE2947" s="198" t="s">
        <v>835</v>
      </c>
    </row>
    <row r="2948" spans="3:31" x14ac:dyDescent="0.25">
      <c r="C2948" s="201"/>
      <c r="E2948" s="201"/>
      <c r="F2948" s="201"/>
      <c r="I2948" s="198" t="s">
        <v>441</v>
      </c>
      <c r="J2948" s="198" t="s">
        <v>126</v>
      </c>
      <c r="K2948" s="202">
        <f t="shared" si="46"/>
        <v>1508070</v>
      </c>
      <c r="L2948" s="202">
        <v>295.7</v>
      </c>
      <c r="N2948" s="202">
        <v>110000</v>
      </c>
      <c r="S2948" s="204"/>
      <c r="W2948" s="198" t="s">
        <v>51</v>
      </c>
      <c r="AE2948" s="198" t="s">
        <v>835</v>
      </c>
    </row>
    <row r="2949" spans="3:31" x14ac:dyDescent="0.25">
      <c r="C2949" s="201"/>
      <c r="E2949" s="201"/>
      <c r="F2949" s="201"/>
      <c r="I2949" s="198" t="s">
        <v>441</v>
      </c>
      <c r="J2949" s="198" t="s">
        <v>126</v>
      </c>
      <c r="K2949" s="202">
        <f t="shared" si="46"/>
        <v>1508580</v>
      </c>
      <c r="L2949" s="202">
        <v>295.8</v>
      </c>
      <c r="N2949" s="202">
        <v>290000</v>
      </c>
      <c r="S2949" s="204"/>
      <c r="W2949" s="198" t="s">
        <v>51</v>
      </c>
      <c r="AE2949" s="198" t="s">
        <v>835</v>
      </c>
    </row>
    <row r="2950" spans="3:31" x14ac:dyDescent="0.25">
      <c r="C2950" s="201"/>
      <c r="E2950" s="201"/>
      <c r="F2950" s="201"/>
      <c r="I2950" s="198" t="s">
        <v>441</v>
      </c>
      <c r="J2950" s="198" t="s">
        <v>126</v>
      </c>
      <c r="K2950" s="202">
        <f t="shared" si="46"/>
        <v>1509090</v>
      </c>
      <c r="L2950" s="202">
        <v>295.89999999999998</v>
      </c>
      <c r="N2950" s="202">
        <v>1600</v>
      </c>
      <c r="S2950" s="204"/>
      <c r="W2950" s="198" t="s">
        <v>51</v>
      </c>
      <c r="AE2950" s="198" t="s">
        <v>835</v>
      </c>
    </row>
    <row r="2951" spans="3:31" x14ac:dyDescent="0.25">
      <c r="C2951" s="201"/>
      <c r="E2951" s="201"/>
      <c r="F2951" s="201"/>
      <c r="I2951" s="198" t="s">
        <v>441</v>
      </c>
      <c r="J2951" s="198" t="s">
        <v>126</v>
      </c>
      <c r="K2951" s="202">
        <f t="shared" si="46"/>
        <v>1509600</v>
      </c>
      <c r="L2951" s="202">
        <v>296</v>
      </c>
      <c r="N2951" s="202">
        <v>3000</v>
      </c>
      <c r="S2951" s="204"/>
      <c r="W2951" s="198" t="s">
        <v>51</v>
      </c>
      <c r="AE2951" s="198" t="s">
        <v>835</v>
      </c>
    </row>
    <row r="2952" spans="3:31" x14ac:dyDescent="0.25">
      <c r="C2952" s="201"/>
      <c r="E2952" s="201"/>
      <c r="F2952" s="201"/>
      <c r="I2952" s="198" t="s">
        <v>441</v>
      </c>
      <c r="J2952" s="198" t="s">
        <v>126</v>
      </c>
      <c r="K2952" s="202">
        <f t="shared" si="46"/>
        <v>1510110</v>
      </c>
      <c r="L2952" s="202">
        <v>296.10000000000002</v>
      </c>
      <c r="N2952" s="202">
        <v>1600</v>
      </c>
      <c r="S2952" s="204"/>
      <c r="W2952" s="198" t="s">
        <v>51</v>
      </c>
      <c r="AE2952" s="198" t="s">
        <v>835</v>
      </c>
    </row>
    <row r="2953" spans="3:31" x14ac:dyDescent="0.25">
      <c r="C2953" s="201"/>
      <c r="E2953" s="201"/>
      <c r="F2953" s="201"/>
      <c r="I2953" s="198" t="s">
        <v>441</v>
      </c>
      <c r="J2953" s="198" t="s">
        <v>126</v>
      </c>
      <c r="K2953" s="202">
        <f t="shared" si="46"/>
        <v>1510620</v>
      </c>
      <c r="L2953" s="202">
        <v>296.2</v>
      </c>
      <c r="N2953" s="202">
        <v>600</v>
      </c>
      <c r="S2953" s="204"/>
      <c r="W2953" s="198" t="s">
        <v>51</v>
      </c>
      <c r="AE2953" s="198" t="s">
        <v>835</v>
      </c>
    </row>
    <row r="2954" spans="3:31" x14ac:dyDescent="0.25">
      <c r="C2954" s="201"/>
      <c r="E2954" s="201"/>
      <c r="F2954" s="201"/>
      <c r="I2954" s="198" t="s">
        <v>441</v>
      </c>
      <c r="J2954" s="198" t="s">
        <v>126</v>
      </c>
      <c r="K2954" s="202">
        <f t="shared" si="46"/>
        <v>1511130</v>
      </c>
      <c r="L2954" s="202">
        <v>296.3</v>
      </c>
      <c r="N2954" s="202">
        <v>2500</v>
      </c>
      <c r="S2954" s="204"/>
      <c r="W2954" s="198" t="s">
        <v>51</v>
      </c>
      <c r="AE2954" s="198" t="s">
        <v>835</v>
      </c>
    </row>
    <row r="2955" spans="3:31" x14ac:dyDescent="0.25">
      <c r="C2955" s="201"/>
      <c r="E2955" s="201"/>
      <c r="F2955" s="201"/>
      <c r="I2955" s="198" t="s">
        <v>441</v>
      </c>
      <c r="J2955" s="198" t="s">
        <v>126</v>
      </c>
      <c r="K2955" s="202">
        <f t="shared" si="46"/>
        <v>1511640</v>
      </c>
      <c r="L2955" s="202">
        <v>296.39999999999998</v>
      </c>
      <c r="N2955" s="202">
        <v>6000</v>
      </c>
      <c r="S2955" s="204"/>
      <c r="W2955" s="198" t="s">
        <v>51</v>
      </c>
      <c r="AE2955" s="198" t="s">
        <v>835</v>
      </c>
    </row>
    <row r="2956" spans="3:31" x14ac:dyDescent="0.25">
      <c r="C2956" s="201"/>
      <c r="E2956" s="201"/>
      <c r="F2956" s="201"/>
      <c r="I2956" s="198" t="s">
        <v>441</v>
      </c>
      <c r="J2956" s="198" t="s">
        <v>126</v>
      </c>
      <c r="K2956" s="202">
        <f t="shared" si="46"/>
        <v>1512150</v>
      </c>
      <c r="L2956" s="202">
        <v>296.5</v>
      </c>
      <c r="N2956" s="202">
        <v>42500</v>
      </c>
      <c r="S2956" s="204"/>
      <c r="W2956" s="198" t="s">
        <v>51</v>
      </c>
      <c r="AE2956" s="198" t="s">
        <v>835</v>
      </c>
    </row>
    <row r="2957" spans="3:31" x14ac:dyDescent="0.25">
      <c r="C2957" s="201"/>
      <c r="E2957" s="201"/>
      <c r="F2957" s="201"/>
      <c r="I2957" s="198" t="s">
        <v>441</v>
      </c>
      <c r="J2957" s="198" t="s">
        <v>126</v>
      </c>
      <c r="K2957" s="202">
        <f t="shared" si="46"/>
        <v>1512660</v>
      </c>
      <c r="L2957" s="202">
        <v>296.60000000000002</v>
      </c>
      <c r="N2957" s="202">
        <v>1500</v>
      </c>
      <c r="S2957" s="204"/>
      <c r="W2957" s="198" t="s">
        <v>51</v>
      </c>
      <c r="AE2957" s="198" t="s">
        <v>835</v>
      </c>
    </row>
    <row r="2958" spans="3:31" x14ac:dyDescent="0.25">
      <c r="C2958" s="201"/>
      <c r="E2958" s="201"/>
      <c r="F2958" s="201"/>
      <c r="I2958" s="198" t="s">
        <v>441</v>
      </c>
      <c r="J2958" s="198" t="s">
        <v>126</v>
      </c>
      <c r="K2958" s="202">
        <f t="shared" si="46"/>
        <v>1513170</v>
      </c>
      <c r="L2958" s="202">
        <v>296.7</v>
      </c>
      <c r="N2958" s="202">
        <v>10000</v>
      </c>
      <c r="S2958" s="204"/>
      <c r="W2958" s="198" t="s">
        <v>51</v>
      </c>
      <c r="AE2958" s="198" t="s">
        <v>835</v>
      </c>
    </row>
    <row r="2959" spans="3:31" x14ac:dyDescent="0.25">
      <c r="C2959" s="201"/>
      <c r="E2959" s="201"/>
      <c r="F2959" s="201"/>
      <c r="I2959" s="198" t="s">
        <v>441</v>
      </c>
      <c r="J2959" s="198" t="s">
        <v>126</v>
      </c>
      <c r="K2959" s="202">
        <f t="shared" si="46"/>
        <v>1513680</v>
      </c>
      <c r="L2959" s="202">
        <v>296.8</v>
      </c>
      <c r="N2959" s="202">
        <v>12000</v>
      </c>
      <c r="S2959" s="204"/>
      <c r="W2959" s="198" t="s">
        <v>51</v>
      </c>
      <c r="AE2959" s="198" t="s">
        <v>835</v>
      </c>
    </row>
    <row r="2960" spans="3:31" x14ac:dyDescent="0.25">
      <c r="C2960" s="201"/>
      <c r="E2960" s="201"/>
      <c r="F2960" s="201"/>
      <c r="I2960" s="198" t="s">
        <v>441</v>
      </c>
      <c r="J2960" s="198" t="s">
        <v>126</v>
      </c>
      <c r="K2960" s="202">
        <f t="shared" si="46"/>
        <v>1514190</v>
      </c>
      <c r="L2960" s="202">
        <v>296.89999999999998</v>
      </c>
      <c r="N2960" s="202">
        <v>1000</v>
      </c>
      <c r="S2960" s="204"/>
      <c r="W2960" s="198" t="s">
        <v>51</v>
      </c>
      <c r="AE2960" s="198" t="s">
        <v>835</v>
      </c>
    </row>
    <row r="2961" spans="3:31" x14ac:dyDescent="0.25">
      <c r="C2961" s="201"/>
      <c r="E2961" s="201"/>
      <c r="F2961" s="201"/>
      <c r="I2961" s="198" t="s">
        <v>441</v>
      </c>
      <c r="J2961" s="198" t="s">
        <v>126</v>
      </c>
      <c r="K2961" s="202">
        <f t="shared" si="46"/>
        <v>1514700</v>
      </c>
      <c r="L2961" s="202">
        <v>297</v>
      </c>
      <c r="N2961" s="202">
        <v>15000</v>
      </c>
      <c r="S2961" s="204"/>
      <c r="W2961" s="198" t="s">
        <v>51</v>
      </c>
      <c r="AE2961" s="198" t="s">
        <v>835</v>
      </c>
    </row>
    <row r="2962" spans="3:31" x14ac:dyDescent="0.25">
      <c r="C2962" s="201"/>
      <c r="E2962" s="201"/>
      <c r="F2962" s="201"/>
      <c r="I2962" s="198" t="s">
        <v>441</v>
      </c>
      <c r="J2962" s="198" t="s">
        <v>126</v>
      </c>
      <c r="K2962" s="202">
        <f t="shared" si="46"/>
        <v>1515210</v>
      </c>
      <c r="L2962" s="202">
        <v>297.10000000000002</v>
      </c>
      <c r="N2962" s="202">
        <v>65000</v>
      </c>
      <c r="S2962" s="204"/>
      <c r="W2962" s="198" t="s">
        <v>51</v>
      </c>
      <c r="AE2962" s="198" t="s">
        <v>835</v>
      </c>
    </row>
    <row r="2963" spans="3:31" x14ac:dyDescent="0.25">
      <c r="C2963" s="201"/>
      <c r="E2963" s="201"/>
      <c r="F2963" s="201"/>
      <c r="I2963" s="198" t="s">
        <v>519</v>
      </c>
      <c r="J2963" s="198" t="s">
        <v>130</v>
      </c>
      <c r="K2963" s="202">
        <f t="shared" si="46"/>
        <v>1515720</v>
      </c>
      <c r="L2963" s="202">
        <v>297.2</v>
      </c>
      <c r="N2963" s="202">
        <v>80000</v>
      </c>
      <c r="S2963" s="204"/>
      <c r="W2963" s="198" t="s">
        <v>51</v>
      </c>
      <c r="AE2963" s="198" t="s">
        <v>833</v>
      </c>
    </row>
    <row r="2964" spans="3:31" x14ac:dyDescent="0.25">
      <c r="C2964" s="201"/>
      <c r="E2964" s="201"/>
      <c r="F2964" s="201"/>
      <c r="I2964" s="198" t="s">
        <v>519</v>
      </c>
      <c r="J2964" s="198" t="s">
        <v>130</v>
      </c>
      <c r="K2964" s="202">
        <f t="shared" si="46"/>
        <v>1516230</v>
      </c>
      <c r="L2964" s="202">
        <v>297.3</v>
      </c>
      <c r="N2964" s="202">
        <v>80000</v>
      </c>
      <c r="S2964" s="204"/>
      <c r="W2964" s="198" t="s">
        <v>51</v>
      </c>
      <c r="AE2964" s="198" t="s">
        <v>833</v>
      </c>
    </row>
    <row r="2965" spans="3:31" x14ac:dyDescent="0.25">
      <c r="C2965" s="201"/>
      <c r="E2965" s="201"/>
      <c r="F2965" s="201"/>
      <c r="I2965" s="198" t="s">
        <v>519</v>
      </c>
      <c r="J2965" s="198" t="s">
        <v>130</v>
      </c>
      <c r="K2965" s="202">
        <f t="shared" si="46"/>
        <v>1516740</v>
      </c>
      <c r="L2965" s="202">
        <v>297.39999999999998</v>
      </c>
      <c r="N2965" s="202">
        <v>280000</v>
      </c>
      <c r="S2965" s="204"/>
      <c r="W2965" s="198" t="s">
        <v>51</v>
      </c>
      <c r="AE2965" s="198" t="s">
        <v>833</v>
      </c>
    </row>
    <row r="2966" spans="3:31" x14ac:dyDescent="0.25">
      <c r="C2966" s="201"/>
      <c r="E2966" s="201"/>
      <c r="F2966" s="201"/>
      <c r="I2966" s="198" t="s">
        <v>519</v>
      </c>
      <c r="J2966" s="198" t="s">
        <v>130</v>
      </c>
      <c r="K2966" s="202">
        <f t="shared" si="46"/>
        <v>1517250</v>
      </c>
      <c r="L2966" s="202">
        <v>297.5</v>
      </c>
      <c r="N2966" s="202">
        <v>30000</v>
      </c>
      <c r="S2966" s="204"/>
      <c r="W2966" s="198" t="s">
        <v>51</v>
      </c>
      <c r="AE2966" s="198" t="s">
        <v>833</v>
      </c>
    </row>
    <row r="2967" spans="3:31" x14ac:dyDescent="0.25">
      <c r="C2967" s="201"/>
      <c r="E2967" s="201"/>
      <c r="F2967" s="201"/>
      <c r="I2967" s="198" t="s">
        <v>519</v>
      </c>
      <c r="J2967" s="198" t="s">
        <v>130</v>
      </c>
      <c r="K2967" s="202">
        <f t="shared" si="46"/>
        <v>1517760</v>
      </c>
      <c r="L2967" s="202">
        <v>297.60000000000002</v>
      </c>
      <c r="N2967" s="202">
        <v>24000</v>
      </c>
      <c r="S2967" s="204"/>
      <c r="W2967" s="198" t="s">
        <v>51</v>
      </c>
      <c r="AE2967" s="198" t="s">
        <v>833</v>
      </c>
    </row>
    <row r="2968" spans="3:31" x14ac:dyDescent="0.25">
      <c r="C2968" s="201"/>
      <c r="E2968" s="201"/>
      <c r="F2968" s="201"/>
      <c r="I2968" s="198" t="s">
        <v>519</v>
      </c>
      <c r="J2968" s="198" t="s">
        <v>130</v>
      </c>
      <c r="K2968" s="202">
        <f t="shared" si="46"/>
        <v>1518270</v>
      </c>
      <c r="L2968" s="202">
        <v>297.7</v>
      </c>
      <c r="N2968" s="202">
        <v>4000</v>
      </c>
      <c r="S2968" s="204"/>
      <c r="W2968" s="198" t="s">
        <v>51</v>
      </c>
      <c r="AE2968" s="198" t="s">
        <v>833</v>
      </c>
    </row>
    <row r="2969" spans="3:31" x14ac:dyDescent="0.25">
      <c r="C2969" s="201"/>
      <c r="E2969" s="201"/>
      <c r="F2969" s="201"/>
      <c r="I2969" s="198" t="s">
        <v>519</v>
      </c>
      <c r="J2969" s="198" t="s">
        <v>130</v>
      </c>
      <c r="K2969" s="202">
        <f t="shared" si="46"/>
        <v>1518780</v>
      </c>
      <c r="L2969" s="202">
        <v>297.8</v>
      </c>
      <c r="N2969" s="202">
        <v>4000</v>
      </c>
      <c r="S2969" s="204"/>
      <c r="W2969" s="198" t="s">
        <v>51</v>
      </c>
      <c r="AE2969" s="198" t="s">
        <v>833</v>
      </c>
    </row>
    <row r="2970" spans="3:31" x14ac:dyDescent="0.25">
      <c r="C2970" s="201"/>
      <c r="E2970" s="201"/>
      <c r="F2970" s="201"/>
      <c r="I2970" s="198" t="s">
        <v>519</v>
      </c>
      <c r="J2970" s="198" t="s">
        <v>130</v>
      </c>
      <c r="K2970" s="202">
        <f t="shared" si="46"/>
        <v>1519290</v>
      </c>
      <c r="L2970" s="202">
        <v>297.89999999999998</v>
      </c>
      <c r="N2970" s="202">
        <v>45000</v>
      </c>
      <c r="S2970" s="204"/>
      <c r="W2970" s="198" t="s">
        <v>51</v>
      </c>
      <c r="AE2970" s="198" t="s">
        <v>833</v>
      </c>
    </row>
    <row r="2971" spans="3:31" x14ac:dyDescent="0.25">
      <c r="C2971" s="201"/>
      <c r="E2971" s="201"/>
      <c r="F2971" s="201"/>
      <c r="I2971" s="198" t="s">
        <v>519</v>
      </c>
      <c r="J2971" s="198" t="s">
        <v>130</v>
      </c>
      <c r="K2971" s="202">
        <f t="shared" si="46"/>
        <v>1519800</v>
      </c>
      <c r="L2971" s="202">
        <v>298</v>
      </c>
      <c r="N2971" s="202">
        <v>45000</v>
      </c>
      <c r="S2971" s="204"/>
      <c r="W2971" s="198" t="s">
        <v>51</v>
      </c>
      <c r="AE2971" s="198" t="s">
        <v>833</v>
      </c>
    </row>
    <row r="2972" spans="3:31" x14ac:dyDescent="0.25">
      <c r="C2972" s="201"/>
      <c r="E2972" s="201"/>
      <c r="F2972" s="201"/>
      <c r="I2972" s="198" t="s">
        <v>519</v>
      </c>
      <c r="J2972" s="198" t="s">
        <v>130</v>
      </c>
      <c r="K2972" s="202">
        <f t="shared" si="46"/>
        <v>1520310</v>
      </c>
      <c r="L2972" s="202">
        <v>298.10000000000002</v>
      </c>
      <c r="N2972" s="202">
        <v>10000</v>
      </c>
      <c r="S2972" s="204"/>
      <c r="W2972" s="198" t="s">
        <v>51</v>
      </c>
      <c r="AE2972" s="198" t="s">
        <v>833</v>
      </c>
    </row>
    <row r="2973" spans="3:31" x14ac:dyDescent="0.25">
      <c r="C2973" s="201"/>
      <c r="E2973" s="201"/>
      <c r="F2973" s="201"/>
      <c r="I2973" s="198" t="s">
        <v>519</v>
      </c>
      <c r="J2973" s="198" t="s">
        <v>130</v>
      </c>
      <c r="K2973" s="202">
        <f t="shared" si="46"/>
        <v>1520820</v>
      </c>
      <c r="L2973" s="202">
        <v>298.2</v>
      </c>
      <c r="N2973" s="202">
        <v>10000</v>
      </c>
      <c r="S2973" s="204"/>
      <c r="W2973" s="198" t="s">
        <v>51</v>
      </c>
      <c r="AE2973" s="198" t="s">
        <v>833</v>
      </c>
    </row>
    <row r="2974" spans="3:31" x14ac:dyDescent="0.25">
      <c r="C2974" s="201"/>
      <c r="E2974" s="201"/>
      <c r="F2974" s="201"/>
      <c r="I2974" s="198" t="s">
        <v>519</v>
      </c>
      <c r="J2974" s="198" t="s">
        <v>130</v>
      </c>
      <c r="K2974" s="202">
        <f t="shared" si="46"/>
        <v>1521330</v>
      </c>
      <c r="L2974" s="202">
        <v>298.3</v>
      </c>
      <c r="N2974" s="202">
        <v>1000</v>
      </c>
      <c r="S2974" s="204"/>
      <c r="W2974" s="198" t="s">
        <v>51</v>
      </c>
      <c r="AE2974" s="198" t="s">
        <v>833</v>
      </c>
    </row>
    <row r="2975" spans="3:31" x14ac:dyDescent="0.25">
      <c r="C2975" s="201"/>
      <c r="E2975" s="201"/>
      <c r="F2975" s="201"/>
      <c r="I2975" s="198" t="s">
        <v>519</v>
      </c>
      <c r="J2975" s="198" t="s">
        <v>130</v>
      </c>
      <c r="K2975" s="202">
        <f t="shared" si="46"/>
        <v>1521840</v>
      </c>
      <c r="L2975" s="202">
        <v>298.39999999999998</v>
      </c>
      <c r="N2975" s="202">
        <v>58000</v>
      </c>
      <c r="S2975" s="204"/>
      <c r="W2975" s="198" t="s">
        <v>51</v>
      </c>
      <c r="AE2975" s="198" t="s">
        <v>833</v>
      </c>
    </row>
    <row r="2976" spans="3:31" x14ac:dyDescent="0.25">
      <c r="C2976" s="201"/>
      <c r="E2976" s="201"/>
      <c r="F2976" s="201"/>
      <c r="I2976" s="198" t="s">
        <v>519</v>
      </c>
      <c r="J2976" s="198" t="s">
        <v>130</v>
      </c>
      <c r="K2976" s="202">
        <f t="shared" si="46"/>
        <v>1522350</v>
      </c>
      <c r="L2976" s="202">
        <v>298.5</v>
      </c>
      <c r="N2976" s="202">
        <v>58000</v>
      </c>
      <c r="S2976" s="204"/>
      <c r="W2976" s="198" t="s">
        <v>51</v>
      </c>
      <c r="AE2976" s="198" t="s">
        <v>833</v>
      </c>
    </row>
    <row r="2977" spans="3:31" x14ac:dyDescent="0.25">
      <c r="C2977" s="201"/>
      <c r="E2977" s="201"/>
      <c r="F2977" s="201"/>
      <c r="I2977" s="198" t="s">
        <v>519</v>
      </c>
      <c r="J2977" s="198" t="s">
        <v>130</v>
      </c>
      <c r="K2977" s="202">
        <f t="shared" si="46"/>
        <v>1522860</v>
      </c>
      <c r="L2977" s="202">
        <v>298.60000000000002</v>
      </c>
      <c r="N2977" s="202">
        <v>58000</v>
      </c>
      <c r="S2977" s="204"/>
      <c r="W2977" s="198" t="s">
        <v>51</v>
      </c>
      <c r="AE2977" s="198" t="s">
        <v>833</v>
      </c>
    </row>
    <row r="2978" spans="3:31" x14ac:dyDescent="0.25">
      <c r="C2978" s="201"/>
      <c r="E2978" s="201"/>
      <c r="F2978" s="201"/>
      <c r="I2978" s="198" t="s">
        <v>519</v>
      </c>
      <c r="J2978" s="198" t="s">
        <v>130</v>
      </c>
      <c r="K2978" s="202">
        <f t="shared" si="46"/>
        <v>1523370</v>
      </c>
      <c r="L2978" s="202">
        <v>298.7</v>
      </c>
      <c r="N2978" s="202">
        <v>68000</v>
      </c>
      <c r="S2978" s="204"/>
      <c r="W2978" s="198" t="s">
        <v>51</v>
      </c>
      <c r="AE2978" s="198" t="s">
        <v>833</v>
      </c>
    </row>
    <row r="2979" spans="3:31" x14ac:dyDescent="0.25">
      <c r="C2979" s="201"/>
      <c r="E2979" s="201"/>
      <c r="F2979" s="201"/>
      <c r="I2979" s="198" t="s">
        <v>519</v>
      </c>
      <c r="J2979" s="198" t="s">
        <v>130</v>
      </c>
      <c r="K2979" s="202">
        <f t="shared" si="46"/>
        <v>1523880</v>
      </c>
      <c r="L2979" s="202">
        <v>298.8</v>
      </c>
      <c r="N2979" s="202">
        <v>750</v>
      </c>
      <c r="S2979" s="204"/>
      <c r="W2979" s="198" t="s">
        <v>51</v>
      </c>
      <c r="AE2979" s="198" t="s">
        <v>833</v>
      </c>
    </row>
    <row r="2980" spans="3:31" x14ac:dyDescent="0.25">
      <c r="C2980" s="201"/>
      <c r="E2980" s="201"/>
      <c r="F2980" s="201"/>
      <c r="I2980" s="198" t="s">
        <v>519</v>
      </c>
      <c r="J2980" s="198" t="s">
        <v>130</v>
      </c>
      <c r="K2980" s="202">
        <f t="shared" si="46"/>
        <v>1524390</v>
      </c>
      <c r="L2980" s="202">
        <v>298.89999999999998</v>
      </c>
      <c r="N2980" s="202">
        <v>5000</v>
      </c>
      <c r="S2980" s="204"/>
      <c r="W2980" s="198" t="s">
        <v>51</v>
      </c>
      <c r="AE2980" s="198" t="s">
        <v>833</v>
      </c>
    </row>
    <row r="2981" spans="3:31" x14ac:dyDescent="0.25">
      <c r="C2981" s="201"/>
      <c r="E2981" s="201"/>
      <c r="F2981" s="201"/>
      <c r="I2981" s="198" t="s">
        <v>519</v>
      </c>
      <c r="J2981" s="198" t="s">
        <v>130</v>
      </c>
      <c r="K2981" s="202">
        <f t="shared" si="46"/>
        <v>1524900</v>
      </c>
      <c r="L2981" s="202">
        <v>299</v>
      </c>
      <c r="N2981" s="202">
        <v>110000</v>
      </c>
      <c r="S2981" s="204"/>
      <c r="W2981" s="198" t="s">
        <v>51</v>
      </c>
      <c r="AE2981" s="198" t="s">
        <v>833</v>
      </c>
    </row>
    <row r="2982" spans="3:31" x14ac:dyDescent="0.25">
      <c r="C2982" s="201"/>
      <c r="E2982" s="201"/>
      <c r="F2982" s="201"/>
      <c r="I2982" s="198" t="s">
        <v>519</v>
      </c>
      <c r="J2982" s="198" t="s">
        <v>130</v>
      </c>
      <c r="K2982" s="202">
        <f t="shared" si="46"/>
        <v>1525410</v>
      </c>
      <c r="L2982" s="202">
        <v>299.10000000000002</v>
      </c>
      <c r="N2982" s="202">
        <v>290000</v>
      </c>
      <c r="S2982" s="204"/>
      <c r="W2982" s="198" t="s">
        <v>51</v>
      </c>
      <c r="AE2982" s="198" t="s">
        <v>833</v>
      </c>
    </row>
    <row r="2983" spans="3:31" x14ac:dyDescent="0.25">
      <c r="C2983" s="201"/>
      <c r="E2983" s="201"/>
      <c r="F2983" s="201"/>
      <c r="I2983" s="198" t="s">
        <v>519</v>
      </c>
      <c r="J2983" s="198" t="s">
        <v>130</v>
      </c>
      <c r="K2983" s="202">
        <f t="shared" si="46"/>
        <v>1525920</v>
      </c>
      <c r="L2983" s="202">
        <v>299.2</v>
      </c>
      <c r="N2983" s="202">
        <v>1600</v>
      </c>
      <c r="S2983" s="204"/>
      <c r="W2983" s="198" t="s">
        <v>51</v>
      </c>
      <c r="AE2983" s="198" t="s">
        <v>833</v>
      </c>
    </row>
    <row r="2984" spans="3:31" x14ac:dyDescent="0.25">
      <c r="C2984" s="201"/>
      <c r="E2984" s="201"/>
      <c r="F2984" s="201"/>
      <c r="I2984" s="198" t="s">
        <v>519</v>
      </c>
      <c r="J2984" s="198" t="s">
        <v>130</v>
      </c>
      <c r="K2984" s="202">
        <f t="shared" si="46"/>
        <v>1526430</v>
      </c>
      <c r="L2984" s="202">
        <v>299.3</v>
      </c>
      <c r="N2984" s="202">
        <v>3000</v>
      </c>
      <c r="S2984" s="204"/>
      <c r="W2984" s="198" t="s">
        <v>51</v>
      </c>
      <c r="AE2984" s="198" t="s">
        <v>833</v>
      </c>
    </row>
    <row r="2985" spans="3:31" x14ac:dyDescent="0.25">
      <c r="C2985" s="201"/>
      <c r="E2985" s="201"/>
      <c r="F2985" s="201"/>
      <c r="I2985" s="198" t="s">
        <v>519</v>
      </c>
      <c r="J2985" s="198" t="s">
        <v>130</v>
      </c>
      <c r="K2985" s="202">
        <f t="shared" si="46"/>
        <v>1526940</v>
      </c>
      <c r="L2985" s="202">
        <v>299.39999999999998</v>
      </c>
      <c r="N2985" s="202">
        <v>1600</v>
      </c>
      <c r="S2985" s="204"/>
      <c r="W2985" s="198" t="s">
        <v>51</v>
      </c>
      <c r="AE2985" s="198" t="s">
        <v>833</v>
      </c>
    </row>
    <row r="2986" spans="3:31" x14ac:dyDescent="0.25">
      <c r="C2986" s="201"/>
      <c r="E2986" s="201"/>
      <c r="F2986" s="201"/>
      <c r="I2986" s="198" t="s">
        <v>519</v>
      </c>
      <c r="J2986" s="198" t="s">
        <v>130</v>
      </c>
      <c r="K2986" s="202">
        <f t="shared" si="46"/>
        <v>1527450</v>
      </c>
      <c r="L2986" s="202">
        <v>299.5</v>
      </c>
      <c r="N2986" s="202">
        <v>600</v>
      </c>
      <c r="S2986" s="204"/>
      <c r="W2986" s="198" t="s">
        <v>51</v>
      </c>
      <c r="AE2986" s="198" t="s">
        <v>833</v>
      </c>
    </row>
    <row r="2987" spans="3:31" x14ac:dyDescent="0.25">
      <c r="C2987" s="201"/>
      <c r="E2987" s="201"/>
      <c r="F2987" s="201"/>
      <c r="I2987" s="198" t="s">
        <v>519</v>
      </c>
      <c r="J2987" s="198" t="s">
        <v>130</v>
      </c>
      <c r="K2987" s="202">
        <f t="shared" si="46"/>
        <v>1527960</v>
      </c>
      <c r="L2987" s="202">
        <v>299.60000000000002</v>
      </c>
      <c r="N2987" s="202">
        <v>2500</v>
      </c>
      <c r="S2987" s="204"/>
      <c r="W2987" s="198" t="s">
        <v>51</v>
      </c>
      <c r="AE2987" s="198" t="s">
        <v>833</v>
      </c>
    </row>
    <row r="2988" spans="3:31" x14ac:dyDescent="0.25">
      <c r="C2988" s="201"/>
      <c r="E2988" s="201"/>
      <c r="F2988" s="201"/>
      <c r="I2988" s="198" t="s">
        <v>519</v>
      </c>
      <c r="J2988" s="198" t="s">
        <v>130</v>
      </c>
      <c r="K2988" s="202">
        <f t="shared" si="46"/>
        <v>1528470</v>
      </c>
      <c r="L2988" s="202">
        <v>299.7</v>
      </c>
      <c r="N2988" s="202">
        <v>6000</v>
      </c>
      <c r="S2988" s="204"/>
      <c r="W2988" s="198" t="s">
        <v>51</v>
      </c>
      <c r="AE2988" s="198" t="s">
        <v>833</v>
      </c>
    </row>
    <row r="2989" spans="3:31" x14ac:dyDescent="0.25">
      <c r="C2989" s="201"/>
      <c r="E2989" s="201"/>
      <c r="F2989" s="201"/>
      <c r="I2989" s="198" t="s">
        <v>519</v>
      </c>
      <c r="J2989" s="198" t="s">
        <v>130</v>
      </c>
      <c r="K2989" s="202">
        <f t="shared" si="46"/>
        <v>1528980</v>
      </c>
      <c r="L2989" s="202">
        <v>299.8</v>
      </c>
      <c r="N2989" s="202">
        <v>42500</v>
      </c>
      <c r="S2989" s="204"/>
      <c r="W2989" s="198" t="s">
        <v>51</v>
      </c>
      <c r="AE2989" s="198" t="s">
        <v>833</v>
      </c>
    </row>
    <row r="2990" spans="3:31" x14ac:dyDescent="0.25">
      <c r="C2990" s="201"/>
      <c r="E2990" s="201"/>
      <c r="F2990" s="201"/>
      <c r="I2990" s="198" t="s">
        <v>519</v>
      </c>
      <c r="J2990" s="198" t="s">
        <v>130</v>
      </c>
      <c r="K2990" s="202">
        <f t="shared" si="46"/>
        <v>1529490</v>
      </c>
      <c r="L2990" s="202">
        <v>299.89999999999998</v>
      </c>
      <c r="N2990" s="202">
        <v>1500</v>
      </c>
      <c r="S2990" s="204"/>
      <c r="W2990" s="198" t="s">
        <v>51</v>
      </c>
      <c r="AE2990" s="198" t="s">
        <v>833</v>
      </c>
    </row>
    <row r="2991" spans="3:31" x14ac:dyDescent="0.25">
      <c r="C2991" s="201"/>
      <c r="E2991" s="201"/>
      <c r="F2991" s="201"/>
      <c r="I2991" s="198" t="s">
        <v>519</v>
      </c>
      <c r="J2991" s="198" t="s">
        <v>130</v>
      </c>
      <c r="K2991" s="202">
        <f t="shared" si="46"/>
        <v>1530000</v>
      </c>
      <c r="L2991" s="202">
        <v>300</v>
      </c>
      <c r="N2991" s="202">
        <v>10000</v>
      </c>
      <c r="S2991" s="204"/>
      <c r="W2991" s="198" t="s">
        <v>51</v>
      </c>
      <c r="AE2991" s="198" t="s">
        <v>833</v>
      </c>
    </row>
    <row r="2992" spans="3:31" x14ac:dyDescent="0.25">
      <c r="C2992" s="201"/>
      <c r="E2992" s="201"/>
      <c r="F2992" s="201"/>
      <c r="I2992" s="198" t="s">
        <v>519</v>
      </c>
      <c r="J2992" s="198" t="s">
        <v>130</v>
      </c>
      <c r="K2992" s="202">
        <f t="shared" si="46"/>
        <v>1530510</v>
      </c>
      <c r="L2992" s="202">
        <v>300.10000000000002</v>
      </c>
      <c r="N2992" s="202">
        <v>12000</v>
      </c>
      <c r="S2992" s="204"/>
      <c r="W2992" s="198" t="s">
        <v>51</v>
      </c>
      <c r="AE2992" s="198" t="s">
        <v>833</v>
      </c>
    </row>
    <row r="2993" spans="3:31" x14ac:dyDescent="0.25">
      <c r="C2993" s="201"/>
      <c r="E2993" s="201"/>
      <c r="F2993" s="201"/>
      <c r="I2993" s="198" t="s">
        <v>519</v>
      </c>
      <c r="J2993" s="198" t="s">
        <v>130</v>
      </c>
      <c r="K2993" s="202">
        <f t="shared" si="46"/>
        <v>1531020</v>
      </c>
      <c r="L2993" s="202">
        <v>300.2</v>
      </c>
      <c r="N2993" s="202">
        <v>1000</v>
      </c>
      <c r="S2993" s="204"/>
      <c r="W2993" s="198" t="s">
        <v>51</v>
      </c>
      <c r="AE2993" s="198" t="s">
        <v>833</v>
      </c>
    </row>
    <row r="2994" spans="3:31" x14ac:dyDescent="0.25">
      <c r="C2994" s="201"/>
      <c r="E2994" s="201"/>
      <c r="F2994" s="201"/>
      <c r="I2994" s="198" t="s">
        <v>519</v>
      </c>
      <c r="J2994" s="198" t="s">
        <v>130</v>
      </c>
      <c r="K2994" s="202">
        <f t="shared" si="46"/>
        <v>1531530</v>
      </c>
      <c r="L2994" s="202">
        <v>300.3</v>
      </c>
      <c r="N2994" s="202">
        <v>15000</v>
      </c>
      <c r="S2994" s="204"/>
      <c r="W2994" s="198" t="s">
        <v>51</v>
      </c>
      <c r="AE2994" s="198" t="s">
        <v>833</v>
      </c>
    </row>
    <row r="2995" spans="3:31" x14ac:dyDescent="0.25">
      <c r="C2995" s="201"/>
      <c r="E2995" s="201"/>
      <c r="F2995" s="201"/>
      <c r="I2995" s="198" t="s">
        <v>519</v>
      </c>
      <c r="J2995" s="198" t="s">
        <v>130</v>
      </c>
      <c r="K2995" s="202">
        <f t="shared" si="46"/>
        <v>1532040</v>
      </c>
      <c r="L2995" s="202">
        <v>300.39999999999998</v>
      </c>
      <c r="N2995" s="202">
        <v>65000</v>
      </c>
      <c r="S2995" s="204"/>
      <c r="W2995" s="198" t="s">
        <v>51</v>
      </c>
      <c r="AE2995" s="198" t="s">
        <v>833</v>
      </c>
    </row>
    <row r="2996" spans="3:31" x14ac:dyDescent="0.25">
      <c r="C2996" s="201"/>
      <c r="E2996" s="201"/>
      <c r="F2996" s="201"/>
      <c r="I2996" s="198" t="s">
        <v>180</v>
      </c>
      <c r="J2996" s="198" t="s">
        <v>65</v>
      </c>
      <c r="K2996" s="202">
        <f t="shared" si="46"/>
        <v>1532550</v>
      </c>
      <c r="L2996" s="202">
        <v>300.5</v>
      </c>
      <c r="N2996" s="202">
        <v>520000</v>
      </c>
      <c r="S2996" s="204"/>
      <c r="W2996" s="198" t="s">
        <v>51</v>
      </c>
      <c r="AE2996" s="198" t="s">
        <v>831</v>
      </c>
    </row>
    <row r="2997" spans="3:31" x14ac:dyDescent="0.25">
      <c r="C2997" s="201"/>
      <c r="E2997" s="201"/>
      <c r="F2997" s="201"/>
      <c r="I2997" s="198" t="s">
        <v>180</v>
      </c>
      <c r="J2997" s="198" t="s">
        <v>65</v>
      </c>
      <c r="K2997" s="202">
        <f t="shared" si="46"/>
        <v>1533060</v>
      </c>
      <c r="L2997" s="202">
        <v>300.60000000000002</v>
      </c>
      <c r="N2997" s="202">
        <v>520000</v>
      </c>
      <c r="S2997" s="204"/>
      <c r="W2997" s="198" t="s">
        <v>51</v>
      </c>
      <c r="AE2997" s="198" t="s">
        <v>831</v>
      </c>
    </row>
    <row r="2998" spans="3:31" x14ac:dyDescent="0.25">
      <c r="C2998" s="201"/>
      <c r="E2998" s="201"/>
      <c r="F2998" s="201"/>
      <c r="I2998" s="198" t="s">
        <v>180</v>
      </c>
      <c r="J2998" s="198" t="s">
        <v>65</v>
      </c>
      <c r="K2998" s="202">
        <f t="shared" si="46"/>
        <v>1533570</v>
      </c>
      <c r="L2998" s="202">
        <v>300.7</v>
      </c>
      <c r="N2998" s="202">
        <v>520000</v>
      </c>
      <c r="S2998" s="204"/>
      <c r="W2998" s="198" t="s">
        <v>51</v>
      </c>
      <c r="AE2998" s="198" t="s">
        <v>831</v>
      </c>
    </row>
    <row r="2999" spans="3:31" x14ac:dyDescent="0.25">
      <c r="C2999" s="201"/>
      <c r="E2999" s="201"/>
      <c r="F2999" s="201"/>
      <c r="I2999" s="198" t="s">
        <v>180</v>
      </c>
      <c r="J2999" s="198" t="s">
        <v>65</v>
      </c>
      <c r="K2999" s="202">
        <f t="shared" si="46"/>
        <v>1534080</v>
      </c>
      <c r="L2999" s="202">
        <v>300.8</v>
      </c>
      <c r="N2999" s="202">
        <v>520000</v>
      </c>
      <c r="S2999" s="204"/>
      <c r="W2999" s="198" t="s">
        <v>51</v>
      </c>
      <c r="AE2999" s="198" t="s">
        <v>831</v>
      </c>
    </row>
    <row r="3000" spans="3:31" x14ac:dyDescent="0.25">
      <c r="C3000" s="201"/>
      <c r="E3000" s="201"/>
      <c r="F3000" s="201"/>
      <c r="I3000" s="198" t="s">
        <v>684</v>
      </c>
      <c r="J3000" s="198" t="s">
        <v>148</v>
      </c>
      <c r="K3000" s="202">
        <f t="shared" si="46"/>
        <v>1534590</v>
      </c>
      <c r="L3000" s="202">
        <v>300.89999999999998</v>
      </c>
      <c r="N3000" s="202">
        <v>1500</v>
      </c>
      <c r="S3000" s="203"/>
      <c r="W3000" s="198" t="s">
        <v>51</v>
      </c>
      <c r="AE3000" s="198" t="s">
        <v>828</v>
      </c>
    </row>
    <row r="3001" spans="3:31" x14ac:dyDescent="0.25">
      <c r="C3001" s="201"/>
      <c r="E3001" s="201"/>
      <c r="F3001" s="201"/>
      <c r="I3001" s="198" t="s">
        <v>683</v>
      </c>
      <c r="J3001" s="198" t="s">
        <v>274</v>
      </c>
      <c r="K3001" s="202">
        <f t="shared" si="46"/>
        <v>1535100</v>
      </c>
      <c r="L3001" s="202">
        <v>301</v>
      </c>
      <c r="N3001" s="202">
        <v>30000</v>
      </c>
      <c r="S3001" s="204"/>
      <c r="W3001" s="198" t="s">
        <v>51</v>
      </c>
      <c r="AE3001" s="198" t="s">
        <v>1767</v>
      </c>
    </row>
    <row r="3002" spans="3:31" x14ac:dyDescent="0.25">
      <c r="C3002" s="201"/>
      <c r="E3002" s="201"/>
      <c r="F3002" s="201"/>
      <c r="I3002" s="198" t="s">
        <v>683</v>
      </c>
      <c r="J3002" s="198" t="s">
        <v>274</v>
      </c>
      <c r="K3002" s="202">
        <f t="shared" si="46"/>
        <v>1535610</v>
      </c>
      <c r="L3002" s="202">
        <v>301.10000000000002</v>
      </c>
      <c r="N3002" s="202">
        <v>15000</v>
      </c>
      <c r="S3002" s="204"/>
      <c r="W3002" s="198" t="s">
        <v>51</v>
      </c>
      <c r="AE3002" s="198" t="s">
        <v>1767</v>
      </c>
    </row>
    <row r="3003" spans="3:31" x14ac:dyDescent="0.25">
      <c r="C3003" s="201"/>
      <c r="E3003" s="201"/>
      <c r="F3003" s="201"/>
      <c r="I3003" s="198" t="s">
        <v>683</v>
      </c>
      <c r="J3003" s="198" t="s">
        <v>274</v>
      </c>
      <c r="K3003" s="202">
        <f t="shared" si="46"/>
        <v>1536120</v>
      </c>
      <c r="L3003" s="202">
        <v>301.2</v>
      </c>
      <c r="N3003" s="202">
        <v>1500</v>
      </c>
      <c r="S3003" s="203"/>
      <c r="W3003" s="198" t="s">
        <v>51</v>
      </c>
      <c r="AE3003" s="198" t="s">
        <v>1767</v>
      </c>
    </row>
    <row r="3004" spans="3:31" x14ac:dyDescent="0.25">
      <c r="C3004" s="201"/>
      <c r="E3004" s="201"/>
      <c r="F3004" s="201"/>
      <c r="I3004" s="198" t="s">
        <v>683</v>
      </c>
      <c r="J3004" s="198" t="s">
        <v>274</v>
      </c>
      <c r="K3004" s="202">
        <f t="shared" si="46"/>
        <v>1536630</v>
      </c>
      <c r="L3004" s="202">
        <v>301.3</v>
      </c>
      <c r="N3004" s="202">
        <v>22323</v>
      </c>
      <c r="S3004" s="204"/>
      <c r="W3004" s="198" t="s">
        <v>51</v>
      </c>
      <c r="AE3004" s="198" t="s">
        <v>1767</v>
      </c>
    </row>
    <row r="3005" spans="3:31" x14ac:dyDescent="0.25">
      <c r="C3005" s="201"/>
      <c r="E3005" s="201"/>
      <c r="F3005" s="201"/>
      <c r="I3005" s="198" t="s">
        <v>682</v>
      </c>
      <c r="J3005" s="198" t="s">
        <v>143</v>
      </c>
      <c r="K3005" s="202">
        <f t="shared" si="46"/>
        <v>1537140</v>
      </c>
      <c r="L3005" s="202">
        <v>301.39999999999998</v>
      </c>
      <c r="N3005" s="202">
        <v>1500</v>
      </c>
      <c r="S3005" s="203"/>
      <c r="W3005" s="198" t="s">
        <v>51</v>
      </c>
      <c r="AE3005" s="198" t="s">
        <v>829</v>
      </c>
    </row>
    <row r="3006" spans="3:31" x14ac:dyDescent="0.25">
      <c r="C3006" s="201"/>
      <c r="E3006" s="201"/>
      <c r="F3006" s="201"/>
      <c r="I3006" s="198" t="s">
        <v>682</v>
      </c>
      <c r="J3006" s="198" t="s">
        <v>143</v>
      </c>
      <c r="K3006" s="202">
        <f t="shared" si="46"/>
        <v>1537650</v>
      </c>
      <c r="L3006" s="202">
        <v>301.5</v>
      </c>
      <c r="N3006" s="202">
        <v>17265</v>
      </c>
      <c r="S3006" s="204"/>
      <c r="W3006" s="198" t="s">
        <v>51</v>
      </c>
      <c r="AE3006" s="198" t="s">
        <v>829</v>
      </c>
    </row>
    <row r="3007" spans="3:31" x14ac:dyDescent="0.25">
      <c r="C3007" s="201"/>
      <c r="E3007" s="201"/>
      <c r="F3007" s="201"/>
      <c r="I3007" s="198" t="s">
        <v>679</v>
      </c>
      <c r="J3007" s="198" t="s">
        <v>156</v>
      </c>
      <c r="K3007" s="202">
        <f t="shared" si="46"/>
        <v>1538160</v>
      </c>
      <c r="L3007" s="202">
        <v>301.60000000000002</v>
      </c>
      <c r="N3007" s="202">
        <v>3000</v>
      </c>
      <c r="S3007" s="204"/>
      <c r="W3007" s="198" t="s">
        <v>51</v>
      </c>
      <c r="AE3007" s="198" t="s">
        <v>828</v>
      </c>
    </row>
    <row r="3008" spans="3:31" x14ac:dyDescent="0.25">
      <c r="C3008" s="201"/>
      <c r="E3008" s="201"/>
      <c r="F3008" s="201"/>
      <c r="I3008" s="198" t="s">
        <v>685</v>
      </c>
      <c r="J3008" s="198" t="s">
        <v>153</v>
      </c>
      <c r="K3008" s="202">
        <f t="shared" si="46"/>
        <v>1538670</v>
      </c>
      <c r="L3008" s="202">
        <v>301.7</v>
      </c>
      <c r="N3008" s="202">
        <v>30000</v>
      </c>
      <c r="S3008" s="204"/>
      <c r="W3008" s="198" t="s">
        <v>51</v>
      </c>
      <c r="AE3008" s="198" t="s">
        <v>1768</v>
      </c>
    </row>
    <row r="3009" spans="3:31" x14ac:dyDescent="0.25">
      <c r="C3009" s="201"/>
      <c r="E3009" s="201"/>
      <c r="F3009" s="201"/>
      <c r="I3009" s="198" t="s">
        <v>685</v>
      </c>
      <c r="J3009" s="198" t="s">
        <v>153</v>
      </c>
      <c r="K3009" s="202">
        <f t="shared" si="46"/>
        <v>1539180</v>
      </c>
      <c r="L3009" s="202">
        <v>301.8</v>
      </c>
      <c r="N3009" s="202">
        <v>15000</v>
      </c>
      <c r="S3009" s="204"/>
      <c r="W3009" s="198" t="s">
        <v>51</v>
      </c>
      <c r="AE3009" s="198" t="s">
        <v>1768</v>
      </c>
    </row>
    <row r="3010" spans="3:31" x14ac:dyDescent="0.25">
      <c r="C3010" s="201"/>
      <c r="E3010" s="201"/>
      <c r="F3010" s="201"/>
      <c r="I3010" s="198" t="s">
        <v>685</v>
      </c>
      <c r="J3010" s="198" t="s">
        <v>153</v>
      </c>
      <c r="K3010" s="202">
        <f t="shared" si="46"/>
        <v>1539690</v>
      </c>
      <c r="L3010" s="202">
        <v>301.89999999999998</v>
      </c>
      <c r="N3010" s="202">
        <v>16830</v>
      </c>
      <c r="S3010" s="204"/>
      <c r="W3010" s="198" t="s">
        <v>51</v>
      </c>
      <c r="AE3010" s="198" t="s">
        <v>1768</v>
      </c>
    </row>
    <row r="3011" spans="3:31" x14ac:dyDescent="0.25">
      <c r="C3011" s="201"/>
      <c r="E3011" s="201"/>
      <c r="F3011" s="201"/>
      <c r="I3011" s="198" t="s">
        <v>195</v>
      </c>
      <c r="J3011" s="198" t="s">
        <v>148</v>
      </c>
      <c r="K3011" s="202">
        <f t="shared" ref="K3011:K3074" si="47">L3011*5100</f>
        <v>1540200</v>
      </c>
      <c r="L3011" s="202">
        <v>302</v>
      </c>
      <c r="N3011" s="202">
        <v>892500</v>
      </c>
      <c r="S3011" s="203"/>
      <c r="W3011" s="198" t="s">
        <v>51</v>
      </c>
      <c r="AE3011" s="198" t="s">
        <v>828</v>
      </c>
    </row>
    <row r="3012" spans="3:31" x14ac:dyDescent="0.25">
      <c r="C3012" s="201"/>
      <c r="E3012" s="201"/>
      <c r="F3012" s="201"/>
      <c r="I3012" s="198" t="s">
        <v>792</v>
      </c>
      <c r="J3012" s="198" t="s">
        <v>148</v>
      </c>
      <c r="K3012" s="202">
        <f t="shared" si="47"/>
        <v>1540710</v>
      </c>
      <c r="L3012" s="202">
        <v>302.10000000000002</v>
      </c>
      <c r="N3012" s="202">
        <v>2400</v>
      </c>
      <c r="S3012" s="203"/>
      <c r="W3012" s="198" t="s">
        <v>51</v>
      </c>
      <c r="AE3012" s="198" t="s">
        <v>828</v>
      </c>
    </row>
    <row r="3013" spans="3:31" x14ac:dyDescent="0.25">
      <c r="C3013" s="201"/>
      <c r="E3013" s="201"/>
      <c r="F3013" s="201"/>
      <c r="I3013" s="198" t="s">
        <v>791</v>
      </c>
      <c r="J3013" s="198" t="s">
        <v>274</v>
      </c>
      <c r="K3013" s="202">
        <f t="shared" si="47"/>
        <v>1541220</v>
      </c>
      <c r="L3013" s="202">
        <v>302.2</v>
      </c>
      <c r="N3013" s="202">
        <v>2400</v>
      </c>
      <c r="S3013" s="203"/>
      <c r="W3013" s="198" t="s">
        <v>51</v>
      </c>
      <c r="AE3013" s="198" t="s">
        <v>1767</v>
      </c>
    </row>
    <row r="3014" spans="3:31" x14ac:dyDescent="0.25">
      <c r="C3014" s="201"/>
      <c r="E3014" s="201"/>
      <c r="F3014" s="201"/>
      <c r="I3014" s="198" t="s">
        <v>791</v>
      </c>
      <c r="J3014" s="198" t="s">
        <v>274</v>
      </c>
      <c r="K3014" s="202">
        <f t="shared" si="47"/>
        <v>1541730</v>
      </c>
      <c r="L3014" s="202">
        <v>302.3</v>
      </c>
      <c r="N3014" s="202">
        <v>1200</v>
      </c>
      <c r="S3014" s="203"/>
      <c r="W3014" s="198" t="s">
        <v>51</v>
      </c>
      <c r="AE3014" s="198" t="s">
        <v>1767</v>
      </c>
    </row>
    <row r="3015" spans="3:31" x14ac:dyDescent="0.25">
      <c r="C3015" s="201"/>
      <c r="E3015" s="201"/>
      <c r="F3015" s="201"/>
      <c r="I3015" s="198" t="s">
        <v>790</v>
      </c>
      <c r="J3015" s="198" t="s">
        <v>153</v>
      </c>
      <c r="K3015" s="202">
        <f t="shared" si="47"/>
        <v>1542240</v>
      </c>
      <c r="L3015" s="202">
        <v>302.39999999999998</v>
      </c>
      <c r="N3015" s="202">
        <v>1200</v>
      </c>
      <c r="S3015" s="203"/>
      <c r="W3015" s="198" t="s">
        <v>51</v>
      </c>
      <c r="AE3015" s="198" t="s">
        <v>1768</v>
      </c>
    </row>
    <row r="3016" spans="3:31" x14ac:dyDescent="0.25">
      <c r="C3016" s="201"/>
      <c r="E3016" s="201"/>
      <c r="F3016" s="201"/>
      <c r="I3016" s="198" t="s">
        <v>792</v>
      </c>
      <c r="J3016" s="198" t="s">
        <v>148</v>
      </c>
      <c r="K3016" s="202">
        <f t="shared" si="47"/>
        <v>1542750</v>
      </c>
      <c r="L3016" s="202">
        <v>302.5</v>
      </c>
      <c r="N3016" s="202">
        <v>1200</v>
      </c>
      <c r="S3016" s="203"/>
      <c r="W3016" s="198" t="s">
        <v>51</v>
      </c>
      <c r="AE3016" s="198" t="s">
        <v>828</v>
      </c>
    </row>
    <row r="3017" spans="3:31" x14ac:dyDescent="0.25">
      <c r="C3017" s="201"/>
      <c r="E3017" s="201"/>
      <c r="F3017" s="201"/>
      <c r="I3017" s="198" t="s">
        <v>179</v>
      </c>
      <c r="J3017" s="198" t="s">
        <v>169</v>
      </c>
      <c r="K3017" s="202">
        <f t="shared" si="47"/>
        <v>1543260</v>
      </c>
      <c r="L3017" s="202">
        <v>302.60000000000002</v>
      </c>
      <c r="N3017" s="202">
        <v>949960</v>
      </c>
      <c r="S3017" s="204"/>
      <c r="W3017" s="198" t="s">
        <v>51</v>
      </c>
      <c r="AE3017" s="198" t="s">
        <v>831</v>
      </c>
    </row>
    <row r="3018" spans="3:31" x14ac:dyDescent="0.25">
      <c r="C3018" s="201"/>
      <c r="E3018" s="201"/>
      <c r="F3018" s="201"/>
      <c r="I3018" s="198" t="s">
        <v>178</v>
      </c>
      <c r="J3018" s="198" t="s">
        <v>167</v>
      </c>
      <c r="K3018" s="202">
        <f t="shared" si="47"/>
        <v>1543770</v>
      </c>
      <c r="L3018" s="202">
        <v>302.7</v>
      </c>
      <c r="N3018" s="202">
        <v>3469005</v>
      </c>
      <c r="S3018" s="204"/>
      <c r="W3018" s="198" t="s">
        <v>51</v>
      </c>
      <c r="AE3018" s="198" t="s">
        <v>831</v>
      </c>
    </row>
    <row r="3019" spans="3:31" x14ac:dyDescent="0.25">
      <c r="C3019" s="201"/>
      <c r="E3019" s="201"/>
      <c r="F3019" s="201"/>
      <c r="I3019" s="198" t="s">
        <v>362</v>
      </c>
      <c r="J3019" s="198" t="s">
        <v>132</v>
      </c>
      <c r="K3019" s="202">
        <f t="shared" si="47"/>
        <v>1544280</v>
      </c>
      <c r="L3019" s="202">
        <v>302.8</v>
      </c>
      <c r="N3019" s="202">
        <v>16535647</v>
      </c>
      <c r="S3019" s="204"/>
      <c r="W3019" s="198" t="s">
        <v>51</v>
      </c>
      <c r="AE3019" s="198" t="s">
        <v>833</v>
      </c>
    </row>
    <row r="3020" spans="3:31" x14ac:dyDescent="0.25">
      <c r="C3020" s="201"/>
      <c r="E3020" s="201"/>
      <c r="F3020" s="201"/>
      <c r="I3020" s="198" t="s">
        <v>362</v>
      </c>
      <c r="J3020" s="198" t="s">
        <v>132</v>
      </c>
      <c r="K3020" s="202">
        <f t="shared" si="47"/>
        <v>1544790</v>
      </c>
      <c r="L3020" s="202">
        <v>302.89999999999998</v>
      </c>
      <c r="N3020" s="202">
        <v>16535647</v>
      </c>
      <c r="S3020" s="204"/>
      <c r="W3020" s="198" t="s">
        <v>51</v>
      </c>
      <c r="AE3020" s="198" t="s">
        <v>833</v>
      </c>
    </row>
    <row r="3021" spans="3:31" x14ac:dyDescent="0.25">
      <c r="C3021" s="201"/>
      <c r="E3021" s="201"/>
      <c r="F3021" s="201"/>
      <c r="I3021" s="198" t="s">
        <v>276</v>
      </c>
      <c r="J3021" s="198" t="s">
        <v>143</v>
      </c>
      <c r="K3021" s="202">
        <f t="shared" si="47"/>
        <v>1545300</v>
      </c>
      <c r="L3021" s="202">
        <v>303</v>
      </c>
      <c r="N3021" s="202">
        <v>0.38</v>
      </c>
      <c r="S3021" s="204"/>
      <c r="W3021" s="198" t="s">
        <v>51</v>
      </c>
      <c r="AE3021" s="198" t="s">
        <v>829</v>
      </c>
    </row>
    <row r="3022" spans="3:31" x14ac:dyDescent="0.25">
      <c r="C3022" s="201"/>
      <c r="E3022" s="201"/>
      <c r="F3022" s="201"/>
      <c r="I3022" s="198" t="s">
        <v>110</v>
      </c>
      <c r="J3022" s="198" t="s">
        <v>89</v>
      </c>
      <c r="K3022" s="202">
        <f t="shared" si="47"/>
        <v>1545810</v>
      </c>
      <c r="L3022" s="202">
        <v>303.10000000000002</v>
      </c>
      <c r="N3022" s="202">
        <v>112444.8</v>
      </c>
      <c r="S3022" s="203"/>
      <c r="W3022" s="198" t="s">
        <v>51</v>
      </c>
      <c r="AE3022" s="198" t="s">
        <v>831</v>
      </c>
    </row>
    <row r="3023" spans="3:31" x14ac:dyDescent="0.25">
      <c r="C3023" s="201"/>
      <c r="E3023" s="201"/>
      <c r="F3023" s="201"/>
      <c r="I3023" s="198" t="s">
        <v>110</v>
      </c>
      <c r="J3023" s="198" t="s">
        <v>89</v>
      </c>
      <c r="K3023" s="202">
        <f t="shared" si="47"/>
        <v>1546320</v>
      </c>
      <c r="L3023" s="202">
        <v>303.2</v>
      </c>
      <c r="N3023" s="202">
        <v>-112444.8</v>
      </c>
      <c r="S3023" s="203"/>
      <c r="W3023" s="198" t="s">
        <v>51</v>
      </c>
      <c r="AE3023" s="198" t="s">
        <v>831</v>
      </c>
    </row>
    <row r="3024" spans="3:31" x14ac:dyDescent="0.25">
      <c r="C3024" s="201"/>
      <c r="E3024" s="201"/>
      <c r="F3024" s="201"/>
      <c r="I3024" s="198" t="s">
        <v>362</v>
      </c>
      <c r="J3024" s="198" t="s">
        <v>132</v>
      </c>
      <c r="K3024" s="202">
        <f t="shared" si="47"/>
        <v>1546830</v>
      </c>
      <c r="L3024" s="202">
        <v>303.3</v>
      </c>
      <c r="N3024" s="202">
        <v>16535647</v>
      </c>
      <c r="S3024" s="204"/>
      <c r="W3024" s="198" t="s">
        <v>51</v>
      </c>
      <c r="AE3024" s="198" t="s">
        <v>833</v>
      </c>
    </row>
    <row r="3025" spans="3:31" x14ac:dyDescent="0.25">
      <c r="C3025" s="201"/>
      <c r="E3025" s="201"/>
      <c r="F3025" s="201"/>
      <c r="I3025" s="198" t="s">
        <v>362</v>
      </c>
      <c r="J3025" s="198" t="s">
        <v>132</v>
      </c>
      <c r="K3025" s="202">
        <f t="shared" si="47"/>
        <v>1547340</v>
      </c>
      <c r="L3025" s="202">
        <v>303.39999999999998</v>
      </c>
      <c r="N3025" s="202">
        <v>16535647</v>
      </c>
      <c r="S3025" s="204"/>
      <c r="W3025" s="198" t="s">
        <v>51</v>
      </c>
      <c r="AE3025" s="198" t="s">
        <v>833</v>
      </c>
    </row>
    <row r="3026" spans="3:31" x14ac:dyDescent="0.25">
      <c r="C3026" s="201"/>
      <c r="E3026" s="201"/>
      <c r="F3026" s="201"/>
      <c r="I3026" s="198" t="s">
        <v>362</v>
      </c>
      <c r="J3026" s="198" t="s">
        <v>132</v>
      </c>
      <c r="K3026" s="202">
        <f t="shared" si="47"/>
        <v>1547850</v>
      </c>
      <c r="L3026" s="202">
        <v>303.5</v>
      </c>
      <c r="N3026" s="202">
        <v>16535647</v>
      </c>
      <c r="S3026" s="204"/>
      <c r="W3026" s="198" t="s">
        <v>51</v>
      </c>
      <c r="AE3026" s="198" t="s">
        <v>833</v>
      </c>
    </row>
    <row r="3027" spans="3:31" x14ac:dyDescent="0.25">
      <c r="C3027" s="201"/>
      <c r="E3027" s="201"/>
      <c r="F3027" s="201"/>
      <c r="I3027" s="198" t="s">
        <v>362</v>
      </c>
      <c r="J3027" s="198" t="s">
        <v>132</v>
      </c>
      <c r="K3027" s="202">
        <f t="shared" si="47"/>
        <v>1548360</v>
      </c>
      <c r="L3027" s="202">
        <v>303.60000000000002</v>
      </c>
      <c r="N3027" s="202">
        <v>16535647</v>
      </c>
      <c r="S3027" s="204"/>
      <c r="W3027" s="198" t="s">
        <v>51</v>
      </c>
      <c r="AE3027" s="198" t="s">
        <v>833</v>
      </c>
    </row>
    <row r="3028" spans="3:31" x14ac:dyDescent="0.25">
      <c r="C3028" s="201"/>
      <c r="E3028" s="201"/>
      <c r="F3028" s="201"/>
      <c r="I3028" s="198" t="s">
        <v>131</v>
      </c>
      <c r="J3028" s="198" t="s">
        <v>132</v>
      </c>
      <c r="K3028" s="202">
        <f t="shared" si="47"/>
        <v>1548870</v>
      </c>
      <c r="L3028" s="202">
        <v>303.7</v>
      </c>
      <c r="N3028" s="202">
        <v>-0.34</v>
      </c>
      <c r="S3028" s="204"/>
      <c r="W3028" s="198" t="s">
        <v>51</v>
      </c>
      <c r="AE3028" s="198" t="s">
        <v>833</v>
      </c>
    </row>
    <row r="3029" spans="3:31" x14ac:dyDescent="0.25">
      <c r="C3029" s="201"/>
      <c r="E3029" s="201"/>
      <c r="F3029" s="201"/>
      <c r="I3029" s="198" t="s">
        <v>131</v>
      </c>
      <c r="J3029" s="198" t="s">
        <v>132</v>
      </c>
      <c r="K3029" s="202">
        <f t="shared" si="47"/>
        <v>1549380</v>
      </c>
      <c r="L3029" s="202">
        <v>303.8</v>
      </c>
      <c r="N3029" s="202">
        <v>0.16</v>
      </c>
      <c r="S3029" s="204"/>
      <c r="W3029" s="198" t="s">
        <v>51</v>
      </c>
      <c r="AE3029" s="198" t="s">
        <v>833</v>
      </c>
    </row>
    <row r="3030" spans="3:31" x14ac:dyDescent="0.25">
      <c r="C3030" s="201"/>
      <c r="E3030" s="201"/>
      <c r="F3030" s="201"/>
      <c r="I3030" s="198" t="s">
        <v>122</v>
      </c>
      <c r="J3030" s="198" t="s">
        <v>126</v>
      </c>
      <c r="K3030" s="202">
        <f t="shared" si="47"/>
        <v>1549890</v>
      </c>
      <c r="L3030" s="202">
        <v>303.89999999999998</v>
      </c>
      <c r="N3030" s="202">
        <v>0.1</v>
      </c>
      <c r="S3030" s="204"/>
      <c r="W3030" s="198" t="s">
        <v>51</v>
      </c>
      <c r="AE3030" s="198" t="s">
        <v>835</v>
      </c>
    </row>
    <row r="3031" spans="3:31" x14ac:dyDescent="0.25">
      <c r="C3031" s="201"/>
      <c r="E3031" s="201"/>
      <c r="F3031" s="201"/>
      <c r="I3031" s="198" t="s">
        <v>122</v>
      </c>
      <c r="J3031" s="198" t="s">
        <v>126</v>
      </c>
      <c r="K3031" s="202">
        <f t="shared" si="47"/>
        <v>1550400</v>
      </c>
      <c r="L3031" s="202">
        <v>304</v>
      </c>
      <c r="N3031" s="202">
        <v>0.44</v>
      </c>
      <c r="S3031" s="204"/>
      <c r="W3031" s="198" t="s">
        <v>51</v>
      </c>
      <c r="AE3031" s="198" t="s">
        <v>835</v>
      </c>
    </row>
    <row r="3032" spans="3:31" x14ac:dyDescent="0.25">
      <c r="C3032" s="201"/>
      <c r="E3032" s="201"/>
      <c r="F3032" s="201"/>
      <c r="I3032" s="198" t="s">
        <v>351</v>
      </c>
      <c r="J3032" s="198" t="s">
        <v>112</v>
      </c>
      <c r="K3032" s="202">
        <f t="shared" si="47"/>
        <v>1550910</v>
      </c>
      <c r="L3032" s="202">
        <v>304.10000000000002</v>
      </c>
      <c r="N3032" s="202">
        <v>0.2</v>
      </c>
      <c r="S3032" s="204"/>
      <c r="W3032" s="198" t="s">
        <v>51</v>
      </c>
      <c r="AE3032" s="198" t="s">
        <v>831</v>
      </c>
    </row>
    <row r="3033" spans="3:31" x14ac:dyDescent="0.25">
      <c r="C3033" s="201"/>
      <c r="E3033" s="201"/>
      <c r="F3033" s="201"/>
      <c r="I3033" s="198" t="s">
        <v>278</v>
      </c>
      <c r="J3033" s="198" t="s">
        <v>193</v>
      </c>
      <c r="K3033" s="202">
        <f t="shared" si="47"/>
        <v>1551420</v>
      </c>
      <c r="L3033" s="202">
        <v>304.2</v>
      </c>
      <c r="N3033" s="202">
        <v>0.01</v>
      </c>
      <c r="S3033" s="204"/>
      <c r="W3033" s="198" t="s">
        <v>51</v>
      </c>
      <c r="AE3033" s="198" t="s">
        <v>830</v>
      </c>
    </row>
    <row r="3034" spans="3:31" x14ac:dyDescent="0.25">
      <c r="C3034" s="201"/>
      <c r="E3034" s="201"/>
      <c r="F3034" s="201"/>
      <c r="I3034" s="198" t="s">
        <v>583</v>
      </c>
      <c r="J3034" s="198" t="s">
        <v>134</v>
      </c>
      <c r="K3034" s="202">
        <f t="shared" si="47"/>
        <v>1551930</v>
      </c>
      <c r="L3034" s="202">
        <v>304.3</v>
      </c>
      <c r="N3034" s="202">
        <v>11098822.17</v>
      </c>
      <c r="S3034" s="204"/>
      <c r="W3034" s="198" t="s">
        <v>51</v>
      </c>
      <c r="AE3034" s="198" t="s">
        <v>846</v>
      </c>
    </row>
    <row r="3035" spans="3:31" x14ac:dyDescent="0.25">
      <c r="C3035" s="201"/>
      <c r="E3035" s="201"/>
      <c r="F3035" s="201"/>
      <c r="I3035" s="198" t="s">
        <v>519</v>
      </c>
      <c r="J3035" s="198" t="s">
        <v>130</v>
      </c>
      <c r="K3035" s="202">
        <f t="shared" si="47"/>
        <v>1552440</v>
      </c>
      <c r="L3035" s="202">
        <v>304.39999999999998</v>
      </c>
      <c r="N3035" s="202">
        <v>30961451.620000001</v>
      </c>
      <c r="S3035" s="204"/>
      <c r="W3035" s="198" t="s">
        <v>51</v>
      </c>
      <c r="AE3035" s="198" t="s">
        <v>833</v>
      </c>
    </row>
    <row r="3036" spans="3:31" x14ac:dyDescent="0.25">
      <c r="C3036" s="201"/>
      <c r="E3036" s="201"/>
      <c r="F3036" s="201"/>
      <c r="I3036" s="198" t="s">
        <v>583</v>
      </c>
      <c r="J3036" s="198" t="s">
        <v>134</v>
      </c>
      <c r="K3036" s="202">
        <f t="shared" si="47"/>
        <v>1552950</v>
      </c>
      <c r="L3036" s="202">
        <v>304.5</v>
      </c>
      <c r="N3036" s="202">
        <v>-11098822.17</v>
      </c>
      <c r="S3036" s="204"/>
      <c r="W3036" s="198" t="s">
        <v>51</v>
      </c>
      <c r="AE3036" s="198" t="s">
        <v>846</v>
      </c>
    </row>
    <row r="3037" spans="3:31" x14ac:dyDescent="0.25">
      <c r="C3037" s="201"/>
      <c r="E3037" s="201"/>
      <c r="F3037" s="201"/>
      <c r="I3037" s="198" t="s">
        <v>519</v>
      </c>
      <c r="J3037" s="198" t="s">
        <v>130</v>
      </c>
      <c r="K3037" s="202">
        <f t="shared" si="47"/>
        <v>1553460</v>
      </c>
      <c r="L3037" s="202">
        <v>304.60000000000002</v>
      </c>
      <c r="N3037" s="202">
        <v>-30961451.620000001</v>
      </c>
      <c r="S3037" s="204"/>
      <c r="W3037" s="198" t="s">
        <v>51</v>
      </c>
      <c r="AE3037" s="198" t="s">
        <v>833</v>
      </c>
    </row>
    <row r="3038" spans="3:31" x14ac:dyDescent="0.25">
      <c r="C3038" s="201"/>
      <c r="E3038" s="201"/>
      <c r="F3038" s="201"/>
      <c r="I3038" s="198" t="s">
        <v>136</v>
      </c>
      <c r="J3038" s="198" t="s">
        <v>137</v>
      </c>
      <c r="K3038" s="202">
        <f t="shared" si="47"/>
        <v>1553970</v>
      </c>
      <c r="L3038" s="202">
        <v>304.7</v>
      </c>
      <c r="N3038" s="202">
        <v>0.13</v>
      </c>
      <c r="S3038" s="204"/>
      <c r="W3038" s="198" t="s">
        <v>51</v>
      </c>
      <c r="AE3038" s="198" t="s">
        <v>844</v>
      </c>
    </row>
    <row r="3039" spans="3:31" x14ac:dyDescent="0.25">
      <c r="C3039" s="201"/>
      <c r="E3039" s="201"/>
      <c r="F3039" s="201"/>
      <c r="I3039" s="198" t="s">
        <v>440</v>
      </c>
      <c r="J3039" s="198" t="s">
        <v>126</v>
      </c>
      <c r="K3039" s="202">
        <f t="shared" si="47"/>
        <v>1554480</v>
      </c>
      <c r="L3039" s="202">
        <v>304.8</v>
      </c>
      <c r="N3039" s="202">
        <v>16721000</v>
      </c>
      <c r="S3039" s="204"/>
      <c r="W3039" s="198" t="s">
        <v>51</v>
      </c>
      <c r="AE3039" s="198" t="s">
        <v>835</v>
      </c>
    </row>
    <row r="3040" spans="3:31" x14ac:dyDescent="0.25">
      <c r="C3040" s="201"/>
      <c r="E3040" s="201"/>
      <c r="F3040" s="201"/>
      <c r="I3040" s="198" t="s">
        <v>440</v>
      </c>
      <c r="J3040" s="198" t="s">
        <v>126</v>
      </c>
      <c r="K3040" s="202">
        <f t="shared" si="47"/>
        <v>1554990</v>
      </c>
      <c r="L3040" s="202">
        <v>304.89999999999998</v>
      </c>
      <c r="N3040" s="202">
        <v>16721000</v>
      </c>
      <c r="S3040" s="204"/>
      <c r="W3040" s="198" t="s">
        <v>51</v>
      </c>
      <c r="AE3040" s="198" t="s">
        <v>835</v>
      </c>
    </row>
    <row r="3041" spans="3:31" x14ac:dyDescent="0.25">
      <c r="C3041" s="201"/>
      <c r="E3041" s="201"/>
      <c r="F3041" s="201"/>
      <c r="I3041" s="198" t="s">
        <v>440</v>
      </c>
      <c r="J3041" s="198" t="s">
        <v>126</v>
      </c>
      <c r="K3041" s="202">
        <f t="shared" si="47"/>
        <v>1555500</v>
      </c>
      <c r="L3041" s="202">
        <v>305</v>
      </c>
      <c r="N3041" s="202">
        <v>16721000</v>
      </c>
      <c r="S3041" s="204"/>
      <c r="W3041" s="198" t="s">
        <v>51</v>
      </c>
      <c r="AE3041" s="198" t="s">
        <v>835</v>
      </c>
    </row>
    <row r="3042" spans="3:31" x14ac:dyDescent="0.25">
      <c r="C3042" s="201"/>
      <c r="E3042" s="201"/>
      <c r="F3042" s="201"/>
      <c r="I3042" s="198" t="s">
        <v>278</v>
      </c>
      <c r="J3042" s="198" t="s">
        <v>193</v>
      </c>
      <c r="K3042" s="202">
        <f t="shared" si="47"/>
        <v>1556010</v>
      </c>
      <c r="L3042" s="202">
        <v>305.10000000000002</v>
      </c>
      <c r="N3042" s="202">
        <v>0.21</v>
      </c>
      <c r="S3042" s="204"/>
      <c r="W3042" s="198" t="s">
        <v>51</v>
      </c>
      <c r="AE3042" s="198" t="s">
        <v>830</v>
      </c>
    </row>
    <row r="3043" spans="3:31" x14ac:dyDescent="0.25">
      <c r="C3043" s="201"/>
      <c r="E3043" s="201"/>
      <c r="F3043" s="201"/>
      <c r="I3043" s="198" t="s">
        <v>278</v>
      </c>
      <c r="J3043" s="198" t="s">
        <v>193</v>
      </c>
      <c r="K3043" s="202">
        <f t="shared" si="47"/>
        <v>1556520</v>
      </c>
      <c r="L3043" s="202">
        <v>305.2</v>
      </c>
      <c r="N3043" s="202">
        <v>0.49</v>
      </c>
      <c r="S3043" s="204"/>
      <c r="W3043" s="198" t="s">
        <v>51</v>
      </c>
      <c r="AE3043" s="198" t="s">
        <v>830</v>
      </c>
    </row>
    <row r="3044" spans="3:31" x14ac:dyDescent="0.25">
      <c r="C3044" s="201"/>
      <c r="E3044" s="201"/>
      <c r="F3044" s="201"/>
      <c r="I3044" s="198" t="s">
        <v>1527</v>
      </c>
      <c r="J3044" s="198" t="s">
        <v>126</v>
      </c>
      <c r="K3044" s="202">
        <f t="shared" si="47"/>
        <v>1557030</v>
      </c>
      <c r="L3044" s="202">
        <v>305.3</v>
      </c>
      <c r="N3044" s="202">
        <v>2600</v>
      </c>
      <c r="S3044" s="203"/>
      <c r="W3044" s="198" t="s">
        <v>51</v>
      </c>
      <c r="AE3044" s="198" t="s">
        <v>878</v>
      </c>
    </row>
    <row r="3045" spans="3:31" x14ac:dyDescent="0.25">
      <c r="C3045" s="201"/>
      <c r="E3045" s="201"/>
      <c r="F3045" s="201"/>
      <c r="I3045" s="198" t="s">
        <v>1518</v>
      </c>
      <c r="J3045" s="198" t="s">
        <v>132</v>
      </c>
      <c r="K3045" s="202">
        <f t="shared" si="47"/>
        <v>1557540</v>
      </c>
      <c r="L3045" s="202">
        <v>305.39999999999998</v>
      </c>
      <c r="N3045" s="202">
        <v>2600</v>
      </c>
      <c r="S3045" s="203"/>
      <c r="W3045" s="198" t="s">
        <v>51</v>
      </c>
      <c r="AE3045" s="198" t="s">
        <v>2066</v>
      </c>
    </row>
    <row r="3046" spans="3:31" x14ac:dyDescent="0.25">
      <c r="C3046" s="201"/>
      <c r="E3046" s="201"/>
      <c r="F3046" s="201"/>
      <c r="I3046" s="198" t="s">
        <v>536</v>
      </c>
      <c r="J3046" s="198" t="s">
        <v>126</v>
      </c>
      <c r="K3046" s="202">
        <f t="shared" si="47"/>
        <v>1558050</v>
      </c>
      <c r="L3046" s="202">
        <v>305.5</v>
      </c>
      <c r="N3046" s="202">
        <v>230441.60000000001</v>
      </c>
      <c r="S3046" s="204"/>
      <c r="W3046" s="198" t="s">
        <v>51</v>
      </c>
      <c r="AE3046" s="198" t="s">
        <v>835</v>
      </c>
    </row>
    <row r="3047" spans="3:31" x14ac:dyDescent="0.25">
      <c r="C3047" s="201"/>
      <c r="E3047" s="201"/>
      <c r="F3047" s="201"/>
      <c r="I3047" s="198" t="s">
        <v>536</v>
      </c>
      <c r="J3047" s="198" t="s">
        <v>126</v>
      </c>
      <c r="K3047" s="202">
        <f t="shared" si="47"/>
        <v>1558560</v>
      </c>
      <c r="L3047" s="202">
        <v>305.60000000000002</v>
      </c>
      <c r="N3047" s="202">
        <v>5319591.03</v>
      </c>
      <c r="S3047" s="204"/>
      <c r="W3047" s="198" t="s">
        <v>51</v>
      </c>
      <c r="AE3047" s="198" t="s">
        <v>835</v>
      </c>
    </row>
    <row r="3048" spans="3:31" x14ac:dyDescent="0.25">
      <c r="C3048" s="201"/>
      <c r="E3048" s="201"/>
      <c r="F3048" s="201"/>
      <c r="I3048" s="198" t="s">
        <v>536</v>
      </c>
      <c r="J3048" s="198" t="s">
        <v>126</v>
      </c>
      <c r="K3048" s="202">
        <f t="shared" si="47"/>
        <v>1559070</v>
      </c>
      <c r="L3048" s="202">
        <v>305.7</v>
      </c>
      <c r="N3048" s="202">
        <v>119855.2</v>
      </c>
      <c r="S3048" s="204"/>
      <c r="W3048" s="198" t="s">
        <v>51</v>
      </c>
      <c r="AE3048" s="198" t="s">
        <v>835</v>
      </c>
    </row>
    <row r="3049" spans="3:31" x14ac:dyDescent="0.25">
      <c r="C3049" s="201"/>
      <c r="E3049" s="201"/>
      <c r="F3049" s="201"/>
      <c r="I3049" s="198" t="s">
        <v>536</v>
      </c>
      <c r="J3049" s="198" t="s">
        <v>126</v>
      </c>
      <c r="K3049" s="202">
        <f t="shared" si="47"/>
        <v>1559580</v>
      </c>
      <c r="L3049" s="202">
        <v>305.8</v>
      </c>
      <c r="N3049" s="202">
        <v>751080.47</v>
      </c>
      <c r="S3049" s="204"/>
      <c r="W3049" s="198" t="s">
        <v>51</v>
      </c>
      <c r="AE3049" s="198" t="s">
        <v>835</v>
      </c>
    </row>
    <row r="3050" spans="3:31" x14ac:dyDescent="0.25">
      <c r="C3050" s="201"/>
      <c r="E3050" s="201"/>
      <c r="F3050" s="201"/>
      <c r="I3050" s="198" t="s">
        <v>536</v>
      </c>
      <c r="J3050" s="198" t="s">
        <v>126</v>
      </c>
      <c r="K3050" s="202">
        <f t="shared" si="47"/>
        <v>1560090</v>
      </c>
      <c r="L3050" s="202">
        <v>305.89999999999998</v>
      </c>
      <c r="N3050" s="202">
        <v>639246.4</v>
      </c>
      <c r="S3050" s="204"/>
      <c r="W3050" s="198" t="s">
        <v>51</v>
      </c>
      <c r="AE3050" s="198" t="s">
        <v>835</v>
      </c>
    </row>
    <row r="3051" spans="3:31" x14ac:dyDescent="0.25">
      <c r="C3051" s="201"/>
      <c r="E3051" s="201"/>
      <c r="F3051" s="201"/>
      <c r="I3051" s="198" t="s">
        <v>536</v>
      </c>
      <c r="J3051" s="198" t="s">
        <v>126</v>
      </c>
      <c r="K3051" s="202">
        <f t="shared" si="47"/>
        <v>1560600</v>
      </c>
      <c r="L3051" s="202">
        <v>306</v>
      </c>
      <c r="N3051" s="202">
        <v>1383562.24</v>
      </c>
      <c r="S3051" s="204"/>
      <c r="W3051" s="198" t="s">
        <v>51</v>
      </c>
      <c r="AE3051" s="198" t="s">
        <v>835</v>
      </c>
    </row>
    <row r="3052" spans="3:31" x14ac:dyDescent="0.25">
      <c r="C3052" s="201"/>
      <c r="E3052" s="201"/>
      <c r="F3052" s="201"/>
      <c r="I3052" s="198" t="s">
        <v>536</v>
      </c>
      <c r="J3052" s="198" t="s">
        <v>126</v>
      </c>
      <c r="K3052" s="202">
        <f t="shared" si="47"/>
        <v>1561110</v>
      </c>
      <c r="L3052" s="202">
        <v>306.10000000000002</v>
      </c>
      <c r="N3052" s="202">
        <v>1301906.3400000001</v>
      </c>
      <c r="S3052" s="204"/>
      <c r="W3052" s="198" t="s">
        <v>51</v>
      </c>
      <c r="AE3052" s="198" t="s">
        <v>835</v>
      </c>
    </row>
    <row r="3053" spans="3:31" x14ac:dyDescent="0.25">
      <c r="C3053" s="201"/>
      <c r="E3053" s="201"/>
      <c r="F3053" s="201"/>
      <c r="I3053" s="198" t="s">
        <v>536</v>
      </c>
      <c r="J3053" s="198" t="s">
        <v>126</v>
      </c>
      <c r="K3053" s="202">
        <f t="shared" si="47"/>
        <v>1561620</v>
      </c>
      <c r="L3053" s="202">
        <v>306.2</v>
      </c>
      <c r="N3053" s="202">
        <v>414092</v>
      </c>
      <c r="S3053" s="204"/>
      <c r="W3053" s="198" t="s">
        <v>51</v>
      </c>
      <c r="AE3053" s="198" t="s">
        <v>835</v>
      </c>
    </row>
    <row r="3054" spans="3:31" x14ac:dyDescent="0.25">
      <c r="C3054" s="201"/>
      <c r="E3054" s="201"/>
      <c r="F3054" s="201"/>
      <c r="I3054" s="198" t="s">
        <v>536</v>
      </c>
      <c r="J3054" s="198" t="s">
        <v>126</v>
      </c>
      <c r="K3054" s="202">
        <f t="shared" si="47"/>
        <v>1562130</v>
      </c>
      <c r="L3054" s="202">
        <v>306.3</v>
      </c>
      <c r="N3054" s="202">
        <v>463089.13</v>
      </c>
      <c r="S3054" s="204"/>
      <c r="W3054" s="198" t="s">
        <v>51</v>
      </c>
      <c r="AE3054" s="198" t="s">
        <v>835</v>
      </c>
    </row>
    <row r="3055" spans="3:31" x14ac:dyDescent="0.25">
      <c r="C3055" s="201"/>
      <c r="E3055" s="201"/>
      <c r="F3055" s="201"/>
      <c r="I3055" s="198" t="s">
        <v>440</v>
      </c>
      <c r="J3055" s="198" t="s">
        <v>126</v>
      </c>
      <c r="K3055" s="202">
        <f t="shared" si="47"/>
        <v>1562640</v>
      </c>
      <c r="L3055" s="202">
        <v>306.39999999999998</v>
      </c>
      <c r="N3055" s="202">
        <v>16535647</v>
      </c>
      <c r="S3055" s="204"/>
      <c r="W3055" s="198" t="s">
        <v>51</v>
      </c>
      <c r="AE3055" s="198" t="s">
        <v>835</v>
      </c>
    </row>
    <row r="3056" spans="3:31" x14ac:dyDescent="0.25">
      <c r="C3056" s="201"/>
      <c r="E3056" s="201"/>
      <c r="F3056" s="201"/>
      <c r="I3056" s="198" t="s">
        <v>440</v>
      </c>
      <c r="J3056" s="198" t="s">
        <v>126</v>
      </c>
      <c r="K3056" s="202">
        <f t="shared" si="47"/>
        <v>1563150</v>
      </c>
      <c r="L3056" s="202">
        <v>306.5</v>
      </c>
      <c r="N3056" s="202">
        <v>16535647</v>
      </c>
      <c r="S3056" s="204"/>
      <c r="W3056" s="198" t="s">
        <v>51</v>
      </c>
      <c r="AE3056" s="198" t="s">
        <v>835</v>
      </c>
    </row>
    <row r="3057" spans="3:31" x14ac:dyDescent="0.25">
      <c r="C3057" s="201"/>
      <c r="E3057" s="201"/>
      <c r="F3057" s="201"/>
      <c r="I3057" s="198" t="s">
        <v>440</v>
      </c>
      <c r="J3057" s="198" t="s">
        <v>126</v>
      </c>
      <c r="K3057" s="202">
        <f t="shared" si="47"/>
        <v>1563660</v>
      </c>
      <c r="L3057" s="202">
        <v>306.60000000000002</v>
      </c>
      <c r="N3057" s="202">
        <v>16535647</v>
      </c>
      <c r="S3057" s="204"/>
      <c r="W3057" s="198" t="s">
        <v>51</v>
      </c>
      <c r="AE3057" s="198" t="s">
        <v>835</v>
      </c>
    </row>
    <row r="3058" spans="3:31" x14ac:dyDescent="0.25">
      <c r="C3058" s="201"/>
      <c r="E3058" s="201"/>
      <c r="F3058" s="201"/>
      <c r="I3058" s="198" t="s">
        <v>440</v>
      </c>
      <c r="J3058" s="198" t="s">
        <v>126</v>
      </c>
      <c r="K3058" s="202">
        <f t="shared" si="47"/>
        <v>1564170</v>
      </c>
      <c r="L3058" s="202">
        <v>306.7</v>
      </c>
      <c r="N3058" s="202">
        <v>16535647</v>
      </c>
      <c r="S3058" s="204"/>
      <c r="W3058" s="198" t="s">
        <v>51</v>
      </c>
      <c r="AE3058" s="198" t="s">
        <v>835</v>
      </c>
    </row>
    <row r="3059" spans="3:31" x14ac:dyDescent="0.25">
      <c r="C3059" s="201"/>
      <c r="E3059" s="201"/>
      <c r="F3059" s="201"/>
      <c r="I3059" s="198" t="s">
        <v>441</v>
      </c>
      <c r="J3059" s="198" t="s">
        <v>126</v>
      </c>
      <c r="K3059" s="202">
        <f t="shared" si="47"/>
        <v>1564680</v>
      </c>
      <c r="L3059" s="202">
        <v>306.8</v>
      </c>
      <c r="N3059" s="202">
        <v>7762790</v>
      </c>
      <c r="S3059" s="204"/>
      <c r="W3059" s="198" t="s">
        <v>51</v>
      </c>
      <c r="AE3059" s="198" t="s">
        <v>835</v>
      </c>
    </row>
    <row r="3060" spans="3:31" x14ac:dyDescent="0.25">
      <c r="C3060" s="201"/>
      <c r="E3060" s="201"/>
      <c r="F3060" s="201"/>
      <c r="I3060" s="198" t="s">
        <v>129</v>
      </c>
      <c r="J3060" s="198" t="s">
        <v>130</v>
      </c>
      <c r="K3060" s="202">
        <f t="shared" si="47"/>
        <v>1565190</v>
      </c>
      <c r="L3060" s="202">
        <v>306.89999999999998</v>
      </c>
      <c r="N3060" s="202">
        <v>189071.85</v>
      </c>
      <c r="S3060" s="204"/>
      <c r="W3060" s="198" t="s">
        <v>51</v>
      </c>
      <c r="AE3060" s="198" t="s">
        <v>833</v>
      </c>
    </row>
    <row r="3061" spans="3:31" x14ac:dyDescent="0.25">
      <c r="C3061" s="201"/>
      <c r="E3061" s="201"/>
      <c r="F3061" s="201"/>
      <c r="I3061" s="198" t="s">
        <v>441</v>
      </c>
      <c r="J3061" s="198" t="s">
        <v>126</v>
      </c>
      <c r="K3061" s="202">
        <f t="shared" si="47"/>
        <v>1565700</v>
      </c>
      <c r="L3061" s="202">
        <v>307</v>
      </c>
      <c r="N3061" s="202">
        <v>7762790</v>
      </c>
      <c r="S3061" s="204"/>
      <c r="W3061" s="198" t="s">
        <v>51</v>
      </c>
      <c r="AE3061" s="198" t="s">
        <v>835</v>
      </c>
    </row>
    <row r="3062" spans="3:31" x14ac:dyDescent="0.25">
      <c r="C3062" s="201"/>
      <c r="E3062" s="201"/>
      <c r="F3062" s="201"/>
      <c r="I3062" s="198" t="s">
        <v>122</v>
      </c>
      <c r="J3062" s="198" t="s">
        <v>126</v>
      </c>
      <c r="K3062" s="202">
        <f t="shared" si="47"/>
        <v>1566210</v>
      </c>
      <c r="L3062" s="202">
        <v>307.10000000000002</v>
      </c>
      <c r="N3062" s="202">
        <v>522600</v>
      </c>
      <c r="S3062" s="204"/>
      <c r="W3062" s="198" t="s">
        <v>51</v>
      </c>
      <c r="AE3062" s="198" t="s">
        <v>835</v>
      </c>
    </row>
    <row r="3063" spans="3:31" x14ac:dyDescent="0.25">
      <c r="C3063" s="201"/>
      <c r="E3063" s="201"/>
      <c r="F3063" s="201"/>
      <c r="I3063" s="198" t="s">
        <v>136</v>
      </c>
      <c r="J3063" s="198" t="s">
        <v>137</v>
      </c>
      <c r="K3063" s="202">
        <f t="shared" si="47"/>
        <v>1566720</v>
      </c>
      <c r="L3063" s="202">
        <v>307.2</v>
      </c>
      <c r="N3063" s="202">
        <v>940680</v>
      </c>
      <c r="S3063" s="204"/>
      <c r="W3063" s="198" t="s">
        <v>51</v>
      </c>
      <c r="AE3063" s="198" t="s">
        <v>844</v>
      </c>
    </row>
    <row r="3064" spans="3:31" x14ac:dyDescent="0.25">
      <c r="C3064" s="201"/>
      <c r="E3064" s="201"/>
      <c r="F3064" s="201"/>
      <c r="I3064" s="198" t="s">
        <v>129</v>
      </c>
      <c r="J3064" s="198" t="s">
        <v>130</v>
      </c>
      <c r="K3064" s="202">
        <f t="shared" si="47"/>
        <v>1567230</v>
      </c>
      <c r="L3064" s="202">
        <v>307.3</v>
      </c>
      <c r="N3064" s="202">
        <v>236800</v>
      </c>
      <c r="S3064" s="204"/>
      <c r="W3064" s="198" t="s">
        <v>51</v>
      </c>
      <c r="AE3064" s="198" t="s">
        <v>833</v>
      </c>
    </row>
    <row r="3065" spans="3:31" x14ac:dyDescent="0.25">
      <c r="C3065" s="201"/>
      <c r="E3065" s="201"/>
      <c r="F3065" s="201"/>
      <c r="I3065" s="198" t="s">
        <v>129</v>
      </c>
      <c r="J3065" s="198" t="s">
        <v>130</v>
      </c>
      <c r="K3065" s="202">
        <f t="shared" si="47"/>
        <v>1567740</v>
      </c>
      <c r="L3065" s="202">
        <v>307.39999999999998</v>
      </c>
      <c r="N3065" s="202">
        <v>133200</v>
      </c>
      <c r="S3065" s="204"/>
      <c r="W3065" s="198" t="s">
        <v>51</v>
      </c>
      <c r="AE3065" s="198" t="s">
        <v>833</v>
      </c>
    </row>
    <row r="3066" spans="3:31" x14ac:dyDescent="0.25">
      <c r="C3066" s="201"/>
      <c r="E3066" s="201"/>
      <c r="F3066" s="201"/>
      <c r="I3066" s="198" t="s">
        <v>129</v>
      </c>
      <c r="J3066" s="198" t="s">
        <v>130</v>
      </c>
      <c r="K3066" s="202">
        <f t="shared" si="47"/>
        <v>1568250</v>
      </c>
      <c r="L3066" s="202">
        <v>307.5</v>
      </c>
      <c r="N3066" s="202">
        <v>222000</v>
      </c>
      <c r="S3066" s="204"/>
      <c r="W3066" s="198" t="s">
        <v>51</v>
      </c>
      <c r="AE3066" s="198" t="s">
        <v>833</v>
      </c>
    </row>
    <row r="3067" spans="3:31" x14ac:dyDescent="0.25">
      <c r="C3067" s="201"/>
      <c r="E3067" s="201"/>
      <c r="F3067" s="201"/>
      <c r="I3067" s="198" t="s">
        <v>131</v>
      </c>
      <c r="J3067" s="198" t="s">
        <v>132</v>
      </c>
      <c r="K3067" s="202">
        <f t="shared" si="47"/>
        <v>1568760</v>
      </c>
      <c r="L3067" s="202">
        <v>307.60000000000002</v>
      </c>
      <c r="N3067" s="202">
        <v>1913484.14</v>
      </c>
      <c r="S3067" s="203"/>
      <c r="W3067" s="198" t="s">
        <v>51</v>
      </c>
      <c r="AE3067" s="198" t="s">
        <v>833</v>
      </c>
    </row>
    <row r="3068" spans="3:31" x14ac:dyDescent="0.25">
      <c r="C3068" s="201"/>
      <c r="E3068" s="201"/>
      <c r="F3068" s="201"/>
      <c r="I3068" s="198" t="s">
        <v>129</v>
      </c>
      <c r="J3068" s="198" t="s">
        <v>130</v>
      </c>
      <c r="K3068" s="202">
        <f t="shared" si="47"/>
        <v>1569270</v>
      </c>
      <c r="L3068" s="202">
        <v>307.7</v>
      </c>
      <c r="N3068" s="202">
        <v>18500</v>
      </c>
      <c r="S3068" s="204"/>
      <c r="W3068" s="198" t="s">
        <v>51</v>
      </c>
      <c r="AE3068" s="198" t="s">
        <v>833</v>
      </c>
    </row>
    <row r="3069" spans="3:31" x14ac:dyDescent="0.25">
      <c r="C3069" s="201"/>
      <c r="E3069" s="201"/>
      <c r="F3069" s="201"/>
      <c r="I3069" s="198" t="s">
        <v>129</v>
      </c>
      <c r="J3069" s="198" t="s">
        <v>130</v>
      </c>
      <c r="K3069" s="202">
        <f t="shared" si="47"/>
        <v>1569780</v>
      </c>
      <c r="L3069" s="202">
        <v>307.8</v>
      </c>
      <c r="N3069" s="202">
        <v>4629600</v>
      </c>
      <c r="S3069" s="204"/>
      <c r="W3069" s="198" t="s">
        <v>51</v>
      </c>
      <c r="AE3069" s="198" t="s">
        <v>833</v>
      </c>
    </row>
    <row r="3070" spans="3:31" x14ac:dyDescent="0.25">
      <c r="C3070" s="201"/>
      <c r="E3070" s="201"/>
      <c r="F3070" s="201"/>
      <c r="I3070" s="198" t="s">
        <v>528</v>
      </c>
      <c r="J3070" s="198" t="s">
        <v>134</v>
      </c>
      <c r="K3070" s="202">
        <f t="shared" si="47"/>
        <v>1570290</v>
      </c>
      <c r="L3070" s="202">
        <v>307.89999999999998</v>
      </c>
      <c r="N3070" s="202">
        <v>-1239239.58</v>
      </c>
      <c r="S3070" s="204"/>
      <c r="W3070" s="198" t="s">
        <v>51</v>
      </c>
      <c r="AE3070" s="198" t="s">
        <v>846</v>
      </c>
    </row>
    <row r="3071" spans="3:31" x14ac:dyDescent="0.25">
      <c r="C3071" s="201"/>
      <c r="E3071" s="201"/>
      <c r="F3071" s="201"/>
      <c r="I3071" s="198" t="s">
        <v>440</v>
      </c>
      <c r="J3071" s="198" t="s">
        <v>126</v>
      </c>
      <c r="K3071" s="202">
        <f t="shared" si="47"/>
        <v>1570800</v>
      </c>
      <c r="L3071" s="202">
        <v>308</v>
      </c>
      <c r="N3071" s="202">
        <v>4050000</v>
      </c>
      <c r="S3071" s="204"/>
      <c r="W3071" s="198" t="s">
        <v>51</v>
      </c>
      <c r="AE3071" s="198" t="s">
        <v>835</v>
      </c>
    </row>
    <row r="3072" spans="3:31" x14ac:dyDescent="0.25">
      <c r="C3072" s="201"/>
      <c r="E3072" s="201"/>
      <c r="F3072" s="201"/>
      <c r="I3072" s="198" t="s">
        <v>131</v>
      </c>
      <c r="J3072" s="198" t="s">
        <v>132</v>
      </c>
      <c r="K3072" s="202">
        <f t="shared" si="47"/>
        <v>1571310</v>
      </c>
      <c r="L3072" s="202">
        <v>308.10000000000002</v>
      </c>
      <c r="N3072" s="202">
        <v>9130600</v>
      </c>
      <c r="S3072" s="204"/>
      <c r="W3072" s="198" t="s">
        <v>51</v>
      </c>
      <c r="AE3072" s="198" t="s">
        <v>833</v>
      </c>
    </row>
    <row r="3073" spans="3:31" x14ac:dyDescent="0.25">
      <c r="C3073" s="201"/>
      <c r="E3073" s="201"/>
      <c r="F3073" s="201"/>
      <c r="I3073" s="198" t="s">
        <v>131</v>
      </c>
      <c r="J3073" s="198" t="s">
        <v>132</v>
      </c>
      <c r="K3073" s="202">
        <f t="shared" si="47"/>
        <v>1571820</v>
      </c>
      <c r="L3073" s="202">
        <v>308.2</v>
      </c>
      <c r="N3073" s="202">
        <v>1929000</v>
      </c>
      <c r="S3073" s="204"/>
      <c r="W3073" s="198" t="s">
        <v>51</v>
      </c>
      <c r="AE3073" s="198" t="s">
        <v>833</v>
      </c>
    </row>
    <row r="3074" spans="3:31" x14ac:dyDescent="0.25">
      <c r="C3074" s="201"/>
      <c r="E3074" s="201"/>
      <c r="F3074" s="201"/>
      <c r="I3074" s="198" t="s">
        <v>131</v>
      </c>
      <c r="J3074" s="198" t="s">
        <v>132</v>
      </c>
      <c r="K3074" s="202">
        <f t="shared" si="47"/>
        <v>1572330</v>
      </c>
      <c r="L3074" s="202">
        <v>308.3</v>
      </c>
      <c r="N3074" s="202">
        <v>1896000</v>
      </c>
      <c r="S3074" s="204"/>
      <c r="W3074" s="198" t="s">
        <v>51</v>
      </c>
      <c r="AE3074" s="198" t="s">
        <v>833</v>
      </c>
    </row>
    <row r="3075" spans="3:31" x14ac:dyDescent="0.25">
      <c r="C3075" s="201"/>
      <c r="E3075" s="201"/>
      <c r="F3075" s="201"/>
      <c r="I3075" s="198" t="s">
        <v>760</v>
      </c>
      <c r="J3075" s="198" t="s">
        <v>153</v>
      </c>
      <c r="K3075" s="202">
        <f t="shared" ref="K3075:K3138" si="48">L3075*5100</f>
        <v>1572840</v>
      </c>
      <c r="L3075" s="202">
        <v>308.39999999999998</v>
      </c>
      <c r="N3075" s="202">
        <v>-14645.29</v>
      </c>
      <c r="S3075" s="204"/>
      <c r="W3075" s="198" t="s">
        <v>51</v>
      </c>
      <c r="AE3075" s="198" t="s">
        <v>1768</v>
      </c>
    </row>
    <row r="3076" spans="3:31" x14ac:dyDescent="0.25">
      <c r="C3076" s="201"/>
      <c r="E3076" s="201"/>
      <c r="F3076" s="201"/>
      <c r="I3076" s="198" t="s">
        <v>528</v>
      </c>
      <c r="J3076" s="198" t="s">
        <v>134</v>
      </c>
      <c r="K3076" s="202">
        <f t="shared" si="48"/>
        <v>1573350</v>
      </c>
      <c r="L3076" s="202">
        <v>308.5</v>
      </c>
      <c r="N3076" s="202">
        <v>1239239.58</v>
      </c>
      <c r="S3076" s="204"/>
      <c r="W3076" s="198" t="s">
        <v>51</v>
      </c>
      <c r="AE3076" s="198" t="s">
        <v>846</v>
      </c>
    </row>
    <row r="3077" spans="3:31" x14ac:dyDescent="0.25">
      <c r="C3077" s="201"/>
      <c r="E3077" s="201"/>
      <c r="F3077" s="201"/>
      <c r="I3077" s="198" t="s">
        <v>133</v>
      </c>
      <c r="J3077" s="198" t="s">
        <v>134</v>
      </c>
      <c r="K3077" s="202">
        <f t="shared" si="48"/>
        <v>1573860</v>
      </c>
      <c r="L3077" s="202">
        <v>308.60000000000002</v>
      </c>
      <c r="N3077" s="202">
        <v>261000</v>
      </c>
      <c r="S3077" s="204"/>
      <c r="W3077" s="198" t="s">
        <v>51</v>
      </c>
      <c r="AE3077" s="198" t="s">
        <v>846</v>
      </c>
    </row>
    <row r="3078" spans="3:31" x14ac:dyDescent="0.25">
      <c r="C3078" s="201"/>
      <c r="E3078" s="201"/>
      <c r="F3078" s="201"/>
      <c r="I3078" s="198" t="s">
        <v>133</v>
      </c>
      <c r="J3078" s="198" t="s">
        <v>134</v>
      </c>
      <c r="K3078" s="202">
        <f t="shared" si="48"/>
        <v>1574370</v>
      </c>
      <c r="L3078" s="202">
        <v>308.7</v>
      </c>
      <c r="N3078" s="202">
        <v>844900</v>
      </c>
      <c r="S3078" s="204"/>
      <c r="W3078" s="198" t="s">
        <v>51</v>
      </c>
      <c r="AE3078" s="198" t="s">
        <v>846</v>
      </c>
    </row>
    <row r="3079" spans="3:31" x14ac:dyDescent="0.25">
      <c r="C3079" s="201"/>
      <c r="E3079" s="201"/>
      <c r="F3079" s="201"/>
      <c r="I3079" s="198" t="s">
        <v>133</v>
      </c>
      <c r="J3079" s="198" t="s">
        <v>134</v>
      </c>
      <c r="K3079" s="202">
        <f t="shared" si="48"/>
        <v>1574880</v>
      </c>
      <c r="L3079" s="202">
        <v>308.8</v>
      </c>
      <c r="N3079" s="202">
        <v>1135022</v>
      </c>
      <c r="S3079" s="204"/>
      <c r="W3079" s="198" t="s">
        <v>51</v>
      </c>
      <c r="AE3079" s="198" t="s">
        <v>846</v>
      </c>
    </row>
    <row r="3080" spans="3:31" x14ac:dyDescent="0.25">
      <c r="C3080" s="201"/>
      <c r="E3080" s="201"/>
      <c r="F3080" s="201"/>
      <c r="I3080" s="198" t="s">
        <v>133</v>
      </c>
      <c r="J3080" s="198" t="s">
        <v>134</v>
      </c>
      <c r="K3080" s="202">
        <f t="shared" si="48"/>
        <v>1575390</v>
      </c>
      <c r="L3080" s="202">
        <v>308.89999999999998</v>
      </c>
      <c r="N3080" s="202">
        <v>600000</v>
      </c>
      <c r="S3080" s="204"/>
      <c r="W3080" s="198" t="s">
        <v>51</v>
      </c>
      <c r="AE3080" s="198" t="s">
        <v>846</v>
      </c>
    </row>
    <row r="3081" spans="3:31" x14ac:dyDescent="0.25">
      <c r="C3081" s="201"/>
      <c r="E3081" s="201"/>
      <c r="F3081" s="201"/>
      <c r="I3081" s="198" t="s">
        <v>135</v>
      </c>
      <c r="J3081" s="198" t="s">
        <v>117</v>
      </c>
      <c r="K3081" s="202">
        <f t="shared" si="48"/>
        <v>1575900</v>
      </c>
      <c r="L3081" s="202">
        <v>309</v>
      </c>
      <c r="N3081" s="202">
        <v>136278.78</v>
      </c>
      <c r="S3081" s="204"/>
      <c r="W3081" s="198" t="s">
        <v>51</v>
      </c>
      <c r="AE3081" s="198" t="s">
        <v>878</v>
      </c>
    </row>
    <row r="3082" spans="3:31" x14ac:dyDescent="0.25">
      <c r="C3082" s="201"/>
      <c r="E3082" s="201"/>
      <c r="F3082" s="201"/>
      <c r="I3082" s="198" t="s">
        <v>553</v>
      </c>
      <c r="J3082" s="198" t="s">
        <v>134</v>
      </c>
      <c r="K3082" s="202">
        <f t="shared" si="48"/>
        <v>1576410</v>
      </c>
      <c r="L3082" s="202">
        <v>309.10000000000002</v>
      </c>
      <c r="N3082" s="202">
        <v>5405994</v>
      </c>
      <c r="S3082" s="204"/>
      <c r="W3082" s="198" t="s">
        <v>51</v>
      </c>
      <c r="AE3082" s="198" t="s">
        <v>846</v>
      </c>
    </row>
    <row r="3083" spans="3:31" x14ac:dyDescent="0.25">
      <c r="C3083" s="201"/>
      <c r="E3083" s="201"/>
      <c r="F3083" s="201"/>
      <c r="I3083" s="198" t="s">
        <v>553</v>
      </c>
      <c r="J3083" s="198" t="s">
        <v>134</v>
      </c>
      <c r="K3083" s="202">
        <f t="shared" si="48"/>
        <v>1576920</v>
      </c>
      <c r="L3083" s="202">
        <v>309.2</v>
      </c>
      <c r="N3083" s="202">
        <v>5387025.5999999996</v>
      </c>
      <c r="S3083" s="204"/>
      <c r="W3083" s="198" t="s">
        <v>51</v>
      </c>
      <c r="AE3083" s="198" t="s">
        <v>846</v>
      </c>
    </row>
    <row r="3084" spans="3:31" x14ac:dyDescent="0.25">
      <c r="C3084" s="201"/>
      <c r="E3084" s="201"/>
      <c r="F3084" s="201"/>
      <c r="I3084" s="198" t="s">
        <v>553</v>
      </c>
      <c r="J3084" s="198" t="s">
        <v>134</v>
      </c>
      <c r="K3084" s="202">
        <f t="shared" si="48"/>
        <v>1577430</v>
      </c>
      <c r="L3084" s="202">
        <v>309.3</v>
      </c>
      <c r="N3084" s="202">
        <v>5403622.9500000002</v>
      </c>
      <c r="S3084" s="204"/>
      <c r="W3084" s="198" t="s">
        <v>51</v>
      </c>
      <c r="AE3084" s="198" t="s">
        <v>846</v>
      </c>
    </row>
    <row r="3085" spans="3:31" x14ac:dyDescent="0.25">
      <c r="C3085" s="201"/>
      <c r="E3085" s="201"/>
      <c r="F3085" s="201"/>
      <c r="I3085" s="198" t="s">
        <v>553</v>
      </c>
      <c r="J3085" s="198" t="s">
        <v>134</v>
      </c>
      <c r="K3085" s="202">
        <f t="shared" si="48"/>
        <v>1577940</v>
      </c>
      <c r="L3085" s="202">
        <v>309.39999999999998</v>
      </c>
      <c r="N3085" s="202">
        <v>5387025.5999999996</v>
      </c>
      <c r="S3085" s="204"/>
      <c r="W3085" s="198" t="s">
        <v>51</v>
      </c>
      <c r="AE3085" s="198" t="s">
        <v>846</v>
      </c>
    </row>
    <row r="3086" spans="3:31" x14ac:dyDescent="0.25">
      <c r="C3086" s="201"/>
      <c r="E3086" s="201"/>
      <c r="F3086" s="201"/>
      <c r="I3086" s="198" t="s">
        <v>360</v>
      </c>
      <c r="J3086" s="198" t="s">
        <v>130</v>
      </c>
      <c r="K3086" s="202">
        <f t="shared" si="48"/>
        <v>1578450</v>
      </c>
      <c r="L3086" s="202">
        <v>309.5</v>
      </c>
      <c r="N3086" s="202">
        <v>31250000</v>
      </c>
      <c r="S3086" s="203"/>
      <c r="W3086" s="198" t="s">
        <v>51</v>
      </c>
      <c r="AE3086" s="198" t="s">
        <v>833</v>
      </c>
    </row>
    <row r="3087" spans="3:31" x14ac:dyDescent="0.25">
      <c r="C3087" s="201"/>
      <c r="E3087" s="201"/>
      <c r="F3087" s="201"/>
      <c r="I3087" s="198" t="s">
        <v>430</v>
      </c>
      <c r="J3087" s="198" t="s">
        <v>130</v>
      </c>
      <c r="K3087" s="202">
        <f t="shared" si="48"/>
        <v>1578960</v>
      </c>
      <c r="L3087" s="202">
        <v>309.60000000000002</v>
      </c>
      <c r="N3087" s="202">
        <v>2025000</v>
      </c>
      <c r="S3087" s="204"/>
      <c r="W3087" s="198" t="s">
        <v>51</v>
      </c>
      <c r="AE3087" s="198" t="s">
        <v>833</v>
      </c>
    </row>
    <row r="3088" spans="3:31" x14ac:dyDescent="0.25">
      <c r="C3088" s="201"/>
      <c r="E3088" s="201"/>
      <c r="F3088" s="201"/>
      <c r="I3088" s="198" t="s">
        <v>432</v>
      </c>
      <c r="J3088" s="198" t="s">
        <v>130</v>
      </c>
      <c r="K3088" s="202">
        <f t="shared" si="48"/>
        <v>1579470</v>
      </c>
      <c r="L3088" s="202">
        <v>309.7</v>
      </c>
      <c r="N3088" s="202">
        <v>675000</v>
      </c>
      <c r="S3088" s="204"/>
      <c r="W3088" s="198" t="s">
        <v>51</v>
      </c>
      <c r="AE3088" s="198" t="s">
        <v>833</v>
      </c>
    </row>
    <row r="3089" spans="3:31" x14ac:dyDescent="0.25">
      <c r="C3089" s="201"/>
      <c r="E3089" s="201"/>
      <c r="F3089" s="201"/>
      <c r="I3089" s="198" t="s">
        <v>430</v>
      </c>
      <c r="J3089" s="198" t="s">
        <v>130</v>
      </c>
      <c r="K3089" s="202">
        <f t="shared" si="48"/>
        <v>1579980</v>
      </c>
      <c r="L3089" s="202">
        <v>309.8</v>
      </c>
      <c r="N3089" s="202">
        <v>4050000</v>
      </c>
      <c r="S3089" s="204"/>
      <c r="W3089" s="198" t="s">
        <v>51</v>
      </c>
      <c r="AE3089" s="198" t="s">
        <v>833</v>
      </c>
    </row>
    <row r="3090" spans="3:31" x14ac:dyDescent="0.25">
      <c r="C3090" s="201"/>
      <c r="E3090" s="201"/>
      <c r="F3090" s="201"/>
      <c r="I3090" s="198" t="s">
        <v>133</v>
      </c>
      <c r="J3090" s="198" t="s">
        <v>134</v>
      </c>
      <c r="K3090" s="202">
        <f t="shared" si="48"/>
        <v>1580490</v>
      </c>
      <c r="L3090" s="202">
        <v>309.89999999999998</v>
      </c>
      <c r="N3090" s="202">
        <v>2641784</v>
      </c>
      <c r="S3090" s="204"/>
      <c r="W3090" s="198" t="s">
        <v>51</v>
      </c>
      <c r="AE3090" s="198" t="s">
        <v>846</v>
      </c>
    </row>
    <row r="3091" spans="3:31" x14ac:dyDescent="0.25">
      <c r="C3091" s="201"/>
      <c r="E3091" s="201"/>
      <c r="F3091" s="201"/>
      <c r="I3091" s="198" t="s">
        <v>133</v>
      </c>
      <c r="J3091" s="198" t="s">
        <v>134</v>
      </c>
      <c r="K3091" s="202">
        <f t="shared" si="48"/>
        <v>1581000</v>
      </c>
      <c r="L3091" s="202">
        <v>310</v>
      </c>
      <c r="N3091" s="202">
        <v>5126825</v>
      </c>
      <c r="S3091" s="204"/>
      <c r="W3091" s="198" t="s">
        <v>51</v>
      </c>
      <c r="AE3091" s="198" t="s">
        <v>846</v>
      </c>
    </row>
    <row r="3092" spans="3:31" x14ac:dyDescent="0.25">
      <c r="C3092" s="201"/>
      <c r="E3092" s="201"/>
      <c r="F3092" s="201"/>
      <c r="I3092" s="198" t="s">
        <v>133</v>
      </c>
      <c r="J3092" s="198" t="s">
        <v>134</v>
      </c>
      <c r="K3092" s="202">
        <f t="shared" si="48"/>
        <v>1581510</v>
      </c>
      <c r="L3092" s="202">
        <v>310.10000000000002</v>
      </c>
      <c r="N3092" s="202">
        <v>2782427.76</v>
      </c>
      <c r="S3092" s="204"/>
      <c r="W3092" s="198" t="s">
        <v>51</v>
      </c>
      <c r="AE3092" s="198" t="s">
        <v>846</v>
      </c>
    </row>
    <row r="3093" spans="3:31" x14ac:dyDescent="0.25">
      <c r="C3093" s="201"/>
      <c r="E3093" s="201"/>
      <c r="F3093" s="201"/>
      <c r="I3093" s="198" t="s">
        <v>212</v>
      </c>
      <c r="J3093" s="198" t="s">
        <v>112</v>
      </c>
      <c r="K3093" s="202">
        <f t="shared" si="48"/>
        <v>1582020</v>
      </c>
      <c r="L3093" s="202">
        <v>310.2</v>
      </c>
      <c r="N3093" s="202">
        <v>769770.23</v>
      </c>
      <c r="S3093" s="204"/>
      <c r="W3093" s="198" t="s">
        <v>51</v>
      </c>
      <c r="AE3093" s="198" t="s">
        <v>831</v>
      </c>
    </row>
    <row r="3094" spans="3:31" x14ac:dyDescent="0.25">
      <c r="C3094" s="201"/>
      <c r="E3094" s="201"/>
      <c r="F3094" s="201"/>
      <c r="I3094" s="198" t="s">
        <v>212</v>
      </c>
      <c r="J3094" s="198" t="s">
        <v>112</v>
      </c>
      <c r="K3094" s="202">
        <f t="shared" si="48"/>
        <v>1582530</v>
      </c>
      <c r="L3094" s="202">
        <v>310.3</v>
      </c>
      <c r="N3094" s="202">
        <v>769770.23</v>
      </c>
      <c r="S3094" s="204"/>
      <c r="W3094" s="198" t="s">
        <v>51</v>
      </c>
      <c r="AE3094" s="198" t="s">
        <v>831</v>
      </c>
    </row>
    <row r="3095" spans="3:31" x14ac:dyDescent="0.25">
      <c r="C3095" s="201"/>
      <c r="E3095" s="201"/>
      <c r="F3095" s="201"/>
      <c r="I3095" s="198" t="s">
        <v>212</v>
      </c>
      <c r="J3095" s="198" t="s">
        <v>112</v>
      </c>
      <c r="K3095" s="202">
        <f t="shared" si="48"/>
        <v>1583040</v>
      </c>
      <c r="L3095" s="202">
        <v>310.39999999999998</v>
      </c>
      <c r="N3095" s="202">
        <v>769770.23</v>
      </c>
      <c r="S3095" s="204"/>
      <c r="W3095" s="198" t="s">
        <v>51</v>
      </c>
      <c r="AE3095" s="198" t="s">
        <v>831</v>
      </c>
    </row>
    <row r="3096" spans="3:31" x14ac:dyDescent="0.25">
      <c r="C3096" s="201"/>
      <c r="E3096" s="201"/>
      <c r="F3096" s="201"/>
      <c r="I3096" s="198" t="s">
        <v>221</v>
      </c>
      <c r="J3096" s="198" t="s">
        <v>112</v>
      </c>
      <c r="K3096" s="202">
        <f t="shared" si="48"/>
        <v>1583550</v>
      </c>
      <c r="L3096" s="202">
        <v>310.5</v>
      </c>
      <c r="N3096" s="202">
        <v>354290</v>
      </c>
      <c r="S3096" s="204"/>
      <c r="W3096" s="198" t="s">
        <v>51</v>
      </c>
      <c r="AE3096" s="198" t="s">
        <v>831</v>
      </c>
    </row>
    <row r="3097" spans="3:31" x14ac:dyDescent="0.25">
      <c r="C3097" s="201"/>
      <c r="E3097" s="201"/>
      <c r="F3097" s="201"/>
      <c r="I3097" s="198" t="s">
        <v>221</v>
      </c>
      <c r="J3097" s="198" t="s">
        <v>112</v>
      </c>
      <c r="K3097" s="202">
        <f t="shared" si="48"/>
        <v>1584060</v>
      </c>
      <c r="L3097" s="202">
        <v>310.60000000000002</v>
      </c>
      <c r="N3097" s="202">
        <v>354290</v>
      </c>
      <c r="S3097" s="204"/>
      <c r="W3097" s="198" t="s">
        <v>51</v>
      </c>
      <c r="AE3097" s="198" t="s">
        <v>831</v>
      </c>
    </row>
    <row r="3098" spans="3:31" x14ac:dyDescent="0.25">
      <c r="C3098" s="201"/>
      <c r="E3098" s="201"/>
      <c r="F3098" s="201"/>
      <c r="I3098" s="198" t="s">
        <v>221</v>
      </c>
      <c r="J3098" s="198" t="s">
        <v>112</v>
      </c>
      <c r="K3098" s="202">
        <f t="shared" si="48"/>
        <v>1584570</v>
      </c>
      <c r="L3098" s="202">
        <v>310.7</v>
      </c>
      <c r="N3098" s="202">
        <v>354290</v>
      </c>
      <c r="S3098" s="204"/>
      <c r="W3098" s="198" t="s">
        <v>51</v>
      </c>
      <c r="AE3098" s="198" t="s">
        <v>831</v>
      </c>
    </row>
    <row r="3099" spans="3:31" x14ac:dyDescent="0.25">
      <c r="C3099" s="201"/>
      <c r="E3099" s="201"/>
      <c r="F3099" s="201"/>
      <c r="I3099" s="198" t="s">
        <v>221</v>
      </c>
      <c r="J3099" s="198" t="s">
        <v>112</v>
      </c>
      <c r="K3099" s="202">
        <f t="shared" si="48"/>
        <v>1585080</v>
      </c>
      <c r="L3099" s="202">
        <v>310.8</v>
      </c>
      <c r="N3099" s="202">
        <v>354290</v>
      </c>
      <c r="S3099" s="204"/>
      <c r="W3099" s="198" t="s">
        <v>51</v>
      </c>
      <c r="AE3099" s="198" t="s">
        <v>831</v>
      </c>
    </row>
    <row r="3100" spans="3:31" x14ac:dyDescent="0.25">
      <c r="C3100" s="201"/>
      <c r="E3100" s="201"/>
      <c r="F3100" s="201"/>
      <c r="I3100" s="198" t="s">
        <v>221</v>
      </c>
      <c r="J3100" s="198" t="s">
        <v>112</v>
      </c>
      <c r="K3100" s="202">
        <f t="shared" si="48"/>
        <v>1585590</v>
      </c>
      <c r="L3100" s="202">
        <v>310.89999999999998</v>
      </c>
      <c r="N3100" s="202">
        <v>354290</v>
      </c>
      <c r="S3100" s="204"/>
      <c r="W3100" s="198" t="s">
        <v>51</v>
      </c>
      <c r="AE3100" s="198" t="s">
        <v>831</v>
      </c>
    </row>
    <row r="3101" spans="3:31" x14ac:dyDescent="0.25">
      <c r="C3101" s="201"/>
      <c r="E3101" s="201"/>
      <c r="F3101" s="201"/>
      <c r="I3101" s="198" t="s">
        <v>221</v>
      </c>
      <c r="J3101" s="198" t="s">
        <v>112</v>
      </c>
      <c r="K3101" s="202">
        <f t="shared" si="48"/>
        <v>1586100</v>
      </c>
      <c r="L3101" s="202">
        <v>311</v>
      </c>
      <c r="N3101" s="202">
        <v>354290</v>
      </c>
      <c r="S3101" s="204"/>
      <c r="W3101" s="198" t="s">
        <v>51</v>
      </c>
      <c r="AE3101" s="198" t="s">
        <v>831</v>
      </c>
    </row>
    <row r="3102" spans="3:31" x14ac:dyDescent="0.25">
      <c r="C3102" s="201"/>
      <c r="E3102" s="201"/>
      <c r="F3102" s="201"/>
      <c r="I3102" s="198" t="s">
        <v>221</v>
      </c>
      <c r="J3102" s="198" t="s">
        <v>112</v>
      </c>
      <c r="K3102" s="202">
        <f t="shared" si="48"/>
        <v>1586610</v>
      </c>
      <c r="L3102" s="202">
        <v>311.10000000000002</v>
      </c>
      <c r="N3102" s="202">
        <v>354290</v>
      </c>
      <c r="S3102" s="204"/>
      <c r="W3102" s="198" t="s">
        <v>51</v>
      </c>
      <c r="AE3102" s="198" t="s">
        <v>831</v>
      </c>
    </row>
    <row r="3103" spans="3:31" x14ac:dyDescent="0.25">
      <c r="C3103" s="201"/>
      <c r="E3103" s="201"/>
      <c r="F3103" s="201"/>
      <c r="I3103" s="198" t="s">
        <v>221</v>
      </c>
      <c r="J3103" s="198" t="s">
        <v>112</v>
      </c>
      <c r="K3103" s="202">
        <f t="shared" si="48"/>
        <v>1587120</v>
      </c>
      <c r="L3103" s="202">
        <v>311.2</v>
      </c>
      <c r="N3103" s="202">
        <v>354290</v>
      </c>
      <c r="S3103" s="204"/>
      <c r="W3103" s="198" t="s">
        <v>51</v>
      </c>
      <c r="AE3103" s="198" t="s">
        <v>831</v>
      </c>
    </row>
    <row r="3104" spans="3:31" x14ac:dyDescent="0.25">
      <c r="C3104" s="201"/>
      <c r="E3104" s="201"/>
      <c r="F3104" s="201"/>
      <c r="I3104" s="198" t="s">
        <v>221</v>
      </c>
      <c r="J3104" s="198" t="s">
        <v>112</v>
      </c>
      <c r="K3104" s="202">
        <f t="shared" si="48"/>
        <v>1587630</v>
      </c>
      <c r="L3104" s="202">
        <v>311.3</v>
      </c>
      <c r="N3104" s="202">
        <v>354290</v>
      </c>
      <c r="S3104" s="204"/>
      <c r="W3104" s="198" t="s">
        <v>51</v>
      </c>
      <c r="AE3104" s="198" t="s">
        <v>831</v>
      </c>
    </row>
    <row r="3105" spans="3:31" x14ac:dyDescent="0.25">
      <c r="C3105" s="201"/>
      <c r="E3105" s="201"/>
      <c r="F3105" s="201"/>
      <c r="I3105" s="198" t="s">
        <v>221</v>
      </c>
      <c r="J3105" s="198" t="s">
        <v>112</v>
      </c>
      <c r="K3105" s="202">
        <f t="shared" si="48"/>
        <v>1588140</v>
      </c>
      <c r="L3105" s="202">
        <v>311.39999999999998</v>
      </c>
      <c r="N3105" s="202">
        <v>354290</v>
      </c>
      <c r="S3105" s="204"/>
      <c r="W3105" s="198" t="s">
        <v>51</v>
      </c>
      <c r="AE3105" s="198" t="s">
        <v>831</v>
      </c>
    </row>
    <row r="3106" spans="3:31" x14ac:dyDescent="0.25">
      <c r="C3106" s="201"/>
      <c r="E3106" s="201"/>
      <c r="F3106" s="201"/>
      <c r="I3106" s="198" t="s">
        <v>221</v>
      </c>
      <c r="J3106" s="198" t="s">
        <v>112</v>
      </c>
      <c r="K3106" s="202">
        <f t="shared" si="48"/>
        <v>1588650</v>
      </c>
      <c r="L3106" s="202">
        <v>311.5</v>
      </c>
      <c r="N3106" s="202">
        <v>354290</v>
      </c>
      <c r="S3106" s="204"/>
      <c r="W3106" s="198" t="s">
        <v>51</v>
      </c>
      <c r="AE3106" s="198" t="s">
        <v>831</v>
      </c>
    </row>
    <row r="3107" spans="3:31" x14ac:dyDescent="0.25">
      <c r="C3107" s="201"/>
      <c r="E3107" s="201"/>
      <c r="F3107" s="201"/>
      <c r="I3107" s="198" t="s">
        <v>221</v>
      </c>
      <c r="J3107" s="198" t="s">
        <v>112</v>
      </c>
      <c r="K3107" s="202">
        <f t="shared" si="48"/>
        <v>1589160</v>
      </c>
      <c r="L3107" s="202">
        <v>311.60000000000002</v>
      </c>
      <c r="N3107" s="202">
        <v>354290</v>
      </c>
      <c r="S3107" s="204"/>
      <c r="W3107" s="198" t="s">
        <v>51</v>
      </c>
      <c r="AE3107" s="198" t="s">
        <v>831</v>
      </c>
    </row>
    <row r="3108" spans="3:31" x14ac:dyDescent="0.25">
      <c r="C3108" s="201"/>
      <c r="E3108" s="201"/>
      <c r="F3108" s="201"/>
      <c r="I3108" s="198" t="s">
        <v>221</v>
      </c>
      <c r="J3108" s="198" t="s">
        <v>112</v>
      </c>
      <c r="K3108" s="202">
        <f t="shared" si="48"/>
        <v>1589670</v>
      </c>
      <c r="L3108" s="202">
        <v>311.7</v>
      </c>
      <c r="N3108" s="202">
        <v>354290</v>
      </c>
      <c r="S3108" s="204"/>
      <c r="W3108" s="198" t="s">
        <v>51</v>
      </c>
      <c r="AE3108" s="198" t="s">
        <v>831</v>
      </c>
    </row>
    <row r="3109" spans="3:31" x14ac:dyDescent="0.25">
      <c r="C3109" s="201"/>
      <c r="E3109" s="201"/>
      <c r="F3109" s="201"/>
      <c r="I3109" s="198" t="s">
        <v>221</v>
      </c>
      <c r="J3109" s="198" t="s">
        <v>112</v>
      </c>
      <c r="K3109" s="202">
        <f t="shared" si="48"/>
        <v>1590180</v>
      </c>
      <c r="L3109" s="202">
        <v>311.8</v>
      </c>
      <c r="N3109" s="202">
        <v>354290</v>
      </c>
      <c r="S3109" s="204"/>
      <c r="W3109" s="198" t="s">
        <v>51</v>
      </c>
      <c r="AE3109" s="198" t="s">
        <v>831</v>
      </c>
    </row>
    <row r="3110" spans="3:31" x14ac:dyDescent="0.25">
      <c r="C3110" s="201"/>
      <c r="E3110" s="201"/>
      <c r="F3110" s="201"/>
      <c r="I3110" s="198" t="s">
        <v>221</v>
      </c>
      <c r="J3110" s="198" t="s">
        <v>112</v>
      </c>
      <c r="K3110" s="202">
        <f t="shared" si="48"/>
        <v>1590690</v>
      </c>
      <c r="L3110" s="202">
        <v>311.89999999999998</v>
      </c>
      <c r="N3110" s="202">
        <v>354290</v>
      </c>
      <c r="S3110" s="204"/>
      <c r="W3110" s="198" t="s">
        <v>51</v>
      </c>
      <c r="AE3110" s="198" t="s">
        <v>831</v>
      </c>
    </row>
    <row r="3111" spans="3:31" x14ac:dyDescent="0.25">
      <c r="C3111" s="201"/>
      <c r="E3111" s="201"/>
      <c r="F3111" s="201"/>
      <c r="I3111" s="198" t="s">
        <v>221</v>
      </c>
      <c r="J3111" s="198" t="s">
        <v>112</v>
      </c>
      <c r="K3111" s="202">
        <f t="shared" si="48"/>
        <v>1591200</v>
      </c>
      <c r="L3111" s="202">
        <v>312</v>
      </c>
      <c r="N3111" s="202">
        <v>354290</v>
      </c>
      <c r="S3111" s="204"/>
      <c r="W3111" s="198" t="s">
        <v>51</v>
      </c>
      <c r="AE3111" s="198" t="s">
        <v>831</v>
      </c>
    </row>
    <row r="3112" spans="3:31" x14ac:dyDescent="0.25">
      <c r="C3112" s="201"/>
      <c r="E3112" s="201"/>
      <c r="F3112" s="201"/>
      <c r="I3112" s="198" t="s">
        <v>221</v>
      </c>
      <c r="J3112" s="198" t="s">
        <v>112</v>
      </c>
      <c r="K3112" s="202">
        <f t="shared" si="48"/>
        <v>1591710</v>
      </c>
      <c r="L3112" s="202">
        <v>312.10000000000002</v>
      </c>
      <c r="N3112" s="202">
        <v>354290</v>
      </c>
      <c r="S3112" s="204"/>
      <c r="W3112" s="198" t="s">
        <v>51</v>
      </c>
      <c r="AE3112" s="198" t="s">
        <v>831</v>
      </c>
    </row>
    <row r="3113" spans="3:31" x14ac:dyDescent="0.25">
      <c r="C3113" s="201"/>
      <c r="E3113" s="201"/>
      <c r="F3113" s="201"/>
      <c r="I3113" s="198" t="s">
        <v>221</v>
      </c>
      <c r="J3113" s="198" t="s">
        <v>112</v>
      </c>
      <c r="K3113" s="202">
        <f t="shared" si="48"/>
        <v>1592220</v>
      </c>
      <c r="L3113" s="202">
        <v>312.2</v>
      </c>
      <c r="N3113" s="202">
        <v>354290</v>
      </c>
      <c r="S3113" s="204"/>
      <c r="W3113" s="198" t="s">
        <v>51</v>
      </c>
      <c r="AE3113" s="198" t="s">
        <v>831</v>
      </c>
    </row>
    <row r="3114" spans="3:31" x14ac:dyDescent="0.25">
      <c r="C3114" s="201"/>
      <c r="E3114" s="201"/>
      <c r="F3114" s="201"/>
      <c r="I3114" s="198" t="s">
        <v>129</v>
      </c>
      <c r="J3114" s="198" t="s">
        <v>130</v>
      </c>
      <c r="K3114" s="202">
        <f t="shared" si="48"/>
        <v>1592730</v>
      </c>
      <c r="L3114" s="202">
        <v>312.3</v>
      </c>
      <c r="N3114" s="202">
        <v>23000000</v>
      </c>
      <c r="S3114" s="204"/>
      <c r="W3114" s="198" t="s">
        <v>51</v>
      </c>
      <c r="AE3114" s="198" t="s">
        <v>833</v>
      </c>
    </row>
    <row r="3115" spans="3:31" x14ac:dyDescent="0.25">
      <c r="C3115" s="201"/>
      <c r="E3115" s="201"/>
      <c r="F3115" s="201"/>
      <c r="I3115" s="198" t="s">
        <v>205</v>
      </c>
      <c r="J3115" s="198" t="s">
        <v>169</v>
      </c>
      <c r="K3115" s="202">
        <f t="shared" si="48"/>
        <v>1593240</v>
      </c>
      <c r="L3115" s="202">
        <v>312.39999999999998</v>
      </c>
      <c r="N3115" s="202">
        <v>520000</v>
      </c>
      <c r="S3115" s="204"/>
      <c r="W3115" s="198" t="s">
        <v>51</v>
      </c>
      <c r="AE3115" s="198" t="s">
        <v>831</v>
      </c>
    </row>
    <row r="3116" spans="3:31" x14ac:dyDescent="0.25">
      <c r="C3116" s="201"/>
      <c r="E3116" s="201"/>
      <c r="F3116" s="201"/>
      <c r="I3116" s="198" t="s">
        <v>205</v>
      </c>
      <c r="J3116" s="198" t="s">
        <v>169</v>
      </c>
      <c r="K3116" s="202">
        <f t="shared" si="48"/>
        <v>1593750</v>
      </c>
      <c r="L3116" s="202">
        <v>312.5</v>
      </c>
      <c r="N3116" s="202">
        <v>520000</v>
      </c>
      <c r="S3116" s="204"/>
      <c r="W3116" s="198" t="s">
        <v>51</v>
      </c>
      <c r="AE3116" s="198" t="s">
        <v>831</v>
      </c>
    </row>
    <row r="3117" spans="3:31" x14ac:dyDescent="0.25">
      <c r="C3117" s="201"/>
      <c r="E3117" s="201"/>
      <c r="F3117" s="201"/>
      <c r="I3117" s="198" t="s">
        <v>205</v>
      </c>
      <c r="J3117" s="198" t="s">
        <v>169</v>
      </c>
      <c r="K3117" s="202">
        <f t="shared" si="48"/>
        <v>1594260</v>
      </c>
      <c r="L3117" s="202">
        <v>312.60000000000002</v>
      </c>
      <c r="N3117" s="202">
        <v>520000</v>
      </c>
      <c r="S3117" s="204"/>
      <c r="W3117" s="198" t="s">
        <v>51</v>
      </c>
      <c r="AE3117" s="198" t="s">
        <v>831</v>
      </c>
    </row>
    <row r="3118" spans="3:31" x14ac:dyDescent="0.25">
      <c r="C3118" s="201"/>
      <c r="E3118" s="201"/>
      <c r="F3118" s="201"/>
      <c r="I3118" s="198" t="s">
        <v>131</v>
      </c>
      <c r="J3118" s="198" t="s">
        <v>132</v>
      </c>
      <c r="K3118" s="202">
        <f t="shared" si="48"/>
        <v>1594770</v>
      </c>
      <c r="L3118" s="202">
        <v>312.7</v>
      </c>
      <c r="N3118" s="202">
        <v>23000000</v>
      </c>
      <c r="S3118" s="204"/>
      <c r="W3118" s="198" t="s">
        <v>51</v>
      </c>
      <c r="AE3118" s="198" t="s">
        <v>833</v>
      </c>
    </row>
    <row r="3119" spans="3:31" x14ac:dyDescent="0.25">
      <c r="C3119" s="201"/>
      <c r="E3119" s="201"/>
      <c r="F3119" s="201"/>
      <c r="I3119" s="198" t="s">
        <v>177</v>
      </c>
      <c r="J3119" s="198" t="s">
        <v>167</v>
      </c>
      <c r="K3119" s="202">
        <f t="shared" si="48"/>
        <v>1595280</v>
      </c>
      <c r="L3119" s="202">
        <v>312.8</v>
      </c>
      <c r="N3119" s="202">
        <v>81097.600000000006</v>
      </c>
      <c r="S3119" s="203"/>
      <c r="W3119" s="198" t="s">
        <v>51</v>
      </c>
      <c r="AE3119" s="198" t="s">
        <v>831</v>
      </c>
    </row>
    <row r="3120" spans="3:31" x14ac:dyDescent="0.25">
      <c r="C3120" s="201"/>
      <c r="E3120" s="201"/>
      <c r="F3120" s="201"/>
      <c r="I3120" s="198" t="s">
        <v>177</v>
      </c>
      <c r="J3120" s="198" t="s">
        <v>167</v>
      </c>
      <c r="K3120" s="202">
        <f t="shared" si="48"/>
        <v>1595790</v>
      </c>
      <c r="L3120" s="202">
        <v>312.89999999999998</v>
      </c>
      <c r="N3120" s="202">
        <v>433142.32</v>
      </c>
      <c r="S3120" s="203"/>
      <c r="W3120" s="198" t="s">
        <v>51</v>
      </c>
      <c r="AE3120" s="198" t="s">
        <v>831</v>
      </c>
    </row>
    <row r="3121" spans="3:31" x14ac:dyDescent="0.25">
      <c r="C3121" s="201"/>
      <c r="E3121" s="201"/>
      <c r="F3121" s="201"/>
      <c r="I3121" s="198" t="s">
        <v>669</v>
      </c>
      <c r="J3121" s="198" t="s">
        <v>112</v>
      </c>
      <c r="K3121" s="202">
        <f t="shared" si="48"/>
        <v>1596300</v>
      </c>
      <c r="L3121" s="202">
        <v>313</v>
      </c>
      <c r="N3121" s="202">
        <v>239035.18</v>
      </c>
      <c r="S3121" s="203"/>
      <c r="W3121" s="198" t="s">
        <v>51</v>
      </c>
      <c r="AE3121" s="198" t="s">
        <v>831</v>
      </c>
    </row>
    <row r="3122" spans="3:31" x14ac:dyDescent="0.25">
      <c r="C3122" s="201"/>
      <c r="E3122" s="201"/>
      <c r="F3122" s="201"/>
      <c r="I3122" s="198" t="s">
        <v>669</v>
      </c>
      <c r="J3122" s="198" t="s">
        <v>112</v>
      </c>
      <c r="K3122" s="202">
        <f t="shared" si="48"/>
        <v>1596810</v>
      </c>
      <c r="L3122" s="202">
        <v>313.10000000000002</v>
      </c>
      <c r="N3122" s="202">
        <v>697210.78</v>
      </c>
      <c r="S3122" s="203"/>
      <c r="W3122" s="198" t="s">
        <v>51</v>
      </c>
      <c r="AE3122" s="198" t="s">
        <v>831</v>
      </c>
    </row>
    <row r="3123" spans="3:31" x14ac:dyDescent="0.25">
      <c r="C3123" s="201"/>
      <c r="E3123" s="201"/>
      <c r="F3123" s="201"/>
      <c r="I3123" s="198" t="s">
        <v>440</v>
      </c>
      <c r="J3123" s="198" t="s">
        <v>126</v>
      </c>
      <c r="K3123" s="202">
        <f t="shared" si="48"/>
        <v>1597320</v>
      </c>
      <c r="L3123" s="202">
        <v>313.2</v>
      </c>
      <c r="N3123" s="202">
        <v>120000</v>
      </c>
      <c r="S3123" s="204"/>
      <c r="W3123" s="198" t="s">
        <v>51</v>
      </c>
      <c r="AE3123" s="198" t="s">
        <v>835</v>
      </c>
    </row>
    <row r="3124" spans="3:31" x14ac:dyDescent="0.25">
      <c r="C3124" s="201"/>
      <c r="E3124" s="201"/>
      <c r="F3124" s="201"/>
      <c r="I3124" s="198" t="s">
        <v>440</v>
      </c>
      <c r="J3124" s="198" t="s">
        <v>126</v>
      </c>
      <c r="K3124" s="202">
        <f t="shared" si="48"/>
        <v>1597830</v>
      </c>
      <c r="L3124" s="202">
        <v>313.3</v>
      </c>
      <c r="N3124" s="202">
        <v>318400</v>
      </c>
      <c r="S3124" s="204"/>
      <c r="W3124" s="198" t="s">
        <v>51</v>
      </c>
      <c r="AE3124" s="198" t="s">
        <v>835</v>
      </c>
    </row>
    <row r="3125" spans="3:31" x14ac:dyDescent="0.25">
      <c r="C3125" s="201"/>
      <c r="E3125" s="201"/>
      <c r="F3125" s="201"/>
      <c r="I3125" s="198" t="s">
        <v>440</v>
      </c>
      <c r="J3125" s="198" t="s">
        <v>126</v>
      </c>
      <c r="K3125" s="202">
        <f t="shared" si="48"/>
        <v>1598340</v>
      </c>
      <c r="L3125" s="202">
        <v>313.39999999999998</v>
      </c>
      <c r="N3125" s="202">
        <v>30000</v>
      </c>
      <c r="S3125" s="204"/>
      <c r="W3125" s="198" t="s">
        <v>51</v>
      </c>
      <c r="AE3125" s="198" t="s">
        <v>835</v>
      </c>
    </row>
    <row r="3126" spans="3:31" x14ac:dyDescent="0.25">
      <c r="C3126" s="201"/>
      <c r="E3126" s="201"/>
      <c r="F3126" s="201"/>
      <c r="I3126" s="198" t="s">
        <v>440</v>
      </c>
      <c r="J3126" s="198" t="s">
        <v>126</v>
      </c>
      <c r="K3126" s="202">
        <f t="shared" si="48"/>
        <v>1598850</v>
      </c>
      <c r="L3126" s="202">
        <v>313.5</v>
      </c>
      <c r="N3126" s="202">
        <v>142000</v>
      </c>
      <c r="S3126" s="204"/>
      <c r="W3126" s="198" t="s">
        <v>51</v>
      </c>
      <c r="AE3126" s="198" t="s">
        <v>835</v>
      </c>
    </row>
    <row r="3127" spans="3:31" x14ac:dyDescent="0.25">
      <c r="C3127" s="201"/>
      <c r="E3127" s="201"/>
      <c r="F3127" s="201"/>
      <c r="I3127" s="198" t="s">
        <v>440</v>
      </c>
      <c r="J3127" s="198" t="s">
        <v>126</v>
      </c>
      <c r="K3127" s="202">
        <f t="shared" si="48"/>
        <v>1599360</v>
      </c>
      <c r="L3127" s="202">
        <v>313.60000000000002</v>
      </c>
      <c r="N3127" s="202">
        <v>260000</v>
      </c>
      <c r="S3127" s="204"/>
      <c r="W3127" s="198" t="s">
        <v>51</v>
      </c>
      <c r="AE3127" s="198" t="s">
        <v>835</v>
      </c>
    </row>
    <row r="3128" spans="3:31" x14ac:dyDescent="0.25">
      <c r="C3128" s="201"/>
      <c r="E3128" s="201"/>
      <c r="F3128" s="201"/>
      <c r="I3128" s="198" t="s">
        <v>440</v>
      </c>
      <c r="J3128" s="198" t="s">
        <v>126</v>
      </c>
      <c r="K3128" s="202">
        <f t="shared" si="48"/>
        <v>1599870</v>
      </c>
      <c r="L3128" s="202">
        <v>313.7</v>
      </c>
      <c r="N3128" s="202">
        <v>48000</v>
      </c>
      <c r="S3128" s="204"/>
      <c r="W3128" s="198" t="s">
        <v>51</v>
      </c>
      <c r="AE3128" s="198" t="s">
        <v>835</v>
      </c>
    </row>
    <row r="3129" spans="3:31" x14ac:dyDescent="0.25">
      <c r="C3129" s="201"/>
      <c r="E3129" s="201"/>
      <c r="F3129" s="201"/>
      <c r="I3129" s="198" t="s">
        <v>440</v>
      </c>
      <c r="J3129" s="198" t="s">
        <v>126</v>
      </c>
      <c r="K3129" s="202">
        <f t="shared" si="48"/>
        <v>1600380</v>
      </c>
      <c r="L3129" s="202">
        <v>313.8</v>
      </c>
      <c r="N3129" s="202">
        <v>160000</v>
      </c>
      <c r="S3129" s="204"/>
      <c r="W3129" s="198" t="s">
        <v>51</v>
      </c>
      <c r="AE3129" s="198" t="s">
        <v>835</v>
      </c>
    </row>
    <row r="3130" spans="3:31" x14ac:dyDescent="0.25">
      <c r="C3130" s="201"/>
      <c r="E3130" s="201"/>
      <c r="F3130" s="201"/>
      <c r="I3130" s="198" t="s">
        <v>440</v>
      </c>
      <c r="J3130" s="198" t="s">
        <v>126</v>
      </c>
      <c r="K3130" s="202">
        <f t="shared" si="48"/>
        <v>1600890</v>
      </c>
      <c r="L3130" s="202">
        <v>313.89999999999998</v>
      </c>
      <c r="N3130" s="202">
        <v>800000</v>
      </c>
      <c r="S3130" s="204"/>
      <c r="W3130" s="198" t="s">
        <v>51</v>
      </c>
      <c r="AE3130" s="198" t="s">
        <v>835</v>
      </c>
    </row>
    <row r="3131" spans="3:31" x14ac:dyDescent="0.25">
      <c r="C3131" s="201"/>
      <c r="E3131" s="201"/>
      <c r="F3131" s="201"/>
      <c r="I3131" s="198" t="s">
        <v>440</v>
      </c>
      <c r="J3131" s="198" t="s">
        <v>126</v>
      </c>
      <c r="K3131" s="202">
        <f t="shared" si="48"/>
        <v>1601400</v>
      </c>
      <c r="L3131" s="202">
        <v>314</v>
      </c>
      <c r="N3131" s="202">
        <v>64000</v>
      </c>
      <c r="S3131" s="204"/>
      <c r="W3131" s="198" t="s">
        <v>51</v>
      </c>
      <c r="AE3131" s="198" t="s">
        <v>835</v>
      </c>
    </row>
    <row r="3132" spans="3:31" x14ac:dyDescent="0.25">
      <c r="C3132" s="201"/>
      <c r="E3132" s="201"/>
      <c r="F3132" s="201"/>
      <c r="I3132" s="198" t="s">
        <v>440</v>
      </c>
      <c r="J3132" s="198" t="s">
        <v>126</v>
      </c>
      <c r="K3132" s="202">
        <f t="shared" si="48"/>
        <v>1601910</v>
      </c>
      <c r="L3132" s="202">
        <v>314.10000000000002</v>
      </c>
      <c r="N3132" s="202">
        <v>16000</v>
      </c>
      <c r="S3132" s="204"/>
      <c r="W3132" s="198" t="s">
        <v>51</v>
      </c>
      <c r="AE3132" s="198" t="s">
        <v>835</v>
      </c>
    </row>
    <row r="3133" spans="3:31" x14ac:dyDescent="0.25">
      <c r="C3133" s="201"/>
      <c r="E3133" s="201"/>
      <c r="F3133" s="201"/>
      <c r="I3133" s="198" t="s">
        <v>440</v>
      </c>
      <c r="J3133" s="198" t="s">
        <v>126</v>
      </c>
      <c r="K3133" s="202">
        <f t="shared" si="48"/>
        <v>1602420</v>
      </c>
      <c r="L3133" s="202">
        <v>314.2</v>
      </c>
      <c r="N3133" s="202">
        <v>-120000</v>
      </c>
      <c r="S3133" s="204"/>
      <c r="W3133" s="198" t="s">
        <v>51</v>
      </c>
      <c r="AE3133" s="198" t="s">
        <v>835</v>
      </c>
    </row>
    <row r="3134" spans="3:31" x14ac:dyDescent="0.25">
      <c r="C3134" s="201"/>
      <c r="E3134" s="201"/>
      <c r="F3134" s="201"/>
      <c r="I3134" s="198" t="s">
        <v>440</v>
      </c>
      <c r="J3134" s="198" t="s">
        <v>126</v>
      </c>
      <c r="K3134" s="202">
        <f t="shared" si="48"/>
        <v>1602930</v>
      </c>
      <c r="L3134" s="202">
        <v>314.3</v>
      </c>
      <c r="N3134" s="202">
        <v>-318400</v>
      </c>
      <c r="S3134" s="204"/>
      <c r="W3134" s="198" t="s">
        <v>51</v>
      </c>
      <c r="AE3134" s="198" t="s">
        <v>835</v>
      </c>
    </row>
    <row r="3135" spans="3:31" x14ac:dyDescent="0.25">
      <c r="C3135" s="201"/>
      <c r="E3135" s="201"/>
      <c r="F3135" s="201"/>
      <c r="I3135" s="198" t="s">
        <v>440</v>
      </c>
      <c r="J3135" s="198" t="s">
        <v>126</v>
      </c>
      <c r="K3135" s="202">
        <f t="shared" si="48"/>
        <v>1603440</v>
      </c>
      <c r="L3135" s="202">
        <v>314.39999999999998</v>
      </c>
      <c r="N3135" s="202">
        <v>-30000</v>
      </c>
      <c r="S3135" s="204"/>
      <c r="W3135" s="198" t="s">
        <v>51</v>
      </c>
      <c r="AE3135" s="198" t="s">
        <v>835</v>
      </c>
    </row>
    <row r="3136" spans="3:31" x14ac:dyDescent="0.25">
      <c r="C3136" s="201"/>
      <c r="E3136" s="201"/>
      <c r="F3136" s="201"/>
      <c r="I3136" s="198" t="s">
        <v>440</v>
      </c>
      <c r="J3136" s="198" t="s">
        <v>126</v>
      </c>
      <c r="K3136" s="202">
        <f t="shared" si="48"/>
        <v>1603950</v>
      </c>
      <c r="L3136" s="202">
        <v>314.5</v>
      </c>
      <c r="N3136" s="202">
        <v>-142000</v>
      </c>
      <c r="S3136" s="204"/>
      <c r="W3136" s="198" t="s">
        <v>51</v>
      </c>
      <c r="AE3136" s="198" t="s">
        <v>835</v>
      </c>
    </row>
    <row r="3137" spans="3:31" x14ac:dyDescent="0.25">
      <c r="C3137" s="201"/>
      <c r="E3137" s="201"/>
      <c r="F3137" s="201"/>
      <c r="I3137" s="198" t="s">
        <v>440</v>
      </c>
      <c r="J3137" s="198" t="s">
        <v>126</v>
      </c>
      <c r="K3137" s="202">
        <f t="shared" si="48"/>
        <v>1604460</v>
      </c>
      <c r="L3137" s="202">
        <v>314.60000000000002</v>
      </c>
      <c r="N3137" s="202">
        <v>-260000</v>
      </c>
      <c r="S3137" s="204"/>
      <c r="W3137" s="198" t="s">
        <v>51</v>
      </c>
      <c r="AE3137" s="198" t="s">
        <v>835</v>
      </c>
    </row>
    <row r="3138" spans="3:31" x14ac:dyDescent="0.25">
      <c r="C3138" s="201"/>
      <c r="E3138" s="201"/>
      <c r="F3138" s="201"/>
      <c r="I3138" s="198" t="s">
        <v>440</v>
      </c>
      <c r="J3138" s="198" t="s">
        <v>126</v>
      </c>
      <c r="K3138" s="202">
        <f t="shared" si="48"/>
        <v>1604970</v>
      </c>
      <c r="L3138" s="202">
        <v>314.7</v>
      </c>
      <c r="N3138" s="202">
        <v>-48000</v>
      </c>
      <c r="S3138" s="204"/>
      <c r="W3138" s="198" t="s">
        <v>51</v>
      </c>
      <c r="AE3138" s="198" t="s">
        <v>835</v>
      </c>
    </row>
    <row r="3139" spans="3:31" x14ac:dyDescent="0.25">
      <c r="C3139" s="201"/>
      <c r="E3139" s="201"/>
      <c r="F3139" s="201"/>
      <c r="I3139" s="198" t="s">
        <v>440</v>
      </c>
      <c r="J3139" s="198" t="s">
        <v>126</v>
      </c>
      <c r="K3139" s="202">
        <f t="shared" ref="K3139:K3202" si="49">L3139*5100</f>
        <v>1605480</v>
      </c>
      <c r="L3139" s="202">
        <v>314.8</v>
      </c>
      <c r="N3139" s="202">
        <v>-160000</v>
      </c>
      <c r="S3139" s="204"/>
      <c r="W3139" s="198" t="s">
        <v>51</v>
      </c>
      <c r="AE3139" s="198" t="s">
        <v>835</v>
      </c>
    </row>
    <row r="3140" spans="3:31" x14ac:dyDescent="0.25">
      <c r="C3140" s="201"/>
      <c r="E3140" s="201"/>
      <c r="F3140" s="201"/>
      <c r="I3140" s="198" t="s">
        <v>440</v>
      </c>
      <c r="J3140" s="198" t="s">
        <v>126</v>
      </c>
      <c r="K3140" s="202">
        <f t="shared" si="49"/>
        <v>1605990</v>
      </c>
      <c r="L3140" s="202">
        <v>314.89999999999998</v>
      </c>
      <c r="N3140" s="202">
        <v>-800000</v>
      </c>
      <c r="S3140" s="204"/>
      <c r="W3140" s="198" t="s">
        <v>51</v>
      </c>
      <c r="AE3140" s="198" t="s">
        <v>835</v>
      </c>
    </row>
    <row r="3141" spans="3:31" x14ac:dyDescent="0.25">
      <c r="C3141" s="201"/>
      <c r="E3141" s="201"/>
      <c r="F3141" s="201"/>
      <c r="I3141" s="198" t="s">
        <v>440</v>
      </c>
      <c r="J3141" s="198" t="s">
        <v>126</v>
      </c>
      <c r="K3141" s="202">
        <f t="shared" si="49"/>
        <v>1606500</v>
      </c>
      <c r="L3141" s="202">
        <v>315</v>
      </c>
      <c r="N3141" s="202">
        <v>-64000</v>
      </c>
      <c r="S3141" s="204"/>
      <c r="W3141" s="198" t="s">
        <v>51</v>
      </c>
      <c r="AE3141" s="198" t="s">
        <v>835</v>
      </c>
    </row>
    <row r="3142" spans="3:31" x14ac:dyDescent="0.25">
      <c r="C3142" s="201"/>
      <c r="E3142" s="201"/>
      <c r="F3142" s="201"/>
      <c r="I3142" s="198" t="s">
        <v>440</v>
      </c>
      <c r="J3142" s="198" t="s">
        <v>126</v>
      </c>
      <c r="K3142" s="202">
        <f t="shared" si="49"/>
        <v>1607010</v>
      </c>
      <c r="L3142" s="202">
        <v>315.10000000000002</v>
      </c>
      <c r="N3142" s="202">
        <v>-16000</v>
      </c>
      <c r="S3142" s="204"/>
      <c r="W3142" s="198" t="s">
        <v>51</v>
      </c>
      <c r="AE3142" s="198" t="s">
        <v>835</v>
      </c>
    </row>
    <row r="3143" spans="3:31" x14ac:dyDescent="0.25">
      <c r="C3143" s="201"/>
      <c r="E3143" s="201"/>
      <c r="F3143" s="201"/>
      <c r="I3143" s="198" t="s">
        <v>669</v>
      </c>
      <c r="J3143" s="198" t="s">
        <v>112</v>
      </c>
      <c r="K3143" s="202">
        <f t="shared" si="49"/>
        <v>1607520</v>
      </c>
      <c r="L3143" s="202">
        <v>315.2</v>
      </c>
      <c r="N3143" s="202">
        <v>675780.33</v>
      </c>
      <c r="S3143" s="203"/>
      <c r="W3143" s="198" t="s">
        <v>51</v>
      </c>
      <c r="AE3143" s="198" t="s">
        <v>831</v>
      </c>
    </row>
    <row r="3144" spans="3:31" x14ac:dyDescent="0.25">
      <c r="C3144" s="201"/>
      <c r="E3144" s="201"/>
      <c r="F3144" s="201"/>
      <c r="I3144" s="198" t="s">
        <v>669</v>
      </c>
      <c r="J3144" s="198" t="s">
        <v>112</v>
      </c>
      <c r="K3144" s="202">
        <f t="shared" si="49"/>
        <v>1608030</v>
      </c>
      <c r="L3144" s="202">
        <v>315.3</v>
      </c>
      <c r="N3144" s="202">
        <v>236804.99</v>
      </c>
      <c r="S3144" s="203"/>
      <c r="W3144" s="198" t="s">
        <v>51</v>
      </c>
      <c r="AE3144" s="198" t="s">
        <v>831</v>
      </c>
    </row>
    <row r="3145" spans="3:31" x14ac:dyDescent="0.25">
      <c r="C3145" s="201"/>
      <c r="E3145" s="201"/>
      <c r="F3145" s="201"/>
      <c r="I3145" s="198" t="s">
        <v>440</v>
      </c>
      <c r="J3145" s="198" t="s">
        <v>126</v>
      </c>
      <c r="K3145" s="202">
        <f t="shared" si="49"/>
        <v>1608540</v>
      </c>
      <c r="L3145" s="202">
        <v>315.39999999999998</v>
      </c>
      <c r="N3145" s="202">
        <v>28600</v>
      </c>
      <c r="S3145" s="204"/>
      <c r="W3145" s="198" t="s">
        <v>51</v>
      </c>
      <c r="AE3145" s="198" t="s">
        <v>835</v>
      </c>
    </row>
    <row r="3146" spans="3:31" x14ac:dyDescent="0.25">
      <c r="C3146" s="201"/>
      <c r="E3146" s="201"/>
      <c r="F3146" s="201"/>
      <c r="I3146" s="198" t="s">
        <v>440</v>
      </c>
      <c r="J3146" s="198" t="s">
        <v>126</v>
      </c>
      <c r="K3146" s="202">
        <f t="shared" si="49"/>
        <v>1609050</v>
      </c>
      <c r="L3146" s="202">
        <v>315.5</v>
      </c>
      <c r="N3146" s="202">
        <v>79600</v>
      </c>
      <c r="S3146" s="204"/>
      <c r="W3146" s="198" t="s">
        <v>51</v>
      </c>
      <c r="AE3146" s="198" t="s">
        <v>835</v>
      </c>
    </row>
    <row r="3147" spans="3:31" x14ac:dyDescent="0.25">
      <c r="C3147" s="201"/>
      <c r="E3147" s="201"/>
      <c r="F3147" s="201"/>
      <c r="I3147" s="198" t="s">
        <v>440</v>
      </c>
      <c r="J3147" s="198" t="s">
        <v>126</v>
      </c>
      <c r="K3147" s="202">
        <f t="shared" si="49"/>
        <v>1609560</v>
      </c>
      <c r="L3147" s="202">
        <v>315.60000000000002</v>
      </c>
      <c r="N3147" s="202">
        <v>28600</v>
      </c>
      <c r="S3147" s="204"/>
      <c r="W3147" s="198" t="s">
        <v>51</v>
      </c>
      <c r="AE3147" s="198" t="s">
        <v>835</v>
      </c>
    </row>
    <row r="3148" spans="3:31" x14ac:dyDescent="0.25">
      <c r="C3148" s="201"/>
      <c r="E3148" s="201"/>
      <c r="F3148" s="201"/>
      <c r="I3148" s="198" t="s">
        <v>440</v>
      </c>
      <c r="J3148" s="198" t="s">
        <v>126</v>
      </c>
      <c r="K3148" s="202">
        <f t="shared" si="49"/>
        <v>1610070</v>
      </c>
      <c r="L3148" s="202">
        <v>315.7</v>
      </c>
      <c r="N3148" s="202">
        <v>71000</v>
      </c>
      <c r="S3148" s="204"/>
      <c r="W3148" s="198" t="s">
        <v>51</v>
      </c>
      <c r="AE3148" s="198" t="s">
        <v>835</v>
      </c>
    </row>
    <row r="3149" spans="3:31" x14ac:dyDescent="0.25">
      <c r="C3149" s="201"/>
      <c r="E3149" s="201"/>
      <c r="F3149" s="201"/>
      <c r="I3149" s="198" t="s">
        <v>440</v>
      </c>
      <c r="J3149" s="198" t="s">
        <v>126</v>
      </c>
      <c r="K3149" s="202">
        <f t="shared" si="49"/>
        <v>1610580</v>
      </c>
      <c r="L3149" s="202">
        <v>315.8</v>
      </c>
      <c r="N3149" s="202">
        <v>36000</v>
      </c>
      <c r="S3149" s="204"/>
      <c r="W3149" s="198" t="s">
        <v>51</v>
      </c>
      <c r="AE3149" s="198" t="s">
        <v>835</v>
      </c>
    </row>
    <row r="3150" spans="3:31" x14ac:dyDescent="0.25">
      <c r="C3150" s="201"/>
      <c r="E3150" s="201"/>
      <c r="F3150" s="201"/>
      <c r="I3150" s="198" t="s">
        <v>440</v>
      </c>
      <c r="J3150" s="198" t="s">
        <v>126</v>
      </c>
      <c r="K3150" s="202">
        <f t="shared" si="49"/>
        <v>1611090</v>
      </c>
      <c r="L3150" s="202">
        <v>315.89999999999998</v>
      </c>
      <c r="N3150" s="202">
        <v>6600</v>
      </c>
      <c r="S3150" s="204"/>
      <c r="W3150" s="198" t="s">
        <v>51</v>
      </c>
      <c r="AE3150" s="198" t="s">
        <v>835</v>
      </c>
    </row>
    <row r="3151" spans="3:31" x14ac:dyDescent="0.25">
      <c r="C3151" s="201"/>
      <c r="E3151" s="201"/>
      <c r="F3151" s="201"/>
      <c r="I3151" s="198" t="s">
        <v>440</v>
      </c>
      <c r="J3151" s="198" t="s">
        <v>126</v>
      </c>
      <c r="K3151" s="202">
        <f t="shared" si="49"/>
        <v>1611600</v>
      </c>
      <c r="L3151" s="202">
        <v>316</v>
      </c>
      <c r="N3151" s="202">
        <v>105000</v>
      </c>
      <c r="S3151" s="204"/>
      <c r="W3151" s="198" t="s">
        <v>51</v>
      </c>
      <c r="AE3151" s="198" t="s">
        <v>835</v>
      </c>
    </row>
    <row r="3152" spans="3:31" x14ac:dyDescent="0.25">
      <c r="C3152" s="201"/>
      <c r="E3152" s="201"/>
      <c r="F3152" s="201"/>
      <c r="I3152" s="198" t="s">
        <v>440</v>
      </c>
      <c r="J3152" s="198" t="s">
        <v>126</v>
      </c>
      <c r="K3152" s="202">
        <f t="shared" si="49"/>
        <v>1612110</v>
      </c>
      <c r="L3152" s="202">
        <v>316.10000000000002</v>
      </c>
      <c r="N3152" s="202">
        <v>39200</v>
      </c>
      <c r="S3152" s="204"/>
      <c r="W3152" s="198" t="s">
        <v>51</v>
      </c>
      <c r="AE3152" s="198" t="s">
        <v>835</v>
      </c>
    </row>
    <row r="3153" spans="3:31" x14ac:dyDescent="0.25">
      <c r="C3153" s="201"/>
      <c r="E3153" s="201"/>
      <c r="F3153" s="201"/>
      <c r="I3153" s="198" t="s">
        <v>440</v>
      </c>
      <c r="J3153" s="198" t="s">
        <v>126</v>
      </c>
      <c r="K3153" s="202">
        <f t="shared" si="49"/>
        <v>1612620</v>
      </c>
      <c r="L3153" s="202">
        <v>316.2</v>
      </c>
      <c r="N3153" s="202">
        <v>16000</v>
      </c>
      <c r="S3153" s="204"/>
      <c r="W3153" s="198" t="s">
        <v>51</v>
      </c>
      <c r="AE3153" s="198" t="s">
        <v>835</v>
      </c>
    </row>
    <row r="3154" spans="3:31" x14ac:dyDescent="0.25">
      <c r="C3154" s="201"/>
      <c r="E3154" s="201"/>
      <c r="F3154" s="201"/>
      <c r="I3154" s="198" t="s">
        <v>440</v>
      </c>
      <c r="J3154" s="198" t="s">
        <v>126</v>
      </c>
      <c r="K3154" s="202">
        <f t="shared" si="49"/>
        <v>1613130</v>
      </c>
      <c r="L3154" s="202">
        <v>316.3</v>
      </c>
      <c r="N3154" s="202">
        <v>21000</v>
      </c>
      <c r="S3154" s="204"/>
      <c r="W3154" s="198" t="s">
        <v>51</v>
      </c>
      <c r="AE3154" s="198" t="s">
        <v>835</v>
      </c>
    </row>
    <row r="3155" spans="3:31" x14ac:dyDescent="0.25">
      <c r="C3155" s="201"/>
      <c r="E3155" s="201"/>
      <c r="F3155" s="201"/>
      <c r="I3155" s="198" t="s">
        <v>440</v>
      </c>
      <c r="J3155" s="198" t="s">
        <v>126</v>
      </c>
      <c r="K3155" s="202">
        <f t="shared" si="49"/>
        <v>1613640</v>
      </c>
      <c r="L3155" s="202">
        <v>316.39999999999998</v>
      </c>
      <c r="N3155" s="202">
        <v>-28600</v>
      </c>
      <c r="S3155" s="204"/>
      <c r="W3155" s="198" t="s">
        <v>51</v>
      </c>
      <c r="AE3155" s="198" t="s">
        <v>835</v>
      </c>
    </row>
    <row r="3156" spans="3:31" x14ac:dyDescent="0.25">
      <c r="C3156" s="201"/>
      <c r="E3156" s="201"/>
      <c r="F3156" s="201"/>
      <c r="I3156" s="198" t="s">
        <v>440</v>
      </c>
      <c r="J3156" s="198" t="s">
        <v>126</v>
      </c>
      <c r="K3156" s="202">
        <f t="shared" si="49"/>
        <v>1614150</v>
      </c>
      <c r="L3156" s="202">
        <v>316.5</v>
      </c>
      <c r="N3156" s="202">
        <v>-79600</v>
      </c>
      <c r="S3156" s="204"/>
      <c r="W3156" s="198" t="s">
        <v>51</v>
      </c>
      <c r="AE3156" s="198" t="s">
        <v>835</v>
      </c>
    </row>
    <row r="3157" spans="3:31" x14ac:dyDescent="0.25">
      <c r="C3157" s="201"/>
      <c r="E3157" s="201"/>
      <c r="F3157" s="201"/>
      <c r="I3157" s="198" t="s">
        <v>440</v>
      </c>
      <c r="J3157" s="198" t="s">
        <v>126</v>
      </c>
      <c r="K3157" s="202">
        <f t="shared" si="49"/>
        <v>1614660</v>
      </c>
      <c r="L3157" s="202">
        <v>316.60000000000002</v>
      </c>
      <c r="N3157" s="202">
        <v>-28600</v>
      </c>
      <c r="S3157" s="204"/>
      <c r="W3157" s="198" t="s">
        <v>51</v>
      </c>
      <c r="AE3157" s="198" t="s">
        <v>835</v>
      </c>
    </row>
    <row r="3158" spans="3:31" x14ac:dyDescent="0.25">
      <c r="C3158" s="201"/>
      <c r="E3158" s="201"/>
      <c r="F3158" s="201"/>
      <c r="I3158" s="198" t="s">
        <v>440</v>
      </c>
      <c r="J3158" s="198" t="s">
        <v>126</v>
      </c>
      <c r="K3158" s="202">
        <f t="shared" si="49"/>
        <v>1615170</v>
      </c>
      <c r="L3158" s="202">
        <v>316.7</v>
      </c>
      <c r="N3158" s="202">
        <v>-71000</v>
      </c>
      <c r="S3158" s="204"/>
      <c r="W3158" s="198" t="s">
        <v>51</v>
      </c>
      <c r="AE3158" s="198" t="s">
        <v>835</v>
      </c>
    </row>
    <row r="3159" spans="3:31" x14ac:dyDescent="0.25">
      <c r="C3159" s="201"/>
      <c r="E3159" s="201"/>
      <c r="F3159" s="201"/>
      <c r="I3159" s="198" t="s">
        <v>440</v>
      </c>
      <c r="J3159" s="198" t="s">
        <v>126</v>
      </c>
      <c r="K3159" s="202">
        <f t="shared" si="49"/>
        <v>1615680</v>
      </c>
      <c r="L3159" s="202">
        <v>316.8</v>
      </c>
      <c r="N3159" s="202">
        <v>-36000</v>
      </c>
      <c r="S3159" s="204"/>
      <c r="W3159" s="198" t="s">
        <v>51</v>
      </c>
      <c r="AE3159" s="198" t="s">
        <v>835</v>
      </c>
    </row>
    <row r="3160" spans="3:31" x14ac:dyDescent="0.25">
      <c r="C3160" s="201"/>
      <c r="E3160" s="201"/>
      <c r="F3160" s="201"/>
      <c r="I3160" s="198" t="s">
        <v>440</v>
      </c>
      <c r="J3160" s="198" t="s">
        <v>126</v>
      </c>
      <c r="K3160" s="202">
        <f t="shared" si="49"/>
        <v>1616190</v>
      </c>
      <c r="L3160" s="202">
        <v>316.89999999999998</v>
      </c>
      <c r="N3160" s="202">
        <v>-6600</v>
      </c>
      <c r="S3160" s="204"/>
      <c r="W3160" s="198" t="s">
        <v>51</v>
      </c>
      <c r="AE3160" s="198" t="s">
        <v>835</v>
      </c>
    </row>
    <row r="3161" spans="3:31" x14ac:dyDescent="0.25">
      <c r="C3161" s="201"/>
      <c r="E3161" s="201"/>
      <c r="F3161" s="201"/>
      <c r="I3161" s="198" t="s">
        <v>440</v>
      </c>
      <c r="J3161" s="198" t="s">
        <v>126</v>
      </c>
      <c r="K3161" s="202">
        <f t="shared" si="49"/>
        <v>1616700</v>
      </c>
      <c r="L3161" s="202">
        <v>317</v>
      </c>
      <c r="N3161" s="202">
        <v>-105000</v>
      </c>
      <c r="S3161" s="204"/>
      <c r="W3161" s="198" t="s">
        <v>51</v>
      </c>
      <c r="AE3161" s="198" t="s">
        <v>835</v>
      </c>
    </row>
    <row r="3162" spans="3:31" x14ac:dyDescent="0.25">
      <c r="C3162" s="201"/>
      <c r="E3162" s="201"/>
      <c r="F3162" s="201"/>
      <c r="I3162" s="198" t="s">
        <v>440</v>
      </c>
      <c r="J3162" s="198" t="s">
        <v>126</v>
      </c>
      <c r="K3162" s="202">
        <f t="shared" si="49"/>
        <v>1617210</v>
      </c>
      <c r="L3162" s="202">
        <v>317.10000000000002</v>
      </c>
      <c r="N3162" s="202">
        <v>-39200</v>
      </c>
      <c r="S3162" s="204"/>
      <c r="W3162" s="198" t="s">
        <v>51</v>
      </c>
      <c r="AE3162" s="198" t="s">
        <v>835</v>
      </c>
    </row>
    <row r="3163" spans="3:31" x14ac:dyDescent="0.25">
      <c r="C3163" s="201"/>
      <c r="E3163" s="201"/>
      <c r="F3163" s="201"/>
      <c r="I3163" s="198" t="s">
        <v>440</v>
      </c>
      <c r="J3163" s="198" t="s">
        <v>126</v>
      </c>
      <c r="K3163" s="202">
        <f t="shared" si="49"/>
        <v>1617720</v>
      </c>
      <c r="L3163" s="202">
        <v>317.2</v>
      </c>
      <c r="N3163" s="202">
        <v>-16000</v>
      </c>
      <c r="S3163" s="204"/>
      <c r="W3163" s="198" t="s">
        <v>51</v>
      </c>
      <c r="AE3163" s="198" t="s">
        <v>835</v>
      </c>
    </row>
    <row r="3164" spans="3:31" x14ac:dyDescent="0.25">
      <c r="C3164" s="201"/>
      <c r="E3164" s="201"/>
      <c r="F3164" s="201"/>
      <c r="I3164" s="198" t="s">
        <v>440</v>
      </c>
      <c r="J3164" s="198" t="s">
        <v>126</v>
      </c>
      <c r="K3164" s="202">
        <f t="shared" si="49"/>
        <v>1618230</v>
      </c>
      <c r="L3164" s="202">
        <v>317.3</v>
      </c>
      <c r="N3164" s="202">
        <v>-21000</v>
      </c>
      <c r="S3164" s="204"/>
      <c r="W3164" s="198" t="s">
        <v>51</v>
      </c>
      <c r="AE3164" s="198" t="s">
        <v>835</v>
      </c>
    </row>
    <row r="3165" spans="3:31" x14ac:dyDescent="0.25">
      <c r="C3165" s="201"/>
      <c r="E3165" s="201"/>
      <c r="F3165" s="201"/>
      <c r="I3165" s="198" t="s">
        <v>440</v>
      </c>
      <c r="J3165" s="198" t="s">
        <v>126</v>
      </c>
      <c r="K3165" s="202">
        <f t="shared" si="49"/>
        <v>1618740</v>
      </c>
      <c r="L3165" s="202">
        <v>317.39999999999998</v>
      </c>
      <c r="N3165" s="202">
        <v>143400</v>
      </c>
      <c r="S3165" s="204"/>
      <c r="W3165" s="198" t="s">
        <v>51</v>
      </c>
      <c r="AE3165" s="198" t="s">
        <v>835</v>
      </c>
    </row>
    <row r="3166" spans="3:31" x14ac:dyDescent="0.25">
      <c r="C3166" s="201"/>
      <c r="E3166" s="201"/>
      <c r="F3166" s="201"/>
      <c r="I3166" s="198" t="s">
        <v>440</v>
      </c>
      <c r="J3166" s="198" t="s">
        <v>126</v>
      </c>
      <c r="K3166" s="202">
        <f t="shared" si="49"/>
        <v>1619250</v>
      </c>
      <c r="L3166" s="202">
        <v>317.5</v>
      </c>
      <c r="N3166" s="202">
        <v>67600</v>
      </c>
      <c r="S3166" s="204"/>
      <c r="W3166" s="198" t="s">
        <v>51</v>
      </c>
      <c r="AE3166" s="198" t="s">
        <v>835</v>
      </c>
    </row>
    <row r="3167" spans="3:31" x14ac:dyDescent="0.25">
      <c r="C3167" s="201"/>
      <c r="E3167" s="201"/>
      <c r="F3167" s="201"/>
      <c r="I3167" s="198" t="s">
        <v>440</v>
      </c>
      <c r="J3167" s="198" t="s">
        <v>126</v>
      </c>
      <c r="K3167" s="202">
        <f t="shared" si="49"/>
        <v>1619760</v>
      </c>
      <c r="L3167" s="202">
        <v>317.60000000000002</v>
      </c>
      <c r="N3167" s="202">
        <v>31800</v>
      </c>
      <c r="S3167" s="204"/>
      <c r="W3167" s="198" t="s">
        <v>51</v>
      </c>
      <c r="AE3167" s="198" t="s">
        <v>835</v>
      </c>
    </row>
    <row r="3168" spans="3:31" x14ac:dyDescent="0.25">
      <c r="C3168" s="201"/>
      <c r="E3168" s="201"/>
      <c r="F3168" s="201"/>
      <c r="I3168" s="198" t="s">
        <v>440</v>
      </c>
      <c r="J3168" s="198" t="s">
        <v>126</v>
      </c>
      <c r="K3168" s="202">
        <f t="shared" si="49"/>
        <v>1620270</v>
      </c>
      <c r="L3168" s="202">
        <v>317.7</v>
      </c>
      <c r="N3168" s="202">
        <v>12000</v>
      </c>
      <c r="S3168" s="204"/>
      <c r="W3168" s="198" t="s">
        <v>51</v>
      </c>
      <c r="AE3168" s="198" t="s">
        <v>835</v>
      </c>
    </row>
    <row r="3169" spans="3:31" x14ac:dyDescent="0.25">
      <c r="C3169" s="201"/>
      <c r="E3169" s="201"/>
      <c r="F3169" s="201"/>
      <c r="I3169" s="198" t="s">
        <v>440</v>
      </c>
      <c r="J3169" s="198" t="s">
        <v>126</v>
      </c>
      <c r="K3169" s="202">
        <f t="shared" si="49"/>
        <v>1620780</v>
      </c>
      <c r="L3169" s="202">
        <v>317.8</v>
      </c>
      <c r="N3169" s="202">
        <v>-143400</v>
      </c>
      <c r="S3169" s="204"/>
      <c r="W3169" s="198" t="s">
        <v>51</v>
      </c>
      <c r="AE3169" s="198" t="s">
        <v>835</v>
      </c>
    </row>
    <row r="3170" spans="3:31" x14ac:dyDescent="0.25">
      <c r="C3170" s="201"/>
      <c r="E3170" s="201"/>
      <c r="F3170" s="201"/>
      <c r="I3170" s="198" t="s">
        <v>440</v>
      </c>
      <c r="J3170" s="198" t="s">
        <v>126</v>
      </c>
      <c r="K3170" s="202">
        <f t="shared" si="49"/>
        <v>1621290</v>
      </c>
      <c r="L3170" s="202">
        <v>317.89999999999998</v>
      </c>
      <c r="N3170" s="202">
        <v>-67600</v>
      </c>
      <c r="S3170" s="204"/>
      <c r="W3170" s="198" t="s">
        <v>51</v>
      </c>
      <c r="AE3170" s="198" t="s">
        <v>835</v>
      </c>
    </row>
    <row r="3171" spans="3:31" x14ac:dyDescent="0.25">
      <c r="C3171" s="201"/>
      <c r="E3171" s="201"/>
      <c r="F3171" s="201"/>
      <c r="I3171" s="198" t="s">
        <v>440</v>
      </c>
      <c r="J3171" s="198" t="s">
        <v>126</v>
      </c>
      <c r="K3171" s="202">
        <f t="shared" si="49"/>
        <v>1621800</v>
      </c>
      <c r="L3171" s="202">
        <v>318</v>
      </c>
      <c r="N3171" s="202">
        <v>-31800</v>
      </c>
      <c r="S3171" s="204"/>
      <c r="W3171" s="198" t="s">
        <v>51</v>
      </c>
      <c r="AE3171" s="198" t="s">
        <v>835</v>
      </c>
    </row>
    <row r="3172" spans="3:31" x14ac:dyDescent="0.25">
      <c r="C3172" s="201"/>
      <c r="E3172" s="201"/>
      <c r="F3172" s="201"/>
      <c r="I3172" s="198" t="s">
        <v>440</v>
      </c>
      <c r="J3172" s="198" t="s">
        <v>126</v>
      </c>
      <c r="K3172" s="202">
        <f t="shared" si="49"/>
        <v>1622310</v>
      </c>
      <c r="L3172" s="202">
        <v>318.10000000000002</v>
      </c>
      <c r="N3172" s="202">
        <v>-12000</v>
      </c>
      <c r="S3172" s="204"/>
      <c r="W3172" s="198" t="s">
        <v>51</v>
      </c>
      <c r="AE3172" s="198" t="s">
        <v>835</v>
      </c>
    </row>
    <row r="3173" spans="3:31" x14ac:dyDescent="0.25">
      <c r="C3173" s="201"/>
      <c r="E3173" s="201"/>
      <c r="F3173" s="201"/>
      <c r="I3173" s="198" t="s">
        <v>669</v>
      </c>
      <c r="J3173" s="198" t="s">
        <v>112</v>
      </c>
      <c r="K3173" s="202">
        <f t="shared" si="49"/>
        <v>1622820</v>
      </c>
      <c r="L3173" s="202">
        <v>318.2</v>
      </c>
      <c r="N3173" s="202">
        <v>521645.95</v>
      </c>
      <c r="S3173" s="203"/>
      <c r="W3173" s="198" t="s">
        <v>51</v>
      </c>
      <c r="AE3173" s="198" t="s">
        <v>831</v>
      </c>
    </row>
    <row r="3174" spans="3:31" x14ac:dyDescent="0.25">
      <c r="C3174" s="201"/>
      <c r="E3174" s="201"/>
      <c r="F3174" s="201"/>
      <c r="I3174" s="198" t="s">
        <v>669</v>
      </c>
      <c r="J3174" s="198" t="s">
        <v>112</v>
      </c>
      <c r="K3174" s="202">
        <f t="shared" si="49"/>
        <v>1623330</v>
      </c>
      <c r="L3174" s="202">
        <v>318.3</v>
      </c>
      <c r="N3174" s="202">
        <v>188247.8</v>
      </c>
      <c r="S3174" s="203"/>
      <c r="W3174" s="198" t="s">
        <v>51</v>
      </c>
      <c r="AE3174" s="198" t="s">
        <v>831</v>
      </c>
    </row>
    <row r="3175" spans="3:31" x14ac:dyDescent="0.25">
      <c r="C3175" s="201"/>
      <c r="E3175" s="201"/>
      <c r="F3175" s="201"/>
      <c r="I3175" s="198" t="s">
        <v>669</v>
      </c>
      <c r="J3175" s="198" t="s">
        <v>112</v>
      </c>
      <c r="K3175" s="202">
        <f t="shared" si="49"/>
        <v>1623840</v>
      </c>
      <c r="L3175" s="202">
        <v>318.39999999999998</v>
      </c>
      <c r="N3175" s="202">
        <v>683198.56</v>
      </c>
      <c r="S3175" s="203"/>
      <c r="W3175" s="198" t="s">
        <v>51</v>
      </c>
      <c r="AE3175" s="198" t="s">
        <v>831</v>
      </c>
    </row>
    <row r="3176" spans="3:31" x14ac:dyDescent="0.25">
      <c r="C3176" s="201"/>
      <c r="E3176" s="201"/>
      <c r="F3176" s="201"/>
      <c r="I3176" s="198" t="s">
        <v>669</v>
      </c>
      <c r="J3176" s="198" t="s">
        <v>112</v>
      </c>
      <c r="K3176" s="202">
        <f t="shared" si="49"/>
        <v>1624350</v>
      </c>
      <c r="L3176" s="202">
        <v>318.5</v>
      </c>
      <c r="N3176" s="202">
        <v>261438.39</v>
      </c>
      <c r="S3176" s="203"/>
      <c r="W3176" s="198" t="s">
        <v>51</v>
      </c>
      <c r="AE3176" s="198" t="s">
        <v>831</v>
      </c>
    </row>
    <row r="3177" spans="3:31" x14ac:dyDescent="0.25">
      <c r="C3177" s="201"/>
      <c r="E3177" s="201"/>
      <c r="F3177" s="201"/>
      <c r="I3177" s="198" t="s">
        <v>430</v>
      </c>
      <c r="J3177" s="198" t="s">
        <v>130</v>
      </c>
      <c r="K3177" s="202">
        <f t="shared" si="49"/>
        <v>1624860</v>
      </c>
      <c r="L3177" s="202">
        <v>318.60000000000002</v>
      </c>
      <c r="N3177" s="202">
        <v>120000</v>
      </c>
      <c r="S3177" s="204"/>
      <c r="W3177" s="198" t="s">
        <v>51</v>
      </c>
      <c r="AE3177" s="198" t="s">
        <v>833</v>
      </c>
    </row>
    <row r="3178" spans="3:31" x14ac:dyDescent="0.25">
      <c r="C3178" s="201"/>
      <c r="E3178" s="201"/>
      <c r="F3178" s="201"/>
      <c r="I3178" s="198" t="s">
        <v>430</v>
      </c>
      <c r="J3178" s="198" t="s">
        <v>130</v>
      </c>
      <c r="K3178" s="202">
        <f t="shared" si="49"/>
        <v>1625370</v>
      </c>
      <c r="L3178" s="202">
        <v>318.7</v>
      </c>
      <c r="N3178" s="202">
        <v>318400</v>
      </c>
      <c r="S3178" s="204"/>
      <c r="W3178" s="198" t="s">
        <v>51</v>
      </c>
      <c r="AE3178" s="198" t="s">
        <v>833</v>
      </c>
    </row>
    <row r="3179" spans="3:31" x14ac:dyDescent="0.25">
      <c r="C3179" s="201"/>
      <c r="E3179" s="201"/>
      <c r="F3179" s="201"/>
      <c r="I3179" s="198" t="s">
        <v>430</v>
      </c>
      <c r="J3179" s="198" t="s">
        <v>130</v>
      </c>
      <c r="K3179" s="202">
        <f t="shared" si="49"/>
        <v>1625880</v>
      </c>
      <c r="L3179" s="202">
        <v>318.8</v>
      </c>
      <c r="N3179" s="202">
        <v>30000</v>
      </c>
      <c r="S3179" s="204"/>
      <c r="W3179" s="198" t="s">
        <v>51</v>
      </c>
      <c r="AE3179" s="198" t="s">
        <v>833</v>
      </c>
    </row>
    <row r="3180" spans="3:31" x14ac:dyDescent="0.25">
      <c r="C3180" s="201"/>
      <c r="E3180" s="201"/>
      <c r="F3180" s="201"/>
      <c r="I3180" s="198" t="s">
        <v>430</v>
      </c>
      <c r="J3180" s="198" t="s">
        <v>130</v>
      </c>
      <c r="K3180" s="202">
        <f t="shared" si="49"/>
        <v>1626390</v>
      </c>
      <c r="L3180" s="202">
        <v>318.89999999999998</v>
      </c>
      <c r="N3180" s="202">
        <v>142000</v>
      </c>
      <c r="S3180" s="204"/>
      <c r="W3180" s="198" t="s">
        <v>51</v>
      </c>
      <c r="AE3180" s="198" t="s">
        <v>833</v>
      </c>
    </row>
    <row r="3181" spans="3:31" x14ac:dyDescent="0.25">
      <c r="C3181" s="201"/>
      <c r="E3181" s="201"/>
      <c r="F3181" s="201"/>
      <c r="I3181" s="198" t="s">
        <v>430</v>
      </c>
      <c r="J3181" s="198" t="s">
        <v>130</v>
      </c>
      <c r="K3181" s="202">
        <f t="shared" si="49"/>
        <v>1626900</v>
      </c>
      <c r="L3181" s="202">
        <v>319</v>
      </c>
      <c r="N3181" s="202">
        <v>260000</v>
      </c>
      <c r="S3181" s="204"/>
      <c r="W3181" s="198" t="s">
        <v>51</v>
      </c>
      <c r="AE3181" s="198" t="s">
        <v>833</v>
      </c>
    </row>
    <row r="3182" spans="3:31" x14ac:dyDescent="0.25">
      <c r="C3182" s="201"/>
      <c r="E3182" s="201"/>
      <c r="F3182" s="201"/>
      <c r="I3182" s="198" t="s">
        <v>430</v>
      </c>
      <c r="J3182" s="198" t="s">
        <v>130</v>
      </c>
      <c r="K3182" s="202">
        <f t="shared" si="49"/>
        <v>1627410</v>
      </c>
      <c r="L3182" s="202">
        <v>319.10000000000002</v>
      </c>
      <c r="N3182" s="202">
        <v>48000</v>
      </c>
      <c r="S3182" s="204"/>
      <c r="W3182" s="198" t="s">
        <v>51</v>
      </c>
      <c r="AE3182" s="198" t="s">
        <v>833</v>
      </c>
    </row>
    <row r="3183" spans="3:31" x14ac:dyDescent="0.25">
      <c r="C3183" s="201"/>
      <c r="E3183" s="201"/>
      <c r="F3183" s="201"/>
      <c r="I3183" s="198" t="s">
        <v>430</v>
      </c>
      <c r="J3183" s="198" t="s">
        <v>130</v>
      </c>
      <c r="K3183" s="202">
        <f t="shared" si="49"/>
        <v>1627920</v>
      </c>
      <c r="L3183" s="202">
        <v>319.2</v>
      </c>
      <c r="N3183" s="202">
        <v>160000</v>
      </c>
      <c r="S3183" s="204"/>
      <c r="W3183" s="198" t="s">
        <v>51</v>
      </c>
      <c r="AE3183" s="198" t="s">
        <v>833</v>
      </c>
    </row>
    <row r="3184" spans="3:31" x14ac:dyDescent="0.25">
      <c r="C3184" s="201"/>
      <c r="E3184" s="201"/>
      <c r="F3184" s="201"/>
      <c r="I3184" s="198" t="s">
        <v>430</v>
      </c>
      <c r="J3184" s="198" t="s">
        <v>130</v>
      </c>
      <c r="K3184" s="202">
        <f t="shared" si="49"/>
        <v>1628430</v>
      </c>
      <c r="L3184" s="202">
        <v>319.3</v>
      </c>
      <c r="N3184" s="202">
        <v>800000</v>
      </c>
      <c r="S3184" s="204"/>
      <c r="W3184" s="198" t="s">
        <v>51</v>
      </c>
      <c r="AE3184" s="198" t="s">
        <v>833</v>
      </c>
    </row>
    <row r="3185" spans="3:31" x14ac:dyDescent="0.25">
      <c r="C3185" s="201"/>
      <c r="E3185" s="201"/>
      <c r="F3185" s="201"/>
      <c r="I3185" s="198" t="s">
        <v>430</v>
      </c>
      <c r="J3185" s="198" t="s">
        <v>130</v>
      </c>
      <c r="K3185" s="202">
        <f t="shared" si="49"/>
        <v>1628940</v>
      </c>
      <c r="L3185" s="202">
        <v>319.39999999999998</v>
      </c>
      <c r="N3185" s="202">
        <v>64000</v>
      </c>
      <c r="S3185" s="204"/>
      <c r="W3185" s="198" t="s">
        <v>51</v>
      </c>
      <c r="AE3185" s="198" t="s">
        <v>833</v>
      </c>
    </row>
    <row r="3186" spans="3:31" x14ac:dyDescent="0.25">
      <c r="C3186" s="201"/>
      <c r="E3186" s="201"/>
      <c r="F3186" s="201"/>
      <c r="I3186" s="198" t="s">
        <v>430</v>
      </c>
      <c r="J3186" s="198" t="s">
        <v>130</v>
      </c>
      <c r="K3186" s="202">
        <f t="shared" si="49"/>
        <v>1629450</v>
      </c>
      <c r="L3186" s="202">
        <v>319.5</v>
      </c>
      <c r="N3186" s="202">
        <v>16000</v>
      </c>
      <c r="S3186" s="204"/>
      <c r="W3186" s="198" t="s">
        <v>51</v>
      </c>
      <c r="AE3186" s="198" t="s">
        <v>833</v>
      </c>
    </row>
    <row r="3187" spans="3:31" x14ac:dyDescent="0.25">
      <c r="C3187" s="201"/>
      <c r="E3187" s="201"/>
      <c r="F3187" s="201"/>
      <c r="I3187" s="198" t="s">
        <v>430</v>
      </c>
      <c r="J3187" s="198" t="s">
        <v>130</v>
      </c>
      <c r="K3187" s="202">
        <f t="shared" si="49"/>
        <v>1629960</v>
      </c>
      <c r="L3187" s="202">
        <v>319.60000000000002</v>
      </c>
      <c r="N3187" s="202">
        <v>-120000</v>
      </c>
      <c r="S3187" s="204"/>
      <c r="W3187" s="198" t="s">
        <v>51</v>
      </c>
      <c r="AE3187" s="198" t="s">
        <v>833</v>
      </c>
    </row>
    <row r="3188" spans="3:31" x14ac:dyDescent="0.25">
      <c r="C3188" s="201"/>
      <c r="E3188" s="201"/>
      <c r="F3188" s="201"/>
      <c r="I3188" s="198" t="s">
        <v>430</v>
      </c>
      <c r="J3188" s="198" t="s">
        <v>130</v>
      </c>
      <c r="K3188" s="202">
        <f t="shared" si="49"/>
        <v>1630470</v>
      </c>
      <c r="L3188" s="202">
        <v>319.7</v>
      </c>
      <c r="N3188" s="202">
        <v>-318400</v>
      </c>
      <c r="S3188" s="204"/>
      <c r="W3188" s="198" t="s">
        <v>51</v>
      </c>
      <c r="AE3188" s="198" t="s">
        <v>833</v>
      </c>
    </row>
    <row r="3189" spans="3:31" x14ac:dyDescent="0.25">
      <c r="C3189" s="201"/>
      <c r="E3189" s="201"/>
      <c r="F3189" s="201"/>
      <c r="I3189" s="198" t="s">
        <v>430</v>
      </c>
      <c r="J3189" s="198" t="s">
        <v>130</v>
      </c>
      <c r="K3189" s="202">
        <f t="shared" si="49"/>
        <v>1630980</v>
      </c>
      <c r="L3189" s="202">
        <v>319.8</v>
      </c>
      <c r="N3189" s="202">
        <v>-30000</v>
      </c>
      <c r="S3189" s="204"/>
      <c r="W3189" s="198" t="s">
        <v>51</v>
      </c>
      <c r="AE3189" s="198" t="s">
        <v>833</v>
      </c>
    </row>
    <row r="3190" spans="3:31" x14ac:dyDescent="0.25">
      <c r="C3190" s="201"/>
      <c r="E3190" s="201"/>
      <c r="F3190" s="201"/>
      <c r="I3190" s="198" t="s">
        <v>430</v>
      </c>
      <c r="J3190" s="198" t="s">
        <v>130</v>
      </c>
      <c r="K3190" s="202">
        <f t="shared" si="49"/>
        <v>1631490</v>
      </c>
      <c r="L3190" s="202">
        <v>319.89999999999998</v>
      </c>
      <c r="N3190" s="202">
        <v>-142000</v>
      </c>
      <c r="S3190" s="204"/>
      <c r="W3190" s="198" t="s">
        <v>51</v>
      </c>
      <c r="AE3190" s="198" t="s">
        <v>833</v>
      </c>
    </row>
    <row r="3191" spans="3:31" x14ac:dyDescent="0.25">
      <c r="C3191" s="201"/>
      <c r="E3191" s="201"/>
      <c r="F3191" s="201"/>
      <c r="I3191" s="198" t="s">
        <v>430</v>
      </c>
      <c r="J3191" s="198" t="s">
        <v>130</v>
      </c>
      <c r="K3191" s="202">
        <f t="shared" si="49"/>
        <v>1632000</v>
      </c>
      <c r="L3191" s="202">
        <v>320</v>
      </c>
      <c r="N3191" s="202">
        <v>-260000</v>
      </c>
      <c r="S3191" s="204"/>
      <c r="W3191" s="198" t="s">
        <v>51</v>
      </c>
      <c r="AE3191" s="198" t="s">
        <v>833</v>
      </c>
    </row>
    <row r="3192" spans="3:31" x14ac:dyDescent="0.25">
      <c r="C3192" s="201"/>
      <c r="E3192" s="201"/>
      <c r="F3192" s="201"/>
      <c r="I3192" s="198" t="s">
        <v>430</v>
      </c>
      <c r="J3192" s="198" t="s">
        <v>130</v>
      </c>
      <c r="K3192" s="202">
        <f t="shared" si="49"/>
        <v>1632510</v>
      </c>
      <c r="L3192" s="202">
        <v>320.10000000000002</v>
      </c>
      <c r="N3192" s="202">
        <v>-48000</v>
      </c>
      <c r="S3192" s="204"/>
      <c r="W3192" s="198" t="s">
        <v>51</v>
      </c>
      <c r="AE3192" s="198" t="s">
        <v>833</v>
      </c>
    </row>
    <row r="3193" spans="3:31" x14ac:dyDescent="0.25">
      <c r="C3193" s="201"/>
      <c r="E3193" s="201"/>
      <c r="F3193" s="201"/>
      <c r="I3193" s="198" t="s">
        <v>430</v>
      </c>
      <c r="J3193" s="198" t="s">
        <v>130</v>
      </c>
      <c r="K3193" s="202">
        <f t="shared" si="49"/>
        <v>1633020</v>
      </c>
      <c r="L3193" s="202">
        <v>320.2</v>
      </c>
      <c r="N3193" s="202">
        <v>-160000</v>
      </c>
      <c r="S3193" s="204"/>
      <c r="W3193" s="198" t="s">
        <v>51</v>
      </c>
      <c r="AE3193" s="198" t="s">
        <v>833</v>
      </c>
    </row>
    <row r="3194" spans="3:31" x14ac:dyDescent="0.25">
      <c r="C3194" s="201"/>
      <c r="E3194" s="201"/>
      <c r="F3194" s="201"/>
      <c r="I3194" s="198" t="s">
        <v>430</v>
      </c>
      <c r="J3194" s="198" t="s">
        <v>130</v>
      </c>
      <c r="K3194" s="202">
        <f t="shared" si="49"/>
        <v>1633530</v>
      </c>
      <c r="L3194" s="202">
        <v>320.3</v>
      </c>
      <c r="N3194" s="202">
        <v>-800000</v>
      </c>
      <c r="S3194" s="204"/>
      <c r="W3194" s="198" t="s">
        <v>51</v>
      </c>
      <c r="AE3194" s="198" t="s">
        <v>833</v>
      </c>
    </row>
    <row r="3195" spans="3:31" x14ac:dyDescent="0.25">
      <c r="C3195" s="201"/>
      <c r="E3195" s="201"/>
      <c r="F3195" s="201"/>
      <c r="I3195" s="198" t="s">
        <v>430</v>
      </c>
      <c r="J3195" s="198" t="s">
        <v>130</v>
      </c>
      <c r="K3195" s="202">
        <f t="shared" si="49"/>
        <v>1634040</v>
      </c>
      <c r="L3195" s="202">
        <v>320.39999999999998</v>
      </c>
      <c r="N3195" s="202">
        <v>-64000</v>
      </c>
      <c r="S3195" s="204"/>
      <c r="W3195" s="198" t="s">
        <v>51</v>
      </c>
      <c r="AE3195" s="198" t="s">
        <v>833</v>
      </c>
    </row>
    <row r="3196" spans="3:31" x14ac:dyDescent="0.25">
      <c r="C3196" s="201"/>
      <c r="E3196" s="201"/>
      <c r="F3196" s="201"/>
      <c r="I3196" s="198" t="s">
        <v>430</v>
      </c>
      <c r="J3196" s="198" t="s">
        <v>130</v>
      </c>
      <c r="K3196" s="202">
        <f t="shared" si="49"/>
        <v>1634550</v>
      </c>
      <c r="L3196" s="202">
        <v>320.5</v>
      </c>
      <c r="N3196" s="202">
        <v>-16000</v>
      </c>
      <c r="S3196" s="204"/>
      <c r="W3196" s="198" t="s">
        <v>51</v>
      </c>
      <c r="AE3196" s="198" t="s">
        <v>833</v>
      </c>
    </row>
    <row r="3197" spans="3:31" x14ac:dyDescent="0.25">
      <c r="C3197" s="201"/>
      <c r="E3197" s="201"/>
      <c r="F3197" s="201"/>
      <c r="I3197" s="198" t="s">
        <v>669</v>
      </c>
      <c r="J3197" s="198" t="s">
        <v>112</v>
      </c>
      <c r="K3197" s="202">
        <f t="shared" si="49"/>
        <v>1635060</v>
      </c>
      <c r="L3197" s="202">
        <v>320.60000000000002</v>
      </c>
      <c r="N3197" s="202">
        <v>683919.78</v>
      </c>
      <c r="S3197" s="203"/>
      <c r="W3197" s="198" t="s">
        <v>51</v>
      </c>
      <c r="AE3197" s="198" t="s">
        <v>831</v>
      </c>
    </row>
    <row r="3198" spans="3:31" x14ac:dyDescent="0.25">
      <c r="C3198" s="201"/>
      <c r="E3198" s="201"/>
      <c r="F3198" s="201"/>
      <c r="I3198" s="198" t="s">
        <v>669</v>
      </c>
      <c r="J3198" s="198" t="s">
        <v>112</v>
      </c>
      <c r="K3198" s="202">
        <f t="shared" si="49"/>
        <v>1635570</v>
      </c>
      <c r="L3198" s="202">
        <v>320.7</v>
      </c>
      <c r="N3198" s="202">
        <v>223728</v>
      </c>
      <c r="S3198" s="203"/>
      <c r="W3198" s="198" t="s">
        <v>51</v>
      </c>
      <c r="AE3198" s="198" t="s">
        <v>831</v>
      </c>
    </row>
    <row r="3199" spans="3:31" x14ac:dyDescent="0.25">
      <c r="C3199" s="201"/>
      <c r="E3199" s="201"/>
      <c r="F3199" s="201"/>
      <c r="I3199" s="198" t="s">
        <v>430</v>
      </c>
      <c r="J3199" s="198" t="s">
        <v>130</v>
      </c>
      <c r="K3199" s="202">
        <f t="shared" si="49"/>
        <v>1636080</v>
      </c>
      <c r="L3199" s="202">
        <v>320.8</v>
      </c>
      <c r="N3199" s="202">
        <v>28600</v>
      </c>
      <c r="S3199" s="204"/>
      <c r="W3199" s="198" t="s">
        <v>51</v>
      </c>
      <c r="AE3199" s="198" t="s">
        <v>833</v>
      </c>
    </row>
    <row r="3200" spans="3:31" x14ac:dyDescent="0.25">
      <c r="C3200" s="201"/>
      <c r="E3200" s="201"/>
      <c r="F3200" s="201"/>
      <c r="I3200" s="198" t="s">
        <v>430</v>
      </c>
      <c r="J3200" s="198" t="s">
        <v>130</v>
      </c>
      <c r="K3200" s="202">
        <f t="shared" si="49"/>
        <v>1636590</v>
      </c>
      <c r="L3200" s="202">
        <v>320.89999999999998</v>
      </c>
      <c r="N3200" s="202">
        <v>79600</v>
      </c>
      <c r="S3200" s="204"/>
      <c r="W3200" s="198" t="s">
        <v>51</v>
      </c>
      <c r="AE3200" s="198" t="s">
        <v>833</v>
      </c>
    </row>
    <row r="3201" spans="3:31" x14ac:dyDescent="0.25">
      <c r="C3201" s="201"/>
      <c r="E3201" s="201"/>
      <c r="F3201" s="201"/>
      <c r="I3201" s="198" t="s">
        <v>430</v>
      </c>
      <c r="J3201" s="198" t="s">
        <v>130</v>
      </c>
      <c r="K3201" s="202">
        <f t="shared" si="49"/>
        <v>1637100</v>
      </c>
      <c r="L3201" s="202">
        <v>321</v>
      </c>
      <c r="N3201" s="202">
        <v>28600</v>
      </c>
      <c r="S3201" s="204"/>
      <c r="W3201" s="198" t="s">
        <v>51</v>
      </c>
      <c r="AE3201" s="198" t="s">
        <v>833</v>
      </c>
    </row>
    <row r="3202" spans="3:31" x14ac:dyDescent="0.25">
      <c r="C3202" s="201"/>
      <c r="E3202" s="201"/>
      <c r="F3202" s="201"/>
      <c r="I3202" s="198" t="s">
        <v>430</v>
      </c>
      <c r="J3202" s="198" t="s">
        <v>130</v>
      </c>
      <c r="K3202" s="202">
        <f t="shared" si="49"/>
        <v>1637610</v>
      </c>
      <c r="L3202" s="202">
        <v>321.10000000000002</v>
      </c>
      <c r="N3202" s="202">
        <v>71000</v>
      </c>
      <c r="S3202" s="204"/>
      <c r="W3202" s="198" t="s">
        <v>51</v>
      </c>
      <c r="AE3202" s="198" t="s">
        <v>833</v>
      </c>
    </row>
    <row r="3203" spans="3:31" x14ac:dyDescent="0.25">
      <c r="C3203" s="201"/>
      <c r="E3203" s="201"/>
      <c r="F3203" s="201"/>
      <c r="I3203" s="198" t="s">
        <v>430</v>
      </c>
      <c r="J3203" s="198" t="s">
        <v>130</v>
      </c>
      <c r="K3203" s="202">
        <f t="shared" ref="K3203:K3266" si="50">L3203*5100</f>
        <v>1638120</v>
      </c>
      <c r="L3203" s="202">
        <v>321.2</v>
      </c>
      <c r="N3203" s="202">
        <v>36000</v>
      </c>
      <c r="S3203" s="204"/>
      <c r="W3203" s="198" t="s">
        <v>51</v>
      </c>
      <c r="AE3203" s="198" t="s">
        <v>833</v>
      </c>
    </row>
    <row r="3204" spans="3:31" x14ac:dyDescent="0.25">
      <c r="C3204" s="201"/>
      <c r="E3204" s="201"/>
      <c r="F3204" s="201"/>
      <c r="I3204" s="198" t="s">
        <v>430</v>
      </c>
      <c r="J3204" s="198" t="s">
        <v>130</v>
      </c>
      <c r="K3204" s="202">
        <f t="shared" si="50"/>
        <v>1638630</v>
      </c>
      <c r="L3204" s="202">
        <v>321.3</v>
      </c>
      <c r="N3204" s="202">
        <v>6600</v>
      </c>
      <c r="S3204" s="204"/>
      <c r="W3204" s="198" t="s">
        <v>51</v>
      </c>
      <c r="AE3204" s="198" t="s">
        <v>833</v>
      </c>
    </row>
    <row r="3205" spans="3:31" x14ac:dyDescent="0.25">
      <c r="C3205" s="201"/>
      <c r="E3205" s="201"/>
      <c r="F3205" s="201"/>
      <c r="I3205" s="198" t="s">
        <v>430</v>
      </c>
      <c r="J3205" s="198" t="s">
        <v>130</v>
      </c>
      <c r="K3205" s="202">
        <f t="shared" si="50"/>
        <v>1639140</v>
      </c>
      <c r="L3205" s="202">
        <v>321.39999999999998</v>
      </c>
      <c r="N3205" s="202">
        <v>105000</v>
      </c>
      <c r="S3205" s="204"/>
      <c r="W3205" s="198" t="s">
        <v>51</v>
      </c>
      <c r="AE3205" s="198" t="s">
        <v>833</v>
      </c>
    </row>
    <row r="3206" spans="3:31" x14ac:dyDescent="0.25">
      <c r="C3206" s="201"/>
      <c r="E3206" s="201"/>
      <c r="F3206" s="201"/>
      <c r="I3206" s="198" t="s">
        <v>430</v>
      </c>
      <c r="J3206" s="198" t="s">
        <v>130</v>
      </c>
      <c r="K3206" s="202">
        <f t="shared" si="50"/>
        <v>1639650</v>
      </c>
      <c r="L3206" s="202">
        <v>321.5</v>
      </c>
      <c r="N3206" s="202">
        <v>39200</v>
      </c>
      <c r="S3206" s="204"/>
      <c r="W3206" s="198" t="s">
        <v>51</v>
      </c>
      <c r="AE3206" s="198" t="s">
        <v>833</v>
      </c>
    </row>
    <row r="3207" spans="3:31" x14ac:dyDescent="0.25">
      <c r="C3207" s="201"/>
      <c r="E3207" s="201"/>
      <c r="F3207" s="201"/>
      <c r="I3207" s="198" t="s">
        <v>430</v>
      </c>
      <c r="J3207" s="198" t="s">
        <v>130</v>
      </c>
      <c r="K3207" s="202">
        <f t="shared" si="50"/>
        <v>1640160</v>
      </c>
      <c r="L3207" s="202">
        <v>321.60000000000002</v>
      </c>
      <c r="N3207" s="202">
        <v>16000</v>
      </c>
      <c r="S3207" s="204"/>
      <c r="W3207" s="198" t="s">
        <v>51</v>
      </c>
      <c r="AE3207" s="198" t="s">
        <v>833</v>
      </c>
    </row>
    <row r="3208" spans="3:31" x14ac:dyDescent="0.25">
      <c r="C3208" s="201"/>
      <c r="E3208" s="201"/>
      <c r="F3208" s="201"/>
      <c r="I3208" s="198" t="s">
        <v>430</v>
      </c>
      <c r="J3208" s="198" t="s">
        <v>130</v>
      </c>
      <c r="K3208" s="202">
        <f t="shared" si="50"/>
        <v>1640670</v>
      </c>
      <c r="L3208" s="202">
        <v>321.7</v>
      </c>
      <c r="N3208" s="202">
        <v>21000</v>
      </c>
      <c r="S3208" s="204"/>
      <c r="W3208" s="198" t="s">
        <v>51</v>
      </c>
      <c r="AE3208" s="198" t="s">
        <v>833</v>
      </c>
    </row>
    <row r="3209" spans="3:31" x14ac:dyDescent="0.25">
      <c r="C3209" s="201"/>
      <c r="E3209" s="201"/>
      <c r="F3209" s="201"/>
      <c r="I3209" s="198" t="s">
        <v>430</v>
      </c>
      <c r="J3209" s="198" t="s">
        <v>130</v>
      </c>
      <c r="K3209" s="202">
        <f t="shared" si="50"/>
        <v>1641180</v>
      </c>
      <c r="L3209" s="202">
        <v>321.8</v>
      </c>
      <c r="N3209" s="202">
        <v>-28600</v>
      </c>
      <c r="S3209" s="204"/>
      <c r="W3209" s="198" t="s">
        <v>51</v>
      </c>
      <c r="AE3209" s="198" t="s">
        <v>833</v>
      </c>
    </row>
    <row r="3210" spans="3:31" x14ac:dyDescent="0.25">
      <c r="C3210" s="201"/>
      <c r="E3210" s="201"/>
      <c r="F3210" s="201"/>
      <c r="I3210" s="198" t="s">
        <v>430</v>
      </c>
      <c r="J3210" s="198" t="s">
        <v>130</v>
      </c>
      <c r="K3210" s="202">
        <f t="shared" si="50"/>
        <v>1641690</v>
      </c>
      <c r="L3210" s="202">
        <v>321.89999999999998</v>
      </c>
      <c r="N3210" s="202">
        <v>-79600</v>
      </c>
      <c r="S3210" s="204"/>
      <c r="W3210" s="198" t="s">
        <v>51</v>
      </c>
      <c r="AE3210" s="198" t="s">
        <v>833</v>
      </c>
    </row>
    <row r="3211" spans="3:31" x14ac:dyDescent="0.25">
      <c r="C3211" s="201"/>
      <c r="E3211" s="201"/>
      <c r="F3211" s="201"/>
      <c r="I3211" s="198" t="s">
        <v>430</v>
      </c>
      <c r="J3211" s="198" t="s">
        <v>130</v>
      </c>
      <c r="K3211" s="202">
        <f t="shared" si="50"/>
        <v>1642200</v>
      </c>
      <c r="L3211" s="202">
        <v>322</v>
      </c>
      <c r="N3211" s="202">
        <v>-28600</v>
      </c>
      <c r="S3211" s="204"/>
      <c r="W3211" s="198" t="s">
        <v>51</v>
      </c>
      <c r="AE3211" s="198" t="s">
        <v>833</v>
      </c>
    </row>
    <row r="3212" spans="3:31" x14ac:dyDescent="0.25">
      <c r="C3212" s="201"/>
      <c r="E3212" s="201"/>
      <c r="F3212" s="201"/>
      <c r="I3212" s="198" t="s">
        <v>430</v>
      </c>
      <c r="J3212" s="198" t="s">
        <v>130</v>
      </c>
      <c r="K3212" s="202">
        <f t="shared" si="50"/>
        <v>1642710</v>
      </c>
      <c r="L3212" s="202">
        <v>322.10000000000002</v>
      </c>
      <c r="N3212" s="202">
        <v>-71000</v>
      </c>
      <c r="S3212" s="204"/>
      <c r="W3212" s="198" t="s">
        <v>51</v>
      </c>
      <c r="AE3212" s="198" t="s">
        <v>833</v>
      </c>
    </row>
    <row r="3213" spans="3:31" x14ac:dyDescent="0.25">
      <c r="C3213" s="201"/>
      <c r="E3213" s="201"/>
      <c r="F3213" s="201"/>
      <c r="I3213" s="198" t="s">
        <v>430</v>
      </c>
      <c r="J3213" s="198" t="s">
        <v>130</v>
      </c>
      <c r="K3213" s="202">
        <f t="shared" si="50"/>
        <v>1643220</v>
      </c>
      <c r="L3213" s="202">
        <v>322.2</v>
      </c>
      <c r="N3213" s="202">
        <v>-36000</v>
      </c>
      <c r="S3213" s="204"/>
      <c r="W3213" s="198" t="s">
        <v>51</v>
      </c>
      <c r="AE3213" s="198" t="s">
        <v>833</v>
      </c>
    </row>
    <row r="3214" spans="3:31" x14ac:dyDescent="0.25">
      <c r="C3214" s="201"/>
      <c r="E3214" s="201"/>
      <c r="F3214" s="201"/>
      <c r="I3214" s="198" t="s">
        <v>430</v>
      </c>
      <c r="J3214" s="198" t="s">
        <v>130</v>
      </c>
      <c r="K3214" s="202">
        <f t="shared" si="50"/>
        <v>1643730</v>
      </c>
      <c r="L3214" s="202">
        <v>322.3</v>
      </c>
      <c r="N3214" s="202">
        <v>-6600</v>
      </c>
      <c r="S3214" s="204"/>
      <c r="W3214" s="198" t="s">
        <v>51</v>
      </c>
      <c r="AE3214" s="198" t="s">
        <v>833</v>
      </c>
    </row>
    <row r="3215" spans="3:31" x14ac:dyDescent="0.25">
      <c r="C3215" s="201"/>
      <c r="E3215" s="201"/>
      <c r="F3215" s="201"/>
      <c r="I3215" s="198" t="s">
        <v>430</v>
      </c>
      <c r="J3215" s="198" t="s">
        <v>130</v>
      </c>
      <c r="K3215" s="202">
        <f t="shared" si="50"/>
        <v>1644240</v>
      </c>
      <c r="L3215" s="202">
        <v>322.39999999999998</v>
      </c>
      <c r="N3215" s="202">
        <v>-105000</v>
      </c>
      <c r="S3215" s="204"/>
      <c r="W3215" s="198" t="s">
        <v>51</v>
      </c>
      <c r="AE3215" s="198" t="s">
        <v>833</v>
      </c>
    </row>
    <row r="3216" spans="3:31" x14ac:dyDescent="0.25">
      <c r="C3216" s="201"/>
      <c r="E3216" s="201"/>
      <c r="F3216" s="201"/>
      <c r="I3216" s="198" t="s">
        <v>430</v>
      </c>
      <c r="J3216" s="198" t="s">
        <v>130</v>
      </c>
      <c r="K3216" s="202">
        <f t="shared" si="50"/>
        <v>1644750</v>
      </c>
      <c r="L3216" s="202">
        <v>322.5</v>
      </c>
      <c r="N3216" s="202">
        <v>-39200</v>
      </c>
      <c r="S3216" s="204"/>
      <c r="W3216" s="198" t="s">
        <v>51</v>
      </c>
      <c r="AE3216" s="198" t="s">
        <v>833</v>
      </c>
    </row>
    <row r="3217" spans="3:31" x14ac:dyDescent="0.25">
      <c r="C3217" s="201"/>
      <c r="E3217" s="201"/>
      <c r="F3217" s="201"/>
      <c r="I3217" s="198" t="s">
        <v>430</v>
      </c>
      <c r="J3217" s="198" t="s">
        <v>130</v>
      </c>
      <c r="K3217" s="202">
        <f t="shared" si="50"/>
        <v>1645260</v>
      </c>
      <c r="L3217" s="202">
        <v>322.60000000000002</v>
      </c>
      <c r="N3217" s="202">
        <v>-16000</v>
      </c>
      <c r="S3217" s="204"/>
      <c r="W3217" s="198" t="s">
        <v>51</v>
      </c>
      <c r="AE3217" s="198" t="s">
        <v>833</v>
      </c>
    </row>
    <row r="3218" spans="3:31" x14ac:dyDescent="0.25">
      <c r="C3218" s="201"/>
      <c r="E3218" s="201"/>
      <c r="F3218" s="201"/>
      <c r="I3218" s="198" t="s">
        <v>430</v>
      </c>
      <c r="J3218" s="198" t="s">
        <v>130</v>
      </c>
      <c r="K3218" s="202">
        <f t="shared" si="50"/>
        <v>1645770</v>
      </c>
      <c r="L3218" s="202">
        <v>322.7</v>
      </c>
      <c r="N3218" s="202">
        <v>-21000</v>
      </c>
      <c r="S3218" s="204"/>
      <c r="W3218" s="198" t="s">
        <v>51</v>
      </c>
      <c r="AE3218" s="198" t="s">
        <v>833</v>
      </c>
    </row>
    <row r="3219" spans="3:31" x14ac:dyDescent="0.25">
      <c r="C3219" s="201"/>
      <c r="E3219" s="201"/>
      <c r="F3219" s="201"/>
      <c r="I3219" s="198" t="s">
        <v>430</v>
      </c>
      <c r="J3219" s="198" t="s">
        <v>130</v>
      </c>
      <c r="K3219" s="202">
        <f t="shared" si="50"/>
        <v>1646280</v>
      </c>
      <c r="L3219" s="202">
        <v>322.8</v>
      </c>
      <c r="N3219" s="202">
        <v>143400</v>
      </c>
      <c r="S3219" s="204"/>
      <c r="W3219" s="198" t="s">
        <v>51</v>
      </c>
      <c r="AE3219" s="198" t="s">
        <v>833</v>
      </c>
    </row>
    <row r="3220" spans="3:31" x14ac:dyDescent="0.25">
      <c r="C3220" s="201"/>
      <c r="E3220" s="201"/>
      <c r="F3220" s="201"/>
      <c r="I3220" s="198" t="s">
        <v>430</v>
      </c>
      <c r="J3220" s="198" t="s">
        <v>130</v>
      </c>
      <c r="K3220" s="202">
        <f t="shared" si="50"/>
        <v>1646790</v>
      </c>
      <c r="L3220" s="202">
        <v>322.89999999999998</v>
      </c>
      <c r="N3220" s="202">
        <v>67600</v>
      </c>
      <c r="S3220" s="204"/>
      <c r="W3220" s="198" t="s">
        <v>51</v>
      </c>
      <c r="AE3220" s="198" t="s">
        <v>833</v>
      </c>
    </row>
    <row r="3221" spans="3:31" x14ac:dyDescent="0.25">
      <c r="C3221" s="201"/>
      <c r="E3221" s="201"/>
      <c r="F3221" s="201"/>
      <c r="I3221" s="198" t="s">
        <v>430</v>
      </c>
      <c r="J3221" s="198" t="s">
        <v>130</v>
      </c>
      <c r="K3221" s="202">
        <f t="shared" si="50"/>
        <v>1647300</v>
      </c>
      <c r="L3221" s="202">
        <v>323</v>
      </c>
      <c r="N3221" s="202">
        <v>31800</v>
      </c>
      <c r="S3221" s="204"/>
      <c r="W3221" s="198" t="s">
        <v>51</v>
      </c>
      <c r="AE3221" s="198" t="s">
        <v>833</v>
      </c>
    </row>
    <row r="3222" spans="3:31" x14ac:dyDescent="0.25">
      <c r="C3222" s="201"/>
      <c r="E3222" s="201"/>
      <c r="F3222" s="201"/>
      <c r="I3222" s="198" t="s">
        <v>430</v>
      </c>
      <c r="J3222" s="198" t="s">
        <v>130</v>
      </c>
      <c r="K3222" s="202">
        <f t="shared" si="50"/>
        <v>1647810</v>
      </c>
      <c r="L3222" s="202">
        <v>323.10000000000002</v>
      </c>
      <c r="N3222" s="202">
        <v>12000</v>
      </c>
      <c r="S3222" s="204"/>
      <c r="W3222" s="198" t="s">
        <v>51</v>
      </c>
      <c r="AE3222" s="198" t="s">
        <v>833</v>
      </c>
    </row>
    <row r="3223" spans="3:31" x14ac:dyDescent="0.25">
      <c r="C3223" s="201"/>
      <c r="E3223" s="201"/>
      <c r="F3223" s="201"/>
      <c r="I3223" s="198" t="s">
        <v>430</v>
      </c>
      <c r="J3223" s="198" t="s">
        <v>130</v>
      </c>
      <c r="K3223" s="202">
        <f t="shared" si="50"/>
        <v>1648320</v>
      </c>
      <c r="L3223" s="202">
        <v>323.2</v>
      </c>
      <c r="N3223" s="202">
        <v>-143400</v>
      </c>
      <c r="S3223" s="204"/>
      <c r="W3223" s="198" t="s">
        <v>51</v>
      </c>
      <c r="AE3223" s="198" t="s">
        <v>833</v>
      </c>
    </row>
    <row r="3224" spans="3:31" x14ac:dyDescent="0.25">
      <c r="C3224" s="201"/>
      <c r="E3224" s="201"/>
      <c r="F3224" s="201"/>
      <c r="I3224" s="198" t="s">
        <v>430</v>
      </c>
      <c r="J3224" s="198" t="s">
        <v>130</v>
      </c>
      <c r="K3224" s="202">
        <f t="shared" si="50"/>
        <v>1648830</v>
      </c>
      <c r="L3224" s="202">
        <v>323.3</v>
      </c>
      <c r="N3224" s="202">
        <v>-67600</v>
      </c>
      <c r="S3224" s="204"/>
      <c r="W3224" s="198" t="s">
        <v>51</v>
      </c>
      <c r="AE3224" s="198" t="s">
        <v>833</v>
      </c>
    </row>
    <row r="3225" spans="3:31" x14ac:dyDescent="0.25">
      <c r="C3225" s="201"/>
      <c r="E3225" s="201"/>
      <c r="F3225" s="201"/>
      <c r="I3225" s="198" t="s">
        <v>430</v>
      </c>
      <c r="J3225" s="198" t="s">
        <v>130</v>
      </c>
      <c r="K3225" s="202">
        <f t="shared" si="50"/>
        <v>1649340</v>
      </c>
      <c r="L3225" s="202">
        <v>323.39999999999998</v>
      </c>
      <c r="N3225" s="202">
        <v>-31800</v>
      </c>
      <c r="S3225" s="204"/>
      <c r="W3225" s="198" t="s">
        <v>51</v>
      </c>
      <c r="AE3225" s="198" t="s">
        <v>833</v>
      </c>
    </row>
    <row r="3226" spans="3:31" x14ac:dyDescent="0.25">
      <c r="C3226" s="201"/>
      <c r="E3226" s="201"/>
      <c r="F3226" s="201"/>
      <c r="I3226" s="198" t="s">
        <v>430</v>
      </c>
      <c r="J3226" s="198" t="s">
        <v>130</v>
      </c>
      <c r="K3226" s="202">
        <f t="shared" si="50"/>
        <v>1649850</v>
      </c>
      <c r="L3226" s="202">
        <v>323.5</v>
      </c>
      <c r="N3226" s="202">
        <v>-12000</v>
      </c>
      <c r="S3226" s="204"/>
      <c r="W3226" s="198" t="s">
        <v>51</v>
      </c>
      <c r="AE3226" s="198" t="s">
        <v>833</v>
      </c>
    </row>
    <row r="3227" spans="3:31" x14ac:dyDescent="0.25">
      <c r="C3227" s="201"/>
      <c r="E3227" s="201"/>
      <c r="F3227" s="201"/>
      <c r="I3227" s="198" t="s">
        <v>669</v>
      </c>
      <c r="J3227" s="198" t="s">
        <v>112</v>
      </c>
      <c r="K3227" s="202">
        <f t="shared" si="50"/>
        <v>1650360</v>
      </c>
      <c r="L3227" s="202">
        <v>323.60000000000002</v>
      </c>
      <c r="N3227" s="202">
        <v>480227.49</v>
      </c>
      <c r="S3227" s="203"/>
      <c r="W3227" s="198" t="s">
        <v>51</v>
      </c>
      <c r="AE3227" s="198" t="s">
        <v>831</v>
      </c>
    </row>
    <row r="3228" spans="3:31" x14ac:dyDescent="0.25">
      <c r="C3228" s="201"/>
      <c r="E3228" s="201"/>
      <c r="F3228" s="201"/>
      <c r="I3228" s="198" t="s">
        <v>669</v>
      </c>
      <c r="J3228" s="198" t="s">
        <v>112</v>
      </c>
      <c r="K3228" s="202">
        <f t="shared" si="50"/>
        <v>1650870</v>
      </c>
      <c r="L3228" s="202">
        <v>323.7</v>
      </c>
      <c r="N3228" s="202">
        <v>195546.59</v>
      </c>
      <c r="S3228" s="203"/>
      <c r="W3228" s="198" t="s">
        <v>51</v>
      </c>
      <c r="AE3228" s="198" t="s">
        <v>831</v>
      </c>
    </row>
    <row r="3229" spans="3:31" x14ac:dyDescent="0.25">
      <c r="C3229" s="201"/>
      <c r="E3229" s="201"/>
      <c r="F3229" s="201"/>
      <c r="I3229" s="198" t="s">
        <v>669</v>
      </c>
      <c r="J3229" s="198" t="s">
        <v>112</v>
      </c>
      <c r="K3229" s="202">
        <f t="shared" si="50"/>
        <v>1651380</v>
      </c>
      <c r="L3229" s="202">
        <v>323.8</v>
      </c>
      <c r="N3229" s="202">
        <v>686186.46</v>
      </c>
      <c r="S3229" s="203"/>
      <c r="W3229" s="198" t="s">
        <v>51</v>
      </c>
      <c r="AE3229" s="198" t="s">
        <v>831</v>
      </c>
    </row>
    <row r="3230" spans="3:31" x14ac:dyDescent="0.25">
      <c r="C3230" s="201"/>
      <c r="E3230" s="201"/>
      <c r="F3230" s="201"/>
      <c r="I3230" s="198" t="s">
        <v>669</v>
      </c>
      <c r="J3230" s="198" t="s">
        <v>112</v>
      </c>
      <c r="K3230" s="202">
        <f t="shared" si="50"/>
        <v>1651890</v>
      </c>
      <c r="L3230" s="202">
        <v>323.89999999999998</v>
      </c>
      <c r="N3230" s="202">
        <v>306143.44</v>
      </c>
      <c r="S3230" s="203"/>
      <c r="W3230" s="198" t="s">
        <v>51</v>
      </c>
      <c r="AE3230" s="198" t="s">
        <v>831</v>
      </c>
    </row>
    <row r="3231" spans="3:31" x14ac:dyDescent="0.25">
      <c r="C3231" s="201"/>
      <c r="E3231" s="201"/>
      <c r="F3231" s="201"/>
      <c r="I3231" s="198" t="s">
        <v>669</v>
      </c>
      <c r="J3231" s="198" t="s">
        <v>112</v>
      </c>
      <c r="K3231" s="202">
        <f t="shared" si="50"/>
        <v>1652400</v>
      </c>
      <c r="L3231" s="202">
        <v>324</v>
      </c>
      <c r="N3231" s="202">
        <v>721113.97</v>
      </c>
      <c r="S3231" s="203"/>
      <c r="W3231" s="198" t="s">
        <v>51</v>
      </c>
      <c r="AE3231" s="198" t="s">
        <v>831</v>
      </c>
    </row>
    <row r="3232" spans="3:31" x14ac:dyDescent="0.25">
      <c r="C3232" s="201"/>
      <c r="E3232" s="201"/>
      <c r="F3232" s="201"/>
      <c r="I3232" s="198" t="s">
        <v>669</v>
      </c>
      <c r="J3232" s="198" t="s">
        <v>112</v>
      </c>
      <c r="K3232" s="202">
        <f t="shared" si="50"/>
        <v>1652910</v>
      </c>
      <c r="L3232" s="202">
        <v>324.10000000000002</v>
      </c>
      <c r="N3232" s="202">
        <v>201831.65</v>
      </c>
      <c r="S3232" s="203"/>
      <c r="W3232" s="198" t="s">
        <v>51</v>
      </c>
      <c r="AE3232" s="198" t="s">
        <v>831</v>
      </c>
    </row>
    <row r="3233" spans="3:31" x14ac:dyDescent="0.25">
      <c r="C3233" s="201"/>
      <c r="E3233" s="201"/>
      <c r="F3233" s="201"/>
      <c r="I3233" s="198" t="s">
        <v>669</v>
      </c>
      <c r="J3233" s="198" t="s">
        <v>112</v>
      </c>
      <c r="K3233" s="202">
        <f t="shared" si="50"/>
        <v>1653420</v>
      </c>
      <c r="L3233" s="202">
        <v>324.2</v>
      </c>
      <c r="N3233" s="202">
        <v>861648.25</v>
      </c>
      <c r="S3233" s="203"/>
      <c r="W3233" s="198" t="s">
        <v>51</v>
      </c>
      <c r="AE3233" s="198" t="s">
        <v>831</v>
      </c>
    </row>
    <row r="3234" spans="3:31" x14ac:dyDescent="0.25">
      <c r="C3234" s="201"/>
      <c r="E3234" s="201"/>
      <c r="F3234" s="201"/>
      <c r="I3234" s="198" t="s">
        <v>669</v>
      </c>
      <c r="J3234" s="198" t="s">
        <v>112</v>
      </c>
      <c r="K3234" s="202">
        <f t="shared" si="50"/>
        <v>1653930</v>
      </c>
      <c r="L3234" s="202">
        <v>324.3</v>
      </c>
      <c r="N3234" s="202">
        <v>201426.16</v>
      </c>
      <c r="S3234" s="203"/>
      <c r="W3234" s="198" t="s">
        <v>51</v>
      </c>
      <c r="AE3234" s="198" t="s">
        <v>831</v>
      </c>
    </row>
    <row r="3235" spans="3:31" x14ac:dyDescent="0.25">
      <c r="C3235" s="201"/>
      <c r="E3235" s="201"/>
      <c r="F3235" s="201"/>
      <c r="I3235" s="198" t="s">
        <v>179</v>
      </c>
      <c r="J3235" s="198" t="s">
        <v>169</v>
      </c>
      <c r="K3235" s="202">
        <f t="shared" si="50"/>
        <v>1654440</v>
      </c>
      <c r="L3235" s="202">
        <v>324.39999999999998</v>
      </c>
      <c r="N3235" s="202">
        <v>1218565</v>
      </c>
      <c r="S3235" s="204"/>
      <c r="W3235" s="198" t="s">
        <v>51</v>
      </c>
      <c r="AE3235" s="198" t="s">
        <v>831</v>
      </c>
    </row>
    <row r="3236" spans="3:31" x14ac:dyDescent="0.25">
      <c r="C3236" s="201"/>
      <c r="E3236" s="201"/>
      <c r="F3236" s="201"/>
      <c r="I3236" s="198" t="s">
        <v>178</v>
      </c>
      <c r="J3236" s="198" t="s">
        <v>167</v>
      </c>
      <c r="K3236" s="202">
        <f t="shared" si="50"/>
        <v>1654950</v>
      </c>
      <c r="L3236" s="202">
        <v>324.5</v>
      </c>
      <c r="N3236" s="202">
        <v>2911475</v>
      </c>
      <c r="S3236" s="204"/>
      <c r="W3236" s="198" t="s">
        <v>51</v>
      </c>
      <c r="AE3236" s="198" t="s">
        <v>831</v>
      </c>
    </row>
    <row r="3237" spans="3:31" x14ac:dyDescent="0.25">
      <c r="C3237" s="201"/>
      <c r="E3237" s="201"/>
      <c r="F3237" s="201"/>
      <c r="I3237" s="198" t="s">
        <v>179</v>
      </c>
      <c r="J3237" s="198" t="s">
        <v>169</v>
      </c>
      <c r="K3237" s="202">
        <f t="shared" si="50"/>
        <v>1655460</v>
      </c>
      <c r="L3237" s="202">
        <v>324.60000000000002</v>
      </c>
      <c r="N3237" s="202">
        <v>578037.81000000006</v>
      </c>
      <c r="S3237" s="203"/>
      <c r="W3237" s="198" t="s">
        <v>51</v>
      </c>
      <c r="AE3237" s="198" t="s">
        <v>831</v>
      </c>
    </row>
    <row r="3238" spans="3:31" x14ac:dyDescent="0.25">
      <c r="C3238" s="201"/>
      <c r="E3238" s="201"/>
      <c r="F3238" s="201"/>
      <c r="I3238" s="198" t="s">
        <v>179</v>
      </c>
      <c r="J3238" s="198" t="s">
        <v>169</v>
      </c>
      <c r="K3238" s="202">
        <f t="shared" si="50"/>
        <v>1655970</v>
      </c>
      <c r="L3238" s="202">
        <v>324.7</v>
      </c>
      <c r="N3238" s="202">
        <v>304686.78000000003</v>
      </c>
      <c r="S3238" s="203"/>
      <c r="W3238" s="198" t="s">
        <v>51</v>
      </c>
      <c r="AE3238" s="198" t="s">
        <v>831</v>
      </c>
    </row>
    <row r="3239" spans="3:31" x14ac:dyDescent="0.25">
      <c r="C3239" s="201"/>
      <c r="E3239" s="201"/>
      <c r="F3239" s="201"/>
      <c r="I3239" s="198" t="s">
        <v>178</v>
      </c>
      <c r="J3239" s="198" t="s">
        <v>167</v>
      </c>
      <c r="K3239" s="202">
        <f t="shared" si="50"/>
        <v>1656480</v>
      </c>
      <c r="L3239" s="202">
        <v>324.8</v>
      </c>
      <c r="N3239" s="202">
        <v>808898.37</v>
      </c>
      <c r="S3239" s="203"/>
      <c r="W3239" s="198" t="s">
        <v>51</v>
      </c>
      <c r="AE3239" s="198" t="s">
        <v>831</v>
      </c>
    </row>
    <row r="3240" spans="3:31" x14ac:dyDescent="0.25">
      <c r="C3240" s="201"/>
      <c r="E3240" s="201"/>
      <c r="F3240" s="201"/>
      <c r="I3240" s="198" t="s">
        <v>110</v>
      </c>
      <c r="J3240" s="198" t="s">
        <v>89</v>
      </c>
      <c r="K3240" s="202">
        <f t="shared" si="50"/>
        <v>1656990</v>
      </c>
      <c r="L3240" s="202">
        <v>324.89999999999998</v>
      </c>
      <c r="N3240" s="202">
        <v>307387.28999999998</v>
      </c>
      <c r="S3240" s="203"/>
      <c r="W3240" s="198" t="s">
        <v>51</v>
      </c>
      <c r="AE3240" s="198" t="s">
        <v>831</v>
      </c>
    </row>
    <row r="3241" spans="3:31" x14ac:dyDescent="0.25">
      <c r="C3241" s="201"/>
      <c r="E3241" s="201"/>
      <c r="F3241" s="201"/>
      <c r="I3241" s="198" t="s">
        <v>179</v>
      </c>
      <c r="J3241" s="198" t="s">
        <v>169</v>
      </c>
      <c r="K3241" s="202">
        <f t="shared" si="50"/>
        <v>1657500</v>
      </c>
      <c r="L3241" s="202">
        <v>325</v>
      </c>
      <c r="N3241" s="202">
        <v>69632.429999999993</v>
      </c>
      <c r="S3241" s="203"/>
      <c r="W3241" s="198" t="s">
        <v>51</v>
      </c>
      <c r="AE3241" s="198" t="s">
        <v>831</v>
      </c>
    </row>
    <row r="3242" spans="3:31" x14ac:dyDescent="0.25">
      <c r="C3242" s="201"/>
      <c r="E3242" s="201"/>
      <c r="F3242" s="201"/>
      <c r="I3242" s="198" t="s">
        <v>178</v>
      </c>
      <c r="J3242" s="198" t="s">
        <v>167</v>
      </c>
      <c r="K3242" s="202">
        <f t="shared" si="50"/>
        <v>1658010</v>
      </c>
      <c r="L3242" s="202">
        <v>325.10000000000002</v>
      </c>
      <c r="N3242" s="202">
        <v>848491.35</v>
      </c>
      <c r="S3242" s="203"/>
      <c r="W3242" s="198" t="s">
        <v>51</v>
      </c>
      <c r="AE3242" s="198" t="s">
        <v>831</v>
      </c>
    </row>
    <row r="3243" spans="3:31" x14ac:dyDescent="0.25">
      <c r="C3243" s="201"/>
      <c r="E3243" s="201"/>
      <c r="F3243" s="201"/>
      <c r="I3243" s="198" t="s">
        <v>110</v>
      </c>
      <c r="J3243" s="198" t="s">
        <v>89</v>
      </c>
      <c r="K3243" s="202">
        <f t="shared" si="50"/>
        <v>1658520</v>
      </c>
      <c r="L3243" s="202">
        <v>325.2</v>
      </c>
      <c r="N3243" s="202">
        <v>153053.46</v>
      </c>
      <c r="S3243" s="203"/>
      <c r="W3243" s="198" t="s">
        <v>51</v>
      </c>
      <c r="AE3243" s="198" t="s">
        <v>831</v>
      </c>
    </row>
    <row r="3244" spans="3:31" x14ac:dyDescent="0.25">
      <c r="C3244" s="201"/>
      <c r="E3244" s="201"/>
      <c r="F3244" s="201"/>
      <c r="I3244" s="198" t="s">
        <v>528</v>
      </c>
      <c r="J3244" s="198" t="s">
        <v>134</v>
      </c>
      <c r="K3244" s="202">
        <f t="shared" si="50"/>
        <v>1659030</v>
      </c>
      <c r="L3244" s="202">
        <v>325.3</v>
      </c>
      <c r="N3244" s="202">
        <v>100389.25</v>
      </c>
      <c r="S3244" s="204"/>
      <c r="W3244" s="198" t="s">
        <v>51</v>
      </c>
      <c r="AE3244" s="198" t="s">
        <v>846</v>
      </c>
    </row>
    <row r="3245" spans="3:31" x14ac:dyDescent="0.25">
      <c r="C3245" s="201"/>
      <c r="E3245" s="201"/>
      <c r="F3245" s="201"/>
      <c r="I3245" s="198" t="s">
        <v>555</v>
      </c>
      <c r="J3245" s="198" t="s">
        <v>132</v>
      </c>
      <c r="K3245" s="202">
        <f t="shared" si="50"/>
        <v>1659540</v>
      </c>
      <c r="L3245" s="202">
        <v>325.39999999999998</v>
      </c>
      <c r="N3245" s="202">
        <v>163780.5</v>
      </c>
      <c r="S3245" s="204"/>
      <c r="W3245" s="198" t="s">
        <v>51</v>
      </c>
      <c r="AE3245" s="198" t="s">
        <v>833</v>
      </c>
    </row>
    <row r="3246" spans="3:31" x14ac:dyDescent="0.25">
      <c r="C3246" s="201"/>
      <c r="E3246" s="201"/>
      <c r="F3246" s="201"/>
      <c r="I3246" s="198" t="s">
        <v>669</v>
      </c>
      <c r="J3246" s="198" t="s">
        <v>112</v>
      </c>
      <c r="K3246" s="202">
        <f t="shared" si="50"/>
        <v>1660050</v>
      </c>
      <c r="L3246" s="202">
        <v>325.5</v>
      </c>
      <c r="N3246" s="202">
        <v>111205.08</v>
      </c>
      <c r="S3246" s="203"/>
      <c r="W3246" s="198" t="s">
        <v>51</v>
      </c>
      <c r="AE3246" s="198" t="s">
        <v>831</v>
      </c>
    </row>
    <row r="3247" spans="3:31" x14ac:dyDescent="0.25">
      <c r="C3247" s="201"/>
      <c r="E3247" s="201"/>
      <c r="F3247" s="201"/>
      <c r="I3247" s="198" t="s">
        <v>669</v>
      </c>
      <c r="J3247" s="198" t="s">
        <v>112</v>
      </c>
      <c r="K3247" s="202">
        <f t="shared" si="50"/>
        <v>1660560</v>
      </c>
      <c r="L3247" s="202">
        <v>325.60000000000002</v>
      </c>
      <c r="N3247" s="202">
        <v>269735.15999999997</v>
      </c>
      <c r="S3247" s="203"/>
      <c r="W3247" s="198" t="s">
        <v>51</v>
      </c>
      <c r="AE3247" s="198" t="s">
        <v>831</v>
      </c>
    </row>
    <row r="3248" spans="3:31" x14ac:dyDescent="0.25">
      <c r="C3248" s="201"/>
      <c r="E3248" s="201"/>
      <c r="F3248" s="201"/>
      <c r="I3248" s="198" t="s">
        <v>669</v>
      </c>
      <c r="J3248" s="198" t="s">
        <v>112</v>
      </c>
      <c r="K3248" s="202">
        <f t="shared" si="50"/>
        <v>1661070</v>
      </c>
      <c r="L3248" s="202">
        <v>325.7</v>
      </c>
      <c r="N3248" s="202">
        <v>113271.6</v>
      </c>
      <c r="S3248" s="203"/>
      <c r="W3248" s="198" t="s">
        <v>51</v>
      </c>
      <c r="AE3248" s="198" t="s">
        <v>831</v>
      </c>
    </row>
    <row r="3249" spans="3:31" x14ac:dyDescent="0.25">
      <c r="C3249" s="201"/>
      <c r="E3249" s="201"/>
      <c r="F3249" s="201"/>
      <c r="I3249" s="198" t="s">
        <v>671</v>
      </c>
      <c r="J3249" s="198" t="s">
        <v>95</v>
      </c>
      <c r="K3249" s="202">
        <f t="shared" si="50"/>
        <v>1661580</v>
      </c>
      <c r="L3249" s="202">
        <v>325.8</v>
      </c>
      <c r="N3249" s="202">
        <v>18354.96</v>
      </c>
      <c r="S3249" s="203"/>
      <c r="W3249" s="198" t="s">
        <v>51</v>
      </c>
      <c r="AE3249" s="198" t="s">
        <v>831</v>
      </c>
    </row>
    <row r="3250" spans="3:31" x14ac:dyDescent="0.25">
      <c r="C3250" s="201"/>
      <c r="E3250" s="201"/>
      <c r="F3250" s="201"/>
      <c r="I3250" s="198" t="s">
        <v>672</v>
      </c>
      <c r="J3250" s="198" t="s">
        <v>95</v>
      </c>
      <c r="K3250" s="202">
        <f t="shared" si="50"/>
        <v>1662090</v>
      </c>
      <c r="L3250" s="202">
        <v>325.89999999999998</v>
      </c>
      <c r="N3250" s="202">
        <v>211826.16</v>
      </c>
      <c r="S3250" s="203"/>
      <c r="W3250" s="198" t="s">
        <v>51</v>
      </c>
      <c r="AE3250" s="198" t="s">
        <v>831</v>
      </c>
    </row>
    <row r="3251" spans="3:31" x14ac:dyDescent="0.25">
      <c r="C3251" s="201"/>
      <c r="E3251" s="201"/>
      <c r="F3251" s="201"/>
      <c r="I3251" s="198" t="s">
        <v>48</v>
      </c>
      <c r="J3251" s="198" t="s">
        <v>65</v>
      </c>
      <c r="K3251" s="202">
        <f t="shared" si="50"/>
        <v>1662600</v>
      </c>
      <c r="L3251" s="202">
        <v>326</v>
      </c>
      <c r="N3251" s="202">
        <v>55064.88</v>
      </c>
      <c r="S3251" s="203"/>
      <c r="W3251" s="198" t="s">
        <v>51</v>
      </c>
      <c r="AE3251" s="198" t="s">
        <v>831</v>
      </c>
    </row>
    <row r="3252" spans="3:31" x14ac:dyDescent="0.25">
      <c r="C3252" s="201"/>
      <c r="E3252" s="201"/>
      <c r="F3252" s="201"/>
      <c r="I3252" s="198" t="s">
        <v>109</v>
      </c>
      <c r="J3252" s="198" t="s">
        <v>89</v>
      </c>
      <c r="K3252" s="202">
        <f t="shared" si="50"/>
        <v>1663110</v>
      </c>
      <c r="L3252" s="202">
        <v>326.10000000000002</v>
      </c>
      <c r="N3252" s="202">
        <v>148824</v>
      </c>
      <c r="S3252" s="203"/>
      <c r="W3252" s="198" t="s">
        <v>51</v>
      </c>
      <c r="AE3252" s="198" t="s">
        <v>831</v>
      </c>
    </row>
    <row r="3253" spans="3:31" x14ac:dyDescent="0.25">
      <c r="C3253" s="201"/>
      <c r="E3253" s="201"/>
      <c r="F3253" s="201"/>
      <c r="I3253" s="198" t="s">
        <v>669</v>
      </c>
      <c r="J3253" s="198" t="s">
        <v>112</v>
      </c>
      <c r="K3253" s="202">
        <f t="shared" si="50"/>
        <v>1663620</v>
      </c>
      <c r="L3253" s="202">
        <v>326.2</v>
      </c>
      <c r="N3253" s="202">
        <v>47847.58</v>
      </c>
      <c r="S3253" s="203"/>
      <c r="W3253" s="198" t="s">
        <v>51</v>
      </c>
      <c r="AE3253" s="198" t="s">
        <v>831</v>
      </c>
    </row>
    <row r="3254" spans="3:31" x14ac:dyDescent="0.25">
      <c r="C3254" s="201"/>
      <c r="E3254" s="201"/>
      <c r="F3254" s="201"/>
      <c r="I3254" s="198" t="s">
        <v>669</v>
      </c>
      <c r="J3254" s="198" t="s">
        <v>112</v>
      </c>
      <c r="K3254" s="202">
        <f t="shared" si="50"/>
        <v>1664130</v>
      </c>
      <c r="L3254" s="202">
        <v>326.3</v>
      </c>
      <c r="N3254" s="202">
        <v>574706.92000000004</v>
      </c>
      <c r="S3254" s="203"/>
      <c r="W3254" s="198" t="s">
        <v>51</v>
      </c>
      <c r="AE3254" s="198" t="s">
        <v>831</v>
      </c>
    </row>
    <row r="3255" spans="3:31" x14ac:dyDescent="0.25">
      <c r="C3255" s="201"/>
      <c r="E3255" s="201"/>
      <c r="F3255" s="201"/>
      <c r="I3255" s="198" t="s">
        <v>669</v>
      </c>
      <c r="J3255" s="198" t="s">
        <v>112</v>
      </c>
      <c r="K3255" s="202">
        <f t="shared" si="50"/>
        <v>1664640</v>
      </c>
      <c r="L3255" s="202">
        <v>326.39999999999998</v>
      </c>
      <c r="N3255" s="202">
        <v>87179.92</v>
      </c>
      <c r="S3255" s="203"/>
      <c r="W3255" s="198" t="s">
        <v>51</v>
      </c>
      <c r="AE3255" s="198" t="s">
        <v>831</v>
      </c>
    </row>
    <row r="3256" spans="3:31" x14ac:dyDescent="0.25">
      <c r="C3256" s="201"/>
      <c r="E3256" s="201"/>
      <c r="F3256" s="201"/>
      <c r="I3256" s="198" t="s">
        <v>669</v>
      </c>
      <c r="J3256" s="198" t="s">
        <v>112</v>
      </c>
      <c r="K3256" s="202">
        <f t="shared" si="50"/>
        <v>1665150</v>
      </c>
      <c r="L3256" s="202">
        <v>326.5</v>
      </c>
      <c r="N3256" s="202">
        <v>694325.91</v>
      </c>
      <c r="S3256" s="203"/>
      <c r="W3256" s="198" t="s">
        <v>51</v>
      </c>
      <c r="AE3256" s="198" t="s">
        <v>831</v>
      </c>
    </row>
    <row r="3257" spans="3:31" x14ac:dyDescent="0.25">
      <c r="C3257" s="201"/>
      <c r="E3257" s="201"/>
      <c r="F3257" s="201"/>
      <c r="I3257" s="198" t="s">
        <v>669</v>
      </c>
      <c r="J3257" s="198" t="s">
        <v>112</v>
      </c>
      <c r="K3257" s="202">
        <f t="shared" si="50"/>
        <v>1665660</v>
      </c>
      <c r="L3257" s="202">
        <v>326.60000000000002</v>
      </c>
      <c r="N3257" s="202">
        <v>255051.95</v>
      </c>
      <c r="S3257" s="203"/>
      <c r="W3257" s="198" t="s">
        <v>51</v>
      </c>
      <c r="AE3257" s="198" t="s">
        <v>831</v>
      </c>
    </row>
    <row r="3258" spans="3:31" x14ac:dyDescent="0.25">
      <c r="C3258" s="201"/>
      <c r="E3258" s="201"/>
      <c r="F3258" s="201"/>
      <c r="I3258" s="198" t="s">
        <v>669</v>
      </c>
      <c r="J3258" s="198" t="s">
        <v>112</v>
      </c>
      <c r="K3258" s="202">
        <f t="shared" si="50"/>
        <v>1666170</v>
      </c>
      <c r="L3258" s="202">
        <v>326.7</v>
      </c>
      <c r="N3258" s="202">
        <v>496300.33</v>
      </c>
      <c r="S3258" s="203"/>
      <c r="W3258" s="198" t="s">
        <v>51</v>
      </c>
      <c r="AE3258" s="198" t="s">
        <v>831</v>
      </c>
    </row>
    <row r="3259" spans="3:31" x14ac:dyDescent="0.25">
      <c r="C3259" s="201"/>
      <c r="E3259" s="201"/>
      <c r="F3259" s="201"/>
      <c r="I3259" s="198" t="s">
        <v>669</v>
      </c>
      <c r="J3259" s="198" t="s">
        <v>112</v>
      </c>
      <c r="K3259" s="202">
        <f t="shared" si="50"/>
        <v>1666680</v>
      </c>
      <c r="L3259" s="202">
        <v>326.8</v>
      </c>
      <c r="N3259" s="202">
        <v>194938.36</v>
      </c>
      <c r="S3259" s="203"/>
      <c r="W3259" s="198" t="s">
        <v>51</v>
      </c>
      <c r="AE3259" s="198" t="s">
        <v>831</v>
      </c>
    </row>
    <row r="3260" spans="3:31" x14ac:dyDescent="0.25">
      <c r="C3260" s="201"/>
      <c r="E3260" s="201"/>
      <c r="F3260" s="201"/>
      <c r="I3260" s="198" t="s">
        <v>669</v>
      </c>
      <c r="J3260" s="198" t="s">
        <v>112</v>
      </c>
      <c r="K3260" s="202">
        <f t="shared" si="50"/>
        <v>1667190</v>
      </c>
      <c r="L3260" s="202">
        <v>326.89999999999998</v>
      </c>
      <c r="N3260" s="202">
        <v>492900.3</v>
      </c>
      <c r="S3260" s="203"/>
      <c r="W3260" s="198" t="s">
        <v>51</v>
      </c>
      <c r="AE3260" s="198" t="s">
        <v>831</v>
      </c>
    </row>
    <row r="3261" spans="3:31" x14ac:dyDescent="0.25">
      <c r="C3261" s="201"/>
      <c r="E3261" s="201"/>
      <c r="F3261" s="201"/>
      <c r="I3261" s="198" t="s">
        <v>669</v>
      </c>
      <c r="J3261" s="198" t="s">
        <v>112</v>
      </c>
      <c r="K3261" s="202">
        <f t="shared" si="50"/>
        <v>1667700</v>
      </c>
      <c r="L3261" s="202">
        <v>327</v>
      </c>
      <c r="N3261" s="202">
        <v>202845.37</v>
      </c>
      <c r="S3261" s="203"/>
      <c r="W3261" s="198" t="s">
        <v>51</v>
      </c>
      <c r="AE3261" s="198" t="s">
        <v>831</v>
      </c>
    </row>
    <row r="3262" spans="3:31" x14ac:dyDescent="0.25">
      <c r="C3262" s="201"/>
      <c r="E3262" s="201"/>
      <c r="F3262" s="201"/>
      <c r="I3262" s="198" t="s">
        <v>221</v>
      </c>
      <c r="J3262" s="198" t="s">
        <v>112</v>
      </c>
      <c r="K3262" s="202">
        <f t="shared" si="50"/>
        <v>1668210</v>
      </c>
      <c r="L3262" s="202">
        <v>327.10000000000002</v>
      </c>
      <c r="N3262" s="202">
        <v>354290</v>
      </c>
      <c r="S3262" s="204"/>
      <c r="W3262" s="198" t="s">
        <v>51</v>
      </c>
      <c r="AE3262" s="198" t="s">
        <v>831</v>
      </c>
    </row>
    <row r="3263" spans="3:31" x14ac:dyDescent="0.25">
      <c r="C3263" s="201"/>
      <c r="E3263" s="201"/>
      <c r="F3263" s="201"/>
      <c r="I3263" s="198" t="s">
        <v>221</v>
      </c>
      <c r="J3263" s="198" t="s">
        <v>112</v>
      </c>
      <c r="K3263" s="202">
        <f t="shared" si="50"/>
        <v>1668720</v>
      </c>
      <c r="L3263" s="202">
        <v>327.2</v>
      </c>
      <c r="N3263" s="202">
        <v>354290</v>
      </c>
      <c r="S3263" s="204"/>
      <c r="W3263" s="198" t="s">
        <v>51</v>
      </c>
      <c r="AE3263" s="198" t="s">
        <v>831</v>
      </c>
    </row>
    <row r="3264" spans="3:31" x14ac:dyDescent="0.25">
      <c r="C3264" s="201"/>
      <c r="E3264" s="201"/>
      <c r="F3264" s="201"/>
      <c r="I3264" s="198" t="s">
        <v>221</v>
      </c>
      <c r="J3264" s="198" t="s">
        <v>112</v>
      </c>
      <c r="K3264" s="202">
        <f t="shared" si="50"/>
        <v>1669230</v>
      </c>
      <c r="L3264" s="202">
        <v>327.3</v>
      </c>
      <c r="N3264" s="202">
        <v>354290</v>
      </c>
      <c r="S3264" s="204"/>
      <c r="W3264" s="198" t="s">
        <v>51</v>
      </c>
      <c r="AE3264" s="198" t="s">
        <v>831</v>
      </c>
    </row>
    <row r="3265" spans="3:31" x14ac:dyDescent="0.25">
      <c r="C3265" s="201"/>
      <c r="E3265" s="201"/>
      <c r="F3265" s="201"/>
      <c r="I3265" s="198" t="s">
        <v>221</v>
      </c>
      <c r="J3265" s="198" t="s">
        <v>112</v>
      </c>
      <c r="K3265" s="202">
        <f t="shared" si="50"/>
        <v>1669740</v>
      </c>
      <c r="L3265" s="202">
        <v>327.39999999999998</v>
      </c>
      <c r="N3265" s="202">
        <v>354290</v>
      </c>
      <c r="S3265" s="204"/>
      <c r="W3265" s="198" t="s">
        <v>51</v>
      </c>
      <c r="AE3265" s="198" t="s">
        <v>831</v>
      </c>
    </row>
    <row r="3266" spans="3:31" x14ac:dyDescent="0.25">
      <c r="C3266" s="201"/>
      <c r="E3266" s="201"/>
      <c r="F3266" s="201"/>
      <c r="I3266" s="198" t="s">
        <v>221</v>
      </c>
      <c r="J3266" s="198" t="s">
        <v>112</v>
      </c>
      <c r="K3266" s="202">
        <f t="shared" si="50"/>
        <v>1670250</v>
      </c>
      <c r="L3266" s="202">
        <v>327.5</v>
      </c>
      <c r="N3266" s="202">
        <v>354290</v>
      </c>
      <c r="S3266" s="204"/>
      <c r="W3266" s="198" t="s">
        <v>51</v>
      </c>
      <c r="AE3266" s="198" t="s">
        <v>831</v>
      </c>
    </row>
    <row r="3267" spans="3:31" x14ac:dyDescent="0.25">
      <c r="C3267" s="201"/>
      <c r="E3267" s="201"/>
      <c r="F3267" s="201"/>
      <c r="I3267" s="198" t="s">
        <v>221</v>
      </c>
      <c r="J3267" s="198" t="s">
        <v>112</v>
      </c>
      <c r="K3267" s="202">
        <f t="shared" ref="K3267:K3330" si="51">L3267*5100</f>
        <v>1670760</v>
      </c>
      <c r="L3267" s="202">
        <v>327.60000000000002</v>
      </c>
      <c r="N3267" s="202">
        <v>354290</v>
      </c>
      <c r="S3267" s="204"/>
      <c r="W3267" s="198" t="s">
        <v>51</v>
      </c>
      <c r="AE3267" s="198" t="s">
        <v>831</v>
      </c>
    </row>
    <row r="3268" spans="3:31" x14ac:dyDescent="0.25">
      <c r="C3268" s="201"/>
      <c r="E3268" s="201"/>
      <c r="F3268" s="201"/>
      <c r="I3268" s="198" t="s">
        <v>221</v>
      </c>
      <c r="J3268" s="198" t="s">
        <v>112</v>
      </c>
      <c r="K3268" s="202">
        <f t="shared" si="51"/>
        <v>1671270</v>
      </c>
      <c r="L3268" s="202">
        <v>327.7</v>
      </c>
      <c r="N3268" s="202">
        <v>354290</v>
      </c>
      <c r="S3268" s="204"/>
      <c r="W3268" s="198" t="s">
        <v>51</v>
      </c>
      <c r="AE3268" s="198" t="s">
        <v>831</v>
      </c>
    </row>
    <row r="3269" spans="3:31" x14ac:dyDescent="0.25">
      <c r="C3269" s="201"/>
      <c r="E3269" s="201"/>
      <c r="F3269" s="201"/>
      <c r="I3269" s="198" t="s">
        <v>221</v>
      </c>
      <c r="J3269" s="198" t="s">
        <v>112</v>
      </c>
      <c r="K3269" s="202">
        <f t="shared" si="51"/>
        <v>1671780</v>
      </c>
      <c r="L3269" s="202">
        <v>327.8</v>
      </c>
      <c r="N3269" s="202">
        <v>354290</v>
      </c>
      <c r="S3269" s="204"/>
      <c r="W3269" s="198" t="s">
        <v>51</v>
      </c>
      <c r="AE3269" s="198" t="s">
        <v>831</v>
      </c>
    </row>
    <row r="3270" spans="3:31" x14ac:dyDescent="0.25">
      <c r="C3270" s="201"/>
      <c r="E3270" s="201"/>
      <c r="F3270" s="201"/>
      <c r="I3270" s="198" t="s">
        <v>221</v>
      </c>
      <c r="J3270" s="198" t="s">
        <v>112</v>
      </c>
      <c r="K3270" s="202">
        <f t="shared" si="51"/>
        <v>1672290</v>
      </c>
      <c r="L3270" s="202">
        <v>327.9</v>
      </c>
      <c r="N3270" s="202">
        <v>354290</v>
      </c>
      <c r="S3270" s="204"/>
      <c r="W3270" s="198" t="s">
        <v>51</v>
      </c>
      <c r="AE3270" s="198" t="s">
        <v>831</v>
      </c>
    </row>
    <row r="3271" spans="3:31" x14ac:dyDescent="0.25">
      <c r="C3271" s="201"/>
      <c r="E3271" s="201"/>
      <c r="F3271" s="201"/>
      <c r="I3271" s="198" t="s">
        <v>221</v>
      </c>
      <c r="J3271" s="198" t="s">
        <v>112</v>
      </c>
      <c r="K3271" s="202">
        <f t="shared" si="51"/>
        <v>1672800</v>
      </c>
      <c r="L3271" s="202">
        <v>328</v>
      </c>
      <c r="N3271" s="202">
        <v>354290</v>
      </c>
      <c r="S3271" s="204"/>
      <c r="W3271" s="198" t="s">
        <v>51</v>
      </c>
      <c r="AE3271" s="198" t="s">
        <v>831</v>
      </c>
    </row>
    <row r="3272" spans="3:31" x14ac:dyDescent="0.25">
      <c r="C3272" s="201"/>
      <c r="E3272" s="201"/>
      <c r="F3272" s="201"/>
      <c r="I3272" s="198" t="s">
        <v>131</v>
      </c>
      <c r="J3272" s="198" t="s">
        <v>132</v>
      </c>
      <c r="K3272" s="202">
        <f t="shared" si="51"/>
        <v>1673310</v>
      </c>
      <c r="L3272" s="202">
        <v>328.1</v>
      </c>
      <c r="N3272" s="202">
        <v>836160</v>
      </c>
      <c r="S3272" s="204"/>
      <c r="W3272" s="198" t="s">
        <v>51</v>
      </c>
      <c r="AE3272" s="198" t="s">
        <v>833</v>
      </c>
    </row>
    <row r="3273" spans="3:31" x14ac:dyDescent="0.25">
      <c r="C3273" s="201"/>
      <c r="E3273" s="201"/>
      <c r="F3273" s="201"/>
      <c r="I3273" s="198" t="s">
        <v>559</v>
      </c>
      <c r="J3273" s="198" t="s">
        <v>137</v>
      </c>
      <c r="K3273" s="202">
        <f t="shared" si="51"/>
        <v>1673820</v>
      </c>
      <c r="L3273" s="202">
        <v>328.2</v>
      </c>
      <c r="N3273" s="202">
        <v>16535647</v>
      </c>
      <c r="S3273" s="204"/>
      <c r="W3273" s="198" t="s">
        <v>51</v>
      </c>
      <c r="AE3273" s="198" t="s">
        <v>844</v>
      </c>
    </row>
    <row r="3274" spans="3:31" x14ac:dyDescent="0.25">
      <c r="C3274" s="201"/>
      <c r="E3274" s="201"/>
      <c r="F3274" s="201"/>
      <c r="I3274" s="198" t="s">
        <v>559</v>
      </c>
      <c r="J3274" s="198" t="s">
        <v>137</v>
      </c>
      <c r="K3274" s="202">
        <f t="shared" si="51"/>
        <v>1674330</v>
      </c>
      <c r="L3274" s="202">
        <v>328.3</v>
      </c>
      <c r="N3274" s="202">
        <v>16535647</v>
      </c>
      <c r="S3274" s="204"/>
      <c r="W3274" s="198" t="s">
        <v>51</v>
      </c>
      <c r="AE3274" s="198" t="s">
        <v>844</v>
      </c>
    </row>
    <row r="3275" spans="3:31" x14ac:dyDescent="0.25">
      <c r="C3275" s="201"/>
      <c r="E3275" s="201"/>
      <c r="F3275" s="201"/>
      <c r="I3275" s="198" t="s">
        <v>559</v>
      </c>
      <c r="J3275" s="198" t="s">
        <v>137</v>
      </c>
      <c r="K3275" s="202">
        <f t="shared" si="51"/>
        <v>1674840</v>
      </c>
      <c r="L3275" s="202">
        <v>328.4</v>
      </c>
      <c r="N3275" s="202">
        <v>16535647</v>
      </c>
      <c r="S3275" s="204"/>
      <c r="W3275" s="198" t="s">
        <v>51</v>
      </c>
      <c r="AE3275" s="198" t="s">
        <v>844</v>
      </c>
    </row>
    <row r="3276" spans="3:31" x14ac:dyDescent="0.25">
      <c r="C3276" s="201"/>
      <c r="E3276" s="201"/>
      <c r="F3276" s="201"/>
      <c r="I3276" s="198" t="s">
        <v>577</v>
      </c>
      <c r="J3276" s="198" t="s">
        <v>130</v>
      </c>
      <c r="K3276" s="202">
        <f t="shared" si="51"/>
        <v>1675350</v>
      </c>
      <c r="L3276" s="202">
        <v>328.5</v>
      </c>
      <c r="N3276" s="202">
        <v>3578955</v>
      </c>
      <c r="S3276" s="204"/>
      <c r="W3276" s="198" t="s">
        <v>51</v>
      </c>
      <c r="AE3276" s="198" t="s">
        <v>833</v>
      </c>
    </row>
    <row r="3277" spans="3:31" x14ac:dyDescent="0.25">
      <c r="C3277" s="201"/>
      <c r="E3277" s="201"/>
      <c r="F3277" s="201"/>
      <c r="I3277" s="198" t="s">
        <v>82</v>
      </c>
      <c r="J3277" s="198" t="s">
        <v>89</v>
      </c>
      <c r="K3277" s="202">
        <f t="shared" si="51"/>
        <v>1675860</v>
      </c>
      <c r="L3277" s="202">
        <v>328.6</v>
      </c>
      <c r="N3277" s="202">
        <v>268730</v>
      </c>
      <c r="S3277" s="204"/>
      <c r="W3277" s="198" t="s">
        <v>51</v>
      </c>
      <c r="AE3277" s="198" t="s">
        <v>831</v>
      </c>
    </row>
    <row r="3278" spans="3:31" x14ac:dyDescent="0.25">
      <c r="C3278" s="201"/>
      <c r="E3278" s="201"/>
      <c r="F3278" s="201"/>
      <c r="I3278" s="198" t="s">
        <v>555</v>
      </c>
      <c r="J3278" s="198" t="s">
        <v>132</v>
      </c>
      <c r="K3278" s="202">
        <f t="shared" si="51"/>
        <v>1676370</v>
      </c>
      <c r="L3278" s="202">
        <v>328.7</v>
      </c>
      <c r="N3278" s="202">
        <v>1361794.5</v>
      </c>
      <c r="S3278" s="204"/>
      <c r="W3278" s="198" t="s">
        <v>51</v>
      </c>
      <c r="AE3278" s="198" t="s">
        <v>833</v>
      </c>
    </row>
    <row r="3279" spans="3:31" x14ac:dyDescent="0.25">
      <c r="C3279" s="201"/>
      <c r="E3279" s="201"/>
      <c r="F3279" s="201"/>
      <c r="I3279" s="198" t="s">
        <v>435</v>
      </c>
      <c r="J3279" s="198" t="s">
        <v>130</v>
      </c>
      <c r="K3279" s="202">
        <f t="shared" si="51"/>
        <v>1676880</v>
      </c>
      <c r="L3279" s="202">
        <v>328.8</v>
      </c>
      <c r="N3279" s="202">
        <v>379971.87</v>
      </c>
      <c r="S3279" s="204"/>
      <c r="W3279" s="198" t="s">
        <v>51</v>
      </c>
      <c r="AE3279" s="198" t="s">
        <v>833</v>
      </c>
    </row>
    <row r="3280" spans="3:31" x14ac:dyDescent="0.25">
      <c r="C3280" s="201"/>
      <c r="E3280" s="201"/>
      <c r="F3280" s="201"/>
      <c r="I3280" s="198" t="s">
        <v>1892</v>
      </c>
      <c r="J3280" s="198" t="s">
        <v>143</v>
      </c>
      <c r="K3280" s="202">
        <f t="shared" si="51"/>
        <v>1677390</v>
      </c>
      <c r="L3280" s="202">
        <v>328.9</v>
      </c>
      <c r="N3280" s="202">
        <v>32447656.25</v>
      </c>
      <c r="S3280" s="203"/>
      <c r="W3280" s="198" t="s">
        <v>51</v>
      </c>
      <c r="AE3280" s="198" t="s">
        <v>829</v>
      </c>
    </row>
    <row r="3281" spans="3:31" x14ac:dyDescent="0.25">
      <c r="C3281" s="201"/>
      <c r="E3281" s="201"/>
      <c r="F3281" s="201"/>
      <c r="I3281" s="198" t="s">
        <v>1295</v>
      </c>
      <c r="J3281" s="198" t="s">
        <v>143</v>
      </c>
      <c r="K3281" s="202">
        <f t="shared" si="51"/>
        <v>1677900</v>
      </c>
      <c r="L3281" s="202">
        <v>329</v>
      </c>
      <c r="N3281" s="202">
        <v>929072443.5</v>
      </c>
      <c r="S3281" s="204"/>
      <c r="W3281" s="198" t="s">
        <v>51</v>
      </c>
      <c r="AE3281" s="198" t="s">
        <v>829</v>
      </c>
    </row>
    <row r="3282" spans="3:31" x14ac:dyDescent="0.25">
      <c r="C3282" s="201"/>
      <c r="E3282" s="201"/>
      <c r="F3282" s="201"/>
      <c r="I3282" s="198" t="s">
        <v>1890</v>
      </c>
      <c r="J3282" s="198" t="s">
        <v>143</v>
      </c>
      <c r="K3282" s="202">
        <f t="shared" si="51"/>
        <v>1678410</v>
      </c>
      <c r="L3282" s="202">
        <v>329.1</v>
      </c>
      <c r="N3282" s="202">
        <v>88407136.510000005</v>
      </c>
      <c r="S3282" s="204"/>
      <c r="W3282" s="198" t="s">
        <v>51</v>
      </c>
      <c r="AE3282" s="198" t="s">
        <v>829</v>
      </c>
    </row>
    <row r="3283" spans="3:31" x14ac:dyDescent="0.25">
      <c r="C3283" s="201"/>
      <c r="E3283" s="201"/>
      <c r="F3283" s="201"/>
      <c r="I3283" s="198" t="s">
        <v>1894</v>
      </c>
      <c r="J3283" s="198" t="s">
        <v>143</v>
      </c>
      <c r="K3283" s="202">
        <f t="shared" si="51"/>
        <v>1678920</v>
      </c>
      <c r="L3283" s="202">
        <v>329.2</v>
      </c>
      <c r="N3283" s="202">
        <v>92102634</v>
      </c>
      <c r="S3283" s="204"/>
      <c r="W3283" s="198" t="s">
        <v>51</v>
      </c>
      <c r="AE3283" s="198" t="s">
        <v>829</v>
      </c>
    </row>
    <row r="3284" spans="3:31" x14ac:dyDescent="0.25">
      <c r="C3284" s="201"/>
      <c r="E3284" s="201"/>
      <c r="F3284" s="201"/>
      <c r="I3284" s="198" t="s">
        <v>1896</v>
      </c>
      <c r="J3284" s="198" t="s">
        <v>143</v>
      </c>
      <c r="K3284" s="202">
        <f t="shared" si="51"/>
        <v>1679430</v>
      </c>
      <c r="L3284" s="202">
        <v>329.3</v>
      </c>
      <c r="N3284" s="202">
        <v>175569362.88</v>
      </c>
      <c r="S3284" s="204"/>
      <c r="W3284" s="198" t="s">
        <v>51</v>
      </c>
      <c r="AE3284" s="198" t="s">
        <v>829</v>
      </c>
    </row>
    <row r="3285" spans="3:31" x14ac:dyDescent="0.25">
      <c r="C3285" s="201"/>
      <c r="E3285" s="201"/>
      <c r="F3285" s="201"/>
      <c r="I3285" s="198" t="s">
        <v>1898</v>
      </c>
      <c r="J3285" s="198" t="s">
        <v>143</v>
      </c>
      <c r="K3285" s="202">
        <f t="shared" si="51"/>
        <v>1679940</v>
      </c>
      <c r="L3285" s="202">
        <v>329.4</v>
      </c>
      <c r="N3285" s="202">
        <v>300792829.56999999</v>
      </c>
      <c r="S3285" s="203"/>
      <c r="W3285" s="198" t="s">
        <v>51</v>
      </c>
      <c r="AE3285" s="198" t="s">
        <v>829</v>
      </c>
    </row>
    <row r="3286" spans="3:31" x14ac:dyDescent="0.25">
      <c r="C3286" s="201"/>
      <c r="E3286" s="201"/>
      <c r="F3286" s="201"/>
      <c r="I3286" s="198" t="s">
        <v>1892</v>
      </c>
      <c r="J3286" s="198" t="s">
        <v>143</v>
      </c>
      <c r="K3286" s="202">
        <f t="shared" si="51"/>
        <v>1680450</v>
      </c>
      <c r="L3286" s="202">
        <v>329.5</v>
      </c>
      <c r="N3286" s="202">
        <v>-32447656.25</v>
      </c>
      <c r="S3286" s="203"/>
      <c r="W3286" s="198" t="s">
        <v>51</v>
      </c>
      <c r="AE3286" s="198" t="s">
        <v>829</v>
      </c>
    </row>
    <row r="3287" spans="3:31" x14ac:dyDescent="0.25">
      <c r="C3287" s="201"/>
      <c r="E3287" s="201"/>
      <c r="F3287" s="201"/>
      <c r="I3287" s="198" t="s">
        <v>1295</v>
      </c>
      <c r="J3287" s="198" t="s">
        <v>143</v>
      </c>
      <c r="K3287" s="202">
        <f t="shared" si="51"/>
        <v>1680960</v>
      </c>
      <c r="L3287" s="202">
        <v>329.6</v>
      </c>
      <c r="N3287" s="202">
        <v>-929072443.5</v>
      </c>
      <c r="S3287" s="204"/>
      <c r="W3287" s="198" t="s">
        <v>51</v>
      </c>
      <c r="AE3287" s="198" t="s">
        <v>829</v>
      </c>
    </row>
    <row r="3288" spans="3:31" x14ac:dyDescent="0.25">
      <c r="C3288" s="201"/>
      <c r="E3288" s="201"/>
      <c r="F3288" s="201"/>
      <c r="I3288" s="198" t="s">
        <v>1890</v>
      </c>
      <c r="J3288" s="198" t="s">
        <v>143</v>
      </c>
      <c r="K3288" s="202">
        <f t="shared" si="51"/>
        <v>1681470</v>
      </c>
      <c r="L3288" s="202">
        <v>329.7</v>
      </c>
      <c r="N3288" s="202">
        <v>-88407136.510000005</v>
      </c>
      <c r="S3288" s="204"/>
      <c r="W3288" s="198" t="s">
        <v>51</v>
      </c>
      <c r="AE3288" s="198" t="s">
        <v>829</v>
      </c>
    </row>
    <row r="3289" spans="3:31" x14ac:dyDescent="0.25">
      <c r="C3289" s="201"/>
      <c r="E3289" s="201"/>
      <c r="F3289" s="201"/>
      <c r="I3289" s="198" t="s">
        <v>1894</v>
      </c>
      <c r="J3289" s="198" t="s">
        <v>143</v>
      </c>
      <c r="K3289" s="202">
        <f t="shared" si="51"/>
        <v>1681980</v>
      </c>
      <c r="L3289" s="202">
        <v>329.8</v>
      </c>
      <c r="N3289" s="202">
        <v>-92102634</v>
      </c>
      <c r="S3289" s="204"/>
      <c r="W3289" s="198" t="s">
        <v>51</v>
      </c>
      <c r="AE3289" s="198" t="s">
        <v>829</v>
      </c>
    </row>
    <row r="3290" spans="3:31" x14ac:dyDescent="0.25">
      <c r="C3290" s="201"/>
      <c r="E3290" s="201"/>
      <c r="F3290" s="201"/>
      <c r="I3290" s="198" t="s">
        <v>1896</v>
      </c>
      <c r="J3290" s="198" t="s">
        <v>143</v>
      </c>
      <c r="K3290" s="202">
        <f t="shared" si="51"/>
        <v>1682490</v>
      </c>
      <c r="L3290" s="202">
        <v>329.9</v>
      </c>
      <c r="N3290" s="202">
        <v>-175569362.88</v>
      </c>
      <c r="S3290" s="204"/>
      <c r="W3290" s="198" t="s">
        <v>51</v>
      </c>
      <c r="AE3290" s="198" t="s">
        <v>829</v>
      </c>
    </row>
    <row r="3291" spans="3:31" x14ac:dyDescent="0.25">
      <c r="C3291" s="201"/>
      <c r="E3291" s="201"/>
      <c r="F3291" s="201"/>
      <c r="I3291" s="198" t="s">
        <v>1898</v>
      </c>
      <c r="J3291" s="198" t="s">
        <v>143</v>
      </c>
      <c r="K3291" s="202">
        <f t="shared" si="51"/>
        <v>1683000</v>
      </c>
      <c r="L3291" s="202">
        <v>330</v>
      </c>
      <c r="N3291" s="202">
        <v>-300792829.56999999</v>
      </c>
      <c r="S3291" s="203"/>
      <c r="W3291" s="198" t="s">
        <v>51</v>
      </c>
      <c r="AE3291" s="198" t="s">
        <v>829</v>
      </c>
    </row>
    <row r="3292" spans="3:31" x14ac:dyDescent="0.25">
      <c r="C3292" s="201"/>
      <c r="E3292" s="201"/>
      <c r="F3292" s="201"/>
      <c r="I3292" s="198" t="s">
        <v>435</v>
      </c>
      <c r="J3292" s="198" t="s">
        <v>130</v>
      </c>
      <c r="K3292" s="202">
        <f t="shared" si="51"/>
        <v>1683510</v>
      </c>
      <c r="L3292" s="202">
        <v>330.1</v>
      </c>
      <c r="N3292" s="202">
        <v>382653.63</v>
      </c>
      <c r="S3292" s="204"/>
      <c r="W3292" s="198" t="s">
        <v>51</v>
      </c>
      <c r="AE3292" s="198" t="s">
        <v>833</v>
      </c>
    </row>
    <row r="3293" spans="3:31" x14ac:dyDescent="0.25">
      <c r="C3293" s="201"/>
      <c r="E3293" s="201"/>
      <c r="F3293" s="201"/>
      <c r="I3293" s="198" t="s">
        <v>435</v>
      </c>
      <c r="J3293" s="198" t="s">
        <v>130</v>
      </c>
      <c r="K3293" s="202">
        <f t="shared" si="51"/>
        <v>1684020</v>
      </c>
      <c r="L3293" s="202">
        <v>330.2</v>
      </c>
      <c r="N3293" s="202">
        <v>381647.97</v>
      </c>
      <c r="S3293" s="204"/>
      <c r="W3293" s="198" t="s">
        <v>51</v>
      </c>
      <c r="AE3293" s="198" t="s">
        <v>833</v>
      </c>
    </row>
    <row r="3294" spans="3:31" x14ac:dyDescent="0.25">
      <c r="C3294" s="201"/>
      <c r="E3294" s="201"/>
      <c r="F3294" s="201"/>
      <c r="I3294" s="198" t="s">
        <v>435</v>
      </c>
      <c r="J3294" s="198" t="s">
        <v>130</v>
      </c>
      <c r="K3294" s="202">
        <f t="shared" si="51"/>
        <v>1684530</v>
      </c>
      <c r="L3294" s="202">
        <v>330.3</v>
      </c>
      <c r="N3294" s="202">
        <v>381815.58</v>
      </c>
      <c r="S3294" s="204"/>
      <c r="W3294" s="198" t="s">
        <v>51</v>
      </c>
      <c r="AE3294" s="198" t="s">
        <v>833</v>
      </c>
    </row>
    <row r="3295" spans="3:31" x14ac:dyDescent="0.25">
      <c r="C3295" s="201"/>
      <c r="E3295" s="201"/>
      <c r="F3295" s="201"/>
      <c r="I3295" s="198" t="s">
        <v>435</v>
      </c>
      <c r="J3295" s="198" t="s">
        <v>130</v>
      </c>
      <c r="K3295" s="202">
        <f t="shared" si="51"/>
        <v>1685040</v>
      </c>
      <c r="L3295" s="202">
        <v>330.4</v>
      </c>
      <c r="N3295" s="202">
        <v>381815.58</v>
      </c>
      <c r="S3295" s="204"/>
      <c r="W3295" s="198" t="s">
        <v>51</v>
      </c>
      <c r="AE3295" s="198" t="s">
        <v>833</v>
      </c>
    </row>
    <row r="3296" spans="3:31" x14ac:dyDescent="0.25">
      <c r="C3296" s="201"/>
      <c r="E3296" s="201"/>
      <c r="F3296" s="201"/>
      <c r="I3296" s="198" t="s">
        <v>435</v>
      </c>
      <c r="J3296" s="198" t="s">
        <v>130</v>
      </c>
      <c r="K3296" s="202">
        <f t="shared" si="51"/>
        <v>1685550</v>
      </c>
      <c r="L3296" s="202">
        <v>330.5</v>
      </c>
      <c r="N3296" s="202">
        <v>382150.8</v>
      </c>
      <c r="S3296" s="204"/>
      <c r="W3296" s="198" t="s">
        <v>51</v>
      </c>
      <c r="AE3296" s="198" t="s">
        <v>833</v>
      </c>
    </row>
    <row r="3297" spans="3:31" x14ac:dyDescent="0.25">
      <c r="C3297" s="201"/>
      <c r="E3297" s="201"/>
      <c r="F3297" s="201"/>
      <c r="I3297" s="198" t="s">
        <v>435</v>
      </c>
      <c r="J3297" s="198" t="s">
        <v>130</v>
      </c>
      <c r="K3297" s="202">
        <f t="shared" si="51"/>
        <v>1686060</v>
      </c>
      <c r="L3297" s="202">
        <v>330.6</v>
      </c>
      <c r="N3297" s="202">
        <v>380809.92</v>
      </c>
      <c r="S3297" s="204"/>
      <c r="W3297" s="198" t="s">
        <v>51</v>
      </c>
      <c r="AE3297" s="198" t="s">
        <v>833</v>
      </c>
    </row>
    <row r="3298" spans="3:31" x14ac:dyDescent="0.25">
      <c r="C3298" s="201"/>
      <c r="E3298" s="201"/>
      <c r="F3298" s="201"/>
      <c r="I3298" s="198" t="s">
        <v>435</v>
      </c>
      <c r="J3298" s="198" t="s">
        <v>130</v>
      </c>
      <c r="K3298" s="202">
        <f t="shared" si="51"/>
        <v>1686570</v>
      </c>
      <c r="L3298" s="202">
        <v>330.7</v>
      </c>
      <c r="N3298" s="202">
        <v>382653.63</v>
      </c>
      <c r="S3298" s="204"/>
      <c r="W3298" s="198" t="s">
        <v>51</v>
      </c>
      <c r="AE3298" s="198" t="s">
        <v>833</v>
      </c>
    </row>
    <row r="3299" spans="3:31" x14ac:dyDescent="0.25">
      <c r="C3299" s="201"/>
      <c r="E3299" s="201"/>
      <c r="F3299" s="201"/>
      <c r="I3299" s="198" t="s">
        <v>435</v>
      </c>
      <c r="J3299" s="198" t="s">
        <v>130</v>
      </c>
      <c r="K3299" s="202">
        <f t="shared" si="51"/>
        <v>1687080</v>
      </c>
      <c r="L3299" s="202">
        <v>330.8</v>
      </c>
      <c r="N3299" s="202">
        <v>381983.19</v>
      </c>
      <c r="S3299" s="204"/>
      <c r="W3299" s="198" t="s">
        <v>51</v>
      </c>
      <c r="AE3299" s="198" t="s">
        <v>833</v>
      </c>
    </row>
    <row r="3300" spans="3:31" x14ac:dyDescent="0.25">
      <c r="C3300" s="201"/>
      <c r="E3300" s="201"/>
      <c r="F3300" s="201"/>
      <c r="I3300" s="198" t="s">
        <v>435</v>
      </c>
      <c r="J3300" s="198" t="s">
        <v>130</v>
      </c>
      <c r="K3300" s="202">
        <f t="shared" si="51"/>
        <v>1687590</v>
      </c>
      <c r="L3300" s="202">
        <v>330.9</v>
      </c>
      <c r="N3300" s="202">
        <v>379636.65</v>
      </c>
      <c r="S3300" s="204"/>
      <c r="W3300" s="198" t="s">
        <v>51</v>
      </c>
      <c r="AE3300" s="198" t="s">
        <v>833</v>
      </c>
    </row>
    <row r="3301" spans="3:31" x14ac:dyDescent="0.25">
      <c r="C3301" s="201"/>
      <c r="E3301" s="201"/>
      <c r="F3301" s="201"/>
      <c r="I3301" s="198" t="s">
        <v>435</v>
      </c>
      <c r="J3301" s="198" t="s">
        <v>130</v>
      </c>
      <c r="K3301" s="202">
        <f t="shared" si="51"/>
        <v>1688100</v>
      </c>
      <c r="L3301" s="202">
        <v>331</v>
      </c>
      <c r="N3301" s="202">
        <v>382318.41</v>
      </c>
      <c r="S3301" s="204"/>
      <c r="W3301" s="198" t="s">
        <v>51</v>
      </c>
      <c r="AE3301" s="198" t="s">
        <v>833</v>
      </c>
    </row>
    <row r="3302" spans="3:31" x14ac:dyDescent="0.25">
      <c r="C3302" s="201"/>
      <c r="E3302" s="201"/>
      <c r="F3302" s="201"/>
      <c r="I3302" s="198" t="s">
        <v>435</v>
      </c>
      <c r="J3302" s="198" t="s">
        <v>130</v>
      </c>
      <c r="K3302" s="202">
        <f t="shared" si="51"/>
        <v>1688610</v>
      </c>
      <c r="L3302" s="202">
        <v>331.1</v>
      </c>
      <c r="N3302" s="202">
        <v>380977.53</v>
      </c>
      <c r="S3302" s="204"/>
      <c r="W3302" s="198" t="s">
        <v>51</v>
      </c>
      <c r="AE3302" s="198" t="s">
        <v>833</v>
      </c>
    </row>
    <row r="3303" spans="3:31" x14ac:dyDescent="0.25">
      <c r="C3303" s="201"/>
      <c r="E3303" s="201"/>
      <c r="F3303" s="201"/>
      <c r="I3303" s="198" t="s">
        <v>435</v>
      </c>
      <c r="J3303" s="198" t="s">
        <v>130</v>
      </c>
      <c r="K3303" s="202">
        <f t="shared" si="51"/>
        <v>1689120</v>
      </c>
      <c r="L3303" s="202">
        <v>331.2</v>
      </c>
      <c r="N3303" s="202">
        <v>382821.24</v>
      </c>
      <c r="S3303" s="204"/>
      <c r="W3303" s="198" t="s">
        <v>51</v>
      </c>
      <c r="AE3303" s="198" t="s">
        <v>833</v>
      </c>
    </row>
    <row r="3304" spans="3:31" x14ac:dyDescent="0.25">
      <c r="C3304" s="201"/>
      <c r="E3304" s="201"/>
      <c r="F3304" s="201"/>
      <c r="I3304" s="198" t="s">
        <v>555</v>
      </c>
      <c r="J3304" s="198" t="s">
        <v>132</v>
      </c>
      <c r="K3304" s="202">
        <f t="shared" si="51"/>
        <v>1689630</v>
      </c>
      <c r="L3304" s="202">
        <v>331.3</v>
      </c>
      <c r="N3304" s="202">
        <v>214008.48</v>
      </c>
      <c r="S3304" s="204"/>
      <c r="W3304" s="198" t="s">
        <v>51</v>
      </c>
      <c r="AE3304" s="198" t="s">
        <v>833</v>
      </c>
    </row>
    <row r="3305" spans="3:31" x14ac:dyDescent="0.25">
      <c r="C3305" s="201"/>
      <c r="E3305" s="201"/>
      <c r="F3305" s="201"/>
      <c r="I3305" s="198" t="s">
        <v>555</v>
      </c>
      <c r="J3305" s="198" t="s">
        <v>132</v>
      </c>
      <c r="K3305" s="202">
        <f t="shared" si="51"/>
        <v>1690140</v>
      </c>
      <c r="L3305" s="202">
        <v>331.4</v>
      </c>
      <c r="N3305" s="202">
        <v>95632.320000000007</v>
      </c>
      <c r="S3305" s="204"/>
      <c r="W3305" s="198" t="s">
        <v>51</v>
      </c>
      <c r="AE3305" s="198" t="s">
        <v>833</v>
      </c>
    </row>
    <row r="3306" spans="3:31" x14ac:dyDescent="0.25">
      <c r="C3306" s="201"/>
      <c r="E3306" s="201"/>
      <c r="F3306" s="201"/>
      <c r="I3306" s="198" t="s">
        <v>528</v>
      </c>
      <c r="J3306" s="198" t="s">
        <v>134</v>
      </c>
      <c r="K3306" s="202">
        <f t="shared" si="51"/>
        <v>1690650</v>
      </c>
      <c r="L3306" s="202">
        <v>331.5</v>
      </c>
      <c r="N3306" s="202">
        <v>247954.59</v>
      </c>
      <c r="S3306" s="204"/>
      <c r="W3306" s="198" t="s">
        <v>51</v>
      </c>
      <c r="AE3306" s="198" t="s">
        <v>846</v>
      </c>
    </row>
    <row r="3307" spans="3:31" x14ac:dyDescent="0.25">
      <c r="C3307" s="201"/>
      <c r="E3307" s="201"/>
      <c r="F3307" s="201"/>
      <c r="I3307" s="198" t="s">
        <v>221</v>
      </c>
      <c r="J3307" s="198" t="s">
        <v>112</v>
      </c>
      <c r="K3307" s="202">
        <f t="shared" si="51"/>
        <v>1691160</v>
      </c>
      <c r="L3307" s="202">
        <v>331.6</v>
      </c>
      <c r="N3307" s="202">
        <v>354290</v>
      </c>
      <c r="S3307" s="204"/>
      <c r="W3307" s="198" t="s">
        <v>51</v>
      </c>
      <c r="AE3307" s="198" t="s">
        <v>831</v>
      </c>
    </row>
    <row r="3308" spans="3:31" x14ac:dyDescent="0.25">
      <c r="C3308" s="201"/>
      <c r="E3308" s="201"/>
      <c r="F3308" s="201"/>
      <c r="I3308" s="198" t="s">
        <v>221</v>
      </c>
      <c r="J3308" s="198" t="s">
        <v>112</v>
      </c>
      <c r="K3308" s="202">
        <f t="shared" si="51"/>
        <v>1691670</v>
      </c>
      <c r="L3308" s="202">
        <v>331.7</v>
      </c>
      <c r="N3308" s="202">
        <v>354290</v>
      </c>
      <c r="S3308" s="204"/>
      <c r="W3308" s="198" t="s">
        <v>51</v>
      </c>
      <c r="AE3308" s="198" t="s">
        <v>831</v>
      </c>
    </row>
    <row r="3309" spans="3:31" x14ac:dyDescent="0.25">
      <c r="C3309" s="201"/>
      <c r="E3309" s="201"/>
      <c r="F3309" s="201"/>
      <c r="I3309" s="198" t="s">
        <v>221</v>
      </c>
      <c r="J3309" s="198" t="s">
        <v>112</v>
      </c>
      <c r="K3309" s="202">
        <f t="shared" si="51"/>
        <v>1692180</v>
      </c>
      <c r="L3309" s="202">
        <v>331.8</v>
      </c>
      <c r="N3309" s="202">
        <v>354290</v>
      </c>
      <c r="S3309" s="204"/>
      <c r="W3309" s="198" t="s">
        <v>51</v>
      </c>
      <c r="AE3309" s="198" t="s">
        <v>831</v>
      </c>
    </row>
    <row r="3310" spans="3:31" x14ac:dyDescent="0.25">
      <c r="C3310" s="201"/>
      <c r="E3310" s="201"/>
      <c r="F3310" s="201"/>
      <c r="I3310" s="198" t="s">
        <v>221</v>
      </c>
      <c r="J3310" s="198" t="s">
        <v>112</v>
      </c>
      <c r="K3310" s="202">
        <f t="shared" si="51"/>
        <v>1692690</v>
      </c>
      <c r="L3310" s="202">
        <v>331.9</v>
      </c>
      <c r="N3310" s="202">
        <v>354290</v>
      </c>
      <c r="S3310" s="204"/>
      <c r="W3310" s="198" t="s">
        <v>51</v>
      </c>
      <c r="AE3310" s="198" t="s">
        <v>831</v>
      </c>
    </row>
    <row r="3311" spans="3:31" x14ac:dyDescent="0.25">
      <c r="C3311" s="201"/>
      <c r="E3311" s="201"/>
      <c r="F3311" s="201"/>
      <c r="I3311" s="198" t="s">
        <v>221</v>
      </c>
      <c r="J3311" s="198" t="s">
        <v>112</v>
      </c>
      <c r="K3311" s="202">
        <f t="shared" si="51"/>
        <v>1693200</v>
      </c>
      <c r="L3311" s="202">
        <v>332</v>
      </c>
      <c r="N3311" s="202">
        <v>354290</v>
      </c>
      <c r="S3311" s="204"/>
      <c r="W3311" s="198" t="s">
        <v>51</v>
      </c>
      <c r="AE3311" s="198" t="s">
        <v>831</v>
      </c>
    </row>
    <row r="3312" spans="3:31" x14ac:dyDescent="0.25">
      <c r="C3312" s="201"/>
      <c r="E3312" s="201"/>
      <c r="F3312" s="201"/>
      <c r="I3312" s="198" t="s">
        <v>221</v>
      </c>
      <c r="J3312" s="198" t="s">
        <v>112</v>
      </c>
      <c r="K3312" s="202">
        <f t="shared" si="51"/>
        <v>1693710</v>
      </c>
      <c r="L3312" s="202">
        <v>332.1</v>
      </c>
      <c r="N3312" s="202">
        <v>354290</v>
      </c>
      <c r="S3312" s="204"/>
      <c r="W3312" s="198" t="s">
        <v>51</v>
      </c>
      <c r="AE3312" s="198" t="s">
        <v>831</v>
      </c>
    </row>
    <row r="3313" spans="3:31" x14ac:dyDescent="0.25">
      <c r="C3313" s="201"/>
      <c r="E3313" s="201"/>
      <c r="F3313" s="201"/>
      <c r="I3313" s="198" t="s">
        <v>131</v>
      </c>
      <c r="J3313" s="198" t="s">
        <v>132</v>
      </c>
      <c r="K3313" s="202">
        <f t="shared" si="51"/>
        <v>1694220</v>
      </c>
      <c r="L3313" s="202">
        <v>332.2</v>
      </c>
      <c r="N3313" s="202">
        <v>-0.3</v>
      </c>
      <c r="S3313" s="204"/>
      <c r="W3313" s="198" t="s">
        <v>51</v>
      </c>
      <c r="AE3313" s="198" t="s">
        <v>833</v>
      </c>
    </row>
    <row r="3314" spans="3:31" x14ac:dyDescent="0.25">
      <c r="C3314" s="201"/>
      <c r="E3314" s="201"/>
      <c r="F3314" s="201"/>
      <c r="I3314" s="198" t="s">
        <v>669</v>
      </c>
      <c r="J3314" s="198" t="s">
        <v>112</v>
      </c>
      <c r="K3314" s="202">
        <f t="shared" si="51"/>
        <v>1694730</v>
      </c>
      <c r="L3314" s="202">
        <v>332.3</v>
      </c>
      <c r="N3314" s="202">
        <v>0.43</v>
      </c>
      <c r="S3314" s="204"/>
      <c r="W3314" s="198" t="s">
        <v>51</v>
      </c>
      <c r="AE3314" s="198" t="s">
        <v>831</v>
      </c>
    </row>
    <row r="3315" spans="3:31" x14ac:dyDescent="0.25">
      <c r="C3315" s="201"/>
      <c r="E3315" s="201"/>
      <c r="F3315" s="201"/>
      <c r="I3315" s="198" t="s">
        <v>669</v>
      </c>
      <c r="J3315" s="198" t="s">
        <v>112</v>
      </c>
      <c r="K3315" s="202">
        <f t="shared" si="51"/>
        <v>1695240</v>
      </c>
      <c r="L3315" s="202">
        <v>332.4</v>
      </c>
      <c r="N3315" s="202">
        <v>0.38</v>
      </c>
      <c r="S3315" s="204"/>
      <c r="W3315" s="198" t="s">
        <v>51</v>
      </c>
      <c r="AE3315" s="198" t="s">
        <v>831</v>
      </c>
    </row>
    <row r="3316" spans="3:31" x14ac:dyDescent="0.25">
      <c r="C3316" s="201"/>
      <c r="E3316" s="201"/>
      <c r="F3316" s="201"/>
      <c r="I3316" s="198" t="s">
        <v>669</v>
      </c>
      <c r="J3316" s="198" t="s">
        <v>112</v>
      </c>
      <c r="K3316" s="202">
        <f t="shared" si="51"/>
        <v>1695750</v>
      </c>
      <c r="L3316" s="202">
        <v>332.5</v>
      </c>
      <c r="N3316" s="202">
        <v>0.11</v>
      </c>
      <c r="S3316" s="204"/>
      <c r="W3316" s="198" t="s">
        <v>51</v>
      </c>
      <c r="AE3316" s="198" t="s">
        <v>831</v>
      </c>
    </row>
    <row r="3317" spans="3:31" x14ac:dyDescent="0.25">
      <c r="C3317" s="201"/>
      <c r="E3317" s="201"/>
      <c r="F3317" s="201"/>
      <c r="I3317" s="198" t="s">
        <v>669</v>
      </c>
      <c r="J3317" s="198" t="s">
        <v>112</v>
      </c>
      <c r="K3317" s="202">
        <f t="shared" si="51"/>
        <v>1696260</v>
      </c>
      <c r="L3317" s="202">
        <v>332.6</v>
      </c>
      <c r="N3317" s="202">
        <v>0.35</v>
      </c>
      <c r="S3317" s="204"/>
      <c r="W3317" s="198" t="s">
        <v>51</v>
      </c>
      <c r="AE3317" s="198" t="s">
        <v>831</v>
      </c>
    </row>
    <row r="3318" spans="3:31" x14ac:dyDescent="0.25">
      <c r="C3318" s="201"/>
      <c r="E3318" s="201"/>
      <c r="F3318" s="201"/>
      <c r="I3318" s="198" t="s">
        <v>669</v>
      </c>
      <c r="J3318" s="198" t="s">
        <v>112</v>
      </c>
      <c r="K3318" s="202">
        <f t="shared" si="51"/>
        <v>1696770</v>
      </c>
      <c r="L3318" s="202">
        <v>332.7</v>
      </c>
      <c r="N3318" s="202">
        <v>0.13</v>
      </c>
      <c r="S3318" s="204"/>
      <c r="W3318" s="198" t="s">
        <v>51</v>
      </c>
      <c r="AE3318" s="198" t="s">
        <v>831</v>
      </c>
    </row>
    <row r="3319" spans="3:31" x14ac:dyDescent="0.25">
      <c r="C3319" s="201"/>
      <c r="E3319" s="201"/>
      <c r="F3319" s="201"/>
      <c r="I3319" s="198" t="s">
        <v>179</v>
      </c>
      <c r="J3319" s="198" t="s">
        <v>169</v>
      </c>
      <c r="K3319" s="202">
        <f t="shared" si="51"/>
        <v>1697280</v>
      </c>
      <c r="L3319" s="202">
        <v>332.8</v>
      </c>
      <c r="N3319" s="202">
        <v>-7.13</v>
      </c>
      <c r="S3319" s="204"/>
      <c r="W3319" s="198" t="s">
        <v>51</v>
      </c>
      <c r="AE3319" s="198" t="s">
        <v>831</v>
      </c>
    </row>
    <row r="3320" spans="3:31" x14ac:dyDescent="0.25">
      <c r="C3320" s="201"/>
      <c r="E3320" s="201"/>
      <c r="F3320" s="201"/>
      <c r="I3320" s="198" t="s">
        <v>179</v>
      </c>
      <c r="J3320" s="198" t="s">
        <v>169</v>
      </c>
      <c r="K3320" s="202">
        <f t="shared" si="51"/>
        <v>1697790</v>
      </c>
      <c r="L3320" s="202">
        <v>332.9</v>
      </c>
      <c r="N3320" s="202">
        <v>-0.2</v>
      </c>
      <c r="S3320" s="204"/>
      <c r="W3320" s="198" t="s">
        <v>51</v>
      </c>
      <c r="AE3320" s="198" t="s">
        <v>831</v>
      </c>
    </row>
    <row r="3321" spans="3:31" x14ac:dyDescent="0.25">
      <c r="C3321" s="201"/>
      <c r="E3321" s="201"/>
      <c r="F3321" s="201"/>
      <c r="I3321" s="198" t="s">
        <v>179</v>
      </c>
      <c r="J3321" s="198" t="s">
        <v>169</v>
      </c>
      <c r="K3321" s="202">
        <f t="shared" si="51"/>
        <v>1698300</v>
      </c>
      <c r="L3321" s="202">
        <v>333</v>
      </c>
      <c r="N3321" s="202">
        <v>-0.14000000000000001</v>
      </c>
      <c r="S3321" s="204"/>
      <c r="W3321" s="198" t="s">
        <v>51</v>
      </c>
      <c r="AE3321" s="198" t="s">
        <v>831</v>
      </c>
    </row>
    <row r="3322" spans="3:31" x14ac:dyDescent="0.25">
      <c r="C3322" s="201"/>
      <c r="E3322" s="201"/>
      <c r="F3322" s="201"/>
      <c r="I3322" s="198" t="s">
        <v>577</v>
      </c>
      <c r="J3322" s="198" t="s">
        <v>130</v>
      </c>
      <c r="K3322" s="202">
        <f t="shared" si="51"/>
        <v>1698810</v>
      </c>
      <c r="L3322" s="202">
        <v>333.1</v>
      </c>
      <c r="N3322" s="202">
        <v>6693700</v>
      </c>
      <c r="S3322" s="204"/>
      <c r="W3322" s="198" t="s">
        <v>51</v>
      </c>
      <c r="AE3322" s="198" t="s">
        <v>833</v>
      </c>
    </row>
    <row r="3323" spans="3:31" x14ac:dyDescent="0.25">
      <c r="C3323" s="201"/>
      <c r="E3323" s="201"/>
      <c r="F3323" s="201"/>
      <c r="I3323" s="198" t="s">
        <v>577</v>
      </c>
      <c r="J3323" s="198" t="s">
        <v>130</v>
      </c>
      <c r="K3323" s="202">
        <f t="shared" si="51"/>
        <v>1699320</v>
      </c>
      <c r="L3323" s="202">
        <v>333.2</v>
      </c>
      <c r="N3323" s="202">
        <v>6677550</v>
      </c>
      <c r="S3323" s="204"/>
      <c r="W3323" s="198" t="s">
        <v>51</v>
      </c>
      <c r="AE3323" s="198" t="s">
        <v>833</v>
      </c>
    </row>
    <row r="3324" spans="3:31" x14ac:dyDescent="0.25">
      <c r="C3324" s="201"/>
      <c r="E3324" s="201"/>
      <c r="F3324" s="201"/>
      <c r="I3324" s="198" t="s">
        <v>577</v>
      </c>
      <c r="J3324" s="198" t="s">
        <v>130</v>
      </c>
      <c r="K3324" s="202">
        <f t="shared" si="51"/>
        <v>1699830</v>
      </c>
      <c r="L3324" s="202">
        <v>333.3</v>
      </c>
      <c r="N3324" s="202">
        <v>6640500</v>
      </c>
      <c r="S3324" s="204"/>
      <c r="W3324" s="198" t="s">
        <v>51</v>
      </c>
      <c r="AE3324" s="198" t="s">
        <v>833</v>
      </c>
    </row>
    <row r="3325" spans="3:31" x14ac:dyDescent="0.25">
      <c r="C3325" s="201"/>
      <c r="E3325" s="201"/>
      <c r="F3325" s="201"/>
      <c r="I3325" s="198" t="s">
        <v>577</v>
      </c>
      <c r="J3325" s="198" t="s">
        <v>130</v>
      </c>
      <c r="K3325" s="202">
        <f t="shared" si="51"/>
        <v>1700340</v>
      </c>
      <c r="L3325" s="202">
        <v>333.4</v>
      </c>
      <c r="N3325" s="202">
        <v>6659975</v>
      </c>
      <c r="S3325" s="204"/>
      <c r="W3325" s="198" t="s">
        <v>51</v>
      </c>
      <c r="AE3325" s="198" t="s">
        <v>833</v>
      </c>
    </row>
    <row r="3326" spans="3:31" x14ac:dyDescent="0.25">
      <c r="C3326" s="201"/>
      <c r="E3326" s="201"/>
      <c r="F3326" s="201"/>
      <c r="I3326" s="198" t="s">
        <v>1260</v>
      </c>
      <c r="J3326" s="198" t="s">
        <v>143</v>
      </c>
      <c r="K3326" s="202">
        <f t="shared" si="51"/>
        <v>1700850</v>
      </c>
      <c r="L3326" s="202">
        <v>333.5</v>
      </c>
      <c r="N3326" s="202">
        <v>830841242.60000002</v>
      </c>
      <c r="S3326" s="204"/>
      <c r="W3326" s="198" t="s">
        <v>51</v>
      </c>
      <c r="AE3326" s="198" t="s">
        <v>829</v>
      </c>
    </row>
    <row r="3327" spans="3:31" x14ac:dyDescent="0.25">
      <c r="C3327" s="201"/>
      <c r="E3327" s="201"/>
      <c r="F3327" s="201"/>
      <c r="I3327" s="198" t="s">
        <v>1260</v>
      </c>
      <c r="J3327" s="198" t="s">
        <v>143</v>
      </c>
      <c r="K3327" s="202">
        <f t="shared" si="51"/>
        <v>1701360</v>
      </c>
      <c r="L3327" s="202">
        <v>333.6</v>
      </c>
      <c r="N3327" s="202">
        <v>415420621.30000001</v>
      </c>
      <c r="S3327" s="204"/>
      <c r="W3327" s="198" t="s">
        <v>51</v>
      </c>
      <c r="AE3327" s="198" t="s">
        <v>829</v>
      </c>
    </row>
    <row r="3328" spans="3:31" x14ac:dyDescent="0.25">
      <c r="C3328" s="201"/>
      <c r="E3328" s="201"/>
      <c r="F3328" s="201"/>
      <c r="I3328" s="198" t="s">
        <v>136</v>
      </c>
      <c r="J3328" s="198" t="s">
        <v>137</v>
      </c>
      <c r="K3328" s="202">
        <f t="shared" si="51"/>
        <v>1701870</v>
      </c>
      <c r="L3328" s="202">
        <v>333.7</v>
      </c>
      <c r="N3328" s="202">
        <v>-0.4</v>
      </c>
      <c r="S3328" s="204"/>
      <c r="W3328" s="198" t="s">
        <v>51</v>
      </c>
      <c r="AE3328" s="198" t="s">
        <v>844</v>
      </c>
    </row>
    <row r="3329" spans="3:31" x14ac:dyDescent="0.25">
      <c r="C3329" s="201"/>
      <c r="E3329" s="201"/>
      <c r="F3329" s="201"/>
      <c r="I3329" s="198" t="s">
        <v>133</v>
      </c>
      <c r="J3329" s="198" t="s">
        <v>134</v>
      </c>
      <c r="K3329" s="202">
        <f t="shared" si="51"/>
        <v>1702380</v>
      </c>
      <c r="L3329" s="202">
        <v>333.8</v>
      </c>
      <c r="N3329" s="202">
        <v>0.04</v>
      </c>
      <c r="S3329" s="204"/>
      <c r="W3329" s="198" t="s">
        <v>51</v>
      </c>
      <c r="AE3329" s="198" t="s">
        <v>846</v>
      </c>
    </row>
    <row r="3330" spans="3:31" x14ac:dyDescent="0.25">
      <c r="C3330" s="201"/>
      <c r="E3330" s="201"/>
      <c r="F3330" s="201"/>
      <c r="I3330" s="198" t="s">
        <v>1892</v>
      </c>
      <c r="J3330" s="198" t="s">
        <v>143</v>
      </c>
      <c r="K3330" s="202">
        <f t="shared" si="51"/>
        <v>1702890</v>
      </c>
      <c r="L3330" s="202">
        <v>333.9</v>
      </c>
      <c r="N3330" s="202">
        <v>32447656.25</v>
      </c>
      <c r="S3330" s="203"/>
      <c r="W3330" s="198" t="s">
        <v>51</v>
      </c>
      <c r="AE3330" s="198" t="s">
        <v>829</v>
      </c>
    </row>
    <row r="3331" spans="3:31" x14ac:dyDescent="0.25">
      <c r="C3331" s="201"/>
      <c r="E3331" s="201"/>
      <c r="F3331" s="201"/>
      <c r="I3331" s="198" t="s">
        <v>1890</v>
      </c>
      <c r="J3331" s="198" t="s">
        <v>143</v>
      </c>
      <c r="K3331" s="202">
        <f t="shared" ref="K3331:K3394" si="52">L3331*5100</f>
        <v>1703400</v>
      </c>
      <c r="L3331" s="202">
        <v>334</v>
      </c>
      <c r="N3331" s="202">
        <v>56259086.869999997</v>
      </c>
      <c r="S3331" s="204"/>
      <c r="W3331" s="198" t="s">
        <v>51</v>
      </c>
      <c r="AE3331" s="198" t="s">
        <v>829</v>
      </c>
    </row>
    <row r="3332" spans="3:31" x14ac:dyDescent="0.25">
      <c r="C3332" s="201"/>
      <c r="E3332" s="201"/>
      <c r="F3332" s="201"/>
      <c r="I3332" s="198" t="s">
        <v>1894</v>
      </c>
      <c r="J3332" s="198" t="s">
        <v>143</v>
      </c>
      <c r="K3332" s="202">
        <f t="shared" si="52"/>
        <v>1703910</v>
      </c>
      <c r="L3332" s="202">
        <v>334.1</v>
      </c>
      <c r="N3332" s="202">
        <v>34618694.399999999</v>
      </c>
      <c r="S3332" s="204"/>
      <c r="W3332" s="198" t="s">
        <v>51</v>
      </c>
      <c r="AE3332" s="198" t="s">
        <v>829</v>
      </c>
    </row>
    <row r="3333" spans="3:31" x14ac:dyDescent="0.25">
      <c r="C3333" s="201"/>
      <c r="E3333" s="201"/>
      <c r="F3333" s="201"/>
      <c r="I3333" s="198" t="s">
        <v>1898</v>
      </c>
      <c r="J3333" s="198" t="s">
        <v>143</v>
      </c>
      <c r="K3333" s="202">
        <f t="shared" si="52"/>
        <v>1704420</v>
      </c>
      <c r="L3333" s="202">
        <v>334.2</v>
      </c>
      <c r="N3333" s="202">
        <v>300792829.56999999</v>
      </c>
      <c r="S3333" s="203"/>
      <c r="W3333" s="198" t="s">
        <v>51</v>
      </c>
      <c r="AE3333" s="198" t="s">
        <v>829</v>
      </c>
    </row>
    <row r="3334" spans="3:31" x14ac:dyDescent="0.25">
      <c r="C3334" s="201"/>
      <c r="E3334" s="201"/>
      <c r="F3334" s="201"/>
      <c r="I3334" s="198" t="s">
        <v>1890</v>
      </c>
      <c r="J3334" s="198" t="s">
        <v>143</v>
      </c>
      <c r="K3334" s="202">
        <f t="shared" si="52"/>
        <v>1704930</v>
      </c>
      <c r="L3334" s="202">
        <v>334.3</v>
      </c>
      <c r="N3334" s="202">
        <v>37846946.520000003</v>
      </c>
      <c r="S3334" s="204"/>
      <c r="W3334" s="198" t="s">
        <v>51</v>
      </c>
      <c r="AE3334" s="198" t="s">
        <v>829</v>
      </c>
    </row>
    <row r="3335" spans="3:31" x14ac:dyDescent="0.25">
      <c r="C3335" s="201"/>
      <c r="E3335" s="201"/>
      <c r="F3335" s="201"/>
      <c r="I3335" s="198" t="s">
        <v>1260</v>
      </c>
      <c r="J3335" s="198" t="s">
        <v>143</v>
      </c>
      <c r="K3335" s="202">
        <f t="shared" si="52"/>
        <v>1705440</v>
      </c>
      <c r="L3335" s="202">
        <v>334.4</v>
      </c>
      <c r="N3335" s="202">
        <v>1246261863.9000001</v>
      </c>
      <c r="S3335" s="204"/>
      <c r="W3335" s="198" t="s">
        <v>51</v>
      </c>
      <c r="AE3335" s="198" t="s">
        <v>829</v>
      </c>
    </row>
    <row r="3336" spans="3:31" x14ac:dyDescent="0.25">
      <c r="C3336" s="201"/>
      <c r="E3336" s="201"/>
      <c r="F3336" s="201"/>
      <c r="I3336" s="198" t="s">
        <v>1260</v>
      </c>
      <c r="J3336" s="198" t="s">
        <v>143</v>
      </c>
      <c r="K3336" s="202">
        <f t="shared" si="52"/>
        <v>1705950</v>
      </c>
      <c r="L3336" s="202">
        <v>334.5</v>
      </c>
      <c r="N3336" s="202">
        <v>-1246261863.9000001</v>
      </c>
      <c r="S3336" s="204"/>
      <c r="W3336" s="198" t="s">
        <v>51</v>
      </c>
      <c r="AE3336" s="198" t="s">
        <v>829</v>
      </c>
    </row>
    <row r="3337" spans="3:31" x14ac:dyDescent="0.25">
      <c r="C3337" s="201"/>
      <c r="E3337" s="201"/>
      <c r="F3337" s="201"/>
      <c r="I3337" s="198" t="s">
        <v>1892</v>
      </c>
      <c r="J3337" s="198" t="s">
        <v>143</v>
      </c>
      <c r="K3337" s="202">
        <f t="shared" si="52"/>
        <v>1706460</v>
      </c>
      <c r="L3337" s="202">
        <v>334.6</v>
      </c>
      <c r="N3337" s="202">
        <v>32447656.25</v>
      </c>
      <c r="S3337" s="203"/>
      <c r="W3337" s="198" t="s">
        <v>51</v>
      </c>
      <c r="AE3337" s="198" t="s">
        <v>829</v>
      </c>
    </row>
    <row r="3338" spans="3:31" x14ac:dyDescent="0.25">
      <c r="C3338" s="201"/>
      <c r="E3338" s="201"/>
      <c r="F3338" s="201"/>
      <c r="I3338" s="198" t="s">
        <v>1890</v>
      </c>
      <c r="J3338" s="198" t="s">
        <v>143</v>
      </c>
      <c r="K3338" s="202">
        <f t="shared" si="52"/>
        <v>1706970</v>
      </c>
      <c r="L3338" s="202">
        <v>334.7</v>
      </c>
      <c r="N3338" s="202">
        <v>56259086.869999997</v>
      </c>
      <c r="S3338" s="204"/>
      <c r="W3338" s="198" t="s">
        <v>51</v>
      </c>
      <c r="AE3338" s="198" t="s">
        <v>829</v>
      </c>
    </row>
    <row r="3339" spans="3:31" x14ac:dyDescent="0.25">
      <c r="C3339" s="201"/>
      <c r="E3339" s="201"/>
      <c r="F3339" s="201"/>
      <c r="I3339" s="198" t="s">
        <v>1894</v>
      </c>
      <c r="J3339" s="198" t="s">
        <v>143</v>
      </c>
      <c r="K3339" s="202">
        <f t="shared" si="52"/>
        <v>1707480</v>
      </c>
      <c r="L3339" s="202">
        <v>334.8</v>
      </c>
      <c r="N3339" s="202">
        <v>34618694.399999999</v>
      </c>
      <c r="S3339" s="204"/>
      <c r="W3339" s="198" t="s">
        <v>51</v>
      </c>
      <c r="AE3339" s="198" t="s">
        <v>829</v>
      </c>
    </row>
    <row r="3340" spans="3:31" x14ac:dyDescent="0.25">
      <c r="C3340" s="201"/>
      <c r="E3340" s="201"/>
      <c r="F3340" s="201"/>
      <c r="I3340" s="198" t="s">
        <v>1898</v>
      </c>
      <c r="J3340" s="198" t="s">
        <v>143</v>
      </c>
      <c r="K3340" s="202">
        <f t="shared" si="52"/>
        <v>1707990</v>
      </c>
      <c r="L3340" s="202">
        <v>334.9</v>
      </c>
      <c r="N3340" s="202">
        <v>300792829.56999999</v>
      </c>
      <c r="S3340" s="203"/>
      <c r="W3340" s="198" t="s">
        <v>51</v>
      </c>
      <c r="AE3340" s="198" t="s">
        <v>829</v>
      </c>
    </row>
    <row r="3341" spans="3:31" x14ac:dyDescent="0.25">
      <c r="C3341" s="201"/>
      <c r="E3341" s="201"/>
      <c r="F3341" s="201"/>
      <c r="I3341" s="198" t="s">
        <v>1890</v>
      </c>
      <c r="J3341" s="198" t="s">
        <v>143</v>
      </c>
      <c r="K3341" s="202">
        <f t="shared" si="52"/>
        <v>1708500</v>
      </c>
      <c r="L3341" s="202">
        <v>335</v>
      </c>
      <c r="N3341" s="202">
        <v>37846946.520000003</v>
      </c>
      <c r="S3341" s="204"/>
      <c r="W3341" s="198" t="s">
        <v>51</v>
      </c>
      <c r="AE3341" s="198" t="s">
        <v>829</v>
      </c>
    </row>
    <row r="3342" spans="3:31" x14ac:dyDescent="0.25">
      <c r="C3342" s="201"/>
      <c r="E3342" s="201"/>
      <c r="F3342" s="201"/>
      <c r="I3342" s="198" t="s">
        <v>1892</v>
      </c>
      <c r="J3342" s="198" t="s">
        <v>143</v>
      </c>
      <c r="K3342" s="202">
        <f t="shared" si="52"/>
        <v>1709010</v>
      </c>
      <c r="L3342" s="202">
        <v>335.1</v>
      </c>
      <c r="N3342" s="202">
        <v>-32447656.25</v>
      </c>
      <c r="S3342" s="203"/>
      <c r="W3342" s="198" t="s">
        <v>51</v>
      </c>
      <c r="AE3342" s="198" t="s">
        <v>829</v>
      </c>
    </row>
    <row r="3343" spans="3:31" x14ac:dyDescent="0.25">
      <c r="C3343" s="201"/>
      <c r="E3343" s="201"/>
      <c r="F3343" s="201"/>
      <c r="I3343" s="198" t="s">
        <v>1890</v>
      </c>
      <c r="J3343" s="198" t="s">
        <v>143</v>
      </c>
      <c r="K3343" s="202">
        <f t="shared" si="52"/>
        <v>1709520</v>
      </c>
      <c r="L3343" s="202">
        <v>335.2</v>
      </c>
      <c r="N3343" s="202">
        <v>-56259086.869999997</v>
      </c>
      <c r="S3343" s="204"/>
      <c r="W3343" s="198" t="s">
        <v>51</v>
      </c>
      <c r="AE3343" s="198" t="s">
        <v>829</v>
      </c>
    </row>
    <row r="3344" spans="3:31" x14ac:dyDescent="0.25">
      <c r="C3344" s="201"/>
      <c r="E3344" s="201"/>
      <c r="F3344" s="201"/>
      <c r="I3344" s="198" t="s">
        <v>1894</v>
      </c>
      <c r="J3344" s="198" t="s">
        <v>143</v>
      </c>
      <c r="K3344" s="202">
        <f t="shared" si="52"/>
        <v>1710030</v>
      </c>
      <c r="L3344" s="202">
        <v>335.3</v>
      </c>
      <c r="N3344" s="202">
        <v>-34618694.399999999</v>
      </c>
      <c r="S3344" s="204"/>
      <c r="W3344" s="198" t="s">
        <v>51</v>
      </c>
      <c r="AE3344" s="198" t="s">
        <v>829</v>
      </c>
    </row>
    <row r="3345" spans="3:31" x14ac:dyDescent="0.25">
      <c r="C3345" s="201"/>
      <c r="E3345" s="201"/>
      <c r="F3345" s="201"/>
      <c r="I3345" s="198" t="s">
        <v>1898</v>
      </c>
      <c r="J3345" s="198" t="s">
        <v>143</v>
      </c>
      <c r="K3345" s="202">
        <f t="shared" si="52"/>
        <v>1710540</v>
      </c>
      <c r="L3345" s="202">
        <v>335.4</v>
      </c>
      <c r="N3345" s="202">
        <v>-300792829.56999999</v>
      </c>
      <c r="S3345" s="203"/>
      <c r="W3345" s="198" t="s">
        <v>51</v>
      </c>
      <c r="AE3345" s="198" t="s">
        <v>829</v>
      </c>
    </row>
    <row r="3346" spans="3:31" x14ac:dyDescent="0.25">
      <c r="C3346" s="201"/>
      <c r="E3346" s="201"/>
      <c r="F3346" s="201"/>
      <c r="I3346" s="198" t="s">
        <v>1890</v>
      </c>
      <c r="J3346" s="198" t="s">
        <v>143</v>
      </c>
      <c r="K3346" s="202">
        <f t="shared" si="52"/>
        <v>1711050</v>
      </c>
      <c r="L3346" s="202">
        <v>335.5</v>
      </c>
      <c r="N3346" s="202">
        <v>-37846946.520000003</v>
      </c>
      <c r="S3346" s="204"/>
      <c r="W3346" s="198" t="s">
        <v>51</v>
      </c>
      <c r="AE3346" s="198" t="s">
        <v>829</v>
      </c>
    </row>
    <row r="3347" spans="3:31" x14ac:dyDescent="0.25">
      <c r="C3347" s="201"/>
      <c r="E3347" s="201"/>
      <c r="F3347" s="201"/>
      <c r="I3347" s="198" t="s">
        <v>1892</v>
      </c>
      <c r="J3347" s="198" t="s">
        <v>143</v>
      </c>
      <c r="K3347" s="202">
        <f t="shared" si="52"/>
        <v>1711560</v>
      </c>
      <c r="L3347" s="202">
        <v>335.6</v>
      </c>
      <c r="N3347" s="202">
        <v>32447656.25</v>
      </c>
      <c r="S3347" s="203"/>
      <c r="W3347" s="198" t="s">
        <v>51</v>
      </c>
      <c r="AE3347" s="198" t="s">
        <v>829</v>
      </c>
    </row>
    <row r="3348" spans="3:31" x14ac:dyDescent="0.25">
      <c r="C3348" s="201"/>
      <c r="E3348" s="201"/>
      <c r="F3348" s="201"/>
      <c r="I3348" s="198" t="s">
        <v>1295</v>
      </c>
      <c r="J3348" s="198" t="s">
        <v>143</v>
      </c>
      <c r="K3348" s="202">
        <f t="shared" si="52"/>
        <v>1712070</v>
      </c>
      <c r="L3348" s="202">
        <v>335.7</v>
      </c>
      <c r="N3348" s="202">
        <v>929072443.5</v>
      </c>
      <c r="S3348" s="204"/>
      <c r="W3348" s="198" t="s">
        <v>51</v>
      </c>
      <c r="AE3348" s="198" t="s">
        <v>829</v>
      </c>
    </row>
    <row r="3349" spans="3:31" x14ac:dyDescent="0.25">
      <c r="C3349" s="201"/>
      <c r="E3349" s="201"/>
      <c r="F3349" s="201"/>
      <c r="I3349" s="198" t="s">
        <v>1890</v>
      </c>
      <c r="J3349" s="198" t="s">
        <v>143</v>
      </c>
      <c r="K3349" s="202">
        <f t="shared" si="52"/>
        <v>1712580</v>
      </c>
      <c r="L3349" s="202">
        <v>335.8</v>
      </c>
      <c r="N3349" s="202">
        <v>88407136.510000005</v>
      </c>
      <c r="S3349" s="204"/>
      <c r="W3349" s="198" t="s">
        <v>51</v>
      </c>
      <c r="AE3349" s="198" t="s">
        <v>829</v>
      </c>
    </row>
    <row r="3350" spans="3:31" x14ac:dyDescent="0.25">
      <c r="C3350" s="201"/>
      <c r="E3350" s="201"/>
      <c r="F3350" s="201"/>
      <c r="I3350" s="198" t="s">
        <v>1894</v>
      </c>
      <c r="J3350" s="198" t="s">
        <v>143</v>
      </c>
      <c r="K3350" s="202">
        <f t="shared" si="52"/>
        <v>1713090</v>
      </c>
      <c r="L3350" s="202">
        <v>335.9</v>
      </c>
      <c r="N3350" s="202">
        <v>92102634</v>
      </c>
      <c r="S3350" s="204"/>
      <c r="W3350" s="198" t="s">
        <v>51</v>
      </c>
      <c r="AE3350" s="198" t="s">
        <v>829</v>
      </c>
    </row>
    <row r="3351" spans="3:31" x14ac:dyDescent="0.25">
      <c r="C3351" s="201"/>
      <c r="E3351" s="201"/>
      <c r="F3351" s="201"/>
      <c r="I3351" s="198" t="s">
        <v>1896</v>
      </c>
      <c r="J3351" s="198" t="s">
        <v>143</v>
      </c>
      <c r="K3351" s="202">
        <f t="shared" si="52"/>
        <v>1713600</v>
      </c>
      <c r="L3351" s="202">
        <v>336</v>
      </c>
      <c r="N3351" s="202">
        <v>175569362.88</v>
      </c>
      <c r="S3351" s="204"/>
      <c r="W3351" s="198" t="s">
        <v>51</v>
      </c>
      <c r="AE3351" s="198" t="s">
        <v>829</v>
      </c>
    </row>
    <row r="3352" spans="3:31" x14ac:dyDescent="0.25">
      <c r="C3352" s="201"/>
      <c r="E3352" s="201"/>
      <c r="F3352" s="201"/>
      <c r="I3352" s="198" t="s">
        <v>1898</v>
      </c>
      <c r="J3352" s="198" t="s">
        <v>143</v>
      </c>
      <c r="K3352" s="202">
        <f t="shared" si="52"/>
        <v>1714110</v>
      </c>
      <c r="L3352" s="202">
        <v>336.1</v>
      </c>
      <c r="N3352" s="202">
        <v>300792829.56999999</v>
      </c>
      <c r="S3352" s="203"/>
      <c r="W3352" s="198" t="s">
        <v>51</v>
      </c>
      <c r="AE3352" s="198" t="s">
        <v>829</v>
      </c>
    </row>
    <row r="3353" spans="3:31" x14ac:dyDescent="0.25">
      <c r="C3353" s="201"/>
      <c r="E3353" s="201"/>
      <c r="F3353" s="201"/>
      <c r="I3353" s="198" t="s">
        <v>179</v>
      </c>
      <c r="J3353" s="198" t="s">
        <v>169</v>
      </c>
      <c r="K3353" s="202">
        <f t="shared" si="52"/>
        <v>1714620</v>
      </c>
      <c r="L3353" s="202">
        <v>336.2</v>
      </c>
      <c r="N3353" s="202">
        <v>429364.82</v>
      </c>
      <c r="S3353" s="203"/>
      <c r="W3353" s="198" t="s">
        <v>51</v>
      </c>
      <c r="AE3353" s="198" t="s">
        <v>831</v>
      </c>
    </row>
    <row r="3354" spans="3:31" x14ac:dyDescent="0.25">
      <c r="C3354" s="201"/>
      <c r="E3354" s="201"/>
      <c r="F3354" s="201"/>
      <c r="I3354" s="198" t="s">
        <v>179</v>
      </c>
      <c r="J3354" s="198" t="s">
        <v>169</v>
      </c>
      <c r="K3354" s="202">
        <f t="shared" si="52"/>
        <v>1715130</v>
      </c>
      <c r="L3354" s="202">
        <v>336.3</v>
      </c>
      <c r="N3354" s="202">
        <v>-429364.82</v>
      </c>
      <c r="S3354" s="203"/>
      <c r="W3354" s="198" t="s">
        <v>51</v>
      </c>
      <c r="AE3354" s="198" t="s">
        <v>831</v>
      </c>
    </row>
    <row r="3355" spans="3:31" x14ac:dyDescent="0.25">
      <c r="C3355" s="201"/>
      <c r="E3355" s="201"/>
      <c r="F3355" s="201"/>
      <c r="I3355" s="198" t="s">
        <v>164</v>
      </c>
      <c r="J3355" s="198" t="s">
        <v>167</v>
      </c>
      <c r="K3355" s="202">
        <f t="shared" si="52"/>
        <v>1715640</v>
      </c>
      <c r="L3355" s="202">
        <v>336.4</v>
      </c>
      <c r="N3355" s="202">
        <v>520000</v>
      </c>
      <c r="S3355" s="204"/>
      <c r="W3355" s="198" t="s">
        <v>51</v>
      </c>
      <c r="AE3355" s="198" t="s">
        <v>831</v>
      </c>
    </row>
    <row r="3356" spans="3:31" x14ac:dyDescent="0.25">
      <c r="C3356" s="201"/>
      <c r="E3356" s="201"/>
      <c r="F3356" s="201"/>
      <c r="I3356" s="198" t="s">
        <v>164</v>
      </c>
      <c r="J3356" s="198" t="s">
        <v>167</v>
      </c>
      <c r="K3356" s="202">
        <f t="shared" si="52"/>
        <v>1716150</v>
      </c>
      <c r="L3356" s="202">
        <v>336.5</v>
      </c>
      <c r="N3356" s="202">
        <v>260000</v>
      </c>
      <c r="S3356" s="204"/>
      <c r="W3356" s="198" t="s">
        <v>51</v>
      </c>
      <c r="AE3356" s="198" t="s">
        <v>831</v>
      </c>
    </row>
    <row r="3357" spans="3:31" x14ac:dyDescent="0.25">
      <c r="C3357" s="201"/>
      <c r="E3357" s="201"/>
      <c r="F3357" s="201"/>
      <c r="I3357" s="198" t="s">
        <v>205</v>
      </c>
      <c r="J3357" s="198" t="s">
        <v>169</v>
      </c>
      <c r="K3357" s="202">
        <f t="shared" si="52"/>
        <v>1716660</v>
      </c>
      <c r="L3357" s="202">
        <v>336.6</v>
      </c>
      <c r="N3357" s="202">
        <v>260000</v>
      </c>
      <c r="S3357" s="204"/>
      <c r="W3357" s="198" t="s">
        <v>51</v>
      </c>
      <c r="AE3357" s="198" t="s">
        <v>831</v>
      </c>
    </row>
    <row r="3358" spans="3:31" x14ac:dyDescent="0.25">
      <c r="C3358" s="201"/>
      <c r="E3358" s="201"/>
      <c r="F3358" s="201"/>
      <c r="I3358" s="198" t="s">
        <v>164</v>
      </c>
      <c r="J3358" s="198" t="s">
        <v>167</v>
      </c>
      <c r="K3358" s="202">
        <f t="shared" si="52"/>
        <v>1717170</v>
      </c>
      <c r="L3358" s="202">
        <v>336.7</v>
      </c>
      <c r="N3358" s="202">
        <v>520000</v>
      </c>
      <c r="S3358" s="204"/>
      <c r="W3358" s="198" t="s">
        <v>51</v>
      </c>
      <c r="AE3358" s="198" t="s">
        <v>831</v>
      </c>
    </row>
    <row r="3359" spans="3:31" x14ac:dyDescent="0.25">
      <c r="C3359" s="201"/>
      <c r="E3359" s="201"/>
      <c r="F3359" s="201"/>
      <c r="I3359" s="198" t="s">
        <v>205</v>
      </c>
      <c r="J3359" s="198" t="s">
        <v>169</v>
      </c>
      <c r="K3359" s="202">
        <f t="shared" si="52"/>
        <v>1717680</v>
      </c>
      <c r="L3359" s="202">
        <v>336.8</v>
      </c>
      <c r="N3359" s="202">
        <v>520000</v>
      </c>
      <c r="S3359" s="204"/>
      <c r="W3359" s="198" t="s">
        <v>51</v>
      </c>
      <c r="AE3359" s="198" t="s">
        <v>831</v>
      </c>
    </row>
    <row r="3360" spans="3:31" x14ac:dyDescent="0.25">
      <c r="C3360" s="201"/>
      <c r="E3360" s="201"/>
      <c r="F3360" s="201"/>
      <c r="I3360" s="198" t="s">
        <v>164</v>
      </c>
      <c r="J3360" s="198" t="s">
        <v>167</v>
      </c>
      <c r="K3360" s="202">
        <f t="shared" si="52"/>
        <v>1718190</v>
      </c>
      <c r="L3360" s="202">
        <v>336.9</v>
      </c>
      <c r="N3360" s="202">
        <v>520000</v>
      </c>
      <c r="S3360" s="204"/>
      <c r="W3360" s="198" t="s">
        <v>51</v>
      </c>
      <c r="AE3360" s="198" t="s">
        <v>831</v>
      </c>
    </row>
    <row r="3361" spans="3:31" x14ac:dyDescent="0.25">
      <c r="C3361" s="201"/>
      <c r="E3361" s="201"/>
      <c r="F3361" s="201"/>
      <c r="I3361" s="198" t="s">
        <v>133</v>
      </c>
      <c r="J3361" s="198" t="s">
        <v>134</v>
      </c>
      <c r="K3361" s="202">
        <f t="shared" si="52"/>
        <v>1718700</v>
      </c>
      <c r="L3361" s="202">
        <v>337</v>
      </c>
      <c r="N3361" s="202">
        <v>142820</v>
      </c>
      <c r="S3361" s="204"/>
      <c r="W3361" s="198" t="s">
        <v>51</v>
      </c>
      <c r="AE3361" s="198" t="s">
        <v>846</v>
      </c>
    </row>
    <row r="3362" spans="3:31" x14ac:dyDescent="0.25">
      <c r="C3362" s="201"/>
      <c r="E3362" s="201"/>
      <c r="F3362" s="201"/>
      <c r="I3362" s="198" t="s">
        <v>133</v>
      </c>
      <c r="J3362" s="198" t="s">
        <v>134</v>
      </c>
      <c r="K3362" s="202">
        <f t="shared" si="52"/>
        <v>1719210</v>
      </c>
      <c r="L3362" s="202">
        <v>337.1</v>
      </c>
      <c r="N3362" s="202">
        <v>7135280</v>
      </c>
      <c r="S3362" s="204"/>
      <c r="W3362" s="198" t="s">
        <v>51</v>
      </c>
      <c r="AE3362" s="198" t="s">
        <v>846</v>
      </c>
    </row>
    <row r="3363" spans="3:31" x14ac:dyDescent="0.25">
      <c r="C3363" s="201"/>
      <c r="E3363" s="201"/>
      <c r="F3363" s="201"/>
      <c r="I3363" s="198" t="s">
        <v>133</v>
      </c>
      <c r="J3363" s="198" t="s">
        <v>134</v>
      </c>
      <c r="K3363" s="202">
        <f t="shared" si="52"/>
        <v>1719720</v>
      </c>
      <c r="L3363" s="202">
        <v>337.2</v>
      </c>
      <c r="N3363" s="202">
        <v>7259470</v>
      </c>
      <c r="S3363" s="204"/>
      <c r="W3363" s="198" t="s">
        <v>51</v>
      </c>
      <c r="AE3363" s="198" t="s">
        <v>846</v>
      </c>
    </row>
    <row r="3364" spans="3:31" x14ac:dyDescent="0.25">
      <c r="C3364" s="201"/>
      <c r="E3364" s="201"/>
      <c r="F3364" s="201"/>
      <c r="I3364" s="198" t="s">
        <v>133</v>
      </c>
      <c r="J3364" s="198" t="s">
        <v>134</v>
      </c>
      <c r="K3364" s="202">
        <f t="shared" si="52"/>
        <v>1720230</v>
      </c>
      <c r="L3364" s="202">
        <v>337.3</v>
      </c>
      <c r="N3364" s="202">
        <v>2983394</v>
      </c>
      <c r="S3364" s="204"/>
      <c r="W3364" s="198" t="s">
        <v>51</v>
      </c>
      <c r="AE3364" s="198" t="s">
        <v>846</v>
      </c>
    </row>
    <row r="3365" spans="3:31" x14ac:dyDescent="0.25">
      <c r="C3365" s="201"/>
      <c r="E3365" s="201"/>
      <c r="F3365" s="201"/>
      <c r="I3365" s="198" t="s">
        <v>133</v>
      </c>
      <c r="J3365" s="198" t="s">
        <v>134</v>
      </c>
      <c r="K3365" s="202">
        <f t="shared" si="52"/>
        <v>1720740</v>
      </c>
      <c r="L3365" s="202">
        <v>337.4</v>
      </c>
      <c r="N3365" s="202">
        <v>1935790</v>
      </c>
      <c r="S3365" s="204"/>
      <c r="W3365" s="198" t="s">
        <v>51</v>
      </c>
      <c r="AE3365" s="198" t="s">
        <v>846</v>
      </c>
    </row>
    <row r="3366" spans="3:31" x14ac:dyDescent="0.25">
      <c r="C3366" s="201"/>
      <c r="E3366" s="201"/>
      <c r="F3366" s="201"/>
      <c r="I3366" s="198" t="s">
        <v>135</v>
      </c>
      <c r="J3366" s="198" t="s">
        <v>117</v>
      </c>
      <c r="K3366" s="202">
        <f t="shared" si="52"/>
        <v>1721250</v>
      </c>
      <c r="L3366" s="202">
        <v>337.5</v>
      </c>
      <c r="N3366" s="202">
        <v>4129.2</v>
      </c>
      <c r="S3366" s="204"/>
      <c r="W3366" s="198" t="s">
        <v>51</v>
      </c>
      <c r="AE3366" s="198" t="s">
        <v>878</v>
      </c>
    </row>
    <row r="3367" spans="3:31" x14ac:dyDescent="0.25">
      <c r="C3367" s="201"/>
      <c r="E3367" s="201"/>
      <c r="F3367" s="201"/>
      <c r="I3367" s="198" t="s">
        <v>135</v>
      </c>
      <c r="J3367" s="198" t="s">
        <v>117</v>
      </c>
      <c r="K3367" s="202">
        <f t="shared" si="52"/>
        <v>1721760</v>
      </c>
      <c r="L3367" s="202">
        <v>337.6</v>
      </c>
      <c r="N3367" s="202">
        <v>5086.3999999999996</v>
      </c>
      <c r="S3367" s="204"/>
      <c r="W3367" s="198" t="s">
        <v>51</v>
      </c>
      <c r="AE3367" s="198" t="s">
        <v>878</v>
      </c>
    </row>
    <row r="3368" spans="3:31" x14ac:dyDescent="0.25">
      <c r="C3368" s="201"/>
      <c r="E3368" s="201"/>
      <c r="F3368" s="201"/>
      <c r="I3368" s="198" t="s">
        <v>135</v>
      </c>
      <c r="J3368" s="198" t="s">
        <v>117</v>
      </c>
      <c r="K3368" s="202">
        <f t="shared" si="52"/>
        <v>1722270</v>
      </c>
      <c r="L3368" s="202">
        <v>337.7</v>
      </c>
      <c r="N3368" s="202">
        <v>15910.24</v>
      </c>
      <c r="S3368" s="204"/>
      <c r="W3368" s="198" t="s">
        <v>51</v>
      </c>
      <c r="AE3368" s="198" t="s">
        <v>878</v>
      </c>
    </row>
    <row r="3369" spans="3:31" x14ac:dyDescent="0.25">
      <c r="C3369" s="201"/>
      <c r="E3369" s="201"/>
      <c r="F3369" s="201"/>
      <c r="I3369" s="198" t="s">
        <v>135</v>
      </c>
      <c r="J3369" s="198" t="s">
        <v>117</v>
      </c>
      <c r="K3369" s="202">
        <f t="shared" si="52"/>
        <v>1722780</v>
      </c>
      <c r="L3369" s="202">
        <v>337.8</v>
      </c>
      <c r="N3369" s="202">
        <v>44000</v>
      </c>
      <c r="S3369" s="204"/>
      <c r="W3369" s="198" t="s">
        <v>51</v>
      </c>
      <c r="AE3369" s="198" t="s">
        <v>878</v>
      </c>
    </row>
    <row r="3370" spans="3:31" x14ac:dyDescent="0.25">
      <c r="C3370" s="201"/>
      <c r="E3370" s="201"/>
      <c r="F3370" s="201"/>
      <c r="I3370" s="198" t="s">
        <v>707</v>
      </c>
      <c r="J3370" s="198" t="s">
        <v>126</v>
      </c>
      <c r="K3370" s="202">
        <f t="shared" si="52"/>
        <v>1723290</v>
      </c>
      <c r="L3370" s="202">
        <v>337.9</v>
      </c>
      <c r="N3370" s="202">
        <v>730258953.19000006</v>
      </c>
      <c r="S3370" s="204"/>
      <c r="W3370" s="198" t="s">
        <v>51</v>
      </c>
      <c r="AE3370" s="198" t="s">
        <v>835</v>
      </c>
    </row>
    <row r="3371" spans="3:31" x14ac:dyDescent="0.25">
      <c r="C3371" s="201"/>
      <c r="E3371" s="201"/>
      <c r="F3371" s="201"/>
      <c r="I3371" s="198" t="s">
        <v>707</v>
      </c>
      <c r="J3371" s="198" t="s">
        <v>126</v>
      </c>
      <c r="K3371" s="202">
        <f t="shared" si="52"/>
        <v>1723800</v>
      </c>
      <c r="L3371" s="202">
        <v>338</v>
      </c>
      <c r="N3371" s="202">
        <v>475175750.95999998</v>
      </c>
      <c r="S3371" s="204"/>
      <c r="W3371" s="198" t="s">
        <v>51</v>
      </c>
      <c r="AE3371" s="198" t="s">
        <v>835</v>
      </c>
    </row>
    <row r="3372" spans="3:31" x14ac:dyDescent="0.25">
      <c r="C3372" s="201"/>
      <c r="E3372" s="201"/>
      <c r="F3372" s="201"/>
      <c r="I3372" s="198" t="s">
        <v>710</v>
      </c>
      <c r="J3372" s="198" t="s">
        <v>130</v>
      </c>
      <c r="K3372" s="202">
        <f t="shared" si="52"/>
        <v>1724310</v>
      </c>
      <c r="L3372" s="202">
        <v>338.1</v>
      </c>
      <c r="N3372" s="202">
        <v>890524206.39999998</v>
      </c>
      <c r="S3372" s="204"/>
      <c r="W3372" s="198" t="s">
        <v>51</v>
      </c>
      <c r="AE3372" s="198" t="s">
        <v>833</v>
      </c>
    </row>
    <row r="3373" spans="3:31" x14ac:dyDescent="0.25">
      <c r="C3373" s="201"/>
      <c r="E3373" s="201"/>
      <c r="F3373" s="201"/>
      <c r="I3373" s="198" t="s">
        <v>710</v>
      </c>
      <c r="J3373" s="198" t="s">
        <v>130</v>
      </c>
      <c r="K3373" s="202">
        <f t="shared" si="52"/>
        <v>1724820</v>
      </c>
      <c r="L3373" s="202">
        <v>338.2</v>
      </c>
      <c r="N3373" s="202">
        <v>222631051.59999999</v>
      </c>
      <c r="S3373" s="204"/>
      <c r="W3373" s="198" t="s">
        <v>51</v>
      </c>
      <c r="AE3373" s="198" t="s">
        <v>833</v>
      </c>
    </row>
    <row r="3374" spans="3:31" x14ac:dyDescent="0.25">
      <c r="C3374" s="201"/>
      <c r="E3374" s="201"/>
      <c r="F3374" s="201"/>
      <c r="I3374" s="198" t="s">
        <v>710</v>
      </c>
      <c r="J3374" s="198" t="s">
        <v>130</v>
      </c>
      <c r="K3374" s="202">
        <f t="shared" si="52"/>
        <v>1725330</v>
      </c>
      <c r="L3374" s="202">
        <v>338.3</v>
      </c>
      <c r="N3374" s="202">
        <v>371886575.72000003</v>
      </c>
      <c r="S3374" s="204"/>
      <c r="W3374" s="198" t="s">
        <v>51</v>
      </c>
      <c r="AE3374" s="198" t="s">
        <v>833</v>
      </c>
    </row>
    <row r="3375" spans="3:31" x14ac:dyDescent="0.25">
      <c r="C3375" s="201"/>
      <c r="E3375" s="201"/>
      <c r="F3375" s="201"/>
      <c r="I3375" s="198" t="s">
        <v>710</v>
      </c>
      <c r="J3375" s="198" t="s">
        <v>130</v>
      </c>
      <c r="K3375" s="202">
        <f t="shared" si="52"/>
        <v>1725840</v>
      </c>
      <c r="L3375" s="202">
        <v>338.4</v>
      </c>
      <c r="N3375" s="202">
        <v>5169223402.5</v>
      </c>
      <c r="S3375" s="204"/>
      <c r="W3375" s="198" t="s">
        <v>51</v>
      </c>
      <c r="AE3375" s="198" t="s">
        <v>833</v>
      </c>
    </row>
    <row r="3376" spans="3:31" x14ac:dyDescent="0.25">
      <c r="C3376" s="201"/>
      <c r="E3376" s="201"/>
      <c r="F3376" s="201"/>
      <c r="I3376" s="198" t="s">
        <v>707</v>
      </c>
      <c r="J3376" s="198" t="s">
        <v>126</v>
      </c>
      <c r="K3376" s="202">
        <f t="shared" si="52"/>
        <v>1726350</v>
      </c>
      <c r="L3376" s="202">
        <v>338.5</v>
      </c>
      <c r="N3376" s="202">
        <v>-730258953.19000006</v>
      </c>
      <c r="S3376" s="204"/>
      <c r="W3376" s="198" t="s">
        <v>51</v>
      </c>
      <c r="AE3376" s="198" t="s">
        <v>835</v>
      </c>
    </row>
    <row r="3377" spans="3:31" x14ac:dyDescent="0.25">
      <c r="C3377" s="201"/>
      <c r="E3377" s="201"/>
      <c r="F3377" s="201"/>
      <c r="I3377" s="198" t="s">
        <v>707</v>
      </c>
      <c r="J3377" s="198" t="s">
        <v>126</v>
      </c>
      <c r="K3377" s="202">
        <f t="shared" si="52"/>
        <v>1726860</v>
      </c>
      <c r="L3377" s="202">
        <v>338.6</v>
      </c>
      <c r="N3377" s="202">
        <v>731901950.44000006</v>
      </c>
      <c r="S3377" s="204"/>
      <c r="W3377" s="198" t="s">
        <v>51</v>
      </c>
      <c r="AE3377" s="198" t="s">
        <v>835</v>
      </c>
    </row>
    <row r="3378" spans="3:31" x14ac:dyDescent="0.25">
      <c r="C3378" s="201"/>
      <c r="E3378" s="201"/>
      <c r="F3378" s="201"/>
      <c r="I3378" s="198" t="s">
        <v>710</v>
      </c>
      <c r="J3378" s="198" t="s">
        <v>130</v>
      </c>
      <c r="K3378" s="202">
        <f t="shared" si="52"/>
        <v>1727370</v>
      </c>
      <c r="L3378" s="202">
        <v>338.7</v>
      </c>
      <c r="N3378" s="202">
        <v>4276695620.7800002</v>
      </c>
      <c r="S3378" s="204"/>
      <c r="W3378" s="198" t="s">
        <v>51</v>
      </c>
      <c r="AE3378" s="198" t="s">
        <v>833</v>
      </c>
    </row>
    <row r="3379" spans="3:31" x14ac:dyDescent="0.25">
      <c r="C3379" s="201"/>
      <c r="E3379" s="201"/>
      <c r="F3379" s="201"/>
      <c r="I3379" s="198" t="s">
        <v>178</v>
      </c>
      <c r="J3379" s="198" t="s">
        <v>167</v>
      </c>
      <c r="K3379" s="202">
        <f t="shared" si="52"/>
        <v>1727880</v>
      </c>
      <c r="L3379" s="202">
        <v>338.8</v>
      </c>
      <c r="N3379" s="202">
        <v>1244618.1299999999</v>
      </c>
      <c r="S3379" s="203"/>
      <c r="W3379" s="198" t="s">
        <v>51</v>
      </c>
      <c r="AE3379" s="198" t="s">
        <v>831</v>
      </c>
    </row>
    <row r="3380" spans="3:31" x14ac:dyDescent="0.25">
      <c r="C3380" s="201"/>
      <c r="E3380" s="201"/>
      <c r="F3380" s="201"/>
      <c r="I3380" s="198" t="s">
        <v>178</v>
      </c>
      <c r="J3380" s="198" t="s">
        <v>167</v>
      </c>
      <c r="K3380" s="202">
        <f t="shared" si="52"/>
        <v>1728390</v>
      </c>
      <c r="L3380" s="202">
        <v>338.9</v>
      </c>
      <c r="N3380" s="202">
        <v>1067533.1100000001</v>
      </c>
      <c r="S3380" s="203"/>
      <c r="W3380" s="198" t="s">
        <v>51</v>
      </c>
      <c r="AE3380" s="198" t="s">
        <v>831</v>
      </c>
    </row>
    <row r="3381" spans="3:31" x14ac:dyDescent="0.25">
      <c r="C3381" s="201"/>
      <c r="E3381" s="201"/>
      <c r="F3381" s="201"/>
      <c r="I3381" s="198" t="s">
        <v>178</v>
      </c>
      <c r="J3381" s="198" t="s">
        <v>167</v>
      </c>
      <c r="K3381" s="202">
        <f t="shared" si="52"/>
        <v>1728900</v>
      </c>
      <c r="L3381" s="202">
        <v>339</v>
      </c>
      <c r="N3381" s="202">
        <v>1076397.21</v>
      </c>
      <c r="S3381" s="203"/>
      <c r="W3381" s="198" t="s">
        <v>51</v>
      </c>
      <c r="AE3381" s="198" t="s">
        <v>831</v>
      </c>
    </row>
    <row r="3382" spans="3:31" x14ac:dyDescent="0.25">
      <c r="C3382" s="201"/>
      <c r="E3382" s="201"/>
      <c r="F3382" s="201"/>
      <c r="I3382" s="198" t="s">
        <v>710</v>
      </c>
      <c r="J3382" s="198" t="s">
        <v>130</v>
      </c>
      <c r="K3382" s="202">
        <f t="shared" si="52"/>
        <v>1729410</v>
      </c>
      <c r="L3382" s="202">
        <v>339.1</v>
      </c>
      <c r="N3382" s="202">
        <v>3272601866.3299999</v>
      </c>
      <c r="S3382" s="204"/>
      <c r="W3382" s="198" t="s">
        <v>51</v>
      </c>
      <c r="AE3382" s="198" t="s">
        <v>833</v>
      </c>
    </row>
    <row r="3383" spans="3:31" x14ac:dyDescent="0.25">
      <c r="C3383" s="201"/>
      <c r="E3383" s="201"/>
      <c r="F3383" s="201"/>
      <c r="I3383" s="198" t="s">
        <v>713</v>
      </c>
      <c r="J3383" s="198" t="s">
        <v>132</v>
      </c>
      <c r="K3383" s="202">
        <f t="shared" si="52"/>
        <v>1729920</v>
      </c>
      <c r="L3383" s="202">
        <v>339.2</v>
      </c>
      <c r="N3383" s="202">
        <v>1004093754.4400001</v>
      </c>
      <c r="S3383" s="204"/>
      <c r="W3383" s="198" t="s">
        <v>51</v>
      </c>
      <c r="AE3383" s="198" t="s">
        <v>833</v>
      </c>
    </row>
    <row r="3384" spans="3:31" x14ac:dyDescent="0.25">
      <c r="C3384" s="201"/>
      <c r="E3384" s="201"/>
      <c r="F3384" s="201"/>
      <c r="I3384" s="198" t="s">
        <v>710</v>
      </c>
      <c r="J3384" s="198" t="s">
        <v>130</v>
      </c>
      <c r="K3384" s="202">
        <f t="shared" si="52"/>
        <v>1730430</v>
      </c>
      <c r="L3384" s="202">
        <v>339.3</v>
      </c>
      <c r="N3384" s="202">
        <v>223131945.43000001</v>
      </c>
      <c r="S3384" s="204"/>
      <c r="W3384" s="198" t="s">
        <v>51</v>
      </c>
      <c r="AE3384" s="198" t="s">
        <v>833</v>
      </c>
    </row>
    <row r="3385" spans="3:31" x14ac:dyDescent="0.25">
      <c r="C3385" s="201"/>
      <c r="E3385" s="201"/>
      <c r="F3385" s="201"/>
      <c r="I3385" s="198" t="s">
        <v>710</v>
      </c>
      <c r="J3385" s="198" t="s">
        <v>130</v>
      </c>
      <c r="K3385" s="202">
        <f t="shared" si="52"/>
        <v>1730940</v>
      </c>
      <c r="L3385" s="202">
        <v>339.4</v>
      </c>
      <c r="N3385" s="202">
        <v>-4276695620.7800002</v>
      </c>
      <c r="S3385" s="204"/>
      <c r="W3385" s="198" t="s">
        <v>51</v>
      </c>
      <c r="AE3385" s="198" t="s">
        <v>833</v>
      </c>
    </row>
    <row r="3386" spans="3:31" x14ac:dyDescent="0.25">
      <c r="C3386" s="201"/>
      <c r="E3386" s="201"/>
      <c r="F3386" s="201"/>
      <c r="I3386" s="198" t="s">
        <v>710</v>
      </c>
      <c r="J3386" s="198" t="s">
        <v>130</v>
      </c>
      <c r="K3386" s="202">
        <f t="shared" si="52"/>
        <v>1731450</v>
      </c>
      <c r="L3386" s="202">
        <v>339.5</v>
      </c>
      <c r="N3386" s="202">
        <v>-5169223402.5</v>
      </c>
      <c r="S3386" s="204"/>
      <c r="W3386" s="198" t="s">
        <v>51</v>
      </c>
      <c r="AE3386" s="198" t="s">
        <v>833</v>
      </c>
    </row>
    <row r="3387" spans="3:31" x14ac:dyDescent="0.25">
      <c r="C3387" s="201"/>
      <c r="E3387" s="201"/>
      <c r="F3387" s="201"/>
      <c r="I3387" s="198" t="s">
        <v>710</v>
      </c>
      <c r="J3387" s="198" t="s">
        <v>130</v>
      </c>
      <c r="K3387" s="202">
        <f t="shared" si="52"/>
        <v>1731960</v>
      </c>
      <c r="L3387" s="202">
        <v>339.6</v>
      </c>
      <c r="N3387" s="202">
        <v>-371886575.72000003</v>
      </c>
      <c r="S3387" s="204"/>
      <c r="W3387" s="198" t="s">
        <v>51</v>
      </c>
      <c r="AE3387" s="198" t="s">
        <v>833</v>
      </c>
    </row>
    <row r="3388" spans="3:31" x14ac:dyDescent="0.25">
      <c r="C3388" s="201"/>
      <c r="E3388" s="201"/>
      <c r="F3388" s="201"/>
      <c r="I3388" s="198" t="s">
        <v>710</v>
      </c>
      <c r="J3388" s="198" t="s">
        <v>130</v>
      </c>
      <c r="K3388" s="202">
        <f t="shared" si="52"/>
        <v>1732470</v>
      </c>
      <c r="L3388" s="202">
        <v>339.7</v>
      </c>
      <c r="N3388" s="202">
        <v>-222631051.59999999</v>
      </c>
      <c r="S3388" s="204"/>
      <c r="W3388" s="198" t="s">
        <v>51</v>
      </c>
      <c r="AE3388" s="198" t="s">
        <v>833</v>
      </c>
    </row>
    <row r="3389" spans="3:31" x14ac:dyDescent="0.25">
      <c r="C3389" s="201"/>
      <c r="E3389" s="201"/>
      <c r="F3389" s="201"/>
      <c r="I3389" s="198" t="s">
        <v>710</v>
      </c>
      <c r="J3389" s="198" t="s">
        <v>130</v>
      </c>
      <c r="K3389" s="202">
        <f t="shared" si="52"/>
        <v>1732980</v>
      </c>
      <c r="L3389" s="202">
        <v>339.8</v>
      </c>
      <c r="N3389" s="202">
        <v>0</v>
      </c>
      <c r="S3389" s="203"/>
      <c r="W3389" s="198" t="s">
        <v>51</v>
      </c>
      <c r="AE3389" s="198" t="s">
        <v>833</v>
      </c>
    </row>
    <row r="3390" spans="3:31" x14ac:dyDescent="0.25">
      <c r="C3390" s="201"/>
      <c r="E3390" s="201"/>
      <c r="F3390" s="201"/>
      <c r="I3390" s="198" t="s">
        <v>710</v>
      </c>
      <c r="J3390" s="198" t="s">
        <v>130</v>
      </c>
      <c r="K3390" s="202">
        <f t="shared" si="52"/>
        <v>1733490</v>
      </c>
      <c r="L3390" s="202">
        <v>339.9</v>
      </c>
      <c r="N3390" s="202">
        <v>-890524206.39999998</v>
      </c>
      <c r="S3390" s="204"/>
      <c r="W3390" s="198" t="s">
        <v>51</v>
      </c>
      <c r="AE3390" s="198" t="s">
        <v>833</v>
      </c>
    </row>
    <row r="3391" spans="3:31" x14ac:dyDescent="0.25">
      <c r="C3391" s="201"/>
      <c r="E3391" s="201"/>
      <c r="F3391" s="201"/>
      <c r="I3391" s="198" t="s">
        <v>710</v>
      </c>
      <c r="J3391" s="198" t="s">
        <v>130</v>
      </c>
      <c r="K3391" s="202">
        <f t="shared" si="52"/>
        <v>1734000</v>
      </c>
      <c r="L3391" s="202">
        <v>340</v>
      </c>
      <c r="N3391" s="202">
        <v>371886575.72000003</v>
      </c>
      <c r="S3391" s="204"/>
      <c r="W3391" s="198" t="s">
        <v>51</v>
      </c>
      <c r="AE3391" s="198" t="s">
        <v>833</v>
      </c>
    </row>
    <row r="3392" spans="3:31" x14ac:dyDescent="0.25">
      <c r="C3392" s="201"/>
      <c r="E3392" s="201"/>
      <c r="F3392" s="201"/>
      <c r="I3392" s="198" t="s">
        <v>713</v>
      </c>
      <c r="J3392" s="198" t="s">
        <v>132</v>
      </c>
      <c r="K3392" s="202">
        <f t="shared" si="52"/>
        <v>1734510</v>
      </c>
      <c r="L3392" s="202">
        <v>340.1</v>
      </c>
      <c r="N3392" s="202">
        <v>892527781.73000002</v>
      </c>
      <c r="S3392" s="204"/>
      <c r="W3392" s="198" t="s">
        <v>51</v>
      </c>
      <c r="AE3392" s="198" t="s">
        <v>833</v>
      </c>
    </row>
    <row r="3393" spans="3:31" x14ac:dyDescent="0.25">
      <c r="C3393" s="201"/>
      <c r="E3393" s="201"/>
      <c r="F3393" s="201"/>
      <c r="I3393" s="198" t="s">
        <v>713</v>
      </c>
      <c r="J3393" s="198" t="s">
        <v>132</v>
      </c>
      <c r="K3393" s="202">
        <f t="shared" si="52"/>
        <v>1735020</v>
      </c>
      <c r="L3393" s="202">
        <v>340.2</v>
      </c>
      <c r="N3393" s="202">
        <v>5169223402.5100002</v>
      </c>
      <c r="S3393" s="204"/>
      <c r="W3393" s="198" t="s">
        <v>51</v>
      </c>
      <c r="AE3393" s="198" t="s">
        <v>833</v>
      </c>
    </row>
    <row r="3394" spans="3:31" x14ac:dyDescent="0.25">
      <c r="C3394" s="201"/>
      <c r="E3394" s="201"/>
      <c r="F3394" s="201"/>
      <c r="I3394" s="198" t="s">
        <v>528</v>
      </c>
      <c r="J3394" s="198" t="s">
        <v>134</v>
      </c>
      <c r="K3394" s="202">
        <f t="shared" si="52"/>
        <v>1735530</v>
      </c>
      <c r="L3394" s="202">
        <v>340.3</v>
      </c>
      <c r="N3394" s="202">
        <v>259482.23999999999</v>
      </c>
      <c r="S3394" s="204"/>
      <c r="W3394" s="198" t="s">
        <v>51</v>
      </c>
      <c r="AE3394" s="198" t="s">
        <v>846</v>
      </c>
    </row>
    <row r="3395" spans="3:31" x14ac:dyDescent="0.25">
      <c r="C3395" s="201"/>
      <c r="E3395" s="201"/>
      <c r="F3395" s="201"/>
      <c r="I3395" s="198" t="s">
        <v>131</v>
      </c>
      <c r="J3395" s="198" t="s">
        <v>132</v>
      </c>
      <c r="K3395" s="202">
        <f t="shared" ref="K3395:K3458" si="53">L3395*5100</f>
        <v>1736040</v>
      </c>
      <c r="L3395" s="202">
        <v>340.4</v>
      </c>
      <c r="N3395" s="202">
        <v>0.2</v>
      </c>
      <c r="S3395" s="204"/>
      <c r="W3395" s="198" t="s">
        <v>51</v>
      </c>
      <c r="AE3395" s="198" t="s">
        <v>833</v>
      </c>
    </row>
    <row r="3396" spans="3:31" x14ac:dyDescent="0.25">
      <c r="C3396" s="201"/>
      <c r="E3396" s="201"/>
      <c r="F3396" s="201"/>
      <c r="I3396" s="198" t="s">
        <v>177</v>
      </c>
      <c r="J3396" s="198" t="s">
        <v>167</v>
      </c>
      <c r="K3396" s="202">
        <f t="shared" si="53"/>
        <v>1736550</v>
      </c>
      <c r="L3396" s="202">
        <v>340.5</v>
      </c>
      <c r="N3396" s="202">
        <v>-0.11</v>
      </c>
      <c r="S3396" s="204"/>
      <c r="W3396" s="198" t="s">
        <v>51</v>
      </c>
      <c r="AE3396" s="198" t="s">
        <v>831</v>
      </c>
    </row>
    <row r="3397" spans="3:31" x14ac:dyDescent="0.25">
      <c r="C3397" s="201"/>
      <c r="E3397" s="201"/>
      <c r="F3397" s="201"/>
      <c r="I3397" s="198" t="s">
        <v>669</v>
      </c>
      <c r="J3397" s="198" t="s">
        <v>112</v>
      </c>
      <c r="K3397" s="202">
        <f t="shared" si="53"/>
        <v>1737060</v>
      </c>
      <c r="L3397" s="202">
        <v>340.6</v>
      </c>
      <c r="N3397" s="202">
        <v>-0.23</v>
      </c>
      <c r="S3397" s="204"/>
      <c r="W3397" s="198" t="s">
        <v>51</v>
      </c>
      <c r="AE3397" s="198" t="s">
        <v>831</v>
      </c>
    </row>
    <row r="3398" spans="3:31" x14ac:dyDescent="0.25">
      <c r="C3398" s="201"/>
      <c r="E3398" s="201"/>
      <c r="F3398" s="201"/>
      <c r="I3398" s="198" t="s">
        <v>669</v>
      </c>
      <c r="J3398" s="198" t="s">
        <v>112</v>
      </c>
      <c r="K3398" s="202">
        <f t="shared" si="53"/>
        <v>1737570</v>
      </c>
      <c r="L3398" s="202">
        <v>340.7</v>
      </c>
      <c r="N3398" s="202">
        <v>0.32</v>
      </c>
      <c r="S3398" s="204"/>
      <c r="W3398" s="198" t="s">
        <v>51</v>
      </c>
      <c r="AE3398" s="198" t="s">
        <v>831</v>
      </c>
    </row>
    <row r="3399" spans="3:31" x14ac:dyDescent="0.25">
      <c r="C3399" s="201"/>
      <c r="E3399" s="201"/>
      <c r="F3399" s="201"/>
      <c r="I3399" s="198" t="s">
        <v>669</v>
      </c>
      <c r="J3399" s="198" t="s">
        <v>112</v>
      </c>
      <c r="K3399" s="202">
        <f t="shared" si="53"/>
        <v>1738080</v>
      </c>
      <c r="L3399" s="202">
        <v>340.8</v>
      </c>
      <c r="N3399" s="202">
        <v>0.38</v>
      </c>
      <c r="S3399" s="204"/>
      <c r="W3399" s="198" t="s">
        <v>51</v>
      </c>
      <c r="AE3399" s="198" t="s">
        <v>831</v>
      </c>
    </row>
    <row r="3400" spans="3:31" x14ac:dyDescent="0.25">
      <c r="C3400" s="201"/>
      <c r="E3400" s="201"/>
      <c r="F3400" s="201"/>
      <c r="I3400" s="198" t="s">
        <v>669</v>
      </c>
      <c r="J3400" s="198" t="s">
        <v>112</v>
      </c>
      <c r="K3400" s="202">
        <f t="shared" si="53"/>
        <v>1738590</v>
      </c>
      <c r="L3400" s="202">
        <v>340.9</v>
      </c>
      <c r="N3400" s="202">
        <v>0.4</v>
      </c>
      <c r="S3400" s="204"/>
      <c r="W3400" s="198" t="s">
        <v>51</v>
      </c>
      <c r="AE3400" s="198" t="s">
        <v>831</v>
      </c>
    </row>
    <row r="3401" spans="3:31" x14ac:dyDescent="0.25">
      <c r="C3401" s="201"/>
      <c r="E3401" s="201"/>
      <c r="F3401" s="201"/>
      <c r="I3401" s="198" t="s">
        <v>669</v>
      </c>
      <c r="J3401" s="198" t="s">
        <v>112</v>
      </c>
      <c r="K3401" s="202">
        <f t="shared" si="53"/>
        <v>1739100</v>
      </c>
      <c r="L3401" s="202">
        <v>341</v>
      </c>
      <c r="N3401" s="202">
        <v>-0.38</v>
      </c>
      <c r="S3401" s="204"/>
      <c r="W3401" s="198" t="s">
        <v>51</v>
      </c>
      <c r="AE3401" s="198" t="s">
        <v>831</v>
      </c>
    </row>
    <row r="3402" spans="3:31" x14ac:dyDescent="0.25">
      <c r="C3402" s="201"/>
      <c r="E3402" s="201"/>
      <c r="F3402" s="201"/>
      <c r="I3402" s="198" t="s">
        <v>669</v>
      </c>
      <c r="J3402" s="198" t="s">
        <v>112</v>
      </c>
      <c r="K3402" s="202">
        <f t="shared" si="53"/>
        <v>1739610</v>
      </c>
      <c r="L3402" s="202">
        <v>341.1</v>
      </c>
      <c r="N3402" s="202">
        <v>-0.42</v>
      </c>
      <c r="S3402" s="204"/>
      <c r="W3402" s="198" t="s">
        <v>51</v>
      </c>
      <c r="AE3402" s="198" t="s">
        <v>831</v>
      </c>
    </row>
    <row r="3403" spans="3:31" x14ac:dyDescent="0.25">
      <c r="C3403" s="201"/>
      <c r="E3403" s="201"/>
      <c r="F3403" s="201"/>
      <c r="I3403" s="198" t="s">
        <v>669</v>
      </c>
      <c r="J3403" s="198" t="s">
        <v>112</v>
      </c>
      <c r="K3403" s="202">
        <f t="shared" si="53"/>
        <v>1740120</v>
      </c>
      <c r="L3403" s="202">
        <v>341.2</v>
      </c>
      <c r="N3403" s="202">
        <v>-0.28000000000000003</v>
      </c>
      <c r="S3403" s="204"/>
      <c r="W3403" s="198" t="s">
        <v>51</v>
      </c>
      <c r="AE3403" s="198" t="s">
        <v>831</v>
      </c>
    </row>
    <row r="3404" spans="3:31" x14ac:dyDescent="0.25">
      <c r="C3404" s="201"/>
      <c r="E3404" s="201"/>
      <c r="F3404" s="201"/>
      <c r="I3404" s="198" t="s">
        <v>669</v>
      </c>
      <c r="J3404" s="198" t="s">
        <v>112</v>
      </c>
      <c r="K3404" s="202">
        <f t="shared" si="53"/>
        <v>1740630</v>
      </c>
      <c r="L3404" s="202">
        <v>341.3</v>
      </c>
      <c r="N3404" s="202">
        <v>0.17</v>
      </c>
      <c r="S3404" s="204"/>
      <c r="W3404" s="198" t="s">
        <v>51</v>
      </c>
      <c r="AE3404" s="198" t="s">
        <v>831</v>
      </c>
    </row>
    <row r="3405" spans="3:31" x14ac:dyDescent="0.25">
      <c r="C3405" s="201"/>
      <c r="E3405" s="201"/>
      <c r="F3405" s="201"/>
      <c r="I3405" s="198" t="s">
        <v>669</v>
      </c>
      <c r="J3405" s="198" t="s">
        <v>112</v>
      </c>
      <c r="K3405" s="202">
        <f t="shared" si="53"/>
        <v>1741140</v>
      </c>
      <c r="L3405" s="202">
        <v>341.4</v>
      </c>
      <c r="N3405" s="202">
        <v>0.19</v>
      </c>
      <c r="S3405" s="204"/>
      <c r="W3405" s="198" t="s">
        <v>51</v>
      </c>
      <c r="AE3405" s="198" t="s">
        <v>831</v>
      </c>
    </row>
    <row r="3406" spans="3:31" x14ac:dyDescent="0.25">
      <c r="C3406" s="201"/>
      <c r="E3406" s="201"/>
      <c r="F3406" s="201"/>
      <c r="I3406" s="198" t="s">
        <v>441</v>
      </c>
      <c r="J3406" s="198" t="s">
        <v>126</v>
      </c>
      <c r="K3406" s="202">
        <f t="shared" si="53"/>
        <v>1741650</v>
      </c>
      <c r="L3406" s="202">
        <v>341.5</v>
      </c>
      <c r="N3406" s="202">
        <v>7762790</v>
      </c>
      <c r="S3406" s="204"/>
      <c r="W3406" s="198" t="s">
        <v>51</v>
      </c>
      <c r="AE3406" s="198" t="s">
        <v>835</v>
      </c>
    </row>
    <row r="3407" spans="3:31" x14ac:dyDescent="0.25">
      <c r="C3407" s="201"/>
      <c r="E3407" s="201"/>
      <c r="F3407" s="201"/>
      <c r="I3407" s="198" t="s">
        <v>441</v>
      </c>
      <c r="J3407" s="198" t="s">
        <v>126</v>
      </c>
      <c r="K3407" s="202">
        <f t="shared" si="53"/>
        <v>1742160</v>
      </c>
      <c r="L3407" s="202">
        <v>341.6</v>
      </c>
      <c r="N3407" s="202">
        <v>7762790</v>
      </c>
      <c r="S3407" s="204"/>
      <c r="W3407" s="198" t="s">
        <v>51</v>
      </c>
      <c r="AE3407" s="198" t="s">
        <v>835</v>
      </c>
    </row>
    <row r="3408" spans="3:31" x14ac:dyDescent="0.25">
      <c r="C3408" s="201"/>
      <c r="E3408" s="201"/>
      <c r="F3408" s="201"/>
      <c r="I3408" s="198" t="s">
        <v>441</v>
      </c>
      <c r="J3408" s="198" t="s">
        <v>126</v>
      </c>
      <c r="K3408" s="202">
        <f t="shared" si="53"/>
        <v>1742670</v>
      </c>
      <c r="L3408" s="202">
        <v>341.7</v>
      </c>
      <c r="N3408" s="202">
        <v>7762790</v>
      </c>
      <c r="S3408" s="204"/>
      <c r="W3408" s="198" t="s">
        <v>51</v>
      </c>
      <c r="AE3408" s="198" t="s">
        <v>835</v>
      </c>
    </row>
    <row r="3409" spans="3:31" x14ac:dyDescent="0.25">
      <c r="C3409" s="201"/>
      <c r="E3409" s="201"/>
      <c r="F3409" s="201"/>
      <c r="I3409" s="198" t="s">
        <v>440</v>
      </c>
      <c r="J3409" s="198" t="s">
        <v>126</v>
      </c>
      <c r="K3409" s="202">
        <f t="shared" si="53"/>
        <v>1743180</v>
      </c>
      <c r="L3409" s="202">
        <v>341.8</v>
      </c>
      <c r="N3409" s="202">
        <v>16535647</v>
      </c>
      <c r="S3409" s="204"/>
      <c r="W3409" s="198" t="s">
        <v>51</v>
      </c>
      <c r="AE3409" s="198" t="s">
        <v>835</v>
      </c>
    </row>
    <row r="3410" spans="3:31" x14ac:dyDescent="0.25">
      <c r="C3410" s="201"/>
      <c r="E3410" s="201"/>
      <c r="F3410" s="201"/>
      <c r="I3410" s="198" t="s">
        <v>441</v>
      </c>
      <c r="J3410" s="198" t="s">
        <v>126</v>
      </c>
      <c r="K3410" s="202">
        <f t="shared" si="53"/>
        <v>1743690</v>
      </c>
      <c r="L3410" s="202">
        <v>341.9</v>
      </c>
      <c r="N3410" s="202">
        <v>7762790</v>
      </c>
      <c r="S3410" s="204"/>
      <c r="W3410" s="198" t="s">
        <v>51</v>
      </c>
      <c r="AE3410" s="198" t="s">
        <v>835</v>
      </c>
    </row>
    <row r="3411" spans="3:31" x14ac:dyDescent="0.25">
      <c r="C3411" s="201"/>
      <c r="E3411" s="201"/>
      <c r="F3411" s="201"/>
      <c r="I3411" s="198" t="s">
        <v>1522</v>
      </c>
      <c r="J3411" s="198" t="s">
        <v>193</v>
      </c>
      <c r="K3411" s="202">
        <f t="shared" si="53"/>
        <v>1744200</v>
      </c>
      <c r="L3411" s="202">
        <v>342</v>
      </c>
      <c r="N3411" s="202">
        <v>686064445.97000003</v>
      </c>
      <c r="S3411" s="204"/>
      <c r="W3411" s="198" t="s">
        <v>51</v>
      </c>
      <c r="AE3411" s="198" t="s">
        <v>830</v>
      </c>
    </row>
    <row r="3412" spans="3:31" x14ac:dyDescent="0.25">
      <c r="C3412" s="201"/>
      <c r="E3412" s="201"/>
      <c r="F3412" s="201"/>
      <c r="I3412" s="198" t="s">
        <v>1522</v>
      </c>
      <c r="J3412" s="198" t="s">
        <v>193</v>
      </c>
      <c r="K3412" s="202">
        <f t="shared" si="53"/>
        <v>1744710</v>
      </c>
      <c r="L3412" s="202">
        <v>342.1</v>
      </c>
      <c r="N3412" s="202">
        <v>31855811.199999999</v>
      </c>
      <c r="S3412" s="204"/>
      <c r="W3412" s="198" t="s">
        <v>51</v>
      </c>
      <c r="AE3412" s="198" t="s">
        <v>830</v>
      </c>
    </row>
    <row r="3413" spans="3:31" x14ac:dyDescent="0.25">
      <c r="C3413" s="201"/>
      <c r="E3413" s="201"/>
      <c r="F3413" s="201"/>
      <c r="I3413" s="198" t="s">
        <v>2021</v>
      </c>
      <c r="J3413" s="198" t="s">
        <v>193</v>
      </c>
      <c r="K3413" s="202">
        <f t="shared" si="53"/>
        <v>1745220</v>
      </c>
      <c r="L3413" s="202">
        <v>342.2</v>
      </c>
      <c r="N3413" s="202">
        <v>251679960</v>
      </c>
      <c r="S3413" s="204"/>
      <c r="W3413" s="198" t="s">
        <v>51</v>
      </c>
      <c r="AE3413" s="198" t="s">
        <v>830</v>
      </c>
    </row>
    <row r="3414" spans="3:31" x14ac:dyDescent="0.25">
      <c r="C3414" s="201"/>
      <c r="E3414" s="201"/>
      <c r="F3414" s="201"/>
      <c r="I3414" s="198" t="s">
        <v>2021</v>
      </c>
      <c r="J3414" s="198" t="s">
        <v>193</v>
      </c>
      <c r="K3414" s="202">
        <f t="shared" si="53"/>
        <v>1745730</v>
      </c>
      <c r="L3414" s="202">
        <v>342.3</v>
      </c>
      <c r="N3414" s="202">
        <v>91276030.799999997</v>
      </c>
      <c r="S3414" s="204"/>
      <c r="W3414" s="198" t="s">
        <v>51</v>
      </c>
      <c r="AE3414" s="198" t="s">
        <v>830</v>
      </c>
    </row>
    <row r="3415" spans="3:31" x14ac:dyDescent="0.25">
      <c r="C3415" s="201"/>
      <c r="E3415" s="201"/>
      <c r="F3415" s="201"/>
      <c r="I3415" s="198" t="s">
        <v>2023</v>
      </c>
      <c r="J3415" s="198" t="s">
        <v>193</v>
      </c>
      <c r="K3415" s="202">
        <f t="shared" si="53"/>
        <v>1746240</v>
      </c>
      <c r="L3415" s="202">
        <v>342.4</v>
      </c>
      <c r="N3415" s="202">
        <v>41989150</v>
      </c>
      <c r="S3415" s="204"/>
      <c r="W3415" s="198" t="s">
        <v>51</v>
      </c>
      <c r="AE3415" s="198" t="s">
        <v>830</v>
      </c>
    </row>
    <row r="3416" spans="3:31" x14ac:dyDescent="0.25">
      <c r="C3416" s="201"/>
      <c r="E3416" s="201"/>
      <c r="F3416" s="201"/>
      <c r="I3416" s="198" t="s">
        <v>2023</v>
      </c>
      <c r="J3416" s="198" t="s">
        <v>193</v>
      </c>
      <c r="K3416" s="202">
        <f t="shared" si="53"/>
        <v>1746750</v>
      </c>
      <c r="L3416" s="202">
        <v>342.5</v>
      </c>
      <c r="N3416" s="202">
        <v>111147750</v>
      </c>
      <c r="S3416" s="204"/>
      <c r="W3416" s="198" t="s">
        <v>51</v>
      </c>
      <c r="AE3416" s="198" t="s">
        <v>830</v>
      </c>
    </row>
    <row r="3417" spans="3:31" x14ac:dyDescent="0.25">
      <c r="C3417" s="201"/>
      <c r="E3417" s="201"/>
      <c r="F3417" s="201"/>
      <c r="I3417" s="198" t="s">
        <v>2069</v>
      </c>
      <c r="J3417" s="198" t="s">
        <v>193</v>
      </c>
      <c r="K3417" s="202">
        <f t="shared" si="53"/>
        <v>1747260</v>
      </c>
      <c r="L3417" s="202">
        <v>342.6</v>
      </c>
      <c r="N3417" s="202">
        <v>76481072.120000005</v>
      </c>
      <c r="S3417" s="204"/>
      <c r="W3417" s="198" t="s">
        <v>51</v>
      </c>
      <c r="AE3417" s="198" t="s">
        <v>830</v>
      </c>
    </row>
    <row r="3418" spans="3:31" x14ac:dyDescent="0.25">
      <c r="C3418" s="201"/>
      <c r="E3418" s="201"/>
      <c r="F3418" s="201"/>
      <c r="I3418" s="198" t="s">
        <v>1892</v>
      </c>
      <c r="J3418" s="198" t="s">
        <v>143</v>
      </c>
      <c r="K3418" s="202">
        <f t="shared" si="53"/>
        <v>1747770</v>
      </c>
      <c r="L3418" s="202">
        <v>342.7</v>
      </c>
      <c r="N3418" s="202">
        <v>32447656.25</v>
      </c>
      <c r="S3418" s="203"/>
      <c r="W3418" s="198" t="s">
        <v>51</v>
      </c>
      <c r="AE3418" s="198" t="s">
        <v>829</v>
      </c>
    </row>
    <row r="3419" spans="3:31" x14ac:dyDescent="0.25">
      <c r="C3419" s="201"/>
      <c r="E3419" s="201"/>
      <c r="F3419" s="201"/>
      <c r="I3419" s="198" t="s">
        <v>1295</v>
      </c>
      <c r="J3419" s="198" t="s">
        <v>143</v>
      </c>
      <c r="K3419" s="202">
        <f t="shared" si="53"/>
        <v>1748280</v>
      </c>
      <c r="L3419" s="202">
        <v>342.8</v>
      </c>
      <c r="N3419" s="202">
        <v>929072443.5</v>
      </c>
      <c r="S3419" s="204"/>
      <c r="W3419" s="198" t="s">
        <v>51</v>
      </c>
      <c r="AE3419" s="198" t="s">
        <v>829</v>
      </c>
    </row>
    <row r="3420" spans="3:31" x14ac:dyDescent="0.25">
      <c r="C3420" s="201"/>
      <c r="E3420" s="201"/>
      <c r="F3420" s="201"/>
      <c r="I3420" s="198" t="s">
        <v>1890</v>
      </c>
      <c r="J3420" s="198" t="s">
        <v>143</v>
      </c>
      <c r="K3420" s="202">
        <f t="shared" si="53"/>
        <v>1748790</v>
      </c>
      <c r="L3420" s="202">
        <v>342.9</v>
      </c>
      <c r="N3420" s="202">
        <v>88407136.510000005</v>
      </c>
      <c r="S3420" s="204"/>
      <c r="W3420" s="198" t="s">
        <v>51</v>
      </c>
      <c r="AE3420" s="198" t="s">
        <v>829</v>
      </c>
    </row>
    <row r="3421" spans="3:31" x14ac:dyDescent="0.25">
      <c r="C3421" s="201"/>
      <c r="E3421" s="201"/>
      <c r="F3421" s="201"/>
      <c r="I3421" s="198" t="s">
        <v>1894</v>
      </c>
      <c r="J3421" s="198" t="s">
        <v>143</v>
      </c>
      <c r="K3421" s="202">
        <f t="shared" si="53"/>
        <v>1749300</v>
      </c>
      <c r="L3421" s="202">
        <v>343</v>
      </c>
      <c r="N3421" s="202">
        <v>92102634</v>
      </c>
      <c r="S3421" s="204"/>
      <c r="W3421" s="198" t="s">
        <v>51</v>
      </c>
      <c r="AE3421" s="198" t="s">
        <v>829</v>
      </c>
    </row>
    <row r="3422" spans="3:31" x14ac:dyDescent="0.25">
      <c r="C3422" s="201"/>
      <c r="E3422" s="201"/>
      <c r="F3422" s="201"/>
      <c r="I3422" s="198" t="s">
        <v>1896</v>
      </c>
      <c r="J3422" s="198" t="s">
        <v>143</v>
      </c>
      <c r="K3422" s="202">
        <f t="shared" si="53"/>
        <v>1749810</v>
      </c>
      <c r="L3422" s="202">
        <v>343.1</v>
      </c>
      <c r="N3422" s="202">
        <v>175569362.88</v>
      </c>
      <c r="S3422" s="204"/>
      <c r="W3422" s="198" t="s">
        <v>51</v>
      </c>
      <c r="AE3422" s="198" t="s">
        <v>829</v>
      </c>
    </row>
    <row r="3423" spans="3:31" x14ac:dyDescent="0.25">
      <c r="C3423" s="201"/>
      <c r="E3423" s="201"/>
      <c r="F3423" s="201"/>
      <c r="I3423" s="198" t="s">
        <v>1898</v>
      </c>
      <c r="J3423" s="198" t="s">
        <v>143</v>
      </c>
      <c r="K3423" s="202">
        <f t="shared" si="53"/>
        <v>1750320</v>
      </c>
      <c r="L3423" s="202">
        <v>343.2</v>
      </c>
      <c r="N3423" s="202">
        <v>300792829.56999999</v>
      </c>
      <c r="S3423" s="203"/>
      <c r="W3423" s="198" t="s">
        <v>51</v>
      </c>
      <c r="AE3423" s="198" t="s">
        <v>829</v>
      </c>
    </row>
    <row r="3424" spans="3:31" x14ac:dyDescent="0.25">
      <c r="C3424" s="201"/>
      <c r="E3424" s="201"/>
      <c r="F3424" s="201"/>
      <c r="I3424" s="198" t="s">
        <v>1892</v>
      </c>
      <c r="J3424" s="198" t="s">
        <v>143</v>
      </c>
      <c r="K3424" s="202">
        <f t="shared" si="53"/>
        <v>1750830</v>
      </c>
      <c r="L3424" s="202">
        <v>343.3</v>
      </c>
      <c r="N3424" s="202">
        <v>-32447656.25</v>
      </c>
      <c r="S3424" s="203"/>
      <c r="W3424" s="198" t="s">
        <v>51</v>
      </c>
      <c r="AE3424" s="198" t="s">
        <v>829</v>
      </c>
    </row>
    <row r="3425" spans="3:31" x14ac:dyDescent="0.25">
      <c r="C3425" s="201"/>
      <c r="E3425" s="201"/>
      <c r="F3425" s="201"/>
      <c r="I3425" s="198" t="s">
        <v>1295</v>
      </c>
      <c r="J3425" s="198" t="s">
        <v>143</v>
      </c>
      <c r="K3425" s="202">
        <f t="shared" si="53"/>
        <v>1751340</v>
      </c>
      <c r="L3425" s="202">
        <v>343.4</v>
      </c>
      <c r="N3425" s="202">
        <v>-929072443.5</v>
      </c>
      <c r="S3425" s="204"/>
      <c r="W3425" s="198" t="s">
        <v>51</v>
      </c>
      <c r="AE3425" s="198" t="s">
        <v>829</v>
      </c>
    </row>
    <row r="3426" spans="3:31" x14ac:dyDescent="0.25">
      <c r="C3426" s="201"/>
      <c r="E3426" s="201"/>
      <c r="F3426" s="201"/>
      <c r="I3426" s="198" t="s">
        <v>1890</v>
      </c>
      <c r="J3426" s="198" t="s">
        <v>143</v>
      </c>
      <c r="K3426" s="202">
        <f t="shared" si="53"/>
        <v>1751850</v>
      </c>
      <c r="L3426" s="202">
        <v>343.5</v>
      </c>
      <c r="N3426" s="202">
        <v>-88407136.510000005</v>
      </c>
      <c r="S3426" s="204"/>
      <c r="W3426" s="198" t="s">
        <v>51</v>
      </c>
      <c r="AE3426" s="198" t="s">
        <v>829</v>
      </c>
    </row>
    <row r="3427" spans="3:31" x14ac:dyDescent="0.25">
      <c r="C3427" s="201"/>
      <c r="E3427" s="201"/>
      <c r="F3427" s="201"/>
      <c r="I3427" s="198" t="s">
        <v>1894</v>
      </c>
      <c r="J3427" s="198" t="s">
        <v>143</v>
      </c>
      <c r="K3427" s="202">
        <f t="shared" si="53"/>
        <v>1752360</v>
      </c>
      <c r="L3427" s="202">
        <v>343.6</v>
      </c>
      <c r="N3427" s="202">
        <v>-92102634</v>
      </c>
      <c r="S3427" s="204"/>
      <c r="W3427" s="198" t="s">
        <v>51</v>
      </c>
      <c r="AE3427" s="198" t="s">
        <v>829</v>
      </c>
    </row>
    <row r="3428" spans="3:31" x14ac:dyDescent="0.25">
      <c r="C3428" s="201"/>
      <c r="E3428" s="201"/>
      <c r="F3428" s="201"/>
      <c r="I3428" s="198" t="s">
        <v>1896</v>
      </c>
      <c r="J3428" s="198" t="s">
        <v>143</v>
      </c>
      <c r="K3428" s="202">
        <f t="shared" si="53"/>
        <v>1752870</v>
      </c>
      <c r="L3428" s="202">
        <v>343.7</v>
      </c>
      <c r="N3428" s="202">
        <v>-175569362.88</v>
      </c>
      <c r="S3428" s="204"/>
      <c r="W3428" s="198" t="s">
        <v>51</v>
      </c>
      <c r="AE3428" s="198" t="s">
        <v>829</v>
      </c>
    </row>
    <row r="3429" spans="3:31" x14ac:dyDescent="0.25">
      <c r="C3429" s="201"/>
      <c r="E3429" s="201"/>
      <c r="F3429" s="201"/>
      <c r="I3429" s="198" t="s">
        <v>1898</v>
      </c>
      <c r="J3429" s="198" t="s">
        <v>143</v>
      </c>
      <c r="K3429" s="202">
        <f t="shared" si="53"/>
        <v>1753380</v>
      </c>
      <c r="L3429" s="202">
        <v>343.8</v>
      </c>
      <c r="N3429" s="202">
        <v>-300792829.56999999</v>
      </c>
      <c r="S3429" s="203"/>
      <c r="W3429" s="198" t="s">
        <v>51</v>
      </c>
      <c r="AE3429" s="198" t="s">
        <v>829</v>
      </c>
    </row>
    <row r="3430" spans="3:31" x14ac:dyDescent="0.25">
      <c r="C3430" s="201"/>
      <c r="E3430" s="201"/>
      <c r="F3430" s="201"/>
      <c r="I3430" s="198" t="s">
        <v>707</v>
      </c>
      <c r="J3430" s="198" t="s">
        <v>126</v>
      </c>
      <c r="K3430" s="202">
        <f t="shared" si="53"/>
        <v>1753890</v>
      </c>
      <c r="L3430" s="202">
        <v>343.9</v>
      </c>
      <c r="N3430" s="202">
        <v>-1175312498.73</v>
      </c>
      <c r="S3430" s="204"/>
      <c r="W3430" s="198" t="s">
        <v>51</v>
      </c>
      <c r="AE3430" s="198" t="s">
        <v>835</v>
      </c>
    </row>
    <row r="3431" spans="3:31" x14ac:dyDescent="0.25">
      <c r="C3431" s="201"/>
      <c r="E3431" s="201"/>
      <c r="F3431" s="201"/>
      <c r="I3431" s="198" t="s">
        <v>555</v>
      </c>
      <c r="J3431" s="198" t="s">
        <v>132</v>
      </c>
      <c r="K3431" s="202">
        <f t="shared" si="53"/>
        <v>1754400</v>
      </c>
      <c r="L3431" s="202">
        <v>344</v>
      </c>
      <c r="N3431" s="202">
        <v>396754.62</v>
      </c>
      <c r="S3431" s="204"/>
      <c r="W3431" s="198" t="s">
        <v>51</v>
      </c>
      <c r="AE3431" s="198" t="s">
        <v>833</v>
      </c>
    </row>
    <row r="3432" spans="3:31" x14ac:dyDescent="0.25">
      <c r="C3432" s="201"/>
      <c r="E3432" s="201"/>
      <c r="F3432" s="201"/>
      <c r="I3432" s="198" t="s">
        <v>536</v>
      </c>
      <c r="J3432" s="198" t="s">
        <v>126</v>
      </c>
      <c r="K3432" s="202">
        <f t="shared" si="53"/>
        <v>1754910</v>
      </c>
      <c r="L3432" s="202">
        <v>344.1</v>
      </c>
      <c r="N3432" s="202">
        <v>255564.42</v>
      </c>
      <c r="S3432" s="204"/>
      <c r="W3432" s="198" t="s">
        <v>51</v>
      </c>
      <c r="AE3432" s="198" t="s">
        <v>835</v>
      </c>
    </row>
    <row r="3433" spans="3:31" x14ac:dyDescent="0.25">
      <c r="C3433" s="201"/>
      <c r="E3433" s="201"/>
      <c r="F3433" s="201"/>
      <c r="I3433" s="198" t="s">
        <v>554</v>
      </c>
      <c r="J3433" s="198" t="s">
        <v>130</v>
      </c>
      <c r="K3433" s="202">
        <f t="shared" si="53"/>
        <v>1755420</v>
      </c>
      <c r="L3433" s="202">
        <v>344.2</v>
      </c>
      <c r="N3433" s="202">
        <v>891621.57</v>
      </c>
      <c r="S3433" s="204"/>
      <c r="W3433" s="198" t="s">
        <v>51</v>
      </c>
      <c r="AE3433" s="198" t="s">
        <v>833</v>
      </c>
    </row>
    <row r="3434" spans="3:31" x14ac:dyDescent="0.25">
      <c r="C3434" s="201"/>
      <c r="E3434" s="201"/>
      <c r="F3434" s="201"/>
      <c r="I3434" s="198" t="s">
        <v>536</v>
      </c>
      <c r="J3434" s="198" t="s">
        <v>126</v>
      </c>
      <c r="K3434" s="202">
        <f t="shared" si="53"/>
        <v>1755930</v>
      </c>
      <c r="L3434" s="202">
        <v>344.3</v>
      </c>
      <c r="N3434" s="202">
        <v>36771.22</v>
      </c>
      <c r="S3434" s="204"/>
      <c r="W3434" s="198" t="s">
        <v>51</v>
      </c>
      <c r="AE3434" s="198" t="s">
        <v>835</v>
      </c>
    </row>
    <row r="3435" spans="3:31" x14ac:dyDescent="0.25">
      <c r="C3435" s="201"/>
      <c r="E3435" s="201"/>
      <c r="F3435" s="201"/>
      <c r="I3435" s="198" t="s">
        <v>262</v>
      </c>
      <c r="J3435" s="198" t="s">
        <v>167</v>
      </c>
      <c r="K3435" s="202">
        <f t="shared" si="53"/>
        <v>1756440</v>
      </c>
      <c r="L3435" s="202">
        <v>344.4</v>
      </c>
      <c r="N3435" s="202">
        <v>5309277.12</v>
      </c>
      <c r="S3435" s="204"/>
      <c r="W3435" s="198" t="s">
        <v>51</v>
      </c>
      <c r="AE3435" s="198" t="s">
        <v>831</v>
      </c>
    </row>
    <row r="3436" spans="3:31" x14ac:dyDescent="0.25">
      <c r="C3436" s="201"/>
      <c r="E3436" s="201"/>
      <c r="F3436" s="201"/>
      <c r="I3436" s="198" t="s">
        <v>262</v>
      </c>
      <c r="J3436" s="198" t="s">
        <v>167</v>
      </c>
      <c r="K3436" s="202">
        <f t="shared" si="53"/>
        <v>1756950</v>
      </c>
      <c r="L3436" s="202">
        <v>344.5</v>
      </c>
      <c r="N3436" s="202">
        <v>539562</v>
      </c>
      <c r="S3436" s="204"/>
      <c r="W3436" s="198" t="s">
        <v>51</v>
      </c>
      <c r="AE3436" s="198" t="s">
        <v>831</v>
      </c>
    </row>
    <row r="3437" spans="3:31" x14ac:dyDescent="0.25">
      <c r="C3437" s="201"/>
      <c r="E3437" s="201"/>
      <c r="F3437" s="201"/>
      <c r="I3437" s="198" t="s">
        <v>259</v>
      </c>
      <c r="J3437" s="198" t="s">
        <v>167</v>
      </c>
      <c r="K3437" s="202">
        <f t="shared" si="53"/>
        <v>1757460</v>
      </c>
      <c r="L3437" s="202">
        <v>344.6</v>
      </c>
      <c r="N3437" s="202">
        <v>3808800</v>
      </c>
      <c r="S3437" s="204"/>
      <c r="W3437" s="198" t="s">
        <v>51</v>
      </c>
      <c r="AE3437" s="198" t="s">
        <v>831</v>
      </c>
    </row>
    <row r="3438" spans="3:31" x14ac:dyDescent="0.25">
      <c r="C3438" s="201"/>
      <c r="E3438" s="201"/>
      <c r="F3438" s="201"/>
      <c r="I3438" s="198" t="s">
        <v>260</v>
      </c>
      <c r="J3438" s="198" t="s">
        <v>167</v>
      </c>
      <c r="K3438" s="202">
        <f t="shared" si="53"/>
        <v>1757970</v>
      </c>
      <c r="L3438" s="202">
        <v>344.7</v>
      </c>
      <c r="N3438" s="202">
        <v>360000</v>
      </c>
      <c r="S3438" s="204"/>
      <c r="W3438" s="198" t="s">
        <v>51</v>
      </c>
      <c r="AE3438" s="198" t="s">
        <v>831</v>
      </c>
    </row>
    <row r="3439" spans="3:31" x14ac:dyDescent="0.25">
      <c r="C3439" s="201"/>
      <c r="E3439" s="201"/>
      <c r="F3439" s="201"/>
      <c r="I3439" s="198" t="s">
        <v>746</v>
      </c>
      <c r="J3439" s="198" t="s">
        <v>167</v>
      </c>
      <c r="K3439" s="202">
        <f t="shared" si="53"/>
        <v>1758480</v>
      </c>
      <c r="L3439" s="202">
        <v>344.8</v>
      </c>
      <c r="N3439" s="202">
        <v>2051993.85</v>
      </c>
      <c r="S3439" s="204"/>
      <c r="W3439" s="198" t="s">
        <v>51</v>
      </c>
      <c r="AE3439" s="198" t="s">
        <v>831</v>
      </c>
    </row>
    <row r="3440" spans="3:31" x14ac:dyDescent="0.25">
      <c r="C3440" s="201"/>
      <c r="E3440" s="201"/>
      <c r="F3440" s="201"/>
      <c r="I3440" s="198" t="s">
        <v>263</v>
      </c>
      <c r="J3440" s="198" t="s">
        <v>167</v>
      </c>
      <c r="K3440" s="202">
        <f t="shared" si="53"/>
        <v>1758990</v>
      </c>
      <c r="L3440" s="202">
        <v>344.9</v>
      </c>
      <c r="N3440" s="202">
        <v>173520</v>
      </c>
      <c r="S3440" s="204"/>
      <c r="W3440" s="198" t="s">
        <v>51</v>
      </c>
      <c r="AE3440" s="198" t="s">
        <v>831</v>
      </c>
    </row>
    <row r="3441" spans="3:31" x14ac:dyDescent="0.25">
      <c r="C3441" s="201"/>
      <c r="E3441" s="201"/>
      <c r="F3441" s="201"/>
      <c r="I3441" s="198" t="s">
        <v>263</v>
      </c>
      <c r="J3441" s="198" t="s">
        <v>167</v>
      </c>
      <c r="K3441" s="202">
        <f t="shared" si="53"/>
        <v>1759500</v>
      </c>
      <c r="L3441" s="202">
        <v>345</v>
      </c>
      <c r="N3441" s="202">
        <v>1248067</v>
      </c>
      <c r="S3441" s="204"/>
      <c r="W3441" s="198" t="s">
        <v>51</v>
      </c>
      <c r="AE3441" s="198" t="s">
        <v>831</v>
      </c>
    </row>
    <row r="3442" spans="3:31" x14ac:dyDescent="0.25">
      <c r="C3442" s="201"/>
      <c r="E3442" s="201"/>
      <c r="F3442" s="201"/>
      <c r="I3442" s="198" t="s">
        <v>263</v>
      </c>
      <c r="J3442" s="198" t="s">
        <v>167</v>
      </c>
      <c r="K3442" s="202">
        <f t="shared" si="53"/>
        <v>1760010</v>
      </c>
      <c r="L3442" s="202">
        <v>345.1</v>
      </c>
      <c r="N3442" s="202">
        <v>5942552</v>
      </c>
      <c r="S3442" s="204"/>
      <c r="W3442" s="198" t="s">
        <v>51</v>
      </c>
      <c r="AE3442" s="198" t="s">
        <v>831</v>
      </c>
    </row>
    <row r="3443" spans="3:31" x14ac:dyDescent="0.25">
      <c r="C3443" s="201"/>
      <c r="E3443" s="201"/>
      <c r="F3443" s="201"/>
      <c r="I3443" s="198" t="s">
        <v>686</v>
      </c>
      <c r="J3443" s="198" t="s">
        <v>193</v>
      </c>
      <c r="K3443" s="202">
        <f t="shared" si="53"/>
        <v>1760520</v>
      </c>
      <c r="L3443" s="202">
        <v>345.2</v>
      </c>
      <c r="N3443" s="202">
        <v>3000</v>
      </c>
      <c r="S3443" s="204"/>
      <c r="W3443" s="198" t="s">
        <v>51</v>
      </c>
      <c r="AE3443" s="198" t="s">
        <v>830</v>
      </c>
    </row>
    <row r="3444" spans="3:31" x14ac:dyDescent="0.25">
      <c r="C3444" s="201"/>
      <c r="E3444" s="201"/>
      <c r="F3444" s="201"/>
      <c r="I3444" s="198" t="s">
        <v>686</v>
      </c>
      <c r="J3444" s="198" t="s">
        <v>193</v>
      </c>
      <c r="K3444" s="202">
        <f t="shared" si="53"/>
        <v>1761030</v>
      </c>
      <c r="L3444" s="202">
        <v>345.3</v>
      </c>
      <c r="N3444" s="202">
        <v>12735</v>
      </c>
      <c r="S3444" s="204"/>
      <c r="W3444" s="198" t="s">
        <v>51</v>
      </c>
      <c r="AE3444" s="198" t="s">
        <v>830</v>
      </c>
    </row>
    <row r="3445" spans="3:31" x14ac:dyDescent="0.25">
      <c r="C3445" s="201"/>
      <c r="E3445" s="201"/>
      <c r="F3445" s="201"/>
      <c r="I3445" s="198" t="s">
        <v>135</v>
      </c>
      <c r="J3445" s="198" t="s">
        <v>117</v>
      </c>
      <c r="K3445" s="202">
        <f t="shared" si="53"/>
        <v>1761540</v>
      </c>
      <c r="L3445" s="202">
        <v>345.4</v>
      </c>
      <c r="N3445" s="202">
        <v>0.04</v>
      </c>
      <c r="S3445" s="204"/>
      <c r="W3445" s="198" t="s">
        <v>51</v>
      </c>
      <c r="AE3445" s="198" t="s">
        <v>878</v>
      </c>
    </row>
    <row r="3446" spans="3:31" x14ac:dyDescent="0.25">
      <c r="C3446" s="201"/>
      <c r="E3446" s="201"/>
      <c r="F3446" s="201"/>
      <c r="I3446" s="198" t="s">
        <v>686</v>
      </c>
      <c r="J3446" s="198" t="s">
        <v>193</v>
      </c>
      <c r="K3446" s="202">
        <f t="shared" si="53"/>
        <v>1762050</v>
      </c>
      <c r="L3446" s="202">
        <v>345.5</v>
      </c>
      <c r="N3446" s="202">
        <v>30000</v>
      </c>
      <c r="S3446" s="204"/>
      <c r="W3446" s="198" t="s">
        <v>51</v>
      </c>
      <c r="AE3446" s="198" t="s">
        <v>830</v>
      </c>
    </row>
    <row r="3447" spans="3:31" x14ac:dyDescent="0.25">
      <c r="C3447" s="201"/>
      <c r="E3447" s="201"/>
      <c r="F3447" s="201"/>
      <c r="I3447" s="198" t="s">
        <v>686</v>
      </c>
      <c r="J3447" s="198" t="s">
        <v>193</v>
      </c>
      <c r="K3447" s="202">
        <f t="shared" si="53"/>
        <v>1762560</v>
      </c>
      <c r="L3447" s="202">
        <v>345.6</v>
      </c>
      <c r="N3447" s="202">
        <v>15000</v>
      </c>
      <c r="S3447" s="204"/>
      <c r="W3447" s="198" t="s">
        <v>51</v>
      </c>
      <c r="AE3447" s="198" t="s">
        <v>830</v>
      </c>
    </row>
    <row r="3448" spans="3:31" x14ac:dyDescent="0.25">
      <c r="C3448" s="201"/>
      <c r="E3448" s="201"/>
      <c r="F3448" s="201"/>
      <c r="I3448" s="198" t="s">
        <v>686</v>
      </c>
      <c r="J3448" s="198" t="s">
        <v>193</v>
      </c>
      <c r="K3448" s="202">
        <f t="shared" si="53"/>
        <v>1763070</v>
      </c>
      <c r="L3448" s="202">
        <v>345.7</v>
      </c>
      <c r="N3448" s="202">
        <v>3000</v>
      </c>
      <c r="S3448" s="204"/>
      <c r="W3448" s="198" t="s">
        <v>51</v>
      </c>
      <c r="AE3448" s="198" t="s">
        <v>830</v>
      </c>
    </row>
    <row r="3449" spans="3:31" x14ac:dyDescent="0.25">
      <c r="C3449" s="201"/>
      <c r="E3449" s="201"/>
      <c r="F3449" s="201"/>
      <c r="I3449" s="198" t="s">
        <v>686</v>
      </c>
      <c r="J3449" s="198" t="s">
        <v>193</v>
      </c>
      <c r="K3449" s="202">
        <f t="shared" si="53"/>
        <v>1763580</v>
      </c>
      <c r="L3449" s="202">
        <v>345.8</v>
      </c>
      <c r="N3449" s="202">
        <v>17265</v>
      </c>
      <c r="S3449" s="204"/>
      <c r="W3449" s="198" t="s">
        <v>51</v>
      </c>
      <c r="AE3449" s="198" t="s">
        <v>830</v>
      </c>
    </row>
    <row r="3450" spans="3:31" x14ac:dyDescent="0.25">
      <c r="C3450" s="201"/>
      <c r="E3450" s="201"/>
      <c r="F3450" s="201"/>
      <c r="I3450" s="198" t="s">
        <v>129</v>
      </c>
      <c r="J3450" s="198" t="s">
        <v>130</v>
      </c>
      <c r="K3450" s="202">
        <f t="shared" si="53"/>
        <v>1764090</v>
      </c>
      <c r="L3450" s="202">
        <v>345.9</v>
      </c>
      <c r="N3450" s="202">
        <v>2252965</v>
      </c>
      <c r="S3450" s="204"/>
      <c r="W3450" s="198" t="s">
        <v>51</v>
      </c>
      <c r="AE3450" s="198" t="s">
        <v>833</v>
      </c>
    </row>
    <row r="3451" spans="3:31" x14ac:dyDescent="0.25">
      <c r="C3451" s="201"/>
      <c r="E3451" s="201"/>
      <c r="F3451" s="201"/>
      <c r="I3451" s="198" t="s">
        <v>129</v>
      </c>
      <c r="J3451" s="198" t="s">
        <v>130</v>
      </c>
      <c r="K3451" s="202">
        <f t="shared" si="53"/>
        <v>1764600</v>
      </c>
      <c r="L3451" s="202">
        <v>346</v>
      </c>
      <c r="N3451" s="202">
        <v>1332000</v>
      </c>
      <c r="S3451" s="204"/>
      <c r="W3451" s="198" t="s">
        <v>51</v>
      </c>
      <c r="AE3451" s="198" t="s">
        <v>833</v>
      </c>
    </row>
    <row r="3452" spans="3:31" x14ac:dyDescent="0.25">
      <c r="C3452" s="201"/>
      <c r="E3452" s="201"/>
      <c r="F3452" s="201"/>
      <c r="I3452" s="198" t="s">
        <v>435</v>
      </c>
      <c r="J3452" s="198" t="s">
        <v>130</v>
      </c>
      <c r="K3452" s="202">
        <f t="shared" si="53"/>
        <v>1765110</v>
      </c>
      <c r="L3452" s="202">
        <v>346.1</v>
      </c>
      <c r="N3452" s="202">
        <v>5396509.7999999998</v>
      </c>
      <c r="S3452" s="204"/>
      <c r="W3452" s="198" t="s">
        <v>51</v>
      </c>
      <c r="AE3452" s="198" t="s">
        <v>833</v>
      </c>
    </row>
    <row r="3453" spans="3:31" x14ac:dyDescent="0.25">
      <c r="C3453" s="201"/>
      <c r="E3453" s="201"/>
      <c r="F3453" s="201"/>
      <c r="I3453" s="198" t="s">
        <v>131</v>
      </c>
      <c r="J3453" s="198" t="s">
        <v>132</v>
      </c>
      <c r="K3453" s="202">
        <f t="shared" si="53"/>
        <v>1765620</v>
      </c>
      <c r="L3453" s="202">
        <v>346.2</v>
      </c>
      <c r="N3453" s="202">
        <v>1634215.5</v>
      </c>
      <c r="S3453" s="204"/>
      <c r="W3453" s="198" t="s">
        <v>51</v>
      </c>
      <c r="AE3453" s="198" t="s">
        <v>833</v>
      </c>
    </row>
    <row r="3454" spans="3:31" x14ac:dyDescent="0.25">
      <c r="C3454" s="201"/>
      <c r="E3454" s="201"/>
      <c r="F3454" s="201"/>
      <c r="I3454" s="198" t="s">
        <v>131</v>
      </c>
      <c r="J3454" s="198" t="s">
        <v>132</v>
      </c>
      <c r="K3454" s="202">
        <f t="shared" si="53"/>
        <v>1766130</v>
      </c>
      <c r="L3454" s="202">
        <v>346.3</v>
      </c>
      <c r="N3454" s="202">
        <v>603404.81000000006</v>
      </c>
      <c r="S3454" s="204"/>
      <c r="W3454" s="198" t="s">
        <v>51</v>
      </c>
      <c r="AE3454" s="198" t="s">
        <v>833</v>
      </c>
    </row>
    <row r="3455" spans="3:31" x14ac:dyDescent="0.25">
      <c r="C3455" s="201"/>
      <c r="E3455" s="201"/>
      <c r="F3455" s="201"/>
      <c r="I3455" s="198" t="s">
        <v>131</v>
      </c>
      <c r="J3455" s="198" t="s">
        <v>132</v>
      </c>
      <c r="K3455" s="202">
        <f t="shared" si="53"/>
        <v>1766640</v>
      </c>
      <c r="L3455" s="202">
        <v>346.4</v>
      </c>
      <c r="N3455" s="202">
        <v>6029.4</v>
      </c>
      <c r="S3455" s="204"/>
      <c r="W3455" s="198" t="s">
        <v>51</v>
      </c>
      <c r="AE3455" s="198" t="s">
        <v>833</v>
      </c>
    </row>
    <row r="3456" spans="3:31" x14ac:dyDescent="0.25">
      <c r="C3456" s="201"/>
      <c r="E3456" s="201"/>
      <c r="F3456" s="201"/>
      <c r="I3456" s="198" t="s">
        <v>131</v>
      </c>
      <c r="J3456" s="198" t="s">
        <v>132</v>
      </c>
      <c r="K3456" s="202">
        <f t="shared" si="53"/>
        <v>1767150</v>
      </c>
      <c r="L3456" s="202">
        <v>346.5</v>
      </c>
      <c r="N3456" s="202">
        <v>-1634215.5</v>
      </c>
      <c r="S3456" s="204"/>
      <c r="W3456" s="198" t="s">
        <v>51</v>
      </c>
      <c r="AE3456" s="198" t="s">
        <v>833</v>
      </c>
    </row>
    <row r="3457" spans="3:31" x14ac:dyDescent="0.25">
      <c r="C3457" s="201"/>
      <c r="E3457" s="201"/>
      <c r="F3457" s="201"/>
      <c r="I3457" s="198" t="s">
        <v>131</v>
      </c>
      <c r="J3457" s="198" t="s">
        <v>132</v>
      </c>
      <c r="K3457" s="202">
        <f t="shared" si="53"/>
        <v>1767660</v>
      </c>
      <c r="L3457" s="202">
        <v>346.6</v>
      </c>
      <c r="N3457" s="202">
        <v>-603404.81000000006</v>
      </c>
      <c r="S3457" s="204"/>
      <c r="W3457" s="198" t="s">
        <v>51</v>
      </c>
      <c r="AE3457" s="198" t="s">
        <v>833</v>
      </c>
    </row>
    <row r="3458" spans="3:31" x14ac:dyDescent="0.25">
      <c r="C3458" s="201"/>
      <c r="E3458" s="201"/>
      <c r="F3458" s="201"/>
      <c r="I3458" s="198" t="s">
        <v>131</v>
      </c>
      <c r="J3458" s="198" t="s">
        <v>132</v>
      </c>
      <c r="K3458" s="202">
        <f t="shared" si="53"/>
        <v>1768170</v>
      </c>
      <c r="L3458" s="202">
        <v>346.7</v>
      </c>
      <c r="N3458" s="202">
        <v>-6029.4</v>
      </c>
      <c r="S3458" s="204"/>
      <c r="W3458" s="198" t="s">
        <v>51</v>
      </c>
      <c r="AE3458" s="198" t="s">
        <v>833</v>
      </c>
    </row>
    <row r="3459" spans="3:31" x14ac:dyDescent="0.25">
      <c r="C3459" s="201"/>
      <c r="E3459" s="201"/>
      <c r="F3459" s="201"/>
      <c r="I3459" s="198" t="s">
        <v>131</v>
      </c>
      <c r="J3459" s="198" t="s">
        <v>132</v>
      </c>
      <c r="K3459" s="202">
        <f t="shared" ref="K3459:K3522" si="54">L3459*5100</f>
        <v>1768680</v>
      </c>
      <c r="L3459" s="202">
        <v>346.8</v>
      </c>
      <c r="N3459" s="202">
        <v>10760.45</v>
      </c>
      <c r="S3459" s="204"/>
      <c r="W3459" s="198" t="s">
        <v>51</v>
      </c>
      <c r="AE3459" s="198" t="s">
        <v>833</v>
      </c>
    </row>
    <row r="3460" spans="3:31" x14ac:dyDescent="0.25">
      <c r="C3460" s="201"/>
      <c r="E3460" s="201"/>
      <c r="F3460" s="201"/>
      <c r="I3460" s="198" t="s">
        <v>131</v>
      </c>
      <c r="J3460" s="198" t="s">
        <v>132</v>
      </c>
      <c r="K3460" s="202">
        <f t="shared" si="54"/>
        <v>1769190</v>
      </c>
      <c r="L3460" s="202">
        <v>346.9</v>
      </c>
      <c r="N3460" s="202">
        <v>8311.0400000000009</v>
      </c>
      <c r="S3460" s="204"/>
      <c r="W3460" s="198" t="s">
        <v>51</v>
      </c>
      <c r="AE3460" s="198" t="s">
        <v>833</v>
      </c>
    </row>
    <row r="3461" spans="3:31" x14ac:dyDescent="0.25">
      <c r="C3461" s="201"/>
      <c r="E3461" s="201"/>
      <c r="F3461" s="201"/>
      <c r="I3461" s="198" t="s">
        <v>131</v>
      </c>
      <c r="J3461" s="198" t="s">
        <v>132</v>
      </c>
      <c r="K3461" s="202">
        <f t="shared" si="54"/>
        <v>1769700</v>
      </c>
      <c r="L3461" s="202">
        <v>347</v>
      </c>
      <c r="N3461" s="202">
        <v>30054.240000000002</v>
      </c>
      <c r="S3461" s="204"/>
      <c r="W3461" s="198" t="s">
        <v>51</v>
      </c>
      <c r="AE3461" s="198" t="s">
        <v>833</v>
      </c>
    </row>
    <row r="3462" spans="3:31" x14ac:dyDescent="0.25">
      <c r="C3462" s="201"/>
      <c r="E3462" s="201"/>
      <c r="F3462" s="201"/>
      <c r="I3462" s="198" t="s">
        <v>131</v>
      </c>
      <c r="J3462" s="198" t="s">
        <v>132</v>
      </c>
      <c r="K3462" s="202">
        <f t="shared" si="54"/>
        <v>1770210</v>
      </c>
      <c r="L3462" s="202">
        <v>347.1</v>
      </c>
      <c r="N3462" s="202">
        <v>3408929.6</v>
      </c>
      <c r="S3462" s="204"/>
      <c r="W3462" s="198" t="s">
        <v>51</v>
      </c>
      <c r="AE3462" s="198" t="s">
        <v>833</v>
      </c>
    </row>
    <row r="3463" spans="3:31" x14ac:dyDescent="0.25">
      <c r="C3463" s="201"/>
      <c r="E3463" s="201"/>
      <c r="F3463" s="201"/>
      <c r="I3463" s="198" t="s">
        <v>131</v>
      </c>
      <c r="J3463" s="198" t="s">
        <v>132</v>
      </c>
      <c r="K3463" s="202">
        <f t="shared" si="54"/>
        <v>1770720</v>
      </c>
      <c r="L3463" s="202">
        <v>347.2</v>
      </c>
      <c r="N3463" s="202">
        <v>166328</v>
      </c>
      <c r="S3463" s="204"/>
      <c r="W3463" s="198" t="s">
        <v>51</v>
      </c>
      <c r="AE3463" s="198" t="s">
        <v>833</v>
      </c>
    </row>
    <row r="3464" spans="3:31" x14ac:dyDescent="0.25">
      <c r="C3464" s="201"/>
      <c r="E3464" s="201"/>
      <c r="F3464" s="201"/>
      <c r="I3464" s="198" t="s">
        <v>131</v>
      </c>
      <c r="J3464" s="198" t="s">
        <v>132</v>
      </c>
      <c r="K3464" s="202">
        <f t="shared" si="54"/>
        <v>1771230</v>
      </c>
      <c r="L3464" s="202">
        <v>347.3</v>
      </c>
      <c r="N3464" s="202">
        <v>-10760.45</v>
      </c>
      <c r="S3464" s="204"/>
      <c r="W3464" s="198" t="s">
        <v>51</v>
      </c>
      <c r="AE3464" s="198" t="s">
        <v>833</v>
      </c>
    </row>
    <row r="3465" spans="3:31" x14ac:dyDescent="0.25">
      <c r="C3465" s="201"/>
      <c r="E3465" s="201"/>
      <c r="F3465" s="201"/>
      <c r="I3465" s="198" t="s">
        <v>131</v>
      </c>
      <c r="J3465" s="198" t="s">
        <v>132</v>
      </c>
      <c r="K3465" s="202">
        <f t="shared" si="54"/>
        <v>1771740</v>
      </c>
      <c r="L3465" s="202">
        <v>347.4</v>
      </c>
      <c r="N3465" s="202">
        <v>-8311.0400000000009</v>
      </c>
      <c r="S3465" s="204"/>
      <c r="W3465" s="198" t="s">
        <v>51</v>
      </c>
      <c r="AE3465" s="198" t="s">
        <v>833</v>
      </c>
    </row>
    <row r="3466" spans="3:31" x14ac:dyDescent="0.25">
      <c r="C3466" s="201"/>
      <c r="E3466" s="201"/>
      <c r="F3466" s="201"/>
      <c r="I3466" s="198" t="s">
        <v>131</v>
      </c>
      <c r="J3466" s="198" t="s">
        <v>132</v>
      </c>
      <c r="K3466" s="202">
        <f t="shared" si="54"/>
        <v>1772250</v>
      </c>
      <c r="L3466" s="202">
        <v>347.5</v>
      </c>
      <c r="N3466" s="202">
        <v>-30054.240000000002</v>
      </c>
      <c r="S3466" s="204"/>
      <c r="W3466" s="198" t="s">
        <v>51</v>
      </c>
      <c r="AE3466" s="198" t="s">
        <v>833</v>
      </c>
    </row>
    <row r="3467" spans="3:31" x14ac:dyDescent="0.25">
      <c r="C3467" s="201"/>
      <c r="E3467" s="201"/>
      <c r="F3467" s="201"/>
      <c r="I3467" s="198" t="s">
        <v>131</v>
      </c>
      <c r="J3467" s="198" t="s">
        <v>132</v>
      </c>
      <c r="K3467" s="202">
        <f t="shared" si="54"/>
        <v>1772760</v>
      </c>
      <c r="L3467" s="202">
        <v>347.6</v>
      </c>
      <c r="N3467" s="202">
        <v>-3408929.6</v>
      </c>
      <c r="S3467" s="204"/>
      <c r="W3467" s="198" t="s">
        <v>51</v>
      </c>
      <c r="AE3467" s="198" t="s">
        <v>833</v>
      </c>
    </row>
    <row r="3468" spans="3:31" x14ac:dyDescent="0.25">
      <c r="C3468" s="201"/>
      <c r="E3468" s="201"/>
      <c r="F3468" s="201"/>
      <c r="I3468" s="198" t="s">
        <v>131</v>
      </c>
      <c r="J3468" s="198" t="s">
        <v>132</v>
      </c>
      <c r="K3468" s="202">
        <f t="shared" si="54"/>
        <v>1773270</v>
      </c>
      <c r="L3468" s="202">
        <v>347.7</v>
      </c>
      <c r="N3468" s="202">
        <v>-166328</v>
      </c>
      <c r="S3468" s="204"/>
      <c r="W3468" s="198" t="s">
        <v>51</v>
      </c>
      <c r="AE3468" s="198" t="s">
        <v>833</v>
      </c>
    </row>
    <row r="3469" spans="3:31" x14ac:dyDescent="0.25">
      <c r="C3469" s="201"/>
      <c r="E3469" s="201"/>
      <c r="F3469" s="201"/>
      <c r="I3469" s="198" t="s">
        <v>1544</v>
      </c>
      <c r="J3469" s="198" t="s">
        <v>148</v>
      </c>
      <c r="K3469" s="202">
        <f t="shared" si="54"/>
        <v>1773780</v>
      </c>
      <c r="L3469" s="202">
        <v>347.8</v>
      </c>
      <c r="N3469" s="202">
        <v>2000</v>
      </c>
      <c r="S3469" s="203"/>
      <c r="W3469" s="198" t="s">
        <v>51</v>
      </c>
      <c r="AE3469" s="198" t="s">
        <v>2070</v>
      </c>
    </row>
    <row r="3470" spans="3:31" x14ac:dyDescent="0.25">
      <c r="C3470" s="201"/>
      <c r="E3470" s="201"/>
      <c r="F3470" s="201"/>
      <c r="I3470" s="198" t="s">
        <v>362</v>
      </c>
      <c r="J3470" s="198" t="s">
        <v>132</v>
      </c>
      <c r="K3470" s="202">
        <f t="shared" si="54"/>
        <v>1774290</v>
      </c>
      <c r="L3470" s="202">
        <v>347.9</v>
      </c>
      <c r="N3470" s="202">
        <v>104443401.3</v>
      </c>
      <c r="S3470" s="204"/>
      <c r="W3470" s="198" t="s">
        <v>51</v>
      </c>
      <c r="AE3470" s="198" t="s">
        <v>833</v>
      </c>
    </row>
    <row r="3471" spans="3:31" x14ac:dyDescent="0.25">
      <c r="C3471" s="201"/>
      <c r="E3471" s="201"/>
      <c r="F3471" s="201"/>
      <c r="I3471" s="198" t="s">
        <v>135</v>
      </c>
      <c r="J3471" s="198" t="s">
        <v>117</v>
      </c>
      <c r="K3471" s="202">
        <f t="shared" si="54"/>
        <v>1774800</v>
      </c>
      <c r="L3471" s="202">
        <v>348</v>
      </c>
      <c r="N3471" s="202">
        <v>163100.82</v>
      </c>
      <c r="S3471" s="204"/>
      <c r="W3471" s="198" t="s">
        <v>51</v>
      </c>
      <c r="AE3471" s="198" t="s">
        <v>878</v>
      </c>
    </row>
    <row r="3472" spans="3:31" x14ac:dyDescent="0.25">
      <c r="C3472" s="201"/>
      <c r="E3472" s="201"/>
      <c r="F3472" s="201"/>
      <c r="I3472" s="198" t="s">
        <v>135</v>
      </c>
      <c r="J3472" s="198" t="s">
        <v>117</v>
      </c>
      <c r="K3472" s="202">
        <f t="shared" si="54"/>
        <v>1775310</v>
      </c>
      <c r="L3472" s="202">
        <v>348.1</v>
      </c>
      <c r="N3472" s="202">
        <v>2921939.8</v>
      </c>
      <c r="S3472" s="204"/>
      <c r="W3472" s="198" t="s">
        <v>51</v>
      </c>
      <c r="AE3472" s="198" t="s">
        <v>878</v>
      </c>
    </row>
    <row r="3473" spans="3:31" x14ac:dyDescent="0.25">
      <c r="C3473" s="201"/>
      <c r="E3473" s="201"/>
      <c r="F3473" s="201"/>
      <c r="I3473" s="198" t="s">
        <v>362</v>
      </c>
      <c r="J3473" s="198" t="s">
        <v>132</v>
      </c>
      <c r="K3473" s="202">
        <f t="shared" si="54"/>
        <v>1775820</v>
      </c>
      <c r="L3473" s="202">
        <v>348.2</v>
      </c>
      <c r="N3473" s="202">
        <v>-104443401.3</v>
      </c>
      <c r="S3473" s="204"/>
      <c r="W3473" s="198" t="s">
        <v>51</v>
      </c>
      <c r="AE3473" s="198" t="s">
        <v>833</v>
      </c>
    </row>
    <row r="3474" spans="3:31" x14ac:dyDescent="0.25">
      <c r="C3474" s="201"/>
      <c r="E3474" s="201"/>
      <c r="F3474" s="201"/>
      <c r="I3474" s="198" t="s">
        <v>135</v>
      </c>
      <c r="J3474" s="198" t="s">
        <v>117</v>
      </c>
      <c r="K3474" s="202">
        <f t="shared" si="54"/>
        <v>1776330</v>
      </c>
      <c r="L3474" s="202">
        <v>348.3</v>
      </c>
      <c r="N3474" s="202">
        <v>-163100.82</v>
      </c>
      <c r="S3474" s="204"/>
      <c r="W3474" s="198" t="s">
        <v>51</v>
      </c>
      <c r="AE3474" s="198" t="s">
        <v>878</v>
      </c>
    </row>
    <row r="3475" spans="3:31" x14ac:dyDescent="0.25">
      <c r="C3475" s="201"/>
      <c r="E3475" s="201"/>
      <c r="F3475" s="201"/>
      <c r="I3475" s="198" t="s">
        <v>135</v>
      </c>
      <c r="J3475" s="198" t="s">
        <v>117</v>
      </c>
      <c r="K3475" s="202">
        <f t="shared" si="54"/>
        <v>1776840</v>
      </c>
      <c r="L3475" s="202">
        <v>348.4</v>
      </c>
      <c r="N3475" s="202">
        <v>-2921939.8</v>
      </c>
      <c r="S3475" s="204"/>
      <c r="W3475" s="198" t="s">
        <v>51</v>
      </c>
      <c r="AE3475" s="198" t="s">
        <v>878</v>
      </c>
    </row>
    <row r="3476" spans="3:31" x14ac:dyDescent="0.25">
      <c r="C3476" s="201"/>
      <c r="E3476" s="201"/>
      <c r="F3476" s="201"/>
      <c r="I3476" s="198" t="s">
        <v>2071</v>
      </c>
      <c r="J3476" s="198" t="s">
        <v>130</v>
      </c>
      <c r="K3476" s="202">
        <f t="shared" si="54"/>
        <v>1777350</v>
      </c>
      <c r="L3476" s="202">
        <v>348.5</v>
      </c>
      <c r="N3476" s="202">
        <v>-1578916511.75</v>
      </c>
      <c r="S3476" s="203"/>
      <c r="W3476" s="198" t="s">
        <v>51</v>
      </c>
      <c r="AE3476" s="198" t="s">
        <v>54</v>
      </c>
    </row>
    <row r="3477" spans="3:31" x14ac:dyDescent="0.25">
      <c r="C3477" s="201"/>
      <c r="E3477" s="201"/>
      <c r="F3477" s="201"/>
      <c r="I3477" s="198" t="s">
        <v>2071</v>
      </c>
      <c r="J3477" s="198" t="s">
        <v>130</v>
      </c>
      <c r="K3477" s="202">
        <f t="shared" si="54"/>
        <v>1777860</v>
      </c>
      <c r="L3477" s="202">
        <v>348.6</v>
      </c>
      <c r="N3477" s="202">
        <v>-450697769.35000002</v>
      </c>
      <c r="S3477" s="203"/>
      <c r="W3477" s="198" t="s">
        <v>51</v>
      </c>
      <c r="AE3477" s="198" t="s">
        <v>54</v>
      </c>
    </row>
    <row r="3478" spans="3:31" x14ac:dyDescent="0.25">
      <c r="C3478" s="201"/>
      <c r="E3478" s="201"/>
      <c r="F3478" s="201"/>
      <c r="I3478" s="198" t="s">
        <v>2071</v>
      </c>
      <c r="J3478" s="198" t="s">
        <v>130</v>
      </c>
      <c r="K3478" s="202">
        <f t="shared" si="54"/>
        <v>1778370</v>
      </c>
      <c r="L3478" s="202">
        <v>348.7</v>
      </c>
      <c r="N3478" s="202">
        <v>-1215865233.0699999</v>
      </c>
      <c r="S3478" s="203"/>
      <c r="W3478" s="198" t="s">
        <v>51</v>
      </c>
      <c r="AE3478" s="198" t="s">
        <v>54</v>
      </c>
    </row>
    <row r="3479" spans="3:31" x14ac:dyDescent="0.25">
      <c r="C3479" s="201"/>
      <c r="E3479" s="201"/>
      <c r="F3479" s="201"/>
      <c r="I3479" s="198" t="s">
        <v>2072</v>
      </c>
      <c r="J3479" s="198" t="s">
        <v>132</v>
      </c>
      <c r="K3479" s="202">
        <f t="shared" si="54"/>
        <v>1778880</v>
      </c>
      <c r="L3479" s="202">
        <v>348.8</v>
      </c>
      <c r="N3479" s="202">
        <v>-1259018751.3</v>
      </c>
      <c r="S3479" s="203"/>
      <c r="W3479" s="198" t="s">
        <v>51</v>
      </c>
      <c r="AE3479" s="198" t="s">
        <v>54</v>
      </c>
    </row>
    <row r="3480" spans="3:31" x14ac:dyDescent="0.25">
      <c r="C3480" s="201"/>
      <c r="E3480" s="201"/>
      <c r="F3480" s="201"/>
      <c r="I3480" s="198" t="s">
        <v>2073</v>
      </c>
      <c r="J3480" s="198" t="s">
        <v>65</v>
      </c>
      <c r="K3480" s="202">
        <f t="shared" si="54"/>
        <v>1779390</v>
      </c>
      <c r="L3480" s="202">
        <v>348.9</v>
      </c>
      <c r="N3480" s="202">
        <v>-370668445</v>
      </c>
      <c r="S3480" s="203"/>
      <c r="W3480" s="198" t="s">
        <v>51</v>
      </c>
      <c r="AE3480" s="198" t="s">
        <v>54</v>
      </c>
    </row>
    <row r="3481" spans="3:31" x14ac:dyDescent="0.25">
      <c r="C3481" s="201"/>
      <c r="E3481" s="201"/>
      <c r="F3481" s="201"/>
      <c r="I3481" s="198" t="s">
        <v>2074</v>
      </c>
      <c r="J3481" s="198" t="s">
        <v>167</v>
      </c>
      <c r="K3481" s="202">
        <f t="shared" si="54"/>
        <v>1779900</v>
      </c>
      <c r="L3481" s="202">
        <v>349</v>
      </c>
      <c r="N3481" s="202">
        <v>-298242856</v>
      </c>
      <c r="S3481" s="203"/>
      <c r="W3481" s="198" t="s">
        <v>51</v>
      </c>
      <c r="AE3481" s="198" t="s">
        <v>54</v>
      </c>
    </row>
    <row r="3482" spans="3:31" x14ac:dyDescent="0.25">
      <c r="C3482" s="201"/>
      <c r="E3482" s="201"/>
      <c r="F3482" s="201"/>
      <c r="I3482" s="198" t="s">
        <v>133</v>
      </c>
      <c r="J3482" s="198" t="s">
        <v>134</v>
      </c>
      <c r="K3482" s="202">
        <f t="shared" si="54"/>
        <v>1780410</v>
      </c>
      <c r="L3482" s="202">
        <v>349.1</v>
      </c>
      <c r="N3482" s="202">
        <v>3895920.4</v>
      </c>
      <c r="S3482" s="204"/>
      <c r="W3482" s="198" t="s">
        <v>51</v>
      </c>
      <c r="AE3482" s="198" t="s">
        <v>846</v>
      </c>
    </row>
    <row r="3483" spans="3:31" x14ac:dyDescent="0.25">
      <c r="C3483" s="201"/>
      <c r="E3483" s="201"/>
      <c r="F3483" s="201"/>
      <c r="I3483" s="198" t="s">
        <v>133</v>
      </c>
      <c r="J3483" s="198" t="s">
        <v>134</v>
      </c>
      <c r="K3483" s="202">
        <f t="shared" si="54"/>
        <v>1780920</v>
      </c>
      <c r="L3483" s="202">
        <v>349.2</v>
      </c>
      <c r="N3483" s="202">
        <v>742244.65</v>
      </c>
      <c r="S3483" s="204"/>
      <c r="W3483" s="198" t="s">
        <v>51</v>
      </c>
      <c r="AE3483" s="198" t="s">
        <v>846</v>
      </c>
    </row>
    <row r="3484" spans="3:31" x14ac:dyDescent="0.25">
      <c r="C3484" s="201"/>
      <c r="E3484" s="201"/>
      <c r="F3484" s="201"/>
      <c r="I3484" s="198" t="s">
        <v>133</v>
      </c>
      <c r="J3484" s="198" t="s">
        <v>134</v>
      </c>
      <c r="K3484" s="202">
        <f t="shared" si="54"/>
        <v>1781430</v>
      </c>
      <c r="L3484" s="202">
        <v>349.3</v>
      </c>
      <c r="N3484" s="202">
        <v>-3895920.4</v>
      </c>
      <c r="S3484" s="204"/>
      <c r="W3484" s="198" t="s">
        <v>51</v>
      </c>
      <c r="AE3484" s="198" t="s">
        <v>846</v>
      </c>
    </row>
    <row r="3485" spans="3:31" x14ac:dyDescent="0.25">
      <c r="C3485" s="201"/>
      <c r="E3485" s="201"/>
      <c r="F3485" s="201"/>
      <c r="I3485" s="198" t="s">
        <v>133</v>
      </c>
      <c r="J3485" s="198" t="s">
        <v>134</v>
      </c>
      <c r="K3485" s="202">
        <f t="shared" si="54"/>
        <v>1781940</v>
      </c>
      <c r="L3485" s="202">
        <v>349.4</v>
      </c>
      <c r="N3485" s="202">
        <v>-742244.65</v>
      </c>
      <c r="S3485" s="204"/>
      <c r="W3485" s="198" t="s">
        <v>51</v>
      </c>
      <c r="AE3485" s="198" t="s">
        <v>846</v>
      </c>
    </row>
    <row r="3486" spans="3:31" x14ac:dyDescent="0.25">
      <c r="C3486" s="201"/>
      <c r="E3486" s="201"/>
      <c r="F3486" s="201"/>
      <c r="I3486" s="198" t="s">
        <v>430</v>
      </c>
      <c r="J3486" s="198" t="s">
        <v>130</v>
      </c>
      <c r="K3486" s="202">
        <f t="shared" si="54"/>
        <v>1782450</v>
      </c>
      <c r="L3486" s="202">
        <v>349.5</v>
      </c>
      <c r="N3486" s="202">
        <v>187887792.77000001</v>
      </c>
      <c r="S3486" s="204"/>
      <c r="W3486" s="198" t="s">
        <v>51</v>
      </c>
      <c r="AE3486" s="198" t="s">
        <v>833</v>
      </c>
    </row>
    <row r="3487" spans="3:31" x14ac:dyDescent="0.25">
      <c r="C3487" s="201"/>
      <c r="E3487" s="201"/>
      <c r="F3487" s="201"/>
      <c r="I3487" s="198" t="s">
        <v>435</v>
      </c>
      <c r="J3487" s="198" t="s">
        <v>130</v>
      </c>
      <c r="K3487" s="202">
        <f t="shared" si="54"/>
        <v>1782960</v>
      </c>
      <c r="L3487" s="202">
        <v>349.6</v>
      </c>
      <c r="N3487" s="202">
        <v>35065163.060000002</v>
      </c>
      <c r="S3487" s="204"/>
      <c r="W3487" s="198" t="s">
        <v>51</v>
      </c>
      <c r="AE3487" s="198" t="s">
        <v>833</v>
      </c>
    </row>
    <row r="3488" spans="3:31" x14ac:dyDescent="0.25">
      <c r="C3488" s="201"/>
      <c r="E3488" s="201"/>
      <c r="F3488" s="201"/>
      <c r="I3488" s="198" t="s">
        <v>430</v>
      </c>
      <c r="J3488" s="198" t="s">
        <v>130</v>
      </c>
      <c r="K3488" s="202">
        <f t="shared" si="54"/>
        <v>1783470</v>
      </c>
      <c r="L3488" s="202">
        <v>349.7</v>
      </c>
      <c r="N3488" s="202">
        <v>-187887792.77000001</v>
      </c>
      <c r="S3488" s="204"/>
      <c r="W3488" s="198" t="s">
        <v>51</v>
      </c>
      <c r="AE3488" s="198" t="s">
        <v>833</v>
      </c>
    </row>
    <row r="3489" spans="3:31" x14ac:dyDescent="0.25">
      <c r="C3489" s="201"/>
      <c r="E3489" s="201"/>
      <c r="F3489" s="201"/>
      <c r="I3489" s="198" t="s">
        <v>435</v>
      </c>
      <c r="J3489" s="198" t="s">
        <v>130</v>
      </c>
      <c r="K3489" s="202">
        <f t="shared" si="54"/>
        <v>1783980</v>
      </c>
      <c r="L3489" s="202">
        <v>349.8</v>
      </c>
      <c r="N3489" s="202">
        <v>-35065163.060000002</v>
      </c>
      <c r="S3489" s="204"/>
      <c r="W3489" s="198" t="s">
        <v>51</v>
      </c>
      <c r="AE3489" s="198" t="s">
        <v>833</v>
      </c>
    </row>
    <row r="3490" spans="3:31" x14ac:dyDescent="0.25">
      <c r="C3490" s="201"/>
      <c r="E3490" s="201"/>
      <c r="F3490" s="201"/>
      <c r="I3490" s="198" t="s">
        <v>577</v>
      </c>
      <c r="J3490" s="198" t="s">
        <v>130</v>
      </c>
      <c r="K3490" s="202">
        <f t="shared" si="54"/>
        <v>1784490</v>
      </c>
      <c r="L3490" s="202">
        <v>349.9</v>
      </c>
      <c r="N3490" s="202">
        <v>67645644.010000005</v>
      </c>
      <c r="S3490" s="204"/>
      <c r="W3490" s="198" t="s">
        <v>51</v>
      </c>
      <c r="AE3490" s="198" t="s">
        <v>833</v>
      </c>
    </row>
    <row r="3491" spans="3:31" x14ac:dyDescent="0.25">
      <c r="C3491" s="201"/>
      <c r="E3491" s="201"/>
      <c r="F3491" s="201"/>
      <c r="I3491" s="198" t="s">
        <v>577</v>
      </c>
      <c r="J3491" s="198" t="s">
        <v>130</v>
      </c>
      <c r="K3491" s="202">
        <f t="shared" si="54"/>
        <v>1785000</v>
      </c>
      <c r="L3491" s="202">
        <v>350</v>
      </c>
      <c r="N3491" s="202">
        <v>-67645644.010000005</v>
      </c>
      <c r="S3491" s="204"/>
      <c r="W3491" s="198" t="s">
        <v>51</v>
      </c>
      <c r="AE3491" s="198" t="s">
        <v>833</v>
      </c>
    </row>
    <row r="3492" spans="3:31" x14ac:dyDescent="0.25">
      <c r="C3492" s="201"/>
      <c r="E3492" s="201"/>
      <c r="F3492" s="201"/>
      <c r="I3492" s="198" t="s">
        <v>131</v>
      </c>
      <c r="J3492" s="198" t="s">
        <v>132</v>
      </c>
      <c r="K3492" s="202">
        <f t="shared" si="54"/>
        <v>1785510</v>
      </c>
      <c r="L3492" s="202">
        <v>350.1</v>
      </c>
      <c r="N3492" s="202">
        <v>21856770.84</v>
      </c>
      <c r="S3492" s="204"/>
      <c r="W3492" s="198" t="s">
        <v>51</v>
      </c>
      <c r="AE3492" s="198" t="s">
        <v>833</v>
      </c>
    </row>
    <row r="3493" spans="3:31" x14ac:dyDescent="0.25">
      <c r="C3493" s="201"/>
      <c r="E3493" s="201"/>
      <c r="F3493" s="201"/>
      <c r="I3493" s="198" t="s">
        <v>131</v>
      </c>
      <c r="J3493" s="198" t="s">
        <v>132</v>
      </c>
      <c r="K3493" s="202">
        <f t="shared" si="54"/>
        <v>1786020</v>
      </c>
      <c r="L3493" s="202">
        <v>350.2</v>
      </c>
      <c r="N3493" s="202">
        <v>-21856770.84</v>
      </c>
      <c r="S3493" s="204"/>
      <c r="W3493" s="198" t="s">
        <v>51</v>
      </c>
      <c r="AE3493" s="198" t="s">
        <v>833</v>
      </c>
    </row>
    <row r="3494" spans="3:31" x14ac:dyDescent="0.25">
      <c r="C3494" s="201"/>
      <c r="E3494" s="201"/>
      <c r="F3494" s="201"/>
      <c r="I3494" s="198" t="s">
        <v>440</v>
      </c>
      <c r="J3494" s="198" t="s">
        <v>126</v>
      </c>
      <c r="K3494" s="202">
        <f t="shared" si="54"/>
        <v>1786530</v>
      </c>
      <c r="L3494" s="202">
        <v>350.3</v>
      </c>
      <c r="N3494" s="202">
        <v>16535647</v>
      </c>
      <c r="S3494" s="204"/>
      <c r="W3494" s="198" t="s">
        <v>51</v>
      </c>
      <c r="AE3494" s="198" t="s">
        <v>835</v>
      </c>
    </row>
    <row r="3495" spans="3:31" x14ac:dyDescent="0.25">
      <c r="C3495" s="201"/>
      <c r="E3495" s="201"/>
      <c r="F3495" s="201"/>
      <c r="I3495" s="198" t="s">
        <v>440</v>
      </c>
      <c r="J3495" s="198" t="s">
        <v>126</v>
      </c>
      <c r="K3495" s="202">
        <f t="shared" si="54"/>
        <v>1787040</v>
      </c>
      <c r="L3495" s="202">
        <v>350.4</v>
      </c>
      <c r="N3495" s="202">
        <v>16535647</v>
      </c>
      <c r="S3495" s="204"/>
      <c r="W3495" s="198" t="s">
        <v>51</v>
      </c>
      <c r="AE3495" s="198" t="s">
        <v>835</v>
      </c>
    </row>
    <row r="3496" spans="3:31" x14ac:dyDescent="0.25">
      <c r="C3496" s="201"/>
      <c r="E3496" s="201"/>
      <c r="F3496" s="201"/>
      <c r="I3496" s="198" t="s">
        <v>212</v>
      </c>
      <c r="J3496" s="198" t="s">
        <v>112</v>
      </c>
      <c r="K3496" s="202">
        <f t="shared" si="54"/>
        <v>1787550</v>
      </c>
      <c r="L3496" s="202">
        <v>350.5</v>
      </c>
      <c r="N3496" s="202">
        <v>769770.23</v>
      </c>
      <c r="S3496" s="204"/>
      <c r="W3496" s="198" t="s">
        <v>51</v>
      </c>
      <c r="AE3496" s="198" t="s">
        <v>831</v>
      </c>
    </row>
    <row r="3497" spans="3:31" x14ac:dyDescent="0.25">
      <c r="C3497" s="201"/>
      <c r="E3497" s="201"/>
      <c r="F3497" s="201"/>
      <c r="I3497" s="198" t="s">
        <v>212</v>
      </c>
      <c r="J3497" s="198" t="s">
        <v>112</v>
      </c>
      <c r="K3497" s="202">
        <f t="shared" si="54"/>
        <v>1788060</v>
      </c>
      <c r="L3497" s="202">
        <v>350.6</v>
      </c>
      <c r="N3497" s="202">
        <v>769770.23</v>
      </c>
      <c r="S3497" s="204"/>
      <c r="W3497" s="198" t="s">
        <v>51</v>
      </c>
      <c r="AE3497" s="198" t="s">
        <v>831</v>
      </c>
    </row>
    <row r="3498" spans="3:31" x14ac:dyDescent="0.25">
      <c r="C3498" s="201"/>
      <c r="E3498" s="201"/>
      <c r="F3498" s="201"/>
      <c r="I3498" s="198" t="s">
        <v>212</v>
      </c>
      <c r="J3498" s="198" t="s">
        <v>112</v>
      </c>
      <c r="K3498" s="202">
        <f t="shared" si="54"/>
        <v>1788570</v>
      </c>
      <c r="L3498" s="202">
        <v>350.7</v>
      </c>
      <c r="N3498" s="202">
        <v>769770.23</v>
      </c>
      <c r="S3498" s="204"/>
      <c r="W3498" s="198" t="s">
        <v>51</v>
      </c>
      <c r="AE3498" s="198" t="s">
        <v>831</v>
      </c>
    </row>
    <row r="3499" spans="3:31" x14ac:dyDescent="0.25">
      <c r="C3499" s="201"/>
      <c r="E3499" s="201"/>
      <c r="F3499" s="201"/>
      <c r="I3499" s="198" t="s">
        <v>212</v>
      </c>
      <c r="J3499" s="198" t="s">
        <v>112</v>
      </c>
      <c r="K3499" s="202">
        <f t="shared" si="54"/>
        <v>1789080</v>
      </c>
      <c r="L3499" s="202">
        <v>350.8</v>
      </c>
      <c r="N3499" s="202">
        <v>769770.23</v>
      </c>
      <c r="S3499" s="204"/>
      <c r="W3499" s="198" t="s">
        <v>51</v>
      </c>
      <c r="AE3499" s="198" t="s">
        <v>831</v>
      </c>
    </row>
    <row r="3500" spans="3:31" x14ac:dyDescent="0.25">
      <c r="C3500" s="201"/>
      <c r="E3500" s="201"/>
      <c r="F3500" s="201"/>
      <c r="I3500" s="198" t="s">
        <v>212</v>
      </c>
      <c r="J3500" s="198" t="s">
        <v>112</v>
      </c>
      <c r="K3500" s="202">
        <f t="shared" si="54"/>
        <v>1789590</v>
      </c>
      <c r="L3500" s="202">
        <v>350.9</v>
      </c>
      <c r="N3500" s="202">
        <v>769770.23</v>
      </c>
      <c r="S3500" s="204"/>
      <c r="W3500" s="198" t="s">
        <v>51</v>
      </c>
      <c r="AE3500" s="198" t="s">
        <v>831</v>
      </c>
    </row>
    <row r="3501" spans="3:31" x14ac:dyDescent="0.25">
      <c r="C3501" s="201"/>
      <c r="E3501" s="201"/>
      <c r="F3501" s="201"/>
      <c r="I3501" s="198" t="s">
        <v>212</v>
      </c>
      <c r="J3501" s="198" t="s">
        <v>112</v>
      </c>
      <c r="K3501" s="202">
        <f t="shared" si="54"/>
        <v>1790100</v>
      </c>
      <c r="L3501" s="202">
        <v>351</v>
      </c>
      <c r="N3501" s="202">
        <v>769770.23</v>
      </c>
      <c r="S3501" s="204"/>
      <c r="W3501" s="198" t="s">
        <v>51</v>
      </c>
      <c r="AE3501" s="198" t="s">
        <v>831</v>
      </c>
    </row>
    <row r="3502" spans="3:31" x14ac:dyDescent="0.25">
      <c r="C3502" s="201"/>
      <c r="E3502" s="201"/>
      <c r="F3502" s="201"/>
      <c r="I3502" s="198" t="s">
        <v>221</v>
      </c>
      <c r="J3502" s="198" t="s">
        <v>112</v>
      </c>
      <c r="K3502" s="202">
        <f t="shared" si="54"/>
        <v>1790610</v>
      </c>
      <c r="L3502" s="202">
        <v>351.1</v>
      </c>
      <c r="N3502" s="202">
        <v>354290</v>
      </c>
      <c r="S3502" s="204"/>
      <c r="W3502" s="198" t="s">
        <v>51</v>
      </c>
      <c r="AE3502" s="198" t="s">
        <v>831</v>
      </c>
    </row>
    <row r="3503" spans="3:31" x14ac:dyDescent="0.25">
      <c r="C3503" s="201"/>
      <c r="E3503" s="201"/>
      <c r="F3503" s="201"/>
      <c r="I3503" s="198" t="s">
        <v>221</v>
      </c>
      <c r="J3503" s="198" t="s">
        <v>112</v>
      </c>
      <c r="K3503" s="202">
        <f t="shared" si="54"/>
        <v>1791120</v>
      </c>
      <c r="L3503" s="202">
        <v>351.2</v>
      </c>
      <c r="N3503" s="202">
        <v>354290</v>
      </c>
      <c r="S3503" s="204"/>
      <c r="W3503" s="198" t="s">
        <v>51</v>
      </c>
      <c r="AE3503" s="198" t="s">
        <v>831</v>
      </c>
    </row>
    <row r="3504" spans="3:31" x14ac:dyDescent="0.25">
      <c r="C3504" s="201"/>
      <c r="E3504" s="201"/>
      <c r="F3504" s="201"/>
      <c r="I3504" s="198" t="s">
        <v>221</v>
      </c>
      <c r="J3504" s="198" t="s">
        <v>112</v>
      </c>
      <c r="K3504" s="202">
        <f t="shared" si="54"/>
        <v>1791630</v>
      </c>
      <c r="L3504" s="202">
        <v>351.3</v>
      </c>
      <c r="N3504" s="202">
        <v>354290</v>
      </c>
      <c r="S3504" s="204"/>
      <c r="W3504" s="198" t="s">
        <v>51</v>
      </c>
      <c r="AE3504" s="198" t="s">
        <v>831</v>
      </c>
    </row>
    <row r="3505" spans="3:31" x14ac:dyDescent="0.25">
      <c r="C3505" s="201"/>
      <c r="E3505" s="201"/>
      <c r="F3505" s="201"/>
      <c r="I3505" s="198" t="s">
        <v>135</v>
      </c>
      <c r="J3505" s="198" t="s">
        <v>117</v>
      </c>
      <c r="K3505" s="202">
        <f t="shared" si="54"/>
        <v>1792140</v>
      </c>
      <c r="L3505" s="202">
        <v>351.4</v>
      </c>
      <c r="N3505" s="202">
        <v>-0.49</v>
      </c>
      <c r="S3505" s="204"/>
      <c r="W3505" s="198" t="s">
        <v>51</v>
      </c>
      <c r="AE3505" s="198" t="s">
        <v>878</v>
      </c>
    </row>
    <row r="3506" spans="3:31" x14ac:dyDescent="0.25">
      <c r="C3506" s="201"/>
      <c r="E3506" s="201"/>
      <c r="F3506" s="201"/>
      <c r="I3506" s="198" t="s">
        <v>131</v>
      </c>
      <c r="J3506" s="198" t="s">
        <v>132</v>
      </c>
      <c r="K3506" s="202">
        <f t="shared" si="54"/>
        <v>1792650</v>
      </c>
      <c r="L3506" s="202">
        <v>351.5</v>
      </c>
      <c r="N3506" s="202">
        <v>23000000</v>
      </c>
      <c r="S3506" s="204"/>
      <c r="W3506" s="198" t="s">
        <v>51</v>
      </c>
      <c r="AE3506" s="198" t="s">
        <v>833</v>
      </c>
    </row>
    <row r="3507" spans="3:31" x14ac:dyDescent="0.25">
      <c r="C3507" s="201"/>
      <c r="E3507" s="201"/>
      <c r="F3507" s="201"/>
      <c r="I3507" s="198" t="s">
        <v>221</v>
      </c>
      <c r="J3507" s="198" t="s">
        <v>112</v>
      </c>
      <c r="K3507" s="202">
        <f t="shared" si="54"/>
        <v>1793160</v>
      </c>
      <c r="L3507" s="202">
        <v>351.6</v>
      </c>
      <c r="N3507" s="202">
        <v>354290</v>
      </c>
      <c r="S3507" s="204"/>
      <c r="W3507" s="198" t="s">
        <v>51</v>
      </c>
      <c r="AE3507" s="198" t="s">
        <v>831</v>
      </c>
    </row>
    <row r="3508" spans="3:31" x14ac:dyDescent="0.25">
      <c r="C3508" s="201"/>
      <c r="E3508" s="201"/>
      <c r="F3508" s="201"/>
      <c r="I3508" s="198" t="s">
        <v>131</v>
      </c>
      <c r="J3508" s="198" t="s">
        <v>132</v>
      </c>
      <c r="K3508" s="202">
        <f t="shared" si="54"/>
        <v>1793670</v>
      </c>
      <c r="L3508" s="202">
        <v>351.7</v>
      </c>
      <c r="N3508" s="202">
        <v>23000000</v>
      </c>
      <c r="S3508" s="204"/>
      <c r="W3508" s="198" t="s">
        <v>51</v>
      </c>
      <c r="AE3508" s="198" t="s">
        <v>833</v>
      </c>
    </row>
    <row r="3509" spans="3:31" x14ac:dyDescent="0.25">
      <c r="C3509" s="201"/>
      <c r="E3509" s="201"/>
      <c r="F3509" s="201"/>
      <c r="I3509" s="198" t="s">
        <v>221</v>
      </c>
      <c r="J3509" s="198" t="s">
        <v>112</v>
      </c>
      <c r="K3509" s="202">
        <f t="shared" si="54"/>
        <v>1794180</v>
      </c>
      <c r="L3509" s="202">
        <v>351.8</v>
      </c>
      <c r="N3509" s="202">
        <v>354290</v>
      </c>
      <c r="S3509" s="204"/>
      <c r="W3509" s="198" t="s">
        <v>51</v>
      </c>
      <c r="AE3509" s="198" t="s">
        <v>831</v>
      </c>
    </row>
    <row r="3510" spans="3:31" x14ac:dyDescent="0.25">
      <c r="C3510" s="201"/>
      <c r="E3510" s="201"/>
      <c r="F3510" s="201"/>
      <c r="I3510" s="198" t="s">
        <v>221</v>
      </c>
      <c r="J3510" s="198" t="s">
        <v>112</v>
      </c>
      <c r="K3510" s="202">
        <f t="shared" si="54"/>
        <v>1794690</v>
      </c>
      <c r="L3510" s="202">
        <v>351.9</v>
      </c>
      <c r="N3510" s="202">
        <v>354290</v>
      </c>
      <c r="S3510" s="204"/>
      <c r="W3510" s="198" t="s">
        <v>51</v>
      </c>
      <c r="AE3510" s="198" t="s">
        <v>831</v>
      </c>
    </row>
    <row r="3511" spans="3:31" x14ac:dyDescent="0.25">
      <c r="C3511" s="201"/>
      <c r="E3511" s="201"/>
      <c r="F3511" s="201"/>
      <c r="I3511" s="198" t="s">
        <v>221</v>
      </c>
      <c r="J3511" s="198" t="s">
        <v>112</v>
      </c>
      <c r="K3511" s="202">
        <f t="shared" si="54"/>
        <v>1795200</v>
      </c>
      <c r="L3511" s="202">
        <v>352</v>
      </c>
      <c r="N3511" s="202">
        <v>354290</v>
      </c>
      <c r="S3511" s="204"/>
      <c r="W3511" s="198" t="s">
        <v>51</v>
      </c>
      <c r="AE3511" s="198" t="s">
        <v>831</v>
      </c>
    </row>
    <row r="3512" spans="3:31" x14ac:dyDescent="0.25">
      <c r="C3512" s="201"/>
      <c r="E3512" s="201"/>
      <c r="F3512" s="201"/>
      <c r="I3512" s="198" t="s">
        <v>82</v>
      </c>
      <c r="J3512" s="198" t="s">
        <v>89</v>
      </c>
      <c r="K3512" s="202">
        <f t="shared" si="54"/>
        <v>1795710</v>
      </c>
      <c r="L3512" s="202">
        <v>352.1</v>
      </c>
      <c r="N3512" s="202">
        <v>172755</v>
      </c>
      <c r="S3512" s="204"/>
      <c r="W3512" s="198" t="s">
        <v>51</v>
      </c>
      <c r="AE3512" s="198" t="s">
        <v>831</v>
      </c>
    </row>
    <row r="3513" spans="3:31" x14ac:dyDescent="0.25">
      <c r="C3513" s="201"/>
      <c r="E3513" s="201"/>
      <c r="F3513" s="201"/>
      <c r="I3513" s="198" t="s">
        <v>164</v>
      </c>
      <c r="J3513" s="198" t="s">
        <v>167</v>
      </c>
      <c r="K3513" s="202">
        <f t="shared" si="54"/>
        <v>1796220</v>
      </c>
      <c r="L3513" s="202">
        <v>352.2</v>
      </c>
      <c r="N3513" s="202">
        <v>38390</v>
      </c>
      <c r="S3513" s="204"/>
      <c r="W3513" s="198" t="s">
        <v>51</v>
      </c>
      <c r="AE3513" s="198" t="s">
        <v>831</v>
      </c>
    </row>
    <row r="3514" spans="3:31" x14ac:dyDescent="0.25">
      <c r="C3514" s="201"/>
      <c r="E3514" s="201"/>
      <c r="F3514" s="201"/>
      <c r="I3514" s="198" t="s">
        <v>362</v>
      </c>
      <c r="J3514" s="198" t="s">
        <v>132</v>
      </c>
      <c r="K3514" s="202">
        <f t="shared" si="54"/>
        <v>1796730</v>
      </c>
      <c r="L3514" s="202">
        <v>352.3</v>
      </c>
      <c r="N3514" s="202">
        <v>6136000</v>
      </c>
      <c r="S3514" s="204"/>
      <c r="W3514" s="198" t="s">
        <v>51</v>
      </c>
      <c r="AE3514" s="198" t="s">
        <v>833</v>
      </c>
    </row>
    <row r="3515" spans="3:31" x14ac:dyDescent="0.25">
      <c r="C3515" s="201"/>
      <c r="E3515" s="201"/>
      <c r="F3515" s="201"/>
      <c r="I3515" s="198" t="s">
        <v>365</v>
      </c>
      <c r="J3515" s="198" t="s">
        <v>132</v>
      </c>
      <c r="K3515" s="202">
        <f t="shared" si="54"/>
        <v>1797240</v>
      </c>
      <c r="L3515" s="202">
        <v>352.4</v>
      </c>
      <c r="N3515" s="202">
        <v>767000</v>
      </c>
      <c r="S3515" s="204"/>
      <c r="W3515" s="198" t="s">
        <v>51</v>
      </c>
      <c r="AE3515" s="198" t="s">
        <v>833</v>
      </c>
    </row>
    <row r="3516" spans="3:31" x14ac:dyDescent="0.25">
      <c r="C3516" s="201"/>
      <c r="E3516" s="201"/>
      <c r="F3516" s="201"/>
      <c r="I3516" s="198" t="s">
        <v>365</v>
      </c>
      <c r="J3516" s="198" t="s">
        <v>132</v>
      </c>
      <c r="K3516" s="202">
        <f t="shared" si="54"/>
        <v>1797750</v>
      </c>
      <c r="L3516" s="202">
        <v>352.5</v>
      </c>
      <c r="N3516" s="202">
        <v>16535647</v>
      </c>
      <c r="S3516" s="204"/>
      <c r="W3516" s="198" t="s">
        <v>51</v>
      </c>
      <c r="AE3516" s="198" t="s">
        <v>833</v>
      </c>
    </row>
    <row r="3517" spans="3:31" x14ac:dyDescent="0.25">
      <c r="C3517" s="201"/>
      <c r="E3517" s="201"/>
      <c r="F3517" s="201"/>
      <c r="I3517" s="198" t="s">
        <v>145</v>
      </c>
      <c r="J3517" s="198" t="s">
        <v>148</v>
      </c>
      <c r="K3517" s="202">
        <f t="shared" si="54"/>
        <v>1798260</v>
      </c>
      <c r="L3517" s="202">
        <v>352.6</v>
      </c>
      <c r="N3517" s="202">
        <v>321538.40000000002</v>
      </c>
      <c r="S3517" s="204"/>
      <c r="W3517" s="198" t="s">
        <v>51</v>
      </c>
      <c r="AE3517" s="198" t="s">
        <v>828</v>
      </c>
    </row>
    <row r="3518" spans="3:31" x14ac:dyDescent="0.25">
      <c r="C3518" s="201"/>
      <c r="E3518" s="201"/>
      <c r="F3518" s="201"/>
      <c r="I3518" s="198" t="s">
        <v>553</v>
      </c>
      <c r="J3518" s="198" t="s">
        <v>134</v>
      </c>
      <c r="K3518" s="202">
        <f t="shared" si="54"/>
        <v>1798770</v>
      </c>
      <c r="L3518" s="202">
        <v>352.7</v>
      </c>
      <c r="N3518" s="202">
        <v>5398880.8499999996</v>
      </c>
      <c r="S3518" s="204"/>
      <c r="W3518" s="198" t="s">
        <v>51</v>
      </c>
      <c r="AE3518" s="198" t="s">
        <v>846</v>
      </c>
    </row>
    <row r="3519" spans="3:31" x14ac:dyDescent="0.25">
      <c r="C3519" s="201"/>
      <c r="E3519" s="201"/>
      <c r="F3519" s="201"/>
      <c r="I3519" s="198" t="s">
        <v>553</v>
      </c>
      <c r="J3519" s="198" t="s">
        <v>134</v>
      </c>
      <c r="K3519" s="202">
        <f t="shared" si="54"/>
        <v>1799280</v>
      </c>
      <c r="L3519" s="202">
        <v>352.8</v>
      </c>
      <c r="N3519" s="202">
        <v>5401251.9000000004</v>
      </c>
      <c r="S3519" s="204"/>
      <c r="W3519" s="198" t="s">
        <v>51</v>
      </c>
      <c r="AE3519" s="198" t="s">
        <v>846</v>
      </c>
    </row>
    <row r="3520" spans="3:31" x14ac:dyDescent="0.25">
      <c r="C3520" s="201"/>
      <c r="E3520" s="201"/>
      <c r="F3520" s="201"/>
      <c r="I3520" s="198" t="s">
        <v>553</v>
      </c>
      <c r="J3520" s="198" t="s">
        <v>134</v>
      </c>
      <c r="K3520" s="202">
        <f t="shared" si="54"/>
        <v>1799790</v>
      </c>
      <c r="L3520" s="202">
        <v>352.9</v>
      </c>
      <c r="N3520" s="202">
        <v>5387025.5999999996</v>
      </c>
      <c r="S3520" s="204"/>
      <c r="W3520" s="198" t="s">
        <v>51</v>
      </c>
      <c r="AE3520" s="198" t="s">
        <v>846</v>
      </c>
    </row>
    <row r="3521" spans="3:31" x14ac:dyDescent="0.25">
      <c r="C3521" s="201"/>
      <c r="E3521" s="201"/>
      <c r="F3521" s="201"/>
      <c r="I3521" s="198" t="s">
        <v>553</v>
      </c>
      <c r="J3521" s="198" t="s">
        <v>134</v>
      </c>
      <c r="K3521" s="202">
        <f t="shared" si="54"/>
        <v>1800300</v>
      </c>
      <c r="L3521" s="202">
        <v>353</v>
      </c>
      <c r="N3521" s="202">
        <v>1799626.95</v>
      </c>
      <c r="S3521" s="204"/>
      <c r="W3521" s="198" t="s">
        <v>51</v>
      </c>
      <c r="AE3521" s="198" t="s">
        <v>846</v>
      </c>
    </row>
    <row r="3522" spans="3:31" x14ac:dyDescent="0.25">
      <c r="C3522" s="201"/>
      <c r="E3522" s="201"/>
      <c r="F3522" s="201"/>
      <c r="I3522" s="198" t="s">
        <v>440</v>
      </c>
      <c r="J3522" s="198" t="s">
        <v>126</v>
      </c>
      <c r="K3522" s="202">
        <f t="shared" si="54"/>
        <v>1800810</v>
      </c>
      <c r="L3522" s="202">
        <v>353.1</v>
      </c>
      <c r="N3522" s="202">
        <v>4050000</v>
      </c>
      <c r="S3522" s="204"/>
      <c r="W3522" s="198" t="s">
        <v>51</v>
      </c>
      <c r="AE3522" s="198" t="s">
        <v>835</v>
      </c>
    </row>
    <row r="3523" spans="3:31" x14ac:dyDescent="0.25">
      <c r="C3523" s="201"/>
      <c r="E3523" s="201"/>
      <c r="F3523" s="201"/>
      <c r="I3523" s="198" t="s">
        <v>553</v>
      </c>
      <c r="J3523" s="198" t="s">
        <v>134</v>
      </c>
      <c r="K3523" s="202">
        <f t="shared" ref="K3523:K3586" si="55">L3523*5100</f>
        <v>1801320</v>
      </c>
      <c r="L3523" s="202">
        <v>353.2</v>
      </c>
      <c r="N3523" s="202">
        <v>5403622.9500000002</v>
      </c>
      <c r="S3523" s="204"/>
      <c r="W3523" s="198" t="s">
        <v>51</v>
      </c>
      <c r="AE3523" s="198" t="s">
        <v>846</v>
      </c>
    </row>
    <row r="3524" spans="3:31" x14ac:dyDescent="0.25">
      <c r="C3524" s="201"/>
      <c r="E3524" s="201"/>
      <c r="F3524" s="201"/>
      <c r="I3524" s="198" t="s">
        <v>352</v>
      </c>
      <c r="J3524" s="198" t="s">
        <v>126</v>
      </c>
      <c r="K3524" s="202">
        <f t="shared" si="55"/>
        <v>1801830</v>
      </c>
      <c r="L3524" s="202">
        <v>353.3</v>
      </c>
      <c r="N3524" s="202">
        <v>85000000</v>
      </c>
      <c r="S3524" s="204"/>
      <c r="W3524" s="198" t="s">
        <v>51</v>
      </c>
      <c r="AE3524" s="198" t="s">
        <v>835</v>
      </c>
    </row>
    <row r="3525" spans="3:31" x14ac:dyDescent="0.25">
      <c r="C3525" s="201"/>
      <c r="E3525" s="201"/>
      <c r="F3525" s="201"/>
      <c r="I3525" s="198" t="s">
        <v>2065</v>
      </c>
      <c r="J3525" s="198" t="s">
        <v>193</v>
      </c>
      <c r="K3525" s="202">
        <f t="shared" si="55"/>
        <v>1802340</v>
      </c>
      <c r="L3525" s="202">
        <v>353.4</v>
      </c>
      <c r="N3525" s="202">
        <v>7713.2</v>
      </c>
      <c r="S3525" s="204"/>
      <c r="W3525" s="198" t="s">
        <v>51</v>
      </c>
      <c r="AE3525" s="198" t="s">
        <v>830</v>
      </c>
    </row>
    <row r="3526" spans="3:31" x14ac:dyDescent="0.25">
      <c r="C3526" s="201"/>
      <c r="E3526" s="201"/>
      <c r="F3526" s="201"/>
      <c r="I3526" s="198" t="s">
        <v>1515</v>
      </c>
      <c r="J3526" s="198" t="s">
        <v>132</v>
      </c>
      <c r="K3526" s="202">
        <f t="shared" si="55"/>
        <v>1802850</v>
      </c>
      <c r="L3526" s="202">
        <v>353.5</v>
      </c>
      <c r="N3526" s="202">
        <v>1800</v>
      </c>
      <c r="S3526" s="203"/>
      <c r="W3526" s="198" t="s">
        <v>51</v>
      </c>
      <c r="AE3526" s="198" t="s">
        <v>2066</v>
      </c>
    </row>
    <row r="3527" spans="3:31" x14ac:dyDescent="0.25">
      <c r="C3527" s="201"/>
      <c r="E3527" s="201"/>
      <c r="F3527" s="201"/>
      <c r="I3527" s="198" t="s">
        <v>1900</v>
      </c>
      <c r="J3527" s="198" t="s">
        <v>143</v>
      </c>
      <c r="K3527" s="202">
        <f t="shared" si="55"/>
        <v>1803360</v>
      </c>
      <c r="L3527" s="202">
        <v>353.6</v>
      </c>
      <c r="N3527" s="202">
        <v>81813.56</v>
      </c>
      <c r="S3527" s="204"/>
      <c r="W3527" s="198" t="s">
        <v>51</v>
      </c>
      <c r="AE3527" s="198" t="s">
        <v>829</v>
      </c>
    </row>
    <row r="3528" spans="3:31" x14ac:dyDescent="0.25">
      <c r="C3528" s="201"/>
      <c r="E3528" s="201"/>
      <c r="F3528" s="201"/>
      <c r="I3528" s="198" t="s">
        <v>1263</v>
      </c>
      <c r="J3528" s="198" t="s">
        <v>130</v>
      </c>
      <c r="K3528" s="202">
        <f t="shared" si="55"/>
        <v>1803870</v>
      </c>
      <c r="L3528" s="202">
        <v>353.7</v>
      </c>
      <c r="N3528" s="202">
        <v>13000</v>
      </c>
      <c r="S3528" s="203"/>
      <c r="W3528" s="198" t="s">
        <v>51</v>
      </c>
      <c r="AE3528" s="198" t="s">
        <v>833</v>
      </c>
    </row>
    <row r="3529" spans="3:31" x14ac:dyDescent="0.25">
      <c r="C3529" s="201"/>
      <c r="E3529" s="201"/>
      <c r="F3529" s="201"/>
      <c r="I3529" s="198" t="s">
        <v>1528</v>
      </c>
      <c r="J3529" s="198" t="s">
        <v>156</v>
      </c>
      <c r="K3529" s="202">
        <f t="shared" si="55"/>
        <v>1804380</v>
      </c>
      <c r="L3529" s="202">
        <v>353.8</v>
      </c>
      <c r="N3529" s="202">
        <v>20248013</v>
      </c>
      <c r="S3529" s="203"/>
      <c r="W3529" s="198" t="s">
        <v>51</v>
      </c>
      <c r="AE3529" s="198" t="s">
        <v>54</v>
      </c>
    </row>
    <row r="3530" spans="3:31" x14ac:dyDescent="0.25">
      <c r="C3530" s="201"/>
      <c r="E3530" s="201"/>
      <c r="F3530" s="201"/>
      <c r="I3530" s="198" t="s">
        <v>1528</v>
      </c>
      <c r="J3530" s="198" t="s">
        <v>156</v>
      </c>
      <c r="K3530" s="202">
        <f t="shared" si="55"/>
        <v>1804890</v>
      </c>
      <c r="L3530" s="202">
        <v>353.9</v>
      </c>
      <c r="N3530" s="202">
        <v>433915</v>
      </c>
      <c r="S3530" s="203"/>
      <c r="W3530" s="198" t="s">
        <v>51</v>
      </c>
      <c r="AE3530" s="198" t="s">
        <v>54</v>
      </c>
    </row>
    <row r="3531" spans="3:31" x14ac:dyDescent="0.25">
      <c r="C3531" s="201"/>
      <c r="E3531" s="201"/>
      <c r="F3531" s="201"/>
      <c r="I3531" s="198" t="s">
        <v>179</v>
      </c>
      <c r="J3531" s="198" t="s">
        <v>169</v>
      </c>
      <c r="K3531" s="202">
        <f t="shared" si="55"/>
        <v>1805400</v>
      </c>
      <c r="L3531" s="202">
        <v>354</v>
      </c>
      <c r="N3531" s="202">
        <v>1039955.91</v>
      </c>
      <c r="S3531" s="203"/>
      <c r="W3531" s="198" t="s">
        <v>51</v>
      </c>
      <c r="AE3531" s="198" t="s">
        <v>831</v>
      </c>
    </row>
    <row r="3532" spans="3:31" x14ac:dyDescent="0.25">
      <c r="C3532" s="201"/>
      <c r="E3532" s="201"/>
      <c r="F3532" s="201"/>
      <c r="I3532" s="198" t="s">
        <v>179</v>
      </c>
      <c r="J3532" s="198" t="s">
        <v>169</v>
      </c>
      <c r="K3532" s="202">
        <f t="shared" si="55"/>
        <v>1805910</v>
      </c>
      <c r="L3532" s="202">
        <v>354.1</v>
      </c>
      <c r="N3532" s="202">
        <v>1114217.3700000001</v>
      </c>
      <c r="S3532" s="203"/>
      <c r="W3532" s="198" t="s">
        <v>51</v>
      </c>
      <c r="AE3532" s="198" t="s">
        <v>831</v>
      </c>
    </row>
    <row r="3533" spans="3:31" x14ac:dyDescent="0.25">
      <c r="C3533" s="201"/>
      <c r="E3533" s="201"/>
      <c r="F3533" s="201"/>
      <c r="I3533" s="198" t="s">
        <v>1523</v>
      </c>
      <c r="J3533" s="198" t="s">
        <v>193</v>
      </c>
      <c r="K3533" s="202">
        <f t="shared" si="55"/>
        <v>1806420</v>
      </c>
      <c r="L3533" s="202">
        <v>354.2</v>
      </c>
      <c r="N3533" s="202">
        <v>41257616</v>
      </c>
      <c r="S3533" s="203"/>
      <c r="W3533" s="198" t="s">
        <v>51</v>
      </c>
      <c r="AE3533" s="198" t="s">
        <v>54</v>
      </c>
    </row>
    <row r="3534" spans="3:31" x14ac:dyDescent="0.25">
      <c r="C3534" s="201"/>
      <c r="E3534" s="201"/>
      <c r="F3534" s="201"/>
      <c r="I3534" s="198" t="s">
        <v>1451</v>
      </c>
      <c r="J3534" s="198" t="s">
        <v>143</v>
      </c>
      <c r="K3534" s="202">
        <f t="shared" si="55"/>
        <v>1806930</v>
      </c>
      <c r="L3534" s="202">
        <v>354.3</v>
      </c>
      <c r="N3534" s="202">
        <v>41148980</v>
      </c>
      <c r="S3534" s="203"/>
      <c r="W3534" s="198" t="s">
        <v>51</v>
      </c>
      <c r="AE3534" s="198" t="s">
        <v>54</v>
      </c>
    </row>
    <row r="3535" spans="3:31" x14ac:dyDescent="0.25">
      <c r="C3535" s="201"/>
      <c r="E3535" s="201"/>
      <c r="F3535" s="201"/>
      <c r="I3535" s="198" t="s">
        <v>179</v>
      </c>
      <c r="J3535" s="198" t="s">
        <v>169</v>
      </c>
      <c r="K3535" s="202">
        <f t="shared" si="55"/>
        <v>1807440</v>
      </c>
      <c r="L3535" s="202">
        <v>354.4</v>
      </c>
      <c r="N3535" s="202">
        <v>848294.37</v>
      </c>
      <c r="S3535" s="203"/>
      <c r="W3535" s="198" t="s">
        <v>51</v>
      </c>
      <c r="AE3535" s="198" t="s">
        <v>831</v>
      </c>
    </row>
    <row r="3536" spans="3:31" x14ac:dyDescent="0.25">
      <c r="C3536" s="201"/>
      <c r="E3536" s="201"/>
      <c r="F3536" s="201"/>
      <c r="I3536" s="198" t="s">
        <v>179</v>
      </c>
      <c r="J3536" s="198" t="s">
        <v>169</v>
      </c>
      <c r="K3536" s="202">
        <f t="shared" si="55"/>
        <v>1807950</v>
      </c>
      <c r="L3536" s="202">
        <v>354.5</v>
      </c>
      <c r="N3536" s="202">
        <v>202593.93</v>
      </c>
      <c r="S3536" s="203"/>
      <c r="W3536" s="198" t="s">
        <v>51</v>
      </c>
      <c r="AE3536" s="198" t="s">
        <v>831</v>
      </c>
    </row>
    <row r="3537" spans="3:31" x14ac:dyDescent="0.25">
      <c r="C3537" s="201"/>
      <c r="E3537" s="201"/>
      <c r="F3537" s="201"/>
      <c r="I3537" s="198" t="s">
        <v>178</v>
      </c>
      <c r="J3537" s="198" t="s">
        <v>167</v>
      </c>
      <c r="K3537" s="202">
        <f t="shared" si="55"/>
        <v>1808460</v>
      </c>
      <c r="L3537" s="202">
        <v>354.6</v>
      </c>
      <c r="N3537" s="202">
        <v>704892.93</v>
      </c>
      <c r="S3537" s="203"/>
      <c r="W3537" s="198" t="s">
        <v>51</v>
      </c>
      <c r="AE3537" s="198" t="s">
        <v>831</v>
      </c>
    </row>
    <row r="3538" spans="3:31" x14ac:dyDescent="0.25">
      <c r="C3538" s="201"/>
      <c r="E3538" s="201"/>
      <c r="F3538" s="201"/>
      <c r="I3538" s="198" t="s">
        <v>1522</v>
      </c>
      <c r="J3538" s="198" t="s">
        <v>193</v>
      </c>
      <c r="K3538" s="202">
        <f t="shared" si="55"/>
        <v>1808970</v>
      </c>
      <c r="L3538" s="202">
        <v>354.7</v>
      </c>
      <c r="N3538" s="202">
        <v>0.02</v>
      </c>
      <c r="S3538" s="204"/>
      <c r="W3538" s="198" t="s">
        <v>51</v>
      </c>
      <c r="AE3538" s="198" t="s">
        <v>830</v>
      </c>
    </row>
    <row r="3539" spans="3:31" x14ac:dyDescent="0.25">
      <c r="C3539" s="201"/>
      <c r="E3539" s="201"/>
      <c r="F3539" s="201"/>
      <c r="I3539" s="198" t="s">
        <v>2069</v>
      </c>
      <c r="J3539" s="198" t="s">
        <v>193</v>
      </c>
      <c r="K3539" s="202">
        <f t="shared" si="55"/>
        <v>1809480</v>
      </c>
      <c r="L3539" s="202">
        <v>354.8</v>
      </c>
      <c r="N3539" s="202">
        <v>0.23</v>
      </c>
      <c r="S3539" s="204"/>
      <c r="W3539" s="198" t="s">
        <v>51</v>
      </c>
      <c r="AE3539" s="198" t="s">
        <v>830</v>
      </c>
    </row>
    <row r="3540" spans="3:31" x14ac:dyDescent="0.25">
      <c r="C3540" s="201"/>
      <c r="E3540" s="201"/>
      <c r="F3540" s="201"/>
      <c r="I3540" s="198" t="s">
        <v>577</v>
      </c>
      <c r="J3540" s="198" t="s">
        <v>130</v>
      </c>
      <c r="K3540" s="202">
        <f t="shared" si="55"/>
        <v>1809990</v>
      </c>
      <c r="L3540" s="202">
        <v>354.9</v>
      </c>
      <c r="N3540" s="202">
        <v>2355525</v>
      </c>
      <c r="S3540" s="204"/>
      <c r="W3540" s="198" t="s">
        <v>51</v>
      </c>
      <c r="AE3540" s="198" t="s">
        <v>833</v>
      </c>
    </row>
    <row r="3541" spans="3:31" x14ac:dyDescent="0.25">
      <c r="C3541" s="201"/>
      <c r="E3541" s="201"/>
      <c r="F3541" s="201"/>
      <c r="I3541" s="198" t="s">
        <v>1528</v>
      </c>
      <c r="J3541" s="198" t="s">
        <v>156</v>
      </c>
      <c r="K3541" s="202">
        <f t="shared" si="55"/>
        <v>1810500</v>
      </c>
      <c r="L3541" s="202">
        <v>355</v>
      </c>
      <c r="N3541" s="202">
        <v>3473920</v>
      </c>
      <c r="S3541" s="203"/>
      <c r="W3541" s="198" t="s">
        <v>51</v>
      </c>
      <c r="AE3541" s="198" t="s">
        <v>54</v>
      </c>
    </row>
    <row r="3542" spans="3:31" x14ac:dyDescent="0.25">
      <c r="C3542" s="201"/>
      <c r="E3542" s="201"/>
      <c r="F3542" s="201"/>
      <c r="I3542" s="198" t="s">
        <v>1528</v>
      </c>
      <c r="J3542" s="198" t="s">
        <v>156</v>
      </c>
      <c r="K3542" s="202">
        <f t="shared" si="55"/>
        <v>1811010</v>
      </c>
      <c r="L3542" s="202">
        <v>355.1</v>
      </c>
      <c r="N3542" s="202">
        <v>61333</v>
      </c>
      <c r="S3542" s="203"/>
      <c r="W3542" s="198" t="s">
        <v>51</v>
      </c>
      <c r="AE3542" s="198" t="s">
        <v>54</v>
      </c>
    </row>
    <row r="3543" spans="3:31" x14ac:dyDescent="0.25">
      <c r="C3543" s="201"/>
      <c r="E3543" s="201"/>
      <c r="F3543" s="201"/>
      <c r="I3543" s="198" t="s">
        <v>577</v>
      </c>
      <c r="J3543" s="198" t="s">
        <v>130</v>
      </c>
      <c r="K3543" s="202">
        <f t="shared" si="55"/>
        <v>1811520</v>
      </c>
      <c r="L3543" s="202">
        <v>355.2</v>
      </c>
      <c r="N3543" s="202">
        <v>-0.48</v>
      </c>
      <c r="S3543" s="203"/>
      <c r="W3543" s="198" t="s">
        <v>51</v>
      </c>
      <c r="AE3543" s="198" t="s">
        <v>54</v>
      </c>
    </row>
    <row r="3544" spans="3:31" x14ac:dyDescent="0.25">
      <c r="C3544" s="201"/>
      <c r="E3544" s="201"/>
      <c r="F3544" s="201"/>
      <c r="I3544" s="198" t="s">
        <v>1451</v>
      </c>
      <c r="J3544" s="198" t="s">
        <v>143</v>
      </c>
      <c r="K3544" s="202">
        <f t="shared" si="55"/>
        <v>1812030</v>
      </c>
      <c r="L3544" s="202">
        <v>355.3</v>
      </c>
      <c r="N3544" s="202">
        <v>2655614</v>
      </c>
      <c r="S3544" s="203"/>
      <c r="W3544" s="198" t="s">
        <v>51</v>
      </c>
      <c r="AE3544" s="198" t="s">
        <v>54</v>
      </c>
    </row>
    <row r="3545" spans="3:31" x14ac:dyDescent="0.25">
      <c r="C3545" s="201"/>
      <c r="E3545" s="201"/>
      <c r="F3545" s="201"/>
      <c r="I3545" s="198" t="s">
        <v>1534</v>
      </c>
      <c r="J3545" s="198" t="s">
        <v>153</v>
      </c>
      <c r="K3545" s="202">
        <f t="shared" si="55"/>
        <v>1812539.9999999949</v>
      </c>
      <c r="L3545" s="202">
        <v>355.39999999999901</v>
      </c>
      <c r="N3545" s="202">
        <v>2656369</v>
      </c>
      <c r="S3545" s="203"/>
      <c r="W3545" s="198" t="s">
        <v>51</v>
      </c>
      <c r="AE3545" s="198" t="s">
        <v>54</v>
      </c>
    </row>
    <row r="3546" spans="3:31" x14ac:dyDescent="0.25">
      <c r="C3546" s="201"/>
      <c r="E3546" s="201"/>
      <c r="F3546" s="201"/>
      <c r="I3546" s="198" t="s">
        <v>1523</v>
      </c>
      <c r="J3546" s="198" t="s">
        <v>193</v>
      </c>
      <c r="K3546" s="202">
        <f t="shared" si="55"/>
        <v>1813050</v>
      </c>
      <c r="L3546" s="202">
        <v>355.5</v>
      </c>
      <c r="N3546" s="202">
        <v>2361226</v>
      </c>
      <c r="S3546" s="203"/>
      <c r="W3546" s="198" t="s">
        <v>51</v>
      </c>
      <c r="AE3546" s="198" t="s">
        <v>54</v>
      </c>
    </row>
    <row r="3547" spans="3:31" x14ac:dyDescent="0.25">
      <c r="C3547" s="201"/>
      <c r="E3547" s="201"/>
      <c r="F3547" s="201"/>
      <c r="I3547" s="198" t="s">
        <v>1523</v>
      </c>
      <c r="J3547" s="198" t="s">
        <v>193</v>
      </c>
      <c r="K3547" s="202">
        <f t="shared" si="55"/>
        <v>1813560</v>
      </c>
      <c r="L3547" s="202">
        <v>355.6</v>
      </c>
      <c r="N3547" s="202">
        <v>1</v>
      </c>
      <c r="S3547" s="203"/>
      <c r="W3547" s="198" t="s">
        <v>51</v>
      </c>
      <c r="AE3547" s="198" t="s">
        <v>54</v>
      </c>
    </row>
    <row r="3548" spans="3:31" x14ac:dyDescent="0.25">
      <c r="C3548" s="201"/>
      <c r="E3548" s="201"/>
      <c r="F3548" s="201"/>
      <c r="I3548" s="198" t="s">
        <v>207</v>
      </c>
      <c r="J3548" s="198" t="s">
        <v>169</v>
      </c>
      <c r="K3548" s="202">
        <f t="shared" si="55"/>
        <v>1814070</v>
      </c>
      <c r="L3548" s="202">
        <v>355.7</v>
      </c>
      <c r="N3548" s="202">
        <v>37884</v>
      </c>
      <c r="S3548" s="203"/>
      <c r="W3548" s="198" t="s">
        <v>51</v>
      </c>
      <c r="AE3548" s="198" t="s">
        <v>831</v>
      </c>
    </row>
    <row r="3549" spans="3:31" x14ac:dyDescent="0.25">
      <c r="C3549" s="201"/>
      <c r="E3549" s="201"/>
      <c r="F3549" s="201"/>
      <c r="I3549" s="198" t="s">
        <v>207</v>
      </c>
      <c r="J3549" s="198" t="s">
        <v>169</v>
      </c>
      <c r="K3549" s="202">
        <f t="shared" si="55"/>
        <v>1814580</v>
      </c>
      <c r="L3549" s="202">
        <v>355.8</v>
      </c>
      <c r="N3549" s="202">
        <v>8580</v>
      </c>
      <c r="S3549" s="203"/>
      <c r="W3549" s="198" t="s">
        <v>51</v>
      </c>
      <c r="AE3549" s="198" t="s">
        <v>831</v>
      </c>
    </row>
    <row r="3550" spans="3:31" x14ac:dyDescent="0.25">
      <c r="C3550" s="201"/>
      <c r="E3550" s="201"/>
      <c r="F3550" s="201"/>
      <c r="I3550" s="198" t="s">
        <v>727</v>
      </c>
      <c r="J3550" s="198" t="s">
        <v>169</v>
      </c>
      <c r="K3550" s="202">
        <f t="shared" si="55"/>
        <v>1815089.9999999949</v>
      </c>
      <c r="L3550" s="202">
        <v>355.89999999999901</v>
      </c>
      <c r="N3550" s="202">
        <v>10327.5</v>
      </c>
      <c r="S3550" s="203"/>
      <c r="W3550" s="198" t="s">
        <v>51</v>
      </c>
      <c r="AE3550" s="198" t="s">
        <v>831</v>
      </c>
    </row>
    <row r="3551" spans="3:31" x14ac:dyDescent="0.25">
      <c r="C3551" s="201"/>
      <c r="E3551" s="201"/>
      <c r="F3551" s="201"/>
      <c r="I3551" s="198" t="s">
        <v>727</v>
      </c>
      <c r="J3551" s="198" t="s">
        <v>169</v>
      </c>
      <c r="K3551" s="202">
        <f t="shared" si="55"/>
        <v>1815600</v>
      </c>
      <c r="L3551" s="202">
        <v>356</v>
      </c>
      <c r="N3551" s="202">
        <v>4485</v>
      </c>
      <c r="S3551" s="203"/>
      <c r="W3551" s="198" t="s">
        <v>51</v>
      </c>
      <c r="AE3551" s="198" t="s">
        <v>831</v>
      </c>
    </row>
    <row r="3552" spans="3:31" x14ac:dyDescent="0.25">
      <c r="C3552" s="201"/>
      <c r="E3552" s="201"/>
      <c r="F3552" s="201"/>
      <c r="I3552" s="198" t="s">
        <v>206</v>
      </c>
      <c r="J3552" s="198" t="s">
        <v>169</v>
      </c>
      <c r="K3552" s="202">
        <f t="shared" si="55"/>
        <v>1816110</v>
      </c>
      <c r="L3552" s="202">
        <v>356.1</v>
      </c>
      <c r="N3552" s="202">
        <v>144320</v>
      </c>
      <c r="S3552" s="203"/>
      <c r="W3552" s="198" t="s">
        <v>51</v>
      </c>
      <c r="AE3552" s="198" t="s">
        <v>831</v>
      </c>
    </row>
    <row r="3553" spans="3:31" x14ac:dyDescent="0.25">
      <c r="C3553" s="201"/>
      <c r="E3553" s="201"/>
      <c r="F3553" s="201"/>
      <c r="I3553" s="198" t="s">
        <v>206</v>
      </c>
      <c r="J3553" s="198" t="s">
        <v>169</v>
      </c>
      <c r="K3553" s="202">
        <f t="shared" si="55"/>
        <v>1816620</v>
      </c>
      <c r="L3553" s="202">
        <v>356.2</v>
      </c>
      <c r="N3553" s="202">
        <v>38610</v>
      </c>
      <c r="S3553" s="203"/>
      <c r="W3553" s="198" t="s">
        <v>51</v>
      </c>
      <c r="AE3553" s="198" t="s">
        <v>831</v>
      </c>
    </row>
    <row r="3554" spans="3:31" x14ac:dyDescent="0.25">
      <c r="C3554" s="201"/>
      <c r="E3554" s="201"/>
      <c r="F3554" s="201"/>
      <c r="I3554" s="198" t="s">
        <v>205</v>
      </c>
      <c r="J3554" s="198" t="s">
        <v>169</v>
      </c>
      <c r="K3554" s="202">
        <f t="shared" si="55"/>
        <v>1817130</v>
      </c>
      <c r="L3554" s="202">
        <v>356.3</v>
      </c>
      <c r="N3554" s="202">
        <v>342038.03</v>
      </c>
      <c r="S3554" s="203"/>
      <c r="W3554" s="198" t="s">
        <v>51</v>
      </c>
      <c r="AE3554" s="198" t="s">
        <v>831</v>
      </c>
    </row>
    <row r="3555" spans="3:31" x14ac:dyDescent="0.25">
      <c r="C3555" s="201"/>
      <c r="E3555" s="201"/>
      <c r="F3555" s="201"/>
      <c r="I3555" s="198" t="s">
        <v>204</v>
      </c>
      <c r="J3555" s="198" t="s">
        <v>169</v>
      </c>
      <c r="K3555" s="202">
        <f t="shared" si="55"/>
        <v>1817639.9999999949</v>
      </c>
      <c r="L3555" s="202">
        <v>356.39999999999901</v>
      </c>
      <c r="N3555" s="202">
        <v>1496000</v>
      </c>
      <c r="S3555" s="204"/>
      <c r="W3555" s="198" t="s">
        <v>51</v>
      </c>
      <c r="AE3555" s="198" t="s">
        <v>831</v>
      </c>
    </row>
    <row r="3556" spans="3:31" x14ac:dyDescent="0.25">
      <c r="C3556" s="201"/>
      <c r="E3556" s="201"/>
      <c r="F3556" s="201"/>
      <c r="I3556" s="198" t="s">
        <v>206</v>
      </c>
      <c r="J3556" s="198" t="s">
        <v>169</v>
      </c>
      <c r="K3556" s="202">
        <f t="shared" si="55"/>
        <v>1818150</v>
      </c>
      <c r="L3556" s="202">
        <v>356.5</v>
      </c>
      <c r="N3556" s="202">
        <v>61571.4</v>
      </c>
      <c r="S3556" s="203"/>
      <c r="W3556" s="198" t="s">
        <v>51</v>
      </c>
      <c r="AE3556" s="198" t="s">
        <v>831</v>
      </c>
    </row>
    <row r="3557" spans="3:31" x14ac:dyDescent="0.25">
      <c r="C3557" s="201"/>
      <c r="E3557" s="201"/>
      <c r="F3557" s="201"/>
      <c r="I3557" s="198" t="s">
        <v>206</v>
      </c>
      <c r="J3557" s="198" t="s">
        <v>169</v>
      </c>
      <c r="K3557" s="202">
        <f t="shared" si="55"/>
        <v>1818660</v>
      </c>
      <c r="L3557" s="202">
        <v>356.6</v>
      </c>
      <c r="N3557" s="202">
        <v>1064778</v>
      </c>
      <c r="S3557" s="203"/>
      <c r="W3557" s="198" t="s">
        <v>51</v>
      </c>
      <c r="AE3557" s="198" t="s">
        <v>831</v>
      </c>
    </row>
    <row r="3558" spans="3:31" x14ac:dyDescent="0.25">
      <c r="C3558" s="201"/>
      <c r="E3558" s="201"/>
      <c r="F3558" s="201"/>
      <c r="I3558" s="198" t="s">
        <v>206</v>
      </c>
      <c r="J3558" s="198" t="s">
        <v>169</v>
      </c>
      <c r="K3558" s="202">
        <f t="shared" si="55"/>
        <v>1819170</v>
      </c>
      <c r="L3558" s="202">
        <v>356.7</v>
      </c>
      <c r="N3558" s="202">
        <v>656431.13</v>
      </c>
      <c r="S3558" s="203"/>
      <c r="W3558" s="198" t="s">
        <v>51</v>
      </c>
      <c r="AE3558" s="198" t="s">
        <v>831</v>
      </c>
    </row>
    <row r="3559" spans="3:31" x14ac:dyDescent="0.25">
      <c r="C3559" s="201"/>
      <c r="E3559" s="201"/>
      <c r="F3559" s="201"/>
      <c r="I3559" s="198" t="s">
        <v>206</v>
      </c>
      <c r="J3559" s="198" t="s">
        <v>169</v>
      </c>
      <c r="K3559" s="202">
        <f t="shared" si="55"/>
        <v>1819680</v>
      </c>
      <c r="L3559" s="202">
        <v>356.8</v>
      </c>
      <c r="N3559" s="202">
        <v>335478</v>
      </c>
      <c r="S3559" s="203"/>
      <c r="W3559" s="198" t="s">
        <v>51</v>
      </c>
      <c r="AE3559" s="198" t="s">
        <v>831</v>
      </c>
    </row>
    <row r="3560" spans="3:31" x14ac:dyDescent="0.25">
      <c r="C3560" s="201"/>
      <c r="E3560" s="201"/>
      <c r="F3560" s="201"/>
      <c r="I3560" s="198" t="s">
        <v>206</v>
      </c>
      <c r="J3560" s="198" t="s">
        <v>169</v>
      </c>
      <c r="K3560" s="202">
        <f t="shared" si="55"/>
        <v>1820189.9999999949</v>
      </c>
      <c r="L3560" s="202">
        <v>356.89999999999901</v>
      </c>
      <c r="N3560" s="202">
        <v>794200.2</v>
      </c>
      <c r="S3560" s="203"/>
      <c r="W3560" s="198" t="s">
        <v>51</v>
      </c>
      <c r="AE3560" s="198" t="s">
        <v>831</v>
      </c>
    </row>
    <row r="3561" spans="3:31" x14ac:dyDescent="0.25">
      <c r="C3561" s="201"/>
      <c r="E3561" s="201"/>
      <c r="F3561" s="201"/>
      <c r="I3561" s="198" t="s">
        <v>761</v>
      </c>
      <c r="J3561" s="198" t="s">
        <v>156</v>
      </c>
      <c r="K3561" s="202">
        <f t="shared" si="55"/>
        <v>1820700</v>
      </c>
      <c r="L3561" s="202">
        <v>357</v>
      </c>
      <c r="N3561" s="202">
        <v>40120</v>
      </c>
      <c r="S3561" s="204"/>
      <c r="W3561" s="198" t="s">
        <v>51</v>
      </c>
      <c r="AE3561" s="198" t="s">
        <v>828</v>
      </c>
    </row>
    <row r="3562" spans="3:31" x14ac:dyDescent="0.25">
      <c r="C3562" s="201"/>
      <c r="E3562" s="201"/>
      <c r="F3562" s="201"/>
      <c r="I3562" s="198" t="s">
        <v>759</v>
      </c>
      <c r="J3562" s="198" t="s">
        <v>148</v>
      </c>
      <c r="K3562" s="202">
        <f t="shared" si="55"/>
        <v>1821210</v>
      </c>
      <c r="L3562" s="202">
        <v>357.1</v>
      </c>
      <c r="N3562" s="202">
        <v>40120</v>
      </c>
      <c r="S3562" s="204"/>
      <c r="W3562" s="198" t="s">
        <v>51</v>
      </c>
      <c r="AE3562" s="198" t="s">
        <v>828</v>
      </c>
    </row>
    <row r="3563" spans="3:31" x14ac:dyDescent="0.25">
      <c r="C3563" s="201"/>
      <c r="E3563" s="201"/>
      <c r="F3563" s="201"/>
      <c r="I3563" s="198" t="s">
        <v>762</v>
      </c>
      <c r="J3563" s="198" t="s">
        <v>193</v>
      </c>
      <c r="K3563" s="202">
        <f t="shared" si="55"/>
        <v>1821720</v>
      </c>
      <c r="L3563" s="202">
        <v>357.2</v>
      </c>
      <c r="N3563" s="202">
        <v>40120</v>
      </c>
      <c r="S3563" s="204"/>
      <c r="W3563" s="198" t="s">
        <v>51</v>
      </c>
      <c r="AE3563" s="198" t="s">
        <v>830</v>
      </c>
    </row>
    <row r="3564" spans="3:31" x14ac:dyDescent="0.25">
      <c r="C3564" s="201"/>
      <c r="E3564" s="201"/>
      <c r="F3564" s="201"/>
      <c r="I3564" s="198" t="s">
        <v>755</v>
      </c>
      <c r="J3564" s="198" t="s">
        <v>274</v>
      </c>
      <c r="K3564" s="202">
        <f t="shared" si="55"/>
        <v>1822230</v>
      </c>
      <c r="L3564" s="202">
        <v>357.3</v>
      </c>
      <c r="N3564" s="202">
        <v>40120</v>
      </c>
      <c r="S3564" s="204"/>
      <c r="W3564" s="198" t="s">
        <v>51</v>
      </c>
      <c r="AE3564" s="198" t="s">
        <v>1767</v>
      </c>
    </row>
    <row r="3565" spans="3:31" x14ac:dyDescent="0.25">
      <c r="C3565" s="201"/>
      <c r="E3565" s="201"/>
      <c r="F3565" s="201"/>
      <c r="I3565" s="198" t="s">
        <v>760</v>
      </c>
      <c r="J3565" s="198" t="s">
        <v>153</v>
      </c>
      <c r="K3565" s="202">
        <f t="shared" si="55"/>
        <v>1822739.9999999949</v>
      </c>
      <c r="L3565" s="202">
        <v>357.39999999999901</v>
      </c>
      <c r="N3565" s="202">
        <v>40120</v>
      </c>
      <c r="S3565" s="204"/>
      <c r="W3565" s="198" t="s">
        <v>51</v>
      </c>
      <c r="AE3565" s="198" t="s">
        <v>1768</v>
      </c>
    </row>
    <row r="3566" spans="3:31" x14ac:dyDescent="0.25">
      <c r="C3566" s="201"/>
      <c r="E3566" s="201"/>
      <c r="F3566" s="201"/>
      <c r="I3566" s="198" t="s">
        <v>197</v>
      </c>
      <c r="J3566" s="198" t="s">
        <v>156</v>
      </c>
      <c r="K3566" s="202">
        <f t="shared" si="55"/>
        <v>1823250</v>
      </c>
      <c r="L3566" s="202">
        <v>357.5</v>
      </c>
      <c r="N3566" s="202">
        <v>36000</v>
      </c>
      <c r="S3566" s="204"/>
      <c r="W3566" s="198" t="s">
        <v>51</v>
      </c>
      <c r="AE3566" s="198" t="s">
        <v>828</v>
      </c>
    </row>
    <row r="3567" spans="3:31" x14ac:dyDescent="0.25">
      <c r="C3567" s="201"/>
      <c r="E3567" s="201"/>
      <c r="F3567" s="201"/>
      <c r="I3567" s="198" t="s">
        <v>779</v>
      </c>
      <c r="J3567" s="198" t="s">
        <v>148</v>
      </c>
      <c r="K3567" s="202">
        <f t="shared" si="55"/>
        <v>1823760</v>
      </c>
      <c r="L3567" s="202">
        <v>357.6</v>
      </c>
      <c r="N3567" s="202">
        <v>18000</v>
      </c>
      <c r="S3567" s="204"/>
      <c r="W3567" s="198" t="s">
        <v>51</v>
      </c>
      <c r="AE3567" s="198" t="s">
        <v>828</v>
      </c>
    </row>
    <row r="3568" spans="3:31" x14ac:dyDescent="0.25">
      <c r="C3568" s="201"/>
      <c r="E3568" s="201"/>
      <c r="F3568" s="201"/>
      <c r="I3568" s="198" t="s">
        <v>778</v>
      </c>
      <c r="J3568" s="198" t="s">
        <v>153</v>
      </c>
      <c r="K3568" s="202">
        <f t="shared" si="55"/>
        <v>1824270</v>
      </c>
      <c r="L3568" s="202">
        <v>357.7</v>
      </c>
      <c r="N3568" s="202">
        <v>18000</v>
      </c>
      <c r="S3568" s="204"/>
      <c r="W3568" s="198" t="s">
        <v>51</v>
      </c>
      <c r="AE3568" s="198" t="s">
        <v>1768</v>
      </c>
    </row>
    <row r="3569" spans="3:31" x14ac:dyDescent="0.25">
      <c r="C3569" s="201"/>
      <c r="E3569" s="201"/>
      <c r="F3569" s="201"/>
      <c r="I3569" s="198" t="s">
        <v>780</v>
      </c>
      <c r="J3569" s="198" t="s">
        <v>274</v>
      </c>
      <c r="K3569" s="202">
        <f t="shared" si="55"/>
        <v>1824780</v>
      </c>
      <c r="L3569" s="202">
        <v>357.8</v>
      </c>
      <c r="N3569" s="202">
        <v>18000</v>
      </c>
      <c r="S3569" s="204"/>
      <c r="W3569" s="198" t="s">
        <v>51</v>
      </c>
      <c r="AE3569" s="198" t="s">
        <v>1767</v>
      </c>
    </row>
    <row r="3570" spans="3:31" x14ac:dyDescent="0.25">
      <c r="C3570" s="201"/>
      <c r="E3570" s="201"/>
      <c r="F3570" s="201"/>
      <c r="I3570" s="198" t="s">
        <v>205</v>
      </c>
      <c r="J3570" s="198" t="s">
        <v>169</v>
      </c>
      <c r="K3570" s="202">
        <f t="shared" si="55"/>
        <v>1825289.9999999949</v>
      </c>
      <c r="L3570" s="202">
        <v>357.89999999999901</v>
      </c>
      <c r="N3570" s="202">
        <v>3068.33</v>
      </c>
      <c r="S3570" s="203"/>
      <c r="W3570" s="198" t="s">
        <v>51</v>
      </c>
      <c r="AE3570" s="198" t="s">
        <v>831</v>
      </c>
    </row>
    <row r="3571" spans="3:31" x14ac:dyDescent="0.25">
      <c r="C3571" s="201"/>
      <c r="E3571" s="201"/>
      <c r="F3571" s="201"/>
      <c r="I3571" s="198" t="s">
        <v>205</v>
      </c>
      <c r="J3571" s="198" t="s">
        <v>169</v>
      </c>
      <c r="K3571" s="202">
        <f t="shared" si="55"/>
        <v>1825800</v>
      </c>
      <c r="L3571" s="202">
        <v>358</v>
      </c>
      <c r="N3571" s="202">
        <v>1245.42</v>
      </c>
      <c r="S3571" s="203"/>
      <c r="W3571" s="198" t="s">
        <v>51</v>
      </c>
      <c r="AE3571" s="198" t="s">
        <v>831</v>
      </c>
    </row>
    <row r="3572" spans="3:31" x14ac:dyDescent="0.25">
      <c r="C3572" s="201"/>
      <c r="E3572" s="201"/>
      <c r="F3572" s="201"/>
      <c r="I3572" s="198" t="s">
        <v>205</v>
      </c>
      <c r="J3572" s="198" t="s">
        <v>169</v>
      </c>
      <c r="K3572" s="202">
        <f t="shared" si="55"/>
        <v>1826310</v>
      </c>
      <c r="L3572" s="202">
        <v>358.1</v>
      </c>
      <c r="N3572" s="202">
        <v>59565</v>
      </c>
      <c r="S3572" s="203"/>
      <c r="W3572" s="198" t="s">
        <v>51</v>
      </c>
      <c r="AE3572" s="198" t="s">
        <v>831</v>
      </c>
    </row>
    <row r="3573" spans="3:31" x14ac:dyDescent="0.25">
      <c r="C3573" s="201"/>
      <c r="E3573" s="201"/>
      <c r="F3573" s="201"/>
      <c r="I3573" s="198" t="s">
        <v>205</v>
      </c>
      <c r="J3573" s="198" t="s">
        <v>169</v>
      </c>
      <c r="K3573" s="202">
        <f t="shared" si="55"/>
        <v>1826820</v>
      </c>
      <c r="L3573" s="202">
        <v>358.2</v>
      </c>
      <c r="N3573" s="202">
        <v>544578.4</v>
      </c>
      <c r="S3573" s="203"/>
      <c r="W3573" s="198" t="s">
        <v>51</v>
      </c>
      <c r="AE3573" s="198" t="s">
        <v>831</v>
      </c>
    </row>
    <row r="3574" spans="3:31" x14ac:dyDescent="0.25">
      <c r="C3574" s="201"/>
      <c r="E3574" s="201"/>
      <c r="F3574" s="201"/>
      <c r="I3574" s="198" t="s">
        <v>205</v>
      </c>
      <c r="J3574" s="198" t="s">
        <v>169</v>
      </c>
      <c r="K3574" s="202">
        <f t="shared" si="55"/>
        <v>1827330</v>
      </c>
      <c r="L3574" s="202">
        <v>358.3</v>
      </c>
      <c r="N3574" s="202">
        <v>85242.95</v>
      </c>
      <c r="S3574" s="203"/>
      <c r="W3574" s="198" t="s">
        <v>51</v>
      </c>
      <c r="AE3574" s="198" t="s">
        <v>831</v>
      </c>
    </row>
    <row r="3575" spans="3:31" x14ac:dyDescent="0.25">
      <c r="C3575" s="201"/>
      <c r="E3575" s="201"/>
      <c r="F3575" s="201"/>
      <c r="I3575" s="198" t="s">
        <v>205</v>
      </c>
      <c r="J3575" s="198" t="s">
        <v>169</v>
      </c>
      <c r="K3575" s="202">
        <f t="shared" si="55"/>
        <v>1827839.9999999949</v>
      </c>
      <c r="L3575" s="202">
        <v>358.39999999999901</v>
      </c>
      <c r="N3575" s="202">
        <v>136966.79999999999</v>
      </c>
      <c r="S3575" s="203"/>
      <c r="W3575" s="198" t="s">
        <v>51</v>
      </c>
      <c r="AE3575" s="198" t="s">
        <v>831</v>
      </c>
    </row>
    <row r="3576" spans="3:31" x14ac:dyDescent="0.25">
      <c r="C3576" s="201"/>
      <c r="E3576" s="201"/>
      <c r="F3576" s="201"/>
      <c r="I3576" s="198" t="s">
        <v>729</v>
      </c>
      <c r="J3576" s="198" t="s">
        <v>169</v>
      </c>
      <c r="K3576" s="202">
        <f t="shared" si="55"/>
        <v>1828350</v>
      </c>
      <c r="L3576" s="202">
        <v>358.5</v>
      </c>
      <c r="N3576" s="202">
        <v>7650</v>
      </c>
      <c r="S3576" s="204"/>
      <c r="W3576" s="198" t="s">
        <v>51</v>
      </c>
      <c r="AE3576" s="198" t="s">
        <v>831</v>
      </c>
    </row>
    <row r="3577" spans="3:31" x14ac:dyDescent="0.25">
      <c r="C3577" s="201"/>
      <c r="E3577" s="201"/>
      <c r="F3577" s="201"/>
      <c r="I3577" s="198" t="s">
        <v>729</v>
      </c>
      <c r="J3577" s="198" t="s">
        <v>169</v>
      </c>
      <c r="K3577" s="202">
        <f t="shared" si="55"/>
        <v>1828860</v>
      </c>
      <c r="L3577" s="202">
        <v>358.6</v>
      </c>
      <c r="N3577" s="202">
        <v>27761.4</v>
      </c>
      <c r="S3577" s="203"/>
      <c r="W3577" s="198" t="s">
        <v>51</v>
      </c>
      <c r="AE3577" s="198" t="s">
        <v>831</v>
      </c>
    </row>
    <row r="3578" spans="3:31" x14ac:dyDescent="0.25">
      <c r="C3578" s="201"/>
      <c r="E3578" s="201"/>
      <c r="F3578" s="201"/>
      <c r="I3578" s="198" t="s">
        <v>729</v>
      </c>
      <c r="J3578" s="198" t="s">
        <v>169</v>
      </c>
      <c r="K3578" s="202">
        <f t="shared" si="55"/>
        <v>1829370</v>
      </c>
      <c r="L3578" s="202">
        <v>358.7</v>
      </c>
      <c r="N3578" s="202">
        <v>22129.8</v>
      </c>
      <c r="S3578" s="203"/>
      <c r="W3578" s="198" t="s">
        <v>51</v>
      </c>
      <c r="AE3578" s="198" t="s">
        <v>831</v>
      </c>
    </row>
    <row r="3579" spans="3:31" x14ac:dyDescent="0.25">
      <c r="C3579" s="201"/>
      <c r="E3579" s="201"/>
      <c r="F3579" s="201"/>
      <c r="I3579" s="198" t="s">
        <v>730</v>
      </c>
      <c r="J3579" s="198" t="s">
        <v>169</v>
      </c>
      <c r="K3579" s="202">
        <f t="shared" si="55"/>
        <v>1829880</v>
      </c>
      <c r="L3579" s="202">
        <v>358.8</v>
      </c>
      <c r="N3579" s="202">
        <v>60750</v>
      </c>
      <c r="S3579" s="204"/>
      <c r="W3579" s="198" t="s">
        <v>51</v>
      </c>
      <c r="AE3579" s="198" t="s">
        <v>831</v>
      </c>
    </row>
    <row r="3580" spans="3:31" x14ac:dyDescent="0.25">
      <c r="C3580" s="201"/>
      <c r="E3580" s="201"/>
      <c r="F3580" s="201"/>
      <c r="I3580" s="198" t="s">
        <v>730</v>
      </c>
      <c r="J3580" s="198" t="s">
        <v>169</v>
      </c>
      <c r="K3580" s="202">
        <f t="shared" si="55"/>
        <v>1830389.9999999949</v>
      </c>
      <c r="L3580" s="202">
        <v>358.89999999999901</v>
      </c>
      <c r="N3580" s="202">
        <v>41777.9</v>
      </c>
      <c r="S3580" s="203"/>
      <c r="W3580" s="198" t="s">
        <v>51</v>
      </c>
      <c r="AE3580" s="198" t="s">
        <v>831</v>
      </c>
    </row>
    <row r="3581" spans="3:31" x14ac:dyDescent="0.25">
      <c r="C3581" s="201"/>
      <c r="E3581" s="201"/>
      <c r="F3581" s="201"/>
      <c r="I3581" s="198" t="s">
        <v>730</v>
      </c>
      <c r="J3581" s="198" t="s">
        <v>169</v>
      </c>
      <c r="K3581" s="202">
        <f t="shared" si="55"/>
        <v>1830900</v>
      </c>
      <c r="L3581" s="202">
        <v>359</v>
      </c>
      <c r="N3581" s="202">
        <v>81000</v>
      </c>
      <c r="S3581" s="204"/>
      <c r="W3581" s="198" t="s">
        <v>51</v>
      </c>
      <c r="AE3581" s="198" t="s">
        <v>831</v>
      </c>
    </row>
    <row r="3582" spans="3:31" x14ac:dyDescent="0.25">
      <c r="C3582" s="201"/>
      <c r="E3582" s="201"/>
      <c r="F3582" s="201"/>
      <c r="I3582" s="198" t="s">
        <v>727</v>
      </c>
      <c r="J3582" s="198" t="s">
        <v>169</v>
      </c>
      <c r="K3582" s="202">
        <f t="shared" si="55"/>
        <v>1831410</v>
      </c>
      <c r="L3582" s="202">
        <v>359.1</v>
      </c>
      <c r="N3582" s="202">
        <v>15940.8</v>
      </c>
      <c r="S3582" s="203"/>
      <c r="W3582" s="198" t="s">
        <v>51</v>
      </c>
      <c r="AE3582" s="198" t="s">
        <v>831</v>
      </c>
    </row>
    <row r="3583" spans="3:31" x14ac:dyDescent="0.25">
      <c r="C3583" s="201"/>
      <c r="E3583" s="201"/>
      <c r="F3583" s="201"/>
      <c r="I3583" s="198" t="s">
        <v>727</v>
      </c>
      <c r="J3583" s="198" t="s">
        <v>169</v>
      </c>
      <c r="K3583" s="202">
        <f t="shared" si="55"/>
        <v>1831920</v>
      </c>
      <c r="L3583" s="202">
        <v>359.2</v>
      </c>
      <c r="N3583" s="202">
        <v>9450</v>
      </c>
      <c r="S3583" s="203"/>
      <c r="W3583" s="198" t="s">
        <v>51</v>
      </c>
      <c r="AE3583" s="198" t="s">
        <v>831</v>
      </c>
    </row>
    <row r="3584" spans="3:31" x14ac:dyDescent="0.25">
      <c r="C3584" s="201"/>
      <c r="E3584" s="201"/>
      <c r="F3584" s="201"/>
      <c r="I3584" s="198" t="s">
        <v>727</v>
      </c>
      <c r="J3584" s="198" t="s">
        <v>169</v>
      </c>
      <c r="K3584" s="202">
        <f t="shared" si="55"/>
        <v>1832430</v>
      </c>
      <c r="L3584" s="202">
        <v>359.3</v>
      </c>
      <c r="N3584" s="202">
        <v>32844.400000000001</v>
      </c>
      <c r="S3584" s="203"/>
      <c r="W3584" s="198" t="s">
        <v>51</v>
      </c>
      <c r="AE3584" s="198" t="s">
        <v>831</v>
      </c>
    </row>
    <row r="3585" spans="3:31" x14ac:dyDescent="0.25">
      <c r="C3585" s="201"/>
      <c r="E3585" s="201"/>
      <c r="F3585" s="201"/>
      <c r="I3585" s="198" t="s">
        <v>582</v>
      </c>
      <c r="J3585" s="198" t="s">
        <v>132</v>
      </c>
      <c r="K3585" s="202">
        <f t="shared" si="55"/>
        <v>1832939.9999999949</v>
      </c>
      <c r="L3585" s="202">
        <v>359.39999999999901</v>
      </c>
      <c r="N3585" s="202">
        <v>916906.69</v>
      </c>
      <c r="S3585" s="204"/>
      <c r="W3585" s="198" t="s">
        <v>51</v>
      </c>
      <c r="AE3585" s="198" t="s">
        <v>833</v>
      </c>
    </row>
    <row r="3586" spans="3:31" x14ac:dyDescent="0.25">
      <c r="C3586" s="201"/>
      <c r="E3586" s="201"/>
      <c r="F3586" s="201"/>
      <c r="I3586" s="198" t="s">
        <v>555</v>
      </c>
      <c r="J3586" s="198" t="s">
        <v>132</v>
      </c>
      <c r="K3586" s="202">
        <f t="shared" si="55"/>
        <v>1833450</v>
      </c>
      <c r="L3586" s="202">
        <v>359.5</v>
      </c>
      <c r="N3586" s="202">
        <v>188064.64000000001</v>
      </c>
      <c r="S3586" s="204"/>
      <c r="W3586" s="198" t="s">
        <v>51</v>
      </c>
      <c r="AE3586" s="198" t="s">
        <v>833</v>
      </c>
    </row>
    <row r="3587" spans="3:31" x14ac:dyDescent="0.25">
      <c r="C3587" s="201"/>
      <c r="E3587" s="201"/>
      <c r="F3587" s="201"/>
      <c r="I3587" s="198" t="s">
        <v>582</v>
      </c>
      <c r="J3587" s="198" t="s">
        <v>132</v>
      </c>
      <c r="K3587" s="202">
        <f t="shared" ref="K3587:K3608" si="56">L3587*5100</f>
        <v>1833960</v>
      </c>
      <c r="L3587" s="202">
        <v>359.6</v>
      </c>
      <c r="N3587" s="202">
        <v>-916906.69</v>
      </c>
      <c r="S3587" s="204"/>
      <c r="W3587" s="198" t="s">
        <v>51</v>
      </c>
      <c r="AE3587" s="198" t="s">
        <v>833</v>
      </c>
    </row>
    <row r="3588" spans="3:31" x14ac:dyDescent="0.25">
      <c r="C3588" s="201"/>
      <c r="E3588" s="201"/>
      <c r="F3588" s="201"/>
      <c r="I3588" s="198" t="s">
        <v>555</v>
      </c>
      <c r="J3588" s="198" t="s">
        <v>132</v>
      </c>
      <c r="K3588" s="202">
        <f t="shared" si="56"/>
        <v>1834470</v>
      </c>
      <c r="L3588" s="202">
        <v>359.7</v>
      </c>
      <c r="N3588" s="202">
        <v>-188064.64000000001</v>
      </c>
      <c r="S3588" s="204"/>
      <c r="W3588" s="198" t="s">
        <v>51</v>
      </c>
      <c r="AE3588" s="198" t="s">
        <v>833</v>
      </c>
    </row>
    <row r="3589" spans="3:31" x14ac:dyDescent="0.25">
      <c r="C3589" s="201"/>
      <c r="E3589" s="201"/>
      <c r="F3589" s="201"/>
      <c r="I3589" s="198" t="s">
        <v>164</v>
      </c>
      <c r="J3589" s="198" t="s">
        <v>167</v>
      </c>
      <c r="K3589" s="202">
        <f t="shared" si="56"/>
        <v>1834980</v>
      </c>
      <c r="L3589" s="202">
        <v>359.8</v>
      </c>
      <c r="N3589" s="202">
        <v>2080000</v>
      </c>
      <c r="S3589" s="204"/>
      <c r="W3589" s="198" t="s">
        <v>51</v>
      </c>
      <c r="AE3589" s="198" t="s">
        <v>831</v>
      </c>
    </row>
    <row r="3590" spans="3:31" x14ac:dyDescent="0.25">
      <c r="C3590" s="201"/>
      <c r="E3590" s="201"/>
      <c r="F3590" s="201"/>
      <c r="I3590" s="198" t="s">
        <v>164</v>
      </c>
      <c r="J3590" s="198" t="s">
        <v>167</v>
      </c>
      <c r="K3590" s="202">
        <f t="shared" si="56"/>
        <v>1835489.9999999949</v>
      </c>
      <c r="L3590" s="202">
        <v>359.89999999999901</v>
      </c>
      <c r="N3590" s="202">
        <v>-2080000</v>
      </c>
      <c r="S3590" s="204"/>
      <c r="W3590" s="198" t="s">
        <v>51</v>
      </c>
      <c r="AE3590" s="198" t="s">
        <v>831</v>
      </c>
    </row>
    <row r="3591" spans="3:31" x14ac:dyDescent="0.25">
      <c r="C3591" s="201"/>
      <c r="E3591" s="201"/>
      <c r="F3591" s="201"/>
      <c r="I3591" s="198" t="s">
        <v>555</v>
      </c>
      <c r="J3591" s="198" t="s">
        <v>132</v>
      </c>
      <c r="K3591" s="202">
        <f t="shared" si="56"/>
        <v>1836000</v>
      </c>
      <c r="L3591" s="202">
        <v>360</v>
      </c>
      <c r="N3591" s="202">
        <v>-188064.64000000001</v>
      </c>
      <c r="S3591" s="204"/>
      <c r="W3591" s="198" t="s">
        <v>51</v>
      </c>
      <c r="AE3591" s="198" t="s">
        <v>833</v>
      </c>
    </row>
    <row r="3592" spans="3:31" x14ac:dyDescent="0.25">
      <c r="C3592" s="201"/>
      <c r="E3592" s="201"/>
      <c r="F3592" s="201"/>
      <c r="I3592" s="198" t="s">
        <v>555</v>
      </c>
      <c r="J3592" s="198" t="s">
        <v>132</v>
      </c>
      <c r="K3592" s="202">
        <f t="shared" si="56"/>
        <v>1836510</v>
      </c>
      <c r="L3592" s="202">
        <v>360.1</v>
      </c>
      <c r="N3592" s="202">
        <v>188064.64000000001</v>
      </c>
      <c r="S3592" s="204"/>
      <c r="W3592" s="198" t="s">
        <v>51</v>
      </c>
      <c r="AE3592" s="198" t="s">
        <v>833</v>
      </c>
    </row>
    <row r="3593" spans="3:31" x14ac:dyDescent="0.25">
      <c r="C3593" s="201"/>
      <c r="E3593" s="201"/>
      <c r="F3593" s="201"/>
      <c r="I3593" s="198" t="s">
        <v>1522</v>
      </c>
      <c r="J3593" s="198" t="s">
        <v>193</v>
      </c>
      <c r="K3593" s="202">
        <f t="shared" si="56"/>
        <v>1837020</v>
      </c>
      <c r="L3593" s="202">
        <v>360.2</v>
      </c>
      <c r="N3593" s="202">
        <v>686064445.97000003</v>
      </c>
      <c r="S3593" s="204"/>
      <c r="W3593" s="198" t="s">
        <v>51</v>
      </c>
      <c r="AE3593" s="198" t="s">
        <v>830</v>
      </c>
    </row>
    <row r="3594" spans="3:31" x14ac:dyDescent="0.25">
      <c r="C3594" s="201"/>
      <c r="E3594" s="201"/>
      <c r="F3594" s="201"/>
      <c r="I3594" s="198" t="s">
        <v>1522</v>
      </c>
      <c r="J3594" s="198" t="s">
        <v>193</v>
      </c>
      <c r="K3594" s="202">
        <f t="shared" si="56"/>
        <v>1837530</v>
      </c>
      <c r="L3594" s="202">
        <v>360.3</v>
      </c>
      <c r="N3594" s="202">
        <v>31855811.219999999</v>
      </c>
      <c r="S3594" s="204"/>
      <c r="W3594" s="198" t="s">
        <v>51</v>
      </c>
      <c r="AE3594" s="198" t="s">
        <v>830</v>
      </c>
    </row>
    <row r="3595" spans="3:31" x14ac:dyDescent="0.25">
      <c r="C3595" s="201"/>
      <c r="E3595" s="201"/>
      <c r="F3595" s="201"/>
      <c r="I3595" s="198" t="s">
        <v>2021</v>
      </c>
      <c r="J3595" s="198" t="s">
        <v>193</v>
      </c>
      <c r="K3595" s="202">
        <f t="shared" si="56"/>
        <v>1838039.9999999949</v>
      </c>
      <c r="L3595" s="202">
        <v>360.39999999999901</v>
      </c>
      <c r="N3595" s="202">
        <v>251679960</v>
      </c>
      <c r="S3595" s="204"/>
      <c r="W3595" s="198" t="s">
        <v>51</v>
      </c>
      <c r="AE3595" s="198" t="s">
        <v>830</v>
      </c>
    </row>
    <row r="3596" spans="3:31" x14ac:dyDescent="0.25">
      <c r="C3596" s="201"/>
      <c r="E3596" s="201"/>
      <c r="F3596" s="201"/>
      <c r="I3596" s="198" t="s">
        <v>2021</v>
      </c>
      <c r="J3596" s="198" t="s">
        <v>193</v>
      </c>
      <c r="K3596" s="202">
        <f t="shared" si="56"/>
        <v>1838550</v>
      </c>
      <c r="L3596" s="202">
        <v>360.5</v>
      </c>
      <c r="N3596" s="202">
        <v>91276030.799999997</v>
      </c>
      <c r="S3596" s="204"/>
      <c r="W3596" s="198" t="s">
        <v>51</v>
      </c>
      <c r="AE3596" s="198" t="s">
        <v>830</v>
      </c>
    </row>
    <row r="3597" spans="3:31" x14ac:dyDescent="0.25">
      <c r="C3597" s="201"/>
      <c r="E3597" s="201"/>
      <c r="F3597" s="201"/>
      <c r="I3597" s="198" t="s">
        <v>2023</v>
      </c>
      <c r="J3597" s="198" t="s">
        <v>193</v>
      </c>
      <c r="K3597" s="202">
        <f t="shared" si="56"/>
        <v>1839060</v>
      </c>
      <c r="L3597" s="202">
        <v>360.6</v>
      </c>
      <c r="N3597" s="202">
        <v>41989150</v>
      </c>
      <c r="S3597" s="204"/>
      <c r="W3597" s="198" t="s">
        <v>51</v>
      </c>
      <c r="AE3597" s="198" t="s">
        <v>830</v>
      </c>
    </row>
    <row r="3598" spans="3:31" x14ac:dyDescent="0.25">
      <c r="C3598" s="201"/>
      <c r="E3598" s="201"/>
      <c r="F3598" s="201"/>
      <c r="I3598" s="198" t="s">
        <v>2023</v>
      </c>
      <c r="J3598" s="198" t="s">
        <v>193</v>
      </c>
      <c r="K3598" s="202">
        <f t="shared" si="56"/>
        <v>1839570</v>
      </c>
      <c r="L3598" s="202">
        <v>360.7</v>
      </c>
      <c r="N3598" s="202">
        <v>111147750</v>
      </c>
      <c r="S3598" s="204"/>
      <c r="W3598" s="198" t="s">
        <v>51</v>
      </c>
      <c r="AE3598" s="198" t="s">
        <v>830</v>
      </c>
    </row>
    <row r="3599" spans="3:31" x14ac:dyDescent="0.25">
      <c r="C3599" s="201"/>
      <c r="E3599" s="201"/>
      <c r="F3599" s="201"/>
      <c r="I3599" s="198" t="s">
        <v>2069</v>
      </c>
      <c r="J3599" s="198" t="s">
        <v>193</v>
      </c>
      <c r="K3599" s="202">
        <f t="shared" si="56"/>
        <v>1840080</v>
      </c>
      <c r="L3599" s="202">
        <v>360.8</v>
      </c>
      <c r="N3599" s="202">
        <v>76481072.349999994</v>
      </c>
      <c r="S3599" s="204"/>
      <c r="W3599" s="198" t="s">
        <v>51</v>
      </c>
      <c r="AE3599" s="198" t="s">
        <v>830</v>
      </c>
    </row>
    <row r="3600" spans="3:31" x14ac:dyDescent="0.25">
      <c r="C3600" s="201"/>
      <c r="E3600" s="201"/>
      <c r="F3600" s="201"/>
      <c r="I3600" s="198" t="s">
        <v>1522</v>
      </c>
      <c r="J3600" s="198" t="s">
        <v>193</v>
      </c>
      <c r="K3600" s="202">
        <f t="shared" si="56"/>
        <v>1840589.9999999949</v>
      </c>
      <c r="L3600" s="202">
        <v>360.89999999999901</v>
      </c>
      <c r="N3600" s="202">
        <v>-686064445.97000003</v>
      </c>
      <c r="S3600" s="204"/>
      <c r="W3600" s="198" t="s">
        <v>51</v>
      </c>
      <c r="AE3600" s="198" t="s">
        <v>830</v>
      </c>
    </row>
    <row r="3601" spans="1:31" x14ac:dyDescent="0.25">
      <c r="C3601" s="201"/>
      <c r="E3601" s="201"/>
      <c r="F3601" s="201"/>
      <c r="I3601" s="198" t="s">
        <v>1522</v>
      </c>
      <c r="J3601" s="198" t="s">
        <v>193</v>
      </c>
      <c r="K3601" s="202">
        <f t="shared" si="56"/>
        <v>1841100</v>
      </c>
      <c r="L3601" s="202">
        <v>361</v>
      </c>
      <c r="N3601" s="202">
        <v>-31855811.219999999</v>
      </c>
      <c r="S3601" s="204"/>
      <c r="W3601" s="198" t="s">
        <v>51</v>
      </c>
      <c r="AE3601" s="198" t="s">
        <v>830</v>
      </c>
    </row>
    <row r="3602" spans="1:31" x14ac:dyDescent="0.25">
      <c r="C3602" s="201"/>
      <c r="E3602" s="201"/>
      <c r="F3602" s="201"/>
      <c r="I3602" s="198" t="s">
        <v>2021</v>
      </c>
      <c r="J3602" s="198" t="s">
        <v>193</v>
      </c>
      <c r="K3602" s="202">
        <f t="shared" si="56"/>
        <v>1841610</v>
      </c>
      <c r="L3602" s="202">
        <v>361.1</v>
      </c>
      <c r="N3602" s="202">
        <v>-251679960</v>
      </c>
      <c r="S3602" s="204"/>
      <c r="W3602" s="198" t="s">
        <v>51</v>
      </c>
      <c r="AE3602" s="198" t="s">
        <v>830</v>
      </c>
    </row>
    <row r="3603" spans="1:31" x14ac:dyDescent="0.25">
      <c r="C3603" s="201"/>
      <c r="E3603" s="201"/>
      <c r="F3603" s="201"/>
      <c r="I3603" s="198" t="s">
        <v>2021</v>
      </c>
      <c r="J3603" s="198" t="s">
        <v>193</v>
      </c>
      <c r="K3603" s="202">
        <f t="shared" si="56"/>
        <v>1842120</v>
      </c>
      <c r="L3603" s="202">
        <v>361.2</v>
      </c>
      <c r="N3603" s="202">
        <v>-91276030.799999997</v>
      </c>
      <c r="S3603" s="204"/>
      <c r="W3603" s="198" t="s">
        <v>51</v>
      </c>
      <c r="AE3603" s="198" t="s">
        <v>830</v>
      </c>
    </row>
    <row r="3604" spans="1:31" x14ac:dyDescent="0.25">
      <c r="C3604" s="201"/>
      <c r="E3604" s="201"/>
      <c r="F3604" s="201"/>
      <c r="I3604" s="198" t="s">
        <v>2023</v>
      </c>
      <c r="J3604" s="198" t="s">
        <v>193</v>
      </c>
      <c r="K3604" s="202">
        <f t="shared" si="56"/>
        <v>1842630</v>
      </c>
      <c r="L3604" s="202">
        <v>361.3</v>
      </c>
      <c r="N3604" s="202">
        <v>-41989150</v>
      </c>
      <c r="S3604" s="204"/>
      <c r="W3604" s="198" t="s">
        <v>51</v>
      </c>
      <c r="AE3604" s="198" t="s">
        <v>830</v>
      </c>
    </row>
    <row r="3605" spans="1:31" x14ac:dyDescent="0.25">
      <c r="C3605" s="201"/>
      <c r="E3605" s="201"/>
      <c r="F3605" s="201"/>
      <c r="I3605" s="198" t="s">
        <v>2023</v>
      </c>
      <c r="J3605" s="198" t="s">
        <v>193</v>
      </c>
      <c r="K3605" s="202">
        <f t="shared" si="56"/>
        <v>1843139.9999999949</v>
      </c>
      <c r="L3605" s="202">
        <v>361.39999999999901</v>
      </c>
      <c r="N3605" s="202">
        <v>-111147750</v>
      </c>
      <c r="S3605" s="204"/>
      <c r="W3605" s="198" t="s">
        <v>51</v>
      </c>
      <c r="AE3605" s="198" t="s">
        <v>830</v>
      </c>
    </row>
    <row r="3606" spans="1:31" x14ac:dyDescent="0.25">
      <c r="C3606" s="201"/>
      <c r="E3606" s="201"/>
      <c r="F3606" s="201"/>
      <c r="I3606" s="198" t="s">
        <v>2069</v>
      </c>
      <c r="J3606" s="198" t="s">
        <v>193</v>
      </c>
      <c r="K3606" s="202">
        <f t="shared" si="56"/>
        <v>1843650</v>
      </c>
      <c r="L3606" s="202">
        <v>361.5</v>
      </c>
      <c r="N3606" s="202">
        <v>-76481072.349999994</v>
      </c>
      <c r="S3606" s="204"/>
      <c r="W3606" s="198" t="s">
        <v>51</v>
      </c>
      <c r="AE3606" s="198" t="s">
        <v>830</v>
      </c>
    </row>
    <row r="3607" spans="1:31" x14ac:dyDescent="0.25">
      <c r="C3607" s="201"/>
      <c r="E3607" s="201"/>
      <c r="F3607" s="201"/>
      <c r="I3607" s="198" t="s">
        <v>698</v>
      </c>
      <c r="J3607" s="198" t="s">
        <v>130</v>
      </c>
      <c r="K3607" s="202">
        <f t="shared" si="56"/>
        <v>1844160</v>
      </c>
      <c r="L3607" s="202">
        <v>361.6</v>
      </c>
      <c r="N3607" s="202">
        <v>385706784.95999998</v>
      </c>
      <c r="S3607" s="204"/>
      <c r="W3607" s="198" t="s">
        <v>51</v>
      </c>
      <c r="AE3607" s="198" t="s">
        <v>833</v>
      </c>
    </row>
    <row r="3608" spans="1:31" x14ac:dyDescent="0.25">
      <c r="C3608" s="201"/>
      <c r="E3608" s="201"/>
      <c r="F3608" s="201"/>
      <c r="I3608" s="198" t="s">
        <v>698</v>
      </c>
      <c r="J3608" s="198" t="s">
        <v>130</v>
      </c>
      <c r="K3608" s="202">
        <f t="shared" si="56"/>
        <v>1844670</v>
      </c>
      <c r="L3608" s="202">
        <v>361.7</v>
      </c>
      <c r="N3608" s="202">
        <v>385706784.95999998</v>
      </c>
      <c r="S3608" s="204"/>
      <c r="W3608" s="198" t="s">
        <v>51</v>
      </c>
      <c r="AE3608" s="198" t="s">
        <v>833</v>
      </c>
    </row>
    <row r="3609" spans="1:31" x14ac:dyDescent="0.25">
      <c r="A3609" s="205"/>
      <c r="B3609" s="205"/>
      <c r="C3609" s="206"/>
      <c r="D3609" s="205"/>
      <c r="E3609" s="206"/>
      <c r="F3609" s="206"/>
      <c r="G3609" s="205"/>
      <c r="H3609" s="205"/>
      <c r="I3609" s="205" t="s">
        <v>54</v>
      </c>
      <c r="J3609" s="205" t="s">
        <v>54</v>
      </c>
      <c r="K3609" s="208"/>
      <c r="L3609" s="202">
        <v>361.8</v>
      </c>
      <c r="M3609" s="205"/>
      <c r="N3609" s="207">
        <v>21146799086.990002</v>
      </c>
      <c r="O3609" s="205"/>
      <c r="P3609" s="205"/>
      <c r="Q3609" s="205"/>
      <c r="R3609" s="205"/>
      <c r="S3609" s="208"/>
      <c r="T3609" s="205" t="s">
        <v>54</v>
      </c>
      <c r="U3609" s="205" t="s">
        <v>54</v>
      </c>
      <c r="V3609" s="205" t="s">
        <v>54</v>
      </c>
      <c r="W3609" s="205" t="s">
        <v>54</v>
      </c>
      <c r="X3609" s="205"/>
      <c r="Y3609" s="205"/>
      <c r="Z3609" s="205"/>
      <c r="AA3609" s="205"/>
      <c r="AB3609" s="205"/>
      <c r="AC3609" s="205"/>
      <c r="AD3609" s="205"/>
      <c r="AE3609" s="205" t="s">
        <v>54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C456-2364-46B8-A9F1-13B230AC5520}">
  <dimension ref="A1:AW1802"/>
  <sheetViews>
    <sheetView topLeftCell="G990" workbookViewId="0">
      <selection activeCell="I468" sqref="I468:I1799"/>
    </sheetView>
    <sheetView workbookViewId="1"/>
  </sheetViews>
  <sheetFormatPr defaultRowHeight="13.5" outlineLevelRow="2" x14ac:dyDescent="0.25"/>
  <cols>
    <col min="1" max="1" width="10.88671875" style="198" bestFit="1" customWidth="1"/>
    <col min="2" max="2" width="14" style="198" bestFit="1" customWidth="1"/>
    <col min="3" max="3" width="11.6640625" style="198" bestFit="1" customWidth="1"/>
    <col min="4" max="4" width="15.5546875" style="198" bestFit="1" customWidth="1"/>
    <col min="5" max="5" width="24.109375" style="198" bestFit="1" customWidth="1"/>
    <col min="6" max="6" width="4.6640625" style="198" bestFit="1" customWidth="1"/>
    <col min="7" max="7" width="32.6640625" style="198" bestFit="1" customWidth="1"/>
    <col min="8" max="8" width="15.5546875" style="198" bestFit="1" customWidth="1"/>
    <col min="9" max="9" width="13.21875" style="198" bestFit="1" customWidth="1"/>
    <col min="10" max="10" width="13.21875" style="198" customWidth="1"/>
    <col min="11" max="11" width="16.33203125" style="198" bestFit="1" customWidth="1"/>
    <col min="12" max="12" width="11.6640625" style="198" bestFit="1" customWidth="1"/>
    <col min="13" max="13" width="13.21875" style="198" bestFit="1" customWidth="1"/>
    <col min="14" max="14" width="12.44140625" style="198" bestFit="1" customWidth="1"/>
    <col min="15" max="15" width="10.88671875" style="198" bestFit="1" customWidth="1"/>
    <col min="16" max="16" width="12.44140625" style="198" bestFit="1" customWidth="1"/>
    <col min="17" max="17" width="8.5546875" style="198" bestFit="1" customWidth="1"/>
    <col min="18" max="18" width="29.5546875" style="198" bestFit="1" customWidth="1"/>
    <col min="19" max="19" width="15.5546875" style="198" bestFit="1" customWidth="1"/>
    <col min="20" max="20" width="7.77734375" style="198" bestFit="1" customWidth="1"/>
    <col min="21" max="21" width="9.33203125" style="198" bestFit="1" customWidth="1"/>
    <col min="22" max="22" width="10.109375" style="198" bestFit="1" customWidth="1"/>
    <col min="23" max="24" width="10.88671875" style="198" bestFit="1" customWidth="1"/>
    <col min="25" max="25" width="17.109375" style="198" bestFit="1" customWidth="1"/>
    <col min="26" max="26" width="10.109375" style="198" bestFit="1" customWidth="1"/>
    <col min="27" max="27" width="7.77734375" style="198" bestFit="1" customWidth="1"/>
    <col min="28" max="28" width="11.6640625" style="198" bestFit="1" customWidth="1"/>
    <col min="29" max="29" width="10.109375" style="198" bestFit="1" customWidth="1"/>
    <col min="30" max="30" width="6.21875" style="198" bestFit="1" customWidth="1"/>
    <col min="31" max="31" width="9.33203125" style="198" bestFit="1" customWidth="1"/>
    <col min="32" max="32" width="32.6640625" style="198" bestFit="1" customWidth="1"/>
    <col min="33" max="34" width="6.21875" style="198" bestFit="1" customWidth="1"/>
    <col min="35" max="35" width="7" style="198" bestFit="1" customWidth="1"/>
    <col min="36" max="36" width="4.6640625" style="198" bestFit="1" customWidth="1"/>
    <col min="37" max="37" width="8.5546875" style="198" bestFit="1" customWidth="1"/>
    <col min="38" max="39" width="10.109375" style="198" bestFit="1" customWidth="1"/>
    <col min="40" max="41" width="13.21875" style="198" bestFit="1" customWidth="1"/>
    <col min="42" max="42" width="13.109375" style="198" bestFit="1" customWidth="1"/>
    <col min="43" max="43" width="9.33203125" style="198" bestFit="1" customWidth="1"/>
    <col min="44" max="44" width="8.5546875" style="198" bestFit="1" customWidth="1"/>
    <col min="45" max="45" width="13.21875" style="198" bestFit="1" customWidth="1"/>
    <col min="46" max="46" width="15.5546875" style="198" bestFit="1" customWidth="1"/>
    <col min="47" max="47" width="9.33203125" style="198" bestFit="1" customWidth="1"/>
    <col min="48" max="48" width="7" style="198" bestFit="1" customWidth="1"/>
    <col min="49" max="49" width="4.6640625" style="198" bestFit="1" customWidth="1"/>
    <col min="50" max="16384" width="8.88671875" style="198"/>
  </cols>
  <sheetData>
    <row r="1" spans="1:49" ht="54" x14ac:dyDescent="0.25">
      <c r="A1" s="199" t="s">
        <v>0</v>
      </c>
      <c r="B1" s="200" t="s">
        <v>1</v>
      </c>
      <c r="C1" s="199" t="s">
        <v>2</v>
      </c>
      <c r="D1" s="199" t="s">
        <v>3</v>
      </c>
      <c r="E1" s="199" t="s">
        <v>4</v>
      </c>
      <c r="F1" s="200" t="s">
        <v>5</v>
      </c>
      <c r="G1" s="199" t="s">
        <v>6</v>
      </c>
      <c r="H1" s="199" t="s">
        <v>7</v>
      </c>
      <c r="I1" s="199" t="s">
        <v>11</v>
      </c>
      <c r="J1" s="199"/>
      <c r="K1" s="199" t="s">
        <v>8</v>
      </c>
      <c r="L1" s="199" t="s">
        <v>10</v>
      </c>
      <c r="M1" s="199" t="s">
        <v>9</v>
      </c>
      <c r="N1" s="199" t="s">
        <v>12</v>
      </c>
      <c r="O1" s="200" t="s">
        <v>13</v>
      </c>
      <c r="P1" s="199" t="s">
        <v>14</v>
      </c>
      <c r="Q1" s="200" t="s">
        <v>15</v>
      </c>
      <c r="R1" s="199" t="s">
        <v>16</v>
      </c>
      <c r="S1" s="199" t="s">
        <v>17</v>
      </c>
      <c r="T1" s="199" t="s">
        <v>18</v>
      </c>
      <c r="U1" s="199" t="s">
        <v>19</v>
      </c>
      <c r="V1" s="200" t="s">
        <v>20</v>
      </c>
      <c r="W1" s="200" t="s">
        <v>21</v>
      </c>
      <c r="X1" s="199" t="s">
        <v>22</v>
      </c>
      <c r="Y1" s="199" t="s">
        <v>23</v>
      </c>
      <c r="Z1" s="199" t="s">
        <v>24</v>
      </c>
      <c r="AA1" s="200" t="s">
        <v>25</v>
      </c>
      <c r="AB1" s="199" t="s">
        <v>26</v>
      </c>
      <c r="AC1" s="199" t="s">
        <v>27</v>
      </c>
      <c r="AD1" s="199" t="s">
        <v>28</v>
      </c>
      <c r="AE1" s="199" t="s">
        <v>29</v>
      </c>
      <c r="AF1" s="199" t="s">
        <v>30</v>
      </c>
      <c r="AG1" s="199" t="s">
        <v>31</v>
      </c>
      <c r="AH1" s="200" t="s">
        <v>32</v>
      </c>
      <c r="AI1" s="200" t="s">
        <v>33</v>
      </c>
      <c r="AJ1" s="200" t="s">
        <v>34</v>
      </c>
      <c r="AK1" s="200" t="s">
        <v>35</v>
      </c>
      <c r="AL1" s="199" t="s">
        <v>36</v>
      </c>
      <c r="AM1" s="199" t="s">
        <v>36</v>
      </c>
      <c r="AN1" s="199" t="s">
        <v>37</v>
      </c>
      <c r="AO1" s="199" t="s">
        <v>38</v>
      </c>
      <c r="AP1" s="199" t="s">
        <v>39</v>
      </c>
      <c r="AQ1" s="200" t="s">
        <v>40</v>
      </c>
      <c r="AR1" s="200" t="s">
        <v>41</v>
      </c>
      <c r="AS1" s="199" t="s">
        <v>42</v>
      </c>
      <c r="AT1" s="199" t="s">
        <v>43</v>
      </c>
      <c r="AU1" s="199" t="s">
        <v>44</v>
      </c>
      <c r="AV1" s="199" t="s">
        <v>45</v>
      </c>
      <c r="AW1" s="200" t="s">
        <v>46</v>
      </c>
    </row>
    <row r="2" spans="1:49" outlineLevel="2" x14ac:dyDescent="0.25">
      <c r="C2" s="201"/>
      <c r="D2" s="198" t="s">
        <v>178</v>
      </c>
      <c r="H2" s="198" t="s">
        <v>178</v>
      </c>
      <c r="I2" s="202">
        <f>J2*4129564.5</f>
        <v>4542520.95</v>
      </c>
      <c r="J2" s="202">
        <v>1.1000000000000001</v>
      </c>
      <c r="L2" s="204">
        <v>96</v>
      </c>
      <c r="M2" s="202">
        <v>8208000</v>
      </c>
      <c r="N2" s="203"/>
      <c r="P2" s="202"/>
      <c r="Z2" s="201"/>
      <c r="AN2" s="202">
        <v>8208000</v>
      </c>
      <c r="AO2" s="202">
        <v>8208000</v>
      </c>
      <c r="AP2" s="202">
        <v>8208000</v>
      </c>
      <c r="AQ2" s="198" t="s">
        <v>54</v>
      </c>
      <c r="AR2" s="198" t="s">
        <v>51</v>
      </c>
      <c r="AS2" s="202">
        <v>4129564.5</v>
      </c>
      <c r="AT2" s="202">
        <v>4129564.5</v>
      </c>
      <c r="AU2" s="198" t="s">
        <v>69</v>
      </c>
      <c r="AV2" s="198" t="s">
        <v>62</v>
      </c>
      <c r="AW2" s="198" t="s">
        <v>54</v>
      </c>
    </row>
    <row r="3" spans="1:49" outlineLevel="2" x14ac:dyDescent="0.25">
      <c r="C3" s="201"/>
      <c r="D3" s="198" t="s">
        <v>178</v>
      </c>
      <c r="H3" s="198" t="s">
        <v>178</v>
      </c>
      <c r="I3" s="202">
        <f t="shared" ref="I3:I66" si="0">J3*4129564.5</f>
        <v>4955477.3999999994</v>
      </c>
      <c r="J3" s="202">
        <v>1.2</v>
      </c>
      <c r="L3" s="203">
        <v>12.96</v>
      </c>
      <c r="M3" s="202">
        <v>1360800</v>
      </c>
      <c r="N3" s="203"/>
      <c r="P3" s="202"/>
      <c r="Z3" s="201"/>
      <c r="AN3" s="202">
        <v>1360800</v>
      </c>
      <c r="AO3" s="202">
        <v>1360800</v>
      </c>
      <c r="AP3" s="202">
        <v>1360800</v>
      </c>
      <c r="AQ3" s="198" t="s">
        <v>54</v>
      </c>
      <c r="AR3" s="198" t="s">
        <v>51</v>
      </c>
      <c r="AS3" s="202">
        <v>765345</v>
      </c>
      <c r="AT3" s="202">
        <v>765345</v>
      </c>
      <c r="AU3" s="198" t="s">
        <v>69</v>
      </c>
      <c r="AV3" s="198" t="s">
        <v>62</v>
      </c>
      <c r="AW3" s="198" t="s">
        <v>54</v>
      </c>
    </row>
    <row r="4" spans="1:49" outlineLevel="2" x14ac:dyDescent="0.25">
      <c r="C4" s="201"/>
      <c r="D4" s="198" t="s">
        <v>178</v>
      </c>
      <c r="H4" s="198" t="s">
        <v>178</v>
      </c>
      <c r="I4" s="202">
        <f t="shared" si="0"/>
        <v>5368433.8500000006</v>
      </c>
      <c r="J4" s="202">
        <v>1.3</v>
      </c>
      <c r="L4" s="203">
        <v>9.6</v>
      </c>
      <c r="M4" s="202">
        <v>1728000</v>
      </c>
      <c r="N4" s="203"/>
      <c r="P4" s="202"/>
      <c r="Z4" s="201"/>
      <c r="AN4" s="202">
        <v>1728000</v>
      </c>
      <c r="AO4" s="202">
        <v>1728000</v>
      </c>
      <c r="AP4" s="202">
        <v>1728000</v>
      </c>
      <c r="AQ4" s="198" t="s">
        <v>54</v>
      </c>
      <c r="AR4" s="198" t="s">
        <v>51</v>
      </c>
      <c r="AS4" s="202">
        <v>521820</v>
      </c>
      <c r="AT4" s="202">
        <v>521820</v>
      </c>
      <c r="AU4" s="198" t="s">
        <v>69</v>
      </c>
      <c r="AV4" s="198" t="s">
        <v>62</v>
      </c>
      <c r="AW4" s="198" t="s">
        <v>54</v>
      </c>
    </row>
    <row r="5" spans="1:49" outlineLevel="2" x14ac:dyDescent="0.25">
      <c r="C5" s="201"/>
      <c r="D5" s="198" t="s">
        <v>178</v>
      </c>
      <c r="H5" s="198" t="s">
        <v>178</v>
      </c>
      <c r="I5" s="202">
        <f t="shared" si="0"/>
        <v>5781390.2999999998</v>
      </c>
      <c r="J5" s="202">
        <v>1.4</v>
      </c>
      <c r="L5" s="203">
        <v>10971.36</v>
      </c>
      <c r="M5" s="202">
        <v>8886801.5999999996</v>
      </c>
      <c r="N5" s="203"/>
      <c r="P5" s="202"/>
      <c r="Z5" s="201"/>
      <c r="AN5" s="202">
        <v>8886801.5999999996</v>
      </c>
      <c r="AO5" s="202">
        <v>8886801.5999999996</v>
      </c>
      <c r="AP5" s="202">
        <v>8886801.5999999996</v>
      </c>
      <c r="AQ5" s="198" t="s">
        <v>54</v>
      </c>
      <c r="AR5" s="198" t="s">
        <v>51</v>
      </c>
      <c r="AS5" s="202">
        <v>61041.599999999999</v>
      </c>
      <c r="AT5" s="202">
        <v>61041.599999999999</v>
      </c>
      <c r="AU5" s="198" t="s">
        <v>69</v>
      </c>
      <c r="AV5" s="198" t="s">
        <v>62</v>
      </c>
      <c r="AW5" s="198" t="s">
        <v>54</v>
      </c>
    </row>
    <row r="6" spans="1:49" outlineLevel="2" x14ac:dyDescent="0.25">
      <c r="C6" s="201"/>
      <c r="D6" s="198" t="s">
        <v>178</v>
      </c>
      <c r="H6" s="198" t="s">
        <v>178</v>
      </c>
      <c r="I6" s="202">
        <f t="shared" si="0"/>
        <v>6194346.75</v>
      </c>
      <c r="J6" s="202">
        <v>1.5</v>
      </c>
      <c r="L6" s="203">
        <v>43.2</v>
      </c>
      <c r="M6" s="202">
        <v>5832000</v>
      </c>
      <c r="N6" s="203"/>
      <c r="P6" s="202"/>
      <c r="Z6" s="201"/>
      <c r="AN6" s="202">
        <v>5832000</v>
      </c>
      <c r="AO6" s="202">
        <v>5832000</v>
      </c>
      <c r="AP6" s="202">
        <v>5832000</v>
      </c>
      <c r="AQ6" s="198" t="s">
        <v>54</v>
      </c>
      <c r="AR6" s="198" t="s">
        <v>51</v>
      </c>
      <c r="AS6" s="202">
        <v>3720195</v>
      </c>
      <c r="AT6" s="202">
        <v>3720195</v>
      </c>
      <c r="AU6" s="198" t="s">
        <v>69</v>
      </c>
      <c r="AV6" s="198" t="s">
        <v>62</v>
      </c>
      <c r="AW6" s="198" t="s">
        <v>54</v>
      </c>
    </row>
    <row r="7" spans="1:49" outlineLevel="2" x14ac:dyDescent="0.25">
      <c r="C7" s="201"/>
      <c r="D7" s="198" t="s">
        <v>183</v>
      </c>
      <c r="H7" s="198" t="s">
        <v>183</v>
      </c>
      <c r="I7" s="202">
        <f t="shared" si="0"/>
        <v>6607303.2000000002</v>
      </c>
      <c r="J7" s="202">
        <v>1.6</v>
      </c>
      <c r="L7" s="204">
        <v>8</v>
      </c>
      <c r="M7" s="202">
        <v>788000</v>
      </c>
      <c r="N7" s="204"/>
      <c r="P7" s="202"/>
      <c r="Z7" s="201"/>
      <c r="AN7" s="202">
        <v>788000</v>
      </c>
      <c r="AO7" s="202">
        <v>788000</v>
      </c>
      <c r="AP7" s="202">
        <v>788000</v>
      </c>
      <c r="AQ7" s="198" t="s">
        <v>54</v>
      </c>
      <c r="AR7" s="198" t="s">
        <v>51</v>
      </c>
      <c r="AS7" s="202">
        <v>788000</v>
      </c>
      <c r="AT7" s="202">
        <v>788000</v>
      </c>
      <c r="AU7" s="198" t="s">
        <v>69</v>
      </c>
      <c r="AV7" s="198" t="s">
        <v>62</v>
      </c>
      <c r="AW7" s="198" t="s">
        <v>54</v>
      </c>
    </row>
    <row r="8" spans="1:49" outlineLevel="2" x14ac:dyDescent="0.25">
      <c r="C8" s="201"/>
      <c r="D8" s="198" t="s">
        <v>183</v>
      </c>
      <c r="H8" s="198" t="s">
        <v>183</v>
      </c>
      <c r="I8" s="202">
        <f t="shared" si="0"/>
        <v>7020259.6499999994</v>
      </c>
      <c r="J8" s="202">
        <v>1.7</v>
      </c>
      <c r="L8" s="204">
        <v>90</v>
      </c>
      <c r="M8" s="202">
        <v>82800</v>
      </c>
      <c r="N8" s="203"/>
      <c r="P8" s="202"/>
      <c r="Z8" s="201"/>
      <c r="AN8" s="202">
        <v>82800</v>
      </c>
      <c r="AO8" s="202">
        <v>82800</v>
      </c>
      <c r="AP8" s="202">
        <v>82800</v>
      </c>
      <c r="AQ8" s="198" t="s">
        <v>54</v>
      </c>
      <c r="AR8" s="198" t="s">
        <v>51</v>
      </c>
      <c r="AS8" s="202">
        <v>78604.800000000003</v>
      </c>
      <c r="AT8" s="202">
        <v>78604.800000000003</v>
      </c>
      <c r="AU8" s="198" t="s">
        <v>69</v>
      </c>
      <c r="AV8" s="198" t="s">
        <v>62</v>
      </c>
      <c r="AW8" s="198" t="s">
        <v>54</v>
      </c>
    </row>
    <row r="9" spans="1:49" outlineLevel="2" x14ac:dyDescent="0.25">
      <c r="C9" s="201"/>
      <c r="D9" s="198" t="s">
        <v>183</v>
      </c>
      <c r="H9" s="198" t="s">
        <v>183</v>
      </c>
      <c r="I9" s="202">
        <f t="shared" si="0"/>
        <v>7433216.1000000006</v>
      </c>
      <c r="J9" s="202">
        <v>1.8</v>
      </c>
      <c r="L9" s="204">
        <v>225</v>
      </c>
      <c r="M9" s="202">
        <v>191250</v>
      </c>
      <c r="N9" s="203"/>
      <c r="P9" s="202"/>
      <c r="Z9" s="201"/>
      <c r="AN9" s="202">
        <v>191250</v>
      </c>
      <c r="AO9" s="202">
        <v>191250</v>
      </c>
      <c r="AP9" s="202">
        <v>191250</v>
      </c>
      <c r="AQ9" s="198" t="s">
        <v>54</v>
      </c>
      <c r="AR9" s="198" t="s">
        <v>51</v>
      </c>
      <c r="AS9" s="202">
        <v>169830</v>
      </c>
      <c r="AT9" s="202">
        <v>169830</v>
      </c>
      <c r="AU9" s="198" t="s">
        <v>69</v>
      </c>
      <c r="AV9" s="198" t="s">
        <v>62</v>
      </c>
      <c r="AW9" s="198" t="s">
        <v>54</v>
      </c>
    </row>
    <row r="10" spans="1:49" outlineLevel="2" x14ac:dyDescent="0.25">
      <c r="C10" s="201"/>
      <c r="D10" s="198" t="s">
        <v>179</v>
      </c>
      <c r="H10" s="198" t="s">
        <v>179</v>
      </c>
      <c r="I10" s="202">
        <f t="shared" si="0"/>
        <v>7846172.5499999998</v>
      </c>
      <c r="J10" s="202">
        <v>1.9</v>
      </c>
      <c r="L10" s="204">
        <v>9</v>
      </c>
      <c r="M10" s="202">
        <v>886500</v>
      </c>
      <c r="N10" s="204"/>
      <c r="P10" s="202"/>
      <c r="Z10" s="201"/>
      <c r="AN10" s="202">
        <v>886500</v>
      </c>
      <c r="AO10" s="202">
        <v>886500</v>
      </c>
      <c r="AP10" s="202">
        <v>886500</v>
      </c>
      <c r="AQ10" s="198" t="s">
        <v>54</v>
      </c>
      <c r="AR10" s="198" t="s">
        <v>51</v>
      </c>
      <c r="AS10" s="202">
        <v>886500</v>
      </c>
      <c r="AT10" s="202">
        <v>886500</v>
      </c>
      <c r="AU10" s="198" t="s">
        <v>69</v>
      </c>
      <c r="AV10" s="198" t="s">
        <v>62</v>
      </c>
      <c r="AW10" s="198" t="s">
        <v>54</v>
      </c>
    </row>
    <row r="11" spans="1:49" outlineLevel="2" x14ac:dyDescent="0.25">
      <c r="C11" s="201"/>
      <c r="D11" s="198" t="s">
        <v>179</v>
      </c>
      <c r="H11" s="198" t="s">
        <v>179</v>
      </c>
      <c r="I11" s="202">
        <f t="shared" si="0"/>
        <v>8259129</v>
      </c>
      <c r="J11" s="202">
        <v>2</v>
      </c>
      <c r="L11" s="204">
        <v>60</v>
      </c>
      <c r="M11" s="202">
        <v>5130000</v>
      </c>
      <c r="N11" s="203"/>
      <c r="P11" s="202"/>
      <c r="Z11" s="201"/>
      <c r="AN11" s="202">
        <v>5130000</v>
      </c>
      <c r="AO11" s="202">
        <v>5130000</v>
      </c>
      <c r="AP11" s="202">
        <v>5130000</v>
      </c>
      <c r="AQ11" s="198" t="s">
        <v>54</v>
      </c>
      <c r="AR11" s="198" t="s">
        <v>51</v>
      </c>
      <c r="AS11" s="202">
        <v>2479927.5</v>
      </c>
      <c r="AT11" s="202">
        <v>2479927.5</v>
      </c>
      <c r="AU11" s="198" t="s">
        <v>69</v>
      </c>
      <c r="AV11" s="198" t="s">
        <v>62</v>
      </c>
      <c r="AW11" s="198" t="s">
        <v>54</v>
      </c>
    </row>
    <row r="12" spans="1:49" outlineLevel="2" x14ac:dyDescent="0.25">
      <c r="C12" s="201"/>
      <c r="D12" s="198" t="s">
        <v>179</v>
      </c>
      <c r="H12" s="198" t="s">
        <v>179</v>
      </c>
      <c r="I12" s="202">
        <f t="shared" si="0"/>
        <v>8672085.4500000011</v>
      </c>
      <c r="J12" s="202">
        <v>2.1</v>
      </c>
      <c r="L12" s="203">
        <v>126.9</v>
      </c>
      <c r="M12" s="202">
        <v>12499650</v>
      </c>
      <c r="N12" s="203"/>
      <c r="P12" s="202"/>
      <c r="Z12" s="201"/>
      <c r="AN12" s="202">
        <v>12499650</v>
      </c>
      <c r="AO12" s="202">
        <v>12499650</v>
      </c>
      <c r="AP12" s="202">
        <v>12499650</v>
      </c>
      <c r="AQ12" s="198" t="s">
        <v>54</v>
      </c>
      <c r="AR12" s="198" t="s">
        <v>51</v>
      </c>
      <c r="AS12" s="202">
        <v>716095</v>
      </c>
      <c r="AT12" s="202">
        <v>716095</v>
      </c>
      <c r="AU12" s="198" t="s">
        <v>69</v>
      </c>
      <c r="AV12" s="198" t="s">
        <v>62</v>
      </c>
      <c r="AW12" s="198" t="s">
        <v>54</v>
      </c>
    </row>
    <row r="13" spans="1:49" outlineLevel="2" x14ac:dyDescent="0.25">
      <c r="C13" s="201"/>
      <c r="D13" s="198" t="s">
        <v>179</v>
      </c>
      <c r="H13" s="198" t="s">
        <v>179</v>
      </c>
      <c r="I13" s="202">
        <f t="shared" si="0"/>
        <v>9085041.9000000004</v>
      </c>
      <c r="J13" s="202">
        <v>2.2000000000000002</v>
      </c>
      <c r="L13" s="203">
        <v>8.1</v>
      </c>
      <c r="M13" s="202">
        <v>850500</v>
      </c>
      <c r="N13" s="203"/>
      <c r="P13" s="202"/>
      <c r="Z13" s="201"/>
      <c r="AN13" s="202">
        <v>850500</v>
      </c>
      <c r="AO13" s="202">
        <v>850500</v>
      </c>
      <c r="AP13" s="202">
        <v>850500</v>
      </c>
      <c r="AQ13" s="198" t="s">
        <v>54</v>
      </c>
      <c r="AR13" s="198" t="s">
        <v>51</v>
      </c>
      <c r="AS13" s="202">
        <v>314790</v>
      </c>
      <c r="AT13" s="202">
        <v>314790</v>
      </c>
      <c r="AU13" s="198" t="s">
        <v>69</v>
      </c>
      <c r="AV13" s="198" t="s">
        <v>62</v>
      </c>
      <c r="AW13" s="198" t="s">
        <v>54</v>
      </c>
    </row>
    <row r="14" spans="1:49" outlineLevel="2" x14ac:dyDescent="0.25">
      <c r="C14" s="201"/>
      <c r="D14" s="198" t="s">
        <v>179</v>
      </c>
      <c r="H14" s="198" t="s">
        <v>179</v>
      </c>
      <c r="I14" s="202">
        <f t="shared" si="0"/>
        <v>9497998.3499999996</v>
      </c>
      <c r="J14" s="202">
        <v>2.2999999999999998</v>
      </c>
      <c r="L14" s="204">
        <v>6</v>
      </c>
      <c r="M14" s="202">
        <v>1080000</v>
      </c>
      <c r="N14" s="203"/>
      <c r="P14" s="202"/>
      <c r="Z14" s="201"/>
      <c r="AN14" s="202">
        <v>1080000</v>
      </c>
      <c r="AO14" s="202">
        <v>1080000</v>
      </c>
      <c r="AP14" s="202">
        <v>1080000</v>
      </c>
      <c r="AQ14" s="198" t="s">
        <v>54</v>
      </c>
      <c r="AR14" s="198" t="s">
        <v>51</v>
      </c>
      <c r="AS14" s="202">
        <v>326160</v>
      </c>
      <c r="AT14" s="202">
        <v>326160</v>
      </c>
      <c r="AU14" s="198" t="s">
        <v>69</v>
      </c>
      <c r="AV14" s="198" t="s">
        <v>62</v>
      </c>
      <c r="AW14" s="198" t="s">
        <v>54</v>
      </c>
    </row>
    <row r="15" spans="1:49" outlineLevel="2" x14ac:dyDescent="0.25">
      <c r="C15" s="201"/>
      <c r="D15" s="198" t="s">
        <v>179</v>
      </c>
      <c r="H15" s="198" t="s">
        <v>179</v>
      </c>
      <c r="I15" s="202">
        <f t="shared" si="0"/>
        <v>9910954.7999999989</v>
      </c>
      <c r="J15" s="202">
        <v>2.4</v>
      </c>
      <c r="L15" s="203">
        <v>6857.1</v>
      </c>
      <c r="M15" s="202">
        <v>5554251</v>
      </c>
      <c r="N15" s="203"/>
      <c r="P15" s="202"/>
      <c r="Z15" s="201"/>
      <c r="AN15" s="202">
        <v>5554251</v>
      </c>
      <c r="AO15" s="202">
        <v>5554251</v>
      </c>
      <c r="AP15" s="202">
        <v>5554251</v>
      </c>
      <c r="AQ15" s="198" t="s">
        <v>54</v>
      </c>
      <c r="AR15" s="198" t="s">
        <v>51</v>
      </c>
      <c r="AS15" s="202">
        <v>38151</v>
      </c>
      <c r="AT15" s="202">
        <v>38151</v>
      </c>
      <c r="AU15" s="198" t="s">
        <v>69</v>
      </c>
      <c r="AV15" s="198" t="s">
        <v>62</v>
      </c>
      <c r="AW15" s="198" t="s">
        <v>54</v>
      </c>
    </row>
    <row r="16" spans="1:49" outlineLevel="2" x14ac:dyDescent="0.25">
      <c r="C16" s="201"/>
      <c r="D16" s="198" t="s">
        <v>179</v>
      </c>
      <c r="H16" s="198" t="s">
        <v>179</v>
      </c>
      <c r="I16" s="202">
        <f t="shared" si="0"/>
        <v>10323911.25</v>
      </c>
      <c r="J16" s="202">
        <v>2.5</v>
      </c>
      <c r="L16" s="204">
        <v>27</v>
      </c>
      <c r="M16" s="202">
        <v>3510000</v>
      </c>
      <c r="N16" s="203"/>
      <c r="P16" s="202"/>
      <c r="Z16" s="201"/>
      <c r="AN16" s="202">
        <v>3510000</v>
      </c>
      <c r="AO16" s="202">
        <v>3510000</v>
      </c>
      <c r="AP16" s="202">
        <v>3510000</v>
      </c>
      <c r="AQ16" s="198" t="s">
        <v>54</v>
      </c>
      <c r="AR16" s="198" t="s">
        <v>51</v>
      </c>
      <c r="AS16" s="202">
        <v>2238990</v>
      </c>
      <c r="AT16" s="202">
        <v>2238990</v>
      </c>
      <c r="AU16" s="198" t="s">
        <v>69</v>
      </c>
      <c r="AV16" s="198" t="s">
        <v>62</v>
      </c>
      <c r="AW16" s="198" t="s">
        <v>54</v>
      </c>
    </row>
    <row r="17" spans="3:49" outlineLevel="2" x14ac:dyDescent="0.25">
      <c r="C17" s="201"/>
      <c r="D17" s="198" t="s">
        <v>188</v>
      </c>
      <c r="H17" s="198" t="s">
        <v>188</v>
      </c>
      <c r="I17" s="202">
        <f t="shared" si="0"/>
        <v>10736867.700000001</v>
      </c>
      <c r="J17" s="202">
        <v>2.6</v>
      </c>
      <c r="L17" s="203">
        <v>14.4</v>
      </c>
      <c r="M17" s="202">
        <v>1418400</v>
      </c>
      <c r="N17" s="203"/>
      <c r="P17" s="202"/>
      <c r="Z17" s="201"/>
      <c r="AN17" s="202">
        <v>1418400</v>
      </c>
      <c r="AO17" s="202">
        <v>1418400</v>
      </c>
      <c r="AP17" s="202">
        <v>1418400</v>
      </c>
      <c r="AQ17" s="198" t="s">
        <v>54</v>
      </c>
      <c r="AR17" s="198" t="s">
        <v>51</v>
      </c>
      <c r="AS17" s="202">
        <v>1418400</v>
      </c>
      <c r="AT17" s="202">
        <v>1418400</v>
      </c>
      <c r="AU17" s="198" t="s">
        <v>69</v>
      </c>
      <c r="AV17" s="198" t="s">
        <v>62</v>
      </c>
      <c r="AW17" s="198" t="s">
        <v>54</v>
      </c>
    </row>
    <row r="18" spans="3:49" outlineLevel="2" x14ac:dyDescent="0.25">
      <c r="C18" s="201"/>
      <c r="D18" s="198" t="s">
        <v>188</v>
      </c>
      <c r="H18" s="198" t="s">
        <v>188</v>
      </c>
      <c r="I18" s="202">
        <f t="shared" si="0"/>
        <v>11149824.15</v>
      </c>
      <c r="J18" s="202">
        <v>2.7</v>
      </c>
      <c r="L18" s="204">
        <v>9</v>
      </c>
      <c r="M18" s="202">
        <v>769500</v>
      </c>
      <c r="N18" s="203"/>
      <c r="P18" s="202"/>
      <c r="Z18" s="201"/>
      <c r="AN18" s="202">
        <v>769500</v>
      </c>
      <c r="AO18" s="202">
        <v>769500</v>
      </c>
      <c r="AP18" s="202">
        <v>769500</v>
      </c>
      <c r="AQ18" s="198" t="s">
        <v>54</v>
      </c>
      <c r="AR18" s="198" t="s">
        <v>51</v>
      </c>
      <c r="AS18" s="202">
        <v>387486</v>
      </c>
      <c r="AT18" s="202">
        <v>387486</v>
      </c>
      <c r="AU18" s="198" t="s">
        <v>69</v>
      </c>
      <c r="AV18" s="198" t="s">
        <v>62</v>
      </c>
      <c r="AW18" s="198" t="s">
        <v>54</v>
      </c>
    </row>
    <row r="19" spans="3:49" outlineLevel="2" x14ac:dyDescent="0.25">
      <c r="C19" s="201"/>
      <c r="D19" s="198" t="s">
        <v>188</v>
      </c>
      <c r="H19" s="198" t="s">
        <v>188</v>
      </c>
      <c r="I19" s="202">
        <f t="shared" si="0"/>
        <v>11562780.6</v>
      </c>
      <c r="J19" s="202">
        <v>2.8</v>
      </c>
      <c r="L19" s="203">
        <v>3.6</v>
      </c>
      <c r="M19" s="202">
        <v>354600</v>
      </c>
      <c r="N19" s="203"/>
      <c r="P19" s="202"/>
      <c r="Z19" s="201"/>
      <c r="AN19" s="202">
        <v>354600</v>
      </c>
      <c r="AO19" s="202">
        <v>354600</v>
      </c>
      <c r="AP19" s="202">
        <v>354600</v>
      </c>
      <c r="AQ19" s="198" t="s">
        <v>54</v>
      </c>
      <c r="AR19" s="198" t="s">
        <v>51</v>
      </c>
      <c r="AS19" s="202">
        <v>354600</v>
      </c>
      <c r="AT19" s="202">
        <v>354600</v>
      </c>
      <c r="AU19" s="198" t="s">
        <v>69</v>
      </c>
      <c r="AV19" s="198" t="s">
        <v>62</v>
      </c>
      <c r="AW19" s="198" t="s">
        <v>54</v>
      </c>
    </row>
    <row r="20" spans="3:49" outlineLevel="2" x14ac:dyDescent="0.25">
      <c r="C20" s="201"/>
      <c r="D20" s="198" t="s">
        <v>188</v>
      </c>
      <c r="H20" s="198" t="s">
        <v>188</v>
      </c>
      <c r="I20" s="202">
        <f t="shared" si="0"/>
        <v>11975737.049999999</v>
      </c>
      <c r="J20" s="202">
        <v>2.9</v>
      </c>
      <c r="L20" s="203">
        <v>1.44</v>
      </c>
      <c r="M20" s="202">
        <v>151200</v>
      </c>
      <c r="N20" s="203"/>
      <c r="P20" s="202"/>
      <c r="Z20" s="201"/>
      <c r="AN20" s="202">
        <v>151200</v>
      </c>
      <c r="AO20" s="202">
        <v>151200</v>
      </c>
      <c r="AP20" s="202">
        <v>151200</v>
      </c>
      <c r="AQ20" s="198" t="s">
        <v>54</v>
      </c>
      <c r="AR20" s="198" t="s">
        <v>51</v>
      </c>
      <c r="AS20" s="202">
        <v>93135</v>
      </c>
      <c r="AT20" s="202">
        <v>93135</v>
      </c>
      <c r="AU20" s="198" t="s">
        <v>69</v>
      </c>
      <c r="AV20" s="198" t="s">
        <v>62</v>
      </c>
      <c r="AW20" s="198" t="s">
        <v>54</v>
      </c>
    </row>
    <row r="21" spans="3:49" outlineLevel="2" x14ac:dyDescent="0.25">
      <c r="C21" s="201"/>
      <c r="D21" s="198" t="s">
        <v>188</v>
      </c>
      <c r="H21" s="198" t="s">
        <v>188</v>
      </c>
      <c r="I21" s="202">
        <f t="shared" si="0"/>
        <v>12388693.5</v>
      </c>
      <c r="J21" s="202">
        <v>3</v>
      </c>
      <c r="L21" s="203">
        <v>1.35</v>
      </c>
      <c r="M21" s="202">
        <v>243000</v>
      </c>
      <c r="N21" s="203"/>
      <c r="P21" s="202"/>
      <c r="Z21" s="201"/>
      <c r="AN21" s="202">
        <v>243000</v>
      </c>
      <c r="AO21" s="202">
        <v>243000</v>
      </c>
      <c r="AP21" s="202">
        <v>243000</v>
      </c>
      <c r="AQ21" s="198" t="s">
        <v>54</v>
      </c>
      <c r="AR21" s="198" t="s">
        <v>51</v>
      </c>
      <c r="AS21" s="202">
        <v>243000</v>
      </c>
      <c r="AT21" s="202">
        <v>243000</v>
      </c>
      <c r="AU21" s="198" t="s">
        <v>69</v>
      </c>
      <c r="AV21" s="198" t="s">
        <v>62</v>
      </c>
      <c r="AW21" s="198" t="s">
        <v>54</v>
      </c>
    </row>
    <row r="22" spans="3:49" outlineLevel="2" x14ac:dyDescent="0.25">
      <c r="C22" s="201"/>
      <c r="D22" s="198" t="s">
        <v>188</v>
      </c>
      <c r="H22" s="198" t="s">
        <v>188</v>
      </c>
      <c r="I22" s="202">
        <f t="shared" si="0"/>
        <v>12801649.950000001</v>
      </c>
      <c r="J22" s="202">
        <v>3.1</v>
      </c>
      <c r="L22" s="204">
        <v>450</v>
      </c>
      <c r="M22" s="202">
        <v>900000</v>
      </c>
      <c r="N22" s="204"/>
      <c r="P22" s="202"/>
      <c r="Z22" s="201"/>
      <c r="AN22" s="202">
        <v>900000</v>
      </c>
      <c r="AO22" s="202">
        <v>900000</v>
      </c>
      <c r="AP22" s="202">
        <v>900000</v>
      </c>
      <c r="AQ22" s="198" t="s">
        <v>54</v>
      </c>
      <c r="AR22" s="198" t="s">
        <v>51</v>
      </c>
      <c r="AS22" s="202">
        <v>900000</v>
      </c>
      <c r="AT22" s="202">
        <v>900000</v>
      </c>
      <c r="AU22" s="198" t="s">
        <v>69</v>
      </c>
      <c r="AV22" s="198" t="s">
        <v>62</v>
      </c>
      <c r="AW22" s="198" t="s">
        <v>54</v>
      </c>
    </row>
    <row r="23" spans="3:49" outlineLevel="2" x14ac:dyDescent="0.25">
      <c r="C23" s="201"/>
      <c r="D23" s="198" t="s">
        <v>188</v>
      </c>
      <c r="H23" s="198" t="s">
        <v>188</v>
      </c>
      <c r="I23" s="202">
        <f t="shared" si="0"/>
        <v>13214606.4</v>
      </c>
      <c r="J23" s="202">
        <v>3.2</v>
      </c>
      <c r="L23" s="204">
        <v>1350</v>
      </c>
      <c r="M23" s="202">
        <v>2970000</v>
      </c>
      <c r="N23" s="204"/>
      <c r="P23" s="202"/>
      <c r="Z23" s="201"/>
      <c r="AN23" s="202">
        <v>2970000</v>
      </c>
      <c r="AO23" s="202">
        <v>2970000</v>
      </c>
      <c r="AP23" s="202">
        <v>2970000</v>
      </c>
      <c r="AQ23" s="198" t="s">
        <v>54</v>
      </c>
      <c r="AR23" s="198" t="s">
        <v>51</v>
      </c>
      <c r="AS23" s="202">
        <v>2970000</v>
      </c>
      <c r="AT23" s="202">
        <v>2970000</v>
      </c>
      <c r="AU23" s="198" t="s">
        <v>69</v>
      </c>
      <c r="AV23" s="198" t="s">
        <v>62</v>
      </c>
      <c r="AW23" s="198" t="s">
        <v>54</v>
      </c>
    </row>
    <row r="24" spans="3:49" outlineLevel="2" x14ac:dyDescent="0.25">
      <c r="C24" s="201"/>
      <c r="D24" s="198" t="s">
        <v>188</v>
      </c>
      <c r="H24" s="198" t="s">
        <v>188</v>
      </c>
      <c r="I24" s="202">
        <f t="shared" si="0"/>
        <v>13627562.85</v>
      </c>
      <c r="J24" s="202">
        <v>3.3</v>
      </c>
      <c r="L24" s="204">
        <v>225</v>
      </c>
      <c r="M24" s="202">
        <v>168750</v>
      </c>
      <c r="N24" s="204"/>
      <c r="P24" s="202"/>
      <c r="Z24" s="201"/>
      <c r="AN24" s="202">
        <v>168750</v>
      </c>
      <c r="AO24" s="202">
        <v>168750</v>
      </c>
      <c r="AP24" s="202">
        <v>168750</v>
      </c>
      <c r="AQ24" s="198" t="s">
        <v>54</v>
      </c>
      <c r="AR24" s="198" t="s">
        <v>51</v>
      </c>
      <c r="AS24" s="202">
        <v>168750</v>
      </c>
      <c r="AT24" s="202">
        <v>168750</v>
      </c>
      <c r="AU24" s="198" t="s">
        <v>69</v>
      </c>
      <c r="AV24" s="198" t="s">
        <v>62</v>
      </c>
      <c r="AW24" s="198" t="s">
        <v>54</v>
      </c>
    </row>
    <row r="25" spans="3:49" outlineLevel="2" x14ac:dyDescent="0.25">
      <c r="C25" s="201"/>
      <c r="D25" s="198" t="s">
        <v>188</v>
      </c>
      <c r="H25" s="198" t="s">
        <v>188</v>
      </c>
      <c r="I25" s="202">
        <f t="shared" si="0"/>
        <v>14040519.299999999</v>
      </c>
      <c r="J25" s="202">
        <v>3.4</v>
      </c>
      <c r="L25" s="204">
        <v>1</v>
      </c>
      <c r="M25" s="202">
        <v>0.01</v>
      </c>
      <c r="N25" s="204"/>
      <c r="P25" s="202"/>
      <c r="Z25" s="201"/>
      <c r="AN25" s="202">
        <v>0.01</v>
      </c>
      <c r="AO25" s="202">
        <v>0.01</v>
      </c>
      <c r="AP25" s="202">
        <v>0.01</v>
      </c>
      <c r="AQ25" s="198" t="s">
        <v>54</v>
      </c>
      <c r="AR25" s="198" t="s">
        <v>51</v>
      </c>
      <c r="AS25" s="202">
        <v>0.01</v>
      </c>
      <c r="AT25" s="202">
        <v>0.01</v>
      </c>
      <c r="AU25" s="198" t="s">
        <v>69</v>
      </c>
      <c r="AV25" s="198" t="s">
        <v>62</v>
      </c>
      <c r="AW25" s="198" t="s">
        <v>54</v>
      </c>
    </row>
    <row r="26" spans="3:49" outlineLevel="2" x14ac:dyDescent="0.25">
      <c r="C26" s="201"/>
      <c r="D26" s="198" t="s">
        <v>188</v>
      </c>
      <c r="H26" s="198" t="s">
        <v>188</v>
      </c>
      <c r="I26" s="202">
        <f t="shared" si="0"/>
        <v>14453475.75</v>
      </c>
      <c r="J26" s="202">
        <v>3.5</v>
      </c>
      <c r="L26" s="204">
        <v>9</v>
      </c>
      <c r="M26" s="202">
        <v>477000</v>
      </c>
      <c r="N26" s="204"/>
      <c r="P26" s="202"/>
      <c r="Z26" s="201"/>
      <c r="AN26" s="202">
        <v>477000</v>
      </c>
      <c r="AO26" s="202">
        <v>477000</v>
      </c>
      <c r="AP26" s="202">
        <v>477000</v>
      </c>
      <c r="AQ26" s="198" t="s">
        <v>54</v>
      </c>
      <c r="AR26" s="198" t="s">
        <v>51</v>
      </c>
      <c r="AS26" s="202">
        <v>477000</v>
      </c>
      <c r="AT26" s="202">
        <v>477000</v>
      </c>
      <c r="AU26" s="198" t="s">
        <v>69</v>
      </c>
      <c r="AV26" s="198" t="s">
        <v>62</v>
      </c>
      <c r="AW26" s="198" t="s">
        <v>54</v>
      </c>
    </row>
    <row r="27" spans="3:49" outlineLevel="2" x14ac:dyDescent="0.25">
      <c r="C27" s="201"/>
      <c r="D27" s="198" t="s">
        <v>188</v>
      </c>
      <c r="H27" s="198" t="s">
        <v>188</v>
      </c>
      <c r="I27" s="202">
        <f t="shared" si="0"/>
        <v>14866432.200000001</v>
      </c>
      <c r="J27" s="202">
        <v>3.6</v>
      </c>
      <c r="L27" s="203">
        <v>20.25</v>
      </c>
      <c r="M27" s="202">
        <v>131625</v>
      </c>
      <c r="N27" s="203"/>
      <c r="P27" s="202"/>
      <c r="Z27" s="201"/>
      <c r="AN27" s="202">
        <v>131625</v>
      </c>
      <c r="AO27" s="202">
        <v>131625</v>
      </c>
      <c r="AP27" s="202">
        <v>131625</v>
      </c>
      <c r="AQ27" s="198" t="s">
        <v>54</v>
      </c>
      <c r="AR27" s="198" t="s">
        <v>51</v>
      </c>
      <c r="AS27" s="202">
        <v>131625</v>
      </c>
      <c r="AT27" s="202">
        <v>131625</v>
      </c>
      <c r="AU27" s="198" t="s">
        <v>69</v>
      </c>
      <c r="AV27" s="198" t="s">
        <v>62</v>
      </c>
      <c r="AW27" s="198" t="s">
        <v>54</v>
      </c>
    </row>
    <row r="28" spans="3:49" outlineLevel="2" x14ac:dyDescent="0.25">
      <c r="C28" s="201"/>
      <c r="D28" s="198" t="s">
        <v>188</v>
      </c>
      <c r="H28" s="198" t="s">
        <v>188</v>
      </c>
      <c r="I28" s="202">
        <f t="shared" si="0"/>
        <v>15279388.65</v>
      </c>
      <c r="J28" s="202">
        <v>3.7</v>
      </c>
      <c r="L28" s="204">
        <v>162</v>
      </c>
      <c r="M28" s="202">
        <v>149040</v>
      </c>
      <c r="N28" s="204"/>
      <c r="P28" s="202"/>
      <c r="Z28" s="201"/>
      <c r="AN28" s="202">
        <v>149040</v>
      </c>
      <c r="AO28" s="202">
        <v>149040</v>
      </c>
      <c r="AP28" s="202">
        <v>149040</v>
      </c>
      <c r="AQ28" s="198" t="s">
        <v>54</v>
      </c>
      <c r="AR28" s="198" t="s">
        <v>51</v>
      </c>
      <c r="AS28" s="202">
        <v>149040</v>
      </c>
      <c r="AT28" s="202">
        <v>149040</v>
      </c>
      <c r="AU28" s="198" t="s">
        <v>69</v>
      </c>
      <c r="AV28" s="198" t="s">
        <v>62</v>
      </c>
      <c r="AW28" s="198" t="s">
        <v>54</v>
      </c>
    </row>
    <row r="29" spans="3:49" outlineLevel="2" x14ac:dyDescent="0.25">
      <c r="C29" s="201"/>
      <c r="D29" s="198" t="s">
        <v>188</v>
      </c>
      <c r="H29" s="198" t="s">
        <v>188</v>
      </c>
      <c r="I29" s="202">
        <f t="shared" si="0"/>
        <v>15692345.1</v>
      </c>
      <c r="J29" s="202">
        <v>3.8</v>
      </c>
      <c r="L29" s="204">
        <v>405</v>
      </c>
      <c r="M29" s="202">
        <v>344250</v>
      </c>
      <c r="N29" s="204"/>
      <c r="P29" s="202"/>
      <c r="Z29" s="201"/>
      <c r="AN29" s="202">
        <v>344250</v>
      </c>
      <c r="AO29" s="202">
        <v>344250</v>
      </c>
      <c r="AP29" s="202">
        <v>344250</v>
      </c>
      <c r="AQ29" s="198" t="s">
        <v>54</v>
      </c>
      <c r="AR29" s="198" t="s">
        <v>51</v>
      </c>
      <c r="AS29" s="202">
        <v>344250</v>
      </c>
      <c r="AT29" s="202">
        <v>344250</v>
      </c>
      <c r="AU29" s="198" t="s">
        <v>69</v>
      </c>
      <c r="AV29" s="198" t="s">
        <v>62</v>
      </c>
      <c r="AW29" s="198" t="s">
        <v>54</v>
      </c>
    </row>
    <row r="30" spans="3:49" outlineLevel="2" x14ac:dyDescent="0.25">
      <c r="C30" s="201"/>
      <c r="D30" s="198" t="s">
        <v>188</v>
      </c>
      <c r="H30" s="198" t="s">
        <v>188</v>
      </c>
      <c r="I30" s="202">
        <f t="shared" si="0"/>
        <v>16105301.549999999</v>
      </c>
      <c r="J30" s="202">
        <v>3.9</v>
      </c>
      <c r="L30" s="203">
        <v>0.9</v>
      </c>
      <c r="M30" s="202">
        <v>117000</v>
      </c>
      <c r="N30" s="203"/>
      <c r="P30" s="202"/>
      <c r="Z30" s="201"/>
      <c r="AN30" s="202">
        <v>117000</v>
      </c>
      <c r="AO30" s="202">
        <v>117000</v>
      </c>
      <c r="AP30" s="202">
        <v>117000</v>
      </c>
      <c r="AQ30" s="198" t="s">
        <v>54</v>
      </c>
      <c r="AR30" s="198" t="s">
        <v>51</v>
      </c>
      <c r="AS30" s="202">
        <v>117000</v>
      </c>
      <c r="AT30" s="202">
        <v>117000</v>
      </c>
      <c r="AU30" s="198" t="s">
        <v>69</v>
      </c>
      <c r="AV30" s="198" t="s">
        <v>62</v>
      </c>
      <c r="AW30" s="198" t="s">
        <v>54</v>
      </c>
    </row>
    <row r="31" spans="3:49" outlineLevel="2" x14ac:dyDescent="0.25">
      <c r="C31" s="201"/>
      <c r="D31" s="198" t="s">
        <v>48</v>
      </c>
      <c r="H31" s="198" t="s">
        <v>48</v>
      </c>
      <c r="I31" s="202">
        <f t="shared" si="0"/>
        <v>16518258</v>
      </c>
      <c r="J31" s="202">
        <v>4</v>
      </c>
      <c r="L31" s="204">
        <v>1</v>
      </c>
      <c r="M31" s="202">
        <v>0.01</v>
      </c>
      <c r="N31" s="204"/>
      <c r="P31" s="202"/>
      <c r="Z31" s="201"/>
      <c r="AN31" s="202">
        <v>0.01</v>
      </c>
      <c r="AO31" s="202">
        <v>0.01</v>
      </c>
      <c r="AP31" s="202">
        <v>0.01</v>
      </c>
      <c r="AQ31" s="198" t="s">
        <v>54</v>
      </c>
      <c r="AR31" s="198" t="s">
        <v>51</v>
      </c>
      <c r="AS31" s="202">
        <v>0.01</v>
      </c>
      <c r="AT31" s="202">
        <v>0.01</v>
      </c>
      <c r="AU31" s="198" t="s">
        <v>69</v>
      </c>
      <c r="AV31" s="198" t="s">
        <v>62</v>
      </c>
      <c r="AW31" s="198" t="s">
        <v>54</v>
      </c>
    </row>
    <row r="32" spans="3:49" outlineLevel="2" x14ac:dyDescent="0.25">
      <c r="C32" s="201"/>
      <c r="D32" s="198" t="s">
        <v>48</v>
      </c>
      <c r="H32" s="198" t="s">
        <v>48</v>
      </c>
      <c r="I32" s="202">
        <f t="shared" si="0"/>
        <v>16931214.449999999</v>
      </c>
      <c r="J32" s="202">
        <v>4.0999999999999996</v>
      </c>
      <c r="L32" s="203">
        <v>20.7</v>
      </c>
      <c r="M32" s="202">
        <v>2038950</v>
      </c>
      <c r="N32" s="203"/>
      <c r="P32" s="202"/>
      <c r="Z32" s="201"/>
      <c r="AN32" s="202">
        <v>2038950</v>
      </c>
      <c r="AO32" s="202">
        <v>2038950</v>
      </c>
      <c r="AP32" s="202">
        <v>2038950</v>
      </c>
      <c r="AQ32" s="198" t="s">
        <v>54</v>
      </c>
      <c r="AR32" s="198" t="s">
        <v>51</v>
      </c>
      <c r="AS32" s="202">
        <v>338643</v>
      </c>
      <c r="AT32" s="202">
        <v>338643</v>
      </c>
      <c r="AU32" s="198" t="s">
        <v>69</v>
      </c>
      <c r="AV32" s="198" t="s">
        <v>62</v>
      </c>
      <c r="AW32" s="198" t="s">
        <v>54</v>
      </c>
    </row>
    <row r="33" spans="3:49" outlineLevel="2" x14ac:dyDescent="0.25">
      <c r="C33" s="201"/>
      <c r="D33" s="198" t="s">
        <v>48</v>
      </c>
      <c r="H33" s="198" t="s">
        <v>48</v>
      </c>
      <c r="I33" s="202">
        <f t="shared" si="0"/>
        <v>17344170.900000002</v>
      </c>
      <c r="J33" s="202">
        <v>4.2</v>
      </c>
      <c r="L33" s="203">
        <v>0.9</v>
      </c>
      <c r="M33" s="202">
        <v>94500</v>
      </c>
      <c r="N33" s="203"/>
      <c r="P33" s="202"/>
      <c r="Z33" s="201"/>
      <c r="AN33" s="202">
        <v>94500</v>
      </c>
      <c r="AO33" s="202">
        <v>94500</v>
      </c>
      <c r="AP33" s="202">
        <v>94500</v>
      </c>
      <c r="AQ33" s="198" t="s">
        <v>54</v>
      </c>
      <c r="AR33" s="198" t="s">
        <v>51</v>
      </c>
      <c r="AS33" s="202">
        <v>38850</v>
      </c>
      <c r="AT33" s="202">
        <v>38850</v>
      </c>
      <c r="AU33" s="198" t="s">
        <v>69</v>
      </c>
      <c r="AV33" s="198" t="s">
        <v>62</v>
      </c>
      <c r="AW33" s="198" t="s">
        <v>54</v>
      </c>
    </row>
    <row r="34" spans="3:49" outlineLevel="2" x14ac:dyDescent="0.25">
      <c r="C34" s="201"/>
      <c r="D34" s="198" t="s">
        <v>48</v>
      </c>
      <c r="H34" s="198" t="s">
        <v>48</v>
      </c>
      <c r="I34" s="202">
        <f t="shared" si="0"/>
        <v>17757127.349999998</v>
      </c>
      <c r="J34" s="202">
        <v>4.3</v>
      </c>
      <c r="L34" s="203">
        <v>0.67500000000000004</v>
      </c>
      <c r="M34" s="202">
        <v>121500</v>
      </c>
      <c r="N34" s="203"/>
      <c r="P34" s="202"/>
      <c r="Z34" s="201"/>
      <c r="AN34" s="202">
        <v>121500</v>
      </c>
      <c r="AO34" s="202">
        <v>121500</v>
      </c>
      <c r="AP34" s="202">
        <v>121500</v>
      </c>
      <c r="AQ34" s="198" t="s">
        <v>54</v>
      </c>
      <c r="AR34" s="198" t="s">
        <v>51</v>
      </c>
      <c r="AS34" s="202">
        <v>11340</v>
      </c>
      <c r="AT34" s="202">
        <v>11340</v>
      </c>
      <c r="AU34" s="198" t="s">
        <v>69</v>
      </c>
      <c r="AV34" s="198" t="s">
        <v>62</v>
      </c>
      <c r="AW34" s="198" t="s">
        <v>54</v>
      </c>
    </row>
    <row r="35" spans="3:49" outlineLevel="2" x14ac:dyDescent="0.25">
      <c r="C35" s="201"/>
      <c r="D35" s="198" t="s">
        <v>48</v>
      </c>
      <c r="H35" s="198" t="s">
        <v>48</v>
      </c>
      <c r="I35" s="202">
        <f t="shared" si="0"/>
        <v>18170083.800000001</v>
      </c>
      <c r="J35" s="202">
        <v>4.4000000000000004</v>
      </c>
      <c r="L35" s="204">
        <v>1</v>
      </c>
      <c r="M35" s="202">
        <v>0.01</v>
      </c>
      <c r="N35" s="204"/>
      <c r="P35" s="202"/>
      <c r="Z35" s="201"/>
      <c r="AN35" s="202">
        <v>0.01</v>
      </c>
      <c r="AO35" s="202">
        <v>0.01</v>
      </c>
      <c r="AP35" s="202">
        <v>0.01</v>
      </c>
      <c r="AQ35" s="198" t="s">
        <v>54</v>
      </c>
      <c r="AR35" s="198" t="s">
        <v>51</v>
      </c>
      <c r="AS35" s="202">
        <v>0.01</v>
      </c>
      <c r="AT35" s="202">
        <v>0.01</v>
      </c>
      <c r="AU35" s="198" t="s">
        <v>69</v>
      </c>
      <c r="AV35" s="198" t="s">
        <v>62</v>
      </c>
      <c r="AW35" s="198" t="s">
        <v>54</v>
      </c>
    </row>
    <row r="36" spans="3:49" outlineLevel="2" x14ac:dyDescent="0.25">
      <c r="C36" s="201"/>
      <c r="D36" s="198" t="s">
        <v>48</v>
      </c>
      <c r="H36" s="198" t="s">
        <v>48</v>
      </c>
      <c r="I36" s="202">
        <f t="shared" si="0"/>
        <v>18583040.25</v>
      </c>
      <c r="J36" s="202">
        <v>4.5</v>
      </c>
      <c r="L36" s="204">
        <v>1</v>
      </c>
      <c r="M36" s="202">
        <v>0.01</v>
      </c>
      <c r="N36" s="204"/>
      <c r="P36" s="202"/>
      <c r="Z36" s="201"/>
      <c r="AN36" s="202">
        <v>0.01</v>
      </c>
      <c r="AO36" s="202">
        <v>0.01</v>
      </c>
      <c r="AP36" s="202">
        <v>0.01</v>
      </c>
      <c r="AQ36" s="198" t="s">
        <v>54</v>
      </c>
      <c r="AR36" s="198" t="s">
        <v>51</v>
      </c>
      <c r="AS36" s="202">
        <v>0.01</v>
      </c>
      <c r="AT36" s="202">
        <v>0.01</v>
      </c>
      <c r="AU36" s="198" t="s">
        <v>69</v>
      </c>
      <c r="AV36" s="198" t="s">
        <v>62</v>
      </c>
      <c r="AW36" s="198" t="s">
        <v>54</v>
      </c>
    </row>
    <row r="37" spans="3:49" outlineLevel="2" x14ac:dyDescent="0.25">
      <c r="C37" s="201"/>
      <c r="D37" s="198" t="s">
        <v>48</v>
      </c>
      <c r="H37" s="198" t="s">
        <v>48</v>
      </c>
      <c r="I37" s="202">
        <f t="shared" si="0"/>
        <v>18995996.699999999</v>
      </c>
      <c r="J37" s="202">
        <v>4.5999999999999996</v>
      </c>
      <c r="L37" s="204">
        <v>1</v>
      </c>
      <c r="M37" s="202">
        <v>0.01</v>
      </c>
      <c r="N37" s="204"/>
      <c r="P37" s="202"/>
      <c r="Z37" s="201"/>
      <c r="AN37" s="202">
        <v>0.01</v>
      </c>
      <c r="AO37" s="202">
        <v>0.01</v>
      </c>
      <c r="AP37" s="202">
        <v>0.01</v>
      </c>
      <c r="AQ37" s="198" t="s">
        <v>54</v>
      </c>
      <c r="AR37" s="198" t="s">
        <v>51</v>
      </c>
      <c r="AS37" s="202">
        <v>0.01</v>
      </c>
      <c r="AT37" s="202">
        <v>0.01</v>
      </c>
      <c r="AU37" s="198" t="s">
        <v>69</v>
      </c>
      <c r="AV37" s="198" t="s">
        <v>62</v>
      </c>
      <c r="AW37" s="198" t="s">
        <v>54</v>
      </c>
    </row>
    <row r="38" spans="3:49" outlineLevel="2" x14ac:dyDescent="0.25">
      <c r="C38" s="201"/>
      <c r="D38" s="198" t="s">
        <v>48</v>
      </c>
      <c r="H38" s="198" t="s">
        <v>48</v>
      </c>
      <c r="I38" s="202">
        <f t="shared" si="0"/>
        <v>19408953.150000002</v>
      </c>
      <c r="J38" s="202">
        <v>4.7</v>
      </c>
      <c r="L38" s="204">
        <v>1</v>
      </c>
      <c r="M38" s="202">
        <v>0.01</v>
      </c>
      <c r="N38" s="204"/>
      <c r="P38" s="202"/>
      <c r="Z38" s="201"/>
      <c r="AN38" s="202">
        <v>0.01</v>
      </c>
      <c r="AO38" s="202">
        <v>0.01</v>
      </c>
      <c r="AP38" s="202">
        <v>0.01</v>
      </c>
      <c r="AQ38" s="198" t="s">
        <v>54</v>
      </c>
      <c r="AR38" s="198" t="s">
        <v>51</v>
      </c>
      <c r="AS38" s="202">
        <v>0.01</v>
      </c>
      <c r="AT38" s="202">
        <v>0.01</v>
      </c>
      <c r="AU38" s="198" t="s">
        <v>69</v>
      </c>
      <c r="AV38" s="198" t="s">
        <v>62</v>
      </c>
      <c r="AW38" s="198" t="s">
        <v>54</v>
      </c>
    </row>
    <row r="39" spans="3:49" outlineLevel="2" x14ac:dyDescent="0.25">
      <c r="C39" s="201"/>
      <c r="D39" s="198" t="s">
        <v>48</v>
      </c>
      <c r="H39" s="198" t="s">
        <v>48</v>
      </c>
      <c r="I39" s="202">
        <f t="shared" si="0"/>
        <v>19821909.599999961</v>
      </c>
      <c r="J39" s="202">
        <v>4.7999999999999901</v>
      </c>
      <c r="L39" s="204">
        <v>1</v>
      </c>
      <c r="M39" s="202">
        <v>0.01</v>
      </c>
      <c r="N39" s="204"/>
      <c r="P39" s="202"/>
      <c r="Z39" s="201"/>
      <c r="AN39" s="202">
        <v>0.01</v>
      </c>
      <c r="AO39" s="202">
        <v>0.01</v>
      </c>
      <c r="AP39" s="202">
        <v>0.01</v>
      </c>
      <c r="AQ39" s="198" t="s">
        <v>54</v>
      </c>
      <c r="AR39" s="198" t="s">
        <v>51</v>
      </c>
      <c r="AS39" s="202">
        <v>0.01</v>
      </c>
      <c r="AT39" s="202">
        <v>0.01</v>
      </c>
      <c r="AU39" s="198" t="s">
        <v>69</v>
      </c>
      <c r="AV39" s="198" t="s">
        <v>62</v>
      </c>
      <c r="AW39" s="198" t="s">
        <v>54</v>
      </c>
    </row>
    <row r="40" spans="3:49" outlineLevel="2" x14ac:dyDescent="0.25">
      <c r="C40" s="201"/>
      <c r="D40" s="198" t="s">
        <v>48</v>
      </c>
      <c r="H40" s="198" t="s">
        <v>48</v>
      </c>
      <c r="I40" s="202">
        <f t="shared" si="0"/>
        <v>20234866.049999956</v>
      </c>
      <c r="J40" s="202">
        <v>4.8999999999999897</v>
      </c>
      <c r="L40" s="204">
        <v>1</v>
      </c>
      <c r="M40" s="202">
        <v>0.01</v>
      </c>
      <c r="N40" s="204"/>
      <c r="P40" s="202"/>
      <c r="Z40" s="201"/>
      <c r="AN40" s="202">
        <v>0.01</v>
      </c>
      <c r="AO40" s="202">
        <v>0.01</v>
      </c>
      <c r="AP40" s="202">
        <v>0.01</v>
      </c>
      <c r="AQ40" s="198" t="s">
        <v>54</v>
      </c>
      <c r="AR40" s="198" t="s">
        <v>51</v>
      </c>
      <c r="AS40" s="202">
        <v>0.01</v>
      </c>
      <c r="AT40" s="202">
        <v>0.01</v>
      </c>
      <c r="AU40" s="198" t="s">
        <v>69</v>
      </c>
      <c r="AV40" s="198" t="s">
        <v>62</v>
      </c>
      <c r="AW40" s="198" t="s">
        <v>54</v>
      </c>
    </row>
    <row r="41" spans="3:49" outlineLevel="2" x14ac:dyDescent="0.25">
      <c r="C41" s="201"/>
      <c r="D41" s="198" t="s">
        <v>48</v>
      </c>
      <c r="H41" s="198" t="s">
        <v>48</v>
      </c>
      <c r="I41" s="202">
        <f t="shared" si="0"/>
        <v>20647822.5</v>
      </c>
      <c r="J41" s="202">
        <v>5</v>
      </c>
      <c r="L41" s="204">
        <v>1</v>
      </c>
      <c r="M41" s="202">
        <v>0.01</v>
      </c>
      <c r="N41" s="204"/>
      <c r="P41" s="202"/>
      <c r="Z41" s="201"/>
      <c r="AN41" s="202">
        <v>0.01</v>
      </c>
      <c r="AO41" s="202">
        <v>0.01</v>
      </c>
      <c r="AP41" s="202">
        <v>0.01</v>
      </c>
      <c r="AQ41" s="198" t="s">
        <v>54</v>
      </c>
      <c r="AR41" s="198" t="s">
        <v>51</v>
      </c>
      <c r="AS41" s="202">
        <v>0.01</v>
      </c>
      <c r="AT41" s="202">
        <v>0.01</v>
      </c>
      <c r="AU41" s="198" t="s">
        <v>69</v>
      </c>
      <c r="AV41" s="198" t="s">
        <v>62</v>
      </c>
      <c r="AW41" s="198" t="s">
        <v>54</v>
      </c>
    </row>
    <row r="42" spans="3:49" outlineLevel="2" x14ac:dyDescent="0.25">
      <c r="C42" s="201"/>
      <c r="D42" s="198" t="s">
        <v>48</v>
      </c>
      <c r="H42" s="198" t="s">
        <v>48</v>
      </c>
      <c r="I42" s="202">
        <f t="shared" si="0"/>
        <v>21060778.949999958</v>
      </c>
      <c r="J42" s="202">
        <v>5.0999999999999899</v>
      </c>
      <c r="L42" s="203">
        <v>5.85</v>
      </c>
      <c r="M42" s="202">
        <v>760500</v>
      </c>
      <c r="N42" s="203"/>
      <c r="P42" s="202"/>
      <c r="Z42" s="201"/>
      <c r="AN42" s="202">
        <v>760500</v>
      </c>
      <c r="AO42" s="202">
        <v>760500</v>
      </c>
      <c r="AP42" s="202">
        <v>760500</v>
      </c>
      <c r="AQ42" s="198" t="s">
        <v>54</v>
      </c>
      <c r="AR42" s="198" t="s">
        <v>51</v>
      </c>
      <c r="AS42" s="202">
        <v>351000</v>
      </c>
      <c r="AT42" s="202">
        <v>351000</v>
      </c>
      <c r="AU42" s="198" t="s">
        <v>69</v>
      </c>
      <c r="AV42" s="198" t="s">
        <v>62</v>
      </c>
      <c r="AW42" s="198" t="s">
        <v>54</v>
      </c>
    </row>
    <row r="43" spans="3:49" outlineLevel="2" x14ac:dyDescent="0.25">
      <c r="C43" s="201"/>
      <c r="D43" s="198" t="s">
        <v>77</v>
      </c>
      <c r="H43" s="198" t="s">
        <v>77</v>
      </c>
      <c r="I43" s="202">
        <f t="shared" si="0"/>
        <v>21473735.399999961</v>
      </c>
      <c r="J43" s="202">
        <v>5.1999999999999904</v>
      </c>
      <c r="L43" s="203">
        <v>16.2</v>
      </c>
      <c r="M43" s="202">
        <v>1595700</v>
      </c>
      <c r="N43" s="203"/>
      <c r="P43" s="202"/>
      <c r="Z43" s="201"/>
      <c r="AN43" s="202">
        <v>1595700</v>
      </c>
      <c r="AO43" s="202">
        <v>1595700</v>
      </c>
      <c r="AP43" s="202">
        <v>1595700</v>
      </c>
      <c r="AQ43" s="198" t="s">
        <v>54</v>
      </c>
      <c r="AR43" s="198" t="s">
        <v>51</v>
      </c>
      <c r="AS43" s="202">
        <v>762193</v>
      </c>
      <c r="AT43" s="202">
        <v>762193</v>
      </c>
      <c r="AU43" s="198" t="s">
        <v>69</v>
      </c>
      <c r="AV43" s="198" t="s">
        <v>62</v>
      </c>
      <c r="AW43" s="198" t="s">
        <v>54</v>
      </c>
    </row>
    <row r="44" spans="3:49" outlineLevel="2" x14ac:dyDescent="0.25">
      <c r="C44" s="201"/>
      <c r="D44" s="198" t="s">
        <v>77</v>
      </c>
      <c r="H44" s="198" t="s">
        <v>77</v>
      </c>
      <c r="I44" s="202">
        <f t="shared" si="0"/>
        <v>21886691.849999961</v>
      </c>
      <c r="J44" s="202">
        <v>5.2999999999999901</v>
      </c>
      <c r="L44" s="204">
        <v>108</v>
      </c>
      <c r="M44" s="202">
        <v>9234000</v>
      </c>
      <c r="N44" s="203"/>
      <c r="P44" s="202"/>
      <c r="Z44" s="201"/>
      <c r="AN44" s="202">
        <v>9234000</v>
      </c>
      <c r="AO44" s="202">
        <v>9234000</v>
      </c>
      <c r="AP44" s="202">
        <v>9234000</v>
      </c>
      <c r="AQ44" s="198" t="s">
        <v>54</v>
      </c>
      <c r="AR44" s="198" t="s">
        <v>51</v>
      </c>
      <c r="AS44" s="202">
        <v>3845790</v>
      </c>
      <c r="AT44" s="202">
        <v>3845790</v>
      </c>
      <c r="AU44" s="198" t="s">
        <v>69</v>
      </c>
      <c r="AV44" s="198" t="s">
        <v>62</v>
      </c>
      <c r="AW44" s="198" t="s">
        <v>54</v>
      </c>
    </row>
    <row r="45" spans="3:49" outlineLevel="2" x14ac:dyDescent="0.25">
      <c r="C45" s="201"/>
      <c r="D45" s="198" t="s">
        <v>77</v>
      </c>
      <c r="H45" s="198" t="s">
        <v>77</v>
      </c>
      <c r="I45" s="202">
        <f t="shared" si="0"/>
        <v>22299648.299999956</v>
      </c>
      <c r="J45" s="202">
        <v>5.3999999999999897</v>
      </c>
      <c r="L45" s="203">
        <v>228.42</v>
      </c>
      <c r="M45" s="202">
        <v>22499370</v>
      </c>
      <c r="N45" s="203"/>
      <c r="P45" s="202"/>
      <c r="Z45" s="201"/>
      <c r="AN45" s="202">
        <v>22499370</v>
      </c>
      <c r="AO45" s="202">
        <v>22499370</v>
      </c>
      <c r="AP45" s="202">
        <v>22499370</v>
      </c>
      <c r="AQ45" s="198" t="s">
        <v>54</v>
      </c>
      <c r="AR45" s="198" t="s">
        <v>51</v>
      </c>
      <c r="AS45" s="202">
        <v>5795937</v>
      </c>
      <c r="AT45" s="202">
        <v>5795937</v>
      </c>
      <c r="AU45" s="198" t="s">
        <v>69</v>
      </c>
      <c r="AV45" s="198" t="s">
        <v>62</v>
      </c>
      <c r="AW45" s="198" t="s">
        <v>54</v>
      </c>
    </row>
    <row r="46" spans="3:49" outlineLevel="2" x14ac:dyDescent="0.25">
      <c r="C46" s="201"/>
      <c r="D46" s="198" t="s">
        <v>77</v>
      </c>
      <c r="H46" s="198" t="s">
        <v>77</v>
      </c>
      <c r="I46" s="202">
        <f t="shared" si="0"/>
        <v>22712604.749999959</v>
      </c>
      <c r="J46" s="202">
        <v>5.4999999999999902</v>
      </c>
      <c r="L46" s="203">
        <v>14.58</v>
      </c>
      <c r="M46" s="202">
        <v>1530900</v>
      </c>
      <c r="N46" s="203"/>
      <c r="P46" s="202"/>
      <c r="Z46" s="201"/>
      <c r="AN46" s="202">
        <v>1530900</v>
      </c>
      <c r="AO46" s="202">
        <v>1530900</v>
      </c>
      <c r="AP46" s="202">
        <v>1530900</v>
      </c>
      <c r="AQ46" s="198" t="s">
        <v>54</v>
      </c>
      <c r="AR46" s="198" t="s">
        <v>51</v>
      </c>
      <c r="AS46" s="202">
        <v>1105545</v>
      </c>
      <c r="AT46" s="202">
        <v>1105545</v>
      </c>
      <c r="AU46" s="198" t="s">
        <v>69</v>
      </c>
      <c r="AV46" s="198" t="s">
        <v>62</v>
      </c>
      <c r="AW46" s="198" t="s">
        <v>54</v>
      </c>
    </row>
    <row r="47" spans="3:49" outlineLevel="2" x14ac:dyDescent="0.25">
      <c r="C47" s="201"/>
      <c r="D47" s="198" t="s">
        <v>77</v>
      </c>
      <c r="H47" s="198" t="s">
        <v>77</v>
      </c>
      <c r="I47" s="202">
        <f t="shared" si="0"/>
        <v>23125561.199999958</v>
      </c>
      <c r="J47" s="202">
        <v>5.5999999999999899</v>
      </c>
      <c r="L47" s="204">
        <v>1</v>
      </c>
      <c r="M47" s="202">
        <v>0.01</v>
      </c>
      <c r="N47" s="204"/>
      <c r="P47" s="202"/>
      <c r="Z47" s="201"/>
      <c r="AN47" s="202">
        <v>0.01</v>
      </c>
      <c r="AO47" s="202">
        <v>0.01</v>
      </c>
      <c r="AP47" s="202">
        <v>0.01</v>
      </c>
      <c r="AQ47" s="198" t="s">
        <v>54</v>
      </c>
      <c r="AR47" s="198" t="s">
        <v>51</v>
      </c>
      <c r="AS47" s="202">
        <v>0.01</v>
      </c>
      <c r="AT47" s="202">
        <v>0.01</v>
      </c>
      <c r="AU47" s="198" t="s">
        <v>69</v>
      </c>
      <c r="AV47" s="198" t="s">
        <v>62</v>
      </c>
      <c r="AW47" s="198" t="s">
        <v>54</v>
      </c>
    </row>
    <row r="48" spans="3:49" outlineLevel="2" x14ac:dyDescent="0.25">
      <c r="C48" s="201"/>
      <c r="D48" s="198" t="s">
        <v>77</v>
      </c>
      <c r="H48" s="198" t="s">
        <v>77</v>
      </c>
      <c r="I48" s="202">
        <f t="shared" si="0"/>
        <v>23538517.649999961</v>
      </c>
      <c r="J48" s="202">
        <v>5.6999999999999904</v>
      </c>
      <c r="L48" s="204">
        <v>1</v>
      </c>
      <c r="M48" s="202">
        <v>0.01</v>
      </c>
      <c r="N48" s="204"/>
      <c r="P48" s="202"/>
      <c r="Z48" s="201"/>
      <c r="AN48" s="202">
        <v>0.01</v>
      </c>
      <c r="AO48" s="202">
        <v>0.01</v>
      </c>
      <c r="AP48" s="202">
        <v>0.01</v>
      </c>
      <c r="AQ48" s="198" t="s">
        <v>54</v>
      </c>
      <c r="AR48" s="198" t="s">
        <v>51</v>
      </c>
      <c r="AS48" s="202">
        <v>0.01</v>
      </c>
      <c r="AT48" s="202">
        <v>0.01</v>
      </c>
      <c r="AU48" s="198" t="s">
        <v>69</v>
      </c>
      <c r="AV48" s="198" t="s">
        <v>62</v>
      </c>
      <c r="AW48" s="198" t="s">
        <v>54</v>
      </c>
    </row>
    <row r="49" spans="3:49" outlineLevel="2" x14ac:dyDescent="0.25">
      <c r="C49" s="201"/>
      <c r="D49" s="198" t="s">
        <v>77</v>
      </c>
      <c r="H49" s="198" t="s">
        <v>77</v>
      </c>
      <c r="I49" s="202">
        <f t="shared" si="0"/>
        <v>23951474.099999961</v>
      </c>
      <c r="J49" s="202">
        <v>5.7999999999999901</v>
      </c>
      <c r="L49" s="204">
        <v>1</v>
      </c>
      <c r="M49" s="202">
        <v>0.01</v>
      </c>
      <c r="N49" s="204"/>
      <c r="P49" s="202"/>
      <c r="Z49" s="201"/>
      <c r="AN49" s="202">
        <v>0.01</v>
      </c>
      <c r="AO49" s="202">
        <v>0.01</v>
      </c>
      <c r="AP49" s="202">
        <v>0.01</v>
      </c>
      <c r="AQ49" s="198" t="s">
        <v>54</v>
      </c>
      <c r="AR49" s="198" t="s">
        <v>51</v>
      </c>
      <c r="AS49" s="202">
        <v>0.01</v>
      </c>
      <c r="AT49" s="202">
        <v>0.01</v>
      </c>
      <c r="AU49" s="198" t="s">
        <v>69</v>
      </c>
      <c r="AV49" s="198" t="s">
        <v>62</v>
      </c>
      <c r="AW49" s="198" t="s">
        <v>54</v>
      </c>
    </row>
    <row r="50" spans="3:49" outlineLevel="2" x14ac:dyDescent="0.25">
      <c r="C50" s="201"/>
      <c r="D50" s="198" t="s">
        <v>77</v>
      </c>
      <c r="H50" s="198" t="s">
        <v>77</v>
      </c>
      <c r="I50" s="202">
        <f t="shared" si="0"/>
        <v>24364430.549999956</v>
      </c>
      <c r="J50" s="202">
        <v>5.8999999999999897</v>
      </c>
      <c r="L50" s="203">
        <v>12342.78</v>
      </c>
      <c r="M50" s="202">
        <v>9997651.8000000007</v>
      </c>
      <c r="N50" s="203"/>
      <c r="P50" s="202"/>
      <c r="Z50" s="201"/>
      <c r="AN50" s="202">
        <v>9997651.8000000007</v>
      </c>
      <c r="AO50" s="202">
        <v>9997651.8000000007</v>
      </c>
      <c r="AP50" s="202">
        <v>9997651.8000000007</v>
      </c>
      <c r="AQ50" s="198" t="s">
        <v>54</v>
      </c>
      <c r="AR50" s="198" t="s">
        <v>51</v>
      </c>
      <c r="AS50" s="202">
        <v>189831.6</v>
      </c>
      <c r="AT50" s="202">
        <v>189831.6</v>
      </c>
      <c r="AU50" s="198" t="s">
        <v>69</v>
      </c>
      <c r="AV50" s="198" t="s">
        <v>62</v>
      </c>
      <c r="AW50" s="198" t="s">
        <v>54</v>
      </c>
    </row>
    <row r="51" spans="3:49" outlineLevel="2" x14ac:dyDescent="0.25">
      <c r="C51" s="201"/>
      <c r="D51" s="198" t="s">
        <v>77</v>
      </c>
      <c r="H51" s="198" t="s">
        <v>77</v>
      </c>
      <c r="I51" s="202">
        <f t="shared" si="0"/>
        <v>24777386.999999959</v>
      </c>
      <c r="J51" s="202">
        <v>5.9999999999999902</v>
      </c>
      <c r="L51" s="204">
        <v>1</v>
      </c>
      <c r="M51" s="202">
        <v>0.01</v>
      </c>
      <c r="N51" s="204"/>
      <c r="P51" s="202"/>
      <c r="Z51" s="201"/>
      <c r="AN51" s="202">
        <v>0.01</v>
      </c>
      <c r="AO51" s="202">
        <v>0.01</v>
      </c>
      <c r="AP51" s="202">
        <v>0.01</v>
      </c>
      <c r="AQ51" s="198" t="s">
        <v>54</v>
      </c>
      <c r="AR51" s="198" t="s">
        <v>51</v>
      </c>
      <c r="AS51" s="202">
        <v>0.01</v>
      </c>
      <c r="AT51" s="202">
        <v>0.01</v>
      </c>
      <c r="AU51" s="198" t="s">
        <v>69</v>
      </c>
      <c r="AV51" s="198" t="s">
        <v>62</v>
      </c>
      <c r="AW51" s="198" t="s">
        <v>54</v>
      </c>
    </row>
    <row r="52" spans="3:49" outlineLevel="2" x14ac:dyDescent="0.25">
      <c r="C52" s="201"/>
      <c r="D52" s="198" t="s">
        <v>77</v>
      </c>
      <c r="H52" s="198" t="s">
        <v>77</v>
      </c>
      <c r="I52" s="202">
        <f t="shared" si="0"/>
        <v>25190343.449999958</v>
      </c>
      <c r="J52" s="202">
        <v>6.0999999999999899</v>
      </c>
      <c r="L52" s="204">
        <v>1</v>
      </c>
      <c r="M52" s="202">
        <v>0.01</v>
      </c>
      <c r="N52" s="204"/>
      <c r="P52" s="202"/>
      <c r="Z52" s="201"/>
      <c r="AN52" s="202">
        <v>0.01</v>
      </c>
      <c r="AO52" s="202">
        <v>0.01</v>
      </c>
      <c r="AP52" s="202">
        <v>0.01</v>
      </c>
      <c r="AQ52" s="198" t="s">
        <v>54</v>
      </c>
      <c r="AR52" s="198" t="s">
        <v>51</v>
      </c>
      <c r="AS52" s="202">
        <v>0.01</v>
      </c>
      <c r="AT52" s="202">
        <v>0.01</v>
      </c>
      <c r="AU52" s="198" t="s">
        <v>69</v>
      </c>
      <c r="AV52" s="198" t="s">
        <v>62</v>
      </c>
      <c r="AW52" s="198" t="s">
        <v>54</v>
      </c>
    </row>
    <row r="53" spans="3:49" outlineLevel="2" x14ac:dyDescent="0.25">
      <c r="C53" s="201"/>
      <c r="D53" s="198" t="s">
        <v>77</v>
      </c>
      <c r="H53" s="198" t="s">
        <v>77</v>
      </c>
      <c r="I53" s="202">
        <f t="shared" si="0"/>
        <v>25603299.899999961</v>
      </c>
      <c r="J53" s="202">
        <v>6.1999999999999904</v>
      </c>
      <c r="L53" s="204">
        <v>1</v>
      </c>
      <c r="M53" s="202">
        <v>0.01</v>
      </c>
      <c r="N53" s="204"/>
      <c r="P53" s="202"/>
      <c r="Z53" s="201"/>
      <c r="AN53" s="202">
        <v>0.01</v>
      </c>
      <c r="AO53" s="202">
        <v>0.01</v>
      </c>
      <c r="AP53" s="202">
        <v>0.01</v>
      </c>
      <c r="AQ53" s="198" t="s">
        <v>54</v>
      </c>
      <c r="AR53" s="198" t="s">
        <v>51</v>
      </c>
      <c r="AS53" s="202">
        <v>0.01</v>
      </c>
      <c r="AT53" s="202">
        <v>0.01</v>
      </c>
      <c r="AU53" s="198" t="s">
        <v>69</v>
      </c>
      <c r="AV53" s="198" t="s">
        <v>62</v>
      </c>
      <c r="AW53" s="198" t="s">
        <v>54</v>
      </c>
    </row>
    <row r="54" spans="3:49" outlineLevel="2" x14ac:dyDescent="0.25">
      <c r="C54" s="201"/>
      <c r="D54" s="198" t="s">
        <v>77</v>
      </c>
      <c r="H54" s="198" t="s">
        <v>77</v>
      </c>
      <c r="I54" s="202">
        <f t="shared" si="0"/>
        <v>26016256.349999961</v>
      </c>
      <c r="J54" s="202">
        <v>6.2999999999999901</v>
      </c>
      <c r="L54" s="204">
        <v>1</v>
      </c>
      <c r="M54" s="202">
        <v>0.01</v>
      </c>
      <c r="N54" s="204"/>
      <c r="P54" s="202"/>
      <c r="Z54" s="201"/>
      <c r="AN54" s="202">
        <v>0.01</v>
      </c>
      <c r="AO54" s="202">
        <v>0.01</v>
      </c>
      <c r="AP54" s="202">
        <v>0.01</v>
      </c>
      <c r="AQ54" s="198" t="s">
        <v>54</v>
      </c>
      <c r="AR54" s="198" t="s">
        <v>51</v>
      </c>
      <c r="AS54" s="202">
        <v>0.01</v>
      </c>
      <c r="AT54" s="202">
        <v>0.01</v>
      </c>
      <c r="AU54" s="198" t="s">
        <v>69</v>
      </c>
      <c r="AV54" s="198" t="s">
        <v>62</v>
      </c>
      <c r="AW54" s="198" t="s">
        <v>54</v>
      </c>
    </row>
    <row r="55" spans="3:49" outlineLevel="2" x14ac:dyDescent="0.25">
      <c r="C55" s="201"/>
      <c r="D55" s="198" t="s">
        <v>77</v>
      </c>
      <c r="H55" s="198" t="s">
        <v>77</v>
      </c>
      <c r="I55" s="202">
        <f t="shared" si="0"/>
        <v>26429212.799999956</v>
      </c>
      <c r="J55" s="202">
        <v>6.3999999999999897</v>
      </c>
      <c r="L55" s="203">
        <v>48.6</v>
      </c>
      <c r="M55" s="202">
        <v>6318000</v>
      </c>
      <c r="N55" s="203"/>
      <c r="P55" s="202"/>
      <c r="Z55" s="201"/>
      <c r="AN55" s="202">
        <v>6318000</v>
      </c>
      <c r="AO55" s="202">
        <v>6318000</v>
      </c>
      <c r="AP55" s="202">
        <v>6318000</v>
      </c>
      <c r="AQ55" s="198" t="s">
        <v>54</v>
      </c>
      <c r="AR55" s="198" t="s">
        <v>51</v>
      </c>
      <c r="AS55" s="202">
        <v>3734640</v>
      </c>
      <c r="AT55" s="202">
        <v>3734640</v>
      </c>
      <c r="AU55" s="198" t="s">
        <v>69</v>
      </c>
      <c r="AV55" s="198" t="s">
        <v>62</v>
      </c>
      <c r="AW55" s="198" t="s">
        <v>54</v>
      </c>
    </row>
    <row r="56" spans="3:49" outlineLevel="2" x14ac:dyDescent="0.25">
      <c r="C56" s="201"/>
      <c r="D56" s="198" t="s">
        <v>164</v>
      </c>
      <c r="H56" s="198" t="s">
        <v>164</v>
      </c>
      <c r="I56" s="202">
        <f t="shared" si="0"/>
        <v>26842169.249999959</v>
      </c>
      <c r="J56" s="202">
        <v>6.4999999999999902</v>
      </c>
      <c r="L56" s="204">
        <v>24</v>
      </c>
      <c r="M56" s="202">
        <v>6240000</v>
      </c>
      <c r="N56" s="204"/>
      <c r="P56" s="202"/>
      <c r="Z56" s="201"/>
      <c r="AN56" s="202">
        <v>6240000</v>
      </c>
      <c r="AO56" s="202">
        <v>6240000</v>
      </c>
      <c r="AP56" s="202">
        <v>6240000</v>
      </c>
      <c r="AQ56" s="198" t="s">
        <v>54</v>
      </c>
      <c r="AR56" s="198" t="s">
        <v>51</v>
      </c>
      <c r="AS56" s="202">
        <v>260000</v>
      </c>
      <c r="AT56" s="202">
        <v>260000</v>
      </c>
      <c r="AU56" s="198" t="s">
        <v>69</v>
      </c>
      <c r="AV56" s="198" t="s">
        <v>62</v>
      </c>
      <c r="AW56" s="198" t="s">
        <v>54</v>
      </c>
    </row>
    <row r="57" spans="3:49" outlineLevel="2" x14ac:dyDescent="0.25">
      <c r="C57" s="201"/>
      <c r="D57" s="198" t="s">
        <v>180</v>
      </c>
      <c r="H57" s="198" t="s">
        <v>180</v>
      </c>
      <c r="I57" s="202">
        <f t="shared" si="0"/>
        <v>27255125.699999958</v>
      </c>
      <c r="J57" s="202">
        <v>6.5999999999999899</v>
      </c>
      <c r="L57" s="204">
        <v>27</v>
      </c>
      <c r="M57" s="202">
        <v>7020000</v>
      </c>
      <c r="N57" s="204"/>
      <c r="P57" s="202"/>
      <c r="Z57" s="201"/>
      <c r="AN57" s="202">
        <v>7020000</v>
      </c>
      <c r="AO57" s="202">
        <v>7020000</v>
      </c>
      <c r="AP57" s="202">
        <v>7020000</v>
      </c>
      <c r="AQ57" s="198" t="s">
        <v>54</v>
      </c>
      <c r="AR57" s="198" t="s">
        <v>51</v>
      </c>
      <c r="AS57" s="202">
        <v>2340000</v>
      </c>
      <c r="AT57" s="202">
        <v>2340000</v>
      </c>
      <c r="AU57" s="198" t="s">
        <v>69</v>
      </c>
      <c r="AV57" s="198" t="s">
        <v>62</v>
      </c>
      <c r="AW57" s="198" t="s">
        <v>54</v>
      </c>
    </row>
    <row r="58" spans="3:49" outlineLevel="2" x14ac:dyDescent="0.25">
      <c r="C58" s="201"/>
      <c r="D58" s="198" t="s">
        <v>91</v>
      </c>
      <c r="H58" s="198" t="s">
        <v>91</v>
      </c>
      <c r="I58" s="202">
        <f t="shared" si="0"/>
        <v>27668082.149999961</v>
      </c>
      <c r="J58" s="202">
        <v>6.6999999999999904</v>
      </c>
      <c r="L58" s="204">
        <v>21</v>
      </c>
      <c r="M58" s="202">
        <v>339234</v>
      </c>
      <c r="N58" s="204"/>
      <c r="P58" s="202"/>
      <c r="Z58" s="201"/>
      <c r="AN58" s="202">
        <v>339234</v>
      </c>
      <c r="AO58" s="202">
        <v>339234</v>
      </c>
      <c r="AP58" s="202">
        <v>339234</v>
      </c>
      <c r="AQ58" s="198" t="s">
        <v>54</v>
      </c>
      <c r="AR58" s="198" t="s">
        <v>51</v>
      </c>
      <c r="AS58" s="202">
        <v>177694</v>
      </c>
      <c r="AT58" s="202">
        <v>177694</v>
      </c>
      <c r="AU58" s="198" t="s">
        <v>69</v>
      </c>
      <c r="AV58" s="198" t="s">
        <v>62</v>
      </c>
      <c r="AW58" s="198" t="s">
        <v>54</v>
      </c>
    </row>
    <row r="59" spans="3:49" outlineLevel="2" x14ac:dyDescent="0.25">
      <c r="C59" s="201"/>
      <c r="D59" s="198" t="s">
        <v>188</v>
      </c>
      <c r="H59" s="198" t="s">
        <v>188</v>
      </c>
      <c r="I59" s="202">
        <f t="shared" si="0"/>
        <v>28081038.599999961</v>
      </c>
      <c r="J59" s="202">
        <v>6.7999999999999901</v>
      </c>
      <c r="L59" s="204">
        <v>540</v>
      </c>
      <c r="M59" s="202">
        <v>810000</v>
      </c>
      <c r="N59" s="204"/>
      <c r="P59" s="202"/>
      <c r="Z59" s="201"/>
      <c r="AN59" s="202">
        <v>810000</v>
      </c>
      <c r="AO59" s="202">
        <v>810000</v>
      </c>
      <c r="AP59" s="202">
        <v>810000</v>
      </c>
      <c r="AQ59" s="198" t="s">
        <v>54</v>
      </c>
      <c r="AR59" s="198" t="s">
        <v>51</v>
      </c>
      <c r="AS59" s="202">
        <v>810000</v>
      </c>
      <c r="AT59" s="202">
        <v>810000</v>
      </c>
      <c r="AU59" s="198" t="s">
        <v>69</v>
      </c>
      <c r="AV59" s="198" t="s">
        <v>62</v>
      </c>
      <c r="AW59" s="198" t="s">
        <v>54</v>
      </c>
    </row>
    <row r="60" spans="3:49" outlineLevel="2" x14ac:dyDescent="0.25">
      <c r="C60" s="201"/>
      <c r="D60" s="198" t="s">
        <v>670</v>
      </c>
      <c r="H60" s="198" t="s">
        <v>670</v>
      </c>
      <c r="I60" s="202">
        <f t="shared" si="0"/>
        <v>28493995.049999956</v>
      </c>
      <c r="J60" s="202">
        <v>6.8999999999999897</v>
      </c>
      <c r="L60" s="203">
        <v>0.64</v>
      </c>
      <c r="M60" s="202">
        <v>67194.880000000005</v>
      </c>
      <c r="N60" s="203"/>
      <c r="P60" s="202"/>
      <c r="Z60" s="201"/>
      <c r="AN60" s="202">
        <v>67194.880000000005</v>
      </c>
      <c r="AO60" s="202">
        <v>67194.880000000005</v>
      </c>
      <c r="AP60" s="202">
        <v>67194.880000000005</v>
      </c>
      <c r="AQ60" s="198" t="s">
        <v>54</v>
      </c>
      <c r="AR60" s="198" t="s">
        <v>51</v>
      </c>
      <c r="AS60" s="202">
        <v>67194.880000000005</v>
      </c>
      <c r="AT60" s="202">
        <v>67194.880000000005</v>
      </c>
      <c r="AU60" s="198" t="s">
        <v>69</v>
      </c>
      <c r="AV60" s="198" t="s">
        <v>62</v>
      </c>
      <c r="AW60" s="198" t="s">
        <v>54</v>
      </c>
    </row>
    <row r="61" spans="3:49" outlineLevel="2" x14ac:dyDescent="0.25">
      <c r="C61" s="201"/>
      <c r="D61" s="198" t="s">
        <v>670</v>
      </c>
      <c r="H61" s="198" t="s">
        <v>670</v>
      </c>
      <c r="I61" s="202">
        <f t="shared" si="0"/>
        <v>28906951.499999959</v>
      </c>
      <c r="J61" s="202">
        <v>6.9999999999999902</v>
      </c>
      <c r="L61" s="203">
        <v>0.6</v>
      </c>
      <c r="M61" s="202">
        <v>107971.2</v>
      </c>
      <c r="N61" s="203"/>
      <c r="P61" s="202"/>
      <c r="Z61" s="201"/>
      <c r="AN61" s="202">
        <v>107971.2</v>
      </c>
      <c r="AO61" s="202">
        <v>107971.2</v>
      </c>
      <c r="AP61" s="202">
        <v>107971.2</v>
      </c>
      <c r="AQ61" s="198" t="s">
        <v>54</v>
      </c>
      <c r="AR61" s="198" t="s">
        <v>51</v>
      </c>
      <c r="AS61" s="202">
        <v>107971.2</v>
      </c>
      <c r="AT61" s="202">
        <v>107971.2</v>
      </c>
      <c r="AU61" s="198" t="s">
        <v>69</v>
      </c>
      <c r="AV61" s="198" t="s">
        <v>62</v>
      </c>
      <c r="AW61" s="198" t="s">
        <v>54</v>
      </c>
    </row>
    <row r="62" spans="3:49" outlineLevel="2" x14ac:dyDescent="0.25">
      <c r="C62" s="201"/>
      <c r="D62" s="198" t="s">
        <v>670</v>
      </c>
      <c r="H62" s="198" t="s">
        <v>670</v>
      </c>
      <c r="I62" s="202">
        <f t="shared" si="0"/>
        <v>29319907.949999958</v>
      </c>
      <c r="J62" s="202">
        <v>7.0999999999999899</v>
      </c>
      <c r="L62" s="204">
        <v>200</v>
      </c>
      <c r="M62" s="202">
        <v>350000</v>
      </c>
      <c r="N62" s="204"/>
      <c r="P62" s="202"/>
      <c r="Z62" s="201"/>
      <c r="AN62" s="202">
        <v>350000</v>
      </c>
      <c r="AO62" s="202">
        <v>350000</v>
      </c>
      <c r="AP62" s="202">
        <v>350000</v>
      </c>
      <c r="AQ62" s="198" t="s">
        <v>54</v>
      </c>
      <c r="AR62" s="198" t="s">
        <v>51</v>
      </c>
      <c r="AS62" s="202">
        <v>350000</v>
      </c>
      <c r="AT62" s="202">
        <v>350000</v>
      </c>
      <c r="AU62" s="198" t="s">
        <v>69</v>
      </c>
      <c r="AV62" s="198" t="s">
        <v>62</v>
      </c>
      <c r="AW62" s="198" t="s">
        <v>54</v>
      </c>
    </row>
    <row r="63" spans="3:49" outlineLevel="2" x14ac:dyDescent="0.25">
      <c r="C63" s="201"/>
      <c r="D63" s="198" t="s">
        <v>670</v>
      </c>
      <c r="H63" s="198" t="s">
        <v>670</v>
      </c>
      <c r="I63" s="202">
        <f t="shared" si="0"/>
        <v>29732864.399999961</v>
      </c>
      <c r="J63" s="202">
        <v>7.1999999999999904</v>
      </c>
      <c r="L63" s="204">
        <v>600</v>
      </c>
      <c r="M63" s="202">
        <v>1140000</v>
      </c>
      <c r="N63" s="204"/>
      <c r="P63" s="202"/>
      <c r="Z63" s="201"/>
      <c r="AN63" s="202">
        <v>1140000</v>
      </c>
      <c r="AO63" s="202">
        <v>1140000</v>
      </c>
      <c r="AP63" s="202">
        <v>1140000</v>
      </c>
      <c r="AQ63" s="198" t="s">
        <v>54</v>
      </c>
      <c r="AR63" s="198" t="s">
        <v>51</v>
      </c>
      <c r="AS63" s="202">
        <v>1140000</v>
      </c>
      <c r="AT63" s="202">
        <v>1140000</v>
      </c>
      <c r="AU63" s="198" t="s">
        <v>69</v>
      </c>
      <c r="AV63" s="198" t="s">
        <v>62</v>
      </c>
      <c r="AW63" s="198" t="s">
        <v>54</v>
      </c>
    </row>
    <row r="64" spans="3:49" outlineLevel="2" x14ac:dyDescent="0.25">
      <c r="C64" s="201"/>
      <c r="D64" s="198" t="s">
        <v>670</v>
      </c>
      <c r="H64" s="198" t="s">
        <v>670</v>
      </c>
      <c r="I64" s="202">
        <f t="shared" si="0"/>
        <v>30145820.849999961</v>
      </c>
      <c r="J64" s="202">
        <v>7.2999999999999901</v>
      </c>
      <c r="L64" s="204">
        <v>100</v>
      </c>
      <c r="M64" s="202">
        <v>61500</v>
      </c>
      <c r="N64" s="204"/>
      <c r="P64" s="202"/>
      <c r="Z64" s="201"/>
      <c r="AN64" s="202">
        <v>61500</v>
      </c>
      <c r="AO64" s="202">
        <v>61500</v>
      </c>
      <c r="AP64" s="202">
        <v>61500</v>
      </c>
      <c r="AQ64" s="198" t="s">
        <v>54</v>
      </c>
      <c r="AR64" s="198" t="s">
        <v>51</v>
      </c>
      <c r="AS64" s="202">
        <v>61500</v>
      </c>
      <c r="AT64" s="202">
        <v>61500</v>
      </c>
      <c r="AU64" s="198" t="s">
        <v>69</v>
      </c>
      <c r="AV64" s="198" t="s">
        <v>62</v>
      </c>
      <c r="AW64" s="198" t="s">
        <v>54</v>
      </c>
    </row>
    <row r="65" spans="3:49" outlineLevel="2" x14ac:dyDescent="0.25">
      <c r="C65" s="201"/>
      <c r="D65" s="198" t="s">
        <v>670</v>
      </c>
      <c r="H65" s="198" t="s">
        <v>670</v>
      </c>
      <c r="I65" s="202">
        <f t="shared" si="0"/>
        <v>30558777.299999956</v>
      </c>
      <c r="J65" s="202">
        <v>7.3999999999999897</v>
      </c>
      <c r="L65" s="204">
        <v>4</v>
      </c>
      <c r="M65" s="202">
        <v>188000</v>
      </c>
      <c r="N65" s="204"/>
      <c r="P65" s="202"/>
      <c r="Z65" s="201"/>
      <c r="AN65" s="202">
        <v>188000</v>
      </c>
      <c r="AO65" s="202">
        <v>188000</v>
      </c>
      <c r="AP65" s="202">
        <v>188000</v>
      </c>
      <c r="AQ65" s="198" t="s">
        <v>54</v>
      </c>
      <c r="AR65" s="198" t="s">
        <v>51</v>
      </c>
      <c r="AS65" s="202">
        <v>188000</v>
      </c>
      <c r="AT65" s="202">
        <v>188000</v>
      </c>
      <c r="AU65" s="198" t="s">
        <v>69</v>
      </c>
      <c r="AV65" s="198" t="s">
        <v>62</v>
      </c>
      <c r="AW65" s="198" t="s">
        <v>54</v>
      </c>
    </row>
    <row r="66" spans="3:49" outlineLevel="2" x14ac:dyDescent="0.25">
      <c r="C66" s="201"/>
      <c r="D66" s="198" t="s">
        <v>670</v>
      </c>
      <c r="H66" s="198" t="s">
        <v>670</v>
      </c>
      <c r="I66" s="202">
        <f t="shared" si="0"/>
        <v>30971733.749999959</v>
      </c>
      <c r="J66" s="202">
        <v>7.4999999999999902</v>
      </c>
      <c r="L66" s="204">
        <v>9</v>
      </c>
      <c r="M66" s="202">
        <v>58500</v>
      </c>
      <c r="N66" s="204"/>
      <c r="P66" s="202"/>
      <c r="Z66" s="201"/>
      <c r="AN66" s="202">
        <v>58500</v>
      </c>
      <c r="AO66" s="202">
        <v>58500</v>
      </c>
      <c r="AP66" s="202">
        <v>58500</v>
      </c>
      <c r="AQ66" s="198" t="s">
        <v>54</v>
      </c>
      <c r="AR66" s="198" t="s">
        <v>51</v>
      </c>
      <c r="AS66" s="202">
        <v>58500</v>
      </c>
      <c r="AT66" s="202">
        <v>58500</v>
      </c>
      <c r="AU66" s="198" t="s">
        <v>69</v>
      </c>
      <c r="AV66" s="198" t="s">
        <v>62</v>
      </c>
      <c r="AW66" s="198" t="s">
        <v>54</v>
      </c>
    </row>
    <row r="67" spans="3:49" outlineLevel="2" x14ac:dyDescent="0.25">
      <c r="C67" s="201"/>
      <c r="D67" s="198" t="s">
        <v>670</v>
      </c>
      <c r="H67" s="198" t="s">
        <v>670</v>
      </c>
      <c r="I67" s="202">
        <f t="shared" ref="I67:I130" si="1">J67*4129564.5</f>
        <v>31384690.199999958</v>
      </c>
      <c r="J67" s="202">
        <v>7.5999999999999899</v>
      </c>
      <c r="L67" s="204">
        <v>72</v>
      </c>
      <c r="M67" s="202">
        <v>66240</v>
      </c>
      <c r="N67" s="204"/>
      <c r="P67" s="202"/>
      <c r="Z67" s="201"/>
      <c r="AN67" s="202">
        <v>66240</v>
      </c>
      <c r="AO67" s="202">
        <v>66240</v>
      </c>
      <c r="AP67" s="202">
        <v>66240</v>
      </c>
      <c r="AQ67" s="198" t="s">
        <v>54</v>
      </c>
      <c r="AR67" s="198" t="s">
        <v>51</v>
      </c>
      <c r="AS67" s="202">
        <v>66240</v>
      </c>
      <c r="AT67" s="202">
        <v>66240</v>
      </c>
      <c r="AU67" s="198" t="s">
        <v>69</v>
      </c>
      <c r="AV67" s="198" t="s">
        <v>62</v>
      </c>
      <c r="AW67" s="198" t="s">
        <v>54</v>
      </c>
    </row>
    <row r="68" spans="3:49" outlineLevel="2" x14ac:dyDescent="0.25">
      <c r="C68" s="201"/>
      <c r="D68" s="198" t="s">
        <v>670</v>
      </c>
      <c r="H68" s="198" t="s">
        <v>670</v>
      </c>
      <c r="I68" s="202">
        <f t="shared" si="1"/>
        <v>31797646.649999961</v>
      </c>
      <c r="J68" s="202">
        <v>7.6999999999999904</v>
      </c>
      <c r="L68" s="204">
        <v>180</v>
      </c>
      <c r="M68" s="202">
        <v>153000</v>
      </c>
      <c r="N68" s="204"/>
      <c r="P68" s="202"/>
      <c r="Z68" s="201"/>
      <c r="AN68" s="202">
        <v>153000</v>
      </c>
      <c r="AO68" s="202">
        <v>153000</v>
      </c>
      <c r="AP68" s="202">
        <v>153000</v>
      </c>
      <c r="AQ68" s="198" t="s">
        <v>54</v>
      </c>
      <c r="AR68" s="198" t="s">
        <v>51</v>
      </c>
      <c r="AS68" s="202">
        <v>153000</v>
      </c>
      <c r="AT68" s="202">
        <v>153000</v>
      </c>
      <c r="AU68" s="198" t="s">
        <v>69</v>
      </c>
      <c r="AV68" s="198" t="s">
        <v>62</v>
      </c>
      <c r="AW68" s="198" t="s">
        <v>54</v>
      </c>
    </row>
    <row r="69" spans="3:49" outlineLevel="2" x14ac:dyDescent="0.25">
      <c r="C69" s="201"/>
      <c r="D69" s="198" t="s">
        <v>670</v>
      </c>
      <c r="H69" s="198" t="s">
        <v>670</v>
      </c>
      <c r="I69" s="202">
        <f t="shared" si="1"/>
        <v>32210603.099999961</v>
      </c>
      <c r="J69" s="202">
        <v>7.7999999999999901</v>
      </c>
      <c r="L69" s="203">
        <v>0.4</v>
      </c>
      <c r="M69" s="202">
        <v>51996</v>
      </c>
      <c r="N69" s="203"/>
      <c r="P69" s="202"/>
      <c r="Z69" s="201"/>
      <c r="AN69" s="202">
        <v>51996</v>
      </c>
      <c r="AO69" s="202">
        <v>51996</v>
      </c>
      <c r="AP69" s="202">
        <v>51996</v>
      </c>
      <c r="AQ69" s="198" t="s">
        <v>54</v>
      </c>
      <c r="AR69" s="198" t="s">
        <v>51</v>
      </c>
      <c r="AS69" s="202">
        <v>51996</v>
      </c>
      <c r="AT69" s="202">
        <v>51996</v>
      </c>
      <c r="AU69" s="198" t="s">
        <v>69</v>
      </c>
      <c r="AV69" s="198" t="s">
        <v>62</v>
      </c>
      <c r="AW69" s="198" t="s">
        <v>54</v>
      </c>
    </row>
    <row r="70" spans="3:49" outlineLevel="2" x14ac:dyDescent="0.25">
      <c r="C70" s="201"/>
      <c r="D70" s="198" t="s">
        <v>670</v>
      </c>
      <c r="H70" s="198" t="s">
        <v>670</v>
      </c>
      <c r="I70" s="202">
        <f t="shared" si="1"/>
        <v>32623559.549999956</v>
      </c>
      <c r="J70" s="202">
        <v>7.8999999999999897</v>
      </c>
      <c r="L70" s="204">
        <v>240</v>
      </c>
      <c r="M70" s="202">
        <v>262800</v>
      </c>
      <c r="N70" s="204"/>
      <c r="P70" s="202"/>
      <c r="Z70" s="201"/>
      <c r="AN70" s="202">
        <v>262800</v>
      </c>
      <c r="AO70" s="202">
        <v>262800</v>
      </c>
      <c r="AP70" s="202">
        <v>262800</v>
      </c>
      <c r="AQ70" s="198" t="s">
        <v>54</v>
      </c>
      <c r="AR70" s="198" t="s">
        <v>51</v>
      </c>
      <c r="AS70" s="202">
        <v>262800</v>
      </c>
      <c r="AT70" s="202">
        <v>262800</v>
      </c>
      <c r="AU70" s="198" t="s">
        <v>69</v>
      </c>
      <c r="AV70" s="198" t="s">
        <v>62</v>
      </c>
      <c r="AW70" s="198" t="s">
        <v>54</v>
      </c>
    </row>
    <row r="71" spans="3:49" outlineLevel="2" x14ac:dyDescent="0.25">
      <c r="C71" s="201"/>
      <c r="D71" s="198" t="s">
        <v>671</v>
      </c>
      <c r="H71" s="198" t="s">
        <v>671</v>
      </c>
      <c r="I71" s="202">
        <f t="shared" si="1"/>
        <v>33036515.999999959</v>
      </c>
      <c r="J71" s="202">
        <v>7.9999999999999902</v>
      </c>
      <c r="L71" s="203">
        <v>9.6</v>
      </c>
      <c r="M71" s="202">
        <v>945504</v>
      </c>
      <c r="N71" s="203"/>
      <c r="P71" s="202"/>
      <c r="Z71" s="201"/>
      <c r="AN71" s="202">
        <v>945504</v>
      </c>
      <c r="AO71" s="202">
        <v>945504</v>
      </c>
      <c r="AP71" s="202">
        <v>945504</v>
      </c>
      <c r="AQ71" s="198" t="s">
        <v>54</v>
      </c>
      <c r="AR71" s="198" t="s">
        <v>51</v>
      </c>
      <c r="AS71" s="202">
        <v>189888.72</v>
      </c>
      <c r="AT71" s="202">
        <v>189888.72</v>
      </c>
      <c r="AU71" s="198" t="s">
        <v>69</v>
      </c>
      <c r="AV71" s="198" t="s">
        <v>62</v>
      </c>
      <c r="AW71" s="198" t="s">
        <v>54</v>
      </c>
    </row>
    <row r="72" spans="3:49" outlineLevel="2" x14ac:dyDescent="0.25">
      <c r="C72" s="201"/>
      <c r="D72" s="198" t="s">
        <v>671</v>
      </c>
      <c r="H72" s="198" t="s">
        <v>671</v>
      </c>
      <c r="I72" s="202">
        <f t="shared" si="1"/>
        <v>33449472.449999962</v>
      </c>
      <c r="J72" s="202">
        <v>8.0999999999999908</v>
      </c>
      <c r="L72" s="203">
        <v>0.4</v>
      </c>
      <c r="M72" s="202">
        <v>41996.800000000003</v>
      </c>
      <c r="N72" s="203"/>
      <c r="P72" s="202"/>
      <c r="Z72" s="201"/>
      <c r="AN72" s="202">
        <v>41996.800000000003</v>
      </c>
      <c r="AO72" s="202">
        <v>41996.800000000003</v>
      </c>
      <c r="AP72" s="202">
        <v>41996.800000000003</v>
      </c>
      <c r="AQ72" s="198" t="s">
        <v>54</v>
      </c>
      <c r="AR72" s="198" t="s">
        <v>51</v>
      </c>
      <c r="AS72" s="202">
        <v>20998.400000000001</v>
      </c>
      <c r="AT72" s="202">
        <v>20998.400000000001</v>
      </c>
      <c r="AU72" s="198" t="s">
        <v>69</v>
      </c>
      <c r="AV72" s="198" t="s">
        <v>62</v>
      </c>
      <c r="AW72" s="198" t="s">
        <v>54</v>
      </c>
    </row>
    <row r="73" spans="3:49" outlineLevel="2" x14ac:dyDescent="0.25">
      <c r="C73" s="201"/>
      <c r="D73" s="198" t="s">
        <v>671</v>
      </c>
      <c r="H73" s="198" t="s">
        <v>671</v>
      </c>
      <c r="I73" s="202">
        <f t="shared" si="1"/>
        <v>33862428.899999961</v>
      </c>
      <c r="J73" s="202">
        <v>8.1999999999999904</v>
      </c>
      <c r="L73" s="203">
        <v>0.3</v>
      </c>
      <c r="M73" s="202">
        <v>53985.599999999999</v>
      </c>
      <c r="N73" s="203"/>
      <c r="P73" s="202"/>
      <c r="Z73" s="201"/>
      <c r="AN73" s="202">
        <v>53985.599999999999</v>
      </c>
      <c r="AO73" s="202">
        <v>53985.599999999999</v>
      </c>
      <c r="AP73" s="202">
        <v>53985.599999999999</v>
      </c>
      <c r="AQ73" s="198" t="s">
        <v>54</v>
      </c>
      <c r="AR73" s="198" t="s">
        <v>51</v>
      </c>
      <c r="AS73" s="202">
        <v>5038.66</v>
      </c>
      <c r="AT73" s="202">
        <v>5038.66</v>
      </c>
      <c r="AU73" s="198" t="s">
        <v>69</v>
      </c>
      <c r="AV73" s="198" t="s">
        <v>62</v>
      </c>
      <c r="AW73" s="198" t="s">
        <v>54</v>
      </c>
    </row>
    <row r="74" spans="3:49" outlineLevel="2" x14ac:dyDescent="0.25">
      <c r="C74" s="201"/>
      <c r="D74" s="198" t="s">
        <v>671</v>
      </c>
      <c r="H74" s="198" t="s">
        <v>671</v>
      </c>
      <c r="I74" s="202">
        <f t="shared" si="1"/>
        <v>34275385.349999957</v>
      </c>
      <c r="J74" s="202">
        <v>8.2999999999999901</v>
      </c>
      <c r="L74" s="203">
        <v>2.6</v>
      </c>
      <c r="M74" s="202">
        <v>337974</v>
      </c>
      <c r="N74" s="203"/>
      <c r="P74" s="202"/>
      <c r="Z74" s="201"/>
      <c r="AN74" s="202">
        <v>337974</v>
      </c>
      <c r="AO74" s="202">
        <v>337974</v>
      </c>
      <c r="AP74" s="202">
        <v>337974</v>
      </c>
      <c r="AQ74" s="198" t="s">
        <v>54</v>
      </c>
      <c r="AR74" s="198" t="s">
        <v>51</v>
      </c>
      <c r="AS74" s="202">
        <v>155988</v>
      </c>
      <c r="AT74" s="202">
        <v>155988</v>
      </c>
      <c r="AU74" s="198" t="s">
        <v>69</v>
      </c>
      <c r="AV74" s="198" t="s">
        <v>62</v>
      </c>
      <c r="AW74" s="198" t="s">
        <v>54</v>
      </c>
    </row>
    <row r="75" spans="3:49" outlineLevel="2" x14ac:dyDescent="0.25">
      <c r="C75" s="201"/>
      <c r="D75" s="198" t="s">
        <v>672</v>
      </c>
      <c r="H75" s="198" t="s">
        <v>672</v>
      </c>
      <c r="I75" s="202">
        <f t="shared" si="1"/>
        <v>34688341.79999996</v>
      </c>
      <c r="J75" s="202">
        <v>8.3999999999999897</v>
      </c>
      <c r="L75" s="204">
        <v>42</v>
      </c>
      <c r="M75" s="202">
        <v>3590580</v>
      </c>
      <c r="N75" s="203"/>
      <c r="P75" s="202"/>
      <c r="Z75" s="201"/>
      <c r="AN75" s="202">
        <v>3590580</v>
      </c>
      <c r="AO75" s="202">
        <v>3590580</v>
      </c>
      <c r="AP75" s="202">
        <v>3590580</v>
      </c>
      <c r="AQ75" s="198" t="s">
        <v>54</v>
      </c>
      <c r="AR75" s="198" t="s">
        <v>51</v>
      </c>
      <c r="AS75" s="202">
        <v>1326377.3500000001</v>
      </c>
      <c r="AT75" s="202">
        <v>1326377.3500000001</v>
      </c>
      <c r="AU75" s="198" t="s">
        <v>69</v>
      </c>
      <c r="AV75" s="198" t="s">
        <v>62</v>
      </c>
      <c r="AW75" s="198" t="s">
        <v>54</v>
      </c>
    </row>
    <row r="76" spans="3:49" outlineLevel="2" x14ac:dyDescent="0.25">
      <c r="C76" s="201"/>
      <c r="D76" s="198" t="s">
        <v>672</v>
      </c>
      <c r="H76" s="198" t="s">
        <v>672</v>
      </c>
      <c r="I76" s="202">
        <f t="shared" si="1"/>
        <v>35101298.249999955</v>
      </c>
      <c r="J76" s="202">
        <v>8.4999999999999893</v>
      </c>
      <c r="L76" s="203">
        <v>88.83</v>
      </c>
      <c r="M76" s="202">
        <v>8748866.6999999993</v>
      </c>
      <c r="N76" s="203"/>
      <c r="P76" s="202"/>
      <c r="Z76" s="201"/>
      <c r="AN76" s="202">
        <v>8748866.6999999993</v>
      </c>
      <c r="AO76" s="202">
        <v>8748866.6999999993</v>
      </c>
      <c r="AP76" s="202">
        <v>8748866.6999999993</v>
      </c>
      <c r="AQ76" s="198" t="s">
        <v>54</v>
      </c>
      <c r="AR76" s="198" t="s">
        <v>51</v>
      </c>
      <c r="AS76" s="202">
        <v>1740219.81</v>
      </c>
      <c r="AT76" s="202">
        <v>1740219.81</v>
      </c>
      <c r="AU76" s="198" t="s">
        <v>69</v>
      </c>
      <c r="AV76" s="198" t="s">
        <v>62</v>
      </c>
      <c r="AW76" s="198" t="s">
        <v>54</v>
      </c>
    </row>
    <row r="77" spans="3:49" outlineLevel="2" x14ac:dyDescent="0.25">
      <c r="C77" s="201"/>
      <c r="D77" s="198" t="s">
        <v>672</v>
      </c>
      <c r="H77" s="198" t="s">
        <v>672</v>
      </c>
      <c r="I77" s="202">
        <f t="shared" si="1"/>
        <v>35514254.699999958</v>
      </c>
      <c r="J77" s="202">
        <v>8.5999999999999908</v>
      </c>
      <c r="L77" s="203">
        <v>5.67</v>
      </c>
      <c r="M77" s="202">
        <v>595304.64</v>
      </c>
      <c r="N77" s="203"/>
      <c r="P77" s="202"/>
      <c r="Z77" s="201"/>
      <c r="AN77" s="202">
        <v>595304.64</v>
      </c>
      <c r="AO77" s="202">
        <v>595304.64</v>
      </c>
      <c r="AP77" s="202">
        <v>595304.64</v>
      </c>
      <c r="AQ77" s="198" t="s">
        <v>54</v>
      </c>
      <c r="AR77" s="198" t="s">
        <v>51</v>
      </c>
      <c r="AS77" s="202">
        <v>460809.89</v>
      </c>
      <c r="AT77" s="202">
        <v>460809.89</v>
      </c>
      <c r="AU77" s="198" t="s">
        <v>69</v>
      </c>
      <c r="AV77" s="198" t="s">
        <v>62</v>
      </c>
      <c r="AW77" s="198" t="s">
        <v>54</v>
      </c>
    </row>
    <row r="78" spans="3:49" outlineLevel="2" x14ac:dyDescent="0.25">
      <c r="C78" s="201"/>
      <c r="D78" s="198" t="s">
        <v>672</v>
      </c>
      <c r="H78" s="198" t="s">
        <v>672</v>
      </c>
      <c r="I78" s="202">
        <f t="shared" si="1"/>
        <v>35927211.149999961</v>
      </c>
      <c r="J78" s="202">
        <v>8.6999999999999904</v>
      </c>
      <c r="L78" s="203">
        <v>4.2</v>
      </c>
      <c r="M78" s="202">
        <v>755798.4</v>
      </c>
      <c r="N78" s="203"/>
      <c r="P78" s="202"/>
      <c r="Z78" s="201"/>
      <c r="AN78" s="202">
        <v>755798.4</v>
      </c>
      <c r="AO78" s="202">
        <v>755798.4</v>
      </c>
      <c r="AP78" s="202">
        <v>755798.4</v>
      </c>
      <c r="AQ78" s="198" t="s">
        <v>54</v>
      </c>
      <c r="AR78" s="198" t="s">
        <v>51</v>
      </c>
      <c r="AS78" s="202">
        <v>340109.28</v>
      </c>
      <c r="AT78" s="202">
        <v>340109.28</v>
      </c>
      <c r="AU78" s="198" t="s">
        <v>69</v>
      </c>
      <c r="AV78" s="198" t="s">
        <v>62</v>
      </c>
      <c r="AW78" s="198" t="s">
        <v>54</v>
      </c>
    </row>
    <row r="79" spans="3:49" outlineLevel="2" x14ac:dyDescent="0.25">
      <c r="C79" s="201"/>
      <c r="D79" s="198" t="s">
        <v>672</v>
      </c>
      <c r="H79" s="198" t="s">
        <v>672</v>
      </c>
      <c r="I79" s="202">
        <f t="shared" si="1"/>
        <v>36340167.599999957</v>
      </c>
      <c r="J79" s="202">
        <v>8.7999999999999901</v>
      </c>
      <c r="L79" s="204">
        <v>21</v>
      </c>
      <c r="M79" s="202">
        <v>2729790</v>
      </c>
      <c r="N79" s="203"/>
      <c r="P79" s="202"/>
      <c r="Z79" s="201"/>
      <c r="AN79" s="202">
        <v>2729790</v>
      </c>
      <c r="AO79" s="202">
        <v>2729790</v>
      </c>
      <c r="AP79" s="202">
        <v>2729790</v>
      </c>
      <c r="AQ79" s="198" t="s">
        <v>54</v>
      </c>
      <c r="AR79" s="198" t="s">
        <v>51</v>
      </c>
      <c r="AS79" s="202">
        <v>1541681.4</v>
      </c>
      <c r="AT79" s="202">
        <v>1541681.4</v>
      </c>
      <c r="AU79" s="198" t="s">
        <v>69</v>
      </c>
      <c r="AV79" s="198" t="s">
        <v>62</v>
      </c>
      <c r="AW79" s="198" t="s">
        <v>54</v>
      </c>
    </row>
    <row r="80" spans="3:49" outlineLevel="2" x14ac:dyDescent="0.25">
      <c r="C80" s="201"/>
      <c r="D80" s="198" t="s">
        <v>110</v>
      </c>
      <c r="H80" s="198" t="s">
        <v>110</v>
      </c>
      <c r="I80" s="202">
        <f t="shared" si="1"/>
        <v>36753124.04999996</v>
      </c>
      <c r="J80" s="202">
        <v>8.8999999999999897</v>
      </c>
      <c r="L80" s="203">
        <v>12.42</v>
      </c>
      <c r="M80" s="202">
        <v>1161145.8</v>
      </c>
      <c r="N80" s="203"/>
      <c r="P80" s="202"/>
      <c r="Z80" s="201"/>
      <c r="AN80" s="202">
        <v>1161145.8</v>
      </c>
      <c r="AO80" s="202">
        <v>1161145.8</v>
      </c>
      <c r="AP80" s="202">
        <v>1161145.8</v>
      </c>
      <c r="AQ80" s="198" t="s">
        <v>54</v>
      </c>
      <c r="AR80" s="198" t="s">
        <v>51</v>
      </c>
      <c r="AS80" s="202">
        <v>791112.38</v>
      </c>
      <c r="AT80" s="202">
        <v>791112.38</v>
      </c>
      <c r="AU80" s="198" t="s">
        <v>69</v>
      </c>
      <c r="AV80" s="198" t="s">
        <v>62</v>
      </c>
      <c r="AW80" s="198" t="s">
        <v>54</v>
      </c>
    </row>
    <row r="81" spans="3:49" outlineLevel="2" x14ac:dyDescent="0.25">
      <c r="C81" s="201"/>
      <c r="D81" s="198" t="s">
        <v>110</v>
      </c>
      <c r="H81" s="198" t="s">
        <v>110</v>
      </c>
      <c r="I81" s="202">
        <f t="shared" si="1"/>
        <v>37166080.499999955</v>
      </c>
      <c r="J81" s="202">
        <v>8.9999999999999893</v>
      </c>
      <c r="L81" s="204">
        <v>108</v>
      </c>
      <c r="M81" s="202">
        <v>9232920</v>
      </c>
      <c r="N81" s="203"/>
      <c r="P81" s="202"/>
      <c r="Z81" s="201"/>
      <c r="AN81" s="202">
        <v>9232920</v>
      </c>
      <c r="AO81" s="202">
        <v>9232920</v>
      </c>
      <c r="AP81" s="202">
        <v>9232920</v>
      </c>
      <c r="AQ81" s="198" t="s">
        <v>54</v>
      </c>
      <c r="AR81" s="198" t="s">
        <v>51</v>
      </c>
      <c r="AS81" s="202">
        <v>6441927.9699999997</v>
      </c>
      <c r="AT81" s="202">
        <v>6441927.9699999997</v>
      </c>
      <c r="AU81" s="198" t="s">
        <v>69</v>
      </c>
      <c r="AV81" s="198" t="s">
        <v>62</v>
      </c>
      <c r="AW81" s="198" t="s">
        <v>54</v>
      </c>
    </row>
    <row r="82" spans="3:49" outlineLevel="2" x14ac:dyDescent="0.25">
      <c r="C82" s="201"/>
      <c r="D82" s="198" t="s">
        <v>110</v>
      </c>
      <c r="H82" s="198" t="s">
        <v>110</v>
      </c>
      <c r="I82" s="202">
        <f t="shared" si="1"/>
        <v>37579036.949999958</v>
      </c>
      <c r="J82" s="202">
        <v>9.0999999999999908</v>
      </c>
      <c r="L82" s="203">
        <v>228.42</v>
      </c>
      <c r="M82" s="202">
        <v>22497085.800000001</v>
      </c>
      <c r="N82" s="203"/>
      <c r="P82" s="202"/>
      <c r="Z82" s="201"/>
      <c r="AN82" s="202">
        <v>22497085.800000001</v>
      </c>
      <c r="AO82" s="202">
        <v>22497085.800000001</v>
      </c>
      <c r="AP82" s="202">
        <v>22497085.800000001</v>
      </c>
      <c r="AQ82" s="198" t="s">
        <v>54</v>
      </c>
      <c r="AR82" s="198" t="s">
        <v>51</v>
      </c>
      <c r="AS82" s="202">
        <v>20562446.73</v>
      </c>
      <c r="AT82" s="202">
        <v>20562446.73</v>
      </c>
      <c r="AU82" s="198" t="s">
        <v>69</v>
      </c>
      <c r="AV82" s="198" t="s">
        <v>62</v>
      </c>
      <c r="AW82" s="198" t="s">
        <v>54</v>
      </c>
    </row>
    <row r="83" spans="3:49" outlineLevel="2" x14ac:dyDescent="0.25">
      <c r="C83" s="201"/>
      <c r="D83" s="198" t="s">
        <v>110</v>
      </c>
      <c r="H83" s="198" t="s">
        <v>110</v>
      </c>
      <c r="I83" s="202">
        <f t="shared" si="1"/>
        <v>37991993.399999961</v>
      </c>
      <c r="J83" s="202">
        <v>9.1999999999999904</v>
      </c>
      <c r="L83" s="203">
        <v>14.58</v>
      </c>
      <c r="M83" s="202">
        <v>1530783.36</v>
      </c>
      <c r="N83" s="203"/>
      <c r="P83" s="202"/>
      <c r="Z83" s="201"/>
      <c r="AN83" s="202">
        <v>1530783.36</v>
      </c>
      <c r="AO83" s="202">
        <v>1530783.36</v>
      </c>
      <c r="AP83" s="202">
        <v>1530783.36</v>
      </c>
      <c r="AQ83" s="198" t="s">
        <v>54</v>
      </c>
      <c r="AR83" s="198" t="s">
        <v>51</v>
      </c>
      <c r="AS83" s="202">
        <v>1229981.28</v>
      </c>
      <c r="AT83" s="202">
        <v>1229981.28</v>
      </c>
      <c r="AU83" s="198" t="s">
        <v>69</v>
      </c>
      <c r="AV83" s="198" t="s">
        <v>62</v>
      </c>
      <c r="AW83" s="198" t="s">
        <v>54</v>
      </c>
    </row>
    <row r="84" spans="3:49" outlineLevel="2" x14ac:dyDescent="0.25">
      <c r="C84" s="201"/>
      <c r="D84" s="198" t="s">
        <v>110</v>
      </c>
      <c r="H84" s="198" t="s">
        <v>110</v>
      </c>
      <c r="I84" s="202">
        <f t="shared" si="1"/>
        <v>38404949.849999957</v>
      </c>
      <c r="J84" s="202">
        <v>9.2999999999999901</v>
      </c>
      <c r="L84" s="203">
        <v>10.8</v>
      </c>
      <c r="M84" s="202">
        <v>1943481.6</v>
      </c>
      <c r="N84" s="203"/>
      <c r="P84" s="202"/>
      <c r="Z84" s="201"/>
      <c r="AN84" s="202">
        <v>1943481.6</v>
      </c>
      <c r="AO84" s="202">
        <v>1943481.6</v>
      </c>
      <c r="AP84" s="202">
        <v>1943481.6</v>
      </c>
      <c r="AQ84" s="198" t="s">
        <v>54</v>
      </c>
      <c r="AR84" s="198" t="s">
        <v>51</v>
      </c>
      <c r="AS84" s="202">
        <v>1943481.6</v>
      </c>
      <c r="AT84" s="202">
        <v>1943481.6</v>
      </c>
      <c r="AU84" s="198" t="s">
        <v>69</v>
      </c>
      <c r="AV84" s="198" t="s">
        <v>62</v>
      </c>
      <c r="AW84" s="198" t="s">
        <v>54</v>
      </c>
    </row>
    <row r="85" spans="3:49" outlineLevel="2" x14ac:dyDescent="0.25">
      <c r="C85" s="201"/>
      <c r="D85" s="198" t="s">
        <v>110</v>
      </c>
      <c r="H85" s="198" t="s">
        <v>110</v>
      </c>
      <c r="I85" s="202">
        <f t="shared" si="1"/>
        <v>38817906.29999996</v>
      </c>
      <c r="J85" s="202">
        <v>9.3999999999999897</v>
      </c>
      <c r="L85" s="203">
        <v>12342.78</v>
      </c>
      <c r="M85" s="202">
        <v>7837665.2999999998</v>
      </c>
      <c r="N85" s="203"/>
      <c r="P85" s="202"/>
      <c r="Z85" s="201"/>
      <c r="AN85" s="202">
        <v>7837665.2999999998</v>
      </c>
      <c r="AO85" s="202">
        <v>7837665.2999999998</v>
      </c>
      <c r="AP85" s="202">
        <v>7837665.2999999998</v>
      </c>
      <c r="AQ85" s="198" t="s">
        <v>54</v>
      </c>
      <c r="AR85" s="198" t="s">
        <v>51</v>
      </c>
      <c r="AS85" s="202">
        <v>7837665.2999999998</v>
      </c>
      <c r="AT85" s="202">
        <v>7837665.2999999998</v>
      </c>
      <c r="AU85" s="198" t="s">
        <v>69</v>
      </c>
      <c r="AV85" s="198" t="s">
        <v>62</v>
      </c>
      <c r="AW85" s="198" t="s">
        <v>54</v>
      </c>
    </row>
    <row r="86" spans="3:49" outlineLevel="2" x14ac:dyDescent="0.25">
      <c r="C86" s="201"/>
      <c r="D86" s="198" t="s">
        <v>110</v>
      </c>
      <c r="H86" s="198" t="s">
        <v>110</v>
      </c>
      <c r="I86" s="202">
        <f t="shared" si="1"/>
        <v>39230862.749999955</v>
      </c>
      <c r="J86" s="202">
        <v>9.4999999999999893</v>
      </c>
      <c r="L86" s="204">
        <v>54</v>
      </c>
      <c r="M86" s="202">
        <v>7019460</v>
      </c>
      <c r="N86" s="204"/>
      <c r="P86" s="202"/>
      <c r="Z86" s="201"/>
      <c r="AN86" s="202">
        <v>7019460</v>
      </c>
      <c r="AO86" s="202">
        <v>7019460</v>
      </c>
      <c r="AP86" s="202">
        <v>7019460</v>
      </c>
      <c r="AQ86" s="198" t="s">
        <v>54</v>
      </c>
      <c r="AR86" s="198" t="s">
        <v>51</v>
      </c>
      <c r="AS86" s="202">
        <v>7019460</v>
      </c>
      <c r="AT86" s="202">
        <v>7019460</v>
      </c>
      <c r="AU86" s="198" t="s">
        <v>69</v>
      </c>
      <c r="AV86" s="198" t="s">
        <v>62</v>
      </c>
      <c r="AW86" s="198" t="s">
        <v>54</v>
      </c>
    </row>
    <row r="87" spans="3:49" outlineLevel="2" x14ac:dyDescent="0.25">
      <c r="C87" s="201"/>
      <c r="D87" s="198" t="s">
        <v>111</v>
      </c>
      <c r="H87" s="198" t="s">
        <v>111</v>
      </c>
      <c r="I87" s="202">
        <f t="shared" si="1"/>
        <v>39643819.199999958</v>
      </c>
      <c r="J87" s="202">
        <v>9.5999999999999908</v>
      </c>
      <c r="L87" s="204">
        <v>1</v>
      </c>
      <c r="M87" s="202">
        <v>0.01</v>
      </c>
      <c r="N87" s="204"/>
      <c r="P87" s="202"/>
      <c r="Z87" s="201"/>
      <c r="AN87" s="202">
        <v>0.01</v>
      </c>
      <c r="AO87" s="202">
        <v>0.01</v>
      </c>
      <c r="AP87" s="202">
        <v>0.01</v>
      </c>
      <c r="AQ87" s="198" t="s">
        <v>54</v>
      </c>
      <c r="AR87" s="198" t="s">
        <v>51</v>
      </c>
      <c r="AS87" s="202">
        <v>0.01</v>
      </c>
      <c r="AT87" s="202">
        <v>0.01</v>
      </c>
      <c r="AU87" s="198" t="s">
        <v>69</v>
      </c>
      <c r="AV87" s="198" t="s">
        <v>62</v>
      </c>
      <c r="AW87" s="198" t="s">
        <v>54</v>
      </c>
    </row>
    <row r="88" spans="3:49" outlineLevel="2" x14ac:dyDescent="0.25">
      <c r="C88" s="201"/>
      <c r="D88" s="198" t="s">
        <v>669</v>
      </c>
      <c r="H88" s="198" t="s">
        <v>669</v>
      </c>
      <c r="I88" s="202">
        <f t="shared" si="1"/>
        <v>40056775.649999961</v>
      </c>
      <c r="J88" s="202">
        <v>9.6999999999999904</v>
      </c>
      <c r="L88" s="204">
        <v>112</v>
      </c>
      <c r="M88" s="202">
        <v>9574880</v>
      </c>
      <c r="N88" s="203"/>
      <c r="P88" s="202"/>
      <c r="Z88" s="201"/>
      <c r="AN88" s="202">
        <v>9574880</v>
      </c>
      <c r="AO88" s="202">
        <v>9574880</v>
      </c>
      <c r="AP88" s="202">
        <v>9574880</v>
      </c>
      <c r="AQ88" s="198" t="s">
        <v>54</v>
      </c>
      <c r="AR88" s="198" t="s">
        <v>51</v>
      </c>
      <c r="AS88" s="202">
        <v>9375346.3399999999</v>
      </c>
      <c r="AT88" s="202">
        <v>9375346.3399999999</v>
      </c>
      <c r="AU88" s="198" t="s">
        <v>69</v>
      </c>
      <c r="AV88" s="198" t="s">
        <v>62</v>
      </c>
      <c r="AW88" s="198" t="s">
        <v>54</v>
      </c>
    </row>
    <row r="89" spans="3:49" outlineLevel="2" x14ac:dyDescent="0.25">
      <c r="C89" s="201"/>
      <c r="D89" s="198" t="s">
        <v>669</v>
      </c>
      <c r="H89" s="198" t="s">
        <v>669</v>
      </c>
      <c r="I89" s="202">
        <f t="shared" si="1"/>
        <v>40469732.099999957</v>
      </c>
      <c r="J89" s="202">
        <v>9.7999999999999901</v>
      </c>
      <c r="L89" s="203">
        <v>236.88</v>
      </c>
      <c r="M89" s="202">
        <v>23330311.199999999</v>
      </c>
      <c r="N89" s="203"/>
      <c r="P89" s="202"/>
      <c r="Z89" s="201"/>
      <c r="AN89" s="202">
        <v>23330311.199999999</v>
      </c>
      <c r="AO89" s="202">
        <v>23330311.199999999</v>
      </c>
      <c r="AP89" s="202">
        <v>23330311.199999999</v>
      </c>
      <c r="AQ89" s="198" t="s">
        <v>54</v>
      </c>
      <c r="AR89" s="198" t="s">
        <v>51</v>
      </c>
      <c r="AS89" s="202">
        <v>12406194.359999999</v>
      </c>
      <c r="AT89" s="202">
        <v>12406194.359999999</v>
      </c>
      <c r="AU89" s="198" t="s">
        <v>69</v>
      </c>
      <c r="AV89" s="198" t="s">
        <v>62</v>
      </c>
      <c r="AW89" s="198" t="s">
        <v>54</v>
      </c>
    </row>
    <row r="90" spans="3:49" outlineLevel="2" x14ac:dyDescent="0.25">
      <c r="C90" s="201"/>
      <c r="D90" s="198" t="s">
        <v>669</v>
      </c>
      <c r="H90" s="198" t="s">
        <v>669</v>
      </c>
      <c r="I90" s="202">
        <f t="shared" si="1"/>
        <v>40882688.54999996</v>
      </c>
      <c r="J90" s="202">
        <v>9.8999999999999897</v>
      </c>
      <c r="L90" s="204">
        <v>56</v>
      </c>
      <c r="M90" s="202">
        <v>7279440</v>
      </c>
      <c r="N90" s="203"/>
      <c r="P90" s="202"/>
      <c r="Z90" s="201"/>
      <c r="AN90" s="202">
        <v>7279440</v>
      </c>
      <c r="AO90" s="202">
        <v>7279440</v>
      </c>
      <c r="AP90" s="202">
        <v>7279440</v>
      </c>
      <c r="AQ90" s="198" t="s">
        <v>54</v>
      </c>
      <c r="AR90" s="198" t="s">
        <v>51</v>
      </c>
      <c r="AS90" s="202">
        <v>7183767.3600000003</v>
      </c>
      <c r="AT90" s="202">
        <v>7183767.3600000003</v>
      </c>
      <c r="AU90" s="198" t="s">
        <v>69</v>
      </c>
      <c r="AV90" s="198" t="s">
        <v>62</v>
      </c>
      <c r="AW90" s="198" t="s">
        <v>54</v>
      </c>
    </row>
    <row r="91" spans="3:49" outlineLevel="2" x14ac:dyDescent="0.25">
      <c r="C91" s="201"/>
      <c r="D91" s="198" t="s">
        <v>138</v>
      </c>
      <c r="H91" s="198" t="s">
        <v>138</v>
      </c>
      <c r="I91" s="202">
        <f t="shared" si="1"/>
        <v>41295644.999999955</v>
      </c>
      <c r="J91" s="202">
        <v>9.9999999999999893</v>
      </c>
      <c r="L91" s="203">
        <v>457.2</v>
      </c>
      <c r="M91" s="202">
        <v>41102.28</v>
      </c>
      <c r="N91" s="203"/>
      <c r="P91" s="202"/>
      <c r="Z91" s="201"/>
      <c r="AN91" s="202">
        <v>41102.28</v>
      </c>
      <c r="AO91" s="202">
        <v>41102.28</v>
      </c>
      <c r="AP91" s="202">
        <v>41102.28</v>
      </c>
      <c r="AQ91" s="198" t="s">
        <v>54</v>
      </c>
      <c r="AR91" s="198" t="s">
        <v>51</v>
      </c>
      <c r="AS91" s="202">
        <v>41102.28</v>
      </c>
      <c r="AT91" s="202">
        <v>41102.28</v>
      </c>
      <c r="AU91" s="198" t="s">
        <v>69</v>
      </c>
      <c r="AV91" s="198" t="s">
        <v>62</v>
      </c>
      <c r="AW91" s="198" t="s">
        <v>54</v>
      </c>
    </row>
    <row r="92" spans="3:49" outlineLevel="2" x14ac:dyDescent="0.25">
      <c r="C92" s="201"/>
      <c r="D92" s="198" t="s">
        <v>669</v>
      </c>
      <c r="H92" s="198" t="s">
        <v>669</v>
      </c>
      <c r="I92" s="202">
        <f t="shared" si="1"/>
        <v>41708601.449999996</v>
      </c>
      <c r="J92" s="202">
        <v>10.1</v>
      </c>
      <c r="L92" s="203">
        <v>47.375999999999998</v>
      </c>
      <c r="M92" s="202">
        <v>4802599.87</v>
      </c>
      <c r="N92" s="203"/>
      <c r="P92" s="202"/>
      <c r="Z92" s="201"/>
      <c r="AN92" s="202">
        <v>4802599.87</v>
      </c>
      <c r="AO92" s="202">
        <v>4802599.87</v>
      </c>
      <c r="AP92" s="202">
        <v>4802599.87</v>
      </c>
      <c r="AQ92" s="198" t="s">
        <v>54</v>
      </c>
      <c r="AR92" s="198" t="s">
        <v>51</v>
      </c>
      <c r="AS92" s="202">
        <v>2247417.2400000002</v>
      </c>
      <c r="AT92" s="202">
        <v>2247417.2400000002</v>
      </c>
      <c r="AU92" s="198" t="s">
        <v>69</v>
      </c>
      <c r="AV92" s="198" t="s">
        <v>62</v>
      </c>
      <c r="AW92" s="198" t="s">
        <v>54</v>
      </c>
    </row>
    <row r="93" spans="3:49" outlineLevel="2" x14ac:dyDescent="0.25">
      <c r="C93" s="201"/>
      <c r="D93" s="198" t="s">
        <v>184</v>
      </c>
      <c r="H93" s="198" t="s">
        <v>184</v>
      </c>
      <c r="I93" s="202">
        <f t="shared" si="1"/>
        <v>42121557.899999999</v>
      </c>
      <c r="J93" s="202">
        <v>10.199999999999999</v>
      </c>
      <c r="L93" s="203">
        <v>11.5</v>
      </c>
      <c r="M93" s="202">
        <v>1132635</v>
      </c>
      <c r="N93" s="203"/>
      <c r="P93" s="202"/>
      <c r="Z93" s="201"/>
      <c r="AN93" s="202">
        <v>1132635</v>
      </c>
      <c r="AO93" s="202">
        <v>1132635</v>
      </c>
      <c r="AP93" s="202">
        <v>1132635</v>
      </c>
      <c r="AQ93" s="198" t="s">
        <v>54</v>
      </c>
      <c r="AR93" s="198" t="s">
        <v>51</v>
      </c>
      <c r="AS93" s="202">
        <v>188115.9</v>
      </c>
      <c r="AT93" s="202">
        <v>188115.9</v>
      </c>
      <c r="AU93" s="198" t="s">
        <v>69</v>
      </c>
      <c r="AV93" s="198" t="s">
        <v>62</v>
      </c>
      <c r="AW93" s="198" t="s">
        <v>54</v>
      </c>
    </row>
    <row r="94" spans="3:49" outlineLevel="2" x14ac:dyDescent="0.25">
      <c r="C94" s="201"/>
      <c r="D94" s="198" t="s">
        <v>184</v>
      </c>
      <c r="H94" s="198" t="s">
        <v>184</v>
      </c>
      <c r="I94" s="202">
        <f t="shared" si="1"/>
        <v>42534514.350000001</v>
      </c>
      <c r="J94" s="202">
        <v>10.3</v>
      </c>
      <c r="L94" s="203">
        <v>0.375</v>
      </c>
      <c r="M94" s="202">
        <v>67482</v>
      </c>
      <c r="N94" s="203"/>
      <c r="P94" s="202"/>
      <c r="Z94" s="201"/>
      <c r="AN94" s="202">
        <v>67482</v>
      </c>
      <c r="AO94" s="202">
        <v>67482</v>
      </c>
      <c r="AP94" s="202">
        <v>67482</v>
      </c>
      <c r="AQ94" s="198" t="s">
        <v>54</v>
      </c>
      <c r="AR94" s="198" t="s">
        <v>51</v>
      </c>
      <c r="AS94" s="202">
        <v>6298.32</v>
      </c>
      <c r="AT94" s="202">
        <v>6298.32</v>
      </c>
      <c r="AU94" s="198" t="s">
        <v>69</v>
      </c>
      <c r="AV94" s="198" t="s">
        <v>62</v>
      </c>
      <c r="AW94" s="198" t="s">
        <v>54</v>
      </c>
    </row>
    <row r="95" spans="3:49" outlineLevel="2" x14ac:dyDescent="0.25">
      <c r="C95" s="201"/>
      <c r="D95" s="198" t="s">
        <v>184</v>
      </c>
      <c r="H95" s="198" t="s">
        <v>184</v>
      </c>
      <c r="I95" s="202">
        <f t="shared" si="1"/>
        <v>42947470.800000004</v>
      </c>
      <c r="J95" s="202">
        <v>10.4</v>
      </c>
      <c r="L95" s="203">
        <v>3.25</v>
      </c>
      <c r="M95" s="202">
        <v>422467.5</v>
      </c>
      <c r="N95" s="203"/>
      <c r="P95" s="202"/>
      <c r="Z95" s="201"/>
      <c r="AN95" s="202">
        <v>422467.5</v>
      </c>
      <c r="AO95" s="202">
        <v>422467.5</v>
      </c>
      <c r="AP95" s="202">
        <v>422467.5</v>
      </c>
      <c r="AQ95" s="198" t="s">
        <v>54</v>
      </c>
      <c r="AR95" s="198" t="s">
        <v>51</v>
      </c>
      <c r="AS95" s="202">
        <v>194985</v>
      </c>
      <c r="AT95" s="202">
        <v>194985</v>
      </c>
      <c r="AU95" s="198" t="s">
        <v>69</v>
      </c>
      <c r="AV95" s="198" t="s">
        <v>62</v>
      </c>
      <c r="AW95" s="198" t="s">
        <v>54</v>
      </c>
    </row>
    <row r="96" spans="3:49" outlineLevel="2" x14ac:dyDescent="0.25">
      <c r="C96" s="201"/>
      <c r="D96" s="198" t="s">
        <v>177</v>
      </c>
      <c r="H96" s="198" t="s">
        <v>177</v>
      </c>
      <c r="I96" s="202">
        <f t="shared" si="1"/>
        <v>43360427.25</v>
      </c>
      <c r="J96" s="202">
        <v>10.5</v>
      </c>
      <c r="L96" s="203">
        <v>18.399999999999999</v>
      </c>
      <c r="M96" s="202">
        <v>1812216</v>
      </c>
      <c r="N96" s="203"/>
      <c r="P96" s="202"/>
      <c r="Z96" s="201"/>
      <c r="AN96" s="202">
        <v>1812216</v>
      </c>
      <c r="AO96" s="202">
        <v>1812216</v>
      </c>
      <c r="AP96" s="202">
        <v>1812216</v>
      </c>
      <c r="AQ96" s="198" t="s">
        <v>54</v>
      </c>
      <c r="AR96" s="198" t="s">
        <v>51</v>
      </c>
      <c r="AS96" s="202">
        <v>300985.44</v>
      </c>
      <c r="AT96" s="202">
        <v>300985.44</v>
      </c>
      <c r="AU96" s="198" t="s">
        <v>69</v>
      </c>
      <c r="AV96" s="198" t="s">
        <v>62</v>
      </c>
      <c r="AW96" s="198" t="s">
        <v>54</v>
      </c>
    </row>
    <row r="97" spans="3:49" outlineLevel="2" x14ac:dyDescent="0.25">
      <c r="C97" s="201"/>
      <c r="D97" s="198" t="s">
        <v>177</v>
      </c>
      <c r="H97" s="198" t="s">
        <v>177</v>
      </c>
      <c r="I97" s="202">
        <f t="shared" si="1"/>
        <v>43773383.699999996</v>
      </c>
      <c r="J97" s="202">
        <v>10.6</v>
      </c>
      <c r="L97" s="203">
        <v>0.6</v>
      </c>
      <c r="M97" s="202">
        <v>107971.2</v>
      </c>
      <c r="N97" s="203"/>
      <c r="P97" s="202"/>
      <c r="Z97" s="201"/>
      <c r="AN97" s="202">
        <v>107971.2</v>
      </c>
      <c r="AO97" s="202">
        <v>107971.2</v>
      </c>
      <c r="AP97" s="202">
        <v>107971.2</v>
      </c>
      <c r="AQ97" s="198" t="s">
        <v>54</v>
      </c>
      <c r="AR97" s="198" t="s">
        <v>51</v>
      </c>
      <c r="AS97" s="202">
        <v>10077.31</v>
      </c>
      <c r="AT97" s="202">
        <v>10077.31</v>
      </c>
      <c r="AU97" s="198" t="s">
        <v>69</v>
      </c>
      <c r="AV97" s="198" t="s">
        <v>62</v>
      </c>
      <c r="AW97" s="198" t="s">
        <v>54</v>
      </c>
    </row>
    <row r="98" spans="3:49" outlineLevel="2" x14ac:dyDescent="0.25">
      <c r="C98" s="201"/>
      <c r="D98" s="198" t="s">
        <v>177</v>
      </c>
      <c r="H98" s="198" t="s">
        <v>177</v>
      </c>
      <c r="I98" s="202">
        <f t="shared" si="1"/>
        <v>44186340.149999999</v>
      </c>
      <c r="J98" s="202">
        <v>10.7</v>
      </c>
      <c r="L98" s="203">
        <v>5.2</v>
      </c>
      <c r="M98" s="202">
        <v>675948</v>
      </c>
      <c r="N98" s="203"/>
      <c r="P98" s="202"/>
      <c r="Z98" s="201"/>
      <c r="AN98" s="202">
        <v>675948</v>
      </c>
      <c r="AO98" s="202">
        <v>675948</v>
      </c>
      <c r="AP98" s="202">
        <v>675948</v>
      </c>
      <c r="AQ98" s="198" t="s">
        <v>54</v>
      </c>
      <c r="AR98" s="198" t="s">
        <v>51</v>
      </c>
      <c r="AS98" s="202">
        <v>311976</v>
      </c>
      <c r="AT98" s="202">
        <v>311976</v>
      </c>
      <c r="AU98" s="198" t="s">
        <v>69</v>
      </c>
      <c r="AV98" s="198" t="s">
        <v>62</v>
      </c>
      <c r="AW98" s="198" t="s">
        <v>54</v>
      </c>
    </row>
    <row r="99" spans="3:49" outlineLevel="2" x14ac:dyDescent="0.25">
      <c r="C99" s="201"/>
      <c r="D99" s="198" t="s">
        <v>109</v>
      </c>
      <c r="H99" s="198" t="s">
        <v>109</v>
      </c>
      <c r="I99" s="202">
        <f t="shared" si="1"/>
        <v>44599296.600000001</v>
      </c>
      <c r="J99" s="202">
        <v>10.8</v>
      </c>
      <c r="L99" s="203">
        <v>21.6</v>
      </c>
      <c r="M99" s="202">
        <v>2127384</v>
      </c>
      <c r="N99" s="203"/>
      <c r="P99" s="202"/>
      <c r="Z99" s="201"/>
      <c r="AN99" s="202">
        <v>2127384</v>
      </c>
      <c r="AO99" s="202">
        <v>2127384</v>
      </c>
      <c r="AP99" s="202">
        <v>2127384</v>
      </c>
      <c r="AQ99" s="198" t="s">
        <v>54</v>
      </c>
      <c r="AR99" s="198" t="s">
        <v>51</v>
      </c>
      <c r="AS99" s="202">
        <v>427249.62</v>
      </c>
      <c r="AT99" s="202">
        <v>427249.62</v>
      </c>
      <c r="AU99" s="198" t="s">
        <v>69</v>
      </c>
      <c r="AV99" s="198" t="s">
        <v>62</v>
      </c>
      <c r="AW99" s="198" t="s">
        <v>54</v>
      </c>
    </row>
    <row r="100" spans="3:49" outlineLevel="2" x14ac:dyDescent="0.25">
      <c r="C100" s="201"/>
      <c r="D100" s="198" t="s">
        <v>109</v>
      </c>
      <c r="H100" s="198" t="s">
        <v>109</v>
      </c>
      <c r="I100" s="202">
        <f t="shared" si="1"/>
        <v>45012253.050000004</v>
      </c>
      <c r="J100" s="202">
        <v>10.9</v>
      </c>
      <c r="L100" s="203">
        <v>0.67500000000000004</v>
      </c>
      <c r="M100" s="202">
        <v>121467.6</v>
      </c>
      <c r="N100" s="203"/>
      <c r="P100" s="202"/>
      <c r="Z100" s="201"/>
      <c r="AN100" s="202">
        <v>121467.6</v>
      </c>
      <c r="AO100" s="202">
        <v>121467.6</v>
      </c>
      <c r="AP100" s="202">
        <v>121467.6</v>
      </c>
      <c r="AQ100" s="198" t="s">
        <v>54</v>
      </c>
      <c r="AR100" s="198" t="s">
        <v>51</v>
      </c>
      <c r="AS100" s="202">
        <v>11336.98</v>
      </c>
      <c r="AT100" s="202">
        <v>11336.98</v>
      </c>
      <c r="AU100" s="198" t="s">
        <v>69</v>
      </c>
      <c r="AV100" s="198" t="s">
        <v>62</v>
      </c>
      <c r="AW100" s="198" t="s">
        <v>54</v>
      </c>
    </row>
    <row r="101" spans="3:49" outlineLevel="2" x14ac:dyDescent="0.25">
      <c r="C101" s="201"/>
      <c r="D101" s="198" t="s">
        <v>109</v>
      </c>
      <c r="H101" s="198" t="s">
        <v>109</v>
      </c>
      <c r="I101" s="202">
        <f t="shared" si="1"/>
        <v>45425209.5</v>
      </c>
      <c r="J101" s="202">
        <v>11</v>
      </c>
      <c r="L101" s="203">
        <v>5.85</v>
      </c>
      <c r="M101" s="202">
        <v>760441.5</v>
      </c>
      <c r="N101" s="203"/>
      <c r="P101" s="202"/>
      <c r="Z101" s="201"/>
      <c r="AN101" s="202">
        <v>760441.5</v>
      </c>
      <c r="AO101" s="202">
        <v>760441.5</v>
      </c>
      <c r="AP101" s="202">
        <v>760441.5</v>
      </c>
      <c r="AQ101" s="198" t="s">
        <v>54</v>
      </c>
      <c r="AR101" s="198" t="s">
        <v>51</v>
      </c>
      <c r="AS101" s="202">
        <v>350973</v>
      </c>
      <c r="AT101" s="202">
        <v>350973</v>
      </c>
      <c r="AU101" s="198" t="s">
        <v>69</v>
      </c>
      <c r="AV101" s="198" t="s">
        <v>62</v>
      </c>
      <c r="AW101" s="198" t="s">
        <v>54</v>
      </c>
    </row>
    <row r="102" spans="3:49" outlineLevel="2" x14ac:dyDescent="0.25">
      <c r="C102" s="201"/>
      <c r="D102" s="198" t="s">
        <v>284</v>
      </c>
      <c r="H102" s="198" t="s">
        <v>284</v>
      </c>
      <c r="I102" s="202">
        <f t="shared" si="1"/>
        <v>45838165.949999996</v>
      </c>
      <c r="J102" s="202">
        <v>11.1</v>
      </c>
      <c r="L102" s="204">
        <v>10</v>
      </c>
      <c r="M102" s="202">
        <v>16038</v>
      </c>
      <c r="N102" s="204"/>
      <c r="P102" s="202"/>
      <c r="Z102" s="201"/>
      <c r="AN102" s="202">
        <v>16038</v>
      </c>
      <c r="AO102" s="202">
        <v>16038</v>
      </c>
      <c r="AP102" s="202">
        <v>16038</v>
      </c>
      <c r="AQ102" s="198" t="s">
        <v>54</v>
      </c>
      <c r="AR102" s="198" t="s">
        <v>51</v>
      </c>
      <c r="AS102" s="202">
        <v>16038</v>
      </c>
      <c r="AT102" s="202">
        <v>16038</v>
      </c>
      <c r="AU102" s="198" t="s">
        <v>69</v>
      </c>
      <c r="AV102" s="198" t="s">
        <v>62</v>
      </c>
      <c r="AW102" s="198" t="s">
        <v>54</v>
      </c>
    </row>
    <row r="103" spans="3:49" outlineLevel="2" x14ac:dyDescent="0.25">
      <c r="C103" s="201"/>
      <c r="D103" s="198" t="s">
        <v>284</v>
      </c>
      <c r="H103" s="198" t="s">
        <v>284</v>
      </c>
      <c r="I103" s="202">
        <f t="shared" si="1"/>
        <v>46251122.399999999</v>
      </c>
      <c r="J103" s="202">
        <v>11.2</v>
      </c>
      <c r="L103" s="204">
        <v>15</v>
      </c>
      <c r="M103" s="202">
        <v>40824</v>
      </c>
      <c r="N103" s="204"/>
      <c r="P103" s="202"/>
      <c r="Z103" s="201"/>
      <c r="AN103" s="202">
        <v>40824</v>
      </c>
      <c r="AO103" s="202">
        <v>40824</v>
      </c>
      <c r="AP103" s="202">
        <v>40824</v>
      </c>
      <c r="AQ103" s="198" t="s">
        <v>54</v>
      </c>
      <c r="AR103" s="198" t="s">
        <v>51</v>
      </c>
      <c r="AS103" s="202">
        <v>40824</v>
      </c>
      <c r="AT103" s="202">
        <v>40824</v>
      </c>
      <c r="AU103" s="198" t="s">
        <v>69</v>
      </c>
      <c r="AV103" s="198" t="s">
        <v>62</v>
      </c>
      <c r="AW103" s="198" t="s">
        <v>54</v>
      </c>
    </row>
    <row r="104" spans="3:49" outlineLevel="2" x14ac:dyDescent="0.25">
      <c r="C104" s="201"/>
      <c r="D104" s="198" t="s">
        <v>284</v>
      </c>
      <c r="H104" s="198" t="s">
        <v>284</v>
      </c>
      <c r="I104" s="202">
        <f t="shared" si="1"/>
        <v>46664078.850000001</v>
      </c>
      <c r="J104" s="202">
        <v>11.3</v>
      </c>
      <c r="L104" s="204">
        <v>15</v>
      </c>
      <c r="M104" s="202">
        <v>52731</v>
      </c>
      <c r="N104" s="204"/>
      <c r="P104" s="202"/>
      <c r="Z104" s="201"/>
      <c r="AN104" s="202">
        <v>52731</v>
      </c>
      <c r="AO104" s="202">
        <v>52731</v>
      </c>
      <c r="AP104" s="202">
        <v>52731</v>
      </c>
      <c r="AQ104" s="198" t="s">
        <v>54</v>
      </c>
      <c r="AR104" s="198" t="s">
        <v>51</v>
      </c>
      <c r="AS104" s="202">
        <v>52731</v>
      </c>
      <c r="AT104" s="202">
        <v>52731</v>
      </c>
      <c r="AU104" s="198" t="s">
        <v>69</v>
      </c>
      <c r="AV104" s="198" t="s">
        <v>62</v>
      </c>
      <c r="AW104" s="198" t="s">
        <v>54</v>
      </c>
    </row>
    <row r="105" spans="3:49" outlineLevel="2" x14ac:dyDescent="0.25">
      <c r="C105" s="201"/>
      <c r="D105" s="198" t="s">
        <v>284</v>
      </c>
      <c r="H105" s="198" t="s">
        <v>284</v>
      </c>
      <c r="I105" s="202">
        <f t="shared" si="1"/>
        <v>47077035.300000004</v>
      </c>
      <c r="J105" s="202">
        <v>11.4</v>
      </c>
      <c r="L105" s="204">
        <v>10</v>
      </c>
      <c r="M105" s="202">
        <v>12042</v>
      </c>
      <c r="N105" s="204"/>
      <c r="P105" s="202"/>
      <c r="Z105" s="201"/>
      <c r="AN105" s="202">
        <v>12042</v>
      </c>
      <c r="AO105" s="202">
        <v>12042</v>
      </c>
      <c r="AP105" s="202">
        <v>12042</v>
      </c>
      <c r="AQ105" s="198" t="s">
        <v>54</v>
      </c>
      <c r="AR105" s="198" t="s">
        <v>51</v>
      </c>
      <c r="AS105" s="202">
        <v>12042</v>
      </c>
      <c r="AT105" s="202">
        <v>12042</v>
      </c>
      <c r="AU105" s="198" t="s">
        <v>69</v>
      </c>
      <c r="AV105" s="198" t="s">
        <v>62</v>
      </c>
      <c r="AW105" s="198" t="s">
        <v>54</v>
      </c>
    </row>
    <row r="106" spans="3:49" outlineLevel="2" x14ac:dyDescent="0.25">
      <c r="C106" s="201"/>
      <c r="D106" s="198" t="s">
        <v>284</v>
      </c>
      <c r="H106" s="198" t="s">
        <v>284</v>
      </c>
      <c r="I106" s="202">
        <f t="shared" si="1"/>
        <v>47489991.75</v>
      </c>
      <c r="J106" s="202">
        <v>11.5</v>
      </c>
      <c r="L106" s="204">
        <v>15</v>
      </c>
      <c r="M106" s="202">
        <v>64638</v>
      </c>
      <c r="N106" s="204"/>
      <c r="P106" s="202"/>
      <c r="Z106" s="201"/>
      <c r="AN106" s="202">
        <v>64638</v>
      </c>
      <c r="AO106" s="202">
        <v>64638</v>
      </c>
      <c r="AP106" s="202">
        <v>64638</v>
      </c>
      <c r="AQ106" s="198" t="s">
        <v>54</v>
      </c>
      <c r="AR106" s="198" t="s">
        <v>51</v>
      </c>
      <c r="AS106" s="202">
        <v>64638</v>
      </c>
      <c r="AT106" s="202">
        <v>64638</v>
      </c>
      <c r="AU106" s="198" t="s">
        <v>69</v>
      </c>
      <c r="AV106" s="198" t="s">
        <v>62</v>
      </c>
      <c r="AW106" s="198" t="s">
        <v>54</v>
      </c>
    </row>
    <row r="107" spans="3:49" outlineLevel="2" x14ac:dyDescent="0.25">
      <c r="C107" s="201"/>
      <c r="D107" s="198" t="s">
        <v>284</v>
      </c>
      <c r="H107" s="198" t="s">
        <v>284</v>
      </c>
      <c r="I107" s="202">
        <f t="shared" si="1"/>
        <v>47902948.199999996</v>
      </c>
      <c r="J107" s="202">
        <v>11.6</v>
      </c>
      <c r="L107" s="204">
        <v>20</v>
      </c>
      <c r="M107" s="202">
        <v>13972</v>
      </c>
      <c r="N107" s="204"/>
      <c r="P107" s="202"/>
      <c r="Z107" s="201"/>
      <c r="AN107" s="202">
        <v>13972</v>
      </c>
      <c r="AO107" s="202">
        <v>13972</v>
      </c>
      <c r="AP107" s="202">
        <v>13972</v>
      </c>
      <c r="AQ107" s="198" t="s">
        <v>54</v>
      </c>
      <c r="AR107" s="198" t="s">
        <v>51</v>
      </c>
      <c r="AS107" s="202">
        <v>13972</v>
      </c>
      <c r="AT107" s="202">
        <v>13972</v>
      </c>
      <c r="AU107" s="198" t="s">
        <v>69</v>
      </c>
      <c r="AV107" s="198" t="s">
        <v>62</v>
      </c>
      <c r="AW107" s="198" t="s">
        <v>54</v>
      </c>
    </row>
    <row r="108" spans="3:49" outlineLevel="2" x14ac:dyDescent="0.25">
      <c r="C108" s="201"/>
      <c r="D108" s="198" t="s">
        <v>284</v>
      </c>
      <c r="H108" s="198" t="s">
        <v>284</v>
      </c>
      <c r="I108" s="202">
        <f t="shared" si="1"/>
        <v>48315904.649999999</v>
      </c>
      <c r="J108" s="202">
        <v>11.7</v>
      </c>
      <c r="L108" s="204">
        <v>25</v>
      </c>
      <c r="M108" s="202">
        <v>5512.5</v>
      </c>
      <c r="N108" s="204"/>
      <c r="P108" s="202"/>
      <c r="Z108" s="201"/>
      <c r="AN108" s="202">
        <v>5512.5</v>
      </c>
      <c r="AO108" s="202">
        <v>5512.5</v>
      </c>
      <c r="AP108" s="202">
        <v>5512.5</v>
      </c>
      <c r="AQ108" s="198" t="s">
        <v>54</v>
      </c>
      <c r="AR108" s="198" t="s">
        <v>51</v>
      </c>
      <c r="AS108" s="202">
        <v>5512.5</v>
      </c>
      <c r="AT108" s="202">
        <v>5512.5</v>
      </c>
      <c r="AU108" s="198" t="s">
        <v>69</v>
      </c>
      <c r="AV108" s="198" t="s">
        <v>62</v>
      </c>
      <c r="AW108" s="198" t="s">
        <v>54</v>
      </c>
    </row>
    <row r="109" spans="3:49" outlineLevel="2" x14ac:dyDescent="0.25">
      <c r="C109" s="201"/>
      <c r="D109" s="198" t="s">
        <v>284</v>
      </c>
      <c r="H109" s="198" t="s">
        <v>284</v>
      </c>
      <c r="I109" s="202">
        <f t="shared" si="1"/>
        <v>48728861.100000001</v>
      </c>
      <c r="J109" s="202">
        <v>11.8</v>
      </c>
      <c r="L109" s="204">
        <v>20</v>
      </c>
      <c r="M109" s="202">
        <v>21978</v>
      </c>
      <c r="N109" s="204"/>
      <c r="P109" s="202"/>
      <c r="Z109" s="201"/>
      <c r="AN109" s="202">
        <v>21978</v>
      </c>
      <c r="AO109" s="202">
        <v>21978</v>
      </c>
      <c r="AP109" s="202">
        <v>21978</v>
      </c>
      <c r="AQ109" s="198" t="s">
        <v>54</v>
      </c>
      <c r="AR109" s="198" t="s">
        <v>51</v>
      </c>
      <c r="AS109" s="202">
        <v>21978</v>
      </c>
      <c r="AT109" s="202">
        <v>21978</v>
      </c>
      <c r="AU109" s="198" t="s">
        <v>69</v>
      </c>
      <c r="AV109" s="198" t="s">
        <v>62</v>
      </c>
      <c r="AW109" s="198" t="s">
        <v>54</v>
      </c>
    </row>
    <row r="110" spans="3:49" outlineLevel="2" x14ac:dyDescent="0.25">
      <c r="C110" s="201"/>
      <c r="D110" s="198" t="s">
        <v>284</v>
      </c>
      <c r="H110" s="198" t="s">
        <v>284</v>
      </c>
      <c r="I110" s="202">
        <f t="shared" si="1"/>
        <v>49141817.550000004</v>
      </c>
      <c r="J110" s="202">
        <v>11.9</v>
      </c>
      <c r="L110" s="204">
        <v>100</v>
      </c>
      <c r="M110" s="202">
        <v>90000</v>
      </c>
      <c r="N110" s="204"/>
      <c r="P110" s="202"/>
      <c r="Z110" s="201"/>
      <c r="AN110" s="202">
        <v>90000</v>
      </c>
      <c r="AO110" s="202">
        <v>90000</v>
      </c>
      <c r="AP110" s="202">
        <v>90000</v>
      </c>
      <c r="AQ110" s="198" t="s">
        <v>54</v>
      </c>
      <c r="AR110" s="198" t="s">
        <v>51</v>
      </c>
      <c r="AS110" s="202">
        <v>90000</v>
      </c>
      <c r="AT110" s="202">
        <v>90000</v>
      </c>
      <c r="AU110" s="198" t="s">
        <v>69</v>
      </c>
      <c r="AV110" s="198" t="s">
        <v>62</v>
      </c>
      <c r="AW110" s="198" t="s">
        <v>54</v>
      </c>
    </row>
    <row r="111" spans="3:49" outlineLevel="2" x14ac:dyDescent="0.25">
      <c r="C111" s="201"/>
      <c r="D111" s="198" t="s">
        <v>133</v>
      </c>
      <c r="H111" s="198" t="s">
        <v>133</v>
      </c>
      <c r="I111" s="202">
        <f t="shared" si="1"/>
        <v>49554774</v>
      </c>
      <c r="J111" s="202">
        <v>12</v>
      </c>
      <c r="L111" s="204">
        <v>2</v>
      </c>
      <c r="M111" s="202">
        <v>13000</v>
      </c>
      <c r="N111" s="204"/>
      <c r="P111" s="202"/>
      <c r="Z111" s="201"/>
      <c r="AN111" s="202">
        <v>13000</v>
      </c>
      <c r="AO111" s="202">
        <v>13000</v>
      </c>
      <c r="AP111" s="202">
        <v>13000</v>
      </c>
      <c r="AQ111" s="198" t="s">
        <v>54</v>
      </c>
      <c r="AR111" s="198" t="s">
        <v>51</v>
      </c>
      <c r="AS111" s="202">
        <v>13000</v>
      </c>
      <c r="AT111" s="202">
        <v>13000</v>
      </c>
      <c r="AU111" s="198" t="s">
        <v>69</v>
      </c>
      <c r="AV111" s="198" t="s">
        <v>62</v>
      </c>
      <c r="AW111" s="198" t="s">
        <v>54</v>
      </c>
    </row>
    <row r="112" spans="3:49" outlineLevel="2" x14ac:dyDescent="0.25">
      <c r="C112" s="201"/>
      <c r="D112" s="198" t="s">
        <v>133</v>
      </c>
      <c r="H112" s="198" t="s">
        <v>133</v>
      </c>
      <c r="I112" s="202">
        <f t="shared" si="1"/>
        <v>49967730.449999996</v>
      </c>
      <c r="J112" s="202">
        <v>12.1</v>
      </c>
      <c r="L112" s="204">
        <v>10</v>
      </c>
      <c r="M112" s="202">
        <v>1500</v>
      </c>
      <c r="N112" s="204"/>
      <c r="P112" s="202"/>
      <c r="Z112" s="201"/>
      <c r="AN112" s="202">
        <v>1500</v>
      </c>
      <c r="AO112" s="202">
        <v>1500</v>
      </c>
      <c r="AP112" s="202">
        <v>1500</v>
      </c>
      <c r="AQ112" s="198" t="s">
        <v>54</v>
      </c>
      <c r="AR112" s="198" t="s">
        <v>51</v>
      </c>
      <c r="AS112" s="202">
        <v>1500</v>
      </c>
      <c r="AT112" s="202">
        <v>1500</v>
      </c>
      <c r="AU112" s="198" t="s">
        <v>69</v>
      </c>
      <c r="AV112" s="198" t="s">
        <v>62</v>
      </c>
      <c r="AW112" s="198" t="s">
        <v>54</v>
      </c>
    </row>
    <row r="113" spans="3:49" outlineLevel="2" x14ac:dyDescent="0.25">
      <c r="C113" s="201"/>
      <c r="D113" s="198" t="s">
        <v>133</v>
      </c>
      <c r="H113" s="198" t="s">
        <v>133</v>
      </c>
      <c r="I113" s="202">
        <f t="shared" si="1"/>
        <v>50380686.899999999</v>
      </c>
      <c r="J113" s="202">
        <v>12.2</v>
      </c>
      <c r="L113" s="204">
        <v>4</v>
      </c>
      <c r="M113" s="202">
        <v>180</v>
      </c>
      <c r="N113" s="204"/>
      <c r="P113" s="202"/>
      <c r="Z113" s="201"/>
      <c r="AN113" s="202">
        <v>180</v>
      </c>
      <c r="AO113" s="202">
        <v>180</v>
      </c>
      <c r="AP113" s="202">
        <v>180</v>
      </c>
      <c r="AQ113" s="198" t="s">
        <v>54</v>
      </c>
      <c r="AR113" s="198" t="s">
        <v>51</v>
      </c>
      <c r="AS113" s="202">
        <v>180</v>
      </c>
      <c r="AT113" s="202">
        <v>180</v>
      </c>
      <c r="AU113" s="198" t="s">
        <v>69</v>
      </c>
      <c r="AV113" s="198" t="s">
        <v>62</v>
      </c>
      <c r="AW113" s="198" t="s">
        <v>54</v>
      </c>
    </row>
    <row r="114" spans="3:49" outlineLevel="2" x14ac:dyDescent="0.25">
      <c r="C114" s="201"/>
      <c r="D114" s="198" t="s">
        <v>133</v>
      </c>
      <c r="H114" s="198" t="s">
        <v>133</v>
      </c>
      <c r="I114" s="202">
        <f t="shared" si="1"/>
        <v>50793643.350000001</v>
      </c>
      <c r="J114" s="202">
        <v>12.3</v>
      </c>
      <c r="L114" s="204">
        <v>4</v>
      </c>
      <c r="M114" s="202">
        <v>4616</v>
      </c>
      <c r="N114" s="204"/>
      <c r="P114" s="202"/>
      <c r="Z114" s="201"/>
      <c r="AN114" s="202">
        <v>4616</v>
      </c>
      <c r="AO114" s="202">
        <v>4616</v>
      </c>
      <c r="AP114" s="202">
        <v>4616</v>
      </c>
      <c r="AQ114" s="198" t="s">
        <v>54</v>
      </c>
      <c r="AR114" s="198" t="s">
        <v>51</v>
      </c>
      <c r="AS114" s="202">
        <v>4616</v>
      </c>
      <c r="AT114" s="202">
        <v>4616</v>
      </c>
      <c r="AU114" s="198" t="s">
        <v>69</v>
      </c>
      <c r="AV114" s="198" t="s">
        <v>62</v>
      </c>
      <c r="AW114" s="198" t="s">
        <v>54</v>
      </c>
    </row>
    <row r="115" spans="3:49" outlineLevel="2" x14ac:dyDescent="0.25">
      <c r="C115" s="201"/>
      <c r="D115" s="198" t="s">
        <v>133</v>
      </c>
      <c r="H115" s="198" t="s">
        <v>133</v>
      </c>
      <c r="I115" s="202">
        <f t="shared" si="1"/>
        <v>51206599.800000004</v>
      </c>
      <c r="J115" s="202">
        <v>12.4</v>
      </c>
      <c r="L115" s="204">
        <v>2</v>
      </c>
      <c r="M115" s="202">
        <v>5936</v>
      </c>
      <c r="N115" s="204"/>
      <c r="P115" s="202"/>
      <c r="Z115" s="201"/>
      <c r="AN115" s="202">
        <v>5936</v>
      </c>
      <c r="AO115" s="202">
        <v>5936</v>
      </c>
      <c r="AP115" s="202">
        <v>5936</v>
      </c>
      <c r="AQ115" s="198" t="s">
        <v>54</v>
      </c>
      <c r="AR115" s="198" t="s">
        <v>51</v>
      </c>
      <c r="AS115" s="202">
        <v>5936</v>
      </c>
      <c r="AT115" s="202">
        <v>5936</v>
      </c>
      <c r="AU115" s="198" t="s">
        <v>69</v>
      </c>
      <c r="AV115" s="198" t="s">
        <v>62</v>
      </c>
      <c r="AW115" s="198" t="s">
        <v>54</v>
      </c>
    </row>
    <row r="116" spans="3:49" outlineLevel="2" x14ac:dyDescent="0.25">
      <c r="C116" s="201"/>
      <c r="D116" s="198" t="s">
        <v>135</v>
      </c>
      <c r="H116" s="198" t="s">
        <v>135</v>
      </c>
      <c r="I116" s="202">
        <f t="shared" si="1"/>
        <v>51619556.25</v>
      </c>
      <c r="J116" s="202">
        <v>12.5</v>
      </c>
      <c r="L116" s="204">
        <v>1</v>
      </c>
      <c r="M116" s="202">
        <v>6500</v>
      </c>
      <c r="N116" s="204"/>
      <c r="P116" s="202"/>
      <c r="Z116" s="201"/>
      <c r="AN116" s="202">
        <v>6500</v>
      </c>
      <c r="AO116" s="202">
        <v>6500</v>
      </c>
      <c r="AP116" s="202">
        <v>6500</v>
      </c>
      <c r="AQ116" s="198" t="s">
        <v>54</v>
      </c>
      <c r="AR116" s="198" t="s">
        <v>51</v>
      </c>
      <c r="AS116" s="202">
        <v>6500</v>
      </c>
      <c r="AT116" s="202">
        <v>6500</v>
      </c>
      <c r="AU116" s="198" t="s">
        <v>69</v>
      </c>
      <c r="AV116" s="198" t="s">
        <v>62</v>
      </c>
      <c r="AW116" s="198" t="s">
        <v>54</v>
      </c>
    </row>
    <row r="117" spans="3:49" outlineLevel="2" x14ac:dyDescent="0.25">
      <c r="C117" s="201"/>
      <c r="D117" s="198" t="s">
        <v>135</v>
      </c>
      <c r="H117" s="198" t="s">
        <v>135</v>
      </c>
      <c r="I117" s="202">
        <f t="shared" si="1"/>
        <v>52032512.699999996</v>
      </c>
      <c r="J117" s="202">
        <v>12.6</v>
      </c>
      <c r="L117" s="204">
        <v>5</v>
      </c>
      <c r="M117" s="202">
        <v>750</v>
      </c>
      <c r="N117" s="204"/>
      <c r="P117" s="202"/>
      <c r="Z117" s="201"/>
      <c r="AN117" s="202">
        <v>750</v>
      </c>
      <c r="AO117" s="202">
        <v>750</v>
      </c>
      <c r="AP117" s="202">
        <v>750</v>
      </c>
      <c r="AQ117" s="198" t="s">
        <v>54</v>
      </c>
      <c r="AR117" s="198" t="s">
        <v>51</v>
      </c>
      <c r="AS117" s="202">
        <v>750</v>
      </c>
      <c r="AT117" s="202">
        <v>750</v>
      </c>
      <c r="AU117" s="198" t="s">
        <v>69</v>
      </c>
      <c r="AV117" s="198" t="s">
        <v>62</v>
      </c>
      <c r="AW117" s="198" t="s">
        <v>54</v>
      </c>
    </row>
    <row r="118" spans="3:49" outlineLevel="2" x14ac:dyDescent="0.25">
      <c r="C118" s="201"/>
      <c r="D118" s="198" t="s">
        <v>135</v>
      </c>
      <c r="H118" s="198" t="s">
        <v>135</v>
      </c>
      <c r="I118" s="202">
        <f t="shared" si="1"/>
        <v>52445469.149999999</v>
      </c>
      <c r="J118" s="202">
        <v>12.7</v>
      </c>
      <c r="L118" s="204">
        <v>2</v>
      </c>
      <c r="M118" s="202">
        <v>90</v>
      </c>
      <c r="N118" s="204"/>
      <c r="P118" s="202"/>
      <c r="Z118" s="201"/>
      <c r="AN118" s="202">
        <v>90</v>
      </c>
      <c r="AO118" s="202">
        <v>90</v>
      </c>
      <c r="AP118" s="202">
        <v>90</v>
      </c>
      <c r="AQ118" s="198" t="s">
        <v>54</v>
      </c>
      <c r="AR118" s="198" t="s">
        <v>51</v>
      </c>
      <c r="AS118" s="202">
        <v>90</v>
      </c>
      <c r="AT118" s="202">
        <v>90</v>
      </c>
      <c r="AU118" s="198" t="s">
        <v>69</v>
      </c>
      <c r="AV118" s="198" t="s">
        <v>62</v>
      </c>
      <c r="AW118" s="198" t="s">
        <v>54</v>
      </c>
    </row>
    <row r="119" spans="3:49" outlineLevel="2" x14ac:dyDescent="0.25">
      <c r="C119" s="201"/>
      <c r="D119" s="198" t="s">
        <v>135</v>
      </c>
      <c r="H119" s="198" t="s">
        <v>135</v>
      </c>
      <c r="I119" s="202">
        <f t="shared" si="1"/>
        <v>52858425.600000001</v>
      </c>
      <c r="J119" s="202">
        <v>12.8</v>
      </c>
      <c r="L119" s="204">
        <v>2</v>
      </c>
      <c r="M119" s="202">
        <v>4716</v>
      </c>
      <c r="N119" s="204"/>
      <c r="P119" s="202"/>
      <c r="Z119" s="201"/>
      <c r="AN119" s="202">
        <v>4716</v>
      </c>
      <c r="AO119" s="202">
        <v>4716</v>
      </c>
      <c r="AP119" s="202">
        <v>4716</v>
      </c>
      <c r="AQ119" s="198" t="s">
        <v>54</v>
      </c>
      <c r="AR119" s="198" t="s">
        <v>51</v>
      </c>
      <c r="AS119" s="202">
        <v>4716</v>
      </c>
      <c r="AT119" s="202">
        <v>4716</v>
      </c>
      <c r="AU119" s="198" t="s">
        <v>69</v>
      </c>
      <c r="AV119" s="198" t="s">
        <v>62</v>
      </c>
      <c r="AW119" s="198" t="s">
        <v>54</v>
      </c>
    </row>
    <row r="120" spans="3:49" outlineLevel="2" x14ac:dyDescent="0.25">
      <c r="C120" s="201"/>
      <c r="D120" s="198" t="s">
        <v>136</v>
      </c>
      <c r="H120" s="198" t="s">
        <v>136</v>
      </c>
      <c r="I120" s="202">
        <f t="shared" si="1"/>
        <v>53271382.050000004</v>
      </c>
      <c r="J120" s="202">
        <v>12.9</v>
      </c>
      <c r="L120" s="204">
        <v>1</v>
      </c>
      <c r="M120" s="202">
        <v>6500</v>
      </c>
      <c r="N120" s="204"/>
      <c r="P120" s="202"/>
      <c r="Z120" s="201"/>
      <c r="AN120" s="202">
        <v>6500</v>
      </c>
      <c r="AO120" s="202">
        <v>6500</v>
      </c>
      <c r="AP120" s="202">
        <v>6500</v>
      </c>
      <c r="AQ120" s="198" t="s">
        <v>54</v>
      </c>
      <c r="AR120" s="198" t="s">
        <v>51</v>
      </c>
      <c r="AS120" s="202">
        <v>6500</v>
      </c>
      <c r="AT120" s="202">
        <v>6500</v>
      </c>
      <c r="AU120" s="198" t="s">
        <v>69</v>
      </c>
      <c r="AV120" s="198" t="s">
        <v>62</v>
      </c>
      <c r="AW120" s="198" t="s">
        <v>54</v>
      </c>
    </row>
    <row r="121" spans="3:49" outlineLevel="2" x14ac:dyDescent="0.25">
      <c r="C121" s="201"/>
      <c r="D121" s="198" t="s">
        <v>136</v>
      </c>
      <c r="H121" s="198" t="s">
        <v>136</v>
      </c>
      <c r="I121" s="202">
        <f t="shared" si="1"/>
        <v>53684338.5</v>
      </c>
      <c r="J121" s="202">
        <v>13</v>
      </c>
      <c r="L121" s="204">
        <v>5</v>
      </c>
      <c r="M121" s="202">
        <v>750</v>
      </c>
      <c r="N121" s="204"/>
      <c r="P121" s="202"/>
      <c r="Z121" s="201"/>
      <c r="AN121" s="202">
        <v>750</v>
      </c>
      <c r="AO121" s="202">
        <v>750</v>
      </c>
      <c r="AP121" s="202">
        <v>750</v>
      </c>
      <c r="AQ121" s="198" t="s">
        <v>54</v>
      </c>
      <c r="AR121" s="198" t="s">
        <v>51</v>
      </c>
      <c r="AS121" s="202">
        <v>750</v>
      </c>
      <c r="AT121" s="202">
        <v>750</v>
      </c>
      <c r="AU121" s="198" t="s">
        <v>69</v>
      </c>
      <c r="AV121" s="198" t="s">
        <v>62</v>
      </c>
      <c r="AW121" s="198" t="s">
        <v>54</v>
      </c>
    </row>
    <row r="122" spans="3:49" outlineLevel="2" x14ac:dyDescent="0.25">
      <c r="C122" s="201"/>
      <c r="D122" s="198" t="s">
        <v>136</v>
      </c>
      <c r="H122" s="198" t="s">
        <v>136</v>
      </c>
      <c r="I122" s="202">
        <f t="shared" si="1"/>
        <v>54097294.949999996</v>
      </c>
      <c r="J122" s="202">
        <v>13.1</v>
      </c>
      <c r="L122" s="204">
        <v>2</v>
      </c>
      <c r="M122" s="202">
        <v>90</v>
      </c>
      <c r="N122" s="204"/>
      <c r="P122" s="202"/>
      <c r="Z122" s="201"/>
      <c r="AN122" s="202">
        <v>90</v>
      </c>
      <c r="AO122" s="202">
        <v>90</v>
      </c>
      <c r="AP122" s="202">
        <v>90</v>
      </c>
      <c r="AQ122" s="198" t="s">
        <v>54</v>
      </c>
      <c r="AR122" s="198" t="s">
        <v>51</v>
      </c>
      <c r="AS122" s="202">
        <v>90</v>
      </c>
      <c r="AT122" s="202">
        <v>90</v>
      </c>
      <c r="AU122" s="198" t="s">
        <v>69</v>
      </c>
      <c r="AV122" s="198" t="s">
        <v>62</v>
      </c>
      <c r="AW122" s="198" t="s">
        <v>54</v>
      </c>
    </row>
    <row r="123" spans="3:49" outlineLevel="2" x14ac:dyDescent="0.25">
      <c r="C123" s="201"/>
      <c r="D123" s="198" t="s">
        <v>136</v>
      </c>
      <c r="H123" s="198" t="s">
        <v>136</v>
      </c>
      <c r="I123" s="202">
        <f t="shared" si="1"/>
        <v>54510251.399999999</v>
      </c>
      <c r="J123" s="202">
        <v>13.2</v>
      </c>
      <c r="L123" s="204">
        <v>4</v>
      </c>
      <c r="M123" s="202">
        <v>9432</v>
      </c>
      <c r="N123" s="204"/>
      <c r="P123" s="202"/>
      <c r="Z123" s="201"/>
      <c r="AN123" s="202">
        <v>9432</v>
      </c>
      <c r="AO123" s="202">
        <v>9432</v>
      </c>
      <c r="AP123" s="202">
        <v>9432</v>
      </c>
      <c r="AQ123" s="198" t="s">
        <v>54</v>
      </c>
      <c r="AR123" s="198" t="s">
        <v>51</v>
      </c>
      <c r="AS123" s="202">
        <v>9432</v>
      </c>
      <c r="AT123" s="202">
        <v>9432</v>
      </c>
      <c r="AU123" s="198" t="s">
        <v>69</v>
      </c>
      <c r="AV123" s="198" t="s">
        <v>62</v>
      </c>
      <c r="AW123" s="198" t="s">
        <v>54</v>
      </c>
    </row>
    <row r="124" spans="3:49" outlineLevel="2" x14ac:dyDescent="0.25">
      <c r="C124" s="201"/>
      <c r="D124" s="198" t="s">
        <v>122</v>
      </c>
      <c r="H124" s="198" t="s">
        <v>122</v>
      </c>
      <c r="I124" s="202">
        <f t="shared" si="1"/>
        <v>54923207.850000001</v>
      </c>
      <c r="J124" s="202">
        <v>13.3</v>
      </c>
      <c r="L124" s="204">
        <v>2</v>
      </c>
      <c r="M124" s="202">
        <v>13000</v>
      </c>
      <c r="N124" s="204"/>
      <c r="P124" s="202"/>
      <c r="Z124" s="201"/>
      <c r="AN124" s="202">
        <v>13000</v>
      </c>
      <c r="AO124" s="202">
        <v>13000</v>
      </c>
      <c r="AP124" s="202">
        <v>13000</v>
      </c>
      <c r="AQ124" s="198" t="s">
        <v>54</v>
      </c>
      <c r="AR124" s="198" t="s">
        <v>51</v>
      </c>
      <c r="AS124" s="202">
        <v>13000</v>
      </c>
      <c r="AT124" s="202">
        <v>13000</v>
      </c>
      <c r="AU124" s="198" t="s">
        <v>69</v>
      </c>
      <c r="AV124" s="198" t="s">
        <v>62</v>
      </c>
      <c r="AW124" s="198" t="s">
        <v>54</v>
      </c>
    </row>
    <row r="125" spans="3:49" outlineLevel="2" x14ac:dyDescent="0.25">
      <c r="C125" s="201"/>
      <c r="D125" s="198" t="s">
        <v>122</v>
      </c>
      <c r="H125" s="198" t="s">
        <v>122</v>
      </c>
      <c r="I125" s="202">
        <f t="shared" si="1"/>
        <v>55336164.300000004</v>
      </c>
      <c r="J125" s="202">
        <v>13.4</v>
      </c>
      <c r="L125" s="204">
        <v>10</v>
      </c>
      <c r="M125" s="202">
        <v>1500</v>
      </c>
      <c r="N125" s="204"/>
      <c r="P125" s="202"/>
      <c r="Z125" s="201"/>
      <c r="AN125" s="202">
        <v>1500</v>
      </c>
      <c r="AO125" s="202">
        <v>1500</v>
      </c>
      <c r="AP125" s="202">
        <v>1500</v>
      </c>
      <c r="AQ125" s="198" t="s">
        <v>54</v>
      </c>
      <c r="AR125" s="198" t="s">
        <v>51</v>
      </c>
      <c r="AS125" s="202">
        <v>1500</v>
      </c>
      <c r="AT125" s="202">
        <v>1500</v>
      </c>
      <c r="AU125" s="198" t="s">
        <v>69</v>
      </c>
      <c r="AV125" s="198" t="s">
        <v>62</v>
      </c>
      <c r="AW125" s="198" t="s">
        <v>54</v>
      </c>
    </row>
    <row r="126" spans="3:49" outlineLevel="2" x14ac:dyDescent="0.25">
      <c r="C126" s="201"/>
      <c r="D126" s="198" t="s">
        <v>122</v>
      </c>
      <c r="H126" s="198" t="s">
        <v>122</v>
      </c>
      <c r="I126" s="202">
        <f t="shared" si="1"/>
        <v>55749120.75</v>
      </c>
      <c r="J126" s="202">
        <v>13.5</v>
      </c>
      <c r="L126" s="204">
        <v>4</v>
      </c>
      <c r="M126" s="202">
        <v>180</v>
      </c>
      <c r="N126" s="204"/>
      <c r="P126" s="202"/>
      <c r="Z126" s="201"/>
      <c r="AN126" s="202">
        <v>180</v>
      </c>
      <c r="AO126" s="202">
        <v>180</v>
      </c>
      <c r="AP126" s="202">
        <v>180</v>
      </c>
      <c r="AQ126" s="198" t="s">
        <v>54</v>
      </c>
      <c r="AR126" s="198" t="s">
        <v>51</v>
      </c>
      <c r="AS126" s="202">
        <v>180</v>
      </c>
      <c r="AT126" s="202">
        <v>180</v>
      </c>
      <c r="AU126" s="198" t="s">
        <v>69</v>
      </c>
      <c r="AV126" s="198" t="s">
        <v>62</v>
      </c>
      <c r="AW126" s="198" t="s">
        <v>54</v>
      </c>
    </row>
    <row r="127" spans="3:49" outlineLevel="2" x14ac:dyDescent="0.25">
      <c r="C127" s="201"/>
      <c r="D127" s="198" t="s">
        <v>122</v>
      </c>
      <c r="H127" s="198" t="s">
        <v>122</v>
      </c>
      <c r="I127" s="202">
        <f t="shared" si="1"/>
        <v>56162077.199999996</v>
      </c>
      <c r="J127" s="202">
        <v>13.6</v>
      </c>
      <c r="L127" s="204">
        <v>3</v>
      </c>
      <c r="M127" s="202">
        <v>3462</v>
      </c>
      <c r="N127" s="204"/>
      <c r="P127" s="202"/>
      <c r="Z127" s="201"/>
      <c r="AN127" s="202">
        <v>3462</v>
      </c>
      <c r="AO127" s="202">
        <v>3462</v>
      </c>
      <c r="AP127" s="202">
        <v>3462</v>
      </c>
      <c r="AQ127" s="198" t="s">
        <v>54</v>
      </c>
      <c r="AR127" s="198" t="s">
        <v>51</v>
      </c>
      <c r="AS127" s="202">
        <v>3462</v>
      </c>
      <c r="AT127" s="202">
        <v>3462</v>
      </c>
      <c r="AU127" s="198" t="s">
        <v>69</v>
      </c>
      <c r="AV127" s="198" t="s">
        <v>62</v>
      </c>
      <c r="AW127" s="198" t="s">
        <v>54</v>
      </c>
    </row>
    <row r="128" spans="3:49" outlineLevel="2" x14ac:dyDescent="0.25">
      <c r="C128" s="201"/>
      <c r="D128" s="198" t="s">
        <v>122</v>
      </c>
      <c r="H128" s="198" t="s">
        <v>122</v>
      </c>
      <c r="I128" s="202">
        <f t="shared" si="1"/>
        <v>56575033.649999999</v>
      </c>
      <c r="J128" s="202">
        <v>13.7</v>
      </c>
      <c r="L128" s="204">
        <v>10</v>
      </c>
      <c r="M128" s="202">
        <v>29680</v>
      </c>
      <c r="N128" s="204"/>
      <c r="P128" s="202"/>
      <c r="Z128" s="201"/>
      <c r="AN128" s="202">
        <v>29680</v>
      </c>
      <c r="AO128" s="202">
        <v>29680</v>
      </c>
      <c r="AP128" s="202">
        <v>29680</v>
      </c>
      <c r="AQ128" s="198" t="s">
        <v>54</v>
      </c>
      <c r="AR128" s="198" t="s">
        <v>51</v>
      </c>
      <c r="AS128" s="202">
        <v>29680</v>
      </c>
      <c r="AT128" s="202">
        <v>29680</v>
      </c>
      <c r="AU128" s="198" t="s">
        <v>69</v>
      </c>
      <c r="AV128" s="198" t="s">
        <v>62</v>
      </c>
      <c r="AW128" s="198" t="s">
        <v>54</v>
      </c>
    </row>
    <row r="129" spans="3:49" outlineLevel="2" x14ac:dyDescent="0.25">
      <c r="C129" s="201"/>
      <c r="D129" s="198" t="s">
        <v>129</v>
      </c>
      <c r="H129" s="198" t="s">
        <v>129</v>
      </c>
      <c r="I129" s="202">
        <f t="shared" si="1"/>
        <v>56987990.100000001</v>
      </c>
      <c r="J129" s="202">
        <v>13.8</v>
      </c>
      <c r="L129" s="204">
        <v>1</v>
      </c>
      <c r="M129" s="202">
        <v>6500</v>
      </c>
      <c r="N129" s="204"/>
      <c r="P129" s="202"/>
      <c r="Z129" s="201"/>
      <c r="AN129" s="202">
        <v>6500</v>
      </c>
      <c r="AO129" s="202">
        <v>6500</v>
      </c>
      <c r="AP129" s="202">
        <v>6500</v>
      </c>
      <c r="AQ129" s="198" t="s">
        <v>54</v>
      </c>
      <c r="AR129" s="198" t="s">
        <v>51</v>
      </c>
      <c r="AS129" s="202">
        <v>6500</v>
      </c>
      <c r="AT129" s="202">
        <v>6500</v>
      </c>
      <c r="AU129" s="198" t="s">
        <v>69</v>
      </c>
      <c r="AV129" s="198" t="s">
        <v>62</v>
      </c>
      <c r="AW129" s="198" t="s">
        <v>54</v>
      </c>
    </row>
    <row r="130" spans="3:49" outlineLevel="2" x14ac:dyDescent="0.25">
      <c r="C130" s="201"/>
      <c r="D130" s="198" t="s">
        <v>129</v>
      </c>
      <c r="H130" s="198" t="s">
        <v>129</v>
      </c>
      <c r="I130" s="202">
        <f t="shared" si="1"/>
        <v>57400946.550000004</v>
      </c>
      <c r="J130" s="202">
        <v>13.9</v>
      </c>
      <c r="L130" s="204">
        <v>5</v>
      </c>
      <c r="M130" s="202">
        <v>750</v>
      </c>
      <c r="N130" s="204"/>
      <c r="P130" s="202"/>
      <c r="Z130" s="201"/>
      <c r="AN130" s="202">
        <v>750</v>
      </c>
      <c r="AO130" s="202">
        <v>750</v>
      </c>
      <c r="AP130" s="202">
        <v>750</v>
      </c>
      <c r="AQ130" s="198" t="s">
        <v>54</v>
      </c>
      <c r="AR130" s="198" t="s">
        <v>51</v>
      </c>
      <c r="AS130" s="202">
        <v>750</v>
      </c>
      <c r="AT130" s="202">
        <v>750</v>
      </c>
      <c r="AU130" s="198" t="s">
        <v>69</v>
      </c>
      <c r="AV130" s="198" t="s">
        <v>62</v>
      </c>
      <c r="AW130" s="198" t="s">
        <v>54</v>
      </c>
    </row>
    <row r="131" spans="3:49" outlineLevel="2" x14ac:dyDescent="0.25">
      <c r="C131" s="201"/>
      <c r="D131" s="198" t="s">
        <v>129</v>
      </c>
      <c r="H131" s="198" t="s">
        <v>129</v>
      </c>
      <c r="I131" s="202">
        <f t="shared" ref="I131:I194" si="2">J131*4129564.5</f>
        <v>57813903</v>
      </c>
      <c r="J131" s="202">
        <v>14</v>
      </c>
      <c r="L131" s="204">
        <v>2</v>
      </c>
      <c r="M131" s="202">
        <v>90</v>
      </c>
      <c r="N131" s="204"/>
      <c r="P131" s="202"/>
      <c r="Z131" s="201"/>
      <c r="AN131" s="202">
        <v>90</v>
      </c>
      <c r="AO131" s="202">
        <v>90</v>
      </c>
      <c r="AP131" s="202">
        <v>90</v>
      </c>
      <c r="AQ131" s="198" t="s">
        <v>54</v>
      </c>
      <c r="AR131" s="198" t="s">
        <v>51</v>
      </c>
      <c r="AS131" s="202">
        <v>90</v>
      </c>
      <c r="AT131" s="202">
        <v>90</v>
      </c>
      <c r="AU131" s="198" t="s">
        <v>69</v>
      </c>
      <c r="AV131" s="198" t="s">
        <v>62</v>
      </c>
      <c r="AW131" s="198" t="s">
        <v>54</v>
      </c>
    </row>
    <row r="132" spans="3:49" outlineLevel="2" x14ac:dyDescent="0.25">
      <c r="C132" s="201"/>
      <c r="D132" s="198" t="s">
        <v>129</v>
      </c>
      <c r="H132" s="198" t="s">
        <v>129</v>
      </c>
      <c r="I132" s="202">
        <f t="shared" si="2"/>
        <v>58226859.449999996</v>
      </c>
      <c r="J132" s="202">
        <v>14.1</v>
      </c>
      <c r="L132" s="204">
        <v>4</v>
      </c>
      <c r="M132" s="202">
        <v>9432</v>
      </c>
      <c r="N132" s="204"/>
      <c r="P132" s="202"/>
      <c r="Z132" s="201"/>
      <c r="AN132" s="202">
        <v>9432</v>
      </c>
      <c r="AO132" s="202">
        <v>9432</v>
      </c>
      <c r="AP132" s="202">
        <v>9432</v>
      </c>
      <c r="AQ132" s="198" t="s">
        <v>54</v>
      </c>
      <c r="AR132" s="198" t="s">
        <v>51</v>
      </c>
      <c r="AS132" s="202">
        <v>9432</v>
      </c>
      <c r="AT132" s="202">
        <v>9432</v>
      </c>
      <c r="AU132" s="198" t="s">
        <v>69</v>
      </c>
      <c r="AV132" s="198" t="s">
        <v>62</v>
      </c>
      <c r="AW132" s="198" t="s">
        <v>54</v>
      </c>
    </row>
    <row r="133" spans="3:49" outlineLevel="2" x14ac:dyDescent="0.25">
      <c r="C133" s="201"/>
      <c r="D133" s="198" t="s">
        <v>131</v>
      </c>
      <c r="H133" s="198" t="s">
        <v>131</v>
      </c>
      <c r="I133" s="202">
        <f t="shared" si="2"/>
        <v>58639815.899999999</v>
      </c>
      <c r="J133" s="202">
        <v>14.2</v>
      </c>
      <c r="L133" s="204">
        <v>1</v>
      </c>
      <c r="M133" s="202">
        <v>6500</v>
      </c>
      <c r="N133" s="204"/>
      <c r="P133" s="202"/>
      <c r="Z133" s="201"/>
      <c r="AN133" s="202">
        <v>6500</v>
      </c>
      <c r="AO133" s="202">
        <v>6500</v>
      </c>
      <c r="AP133" s="202">
        <v>6500</v>
      </c>
      <c r="AQ133" s="198" t="s">
        <v>54</v>
      </c>
      <c r="AR133" s="198" t="s">
        <v>51</v>
      </c>
      <c r="AS133" s="202">
        <v>6500</v>
      </c>
      <c r="AT133" s="202">
        <v>6500</v>
      </c>
      <c r="AU133" s="198" t="s">
        <v>69</v>
      </c>
      <c r="AV133" s="198" t="s">
        <v>62</v>
      </c>
      <c r="AW133" s="198" t="s">
        <v>54</v>
      </c>
    </row>
    <row r="134" spans="3:49" outlineLevel="2" x14ac:dyDescent="0.25">
      <c r="C134" s="201"/>
      <c r="D134" s="198" t="s">
        <v>131</v>
      </c>
      <c r="H134" s="198" t="s">
        <v>131</v>
      </c>
      <c r="I134" s="202">
        <f t="shared" si="2"/>
        <v>59052772.350000001</v>
      </c>
      <c r="J134" s="202">
        <v>14.3</v>
      </c>
      <c r="L134" s="204">
        <v>5</v>
      </c>
      <c r="M134" s="202">
        <v>750</v>
      </c>
      <c r="N134" s="204"/>
      <c r="P134" s="202"/>
      <c r="Z134" s="201"/>
      <c r="AN134" s="202">
        <v>750</v>
      </c>
      <c r="AO134" s="202">
        <v>750</v>
      </c>
      <c r="AP134" s="202">
        <v>750</v>
      </c>
      <c r="AQ134" s="198" t="s">
        <v>54</v>
      </c>
      <c r="AR134" s="198" t="s">
        <v>51</v>
      </c>
      <c r="AS134" s="202">
        <v>750</v>
      </c>
      <c r="AT134" s="202">
        <v>750</v>
      </c>
      <c r="AU134" s="198" t="s">
        <v>69</v>
      </c>
      <c r="AV134" s="198" t="s">
        <v>62</v>
      </c>
      <c r="AW134" s="198" t="s">
        <v>54</v>
      </c>
    </row>
    <row r="135" spans="3:49" outlineLevel="2" x14ac:dyDescent="0.25">
      <c r="C135" s="201"/>
      <c r="D135" s="198" t="s">
        <v>131</v>
      </c>
      <c r="H135" s="198" t="s">
        <v>131</v>
      </c>
      <c r="I135" s="202">
        <f t="shared" si="2"/>
        <v>59465728.800000004</v>
      </c>
      <c r="J135" s="202">
        <v>14.4</v>
      </c>
      <c r="L135" s="204">
        <v>2</v>
      </c>
      <c r="M135" s="202">
        <v>90</v>
      </c>
      <c r="N135" s="204"/>
      <c r="P135" s="202"/>
      <c r="Z135" s="201"/>
      <c r="AN135" s="202">
        <v>90</v>
      </c>
      <c r="AO135" s="202">
        <v>90</v>
      </c>
      <c r="AP135" s="202">
        <v>90</v>
      </c>
      <c r="AQ135" s="198" t="s">
        <v>54</v>
      </c>
      <c r="AR135" s="198" t="s">
        <v>51</v>
      </c>
      <c r="AS135" s="202">
        <v>90</v>
      </c>
      <c r="AT135" s="202">
        <v>90</v>
      </c>
      <c r="AU135" s="198" t="s">
        <v>69</v>
      </c>
      <c r="AV135" s="198" t="s">
        <v>62</v>
      </c>
      <c r="AW135" s="198" t="s">
        <v>54</v>
      </c>
    </row>
    <row r="136" spans="3:49" outlineLevel="2" x14ac:dyDescent="0.25">
      <c r="C136" s="201"/>
      <c r="D136" s="198" t="s">
        <v>131</v>
      </c>
      <c r="H136" s="198" t="s">
        <v>131</v>
      </c>
      <c r="I136" s="202">
        <f t="shared" si="2"/>
        <v>59878685.25</v>
      </c>
      <c r="J136" s="202">
        <v>14.5</v>
      </c>
      <c r="L136" s="204">
        <v>4</v>
      </c>
      <c r="M136" s="202">
        <v>9432</v>
      </c>
      <c r="N136" s="204"/>
      <c r="P136" s="202"/>
      <c r="Z136" s="201"/>
      <c r="AN136" s="202">
        <v>9432</v>
      </c>
      <c r="AO136" s="202">
        <v>9432</v>
      </c>
      <c r="AP136" s="202">
        <v>9432</v>
      </c>
      <c r="AQ136" s="198" t="s">
        <v>54</v>
      </c>
      <c r="AR136" s="198" t="s">
        <v>51</v>
      </c>
      <c r="AS136" s="202">
        <v>9432</v>
      </c>
      <c r="AT136" s="202">
        <v>9432</v>
      </c>
      <c r="AU136" s="198" t="s">
        <v>69</v>
      </c>
      <c r="AV136" s="198" t="s">
        <v>62</v>
      </c>
      <c r="AW136" s="198" t="s">
        <v>54</v>
      </c>
    </row>
    <row r="137" spans="3:49" outlineLevel="2" x14ac:dyDescent="0.25">
      <c r="C137" s="201"/>
      <c r="D137" s="198" t="s">
        <v>131</v>
      </c>
      <c r="H137" s="198" t="s">
        <v>131</v>
      </c>
      <c r="I137" s="202">
        <f t="shared" si="2"/>
        <v>60291641.699999996</v>
      </c>
      <c r="J137" s="202">
        <v>14.6</v>
      </c>
      <c r="L137" s="204">
        <v>1</v>
      </c>
      <c r="M137" s="202">
        <v>0.01</v>
      </c>
      <c r="N137" s="204"/>
      <c r="P137" s="202"/>
      <c r="Z137" s="201"/>
      <c r="AN137" s="202">
        <v>0.01</v>
      </c>
      <c r="AO137" s="202">
        <v>0.01</v>
      </c>
      <c r="AP137" s="202">
        <v>0.01</v>
      </c>
      <c r="AQ137" s="198" t="s">
        <v>54</v>
      </c>
      <c r="AR137" s="198" t="s">
        <v>51</v>
      </c>
      <c r="AS137" s="202">
        <v>0.01</v>
      </c>
      <c r="AT137" s="202">
        <v>0.01</v>
      </c>
      <c r="AU137" s="198" t="s">
        <v>69</v>
      </c>
      <c r="AV137" s="198" t="s">
        <v>62</v>
      </c>
      <c r="AW137" s="198" t="s">
        <v>54</v>
      </c>
    </row>
    <row r="138" spans="3:49" outlineLevel="2" x14ac:dyDescent="0.25">
      <c r="C138" s="201"/>
      <c r="D138" s="198" t="s">
        <v>1898</v>
      </c>
      <c r="H138" s="198" t="s">
        <v>1898</v>
      </c>
      <c r="I138" s="202">
        <f t="shared" si="2"/>
        <v>60704598.149999999</v>
      </c>
      <c r="J138" s="202">
        <v>14.7</v>
      </c>
      <c r="L138" s="204">
        <v>1</v>
      </c>
      <c r="M138" s="202">
        <v>900000000</v>
      </c>
      <c r="N138" s="204"/>
      <c r="P138" s="202"/>
      <c r="Z138" s="201"/>
      <c r="AN138" s="202">
        <v>900000000</v>
      </c>
      <c r="AO138" s="202">
        <v>900000000</v>
      </c>
      <c r="AP138" s="202">
        <v>900000000</v>
      </c>
      <c r="AQ138" s="198" t="s">
        <v>54</v>
      </c>
      <c r="AR138" s="198" t="s">
        <v>51</v>
      </c>
      <c r="AS138" s="202">
        <v>900000000</v>
      </c>
      <c r="AT138" s="202">
        <v>900000000</v>
      </c>
      <c r="AU138" s="198" t="s">
        <v>69</v>
      </c>
      <c r="AV138" s="198" t="s">
        <v>62</v>
      </c>
      <c r="AW138" s="198" t="s">
        <v>54</v>
      </c>
    </row>
    <row r="139" spans="3:49" outlineLevel="2" x14ac:dyDescent="0.25">
      <c r="C139" s="201"/>
      <c r="D139" s="198" t="s">
        <v>1898</v>
      </c>
      <c r="H139" s="198" t="s">
        <v>1898</v>
      </c>
      <c r="I139" s="202">
        <f t="shared" si="2"/>
        <v>61117554.600000001</v>
      </c>
      <c r="J139" s="202">
        <v>14.8</v>
      </c>
      <c r="L139" s="204">
        <v>1</v>
      </c>
      <c r="M139" s="202">
        <v>900000000</v>
      </c>
      <c r="N139" s="204"/>
      <c r="P139" s="202"/>
      <c r="Z139" s="201"/>
      <c r="AN139" s="202">
        <v>900000000</v>
      </c>
      <c r="AO139" s="202">
        <v>900000000</v>
      </c>
      <c r="AP139" s="202">
        <v>900000000</v>
      </c>
      <c r="AQ139" s="198" t="s">
        <v>54</v>
      </c>
      <c r="AR139" s="198" t="s">
        <v>51</v>
      </c>
      <c r="AS139" s="202">
        <v>900000000</v>
      </c>
      <c r="AT139" s="202">
        <v>900000000</v>
      </c>
      <c r="AU139" s="198" t="s">
        <v>69</v>
      </c>
      <c r="AV139" s="198" t="s">
        <v>62</v>
      </c>
      <c r="AW139" s="198" t="s">
        <v>54</v>
      </c>
    </row>
    <row r="140" spans="3:49" outlineLevel="2" x14ac:dyDescent="0.25">
      <c r="C140" s="201"/>
      <c r="D140" s="198" t="s">
        <v>1898</v>
      </c>
      <c r="H140" s="198" t="s">
        <v>1898</v>
      </c>
      <c r="I140" s="202">
        <f t="shared" si="2"/>
        <v>61530511.050000004</v>
      </c>
      <c r="J140" s="202">
        <v>14.9</v>
      </c>
      <c r="L140" s="204">
        <v>1</v>
      </c>
      <c r="M140" s="202">
        <v>900000000</v>
      </c>
      <c r="N140" s="204"/>
      <c r="P140" s="202"/>
      <c r="Z140" s="201"/>
      <c r="AN140" s="202">
        <v>900000000</v>
      </c>
      <c r="AO140" s="202">
        <v>900000000</v>
      </c>
      <c r="AP140" s="202">
        <v>900000000</v>
      </c>
      <c r="AQ140" s="198" t="s">
        <v>54</v>
      </c>
      <c r="AR140" s="198" t="s">
        <v>51</v>
      </c>
      <c r="AS140" s="202">
        <v>900000000</v>
      </c>
      <c r="AT140" s="202">
        <v>900000000</v>
      </c>
      <c r="AU140" s="198" t="s">
        <v>69</v>
      </c>
      <c r="AV140" s="198" t="s">
        <v>62</v>
      </c>
      <c r="AW140" s="198" t="s">
        <v>54</v>
      </c>
    </row>
    <row r="141" spans="3:49" outlineLevel="2" x14ac:dyDescent="0.25">
      <c r="C141" s="201"/>
      <c r="D141" s="198" t="s">
        <v>2069</v>
      </c>
      <c r="H141" s="198" t="s">
        <v>2069</v>
      </c>
      <c r="I141" s="202">
        <f t="shared" si="2"/>
        <v>61943467.5</v>
      </c>
      <c r="J141" s="202">
        <v>15</v>
      </c>
      <c r="L141" s="204">
        <v>1</v>
      </c>
      <c r="M141" s="202">
        <v>900000000</v>
      </c>
      <c r="N141" s="204"/>
      <c r="P141" s="202"/>
      <c r="Z141" s="201"/>
      <c r="AN141" s="202">
        <v>900000000</v>
      </c>
      <c r="AO141" s="202">
        <v>900000000</v>
      </c>
      <c r="AP141" s="202">
        <v>900000000</v>
      </c>
      <c r="AQ141" s="198" t="s">
        <v>54</v>
      </c>
      <c r="AR141" s="198" t="s">
        <v>51</v>
      </c>
      <c r="AS141" s="202">
        <v>900000000</v>
      </c>
      <c r="AT141" s="202">
        <v>900000000</v>
      </c>
      <c r="AU141" s="198" t="s">
        <v>69</v>
      </c>
      <c r="AV141" s="198" t="s">
        <v>62</v>
      </c>
      <c r="AW141" s="198" t="s">
        <v>54</v>
      </c>
    </row>
    <row r="142" spans="3:49" outlineLevel="2" x14ac:dyDescent="0.25">
      <c r="C142" s="201"/>
      <c r="D142" s="198" t="s">
        <v>2069</v>
      </c>
      <c r="H142" s="198" t="s">
        <v>2069</v>
      </c>
      <c r="I142" s="202">
        <f t="shared" si="2"/>
        <v>62356423.949999996</v>
      </c>
      <c r="J142" s="202">
        <v>15.1</v>
      </c>
      <c r="L142" s="204">
        <v>1</v>
      </c>
      <c r="M142" s="202">
        <v>900000000</v>
      </c>
      <c r="N142" s="204"/>
      <c r="P142" s="202"/>
      <c r="Z142" s="201"/>
      <c r="AN142" s="202">
        <v>900000000</v>
      </c>
      <c r="AO142" s="202">
        <v>900000000</v>
      </c>
      <c r="AP142" s="202">
        <v>900000000</v>
      </c>
      <c r="AQ142" s="198" t="s">
        <v>54</v>
      </c>
      <c r="AR142" s="198" t="s">
        <v>51</v>
      </c>
      <c r="AS142" s="202">
        <v>900000000</v>
      </c>
      <c r="AT142" s="202">
        <v>900000000</v>
      </c>
      <c r="AU142" s="198" t="s">
        <v>69</v>
      </c>
      <c r="AV142" s="198" t="s">
        <v>62</v>
      </c>
      <c r="AW142" s="198" t="s">
        <v>54</v>
      </c>
    </row>
    <row r="143" spans="3:49" outlineLevel="2" x14ac:dyDescent="0.25">
      <c r="C143" s="201"/>
      <c r="D143" s="198" t="s">
        <v>2069</v>
      </c>
      <c r="H143" s="198" t="s">
        <v>2069</v>
      </c>
      <c r="I143" s="202">
        <f t="shared" si="2"/>
        <v>62769380.399999999</v>
      </c>
      <c r="J143" s="202">
        <v>15.2</v>
      </c>
      <c r="L143" s="204">
        <v>1</v>
      </c>
      <c r="M143" s="202">
        <v>900000000</v>
      </c>
      <c r="N143" s="204"/>
      <c r="P143" s="202"/>
      <c r="Z143" s="201"/>
      <c r="AN143" s="202">
        <v>900000000</v>
      </c>
      <c r="AO143" s="202">
        <v>900000000</v>
      </c>
      <c r="AP143" s="202">
        <v>900000000</v>
      </c>
      <c r="AQ143" s="198" t="s">
        <v>54</v>
      </c>
      <c r="AR143" s="198" t="s">
        <v>51</v>
      </c>
      <c r="AS143" s="202">
        <v>900000000</v>
      </c>
      <c r="AT143" s="202">
        <v>900000000</v>
      </c>
      <c r="AU143" s="198" t="s">
        <v>69</v>
      </c>
      <c r="AV143" s="198" t="s">
        <v>62</v>
      </c>
      <c r="AW143" s="198" t="s">
        <v>54</v>
      </c>
    </row>
    <row r="144" spans="3:49" outlineLevel="2" x14ac:dyDescent="0.25">
      <c r="C144" s="201"/>
      <c r="D144" s="198" t="s">
        <v>2069</v>
      </c>
      <c r="H144" s="198" t="s">
        <v>2069</v>
      </c>
      <c r="I144" s="202">
        <f t="shared" si="2"/>
        <v>63182336.850000001</v>
      </c>
      <c r="J144" s="202">
        <v>15.3</v>
      </c>
      <c r="L144" s="204">
        <v>1</v>
      </c>
      <c r="M144" s="202">
        <v>900000000</v>
      </c>
      <c r="N144" s="204"/>
      <c r="P144" s="202"/>
      <c r="Z144" s="201"/>
      <c r="AN144" s="202">
        <v>900000000</v>
      </c>
      <c r="AO144" s="202">
        <v>900000000</v>
      </c>
      <c r="AP144" s="202">
        <v>900000000</v>
      </c>
      <c r="AQ144" s="198" t="s">
        <v>54</v>
      </c>
      <c r="AR144" s="198" t="s">
        <v>51</v>
      </c>
      <c r="AS144" s="202">
        <v>900000000</v>
      </c>
      <c r="AT144" s="202">
        <v>900000000</v>
      </c>
      <c r="AU144" s="198" t="s">
        <v>69</v>
      </c>
      <c r="AV144" s="198" t="s">
        <v>62</v>
      </c>
      <c r="AW144" s="198" t="s">
        <v>54</v>
      </c>
    </row>
    <row r="145" spans="3:49" outlineLevel="2" x14ac:dyDescent="0.25">
      <c r="C145" s="201"/>
      <c r="D145" s="198" t="s">
        <v>1898</v>
      </c>
      <c r="H145" s="198" t="s">
        <v>1898</v>
      </c>
      <c r="I145" s="202">
        <f t="shared" si="2"/>
        <v>63595293.300000004</v>
      </c>
      <c r="J145" s="202">
        <v>15.4</v>
      </c>
      <c r="L145" s="204">
        <v>1</v>
      </c>
      <c r="M145" s="202">
        <v>201583230.19999999</v>
      </c>
      <c r="N145" s="204"/>
      <c r="P145" s="202"/>
      <c r="Z145" s="201"/>
      <c r="AN145" s="202">
        <v>201583230.19999999</v>
      </c>
      <c r="AO145" s="202">
        <v>201583230.19999999</v>
      </c>
      <c r="AP145" s="202">
        <v>201583230.19999999</v>
      </c>
      <c r="AQ145" s="198" t="s">
        <v>54</v>
      </c>
      <c r="AR145" s="198" t="s">
        <v>51</v>
      </c>
      <c r="AS145" s="202">
        <v>201583230.19999999</v>
      </c>
      <c r="AT145" s="202">
        <v>201583230.19999999</v>
      </c>
      <c r="AU145" s="198" t="s">
        <v>69</v>
      </c>
      <c r="AV145" s="198" t="s">
        <v>62</v>
      </c>
      <c r="AW145" s="198" t="s">
        <v>54</v>
      </c>
    </row>
    <row r="146" spans="3:49" outlineLevel="2" x14ac:dyDescent="0.25">
      <c r="C146" s="201"/>
      <c r="D146" s="198" t="s">
        <v>110</v>
      </c>
      <c r="H146" s="198" t="s">
        <v>110</v>
      </c>
      <c r="I146" s="202">
        <f t="shared" si="2"/>
        <v>64008249.75</v>
      </c>
      <c r="J146" s="202">
        <v>15.5</v>
      </c>
      <c r="L146" s="203">
        <v>58.103999999999999</v>
      </c>
      <c r="M146" s="202">
        <v>5890118.6900000004</v>
      </c>
      <c r="N146" s="203"/>
      <c r="P146" s="202"/>
      <c r="Z146" s="201"/>
      <c r="AN146" s="202">
        <v>5890118.6900000004</v>
      </c>
      <c r="AO146" s="202">
        <v>5890118.6900000004</v>
      </c>
      <c r="AP146" s="202">
        <v>5890118.6900000004</v>
      </c>
      <c r="AQ146" s="198" t="s">
        <v>54</v>
      </c>
      <c r="AR146" s="198" t="s">
        <v>51</v>
      </c>
      <c r="AS146" s="202">
        <v>3860853.99</v>
      </c>
      <c r="AT146" s="202">
        <v>3860853.99</v>
      </c>
      <c r="AU146" s="198" t="s">
        <v>69</v>
      </c>
      <c r="AV146" s="198" t="s">
        <v>62</v>
      </c>
      <c r="AW146" s="198" t="s">
        <v>54</v>
      </c>
    </row>
    <row r="147" spans="3:49" outlineLevel="2" x14ac:dyDescent="0.25">
      <c r="C147" s="201"/>
      <c r="D147" s="198" t="s">
        <v>110</v>
      </c>
      <c r="H147" s="198" t="s">
        <v>110</v>
      </c>
      <c r="I147" s="202">
        <f t="shared" si="2"/>
        <v>64421206.199999996</v>
      </c>
      <c r="J147" s="202">
        <v>15.6</v>
      </c>
      <c r="L147" s="203">
        <v>158.00399999999999</v>
      </c>
      <c r="M147" s="202">
        <v>16279310.119999999</v>
      </c>
      <c r="N147" s="203"/>
      <c r="P147" s="202"/>
      <c r="Z147" s="201"/>
      <c r="AN147" s="202">
        <v>16279310.119999999</v>
      </c>
      <c r="AO147" s="202">
        <v>16279310.119999999</v>
      </c>
      <c r="AP147" s="202">
        <v>16279310.119999999</v>
      </c>
      <c r="AQ147" s="198" t="s">
        <v>54</v>
      </c>
      <c r="AR147" s="198" t="s">
        <v>51</v>
      </c>
      <c r="AS147" s="202">
        <v>11427786.390000001</v>
      </c>
      <c r="AT147" s="202">
        <v>11427786.390000001</v>
      </c>
      <c r="AU147" s="198" t="s">
        <v>69</v>
      </c>
      <c r="AV147" s="198" t="s">
        <v>62</v>
      </c>
      <c r="AW147" s="198" t="s">
        <v>54</v>
      </c>
    </row>
    <row r="148" spans="3:49" outlineLevel="2" x14ac:dyDescent="0.25">
      <c r="C148" s="201"/>
      <c r="D148" s="198" t="s">
        <v>110</v>
      </c>
      <c r="H148" s="198" t="s">
        <v>110</v>
      </c>
      <c r="I148" s="202">
        <f t="shared" si="2"/>
        <v>64834162.649999999</v>
      </c>
      <c r="J148" s="202">
        <v>15.7</v>
      </c>
      <c r="L148" s="203">
        <v>4.8600000000000003</v>
      </c>
      <c r="M148" s="202">
        <v>500730.66</v>
      </c>
      <c r="N148" s="203"/>
      <c r="P148" s="202"/>
      <c r="Z148" s="201"/>
      <c r="AN148" s="202">
        <v>500730.66</v>
      </c>
      <c r="AO148" s="202">
        <v>500730.66</v>
      </c>
      <c r="AP148" s="202">
        <v>500730.66</v>
      </c>
      <c r="AQ148" s="198" t="s">
        <v>54</v>
      </c>
      <c r="AR148" s="198" t="s">
        <v>51</v>
      </c>
      <c r="AS148" s="202">
        <v>478579</v>
      </c>
      <c r="AT148" s="202">
        <v>478579</v>
      </c>
      <c r="AU148" s="198" t="s">
        <v>69</v>
      </c>
      <c r="AV148" s="198" t="s">
        <v>62</v>
      </c>
      <c r="AW148" s="198" t="s">
        <v>54</v>
      </c>
    </row>
    <row r="149" spans="3:49" outlineLevel="2" x14ac:dyDescent="0.25">
      <c r="C149" s="201"/>
      <c r="D149" s="198" t="s">
        <v>432</v>
      </c>
      <c r="H149" s="198" t="s">
        <v>432</v>
      </c>
      <c r="I149" s="202">
        <f t="shared" si="2"/>
        <v>65247119.100000001</v>
      </c>
      <c r="J149" s="202">
        <v>15.8</v>
      </c>
      <c r="L149" s="204">
        <v>1</v>
      </c>
      <c r="M149" s="202">
        <v>116045306.36</v>
      </c>
      <c r="N149" s="204"/>
      <c r="P149" s="202"/>
      <c r="Z149" s="201"/>
      <c r="AN149" s="202">
        <v>116045306.36</v>
      </c>
      <c r="AO149" s="202">
        <v>116045306.36</v>
      </c>
      <c r="AP149" s="202">
        <v>1216631</v>
      </c>
      <c r="AQ149" s="198" t="s">
        <v>54</v>
      </c>
      <c r="AR149" s="198" t="s">
        <v>51</v>
      </c>
      <c r="AS149" s="202">
        <v>116045306.36</v>
      </c>
      <c r="AT149" s="202">
        <v>116045306.36</v>
      </c>
      <c r="AU149" s="198" t="s">
        <v>69</v>
      </c>
      <c r="AV149" s="198" t="s">
        <v>62</v>
      </c>
      <c r="AW149" s="198" t="s">
        <v>54</v>
      </c>
    </row>
    <row r="150" spans="3:49" outlineLevel="2" x14ac:dyDescent="0.25">
      <c r="C150" s="201"/>
      <c r="D150" s="198" t="s">
        <v>365</v>
      </c>
      <c r="H150" s="198" t="s">
        <v>365</v>
      </c>
      <c r="I150" s="202">
        <f t="shared" si="2"/>
        <v>65660075.550000004</v>
      </c>
      <c r="J150" s="202">
        <v>15.9</v>
      </c>
      <c r="L150" s="204">
        <v>1</v>
      </c>
      <c r="M150" s="202">
        <v>116045306.36</v>
      </c>
      <c r="N150" s="204"/>
      <c r="P150" s="202"/>
      <c r="Z150" s="201"/>
      <c r="AN150" s="202">
        <v>116045306.36</v>
      </c>
      <c r="AO150" s="202">
        <v>116045306.36</v>
      </c>
      <c r="AP150" s="202">
        <v>1216631</v>
      </c>
      <c r="AQ150" s="198" t="s">
        <v>54</v>
      </c>
      <c r="AR150" s="198" t="s">
        <v>51</v>
      </c>
      <c r="AS150" s="202">
        <v>116045306.36</v>
      </c>
      <c r="AT150" s="202">
        <v>116045306.36</v>
      </c>
      <c r="AU150" s="198" t="s">
        <v>69</v>
      </c>
      <c r="AV150" s="198" t="s">
        <v>62</v>
      </c>
      <c r="AW150" s="198" t="s">
        <v>54</v>
      </c>
    </row>
    <row r="151" spans="3:49" outlineLevel="2" x14ac:dyDescent="0.25">
      <c r="C151" s="201"/>
      <c r="D151" s="198" t="s">
        <v>577</v>
      </c>
      <c r="H151" s="198" t="s">
        <v>577</v>
      </c>
      <c r="I151" s="202">
        <f t="shared" si="2"/>
        <v>66073032</v>
      </c>
      <c r="J151" s="202">
        <v>16</v>
      </c>
      <c r="L151" s="204">
        <v>22000</v>
      </c>
      <c r="M151" s="202">
        <v>5522000</v>
      </c>
      <c r="N151" s="204"/>
      <c r="P151" s="202"/>
      <c r="Z151" s="201"/>
      <c r="AN151" s="202">
        <v>5522000</v>
      </c>
      <c r="AO151" s="202">
        <v>5522000</v>
      </c>
      <c r="AP151" s="202">
        <v>5522000</v>
      </c>
      <c r="AQ151" s="198" t="s">
        <v>54</v>
      </c>
      <c r="AR151" s="198" t="s">
        <v>51</v>
      </c>
      <c r="AS151" s="202">
        <v>5522000</v>
      </c>
      <c r="AT151" s="202">
        <v>5522000</v>
      </c>
      <c r="AU151" s="198" t="s">
        <v>69</v>
      </c>
      <c r="AV151" s="198" t="s">
        <v>62</v>
      </c>
      <c r="AW151" s="198" t="s">
        <v>54</v>
      </c>
    </row>
    <row r="152" spans="3:49" outlineLevel="2" x14ac:dyDescent="0.25">
      <c r="C152" s="201"/>
      <c r="D152" s="198" t="s">
        <v>582</v>
      </c>
      <c r="H152" s="198" t="s">
        <v>582</v>
      </c>
      <c r="I152" s="202">
        <f t="shared" si="2"/>
        <v>66485988.450000003</v>
      </c>
      <c r="J152" s="202">
        <v>16.100000000000001</v>
      </c>
      <c r="L152" s="204">
        <v>19950</v>
      </c>
      <c r="M152" s="202">
        <v>5007450</v>
      </c>
      <c r="N152" s="204"/>
      <c r="P152" s="202"/>
      <c r="Z152" s="201"/>
      <c r="AN152" s="202">
        <v>5007450</v>
      </c>
      <c r="AO152" s="202">
        <v>5007450</v>
      </c>
      <c r="AP152" s="202">
        <v>5007450</v>
      </c>
      <c r="AQ152" s="198" t="s">
        <v>54</v>
      </c>
      <c r="AR152" s="198" t="s">
        <v>51</v>
      </c>
      <c r="AS152" s="202">
        <v>5007450</v>
      </c>
      <c r="AT152" s="202">
        <v>5007450</v>
      </c>
      <c r="AU152" s="198" t="s">
        <v>69</v>
      </c>
      <c r="AV152" s="198" t="s">
        <v>62</v>
      </c>
      <c r="AW152" s="198" t="s">
        <v>54</v>
      </c>
    </row>
    <row r="153" spans="3:49" outlineLevel="2" x14ac:dyDescent="0.25">
      <c r="C153" s="201"/>
      <c r="D153" s="198" t="s">
        <v>129</v>
      </c>
      <c r="H153" s="198" t="s">
        <v>129</v>
      </c>
      <c r="I153" s="202">
        <f t="shared" si="2"/>
        <v>66898944.899999999</v>
      </c>
      <c r="J153" s="202">
        <v>16.2</v>
      </c>
      <c r="L153" s="204">
        <v>4531</v>
      </c>
      <c r="M153" s="202">
        <v>149523</v>
      </c>
      <c r="N153" s="204"/>
      <c r="P153" s="202"/>
      <c r="Z153" s="201"/>
      <c r="AN153" s="202">
        <v>149523</v>
      </c>
      <c r="AO153" s="202">
        <v>149523</v>
      </c>
      <c r="AP153" s="202">
        <v>149523</v>
      </c>
      <c r="AQ153" s="198" t="s">
        <v>54</v>
      </c>
      <c r="AR153" s="198" t="s">
        <v>51</v>
      </c>
      <c r="AS153" s="202">
        <v>149523</v>
      </c>
      <c r="AT153" s="202">
        <v>149523</v>
      </c>
      <c r="AU153" s="198" t="s">
        <v>69</v>
      </c>
      <c r="AV153" s="198" t="s">
        <v>62</v>
      </c>
      <c r="AW153" s="198" t="s">
        <v>54</v>
      </c>
    </row>
    <row r="154" spans="3:49" outlineLevel="2" x14ac:dyDescent="0.25">
      <c r="C154" s="201"/>
      <c r="D154" s="198" t="s">
        <v>129</v>
      </c>
      <c r="H154" s="198" t="s">
        <v>129</v>
      </c>
      <c r="I154" s="202">
        <f t="shared" si="2"/>
        <v>67311901.350000009</v>
      </c>
      <c r="J154" s="202">
        <v>16.3</v>
      </c>
      <c r="L154" s="204">
        <v>9</v>
      </c>
      <c r="M154" s="202">
        <v>517050</v>
      </c>
      <c r="N154" s="204"/>
      <c r="P154" s="202"/>
      <c r="Z154" s="201"/>
      <c r="AN154" s="202">
        <v>517050</v>
      </c>
      <c r="AO154" s="202">
        <v>517050</v>
      </c>
      <c r="AP154" s="202">
        <v>517050</v>
      </c>
      <c r="AQ154" s="198" t="s">
        <v>54</v>
      </c>
      <c r="AR154" s="198" t="s">
        <v>51</v>
      </c>
      <c r="AS154" s="202">
        <v>517050</v>
      </c>
      <c r="AT154" s="202">
        <v>517050</v>
      </c>
      <c r="AU154" s="198" t="s">
        <v>69</v>
      </c>
      <c r="AV154" s="198" t="s">
        <v>62</v>
      </c>
      <c r="AW154" s="198" t="s">
        <v>54</v>
      </c>
    </row>
    <row r="155" spans="3:49" outlineLevel="2" x14ac:dyDescent="0.25">
      <c r="C155" s="201"/>
      <c r="D155" s="198" t="s">
        <v>129</v>
      </c>
      <c r="H155" s="198" t="s">
        <v>129</v>
      </c>
      <c r="I155" s="202">
        <f t="shared" si="2"/>
        <v>67724857.799999997</v>
      </c>
      <c r="J155" s="202">
        <v>16.399999999999999</v>
      </c>
      <c r="L155" s="204">
        <v>1743</v>
      </c>
      <c r="M155" s="202">
        <v>594363</v>
      </c>
      <c r="N155" s="204"/>
      <c r="P155" s="202"/>
      <c r="Z155" s="201"/>
      <c r="AN155" s="202">
        <v>594363</v>
      </c>
      <c r="AO155" s="202">
        <v>594363</v>
      </c>
      <c r="AP155" s="202">
        <v>594363</v>
      </c>
      <c r="AQ155" s="198" t="s">
        <v>54</v>
      </c>
      <c r="AR155" s="198" t="s">
        <v>51</v>
      </c>
      <c r="AS155" s="202">
        <v>594363</v>
      </c>
      <c r="AT155" s="202">
        <v>594363</v>
      </c>
      <c r="AU155" s="198" t="s">
        <v>69</v>
      </c>
      <c r="AV155" s="198" t="s">
        <v>62</v>
      </c>
      <c r="AW155" s="198" t="s">
        <v>54</v>
      </c>
    </row>
    <row r="156" spans="3:49" outlineLevel="2" x14ac:dyDescent="0.25">
      <c r="C156" s="201"/>
      <c r="D156" s="198" t="s">
        <v>129</v>
      </c>
      <c r="H156" s="198" t="s">
        <v>129</v>
      </c>
      <c r="I156" s="202">
        <f t="shared" si="2"/>
        <v>68137814.25</v>
      </c>
      <c r="J156" s="202">
        <v>16.5</v>
      </c>
      <c r="L156" s="204">
        <v>43</v>
      </c>
      <c r="M156" s="202">
        <v>20167</v>
      </c>
      <c r="N156" s="204"/>
      <c r="P156" s="202"/>
      <c r="Z156" s="201"/>
      <c r="AN156" s="202">
        <v>20167</v>
      </c>
      <c r="AO156" s="202">
        <v>20167</v>
      </c>
      <c r="AP156" s="202">
        <v>20167</v>
      </c>
      <c r="AQ156" s="198" t="s">
        <v>54</v>
      </c>
      <c r="AR156" s="198" t="s">
        <v>51</v>
      </c>
      <c r="AS156" s="202">
        <v>20167</v>
      </c>
      <c r="AT156" s="202">
        <v>20167</v>
      </c>
      <c r="AU156" s="198" t="s">
        <v>69</v>
      </c>
      <c r="AV156" s="198" t="s">
        <v>62</v>
      </c>
      <c r="AW156" s="198" t="s">
        <v>54</v>
      </c>
    </row>
    <row r="157" spans="3:49" outlineLevel="2" x14ac:dyDescent="0.25">
      <c r="C157" s="201"/>
      <c r="D157" s="198" t="s">
        <v>129</v>
      </c>
      <c r="H157" s="198" t="s">
        <v>129</v>
      </c>
      <c r="I157" s="202">
        <f t="shared" si="2"/>
        <v>68550770.700000003</v>
      </c>
      <c r="J157" s="202">
        <v>16.600000000000001</v>
      </c>
      <c r="L157" s="204">
        <v>328</v>
      </c>
      <c r="M157" s="202">
        <v>204672</v>
      </c>
      <c r="N157" s="204"/>
      <c r="P157" s="202"/>
      <c r="Z157" s="201"/>
      <c r="AN157" s="202">
        <v>204672</v>
      </c>
      <c r="AO157" s="202">
        <v>204672</v>
      </c>
      <c r="AP157" s="202">
        <v>204672</v>
      </c>
      <c r="AQ157" s="198" t="s">
        <v>54</v>
      </c>
      <c r="AR157" s="198" t="s">
        <v>51</v>
      </c>
      <c r="AS157" s="202">
        <v>204672</v>
      </c>
      <c r="AT157" s="202">
        <v>204672</v>
      </c>
      <c r="AU157" s="198" t="s">
        <v>69</v>
      </c>
      <c r="AV157" s="198" t="s">
        <v>62</v>
      </c>
      <c r="AW157" s="198" t="s">
        <v>54</v>
      </c>
    </row>
    <row r="158" spans="3:49" outlineLevel="2" x14ac:dyDescent="0.25">
      <c r="C158" s="201"/>
      <c r="D158" s="198" t="s">
        <v>129</v>
      </c>
      <c r="H158" s="198" t="s">
        <v>129</v>
      </c>
      <c r="I158" s="202">
        <f t="shared" si="2"/>
        <v>68963727.149999991</v>
      </c>
      <c r="J158" s="202">
        <v>16.7</v>
      </c>
      <c r="L158" s="204">
        <v>130</v>
      </c>
      <c r="M158" s="202">
        <v>27950</v>
      </c>
      <c r="N158" s="204"/>
      <c r="P158" s="202"/>
      <c r="Z158" s="201"/>
      <c r="AN158" s="202">
        <v>27950</v>
      </c>
      <c r="AO158" s="202">
        <v>27950</v>
      </c>
      <c r="AP158" s="202">
        <v>27950</v>
      </c>
      <c r="AQ158" s="198" t="s">
        <v>54</v>
      </c>
      <c r="AR158" s="198" t="s">
        <v>51</v>
      </c>
      <c r="AS158" s="202">
        <v>27950</v>
      </c>
      <c r="AT158" s="202">
        <v>27950</v>
      </c>
      <c r="AU158" s="198" t="s">
        <v>69</v>
      </c>
      <c r="AV158" s="198" t="s">
        <v>62</v>
      </c>
      <c r="AW158" s="198" t="s">
        <v>54</v>
      </c>
    </row>
    <row r="159" spans="3:49" outlineLevel="2" x14ac:dyDescent="0.25">
      <c r="C159" s="201"/>
      <c r="D159" s="198" t="s">
        <v>129</v>
      </c>
      <c r="H159" s="198" t="s">
        <v>129</v>
      </c>
      <c r="I159" s="202">
        <f t="shared" si="2"/>
        <v>69376683.600000009</v>
      </c>
      <c r="J159" s="202">
        <v>16.8</v>
      </c>
      <c r="L159" s="204">
        <v>1211</v>
      </c>
      <c r="M159" s="202">
        <v>163485</v>
      </c>
      <c r="N159" s="204"/>
      <c r="P159" s="202"/>
      <c r="Z159" s="201"/>
      <c r="AN159" s="202">
        <v>163485</v>
      </c>
      <c r="AO159" s="202">
        <v>163485</v>
      </c>
      <c r="AP159" s="202">
        <v>163485</v>
      </c>
      <c r="AQ159" s="198" t="s">
        <v>54</v>
      </c>
      <c r="AR159" s="198" t="s">
        <v>51</v>
      </c>
      <c r="AS159" s="202">
        <v>163485</v>
      </c>
      <c r="AT159" s="202">
        <v>163485</v>
      </c>
      <c r="AU159" s="198" t="s">
        <v>69</v>
      </c>
      <c r="AV159" s="198" t="s">
        <v>62</v>
      </c>
      <c r="AW159" s="198" t="s">
        <v>54</v>
      </c>
    </row>
    <row r="160" spans="3:49" outlineLevel="2" x14ac:dyDescent="0.25">
      <c r="C160" s="201"/>
      <c r="D160" s="198" t="s">
        <v>129</v>
      </c>
      <c r="H160" s="198" t="s">
        <v>129</v>
      </c>
      <c r="I160" s="202">
        <f t="shared" si="2"/>
        <v>69789640.049999997</v>
      </c>
      <c r="J160" s="202">
        <v>16.899999999999999</v>
      </c>
      <c r="L160" s="204">
        <v>14515</v>
      </c>
      <c r="M160" s="202">
        <v>11400081</v>
      </c>
      <c r="N160" s="204"/>
      <c r="P160" s="202"/>
      <c r="Z160" s="201"/>
      <c r="AN160" s="202">
        <v>11400081</v>
      </c>
      <c r="AO160" s="202">
        <v>11400081</v>
      </c>
      <c r="AP160" s="202">
        <v>11400081</v>
      </c>
      <c r="AQ160" s="198" t="s">
        <v>54</v>
      </c>
      <c r="AR160" s="198" t="s">
        <v>51</v>
      </c>
      <c r="AS160" s="202">
        <v>11400081</v>
      </c>
      <c r="AT160" s="202">
        <v>11400081</v>
      </c>
      <c r="AU160" s="198" t="s">
        <v>69</v>
      </c>
      <c r="AV160" s="198" t="s">
        <v>62</v>
      </c>
      <c r="AW160" s="198" t="s">
        <v>54</v>
      </c>
    </row>
    <row r="161" spans="3:49" outlineLevel="2" x14ac:dyDescent="0.25">
      <c r="C161" s="201"/>
      <c r="D161" s="198" t="s">
        <v>129</v>
      </c>
      <c r="H161" s="198" t="s">
        <v>129</v>
      </c>
      <c r="I161" s="202">
        <f t="shared" si="2"/>
        <v>70202596.5</v>
      </c>
      <c r="J161" s="202">
        <v>17</v>
      </c>
      <c r="L161" s="204">
        <v>14515</v>
      </c>
      <c r="M161" s="202">
        <v>11321700</v>
      </c>
      <c r="N161" s="204"/>
      <c r="P161" s="202"/>
      <c r="Z161" s="201"/>
      <c r="AN161" s="202">
        <v>11321700</v>
      </c>
      <c r="AO161" s="202">
        <v>11321700</v>
      </c>
      <c r="AP161" s="202">
        <v>11321700</v>
      </c>
      <c r="AQ161" s="198" t="s">
        <v>54</v>
      </c>
      <c r="AR161" s="198" t="s">
        <v>51</v>
      </c>
      <c r="AS161" s="202">
        <v>11321700</v>
      </c>
      <c r="AT161" s="202">
        <v>11321700</v>
      </c>
      <c r="AU161" s="198" t="s">
        <v>69</v>
      </c>
      <c r="AV161" s="198" t="s">
        <v>62</v>
      </c>
      <c r="AW161" s="198" t="s">
        <v>54</v>
      </c>
    </row>
    <row r="162" spans="3:49" outlineLevel="2" x14ac:dyDescent="0.25">
      <c r="C162" s="201"/>
      <c r="D162" s="198" t="s">
        <v>129</v>
      </c>
      <c r="H162" s="198" t="s">
        <v>129</v>
      </c>
      <c r="I162" s="202">
        <f t="shared" si="2"/>
        <v>70615552.950000003</v>
      </c>
      <c r="J162" s="202">
        <v>17.100000000000001</v>
      </c>
      <c r="L162" s="204">
        <v>7119</v>
      </c>
      <c r="M162" s="202">
        <v>2292318</v>
      </c>
      <c r="N162" s="204"/>
      <c r="P162" s="202"/>
      <c r="Z162" s="201"/>
      <c r="AN162" s="202">
        <v>2292318</v>
      </c>
      <c r="AO162" s="202">
        <v>2292318</v>
      </c>
      <c r="AP162" s="202">
        <v>2292318</v>
      </c>
      <c r="AQ162" s="198" t="s">
        <v>54</v>
      </c>
      <c r="AR162" s="198" t="s">
        <v>51</v>
      </c>
      <c r="AS162" s="202">
        <v>2292318</v>
      </c>
      <c r="AT162" s="202">
        <v>2292318</v>
      </c>
      <c r="AU162" s="198" t="s">
        <v>69</v>
      </c>
      <c r="AV162" s="198" t="s">
        <v>62</v>
      </c>
      <c r="AW162" s="198" t="s">
        <v>54</v>
      </c>
    </row>
    <row r="163" spans="3:49" outlineLevel="2" x14ac:dyDescent="0.25">
      <c r="C163" s="201"/>
      <c r="D163" s="198" t="s">
        <v>129</v>
      </c>
      <c r="H163" s="198" t="s">
        <v>129</v>
      </c>
      <c r="I163" s="202">
        <f t="shared" si="2"/>
        <v>71028509.399999991</v>
      </c>
      <c r="J163" s="202">
        <v>17.2</v>
      </c>
      <c r="L163" s="204">
        <v>12500</v>
      </c>
      <c r="M163" s="202">
        <v>1914750</v>
      </c>
      <c r="N163" s="204"/>
      <c r="P163" s="202"/>
      <c r="Z163" s="201"/>
      <c r="AN163" s="202">
        <v>1914750</v>
      </c>
      <c r="AO163" s="202">
        <v>1914750</v>
      </c>
      <c r="AP163" s="202">
        <v>1914750</v>
      </c>
      <c r="AQ163" s="198" t="s">
        <v>54</v>
      </c>
      <c r="AR163" s="198" t="s">
        <v>51</v>
      </c>
      <c r="AS163" s="202">
        <v>1914750</v>
      </c>
      <c r="AT163" s="202">
        <v>1914750</v>
      </c>
      <c r="AU163" s="198" t="s">
        <v>69</v>
      </c>
      <c r="AV163" s="198" t="s">
        <v>62</v>
      </c>
      <c r="AW163" s="198" t="s">
        <v>54</v>
      </c>
    </row>
    <row r="164" spans="3:49" outlineLevel="2" x14ac:dyDescent="0.25">
      <c r="C164" s="201"/>
      <c r="D164" s="198" t="s">
        <v>129</v>
      </c>
      <c r="H164" s="198" t="s">
        <v>129</v>
      </c>
      <c r="I164" s="202">
        <f t="shared" si="2"/>
        <v>71441465.850000009</v>
      </c>
      <c r="J164" s="202">
        <v>17.3</v>
      </c>
      <c r="L164" s="204">
        <v>12500</v>
      </c>
      <c r="M164" s="202">
        <v>2213750</v>
      </c>
      <c r="N164" s="204"/>
      <c r="P164" s="202"/>
      <c r="Z164" s="201"/>
      <c r="AN164" s="202">
        <v>2213750</v>
      </c>
      <c r="AO164" s="202">
        <v>2213750</v>
      </c>
      <c r="AP164" s="202">
        <v>2213750</v>
      </c>
      <c r="AQ164" s="198" t="s">
        <v>54</v>
      </c>
      <c r="AR164" s="198" t="s">
        <v>51</v>
      </c>
      <c r="AS164" s="202">
        <v>2213750</v>
      </c>
      <c r="AT164" s="202">
        <v>2213750</v>
      </c>
      <c r="AU164" s="198" t="s">
        <v>69</v>
      </c>
      <c r="AV164" s="198" t="s">
        <v>62</v>
      </c>
      <c r="AW164" s="198" t="s">
        <v>54</v>
      </c>
    </row>
    <row r="165" spans="3:49" outlineLevel="2" x14ac:dyDescent="0.25">
      <c r="C165" s="201"/>
      <c r="D165" s="198" t="s">
        <v>129</v>
      </c>
      <c r="H165" s="198" t="s">
        <v>129</v>
      </c>
      <c r="I165" s="202">
        <f t="shared" si="2"/>
        <v>71854422.299999997</v>
      </c>
      <c r="J165" s="202">
        <v>17.399999999999999</v>
      </c>
      <c r="L165" s="204">
        <v>22000</v>
      </c>
      <c r="M165" s="202">
        <v>5439500</v>
      </c>
      <c r="N165" s="204"/>
      <c r="P165" s="202"/>
      <c r="Z165" s="201"/>
      <c r="AN165" s="202">
        <v>5439500</v>
      </c>
      <c r="AO165" s="202">
        <v>5439500</v>
      </c>
      <c r="AP165" s="202">
        <v>5439500</v>
      </c>
      <c r="AQ165" s="198" t="s">
        <v>54</v>
      </c>
      <c r="AR165" s="198" t="s">
        <v>51</v>
      </c>
      <c r="AS165" s="202">
        <v>5439500</v>
      </c>
      <c r="AT165" s="202">
        <v>5439500</v>
      </c>
      <c r="AU165" s="198" t="s">
        <v>69</v>
      </c>
      <c r="AV165" s="198" t="s">
        <v>62</v>
      </c>
      <c r="AW165" s="198" t="s">
        <v>54</v>
      </c>
    </row>
    <row r="166" spans="3:49" outlineLevel="2" x14ac:dyDescent="0.25">
      <c r="C166" s="201"/>
      <c r="D166" s="198" t="s">
        <v>129</v>
      </c>
      <c r="H166" s="198" t="s">
        <v>129</v>
      </c>
      <c r="I166" s="202">
        <f t="shared" si="2"/>
        <v>72267378.75</v>
      </c>
      <c r="J166" s="202">
        <v>17.5</v>
      </c>
      <c r="L166" s="204">
        <v>3086</v>
      </c>
      <c r="M166" s="202">
        <v>366246.48</v>
      </c>
      <c r="N166" s="204"/>
      <c r="P166" s="202"/>
      <c r="Z166" s="201"/>
      <c r="AN166" s="202">
        <v>366246.48</v>
      </c>
      <c r="AO166" s="202">
        <v>366246.48</v>
      </c>
      <c r="AP166" s="202">
        <v>366246.48</v>
      </c>
      <c r="AQ166" s="198" t="s">
        <v>54</v>
      </c>
      <c r="AR166" s="198" t="s">
        <v>51</v>
      </c>
      <c r="AS166" s="202">
        <v>366246.48</v>
      </c>
      <c r="AT166" s="202">
        <v>366246.48</v>
      </c>
      <c r="AU166" s="198" t="s">
        <v>69</v>
      </c>
      <c r="AV166" s="198" t="s">
        <v>62</v>
      </c>
      <c r="AW166" s="198" t="s">
        <v>54</v>
      </c>
    </row>
    <row r="167" spans="3:49" outlineLevel="2" x14ac:dyDescent="0.25">
      <c r="C167" s="201"/>
      <c r="D167" s="198" t="s">
        <v>129</v>
      </c>
      <c r="H167" s="198" t="s">
        <v>129</v>
      </c>
      <c r="I167" s="202">
        <f t="shared" si="2"/>
        <v>72680335.200000003</v>
      </c>
      <c r="J167" s="202">
        <v>17.600000000000001</v>
      </c>
      <c r="L167" s="204">
        <v>150</v>
      </c>
      <c r="M167" s="202">
        <v>337728</v>
      </c>
      <c r="N167" s="204"/>
      <c r="P167" s="202"/>
      <c r="Z167" s="201"/>
      <c r="AN167" s="202">
        <v>337728</v>
      </c>
      <c r="AO167" s="202">
        <v>337728</v>
      </c>
      <c r="AP167" s="202">
        <v>337728</v>
      </c>
      <c r="AQ167" s="198" t="s">
        <v>54</v>
      </c>
      <c r="AR167" s="198" t="s">
        <v>51</v>
      </c>
      <c r="AS167" s="202">
        <v>337728</v>
      </c>
      <c r="AT167" s="202">
        <v>337728</v>
      </c>
      <c r="AU167" s="198" t="s">
        <v>69</v>
      </c>
      <c r="AV167" s="198" t="s">
        <v>62</v>
      </c>
      <c r="AW167" s="198" t="s">
        <v>54</v>
      </c>
    </row>
    <row r="168" spans="3:49" outlineLevel="2" x14ac:dyDescent="0.25">
      <c r="C168" s="201"/>
      <c r="D168" s="198" t="s">
        <v>129</v>
      </c>
      <c r="H168" s="198" t="s">
        <v>129</v>
      </c>
      <c r="I168" s="202">
        <f t="shared" si="2"/>
        <v>73093291.649999991</v>
      </c>
      <c r="J168" s="202">
        <v>17.7</v>
      </c>
      <c r="L168" s="204">
        <v>300</v>
      </c>
      <c r="M168" s="202">
        <v>320850</v>
      </c>
      <c r="N168" s="204"/>
      <c r="P168" s="202"/>
      <c r="Z168" s="201"/>
      <c r="AN168" s="202">
        <v>320850</v>
      </c>
      <c r="AO168" s="202">
        <v>320850</v>
      </c>
      <c r="AP168" s="202">
        <v>320850</v>
      </c>
      <c r="AQ168" s="198" t="s">
        <v>54</v>
      </c>
      <c r="AR168" s="198" t="s">
        <v>51</v>
      </c>
      <c r="AS168" s="202">
        <v>320850</v>
      </c>
      <c r="AT168" s="202">
        <v>320850</v>
      </c>
      <c r="AU168" s="198" t="s">
        <v>69</v>
      </c>
      <c r="AV168" s="198" t="s">
        <v>62</v>
      </c>
      <c r="AW168" s="198" t="s">
        <v>54</v>
      </c>
    </row>
    <row r="169" spans="3:49" outlineLevel="2" x14ac:dyDescent="0.25">
      <c r="C169" s="201"/>
      <c r="D169" s="198" t="s">
        <v>129</v>
      </c>
      <c r="H169" s="198" t="s">
        <v>129</v>
      </c>
      <c r="I169" s="202">
        <f t="shared" si="2"/>
        <v>73506248.100000009</v>
      </c>
      <c r="J169" s="202">
        <v>17.8</v>
      </c>
      <c r="L169" s="204">
        <v>16</v>
      </c>
      <c r="M169" s="202">
        <v>4600</v>
      </c>
      <c r="N169" s="204"/>
      <c r="P169" s="202"/>
      <c r="Z169" s="201"/>
      <c r="AN169" s="202">
        <v>4600</v>
      </c>
      <c r="AO169" s="202">
        <v>4600</v>
      </c>
      <c r="AP169" s="202">
        <v>4600</v>
      </c>
      <c r="AQ169" s="198" t="s">
        <v>54</v>
      </c>
      <c r="AR169" s="198" t="s">
        <v>51</v>
      </c>
      <c r="AS169" s="202">
        <v>4600</v>
      </c>
      <c r="AT169" s="202">
        <v>4600</v>
      </c>
      <c r="AU169" s="198" t="s">
        <v>69</v>
      </c>
      <c r="AV169" s="198" t="s">
        <v>62</v>
      </c>
      <c r="AW169" s="198" t="s">
        <v>54</v>
      </c>
    </row>
    <row r="170" spans="3:49" outlineLevel="2" x14ac:dyDescent="0.25">
      <c r="C170" s="201"/>
      <c r="D170" s="198" t="s">
        <v>129</v>
      </c>
      <c r="H170" s="198" t="s">
        <v>129</v>
      </c>
      <c r="I170" s="202">
        <f t="shared" si="2"/>
        <v>73919204.549999997</v>
      </c>
      <c r="J170" s="202">
        <v>17.899999999999999</v>
      </c>
      <c r="L170" s="204">
        <v>144</v>
      </c>
      <c r="M170" s="202">
        <v>33120</v>
      </c>
      <c r="N170" s="204"/>
      <c r="P170" s="202"/>
      <c r="Z170" s="201"/>
      <c r="AN170" s="202">
        <v>33120</v>
      </c>
      <c r="AO170" s="202">
        <v>33120</v>
      </c>
      <c r="AP170" s="202">
        <v>33120</v>
      </c>
      <c r="AQ170" s="198" t="s">
        <v>54</v>
      </c>
      <c r="AR170" s="198" t="s">
        <v>51</v>
      </c>
      <c r="AS170" s="202">
        <v>33120</v>
      </c>
      <c r="AT170" s="202">
        <v>33120</v>
      </c>
      <c r="AU170" s="198" t="s">
        <v>69</v>
      </c>
      <c r="AV170" s="198" t="s">
        <v>62</v>
      </c>
      <c r="AW170" s="198" t="s">
        <v>54</v>
      </c>
    </row>
    <row r="171" spans="3:49" outlineLevel="2" x14ac:dyDescent="0.25">
      <c r="C171" s="201"/>
      <c r="D171" s="198" t="s">
        <v>129</v>
      </c>
      <c r="H171" s="198" t="s">
        <v>129</v>
      </c>
      <c r="I171" s="202">
        <f t="shared" si="2"/>
        <v>74332161</v>
      </c>
      <c r="J171" s="202">
        <v>18</v>
      </c>
      <c r="L171" s="204">
        <v>144</v>
      </c>
      <c r="M171" s="202">
        <v>31464</v>
      </c>
      <c r="N171" s="204"/>
      <c r="P171" s="202"/>
      <c r="Z171" s="201"/>
      <c r="AN171" s="202">
        <v>31464</v>
      </c>
      <c r="AO171" s="202">
        <v>31464</v>
      </c>
      <c r="AP171" s="202">
        <v>31464</v>
      </c>
      <c r="AQ171" s="198" t="s">
        <v>54</v>
      </c>
      <c r="AR171" s="198" t="s">
        <v>51</v>
      </c>
      <c r="AS171" s="202">
        <v>31464</v>
      </c>
      <c r="AT171" s="202">
        <v>31464</v>
      </c>
      <c r="AU171" s="198" t="s">
        <v>69</v>
      </c>
      <c r="AV171" s="198" t="s">
        <v>62</v>
      </c>
      <c r="AW171" s="198" t="s">
        <v>54</v>
      </c>
    </row>
    <row r="172" spans="3:49" outlineLevel="2" x14ac:dyDescent="0.25">
      <c r="C172" s="201"/>
      <c r="D172" s="198" t="s">
        <v>129</v>
      </c>
      <c r="H172" s="198" t="s">
        <v>129</v>
      </c>
      <c r="I172" s="202">
        <f t="shared" si="2"/>
        <v>74745117.450000003</v>
      </c>
      <c r="J172" s="202">
        <v>18.100000000000001</v>
      </c>
      <c r="L172" s="203">
        <v>2.34</v>
      </c>
      <c r="M172" s="202">
        <v>239633.55</v>
      </c>
      <c r="N172" s="203"/>
      <c r="P172" s="202"/>
      <c r="Z172" s="201"/>
      <c r="AN172" s="202">
        <v>239633.55</v>
      </c>
      <c r="AO172" s="202">
        <v>239633.55</v>
      </c>
      <c r="AP172" s="202">
        <v>239633.55</v>
      </c>
      <c r="AQ172" s="198" t="s">
        <v>54</v>
      </c>
      <c r="AR172" s="198" t="s">
        <v>51</v>
      </c>
      <c r="AS172" s="202">
        <v>239633.55</v>
      </c>
      <c r="AT172" s="202">
        <v>239633.55</v>
      </c>
      <c r="AU172" s="198" t="s">
        <v>69</v>
      </c>
      <c r="AV172" s="198" t="s">
        <v>62</v>
      </c>
      <c r="AW172" s="198" t="s">
        <v>54</v>
      </c>
    </row>
    <row r="173" spans="3:49" outlineLevel="2" x14ac:dyDescent="0.25">
      <c r="C173" s="201"/>
      <c r="D173" s="198" t="s">
        <v>129</v>
      </c>
      <c r="H173" s="198" t="s">
        <v>129</v>
      </c>
      <c r="I173" s="202">
        <f t="shared" si="2"/>
        <v>75158073.899999991</v>
      </c>
      <c r="J173" s="202">
        <v>18.2</v>
      </c>
      <c r="L173" s="204">
        <v>926</v>
      </c>
      <c r="M173" s="202">
        <v>711168</v>
      </c>
      <c r="N173" s="204"/>
      <c r="P173" s="202"/>
      <c r="Z173" s="201"/>
      <c r="AN173" s="202">
        <v>711168</v>
      </c>
      <c r="AO173" s="202">
        <v>711168</v>
      </c>
      <c r="AP173" s="202">
        <v>711168</v>
      </c>
      <c r="AQ173" s="198" t="s">
        <v>54</v>
      </c>
      <c r="AR173" s="198" t="s">
        <v>51</v>
      </c>
      <c r="AS173" s="202">
        <v>711168</v>
      </c>
      <c r="AT173" s="202">
        <v>711168</v>
      </c>
      <c r="AU173" s="198" t="s">
        <v>69</v>
      </c>
      <c r="AV173" s="198" t="s">
        <v>62</v>
      </c>
      <c r="AW173" s="198" t="s">
        <v>54</v>
      </c>
    </row>
    <row r="174" spans="3:49" outlineLevel="2" x14ac:dyDescent="0.25">
      <c r="C174" s="201"/>
      <c r="D174" s="198" t="s">
        <v>129</v>
      </c>
      <c r="H174" s="198" t="s">
        <v>129</v>
      </c>
      <c r="I174" s="202">
        <f t="shared" si="2"/>
        <v>75571030.350000009</v>
      </c>
      <c r="J174" s="202">
        <v>18.3</v>
      </c>
      <c r="L174" s="204">
        <v>113</v>
      </c>
      <c r="M174" s="202">
        <v>91530</v>
      </c>
      <c r="N174" s="204"/>
      <c r="P174" s="202"/>
      <c r="Z174" s="201"/>
      <c r="AN174" s="202">
        <v>91530</v>
      </c>
      <c r="AO174" s="202">
        <v>91530</v>
      </c>
      <c r="AP174" s="202">
        <v>91530</v>
      </c>
      <c r="AQ174" s="198" t="s">
        <v>54</v>
      </c>
      <c r="AR174" s="198" t="s">
        <v>51</v>
      </c>
      <c r="AS174" s="202">
        <v>91530</v>
      </c>
      <c r="AT174" s="202">
        <v>91530</v>
      </c>
      <c r="AU174" s="198" t="s">
        <v>69</v>
      </c>
      <c r="AV174" s="198" t="s">
        <v>62</v>
      </c>
      <c r="AW174" s="198" t="s">
        <v>54</v>
      </c>
    </row>
    <row r="175" spans="3:49" outlineLevel="2" x14ac:dyDescent="0.25">
      <c r="C175" s="201"/>
      <c r="D175" s="198" t="s">
        <v>129</v>
      </c>
      <c r="H175" s="198" t="s">
        <v>129</v>
      </c>
      <c r="I175" s="202">
        <f t="shared" si="2"/>
        <v>75983986.799999997</v>
      </c>
      <c r="J175" s="202">
        <v>18.399999999999999</v>
      </c>
      <c r="L175" s="204">
        <v>340</v>
      </c>
      <c r="M175" s="202">
        <v>130815</v>
      </c>
      <c r="N175" s="204"/>
      <c r="P175" s="202"/>
      <c r="Z175" s="201"/>
      <c r="AN175" s="202">
        <v>130815</v>
      </c>
      <c r="AO175" s="202">
        <v>130815</v>
      </c>
      <c r="AP175" s="202">
        <v>130815</v>
      </c>
      <c r="AQ175" s="198" t="s">
        <v>54</v>
      </c>
      <c r="AR175" s="198" t="s">
        <v>51</v>
      </c>
      <c r="AS175" s="202">
        <v>130815</v>
      </c>
      <c r="AT175" s="202">
        <v>130815</v>
      </c>
      <c r="AU175" s="198" t="s">
        <v>69</v>
      </c>
      <c r="AV175" s="198" t="s">
        <v>62</v>
      </c>
      <c r="AW175" s="198" t="s">
        <v>54</v>
      </c>
    </row>
    <row r="176" spans="3:49" outlineLevel="2" x14ac:dyDescent="0.25">
      <c r="C176" s="201"/>
      <c r="D176" s="198" t="s">
        <v>129</v>
      </c>
      <c r="H176" s="198" t="s">
        <v>129</v>
      </c>
      <c r="I176" s="202">
        <f t="shared" si="2"/>
        <v>76396943.25</v>
      </c>
      <c r="J176" s="202">
        <v>18.5</v>
      </c>
      <c r="L176" s="204">
        <v>428</v>
      </c>
      <c r="M176" s="202">
        <v>856</v>
      </c>
      <c r="N176" s="204"/>
      <c r="P176" s="202"/>
      <c r="Z176" s="201"/>
      <c r="AN176" s="202">
        <v>856</v>
      </c>
      <c r="AO176" s="202">
        <v>856</v>
      </c>
      <c r="AP176" s="202">
        <v>856</v>
      </c>
      <c r="AQ176" s="198" t="s">
        <v>54</v>
      </c>
      <c r="AR176" s="198" t="s">
        <v>51</v>
      </c>
      <c r="AS176" s="202">
        <v>856</v>
      </c>
      <c r="AT176" s="202">
        <v>856</v>
      </c>
      <c r="AU176" s="198" t="s">
        <v>69</v>
      </c>
      <c r="AV176" s="198" t="s">
        <v>62</v>
      </c>
      <c r="AW176" s="198" t="s">
        <v>54</v>
      </c>
    </row>
    <row r="177" spans="3:49" outlineLevel="2" x14ac:dyDescent="0.25">
      <c r="C177" s="201"/>
      <c r="D177" s="198" t="s">
        <v>129</v>
      </c>
      <c r="H177" s="198" t="s">
        <v>129</v>
      </c>
      <c r="I177" s="202">
        <f t="shared" si="2"/>
        <v>76809899.700000003</v>
      </c>
      <c r="J177" s="202">
        <v>18.600000000000001</v>
      </c>
      <c r="L177" s="204">
        <v>473</v>
      </c>
      <c r="M177" s="202">
        <v>2365</v>
      </c>
      <c r="N177" s="204"/>
      <c r="P177" s="202"/>
      <c r="Z177" s="201"/>
      <c r="AN177" s="202">
        <v>2365</v>
      </c>
      <c r="AO177" s="202">
        <v>2365</v>
      </c>
      <c r="AP177" s="202">
        <v>2365</v>
      </c>
      <c r="AQ177" s="198" t="s">
        <v>54</v>
      </c>
      <c r="AR177" s="198" t="s">
        <v>51</v>
      </c>
      <c r="AS177" s="202">
        <v>2365</v>
      </c>
      <c r="AT177" s="202">
        <v>2365</v>
      </c>
      <c r="AU177" s="198" t="s">
        <v>69</v>
      </c>
      <c r="AV177" s="198" t="s">
        <v>62</v>
      </c>
      <c r="AW177" s="198" t="s">
        <v>54</v>
      </c>
    </row>
    <row r="178" spans="3:49" outlineLevel="2" x14ac:dyDescent="0.25">
      <c r="C178" s="201"/>
      <c r="D178" s="198" t="s">
        <v>129</v>
      </c>
      <c r="H178" s="198" t="s">
        <v>129</v>
      </c>
      <c r="I178" s="202">
        <f t="shared" si="2"/>
        <v>77222856.149999991</v>
      </c>
      <c r="J178" s="202">
        <v>18.7</v>
      </c>
      <c r="L178" s="204">
        <v>1418</v>
      </c>
      <c r="M178" s="202">
        <v>17016</v>
      </c>
      <c r="N178" s="204"/>
      <c r="P178" s="202"/>
      <c r="Z178" s="201"/>
      <c r="AN178" s="202">
        <v>17016</v>
      </c>
      <c r="AO178" s="202">
        <v>17016</v>
      </c>
      <c r="AP178" s="202">
        <v>17016</v>
      </c>
      <c r="AQ178" s="198" t="s">
        <v>54</v>
      </c>
      <c r="AR178" s="198" t="s">
        <v>51</v>
      </c>
      <c r="AS178" s="202">
        <v>17016</v>
      </c>
      <c r="AT178" s="202">
        <v>17016</v>
      </c>
      <c r="AU178" s="198" t="s">
        <v>69</v>
      </c>
      <c r="AV178" s="198" t="s">
        <v>62</v>
      </c>
      <c r="AW178" s="198" t="s">
        <v>54</v>
      </c>
    </row>
    <row r="179" spans="3:49" outlineLevel="2" x14ac:dyDescent="0.25">
      <c r="C179" s="201"/>
      <c r="D179" s="198" t="s">
        <v>129</v>
      </c>
      <c r="H179" s="198" t="s">
        <v>129</v>
      </c>
      <c r="I179" s="202">
        <f t="shared" si="2"/>
        <v>77635812.600000009</v>
      </c>
      <c r="J179" s="202">
        <v>18.8</v>
      </c>
      <c r="L179" s="204">
        <v>907</v>
      </c>
      <c r="M179" s="202">
        <v>32652</v>
      </c>
      <c r="N179" s="204"/>
      <c r="P179" s="202"/>
      <c r="Z179" s="201"/>
      <c r="AN179" s="202">
        <v>32652</v>
      </c>
      <c r="AO179" s="202">
        <v>32652</v>
      </c>
      <c r="AP179" s="202">
        <v>32652</v>
      </c>
      <c r="AQ179" s="198" t="s">
        <v>54</v>
      </c>
      <c r="AR179" s="198" t="s">
        <v>51</v>
      </c>
      <c r="AS179" s="202">
        <v>32652</v>
      </c>
      <c r="AT179" s="202">
        <v>32652</v>
      </c>
      <c r="AU179" s="198" t="s">
        <v>69</v>
      </c>
      <c r="AV179" s="198" t="s">
        <v>62</v>
      </c>
      <c r="AW179" s="198" t="s">
        <v>54</v>
      </c>
    </row>
    <row r="180" spans="3:49" outlineLevel="2" x14ac:dyDescent="0.25">
      <c r="C180" s="201"/>
      <c r="D180" s="198" t="s">
        <v>129</v>
      </c>
      <c r="H180" s="198" t="s">
        <v>129</v>
      </c>
      <c r="I180" s="202">
        <f t="shared" si="2"/>
        <v>78048769.049999997</v>
      </c>
      <c r="J180" s="202">
        <v>18.899999999999999</v>
      </c>
      <c r="L180" s="204">
        <v>2722</v>
      </c>
      <c r="M180" s="202">
        <v>285810</v>
      </c>
      <c r="N180" s="204"/>
      <c r="P180" s="202"/>
      <c r="Z180" s="201"/>
      <c r="AN180" s="202">
        <v>285810</v>
      </c>
      <c r="AO180" s="202">
        <v>285810</v>
      </c>
      <c r="AP180" s="202">
        <v>285810</v>
      </c>
      <c r="AQ180" s="198" t="s">
        <v>54</v>
      </c>
      <c r="AR180" s="198" t="s">
        <v>51</v>
      </c>
      <c r="AS180" s="202">
        <v>285810</v>
      </c>
      <c r="AT180" s="202">
        <v>285810</v>
      </c>
      <c r="AU180" s="198" t="s">
        <v>69</v>
      </c>
      <c r="AV180" s="198" t="s">
        <v>62</v>
      </c>
      <c r="AW180" s="198" t="s">
        <v>54</v>
      </c>
    </row>
    <row r="181" spans="3:49" outlineLevel="2" x14ac:dyDescent="0.25">
      <c r="C181" s="201"/>
      <c r="D181" s="198" t="s">
        <v>131</v>
      </c>
      <c r="H181" s="198" t="s">
        <v>131</v>
      </c>
      <c r="I181" s="202">
        <f t="shared" si="2"/>
        <v>78461725.5</v>
      </c>
      <c r="J181" s="202">
        <v>19</v>
      </c>
      <c r="L181" s="204">
        <v>6353</v>
      </c>
      <c r="M181" s="202">
        <v>209649</v>
      </c>
      <c r="N181" s="204"/>
      <c r="P181" s="202"/>
      <c r="Z181" s="201"/>
      <c r="AN181" s="202">
        <v>209649</v>
      </c>
      <c r="AO181" s="202">
        <v>209649</v>
      </c>
      <c r="AP181" s="202">
        <v>209649</v>
      </c>
      <c r="AQ181" s="198" t="s">
        <v>54</v>
      </c>
      <c r="AR181" s="198" t="s">
        <v>51</v>
      </c>
      <c r="AS181" s="202">
        <v>209649</v>
      </c>
      <c r="AT181" s="202">
        <v>209649</v>
      </c>
      <c r="AU181" s="198" t="s">
        <v>69</v>
      </c>
      <c r="AV181" s="198" t="s">
        <v>62</v>
      </c>
      <c r="AW181" s="198" t="s">
        <v>54</v>
      </c>
    </row>
    <row r="182" spans="3:49" outlineLevel="2" x14ac:dyDescent="0.25">
      <c r="C182" s="201"/>
      <c r="D182" s="198" t="s">
        <v>131</v>
      </c>
      <c r="H182" s="198" t="s">
        <v>131</v>
      </c>
      <c r="I182" s="202">
        <f t="shared" si="2"/>
        <v>78874681.950000003</v>
      </c>
      <c r="J182" s="202">
        <v>19.100000000000001</v>
      </c>
      <c r="L182" s="204">
        <v>8</v>
      </c>
      <c r="M182" s="202">
        <v>459600</v>
      </c>
      <c r="N182" s="204"/>
      <c r="P182" s="202"/>
      <c r="Z182" s="201"/>
      <c r="AN182" s="202">
        <v>459600</v>
      </c>
      <c r="AO182" s="202">
        <v>459600</v>
      </c>
      <c r="AP182" s="202">
        <v>459600</v>
      </c>
      <c r="AQ182" s="198" t="s">
        <v>54</v>
      </c>
      <c r="AR182" s="198" t="s">
        <v>51</v>
      </c>
      <c r="AS182" s="202">
        <v>459600</v>
      </c>
      <c r="AT182" s="202">
        <v>459600</v>
      </c>
      <c r="AU182" s="198" t="s">
        <v>69</v>
      </c>
      <c r="AV182" s="198" t="s">
        <v>62</v>
      </c>
      <c r="AW182" s="198" t="s">
        <v>54</v>
      </c>
    </row>
    <row r="183" spans="3:49" outlineLevel="2" x14ac:dyDescent="0.25">
      <c r="C183" s="201"/>
      <c r="D183" s="198" t="s">
        <v>131</v>
      </c>
      <c r="H183" s="198" t="s">
        <v>131</v>
      </c>
      <c r="I183" s="202">
        <f t="shared" si="2"/>
        <v>79287638.399999991</v>
      </c>
      <c r="J183" s="202">
        <v>19.2</v>
      </c>
      <c r="L183" s="204">
        <v>17</v>
      </c>
      <c r="M183" s="202">
        <v>6290</v>
      </c>
      <c r="N183" s="204"/>
      <c r="P183" s="202"/>
      <c r="Z183" s="201"/>
      <c r="AN183" s="202">
        <v>6290</v>
      </c>
      <c r="AO183" s="202">
        <v>6290</v>
      </c>
      <c r="AP183" s="202">
        <v>6290</v>
      </c>
      <c r="AQ183" s="198" t="s">
        <v>54</v>
      </c>
      <c r="AR183" s="198" t="s">
        <v>51</v>
      </c>
      <c r="AS183" s="202">
        <v>6290</v>
      </c>
      <c r="AT183" s="202">
        <v>6290</v>
      </c>
      <c r="AU183" s="198" t="s">
        <v>69</v>
      </c>
      <c r="AV183" s="198" t="s">
        <v>62</v>
      </c>
      <c r="AW183" s="198" t="s">
        <v>54</v>
      </c>
    </row>
    <row r="184" spans="3:49" outlineLevel="2" x14ac:dyDescent="0.25">
      <c r="C184" s="201"/>
      <c r="D184" s="198" t="s">
        <v>131</v>
      </c>
      <c r="H184" s="198" t="s">
        <v>131</v>
      </c>
      <c r="I184" s="202">
        <f t="shared" si="2"/>
        <v>79700594.850000009</v>
      </c>
      <c r="J184" s="202">
        <v>19.3</v>
      </c>
      <c r="L184" s="204">
        <v>1826</v>
      </c>
      <c r="M184" s="202">
        <v>622666</v>
      </c>
      <c r="N184" s="204"/>
      <c r="P184" s="202"/>
      <c r="Z184" s="201"/>
      <c r="AN184" s="202">
        <v>622666</v>
      </c>
      <c r="AO184" s="202">
        <v>622666</v>
      </c>
      <c r="AP184" s="202">
        <v>622666</v>
      </c>
      <c r="AQ184" s="198" t="s">
        <v>54</v>
      </c>
      <c r="AR184" s="198" t="s">
        <v>51</v>
      </c>
      <c r="AS184" s="202">
        <v>622666</v>
      </c>
      <c r="AT184" s="202">
        <v>622666</v>
      </c>
      <c r="AU184" s="198" t="s">
        <v>69</v>
      </c>
      <c r="AV184" s="198" t="s">
        <v>62</v>
      </c>
      <c r="AW184" s="198" t="s">
        <v>54</v>
      </c>
    </row>
    <row r="185" spans="3:49" outlineLevel="2" x14ac:dyDescent="0.25">
      <c r="C185" s="201"/>
      <c r="D185" s="198" t="s">
        <v>131</v>
      </c>
      <c r="H185" s="198" t="s">
        <v>131</v>
      </c>
      <c r="I185" s="202">
        <f t="shared" si="2"/>
        <v>80113551.299999997</v>
      </c>
      <c r="J185" s="202">
        <v>19.399999999999999</v>
      </c>
      <c r="L185" s="204">
        <v>38</v>
      </c>
      <c r="M185" s="202">
        <v>17822</v>
      </c>
      <c r="N185" s="204"/>
      <c r="P185" s="202"/>
      <c r="Z185" s="201"/>
      <c r="AN185" s="202">
        <v>17822</v>
      </c>
      <c r="AO185" s="202">
        <v>17822</v>
      </c>
      <c r="AP185" s="202">
        <v>17822</v>
      </c>
      <c r="AQ185" s="198" t="s">
        <v>54</v>
      </c>
      <c r="AR185" s="198" t="s">
        <v>51</v>
      </c>
      <c r="AS185" s="202">
        <v>17822</v>
      </c>
      <c r="AT185" s="202">
        <v>17822</v>
      </c>
      <c r="AU185" s="198" t="s">
        <v>69</v>
      </c>
      <c r="AV185" s="198" t="s">
        <v>62</v>
      </c>
      <c r="AW185" s="198" t="s">
        <v>54</v>
      </c>
    </row>
    <row r="186" spans="3:49" outlineLevel="2" x14ac:dyDescent="0.25">
      <c r="C186" s="201"/>
      <c r="D186" s="198" t="s">
        <v>131</v>
      </c>
      <c r="H186" s="198" t="s">
        <v>131</v>
      </c>
      <c r="I186" s="202">
        <f t="shared" si="2"/>
        <v>80526507.75</v>
      </c>
      <c r="J186" s="202">
        <v>19.5</v>
      </c>
      <c r="L186" s="204">
        <v>223</v>
      </c>
      <c r="M186" s="202">
        <v>139152</v>
      </c>
      <c r="N186" s="204"/>
      <c r="P186" s="202"/>
      <c r="Z186" s="201"/>
      <c r="AN186" s="202">
        <v>139152</v>
      </c>
      <c r="AO186" s="202">
        <v>139152</v>
      </c>
      <c r="AP186" s="202">
        <v>139152</v>
      </c>
      <c r="AQ186" s="198" t="s">
        <v>54</v>
      </c>
      <c r="AR186" s="198" t="s">
        <v>51</v>
      </c>
      <c r="AS186" s="202">
        <v>139152</v>
      </c>
      <c r="AT186" s="202">
        <v>139152</v>
      </c>
      <c r="AU186" s="198" t="s">
        <v>69</v>
      </c>
      <c r="AV186" s="198" t="s">
        <v>62</v>
      </c>
      <c r="AW186" s="198" t="s">
        <v>54</v>
      </c>
    </row>
    <row r="187" spans="3:49" outlineLevel="2" x14ac:dyDescent="0.25">
      <c r="C187" s="201"/>
      <c r="D187" s="198" t="s">
        <v>131</v>
      </c>
      <c r="H187" s="198" t="s">
        <v>131</v>
      </c>
      <c r="I187" s="202">
        <f t="shared" si="2"/>
        <v>80939464.200000003</v>
      </c>
      <c r="J187" s="202">
        <v>19.600000000000001</v>
      </c>
      <c r="L187" s="204">
        <v>778</v>
      </c>
      <c r="M187" s="202">
        <v>105030</v>
      </c>
      <c r="N187" s="204"/>
      <c r="P187" s="202"/>
      <c r="Z187" s="201"/>
      <c r="AN187" s="202">
        <v>105030</v>
      </c>
      <c r="AO187" s="202">
        <v>105030</v>
      </c>
      <c r="AP187" s="202">
        <v>105030</v>
      </c>
      <c r="AQ187" s="198" t="s">
        <v>54</v>
      </c>
      <c r="AR187" s="198" t="s">
        <v>51</v>
      </c>
      <c r="AS187" s="202">
        <v>105030</v>
      </c>
      <c r="AT187" s="202">
        <v>105030</v>
      </c>
      <c r="AU187" s="198" t="s">
        <v>69</v>
      </c>
      <c r="AV187" s="198" t="s">
        <v>62</v>
      </c>
      <c r="AW187" s="198" t="s">
        <v>54</v>
      </c>
    </row>
    <row r="188" spans="3:49" outlineLevel="2" x14ac:dyDescent="0.25">
      <c r="C188" s="201"/>
      <c r="D188" s="198" t="s">
        <v>131</v>
      </c>
      <c r="H188" s="198" t="s">
        <v>131</v>
      </c>
      <c r="I188" s="202">
        <f t="shared" si="2"/>
        <v>81352420.649999991</v>
      </c>
      <c r="J188" s="202">
        <v>19.7</v>
      </c>
      <c r="L188" s="204">
        <v>6328</v>
      </c>
      <c r="M188" s="202">
        <v>2037616</v>
      </c>
      <c r="N188" s="204"/>
      <c r="P188" s="202"/>
      <c r="Z188" s="201"/>
      <c r="AN188" s="202">
        <v>2037616</v>
      </c>
      <c r="AO188" s="202">
        <v>2037616</v>
      </c>
      <c r="AP188" s="202">
        <v>2037616</v>
      </c>
      <c r="AQ188" s="198" t="s">
        <v>54</v>
      </c>
      <c r="AR188" s="198" t="s">
        <v>51</v>
      </c>
      <c r="AS188" s="202">
        <v>2037616</v>
      </c>
      <c r="AT188" s="202">
        <v>2037616</v>
      </c>
      <c r="AU188" s="198" t="s">
        <v>69</v>
      </c>
      <c r="AV188" s="198" t="s">
        <v>62</v>
      </c>
      <c r="AW188" s="198" t="s">
        <v>54</v>
      </c>
    </row>
    <row r="189" spans="3:49" outlineLevel="2" x14ac:dyDescent="0.25">
      <c r="C189" s="201"/>
      <c r="D189" s="198" t="s">
        <v>131</v>
      </c>
      <c r="H189" s="198" t="s">
        <v>131</v>
      </c>
      <c r="I189" s="202">
        <f t="shared" si="2"/>
        <v>81765377.100000009</v>
      </c>
      <c r="J189" s="202">
        <v>19.8</v>
      </c>
      <c r="L189" s="204">
        <v>11000</v>
      </c>
      <c r="M189" s="202">
        <v>1927860</v>
      </c>
      <c r="N189" s="204"/>
      <c r="P189" s="202"/>
      <c r="Z189" s="201"/>
      <c r="AN189" s="202">
        <v>1927860</v>
      </c>
      <c r="AO189" s="202">
        <v>1927860</v>
      </c>
      <c r="AP189" s="202">
        <v>1927860</v>
      </c>
      <c r="AQ189" s="198" t="s">
        <v>54</v>
      </c>
      <c r="AR189" s="198" t="s">
        <v>51</v>
      </c>
      <c r="AS189" s="202">
        <v>1927860</v>
      </c>
      <c r="AT189" s="202">
        <v>1927860</v>
      </c>
      <c r="AU189" s="198" t="s">
        <v>69</v>
      </c>
      <c r="AV189" s="198" t="s">
        <v>62</v>
      </c>
      <c r="AW189" s="198" t="s">
        <v>54</v>
      </c>
    </row>
    <row r="190" spans="3:49" outlineLevel="2" x14ac:dyDescent="0.25">
      <c r="C190" s="201"/>
      <c r="D190" s="198" t="s">
        <v>131</v>
      </c>
      <c r="H190" s="198" t="s">
        <v>131</v>
      </c>
      <c r="I190" s="202">
        <f t="shared" si="2"/>
        <v>82178333.549999997</v>
      </c>
      <c r="J190" s="202">
        <v>19.899999999999999</v>
      </c>
      <c r="L190" s="204">
        <v>9000</v>
      </c>
      <c r="M190" s="202">
        <v>1593900</v>
      </c>
      <c r="N190" s="204"/>
      <c r="P190" s="202"/>
      <c r="Z190" s="201"/>
      <c r="AN190" s="202">
        <v>1593900</v>
      </c>
      <c r="AO190" s="202">
        <v>1593900</v>
      </c>
      <c r="AP190" s="202">
        <v>1593900</v>
      </c>
      <c r="AQ190" s="198" t="s">
        <v>54</v>
      </c>
      <c r="AR190" s="198" t="s">
        <v>51</v>
      </c>
      <c r="AS190" s="202">
        <v>1593900</v>
      </c>
      <c r="AT190" s="202">
        <v>1593900</v>
      </c>
      <c r="AU190" s="198" t="s">
        <v>69</v>
      </c>
      <c r="AV190" s="198" t="s">
        <v>62</v>
      </c>
      <c r="AW190" s="198" t="s">
        <v>54</v>
      </c>
    </row>
    <row r="191" spans="3:49" outlineLevel="2" x14ac:dyDescent="0.25">
      <c r="C191" s="201"/>
      <c r="D191" s="198" t="s">
        <v>131</v>
      </c>
      <c r="H191" s="198" t="s">
        <v>131</v>
      </c>
      <c r="I191" s="202">
        <f t="shared" si="2"/>
        <v>82591290</v>
      </c>
      <c r="J191" s="202">
        <v>20</v>
      </c>
      <c r="L191" s="204">
        <v>4</v>
      </c>
      <c r="M191" s="202">
        <v>57600</v>
      </c>
      <c r="N191" s="204"/>
      <c r="P191" s="202"/>
      <c r="Z191" s="201"/>
      <c r="AN191" s="202">
        <v>57600</v>
      </c>
      <c r="AO191" s="202">
        <v>57600</v>
      </c>
      <c r="AP191" s="202">
        <v>57600</v>
      </c>
      <c r="AQ191" s="198" t="s">
        <v>54</v>
      </c>
      <c r="AR191" s="198" t="s">
        <v>51</v>
      </c>
      <c r="AS191" s="202">
        <v>57600</v>
      </c>
      <c r="AT191" s="202">
        <v>57600</v>
      </c>
      <c r="AU191" s="198" t="s">
        <v>69</v>
      </c>
      <c r="AV191" s="198" t="s">
        <v>62</v>
      </c>
      <c r="AW191" s="198" t="s">
        <v>54</v>
      </c>
    </row>
    <row r="192" spans="3:49" outlineLevel="2" x14ac:dyDescent="0.25">
      <c r="C192" s="201"/>
      <c r="D192" s="198" t="s">
        <v>131</v>
      </c>
      <c r="H192" s="198" t="s">
        <v>131</v>
      </c>
      <c r="I192" s="202">
        <f t="shared" si="2"/>
        <v>83004246.450000003</v>
      </c>
      <c r="J192" s="202">
        <v>20.100000000000001</v>
      </c>
      <c r="L192" s="204">
        <v>48</v>
      </c>
      <c r="M192" s="202">
        <v>691200</v>
      </c>
      <c r="N192" s="204"/>
      <c r="P192" s="202"/>
      <c r="Z192" s="201"/>
      <c r="AN192" s="202">
        <v>691200</v>
      </c>
      <c r="AO192" s="202">
        <v>691200</v>
      </c>
      <c r="AP192" s="202">
        <v>691200</v>
      </c>
      <c r="AQ192" s="198" t="s">
        <v>54</v>
      </c>
      <c r="AR192" s="198" t="s">
        <v>51</v>
      </c>
      <c r="AS192" s="202">
        <v>691200</v>
      </c>
      <c r="AT192" s="202">
        <v>691200</v>
      </c>
      <c r="AU192" s="198" t="s">
        <v>69</v>
      </c>
      <c r="AV192" s="198" t="s">
        <v>62</v>
      </c>
      <c r="AW192" s="198" t="s">
        <v>54</v>
      </c>
    </row>
    <row r="193" spans="3:49" outlineLevel="2" x14ac:dyDescent="0.25">
      <c r="C193" s="201"/>
      <c r="D193" s="198" t="s">
        <v>131</v>
      </c>
      <c r="H193" s="198" t="s">
        <v>131</v>
      </c>
      <c r="I193" s="202">
        <f t="shared" si="2"/>
        <v>83417202.899999991</v>
      </c>
      <c r="J193" s="202">
        <v>20.2</v>
      </c>
      <c r="L193" s="204">
        <v>150</v>
      </c>
      <c r="M193" s="202">
        <v>358650</v>
      </c>
      <c r="N193" s="204"/>
      <c r="P193" s="202"/>
      <c r="Z193" s="201"/>
      <c r="AN193" s="202">
        <v>358650</v>
      </c>
      <c r="AO193" s="202">
        <v>358650</v>
      </c>
      <c r="AP193" s="202">
        <v>358650</v>
      </c>
      <c r="AQ193" s="198" t="s">
        <v>54</v>
      </c>
      <c r="AR193" s="198" t="s">
        <v>51</v>
      </c>
      <c r="AS193" s="202">
        <v>358650</v>
      </c>
      <c r="AT193" s="202">
        <v>358650</v>
      </c>
      <c r="AU193" s="198" t="s">
        <v>69</v>
      </c>
      <c r="AV193" s="198" t="s">
        <v>62</v>
      </c>
      <c r="AW193" s="198" t="s">
        <v>54</v>
      </c>
    </row>
    <row r="194" spans="3:49" outlineLevel="2" x14ac:dyDescent="0.25">
      <c r="C194" s="201"/>
      <c r="D194" s="198" t="s">
        <v>131</v>
      </c>
      <c r="H194" s="198" t="s">
        <v>131</v>
      </c>
      <c r="I194" s="202">
        <f t="shared" si="2"/>
        <v>83830159.350000009</v>
      </c>
      <c r="J194" s="202">
        <v>20.3</v>
      </c>
      <c r="L194" s="204">
        <v>250</v>
      </c>
      <c r="M194" s="202">
        <v>597750</v>
      </c>
      <c r="N194" s="204"/>
      <c r="P194" s="202"/>
      <c r="Z194" s="201"/>
      <c r="AN194" s="202">
        <v>597750</v>
      </c>
      <c r="AO194" s="202">
        <v>597750</v>
      </c>
      <c r="AP194" s="202">
        <v>597750</v>
      </c>
      <c r="AQ194" s="198" t="s">
        <v>54</v>
      </c>
      <c r="AR194" s="198" t="s">
        <v>51</v>
      </c>
      <c r="AS194" s="202">
        <v>597750</v>
      </c>
      <c r="AT194" s="202">
        <v>597750</v>
      </c>
      <c r="AU194" s="198" t="s">
        <v>69</v>
      </c>
      <c r="AV194" s="198" t="s">
        <v>62</v>
      </c>
      <c r="AW194" s="198" t="s">
        <v>54</v>
      </c>
    </row>
    <row r="195" spans="3:49" outlineLevel="2" x14ac:dyDescent="0.25">
      <c r="C195" s="201"/>
      <c r="D195" s="198" t="s">
        <v>131</v>
      </c>
      <c r="H195" s="198" t="s">
        <v>131</v>
      </c>
      <c r="I195" s="202">
        <f t="shared" ref="I195:I258" si="3">J195*4129564.5</f>
        <v>84243115.799999997</v>
      </c>
      <c r="J195" s="202">
        <v>20.399999999999999</v>
      </c>
      <c r="L195" s="204">
        <v>16</v>
      </c>
      <c r="M195" s="202">
        <v>4600</v>
      </c>
      <c r="N195" s="204"/>
      <c r="P195" s="202"/>
      <c r="Z195" s="201"/>
      <c r="AN195" s="202">
        <v>4600</v>
      </c>
      <c r="AO195" s="202">
        <v>4600</v>
      </c>
      <c r="AP195" s="202">
        <v>4600</v>
      </c>
      <c r="AQ195" s="198" t="s">
        <v>54</v>
      </c>
      <c r="AR195" s="198" t="s">
        <v>51</v>
      </c>
      <c r="AS195" s="202">
        <v>4600</v>
      </c>
      <c r="AT195" s="202">
        <v>4600</v>
      </c>
      <c r="AU195" s="198" t="s">
        <v>69</v>
      </c>
      <c r="AV195" s="198" t="s">
        <v>62</v>
      </c>
      <c r="AW195" s="198" t="s">
        <v>54</v>
      </c>
    </row>
    <row r="196" spans="3:49" outlineLevel="2" x14ac:dyDescent="0.25">
      <c r="C196" s="201"/>
      <c r="D196" s="198" t="s">
        <v>131</v>
      </c>
      <c r="H196" s="198" t="s">
        <v>131</v>
      </c>
      <c r="I196" s="202">
        <f t="shared" si="3"/>
        <v>84656072.25</v>
      </c>
      <c r="J196" s="202">
        <v>20.5</v>
      </c>
      <c r="L196" s="204">
        <v>128</v>
      </c>
      <c r="M196" s="202">
        <v>29440</v>
      </c>
      <c r="N196" s="204"/>
      <c r="P196" s="202"/>
      <c r="Z196" s="201"/>
      <c r="AN196" s="202">
        <v>29440</v>
      </c>
      <c r="AO196" s="202">
        <v>29440</v>
      </c>
      <c r="AP196" s="202">
        <v>29440</v>
      </c>
      <c r="AQ196" s="198" t="s">
        <v>54</v>
      </c>
      <c r="AR196" s="198" t="s">
        <v>51</v>
      </c>
      <c r="AS196" s="202">
        <v>29440</v>
      </c>
      <c r="AT196" s="202">
        <v>29440</v>
      </c>
      <c r="AU196" s="198" t="s">
        <v>69</v>
      </c>
      <c r="AV196" s="198" t="s">
        <v>62</v>
      </c>
      <c r="AW196" s="198" t="s">
        <v>54</v>
      </c>
    </row>
    <row r="197" spans="3:49" outlineLevel="2" x14ac:dyDescent="0.25">
      <c r="C197" s="201"/>
      <c r="D197" s="198" t="s">
        <v>131</v>
      </c>
      <c r="H197" s="198" t="s">
        <v>131</v>
      </c>
      <c r="I197" s="202">
        <f t="shared" si="3"/>
        <v>85069028.700000003</v>
      </c>
      <c r="J197" s="202">
        <v>20.6</v>
      </c>
      <c r="L197" s="204">
        <v>128</v>
      </c>
      <c r="M197" s="202">
        <v>27968</v>
      </c>
      <c r="N197" s="204"/>
      <c r="P197" s="202"/>
      <c r="Z197" s="201"/>
      <c r="AN197" s="202">
        <v>27968</v>
      </c>
      <c r="AO197" s="202">
        <v>27968</v>
      </c>
      <c r="AP197" s="202">
        <v>27968</v>
      </c>
      <c r="AQ197" s="198" t="s">
        <v>54</v>
      </c>
      <c r="AR197" s="198" t="s">
        <v>51</v>
      </c>
      <c r="AS197" s="202">
        <v>27968</v>
      </c>
      <c r="AT197" s="202">
        <v>27968</v>
      </c>
      <c r="AU197" s="198" t="s">
        <v>69</v>
      </c>
      <c r="AV197" s="198" t="s">
        <v>62</v>
      </c>
      <c r="AW197" s="198" t="s">
        <v>54</v>
      </c>
    </row>
    <row r="198" spans="3:49" outlineLevel="2" x14ac:dyDescent="0.25">
      <c r="C198" s="201"/>
      <c r="D198" s="198" t="s">
        <v>131</v>
      </c>
      <c r="H198" s="198" t="s">
        <v>131</v>
      </c>
      <c r="I198" s="202">
        <f t="shared" si="3"/>
        <v>85481985.149999991</v>
      </c>
      <c r="J198" s="202">
        <v>20.7</v>
      </c>
      <c r="L198" s="204">
        <v>18000</v>
      </c>
      <c r="M198" s="202">
        <v>4450500</v>
      </c>
      <c r="N198" s="204"/>
      <c r="P198" s="202"/>
      <c r="Z198" s="201"/>
      <c r="AN198" s="202">
        <v>4450500</v>
      </c>
      <c r="AO198" s="202">
        <v>4450500</v>
      </c>
      <c r="AP198" s="202">
        <v>4450500</v>
      </c>
      <c r="AQ198" s="198" t="s">
        <v>54</v>
      </c>
      <c r="AR198" s="198" t="s">
        <v>51</v>
      </c>
      <c r="AS198" s="202">
        <v>4450500</v>
      </c>
      <c r="AT198" s="202">
        <v>4450500</v>
      </c>
      <c r="AU198" s="198" t="s">
        <v>69</v>
      </c>
      <c r="AV198" s="198" t="s">
        <v>62</v>
      </c>
      <c r="AW198" s="198" t="s">
        <v>54</v>
      </c>
    </row>
    <row r="199" spans="3:49" outlineLevel="2" x14ac:dyDescent="0.25">
      <c r="C199" s="201"/>
      <c r="D199" s="198" t="s">
        <v>131</v>
      </c>
      <c r="H199" s="198" t="s">
        <v>131</v>
      </c>
      <c r="I199" s="202">
        <f t="shared" si="3"/>
        <v>85894941.600000009</v>
      </c>
      <c r="J199" s="202">
        <v>20.8</v>
      </c>
      <c r="L199" s="204">
        <v>1936</v>
      </c>
      <c r="M199" s="202">
        <v>229764.48000000001</v>
      </c>
      <c r="N199" s="204"/>
      <c r="P199" s="202"/>
      <c r="Z199" s="201"/>
      <c r="AN199" s="202">
        <v>229764.48000000001</v>
      </c>
      <c r="AO199" s="202">
        <v>229764.48000000001</v>
      </c>
      <c r="AP199" s="202">
        <v>229764.48000000001</v>
      </c>
      <c r="AQ199" s="198" t="s">
        <v>54</v>
      </c>
      <c r="AR199" s="198" t="s">
        <v>51</v>
      </c>
      <c r="AS199" s="202">
        <v>229764.48000000001</v>
      </c>
      <c r="AT199" s="202">
        <v>229764.48000000001</v>
      </c>
      <c r="AU199" s="198" t="s">
        <v>69</v>
      </c>
      <c r="AV199" s="198" t="s">
        <v>62</v>
      </c>
      <c r="AW199" s="198" t="s">
        <v>54</v>
      </c>
    </row>
    <row r="200" spans="3:49" outlineLevel="2" x14ac:dyDescent="0.25">
      <c r="C200" s="201"/>
      <c r="D200" s="198" t="s">
        <v>131</v>
      </c>
      <c r="H200" s="198" t="s">
        <v>131</v>
      </c>
      <c r="I200" s="202">
        <f t="shared" si="3"/>
        <v>86307898.049999997</v>
      </c>
      <c r="J200" s="202">
        <v>20.9</v>
      </c>
      <c r="L200" s="203">
        <v>2.42</v>
      </c>
      <c r="M200" s="202">
        <v>378125</v>
      </c>
      <c r="N200" s="203"/>
      <c r="P200" s="202"/>
      <c r="Z200" s="201"/>
      <c r="AN200" s="202">
        <v>378125</v>
      </c>
      <c r="AO200" s="202">
        <v>378125</v>
      </c>
      <c r="AP200" s="202">
        <v>378125</v>
      </c>
      <c r="AQ200" s="198" t="s">
        <v>54</v>
      </c>
      <c r="AR200" s="198" t="s">
        <v>51</v>
      </c>
      <c r="AS200" s="202">
        <v>378125</v>
      </c>
      <c r="AT200" s="202">
        <v>378125</v>
      </c>
      <c r="AU200" s="198" t="s">
        <v>69</v>
      </c>
      <c r="AV200" s="198" t="s">
        <v>62</v>
      </c>
      <c r="AW200" s="198" t="s">
        <v>54</v>
      </c>
    </row>
    <row r="201" spans="3:49" outlineLevel="2" x14ac:dyDescent="0.25">
      <c r="C201" s="201"/>
      <c r="D201" s="198" t="s">
        <v>131</v>
      </c>
      <c r="H201" s="198" t="s">
        <v>131</v>
      </c>
      <c r="I201" s="202">
        <f t="shared" si="3"/>
        <v>86720854.5</v>
      </c>
      <c r="J201" s="202">
        <v>21</v>
      </c>
      <c r="L201" s="204">
        <v>12902</v>
      </c>
      <c r="M201" s="202">
        <v>10708660</v>
      </c>
      <c r="N201" s="204"/>
      <c r="P201" s="202"/>
      <c r="Z201" s="201"/>
      <c r="AN201" s="202">
        <v>10708660</v>
      </c>
      <c r="AO201" s="202">
        <v>10708660</v>
      </c>
      <c r="AP201" s="202">
        <v>10708660</v>
      </c>
      <c r="AQ201" s="198" t="s">
        <v>54</v>
      </c>
      <c r="AR201" s="198" t="s">
        <v>51</v>
      </c>
      <c r="AS201" s="202">
        <v>10708660</v>
      </c>
      <c r="AT201" s="202">
        <v>10708660</v>
      </c>
      <c r="AU201" s="198" t="s">
        <v>69</v>
      </c>
      <c r="AV201" s="198" t="s">
        <v>62</v>
      </c>
      <c r="AW201" s="198" t="s">
        <v>54</v>
      </c>
    </row>
    <row r="202" spans="3:49" outlineLevel="2" x14ac:dyDescent="0.25">
      <c r="C202" s="201"/>
      <c r="D202" s="198" t="s">
        <v>131</v>
      </c>
      <c r="H202" s="198" t="s">
        <v>131</v>
      </c>
      <c r="I202" s="202">
        <f t="shared" si="3"/>
        <v>87133810.950000003</v>
      </c>
      <c r="J202" s="202">
        <v>21.1</v>
      </c>
      <c r="L202" s="204">
        <v>12902</v>
      </c>
      <c r="M202" s="202">
        <v>9999050</v>
      </c>
      <c r="N202" s="204"/>
      <c r="P202" s="202"/>
      <c r="Z202" s="201"/>
      <c r="AN202" s="202">
        <v>9999050</v>
      </c>
      <c r="AO202" s="202">
        <v>9999050</v>
      </c>
      <c r="AP202" s="202">
        <v>9999050</v>
      </c>
      <c r="AQ202" s="198" t="s">
        <v>54</v>
      </c>
      <c r="AR202" s="198" t="s">
        <v>51</v>
      </c>
      <c r="AS202" s="202">
        <v>9999050</v>
      </c>
      <c r="AT202" s="202">
        <v>9999050</v>
      </c>
      <c r="AU202" s="198" t="s">
        <v>69</v>
      </c>
      <c r="AV202" s="198" t="s">
        <v>62</v>
      </c>
      <c r="AW202" s="198" t="s">
        <v>54</v>
      </c>
    </row>
    <row r="203" spans="3:49" outlineLevel="2" x14ac:dyDescent="0.25">
      <c r="C203" s="201"/>
      <c r="D203" s="198" t="s">
        <v>131</v>
      </c>
      <c r="H203" s="198" t="s">
        <v>131</v>
      </c>
      <c r="I203" s="202">
        <f t="shared" si="3"/>
        <v>87546767.399999991</v>
      </c>
      <c r="J203" s="202">
        <v>21.2</v>
      </c>
      <c r="L203" s="204">
        <v>101</v>
      </c>
      <c r="M203" s="202">
        <v>101000</v>
      </c>
      <c r="N203" s="204"/>
      <c r="P203" s="202"/>
      <c r="Z203" s="201"/>
      <c r="AN203" s="202">
        <v>101000</v>
      </c>
      <c r="AO203" s="202">
        <v>101000</v>
      </c>
      <c r="AP203" s="202">
        <v>101000</v>
      </c>
      <c r="AQ203" s="198" t="s">
        <v>54</v>
      </c>
      <c r="AR203" s="198" t="s">
        <v>51</v>
      </c>
      <c r="AS203" s="202">
        <v>101000</v>
      </c>
      <c r="AT203" s="202">
        <v>101000</v>
      </c>
      <c r="AU203" s="198" t="s">
        <v>69</v>
      </c>
      <c r="AV203" s="198" t="s">
        <v>62</v>
      </c>
      <c r="AW203" s="198" t="s">
        <v>54</v>
      </c>
    </row>
    <row r="204" spans="3:49" outlineLevel="2" x14ac:dyDescent="0.25">
      <c r="C204" s="201"/>
      <c r="D204" s="198" t="s">
        <v>131</v>
      </c>
      <c r="H204" s="198" t="s">
        <v>131</v>
      </c>
      <c r="I204" s="202">
        <f t="shared" si="3"/>
        <v>87959723.850000009</v>
      </c>
      <c r="J204" s="202">
        <v>21.3</v>
      </c>
      <c r="L204" s="204">
        <v>302</v>
      </c>
      <c r="M204" s="202">
        <v>120800</v>
      </c>
      <c r="N204" s="204"/>
      <c r="P204" s="202"/>
      <c r="Z204" s="201"/>
      <c r="AN204" s="202">
        <v>120800</v>
      </c>
      <c r="AO204" s="202">
        <v>120800</v>
      </c>
      <c r="AP204" s="202">
        <v>120800</v>
      </c>
      <c r="AQ204" s="198" t="s">
        <v>54</v>
      </c>
      <c r="AR204" s="198" t="s">
        <v>51</v>
      </c>
      <c r="AS204" s="202">
        <v>120800</v>
      </c>
      <c r="AT204" s="202">
        <v>120800</v>
      </c>
      <c r="AU204" s="198" t="s">
        <v>69</v>
      </c>
      <c r="AV204" s="198" t="s">
        <v>62</v>
      </c>
      <c r="AW204" s="198" t="s">
        <v>54</v>
      </c>
    </row>
    <row r="205" spans="3:49" outlineLevel="2" x14ac:dyDescent="0.25">
      <c r="C205" s="201"/>
      <c r="D205" s="198" t="s">
        <v>131</v>
      </c>
      <c r="H205" s="198" t="s">
        <v>131</v>
      </c>
      <c r="I205" s="202">
        <f t="shared" si="3"/>
        <v>88372680.299999997</v>
      </c>
      <c r="J205" s="202">
        <v>21.4</v>
      </c>
      <c r="L205" s="204">
        <v>380</v>
      </c>
      <c r="M205" s="202">
        <v>11400</v>
      </c>
      <c r="N205" s="204"/>
      <c r="P205" s="202"/>
      <c r="Z205" s="201"/>
      <c r="AN205" s="202">
        <v>11400</v>
      </c>
      <c r="AO205" s="202">
        <v>11400</v>
      </c>
      <c r="AP205" s="202">
        <v>11400</v>
      </c>
      <c r="AQ205" s="198" t="s">
        <v>54</v>
      </c>
      <c r="AR205" s="198" t="s">
        <v>51</v>
      </c>
      <c r="AS205" s="202">
        <v>11400</v>
      </c>
      <c r="AT205" s="202">
        <v>11400</v>
      </c>
      <c r="AU205" s="198" t="s">
        <v>69</v>
      </c>
      <c r="AV205" s="198" t="s">
        <v>62</v>
      </c>
      <c r="AW205" s="198" t="s">
        <v>54</v>
      </c>
    </row>
    <row r="206" spans="3:49" outlineLevel="2" x14ac:dyDescent="0.25">
      <c r="C206" s="201"/>
      <c r="D206" s="198" t="s">
        <v>131</v>
      </c>
      <c r="H206" s="198" t="s">
        <v>131</v>
      </c>
      <c r="I206" s="202">
        <f t="shared" si="3"/>
        <v>88785636.75</v>
      </c>
      <c r="J206" s="202">
        <v>21.5</v>
      </c>
      <c r="L206" s="204">
        <v>420</v>
      </c>
      <c r="M206" s="202">
        <v>21000</v>
      </c>
      <c r="N206" s="204"/>
      <c r="P206" s="202"/>
      <c r="Z206" s="201"/>
      <c r="AN206" s="202">
        <v>21000</v>
      </c>
      <c r="AO206" s="202">
        <v>21000</v>
      </c>
      <c r="AP206" s="202">
        <v>21000</v>
      </c>
      <c r="AQ206" s="198" t="s">
        <v>54</v>
      </c>
      <c r="AR206" s="198" t="s">
        <v>51</v>
      </c>
      <c r="AS206" s="202">
        <v>21000</v>
      </c>
      <c r="AT206" s="202">
        <v>21000</v>
      </c>
      <c r="AU206" s="198" t="s">
        <v>69</v>
      </c>
      <c r="AV206" s="198" t="s">
        <v>62</v>
      </c>
      <c r="AW206" s="198" t="s">
        <v>54</v>
      </c>
    </row>
    <row r="207" spans="3:49" outlineLevel="2" x14ac:dyDescent="0.25">
      <c r="C207" s="201"/>
      <c r="D207" s="198" t="s">
        <v>131</v>
      </c>
      <c r="H207" s="198" t="s">
        <v>131</v>
      </c>
      <c r="I207" s="202">
        <f t="shared" si="3"/>
        <v>89198593.200000003</v>
      </c>
      <c r="J207" s="202">
        <v>21.6</v>
      </c>
      <c r="L207" s="204">
        <v>1260</v>
      </c>
      <c r="M207" s="202">
        <v>75600</v>
      </c>
      <c r="N207" s="204"/>
      <c r="P207" s="202"/>
      <c r="Z207" s="201"/>
      <c r="AN207" s="202">
        <v>75600</v>
      </c>
      <c r="AO207" s="202">
        <v>75600</v>
      </c>
      <c r="AP207" s="202">
        <v>75600</v>
      </c>
      <c r="AQ207" s="198" t="s">
        <v>54</v>
      </c>
      <c r="AR207" s="198" t="s">
        <v>51</v>
      </c>
      <c r="AS207" s="202">
        <v>75600</v>
      </c>
      <c r="AT207" s="202">
        <v>75600</v>
      </c>
      <c r="AU207" s="198" t="s">
        <v>69</v>
      </c>
      <c r="AV207" s="198" t="s">
        <v>62</v>
      </c>
      <c r="AW207" s="198" t="s">
        <v>54</v>
      </c>
    </row>
    <row r="208" spans="3:49" outlineLevel="2" x14ac:dyDescent="0.25">
      <c r="C208" s="201"/>
      <c r="D208" s="198" t="s">
        <v>131</v>
      </c>
      <c r="H208" s="198" t="s">
        <v>131</v>
      </c>
      <c r="I208" s="202">
        <f t="shared" si="3"/>
        <v>89611549.649999991</v>
      </c>
      <c r="J208" s="202">
        <v>21.7</v>
      </c>
      <c r="L208" s="204">
        <v>806</v>
      </c>
      <c r="M208" s="202">
        <v>80600</v>
      </c>
      <c r="N208" s="204"/>
      <c r="P208" s="202"/>
      <c r="Z208" s="201"/>
      <c r="AN208" s="202">
        <v>80600</v>
      </c>
      <c r="AO208" s="202">
        <v>80600</v>
      </c>
      <c r="AP208" s="202">
        <v>80600</v>
      </c>
      <c r="AQ208" s="198" t="s">
        <v>54</v>
      </c>
      <c r="AR208" s="198" t="s">
        <v>51</v>
      </c>
      <c r="AS208" s="202">
        <v>80600</v>
      </c>
      <c r="AT208" s="202">
        <v>80600</v>
      </c>
      <c r="AU208" s="198" t="s">
        <v>69</v>
      </c>
      <c r="AV208" s="198" t="s">
        <v>62</v>
      </c>
      <c r="AW208" s="198" t="s">
        <v>54</v>
      </c>
    </row>
    <row r="209" spans="3:49" outlineLevel="2" x14ac:dyDescent="0.25">
      <c r="C209" s="201"/>
      <c r="D209" s="198" t="s">
        <v>131</v>
      </c>
      <c r="H209" s="198" t="s">
        <v>131</v>
      </c>
      <c r="I209" s="202">
        <f t="shared" si="3"/>
        <v>90024506.100000009</v>
      </c>
      <c r="J209" s="202">
        <v>21.8</v>
      </c>
      <c r="L209" s="204">
        <v>2419</v>
      </c>
      <c r="M209" s="202">
        <v>483800</v>
      </c>
      <c r="N209" s="204"/>
      <c r="P209" s="202"/>
      <c r="Z209" s="201"/>
      <c r="AN209" s="202">
        <v>483800</v>
      </c>
      <c r="AO209" s="202">
        <v>483800</v>
      </c>
      <c r="AP209" s="202">
        <v>483800</v>
      </c>
      <c r="AQ209" s="198" t="s">
        <v>54</v>
      </c>
      <c r="AR209" s="198" t="s">
        <v>51</v>
      </c>
      <c r="AS209" s="202">
        <v>483800</v>
      </c>
      <c r="AT209" s="202">
        <v>483800</v>
      </c>
      <c r="AU209" s="198" t="s">
        <v>69</v>
      </c>
      <c r="AV209" s="198" t="s">
        <v>62</v>
      </c>
      <c r="AW209" s="198" t="s">
        <v>54</v>
      </c>
    </row>
    <row r="210" spans="3:49" outlineLevel="2" x14ac:dyDescent="0.25">
      <c r="C210" s="201"/>
      <c r="D210" s="198" t="s">
        <v>122</v>
      </c>
      <c r="H210" s="198" t="s">
        <v>122</v>
      </c>
      <c r="I210" s="202">
        <f t="shared" si="3"/>
        <v>90437462.549999997</v>
      </c>
      <c r="J210" s="202">
        <v>21.9</v>
      </c>
      <c r="L210" s="204">
        <v>1775</v>
      </c>
      <c r="M210" s="202">
        <v>58575</v>
      </c>
      <c r="N210" s="204"/>
      <c r="P210" s="202"/>
      <c r="Z210" s="201"/>
      <c r="AN210" s="202">
        <v>58575</v>
      </c>
      <c r="AO210" s="202">
        <v>58575</v>
      </c>
      <c r="AP210" s="202">
        <v>58575</v>
      </c>
      <c r="AQ210" s="198" t="s">
        <v>54</v>
      </c>
      <c r="AR210" s="198" t="s">
        <v>51</v>
      </c>
      <c r="AS210" s="202">
        <v>58575</v>
      </c>
      <c r="AT210" s="202">
        <v>58575</v>
      </c>
      <c r="AU210" s="198" t="s">
        <v>69</v>
      </c>
      <c r="AV210" s="198" t="s">
        <v>62</v>
      </c>
      <c r="AW210" s="198" t="s">
        <v>54</v>
      </c>
    </row>
    <row r="211" spans="3:49" outlineLevel="2" x14ac:dyDescent="0.25">
      <c r="C211" s="201"/>
      <c r="D211" s="198" t="s">
        <v>122</v>
      </c>
      <c r="H211" s="198" t="s">
        <v>122</v>
      </c>
      <c r="I211" s="202">
        <f t="shared" si="3"/>
        <v>90850419</v>
      </c>
      <c r="J211" s="202">
        <v>22</v>
      </c>
      <c r="L211" s="204">
        <v>5</v>
      </c>
      <c r="M211" s="202">
        <v>287250</v>
      </c>
      <c r="N211" s="204"/>
      <c r="P211" s="202"/>
      <c r="Z211" s="201"/>
      <c r="AN211" s="202">
        <v>287250</v>
      </c>
      <c r="AO211" s="202">
        <v>287250</v>
      </c>
      <c r="AP211" s="202">
        <v>287250</v>
      </c>
      <c r="AQ211" s="198" t="s">
        <v>54</v>
      </c>
      <c r="AR211" s="198" t="s">
        <v>51</v>
      </c>
      <c r="AS211" s="202">
        <v>287250</v>
      </c>
      <c r="AT211" s="202">
        <v>287250</v>
      </c>
      <c r="AU211" s="198" t="s">
        <v>69</v>
      </c>
      <c r="AV211" s="198" t="s">
        <v>62</v>
      </c>
      <c r="AW211" s="198" t="s">
        <v>54</v>
      </c>
    </row>
    <row r="212" spans="3:49" outlineLevel="2" x14ac:dyDescent="0.25">
      <c r="C212" s="201"/>
      <c r="D212" s="198" t="s">
        <v>122</v>
      </c>
      <c r="H212" s="198" t="s">
        <v>122</v>
      </c>
      <c r="I212" s="202">
        <f t="shared" si="3"/>
        <v>91263375.450000003</v>
      </c>
      <c r="J212" s="202">
        <v>22.1</v>
      </c>
      <c r="L212" s="204">
        <v>11</v>
      </c>
      <c r="M212" s="202">
        <v>4070</v>
      </c>
      <c r="N212" s="204"/>
      <c r="P212" s="202"/>
      <c r="Z212" s="201"/>
      <c r="AN212" s="202">
        <v>4070</v>
      </c>
      <c r="AO212" s="202">
        <v>4070</v>
      </c>
      <c r="AP212" s="202">
        <v>4070</v>
      </c>
      <c r="AQ212" s="198" t="s">
        <v>54</v>
      </c>
      <c r="AR212" s="198" t="s">
        <v>51</v>
      </c>
      <c r="AS212" s="202">
        <v>4070</v>
      </c>
      <c r="AT212" s="202">
        <v>4070</v>
      </c>
      <c r="AU212" s="198" t="s">
        <v>69</v>
      </c>
      <c r="AV212" s="198" t="s">
        <v>62</v>
      </c>
      <c r="AW212" s="198" t="s">
        <v>54</v>
      </c>
    </row>
    <row r="213" spans="3:49" outlineLevel="2" x14ac:dyDescent="0.25">
      <c r="C213" s="201"/>
      <c r="D213" s="198" t="s">
        <v>122</v>
      </c>
      <c r="H213" s="198" t="s">
        <v>122</v>
      </c>
      <c r="I213" s="202">
        <f t="shared" si="3"/>
        <v>91676331.899999991</v>
      </c>
      <c r="J213" s="202">
        <v>22.2</v>
      </c>
      <c r="L213" s="204">
        <v>1042</v>
      </c>
      <c r="M213" s="202">
        <v>355322</v>
      </c>
      <c r="N213" s="204"/>
      <c r="P213" s="202"/>
      <c r="Z213" s="201"/>
      <c r="AN213" s="202">
        <v>355322</v>
      </c>
      <c r="AO213" s="202">
        <v>355322</v>
      </c>
      <c r="AP213" s="202">
        <v>355322</v>
      </c>
      <c r="AQ213" s="198" t="s">
        <v>54</v>
      </c>
      <c r="AR213" s="198" t="s">
        <v>51</v>
      </c>
      <c r="AS213" s="202">
        <v>355322</v>
      </c>
      <c r="AT213" s="202">
        <v>355322</v>
      </c>
      <c r="AU213" s="198" t="s">
        <v>69</v>
      </c>
      <c r="AV213" s="198" t="s">
        <v>62</v>
      </c>
      <c r="AW213" s="198" t="s">
        <v>54</v>
      </c>
    </row>
    <row r="214" spans="3:49" outlineLevel="2" x14ac:dyDescent="0.25">
      <c r="C214" s="201"/>
      <c r="D214" s="198" t="s">
        <v>122</v>
      </c>
      <c r="H214" s="198" t="s">
        <v>122</v>
      </c>
      <c r="I214" s="202">
        <f t="shared" si="3"/>
        <v>92089288.350000009</v>
      </c>
      <c r="J214" s="202">
        <v>22.3</v>
      </c>
      <c r="L214" s="204">
        <v>15</v>
      </c>
      <c r="M214" s="202">
        <v>7035</v>
      </c>
      <c r="N214" s="204"/>
      <c r="P214" s="202"/>
      <c r="Z214" s="201"/>
      <c r="AN214" s="202">
        <v>7035</v>
      </c>
      <c r="AO214" s="202">
        <v>7035</v>
      </c>
      <c r="AP214" s="202">
        <v>7035</v>
      </c>
      <c r="AQ214" s="198" t="s">
        <v>54</v>
      </c>
      <c r="AR214" s="198" t="s">
        <v>51</v>
      </c>
      <c r="AS214" s="202">
        <v>7035</v>
      </c>
      <c r="AT214" s="202">
        <v>7035</v>
      </c>
      <c r="AU214" s="198" t="s">
        <v>69</v>
      </c>
      <c r="AV214" s="198" t="s">
        <v>62</v>
      </c>
      <c r="AW214" s="198" t="s">
        <v>54</v>
      </c>
    </row>
    <row r="215" spans="3:49" outlineLevel="2" x14ac:dyDescent="0.25">
      <c r="C215" s="201"/>
      <c r="D215" s="198" t="s">
        <v>122</v>
      </c>
      <c r="H215" s="198" t="s">
        <v>122</v>
      </c>
      <c r="I215" s="202">
        <f t="shared" si="3"/>
        <v>92502244.799999997</v>
      </c>
      <c r="J215" s="202">
        <v>22.4</v>
      </c>
      <c r="L215" s="204">
        <v>153</v>
      </c>
      <c r="M215" s="202">
        <v>95472</v>
      </c>
      <c r="N215" s="204"/>
      <c r="P215" s="202"/>
      <c r="Z215" s="201"/>
      <c r="AN215" s="202">
        <v>95472</v>
      </c>
      <c r="AO215" s="202">
        <v>95472</v>
      </c>
      <c r="AP215" s="202">
        <v>95472</v>
      </c>
      <c r="AQ215" s="198" t="s">
        <v>54</v>
      </c>
      <c r="AR215" s="198" t="s">
        <v>51</v>
      </c>
      <c r="AS215" s="202">
        <v>95472</v>
      </c>
      <c r="AT215" s="202">
        <v>95472</v>
      </c>
      <c r="AU215" s="198" t="s">
        <v>69</v>
      </c>
      <c r="AV215" s="198" t="s">
        <v>62</v>
      </c>
      <c r="AW215" s="198" t="s">
        <v>54</v>
      </c>
    </row>
    <row r="216" spans="3:49" outlineLevel="2" x14ac:dyDescent="0.25">
      <c r="C216" s="201"/>
      <c r="D216" s="198" t="s">
        <v>122</v>
      </c>
      <c r="H216" s="198" t="s">
        <v>122</v>
      </c>
      <c r="I216" s="202">
        <f t="shared" si="3"/>
        <v>92915201.25</v>
      </c>
      <c r="J216" s="202">
        <v>22.5</v>
      </c>
      <c r="L216" s="204">
        <v>20</v>
      </c>
      <c r="M216" s="202">
        <v>1260</v>
      </c>
      <c r="N216" s="204"/>
      <c r="P216" s="202"/>
      <c r="Z216" s="201"/>
      <c r="AN216" s="202">
        <v>1260</v>
      </c>
      <c r="AO216" s="202">
        <v>1260</v>
      </c>
      <c r="AP216" s="202">
        <v>1260</v>
      </c>
      <c r="AQ216" s="198" t="s">
        <v>54</v>
      </c>
      <c r="AR216" s="198" t="s">
        <v>51</v>
      </c>
      <c r="AS216" s="202">
        <v>1260</v>
      </c>
      <c r="AT216" s="202">
        <v>1260</v>
      </c>
      <c r="AU216" s="198" t="s">
        <v>69</v>
      </c>
      <c r="AV216" s="198" t="s">
        <v>62</v>
      </c>
      <c r="AW216" s="198" t="s">
        <v>54</v>
      </c>
    </row>
    <row r="217" spans="3:49" outlineLevel="2" x14ac:dyDescent="0.25">
      <c r="C217" s="201"/>
      <c r="D217" s="198" t="s">
        <v>122</v>
      </c>
      <c r="H217" s="198" t="s">
        <v>122</v>
      </c>
      <c r="I217" s="202">
        <f t="shared" si="3"/>
        <v>93328157.700000003</v>
      </c>
      <c r="J217" s="202">
        <v>22.6</v>
      </c>
      <c r="L217" s="204">
        <v>417</v>
      </c>
      <c r="M217" s="202">
        <v>56295</v>
      </c>
      <c r="N217" s="204"/>
      <c r="P217" s="202"/>
      <c r="Z217" s="201"/>
      <c r="AN217" s="202">
        <v>56295</v>
      </c>
      <c r="AO217" s="202">
        <v>56295</v>
      </c>
      <c r="AP217" s="202">
        <v>56295</v>
      </c>
      <c r="AQ217" s="198" t="s">
        <v>54</v>
      </c>
      <c r="AR217" s="198" t="s">
        <v>51</v>
      </c>
      <c r="AS217" s="202">
        <v>56295</v>
      </c>
      <c r="AT217" s="202">
        <v>56295</v>
      </c>
      <c r="AU217" s="198" t="s">
        <v>69</v>
      </c>
      <c r="AV217" s="198" t="s">
        <v>62</v>
      </c>
      <c r="AW217" s="198" t="s">
        <v>54</v>
      </c>
    </row>
    <row r="218" spans="3:49" outlineLevel="2" x14ac:dyDescent="0.25">
      <c r="C218" s="201"/>
      <c r="D218" s="198" t="s">
        <v>122</v>
      </c>
      <c r="H218" s="198" t="s">
        <v>122</v>
      </c>
      <c r="I218" s="202">
        <f t="shared" si="3"/>
        <v>93741114.149999991</v>
      </c>
      <c r="J218" s="202">
        <v>22.7</v>
      </c>
      <c r="L218" s="204">
        <v>3955</v>
      </c>
      <c r="M218" s="202">
        <v>1273510</v>
      </c>
      <c r="N218" s="204"/>
      <c r="P218" s="202"/>
      <c r="Z218" s="201"/>
      <c r="AN218" s="202">
        <v>1273510</v>
      </c>
      <c r="AO218" s="202">
        <v>1273510</v>
      </c>
      <c r="AP218" s="202">
        <v>1273510</v>
      </c>
      <c r="AQ218" s="198" t="s">
        <v>54</v>
      </c>
      <c r="AR218" s="198" t="s">
        <v>51</v>
      </c>
      <c r="AS218" s="202">
        <v>1273510</v>
      </c>
      <c r="AT218" s="202">
        <v>1273510</v>
      </c>
      <c r="AU218" s="198" t="s">
        <v>69</v>
      </c>
      <c r="AV218" s="198" t="s">
        <v>62</v>
      </c>
      <c r="AW218" s="198" t="s">
        <v>54</v>
      </c>
    </row>
    <row r="219" spans="3:49" outlineLevel="2" x14ac:dyDescent="0.25">
      <c r="C219" s="201"/>
      <c r="D219" s="198" t="s">
        <v>122</v>
      </c>
      <c r="H219" s="198" t="s">
        <v>122</v>
      </c>
      <c r="I219" s="202">
        <f t="shared" si="3"/>
        <v>94154070.600000009</v>
      </c>
      <c r="J219" s="202">
        <v>22.8</v>
      </c>
      <c r="L219" s="204">
        <v>7000</v>
      </c>
      <c r="M219" s="202">
        <v>1226820</v>
      </c>
      <c r="N219" s="204"/>
      <c r="P219" s="202"/>
      <c r="Z219" s="201"/>
      <c r="AN219" s="202">
        <v>1226820</v>
      </c>
      <c r="AO219" s="202">
        <v>1226820</v>
      </c>
      <c r="AP219" s="202">
        <v>1226820</v>
      </c>
      <c r="AQ219" s="198" t="s">
        <v>54</v>
      </c>
      <c r="AR219" s="198" t="s">
        <v>51</v>
      </c>
      <c r="AS219" s="202">
        <v>1226820</v>
      </c>
      <c r="AT219" s="202">
        <v>1226820</v>
      </c>
      <c r="AU219" s="198" t="s">
        <v>69</v>
      </c>
      <c r="AV219" s="198" t="s">
        <v>62</v>
      </c>
      <c r="AW219" s="198" t="s">
        <v>54</v>
      </c>
    </row>
    <row r="220" spans="3:49" outlineLevel="2" x14ac:dyDescent="0.25">
      <c r="C220" s="201"/>
      <c r="D220" s="198" t="s">
        <v>122</v>
      </c>
      <c r="H220" s="198" t="s">
        <v>122</v>
      </c>
      <c r="I220" s="202">
        <f t="shared" si="3"/>
        <v>94567027.049999997</v>
      </c>
      <c r="J220" s="202">
        <v>22.9</v>
      </c>
      <c r="L220" s="204">
        <v>7000</v>
      </c>
      <c r="M220" s="202">
        <v>1239700</v>
      </c>
      <c r="N220" s="204"/>
      <c r="P220" s="202"/>
      <c r="Z220" s="201"/>
      <c r="AN220" s="202">
        <v>1239700</v>
      </c>
      <c r="AO220" s="202">
        <v>1239700</v>
      </c>
      <c r="AP220" s="202">
        <v>1239700</v>
      </c>
      <c r="AQ220" s="198" t="s">
        <v>54</v>
      </c>
      <c r="AR220" s="198" t="s">
        <v>51</v>
      </c>
      <c r="AS220" s="202">
        <v>1239700</v>
      </c>
      <c r="AT220" s="202">
        <v>1239700</v>
      </c>
      <c r="AU220" s="198" t="s">
        <v>69</v>
      </c>
      <c r="AV220" s="198" t="s">
        <v>62</v>
      </c>
      <c r="AW220" s="198" t="s">
        <v>54</v>
      </c>
    </row>
    <row r="221" spans="3:49" outlineLevel="2" x14ac:dyDescent="0.25">
      <c r="C221" s="201"/>
      <c r="D221" s="198" t="s">
        <v>122</v>
      </c>
      <c r="H221" s="198" t="s">
        <v>122</v>
      </c>
      <c r="I221" s="202">
        <f t="shared" si="3"/>
        <v>94979983.5</v>
      </c>
      <c r="J221" s="202">
        <v>23</v>
      </c>
      <c r="L221" s="204">
        <v>40</v>
      </c>
      <c r="M221" s="202">
        <v>576000</v>
      </c>
      <c r="N221" s="204"/>
      <c r="P221" s="202"/>
      <c r="Z221" s="201"/>
      <c r="AN221" s="202">
        <v>576000</v>
      </c>
      <c r="AO221" s="202">
        <v>576000</v>
      </c>
      <c r="AP221" s="202">
        <v>576000</v>
      </c>
      <c r="AQ221" s="198" t="s">
        <v>54</v>
      </c>
      <c r="AR221" s="198" t="s">
        <v>51</v>
      </c>
      <c r="AS221" s="202">
        <v>576000</v>
      </c>
      <c r="AT221" s="202">
        <v>576000</v>
      </c>
      <c r="AU221" s="198" t="s">
        <v>69</v>
      </c>
      <c r="AV221" s="198" t="s">
        <v>62</v>
      </c>
      <c r="AW221" s="198" t="s">
        <v>54</v>
      </c>
    </row>
    <row r="222" spans="3:49" outlineLevel="2" x14ac:dyDescent="0.25">
      <c r="C222" s="201"/>
      <c r="D222" s="198" t="s">
        <v>122</v>
      </c>
      <c r="H222" s="198" t="s">
        <v>122</v>
      </c>
      <c r="I222" s="202">
        <f t="shared" si="3"/>
        <v>95392939.950000003</v>
      </c>
      <c r="J222" s="202">
        <v>23.1</v>
      </c>
      <c r="L222" s="204">
        <v>100</v>
      </c>
      <c r="M222" s="202">
        <v>239100</v>
      </c>
      <c r="N222" s="204"/>
      <c r="P222" s="202"/>
      <c r="Z222" s="201"/>
      <c r="AN222" s="202">
        <v>239100</v>
      </c>
      <c r="AO222" s="202">
        <v>239100</v>
      </c>
      <c r="AP222" s="202">
        <v>239100</v>
      </c>
      <c r="AQ222" s="198" t="s">
        <v>54</v>
      </c>
      <c r="AR222" s="198" t="s">
        <v>51</v>
      </c>
      <c r="AS222" s="202">
        <v>239100</v>
      </c>
      <c r="AT222" s="202">
        <v>239100</v>
      </c>
      <c r="AU222" s="198" t="s">
        <v>69</v>
      </c>
      <c r="AV222" s="198" t="s">
        <v>62</v>
      </c>
      <c r="AW222" s="198" t="s">
        <v>54</v>
      </c>
    </row>
    <row r="223" spans="3:49" outlineLevel="2" x14ac:dyDescent="0.25">
      <c r="C223" s="201"/>
      <c r="D223" s="198" t="s">
        <v>122</v>
      </c>
      <c r="H223" s="198" t="s">
        <v>122</v>
      </c>
      <c r="I223" s="202">
        <f t="shared" si="3"/>
        <v>95805896.399999991</v>
      </c>
      <c r="J223" s="202">
        <v>23.2</v>
      </c>
      <c r="L223" s="204">
        <v>150</v>
      </c>
      <c r="M223" s="202">
        <v>358650</v>
      </c>
      <c r="N223" s="204"/>
      <c r="P223" s="202"/>
      <c r="Z223" s="201"/>
      <c r="AN223" s="202">
        <v>358650</v>
      </c>
      <c r="AO223" s="202">
        <v>358650</v>
      </c>
      <c r="AP223" s="202">
        <v>358650</v>
      </c>
      <c r="AQ223" s="198" t="s">
        <v>54</v>
      </c>
      <c r="AR223" s="198" t="s">
        <v>51</v>
      </c>
      <c r="AS223" s="202">
        <v>358650</v>
      </c>
      <c r="AT223" s="202">
        <v>358650</v>
      </c>
      <c r="AU223" s="198" t="s">
        <v>69</v>
      </c>
      <c r="AV223" s="198" t="s">
        <v>62</v>
      </c>
      <c r="AW223" s="198" t="s">
        <v>54</v>
      </c>
    </row>
    <row r="224" spans="3:49" outlineLevel="2" x14ac:dyDescent="0.25">
      <c r="C224" s="201"/>
      <c r="D224" s="198" t="s">
        <v>122</v>
      </c>
      <c r="H224" s="198" t="s">
        <v>122</v>
      </c>
      <c r="I224" s="202">
        <f t="shared" si="3"/>
        <v>96218852.850000009</v>
      </c>
      <c r="J224" s="202">
        <v>23.3</v>
      </c>
      <c r="L224" s="204">
        <v>8</v>
      </c>
      <c r="M224" s="202">
        <v>2300</v>
      </c>
      <c r="N224" s="204"/>
      <c r="P224" s="202"/>
      <c r="Z224" s="201"/>
      <c r="AN224" s="202">
        <v>2300</v>
      </c>
      <c r="AO224" s="202">
        <v>2300</v>
      </c>
      <c r="AP224" s="202">
        <v>2300</v>
      </c>
      <c r="AQ224" s="198" t="s">
        <v>54</v>
      </c>
      <c r="AR224" s="198" t="s">
        <v>51</v>
      </c>
      <c r="AS224" s="202">
        <v>2300</v>
      </c>
      <c r="AT224" s="202">
        <v>2300</v>
      </c>
      <c r="AU224" s="198" t="s">
        <v>69</v>
      </c>
      <c r="AV224" s="198" t="s">
        <v>62</v>
      </c>
      <c r="AW224" s="198" t="s">
        <v>54</v>
      </c>
    </row>
    <row r="225" spans="3:49" outlineLevel="2" x14ac:dyDescent="0.25">
      <c r="C225" s="201"/>
      <c r="D225" s="198" t="s">
        <v>122</v>
      </c>
      <c r="H225" s="198" t="s">
        <v>122</v>
      </c>
      <c r="I225" s="202">
        <f t="shared" si="3"/>
        <v>96631809.299999997</v>
      </c>
      <c r="J225" s="202">
        <v>23.4</v>
      </c>
      <c r="L225" s="204">
        <v>40</v>
      </c>
      <c r="M225" s="202">
        <v>9200</v>
      </c>
      <c r="N225" s="204"/>
      <c r="P225" s="202"/>
      <c r="Z225" s="201"/>
      <c r="AN225" s="202">
        <v>9200</v>
      </c>
      <c r="AO225" s="202">
        <v>9200</v>
      </c>
      <c r="AP225" s="202">
        <v>9200</v>
      </c>
      <c r="AQ225" s="198" t="s">
        <v>54</v>
      </c>
      <c r="AR225" s="198" t="s">
        <v>51</v>
      </c>
      <c r="AS225" s="202">
        <v>9200</v>
      </c>
      <c r="AT225" s="202">
        <v>9200</v>
      </c>
      <c r="AU225" s="198" t="s">
        <v>69</v>
      </c>
      <c r="AV225" s="198" t="s">
        <v>62</v>
      </c>
      <c r="AW225" s="198" t="s">
        <v>54</v>
      </c>
    </row>
    <row r="226" spans="3:49" outlineLevel="2" x14ac:dyDescent="0.25">
      <c r="C226" s="201"/>
      <c r="D226" s="198" t="s">
        <v>122</v>
      </c>
      <c r="H226" s="198" t="s">
        <v>122</v>
      </c>
      <c r="I226" s="202">
        <f t="shared" si="3"/>
        <v>97044765.75</v>
      </c>
      <c r="J226" s="202">
        <v>23.5</v>
      </c>
      <c r="L226" s="204">
        <v>40</v>
      </c>
      <c r="M226" s="202">
        <v>8740</v>
      </c>
      <c r="N226" s="204"/>
      <c r="P226" s="202"/>
      <c r="Z226" s="201"/>
      <c r="AN226" s="202">
        <v>8740</v>
      </c>
      <c r="AO226" s="202">
        <v>8740</v>
      </c>
      <c r="AP226" s="202">
        <v>8740</v>
      </c>
      <c r="AQ226" s="198" t="s">
        <v>54</v>
      </c>
      <c r="AR226" s="198" t="s">
        <v>51</v>
      </c>
      <c r="AS226" s="202">
        <v>8740</v>
      </c>
      <c r="AT226" s="202">
        <v>8740</v>
      </c>
      <c r="AU226" s="198" t="s">
        <v>69</v>
      </c>
      <c r="AV226" s="198" t="s">
        <v>62</v>
      </c>
      <c r="AW226" s="198" t="s">
        <v>54</v>
      </c>
    </row>
    <row r="227" spans="3:49" outlineLevel="2" x14ac:dyDescent="0.25">
      <c r="C227" s="201"/>
      <c r="D227" s="198" t="s">
        <v>122</v>
      </c>
      <c r="H227" s="198" t="s">
        <v>122</v>
      </c>
      <c r="I227" s="202">
        <f t="shared" si="3"/>
        <v>97457722.200000003</v>
      </c>
      <c r="J227" s="202">
        <v>23.6</v>
      </c>
      <c r="L227" s="203">
        <v>1.6</v>
      </c>
      <c r="M227" s="202">
        <v>250000</v>
      </c>
      <c r="N227" s="203"/>
      <c r="P227" s="202"/>
      <c r="Z227" s="201"/>
      <c r="AN227" s="202">
        <v>250000</v>
      </c>
      <c r="AO227" s="202">
        <v>250000</v>
      </c>
      <c r="AP227" s="202">
        <v>250000</v>
      </c>
      <c r="AQ227" s="198" t="s">
        <v>54</v>
      </c>
      <c r="AR227" s="198" t="s">
        <v>51</v>
      </c>
      <c r="AS227" s="202">
        <v>250000</v>
      </c>
      <c r="AT227" s="202">
        <v>250000</v>
      </c>
      <c r="AU227" s="198" t="s">
        <v>69</v>
      </c>
      <c r="AV227" s="198" t="s">
        <v>62</v>
      </c>
      <c r="AW227" s="198" t="s">
        <v>54</v>
      </c>
    </row>
    <row r="228" spans="3:49" outlineLevel="2" x14ac:dyDescent="0.25">
      <c r="C228" s="201"/>
      <c r="D228" s="198" t="s">
        <v>122</v>
      </c>
      <c r="H228" s="198" t="s">
        <v>122</v>
      </c>
      <c r="I228" s="202">
        <f t="shared" si="3"/>
        <v>97870678.649999991</v>
      </c>
      <c r="J228" s="202">
        <v>23.7</v>
      </c>
      <c r="L228" s="204">
        <v>3000</v>
      </c>
      <c r="M228" s="202">
        <v>741750</v>
      </c>
      <c r="N228" s="204"/>
      <c r="P228" s="202"/>
      <c r="Z228" s="201"/>
      <c r="AN228" s="202">
        <v>741750</v>
      </c>
      <c r="AO228" s="202">
        <v>741750</v>
      </c>
      <c r="AP228" s="202">
        <v>741750</v>
      </c>
      <c r="AQ228" s="198" t="s">
        <v>54</v>
      </c>
      <c r="AR228" s="198" t="s">
        <v>51</v>
      </c>
      <c r="AS228" s="202">
        <v>741750</v>
      </c>
      <c r="AT228" s="202">
        <v>741750</v>
      </c>
      <c r="AU228" s="198" t="s">
        <v>69</v>
      </c>
      <c r="AV228" s="198" t="s">
        <v>62</v>
      </c>
      <c r="AW228" s="198" t="s">
        <v>54</v>
      </c>
    </row>
    <row r="229" spans="3:49" outlineLevel="2" x14ac:dyDescent="0.25">
      <c r="C229" s="201"/>
      <c r="D229" s="198" t="s">
        <v>122</v>
      </c>
      <c r="H229" s="198" t="s">
        <v>122</v>
      </c>
      <c r="I229" s="202">
        <f t="shared" si="3"/>
        <v>98283635.100000009</v>
      </c>
      <c r="J229" s="202">
        <v>23.8</v>
      </c>
      <c r="L229" s="204">
        <v>535</v>
      </c>
      <c r="M229" s="202">
        <v>63493.8</v>
      </c>
      <c r="N229" s="204"/>
      <c r="P229" s="202"/>
      <c r="Z229" s="201"/>
      <c r="AN229" s="202">
        <v>63493.8</v>
      </c>
      <c r="AO229" s="202">
        <v>63493.8</v>
      </c>
      <c r="AP229" s="202">
        <v>63493.8</v>
      </c>
      <c r="AQ229" s="198" t="s">
        <v>54</v>
      </c>
      <c r="AR229" s="198" t="s">
        <v>51</v>
      </c>
      <c r="AS229" s="202">
        <v>63493.8</v>
      </c>
      <c r="AT229" s="202">
        <v>63493.8</v>
      </c>
      <c r="AU229" s="198" t="s">
        <v>69</v>
      </c>
      <c r="AV229" s="198" t="s">
        <v>62</v>
      </c>
      <c r="AW229" s="198" t="s">
        <v>54</v>
      </c>
    </row>
    <row r="230" spans="3:49" outlineLevel="2" x14ac:dyDescent="0.25">
      <c r="C230" s="201"/>
      <c r="D230" s="198" t="s">
        <v>122</v>
      </c>
      <c r="H230" s="198" t="s">
        <v>122</v>
      </c>
      <c r="I230" s="202">
        <f t="shared" si="3"/>
        <v>98696591.549999997</v>
      </c>
      <c r="J230" s="202">
        <v>23.9</v>
      </c>
      <c r="L230" s="204">
        <v>8064</v>
      </c>
      <c r="M230" s="202">
        <v>6693120</v>
      </c>
      <c r="N230" s="204"/>
      <c r="P230" s="202"/>
      <c r="Z230" s="201"/>
      <c r="AN230" s="202">
        <v>6693120</v>
      </c>
      <c r="AO230" s="202">
        <v>6693120</v>
      </c>
      <c r="AP230" s="202">
        <v>6693120</v>
      </c>
      <c r="AQ230" s="198" t="s">
        <v>54</v>
      </c>
      <c r="AR230" s="198" t="s">
        <v>51</v>
      </c>
      <c r="AS230" s="202">
        <v>6693120</v>
      </c>
      <c r="AT230" s="202">
        <v>6693120</v>
      </c>
      <c r="AU230" s="198" t="s">
        <v>69</v>
      </c>
      <c r="AV230" s="198" t="s">
        <v>62</v>
      </c>
      <c r="AW230" s="198" t="s">
        <v>54</v>
      </c>
    </row>
    <row r="231" spans="3:49" outlineLevel="2" x14ac:dyDescent="0.25">
      <c r="C231" s="201"/>
      <c r="D231" s="198" t="s">
        <v>122</v>
      </c>
      <c r="H231" s="198" t="s">
        <v>122</v>
      </c>
      <c r="I231" s="202">
        <f t="shared" si="3"/>
        <v>99109548</v>
      </c>
      <c r="J231" s="202">
        <v>24</v>
      </c>
      <c r="L231" s="204">
        <v>8064</v>
      </c>
      <c r="M231" s="202">
        <v>6249600</v>
      </c>
      <c r="N231" s="204"/>
      <c r="P231" s="202"/>
      <c r="Z231" s="201"/>
      <c r="AN231" s="202">
        <v>6249600</v>
      </c>
      <c r="AO231" s="202">
        <v>6249600</v>
      </c>
      <c r="AP231" s="202">
        <v>6249600</v>
      </c>
      <c r="AQ231" s="198" t="s">
        <v>54</v>
      </c>
      <c r="AR231" s="198" t="s">
        <v>51</v>
      </c>
      <c r="AS231" s="202">
        <v>6249600</v>
      </c>
      <c r="AT231" s="202">
        <v>6249600</v>
      </c>
      <c r="AU231" s="198" t="s">
        <v>69</v>
      </c>
      <c r="AV231" s="198" t="s">
        <v>62</v>
      </c>
      <c r="AW231" s="198" t="s">
        <v>54</v>
      </c>
    </row>
    <row r="232" spans="3:49" outlineLevel="2" x14ac:dyDescent="0.25">
      <c r="C232" s="201"/>
      <c r="D232" s="198" t="s">
        <v>122</v>
      </c>
      <c r="H232" s="198" t="s">
        <v>122</v>
      </c>
      <c r="I232" s="202">
        <f t="shared" si="3"/>
        <v>99522504.450000003</v>
      </c>
      <c r="J232" s="202">
        <v>24.1</v>
      </c>
      <c r="L232" s="204">
        <v>63</v>
      </c>
      <c r="M232" s="202">
        <v>63000</v>
      </c>
      <c r="N232" s="204"/>
      <c r="P232" s="202"/>
      <c r="Z232" s="201"/>
      <c r="AN232" s="202">
        <v>63000</v>
      </c>
      <c r="AO232" s="202">
        <v>63000</v>
      </c>
      <c r="AP232" s="202">
        <v>63000</v>
      </c>
      <c r="AQ232" s="198" t="s">
        <v>54</v>
      </c>
      <c r="AR232" s="198" t="s">
        <v>51</v>
      </c>
      <c r="AS232" s="202">
        <v>63000</v>
      </c>
      <c r="AT232" s="202">
        <v>63000</v>
      </c>
      <c r="AU232" s="198" t="s">
        <v>69</v>
      </c>
      <c r="AV232" s="198" t="s">
        <v>62</v>
      </c>
      <c r="AW232" s="198" t="s">
        <v>54</v>
      </c>
    </row>
    <row r="233" spans="3:49" outlineLevel="2" x14ac:dyDescent="0.25">
      <c r="C233" s="201"/>
      <c r="D233" s="198" t="s">
        <v>122</v>
      </c>
      <c r="H233" s="198" t="s">
        <v>122</v>
      </c>
      <c r="I233" s="202">
        <f t="shared" si="3"/>
        <v>99935460.899999991</v>
      </c>
      <c r="J233" s="202">
        <v>24.2</v>
      </c>
      <c r="L233" s="204">
        <v>189</v>
      </c>
      <c r="M233" s="202">
        <v>75600</v>
      </c>
      <c r="N233" s="204"/>
      <c r="P233" s="202"/>
      <c r="Z233" s="201"/>
      <c r="AN233" s="202">
        <v>75600</v>
      </c>
      <c r="AO233" s="202">
        <v>75600</v>
      </c>
      <c r="AP233" s="202">
        <v>75600</v>
      </c>
      <c r="AQ233" s="198" t="s">
        <v>54</v>
      </c>
      <c r="AR233" s="198" t="s">
        <v>51</v>
      </c>
      <c r="AS233" s="202">
        <v>75600</v>
      </c>
      <c r="AT233" s="202">
        <v>75600</v>
      </c>
      <c r="AU233" s="198" t="s">
        <v>69</v>
      </c>
      <c r="AV233" s="198" t="s">
        <v>62</v>
      </c>
      <c r="AW233" s="198" t="s">
        <v>54</v>
      </c>
    </row>
    <row r="234" spans="3:49" outlineLevel="2" x14ac:dyDescent="0.25">
      <c r="C234" s="201"/>
      <c r="D234" s="198" t="s">
        <v>122</v>
      </c>
      <c r="H234" s="198" t="s">
        <v>122</v>
      </c>
      <c r="I234" s="202">
        <f t="shared" si="3"/>
        <v>100348417.35000001</v>
      </c>
      <c r="J234" s="202">
        <v>24.3</v>
      </c>
      <c r="L234" s="204">
        <v>380</v>
      </c>
      <c r="M234" s="202">
        <v>11400</v>
      </c>
      <c r="N234" s="204"/>
      <c r="P234" s="202"/>
      <c r="Z234" s="201"/>
      <c r="AN234" s="202">
        <v>11400</v>
      </c>
      <c r="AO234" s="202">
        <v>11400</v>
      </c>
      <c r="AP234" s="202">
        <v>11400</v>
      </c>
      <c r="AQ234" s="198" t="s">
        <v>54</v>
      </c>
      <c r="AR234" s="198" t="s">
        <v>51</v>
      </c>
      <c r="AS234" s="202">
        <v>11400</v>
      </c>
      <c r="AT234" s="202">
        <v>11400</v>
      </c>
      <c r="AU234" s="198" t="s">
        <v>69</v>
      </c>
      <c r="AV234" s="198" t="s">
        <v>62</v>
      </c>
      <c r="AW234" s="198" t="s">
        <v>54</v>
      </c>
    </row>
    <row r="235" spans="3:49" outlineLevel="2" x14ac:dyDescent="0.25">
      <c r="C235" s="201"/>
      <c r="D235" s="198" t="s">
        <v>122</v>
      </c>
      <c r="H235" s="198" t="s">
        <v>122</v>
      </c>
      <c r="I235" s="202">
        <f t="shared" si="3"/>
        <v>100761373.8</v>
      </c>
      <c r="J235" s="202">
        <v>24.4</v>
      </c>
      <c r="L235" s="204">
        <v>263</v>
      </c>
      <c r="M235" s="202">
        <v>13150</v>
      </c>
      <c r="N235" s="204"/>
      <c r="P235" s="202"/>
      <c r="Z235" s="201"/>
      <c r="AN235" s="202">
        <v>13150</v>
      </c>
      <c r="AO235" s="202">
        <v>13150</v>
      </c>
      <c r="AP235" s="202">
        <v>13150</v>
      </c>
      <c r="AQ235" s="198" t="s">
        <v>54</v>
      </c>
      <c r="AR235" s="198" t="s">
        <v>51</v>
      </c>
      <c r="AS235" s="202">
        <v>13150</v>
      </c>
      <c r="AT235" s="202">
        <v>13150</v>
      </c>
      <c r="AU235" s="198" t="s">
        <v>69</v>
      </c>
      <c r="AV235" s="198" t="s">
        <v>62</v>
      </c>
      <c r="AW235" s="198" t="s">
        <v>54</v>
      </c>
    </row>
    <row r="236" spans="3:49" outlineLevel="2" x14ac:dyDescent="0.25">
      <c r="C236" s="201"/>
      <c r="D236" s="198" t="s">
        <v>122</v>
      </c>
      <c r="H236" s="198" t="s">
        <v>122</v>
      </c>
      <c r="I236" s="202">
        <f t="shared" si="3"/>
        <v>101174330.25</v>
      </c>
      <c r="J236" s="202">
        <v>24.5</v>
      </c>
      <c r="L236" s="204">
        <v>788</v>
      </c>
      <c r="M236" s="202">
        <v>47280</v>
      </c>
      <c r="N236" s="204"/>
      <c r="P236" s="202"/>
      <c r="Z236" s="201"/>
      <c r="AN236" s="202">
        <v>47280</v>
      </c>
      <c r="AO236" s="202">
        <v>47280</v>
      </c>
      <c r="AP236" s="202">
        <v>47280</v>
      </c>
      <c r="AQ236" s="198" t="s">
        <v>54</v>
      </c>
      <c r="AR236" s="198" t="s">
        <v>51</v>
      </c>
      <c r="AS236" s="202">
        <v>47280</v>
      </c>
      <c r="AT236" s="202">
        <v>47280</v>
      </c>
      <c r="AU236" s="198" t="s">
        <v>69</v>
      </c>
      <c r="AV236" s="198" t="s">
        <v>62</v>
      </c>
      <c r="AW236" s="198" t="s">
        <v>54</v>
      </c>
    </row>
    <row r="237" spans="3:49" outlineLevel="2" x14ac:dyDescent="0.25">
      <c r="C237" s="201"/>
      <c r="D237" s="198" t="s">
        <v>122</v>
      </c>
      <c r="H237" s="198" t="s">
        <v>122</v>
      </c>
      <c r="I237" s="202">
        <f t="shared" si="3"/>
        <v>101587286.7</v>
      </c>
      <c r="J237" s="202">
        <v>24.6</v>
      </c>
      <c r="L237" s="204">
        <v>504</v>
      </c>
      <c r="M237" s="202">
        <v>50400</v>
      </c>
      <c r="N237" s="204"/>
      <c r="P237" s="202"/>
      <c r="Z237" s="201"/>
      <c r="AN237" s="202">
        <v>50400</v>
      </c>
      <c r="AO237" s="202">
        <v>50400</v>
      </c>
      <c r="AP237" s="202">
        <v>50400</v>
      </c>
      <c r="AQ237" s="198" t="s">
        <v>54</v>
      </c>
      <c r="AR237" s="198" t="s">
        <v>51</v>
      </c>
      <c r="AS237" s="202">
        <v>50400</v>
      </c>
      <c r="AT237" s="202">
        <v>50400</v>
      </c>
      <c r="AU237" s="198" t="s">
        <v>69</v>
      </c>
      <c r="AV237" s="198" t="s">
        <v>62</v>
      </c>
      <c r="AW237" s="198" t="s">
        <v>54</v>
      </c>
    </row>
    <row r="238" spans="3:49" outlineLevel="2" x14ac:dyDescent="0.25">
      <c r="C238" s="201"/>
      <c r="D238" s="198" t="s">
        <v>122</v>
      </c>
      <c r="H238" s="198" t="s">
        <v>122</v>
      </c>
      <c r="I238" s="202">
        <f t="shared" si="3"/>
        <v>102000243.14999999</v>
      </c>
      <c r="J238" s="202">
        <v>24.7</v>
      </c>
      <c r="L238" s="204">
        <v>1512</v>
      </c>
      <c r="M238" s="202">
        <v>302400</v>
      </c>
      <c r="N238" s="204"/>
      <c r="P238" s="202"/>
      <c r="Z238" s="201"/>
      <c r="AN238" s="202">
        <v>302400</v>
      </c>
      <c r="AO238" s="202">
        <v>302400</v>
      </c>
      <c r="AP238" s="202">
        <v>302400</v>
      </c>
      <c r="AQ238" s="198" t="s">
        <v>54</v>
      </c>
      <c r="AR238" s="198" t="s">
        <v>51</v>
      </c>
      <c r="AS238" s="202">
        <v>302400</v>
      </c>
      <c r="AT238" s="202">
        <v>302400</v>
      </c>
      <c r="AU238" s="198" t="s">
        <v>69</v>
      </c>
      <c r="AV238" s="198" t="s">
        <v>62</v>
      </c>
      <c r="AW238" s="198" t="s">
        <v>54</v>
      </c>
    </row>
    <row r="239" spans="3:49" outlineLevel="2" x14ac:dyDescent="0.25">
      <c r="C239" s="201"/>
      <c r="D239" s="198" t="s">
        <v>129</v>
      </c>
      <c r="H239" s="198" t="s">
        <v>129</v>
      </c>
      <c r="I239" s="202">
        <f t="shared" si="3"/>
        <v>102413199.60000001</v>
      </c>
      <c r="J239" s="202">
        <v>24.8</v>
      </c>
      <c r="L239" s="204">
        <v>16</v>
      </c>
      <c r="M239" s="202">
        <v>230400</v>
      </c>
      <c r="N239" s="204"/>
      <c r="P239" s="202"/>
      <c r="Z239" s="201"/>
      <c r="AN239" s="202">
        <v>230400</v>
      </c>
      <c r="AO239" s="202">
        <v>230400</v>
      </c>
      <c r="AP239" s="202">
        <v>230400</v>
      </c>
      <c r="AQ239" s="198" t="s">
        <v>54</v>
      </c>
      <c r="AR239" s="198" t="s">
        <v>51</v>
      </c>
      <c r="AS239" s="202">
        <v>230400</v>
      </c>
      <c r="AT239" s="202">
        <v>230400</v>
      </c>
      <c r="AU239" s="198" t="s">
        <v>69</v>
      </c>
      <c r="AV239" s="198" t="s">
        <v>62</v>
      </c>
      <c r="AW239" s="198" t="s">
        <v>54</v>
      </c>
    </row>
    <row r="240" spans="3:49" outlineLevel="2" x14ac:dyDescent="0.25">
      <c r="C240" s="201"/>
      <c r="D240" s="198" t="s">
        <v>122</v>
      </c>
      <c r="H240" s="198" t="s">
        <v>122</v>
      </c>
      <c r="I240" s="202">
        <f t="shared" si="3"/>
        <v>102826156.05</v>
      </c>
      <c r="J240" s="202">
        <v>24.9</v>
      </c>
      <c r="L240" s="204">
        <v>5</v>
      </c>
      <c r="M240" s="202">
        <v>92420</v>
      </c>
      <c r="N240" s="204"/>
      <c r="P240" s="202"/>
      <c r="Z240" s="201"/>
      <c r="AN240" s="202">
        <v>92420</v>
      </c>
      <c r="AO240" s="202">
        <v>92420</v>
      </c>
      <c r="AP240" s="202">
        <v>92420</v>
      </c>
      <c r="AQ240" s="198" t="s">
        <v>54</v>
      </c>
      <c r="AR240" s="198" t="s">
        <v>51</v>
      </c>
      <c r="AS240" s="202">
        <v>92420</v>
      </c>
      <c r="AT240" s="202">
        <v>92420</v>
      </c>
      <c r="AU240" s="198" t="s">
        <v>69</v>
      </c>
      <c r="AV240" s="198" t="s">
        <v>62</v>
      </c>
      <c r="AW240" s="198" t="s">
        <v>54</v>
      </c>
    </row>
    <row r="241" spans="3:49" outlineLevel="2" x14ac:dyDescent="0.25">
      <c r="C241" s="201"/>
      <c r="D241" s="198" t="s">
        <v>129</v>
      </c>
      <c r="H241" s="198" t="s">
        <v>129</v>
      </c>
      <c r="I241" s="202">
        <f t="shared" si="3"/>
        <v>103239112.5</v>
      </c>
      <c r="J241" s="202">
        <v>25</v>
      </c>
      <c r="L241" s="204">
        <v>9</v>
      </c>
      <c r="M241" s="202">
        <v>166356</v>
      </c>
      <c r="N241" s="204"/>
      <c r="P241" s="202"/>
      <c r="Z241" s="201"/>
      <c r="AN241" s="202">
        <v>166356</v>
      </c>
      <c r="AO241" s="202">
        <v>166356</v>
      </c>
      <c r="AP241" s="202">
        <v>166356</v>
      </c>
      <c r="AQ241" s="198" t="s">
        <v>54</v>
      </c>
      <c r="AR241" s="198" t="s">
        <v>51</v>
      </c>
      <c r="AS241" s="202">
        <v>166356</v>
      </c>
      <c r="AT241" s="202">
        <v>166356</v>
      </c>
      <c r="AU241" s="198" t="s">
        <v>69</v>
      </c>
      <c r="AV241" s="198" t="s">
        <v>62</v>
      </c>
      <c r="AW241" s="198" t="s">
        <v>54</v>
      </c>
    </row>
    <row r="242" spans="3:49" outlineLevel="2" x14ac:dyDescent="0.25">
      <c r="C242" s="201"/>
      <c r="D242" s="198" t="s">
        <v>131</v>
      </c>
      <c r="H242" s="198" t="s">
        <v>131</v>
      </c>
      <c r="I242" s="202">
        <f t="shared" si="3"/>
        <v>103652068.95</v>
      </c>
      <c r="J242" s="202">
        <v>25.1</v>
      </c>
      <c r="L242" s="204">
        <v>8</v>
      </c>
      <c r="M242" s="202">
        <v>147872</v>
      </c>
      <c r="N242" s="204"/>
      <c r="P242" s="202"/>
      <c r="Z242" s="201"/>
      <c r="AN242" s="202">
        <v>147872</v>
      </c>
      <c r="AO242" s="202">
        <v>147872</v>
      </c>
      <c r="AP242" s="202">
        <v>147872</v>
      </c>
      <c r="AQ242" s="198" t="s">
        <v>54</v>
      </c>
      <c r="AR242" s="198" t="s">
        <v>51</v>
      </c>
      <c r="AS242" s="202">
        <v>147872</v>
      </c>
      <c r="AT242" s="202">
        <v>147872</v>
      </c>
      <c r="AU242" s="198" t="s">
        <v>69</v>
      </c>
      <c r="AV242" s="198" t="s">
        <v>62</v>
      </c>
      <c r="AW242" s="198" t="s">
        <v>54</v>
      </c>
    </row>
    <row r="243" spans="3:49" outlineLevel="2" x14ac:dyDescent="0.25">
      <c r="C243" s="201"/>
      <c r="D243" s="198" t="s">
        <v>133</v>
      </c>
      <c r="H243" s="198" t="s">
        <v>133</v>
      </c>
      <c r="I243" s="202">
        <f t="shared" si="3"/>
        <v>104065025.39999999</v>
      </c>
      <c r="J243" s="202">
        <v>25.2</v>
      </c>
      <c r="L243" s="204">
        <v>10</v>
      </c>
      <c r="M243" s="202">
        <v>184840</v>
      </c>
      <c r="N243" s="204"/>
      <c r="P243" s="202"/>
      <c r="Z243" s="201"/>
      <c r="AN243" s="202">
        <v>184840</v>
      </c>
      <c r="AO243" s="202">
        <v>184840</v>
      </c>
      <c r="AP243" s="202">
        <v>184840</v>
      </c>
      <c r="AQ243" s="198" t="s">
        <v>54</v>
      </c>
      <c r="AR243" s="198" t="s">
        <v>51</v>
      </c>
      <c r="AS243" s="202">
        <v>184840</v>
      </c>
      <c r="AT243" s="202">
        <v>184840</v>
      </c>
      <c r="AU243" s="198" t="s">
        <v>69</v>
      </c>
      <c r="AV243" s="198" t="s">
        <v>62</v>
      </c>
      <c r="AW243" s="198" t="s">
        <v>54</v>
      </c>
    </row>
    <row r="244" spans="3:49" outlineLevel="2" x14ac:dyDescent="0.25">
      <c r="C244" s="201"/>
      <c r="D244" s="198" t="s">
        <v>135</v>
      </c>
      <c r="H244" s="198" t="s">
        <v>135</v>
      </c>
      <c r="I244" s="202">
        <f t="shared" si="3"/>
        <v>104477981.85000001</v>
      </c>
      <c r="J244" s="202">
        <v>25.3</v>
      </c>
      <c r="L244" s="204">
        <v>4</v>
      </c>
      <c r="M244" s="202">
        <v>73936</v>
      </c>
      <c r="N244" s="204"/>
      <c r="P244" s="202"/>
      <c r="Z244" s="201"/>
      <c r="AN244" s="202">
        <v>73936</v>
      </c>
      <c r="AO244" s="202">
        <v>73936</v>
      </c>
      <c r="AP244" s="202">
        <v>73936</v>
      </c>
      <c r="AQ244" s="198" t="s">
        <v>54</v>
      </c>
      <c r="AR244" s="198" t="s">
        <v>51</v>
      </c>
      <c r="AS244" s="202">
        <v>73936</v>
      </c>
      <c r="AT244" s="202">
        <v>73936</v>
      </c>
      <c r="AU244" s="198" t="s">
        <v>69</v>
      </c>
      <c r="AV244" s="198" t="s">
        <v>62</v>
      </c>
      <c r="AW244" s="198" t="s">
        <v>54</v>
      </c>
    </row>
    <row r="245" spans="3:49" outlineLevel="2" x14ac:dyDescent="0.25">
      <c r="C245" s="201"/>
      <c r="D245" s="198" t="s">
        <v>136</v>
      </c>
      <c r="H245" s="198" t="s">
        <v>136</v>
      </c>
      <c r="I245" s="202">
        <f t="shared" si="3"/>
        <v>104890938.3</v>
      </c>
      <c r="J245" s="202">
        <v>25.4</v>
      </c>
      <c r="L245" s="204">
        <v>9</v>
      </c>
      <c r="M245" s="202">
        <v>166356</v>
      </c>
      <c r="N245" s="204"/>
      <c r="P245" s="202"/>
      <c r="Z245" s="201"/>
      <c r="AN245" s="202">
        <v>166356</v>
      </c>
      <c r="AO245" s="202">
        <v>166356</v>
      </c>
      <c r="AP245" s="202">
        <v>166356</v>
      </c>
      <c r="AQ245" s="198" t="s">
        <v>54</v>
      </c>
      <c r="AR245" s="198" t="s">
        <v>51</v>
      </c>
      <c r="AS245" s="202">
        <v>166356</v>
      </c>
      <c r="AT245" s="202">
        <v>166356</v>
      </c>
      <c r="AU245" s="198" t="s">
        <v>69</v>
      </c>
      <c r="AV245" s="198" t="s">
        <v>62</v>
      </c>
      <c r="AW245" s="198" t="s">
        <v>54</v>
      </c>
    </row>
    <row r="246" spans="3:49" outlineLevel="2" x14ac:dyDescent="0.25">
      <c r="C246" s="201"/>
      <c r="D246" s="198" t="s">
        <v>176</v>
      </c>
      <c r="H246" s="198" t="s">
        <v>176</v>
      </c>
      <c r="I246" s="202">
        <f t="shared" si="3"/>
        <v>105303894.75</v>
      </c>
      <c r="J246" s="202">
        <v>25.5</v>
      </c>
      <c r="L246" s="204">
        <v>1</v>
      </c>
      <c r="M246" s="202">
        <v>1264650</v>
      </c>
      <c r="N246" s="204"/>
      <c r="P246" s="202"/>
      <c r="Z246" s="201"/>
      <c r="AN246" s="202">
        <v>1264650</v>
      </c>
      <c r="AO246" s="202">
        <v>1264650</v>
      </c>
      <c r="AP246" s="202">
        <v>1264650</v>
      </c>
      <c r="AQ246" s="198" t="s">
        <v>54</v>
      </c>
      <c r="AR246" s="198" t="s">
        <v>51</v>
      </c>
      <c r="AS246" s="202">
        <v>1264650</v>
      </c>
      <c r="AT246" s="202">
        <v>1264650</v>
      </c>
      <c r="AU246" s="198" t="s">
        <v>69</v>
      </c>
      <c r="AV246" s="198" t="s">
        <v>62</v>
      </c>
      <c r="AW246" s="198" t="s">
        <v>54</v>
      </c>
    </row>
    <row r="247" spans="3:49" outlineLevel="2" x14ac:dyDescent="0.25">
      <c r="C247" s="201"/>
      <c r="D247" s="198" t="s">
        <v>177</v>
      </c>
      <c r="H247" s="198" t="s">
        <v>177</v>
      </c>
      <c r="I247" s="202">
        <f t="shared" si="3"/>
        <v>105716851.2</v>
      </c>
      <c r="J247" s="202">
        <v>25.6</v>
      </c>
      <c r="L247" s="204">
        <v>1</v>
      </c>
      <c r="M247" s="202">
        <v>731800</v>
      </c>
      <c r="N247" s="204"/>
      <c r="P247" s="202"/>
      <c r="Z247" s="201"/>
      <c r="AN247" s="202">
        <v>731800</v>
      </c>
      <c r="AO247" s="202">
        <v>731800</v>
      </c>
      <c r="AP247" s="202">
        <v>731800</v>
      </c>
      <c r="AQ247" s="198" t="s">
        <v>54</v>
      </c>
      <c r="AR247" s="198" t="s">
        <v>51</v>
      </c>
      <c r="AS247" s="202">
        <v>186850</v>
      </c>
      <c r="AT247" s="202">
        <v>186850</v>
      </c>
      <c r="AU247" s="198" t="s">
        <v>69</v>
      </c>
      <c r="AV247" s="198" t="s">
        <v>62</v>
      </c>
      <c r="AW247" s="198" t="s">
        <v>54</v>
      </c>
    </row>
    <row r="248" spans="3:49" outlineLevel="2" x14ac:dyDescent="0.25">
      <c r="C248" s="201"/>
      <c r="D248" s="198" t="s">
        <v>183</v>
      </c>
      <c r="H248" s="198" t="s">
        <v>183</v>
      </c>
      <c r="I248" s="202">
        <f t="shared" si="3"/>
        <v>106129807.64999999</v>
      </c>
      <c r="J248" s="202">
        <v>25.7</v>
      </c>
      <c r="L248" s="204">
        <v>1</v>
      </c>
      <c r="M248" s="202">
        <v>954906.25</v>
      </c>
      <c r="N248" s="204"/>
      <c r="P248" s="202"/>
      <c r="Z248" s="201"/>
      <c r="AN248" s="202">
        <v>954906.25</v>
      </c>
      <c r="AO248" s="202">
        <v>954906.25</v>
      </c>
      <c r="AP248" s="202">
        <v>954906.25</v>
      </c>
      <c r="AQ248" s="198" t="s">
        <v>54</v>
      </c>
      <c r="AR248" s="198" t="s">
        <v>51</v>
      </c>
      <c r="AS248" s="202">
        <v>954906.25</v>
      </c>
      <c r="AT248" s="202">
        <v>954906.25</v>
      </c>
      <c r="AU248" s="198" t="s">
        <v>69</v>
      </c>
      <c r="AV248" s="198" t="s">
        <v>62</v>
      </c>
      <c r="AW248" s="198" t="s">
        <v>54</v>
      </c>
    </row>
    <row r="249" spans="3:49" outlineLevel="2" x14ac:dyDescent="0.25">
      <c r="C249" s="201"/>
      <c r="D249" s="198" t="s">
        <v>184</v>
      </c>
      <c r="H249" s="198" t="s">
        <v>184</v>
      </c>
      <c r="I249" s="202">
        <f t="shared" si="3"/>
        <v>106542764.10000001</v>
      </c>
      <c r="J249" s="202">
        <v>25.8</v>
      </c>
      <c r="L249" s="204">
        <v>1</v>
      </c>
      <c r="M249" s="202">
        <v>454125</v>
      </c>
      <c r="N249" s="204"/>
      <c r="P249" s="202"/>
      <c r="Z249" s="201"/>
      <c r="AN249" s="202">
        <v>454125</v>
      </c>
      <c r="AO249" s="202">
        <v>454125</v>
      </c>
      <c r="AP249" s="202">
        <v>454125</v>
      </c>
      <c r="AQ249" s="198" t="s">
        <v>54</v>
      </c>
      <c r="AR249" s="198" t="s">
        <v>51</v>
      </c>
      <c r="AS249" s="202">
        <v>113531.25</v>
      </c>
      <c r="AT249" s="202">
        <v>113531.25</v>
      </c>
      <c r="AU249" s="198" t="s">
        <v>69</v>
      </c>
      <c r="AV249" s="198" t="s">
        <v>62</v>
      </c>
      <c r="AW249" s="198" t="s">
        <v>54</v>
      </c>
    </row>
    <row r="250" spans="3:49" outlineLevel="2" x14ac:dyDescent="0.25">
      <c r="C250" s="201"/>
      <c r="D250" s="198" t="s">
        <v>720</v>
      </c>
      <c r="H250" s="198" t="s">
        <v>720</v>
      </c>
      <c r="I250" s="202">
        <f t="shared" si="3"/>
        <v>106955720.55</v>
      </c>
      <c r="J250" s="202">
        <v>25.9</v>
      </c>
      <c r="L250" s="204">
        <v>1</v>
      </c>
      <c r="M250" s="202">
        <v>6460987.5</v>
      </c>
      <c r="N250" s="204"/>
      <c r="P250" s="202"/>
      <c r="Z250" s="201"/>
      <c r="AN250" s="202">
        <v>6460987.5</v>
      </c>
      <c r="AO250" s="202">
        <v>6460987.5</v>
      </c>
      <c r="AP250" s="202">
        <v>6460987.5</v>
      </c>
      <c r="AQ250" s="198" t="s">
        <v>54</v>
      </c>
      <c r="AR250" s="198" t="s">
        <v>51</v>
      </c>
      <c r="AS250" s="202">
        <v>1048325.6</v>
      </c>
      <c r="AT250" s="202">
        <v>1048325.6</v>
      </c>
      <c r="AU250" s="198" t="s">
        <v>69</v>
      </c>
      <c r="AV250" s="198" t="s">
        <v>62</v>
      </c>
      <c r="AW250" s="198" t="s">
        <v>54</v>
      </c>
    </row>
    <row r="251" spans="3:49" outlineLevel="2" x14ac:dyDescent="0.25">
      <c r="C251" s="201"/>
      <c r="D251" s="198" t="s">
        <v>203</v>
      </c>
      <c r="H251" s="198" t="s">
        <v>203</v>
      </c>
      <c r="I251" s="202">
        <f t="shared" si="3"/>
        <v>107368677</v>
      </c>
      <c r="J251" s="202">
        <v>26</v>
      </c>
      <c r="L251" s="204">
        <v>1</v>
      </c>
      <c r="M251" s="202">
        <v>8167470.75</v>
      </c>
      <c r="N251" s="204"/>
      <c r="P251" s="202"/>
      <c r="Z251" s="201"/>
      <c r="AN251" s="202">
        <v>8167470.75</v>
      </c>
      <c r="AO251" s="202">
        <v>8167470.75</v>
      </c>
      <c r="AP251" s="202">
        <v>8167470.75</v>
      </c>
      <c r="AQ251" s="198" t="s">
        <v>54</v>
      </c>
      <c r="AR251" s="198" t="s">
        <v>51</v>
      </c>
      <c r="AS251" s="202">
        <v>679000</v>
      </c>
      <c r="AT251" s="202">
        <v>679000</v>
      </c>
      <c r="AU251" s="198" t="s">
        <v>69</v>
      </c>
      <c r="AV251" s="198" t="s">
        <v>62</v>
      </c>
      <c r="AW251" s="198" t="s">
        <v>54</v>
      </c>
    </row>
    <row r="252" spans="3:49" outlineLevel="2" x14ac:dyDescent="0.25">
      <c r="C252" s="201"/>
      <c r="D252" s="198" t="s">
        <v>188</v>
      </c>
      <c r="H252" s="198" t="s">
        <v>188</v>
      </c>
      <c r="I252" s="202">
        <f t="shared" si="3"/>
        <v>107781633.45</v>
      </c>
      <c r="J252" s="202">
        <v>26.1</v>
      </c>
      <c r="L252" s="204">
        <v>1</v>
      </c>
      <c r="M252" s="202">
        <v>1459631.26</v>
      </c>
      <c r="N252" s="204"/>
      <c r="P252" s="202"/>
      <c r="Z252" s="201"/>
      <c r="AN252" s="202">
        <v>1459631.26</v>
      </c>
      <c r="AO252" s="202">
        <v>1459631.26</v>
      </c>
      <c r="AP252" s="202">
        <v>1459631.26</v>
      </c>
      <c r="AQ252" s="198" t="s">
        <v>54</v>
      </c>
      <c r="AR252" s="198" t="s">
        <v>51</v>
      </c>
      <c r="AS252" s="202">
        <v>1459631.26</v>
      </c>
      <c r="AT252" s="202">
        <v>1459631.26</v>
      </c>
      <c r="AU252" s="198" t="s">
        <v>69</v>
      </c>
      <c r="AV252" s="198" t="s">
        <v>62</v>
      </c>
      <c r="AW252" s="198" t="s">
        <v>54</v>
      </c>
    </row>
    <row r="253" spans="3:49" outlineLevel="2" x14ac:dyDescent="0.25">
      <c r="C253" s="201"/>
      <c r="D253" s="198" t="s">
        <v>48</v>
      </c>
      <c r="H253" s="198" t="s">
        <v>48</v>
      </c>
      <c r="I253" s="202">
        <f t="shared" si="3"/>
        <v>108194589.89999999</v>
      </c>
      <c r="J253" s="202">
        <v>26.2</v>
      </c>
      <c r="L253" s="204">
        <v>1</v>
      </c>
      <c r="M253" s="202">
        <v>817425.01</v>
      </c>
      <c r="N253" s="204"/>
      <c r="P253" s="202"/>
      <c r="Z253" s="201"/>
      <c r="AN253" s="202">
        <v>817425.01</v>
      </c>
      <c r="AO253" s="202">
        <v>817425.01</v>
      </c>
      <c r="AP253" s="202">
        <v>817425.01</v>
      </c>
      <c r="AQ253" s="198" t="s">
        <v>54</v>
      </c>
      <c r="AR253" s="198" t="s">
        <v>51</v>
      </c>
      <c r="AS253" s="202">
        <v>204356.26</v>
      </c>
      <c r="AT253" s="202">
        <v>204356.26</v>
      </c>
      <c r="AU253" s="198" t="s">
        <v>69</v>
      </c>
      <c r="AV253" s="198" t="s">
        <v>62</v>
      </c>
      <c r="AW253" s="198" t="s">
        <v>54</v>
      </c>
    </row>
    <row r="254" spans="3:49" outlineLevel="2" x14ac:dyDescent="0.25">
      <c r="C254" s="201"/>
      <c r="D254" s="198" t="s">
        <v>77</v>
      </c>
      <c r="H254" s="198" t="s">
        <v>77</v>
      </c>
      <c r="I254" s="202">
        <f t="shared" si="3"/>
        <v>108607546.35000001</v>
      </c>
      <c r="J254" s="202">
        <v>26.3</v>
      </c>
      <c r="L254" s="204">
        <v>1</v>
      </c>
      <c r="M254" s="202">
        <v>12355254.15</v>
      </c>
      <c r="N254" s="204"/>
      <c r="P254" s="202"/>
      <c r="Z254" s="201"/>
      <c r="AN254" s="202">
        <v>12355254.15</v>
      </c>
      <c r="AO254" s="202">
        <v>12355254.15</v>
      </c>
      <c r="AP254" s="202">
        <v>12355254.15</v>
      </c>
      <c r="AQ254" s="198" t="s">
        <v>54</v>
      </c>
      <c r="AR254" s="198" t="s">
        <v>51</v>
      </c>
      <c r="AS254" s="202">
        <v>3088813.65</v>
      </c>
      <c r="AT254" s="202">
        <v>3088813.65</v>
      </c>
      <c r="AU254" s="198" t="s">
        <v>69</v>
      </c>
      <c r="AV254" s="198" t="s">
        <v>62</v>
      </c>
      <c r="AW254" s="198" t="s">
        <v>54</v>
      </c>
    </row>
    <row r="255" spans="3:49" outlineLevel="2" x14ac:dyDescent="0.25">
      <c r="C255" s="201"/>
      <c r="D255" s="198" t="s">
        <v>190</v>
      </c>
      <c r="H255" s="198" t="s">
        <v>190</v>
      </c>
      <c r="I255" s="202">
        <f t="shared" si="3"/>
        <v>109020502.8</v>
      </c>
      <c r="J255" s="202">
        <v>26.4</v>
      </c>
      <c r="L255" s="204">
        <v>1</v>
      </c>
      <c r="M255" s="202">
        <v>7650000</v>
      </c>
      <c r="N255" s="204"/>
      <c r="P255" s="202"/>
      <c r="Z255" s="201"/>
      <c r="AN255" s="202">
        <v>7650000</v>
      </c>
      <c r="AO255" s="202">
        <v>7650000</v>
      </c>
      <c r="AP255" s="202">
        <v>7650000</v>
      </c>
      <c r="AQ255" s="198" t="s">
        <v>54</v>
      </c>
      <c r="AR255" s="198" t="s">
        <v>51</v>
      </c>
      <c r="AS255" s="202">
        <v>1</v>
      </c>
      <c r="AT255" s="202">
        <v>1</v>
      </c>
      <c r="AU255" s="198" t="s">
        <v>69</v>
      </c>
      <c r="AV255" s="198" t="s">
        <v>62</v>
      </c>
      <c r="AW255" s="198" t="s">
        <v>54</v>
      </c>
    </row>
    <row r="256" spans="3:49" outlineLevel="2" x14ac:dyDescent="0.25">
      <c r="C256" s="201"/>
      <c r="D256" s="198" t="s">
        <v>190</v>
      </c>
      <c r="H256" s="198" t="s">
        <v>190</v>
      </c>
      <c r="I256" s="202">
        <f t="shared" si="3"/>
        <v>109433459.25</v>
      </c>
      <c r="J256" s="202">
        <v>26.5</v>
      </c>
      <c r="L256" s="204">
        <v>1</v>
      </c>
      <c r="M256" s="202">
        <v>200000</v>
      </c>
      <c r="N256" s="204"/>
      <c r="P256" s="202"/>
      <c r="Z256" s="201"/>
      <c r="AN256" s="202">
        <v>200000</v>
      </c>
      <c r="AO256" s="202">
        <v>200000</v>
      </c>
      <c r="AP256" s="202">
        <v>200000</v>
      </c>
      <c r="AQ256" s="198" t="s">
        <v>54</v>
      </c>
      <c r="AR256" s="198" t="s">
        <v>51</v>
      </c>
      <c r="AS256" s="202">
        <v>180000</v>
      </c>
      <c r="AT256" s="202">
        <v>180000</v>
      </c>
      <c r="AU256" s="198" t="s">
        <v>69</v>
      </c>
      <c r="AV256" s="198" t="s">
        <v>62</v>
      </c>
      <c r="AW256" s="198" t="s">
        <v>54</v>
      </c>
    </row>
    <row r="257" spans="3:49" outlineLevel="2" x14ac:dyDescent="0.25">
      <c r="C257" s="201"/>
      <c r="D257" s="198" t="s">
        <v>190</v>
      </c>
      <c r="H257" s="198" t="s">
        <v>190</v>
      </c>
      <c r="I257" s="202">
        <f t="shared" si="3"/>
        <v>109846415.7</v>
      </c>
      <c r="J257" s="202">
        <v>26.6</v>
      </c>
      <c r="L257" s="204">
        <v>1</v>
      </c>
      <c r="M257" s="202">
        <v>100000</v>
      </c>
      <c r="N257" s="204"/>
      <c r="P257" s="202"/>
      <c r="Z257" s="201"/>
      <c r="AN257" s="202">
        <v>100000</v>
      </c>
      <c r="AO257" s="202">
        <v>100000</v>
      </c>
      <c r="AP257" s="202">
        <v>100000</v>
      </c>
      <c r="AQ257" s="198" t="s">
        <v>54</v>
      </c>
      <c r="AR257" s="198" t="s">
        <v>51</v>
      </c>
      <c r="AS257" s="202">
        <v>93750</v>
      </c>
      <c r="AT257" s="202">
        <v>93750</v>
      </c>
      <c r="AU257" s="198" t="s">
        <v>69</v>
      </c>
      <c r="AV257" s="198" t="s">
        <v>62</v>
      </c>
      <c r="AW257" s="198" t="s">
        <v>54</v>
      </c>
    </row>
    <row r="258" spans="3:49" outlineLevel="2" x14ac:dyDescent="0.25">
      <c r="C258" s="201"/>
      <c r="D258" s="198" t="s">
        <v>192</v>
      </c>
      <c r="H258" s="198" t="s">
        <v>192</v>
      </c>
      <c r="I258" s="202">
        <f t="shared" si="3"/>
        <v>110259372.14999999</v>
      </c>
      <c r="J258" s="202">
        <v>26.7</v>
      </c>
      <c r="L258" s="204">
        <v>1</v>
      </c>
      <c r="M258" s="202">
        <v>200000</v>
      </c>
      <c r="N258" s="204"/>
      <c r="P258" s="202"/>
      <c r="Z258" s="201"/>
      <c r="AN258" s="202">
        <v>200000</v>
      </c>
      <c r="AO258" s="202">
        <v>200000</v>
      </c>
      <c r="AP258" s="202">
        <v>200000</v>
      </c>
      <c r="AQ258" s="198" t="s">
        <v>54</v>
      </c>
      <c r="AR258" s="198" t="s">
        <v>51</v>
      </c>
      <c r="AS258" s="202">
        <v>50000</v>
      </c>
      <c r="AT258" s="202">
        <v>50000</v>
      </c>
      <c r="AU258" s="198" t="s">
        <v>69</v>
      </c>
      <c r="AV258" s="198" t="s">
        <v>62</v>
      </c>
      <c r="AW258" s="198" t="s">
        <v>54</v>
      </c>
    </row>
    <row r="259" spans="3:49" outlineLevel="2" x14ac:dyDescent="0.25">
      <c r="C259" s="201"/>
      <c r="D259" s="198" t="s">
        <v>192</v>
      </c>
      <c r="H259" s="198" t="s">
        <v>192</v>
      </c>
      <c r="I259" s="202">
        <f t="shared" ref="I259:I322" si="4">J259*4129564.5</f>
        <v>110672328.60000001</v>
      </c>
      <c r="J259" s="202">
        <v>26.8</v>
      </c>
      <c r="L259" s="204">
        <v>1</v>
      </c>
      <c r="M259" s="202">
        <v>100000</v>
      </c>
      <c r="N259" s="204"/>
      <c r="P259" s="202"/>
      <c r="Z259" s="201"/>
      <c r="AN259" s="202">
        <v>100000</v>
      </c>
      <c r="AO259" s="202">
        <v>100000</v>
      </c>
      <c r="AP259" s="202">
        <v>100000</v>
      </c>
      <c r="AQ259" s="198" t="s">
        <v>54</v>
      </c>
      <c r="AR259" s="198" t="s">
        <v>51</v>
      </c>
      <c r="AS259" s="202">
        <v>93750</v>
      </c>
      <c r="AT259" s="202">
        <v>93750</v>
      </c>
      <c r="AU259" s="198" t="s">
        <v>69</v>
      </c>
      <c r="AV259" s="198" t="s">
        <v>62</v>
      </c>
      <c r="AW259" s="198" t="s">
        <v>54</v>
      </c>
    </row>
    <row r="260" spans="3:49" outlineLevel="2" x14ac:dyDescent="0.25">
      <c r="C260" s="201"/>
      <c r="D260" s="198" t="s">
        <v>194</v>
      </c>
      <c r="H260" s="198" t="s">
        <v>194</v>
      </c>
      <c r="I260" s="202">
        <f t="shared" si="4"/>
        <v>111085285.05</v>
      </c>
      <c r="J260" s="202">
        <v>26.9</v>
      </c>
      <c r="L260" s="204">
        <v>1</v>
      </c>
      <c r="M260" s="202">
        <v>4685000</v>
      </c>
      <c r="N260" s="204"/>
      <c r="P260" s="202"/>
      <c r="Z260" s="201"/>
      <c r="AN260" s="202">
        <v>4685000</v>
      </c>
      <c r="AO260" s="202">
        <v>4685000</v>
      </c>
      <c r="AP260" s="202">
        <v>4685000</v>
      </c>
      <c r="AQ260" s="198" t="s">
        <v>54</v>
      </c>
      <c r="AR260" s="198" t="s">
        <v>51</v>
      </c>
      <c r="AS260" s="202">
        <v>4684999</v>
      </c>
      <c r="AT260" s="202">
        <v>4684999</v>
      </c>
      <c r="AU260" s="198" t="s">
        <v>69</v>
      </c>
      <c r="AV260" s="198" t="s">
        <v>62</v>
      </c>
      <c r="AW260" s="198" t="s">
        <v>54</v>
      </c>
    </row>
    <row r="261" spans="3:49" outlineLevel="2" x14ac:dyDescent="0.25">
      <c r="C261" s="201"/>
      <c r="D261" s="198" t="s">
        <v>195</v>
      </c>
      <c r="H261" s="198" t="s">
        <v>195</v>
      </c>
      <c r="I261" s="202">
        <f t="shared" si="4"/>
        <v>111498241.5</v>
      </c>
      <c r="J261" s="202">
        <v>27</v>
      </c>
      <c r="L261" s="204">
        <v>1</v>
      </c>
      <c r="M261" s="202">
        <v>5500000</v>
      </c>
      <c r="N261" s="204"/>
      <c r="P261" s="202"/>
      <c r="Z261" s="201"/>
      <c r="AN261" s="202">
        <v>5500000</v>
      </c>
      <c r="AO261" s="202">
        <v>5500000</v>
      </c>
      <c r="AP261" s="202">
        <v>5500000</v>
      </c>
      <c r="AQ261" s="198" t="s">
        <v>54</v>
      </c>
      <c r="AR261" s="198" t="s">
        <v>51</v>
      </c>
      <c r="AS261" s="202">
        <v>5499999</v>
      </c>
      <c r="AT261" s="202">
        <v>5499999</v>
      </c>
      <c r="AU261" s="198" t="s">
        <v>69</v>
      </c>
      <c r="AV261" s="198" t="s">
        <v>62</v>
      </c>
      <c r="AW261" s="198" t="s">
        <v>54</v>
      </c>
    </row>
    <row r="262" spans="3:49" outlineLevel="2" x14ac:dyDescent="0.25">
      <c r="C262" s="201"/>
      <c r="D262" s="198" t="s">
        <v>197</v>
      </c>
      <c r="H262" s="198" t="s">
        <v>197</v>
      </c>
      <c r="I262" s="202">
        <f t="shared" si="4"/>
        <v>111911197.95</v>
      </c>
      <c r="J262" s="202">
        <v>27.1</v>
      </c>
      <c r="L262" s="204">
        <v>1</v>
      </c>
      <c r="M262" s="202">
        <v>262137.60000000001</v>
      </c>
      <c r="N262" s="204"/>
      <c r="P262" s="202"/>
      <c r="Z262" s="201"/>
      <c r="AN262" s="202">
        <v>262137.60000000001</v>
      </c>
      <c r="AO262" s="202">
        <v>262137.60000000001</v>
      </c>
      <c r="AP262" s="202">
        <v>262137.60000000001</v>
      </c>
      <c r="AQ262" s="198" t="s">
        <v>54</v>
      </c>
      <c r="AR262" s="198" t="s">
        <v>51</v>
      </c>
      <c r="AS262" s="202">
        <v>262137.60000000001</v>
      </c>
      <c r="AT262" s="202">
        <v>262137.60000000001</v>
      </c>
      <c r="AU262" s="198" t="s">
        <v>69</v>
      </c>
      <c r="AV262" s="198" t="s">
        <v>62</v>
      </c>
      <c r="AW262" s="198" t="s">
        <v>54</v>
      </c>
    </row>
    <row r="263" spans="3:49" outlineLevel="2" x14ac:dyDescent="0.25">
      <c r="C263" s="201"/>
      <c r="D263" s="198" t="s">
        <v>198</v>
      </c>
      <c r="H263" s="198" t="s">
        <v>198</v>
      </c>
      <c r="I263" s="202">
        <f t="shared" si="4"/>
        <v>112324154.39999999</v>
      </c>
      <c r="J263" s="202">
        <v>27.2</v>
      </c>
      <c r="L263" s="204">
        <v>1</v>
      </c>
      <c r="M263" s="202">
        <v>262137.60000000001</v>
      </c>
      <c r="N263" s="204"/>
      <c r="P263" s="202"/>
      <c r="Z263" s="201"/>
      <c r="AN263" s="202">
        <v>262137.60000000001</v>
      </c>
      <c r="AO263" s="202">
        <v>262137.60000000001</v>
      </c>
      <c r="AP263" s="202">
        <v>262137.60000000001</v>
      </c>
      <c r="AQ263" s="198" t="s">
        <v>54</v>
      </c>
      <c r="AR263" s="198" t="s">
        <v>51</v>
      </c>
      <c r="AS263" s="202">
        <v>262137.60000000001</v>
      </c>
      <c r="AT263" s="202">
        <v>262137.60000000001</v>
      </c>
      <c r="AU263" s="198" t="s">
        <v>69</v>
      </c>
      <c r="AV263" s="198" t="s">
        <v>62</v>
      </c>
      <c r="AW263" s="198" t="s">
        <v>54</v>
      </c>
    </row>
    <row r="264" spans="3:49" outlineLevel="2" x14ac:dyDescent="0.25">
      <c r="C264" s="201"/>
      <c r="D264" s="198" t="s">
        <v>164</v>
      </c>
      <c r="H264" s="198" t="s">
        <v>164</v>
      </c>
      <c r="I264" s="202">
        <f t="shared" si="4"/>
        <v>112737110.85000001</v>
      </c>
      <c r="J264" s="202">
        <v>27.3</v>
      </c>
      <c r="L264" s="204">
        <v>1</v>
      </c>
      <c r="M264" s="202">
        <v>156240</v>
      </c>
      <c r="N264" s="204"/>
      <c r="P264" s="202"/>
      <c r="Z264" s="201"/>
      <c r="AN264" s="202">
        <v>156240</v>
      </c>
      <c r="AO264" s="202">
        <v>156240</v>
      </c>
      <c r="AP264" s="202">
        <v>156240</v>
      </c>
      <c r="AQ264" s="198" t="s">
        <v>54</v>
      </c>
      <c r="AR264" s="198" t="s">
        <v>51</v>
      </c>
      <c r="AS264" s="202">
        <v>156240</v>
      </c>
      <c r="AT264" s="202">
        <v>156240</v>
      </c>
      <c r="AU264" s="198" t="s">
        <v>69</v>
      </c>
      <c r="AV264" s="198" t="s">
        <v>62</v>
      </c>
      <c r="AW264" s="198" t="s">
        <v>54</v>
      </c>
    </row>
    <row r="265" spans="3:49" outlineLevel="2" x14ac:dyDescent="0.25">
      <c r="C265" s="201"/>
      <c r="D265" s="198" t="s">
        <v>201</v>
      </c>
      <c r="H265" s="198" t="s">
        <v>201</v>
      </c>
      <c r="I265" s="202">
        <f t="shared" si="4"/>
        <v>113150067.3</v>
      </c>
      <c r="J265" s="202">
        <v>27.4</v>
      </c>
      <c r="L265" s="204">
        <v>1</v>
      </c>
      <c r="M265" s="202">
        <v>470400</v>
      </c>
      <c r="N265" s="204"/>
      <c r="P265" s="202"/>
      <c r="Z265" s="201"/>
      <c r="AN265" s="202">
        <v>470400</v>
      </c>
      <c r="AO265" s="202">
        <v>470400</v>
      </c>
      <c r="AP265" s="202">
        <v>470400</v>
      </c>
      <c r="AQ265" s="198" t="s">
        <v>54</v>
      </c>
      <c r="AR265" s="198" t="s">
        <v>51</v>
      </c>
      <c r="AS265" s="202">
        <v>470400</v>
      </c>
      <c r="AT265" s="202">
        <v>470400</v>
      </c>
      <c r="AU265" s="198" t="s">
        <v>69</v>
      </c>
      <c r="AV265" s="198" t="s">
        <v>62</v>
      </c>
      <c r="AW265" s="198" t="s">
        <v>54</v>
      </c>
    </row>
    <row r="266" spans="3:49" outlineLevel="2" x14ac:dyDescent="0.25">
      <c r="C266" s="201"/>
      <c r="D266" s="198" t="s">
        <v>173</v>
      </c>
      <c r="H266" s="198" t="s">
        <v>173</v>
      </c>
      <c r="I266" s="202">
        <f t="shared" si="4"/>
        <v>113563023.75</v>
      </c>
      <c r="J266" s="202">
        <v>27.5</v>
      </c>
      <c r="L266" s="204">
        <v>1</v>
      </c>
      <c r="M266" s="202">
        <v>78400</v>
      </c>
      <c r="N266" s="204"/>
      <c r="P266" s="202"/>
      <c r="Z266" s="201"/>
      <c r="AN266" s="202">
        <v>78400</v>
      </c>
      <c r="AO266" s="202">
        <v>78400</v>
      </c>
      <c r="AP266" s="202">
        <v>78400</v>
      </c>
      <c r="AQ266" s="198" t="s">
        <v>54</v>
      </c>
      <c r="AR266" s="198" t="s">
        <v>51</v>
      </c>
      <c r="AS266" s="202">
        <v>78400</v>
      </c>
      <c r="AT266" s="202">
        <v>78400</v>
      </c>
      <c r="AU266" s="198" t="s">
        <v>69</v>
      </c>
      <c r="AV266" s="198" t="s">
        <v>62</v>
      </c>
      <c r="AW266" s="198" t="s">
        <v>54</v>
      </c>
    </row>
    <row r="267" spans="3:49" outlineLevel="2" x14ac:dyDescent="0.25">
      <c r="C267" s="201"/>
      <c r="D267" s="198" t="s">
        <v>180</v>
      </c>
      <c r="H267" s="198" t="s">
        <v>180</v>
      </c>
      <c r="I267" s="202">
        <f t="shared" si="4"/>
        <v>113975980.2</v>
      </c>
      <c r="J267" s="202">
        <v>27.6</v>
      </c>
      <c r="L267" s="204">
        <v>1</v>
      </c>
      <c r="M267" s="202">
        <v>175770</v>
      </c>
      <c r="N267" s="204"/>
      <c r="P267" s="202"/>
      <c r="Z267" s="201"/>
      <c r="AN267" s="202">
        <v>175770</v>
      </c>
      <c r="AO267" s="202">
        <v>175770</v>
      </c>
      <c r="AP267" s="202">
        <v>175770</v>
      </c>
      <c r="AQ267" s="198" t="s">
        <v>54</v>
      </c>
      <c r="AR267" s="198" t="s">
        <v>51</v>
      </c>
      <c r="AS267" s="202">
        <v>175770</v>
      </c>
      <c r="AT267" s="202">
        <v>175770</v>
      </c>
      <c r="AU267" s="198" t="s">
        <v>69</v>
      </c>
      <c r="AV267" s="198" t="s">
        <v>62</v>
      </c>
      <c r="AW267" s="198" t="s">
        <v>54</v>
      </c>
    </row>
    <row r="268" spans="3:49" outlineLevel="2" x14ac:dyDescent="0.25">
      <c r="C268" s="201"/>
      <c r="D268" s="198" t="s">
        <v>181</v>
      </c>
      <c r="H268" s="198" t="s">
        <v>181</v>
      </c>
      <c r="I268" s="202">
        <f t="shared" si="4"/>
        <v>114388936.64999999</v>
      </c>
      <c r="J268" s="202">
        <v>27.7</v>
      </c>
      <c r="L268" s="204">
        <v>1</v>
      </c>
      <c r="M268" s="202">
        <v>529200</v>
      </c>
      <c r="N268" s="204"/>
      <c r="P268" s="202"/>
      <c r="Z268" s="201"/>
      <c r="AN268" s="202">
        <v>529200</v>
      </c>
      <c r="AO268" s="202">
        <v>529200</v>
      </c>
      <c r="AP268" s="202">
        <v>529200</v>
      </c>
      <c r="AQ268" s="198" t="s">
        <v>54</v>
      </c>
      <c r="AR268" s="198" t="s">
        <v>51</v>
      </c>
      <c r="AS268" s="202">
        <v>529200</v>
      </c>
      <c r="AT268" s="202">
        <v>529200</v>
      </c>
      <c r="AU268" s="198" t="s">
        <v>69</v>
      </c>
      <c r="AV268" s="198" t="s">
        <v>62</v>
      </c>
      <c r="AW268" s="198" t="s">
        <v>54</v>
      </c>
    </row>
    <row r="269" spans="3:49" outlineLevel="2" x14ac:dyDescent="0.25">
      <c r="C269" s="201"/>
      <c r="D269" s="198" t="s">
        <v>203</v>
      </c>
      <c r="H269" s="198" t="s">
        <v>203</v>
      </c>
      <c r="I269" s="202">
        <f t="shared" si="4"/>
        <v>114801893.10000001</v>
      </c>
      <c r="J269" s="202">
        <v>27.8</v>
      </c>
      <c r="L269" s="204">
        <v>1</v>
      </c>
      <c r="M269" s="202">
        <v>88200</v>
      </c>
      <c r="N269" s="204"/>
      <c r="P269" s="202"/>
      <c r="Z269" s="201"/>
      <c r="AN269" s="202">
        <v>88200</v>
      </c>
      <c r="AO269" s="202">
        <v>88200</v>
      </c>
      <c r="AP269" s="202">
        <v>88200</v>
      </c>
      <c r="AQ269" s="198" t="s">
        <v>54</v>
      </c>
      <c r="AR269" s="198" t="s">
        <v>51</v>
      </c>
      <c r="AS269" s="202">
        <v>88200</v>
      </c>
      <c r="AT269" s="202">
        <v>88200</v>
      </c>
      <c r="AU269" s="198" t="s">
        <v>69</v>
      </c>
      <c r="AV269" s="198" t="s">
        <v>62</v>
      </c>
      <c r="AW269" s="198" t="s">
        <v>54</v>
      </c>
    </row>
    <row r="270" spans="3:49" outlineLevel="2" x14ac:dyDescent="0.25">
      <c r="C270" s="201"/>
      <c r="D270" s="198" t="s">
        <v>205</v>
      </c>
      <c r="H270" s="198" t="s">
        <v>205</v>
      </c>
      <c r="I270" s="202">
        <f t="shared" si="4"/>
        <v>115214849.55</v>
      </c>
      <c r="J270" s="202">
        <v>27.9</v>
      </c>
      <c r="L270" s="204">
        <v>1</v>
      </c>
      <c r="M270" s="202">
        <v>97650</v>
      </c>
      <c r="N270" s="204"/>
      <c r="P270" s="202"/>
      <c r="Z270" s="201"/>
      <c r="AN270" s="202">
        <v>97650</v>
      </c>
      <c r="AO270" s="202">
        <v>97650</v>
      </c>
      <c r="AP270" s="202">
        <v>97650</v>
      </c>
      <c r="AQ270" s="198" t="s">
        <v>54</v>
      </c>
      <c r="AR270" s="198" t="s">
        <v>51</v>
      </c>
      <c r="AS270" s="202">
        <v>97650</v>
      </c>
      <c r="AT270" s="202">
        <v>97650</v>
      </c>
      <c r="AU270" s="198" t="s">
        <v>69</v>
      </c>
      <c r="AV270" s="198" t="s">
        <v>62</v>
      </c>
      <c r="AW270" s="198" t="s">
        <v>54</v>
      </c>
    </row>
    <row r="271" spans="3:49" outlineLevel="2" x14ac:dyDescent="0.25">
      <c r="C271" s="201"/>
      <c r="D271" s="198" t="s">
        <v>206</v>
      </c>
      <c r="H271" s="198" t="s">
        <v>206</v>
      </c>
      <c r="I271" s="202">
        <f t="shared" si="4"/>
        <v>115627806</v>
      </c>
      <c r="J271" s="202">
        <v>28</v>
      </c>
      <c r="L271" s="204">
        <v>1</v>
      </c>
      <c r="M271" s="202">
        <v>294000</v>
      </c>
      <c r="N271" s="204"/>
      <c r="P271" s="202"/>
      <c r="Z271" s="201"/>
      <c r="AN271" s="202">
        <v>294000</v>
      </c>
      <c r="AO271" s="202">
        <v>294000</v>
      </c>
      <c r="AP271" s="202">
        <v>294000</v>
      </c>
      <c r="AQ271" s="198" t="s">
        <v>54</v>
      </c>
      <c r="AR271" s="198" t="s">
        <v>51</v>
      </c>
      <c r="AS271" s="202">
        <v>294000</v>
      </c>
      <c r="AT271" s="202">
        <v>294000</v>
      </c>
      <c r="AU271" s="198" t="s">
        <v>69</v>
      </c>
      <c r="AV271" s="198" t="s">
        <v>62</v>
      </c>
      <c r="AW271" s="198" t="s">
        <v>54</v>
      </c>
    </row>
    <row r="272" spans="3:49" outlineLevel="2" x14ac:dyDescent="0.25">
      <c r="C272" s="201"/>
      <c r="D272" s="198" t="s">
        <v>207</v>
      </c>
      <c r="H272" s="198" t="s">
        <v>207</v>
      </c>
      <c r="I272" s="202">
        <f t="shared" si="4"/>
        <v>116040762.45</v>
      </c>
      <c r="J272" s="202">
        <v>28.1</v>
      </c>
      <c r="L272" s="204">
        <v>1</v>
      </c>
      <c r="M272" s="202">
        <v>49000</v>
      </c>
      <c r="N272" s="204"/>
      <c r="P272" s="202"/>
      <c r="Z272" s="201"/>
      <c r="AN272" s="202">
        <v>49000</v>
      </c>
      <c r="AO272" s="202">
        <v>49000</v>
      </c>
      <c r="AP272" s="202">
        <v>49000</v>
      </c>
      <c r="AQ272" s="198" t="s">
        <v>54</v>
      </c>
      <c r="AR272" s="198" t="s">
        <v>51</v>
      </c>
      <c r="AS272" s="202">
        <v>49000</v>
      </c>
      <c r="AT272" s="202">
        <v>49000</v>
      </c>
      <c r="AU272" s="198" t="s">
        <v>69</v>
      </c>
      <c r="AV272" s="198" t="s">
        <v>62</v>
      </c>
      <c r="AW272" s="198" t="s">
        <v>54</v>
      </c>
    </row>
    <row r="273" spans="3:49" outlineLevel="2" x14ac:dyDescent="0.25">
      <c r="C273" s="201"/>
      <c r="D273" s="198" t="s">
        <v>138</v>
      </c>
      <c r="H273" s="198" t="s">
        <v>138</v>
      </c>
      <c r="I273" s="202">
        <f t="shared" si="4"/>
        <v>116453718.89999999</v>
      </c>
      <c r="J273" s="202">
        <v>28.2</v>
      </c>
      <c r="L273" s="204">
        <v>1</v>
      </c>
      <c r="M273" s="202">
        <v>262137.60000000001</v>
      </c>
      <c r="N273" s="204"/>
      <c r="P273" s="202"/>
      <c r="Z273" s="201"/>
      <c r="AN273" s="202">
        <v>262137.60000000001</v>
      </c>
      <c r="AO273" s="202">
        <v>262137.60000000001</v>
      </c>
      <c r="AP273" s="202">
        <v>262137.60000000001</v>
      </c>
      <c r="AQ273" s="198" t="s">
        <v>54</v>
      </c>
      <c r="AR273" s="198" t="s">
        <v>51</v>
      </c>
      <c r="AS273" s="202">
        <v>262137.60000000001</v>
      </c>
      <c r="AT273" s="202">
        <v>262137.60000000001</v>
      </c>
      <c r="AU273" s="198" t="s">
        <v>69</v>
      </c>
      <c r="AV273" s="198" t="s">
        <v>62</v>
      </c>
      <c r="AW273" s="198" t="s">
        <v>54</v>
      </c>
    </row>
    <row r="274" spans="3:49" outlineLevel="2" x14ac:dyDescent="0.25">
      <c r="C274" s="201"/>
      <c r="D274" s="198" t="s">
        <v>212</v>
      </c>
      <c r="H274" s="198" t="s">
        <v>212</v>
      </c>
      <c r="I274" s="202">
        <f t="shared" si="4"/>
        <v>116866675.35000001</v>
      </c>
      <c r="J274" s="202">
        <v>28.3</v>
      </c>
      <c r="L274" s="204">
        <v>1</v>
      </c>
      <c r="M274" s="202">
        <v>52273157.399999999</v>
      </c>
      <c r="N274" s="204"/>
      <c r="P274" s="202"/>
      <c r="Z274" s="201"/>
      <c r="AN274" s="202">
        <v>52273157.399999999</v>
      </c>
      <c r="AO274" s="202">
        <v>52273157.399999999</v>
      </c>
      <c r="AP274" s="202">
        <v>52273157.399999999</v>
      </c>
      <c r="AQ274" s="198" t="s">
        <v>54</v>
      </c>
      <c r="AR274" s="198" t="s">
        <v>51</v>
      </c>
      <c r="AS274" s="202">
        <v>6614452</v>
      </c>
      <c r="AT274" s="202">
        <v>6614452</v>
      </c>
      <c r="AU274" s="198" t="s">
        <v>69</v>
      </c>
      <c r="AV274" s="198" t="s">
        <v>62</v>
      </c>
      <c r="AW274" s="198" t="s">
        <v>54</v>
      </c>
    </row>
    <row r="275" spans="3:49" outlineLevel="2" x14ac:dyDescent="0.25">
      <c r="C275" s="201"/>
      <c r="D275" s="198" t="s">
        <v>737</v>
      </c>
      <c r="H275" s="198" t="s">
        <v>737</v>
      </c>
      <c r="I275" s="202">
        <f t="shared" si="4"/>
        <v>117279631.8</v>
      </c>
      <c r="J275" s="202">
        <v>28.4</v>
      </c>
      <c r="L275" s="204">
        <v>1</v>
      </c>
      <c r="M275" s="202">
        <v>28534835</v>
      </c>
      <c r="N275" s="204"/>
      <c r="P275" s="202"/>
      <c r="Z275" s="201"/>
      <c r="AN275" s="202">
        <v>28534835</v>
      </c>
      <c r="AO275" s="202">
        <v>28534835</v>
      </c>
      <c r="AP275" s="202">
        <v>28534835</v>
      </c>
      <c r="AQ275" s="198" t="s">
        <v>54</v>
      </c>
      <c r="AR275" s="198" t="s">
        <v>51</v>
      </c>
      <c r="AS275" s="202">
        <v>55845660</v>
      </c>
      <c r="AT275" s="202">
        <v>55845660</v>
      </c>
      <c r="AU275" s="198" t="s">
        <v>69</v>
      </c>
      <c r="AV275" s="198" t="s">
        <v>62</v>
      </c>
      <c r="AW275" s="198" t="s">
        <v>54</v>
      </c>
    </row>
    <row r="276" spans="3:49" outlineLevel="2" x14ac:dyDescent="0.25">
      <c r="C276" s="201"/>
      <c r="D276" s="198" t="s">
        <v>82</v>
      </c>
      <c r="H276" s="198" t="s">
        <v>82</v>
      </c>
      <c r="I276" s="202">
        <f t="shared" si="4"/>
        <v>117692588.25</v>
      </c>
      <c r="J276" s="202">
        <v>28.5</v>
      </c>
      <c r="L276" s="204">
        <v>1</v>
      </c>
      <c r="M276" s="202">
        <v>175770</v>
      </c>
      <c r="N276" s="204"/>
      <c r="P276" s="202"/>
      <c r="Z276" s="201"/>
      <c r="AN276" s="202">
        <v>175770</v>
      </c>
      <c r="AO276" s="202">
        <v>175770</v>
      </c>
      <c r="AP276" s="202">
        <v>175770</v>
      </c>
      <c r="AQ276" s="198" t="s">
        <v>54</v>
      </c>
      <c r="AR276" s="198" t="s">
        <v>51</v>
      </c>
      <c r="AS276" s="202">
        <v>175770</v>
      </c>
      <c r="AT276" s="202">
        <v>175770</v>
      </c>
      <c r="AU276" s="198" t="s">
        <v>69</v>
      </c>
      <c r="AV276" s="198" t="s">
        <v>62</v>
      </c>
      <c r="AW276" s="198" t="s">
        <v>54</v>
      </c>
    </row>
    <row r="277" spans="3:49" outlineLevel="2" x14ac:dyDescent="0.25">
      <c r="C277" s="201"/>
      <c r="D277" s="198" t="s">
        <v>216</v>
      </c>
      <c r="H277" s="198" t="s">
        <v>216</v>
      </c>
      <c r="I277" s="202">
        <f t="shared" si="4"/>
        <v>118105544.7</v>
      </c>
      <c r="J277" s="202">
        <v>28.6</v>
      </c>
      <c r="L277" s="204">
        <v>1</v>
      </c>
      <c r="M277" s="202">
        <v>529200</v>
      </c>
      <c r="N277" s="204"/>
      <c r="P277" s="202"/>
      <c r="Z277" s="201"/>
      <c r="AN277" s="202">
        <v>529200</v>
      </c>
      <c r="AO277" s="202">
        <v>529200</v>
      </c>
      <c r="AP277" s="202">
        <v>529200</v>
      </c>
      <c r="AQ277" s="198" t="s">
        <v>54</v>
      </c>
      <c r="AR277" s="198" t="s">
        <v>51</v>
      </c>
      <c r="AS277" s="202">
        <v>529200</v>
      </c>
      <c r="AT277" s="202">
        <v>529200</v>
      </c>
      <c r="AU277" s="198" t="s">
        <v>69</v>
      </c>
      <c r="AV277" s="198" t="s">
        <v>62</v>
      </c>
      <c r="AW277" s="198" t="s">
        <v>54</v>
      </c>
    </row>
    <row r="278" spans="3:49" outlineLevel="2" x14ac:dyDescent="0.25">
      <c r="C278" s="201"/>
      <c r="D278" s="198" t="s">
        <v>217</v>
      </c>
      <c r="H278" s="198" t="s">
        <v>217</v>
      </c>
      <c r="I278" s="202">
        <f t="shared" si="4"/>
        <v>118518501.14999999</v>
      </c>
      <c r="J278" s="202">
        <v>28.7</v>
      </c>
      <c r="L278" s="204">
        <v>1</v>
      </c>
      <c r="M278" s="202">
        <v>88200</v>
      </c>
      <c r="N278" s="204"/>
      <c r="P278" s="202"/>
      <c r="Z278" s="201"/>
      <c r="AN278" s="202">
        <v>88200</v>
      </c>
      <c r="AO278" s="202">
        <v>88200</v>
      </c>
      <c r="AP278" s="202">
        <v>88200</v>
      </c>
      <c r="AQ278" s="198" t="s">
        <v>54</v>
      </c>
      <c r="AR278" s="198" t="s">
        <v>51</v>
      </c>
      <c r="AS278" s="202">
        <v>88200</v>
      </c>
      <c r="AT278" s="202">
        <v>88200</v>
      </c>
      <c r="AU278" s="198" t="s">
        <v>69</v>
      </c>
      <c r="AV278" s="198" t="s">
        <v>62</v>
      </c>
      <c r="AW278" s="198" t="s">
        <v>54</v>
      </c>
    </row>
    <row r="279" spans="3:49" outlineLevel="2" x14ac:dyDescent="0.25">
      <c r="C279" s="201"/>
      <c r="D279" s="198" t="s">
        <v>91</v>
      </c>
      <c r="H279" s="198" t="s">
        <v>91</v>
      </c>
      <c r="I279" s="202">
        <f t="shared" si="4"/>
        <v>118931457.60000001</v>
      </c>
      <c r="J279" s="202">
        <v>28.8</v>
      </c>
      <c r="L279" s="204">
        <v>1</v>
      </c>
      <c r="M279" s="202">
        <v>68355</v>
      </c>
      <c r="N279" s="204"/>
      <c r="P279" s="202"/>
      <c r="Z279" s="201"/>
      <c r="AN279" s="202">
        <v>68355</v>
      </c>
      <c r="AO279" s="202">
        <v>68355</v>
      </c>
      <c r="AP279" s="202">
        <v>68355</v>
      </c>
      <c r="AQ279" s="198" t="s">
        <v>54</v>
      </c>
      <c r="AR279" s="198" t="s">
        <v>51</v>
      </c>
      <c r="AS279" s="202">
        <v>42505</v>
      </c>
      <c r="AT279" s="202">
        <v>42505</v>
      </c>
      <c r="AU279" s="198" t="s">
        <v>69</v>
      </c>
      <c r="AV279" s="198" t="s">
        <v>62</v>
      </c>
      <c r="AW279" s="198" t="s">
        <v>54</v>
      </c>
    </row>
    <row r="280" spans="3:49" outlineLevel="2" x14ac:dyDescent="0.25">
      <c r="C280" s="201"/>
      <c r="D280" s="198" t="s">
        <v>219</v>
      </c>
      <c r="H280" s="198" t="s">
        <v>219</v>
      </c>
      <c r="I280" s="202">
        <f t="shared" si="4"/>
        <v>119344414.05</v>
      </c>
      <c r="J280" s="202">
        <v>28.9</v>
      </c>
      <c r="L280" s="204">
        <v>1</v>
      </c>
      <c r="M280" s="202">
        <v>205800</v>
      </c>
      <c r="N280" s="204"/>
      <c r="P280" s="202"/>
      <c r="Z280" s="201"/>
      <c r="AN280" s="202">
        <v>205800</v>
      </c>
      <c r="AO280" s="202">
        <v>205800</v>
      </c>
      <c r="AP280" s="202">
        <v>205800</v>
      </c>
      <c r="AQ280" s="198" t="s">
        <v>54</v>
      </c>
      <c r="AR280" s="198" t="s">
        <v>51</v>
      </c>
      <c r="AS280" s="202">
        <v>87906</v>
      </c>
      <c r="AT280" s="202">
        <v>87906</v>
      </c>
      <c r="AU280" s="198" t="s">
        <v>69</v>
      </c>
      <c r="AV280" s="198" t="s">
        <v>62</v>
      </c>
      <c r="AW280" s="198" t="s">
        <v>54</v>
      </c>
    </row>
    <row r="281" spans="3:49" outlineLevel="2" x14ac:dyDescent="0.25">
      <c r="C281" s="201"/>
      <c r="D281" s="198" t="s">
        <v>220</v>
      </c>
      <c r="H281" s="198" t="s">
        <v>220</v>
      </c>
      <c r="I281" s="202">
        <f t="shared" si="4"/>
        <v>119757370.5</v>
      </c>
      <c r="J281" s="202">
        <v>29</v>
      </c>
      <c r="L281" s="204">
        <v>1</v>
      </c>
      <c r="M281" s="202">
        <v>39200</v>
      </c>
      <c r="N281" s="204"/>
      <c r="P281" s="202"/>
      <c r="Z281" s="201"/>
      <c r="AN281" s="202">
        <v>39200</v>
      </c>
      <c r="AO281" s="202">
        <v>39200</v>
      </c>
      <c r="AP281" s="202">
        <v>39200</v>
      </c>
      <c r="AQ281" s="198" t="s">
        <v>54</v>
      </c>
      <c r="AR281" s="198" t="s">
        <v>51</v>
      </c>
      <c r="AS281" s="202">
        <v>16744</v>
      </c>
      <c r="AT281" s="202">
        <v>16744</v>
      </c>
      <c r="AU281" s="198" t="s">
        <v>69</v>
      </c>
      <c r="AV281" s="198" t="s">
        <v>62</v>
      </c>
      <c r="AW281" s="198" t="s">
        <v>54</v>
      </c>
    </row>
    <row r="282" spans="3:49" outlineLevel="2" x14ac:dyDescent="0.25">
      <c r="C282" s="201"/>
      <c r="D282" s="198" t="s">
        <v>212</v>
      </c>
      <c r="H282" s="198" t="s">
        <v>212</v>
      </c>
      <c r="I282" s="202">
        <f t="shared" si="4"/>
        <v>120170326.95</v>
      </c>
      <c r="J282" s="202">
        <v>29.1</v>
      </c>
      <c r="L282" s="204">
        <v>1</v>
      </c>
      <c r="M282" s="202">
        <v>182280</v>
      </c>
      <c r="N282" s="204"/>
      <c r="P282" s="202"/>
      <c r="Z282" s="201"/>
      <c r="AN282" s="202">
        <v>182280</v>
      </c>
      <c r="AO282" s="202">
        <v>182280</v>
      </c>
      <c r="AP282" s="202">
        <v>182280</v>
      </c>
      <c r="AQ282" s="198" t="s">
        <v>54</v>
      </c>
      <c r="AR282" s="198" t="s">
        <v>51</v>
      </c>
      <c r="AS282" s="202">
        <v>182280</v>
      </c>
      <c r="AT282" s="202">
        <v>182280</v>
      </c>
      <c r="AU282" s="198" t="s">
        <v>69</v>
      </c>
      <c r="AV282" s="198" t="s">
        <v>62</v>
      </c>
      <c r="AW282" s="198" t="s">
        <v>54</v>
      </c>
    </row>
    <row r="283" spans="3:49" outlineLevel="2" x14ac:dyDescent="0.25">
      <c r="C283" s="201"/>
      <c r="D283" s="198" t="s">
        <v>222</v>
      </c>
      <c r="H283" s="198" t="s">
        <v>222</v>
      </c>
      <c r="I283" s="202">
        <f t="shared" si="4"/>
        <v>120583283.39999999</v>
      </c>
      <c r="J283" s="202">
        <v>29.2</v>
      </c>
      <c r="L283" s="204">
        <v>1</v>
      </c>
      <c r="M283" s="202">
        <v>548800</v>
      </c>
      <c r="N283" s="204"/>
      <c r="P283" s="202"/>
      <c r="Z283" s="201"/>
      <c r="AN283" s="202">
        <v>548800</v>
      </c>
      <c r="AO283" s="202">
        <v>548800</v>
      </c>
      <c r="AP283" s="202">
        <v>548800</v>
      </c>
      <c r="AQ283" s="198" t="s">
        <v>54</v>
      </c>
      <c r="AR283" s="198" t="s">
        <v>51</v>
      </c>
      <c r="AS283" s="202">
        <v>548800</v>
      </c>
      <c r="AT283" s="202">
        <v>548800</v>
      </c>
      <c r="AU283" s="198" t="s">
        <v>69</v>
      </c>
      <c r="AV283" s="198" t="s">
        <v>62</v>
      </c>
      <c r="AW283" s="198" t="s">
        <v>54</v>
      </c>
    </row>
    <row r="284" spans="3:49" outlineLevel="2" x14ac:dyDescent="0.25">
      <c r="C284" s="201"/>
      <c r="D284" s="198" t="s">
        <v>223</v>
      </c>
      <c r="H284" s="198" t="s">
        <v>223</v>
      </c>
      <c r="I284" s="202">
        <f t="shared" si="4"/>
        <v>120996239.85000001</v>
      </c>
      <c r="J284" s="202">
        <v>29.3</v>
      </c>
      <c r="L284" s="204">
        <v>1</v>
      </c>
      <c r="M284" s="202">
        <v>98000</v>
      </c>
      <c r="N284" s="204"/>
      <c r="P284" s="202"/>
      <c r="Z284" s="201"/>
      <c r="AN284" s="202">
        <v>98000</v>
      </c>
      <c r="AO284" s="202">
        <v>98000</v>
      </c>
      <c r="AP284" s="202">
        <v>98000</v>
      </c>
      <c r="AQ284" s="198" t="s">
        <v>54</v>
      </c>
      <c r="AR284" s="198" t="s">
        <v>51</v>
      </c>
      <c r="AS284" s="202">
        <v>98000</v>
      </c>
      <c r="AT284" s="202">
        <v>98000</v>
      </c>
      <c r="AU284" s="198" t="s">
        <v>69</v>
      </c>
      <c r="AV284" s="198" t="s">
        <v>62</v>
      </c>
      <c r="AW284" s="198" t="s">
        <v>54</v>
      </c>
    </row>
    <row r="285" spans="3:49" outlineLevel="2" x14ac:dyDescent="0.25">
      <c r="C285" s="201"/>
      <c r="D285" s="198" t="s">
        <v>188</v>
      </c>
      <c r="H285" s="198" t="s">
        <v>188</v>
      </c>
      <c r="I285" s="202">
        <f t="shared" si="4"/>
        <v>121409196.3</v>
      </c>
      <c r="J285" s="202">
        <v>29.4</v>
      </c>
      <c r="L285" s="204">
        <v>1</v>
      </c>
      <c r="M285" s="202">
        <v>162000</v>
      </c>
      <c r="N285" s="204"/>
      <c r="P285" s="202"/>
      <c r="Z285" s="201"/>
      <c r="AN285" s="202">
        <v>162000</v>
      </c>
      <c r="AO285" s="202">
        <v>162000</v>
      </c>
      <c r="AP285" s="202">
        <v>162000</v>
      </c>
      <c r="AQ285" s="198" t="s">
        <v>54</v>
      </c>
      <c r="AR285" s="198" t="s">
        <v>51</v>
      </c>
      <c r="AS285" s="202">
        <v>162000</v>
      </c>
      <c r="AT285" s="202">
        <v>162000</v>
      </c>
      <c r="AU285" s="198" t="s">
        <v>69</v>
      </c>
      <c r="AV285" s="198" t="s">
        <v>62</v>
      </c>
      <c r="AW285" s="198" t="s">
        <v>54</v>
      </c>
    </row>
    <row r="286" spans="3:49" outlineLevel="2" x14ac:dyDescent="0.25">
      <c r="C286" s="201"/>
      <c r="D286" s="198" t="s">
        <v>176</v>
      </c>
      <c r="H286" s="198" t="s">
        <v>176</v>
      </c>
      <c r="I286" s="202">
        <f t="shared" si="4"/>
        <v>121822152.75</v>
      </c>
      <c r="J286" s="202">
        <v>29.5</v>
      </c>
      <c r="L286" s="204">
        <v>1</v>
      </c>
      <c r="M286" s="202">
        <v>144000</v>
      </c>
      <c r="N286" s="204"/>
      <c r="P286" s="202"/>
      <c r="Z286" s="201"/>
      <c r="AN286" s="202">
        <v>144000</v>
      </c>
      <c r="AO286" s="202">
        <v>144000</v>
      </c>
      <c r="AP286" s="202">
        <v>144000</v>
      </c>
      <c r="AQ286" s="198" t="s">
        <v>54</v>
      </c>
      <c r="AR286" s="198" t="s">
        <v>51</v>
      </c>
      <c r="AS286" s="202">
        <v>144000</v>
      </c>
      <c r="AT286" s="202">
        <v>144000</v>
      </c>
      <c r="AU286" s="198" t="s">
        <v>69</v>
      </c>
      <c r="AV286" s="198" t="s">
        <v>62</v>
      </c>
      <c r="AW286" s="198" t="s">
        <v>54</v>
      </c>
    </row>
    <row r="287" spans="3:49" outlineLevel="2" x14ac:dyDescent="0.25">
      <c r="C287" s="201"/>
      <c r="D287" s="198" t="s">
        <v>111</v>
      </c>
      <c r="H287" s="198" t="s">
        <v>111</v>
      </c>
      <c r="I287" s="202">
        <f t="shared" si="4"/>
        <v>122235109.2</v>
      </c>
      <c r="J287" s="202">
        <v>29.6</v>
      </c>
      <c r="L287" s="204">
        <v>1</v>
      </c>
      <c r="M287" s="202">
        <v>1604312.5</v>
      </c>
      <c r="N287" s="204"/>
      <c r="P287" s="202"/>
      <c r="Z287" s="201"/>
      <c r="AN287" s="202">
        <v>1604312.5</v>
      </c>
      <c r="AO287" s="202">
        <v>1604312.5</v>
      </c>
      <c r="AP287" s="202">
        <v>1604312.5</v>
      </c>
      <c r="AQ287" s="198" t="s">
        <v>54</v>
      </c>
      <c r="AR287" s="198" t="s">
        <v>51</v>
      </c>
      <c r="AS287" s="202">
        <v>1604312.5</v>
      </c>
      <c r="AT287" s="202">
        <v>1604312.5</v>
      </c>
      <c r="AU287" s="198" t="s">
        <v>69</v>
      </c>
      <c r="AV287" s="198" t="s">
        <v>62</v>
      </c>
      <c r="AW287" s="198" t="s">
        <v>54</v>
      </c>
    </row>
    <row r="288" spans="3:49" outlineLevel="2" x14ac:dyDescent="0.25">
      <c r="C288" s="201"/>
      <c r="D288" s="198" t="s">
        <v>670</v>
      </c>
      <c r="H288" s="198" t="s">
        <v>670</v>
      </c>
      <c r="I288" s="202">
        <f t="shared" si="4"/>
        <v>122648065.64999999</v>
      </c>
      <c r="J288" s="202">
        <v>29.7</v>
      </c>
      <c r="L288" s="204">
        <v>1</v>
      </c>
      <c r="M288" s="202">
        <v>641725</v>
      </c>
      <c r="N288" s="204"/>
      <c r="P288" s="202"/>
      <c r="Z288" s="201"/>
      <c r="AN288" s="202">
        <v>641725</v>
      </c>
      <c r="AO288" s="202">
        <v>641725</v>
      </c>
      <c r="AP288" s="202">
        <v>641725</v>
      </c>
      <c r="AQ288" s="198" t="s">
        <v>54</v>
      </c>
      <c r="AR288" s="198" t="s">
        <v>51</v>
      </c>
      <c r="AS288" s="202">
        <v>641725</v>
      </c>
      <c r="AT288" s="202">
        <v>641725</v>
      </c>
      <c r="AU288" s="198" t="s">
        <v>69</v>
      </c>
      <c r="AV288" s="198" t="s">
        <v>62</v>
      </c>
      <c r="AW288" s="198" t="s">
        <v>54</v>
      </c>
    </row>
    <row r="289" spans="3:49" outlineLevel="2" x14ac:dyDescent="0.25">
      <c r="C289" s="201"/>
      <c r="D289" s="198" t="s">
        <v>96</v>
      </c>
      <c r="H289" s="198" t="s">
        <v>96</v>
      </c>
      <c r="I289" s="202">
        <f t="shared" si="4"/>
        <v>123061022.10000001</v>
      </c>
      <c r="J289" s="202">
        <v>29.8</v>
      </c>
      <c r="L289" s="204">
        <v>1</v>
      </c>
      <c r="M289" s="202">
        <v>1443881.25</v>
      </c>
      <c r="N289" s="204"/>
      <c r="P289" s="202"/>
      <c r="Z289" s="201"/>
      <c r="AN289" s="202">
        <v>1443881.25</v>
      </c>
      <c r="AO289" s="202">
        <v>1443881.25</v>
      </c>
      <c r="AP289" s="202">
        <v>1443881.25</v>
      </c>
      <c r="AQ289" s="198" t="s">
        <v>54</v>
      </c>
      <c r="AR289" s="198" t="s">
        <v>51</v>
      </c>
      <c r="AS289" s="202">
        <v>1443881.25</v>
      </c>
      <c r="AT289" s="202">
        <v>1443881.25</v>
      </c>
      <c r="AU289" s="198" t="s">
        <v>69</v>
      </c>
      <c r="AV289" s="198" t="s">
        <v>62</v>
      </c>
      <c r="AW289" s="198" t="s">
        <v>54</v>
      </c>
    </row>
    <row r="290" spans="3:49" outlineLevel="2" x14ac:dyDescent="0.25">
      <c r="C290" s="201"/>
      <c r="D290" s="198" t="s">
        <v>233</v>
      </c>
      <c r="H290" s="198" t="s">
        <v>233</v>
      </c>
      <c r="I290" s="202">
        <f t="shared" si="4"/>
        <v>123473978.55</v>
      </c>
      <c r="J290" s="202">
        <v>29.9</v>
      </c>
      <c r="L290" s="203">
        <v>0.13300000000000001</v>
      </c>
      <c r="M290" s="202">
        <v>9399936</v>
      </c>
      <c r="N290" s="204"/>
      <c r="P290" s="202"/>
      <c r="Z290" s="201"/>
      <c r="AN290" s="202">
        <v>9399936</v>
      </c>
      <c r="AO290" s="202">
        <v>9399936</v>
      </c>
      <c r="AP290" s="202">
        <v>9399936</v>
      </c>
      <c r="AQ290" s="198" t="s">
        <v>54</v>
      </c>
      <c r="AR290" s="198" t="s">
        <v>51</v>
      </c>
      <c r="AS290" s="202">
        <v>1418256</v>
      </c>
      <c r="AT290" s="202">
        <v>1418256</v>
      </c>
      <c r="AU290" s="198" t="s">
        <v>69</v>
      </c>
      <c r="AV290" s="198" t="s">
        <v>62</v>
      </c>
      <c r="AW290" s="198" t="s">
        <v>54</v>
      </c>
    </row>
    <row r="291" spans="3:49" outlineLevel="2" x14ac:dyDescent="0.25">
      <c r="C291" s="201"/>
      <c r="D291" s="198" t="s">
        <v>231</v>
      </c>
      <c r="H291" s="198" t="s">
        <v>231</v>
      </c>
      <c r="I291" s="202">
        <f t="shared" si="4"/>
        <v>123886935</v>
      </c>
      <c r="J291" s="202">
        <v>30</v>
      </c>
      <c r="L291" s="203">
        <v>9.7000000000000003E-2</v>
      </c>
      <c r="M291" s="202">
        <v>6837600</v>
      </c>
      <c r="N291" s="204"/>
      <c r="P291" s="202"/>
      <c r="Z291" s="201"/>
      <c r="AN291" s="202">
        <v>6837600</v>
      </c>
      <c r="AO291" s="202">
        <v>6837600</v>
      </c>
      <c r="AP291" s="202">
        <v>6837600</v>
      </c>
      <c r="AQ291" s="198" t="s">
        <v>54</v>
      </c>
      <c r="AR291" s="198" t="s">
        <v>51</v>
      </c>
      <c r="AS291" s="202">
        <v>2394000</v>
      </c>
      <c r="AT291" s="202">
        <v>2394000</v>
      </c>
      <c r="AU291" s="198" t="s">
        <v>69</v>
      </c>
      <c r="AV291" s="198" t="s">
        <v>62</v>
      </c>
      <c r="AW291" s="198" t="s">
        <v>54</v>
      </c>
    </row>
    <row r="292" spans="3:49" outlineLevel="2" x14ac:dyDescent="0.25">
      <c r="C292" s="201"/>
      <c r="D292" s="198" t="s">
        <v>234</v>
      </c>
      <c r="H292" s="198" t="s">
        <v>234</v>
      </c>
      <c r="I292" s="202">
        <f t="shared" si="4"/>
        <v>124299891.45</v>
      </c>
      <c r="J292" s="202">
        <v>30.1</v>
      </c>
      <c r="L292" s="203">
        <v>1.2999999999999999E-2</v>
      </c>
      <c r="M292" s="202">
        <v>920000</v>
      </c>
      <c r="N292" s="204"/>
      <c r="P292" s="202"/>
      <c r="Z292" s="201"/>
      <c r="AN292" s="202">
        <v>920000</v>
      </c>
      <c r="AO292" s="202">
        <v>920000</v>
      </c>
      <c r="AP292" s="202">
        <v>920000</v>
      </c>
      <c r="AQ292" s="198" t="s">
        <v>54</v>
      </c>
      <c r="AR292" s="198" t="s">
        <v>51</v>
      </c>
      <c r="AS292" s="202">
        <v>200000</v>
      </c>
      <c r="AT292" s="202">
        <v>200000</v>
      </c>
      <c r="AU292" s="198" t="s">
        <v>69</v>
      </c>
      <c r="AV292" s="198" t="s">
        <v>62</v>
      </c>
      <c r="AW292" s="198" t="s">
        <v>54</v>
      </c>
    </row>
    <row r="293" spans="3:49" outlineLevel="2" x14ac:dyDescent="0.25">
      <c r="C293" s="201"/>
      <c r="D293" s="198" t="s">
        <v>236</v>
      </c>
      <c r="H293" s="198" t="s">
        <v>236</v>
      </c>
      <c r="I293" s="202">
        <f t="shared" si="4"/>
        <v>124712847.89999999</v>
      </c>
      <c r="J293" s="202">
        <v>30.2</v>
      </c>
      <c r="L293" s="203">
        <v>0.35799999999999998</v>
      </c>
      <c r="M293" s="202">
        <v>25269112.109999999</v>
      </c>
      <c r="N293" s="204"/>
      <c r="P293" s="202"/>
      <c r="Z293" s="201"/>
      <c r="AN293" s="202">
        <v>25269112.109999999</v>
      </c>
      <c r="AO293" s="202">
        <v>25269112.109999999</v>
      </c>
      <c r="AP293" s="202">
        <v>25269112.109999999</v>
      </c>
      <c r="AQ293" s="198" t="s">
        <v>54</v>
      </c>
      <c r="AR293" s="198" t="s">
        <v>51</v>
      </c>
      <c r="AS293" s="202">
        <v>926293.11</v>
      </c>
      <c r="AT293" s="202">
        <v>926293.11</v>
      </c>
      <c r="AU293" s="198" t="s">
        <v>69</v>
      </c>
      <c r="AV293" s="198" t="s">
        <v>62</v>
      </c>
      <c r="AW293" s="198" t="s">
        <v>54</v>
      </c>
    </row>
    <row r="294" spans="3:49" outlineLevel="2" x14ac:dyDescent="0.25">
      <c r="C294" s="201"/>
      <c r="D294" s="198" t="s">
        <v>237</v>
      </c>
      <c r="H294" s="198" t="s">
        <v>237</v>
      </c>
      <c r="I294" s="202">
        <f t="shared" si="4"/>
        <v>125125804.35000001</v>
      </c>
      <c r="J294" s="202">
        <v>30.3</v>
      </c>
      <c r="L294" s="203">
        <v>5.3999999999999999E-2</v>
      </c>
      <c r="M294" s="202">
        <v>3777832</v>
      </c>
      <c r="N294" s="204"/>
      <c r="P294" s="202"/>
      <c r="Z294" s="201"/>
      <c r="AN294" s="202">
        <v>3777832</v>
      </c>
      <c r="AO294" s="202">
        <v>3777832</v>
      </c>
      <c r="AP294" s="202">
        <v>3777832</v>
      </c>
      <c r="AQ294" s="198" t="s">
        <v>54</v>
      </c>
      <c r="AR294" s="198" t="s">
        <v>51</v>
      </c>
      <c r="AS294" s="202">
        <v>903534</v>
      </c>
      <c r="AT294" s="202">
        <v>903534</v>
      </c>
      <c r="AU294" s="198" t="s">
        <v>69</v>
      </c>
      <c r="AV294" s="198" t="s">
        <v>62</v>
      </c>
      <c r="AW294" s="198" t="s">
        <v>54</v>
      </c>
    </row>
    <row r="295" spans="3:49" outlineLevel="2" x14ac:dyDescent="0.25">
      <c r="C295" s="201"/>
      <c r="D295" s="198" t="s">
        <v>238</v>
      </c>
      <c r="H295" s="198" t="s">
        <v>238</v>
      </c>
      <c r="I295" s="202">
        <f t="shared" si="4"/>
        <v>125538760.8</v>
      </c>
      <c r="J295" s="202">
        <v>30.4</v>
      </c>
      <c r="L295" s="203">
        <v>0.27700000000000002</v>
      </c>
      <c r="M295" s="202">
        <v>19534736</v>
      </c>
      <c r="N295" s="204"/>
      <c r="P295" s="202"/>
      <c r="Z295" s="201"/>
      <c r="AN295" s="202">
        <v>19534736</v>
      </c>
      <c r="AO295" s="202">
        <v>19534736</v>
      </c>
      <c r="AP295" s="202">
        <v>19534736</v>
      </c>
      <c r="AQ295" s="198" t="s">
        <v>54</v>
      </c>
      <c r="AR295" s="198" t="s">
        <v>51</v>
      </c>
      <c r="AS295" s="202">
        <v>1547900</v>
      </c>
      <c r="AT295" s="202">
        <v>1547900</v>
      </c>
      <c r="AU295" s="198" t="s">
        <v>69</v>
      </c>
      <c r="AV295" s="198" t="s">
        <v>62</v>
      </c>
      <c r="AW295" s="198" t="s">
        <v>54</v>
      </c>
    </row>
    <row r="296" spans="3:49" outlineLevel="2" x14ac:dyDescent="0.25">
      <c r="C296" s="201"/>
      <c r="D296" s="198" t="s">
        <v>239</v>
      </c>
      <c r="H296" s="198" t="s">
        <v>239</v>
      </c>
      <c r="I296" s="202">
        <f t="shared" si="4"/>
        <v>125951717.25</v>
      </c>
      <c r="J296" s="202">
        <v>30.5</v>
      </c>
      <c r="L296" s="204">
        <v>1</v>
      </c>
      <c r="M296" s="202">
        <v>4685000</v>
      </c>
      <c r="N296" s="204"/>
      <c r="P296" s="202"/>
      <c r="Z296" s="201"/>
      <c r="AN296" s="202">
        <v>4685000</v>
      </c>
      <c r="AO296" s="202">
        <v>4685000</v>
      </c>
      <c r="AP296" s="202">
        <v>4685000</v>
      </c>
      <c r="AQ296" s="198" t="s">
        <v>54</v>
      </c>
      <c r="AR296" s="198" t="s">
        <v>51</v>
      </c>
      <c r="AS296" s="202">
        <v>4684999</v>
      </c>
      <c r="AT296" s="202">
        <v>4684999</v>
      </c>
      <c r="AU296" s="198" t="s">
        <v>69</v>
      </c>
      <c r="AV296" s="198" t="s">
        <v>62</v>
      </c>
      <c r="AW296" s="198" t="s">
        <v>54</v>
      </c>
    </row>
    <row r="297" spans="3:49" outlineLevel="2" x14ac:dyDescent="0.25">
      <c r="C297" s="201"/>
      <c r="D297" s="198" t="s">
        <v>240</v>
      </c>
      <c r="H297" s="198" t="s">
        <v>240</v>
      </c>
      <c r="I297" s="202">
        <f t="shared" si="4"/>
        <v>126364673.7</v>
      </c>
      <c r="J297" s="202">
        <v>30.6</v>
      </c>
      <c r="L297" s="203">
        <v>0.14099999999999999</v>
      </c>
      <c r="M297" s="202">
        <v>24171264</v>
      </c>
      <c r="N297" s="204"/>
      <c r="P297" s="202"/>
      <c r="Z297" s="201"/>
      <c r="AN297" s="202">
        <v>24171264</v>
      </c>
      <c r="AO297" s="202">
        <v>24171264</v>
      </c>
      <c r="AP297" s="202">
        <v>24171264</v>
      </c>
      <c r="AQ297" s="198" t="s">
        <v>54</v>
      </c>
      <c r="AR297" s="198" t="s">
        <v>51</v>
      </c>
      <c r="AS297" s="202">
        <v>3802464</v>
      </c>
      <c r="AT297" s="202">
        <v>3802464</v>
      </c>
      <c r="AU297" s="198" t="s">
        <v>69</v>
      </c>
      <c r="AV297" s="198" t="s">
        <v>62</v>
      </c>
      <c r="AW297" s="198" t="s">
        <v>54</v>
      </c>
    </row>
    <row r="298" spans="3:49" outlineLevel="2" x14ac:dyDescent="0.25">
      <c r="C298" s="201"/>
      <c r="D298" s="198" t="s">
        <v>241</v>
      </c>
      <c r="H298" s="198" t="s">
        <v>241</v>
      </c>
      <c r="I298" s="202">
        <f t="shared" si="4"/>
        <v>126777630.14999999</v>
      </c>
      <c r="J298" s="202">
        <v>30.7</v>
      </c>
      <c r="L298" s="203">
        <v>0.10199999999999999</v>
      </c>
      <c r="M298" s="202">
        <v>17582400</v>
      </c>
      <c r="N298" s="204"/>
      <c r="P298" s="202"/>
      <c r="Z298" s="201"/>
      <c r="AN298" s="202">
        <v>17582400</v>
      </c>
      <c r="AO298" s="202">
        <v>17582400</v>
      </c>
      <c r="AP298" s="202">
        <v>17582400</v>
      </c>
      <c r="AQ298" s="198" t="s">
        <v>54</v>
      </c>
      <c r="AR298" s="198" t="s">
        <v>51</v>
      </c>
      <c r="AS298" s="202">
        <v>6156000</v>
      </c>
      <c r="AT298" s="202">
        <v>6156000</v>
      </c>
      <c r="AU298" s="198" t="s">
        <v>69</v>
      </c>
      <c r="AV298" s="198" t="s">
        <v>62</v>
      </c>
      <c r="AW298" s="198" t="s">
        <v>54</v>
      </c>
    </row>
    <row r="299" spans="3:49" outlineLevel="2" x14ac:dyDescent="0.25">
      <c r="C299" s="201"/>
      <c r="D299" s="198" t="s">
        <v>242</v>
      </c>
      <c r="H299" s="198" t="s">
        <v>242</v>
      </c>
      <c r="I299" s="202">
        <f t="shared" si="4"/>
        <v>127190586.60000001</v>
      </c>
      <c r="J299" s="202">
        <v>30.8</v>
      </c>
      <c r="L299" s="203">
        <v>0.36399999999999999</v>
      </c>
      <c r="M299" s="202">
        <v>62683880.560000002</v>
      </c>
      <c r="N299" s="204"/>
      <c r="P299" s="202"/>
      <c r="Z299" s="201"/>
      <c r="AN299" s="202">
        <v>62683880.560000002</v>
      </c>
      <c r="AO299" s="202">
        <v>62683880.560000002</v>
      </c>
      <c r="AP299" s="202">
        <v>62683880.560000002</v>
      </c>
      <c r="AQ299" s="198" t="s">
        <v>54</v>
      </c>
      <c r="AR299" s="198" t="s">
        <v>51</v>
      </c>
      <c r="AS299" s="202">
        <v>2324672.56</v>
      </c>
      <c r="AT299" s="202">
        <v>2324672.56</v>
      </c>
      <c r="AU299" s="198" t="s">
        <v>69</v>
      </c>
      <c r="AV299" s="198" t="s">
        <v>62</v>
      </c>
      <c r="AW299" s="198" t="s">
        <v>54</v>
      </c>
    </row>
    <row r="300" spans="3:49" outlineLevel="2" x14ac:dyDescent="0.25">
      <c r="C300" s="201"/>
      <c r="D300" s="198" t="s">
        <v>243</v>
      </c>
      <c r="H300" s="198" t="s">
        <v>243</v>
      </c>
      <c r="I300" s="202">
        <f t="shared" si="4"/>
        <v>127603543.05</v>
      </c>
      <c r="J300" s="202">
        <v>30.9</v>
      </c>
      <c r="L300" s="203">
        <v>0.28599999999999998</v>
      </c>
      <c r="M300" s="202">
        <v>49155964</v>
      </c>
      <c r="N300" s="204"/>
      <c r="P300" s="202"/>
      <c r="Z300" s="201"/>
      <c r="AN300" s="202">
        <v>49155964</v>
      </c>
      <c r="AO300" s="202">
        <v>49155964</v>
      </c>
      <c r="AP300" s="202">
        <v>49155964</v>
      </c>
      <c r="AQ300" s="198" t="s">
        <v>54</v>
      </c>
      <c r="AR300" s="198" t="s">
        <v>51</v>
      </c>
      <c r="AS300" s="202">
        <v>3859600</v>
      </c>
      <c r="AT300" s="202">
        <v>3859600</v>
      </c>
      <c r="AU300" s="198" t="s">
        <v>69</v>
      </c>
      <c r="AV300" s="198" t="s">
        <v>62</v>
      </c>
      <c r="AW300" s="198" t="s">
        <v>54</v>
      </c>
    </row>
    <row r="301" spans="3:49" outlineLevel="2" x14ac:dyDescent="0.25">
      <c r="C301" s="201"/>
      <c r="D301" s="198" t="s">
        <v>244</v>
      </c>
      <c r="H301" s="198" t="s">
        <v>244</v>
      </c>
      <c r="I301" s="202">
        <f t="shared" si="4"/>
        <v>128016499.5</v>
      </c>
      <c r="J301" s="202">
        <v>31</v>
      </c>
      <c r="L301" s="203">
        <v>1.2E-2</v>
      </c>
      <c r="M301" s="202">
        <v>2070000</v>
      </c>
      <c r="N301" s="204"/>
      <c r="P301" s="202"/>
      <c r="Z301" s="201"/>
      <c r="AN301" s="202">
        <v>2070000</v>
      </c>
      <c r="AO301" s="202">
        <v>2070000</v>
      </c>
      <c r="AP301" s="202">
        <v>2070000</v>
      </c>
      <c r="AQ301" s="198" t="s">
        <v>54</v>
      </c>
      <c r="AR301" s="198" t="s">
        <v>51</v>
      </c>
      <c r="AS301" s="202">
        <v>450000</v>
      </c>
      <c r="AT301" s="202">
        <v>450000</v>
      </c>
      <c r="AU301" s="198" t="s">
        <v>69</v>
      </c>
      <c r="AV301" s="198" t="s">
        <v>62</v>
      </c>
      <c r="AW301" s="198" t="s">
        <v>54</v>
      </c>
    </row>
    <row r="302" spans="3:49" outlineLevel="2" x14ac:dyDescent="0.25">
      <c r="C302" s="201"/>
      <c r="D302" s="198" t="s">
        <v>245</v>
      </c>
      <c r="H302" s="198" t="s">
        <v>245</v>
      </c>
      <c r="I302" s="202">
        <f t="shared" si="4"/>
        <v>128429455.95</v>
      </c>
      <c r="J302" s="202">
        <v>31.1</v>
      </c>
      <c r="L302" s="203">
        <v>4.1000000000000002E-2</v>
      </c>
      <c r="M302" s="202">
        <v>7074283</v>
      </c>
      <c r="N302" s="204"/>
      <c r="P302" s="202"/>
      <c r="Z302" s="201"/>
      <c r="AN302" s="202">
        <v>7074283</v>
      </c>
      <c r="AO302" s="202">
        <v>7074283</v>
      </c>
      <c r="AP302" s="202">
        <v>7074283</v>
      </c>
      <c r="AQ302" s="198" t="s">
        <v>54</v>
      </c>
      <c r="AR302" s="198" t="s">
        <v>51</v>
      </c>
      <c r="AS302" s="202">
        <v>2092307</v>
      </c>
      <c r="AT302" s="202">
        <v>2092307</v>
      </c>
      <c r="AU302" s="198" t="s">
        <v>69</v>
      </c>
      <c r="AV302" s="198" t="s">
        <v>62</v>
      </c>
      <c r="AW302" s="198" t="s">
        <v>54</v>
      </c>
    </row>
    <row r="303" spans="3:49" outlineLevel="2" x14ac:dyDescent="0.25">
      <c r="C303" s="201"/>
      <c r="D303" s="198" t="s">
        <v>246</v>
      </c>
      <c r="H303" s="198" t="s">
        <v>246</v>
      </c>
      <c r="I303" s="202">
        <f t="shared" si="4"/>
        <v>128842412.39999999</v>
      </c>
      <c r="J303" s="202">
        <v>31.2</v>
      </c>
      <c r="L303" s="203">
        <v>8.7999999999999995E-2</v>
      </c>
      <c r="M303" s="202">
        <v>18233600</v>
      </c>
      <c r="N303" s="204"/>
      <c r="P303" s="202"/>
      <c r="Z303" s="201"/>
      <c r="AN303" s="202">
        <v>18233600</v>
      </c>
      <c r="AO303" s="202">
        <v>18233600</v>
      </c>
      <c r="AP303" s="202">
        <v>18233600</v>
      </c>
      <c r="AQ303" s="198" t="s">
        <v>54</v>
      </c>
      <c r="AR303" s="198" t="s">
        <v>51</v>
      </c>
      <c r="AS303" s="202">
        <v>6384000</v>
      </c>
      <c r="AT303" s="202">
        <v>6384000</v>
      </c>
      <c r="AU303" s="198" t="s">
        <v>69</v>
      </c>
      <c r="AV303" s="198" t="s">
        <v>62</v>
      </c>
      <c r="AW303" s="198" t="s">
        <v>54</v>
      </c>
    </row>
    <row r="304" spans="3:49" outlineLevel="2" x14ac:dyDescent="0.25">
      <c r="C304" s="201"/>
      <c r="D304" s="198" t="s">
        <v>247</v>
      </c>
      <c r="H304" s="198" t="s">
        <v>247</v>
      </c>
      <c r="I304" s="202">
        <f t="shared" si="4"/>
        <v>129255368.85000001</v>
      </c>
      <c r="J304" s="202">
        <v>31.3</v>
      </c>
      <c r="L304" s="203">
        <v>1.0999999999999999E-2</v>
      </c>
      <c r="M304" s="202">
        <v>2300000</v>
      </c>
      <c r="N304" s="204"/>
      <c r="P304" s="202"/>
      <c r="Z304" s="201"/>
      <c r="AN304" s="202">
        <v>2300000</v>
      </c>
      <c r="AO304" s="202">
        <v>2300000</v>
      </c>
      <c r="AP304" s="202">
        <v>2300000</v>
      </c>
      <c r="AQ304" s="198" t="s">
        <v>54</v>
      </c>
      <c r="AR304" s="198" t="s">
        <v>51</v>
      </c>
      <c r="AS304" s="202">
        <v>500000</v>
      </c>
      <c r="AT304" s="202">
        <v>500000</v>
      </c>
      <c r="AU304" s="198" t="s">
        <v>69</v>
      </c>
      <c r="AV304" s="198" t="s">
        <v>62</v>
      </c>
      <c r="AW304" s="198" t="s">
        <v>54</v>
      </c>
    </row>
    <row r="305" spans="3:49" outlineLevel="2" x14ac:dyDescent="0.25">
      <c r="C305" s="201"/>
      <c r="D305" s="198" t="s">
        <v>249</v>
      </c>
      <c r="H305" s="198" t="s">
        <v>249</v>
      </c>
      <c r="I305" s="202">
        <f t="shared" si="4"/>
        <v>129668325.3</v>
      </c>
      <c r="J305" s="202">
        <v>31.4</v>
      </c>
      <c r="L305" s="203">
        <v>0.122</v>
      </c>
      <c r="M305" s="202">
        <v>25066496</v>
      </c>
      <c r="N305" s="204"/>
      <c r="P305" s="202"/>
      <c r="Z305" s="201"/>
      <c r="AN305" s="202">
        <v>25066496</v>
      </c>
      <c r="AO305" s="202">
        <v>25066496</v>
      </c>
      <c r="AP305" s="202">
        <v>25066496</v>
      </c>
      <c r="AQ305" s="198" t="s">
        <v>54</v>
      </c>
      <c r="AR305" s="198" t="s">
        <v>51</v>
      </c>
      <c r="AS305" s="202">
        <v>3943296</v>
      </c>
      <c r="AT305" s="202">
        <v>3943296</v>
      </c>
      <c r="AU305" s="198" t="s">
        <v>69</v>
      </c>
      <c r="AV305" s="198" t="s">
        <v>62</v>
      </c>
      <c r="AW305" s="198" t="s">
        <v>54</v>
      </c>
    </row>
    <row r="306" spans="3:49" outlineLevel="2" x14ac:dyDescent="0.25">
      <c r="C306" s="201"/>
      <c r="D306" s="198" t="s">
        <v>251</v>
      </c>
      <c r="H306" s="198" t="s">
        <v>251</v>
      </c>
      <c r="I306" s="202">
        <f t="shared" si="4"/>
        <v>130081281.75</v>
      </c>
      <c r="J306" s="202">
        <v>31.5</v>
      </c>
      <c r="L306" s="203">
        <v>0.249</v>
      </c>
      <c r="M306" s="202">
        <v>51190546</v>
      </c>
      <c r="N306" s="204"/>
      <c r="P306" s="202"/>
      <c r="Z306" s="201"/>
      <c r="AN306" s="202">
        <v>51190546</v>
      </c>
      <c r="AO306" s="202">
        <v>51190546</v>
      </c>
      <c r="AP306" s="202">
        <v>51190546</v>
      </c>
      <c r="AQ306" s="198" t="s">
        <v>54</v>
      </c>
      <c r="AR306" s="198" t="s">
        <v>51</v>
      </c>
      <c r="AS306" s="202">
        <v>4044530</v>
      </c>
      <c r="AT306" s="202">
        <v>4044530</v>
      </c>
      <c r="AU306" s="198" t="s">
        <v>69</v>
      </c>
      <c r="AV306" s="198" t="s">
        <v>62</v>
      </c>
      <c r="AW306" s="198" t="s">
        <v>54</v>
      </c>
    </row>
    <row r="307" spans="3:49" outlineLevel="2" x14ac:dyDescent="0.25">
      <c r="C307" s="201"/>
      <c r="D307" s="198" t="s">
        <v>252</v>
      </c>
      <c r="H307" s="198" t="s">
        <v>252</v>
      </c>
      <c r="I307" s="202">
        <f t="shared" si="4"/>
        <v>130494238.2</v>
      </c>
      <c r="J307" s="202">
        <v>31.6</v>
      </c>
      <c r="L307" s="203">
        <v>0.39800000000000002</v>
      </c>
      <c r="M307" s="202">
        <v>81718408.590000004</v>
      </c>
      <c r="N307" s="204"/>
      <c r="P307" s="202"/>
      <c r="Z307" s="201"/>
      <c r="AN307" s="202">
        <v>81718408.590000004</v>
      </c>
      <c r="AO307" s="202">
        <v>81718408.590000004</v>
      </c>
      <c r="AP307" s="202">
        <v>81718408.590000004</v>
      </c>
      <c r="AQ307" s="198" t="s">
        <v>54</v>
      </c>
      <c r="AR307" s="198" t="s">
        <v>51</v>
      </c>
      <c r="AS307" s="202">
        <v>2753840.59</v>
      </c>
      <c r="AT307" s="202">
        <v>2753840.59</v>
      </c>
      <c r="AU307" s="198" t="s">
        <v>69</v>
      </c>
      <c r="AV307" s="198" t="s">
        <v>62</v>
      </c>
      <c r="AW307" s="198" t="s">
        <v>54</v>
      </c>
    </row>
    <row r="308" spans="3:49" outlineLevel="2" x14ac:dyDescent="0.25">
      <c r="C308" s="201"/>
      <c r="D308" s="198" t="s">
        <v>253</v>
      </c>
      <c r="H308" s="198" t="s">
        <v>253</v>
      </c>
      <c r="I308" s="202">
        <f t="shared" si="4"/>
        <v>130907194.64999999</v>
      </c>
      <c r="J308" s="202">
        <v>31.7</v>
      </c>
      <c r="L308" s="203">
        <v>3.5000000000000003E-2</v>
      </c>
      <c r="M308" s="202">
        <v>7111116</v>
      </c>
      <c r="N308" s="204"/>
      <c r="P308" s="202"/>
      <c r="Z308" s="201"/>
      <c r="AN308" s="202">
        <v>7111116</v>
      </c>
      <c r="AO308" s="202">
        <v>7111116</v>
      </c>
      <c r="AP308" s="202">
        <v>7111116</v>
      </c>
      <c r="AQ308" s="198" t="s">
        <v>54</v>
      </c>
      <c r="AR308" s="198" t="s">
        <v>51</v>
      </c>
      <c r="AS308" s="202">
        <v>2119824</v>
      </c>
      <c r="AT308" s="202">
        <v>2119824</v>
      </c>
      <c r="AU308" s="198" t="s">
        <v>69</v>
      </c>
      <c r="AV308" s="198" t="s">
        <v>62</v>
      </c>
      <c r="AW308" s="198" t="s">
        <v>54</v>
      </c>
    </row>
    <row r="309" spans="3:49" outlineLevel="2" x14ac:dyDescent="0.25">
      <c r="C309" s="201"/>
      <c r="D309" s="198" t="s">
        <v>254</v>
      </c>
      <c r="H309" s="198" t="s">
        <v>254</v>
      </c>
      <c r="I309" s="202">
        <f t="shared" si="4"/>
        <v>131320151.10000001</v>
      </c>
      <c r="J309" s="202">
        <v>31.8</v>
      </c>
      <c r="L309" s="203">
        <v>0.14599999999999999</v>
      </c>
      <c r="M309" s="202">
        <v>24171264</v>
      </c>
      <c r="N309" s="204"/>
      <c r="P309" s="202"/>
      <c r="Z309" s="201"/>
      <c r="AN309" s="202">
        <v>24171264</v>
      </c>
      <c r="AO309" s="202">
        <v>24171264</v>
      </c>
      <c r="AP309" s="202">
        <v>24171264</v>
      </c>
      <c r="AQ309" s="198" t="s">
        <v>54</v>
      </c>
      <c r="AR309" s="198" t="s">
        <v>51</v>
      </c>
      <c r="AS309" s="202">
        <v>3802464</v>
      </c>
      <c r="AT309" s="202">
        <v>3802464</v>
      </c>
      <c r="AU309" s="198" t="s">
        <v>69</v>
      </c>
      <c r="AV309" s="198" t="s">
        <v>62</v>
      </c>
      <c r="AW309" s="198" t="s">
        <v>54</v>
      </c>
    </row>
    <row r="310" spans="3:49" outlineLevel="2" x14ac:dyDescent="0.25">
      <c r="C310" s="201"/>
      <c r="D310" s="198" t="s">
        <v>158</v>
      </c>
      <c r="H310" s="198" t="s">
        <v>158</v>
      </c>
      <c r="I310" s="202">
        <f t="shared" si="4"/>
        <v>131733107.55</v>
      </c>
      <c r="J310" s="202">
        <v>31.9</v>
      </c>
      <c r="L310" s="203">
        <v>0.106</v>
      </c>
      <c r="M310" s="202">
        <v>17582400</v>
      </c>
      <c r="N310" s="204"/>
      <c r="P310" s="202"/>
      <c r="Z310" s="201"/>
      <c r="AN310" s="202">
        <v>17582400</v>
      </c>
      <c r="AO310" s="202">
        <v>17582400</v>
      </c>
      <c r="AP310" s="202">
        <v>17582400</v>
      </c>
      <c r="AQ310" s="198" t="s">
        <v>54</v>
      </c>
      <c r="AR310" s="198" t="s">
        <v>51</v>
      </c>
      <c r="AS310" s="202">
        <v>6156000</v>
      </c>
      <c r="AT310" s="202">
        <v>6156000</v>
      </c>
      <c r="AU310" s="198" t="s">
        <v>69</v>
      </c>
      <c r="AV310" s="198" t="s">
        <v>62</v>
      </c>
      <c r="AW310" s="198" t="s">
        <v>54</v>
      </c>
    </row>
    <row r="311" spans="3:49" outlineLevel="2" x14ac:dyDescent="0.25">
      <c r="C311" s="201"/>
      <c r="D311" s="198" t="s">
        <v>255</v>
      </c>
      <c r="H311" s="198" t="s">
        <v>255</v>
      </c>
      <c r="I311" s="202">
        <f t="shared" si="4"/>
        <v>132146064</v>
      </c>
      <c r="J311" s="202">
        <v>32</v>
      </c>
      <c r="L311" s="203">
        <v>1.2E-2</v>
      </c>
      <c r="M311" s="202">
        <v>2070000</v>
      </c>
      <c r="N311" s="204"/>
      <c r="P311" s="202"/>
      <c r="Z311" s="201"/>
      <c r="AN311" s="202">
        <v>2070000</v>
      </c>
      <c r="AO311" s="202">
        <v>2070000</v>
      </c>
      <c r="AP311" s="202">
        <v>2070000</v>
      </c>
      <c r="AQ311" s="198" t="s">
        <v>54</v>
      </c>
      <c r="AR311" s="198" t="s">
        <v>51</v>
      </c>
      <c r="AS311" s="202">
        <v>450000</v>
      </c>
      <c r="AT311" s="202">
        <v>450000</v>
      </c>
      <c r="AU311" s="198" t="s">
        <v>69</v>
      </c>
      <c r="AV311" s="198" t="s">
        <v>62</v>
      </c>
      <c r="AW311" s="198" t="s">
        <v>54</v>
      </c>
    </row>
    <row r="312" spans="3:49" outlineLevel="2" x14ac:dyDescent="0.25">
      <c r="C312" s="201"/>
      <c r="D312" s="198" t="s">
        <v>256</v>
      </c>
      <c r="H312" s="198" t="s">
        <v>256</v>
      </c>
      <c r="I312" s="202">
        <f t="shared" si="4"/>
        <v>132559020.45</v>
      </c>
      <c r="J312" s="202">
        <v>32.1</v>
      </c>
      <c r="L312" s="203">
        <v>0.38700000000000001</v>
      </c>
      <c r="M312" s="202">
        <v>64453317.490000002</v>
      </c>
      <c r="N312" s="204"/>
      <c r="P312" s="202"/>
      <c r="Z312" s="201"/>
      <c r="AN312" s="202">
        <v>64453317.490000002</v>
      </c>
      <c r="AO312" s="202">
        <v>64453317.490000002</v>
      </c>
      <c r="AP312" s="202">
        <v>64453317.490000002</v>
      </c>
      <c r="AQ312" s="198" t="s">
        <v>54</v>
      </c>
      <c r="AR312" s="198" t="s">
        <v>51</v>
      </c>
      <c r="AS312" s="202">
        <v>2102528.4900000002</v>
      </c>
      <c r="AT312" s="202">
        <v>2102528.4900000002</v>
      </c>
      <c r="AU312" s="198" t="s">
        <v>69</v>
      </c>
      <c r="AV312" s="198" t="s">
        <v>62</v>
      </c>
      <c r="AW312" s="198" t="s">
        <v>54</v>
      </c>
    </row>
    <row r="313" spans="3:49" outlineLevel="2" x14ac:dyDescent="0.25">
      <c r="C313" s="201"/>
      <c r="D313" s="198" t="s">
        <v>257</v>
      </c>
      <c r="H313" s="198" t="s">
        <v>257</v>
      </c>
      <c r="I313" s="202">
        <f t="shared" si="4"/>
        <v>132971976.90000001</v>
      </c>
      <c r="J313" s="202">
        <v>32.200000000000003</v>
      </c>
      <c r="L313" s="203">
        <v>4.2999999999999997E-2</v>
      </c>
      <c r="M313" s="202">
        <v>7095983</v>
      </c>
      <c r="N313" s="204"/>
      <c r="P313" s="202"/>
      <c r="Z313" s="201"/>
      <c r="AN313" s="202">
        <v>7095983</v>
      </c>
      <c r="AO313" s="202">
        <v>7095983</v>
      </c>
      <c r="AP313" s="202">
        <v>7095983</v>
      </c>
      <c r="AQ313" s="198" t="s">
        <v>54</v>
      </c>
      <c r="AR313" s="198" t="s">
        <v>51</v>
      </c>
      <c r="AS313" s="202">
        <v>2103157</v>
      </c>
      <c r="AT313" s="202">
        <v>2103157</v>
      </c>
      <c r="AU313" s="198" t="s">
        <v>69</v>
      </c>
      <c r="AV313" s="198" t="s">
        <v>62</v>
      </c>
      <c r="AW313" s="198" t="s">
        <v>54</v>
      </c>
    </row>
    <row r="314" spans="3:49" outlineLevel="2" x14ac:dyDescent="0.25">
      <c r="C314" s="201"/>
      <c r="D314" s="198" t="s">
        <v>258</v>
      </c>
      <c r="H314" s="198" t="s">
        <v>258</v>
      </c>
      <c r="I314" s="202">
        <f t="shared" si="4"/>
        <v>133384933.34999999</v>
      </c>
      <c r="J314" s="202">
        <v>32.299999999999997</v>
      </c>
      <c r="L314" s="203">
        <v>0.255</v>
      </c>
      <c r="M314" s="202">
        <v>42524910</v>
      </c>
      <c r="N314" s="204"/>
      <c r="P314" s="202"/>
      <c r="Z314" s="201"/>
      <c r="AN314" s="202">
        <v>42524910</v>
      </c>
      <c r="AO314" s="202">
        <v>42524910</v>
      </c>
      <c r="AP314" s="202">
        <v>42524910</v>
      </c>
      <c r="AQ314" s="198" t="s">
        <v>54</v>
      </c>
      <c r="AR314" s="198" t="s">
        <v>51</v>
      </c>
      <c r="AS314" s="202">
        <v>3344254.24</v>
      </c>
      <c r="AT314" s="202">
        <v>3344254.24</v>
      </c>
      <c r="AU314" s="198" t="s">
        <v>69</v>
      </c>
      <c r="AV314" s="198" t="s">
        <v>62</v>
      </c>
      <c r="AW314" s="198" t="s">
        <v>54</v>
      </c>
    </row>
    <row r="315" spans="3:49" outlineLevel="2" x14ac:dyDescent="0.25">
      <c r="C315" s="201"/>
      <c r="D315" s="198" t="s">
        <v>259</v>
      </c>
      <c r="H315" s="198" t="s">
        <v>259</v>
      </c>
      <c r="I315" s="202">
        <f t="shared" si="4"/>
        <v>133797889.8</v>
      </c>
      <c r="J315" s="202">
        <v>32.4</v>
      </c>
      <c r="L315" s="203">
        <v>0.10199999999999999</v>
      </c>
      <c r="M315" s="202">
        <v>15628800</v>
      </c>
      <c r="N315" s="204"/>
      <c r="P315" s="202"/>
      <c r="Z315" s="201"/>
      <c r="AN315" s="202">
        <v>15628800</v>
      </c>
      <c r="AO315" s="202">
        <v>15628800</v>
      </c>
      <c r="AP315" s="202">
        <v>15628800</v>
      </c>
      <c r="AQ315" s="198" t="s">
        <v>54</v>
      </c>
      <c r="AR315" s="198" t="s">
        <v>51</v>
      </c>
      <c r="AS315" s="202">
        <v>5472000</v>
      </c>
      <c r="AT315" s="202">
        <v>5472000</v>
      </c>
      <c r="AU315" s="198" t="s">
        <v>69</v>
      </c>
      <c r="AV315" s="198" t="s">
        <v>62</v>
      </c>
      <c r="AW315" s="198" t="s">
        <v>54</v>
      </c>
    </row>
    <row r="316" spans="3:49" outlineLevel="2" x14ac:dyDescent="0.25">
      <c r="C316" s="201"/>
      <c r="D316" s="198" t="s">
        <v>260</v>
      </c>
      <c r="H316" s="198" t="s">
        <v>260</v>
      </c>
      <c r="I316" s="202">
        <f t="shared" si="4"/>
        <v>134210846.25</v>
      </c>
      <c r="J316" s="202">
        <v>32.5</v>
      </c>
      <c r="L316" s="203">
        <v>1.2E-2</v>
      </c>
      <c r="M316" s="202">
        <v>1840000</v>
      </c>
      <c r="N316" s="204"/>
      <c r="P316" s="202"/>
      <c r="Z316" s="201"/>
      <c r="AN316" s="202">
        <v>1840000</v>
      </c>
      <c r="AO316" s="202">
        <v>1840000</v>
      </c>
      <c r="AP316" s="202">
        <v>1840000</v>
      </c>
      <c r="AQ316" s="198" t="s">
        <v>54</v>
      </c>
      <c r="AR316" s="198" t="s">
        <v>51</v>
      </c>
      <c r="AS316" s="202">
        <v>400000</v>
      </c>
      <c r="AT316" s="202">
        <v>400000</v>
      </c>
      <c r="AU316" s="198" t="s">
        <v>69</v>
      </c>
      <c r="AV316" s="198" t="s">
        <v>62</v>
      </c>
      <c r="AW316" s="198" t="s">
        <v>54</v>
      </c>
    </row>
    <row r="317" spans="3:49" outlineLevel="2" x14ac:dyDescent="0.25">
      <c r="C317" s="201"/>
      <c r="D317" s="198" t="s">
        <v>261</v>
      </c>
      <c r="H317" s="198" t="s">
        <v>261</v>
      </c>
      <c r="I317" s="202">
        <f t="shared" si="4"/>
        <v>134623802.70000002</v>
      </c>
      <c r="J317" s="202">
        <v>32.6</v>
      </c>
      <c r="L317" s="203">
        <v>0.14000000000000001</v>
      </c>
      <c r="M317" s="202">
        <v>21485568</v>
      </c>
      <c r="N317" s="204"/>
      <c r="P317" s="202"/>
      <c r="Z317" s="201"/>
      <c r="AN317" s="202">
        <v>21485568</v>
      </c>
      <c r="AO317" s="202">
        <v>21485568</v>
      </c>
      <c r="AP317" s="202">
        <v>21485568</v>
      </c>
      <c r="AQ317" s="198" t="s">
        <v>54</v>
      </c>
      <c r="AR317" s="198" t="s">
        <v>51</v>
      </c>
      <c r="AS317" s="202">
        <v>3379968</v>
      </c>
      <c r="AT317" s="202">
        <v>3379968</v>
      </c>
      <c r="AU317" s="198" t="s">
        <v>69</v>
      </c>
      <c r="AV317" s="198" t="s">
        <v>62</v>
      </c>
      <c r="AW317" s="198" t="s">
        <v>54</v>
      </c>
    </row>
    <row r="318" spans="3:49" outlineLevel="2" x14ac:dyDescent="0.25">
      <c r="C318" s="201"/>
      <c r="D318" s="198" t="s">
        <v>262</v>
      </c>
      <c r="H318" s="198" t="s">
        <v>262</v>
      </c>
      <c r="I318" s="202">
        <f t="shared" si="4"/>
        <v>135036759.15000001</v>
      </c>
      <c r="J318" s="202">
        <v>32.700000000000003</v>
      </c>
      <c r="L318" s="203">
        <v>0.25700000000000001</v>
      </c>
      <c r="M318" s="202">
        <v>39434977.25</v>
      </c>
      <c r="N318" s="204"/>
      <c r="P318" s="202"/>
      <c r="Z318" s="201"/>
      <c r="AN318" s="202">
        <v>39434977.25</v>
      </c>
      <c r="AO318" s="202">
        <v>39434977.25</v>
      </c>
      <c r="AP318" s="202">
        <v>39434977.25</v>
      </c>
      <c r="AQ318" s="198" t="s">
        <v>54</v>
      </c>
      <c r="AR318" s="198" t="s">
        <v>51</v>
      </c>
      <c r="AS318" s="202">
        <v>3101128.37</v>
      </c>
      <c r="AT318" s="202">
        <v>3101128.37</v>
      </c>
      <c r="AU318" s="198" t="s">
        <v>69</v>
      </c>
      <c r="AV318" s="198" t="s">
        <v>62</v>
      </c>
      <c r="AW318" s="198" t="s">
        <v>54</v>
      </c>
    </row>
    <row r="319" spans="3:49" outlineLevel="2" x14ac:dyDescent="0.25">
      <c r="C319" s="201"/>
      <c r="D319" s="198" t="s">
        <v>263</v>
      </c>
      <c r="H319" s="198" t="s">
        <v>263</v>
      </c>
      <c r="I319" s="202">
        <f t="shared" si="4"/>
        <v>135449715.59999999</v>
      </c>
      <c r="J319" s="202">
        <v>32.799999999999997</v>
      </c>
      <c r="L319" s="203">
        <v>0.39900000000000002</v>
      </c>
      <c r="M319" s="202">
        <v>61103039.600000001</v>
      </c>
      <c r="N319" s="204"/>
      <c r="P319" s="202"/>
      <c r="Z319" s="201"/>
      <c r="AN319" s="202">
        <v>61103039.600000001</v>
      </c>
      <c r="AO319" s="202">
        <v>61103039.600000001</v>
      </c>
      <c r="AP319" s="202">
        <v>61103039.600000001</v>
      </c>
      <c r="AQ319" s="198" t="s">
        <v>54</v>
      </c>
      <c r="AR319" s="198" t="s">
        <v>51</v>
      </c>
      <c r="AS319" s="202">
        <v>1911957.6</v>
      </c>
      <c r="AT319" s="202">
        <v>1911957.6</v>
      </c>
      <c r="AU319" s="198" t="s">
        <v>69</v>
      </c>
      <c r="AV319" s="198" t="s">
        <v>62</v>
      </c>
      <c r="AW319" s="198" t="s">
        <v>54</v>
      </c>
    </row>
    <row r="320" spans="3:49" outlineLevel="2" x14ac:dyDescent="0.25">
      <c r="C320" s="201"/>
      <c r="D320" s="198" t="s">
        <v>264</v>
      </c>
      <c r="H320" s="198" t="s">
        <v>264</v>
      </c>
      <c r="I320" s="202">
        <f t="shared" si="4"/>
        <v>135862672.04999998</v>
      </c>
      <c r="J320" s="202">
        <v>32.9</v>
      </c>
      <c r="L320" s="203">
        <v>4.1000000000000002E-2</v>
      </c>
      <c r="M320" s="202">
        <v>6310173</v>
      </c>
      <c r="N320" s="204"/>
      <c r="P320" s="202"/>
      <c r="Z320" s="201"/>
      <c r="AN320" s="202">
        <v>6310173</v>
      </c>
      <c r="AO320" s="202">
        <v>6310173</v>
      </c>
      <c r="AP320" s="202">
        <v>6310173</v>
      </c>
      <c r="AQ320" s="198" t="s">
        <v>54</v>
      </c>
      <c r="AR320" s="198" t="s">
        <v>51</v>
      </c>
      <c r="AS320" s="202">
        <v>1871419</v>
      </c>
      <c r="AT320" s="202">
        <v>1871419</v>
      </c>
      <c r="AU320" s="198" t="s">
        <v>69</v>
      </c>
      <c r="AV320" s="198" t="s">
        <v>62</v>
      </c>
      <c r="AW320" s="198" t="s">
        <v>54</v>
      </c>
    </row>
    <row r="321" spans="3:49" outlineLevel="2" x14ac:dyDescent="0.25">
      <c r="C321" s="201"/>
      <c r="D321" s="198" t="s">
        <v>265</v>
      </c>
      <c r="H321" s="198" t="s">
        <v>265</v>
      </c>
      <c r="I321" s="202">
        <f t="shared" si="4"/>
        <v>136275628.5</v>
      </c>
      <c r="J321" s="202">
        <v>33</v>
      </c>
      <c r="L321" s="203">
        <v>8.8999999999999996E-2</v>
      </c>
      <c r="M321" s="202">
        <v>9768000</v>
      </c>
      <c r="N321" s="204"/>
      <c r="P321" s="202"/>
      <c r="Z321" s="201"/>
      <c r="AN321" s="202">
        <v>9768000</v>
      </c>
      <c r="AO321" s="202">
        <v>9768000</v>
      </c>
      <c r="AP321" s="202">
        <v>9768000</v>
      </c>
      <c r="AQ321" s="198" t="s">
        <v>54</v>
      </c>
      <c r="AR321" s="198" t="s">
        <v>51</v>
      </c>
      <c r="AS321" s="202">
        <v>3420000</v>
      </c>
      <c r="AT321" s="202">
        <v>3420000</v>
      </c>
      <c r="AU321" s="198" t="s">
        <v>69</v>
      </c>
      <c r="AV321" s="198" t="s">
        <v>62</v>
      </c>
      <c r="AW321" s="198" t="s">
        <v>54</v>
      </c>
    </row>
    <row r="322" spans="3:49" outlineLevel="2" x14ac:dyDescent="0.25">
      <c r="C322" s="201"/>
      <c r="D322" s="198" t="s">
        <v>266</v>
      </c>
      <c r="H322" s="198" t="s">
        <v>266</v>
      </c>
      <c r="I322" s="202">
        <f t="shared" si="4"/>
        <v>136688584.95000002</v>
      </c>
      <c r="J322" s="202">
        <v>33.1</v>
      </c>
      <c r="L322" s="203">
        <v>1.0999999999999999E-2</v>
      </c>
      <c r="M322" s="202">
        <v>1150000</v>
      </c>
      <c r="N322" s="204"/>
      <c r="P322" s="202"/>
      <c r="Z322" s="201"/>
      <c r="AN322" s="202">
        <v>1150000</v>
      </c>
      <c r="AO322" s="202">
        <v>1150000</v>
      </c>
      <c r="AP322" s="202">
        <v>1150000</v>
      </c>
      <c r="AQ322" s="198" t="s">
        <v>54</v>
      </c>
      <c r="AR322" s="198" t="s">
        <v>51</v>
      </c>
      <c r="AS322" s="202">
        <v>250000</v>
      </c>
      <c r="AT322" s="202">
        <v>250000</v>
      </c>
      <c r="AU322" s="198" t="s">
        <v>69</v>
      </c>
      <c r="AV322" s="198" t="s">
        <v>62</v>
      </c>
      <c r="AW322" s="198" t="s">
        <v>54</v>
      </c>
    </row>
    <row r="323" spans="3:49" outlineLevel="2" x14ac:dyDescent="0.25">
      <c r="C323" s="201"/>
      <c r="D323" s="198" t="s">
        <v>267</v>
      </c>
      <c r="H323" s="198" t="s">
        <v>267</v>
      </c>
      <c r="I323" s="202">
        <f t="shared" ref="I323:I386" si="5">J323*4129564.5</f>
        <v>137101541.40000001</v>
      </c>
      <c r="J323" s="202">
        <v>33.200000000000003</v>
      </c>
      <c r="L323" s="203">
        <v>0.125</v>
      </c>
      <c r="M323" s="202">
        <v>13428480</v>
      </c>
      <c r="N323" s="204"/>
      <c r="P323" s="202"/>
      <c r="Z323" s="201"/>
      <c r="AN323" s="202">
        <v>13428480</v>
      </c>
      <c r="AO323" s="202">
        <v>13428480</v>
      </c>
      <c r="AP323" s="202">
        <v>13428480</v>
      </c>
      <c r="AQ323" s="198" t="s">
        <v>54</v>
      </c>
      <c r="AR323" s="198" t="s">
        <v>51</v>
      </c>
      <c r="AS323" s="202">
        <v>2112480</v>
      </c>
      <c r="AT323" s="202">
        <v>2112480</v>
      </c>
      <c r="AU323" s="198" t="s">
        <v>69</v>
      </c>
      <c r="AV323" s="198" t="s">
        <v>62</v>
      </c>
      <c r="AW323" s="198" t="s">
        <v>54</v>
      </c>
    </row>
    <row r="324" spans="3:49" outlineLevel="2" x14ac:dyDescent="0.25">
      <c r="C324" s="201"/>
      <c r="D324" s="198" t="s">
        <v>268</v>
      </c>
      <c r="H324" s="198" t="s">
        <v>268</v>
      </c>
      <c r="I324" s="202">
        <f t="shared" si="5"/>
        <v>137514497.84999999</v>
      </c>
      <c r="J324" s="202">
        <v>33.299999999999997</v>
      </c>
      <c r="L324" s="203">
        <v>0.23</v>
      </c>
      <c r="M324" s="202">
        <v>24732661</v>
      </c>
      <c r="N324" s="204"/>
      <c r="P324" s="202"/>
      <c r="Z324" s="201"/>
      <c r="AN324" s="202">
        <v>24732661</v>
      </c>
      <c r="AO324" s="202">
        <v>24732661</v>
      </c>
      <c r="AP324" s="202">
        <v>24732661</v>
      </c>
      <c r="AQ324" s="198" t="s">
        <v>54</v>
      </c>
      <c r="AR324" s="198" t="s">
        <v>51</v>
      </c>
      <c r="AS324" s="202">
        <v>1946541.64</v>
      </c>
      <c r="AT324" s="202">
        <v>1946541.64</v>
      </c>
      <c r="AU324" s="198" t="s">
        <v>69</v>
      </c>
      <c r="AV324" s="198" t="s">
        <v>62</v>
      </c>
      <c r="AW324" s="198" t="s">
        <v>54</v>
      </c>
    </row>
    <row r="325" spans="3:49" outlineLevel="2" x14ac:dyDescent="0.25">
      <c r="C325" s="201"/>
      <c r="D325" s="198" t="s">
        <v>269</v>
      </c>
      <c r="H325" s="198" t="s">
        <v>269</v>
      </c>
      <c r="I325" s="202">
        <f t="shared" si="5"/>
        <v>137927454.29999998</v>
      </c>
      <c r="J325" s="202">
        <v>33.4</v>
      </c>
      <c r="L325" s="203">
        <v>0.436</v>
      </c>
      <c r="M325" s="202">
        <v>47013649.689999998</v>
      </c>
      <c r="N325" s="204"/>
      <c r="P325" s="202"/>
      <c r="Z325" s="201"/>
      <c r="AN325" s="202">
        <v>47013649.689999998</v>
      </c>
      <c r="AO325" s="202">
        <v>47013649.689999998</v>
      </c>
      <c r="AP325" s="202">
        <v>47013649.689999998</v>
      </c>
      <c r="AQ325" s="198" t="s">
        <v>54</v>
      </c>
      <c r="AR325" s="198" t="s">
        <v>51</v>
      </c>
      <c r="AS325" s="202">
        <v>1384233.69</v>
      </c>
      <c r="AT325" s="202">
        <v>1384233.69</v>
      </c>
      <c r="AU325" s="198" t="s">
        <v>69</v>
      </c>
      <c r="AV325" s="198" t="s">
        <v>62</v>
      </c>
      <c r="AW325" s="198" t="s">
        <v>54</v>
      </c>
    </row>
    <row r="326" spans="3:49" outlineLevel="2" x14ac:dyDescent="0.25">
      <c r="C326" s="201"/>
      <c r="D326" s="198" t="s">
        <v>270</v>
      </c>
      <c r="H326" s="198" t="s">
        <v>270</v>
      </c>
      <c r="I326" s="202">
        <f t="shared" si="5"/>
        <v>138340410.75</v>
      </c>
      <c r="J326" s="202">
        <v>33.5</v>
      </c>
      <c r="L326" s="203">
        <v>3.9E-2</v>
      </c>
      <c r="M326" s="202">
        <v>4156292</v>
      </c>
      <c r="N326" s="204"/>
      <c r="P326" s="202"/>
      <c r="Z326" s="201"/>
      <c r="AN326" s="202">
        <v>4156292</v>
      </c>
      <c r="AO326" s="202">
        <v>4156292</v>
      </c>
      <c r="AP326" s="202">
        <v>4156292</v>
      </c>
      <c r="AQ326" s="198" t="s">
        <v>54</v>
      </c>
      <c r="AR326" s="198" t="s">
        <v>51</v>
      </c>
      <c r="AS326" s="202">
        <v>1179330</v>
      </c>
      <c r="AT326" s="202">
        <v>1179330</v>
      </c>
      <c r="AU326" s="198" t="s">
        <v>69</v>
      </c>
      <c r="AV326" s="198" t="s">
        <v>62</v>
      </c>
      <c r="AW326" s="198" t="s">
        <v>54</v>
      </c>
    </row>
    <row r="327" spans="3:49" outlineLevel="2" x14ac:dyDescent="0.25">
      <c r="C327" s="201"/>
      <c r="D327" s="198" t="s">
        <v>271</v>
      </c>
      <c r="H327" s="198" t="s">
        <v>271</v>
      </c>
      <c r="I327" s="202">
        <f t="shared" si="5"/>
        <v>138753367.20000002</v>
      </c>
      <c r="J327" s="202">
        <v>33.6</v>
      </c>
      <c r="L327" s="204">
        <v>1</v>
      </c>
      <c r="M327" s="202">
        <v>964000</v>
      </c>
      <c r="N327" s="204"/>
      <c r="P327" s="202"/>
      <c r="Z327" s="201"/>
      <c r="AN327" s="202">
        <v>964000</v>
      </c>
      <c r="AO327" s="202">
        <v>964000</v>
      </c>
      <c r="AP327" s="202">
        <v>964000</v>
      </c>
      <c r="AQ327" s="198" t="s">
        <v>54</v>
      </c>
      <c r="AR327" s="198" t="s">
        <v>51</v>
      </c>
      <c r="AS327" s="202">
        <v>80000</v>
      </c>
      <c r="AT327" s="202">
        <v>80000</v>
      </c>
      <c r="AU327" s="198" t="s">
        <v>69</v>
      </c>
      <c r="AV327" s="198" t="s">
        <v>62</v>
      </c>
      <c r="AW327" s="198" t="s">
        <v>54</v>
      </c>
    </row>
    <row r="328" spans="3:49" outlineLevel="2" x14ac:dyDescent="0.25">
      <c r="C328" s="201"/>
      <c r="D328" s="198" t="s">
        <v>275</v>
      </c>
      <c r="H328" s="198" t="s">
        <v>275</v>
      </c>
      <c r="I328" s="202">
        <f t="shared" si="5"/>
        <v>139166323.65000001</v>
      </c>
      <c r="J328" s="202">
        <v>33.700000000000003</v>
      </c>
      <c r="L328" s="204">
        <v>1</v>
      </c>
      <c r="M328" s="202">
        <v>532000</v>
      </c>
      <c r="N328" s="204"/>
      <c r="P328" s="202"/>
      <c r="Z328" s="201"/>
      <c r="AN328" s="202">
        <v>532000</v>
      </c>
      <c r="AO328" s="202">
        <v>532000</v>
      </c>
      <c r="AP328" s="202">
        <v>532000</v>
      </c>
      <c r="AQ328" s="198" t="s">
        <v>54</v>
      </c>
      <c r="AR328" s="198" t="s">
        <v>51</v>
      </c>
      <c r="AS328" s="202">
        <v>80000</v>
      </c>
      <c r="AT328" s="202">
        <v>80000</v>
      </c>
      <c r="AU328" s="198" t="s">
        <v>69</v>
      </c>
      <c r="AV328" s="198" t="s">
        <v>62</v>
      </c>
      <c r="AW328" s="198" t="s">
        <v>54</v>
      </c>
    </row>
    <row r="329" spans="3:49" outlineLevel="2" x14ac:dyDescent="0.25">
      <c r="C329" s="201"/>
      <c r="D329" s="198" t="s">
        <v>276</v>
      </c>
      <c r="H329" s="198" t="s">
        <v>276</v>
      </c>
      <c r="I329" s="202">
        <f t="shared" si="5"/>
        <v>139579280.09999999</v>
      </c>
      <c r="J329" s="202">
        <v>33.799999999999997</v>
      </c>
      <c r="L329" s="204">
        <v>1</v>
      </c>
      <c r="M329" s="202">
        <v>964000</v>
      </c>
      <c r="N329" s="204"/>
      <c r="P329" s="202"/>
      <c r="Z329" s="201"/>
      <c r="AN329" s="202">
        <v>964000</v>
      </c>
      <c r="AO329" s="202">
        <v>964000</v>
      </c>
      <c r="AP329" s="202">
        <v>964000</v>
      </c>
      <c r="AQ329" s="198" t="s">
        <v>54</v>
      </c>
      <c r="AR329" s="198" t="s">
        <v>51</v>
      </c>
      <c r="AS329" s="202">
        <v>80000</v>
      </c>
      <c r="AT329" s="202">
        <v>80000</v>
      </c>
      <c r="AU329" s="198" t="s">
        <v>69</v>
      </c>
      <c r="AV329" s="198" t="s">
        <v>62</v>
      </c>
      <c r="AW329" s="198" t="s">
        <v>54</v>
      </c>
    </row>
    <row r="330" spans="3:49" outlineLevel="2" x14ac:dyDescent="0.25">
      <c r="C330" s="201"/>
      <c r="D330" s="198" t="s">
        <v>278</v>
      </c>
      <c r="H330" s="198" t="s">
        <v>278</v>
      </c>
      <c r="I330" s="202">
        <f t="shared" si="5"/>
        <v>139992236.54999998</v>
      </c>
      <c r="J330" s="202">
        <v>33.9</v>
      </c>
      <c r="L330" s="204">
        <v>1</v>
      </c>
      <c r="M330" s="202">
        <v>964000</v>
      </c>
      <c r="N330" s="204"/>
      <c r="P330" s="202"/>
      <c r="Z330" s="201"/>
      <c r="AN330" s="202">
        <v>964000</v>
      </c>
      <c r="AO330" s="202">
        <v>964000</v>
      </c>
      <c r="AP330" s="202">
        <v>964000</v>
      </c>
      <c r="AQ330" s="198" t="s">
        <v>54</v>
      </c>
      <c r="AR330" s="198" t="s">
        <v>51</v>
      </c>
      <c r="AS330" s="202">
        <v>80000</v>
      </c>
      <c r="AT330" s="202">
        <v>80000</v>
      </c>
      <c r="AU330" s="198" t="s">
        <v>69</v>
      </c>
      <c r="AV330" s="198" t="s">
        <v>62</v>
      </c>
      <c r="AW330" s="198" t="s">
        <v>54</v>
      </c>
    </row>
    <row r="331" spans="3:49" outlineLevel="2" x14ac:dyDescent="0.25">
      <c r="C331" s="201"/>
      <c r="D331" s="198" t="s">
        <v>279</v>
      </c>
      <c r="H331" s="198" t="s">
        <v>279</v>
      </c>
      <c r="I331" s="202">
        <f t="shared" si="5"/>
        <v>140405193</v>
      </c>
      <c r="J331" s="202">
        <v>34</v>
      </c>
      <c r="L331" s="203">
        <v>0.441</v>
      </c>
      <c r="M331" s="202">
        <v>1500000</v>
      </c>
      <c r="N331" s="204"/>
      <c r="P331" s="202"/>
      <c r="Z331" s="201"/>
      <c r="AN331" s="202">
        <v>1500000</v>
      </c>
      <c r="AO331" s="202">
        <v>1500000</v>
      </c>
      <c r="AP331" s="202">
        <v>1500000</v>
      </c>
      <c r="AQ331" s="198" t="s">
        <v>54</v>
      </c>
      <c r="AR331" s="198" t="s">
        <v>51</v>
      </c>
      <c r="AS331" s="202">
        <v>232800</v>
      </c>
      <c r="AT331" s="202">
        <v>232800</v>
      </c>
      <c r="AU331" s="198" t="s">
        <v>69</v>
      </c>
      <c r="AV331" s="198" t="s">
        <v>62</v>
      </c>
      <c r="AW331" s="198" t="s">
        <v>54</v>
      </c>
    </row>
    <row r="332" spans="3:49" outlineLevel="2" x14ac:dyDescent="0.25">
      <c r="C332" s="201"/>
      <c r="D332" s="198" t="s">
        <v>281</v>
      </c>
      <c r="H332" s="198" t="s">
        <v>281</v>
      </c>
      <c r="I332" s="202">
        <f t="shared" si="5"/>
        <v>140818149.45000002</v>
      </c>
      <c r="J332" s="202">
        <v>34.1</v>
      </c>
      <c r="L332" s="204">
        <v>1</v>
      </c>
      <c r="M332" s="202">
        <v>490560</v>
      </c>
      <c r="N332" s="204"/>
      <c r="P332" s="202"/>
      <c r="Z332" s="201"/>
      <c r="AN332" s="202">
        <v>490560</v>
      </c>
      <c r="AO332" s="202">
        <v>490560</v>
      </c>
      <c r="AP332" s="202">
        <v>490560</v>
      </c>
      <c r="AQ332" s="198" t="s">
        <v>54</v>
      </c>
      <c r="AR332" s="198" t="s">
        <v>51</v>
      </c>
      <c r="AS332" s="202">
        <v>490560</v>
      </c>
      <c r="AT332" s="202">
        <v>490560</v>
      </c>
      <c r="AU332" s="198" t="s">
        <v>69</v>
      </c>
      <c r="AV332" s="198" t="s">
        <v>62</v>
      </c>
      <c r="AW332" s="198" t="s">
        <v>54</v>
      </c>
    </row>
    <row r="333" spans="3:49" outlineLevel="2" x14ac:dyDescent="0.25">
      <c r="C333" s="201"/>
      <c r="D333" s="198" t="s">
        <v>276</v>
      </c>
      <c r="H333" s="198" t="s">
        <v>276</v>
      </c>
      <c r="I333" s="202">
        <f t="shared" si="5"/>
        <v>141231105.90000001</v>
      </c>
      <c r="J333" s="202">
        <v>34.200000000000003</v>
      </c>
      <c r="L333" s="204">
        <v>1</v>
      </c>
      <c r="M333" s="202">
        <v>760008</v>
      </c>
      <c r="N333" s="204"/>
      <c r="P333" s="202"/>
      <c r="Z333" s="201"/>
      <c r="AN333" s="202">
        <v>760008</v>
      </c>
      <c r="AO333" s="202">
        <v>760008</v>
      </c>
      <c r="AP333" s="202">
        <v>760008</v>
      </c>
      <c r="AQ333" s="198" t="s">
        <v>54</v>
      </c>
      <c r="AR333" s="198" t="s">
        <v>51</v>
      </c>
      <c r="AS333" s="202">
        <v>57000</v>
      </c>
      <c r="AT333" s="202">
        <v>57000</v>
      </c>
      <c r="AU333" s="198" t="s">
        <v>69</v>
      </c>
      <c r="AV333" s="198" t="s">
        <v>62</v>
      </c>
      <c r="AW333" s="198" t="s">
        <v>54</v>
      </c>
    </row>
    <row r="334" spans="3:49" outlineLevel="2" x14ac:dyDescent="0.25">
      <c r="C334" s="201"/>
      <c r="D334" s="198" t="s">
        <v>202</v>
      </c>
      <c r="H334" s="198" t="s">
        <v>202</v>
      </c>
      <c r="I334" s="202">
        <f t="shared" si="5"/>
        <v>141644062.34999999</v>
      </c>
      <c r="J334" s="202">
        <v>34.299999999999997</v>
      </c>
      <c r="L334" s="204">
        <v>1</v>
      </c>
      <c r="M334" s="202">
        <v>3567000</v>
      </c>
      <c r="N334" s="204"/>
      <c r="P334" s="202"/>
      <c r="Z334" s="201"/>
      <c r="AN334" s="202">
        <v>3567000</v>
      </c>
      <c r="AO334" s="202">
        <v>3567000</v>
      </c>
      <c r="AP334" s="202">
        <v>3567000</v>
      </c>
      <c r="AQ334" s="198" t="s">
        <v>54</v>
      </c>
      <c r="AR334" s="198" t="s">
        <v>51</v>
      </c>
      <c r="AS334" s="202">
        <v>26100</v>
      </c>
      <c r="AT334" s="202">
        <v>26100</v>
      </c>
      <c r="AU334" s="198" t="s">
        <v>69</v>
      </c>
      <c r="AV334" s="198" t="s">
        <v>62</v>
      </c>
      <c r="AW334" s="198" t="s">
        <v>54</v>
      </c>
    </row>
    <row r="335" spans="3:49" outlineLevel="2" x14ac:dyDescent="0.25">
      <c r="C335" s="201"/>
      <c r="D335" s="198" t="s">
        <v>199</v>
      </c>
      <c r="H335" s="198" t="s">
        <v>199</v>
      </c>
      <c r="I335" s="202">
        <f t="shared" si="5"/>
        <v>142057018.79999998</v>
      </c>
      <c r="J335" s="202">
        <v>34.4</v>
      </c>
      <c r="L335" s="204">
        <v>1</v>
      </c>
      <c r="M335" s="202">
        <v>3157000</v>
      </c>
      <c r="N335" s="204"/>
      <c r="P335" s="202"/>
      <c r="Z335" s="201"/>
      <c r="AN335" s="202">
        <v>3157000</v>
      </c>
      <c r="AO335" s="202">
        <v>3157000</v>
      </c>
      <c r="AP335" s="202">
        <v>3157000</v>
      </c>
      <c r="AQ335" s="198" t="s">
        <v>54</v>
      </c>
      <c r="AR335" s="198" t="s">
        <v>51</v>
      </c>
      <c r="AS335" s="202">
        <v>308000</v>
      </c>
      <c r="AT335" s="202">
        <v>308000</v>
      </c>
      <c r="AU335" s="198" t="s">
        <v>69</v>
      </c>
      <c r="AV335" s="198" t="s">
        <v>62</v>
      </c>
      <c r="AW335" s="198" t="s">
        <v>54</v>
      </c>
    </row>
    <row r="336" spans="3:49" outlineLevel="2" x14ac:dyDescent="0.25">
      <c r="C336" s="201"/>
      <c r="D336" s="198" t="s">
        <v>204</v>
      </c>
      <c r="H336" s="198" t="s">
        <v>204</v>
      </c>
      <c r="I336" s="202">
        <f t="shared" si="5"/>
        <v>142469975.25</v>
      </c>
      <c r="J336" s="202">
        <v>34.5</v>
      </c>
      <c r="L336" s="204">
        <v>1</v>
      </c>
      <c r="M336" s="202">
        <v>2036000</v>
      </c>
      <c r="N336" s="204"/>
      <c r="P336" s="202"/>
      <c r="Z336" s="201"/>
      <c r="AN336" s="202">
        <v>2036000</v>
      </c>
      <c r="AO336" s="202">
        <v>2036000</v>
      </c>
      <c r="AP336" s="202">
        <v>2036000</v>
      </c>
      <c r="AQ336" s="198" t="s">
        <v>54</v>
      </c>
      <c r="AR336" s="198" t="s">
        <v>51</v>
      </c>
      <c r="AS336" s="202">
        <v>200000</v>
      </c>
      <c r="AT336" s="202">
        <v>200000</v>
      </c>
      <c r="AU336" s="198" t="s">
        <v>69</v>
      </c>
      <c r="AV336" s="198" t="s">
        <v>62</v>
      </c>
      <c r="AW336" s="198" t="s">
        <v>54</v>
      </c>
    </row>
    <row r="337" spans="3:49" outlineLevel="2" x14ac:dyDescent="0.25">
      <c r="C337" s="201"/>
      <c r="D337" s="198" t="s">
        <v>215</v>
      </c>
      <c r="H337" s="198" t="s">
        <v>215</v>
      </c>
      <c r="I337" s="202">
        <f t="shared" si="5"/>
        <v>142882931.70000002</v>
      </c>
      <c r="J337" s="202">
        <v>34.6</v>
      </c>
      <c r="L337" s="204">
        <v>1</v>
      </c>
      <c r="M337" s="202">
        <v>3662000</v>
      </c>
      <c r="N337" s="204"/>
      <c r="P337" s="202"/>
      <c r="Z337" s="201"/>
      <c r="AN337" s="202">
        <v>3662000</v>
      </c>
      <c r="AO337" s="202">
        <v>3662000</v>
      </c>
      <c r="AP337" s="202">
        <v>3662000</v>
      </c>
      <c r="AQ337" s="198" t="s">
        <v>54</v>
      </c>
      <c r="AR337" s="198" t="s">
        <v>51</v>
      </c>
      <c r="AS337" s="202">
        <v>360000</v>
      </c>
      <c r="AT337" s="202">
        <v>360000</v>
      </c>
      <c r="AU337" s="198" t="s">
        <v>69</v>
      </c>
      <c r="AV337" s="198" t="s">
        <v>62</v>
      </c>
      <c r="AW337" s="198" t="s">
        <v>54</v>
      </c>
    </row>
    <row r="338" spans="3:49" outlineLevel="2" x14ac:dyDescent="0.25">
      <c r="C338" s="201"/>
      <c r="D338" s="198" t="s">
        <v>204</v>
      </c>
      <c r="H338" s="198" t="s">
        <v>204</v>
      </c>
      <c r="I338" s="202">
        <f t="shared" si="5"/>
        <v>143295888.15000001</v>
      </c>
      <c r="J338" s="202">
        <v>34.700000000000003</v>
      </c>
      <c r="L338" s="204">
        <v>1</v>
      </c>
      <c r="M338" s="202">
        <v>6000000</v>
      </c>
      <c r="N338" s="204"/>
      <c r="P338" s="202"/>
      <c r="Z338" s="201"/>
      <c r="AN338" s="202">
        <v>6000000</v>
      </c>
      <c r="AO338" s="202">
        <v>6000000</v>
      </c>
      <c r="AP338" s="202">
        <v>6000000</v>
      </c>
      <c r="AQ338" s="198" t="s">
        <v>54</v>
      </c>
      <c r="AR338" s="198" t="s">
        <v>51</v>
      </c>
      <c r="AS338" s="202">
        <v>1260000</v>
      </c>
      <c r="AT338" s="202">
        <v>1260000</v>
      </c>
      <c r="AU338" s="198" t="s">
        <v>69</v>
      </c>
      <c r="AV338" s="198" t="s">
        <v>62</v>
      </c>
      <c r="AW338" s="198" t="s">
        <v>54</v>
      </c>
    </row>
    <row r="339" spans="3:49" outlineLevel="2" x14ac:dyDescent="0.25">
      <c r="C339" s="201"/>
      <c r="D339" s="198" t="s">
        <v>199</v>
      </c>
      <c r="H339" s="198" t="s">
        <v>199</v>
      </c>
      <c r="I339" s="202">
        <f t="shared" si="5"/>
        <v>143708844.59999999</v>
      </c>
      <c r="J339" s="202">
        <v>34.799999999999997</v>
      </c>
      <c r="L339" s="204">
        <v>1</v>
      </c>
      <c r="M339" s="202">
        <v>9600000</v>
      </c>
      <c r="N339" s="204"/>
      <c r="P339" s="202"/>
      <c r="Z339" s="201"/>
      <c r="AN339" s="202">
        <v>9600000</v>
      </c>
      <c r="AO339" s="202">
        <v>9600000</v>
      </c>
      <c r="AP339" s="202">
        <v>9600000</v>
      </c>
      <c r="AQ339" s="198" t="s">
        <v>54</v>
      </c>
      <c r="AR339" s="198" t="s">
        <v>51</v>
      </c>
      <c r="AS339" s="202">
        <v>960000</v>
      </c>
      <c r="AT339" s="202">
        <v>960000</v>
      </c>
      <c r="AU339" s="198" t="s">
        <v>69</v>
      </c>
      <c r="AV339" s="198" t="s">
        <v>62</v>
      </c>
      <c r="AW339" s="198" t="s">
        <v>54</v>
      </c>
    </row>
    <row r="340" spans="3:49" outlineLevel="2" x14ac:dyDescent="0.25">
      <c r="C340" s="201"/>
      <c r="D340" s="198" t="s">
        <v>202</v>
      </c>
      <c r="H340" s="198" t="s">
        <v>202</v>
      </c>
      <c r="I340" s="202">
        <f t="shared" si="5"/>
        <v>144121801.04999998</v>
      </c>
      <c r="J340" s="202">
        <v>34.9</v>
      </c>
      <c r="L340" s="204">
        <v>1</v>
      </c>
      <c r="M340" s="202">
        <v>10800000</v>
      </c>
      <c r="N340" s="204"/>
      <c r="P340" s="202"/>
      <c r="Z340" s="201"/>
      <c r="AN340" s="202">
        <v>10800000</v>
      </c>
      <c r="AO340" s="202">
        <v>10800000</v>
      </c>
      <c r="AP340" s="202">
        <v>10800000</v>
      </c>
      <c r="AQ340" s="198" t="s">
        <v>54</v>
      </c>
      <c r="AR340" s="198" t="s">
        <v>51</v>
      </c>
      <c r="AS340" s="202">
        <v>1080000</v>
      </c>
      <c r="AT340" s="202">
        <v>1080000</v>
      </c>
      <c r="AU340" s="198" t="s">
        <v>69</v>
      </c>
      <c r="AV340" s="198" t="s">
        <v>62</v>
      </c>
      <c r="AW340" s="198" t="s">
        <v>54</v>
      </c>
    </row>
    <row r="341" spans="3:49" outlineLevel="2" x14ac:dyDescent="0.25">
      <c r="C341" s="201"/>
      <c r="D341" s="198" t="s">
        <v>221</v>
      </c>
      <c r="H341" s="198" t="s">
        <v>221</v>
      </c>
      <c r="I341" s="202">
        <f t="shared" si="5"/>
        <v>144534757.5</v>
      </c>
      <c r="J341" s="202">
        <v>35</v>
      </c>
      <c r="L341" s="204">
        <v>1</v>
      </c>
      <c r="M341" s="202">
        <v>11200000</v>
      </c>
      <c r="N341" s="204"/>
      <c r="P341" s="202"/>
      <c r="Z341" s="201"/>
      <c r="AN341" s="202">
        <v>11200000</v>
      </c>
      <c r="AO341" s="202">
        <v>11200000</v>
      </c>
      <c r="AP341" s="202">
        <v>11200000</v>
      </c>
      <c r="AQ341" s="198" t="s">
        <v>54</v>
      </c>
      <c r="AR341" s="198" t="s">
        <v>51</v>
      </c>
      <c r="AS341" s="202">
        <v>2912000</v>
      </c>
      <c r="AT341" s="202">
        <v>2912000</v>
      </c>
      <c r="AU341" s="198" t="s">
        <v>69</v>
      </c>
      <c r="AV341" s="198" t="s">
        <v>62</v>
      </c>
      <c r="AW341" s="198" t="s">
        <v>54</v>
      </c>
    </row>
    <row r="342" spans="3:49" outlineLevel="2" x14ac:dyDescent="0.25">
      <c r="C342" s="201"/>
      <c r="D342" s="198" t="s">
        <v>215</v>
      </c>
      <c r="H342" s="198" t="s">
        <v>215</v>
      </c>
      <c r="I342" s="202">
        <f t="shared" si="5"/>
        <v>144947713.95000002</v>
      </c>
      <c r="J342" s="202">
        <v>35.1</v>
      </c>
      <c r="L342" s="204">
        <v>1</v>
      </c>
      <c r="M342" s="202">
        <v>10800000</v>
      </c>
      <c r="N342" s="204"/>
      <c r="P342" s="202"/>
      <c r="Z342" s="201"/>
      <c r="AN342" s="202">
        <v>10800000</v>
      </c>
      <c r="AO342" s="202">
        <v>10800000</v>
      </c>
      <c r="AP342" s="202">
        <v>10800000</v>
      </c>
      <c r="AQ342" s="198" t="s">
        <v>54</v>
      </c>
      <c r="AR342" s="198" t="s">
        <v>51</v>
      </c>
      <c r="AS342" s="202">
        <v>1080000</v>
      </c>
      <c r="AT342" s="202">
        <v>1080000</v>
      </c>
      <c r="AU342" s="198" t="s">
        <v>69</v>
      </c>
      <c r="AV342" s="198" t="s">
        <v>62</v>
      </c>
      <c r="AW342" s="198" t="s">
        <v>54</v>
      </c>
    </row>
    <row r="343" spans="3:49" outlineLevel="2" x14ac:dyDescent="0.25">
      <c r="C343" s="201"/>
      <c r="D343" s="198" t="s">
        <v>263</v>
      </c>
      <c r="H343" s="198" t="s">
        <v>263</v>
      </c>
      <c r="I343" s="202">
        <f t="shared" si="5"/>
        <v>145360670.40000001</v>
      </c>
      <c r="J343" s="202">
        <v>35.200000000000003</v>
      </c>
      <c r="L343" s="204">
        <v>1</v>
      </c>
      <c r="M343" s="202">
        <v>2083438.49</v>
      </c>
      <c r="N343" s="204"/>
      <c r="P343" s="202"/>
      <c r="Z343" s="201"/>
      <c r="AN343" s="202">
        <v>2083438.49</v>
      </c>
      <c r="AO343" s="202">
        <v>2083438.49</v>
      </c>
      <c r="AP343" s="202">
        <v>2083438.49</v>
      </c>
      <c r="AQ343" s="198" t="s">
        <v>54</v>
      </c>
      <c r="AR343" s="198" t="s">
        <v>51</v>
      </c>
      <c r="AS343" s="202">
        <v>2083438.49</v>
      </c>
      <c r="AT343" s="202">
        <v>2083438.49</v>
      </c>
      <c r="AU343" s="198" t="s">
        <v>69</v>
      </c>
      <c r="AV343" s="198" t="s">
        <v>62</v>
      </c>
      <c r="AW343" s="198" t="s">
        <v>54</v>
      </c>
    </row>
    <row r="344" spans="3:49" outlineLevel="2" x14ac:dyDescent="0.25">
      <c r="C344" s="201"/>
      <c r="D344" s="198" t="s">
        <v>242</v>
      </c>
      <c r="H344" s="198" t="s">
        <v>242</v>
      </c>
      <c r="I344" s="202">
        <f t="shared" si="5"/>
        <v>145773626.84999999</v>
      </c>
      <c r="J344" s="202">
        <v>35.299999999999997</v>
      </c>
      <c r="L344" s="204">
        <v>1</v>
      </c>
      <c r="M344" s="202">
        <v>2076480.99</v>
      </c>
      <c r="N344" s="204"/>
      <c r="P344" s="202"/>
      <c r="Z344" s="201"/>
      <c r="AN344" s="202">
        <v>2076480.99</v>
      </c>
      <c r="AO344" s="202">
        <v>2076480.99</v>
      </c>
      <c r="AP344" s="202">
        <v>2076480.99</v>
      </c>
      <c r="AQ344" s="198" t="s">
        <v>54</v>
      </c>
      <c r="AR344" s="198" t="s">
        <v>51</v>
      </c>
      <c r="AS344" s="202">
        <v>7</v>
      </c>
      <c r="AT344" s="202">
        <v>7</v>
      </c>
      <c r="AU344" s="198" t="s">
        <v>69</v>
      </c>
      <c r="AV344" s="198" t="s">
        <v>62</v>
      </c>
      <c r="AW344" s="198" t="s">
        <v>54</v>
      </c>
    </row>
    <row r="345" spans="3:49" outlineLevel="2" x14ac:dyDescent="0.25">
      <c r="C345" s="201"/>
      <c r="D345" s="198" t="s">
        <v>271</v>
      </c>
      <c r="H345" s="198" t="s">
        <v>271</v>
      </c>
      <c r="I345" s="202">
        <f t="shared" si="5"/>
        <v>146186583.29999998</v>
      </c>
      <c r="J345" s="202">
        <v>35.4</v>
      </c>
      <c r="L345" s="204">
        <v>1</v>
      </c>
      <c r="M345" s="202">
        <v>1305280</v>
      </c>
      <c r="N345" s="204"/>
      <c r="P345" s="202"/>
      <c r="Z345" s="201"/>
      <c r="AN345" s="202">
        <v>1305280</v>
      </c>
      <c r="AO345" s="202">
        <v>1305280</v>
      </c>
      <c r="AP345" s="202">
        <v>1305280</v>
      </c>
      <c r="AQ345" s="198" t="s">
        <v>54</v>
      </c>
      <c r="AR345" s="198" t="s">
        <v>51</v>
      </c>
      <c r="AS345" s="202">
        <v>105660.8</v>
      </c>
      <c r="AT345" s="202">
        <v>105660.8</v>
      </c>
      <c r="AU345" s="198" t="s">
        <v>69</v>
      </c>
      <c r="AV345" s="198" t="s">
        <v>62</v>
      </c>
      <c r="AW345" s="198" t="s">
        <v>54</v>
      </c>
    </row>
    <row r="346" spans="3:49" outlineLevel="2" x14ac:dyDescent="0.25">
      <c r="C346" s="201"/>
      <c r="D346" s="198" t="s">
        <v>275</v>
      </c>
      <c r="H346" s="198" t="s">
        <v>275</v>
      </c>
      <c r="I346" s="202">
        <f t="shared" si="5"/>
        <v>146599539.75</v>
      </c>
      <c r="J346" s="202">
        <v>35.5</v>
      </c>
      <c r="L346" s="204">
        <v>1</v>
      </c>
      <c r="M346" s="202">
        <v>602640</v>
      </c>
      <c r="N346" s="204"/>
      <c r="P346" s="202"/>
      <c r="Z346" s="201"/>
      <c r="AN346" s="202">
        <v>602640</v>
      </c>
      <c r="AO346" s="202">
        <v>602640</v>
      </c>
      <c r="AP346" s="202">
        <v>602640</v>
      </c>
      <c r="AQ346" s="198" t="s">
        <v>54</v>
      </c>
      <c r="AR346" s="198" t="s">
        <v>51</v>
      </c>
      <c r="AS346" s="202">
        <v>12830.4</v>
      </c>
      <c r="AT346" s="202">
        <v>12830.4</v>
      </c>
      <c r="AU346" s="198" t="s">
        <v>69</v>
      </c>
      <c r="AV346" s="198" t="s">
        <v>62</v>
      </c>
      <c r="AW346" s="198" t="s">
        <v>54</v>
      </c>
    </row>
    <row r="347" spans="3:49" outlineLevel="2" x14ac:dyDescent="0.25">
      <c r="C347" s="201"/>
      <c r="D347" s="198" t="s">
        <v>278</v>
      </c>
      <c r="H347" s="198" t="s">
        <v>278</v>
      </c>
      <c r="I347" s="202">
        <f t="shared" si="5"/>
        <v>147012496.20000002</v>
      </c>
      <c r="J347" s="202">
        <v>35.6</v>
      </c>
      <c r="L347" s="204">
        <v>1</v>
      </c>
      <c r="M347" s="202">
        <v>1305280</v>
      </c>
      <c r="N347" s="204"/>
      <c r="P347" s="202"/>
      <c r="Z347" s="201"/>
      <c r="AN347" s="202">
        <v>1305280</v>
      </c>
      <c r="AO347" s="202">
        <v>1305280</v>
      </c>
      <c r="AP347" s="202">
        <v>1305280</v>
      </c>
      <c r="AQ347" s="198" t="s">
        <v>54</v>
      </c>
      <c r="AR347" s="198" t="s">
        <v>51</v>
      </c>
      <c r="AS347" s="202">
        <v>105660.8</v>
      </c>
      <c r="AT347" s="202">
        <v>105660.8</v>
      </c>
      <c r="AU347" s="198" t="s">
        <v>69</v>
      </c>
      <c r="AV347" s="198" t="s">
        <v>62</v>
      </c>
      <c r="AW347" s="198" t="s">
        <v>54</v>
      </c>
    </row>
    <row r="348" spans="3:49" outlineLevel="2" x14ac:dyDescent="0.25">
      <c r="C348" s="201"/>
      <c r="D348" s="198" t="s">
        <v>276</v>
      </c>
      <c r="H348" s="198" t="s">
        <v>276</v>
      </c>
      <c r="I348" s="202">
        <f t="shared" si="5"/>
        <v>147425452.65000001</v>
      </c>
      <c r="J348" s="202">
        <v>35.700000000000003</v>
      </c>
      <c r="L348" s="204">
        <v>1</v>
      </c>
      <c r="M348" s="202">
        <v>1305280</v>
      </c>
      <c r="N348" s="204"/>
      <c r="P348" s="202"/>
      <c r="Z348" s="201"/>
      <c r="AN348" s="202">
        <v>1305280</v>
      </c>
      <c r="AO348" s="202">
        <v>1305280</v>
      </c>
      <c r="AP348" s="202">
        <v>1305280</v>
      </c>
      <c r="AQ348" s="198" t="s">
        <v>54</v>
      </c>
      <c r="AR348" s="198" t="s">
        <v>51</v>
      </c>
      <c r="AS348" s="202">
        <v>105660.8</v>
      </c>
      <c r="AT348" s="202">
        <v>105660.8</v>
      </c>
      <c r="AU348" s="198" t="s">
        <v>69</v>
      </c>
      <c r="AV348" s="198" t="s">
        <v>62</v>
      </c>
      <c r="AW348" s="198" t="s">
        <v>54</v>
      </c>
    </row>
    <row r="349" spans="3:49" outlineLevel="2" x14ac:dyDescent="0.25">
      <c r="C349" s="201"/>
      <c r="D349" s="198" t="s">
        <v>285</v>
      </c>
      <c r="H349" s="198" t="s">
        <v>285</v>
      </c>
      <c r="I349" s="202">
        <f t="shared" si="5"/>
        <v>147838409.09999999</v>
      </c>
      <c r="J349" s="202">
        <v>35.799999999999997</v>
      </c>
      <c r="L349" s="204">
        <v>1</v>
      </c>
      <c r="M349" s="202">
        <v>67638142</v>
      </c>
      <c r="N349" s="204"/>
      <c r="P349" s="202"/>
      <c r="Z349" s="201"/>
      <c r="AN349" s="202">
        <v>67638142</v>
      </c>
      <c r="AO349" s="202">
        <v>67638142</v>
      </c>
      <c r="AP349" s="202">
        <v>715000</v>
      </c>
      <c r="AQ349" s="198" t="s">
        <v>54</v>
      </c>
      <c r="AR349" s="198" t="s">
        <v>51</v>
      </c>
      <c r="AS349" s="202">
        <v>1418982</v>
      </c>
      <c r="AT349" s="202">
        <v>1418982</v>
      </c>
      <c r="AU349" s="198" t="s">
        <v>69</v>
      </c>
      <c r="AV349" s="198" t="s">
        <v>62</v>
      </c>
      <c r="AW349" s="198" t="s">
        <v>54</v>
      </c>
    </row>
    <row r="350" spans="3:49" outlineLevel="2" x14ac:dyDescent="0.25">
      <c r="C350" s="201"/>
      <c r="D350" s="198" t="s">
        <v>278</v>
      </c>
      <c r="H350" s="198" t="s">
        <v>278</v>
      </c>
      <c r="I350" s="202">
        <f t="shared" si="5"/>
        <v>148251365.54999998</v>
      </c>
      <c r="J350" s="202">
        <v>35.9</v>
      </c>
      <c r="L350" s="204">
        <v>1</v>
      </c>
      <c r="M350" s="202">
        <v>1397400</v>
      </c>
      <c r="N350" s="204"/>
      <c r="P350" s="202"/>
      <c r="Z350" s="201"/>
      <c r="AN350" s="202">
        <v>1397400</v>
      </c>
      <c r="AO350" s="202">
        <v>1397400</v>
      </c>
      <c r="AP350" s="202">
        <v>1397400</v>
      </c>
      <c r="AQ350" s="198" t="s">
        <v>54</v>
      </c>
      <c r="AR350" s="198" t="s">
        <v>51</v>
      </c>
      <c r="AS350" s="202">
        <v>25800</v>
      </c>
      <c r="AT350" s="202">
        <v>25800</v>
      </c>
      <c r="AU350" s="198" t="s">
        <v>69</v>
      </c>
      <c r="AV350" s="198" t="s">
        <v>62</v>
      </c>
      <c r="AW350" s="198" t="s">
        <v>54</v>
      </c>
    </row>
    <row r="351" spans="3:49" outlineLevel="2" x14ac:dyDescent="0.25">
      <c r="C351" s="201"/>
      <c r="D351" s="198" t="s">
        <v>205</v>
      </c>
      <c r="H351" s="198" t="s">
        <v>205</v>
      </c>
      <c r="I351" s="202">
        <f t="shared" si="5"/>
        <v>148664322</v>
      </c>
      <c r="J351" s="202">
        <v>36</v>
      </c>
      <c r="L351" s="204">
        <v>1</v>
      </c>
      <c r="M351" s="202">
        <v>615231.69999999995</v>
      </c>
      <c r="N351" s="204"/>
      <c r="P351" s="202"/>
      <c r="Z351" s="201"/>
      <c r="AN351" s="202">
        <v>615231.69999999995</v>
      </c>
      <c r="AO351" s="202">
        <v>615231.69999999995</v>
      </c>
      <c r="AP351" s="202">
        <v>615231.69999999995</v>
      </c>
      <c r="AQ351" s="198" t="s">
        <v>54</v>
      </c>
      <c r="AR351" s="198" t="s">
        <v>51</v>
      </c>
      <c r="AS351" s="202">
        <v>65943.600000000006</v>
      </c>
      <c r="AT351" s="202">
        <v>65943.600000000006</v>
      </c>
      <c r="AU351" s="198" t="s">
        <v>69</v>
      </c>
      <c r="AV351" s="198" t="s">
        <v>62</v>
      </c>
      <c r="AW351" s="198" t="s">
        <v>54</v>
      </c>
    </row>
    <row r="352" spans="3:49" outlineLevel="2" x14ac:dyDescent="0.25">
      <c r="C352" s="201"/>
      <c r="D352" s="198" t="s">
        <v>206</v>
      </c>
      <c r="H352" s="198" t="s">
        <v>206</v>
      </c>
      <c r="I352" s="202">
        <f t="shared" si="5"/>
        <v>149077278.45000002</v>
      </c>
      <c r="J352" s="202">
        <v>36.1</v>
      </c>
      <c r="L352" s="204">
        <v>1</v>
      </c>
      <c r="M352" s="202">
        <v>528246.06999999995</v>
      </c>
      <c r="N352" s="204"/>
      <c r="P352" s="202"/>
      <c r="Z352" s="201"/>
      <c r="AN352" s="202">
        <v>528246.06999999995</v>
      </c>
      <c r="AO352" s="202">
        <v>528246.06999999995</v>
      </c>
      <c r="AP352" s="202">
        <v>528246.06999999995</v>
      </c>
      <c r="AQ352" s="198" t="s">
        <v>54</v>
      </c>
      <c r="AR352" s="198" t="s">
        <v>51</v>
      </c>
      <c r="AS352" s="202">
        <v>22614.37</v>
      </c>
      <c r="AT352" s="202">
        <v>22614.37</v>
      </c>
      <c r="AU352" s="198" t="s">
        <v>69</v>
      </c>
      <c r="AV352" s="198" t="s">
        <v>62</v>
      </c>
      <c r="AW352" s="198" t="s">
        <v>54</v>
      </c>
    </row>
    <row r="353" spans="3:49" outlineLevel="2" x14ac:dyDescent="0.25">
      <c r="C353" s="201"/>
      <c r="D353" s="198" t="s">
        <v>729</v>
      </c>
      <c r="H353" s="198" t="s">
        <v>729</v>
      </c>
      <c r="I353" s="202">
        <f t="shared" si="5"/>
        <v>149490234.90000001</v>
      </c>
      <c r="J353" s="202">
        <v>36.200000000000003</v>
      </c>
      <c r="L353" s="204">
        <v>1</v>
      </c>
      <c r="M353" s="202">
        <v>311960</v>
      </c>
      <c r="N353" s="204"/>
      <c r="P353" s="202"/>
      <c r="Z353" s="201"/>
      <c r="AN353" s="202">
        <v>311960</v>
      </c>
      <c r="AO353" s="202">
        <v>311960</v>
      </c>
      <c r="AP353" s="202">
        <v>311960</v>
      </c>
      <c r="AQ353" s="198" t="s">
        <v>54</v>
      </c>
      <c r="AR353" s="198" t="s">
        <v>51</v>
      </c>
      <c r="AS353" s="202">
        <v>43200</v>
      </c>
      <c r="AT353" s="202">
        <v>43200</v>
      </c>
      <c r="AU353" s="198" t="s">
        <v>69</v>
      </c>
      <c r="AV353" s="198" t="s">
        <v>62</v>
      </c>
      <c r="AW353" s="198" t="s">
        <v>54</v>
      </c>
    </row>
    <row r="354" spans="3:49" outlineLevel="2" x14ac:dyDescent="0.25">
      <c r="C354" s="201"/>
      <c r="D354" s="198" t="s">
        <v>727</v>
      </c>
      <c r="H354" s="198" t="s">
        <v>727</v>
      </c>
      <c r="I354" s="202">
        <f t="shared" si="5"/>
        <v>149903191.34999999</v>
      </c>
      <c r="J354" s="202">
        <v>36.299999999999997</v>
      </c>
      <c r="L354" s="204">
        <v>1</v>
      </c>
      <c r="M354" s="202">
        <v>180834.2</v>
      </c>
      <c r="N354" s="204"/>
      <c r="P354" s="202"/>
      <c r="Z354" s="201"/>
      <c r="AN354" s="202">
        <v>180834.2</v>
      </c>
      <c r="AO354" s="202">
        <v>180834.2</v>
      </c>
      <c r="AP354" s="202">
        <v>180834.2</v>
      </c>
      <c r="AQ354" s="198" t="s">
        <v>54</v>
      </c>
      <c r="AR354" s="198" t="s">
        <v>51</v>
      </c>
      <c r="AS354" s="202">
        <v>2017.92</v>
      </c>
      <c r="AT354" s="202">
        <v>2017.92</v>
      </c>
      <c r="AU354" s="198" t="s">
        <v>69</v>
      </c>
      <c r="AV354" s="198" t="s">
        <v>62</v>
      </c>
      <c r="AW354" s="198" t="s">
        <v>54</v>
      </c>
    </row>
    <row r="355" spans="3:49" outlineLevel="2" x14ac:dyDescent="0.25">
      <c r="C355" s="201"/>
      <c r="D355" s="198" t="s">
        <v>207</v>
      </c>
      <c r="H355" s="198" t="s">
        <v>207</v>
      </c>
      <c r="I355" s="202">
        <f t="shared" si="5"/>
        <v>150316147.79999998</v>
      </c>
      <c r="J355" s="202">
        <v>36.4</v>
      </c>
      <c r="L355" s="204">
        <v>1</v>
      </c>
      <c r="M355" s="202">
        <v>55072.800000000003</v>
      </c>
      <c r="N355" s="204"/>
      <c r="P355" s="202"/>
      <c r="Z355" s="201"/>
      <c r="AN355" s="202">
        <v>55072.800000000003</v>
      </c>
      <c r="AO355" s="202">
        <v>55072.800000000003</v>
      </c>
      <c r="AP355" s="202">
        <v>55072.800000000003</v>
      </c>
      <c r="AQ355" s="198" t="s">
        <v>54</v>
      </c>
      <c r="AR355" s="198" t="s">
        <v>51</v>
      </c>
      <c r="AS355" s="202">
        <v>4258.2</v>
      </c>
      <c r="AT355" s="202">
        <v>4258.2</v>
      </c>
      <c r="AU355" s="198" t="s">
        <v>69</v>
      </c>
      <c r="AV355" s="198" t="s">
        <v>62</v>
      </c>
      <c r="AW355" s="198" t="s">
        <v>54</v>
      </c>
    </row>
    <row r="356" spans="3:49" outlineLevel="2" x14ac:dyDescent="0.25">
      <c r="C356" s="201"/>
      <c r="D356" s="198" t="s">
        <v>205</v>
      </c>
      <c r="H356" s="198" t="s">
        <v>205</v>
      </c>
      <c r="I356" s="202">
        <f t="shared" si="5"/>
        <v>150729104.25</v>
      </c>
      <c r="J356" s="202">
        <v>36.5</v>
      </c>
      <c r="L356" s="204">
        <v>1</v>
      </c>
      <c r="M356" s="202">
        <v>3363600.4</v>
      </c>
      <c r="N356" s="204"/>
      <c r="P356" s="202"/>
      <c r="Z356" s="201"/>
      <c r="AN356" s="202">
        <v>3363600.4</v>
      </c>
      <c r="AO356" s="202">
        <v>3363600.4</v>
      </c>
      <c r="AP356" s="202">
        <v>3363600.4</v>
      </c>
      <c r="AQ356" s="198" t="s">
        <v>54</v>
      </c>
      <c r="AR356" s="198" t="s">
        <v>51</v>
      </c>
      <c r="AS356" s="202">
        <v>203877.6</v>
      </c>
      <c r="AT356" s="202">
        <v>203877.6</v>
      </c>
      <c r="AU356" s="198" t="s">
        <v>69</v>
      </c>
      <c r="AV356" s="198" t="s">
        <v>62</v>
      </c>
      <c r="AW356" s="198" t="s">
        <v>54</v>
      </c>
    </row>
    <row r="357" spans="3:49" outlineLevel="2" x14ac:dyDescent="0.25">
      <c r="C357" s="201"/>
      <c r="D357" s="198" t="s">
        <v>206</v>
      </c>
      <c r="H357" s="198" t="s">
        <v>206</v>
      </c>
      <c r="I357" s="202">
        <f t="shared" si="5"/>
        <v>151142060.70000002</v>
      </c>
      <c r="J357" s="202">
        <v>36.6</v>
      </c>
      <c r="L357" s="204">
        <v>1</v>
      </c>
      <c r="M357" s="202">
        <v>45284561.240000002</v>
      </c>
      <c r="N357" s="204"/>
      <c r="P357" s="202"/>
      <c r="Z357" s="201"/>
      <c r="AN357" s="202">
        <v>45284561.240000002</v>
      </c>
      <c r="AO357" s="202">
        <v>45284561.240000002</v>
      </c>
      <c r="AP357" s="202">
        <v>45284561.240000002</v>
      </c>
      <c r="AQ357" s="198" t="s">
        <v>54</v>
      </c>
      <c r="AR357" s="198" t="s">
        <v>51</v>
      </c>
      <c r="AS357" s="202">
        <v>120138</v>
      </c>
      <c r="AT357" s="202">
        <v>120138</v>
      </c>
      <c r="AU357" s="198" t="s">
        <v>69</v>
      </c>
      <c r="AV357" s="198" t="s">
        <v>62</v>
      </c>
      <c r="AW357" s="198" t="s">
        <v>54</v>
      </c>
    </row>
    <row r="358" spans="3:49" outlineLevel="2" x14ac:dyDescent="0.25">
      <c r="C358" s="201"/>
      <c r="D358" s="198" t="s">
        <v>729</v>
      </c>
      <c r="H358" s="198" t="s">
        <v>729</v>
      </c>
      <c r="I358" s="202">
        <f t="shared" si="5"/>
        <v>151555017.15000001</v>
      </c>
      <c r="J358" s="202">
        <v>36.700000000000003</v>
      </c>
      <c r="L358" s="204">
        <v>1</v>
      </c>
      <c r="M358" s="202">
        <v>5740125</v>
      </c>
      <c r="N358" s="204"/>
      <c r="P358" s="202"/>
      <c r="Z358" s="201"/>
      <c r="AN358" s="202">
        <v>5740125</v>
      </c>
      <c r="AO358" s="202">
        <v>5740125</v>
      </c>
      <c r="AP358" s="202">
        <v>5740125</v>
      </c>
      <c r="AQ358" s="198" t="s">
        <v>54</v>
      </c>
      <c r="AR358" s="198" t="s">
        <v>51</v>
      </c>
      <c r="AS358" s="202">
        <v>144960</v>
      </c>
      <c r="AT358" s="202">
        <v>144960</v>
      </c>
      <c r="AU358" s="198" t="s">
        <v>69</v>
      </c>
      <c r="AV358" s="198" t="s">
        <v>62</v>
      </c>
      <c r="AW358" s="198" t="s">
        <v>54</v>
      </c>
    </row>
    <row r="359" spans="3:49" outlineLevel="2" x14ac:dyDescent="0.25">
      <c r="C359" s="201"/>
      <c r="D359" s="198" t="s">
        <v>727</v>
      </c>
      <c r="H359" s="198" t="s">
        <v>727</v>
      </c>
      <c r="I359" s="202">
        <f t="shared" si="5"/>
        <v>151967973.59999999</v>
      </c>
      <c r="J359" s="202">
        <v>36.799999999999997</v>
      </c>
      <c r="L359" s="204">
        <v>1</v>
      </c>
      <c r="M359" s="202">
        <v>3203943</v>
      </c>
      <c r="N359" s="204"/>
      <c r="P359" s="202"/>
      <c r="Z359" s="201"/>
      <c r="AN359" s="202">
        <v>3203943</v>
      </c>
      <c r="AO359" s="202">
        <v>3203943</v>
      </c>
      <c r="AP359" s="202">
        <v>3203943</v>
      </c>
      <c r="AQ359" s="198" t="s">
        <v>54</v>
      </c>
      <c r="AR359" s="198" t="s">
        <v>51</v>
      </c>
      <c r="AS359" s="202">
        <v>8071.68</v>
      </c>
      <c r="AT359" s="202">
        <v>8071.68</v>
      </c>
      <c r="AU359" s="198" t="s">
        <v>69</v>
      </c>
      <c r="AV359" s="198" t="s">
        <v>62</v>
      </c>
      <c r="AW359" s="198" t="s">
        <v>54</v>
      </c>
    </row>
    <row r="360" spans="3:49" outlineLevel="2" x14ac:dyDescent="0.25">
      <c r="C360" s="201"/>
      <c r="D360" s="198" t="s">
        <v>207</v>
      </c>
      <c r="H360" s="198" t="s">
        <v>207</v>
      </c>
      <c r="I360" s="202">
        <f t="shared" si="5"/>
        <v>152380930.04999998</v>
      </c>
      <c r="J360" s="202">
        <v>36.9</v>
      </c>
      <c r="L360" s="204">
        <v>1</v>
      </c>
      <c r="M360" s="202">
        <v>4307323</v>
      </c>
      <c r="N360" s="204"/>
      <c r="P360" s="202"/>
      <c r="Z360" s="201"/>
      <c r="AN360" s="202">
        <v>4307323</v>
      </c>
      <c r="AO360" s="202">
        <v>4307323</v>
      </c>
      <c r="AP360" s="202">
        <v>4307323</v>
      </c>
      <c r="AQ360" s="198" t="s">
        <v>54</v>
      </c>
      <c r="AR360" s="198" t="s">
        <v>51</v>
      </c>
      <c r="AS360" s="202">
        <v>20992.799999999999</v>
      </c>
      <c r="AT360" s="202">
        <v>20992.799999999999</v>
      </c>
      <c r="AU360" s="198" t="s">
        <v>69</v>
      </c>
      <c r="AV360" s="198" t="s">
        <v>62</v>
      </c>
      <c r="AW360" s="198" t="s">
        <v>54</v>
      </c>
    </row>
    <row r="361" spans="3:49" outlineLevel="2" x14ac:dyDescent="0.25">
      <c r="C361" s="201"/>
      <c r="D361" s="198" t="s">
        <v>204</v>
      </c>
      <c r="H361" s="198" t="s">
        <v>204</v>
      </c>
      <c r="I361" s="202">
        <f t="shared" si="5"/>
        <v>152793886.49999958</v>
      </c>
      <c r="J361" s="202">
        <v>36.999999999999901</v>
      </c>
      <c r="L361" s="204">
        <v>1</v>
      </c>
      <c r="M361" s="202">
        <v>3036900</v>
      </c>
      <c r="N361" s="204"/>
      <c r="P361" s="202"/>
      <c r="Z361" s="201"/>
      <c r="AN361" s="202">
        <v>3036900</v>
      </c>
      <c r="AO361" s="202">
        <v>3036900</v>
      </c>
      <c r="AP361" s="202">
        <v>3036900</v>
      </c>
      <c r="AQ361" s="198" t="s">
        <v>54</v>
      </c>
      <c r="AR361" s="198" t="s">
        <v>51</v>
      </c>
      <c r="AS361" s="202">
        <v>2040000</v>
      </c>
      <c r="AT361" s="202">
        <v>2040000</v>
      </c>
      <c r="AU361" s="198" t="s">
        <v>69</v>
      </c>
      <c r="AV361" s="198" t="s">
        <v>62</v>
      </c>
      <c r="AW361" s="198" t="s">
        <v>54</v>
      </c>
    </row>
    <row r="362" spans="3:49" outlineLevel="2" x14ac:dyDescent="0.25">
      <c r="C362" s="201"/>
      <c r="D362" s="198" t="s">
        <v>278</v>
      </c>
      <c r="H362" s="198" t="s">
        <v>278</v>
      </c>
      <c r="I362" s="202">
        <f t="shared" si="5"/>
        <v>153206842.95000002</v>
      </c>
      <c r="J362" s="202">
        <v>37.1</v>
      </c>
      <c r="L362" s="204">
        <v>1</v>
      </c>
      <c r="M362" s="202">
        <v>234336</v>
      </c>
      <c r="N362" s="204"/>
      <c r="P362" s="202"/>
      <c r="Z362" s="201"/>
      <c r="AN362" s="202">
        <v>234336</v>
      </c>
      <c r="AO362" s="202">
        <v>234336</v>
      </c>
      <c r="AP362" s="202">
        <v>234336</v>
      </c>
      <c r="AQ362" s="198" t="s">
        <v>54</v>
      </c>
      <c r="AR362" s="198" t="s">
        <v>51</v>
      </c>
      <c r="AS362" s="202">
        <v>234336</v>
      </c>
      <c r="AT362" s="202">
        <v>234336</v>
      </c>
      <c r="AU362" s="198" t="s">
        <v>69</v>
      </c>
      <c r="AV362" s="198" t="s">
        <v>62</v>
      </c>
      <c r="AW362" s="198" t="s">
        <v>54</v>
      </c>
    </row>
    <row r="363" spans="3:49" outlineLevel="2" x14ac:dyDescent="0.25">
      <c r="C363" s="201"/>
      <c r="D363" s="198" t="s">
        <v>180</v>
      </c>
      <c r="H363" s="198" t="s">
        <v>180</v>
      </c>
      <c r="I363" s="202">
        <f t="shared" si="5"/>
        <v>153619799.40000001</v>
      </c>
      <c r="J363" s="202">
        <v>37.200000000000003</v>
      </c>
      <c r="L363" s="204">
        <v>1</v>
      </c>
      <c r="M363" s="202">
        <v>2297621</v>
      </c>
      <c r="N363" s="204"/>
      <c r="P363" s="202"/>
      <c r="Z363" s="201"/>
      <c r="AN363" s="202">
        <v>2297621</v>
      </c>
      <c r="AO363" s="202">
        <v>2297621</v>
      </c>
      <c r="AP363" s="202">
        <v>2297621</v>
      </c>
      <c r="AQ363" s="198" t="s">
        <v>54</v>
      </c>
      <c r="AR363" s="198" t="s">
        <v>51</v>
      </c>
      <c r="AS363" s="202">
        <v>190764.6</v>
      </c>
      <c r="AT363" s="202">
        <v>190764.6</v>
      </c>
      <c r="AU363" s="198" t="s">
        <v>69</v>
      </c>
      <c r="AV363" s="198" t="s">
        <v>62</v>
      </c>
      <c r="AW363" s="198" t="s">
        <v>54</v>
      </c>
    </row>
    <row r="364" spans="3:49" outlineLevel="2" x14ac:dyDescent="0.25">
      <c r="C364" s="201"/>
      <c r="D364" s="198" t="s">
        <v>181</v>
      </c>
      <c r="H364" s="198" t="s">
        <v>181</v>
      </c>
      <c r="I364" s="202">
        <f t="shared" si="5"/>
        <v>154032755.84999999</v>
      </c>
      <c r="J364" s="202">
        <v>37.299999999999997</v>
      </c>
      <c r="L364" s="204">
        <v>1</v>
      </c>
      <c r="M364" s="202">
        <v>2046740</v>
      </c>
      <c r="N364" s="204"/>
      <c r="P364" s="202"/>
      <c r="Z364" s="201"/>
      <c r="AN364" s="202">
        <v>2046740</v>
      </c>
      <c r="AO364" s="202">
        <v>2046740</v>
      </c>
      <c r="AP364" s="202">
        <v>2046740</v>
      </c>
      <c r="AQ364" s="198" t="s">
        <v>54</v>
      </c>
      <c r="AR364" s="198" t="s">
        <v>51</v>
      </c>
      <c r="AS364" s="202">
        <v>313530</v>
      </c>
      <c r="AT364" s="202">
        <v>313530</v>
      </c>
      <c r="AU364" s="198" t="s">
        <v>69</v>
      </c>
      <c r="AV364" s="198" t="s">
        <v>62</v>
      </c>
      <c r="AW364" s="198" t="s">
        <v>54</v>
      </c>
    </row>
    <row r="365" spans="3:49" outlineLevel="2" x14ac:dyDescent="0.25">
      <c r="C365" s="201"/>
      <c r="D365" s="198" t="s">
        <v>185</v>
      </c>
      <c r="H365" s="198" t="s">
        <v>185</v>
      </c>
      <c r="I365" s="202">
        <f t="shared" si="5"/>
        <v>154445712.29999998</v>
      </c>
      <c r="J365" s="202">
        <v>37.4</v>
      </c>
      <c r="L365" s="204">
        <v>1</v>
      </c>
      <c r="M365" s="202">
        <v>2808200</v>
      </c>
      <c r="N365" s="204"/>
      <c r="P365" s="202"/>
      <c r="Z365" s="201"/>
      <c r="AN365" s="202">
        <v>2808200</v>
      </c>
      <c r="AO365" s="202">
        <v>2808200</v>
      </c>
      <c r="AP365" s="202">
        <v>2808200</v>
      </c>
      <c r="AQ365" s="198" t="s">
        <v>54</v>
      </c>
      <c r="AR365" s="198" t="s">
        <v>51</v>
      </c>
      <c r="AS365" s="202">
        <v>388500</v>
      </c>
      <c r="AT365" s="202">
        <v>388500</v>
      </c>
      <c r="AU365" s="198" t="s">
        <v>69</v>
      </c>
      <c r="AV365" s="198" t="s">
        <v>62</v>
      </c>
      <c r="AW365" s="198" t="s">
        <v>54</v>
      </c>
    </row>
    <row r="366" spans="3:49" outlineLevel="2" x14ac:dyDescent="0.25">
      <c r="C366" s="201"/>
      <c r="D366" s="198" t="s">
        <v>720</v>
      </c>
      <c r="H366" s="198" t="s">
        <v>720</v>
      </c>
      <c r="I366" s="202">
        <f t="shared" si="5"/>
        <v>154858668.74999958</v>
      </c>
      <c r="J366" s="202">
        <v>37.499999999999901</v>
      </c>
      <c r="L366" s="204">
        <v>1</v>
      </c>
      <c r="M366" s="202">
        <v>1627495.4</v>
      </c>
      <c r="N366" s="204"/>
      <c r="P366" s="202"/>
      <c r="Z366" s="201"/>
      <c r="AN366" s="202">
        <v>1627495.4</v>
      </c>
      <c r="AO366" s="202">
        <v>1627495.4</v>
      </c>
      <c r="AP366" s="202">
        <v>1627495.4</v>
      </c>
      <c r="AQ366" s="198" t="s">
        <v>54</v>
      </c>
      <c r="AR366" s="198" t="s">
        <v>51</v>
      </c>
      <c r="AS366" s="202">
        <v>30380</v>
      </c>
      <c r="AT366" s="202">
        <v>30380</v>
      </c>
      <c r="AU366" s="198" t="s">
        <v>69</v>
      </c>
      <c r="AV366" s="198" t="s">
        <v>62</v>
      </c>
      <c r="AW366" s="198" t="s">
        <v>54</v>
      </c>
    </row>
    <row r="367" spans="3:49" outlineLevel="2" x14ac:dyDescent="0.25">
      <c r="C367" s="201"/>
      <c r="D367" s="198" t="s">
        <v>203</v>
      </c>
      <c r="H367" s="198" t="s">
        <v>203</v>
      </c>
      <c r="I367" s="202">
        <f t="shared" si="5"/>
        <v>155271625.20000002</v>
      </c>
      <c r="J367" s="202">
        <v>37.6</v>
      </c>
      <c r="L367" s="204">
        <v>1</v>
      </c>
      <c r="M367" s="202">
        <v>1164588.75</v>
      </c>
      <c r="N367" s="204"/>
      <c r="P367" s="202"/>
      <c r="Z367" s="201"/>
      <c r="AN367" s="202">
        <v>1164588.75</v>
      </c>
      <c r="AO367" s="202">
        <v>1164588.75</v>
      </c>
      <c r="AP367" s="202">
        <v>1164588.75</v>
      </c>
      <c r="AQ367" s="198" t="s">
        <v>54</v>
      </c>
      <c r="AR367" s="198" t="s">
        <v>51</v>
      </c>
      <c r="AS367" s="202">
        <v>69294</v>
      </c>
      <c r="AT367" s="202">
        <v>69294</v>
      </c>
      <c r="AU367" s="198" t="s">
        <v>69</v>
      </c>
      <c r="AV367" s="198" t="s">
        <v>62</v>
      </c>
      <c r="AW367" s="198" t="s">
        <v>54</v>
      </c>
    </row>
    <row r="368" spans="3:49" outlineLevel="2" x14ac:dyDescent="0.25">
      <c r="C368" s="201"/>
      <c r="D368" s="198" t="s">
        <v>216</v>
      </c>
      <c r="H368" s="198" t="s">
        <v>216</v>
      </c>
      <c r="I368" s="202">
        <f t="shared" si="5"/>
        <v>155684581.65000001</v>
      </c>
      <c r="J368" s="202">
        <v>37.700000000000003</v>
      </c>
      <c r="L368" s="204">
        <v>1</v>
      </c>
      <c r="M368" s="202">
        <v>2592157.5</v>
      </c>
      <c r="N368" s="204"/>
      <c r="P368" s="202"/>
      <c r="Z368" s="201"/>
      <c r="AN368" s="202">
        <v>2592157.5</v>
      </c>
      <c r="AO368" s="202">
        <v>2592157.5</v>
      </c>
      <c r="AP368" s="202">
        <v>2592157.5</v>
      </c>
      <c r="AQ368" s="198" t="s">
        <v>54</v>
      </c>
      <c r="AR368" s="198" t="s">
        <v>51</v>
      </c>
      <c r="AS368" s="202">
        <v>655797.5</v>
      </c>
      <c r="AT368" s="202">
        <v>655797.5</v>
      </c>
      <c r="AU368" s="198" t="s">
        <v>69</v>
      </c>
      <c r="AV368" s="198" t="s">
        <v>62</v>
      </c>
      <c r="AW368" s="198" t="s">
        <v>54</v>
      </c>
    </row>
    <row r="369" spans="3:49" outlineLevel="2" x14ac:dyDescent="0.25">
      <c r="C369" s="201"/>
      <c r="D369" s="198" t="s">
        <v>217</v>
      </c>
      <c r="H369" s="198" t="s">
        <v>217</v>
      </c>
      <c r="I369" s="202">
        <f t="shared" si="5"/>
        <v>156097538.09999999</v>
      </c>
      <c r="J369" s="202">
        <v>37.799999999999997</v>
      </c>
      <c r="L369" s="204">
        <v>1</v>
      </c>
      <c r="M369" s="202">
        <v>1087469.75</v>
      </c>
      <c r="N369" s="204"/>
      <c r="P369" s="202"/>
      <c r="Z369" s="201"/>
      <c r="AN369" s="202">
        <v>1087469.75</v>
      </c>
      <c r="AO369" s="202">
        <v>1087469.75</v>
      </c>
      <c r="AP369" s="202">
        <v>1087469.75</v>
      </c>
      <c r="AQ369" s="198" t="s">
        <v>54</v>
      </c>
      <c r="AR369" s="198" t="s">
        <v>51</v>
      </c>
      <c r="AS369" s="202">
        <v>65618.75</v>
      </c>
      <c r="AT369" s="202">
        <v>65618.75</v>
      </c>
      <c r="AU369" s="198" t="s">
        <v>69</v>
      </c>
      <c r="AV369" s="198" t="s">
        <v>62</v>
      </c>
      <c r="AW369" s="198" t="s">
        <v>54</v>
      </c>
    </row>
    <row r="370" spans="3:49" outlineLevel="2" x14ac:dyDescent="0.25">
      <c r="C370" s="201"/>
      <c r="D370" s="198" t="s">
        <v>173</v>
      </c>
      <c r="H370" s="198" t="s">
        <v>173</v>
      </c>
      <c r="I370" s="202">
        <f t="shared" si="5"/>
        <v>156510494.54999998</v>
      </c>
      <c r="J370" s="202">
        <v>37.9</v>
      </c>
      <c r="L370" s="204">
        <v>1</v>
      </c>
      <c r="M370" s="202">
        <v>1040040</v>
      </c>
      <c r="N370" s="204"/>
      <c r="P370" s="202"/>
      <c r="Z370" s="201"/>
      <c r="AN370" s="202">
        <v>1040040</v>
      </c>
      <c r="AO370" s="202">
        <v>1040040</v>
      </c>
      <c r="AP370" s="202">
        <v>1040040</v>
      </c>
      <c r="AQ370" s="198" t="s">
        <v>54</v>
      </c>
      <c r="AR370" s="198" t="s">
        <v>51</v>
      </c>
      <c r="AS370" s="202">
        <v>46970</v>
      </c>
      <c r="AT370" s="202">
        <v>46970</v>
      </c>
      <c r="AU370" s="198" t="s">
        <v>69</v>
      </c>
      <c r="AV370" s="198" t="s">
        <v>62</v>
      </c>
      <c r="AW370" s="198" t="s">
        <v>54</v>
      </c>
    </row>
    <row r="371" spans="3:49" outlineLevel="2" x14ac:dyDescent="0.25">
      <c r="C371" s="201"/>
      <c r="D371" s="198" t="s">
        <v>1532</v>
      </c>
      <c r="H371" s="198" t="s">
        <v>1532</v>
      </c>
      <c r="I371" s="202">
        <f t="shared" si="5"/>
        <v>156923450.99999958</v>
      </c>
      <c r="J371" s="202">
        <v>37.999999999999901</v>
      </c>
      <c r="L371" s="203">
        <v>0.52900000000000003</v>
      </c>
      <c r="M371" s="202">
        <v>11766558.15</v>
      </c>
      <c r="N371" s="203"/>
      <c r="P371" s="202"/>
      <c r="Z371" s="201"/>
      <c r="AN371" s="202">
        <v>11766558.15</v>
      </c>
      <c r="AO371" s="202">
        <v>11766558.15</v>
      </c>
      <c r="AP371" s="202">
        <v>121500</v>
      </c>
      <c r="AQ371" s="198" t="s">
        <v>54</v>
      </c>
      <c r="AR371" s="198" t="s">
        <v>51</v>
      </c>
      <c r="AS371" s="202">
        <v>11766558.15</v>
      </c>
      <c r="AT371" s="202">
        <v>11766558.15</v>
      </c>
      <c r="AU371" s="198" t="s">
        <v>69</v>
      </c>
      <c r="AV371" s="198" t="s">
        <v>62</v>
      </c>
      <c r="AW371" s="198" t="s">
        <v>54</v>
      </c>
    </row>
    <row r="372" spans="3:49" outlineLevel="2" x14ac:dyDescent="0.25">
      <c r="C372" s="201"/>
      <c r="D372" s="198" t="s">
        <v>1532</v>
      </c>
      <c r="H372" s="198" t="s">
        <v>1532</v>
      </c>
      <c r="I372" s="202">
        <f t="shared" si="5"/>
        <v>157336407.45000002</v>
      </c>
      <c r="J372" s="202">
        <v>38.1</v>
      </c>
      <c r="L372" s="203">
        <v>0.47099999999999997</v>
      </c>
      <c r="M372" s="202">
        <v>10459162.800000001</v>
      </c>
      <c r="N372" s="203"/>
      <c r="P372" s="202"/>
      <c r="Z372" s="201"/>
      <c r="AN372" s="202">
        <v>10459162.800000001</v>
      </c>
      <c r="AO372" s="202">
        <v>10459162.800000001</v>
      </c>
      <c r="AP372" s="202">
        <v>108000</v>
      </c>
      <c r="AQ372" s="198" t="s">
        <v>54</v>
      </c>
      <c r="AR372" s="198" t="s">
        <v>51</v>
      </c>
      <c r="AS372" s="202">
        <v>10459162.800000001</v>
      </c>
      <c r="AT372" s="202">
        <v>10459162.800000001</v>
      </c>
      <c r="AU372" s="198" t="s">
        <v>69</v>
      </c>
      <c r="AV372" s="198" t="s">
        <v>62</v>
      </c>
      <c r="AW372" s="198" t="s">
        <v>54</v>
      </c>
    </row>
    <row r="373" spans="3:49" outlineLevel="2" x14ac:dyDescent="0.25">
      <c r="C373" s="201"/>
      <c r="D373" s="198" t="s">
        <v>212</v>
      </c>
      <c r="H373" s="198" t="s">
        <v>212</v>
      </c>
      <c r="I373" s="202">
        <f t="shared" si="5"/>
        <v>157749363.90000001</v>
      </c>
      <c r="J373" s="202">
        <v>38.200000000000003</v>
      </c>
      <c r="L373" s="204">
        <v>1</v>
      </c>
      <c r="M373" s="202">
        <v>2520000</v>
      </c>
      <c r="N373" s="204"/>
      <c r="P373" s="202"/>
      <c r="Z373" s="201"/>
      <c r="AN373" s="202">
        <v>2520000</v>
      </c>
      <c r="AO373" s="202">
        <v>2520000</v>
      </c>
      <c r="AP373" s="202">
        <v>2520000</v>
      </c>
      <c r="AQ373" s="198" t="s">
        <v>54</v>
      </c>
      <c r="AR373" s="198" t="s">
        <v>51</v>
      </c>
      <c r="AS373" s="202">
        <v>2520000</v>
      </c>
      <c r="AT373" s="202">
        <v>2520000</v>
      </c>
      <c r="AU373" s="198" t="s">
        <v>69</v>
      </c>
      <c r="AV373" s="198" t="s">
        <v>62</v>
      </c>
      <c r="AW373" s="198" t="s">
        <v>54</v>
      </c>
    </row>
    <row r="374" spans="3:49" outlineLevel="2" x14ac:dyDescent="0.25">
      <c r="C374" s="201"/>
      <c r="D374" s="198" t="s">
        <v>252</v>
      </c>
      <c r="H374" s="198" t="s">
        <v>252</v>
      </c>
      <c r="I374" s="202">
        <f t="shared" si="5"/>
        <v>158162320.34999999</v>
      </c>
      <c r="J374" s="202">
        <v>38.299999999999997</v>
      </c>
      <c r="L374" s="203">
        <v>0.99</v>
      </c>
      <c r="M374" s="202">
        <v>13032</v>
      </c>
      <c r="N374" s="203"/>
      <c r="P374" s="202"/>
      <c r="Z374" s="201"/>
      <c r="AN374" s="202">
        <v>13032</v>
      </c>
      <c r="AO374" s="202">
        <v>13032</v>
      </c>
      <c r="AP374" s="202">
        <v>13032</v>
      </c>
      <c r="AQ374" s="198" t="s">
        <v>54</v>
      </c>
      <c r="AR374" s="198" t="s">
        <v>51</v>
      </c>
      <c r="AS374" s="202">
        <v>13032</v>
      </c>
      <c r="AT374" s="202">
        <v>13032</v>
      </c>
      <c r="AU374" s="198" t="s">
        <v>69</v>
      </c>
      <c r="AV374" s="198" t="s">
        <v>62</v>
      </c>
      <c r="AW374" s="198" t="s">
        <v>54</v>
      </c>
    </row>
    <row r="375" spans="3:49" outlineLevel="2" x14ac:dyDescent="0.25">
      <c r="C375" s="201"/>
      <c r="D375" s="198" t="s">
        <v>252</v>
      </c>
      <c r="H375" s="198" t="s">
        <v>252</v>
      </c>
      <c r="I375" s="202">
        <f t="shared" si="5"/>
        <v>158575276.79999959</v>
      </c>
      <c r="J375" s="202">
        <v>38.399999999999899</v>
      </c>
      <c r="L375" s="203">
        <v>0.01</v>
      </c>
      <c r="M375" s="202">
        <v>125</v>
      </c>
      <c r="N375" s="203"/>
      <c r="P375" s="202"/>
      <c r="Z375" s="201"/>
      <c r="AN375" s="202">
        <v>125</v>
      </c>
      <c r="AO375" s="202">
        <v>125</v>
      </c>
      <c r="AP375" s="202">
        <v>125</v>
      </c>
      <c r="AQ375" s="198" t="s">
        <v>54</v>
      </c>
      <c r="AR375" s="198" t="s">
        <v>51</v>
      </c>
      <c r="AS375" s="202">
        <v>125</v>
      </c>
      <c r="AT375" s="202">
        <v>125</v>
      </c>
      <c r="AU375" s="198" t="s">
        <v>69</v>
      </c>
      <c r="AV375" s="198" t="s">
        <v>62</v>
      </c>
      <c r="AW375" s="198" t="s">
        <v>54</v>
      </c>
    </row>
    <row r="376" spans="3:49" outlineLevel="2" x14ac:dyDescent="0.25">
      <c r="C376" s="201"/>
      <c r="D376" s="198" t="s">
        <v>236</v>
      </c>
      <c r="H376" s="198" t="s">
        <v>236</v>
      </c>
      <c r="I376" s="202">
        <f t="shared" si="5"/>
        <v>158988233.24999958</v>
      </c>
      <c r="J376" s="202">
        <v>38.499999999999901</v>
      </c>
      <c r="L376" s="204">
        <v>1</v>
      </c>
      <c r="M376" s="202">
        <v>6520.5</v>
      </c>
      <c r="N376" s="204"/>
      <c r="P376" s="202"/>
      <c r="Z376" s="201"/>
      <c r="AN376" s="202">
        <v>6520.5</v>
      </c>
      <c r="AO376" s="202">
        <v>6520.5</v>
      </c>
      <c r="AP376" s="202">
        <v>6520.5</v>
      </c>
      <c r="AQ376" s="198" t="s">
        <v>54</v>
      </c>
      <c r="AR376" s="198" t="s">
        <v>51</v>
      </c>
      <c r="AS376" s="202">
        <v>6520.5</v>
      </c>
      <c r="AT376" s="202">
        <v>6520.5</v>
      </c>
      <c r="AU376" s="198" t="s">
        <v>69</v>
      </c>
      <c r="AV376" s="198" t="s">
        <v>62</v>
      </c>
      <c r="AW376" s="198" t="s">
        <v>54</v>
      </c>
    </row>
    <row r="377" spans="3:49" outlineLevel="2" x14ac:dyDescent="0.25">
      <c r="C377" s="201"/>
      <c r="D377" s="198" t="s">
        <v>242</v>
      </c>
      <c r="H377" s="198" t="s">
        <v>242</v>
      </c>
      <c r="I377" s="202">
        <f t="shared" si="5"/>
        <v>159401189.70000002</v>
      </c>
      <c r="J377" s="202">
        <v>38.6</v>
      </c>
      <c r="L377" s="204">
        <v>1</v>
      </c>
      <c r="M377" s="202">
        <v>7462.5</v>
      </c>
      <c r="N377" s="204"/>
      <c r="P377" s="202"/>
      <c r="Z377" s="201"/>
      <c r="AN377" s="202">
        <v>7462.5</v>
      </c>
      <c r="AO377" s="202">
        <v>7462.5</v>
      </c>
      <c r="AP377" s="202">
        <v>7462.5</v>
      </c>
      <c r="AQ377" s="198" t="s">
        <v>54</v>
      </c>
      <c r="AR377" s="198" t="s">
        <v>51</v>
      </c>
      <c r="AS377" s="202">
        <v>7462.5</v>
      </c>
      <c r="AT377" s="202">
        <v>7462.5</v>
      </c>
      <c r="AU377" s="198" t="s">
        <v>69</v>
      </c>
      <c r="AV377" s="198" t="s">
        <v>62</v>
      </c>
      <c r="AW377" s="198" t="s">
        <v>54</v>
      </c>
    </row>
    <row r="378" spans="3:49" outlineLevel="2" x14ac:dyDescent="0.25">
      <c r="C378" s="201"/>
      <c r="D378" s="198" t="s">
        <v>269</v>
      </c>
      <c r="H378" s="198" t="s">
        <v>269</v>
      </c>
      <c r="I378" s="202">
        <f t="shared" si="5"/>
        <v>159814146.15000001</v>
      </c>
      <c r="J378" s="202">
        <v>38.700000000000003</v>
      </c>
      <c r="L378" s="204">
        <v>1</v>
      </c>
      <c r="M378" s="202">
        <v>17247</v>
      </c>
      <c r="N378" s="204"/>
      <c r="P378" s="202"/>
      <c r="Z378" s="201"/>
      <c r="AN378" s="202">
        <v>17247</v>
      </c>
      <c r="AO378" s="202">
        <v>17247</v>
      </c>
      <c r="AP378" s="202">
        <v>17247</v>
      </c>
      <c r="AQ378" s="198" t="s">
        <v>54</v>
      </c>
      <c r="AR378" s="198" t="s">
        <v>51</v>
      </c>
      <c r="AS378" s="202">
        <v>17247</v>
      </c>
      <c r="AT378" s="202">
        <v>17247</v>
      </c>
      <c r="AU378" s="198" t="s">
        <v>69</v>
      </c>
      <c r="AV378" s="198" t="s">
        <v>62</v>
      </c>
      <c r="AW378" s="198" t="s">
        <v>54</v>
      </c>
    </row>
    <row r="379" spans="3:49" outlineLevel="2" x14ac:dyDescent="0.25">
      <c r="C379" s="201"/>
      <c r="D379" s="198" t="s">
        <v>256</v>
      </c>
      <c r="H379" s="198" t="s">
        <v>256</v>
      </c>
      <c r="I379" s="202">
        <f t="shared" si="5"/>
        <v>160227102.59999999</v>
      </c>
      <c r="J379" s="202">
        <v>38.799999999999997</v>
      </c>
      <c r="L379" s="204">
        <v>1</v>
      </c>
      <c r="M379" s="202">
        <v>7462.5</v>
      </c>
      <c r="N379" s="204"/>
      <c r="P379" s="202"/>
      <c r="Z379" s="201"/>
      <c r="AN379" s="202">
        <v>7462.5</v>
      </c>
      <c r="AO379" s="202">
        <v>7462.5</v>
      </c>
      <c r="AP379" s="202">
        <v>7462.5</v>
      </c>
      <c r="AQ379" s="198" t="s">
        <v>54</v>
      </c>
      <c r="AR379" s="198" t="s">
        <v>51</v>
      </c>
      <c r="AS379" s="202">
        <v>7462.5</v>
      </c>
      <c r="AT379" s="202">
        <v>7462.5</v>
      </c>
      <c r="AU379" s="198" t="s">
        <v>69</v>
      </c>
      <c r="AV379" s="198" t="s">
        <v>62</v>
      </c>
      <c r="AW379" s="198" t="s">
        <v>54</v>
      </c>
    </row>
    <row r="380" spans="3:49" outlineLevel="2" x14ac:dyDescent="0.25">
      <c r="C380" s="201"/>
      <c r="D380" s="198" t="s">
        <v>263</v>
      </c>
      <c r="H380" s="198" t="s">
        <v>263</v>
      </c>
      <c r="I380" s="202">
        <f t="shared" si="5"/>
        <v>160640059.04999959</v>
      </c>
      <c r="J380" s="202">
        <v>38.899999999999899</v>
      </c>
      <c r="L380" s="204">
        <v>1</v>
      </c>
      <c r="M380" s="202">
        <v>7462.5</v>
      </c>
      <c r="N380" s="204"/>
      <c r="P380" s="202"/>
      <c r="Z380" s="201"/>
      <c r="AN380" s="202">
        <v>7462.5</v>
      </c>
      <c r="AO380" s="202">
        <v>7462.5</v>
      </c>
      <c r="AP380" s="202">
        <v>7462.5</v>
      </c>
      <c r="AQ380" s="198" t="s">
        <v>54</v>
      </c>
      <c r="AR380" s="198" t="s">
        <v>51</v>
      </c>
      <c r="AS380" s="202">
        <v>7462.5</v>
      </c>
      <c r="AT380" s="202">
        <v>7462.5</v>
      </c>
      <c r="AU380" s="198" t="s">
        <v>69</v>
      </c>
      <c r="AV380" s="198" t="s">
        <v>62</v>
      </c>
      <c r="AW380" s="198" t="s">
        <v>54</v>
      </c>
    </row>
    <row r="381" spans="3:49" outlineLevel="2" x14ac:dyDescent="0.25">
      <c r="C381" s="201"/>
      <c r="D381" s="198" t="s">
        <v>186</v>
      </c>
      <c r="H381" s="198" t="s">
        <v>186</v>
      </c>
      <c r="I381" s="202">
        <f t="shared" si="5"/>
        <v>161053015.49999958</v>
      </c>
      <c r="J381" s="202">
        <v>38.999999999999901</v>
      </c>
      <c r="L381" s="204">
        <v>1</v>
      </c>
      <c r="M381" s="202">
        <v>46101123</v>
      </c>
      <c r="N381" s="204"/>
      <c r="P381" s="202"/>
      <c r="Z381" s="201"/>
      <c r="AN381" s="202">
        <v>46101123</v>
      </c>
      <c r="AO381" s="202">
        <v>46101123</v>
      </c>
      <c r="AP381" s="202">
        <v>46101123</v>
      </c>
      <c r="AQ381" s="198" t="s">
        <v>54</v>
      </c>
      <c r="AR381" s="198" t="s">
        <v>51</v>
      </c>
      <c r="AS381" s="202">
        <v>587350</v>
      </c>
      <c r="AT381" s="202">
        <v>587350</v>
      </c>
      <c r="AU381" s="198" t="s">
        <v>69</v>
      </c>
      <c r="AV381" s="198" t="s">
        <v>62</v>
      </c>
      <c r="AW381" s="198" t="s">
        <v>54</v>
      </c>
    </row>
    <row r="382" spans="3:49" outlineLevel="2" x14ac:dyDescent="0.25">
      <c r="C382" s="201"/>
      <c r="D382" s="198" t="s">
        <v>735</v>
      </c>
      <c r="H382" s="198" t="s">
        <v>735</v>
      </c>
      <c r="I382" s="202">
        <f t="shared" si="5"/>
        <v>161465971.95000002</v>
      </c>
      <c r="J382" s="202">
        <v>39.1</v>
      </c>
      <c r="L382" s="204">
        <v>1</v>
      </c>
      <c r="M382" s="202">
        <v>41134961</v>
      </c>
      <c r="N382" s="204"/>
      <c r="P382" s="202"/>
      <c r="Z382" s="201"/>
      <c r="AN382" s="202">
        <v>41134961</v>
      </c>
      <c r="AO382" s="202">
        <v>41134961</v>
      </c>
      <c r="AP382" s="202">
        <v>41134961</v>
      </c>
      <c r="AQ382" s="198" t="s">
        <v>54</v>
      </c>
      <c r="AR382" s="198" t="s">
        <v>51</v>
      </c>
      <c r="AS382" s="202">
        <v>511000</v>
      </c>
      <c r="AT382" s="202">
        <v>511000</v>
      </c>
      <c r="AU382" s="198" t="s">
        <v>69</v>
      </c>
      <c r="AV382" s="198" t="s">
        <v>62</v>
      </c>
      <c r="AW382" s="198" t="s">
        <v>54</v>
      </c>
    </row>
    <row r="383" spans="3:49" outlineLevel="2" x14ac:dyDescent="0.25">
      <c r="C383" s="201"/>
      <c r="D383" s="198" t="s">
        <v>168</v>
      </c>
      <c r="H383" s="198" t="s">
        <v>168</v>
      </c>
      <c r="I383" s="202">
        <f t="shared" si="5"/>
        <v>161878928.40000001</v>
      </c>
      <c r="J383" s="202">
        <v>39.200000000000003</v>
      </c>
      <c r="L383" s="204">
        <v>1</v>
      </c>
      <c r="M383" s="202">
        <v>30837095</v>
      </c>
      <c r="N383" s="204"/>
      <c r="P383" s="202"/>
      <c r="Z383" s="201"/>
      <c r="AN383" s="202">
        <v>30837095</v>
      </c>
      <c r="AO383" s="202">
        <v>30837095</v>
      </c>
      <c r="AP383" s="202">
        <v>30837095</v>
      </c>
      <c r="AQ383" s="198" t="s">
        <v>54</v>
      </c>
      <c r="AR383" s="198" t="s">
        <v>51</v>
      </c>
      <c r="AS383" s="202">
        <v>331350</v>
      </c>
      <c r="AT383" s="202">
        <v>331350</v>
      </c>
      <c r="AU383" s="198" t="s">
        <v>69</v>
      </c>
      <c r="AV383" s="198" t="s">
        <v>62</v>
      </c>
      <c r="AW383" s="198" t="s">
        <v>54</v>
      </c>
    </row>
    <row r="384" spans="3:49" outlineLevel="2" x14ac:dyDescent="0.25">
      <c r="C384" s="201"/>
      <c r="D384" s="198" t="s">
        <v>208</v>
      </c>
      <c r="H384" s="198" t="s">
        <v>208</v>
      </c>
      <c r="I384" s="202">
        <f t="shared" si="5"/>
        <v>162291884.84999958</v>
      </c>
      <c r="J384" s="202">
        <v>39.299999999999898</v>
      </c>
      <c r="L384" s="204">
        <v>1</v>
      </c>
      <c r="M384" s="202">
        <v>14691218.800000001</v>
      </c>
      <c r="N384" s="204"/>
      <c r="P384" s="202"/>
      <c r="Z384" s="201"/>
      <c r="AN384" s="202">
        <v>14691218.800000001</v>
      </c>
      <c r="AO384" s="202">
        <v>14691218.800000001</v>
      </c>
      <c r="AP384" s="202">
        <v>14691218.800000001</v>
      </c>
      <c r="AQ384" s="198" t="s">
        <v>54</v>
      </c>
      <c r="AR384" s="198" t="s">
        <v>51</v>
      </c>
      <c r="AS384" s="202">
        <v>3000</v>
      </c>
      <c r="AT384" s="202">
        <v>3000</v>
      </c>
      <c r="AU384" s="198" t="s">
        <v>69</v>
      </c>
      <c r="AV384" s="198" t="s">
        <v>62</v>
      </c>
      <c r="AW384" s="198" t="s">
        <v>54</v>
      </c>
    </row>
    <row r="385" spans="3:49" outlineLevel="2" x14ac:dyDescent="0.25">
      <c r="C385" s="201"/>
      <c r="D385" s="198" t="s">
        <v>737</v>
      </c>
      <c r="H385" s="198" t="s">
        <v>737</v>
      </c>
      <c r="I385" s="202">
        <f t="shared" si="5"/>
        <v>162704841.29999959</v>
      </c>
      <c r="J385" s="202">
        <v>39.399999999999899</v>
      </c>
      <c r="L385" s="204">
        <v>1</v>
      </c>
      <c r="M385" s="202">
        <v>54531787</v>
      </c>
      <c r="N385" s="204"/>
      <c r="P385" s="202"/>
      <c r="Z385" s="201"/>
      <c r="AN385" s="202">
        <v>54531787</v>
      </c>
      <c r="AO385" s="202">
        <v>54531787</v>
      </c>
      <c r="AP385" s="202">
        <v>54531787</v>
      </c>
      <c r="AQ385" s="198" t="s">
        <v>54</v>
      </c>
      <c r="AR385" s="198" t="s">
        <v>51</v>
      </c>
      <c r="AS385" s="202">
        <v>3000</v>
      </c>
      <c r="AT385" s="202">
        <v>3000</v>
      </c>
      <c r="AU385" s="198" t="s">
        <v>69</v>
      </c>
      <c r="AV385" s="198" t="s">
        <v>62</v>
      </c>
      <c r="AW385" s="198" t="s">
        <v>54</v>
      </c>
    </row>
    <row r="386" spans="3:49" outlineLevel="2" x14ac:dyDescent="0.25">
      <c r="C386" s="201"/>
      <c r="D386" s="198" t="s">
        <v>211</v>
      </c>
      <c r="H386" s="198" t="s">
        <v>211</v>
      </c>
      <c r="I386" s="202">
        <f t="shared" si="5"/>
        <v>163117797.74999958</v>
      </c>
      <c r="J386" s="202">
        <v>39.499999999999901</v>
      </c>
      <c r="L386" s="204">
        <v>1</v>
      </c>
      <c r="M386" s="202">
        <v>2268020</v>
      </c>
      <c r="N386" s="204"/>
      <c r="P386" s="202"/>
      <c r="Z386" s="201"/>
      <c r="AN386" s="202">
        <v>2268020</v>
      </c>
      <c r="AO386" s="202">
        <v>2268020</v>
      </c>
      <c r="AP386" s="202">
        <v>2268020</v>
      </c>
      <c r="AQ386" s="198" t="s">
        <v>54</v>
      </c>
      <c r="AR386" s="198" t="s">
        <v>51</v>
      </c>
      <c r="AS386" s="202">
        <v>2500</v>
      </c>
      <c r="AT386" s="202">
        <v>2500</v>
      </c>
      <c r="AU386" s="198" t="s">
        <v>69</v>
      </c>
      <c r="AV386" s="198" t="s">
        <v>62</v>
      </c>
      <c r="AW386" s="198" t="s">
        <v>54</v>
      </c>
    </row>
    <row r="387" spans="3:49" outlineLevel="2" x14ac:dyDescent="0.25">
      <c r="C387" s="201"/>
      <c r="D387" s="198" t="s">
        <v>211</v>
      </c>
      <c r="H387" s="198" t="s">
        <v>211</v>
      </c>
      <c r="I387" s="202">
        <f t="shared" ref="I387:I450" si="6">J387*4129564.5</f>
        <v>163530754.20000002</v>
      </c>
      <c r="J387" s="202">
        <v>39.6</v>
      </c>
      <c r="L387" s="204">
        <v>1</v>
      </c>
      <c r="M387" s="202">
        <v>35399624</v>
      </c>
      <c r="N387" s="204"/>
      <c r="P387" s="202"/>
      <c r="Z387" s="201"/>
      <c r="AN387" s="202">
        <v>35399624</v>
      </c>
      <c r="AO387" s="202">
        <v>35399624</v>
      </c>
      <c r="AP387" s="202">
        <v>35399624</v>
      </c>
      <c r="AQ387" s="198" t="s">
        <v>54</v>
      </c>
      <c r="AR387" s="198" t="s">
        <v>51</v>
      </c>
      <c r="AS387" s="202">
        <v>3500</v>
      </c>
      <c r="AT387" s="202">
        <v>3500</v>
      </c>
      <c r="AU387" s="198" t="s">
        <v>69</v>
      </c>
      <c r="AV387" s="198" t="s">
        <v>62</v>
      </c>
      <c r="AW387" s="198" t="s">
        <v>54</v>
      </c>
    </row>
    <row r="388" spans="3:49" outlineLevel="2" x14ac:dyDescent="0.25">
      <c r="C388" s="201"/>
      <c r="D388" s="198" t="s">
        <v>212</v>
      </c>
      <c r="H388" s="198" t="s">
        <v>212</v>
      </c>
      <c r="I388" s="202">
        <f t="shared" si="6"/>
        <v>163943710.65000001</v>
      </c>
      <c r="J388" s="202">
        <v>39.700000000000003</v>
      </c>
      <c r="L388" s="204">
        <v>1</v>
      </c>
      <c r="M388" s="202">
        <v>7147847</v>
      </c>
      <c r="N388" s="204"/>
      <c r="P388" s="202"/>
      <c r="Z388" s="201"/>
      <c r="AN388" s="202">
        <v>7147847</v>
      </c>
      <c r="AO388" s="202">
        <v>7147847</v>
      </c>
      <c r="AP388" s="202">
        <v>7147847</v>
      </c>
      <c r="AQ388" s="198" t="s">
        <v>54</v>
      </c>
      <c r="AR388" s="198" t="s">
        <v>51</v>
      </c>
      <c r="AS388" s="202">
        <v>7147847</v>
      </c>
      <c r="AT388" s="202">
        <v>7147847</v>
      </c>
      <c r="AU388" s="198" t="s">
        <v>69</v>
      </c>
      <c r="AV388" s="198" t="s">
        <v>62</v>
      </c>
      <c r="AW388" s="198" t="s">
        <v>54</v>
      </c>
    </row>
    <row r="389" spans="3:49" outlineLevel="2" x14ac:dyDescent="0.25">
      <c r="C389" s="201"/>
      <c r="D389" s="198" t="s">
        <v>222</v>
      </c>
      <c r="H389" s="198" t="s">
        <v>222</v>
      </c>
      <c r="I389" s="202">
        <f t="shared" si="6"/>
        <v>164356667.09999958</v>
      </c>
      <c r="J389" s="202">
        <v>39.799999999999898</v>
      </c>
      <c r="L389" s="204">
        <v>1</v>
      </c>
      <c r="M389" s="202">
        <v>9240725.6999999993</v>
      </c>
      <c r="N389" s="204"/>
      <c r="P389" s="202"/>
      <c r="Z389" s="201"/>
      <c r="AN389" s="202">
        <v>9240725.6999999993</v>
      </c>
      <c r="AO389" s="202">
        <v>9240725.6999999993</v>
      </c>
      <c r="AP389" s="202">
        <v>9240725.6999999993</v>
      </c>
      <c r="AQ389" s="198" t="s">
        <v>54</v>
      </c>
      <c r="AR389" s="198" t="s">
        <v>51</v>
      </c>
      <c r="AS389" s="202">
        <v>9240725.6999999993</v>
      </c>
      <c r="AT389" s="202">
        <v>9240725.6999999993</v>
      </c>
      <c r="AU389" s="198" t="s">
        <v>69</v>
      </c>
      <c r="AV389" s="198" t="s">
        <v>62</v>
      </c>
      <c r="AW389" s="198" t="s">
        <v>54</v>
      </c>
    </row>
    <row r="390" spans="3:49" outlineLevel="2" x14ac:dyDescent="0.25">
      <c r="C390" s="201"/>
      <c r="D390" s="198" t="s">
        <v>212</v>
      </c>
      <c r="H390" s="198" t="s">
        <v>212</v>
      </c>
      <c r="I390" s="202">
        <f t="shared" si="6"/>
        <v>164769623.54999959</v>
      </c>
      <c r="J390" s="202">
        <v>39.899999999999899</v>
      </c>
      <c r="L390" s="204">
        <v>1</v>
      </c>
      <c r="M390" s="202">
        <v>6944454.5999999996</v>
      </c>
      <c r="N390" s="204"/>
      <c r="P390" s="202"/>
      <c r="Z390" s="201"/>
      <c r="AN390" s="202">
        <v>6944454.5999999996</v>
      </c>
      <c r="AO390" s="202">
        <v>6944454.5999999996</v>
      </c>
      <c r="AP390" s="202">
        <v>6944454.5999999996</v>
      </c>
      <c r="AQ390" s="198" t="s">
        <v>54</v>
      </c>
      <c r="AR390" s="198" t="s">
        <v>51</v>
      </c>
      <c r="AS390" s="202">
        <v>6944454.5999999996</v>
      </c>
      <c r="AT390" s="202">
        <v>6944454.5999999996</v>
      </c>
      <c r="AU390" s="198" t="s">
        <v>69</v>
      </c>
      <c r="AV390" s="198" t="s">
        <v>62</v>
      </c>
      <c r="AW390" s="198" t="s">
        <v>54</v>
      </c>
    </row>
    <row r="391" spans="3:49" outlineLevel="2" x14ac:dyDescent="0.25">
      <c r="C391" s="201"/>
      <c r="D391" s="198" t="s">
        <v>224</v>
      </c>
      <c r="H391" s="198" t="s">
        <v>224</v>
      </c>
      <c r="I391" s="202">
        <f t="shared" si="6"/>
        <v>165182579.99999958</v>
      </c>
      <c r="J391" s="202">
        <v>39.999999999999901</v>
      </c>
      <c r="L391" s="204">
        <v>1</v>
      </c>
      <c r="M391" s="202">
        <v>3111975.5</v>
      </c>
      <c r="N391" s="204"/>
      <c r="P391" s="202"/>
      <c r="Z391" s="201"/>
      <c r="AN391" s="202">
        <v>3111975.5</v>
      </c>
      <c r="AO391" s="202">
        <v>3111975.5</v>
      </c>
      <c r="AP391" s="202">
        <v>3111975.5</v>
      </c>
      <c r="AQ391" s="198" t="s">
        <v>54</v>
      </c>
      <c r="AR391" s="198" t="s">
        <v>51</v>
      </c>
      <c r="AS391" s="202">
        <v>3111975.5</v>
      </c>
      <c r="AT391" s="202">
        <v>3111975.5</v>
      </c>
      <c r="AU391" s="198" t="s">
        <v>69</v>
      </c>
      <c r="AV391" s="198" t="s">
        <v>62</v>
      </c>
      <c r="AW391" s="198" t="s">
        <v>54</v>
      </c>
    </row>
    <row r="392" spans="3:49" outlineLevel="2" x14ac:dyDescent="0.25">
      <c r="C392" s="201"/>
      <c r="D392" s="198" t="s">
        <v>225</v>
      </c>
      <c r="H392" s="198" t="s">
        <v>225</v>
      </c>
      <c r="I392" s="202">
        <f t="shared" si="6"/>
        <v>165595536.45000002</v>
      </c>
      <c r="J392" s="202">
        <v>40.1</v>
      </c>
      <c r="L392" s="204">
        <v>1</v>
      </c>
      <c r="M392" s="202">
        <v>2483135.9</v>
      </c>
      <c r="N392" s="204"/>
      <c r="P392" s="202"/>
      <c r="Z392" s="201"/>
      <c r="AN392" s="202">
        <v>2483135.9</v>
      </c>
      <c r="AO392" s="202">
        <v>2483135.9</v>
      </c>
      <c r="AP392" s="202">
        <v>2483135.9</v>
      </c>
      <c r="AQ392" s="198" t="s">
        <v>54</v>
      </c>
      <c r="AR392" s="198" t="s">
        <v>51</v>
      </c>
      <c r="AS392" s="202">
        <v>2483135.9</v>
      </c>
      <c r="AT392" s="202">
        <v>2483135.9</v>
      </c>
      <c r="AU392" s="198" t="s">
        <v>69</v>
      </c>
      <c r="AV392" s="198" t="s">
        <v>62</v>
      </c>
      <c r="AW392" s="198" t="s">
        <v>54</v>
      </c>
    </row>
    <row r="393" spans="3:49" outlineLevel="2" x14ac:dyDescent="0.25">
      <c r="C393" s="201"/>
      <c r="D393" s="198" t="s">
        <v>223</v>
      </c>
      <c r="H393" s="198" t="s">
        <v>223</v>
      </c>
      <c r="I393" s="202">
        <f t="shared" si="6"/>
        <v>166008492.89999959</v>
      </c>
      <c r="J393" s="202">
        <v>40.199999999999903</v>
      </c>
      <c r="L393" s="204">
        <v>1</v>
      </c>
      <c r="M393" s="202">
        <v>2154872.5</v>
      </c>
      <c r="N393" s="204"/>
      <c r="P393" s="202"/>
      <c r="Z393" s="201"/>
      <c r="AN393" s="202">
        <v>2154872.5</v>
      </c>
      <c r="AO393" s="202">
        <v>2154872.5</v>
      </c>
      <c r="AP393" s="202">
        <v>2154872.5</v>
      </c>
      <c r="AQ393" s="198" t="s">
        <v>54</v>
      </c>
      <c r="AR393" s="198" t="s">
        <v>51</v>
      </c>
      <c r="AS393" s="202">
        <v>2154872.5</v>
      </c>
      <c r="AT393" s="202">
        <v>2154872.5</v>
      </c>
      <c r="AU393" s="198" t="s">
        <v>69</v>
      </c>
      <c r="AV393" s="198" t="s">
        <v>62</v>
      </c>
      <c r="AW393" s="198" t="s">
        <v>54</v>
      </c>
    </row>
    <row r="394" spans="3:49" outlineLevel="2" x14ac:dyDescent="0.25">
      <c r="C394" s="201"/>
      <c r="D394" s="198" t="s">
        <v>221</v>
      </c>
      <c r="H394" s="198" t="s">
        <v>221</v>
      </c>
      <c r="I394" s="202">
        <f t="shared" si="6"/>
        <v>166421449.34999958</v>
      </c>
      <c r="J394" s="202">
        <v>40.299999999999898</v>
      </c>
      <c r="L394" s="203">
        <v>0.96399999999999997</v>
      </c>
      <c r="M394" s="202">
        <v>3690000</v>
      </c>
      <c r="N394" s="203"/>
      <c r="P394" s="202"/>
      <c r="Z394" s="201"/>
      <c r="AN394" s="202">
        <v>3690000</v>
      </c>
      <c r="AO394" s="202">
        <v>3690000</v>
      </c>
      <c r="AP394" s="202">
        <v>3690000</v>
      </c>
      <c r="AQ394" s="198" t="s">
        <v>54</v>
      </c>
      <c r="AR394" s="198" t="s">
        <v>51</v>
      </c>
      <c r="AS394" s="202">
        <v>3690000</v>
      </c>
      <c r="AT394" s="202">
        <v>3690000</v>
      </c>
      <c r="AU394" s="198" t="s">
        <v>69</v>
      </c>
      <c r="AV394" s="198" t="s">
        <v>62</v>
      </c>
      <c r="AW394" s="198" t="s">
        <v>54</v>
      </c>
    </row>
    <row r="395" spans="3:49" outlineLevel="2" x14ac:dyDescent="0.25">
      <c r="C395" s="201"/>
      <c r="D395" s="198" t="s">
        <v>221</v>
      </c>
      <c r="H395" s="198" t="s">
        <v>221</v>
      </c>
      <c r="I395" s="202">
        <f t="shared" si="6"/>
        <v>166834405.79999959</v>
      </c>
      <c r="J395" s="202">
        <v>40.399999999999899</v>
      </c>
      <c r="L395" s="203">
        <v>3.5999999999999997E-2</v>
      </c>
      <c r="M395" s="202">
        <v>136000</v>
      </c>
      <c r="N395" s="203"/>
      <c r="P395" s="202"/>
      <c r="Z395" s="201"/>
      <c r="AN395" s="202">
        <v>136000</v>
      </c>
      <c r="AO395" s="202">
        <v>136000</v>
      </c>
      <c r="AP395" s="202">
        <v>136000</v>
      </c>
      <c r="AQ395" s="198" t="s">
        <v>54</v>
      </c>
      <c r="AR395" s="198" t="s">
        <v>51</v>
      </c>
      <c r="AS395" s="202">
        <v>136000</v>
      </c>
      <c r="AT395" s="202">
        <v>136000</v>
      </c>
      <c r="AU395" s="198" t="s">
        <v>69</v>
      </c>
      <c r="AV395" s="198" t="s">
        <v>62</v>
      </c>
      <c r="AW395" s="198" t="s">
        <v>54</v>
      </c>
    </row>
    <row r="396" spans="3:49" outlineLevel="2" x14ac:dyDescent="0.25">
      <c r="C396" s="201"/>
      <c r="D396" s="198" t="s">
        <v>220</v>
      </c>
      <c r="H396" s="198" t="s">
        <v>220</v>
      </c>
      <c r="I396" s="202">
        <f t="shared" si="6"/>
        <v>167247362.24999958</v>
      </c>
      <c r="J396" s="202">
        <v>40.499999999999901</v>
      </c>
      <c r="L396" s="204">
        <v>1</v>
      </c>
      <c r="M396" s="202">
        <v>572160.69999999995</v>
      </c>
      <c r="N396" s="204"/>
      <c r="P396" s="202"/>
      <c r="Z396" s="201"/>
      <c r="AN396" s="202">
        <v>572160.69999999995</v>
      </c>
      <c r="AO396" s="202">
        <v>572160.69999999995</v>
      </c>
      <c r="AP396" s="202">
        <v>572160.69999999995</v>
      </c>
      <c r="AQ396" s="198" t="s">
        <v>54</v>
      </c>
      <c r="AR396" s="198" t="s">
        <v>51</v>
      </c>
      <c r="AS396" s="202">
        <v>572160.69999999995</v>
      </c>
      <c r="AT396" s="202">
        <v>572160.69999999995</v>
      </c>
      <c r="AU396" s="198" t="s">
        <v>69</v>
      </c>
      <c r="AV396" s="198" t="s">
        <v>62</v>
      </c>
      <c r="AW396" s="198" t="s">
        <v>54</v>
      </c>
    </row>
    <row r="397" spans="3:49" outlineLevel="2" x14ac:dyDescent="0.25">
      <c r="C397" s="201"/>
      <c r="D397" s="198" t="s">
        <v>229</v>
      </c>
      <c r="H397" s="198" t="s">
        <v>229</v>
      </c>
      <c r="I397" s="202">
        <f t="shared" si="6"/>
        <v>167660318.70000002</v>
      </c>
      <c r="J397" s="202">
        <v>40.6</v>
      </c>
      <c r="L397" s="204">
        <v>1</v>
      </c>
      <c r="M397" s="202">
        <v>942878.3</v>
      </c>
      <c r="N397" s="204"/>
      <c r="P397" s="202"/>
      <c r="Z397" s="201"/>
      <c r="AN397" s="202">
        <v>942878.3</v>
      </c>
      <c r="AO397" s="202">
        <v>942878.3</v>
      </c>
      <c r="AP397" s="202">
        <v>942878.3</v>
      </c>
      <c r="AQ397" s="198" t="s">
        <v>54</v>
      </c>
      <c r="AR397" s="198" t="s">
        <v>51</v>
      </c>
      <c r="AS397" s="202">
        <v>942878.3</v>
      </c>
      <c r="AT397" s="202">
        <v>942878.3</v>
      </c>
      <c r="AU397" s="198" t="s">
        <v>69</v>
      </c>
      <c r="AV397" s="198" t="s">
        <v>62</v>
      </c>
      <c r="AW397" s="198" t="s">
        <v>54</v>
      </c>
    </row>
    <row r="398" spans="3:49" outlineLevel="2" x14ac:dyDescent="0.25">
      <c r="C398" s="201"/>
      <c r="D398" s="198" t="s">
        <v>734</v>
      </c>
      <c r="H398" s="198" t="s">
        <v>734</v>
      </c>
      <c r="I398" s="202">
        <f t="shared" si="6"/>
        <v>168073275.14999959</v>
      </c>
      <c r="J398" s="202">
        <v>40.699999999999903</v>
      </c>
      <c r="L398" s="204">
        <v>1</v>
      </c>
      <c r="M398" s="202">
        <v>1249945</v>
      </c>
      <c r="N398" s="204"/>
      <c r="P398" s="202"/>
      <c r="Z398" s="201"/>
      <c r="AN398" s="202">
        <v>1249945</v>
      </c>
      <c r="AO398" s="202">
        <v>1249945</v>
      </c>
      <c r="AP398" s="202">
        <v>1249945</v>
      </c>
      <c r="AQ398" s="198" t="s">
        <v>54</v>
      </c>
      <c r="AR398" s="198" t="s">
        <v>51</v>
      </c>
      <c r="AS398" s="202">
        <v>1249945</v>
      </c>
      <c r="AT398" s="202">
        <v>1249945</v>
      </c>
      <c r="AU398" s="198" t="s">
        <v>69</v>
      </c>
      <c r="AV398" s="198" t="s">
        <v>62</v>
      </c>
      <c r="AW398" s="198" t="s">
        <v>54</v>
      </c>
    </row>
    <row r="399" spans="3:49" outlineLevel="2" x14ac:dyDescent="0.25">
      <c r="C399" s="201"/>
      <c r="D399" s="198" t="s">
        <v>219</v>
      </c>
      <c r="H399" s="198" t="s">
        <v>219</v>
      </c>
      <c r="I399" s="202">
        <f t="shared" si="6"/>
        <v>168486231.59999958</v>
      </c>
      <c r="J399" s="202">
        <v>40.799999999999898</v>
      </c>
      <c r="L399" s="204">
        <v>1</v>
      </c>
      <c r="M399" s="202">
        <v>1755254.95</v>
      </c>
      <c r="N399" s="204"/>
      <c r="P399" s="202"/>
      <c r="Z399" s="201"/>
      <c r="AN399" s="202">
        <v>1755254.95</v>
      </c>
      <c r="AO399" s="202">
        <v>1755254.95</v>
      </c>
      <c r="AP399" s="202">
        <v>1755254.95</v>
      </c>
      <c r="AQ399" s="198" t="s">
        <v>54</v>
      </c>
      <c r="AR399" s="198" t="s">
        <v>51</v>
      </c>
      <c r="AS399" s="202">
        <v>1755254.95</v>
      </c>
      <c r="AT399" s="202">
        <v>1755254.95</v>
      </c>
      <c r="AU399" s="198" t="s">
        <v>69</v>
      </c>
      <c r="AV399" s="198" t="s">
        <v>62</v>
      </c>
      <c r="AW399" s="198" t="s">
        <v>54</v>
      </c>
    </row>
    <row r="400" spans="3:49" outlineLevel="2" x14ac:dyDescent="0.25">
      <c r="C400" s="201"/>
      <c r="D400" s="198" t="s">
        <v>91</v>
      </c>
      <c r="H400" s="198" t="s">
        <v>91</v>
      </c>
      <c r="I400" s="202">
        <f t="shared" si="6"/>
        <v>168899188.04999959</v>
      </c>
      <c r="J400" s="202">
        <v>40.899999999999899</v>
      </c>
      <c r="L400" s="204">
        <v>1</v>
      </c>
      <c r="M400" s="202">
        <v>2807981.5</v>
      </c>
      <c r="N400" s="204"/>
      <c r="P400" s="202"/>
      <c r="Z400" s="201"/>
      <c r="AN400" s="202">
        <v>2807981.5</v>
      </c>
      <c r="AO400" s="202">
        <v>2807981.5</v>
      </c>
      <c r="AP400" s="202">
        <v>2807981.5</v>
      </c>
      <c r="AQ400" s="198" t="s">
        <v>54</v>
      </c>
      <c r="AR400" s="198" t="s">
        <v>51</v>
      </c>
      <c r="AS400" s="202">
        <v>2807981.5</v>
      </c>
      <c r="AT400" s="202">
        <v>2807981.5</v>
      </c>
      <c r="AU400" s="198" t="s">
        <v>69</v>
      </c>
      <c r="AV400" s="198" t="s">
        <v>62</v>
      </c>
      <c r="AW400" s="198" t="s">
        <v>54</v>
      </c>
    </row>
    <row r="401" spans="3:49" outlineLevel="2" x14ac:dyDescent="0.25">
      <c r="C401" s="201"/>
      <c r="D401" s="198" t="s">
        <v>91</v>
      </c>
      <c r="H401" s="198" t="s">
        <v>91</v>
      </c>
      <c r="I401" s="202">
        <f t="shared" si="6"/>
        <v>169312144.49999958</v>
      </c>
      <c r="J401" s="202">
        <v>40.999999999999901</v>
      </c>
      <c r="L401" s="204">
        <v>1</v>
      </c>
      <c r="M401" s="202">
        <v>6837762.25</v>
      </c>
      <c r="N401" s="204"/>
      <c r="P401" s="202"/>
      <c r="Z401" s="201"/>
      <c r="AN401" s="202">
        <v>6837762.25</v>
      </c>
      <c r="AO401" s="202">
        <v>6837762.25</v>
      </c>
      <c r="AP401" s="202">
        <v>6837762.25</v>
      </c>
      <c r="AQ401" s="198" t="s">
        <v>54</v>
      </c>
      <c r="AR401" s="198" t="s">
        <v>51</v>
      </c>
      <c r="AS401" s="202">
        <v>6837762.25</v>
      </c>
      <c r="AT401" s="202">
        <v>6837762.25</v>
      </c>
      <c r="AU401" s="198" t="s">
        <v>69</v>
      </c>
      <c r="AV401" s="198" t="s">
        <v>62</v>
      </c>
      <c r="AW401" s="198" t="s">
        <v>54</v>
      </c>
    </row>
    <row r="402" spans="3:49" outlineLevel="2" x14ac:dyDescent="0.25">
      <c r="C402" s="201"/>
      <c r="D402" s="198" t="s">
        <v>279</v>
      </c>
      <c r="H402" s="198" t="s">
        <v>279</v>
      </c>
      <c r="I402" s="202">
        <f t="shared" si="6"/>
        <v>169725100.9499996</v>
      </c>
      <c r="J402" s="202">
        <v>41.099999999999902</v>
      </c>
      <c r="L402" s="204">
        <v>1</v>
      </c>
      <c r="M402" s="202">
        <v>8608000</v>
      </c>
      <c r="N402" s="204"/>
      <c r="P402" s="202"/>
      <c r="Z402" s="201"/>
      <c r="AN402" s="202">
        <v>8608000</v>
      </c>
      <c r="AO402" s="202">
        <v>8608000</v>
      </c>
      <c r="AP402" s="202">
        <v>8608000</v>
      </c>
      <c r="AQ402" s="198" t="s">
        <v>54</v>
      </c>
      <c r="AR402" s="198" t="s">
        <v>51</v>
      </c>
      <c r="AS402" s="202">
        <v>8608000</v>
      </c>
      <c r="AT402" s="202">
        <v>8608000</v>
      </c>
      <c r="AU402" s="198" t="s">
        <v>69</v>
      </c>
      <c r="AV402" s="198" t="s">
        <v>62</v>
      </c>
      <c r="AW402" s="198" t="s">
        <v>54</v>
      </c>
    </row>
    <row r="403" spans="3:49" outlineLevel="2" x14ac:dyDescent="0.25">
      <c r="C403" s="201"/>
      <c r="D403" s="198" t="s">
        <v>289</v>
      </c>
      <c r="H403" s="198" t="s">
        <v>289</v>
      </c>
      <c r="I403" s="202">
        <f t="shared" si="6"/>
        <v>170138057.39999959</v>
      </c>
      <c r="J403" s="202">
        <v>41.199999999999903</v>
      </c>
      <c r="L403" s="204">
        <v>1</v>
      </c>
      <c r="M403" s="202">
        <v>8608000</v>
      </c>
      <c r="N403" s="204"/>
      <c r="P403" s="202"/>
      <c r="Z403" s="201"/>
      <c r="AN403" s="202">
        <v>8608000</v>
      </c>
      <c r="AO403" s="202">
        <v>8608000</v>
      </c>
      <c r="AP403" s="202">
        <v>8608000</v>
      </c>
      <c r="AQ403" s="198" t="s">
        <v>54</v>
      </c>
      <c r="AR403" s="198" t="s">
        <v>51</v>
      </c>
      <c r="AS403" s="202">
        <v>8608000</v>
      </c>
      <c r="AT403" s="202">
        <v>8608000</v>
      </c>
      <c r="AU403" s="198" t="s">
        <v>69</v>
      </c>
      <c r="AV403" s="198" t="s">
        <v>62</v>
      </c>
      <c r="AW403" s="198" t="s">
        <v>54</v>
      </c>
    </row>
    <row r="404" spans="3:49" outlineLevel="2" x14ac:dyDescent="0.25">
      <c r="C404" s="201"/>
      <c r="D404" s="198" t="s">
        <v>1533</v>
      </c>
      <c r="H404" s="198" t="s">
        <v>1533</v>
      </c>
      <c r="I404" s="202">
        <f t="shared" si="6"/>
        <v>170551013.84999958</v>
      </c>
      <c r="J404" s="202">
        <v>41.299999999999898</v>
      </c>
      <c r="L404" s="204">
        <v>1</v>
      </c>
      <c r="M404" s="202">
        <v>8608000</v>
      </c>
      <c r="N404" s="204"/>
      <c r="P404" s="202"/>
      <c r="Z404" s="201"/>
      <c r="AN404" s="202">
        <v>8608000</v>
      </c>
      <c r="AO404" s="202">
        <v>8608000</v>
      </c>
      <c r="AP404" s="202">
        <v>8608000</v>
      </c>
      <c r="AQ404" s="198" t="s">
        <v>54</v>
      </c>
      <c r="AR404" s="198" t="s">
        <v>51</v>
      </c>
      <c r="AS404" s="202">
        <v>8608000</v>
      </c>
      <c r="AT404" s="202">
        <v>8608000</v>
      </c>
      <c r="AU404" s="198" t="s">
        <v>69</v>
      </c>
      <c r="AV404" s="198" t="s">
        <v>62</v>
      </c>
      <c r="AW404" s="198" t="s">
        <v>54</v>
      </c>
    </row>
    <row r="405" spans="3:49" outlineLevel="2" x14ac:dyDescent="0.25">
      <c r="C405" s="201"/>
      <c r="D405" s="198" t="s">
        <v>1542</v>
      </c>
      <c r="H405" s="198" t="s">
        <v>1542</v>
      </c>
      <c r="I405" s="202">
        <f t="shared" si="6"/>
        <v>170963970.29999959</v>
      </c>
      <c r="J405" s="202">
        <v>41.399999999999899</v>
      </c>
      <c r="L405" s="204">
        <v>1</v>
      </c>
      <c r="M405" s="202">
        <v>8608000</v>
      </c>
      <c r="N405" s="204"/>
      <c r="P405" s="202"/>
      <c r="Z405" s="201"/>
      <c r="AN405" s="202">
        <v>8608000</v>
      </c>
      <c r="AO405" s="202">
        <v>8608000</v>
      </c>
      <c r="AP405" s="202">
        <v>8608000</v>
      </c>
      <c r="AQ405" s="198" t="s">
        <v>54</v>
      </c>
      <c r="AR405" s="198" t="s">
        <v>51</v>
      </c>
      <c r="AS405" s="202">
        <v>8608000</v>
      </c>
      <c r="AT405" s="202">
        <v>8608000</v>
      </c>
      <c r="AU405" s="198" t="s">
        <v>69</v>
      </c>
      <c r="AV405" s="198" t="s">
        <v>62</v>
      </c>
      <c r="AW405" s="198" t="s">
        <v>54</v>
      </c>
    </row>
    <row r="406" spans="3:49" outlineLevel="2" x14ac:dyDescent="0.25">
      <c r="C406" s="201"/>
      <c r="D406" s="198" t="s">
        <v>1533</v>
      </c>
      <c r="H406" s="198" t="s">
        <v>1533</v>
      </c>
      <c r="I406" s="202">
        <f t="shared" si="6"/>
        <v>171376926.74999958</v>
      </c>
      <c r="J406" s="202">
        <v>41.499999999999901</v>
      </c>
      <c r="L406" s="204">
        <v>1</v>
      </c>
      <c r="M406" s="202">
        <v>9990000</v>
      </c>
      <c r="N406" s="204"/>
      <c r="P406" s="202"/>
      <c r="Z406" s="201"/>
      <c r="AN406" s="202">
        <v>9990000</v>
      </c>
      <c r="AO406" s="202">
        <v>9990000</v>
      </c>
      <c r="AP406" s="202">
        <v>9990000</v>
      </c>
      <c r="AQ406" s="198" t="s">
        <v>54</v>
      </c>
      <c r="AR406" s="198" t="s">
        <v>51</v>
      </c>
      <c r="AS406" s="202">
        <v>9990000</v>
      </c>
      <c r="AT406" s="202">
        <v>9990000</v>
      </c>
      <c r="AU406" s="198" t="s">
        <v>69</v>
      </c>
      <c r="AV406" s="198" t="s">
        <v>62</v>
      </c>
      <c r="AW406" s="198" t="s">
        <v>54</v>
      </c>
    </row>
    <row r="407" spans="3:49" outlineLevel="2" x14ac:dyDescent="0.25">
      <c r="C407" s="201"/>
      <c r="D407" s="198" t="s">
        <v>1530</v>
      </c>
      <c r="H407" s="198" t="s">
        <v>1530</v>
      </c>
      <c r="I407" s="202">
        <f t="shared" si="6"/>
        <v>171789883.1999996</v>
      </c>
      <c r="J407" s="202">
        <v>41.599999999999902</v>
      </c>
      <c r="L407" s="204">
        <v>1</v>
      </c>
      <c r="M407" s="202">
        <v>241049135.25</v>
      </c>
      <c r="N407" s="204"/>
      <c r="P407" s="202"/>
      <c r="Z407" s="201"/>
      <c r="AN407" s="202">
        <v>241049135.25</v>
      </c>
      <c r="AO407" s="202">
        <v>241049135.25</v>
      </c>
      <c r="AP407" s="202">
        <v>2551500</v>
      </c>
      <c r="AQ407" s="198" t="s">
        <v>54</v>
      </c>
      <c r="AR407" s="198" t="s">
        <v>51</v>
      </c>
      <c r="AS407" s="202">
        <v>241049135.25</v>
      </c>
      <c r="AT407" s="202">
        <v>241049135.25</v>
      </c>
      <c r="AU407" s="198" t="s">
        <v>69</v>
      </c>
      <c r="AV407" s="198" t="s">
        <v>62</v>
      </c>
      <c r="AW407" s="198" t="s">
        <v>54</v>
      </c>
    </row>
    <row r="408" spans="3:49" outlineLevel="2" x14ac:dyDescent="0.25">
      <c r="C408" s="201"/>
      <c r="D408" s="198" t="s">
        <v>1530</v>
      </c>
      <c r="H408" s="198" t="s">
        <v>1530</v>
      </c>
      <c r="I408" s="202">
        <f t="shared" si="6"/>
        <v>172202839.64999959</v>
      </c>
      <c r="J408" s="202">
        <v>41.699999999999903</v>
      </c>
      <c r="L408" s="204">
        <v>1</v>
      </c>
      <c r="M408" s="202">
        <v>13365000</v>
      </c>
      <c r="N408" s="204"/>
      <c r="P408" s="202"/>
      <c r="Z408" s="201"/>
      <c r="AN408" s="202">
        <v>13365000</v>
      </c>
      <c r="AO408" s="202">
        <v>13365000</v>
      </c>
      <c r="AP408" s="202">
        <v>13365000</v>
      </c>
      <c r="AQ408" s="198" t="s">
        <v>54</v>
      </c>
      <c r="AR408" s="198" t="s">
        <v>51</v>
      </c>
      <c r="AS408" s="202">
        <v>13365000</v>
      </c>
      <c r="AT408" s="202">
        <v>13365000</v>
      </c>
      <c r="AU408" s="198" t="s">
        <v>69</v>
      </c>
      <c r="AV408" s="198" t="s">
        <v>62</v>
      </c>
      <c r="AW408" s="198" t="s">
        <v>54</v>
      </c>
    </row>
    <row r="409" spans="3:49" outlineLevel="2" x14ac:dyDescent="0.25">
      <c r="C409" s="201"/>
      <c r="D409" s="198" t="s">
        <v>1530</v>
      </c>
      <c r="H409" s="198" t="s">
        <v>1530</v>
      </c>
      <c r="I409" s="202">
        <f t="shared" si="6"/>
        <v>172615796.09999958</v>
      </c>
      <c r="J409" s="202">
        <v>41.799999999999898</v>
      </c>
      <c r="L409" s="204">
        <v>1</v>
      </c>
      <c r="M409" s="202">
        <v>80190000</v>
      </c>
      <c r="N409" s="204"/>
      <c r="P409" s="202"/>
      <c r="Z409" s="201"/>
      <c r="AN409" s="202">
        <v>80190000</v>
      </c>
      <c r="AO409" s="202">
        <v>80190000</v>
      </c>
      <c r="AP409" s="202">
        <v>80190000</v>
      </c>
      <c r="AQ409" s="198" t="s">
        <v>54</v>
      </c>
      <c r="AR409" s="198" t="s">
        <v>51</v>
      </c>
      <c r="AS409" s="202">
        <v>80190000</v>
      </c>
      <c r="AT409" s="202">
        <v>80190000</v>
      </c>
      <c r="AU409" s="198" t="s">
        <v>69</v>
      </c>
      <c r="AV409" s="198" t="s">
        <v>62</v>
      </c>
      <c r="AW409" s="198" t="s">
        <v>54</v>
      </c>
    </row>
    <row r="410" spans="3:49" outlineLevel="2" x14ac:dyDescent="0.25">
      <c r="C410" s="201"/>
      <c r="D410" s="198" t="s">
        <v>1530</v>
      </c>
      <c r="H410" s="198" t="s">
        <v>1530</v>
      </c>
      <c r="I410" s="202">
        <f t="shared" si="6"/>
        <v>173028752.54999959</v>
      </c>
      <c r="J410" s="202">
        <v>41.899999999999899</v>
      </c>
      <c r="L410" s="204">
        <v>1</v>
      </c>
      <c r="M410" s="202">
        <v>70301406.310000002</v>
      </c>
      <c r="N410" s="204"/>
      <c r="P410" s="202"/>
      <c r="Z410" s="201"/>
      <c r="AN410" s="202">
        <v>70301406.310000002</v>
      </c>
      <c r="AO410" s="202">
        <v>70301406.310000002</v>
      </c>
      <c r="AP410" s="202">
        <v>70301406.310000002</v>
      </c>
      <c r="AQ410" s="198" t="s">
        <v>54</v>
      </c>
      <c r="AR410" s="198" t="s">
        <v>51</v>
      </c>
      <c r="AS410" s="202">
        <v>70301406.310000002</v>
      </c>
      <c r="AT410" s="202">
        <v>70301406.310000002</v>
      </c>
      <c r="AU410" s="198" t="s">
        <v>69</v>
      </c>
      <c r="AV410" s="198" t="s">
        <v>62</v>
      </c>
      <c r="AW410" s="198" t="s">
        <v>54</v>
      </c>
    </row>
    <row r="411" spans="3:49" outlineLevel="2" x14ac:dyDescent="0.25">
      <c r="C411" s="201"/>
      <c r="D411" s="198" t="s">
        <v>1537</v>
      </c>
      <c r="H411" s="198" t="s">
        <v>1537</v>
      </c>
      <c r="I411" s="202">
        <f t="shared" si="6"/>
        <v>173441708.99999958</v>
      </c>
      <c r="J411" s="202">
        <v>41.999999999999901</v>
      </c>
      <c r="L411" s="204">
        <v>1</v>
      </c>
      <c r="M411" s="202">
        <v>249976881</v>
      </c>
      <c r="N411" s="204"/>
      <c r="P411" s="202"/>
      <c r="Z411" s="201"/>
      <c r="AN411" s="202">
        <v>249976881</v>
      </c>
      <c r="AO411" s="202">
        <v>249976881</v>
      </c>
      <c r="AP411" s="202">
        <v>2646000</v>
      </c>
      <c r="AQ411" s="198" t="s">
        <v>54</v>
      </c>
      <c r="AR411" s="198" t="s">
        <v>51</v>
      </c>
      <c r="AS411" s="202">
        <v>249976881</v>
      </c>
      <c r="AT411" s="202">
        <v>249976881</v>
      </c>
      <c r="AU411" s="198" t="s">
        <v>69</v>
      </c>
      <c r="AV411" s="198" t="s">
        <v>62</v>
      </c>
      <c r="AW411" s="198" t="s">
        <v>54</v>
      </c>
    </row>
    <row r="412" spans="3:49" outlineLevel="2" x14ac:dyDescent="0.25">
      <c r="C412" s="201"/>
      <c r="D412" s="198" t="s">
        <v>1537</v>
      </c>
      <c r="H412" s="198" t="s">
        <v>1537</v>
      </c>
      <c r="I412" s="202">
        <f t="shared" si="6"/>
        <v>173854665.4499996</v>
      </c>
      <c r="J412" s="202">
        <v>42.099999999999902</v>
      </c>
      <c r="L412" s="204">
        <v>1</v>
      </c>
      <c r="M412" s="202">
        <v>13860000</v>
      </c>
      <c r="N412" s="204"/>
      <c r="P412" s="202"/>
      <c r="Z412" s="201"/>
      <c r="AN412" s="202">
        <v>13860000</v>
      </c>
      <c r="AO412" s="202">
        <v>13860000</v>
      </c>
      <c r="AP412" s="202">
        <v>13860000</v>
      </c>
      <c r="AQ412" s="198" t="s">
        <v>54</v>
      </c>
      <c r="AR412" s="198" t="s">
        <v>51</v>
      </c>
      <c r="AS412" s="202">
        <v>13860000</v>
      </c>
      <c r="AT412" s="202">
        <v>13860000</v>
      </c>
      <c r="AU412" s="198" t="s">
        <v>69</v>
      </c>
      <c r="AV412" s="198" t="s">
        <v>62</v>
      </c>
      <c r="AW412" s="198" t="s">
        <v>54</v>
      </c>
    </row>
    <row r="413" spans="3:49" outlineLevel="2" x14ac:dyDescent="0.25">
      <c r="C413" s="201"/>
      <c r="D413" s="198" t="s">
        <v>1537</v>
      </c>
      <c r="H413" s="198" t="s">
        <v>1537</v>
      </c>
      <c r="I413" s="202">
        <f t="shared" si="6"/>
        <v>174267621.89999959</v>
      </c>
      <c r="J413" s="202">
        <v>42.199999999999903</v>
      </c>
      <c r="L413" s="204">
        <v>1</v>
      </c>
      <c r="M413" s="202">
        <v>83160000</v>
      </c>
      <c r="N413" s="204"/>
      <c r="P413" s="202"/>
      <c r="Z413" s="201"/>
      <c r="AN413" s="202">
        <v>83160000</v>
      </c>
      <c r="AO413" s="202">
        <v>83160000</v>
      </c>
      <c r="AP413" s="202">
        <v>83160000</v>
      </c>
      <c r="AQ413" s="198" t="s">
        <v>54</v>
      </c>
      <c r="AR413" s="198" t="s">
        <v>51</v>
      </c>
      <c r="AS413" s="202">
        <v>83160000</v>
      </c>
      <c r="AT413" s="202">
        <v>83160000</v>
      </c>
      <c r="AU413" s="198" t="s">
        <v>69</v>
      </c>
      <c r="AV413" s="198" t="s">
        <v>62</v>
      </c>
      <c r="AW413" s="198" t="s">
        <v>54</v>
      </c>
    </row>
    <row r="414" spans="3:49" outlineLevel="2" x14ac:dyDescent="0.25">
      <c r="C414" s="201"/>
      <c r="D414" s="198" t="s">
        <v>1537</v>
      </c>
      <c r="H414" s="198" t="s">
        <v>1537</v>
      </c>
      <c r="I414" s="202">
        <f t="shared" si="6"/>
        <v>174680578.34999958</v>
      </c>
      <c r="J414" s="202">
        <v>42.299999999999898</v>
      </c>
      <c r="L414" s="204">
        <v>1</v>
      </c>
      <c r="M414" s="202">
        <v>72769224.390000001</v>
      </c>
      <c r="N414" s="204"/>
      <c r="P414" s="202"/>
      <c r="Z414" s="201"/>
      <c r="AN414" s="202">
        <v>72769224.390000001</v>
      </c>
      <c r="AO414" s="202">
        <v>72769224.390000001</v>
      </c>
      <c r="AP414" s="202">
        <v>72769224.390000001</v>
      </c>
      <c r="AQ414" s="198" t="s">
        <v>54</v>
      </c>
      <c r="AR414" s="198" t="s">
        <v>51</v>
      </c>
      <c r="AS414" s="202">
        <v>72769224.390000001</v>
      </c>
      <c r="AT414" s="202">
        <v>72769224.390000001</v>
      </c>
      <c r="AU414" s="198" t="s">
        <v>69</v>
      </c>
      <c r="AV414" s="198" t="s">
        <v>62</v>
      </c>
      <c r="AW414" s="198" t="s">
        <v>54</v>
      </c>
    </row>
    <row r="415" spans="3:49" outlineLevel="2" x14ac:dyDescent="0.25">
      <c r="C415" s="201"/>
      <c r="D415" s="198" t="s">
        <v>1540</v>
      </c>
      <c r="H415" s="198" t="s">
        <v>1540</v>
      </c>
      <c r="I415" s="202">
        <f t="shared" si="6"/>
        <v>175093534.79999959</v>
      </c>
      <c r="J415" s="202">
        <v>42.399999999999899</v>
      </c>
      <c r="L415" s="204">
        <v>1</v>
      </c>
      <c r="M415" s="202">
        <v>93741330.379999995</v>
      </c>
      <c r="N415" s="204"/>
      <c r="P415" s="202"/>
      <c r="Z415" s="201"/>
      <c r="AN415" s="202">
        <v>93741330.379999995</v>
      </c>
      <c r="AO415" s="202">
        <v>93741330.379999995</v>
      </c>
      <c r="AP415" s="202">
        <v>992250</v>
      </c>
      <c r="AQ415" s="198" t="s">
        <v>54</v>
      </c>
      <c r="AR415" s="198" t="s">
        <v>51</v>
      </c>
      <c r="AS415" s="202">
        <v>93741330.379999995</v>
      </c>
      <c r="AT415" s="202">
        <v>93741330.379999995</v>
      </c>
      <c r="AU415" s="198" t="s">
        <v>69</v>
      </c>
      <c r="AV415" s="198" t="s">
        <v>62</v>
      </c>
      <c r="AW415" s="198" t="s">
        <v>54</v>
      </c>
    </row>
    <row r="416" spans="3:49" outlineLevel="2" x14ac:dyDescent="0.25">
      <c r="C416" s="201"/>
      <c r="D416" s="198" t="s">
        <v>1540</v>
      </c>
      <c r="H416" s="198" t="s">
        <v>1540</v>
      </c>
      <c r="I416" s="202">
        <f t="shared" si="6"/>
        <v>175506491.24999958</v>
      </c>
      <c r="J416" s="202">
        <v>42.499999999999901</v>
      </c>
      <c r="L416" s="204">
        <v>1</v>
      </c>
      <c r="M416" s="202">
        <v>5197500</v>
      </c>
      <c r="N416" s="204"/>
      <c r="P416" s="202"/>
      <c r="Z416" s="201"/>
      <c r="AN416" s="202">
        <v>5197500</v>
      </c>
      <c r="AO416" s="202">
        <v>5197500</v>
      </c>
      <c r="AP416" s="202">
        <v>5197500</v>
      </c>
      <c r="AQ416" s="198" t="s">
        <v>54</v>
      </c>
      <c r="AR416" s="198" t="s">
        <v>51</v>
      </c>
      <c r="AS416" s="202">
        <v>5197500</v>
      </c>
      <c r="AT416" s="202">
        <v>5197500</v>
      </c>
      <c r="AU416" s="198" t="s">
        <v>69</v>
      </c>
      <c r="AV416" s="198" t="s">
        <v>62</v>
      </c>
      <c r="AW416" s="198" t="s">
        <v>54</v>
      </c>
    </row>
    <row r="417" spans="3:49" outlineLevel="2" x14ac:dyDescent="0.25">
      <c r="C417" s="201"/>
      <c r="D417" s="198" t="s">
        <v>1540</v>
      </c>
      <c r="H417" s="198" t="s">
        <v>1540</v>
      </c>
      <c r="I417" s="202">
        <f t="shared" si="6"/>
        <v>175919447.6999996</v>
      </c>
      <c r="J417" s="202">
        <v>42.599999999999902</v>
      </c>
      <c r="L417" s="204">
        <v>1</v>
      </c>
      <c r="M417" s="202">
        <v>31185000</v>
      </c>
      <c r="N417" s="204"/>
      <c r="P417" s="202"/>
      <c r="Z417" s="201"/>
      <c r="AN417" s="202">
        <v>31185000</v>
      </c>
      <c r="AO417" s="202">
        <v>31185000</v>
      </c>
      <c r="AP417" s="202">
        <v>31185000</v>
      </c>
      <c r="AQ417" s="198" t="s">
        <v>54</v>
      </c>
      <c r="AR417" s="198" t="s">
        <v>51</v>
      </c>
      <c r="AS417" s="202">
        <v>31185000</v>
      </c>
      <c r="AT417" s="202">
        <v>31185000</v>
      </c>
      <c r="AU417" s="198" t="s">
        <v>69</v>
      </c>
      <c r="AV417" s="198" t="s">
        <v>62</v>
      </c>
      <c r="AW417" s="198" t="s">
        <v>54</v>
      </c>
    </row>
    <row r="418" spans="3:49" outlineLevel="2" x14ac:dyDescent="0.25">
      <c r="C418" s="201"/>
      <c r="D418" s="198" t="s">
        <v>1540</v>
      </c>
      <c r="H418" s="198" t="s">
        <v>1540</v>
      </c>
      <c r="I418" s="202">
        <f t="shared" si="6"/>
        <v>176332404.14999959</v>
      </c>
      <c r="J418" s="202">
        <v>42.699999999999903</v>
      </c>
      <c r="L418" s="204">
        <v>1</v>
      </c>
      <c r="M418" s="202">
        <v>29582407.989999998</v>
      </c>
      <c r="N418" s="204"/>
      <c r="P418" s="202"/>
      <c r="Z418" s="201"/>
      <c r="AN418" s="202">
        <v>29582407.989999998</v>
      </c>
      <c r="AO418" s="202">
        <v>29582407.989999998</v>
      </c>
      <c r="AP418" s="202">
        <v>29582407.989999998</v>
      </c>
      <c r="AQ418" s="198" t="s">
        <v>54</v>
      </c>
      <c r="AR418" s="198" t="s">
        <v>51</v>
      </c>
      <c r="AS418" s="202">
        <v>29582407.989999998</v>
      </c>
      <c r="AT418" s="202">
        <v>29582407.989999998</v>
      </c>
      <c r="AU418" s="198" t="s">
        <v>69</v>
      </c>
      <c r="AV418" s="198" t="s">
        <v>62</v>
      </c>
      <c r="AW418" s="198" t="s">
        <v>54</v>
      </c>
    </row>
    <row r="419" spans="3:49" outlineLevel="2" x14ac:dyDescent="0.25">
      <c r="C419" s="201"/>
      <c r="D419" s="198" t="s">
        <v>1263</v>
      </c>
      <c r="H419" s="198" t="s">
        <v>1263</v>
      </c>
      <c r="I419" s="202">
        <f t="shared" si="6"/>
        <v>176745360.59999958</v>
      </c>
      <c r="J419" s="202">
        <v>42.799999999999898</v>
      </c>
      <c r="L419" s="204">
        <v>1</v>
      </c>
      <c r="M419" s="202">
        <v>241049135.25</v>
      </c>
      <c r="N419" s="204"/>
      <c r="P419" s="202"/>
      <c r="Z419" s="201"/>
      <c r="AN419" s="202">
        <v>241049135.25</v>
      </c>
      <c r="AO419" s="202">
        <v>241049135.25</v>
      </c>
      <c r="AP419" s="202">
        <v>2551500</v>
      </c>
      <c r="AQ419" s="198" t="s">
        <v>54</v>
      </c>
      <c r="AR419" s="198" t="s">
        <v>51</v>
      </c>
      <c r="AS419" s="202">
        <v>241049135.25</v>
      </c>
      <c r="AT419" s="202">
        <v>241049135.25</v>
      </c>
      <c r="AU419" s="198" t="s">
        <v>69</v>
      </c>
      <c r="AV419" s="198" t="s">
        <v>62</v>
      </c>
      <c r="AW419" s="198" t="s">
        <v>54</v>
      </c>
    </row>
    <row r="420" spans="3:49" outlineLevel="2" x14ac:dyDescent="0.25">
      <c r="C420" s="201"/>
      <c r="D420" s="198" t="s">
        <v>1263</v>
      </c>
      <c r="H420" s="198" t="s">
        <v>1263</v>
      </c>
      <c r="I420" s="202">
        <f t="shared" si="6"/>
        <v>177158317.04999959</v>
      </c>
      <c r="J420" s="202">
        <v>42.899999999999899</v>
      </c>
      <c r="L420" s="204">
        <v>1</v>
      </c>
      <c r="M420" s="202">
        <v>13365000</v>
      </c>
      <c r="N420" s="204"/>
      <c r="P420" s="202"/>
      <c r="Z420" s="201"/>
      <c r="AN420" s="202">
        <v>13365000</v>
      </c>
      <c r="AO420" s="202">
        <v>13365000</v>
      </c>
      <c r="AP420" s="202">
        <v>13365000</v>
      </c>
      <c r="AQ420" s="198" t="s">
        <v>54</v>
      </c>
      <c r="AR420" s="198" t="s">
        <v>51</v>
      </c>
      <c r="AS420" s="202">
        <v>13365000</v>
      </c>
      <c r="AT420" s="202">
        <v>13365000</v>
      </c>
      <c r="AU420" s="198" t="s">
        <v>69</v>
      </c>
      <c r="AV420" s="198" t="s">
        <v>62</v>
      </c>
      <c r="AW420" s="198" t="s">
        <v>54</v>
      </c>
    </row>
    <row r="421" spans="3:49" outlineLevel="2" x14ac:dyDescent="0.25">
      <c r="C421" s="201"/>
      <c r="D421" s="198" t="s">
        <v>1263</v>
      </c>
      <c r="H421" s="198" t="s">
        <v>1263</v>
      </c>
      <c r="I421" s="202">
        <f t="shared" si="6"/>
        <v>177571273.49999958</v>
      </c>
      <c r="J421" s="202">
        <v>42.999999999999901</v>
      </c>
      <c r="L421" s="204">
        <v>1</v>
      </c>
      <c r="M421" s="202">
        <v>80190000</v>
      </c>
      <c r="N421" s="204"/>
      <c r="P421" s="202"/>
      <c r="Z421" s="201"/>
      <c r="AN421" s="202">
        <v>80190000</v>
      </c>
      <c r="AO421" s="202">
        <v>80190000</v>
      </c>
      <c r="AP421" s="202">
        <v>80190000</v>
      </c>
      <c r="AQ421" s="198" t="s">
        <v>54</v>
      </c>
      <c r="AR421" s="198" t="s">
        <v>51</v>
      </c>
      <c r="AS421" s="202">
        <v>80190000</v>
      </c>
      <c r="AT421" s="202">
        <v>80190000</v>
      </c>
      <c r="AU421" s="198" t="s">
        <v>69</v>
      </c>
      <c r="AV421" s="198" t="s">
        <v>62</v>
      </c>
      <c r="AW421" s="198" t="s">
        <v>54</v>
      </c>
    </row>
    <row r="422" spans="3:49" outlineLevel="2" x14ac:dyDescent="0.25">
      <c r="C422" s="201"/>
      <c r="D422" s="198" t="s">
        <v>1263</v>
      </c>
      <c r="H422" s="198" t="s">
        <v>1263</v>
      </c>
      <c r="I422" s="202">
        <f t="shared" si="6"/>
        <v>177984229.9499996</v>
      </c>
      <c r="J422" s="202">
        <v>43.099999999999902</v>
      </c>
      <c r="L422" s="204">
        <v>1</v>
      </c>
      <c r="M422" s="202">
        <v>70301406.310000002</v>
      </c>
      <c r="N422" s="204"/>
      <c r="P422" s="202"/>
      <c r="Z422" s="201"/>
      <c r="AN422" s="202">
        <v>70301406.310000002</v>
      </c>
      <c r="AO422" s="202">
        <v>70301406.310000002</v>
      </c>
      <c r="AP422" s="202">
        <v>70301406.310000002</v>
      </c>
      <c r="AQ422" s="198" t="s">
        <v>54</v>
      </c>
      <c r="AR422" s="198" t="s">
        <v>51</v>
      </c>
      <c r="AS422" s="202">
        <v>70301406.310000002</v>
      </c>
      <c r="AT422" s="202">
        <v>70301406.310000002</v>
      </c>
      <c r="AU422" s="198" t="s">
        <v>69</v>
      </c>
      <c r="AV422" s="198" t="s">
        <v>62</v>
      </c>
      <c r="AW422" s="198" t="s">
        <v>54</v>
      </c>
    </row>
    <row r="423" spans="3:49" outlineLevel="2" x14ac:dyDescent="0.25">
      <c r="C423" s="201"/>
      <c r="D423" s="198" t="s">
        <v>1515</v>
      </c>
      <c r="H423" s="198" t="s">
        <v>1515</v>
      </c>
      <c r="I423" s="202">
        <f t="shared" si="6"/>
        <v>178397186.39999959</v>
      </c>
      <c r="J423" s="202">
        <v>43.199999999999903</v>
      </c>
      <c r="L423" s="204">
        <v>1</v>
      </c>
      <c r="M423" s="202">
        <v>214265898</v>
      </c>
      <c r="N423" s="204"/>
      <c r="P423" s="202"/>
      <c r="Z423" s="201"/>
      <c r="AN423" s="202">
        <v>214265898</v>
      </c>
      <c r="AO423" s="202">
        <v>214265898</v>
      </c>
      <c r="AP423" s="202">
        <v>2268000</v>
      </c>
      <c r="AQ423" s="198" t="s">
        <v>54</v>
      </c>
      <c r="AR423" s="198" t="s">
        <v>51</v>
      </c>
      <c r="AS423" s="202">
        <v>214265898</v>
      </c>
      <c r="AT423" s="202">
        <v>214265898</v>
      </c>
      <c r="AU423" s="198" t="s">
        <v>69</v>
      </c>
      <c r="AV423" s="198" t="s">
        <v>62</v>
      </c>
      <c r="AW423" s="198" t="s">
        <v>54</v>
      </c>
    </row>
    <row r="424" spans="3:49" outlineLevel="2" x14ac:dyDescent="0.25">
      <c r="C424" s="201"/>
      <c r="D424" s="198" t="s">
        <v>1515</v>
      </c>
      <c r="H424" s="198" t="s">
        <v>1515</v>
      </c>
      <c r="I424" s="202">
        <f t="shared" si="6"/>
        <v>178810142.84999958</v>
      </c>
      <c r="J424" s="202">
        <v>43.299999999999898</v>
      </c>
      <c r="L424" s="204">
        <v>1</v>
      </c>
      <c r="M424" s="202">
        <v>11880000</v>
      </c>
      <c r="N424" s="204"/>
      <c r="P424" s="202"/>
      <c r="Z424" s="201"/>
      <c r="AN424" s="202">
        <v>11880000</v>
      </c>
      <c r="AO424" s="202">
        <v>11880000</v>
      </c>
      <c r="AP424" s="202">
        <v>11880000</v>
      </c>
      <c r="AQ424" s="198" t="s">
        <v>54</v>
      </c>
      <c r="AR424" s="198" t="s">
        <v>51</v>
      </c>
      <c r="AS424" s="202">
        <v>11880000</v>
      </c>
      <c r="AT424" s="202">
        <v>11880000</v>
      </c>
      <c r="AU424" s="198" t="s">
        <v>69</v>
      </c>
      <c r="AV424" s="198" t="s">
        <v>62</v>
      </c>
      <c r="AW424" s="198" t="s">
        <v>54</v>
      </c>
    </row>
    <row r="425" spans="3:49" outlineLevel="2" x14ac:dyDescent="0.25">
      <c r="C425" s="201"/>
      <c r="D425" s="198" t="s">
        <v>1515</v>
      </c>
      <c r="H425" s="198" t="s">
        <v>1515</v>
      </c>
      <c r="I425" s="202">
        <f t="shared" si="6"/>
        <v>179223099.29999959</v>
      </c>
      <c r="J425" s="202">
        <v>43.399999999999899</v>
      </c>
      <c r="L425" s="204">
        <v>1</v>
      </c>
      <c r="M425" s="202">
        <v>71280000</v>
      </c>
      <c r="N425" s="204"/>
      <c r="P425" s="202"/>
      <c r="Z425" s="201"/>
      <c r="AN425" s="202">
        <v>71280000</v>
      </c>
      <c r="AO425" s="202">
        <v>71280000</v>
      </c>
      <c r="AP425" s="202">
        <v>71280000</v>
      </c>
      <c r="AQ425" s="198" t="s">
        <v>54</v>
      </c>
      <c r="AR425" s="198" t="s">
        <v>51</v>
      </c>
      <c r="AS425" s="202">
        <v>71280000</v>
      </c>
      <c r="AT425" s="202">
        <v>71280000</v>
      </c>
      <c r="AU425" s="198" t="s">
        <v>69</v>
      </c>
      <c r="AV425" s="198" t="s">
        <v>62</v>
      </c>
      <c r="AW425" s="198" t="s">
        <v>54</v>
      </c>
    </row>
    <row r="426" spans="3:49" outlineLevel="2" x14ac:dyDescent="0.25">
      <c r="C426" s="201"/>
      <c r="D426" s="198" t="s">
        <v>1515</v>
      </c>
      <c r="H426" s="198" t="s">
        <v>1515</v>
      </c>
      <c r="I426" s="202">
        <f t="shared" si="6"/>
        <v>179636055.74999958</v>
      </c>
      <c r="J426" s="202">
        <v>43.499999999999901</v>
      </c>
      <c r="L426" s="204">
        <v>1</v>
      </c>
      <c r="M426" s="202">
        <v>62897952.07</v>
      </c>
      <c r="N426" s="204"/>
      <c r="P426" s="202"/>
      <c r="Z426" s="201"/>
      <c r="AN426" s="202">
        <v>62897952.07</v>
      </c>
      <c r="AO426" s="202">
        <v>62897952.07</v>
      </c>
      <c r="AP426" s="202">
        <v>62897952.07</v>
      </c>
      <c r="AQ426" s="198" t="s">
        <v>54</v>
      </c>
      <c r="AR426" s="198" t="s">
        <v>51</v>
      </c>
      <c r="AS426" s="202">
        <v>62897952.07</v>
      </c>
      <c r="AT426" s="202">
        <v>62897952.07</v>
      </c>
      <c r="AU426" s="198" t="s">
        <v>69</v>
      </c>
      <c r="AV426" s="198" t="s">
        <v>62</v>
      </c>
      <c r="AW426" s="198" t="s">
        <v>54</v>
      </c>
    </row>
    <row r="427" spans="3:49" outlineLevel="2" x14ac:dyDescent="0.25">
      <c r="C427" s="201"/>
      <c r="D427" s="198" t="s">
        <v>1526</v>
      </c>
      <c r="H427" s="198" t="s">
        <v>1526</v>
      </c>
      <c r="I427" s="202">
        <f t="shared" si="6"/>
        <v>180049012.1999996</v>
      </c>
      <c r="J427" s="202">
        <v>43.599999999999902</v>
      </c>
      <c r="L427" s="204">
        <v>1</v>
      </c>
      <c r="M427" s="202">
        <v>133916186.25</v>
      </c>
      <c r="N427" s="204"/>
      <c r="P427" s="202"/>
      <c r="Z427" s="201"/>
      <c r="AN427" s="202">
        <v>133916186.25</v>
      </c>
      <c r="AO427" s="202">
        <v>133916186.25</v>
      </c>
      <c r="AP427" s="202">
        <v>1417500</v>
      </c>
      <c r="AQ427" s="198" t="s">
        <v>54</v>
      </c>
      <c r="AR427" s="198" t="s">
        <v>51</v>
      </c>
      <c r="AS427" s="202">
        <v>133916186.25</v>
      </c>
      <c r="AT427" s="202">
        <v>133916186.25</v>
      </c>
      <c r="AU427" s="198" t="s">
        <v>69</v>
      </c>
      <c r="AV427" s="198" t="s">
        <v>62</v>
      </c>
      <c r="AW427" s="198" t="s">
        <v>54</v>
      </c>
    </row>
    <row r="428" spans="3:49" outlineLevel="2" x14ac:dyDescent="0.25">
      <c r="C428" s="201"/>
      <c r="D428" s="198" t="s">
        <v>1526</v>
      </c>
      <c r="H428" s="198" t="s">
        <v>1526</v>
      </c>
      <c r="I428" s="202">
        <f t="shared" si="6"/>
        <v>180461968.64999959</v>
      </c>
      <c r="J428" s="202">
        <v>43.699999999999903</v>
      </c>
      <c r="L428" s="204">
        <v>1</v>
      </c>
      <c r="M428" s="202">
        <v>7425000</v>
      </c>
      <c r="N428" s="204"/>
      <c r="P428" s="202"/>
      <c r="Z428" s="201"/>
      <c r="AN428" s="202">
        <v>7425000</v>
      </c>
      <c r="AO428" s="202">
        <v>7425000</v>
      </c>
      <c r="AP428" s="202">
        <v>7425000</v>
      </c>
      <c r="AQ428" s="198" t="s">
        <v>54</v>
      </c>
      <c r="AR428" s="198" t="s">
        <v>51</v>
      </c>
      <c r="AS428" s="202">
        <v>7425000</v>
      </c>
      <c r="AT428" s="202">
        <v>7425000</v>
      </c>
      <c r="AU428" s="198" t="s">
        <v>69</v>
      </c>
      <c r="AV428" s="198" t="s">
        <v>62</v>
      </c>
      <c r="AW428" s="198" t="s">
        <v>54</v>
      </c>
    </row>
    <row r="429" spans="3:49" outlineLevel="2" x14ac:dyDescent="0.25">
      <c r="C429" s="201"/>
      <c r="D429" s="198" t="s">
        <v>1526</v>
      </c>
      <c r="H429" s="198" t="s">
        <v>1526</v>
      </c>
      <c r="I429" s="202">
        <f t="shared" si="6"/>
        <v>180874925.09999958</v>
      </c>
      <c r="J429" s="202">
        <v>43.799999999999898</v>
      </c>
      <c r="L429" s="204">
        <v>1</v>
      </c>
      <c r="M429" s="202">
        <v>44550000</v>
      </c>
      <c r="N429" s="204"/>
      <c r="P429" s="202"/>
      <c r="Z429" s="201"/>
      <c r="AN429" s="202">
        <v>44550000</v>
      </c>
      <c r="AO429" s="202">
        <v>44550000</v>
      </c>
      <c r="AP429" s="202">
        <v>44550000</v>
      </c>
      <c r="AQ429" s="198" t="s">
        <v>54</v>
      </c>
      <c r="AR429" s="198" t="s">
        <v>51</v>
      </c>
      <c r="AS429" s="202">
        <v>44550000</v>
      </c>
      <c r="AT429" s="202">
        <v>44550000</v>
      </c>
      <c r="AU429" s="198" t="s">
        <v>69</v>
      </c>
      <c r="AV429" s="198" t="s">
        <v>62</v>
      </c>
      <c r="AW429" s="198" t="s">
        <v>54</v>
      </c>
    </row>
    <row r="430" spans="3:49" outlineLevel="2" x14ac:dyDescent="0.25">
      <c r="C430" s="201"/>
      <c r="D430" s="198" t="s">
        <v>1526</v>
      </c>
      <c r="H430" s="198" t="s">
        <v>1526</v>
      </c>
      <c r="I430" s="202">
        <f t="shared" si="6"/>
        <v>181287881.54999959</v>
      </c>
      <c r="J430" s="202">
        <v>43.899999999999899</v>
      </c>
      <c r="L430" s="204">
        <v>1</v>
      </c>
      <c r="M430" s="202">
        <v>40687589.350000001</v>
      </c>
      <c r="N430" s="204"/>
      <c r="P430" s="202"/>
      <c r="Z430" s="201"/>
      <c r="AN430" s="202">
        <v>40687589.350000001</v>
      </c>
      <c r="AO430" s="202">
        <v>40687589.350000001</v>
      </c>
      <c r="AP430" s="202">
        <v>40687589.350000001</v>
      </c>
      <c r="AQ430" s="198" t="s">
        <v>54</v>
      </c>
      <c r="AR430" s="198" t="s">
        <v>51</v>
      </c>
      <c r="AS430" s="202">
        <v>40687589.350000001</v>
      </c>
      <c r="AT430" s="202">
        <v>40687589.350000001</v>
      </c>
      <c r="AU430" s="198" t="s">
        <v>69</v>
      </c>
      <c r="AV430" s="198" t="s">
        <v>62</v>
      </c>
      <c r="AW430" s="198" t="s">
        <v>54</v>
      </c>
    </row>
    <row r="431" spans="3:49" outlineLevel="2" x14ac:dyDescent="0.25">
      <c r="C431" s="201"/>
      <c r="D431" s="198" t="s">
        <v>1279</v>
      </c>
      <c r="H431" s="198" t="s">
        <v>1279</v>
      </c>
      <c r="I431" s="202">
        <f t="shared" si="6"/>
        <v>181700837.99999958</v>
      </c>
      <c r="J431" s="202">
        <v>43.999999999999901</v>
      </c>
      <c r="L431" s="204">
        <v>1</v>
      </c>
      <c r="M431" s="202">
        <v>4586877.37</v>
      </c>
      <c r="N431" s="204"/>
      <c r="P431" s="202"/>
      <c r="Z431" s="201"/>
      <c r="AN431" s="202">
        <v>4586877.37</v>
      </c>
      <c r="AO431" s="202">
        <v>4586877.37</v>
      </c>
      <c r="AP431" s="202">
        <v>48552</v>
      </c>
      <c r="AQ431" s="198" t="s">
        <v>54</v>
      </c>
      <c r="AR431" s="198" t="s">
        <v>51</v>
      </c>
      <c r="AS431" s="202">
        <v>4586877.37</v>
      </c>
      <c r="AT431" s="202">
        <v>4586877.37</v>
      </c>
      <c r="AU431" s="198" t="s">
        <v>69</v>
      </c>
      <c r="AV431" s="198" t="s">
        <v>62</v>
      </c>
      <c r="AW431" s="198" t="s">
        <v>54</v>
      </c>
    </row>
    <row r="432" spans="3:49" outlineLevel="2" x14ac:dyDescent="0.25">
      <c r="C432" s="201"/>
      <c r="D432" s="198" t="s">
        <v>1279</v>
      </c>
      <c r="H432" s="198" t="s">
        <v>1279</v>
      </c>
      <c r="I432" s="202">
        <f t="shared" si="6"/>
        <v>182113794.4499996</v>
      </c>
      <c r="J432" s="202">
        <v>44.099999999999902</v>
      </c>
      <c r="L432" s="204">
        <v>1</v>
      </c>
      <c r="M432" s="202">
        <v>1260000</v>
      </c>
      <c r="N432" s="204"/>
      <c r="P432" s="202"/>
      <c r="Z432" s="201"/>
      <c r="AN432" s="202">
        <v>1260000</v>
      </c>
      <c r="AO432" s="202">
        <v>1260000</v>
      </c>
      <c r="AP432" s="202">
        <v>1260000</v>
      </c>
      <c r="AQ432" s="198" t="s">
        <v>54</v>
      </c>
      <c r="AR432" s="198" t="s">
        <v>51</v>
      </c>
      <c r="AS432" s="202">
        <v>1260000</v>
      </c>
      <c r="AT432" s="202">
        <v>1260000</v>
      </c>
      <c r="AU432" s="198" t="s">
        <v>69</v>
      </c>
      <c r="AV432" s="198" t="s">
        <v>62</v>
      </c>
      <c r="AW432" s="198" t="s">
        <v>54</v>
      </c>
    </row>
    <row r="433" spans="3:49" outlineLevel="2" x14ac:dyDescent="0.25">
      <c r="C433" s="201"/>
      <c r="D433" s="198" t="s">
        <v>1279</v>
      </c>
      <c r="H433" s="198" t="s">
        <v>1279</v>
      </c>
      <c r="I433" s="202">
        <f t="shared" si="6"/>
        <v>182526750.89999959</v>
      </c>
      <c r="J433" s="202">
        <v>44.199999999999903</v>
      </c>
      <c r="L433" s="204">
        <v>1</v>
      </c>
      <c r="M433" s="202">
        <v>86940</v>
      </c>
      <c r="N433" s="204"/>
      <c r="P433" s="202"/>
      <c r="Z433" s="201"/>
      <c r="AN433" s="202">
        <v>86940</v>
      </c>
      <c r="AO433" s="202">
        <v>86940</v>
      </c>
      <c r="AP433" s="202">
        <v>86940</v>
      </c>
      <c r="AQ433" s="198" t="s">
        <v>54</v>
      </c>
      <c r="AR433" s="198" t="s">
        <v>51</v>
      </c>
      <c r="AS433" s="202">
        <v>86940</v>
      </c>
      <c r="AT433" s="202">
        <v>86940</v>
      </c>
      <c r="AU433" s="198" t="s">
        <v>69</v>
      </c>
      <c r="AV433" s="198" t="s">
        <v>62</v>
      </c>
      <c r="AW433" s="198" t="s">
        <v>54</v>
      </c>
    </row>
    <row r="434" spans="3:49" outlineLevel="2" x14ac:dyDescent="0.25">
      <c r="C434" s="201"/>
      <c r="D434" s="198" t="s">
        <v>1518</v>
      </c>
      <c r="H434" s="198" t="s">
        <v>1518</v>
      </c>
      <c r="I434" s="202">
        <f t="shared" si="6"/>
        <v>182939707.34999958</v>
      </c>
      <c r="J434" s="202">
        <v>44.299999999999898</v>
      </c>
      <c r="L434" s="204">
        <v>1</v>
      </c>
      <c r="M434" s="202">
        <v>5242145.57</v>
      </c>
      <c r="N434" s="204"/>
      <c r="P434" s="202"/>
      <c r="Z434" s="201"/>
      <c r="AN434" s="202">
        <v>5242145.57</v>
      </c>
      <c r="AO434" s="202">
        <v>5242145.57</v>
      </c>
      <c r="AP434" s="202">
        <v>55488</v>
      </c>
      <c r="AQ434" s="198" t="s">
        <v>54</v>
      </c>
      <c r="AR434" s="198" t="s">
        <v>51</v>
      </c>
      <c r="AS434" s="202">
        <v>5242145.57</v>
      </c>
      <c r="AT434" s="202">
        <v>5242145.57</v>
      </c>
      <c r="AU434" s="198" t="s">
        <v>69</v>
      </c>
      <c r="AV434" s="198" t="s">
        <v>62</v>
      </c>
      <c r="AW434" s="198" t="s">
        <v>54</v>
      </c>
    </row>
    <row r="435" spans="3:49" outlineLevel="2" x14ac:dyDescent="0.25">
      <c r="C435" s="201"/>
      <c r="D435" s="198" t="s">
        <v>1518</v>
      </c>
      <c r="H435" s="198" t="s">
        <v>1518</v>
      </c>
      <c r="I435" s="202">
        <f t="shared" si="6"/>
        <v>183352663.79999959</v>
      </c>
      <c r="J435" s="202">
        <v>44.399999999999899</v>
      </c>
      <c r="L435" s="204">
        <v>1</v>
      </c>
      <c r="M435" s="202">
        <v>1440000</v>
      </c>
      <c r="N435" s="204"/>
      <c r="P435" s="202"/>
      <c r="Z435" s="201"/>
      <c r="AN435" s="202">
        <v>1440000</v>
      </c>
      <c r="AO435" s="202">
        <v>1440000</v>
      </c>
      <c r="AP435" s="202">
        <v>1440000</v>
      </c>
      <c r="AQ435" s="198" t="s">
        <v>54</v>
      </c>
      <c r="AR435" s="198" t="s">
        <v>51</v>
      </c>
      <c r="AS435" s="202">
        <v>1440000</v>
      </c>
      <c r="AT435" s="202">
        <v>1440000</v>
      </c>
      <c r="AU435" s="198" t="s">
        <v>69</v>
      </c>
      <c r="AV435" s="198" t="s">
        <v>62</v>
      </c>
      <c r="AW435" s="198" t="s">
        <v>54</v>
      </c>
    </row>
    <row r="436" spans="3:49" outlineLevel="2" x14ac:dyDescent="0.25">
      <c r="C436" s="201"/>
      <c r="D436" s="198" t="s">
        <v>1518</v>
      </c>
      <c r="H436" s="198" t="s">
        <v>1518</v>
      </c>
      <c r="I436" s="202">
        <f t="shared" si="6"/>
        <v>183765620.24999958</v>
      </c>
      <c r="J436" s="202">
        <v>44.499999999999901</v>
      </c>
      <c r="L436" s="204">
        <v>1</v>
      </c>
      <c r="M436" s="202">
        <v>99360</v>
      </c>
      <c r="N436" s="204"/>
      <c r="P436" s="202"/>
      <c r="Z436" s="201"/>
      <c r="AN436" s="202">
        <v>99360</v>
      </c>
      <c r="AO436" s="202">
        <v>99360</v>
      </c>
      <c r="AP436" s="202">
        <v>99360</v>
      </c>
      <c r="AQ436" s="198" t="s">
        <v>54</v>
      </c>
      <c r="AR436" s="198" t="s">
        <v>51</v>
      </c>
      <c r="AS436" s="202">
        <v>99360</v>
      </c>
      <c r="AT436" s="202">
        <v>99360</v>
      </c>
      <c r="AU436" s="198" t="s">
        <v>69</v>
      </c>
      <c r="AV436" s="198" t="s">
        <v>62</v>
      </c>
      <c r="AW436" s="198" t="s">
        <v>54</v>
      </c>
    </row>
    <row r="437" spans="3:49" outlineLevel="2" x14ac:dyDescent="0.25">
      <c r="C437" s="201"/>
      <c r="D437" s="198" t="s">
        <v>1527</v>
      </c>
      <c r="H437" s="198" t="s">
        <v>1527</v>
      </c>
      <c r="I437" s="202">
        <f t="shared" si="6"/>
        <v>184178576.6999996</v>
      </c>
      <c r="J437" s="202">
        <v>44.599999999999902</v>
      </c>
      <c r="L437" s="204">
        <v>1</v>
      </c>
      <c r="M437" s="202">
        <v>3276340.98</v>
      </c>
      <c r="N437" s="204"/>
      <c r="P437" s="202"/>
      <c r="Z437" s="201"/>
      <c r="AN437" s="202">
        <v>3276340.98</v>
      </c>
      <c r="AO437" s="202">
        <v>3276340.98</v>
      </c>
      <c r="AP437" s="202">
        <v>34680</v>
      </c>
      <c r="AQ437" s="198" t="s">
        <v>54</v>
      </c>
      <c r="AR437" s="198" t="s">
        <v>51</v>
      </c>
      <c r="AS437" s="202">
        <v>3276340.98</v>
      </c>
      <c r="AT437" s="202">
        <v>3276340.98</v>
      </c>
      <c r="AU437" s="198" t="s">
        <v>69</v>
      </c>
      <c r="AV437" s="198" t="s">
        <v>62</v>
      </c>
      <c r="AW437" s="198" t="s">
        <v>54</v>
      </c>
    </row>
    <row r="438" spans="3:49" outlineLevel="2" x14ac:dyDescent="0.25">
      <c r="C438" s="201"/>
      <c r="D438" s="198" t="s">
        <v>1527</v>
      </c>
      <c r="H438" s="198" t="s">
        <v>1527</v>
      </c>
      <c r="I438" s="202">
        <f t="shared" si="6"/>
        <v>184591533.14999959</v>
      </c>
      <c r="J438" s="202">
        <v>44.699999999999903</v>
      </c>
      <c r="L438" s="204">
        <v>1</v>
      </c>
      <c r="M438" s="202">
        <v>900000</v>
      </c>
      <c r="N438" s="204"/>
      <c r="P438" s="202"/>
      <c r="Z438" s="201"/>
      <c r="AN438" s="202">
        <v>900000</v>
      </c>
      <c r="AO438" s="202">
        <v>900000</v>
      </c>
      <c r="AP438" s="202">
        <v>900000</v>
      </c>
      <c r="AQ438" s="198" t="s">
        <v>54</v>
      </c>
      <c r="AR438" s="198" t="s">
        <v>51</v>
      </c>
      <c r="AS438" s="202">
        <v>900000</v>
      </c>
      <c r="AT438" s="202">
        <v>900000</v>
      </c>
      <c r="AU438" s="198" t="s">
        <v>69</v>
      </c>
      <c r="AV438" s="198" t="s">
        <v>62</v>
      </c>
      <c r="AW438" s="198" t="s">
        <v>54</v>
      </c>
    </row>
    <row r="439" spans="3:49" outlineLevel="2" x14ac:dyDescent="0.25">
      <c r="C439" s="201"/>
      <c r="D439" s="198" t="s">
        <v>1527</v>
      </c>
      <c r="H439" s="198" t="s">
        <v>1527</v>
      </c>
      <c r="I439" s="202">
        <f t="shared" si="6"/>
        <v>185004489.59999958</v>
      </c>
      <c r="J439" s="202">
        <v>44.799999999999898</v>
      </c>
      <c r="L439" s="204">
        <v>1</v>
      </c>
      <c r="M439" s="202">
        <v>62100</v>
      </c>
      <c r="N439" s="204"/>
      <c r="P439" s="202"/>
      <c r="Z439" s="201"/>
      <c r="AN439" s="202">
        <v>62100</v>
      </c>
      <c r="AO439" s="202">
        <v>62100</v>
      </c>
      <c r="AP439" s="202">
        <v>62100</v>
      </c>
      <c r="AQ439" s="198" t="s">
        <v>54</v>
      </c>
      <c r="AR439" s="198" t="s">
        <v>51</v>
      </c>
      <c r="AS439" s="202">
        <v>62100</v>
      </c>
      <c r="AT439" s="202">
        <v>62100</v>
      </c>
      <c r="AU439" s="198" t="s">
        <v>69</v>
      </c>
      <c r="AV439" s="198" t="s">
        <v>62</v>
      </c>
      <c r="AW439" s="198" t="s">
        <v>54</v>
      </c>
    </row>
    <row r="440" spans="3:49" outlineLevel="2" x14ac:dyDescent="0.25">
      <c r="C440" s="201"/>
      <c r="D440" s="198" t="s">
        <v>1531</v>
      </c>
      <c r="H440" s="198" t="s">
        <v>1531</v>
      </c>
      <c r="I440" s="202">
        <f t="shared" si="6"/>
        <v>185417446.04999959</v>
      </c>
      <c r="J440" s="202">
        <v>44.899999999999899</v>
      </c>
      <c r="L440" s="204">
        <v>1</v>
      </c>
      <c r="M440" s="202">
        <v>5897413.7599999998</v>
      </c>
      <c r="N440" s="204"/>
      <c r="P440" s="202"/>
      <c r="Z440" s="201"/>
      <c r="AN440" s="202">
        <v>5897413.7599999998</v>
      </c>
      <c r="AO440" s="202">
        <v>5897413.7599999998</v>
      </c>
      <c r="AP440" s="202">
        <v>62424</v>
      </c>
      <c r="AQ440" s="198" t="s">
        <v>54</v>
      </c>
      <c r="AR440" s="198" t="s">
        <v>51</v>
      </c>
      <c r="AS440" s="202">
        <v>5897413.7599999998</v>
      </c>
      <c r="AT440" s="202">
        <v>5897413.7599999998</v>
      </c>
      <c r="AU440" s="198" t="s">
        <v>69</v>
      </c>
      <c r="AV440" s="198" t="s">
        <v>62</v>
      </c>
      <c r="AW440" s="198" t="s">
        <v>54</v>
      </c>
    </row>
    <row r="441" spans="3:49" outlineLevel="2" x14ac:dyDescent="0.25">
      <c r="C441" s="201"/>
      <c r="D441" s="198" t="s">
        <v>1531</v>
      </c>
      <c r="H441" s="198" t="s">
        <v>1531</v>
      </c>
      <c r="I441" s="202">
        <f t="shared" si="6"/>
        <v>185830402.49999958</v>
      </c>
      <c r="J441" s="202">
        <v>44.999999999999901</v>
      </c>
      <c r="L441" s="204">
        <v>1</v>
      </c>
      <c r="M441" s="202">
        <v>1620000</v>
      </c>
      <c r="N441" s="204"/>
      <c r="P441" s="202"/>
      <c r="Z441" s="201"/>
      <c r="AN441" s="202">
        <v>1620000</v>
      </c>
      <c r="AO441" s="202">
        <v>1620000</v>
      </c>
      <c r="AP441" s="202">
        <v>1620000</v>
      </c>
      <c r="AQ441" s="198" t="s">
        <v>54</v>
      </c>
      <c r="AR441" s="198" t="s">
        <v>51</v>
      </c>
      <c r="AS441" s="202">
        <v>1620000</v>
      </c>
      <c r="AT441" s="202">
        <v>1620000</v>
      </c>
      <c r="AU441" s="198" t="s">
        <v>69</v>
      </c>
      <c r="AV441" s="198" t="s">
        <v>62</v>
      </c>
      <c r="AW441" s="198" t="s">
        <v>54</v>
      </c>
    </row>
    <row r="442" spans="3:49" outlineLevel="2" x14ac:dyDescent="0.25">
      <c r="C442" s="201"/>
      <c r="D442" s="198" t="s">
        <v>1531</v>
      </c>
      <c r="H442" s="198" t="s">
        <v>1531</v>
      </c>
      <c r="I442" s="202">
        <f t="shared" si="6"/>
        <v>186243358.9499996</v>
      </c>
      <c r="J442" s="202">
        <v>45.099999999999902</v>
      </c>
      <c r="L442" s="204">
        <v>1</v>
      </c>
      <c r="M442" s="202">
        <v>111780</v>
      </c>
      <c r="N442" s="204"/>
      <c r="P442" s="202"/>
      <c r="Z442" s="201"/>
      <c r="AN442" s="202">
        <v>111780</v>
      </c>
      <c r="AO442" s="202">
        <v>111780</v>
      </c>
      <c r="AP442" s="202">
        <v>111780</v>
      </c>
      <c r="AQ442" s="198" t="s">
        <v>54</v>
      </c>
      <c r="AR442" s="198" t="s">
        <v>51</v>
      </c>
      <c r="AS442" s="202">
        <v>111780</v>
      </c>
      <c r="AT442" s="202">
        <v>111780</v>
      </c>
      <c r="AU442" s="198" t="s">
        <v>69</v>
      </c>
      <c r="AV442" s="198" t="s">
        <v>62</v>
      </c>
      <c r="AW442" s="198" t="s">
        <v>54</v>
      </c>
    </row>
    <row r="443" spans="3:49" outlineLevel="2" x14ac:dyDescent="0.25">
      <c r="C443" s="201"/>
      <c r="D443" s="198" t="s">
        <v>1538</v>
      </c>
      <c r="H443" s="198" t="s">
        <v>1538</v>
      </c>
      <c r="I443" s="202">
        <f t="shared" si="6"/>
        <v>186656315.39999959</v>
      </c>
      <c r="J443" s="202">
        <v>45.199999999999903</v>
      </c>
      <c r="L443" s="204">
        <v>1</v>
      </c>
      <c r="M443" s="202">
        <v>6115836.5</v>
      </c>
      <c r="N443" s="204"/>
      <c r="P443" s="202"/>
      <c r="Z443" s="201"/>
      <c r="AN443" s="202">
        <v>6115836.5</v>
      </c>
      <c r="AO443" s="202">
        <v>6115836.5</v>
      </c>
      <c r="AP443" s="202">
        <v>64736</v>
      </c>
      <c r="AQ443" s="198" t="s">
        <v>54</v>
      </c>
      <c r="AR443" s="198" t="s">
        <v>51</v>
      </c>
      <c r="AS443" s="202">
        <v>6115836.5</v>
      </c>
      <c r="AT443" s="202">
        <v>6115836.5</v>
      </c>
      <c r="AU443" s="198" t="s">
        <v>69</v>
      </c>
      <c r="AV443" s="198" t="s">
        <v>62</v>
      </c>
      <c r="AW443" s="198" t="s">
        <v>54</v>
      </c>
    </row>
    <row r="444" spans="3:49" outlineLevel="2" x14ac:dyDescent="0.25">
      <c r="C444" s="201"/>
      <c r="D444" s="198" t="s">
        <v>1538</v>
      </c>
      <c r="H444" s="198" t="s">
        <v>1538</v>
      </c>
      <c r="I444" s="202">
        <f t="shared" si="6"/>
        <v>187069271.84999958</v>
      </c>
      <c r="J444" s="202">
        <v>45.299999999999898</v>
      </c>
      <c r="L444" s="204">
        <v>1</v>
      </c>
      <c r="M444" s="202">
        <v>1680000</v>
      </c>
      <c r="N444" s="204"/>
      <c r="P444" s="202"/>
      <c r="Z444" s="201"/>
      <c r="AN444" s="202">
        <v>1680000</v>
      </c>
      <c r="AO444" s="202">
        <v>1680000</v>
      </c>
      <c r="AP444" s="202">
        <v>1680000</v>
      </c>
      <c r="AQ444" s="198" t="s">
        <v>54</v>
      </c>
      <c r="AR444" s="198" t="s">
        <v>51</v>
      </c>
      <c r="AS444" s="202">
        <v>1680000</v>
      </c>
      <c r="AT444" s="202">
        <v>1680000</v>
      </c>
      <c r="AU444" s="198" t="s">
        <v>69</v>
      </c>
      <c r="AV444" s="198" t="s">
        <v>62</v>
      </c>
      <c r="AW444" s="198" t="s">
        <v>54</v>
      </c>
    </row>
    <row r="445" spans="3:49" outlineLevel="2" x14ac:dyDescent="0.25">
      <c r="C445" s="201"/>
      <c r="D445" s="198" t="s">
        <v>1538</v>
      </c>
      <c r="H445" s="198" t="s">
        <v>1538</v>
      </c>
      <c r="I445" s="202">
        <f t="shared" si="6"/>
        <v>187482228.29999959</v>
      </c>
      <c r="J445" s="202">
        <v>45.399999999999899</v>
      </c>
      <c r="L445" s="204">
        <v>1</v>
      </c>
      <c r="M445" s="202">
        <v>115920</v>
      </c>
      <c r="N445" s="204"/>
      <c r="P445" s="202"/>
      <c r="Z445" s="201"/>
      <c r="AN445" s="202">
        <v>115920</v>
      </c>
      <c r="AO445" s="202">
        <v>115920</v>
      </c>
      <c r="AP445" s="202">
        <v>115920</v>
      </c>
      <c r="AQ445" s="198" t="s">
        <v>54</v>
      </c>
      <c r="AR445" s="198" t="s">
        <v>51</v>
      </c>
      <c r="AS445" s="202">
        <v>115920</v>
      </c>
      <c r="AT445" s="202">
        <v>115920</v>
      </c>
      <c r="AU445" s="198" t="s">
        <v>69</v>
      </c>
      <c r="AV445" s="198" t="s">
        <v>62</v>
      </c>
      <c r="AW445" s="198" t="s">
        <v>54</v>
      </c>
    </row>
    <row r="446" spans="3:49" outlineLevel="2" x14ac:dyDescent="0.25">
      <c r="C446" s="201"/>
      <c r="D446" s="198" t="s">
        <v>1541</v>
      </c>
      <c r="H446" s="198" t="s">
        <v>1541</v>
      </c>
      <c r="I446" s="202">
        <f t="shared" si="6"/>
        <v>187895184.74999958</v>
      </c>
      <c r="J446" s="202">
        <v>45.499999999999901</v>
      </c>
      <c r="L446" s="204">
        <v>1</v>
      </c>
      <c r="M446" s="202">
        <v>2293438.69</v>
      </c>
      <c r="N446" s="204"/>
      <c r="P446" s="202"/>
      <c r="Z446" s="201"/>
      <c r="AN446" s="202">
        <v>2293438.69</v>
      </c>
      <c r="AO446" s="202">
        <v>2293438.69</v>
      </c>
      <c r="AP446" s="202">
        <v>24276</v>
      </c>
      <c r="AQ446" s="198" t="s">
        <v>54</v>
      </c>
      <c r="AR446" s="198" t="s">
        <v>51</v>
      </c>
      <c r="AS446" s="202">
        <v>2293438.69</v>
      </c>
      <c r="AT446" s="202">
        <v>2293438.69</v>
      </c>
      <c r="AU446" s="198" t="s">
        <v>69</v>
      </c>
      <c r="AV446" s="198" t="s">
        <v>62</v>
      </c>
      <c r="AW446" s="198" t="s">
        <v>54</v>
      </c>
    </row>
    <row r="447" spans="3:49" outlineLevel="2" x14ac:dyDescent="0.25">
      <c r="C447" s="201"/>
      <c r="D447" s="198" t="s">
        <v>1541</v>
      </c>
      <c r="H447" s="198" t="s">
        <v>1541</v>
      </c>
      <c r="I447" s="202">
        <f t="shared" si="6"/>
        <v>188308141.1999996</v>
      </c>
      <c r="J447" s="202">
        <v>45.599999999999902</v>
      </c>
      <c r="L447" s="204">
        <v>1</v>
      </c>
      <c r="M447" s="202">
        <v>630000</v>
      </c>
      <c r="N447" s="204"/>
      <c r="P447" s="202"/>
      <c r="Z447" s="201"/>
      <c r="AN447" s="202">
        <v>630000</v>
      </c>
      <c r="AO447" s="202">
        <v>630000</v>
      </c>
      <c r="AP447" s="202">
        <v>630000</v>
      </c>
      <c r="AQ447" s="198" t="s">
        <v>54</v>
      </c>
      <c r="AR447" s="198" t="s">
        <v>51</v>
      </c>
      <c r="AS447" s="202">
        <v>630000</v>
      </c>
      <c r="AT447" s="202">
        <v>630000</v>
      </c>
      <c r="AU447" s="198" t="s">
        <v>69</v>
      </c>
      <c r="AV447" s="198" t="s">
        <v>62</v>
      </c>
      <c r="AW447" s="198" t="s">
        <v>54</v>
      </c>
    </row>
    <row r="448" spans="3:49" outlineLevel="2" x14ac:dyDescent="0.25">
      <c r="C448" s="201"/>
      <c r="D448" s="198" t="s">
        <v>1541</v>
      </c>
      <c r="H448" s="198" t="s">
        <v>1541</v>
      </c>
      <c r="I448" s="202">
        <f t="shared" si="6"/>
        <v>188721097.64999959</v>
      </c>
      <c r="J448" s="202">
        <v>45.699999999999903</v>
      </c>
      <c r="L448" s="204">
        <v>1</v>
      </c>
      <c r="M448" s="202">
        <v>43470</v>
      </c>
      <c r="N448" s="204"/>
      <c r="P448" s="202"/>
      <c r="Z448" s="201"/>
      <c r="AN448" s="202">
        <v>43470</v>
      </c>
      <c r="AO448" s="202">
        <v>43470</v>
      </c>
      <c r="AP448" s="202">
        <v>43470</v>
      </c>
      <c r="AQ448" s="198" t="s">
        <v>54</v>
      </c>
      <c r="AR448" s="198" t="s">
        <v>51</v>
      </c>
      <c r="AS448" s="202">
        <v>43470</v>
      </c>
      <c r="AT448" s="202">
        <v>43470</v>
      </c>
      <c r="AU448" s="198" t="s">
        <v>69</v>
      </c>
      <c r="AV448" s="198" t="s">
        <v>62</v>
      </c>
      <c r="AW448" s="198" t="s">
        <v>54</v>
      </c>
    </row>
    <row r="449" spans="3:49" outlineLevel="2" x14ac:dyDescent="0.25">
      <c r="C449" s="201"/>
      <c r="D449" s="198" t="s">
        <v>212</v>
      </c>
      <c r="H449" s="198" t="s">
        <v>212</v>
      </c>
      <c r="I449" s="202">
        <f t="shared" si="6"/>
        <v>189134054.09999958</v>
      </c>
      <c r="J449" s="202">
        <v>45.799999999999898</v>
      </c>
      <c r="L449" s="204">
        <v>1</v>
      </c>
      <c r="M449" s="202">
        <v>32658040</v>
      </c>
      <c r="N449" s="204"/>
      <c r="P449" s="202"/>
      <c r="Z449" s="201"/>
      <c r="AN449" s="202">
        <v>32658040</v>
      </c>
      <c r="AO449" s="202">
        <v>32658040</v>
      </c>
      <c r="AP449" s="202">
        <v>32658040</v>
      </c>
      <c r="AQ449" s="198" t="s">
        <v>54</v>
      </c>
      <c r="AR449" s="198" t="s">
        <v>51</v>
      </c>
      <c r="AS449" s="202">
        <v>32658040</v>
      </c>
      <c r="AT449" s="202">
        <v>32658040</v>
      </c>
      <c r="AU449" s="198" t="s">
        <v>69</v>
      </c>
      <c r="AV449" s="198" t="s">
        <v>62</v>
      </c>
      <c r="AW449" s="198" t="s">
        <v>54</v>
      </c>
    </row>
    <row r="450" spans="3:49" outlineLevel="2" x14ac:dyDescent="0.25">
      <c r="C450" s="201"/>
      <c r="D450" s="198" t="s">
        <v>287</v>
      </c>
      <c r="H450" s="198" t="s">
        <v>287</v>
      </c>
      <c r="I450" s="202">
        <f t="shared" si="6"/>
        <v>189547010.54999959</v>
      </c>
      <c r="J450" s="202">
        <v>45.899999999999899</v>
      </c>
      <c r="L450" s="204">
        <v>1</v>
      </c>
      <c r="M450" s="202">
        <v>78000</v>
      </c>
      <c r="N450" s="204"/>
      <c r="P450" s="202"/>
      <c r="Z450" s="201"/>
      <c r="AN450" s="202">
        <v>78000</v>
      </c>
      <c r="AO450" s="202">
        <v>78000</v>
      </c>
      <c r="AP450" s="202">
        <v>78000</v>
      </c>
      <c r="AQ450" s="198" t="s">
        <v>54</v>
      </c>
      <c r="AR450" s="198" t="s">
        <v>51</v>
      </c>
      <c r="AS450" s="202">
        <v>78000</v>
      </c>
      <c r="AT450" s="202">
        <v>78000</v>
      </c>
      <c r="AU450" s="198" t="s">
        <v>69</v>
      </c>
      <c r="AV450" s="198" t="s">
        <v>62</v>
      </c>
      <c r="AW450" s="198" t="s">
        <v>54</v>
      </c>
    </row>
    <row r="451" spans="3:49" outlineLevel="2" x14ac:dyDescent="0.25">
      <c r="C451" s="201"/>
      <c r="D451" s="198" t="s">
        <v>276</v>
      </c>
      <c r="H451" s="198" t="s">
        <v>276</v>
      </c>
      <c r="I451" s="202">
        <f t="shared" ref="I451:I514" si="7">J451*4129564.5</f>
        <v>189959966.99999958</v>
      </c>
      <c r="J451" s="202">
        <v>45.999999999999901</v>
      </c>
      <c r="L451" s="204">
        <v>1</v>
      </c>
      <c r="M451" s="202">
        <v>48000</v>
      </c>
      <c r="N451" s="204"/>
      <c r="P451" s="202"/>
      <c r="Z451" s="201"/>
      <c r="AN451" s="202">
        <v>48000</v>
      </c>
      <c r="AO451" s="202">
        <v>48000</v>
      </c>
      <c r="AP451" s="202">
        <v>48000</v>
      </c>
      <c r="AQ451" s="198" t="s">
        <v>54</v>
      </c>
      <c r="AR451" s="198" t="s">
        <v>51</v>
      </c>
      <c r="AS451" s="202">
        <v>48000</v>
      </c>
      <c r="AT451" s="202">
        <v>48000</v>
      </c>
      <c r="AU451" s="198" t="s">
        <v>69</v>
      </c>
      <c r="AV451" s="198" t="s">
        <v>62</v>
      </c>
      <c r="AW451" s="198" t="s">
        <v>54</v>
      </c>
    </row>
    <row r="452" spans="3:49" outlineLevel="2" x14ac:dyDescent="0.25">
      <c r="C452" s="201"/>
      <c r="D452" s="198" t="s">
        <v>271</v>
      </c>
      <c r="H452" s="198" t="s">
        <v>271</v>
      </c>
      <c r="I452" s="202">
        <f t="shared" si="7"/>
        <v>190372923.4499996</v>
      </c>
      <c r="J452" s="202">
        <v>46.099999999999902</v>
      </c>
      <c r="L452" s="204">
        <v>1</v>
      </c>
      <c r="M452" s="202">
        <v>132000</v>
      </c>
      <c r="N452" s="204"/>
      <c r="P452" s="202"/>
      <c r="Z452" s="201"/>
      <c r="AN452" s="202">
        <v>132000</v>
      </c>
      <c r="AO452" s="202">
        <v>132000</v>
      </c>
      <c r="AP452" s="202">
        <v>132000</v>
      </c>
      <c r="AQ452" s="198" t="s">
        <v>54</v>
      </c>
      <c r="AR452" s="198" t="s">
        <v>51</v>
      </c>
      <c r="AS452" s="202">
        <v>132000</v>
      </c>
      <c r="AT452" s="202">
        <v>132000</v>
      </c>
      <c r="AU452" s="198" t="s">
        <v>69</v>
      </c>
      <c r="AV452" s="198" t="s">
        <v>62</v>
      </c>
      <c r="AW452" s="198" t="s">
        <v>54</v>
      </c>
    </row>
    <row r="453" spans="3:49" outlineLevel="2" x14ac:dyDescent="0.25">
      <c r="C453" s="201"/>
      <c r="D453" s="198" t="s">
        <v>276</v>
      </c>
      <c r="H453" s="198" t="s">
        <v>276</v>
      </c>
      <c r="I453" s="202">
        <f t="shared" si="7"/>
        <v>190785879.89999959</v>
      </c>
      <c r="J453" s="202">
        <v>46.199999999999903</v>
      </c>
      <c r="L453" s="204">
        <v>1</v>
      </c>
      <c r="M453" s="202">
        <v>942000</v>
      </c>
      <c r="N453" s="204"/>
      <c r="P453" s="202"/>
      <c r="Z453" s="201"/>
      <c r="AN453" s="202">
        <v>942000</v>
      </c>
      <c r="AO453" s="202">
        <v>942000</v>
      </c>
      <c r="AP453" s="202">
        <v>942000</v>
      </c>
      <c r="AQ453" s="198" t="s">
        <v>54</v>
      </c>
      <c r="AR453" s="198" t="s">
        <v>51</v>
      </c>
      <c r="AS453" s="202">
        <v>942000</v>
      </c>
      <c r="AT453" s="202">
        <v>942000</v>
      </c>
      <c r="AU453" s="198" t="s">
        <v>69</v>
      </c>
      <c r="AV453" s="198" t="s">
        <v>62</v>
      </c>
      <c r="AW453" s="198" t="s">
        <v>54</v>
      </c>
    </row>
    <row r="454" spans="3:49" outlineLevel="2" x14ac:dyDescent="0.25">
      <c r="C454" s="201"/>
      <c r="D454" s="198" t="s">
        <v>275</v>
      </c>
      <c r="H454" s="198" t="s">
        <v>275</v>
      </c>
      <c r="I454" s="202">
        <f t="shared" si="7"/>
        <v>191198836.34999958</v>
      </c>
      <c r="J454" s="202">
        <v>46.299999999999898</v>
      </c>
      <c r="L454" s="204">
        <v>1</v>
      </c>
      <c r="M454" s="202">
        <v>90000</v>
      </c>
      <c r="N454" s="204"/>
      <c r="P454" s="202"/>
      <c r="Z454" s="201"/>
      <c r="AN454" s="202">
        <v>90000</v>
      </c>
      <c r="AO454" s="202">
        <v>90000</v>
      </c>
      <c r="AP454" s="202">
        <v>90000</v>
      </c>
      <c r="AQ454" s="198" t="s">
        <v>54</v>
      </c>
      <c r="AR454" s="198" t="s">
        <v>51</v>
      </c>
      <c r="AS454" s="202">
        <v>90000</v>
      </c>
      <c r="AT454" s="202">
        <v>90000</v>
      </c>
      <c r="AU454" s="198" t="s">
        <v>69</v>
      </c>
      <c r="AV454" s="198" t="s">
        <v>62</v>
      </c>
      <c r="AW454" s="198" t="s">
        <v>54</v>
      </c>
    </row>
    <row r="455" spans="3:49" outlineLevel="2" x14ac:dyDescent="0.25">
      <c r="C455" s="201"/>
      <c r="D455" s="198" t="s">
        <v>281</v>
      </c>
      <c r="H455" s="198" t="s">
        <v>281</v>
      </c>
      <c r="I455" s="202">
        <f t="shared" si="7"/>
        <v>191611792.79999959</v>
      </c>
      <c r="J455" s="202">
        <v>46.399999999999899</v>
      </c>
      <c r="L455" s="204">
        <v>1</v>
      </c>
      <c r="M455" s="202">
        <v>172000</v>
      </c>
      <c r="N455" s="204"/>
      <c r="P455" s="202"/>
      <c r="Z455" s="201"/>
      <c r="AN455" s="202">
        <v>172000</v>
      </c>
      <c r="AO455" s="202">
        <v>172000</v>
      </c>
      <c r="AP455" s="202">
        <v>172000</v>
      </c>
      <c r="AQ455" s="198" t="s">
        <v>54</v>
      </c>
      <c r="AR455" s="198" t="s">
        <v>51</v>
      </c>
      <c r="AS455" s="202">
        <v>172000</v>
      </c>
      <c r="AT455" s="202">
        <v>172000</v>
      </c>
      <c r="AU455" s="198" t="s">
        <v>69</v>
      </c>
      <c r="AV455" s="198" t="s">
        <v>62</v>
      </c>
      <c r="AW455" s="198" t="s">
        <v>54</v>
      </c>
    </row>
    <row r="456" spans="3:49" outlineLevel="2" x14ac:dyDescent="0.25">
      <c r="C456" s="201"/>
      <c r="D456" s="198" t="s">
        <v>269</v>
      </c>
      <c r="H456" s="198" t="s">
        <v>269</v>
      </c>
      <c r="I456" s="202">
        <f t="shared" si="7"/>
        <v>192024749.24999958</v>
      </c>
      <c r="J456" s="202">
        <v>46.499999999999901</v>
      </c>
      <c r="L456" s="204">
        <v>1</v>
      </c>
      <c r="M456" s="202">
        <v>798720</v>
      </c>
      <c r="N456" s="204"/>
      <c r="P456" s="202"/>
      <c r="Z456" s="201"/>
      <c r="AN456" s="202">
        <v>798720</v>
      </c>
      <c r="AO456" s="202">
        <v>798720</v>
      </c>
      <c r="AP456" s="202">
        <v>798720</v>
      </c>
      <c r="AQ456" s="198" t="s">
        <v>54</v>
      </c>
      <c r="AR456" s="198" t="s">
        <v>51</v>
      </c>
      <c r="AS456" s="202">
        <v>798720</v>
      </c>
      <c r="AT456" s="202">
        <v>798720</v>
      </c>
      <c r="AU456" s="198" t="s">
        <v>69</v>
      </c>
      <c r="AV456" s="198" t="s">
        <v>62</v>
      </c>
      <c r="AW456" s="198" t="s">
        <v>54</v>
      </c>
    </row>
    <row r="457" spans="3:49" outlineLevel="2" x14ac:dyDescent="0.25">
      <c r="C457" s="201"/>
      <c r="D457" s="198" t="s">
        <v>256</v>
      </c>
      <c r="H457" s="198" t="s">
        <v>256</v>
      </c>
      <c r="I457" s="202">
        <f t="shared" si="7"/>
        <v>192437705.6999996</v>
      </c>
      <c r="J457" s="202">
        <v>46.599999999999902</v>
      </c>
      <c r="L457" s="204">
        <v>1</v>
      </c>
      <c r="M457" s="202">
        <v>1873800</v>
      </c>
      <c r="N457" s="204"/>
      <c r="P457" s="202"/>
      <c r="Z457" s="201"/>
      <c r="AN457" s="202">
        <v>1873800</v>
      </c>
      <c r="AO457" s="202">
        <v>1873800</v>
      </c>
      <c r="AP457" s="202">
        <v>1873800</v>
      </c>
      <c r="AQ457" s="198" t="s">
        <v>54</v>
      </c>
      <c r="AR457" s="198" t="s">
        <v>51</v>
      </c>
      <c r="AS457" s="202">
        <v>1873800</v>
      </c>
      <c r="AT457" s="202">
        <v>1873800</v>
      </c>
      <c r="AU457" s="198" t="s">
        <v>69</v>
      </c>
      <c r="AV457" s="198" t="s">
        <v>62</v>
      </c>
      <c r="AW457" s="198" t="s">
        <v>54</v>
      </c>
    </row>
    <row r="458" spans="3:49" outlineLevel="2" x14ac:dyDescent="0.25">
      <c r="C458" s="201"/>
      <c r="D458" s="198" t="s">
        <v>263</v>
      </c>
      <c r="H458" s="198" t="s">
        <v>263</v>
      </c>
      <c r="I458" s="202">
        <f t="shared" si="7"/>
        <v>192850662.14999959</v>
      </c>
      <c r="J458" s="202">
        <v>46.699999999999903</v>
      </c>
      <c r="L458" s="204">
        <v>1</v>
      </c>
      <c r="M458" s="202">
        <v>1277952</v>
      </c>
      <c r="N458" s="204"/>
      <c r="P458" s="202"/>
      <c r="Z458" s="201"/>
      <c r="AN458" s="202">
        <v>1277952</v>
      </c>
      <c r="AO458" s="202">
        <v>1277952</v>
      </c>
      <c r="AP458" s="202">
        <v>1277952</v>
      </c>
      <c r="AQ458" s="198" t="s">
        <v>54</v>
      </c>
      <c r="AR458" s="198" t="s">
        <v>51</v>
      </c>
      <c r="AS458" s="202">
        <v>1277952</v>
      </c>
      <c r="AT458" s="202">
        <v>1277952</v>
      </c>
      <c r="AU458" s="198" t="s">
        <v>69</v>
      </c>
      <c r="AV458" s="198" t="s">
        <v>62</v>
      </c>
      <c r="AW458" s="198" t="s">
        <v>54</v>
      </c>
    </row>
    <row r="459" spans="3:49" outlineLevel="2" x14ac:dyDescent="0.25">
      <c r="C459" s="201"/>
      <c r="D459" s="198" t="s">
        <v>252</v>
      </c>
      <c r="H459" s="198" t="s">
        <v>252</v>
      </c>
      <c r="I459" s="202">
        <f t="shared" si="7"/>
        <v>193263618.59999958</v>
      </c>
      <c r="J459" s="202">
        <v>46.799999999999898</v>
      </c>
      <c r="L459" s="204">
        <v>1</v>
      </c>
      <c r="M459" s="202">
        <v>1590400</v>
      </c>
      <c r="N459" s="204"/>
      <c r="P459" s="202"/>
      <c r="Z459" s="201"/>
      <c r="AN459" s="202">
        <v>1590400</v>
      </c>
      <c r="AO459" s="202">
        <v>1590400</v>
      </c>
      <c r="AP459" s="202">
        <v>1590400</v>
      </c>
      <c r="AQ459" s="198" t="s">
        <v>54</v>
      </c>
      <c r="AR459" s="198" t="s">
        <v>51</v>
      </c>
      <c r="AS459" s="202">
        <v>1590400</v>
      </c>
      <c r="AT459" s="202">
        <v>1590400</v>
      </c>
      <c r="AU459" s="198" t="s">
        <v>69</v>
      </c>
      <c r="AV459" s="198" t="s">
        <v>62</v>
      </c>
      <c r="AW459" s="198" t="s">
        <v>54</v>
      </c>
    </row>
    <row r="460" spans="3:49" outlineLevel="2" x14ac:dyDescent="0.25">
      <c r="C460" s="201"/>
      <c r="D460" s="198" t="s">
        <v>236</v>
      </c>
      <c r="H460" s="198" t="s">
        <v>236</v>
      </c>
      <c r="I460" s="202">
        <f t="shared" si="7"/>
        <v>193676575.04999959</v>
      </c>
      <c r="J460" s="202">
        <v>46.899999999999899</v>
      </c>
      <c r="L460" s="204">
        <v>1</v>
      </c>
      <c r="M460" s="202">
        <v>472500</v>
      </c>
      <c r="N460" s="204"/>
      <c r="P460" s="202"/>
      <c r="Z460" s="201"/>
      <c r="AN460" s="202">
        <v>472500</v>
      </c>
      <c r="AO460" s="202">
        <v>472500</v>
      </c>
      <c r="AP460" s="202">
        <v>472500</v>
      </c>
      <c r="AQ460" s="198" t="s">
        <v>54</v>
      </c>
      <c r="AR460" s="198" t="s">
        <v>51</v>
      </c>
      <c r="AS460" s="202">
        <v>472500</v>
      </c>
      <c r="AT460" s="202">
        <v>472500</v>
      </c>
      <c r="AU460" s="198" t="s">
        <v>69</v>
      </c>
      <c r="AV460" s="198" t="s">
        <v>62</v>
      </c>
      <c r="AW460" s="198" t="s">
        <v>54</v>
      </c>
    </row>
    <row r="461" spans="3:49" outlineLevel="2" x14ac:dyDescent="0.25">
      <c r="C461" s="201"/>
      <c r="D461" s="198" t="s">
        <v>242</v>
      </c>
      <c r="H461" s="198" t="s">
        <v>242</v>
      </c>
      <c r="I461" s="202">
        <f t="shared" si="7"/>
        <v>194089531.49999958</v>
      </c>
      <c r="J461" s="202">
        <v>46.999999999999901</v>
      </c>
      <c r="L461" s="204">
        <v>1</v>
      </c>
      <c r="M461" s="202">
        <v>1437696</v>
      </c>
      <c r="N461" s="204"/>
      <c r="P461" s="202"/>
      <c r="Z461" s="201"/>
      <c r="AN461" s="202">
        <v>1437696</v>
      </c>
      <c r="AO461" s="202">
        <v>1437696</v>
      </c>
      <c r="AP461" s="202">
        <v>1437696</v>
      </c>
      <c r="AQ461" s="198" t="s">
        <v>54</v>
      </c>
      <c r="AR461" s="198" t="s">
        <v>51</v>
      </c>
      <c r="AS461" s="202">
        <v>1437696</v>
      </c>
      <c r="AT461" s="202">
        <v>1437696</v>
      </c>
      <c r="AU461" s="198" t="s">
        <v>69</v>
      </c>
      <c r="AV461" s="198" t="s">
        <v>62</v>
      </c>
      <c r="AW461" s="198" t="s">
        <v>54</v>
      </c>
    </row>
    <row r="462" spans="3:49" outlineLevel="2" x14ac:dyDescent="0.25">
      <c r="C462" s="201"/>
      <c r="D462" s="198" t="s">
        <v>290</v>
      </c>
      <c r="H462" s="198" t="s">
        <v>290</v>
      </c>
      <c r="I462" s="202">
        <f t="shared" si="7"/>
        <v>194502487.9499996</v>
      </c>
      <c r="J462" s="202">
        <v>47.099999999999902</v>
      </c>
      <c r="L462" s="204">
        <v>1</v>
      </c>
      <c r="M462" s="202">
        <v>2135100</v>
      </c>
      <c r="N462" s="204"/>
      <c r="P462" s="202"/>
      <c r="Z462" s="201"/>
      <c r="AN462" s="202">
        <v>2135100</v>
      </c>
      <c r="AO462" s="202">
        <v>2135100</v>
      </c>
      <c r="AP462" s="202">
        <v>2135100</v>
      </c>
      <c r="AQ462" s="198" t="s">
        <v>54</v>
      </c>
      <c r="AR462" s="198" t="s">
        <v>51</v>
      </c>
      <c r="AS462" s="202">
        <v>50382</v>
      </c>
      <c r="AT462" s="202">
        <v>50382</v>
      </c>
      <c r="AU462" s="198" t="s">
        <v>69</v>
      </c>
      <c r="AV462" s="198" t="s">
        <v>62</v>
      </c>
      <c r="AW462" s="198" t="s">
        <v>54</v>
      </c>
    </row>
    <row r="463" spans="3:49" outlineLevel="2" x14ac:dyDescent="0.25">
      <c r="C463" s="201"/>
      <c r="D463" s="198" t="s">
        <v>347</v>
      </c>
      <c r="H463" s="198" t="s">
        <v>347</v>
      </c>
      <c r="I463" s="202">
        <f t="shared" si="7"/>
        <v>194915444.39999959</v>
      </c>
      <c r="J463" s="202">
        <v>47.199999999999903</v>
      </c>
      <c r="L463" s="204">
        <v>1</v>
      </c>
      <c r="M463" s="202">
        <v>1126980</v>
      </c>
      <c r="N463" s="204"/>
      <c r="P463" s="202"/>
      <c r="Z463" s="201"/>
      <c r="AN463" s="202">
        <v>1126980</v>
      </c>
      <c r="AO463" s="202">
        <v>1126980</v>
      </c>
      <c r="AP463" s="202">
        <v>1126980</v>
      </c>
      <c r="AQ463" s="198" t="s">
        <v>54</v>
      </c>
      <c r="AR463" s="198" t="s">
        <v>51</v>
      </c>
      <c r="AS463" s="202">
        <v>28637</v>
      </c>
      <c r="AT463" s="202">
        <v>28637</v>
      </c>
      <c r="AU463" s="198" t="s">
        <v>69</v>
      </c>
      <c r="AV463" s="198" t="s">
        <v>62</v>
      </c>
      <c r="AW463" s="198" t="s">
        <v>54</v>
      </c>
    </row>
    <row r="464" spans="3:49" outlineLevel="2" x14ac:dyDescent="0.25">
      <c r="C464" s="201"/>
      <c r="D464" s="198" t="s">
        <v>348</v>
      </c>
      <c r="H464" s="198" t="s">
        <v>348</v>
      </c>
      <c r="I464" s="202">
        <f t="shared" si="7"/>
        <v>195328400.84999958</v>
      </c>
      <c r="J464" s="202">
        <v>47.299999999999898</v>
      </c>
      <c r="L464" s="204">
        <v>1</v>
      </c>
      <c r="M464" s="202">
        <v>2150100</v>
      </c>
      <c r="N464" s="204"/>
      <c r="P464" s="202"/>
      <c r="Z464" s="201"/>
      <c r="AN464" s="202">
        <v>2150100</v>
      </c>
      <c r="AO464" s="202">
        <v>2150100</v>
      </c>
      <c r="AP464" s="202">
        <v>2150100</v>
      </c>
      <c r="AQ464" s="198" t="s">
        <v>54</v>
      </c>
      <c r="AR464" s="198" t="s">
        <v>51</v>
      </c>
      <c r="AS464" s="202">
        <v>49132</v>
      </c>
      <c r="AT464" s="202">
        <v>49132</v>
      </c>
      <c r="AU464" s="198" t="s">
        <v>69</v>
      </c>
      <c r="AV464" s="198" t="s">
        <v>62</v>
      </c>
      <c r="AW464" s="198" t="s">
        <v>54</v>
      </c>
    </row>
    <row r="465" spans="1:49" outlineLevel="2" x14ac:dyDescent="0.25">
      <c r="C465" s="201"/>
      <c r="D465" s="198" t="s">
        <v>349</v>
      </c>
      <c r="H465" s="198" t="s">
        <v>349</v>
      </c>
      <c r="I465" s="202">
        <f t="shared" si="7"/>
        <v>195741357.29999959</v>
      </c>
      <c r="J465" s="202">
        <v>47.399999999999899</v>
      </c>
      <c r="L465" s="204">
        <v>1</v>
      </c>
      <c r="M465" s="202">
        <v>1918680</v>
      </c>
      <c r="N465" s="204"/>
      <c r="P465" s="202"/>
      <c r="Z465" s="201"/>
      <c r="AN465" s="202">
        <v>1918680</v>
      </c>
      <c r="AO465" s="202">
        <v>1918680</v>
      </c>
      <c r="AP465" s="202">
        <v>1918680</v>
      </c>
      <c r="AQ465" s="198" t="s">
        <v>54</v>
      </c>
      <c r="AR465" s="198" t="s">
        <v>51</v>
      </c>
      <c r="AS465" s="202">
        <v>37212</v>
      </c>
      <c r="AT465" s="202">
        <v>37212</v>
      </c>
      <c r="AU465" s="198" t="s">
        <v>69</v>
      </c>
      <c r="AV465" s="198" t="s">
        <v>62</v>
      </c>
      <c r="AW465" s="198" t="s">
        <v>54</v>
      </c>
    </row>
    <row r="466" spans="1:49" outlineLevel="2" x14ac:dyDescent="0.25">
      <c r="C466" s="201"/>
      <c r="D466" s="198" t="s">
        <v>350</v>
      </c>
      <c r="H466" s="198" t="s">
        <v>350</v>
      </c>
      <c r="I466" s="202">
        <f t="shared" si="7"/>
        <v>196154313.74999958</v>
      </c>
      <c r="J466" s="202">
        <v>47.499999999999901</v>
      </c>
      <c r="L466" s="204">
        <v>1</v>
      </c>
      <c r="M466" s="202">
        <v>962160</v>
      </c>
      <c r="N466" s="204"/>
      <c r="P466" s="202"/>
      <c r="Z466" s="201"/>
      <c r="AN466" s="202">
        <v>962160</v>
      </c>
      <c r="AO466" s="202">
        <v>962160</v>
      </c>
      <c r="AP466" s="202">
        <v>962160</v>
      </c>
      <c r="AQ466" s="198" t="s">
        <v>54</v>
      </c>
      <c r="AR466" s="198" t="s">
        <v>51</v>
      </c>
      <c r="AS466" s="202">
        <v>11492</v>
      </c>
      <c r="AT466" s="202">
        <v>11492</v>
      </c>
      <c r="AU466" s="198" t="s">
        <v>69</v>
      </c>
      <c r="AV466" s="198" t="s">
        <v>62</v>
      </c>
      <c r="AW466" s="198" t="s">
        <v>54</v>
      </c>
    </row>
    <row r="467" spans="1:49" outlineLevel="2" x14ac:dyDescent="0.25">
      <c r="C467" s="201"/>
      <c r="D467" s="198" t="s">
        <v>351</v>
      </c>
      <c r="H467" s="198" t="s">
        <v>351</v>
      </c>
      <c r="I467" s="202">
        <f t="shared" si="7"/>
        <v>196567270.1999996</v>
      </c>
      <c r="J467" s="202">
        <v>47.599999999999902</v>
      </c>
      <c r="L467" s="204">
        <v>1</v>
      </c>
      <c r="M467" s="202">
        <v>2062260</v>
      </c>
      <c r="N467" s="204"/>
      <c r="P467" s="202"/>
      <c r="Z467" s="201"/>
      <c r="AN467" s="202">
        <v>2062260</v>
      </c>
      <c r="AO467" s="202">
        <v>2062260</v>
      </c>
      <c r="AP467" s="202">
        <v>2062260</v>
      </c>
      <c r="AQ467" s="198" t="s">
        <v>54</v>
      </c>
      <c r="AR467" s="198" t="s">
        <v>51</v>
      </c>
      <c r="AS467" s="202">
        <v>72542</v>
      </c>
      <c r="AT467" s="202">
        <v>72542</v>
      </c>
      <c r="AU467" s="198" t="s">
        <v>69</v>
      </c>
      <c r="AV467" s="198" t="s">
        <v>62</v>
      </c>
      <c r="AW467" s="198" t="s">
        <v>54</v>
      </c>
    </row>
    <row r="468" spans="1:49" outlineLevel="1" x14ac:dyDescent="0.25">
      <c r="A468" s="209"/>
      <c r="B468" s="209"/>
      <c r="C468" s="210"/>
      <c r="D468" s="209" t="s">
        <v>54</v>
      </c>
      <c r="E468" s="209"/>
      <c r="F468" s="209"/>
      <c r="G468" s="209"/>
      <c r="H468" s="209" t="s">
        <v>54</v>
      </c>
      <c r="I468" s="202">
        <f t="shared" si="7"/>
        <v>196980226.64999959</v>
      </c>
      <c r="J468" s="202">
        <v>47.699999999999903</v>
      </c>
      <c r="K468" s="209"/>
      <c r="L468" s="212"/>
      <c r="M468" s="211">
        <v>10716705258.530001</v>
      </c>
      <c r="N468" s="212"/>
      <c r="O468" s="209" t="s">
        <v>51</v>
      </c>
      <c r="P468" s="211">
        <v>7907507568.3100004</v>
      </c>
      <c r="Q468" s="209" t="s">
        <v>54</v>
      </c>
      <c r="R468" s="209" t="s">
        <v>54</v>
      </c>
      <c r="S468" s="209" t="s">
        <v>54</v>
      </c>
      <c r="T468" s="209" t="s">
        <v>54</v>
      </c>
      <c r="U468" s="209" t="s">
        <v>54</v>
      </c>
      <c r="V468" s="209" t="s">
        <v>54</v>
      </c>
      <c r="W468" s="209" t="s">
        <v>54</v>
      </c>
      <c r="X468" s="209" t="s">
        <v>54</v>
      </c>
      <c r="Y468" s="209" t="s">
        <v>54</v>
      </c>
      <c r="Z468" s="210"/>
      <c r="AA468" s="209" t="s">
        <v>54</v>
      </c>
      <c r="AB468" s="209" t="s">
        <v>54</v>
      </c>
      <c r="AC468" s="209" t="s">
        <v>54</v>
      </c>
      <c r="AD468" s="209" t="s">
        <v>54</v>
      </c>
      <c r="AE468" s="209" t="s">
        <v>54</v>
      </c>
      <c r="AF468" s="209" t="s">
        <v>54</v>
      </c>
      <c r="AG468" s="209" t="s">
        <v>54</v>
      </c>
      <c r="AH468" s="209" t="s">
        <v>54</v>
      </c>
      <c r="AI468" s="209" t="s">
        <v>54</v>
      </c>
      <c r="AJ468" s="209" t="s">
        <v>54</v>
      </c>
      <c r="AK468" s="209" t="s">
        <v>54</v>
      </c>
      <c r="AL468" s="209" t="s">
        <v>54</v>
      </c>
      <c r="AM468" s="209" t="s">
        <v>54</v>
      </c>
      <c r="AN468" s="211">
        <v>10716705258.530001</v>
      </c>
      <c r="AO468" s="212"/>
      <c r="AP468" s="212"/>
      <c r="AQ468" s="209" t="s">
        <v>54</v>
      </c>
      <c r="AR468" s="209" t="s">
        <v>51</v>
      </c>
      <c r="AS468" s="212"/>
      <c r="AT468" s="212"/>
      <c r="AU468" s="209" t="s">
        <v>54</v>
      </c>
      <c r="AV468" s="209" t="s">
        <v>54</v>
      </c>
      <c r="AW468" s="209" t="s">
        <v>54</v>
      </c>
    </row>
    <row r="469" spans="1:49" outlineLevel="1" x14ac:dyDescent="0.25">
      <c r="A469" s="209"/>
      <c r="B469" s="209"/>
      <c r="C469" s="210"/>
      <c r="D469" s="209" t="s">
        <v>54</v>
      </c>
      <c r="E469" s="209"/>
      <c r="F469" s="209"/>
      <c r="G469" s="209"/>
      <c r="H469" s="209" t="s">
        <v>54</v>
      </c>
      <c r="I469" s="202">
        <f t="shared" si="7"/>
        <v>197393183.09999958</v>
      </c>
      <c r="J469" s="202">
        <v>47.799999999999898</v>
      </c>
      <c r="K469" s="209"/>
      <c r="L469" s="212"/>
      <c r="M469" s="212"/>
      <c r="N469" s="212"/>
      <c r="O469" s="209" t="s">
        <v>286</v>
      </c>
      <c r="P469" s="211">
        <v>15394668</v>
      </c>
      <c r="Q469" s="209" t="s">
        <v>54</v>
      </c>
      <c r="R469" s="209" t="s">
        <v>54</v>
      </c>
      <c r="S469" s="209" t="s">
        <v>54</v>
      </c>
      <c r="T469" s="209" t="s">
        <v>54</v>
      </c>
      <c r="U469" s="209" t="s">
        <v>54</v>
      </c>
      <c r="V469" s="209" t="s">
        <v>54</v>
      </c>
      <c r="W469" s="209" t="s">
        <v>54</v>
      </c>
      <c r="X469" s="209" t="s">
        <v>54</v>
      </c>
      <c r="Y469" s="209" t="s">
        <v>54</v>
      </c>
      <c r="Z469" s="210"/>
      <c r="AA469" s="209" t="s">
        <v>54</v>
      </c>
      <c r="AB469" s="209" t="s">
        <v>54</v>
      </c>
      <c r="AC469" s="209" t="s">
        <v>54</v>
      </c>
      <c r="AD469" s="209" t="s">
        <v>54</v>
      </c>
      <c r="AE469" s="209" t="s">
        <v>54</v>
      </c>
      <c r="AF469" s="209" t="s">
        <v>54</v>
      </c>
      <c r="AG469" s="209" t="s">
        <v>54</v>
      </c>
      <c r="AH469" s="209" t="s">
        <v>54</v>
      </c>
      <c r="AI469" s="209" t="s">
        <v>54</v>
      </c>
      <c r="AJ469" s="209" t="s">
        <v>54</v>
      </c>
      <c r="AK469" s="209" t="s">
        <v>54</v>
      </c>
      <c r="AL469" s="209" t="s">
        <v>54</v>
      </c>
      <c r="AM469" s="209" t="s">
        <v>54</v>
      </c>
      <c r="AN469" s="212"/>
      <c r="AO469" s="212"/>
      <c r="AP469" s="212"/>
      <c r="AQ469" s="209" t="s">
        <v>54</v>
      </c>
      <c r="AR469" s="209" t="s">
        <v>54</v>
      </c>
      <c r="AS469" s="212"/>
      <c r="AT469" s="212"/>
      <c r="AU469" s="209" t="s">
        <v>54</v>
      </c>
      <c r="AV469" s="209" t="s">
        <v>54</v>
      </c>
      <c r="AW469" s="209" t="s">
        <v>54</v>
      </c>
    </row>
    <row r="470" spans="1:49" outlineLevel="2" x14ac:dyDescent="0.25">
      <c r="C470" s="201"/>
      <c r="D470" s="198" t="s">
        <v>360</v>
      </c>
      <c r="H470" s="198" t="s">
        <v>360</v>
      </c>
      <c r="I470" s="202">
        <f t="shared" si="7"/>
        <v>197806139.54999959</v>
      </c>
      <c r="J470" s="202">
        <v>47.899999999999899</v>
      </c>
      <c r="L470" s="204">
        <v>1</v>
      </c>
      <c r="M470" s="202">
        <v>125000000</v>
      </c>
      <c r="N470" s="203">
        <v>0.5</v>
      </c>
      <c r="O470" s="198" t="s">
        <v>51</v>
      </c>
      <c r="P470" s="202">
        <v>62500000</v>
      </c>
      <c r="Q470" s="198" t="s">
        <v>342</v>
      </c>
      <c r="R470" s="198" t="s">
        <v>53</v>
      </c>
      <c r="S470" s="198" t="s">
        <v>54</v>
      </c>
      <c r="T470" s="198" t="s">
        <v>361</v>
      </c>
      <c r="U470" s="198" t="s">
        <v>367</v>
      </c>
      <c r="V470" s="198" t="s">
        <v>56</v>
      </c>
      <c r="W470" s="198" t="s">
        <v>356</v>
      </c>
      <c r="X470" s="198" t="s">
        <v>57</v>
      </c>
      <c r="Y470" s="198" t="s">
        <v>58</v>
      </c>
      <c r="Z470" s="201">
        <v>46387</v>
      </c>
      <c r="AA470" s="198" t="s">
        <v>59</v>
      </c>
      <c r="AB470" s="198" t="s">
        <v>60</v>
      </c>
      <c r="AC470" s="198" t="s">
        <v>86</v>
      </c>
      <c r="AD470" s="198" t="s">
        <v>62</v>
      </c>
      <c r="AE470" s="198" t="s">
        <v>357</v>
      </c>
      <c r="AF470" s="198" t="s">
        <v>354</v>
      </c>
      <c r="AG470" s="198" t="s">
        <v>88</v>
      </c>
      <c r="AH470" s="198" t="s">
        <v>130</v>
      </c>
      <c r="AI470" s="198" t="s">
        <v>56</v>
      </c>
      <c r="AJ470" s="198" t="s">
        <v>74</v>
      </c>
      <c r="AK470" s="198" t="s">
        <v>51</v>
      </c>
      <c r="AL470" s="198" t="s">
        <v>67</v>
      </c>
      <c r="AM470" s="198" t="s">
        <v>68</v>
      </c>
      <c r="AN470" s="202">
        <v>125000000</v>
      </c>
      <c r="AO470" s="202">
        <v>125000000</v>
      </c>
      <c r="AP470" s="202">
        <v>125000000</v>
      </c>
      <c r="AQ470" s="198" t="s">
        <v>358</v>
      </c>
      <c r="AR470" s="198" t="s">
        <v>51</v>
      </c>
      <c r="AS470" s="202">
        <v>62500000</v>
      </c>
      <c r="AT470" s="202">
        <v>62500000</v>
      </c>
      <c r="AU470" s="198" t="s">
        <v>359</v>
      </c>
      <c r="AV470" s="198" t="s">
        <v>62</v>
      </c>
      <c r="AW470" s="198" t="s">
        <v>54</v>
      </c>
    </row>
    <row r="471" spans="1:49" outlineLevel="2" x14ac:dyDescent="0.25">
      <c r="C471" s="201"/>
      <c r="D471" s="198" t="s">
        <v>362</v>
      </c>
      <c r="H471" s="198" t="s">
        <v>362</v>
      </c>
      <c r="I471" s="202">
        <f t="shared" si="7"/>
        <v>198219095.99999958</v>
      </c>
      <c r="J471" s="202">
        <v>47.999999999999901</v>
      </c>
      <c r="L471" s="204">
        <v>48</v>
      </c>
      <c r="M471" s="202">
        <v>793711056</v>
      </c>
      <c r="N471" s="204">
        <v>1</v>
      </c>
      <c r="O471" s="198" t="s">
        <v>51</v>
      </c>
      <c r="P471" s="202">
        <v>1718676.02</v>
      </c>
      <c r="Q471" s="198" t="s">
        <v>73</v>
      </c>
      <c r="R471" s="198" t="s">
        <v>53</v>
      </c>
      <c r="S471" s="198" t="s">
        <v>54</v>
      </c>
      <c r="T471" s="198" t="s">
        <v>363</v>
      </c>
      <c r="U471" s="198" t="s">
        <v>2077</v>
      </c>
      <c r="V471" s="198" t="s">
        <v>56</v>
      </c>
      <c r="W471" s="198" t="s">
        <v>356</v>
      </c>
      <c r="X471" s="198" t="s">
        <v>57</v>
      </c>
      <c r="Y471" s="198" t="s">
        <v>58</v>
      </c>
      <c r="Z471" s="201">
        <v>46203</v>
      </c>
      <c r="AA471" s="198" t="s">
        <v>59</v>
      </c>
      <c r="AB471" s="198" t="s">
        <v>60</v>
      </c>
      <c r="AC471" s="198" t="s">
        <v>86</v>
      </c>
      <c r="AD471" s="198" t="s">
        <v>62</v>
      </c>
      <c r="AE471" s="198" t="s">
        <v>116</v>
      </c>
      <c r="AF471" s="198" t="s">
        <v>115</v>
      </c>
      <c r="AG471" s="198" t="s">
        <v>189</v>
      </c>
      <c r="AH471" s="198" t="s">
        <v>132</v>
      </c>
      <c r="AI471" s="198" t="s">
        <v>56</v>
      </c>
      <c r="AJ471" s="198" t="s">
        <v>118</v>
      </c>
      <c r="AK471" s="198" t="s">
        <v>51</v>
      </c>
      <c r="AL471" s="198" t="s">
        <v>67</v>
      </c>
      <c r="AM471" s="198" t="s">
        <v>68</v>
      </c>
      <c r="AN471" s="202">
        <v>793711056</v>
      </c>
      <c r="AO471" s="202">
        <v>793711056</v>
      </c>
      <c r="AP471" s="202">
        <v>793711056</v>
      </c>
      <c r="AQ471" s="198" t="s">
        <v>358</v>
      </c>
      <c r="AR471" s="198" t="s">
        <v>51</v>
      </c>
      <c r="AS471" s="202">
        <v>1718676.02</v>
      </c>
      <c r="AT471" s="202">
        <v>1718676.02</v>
      </c>
      <c r="AU471" s="198" t="s">
        <v>359</v>
      </c>
      <c r="AV471" s="198" t="s">
        <v>62</v>
      </c>
      <c r="AW471" s="198" t="s">
        <v>54</v>
      </c>
    </row>
    <row r="472" spans="1:49" outlineLevel="2" x14ac:dyDescent="0.25">
      <c r="C472" s="201"/>
      <c r="D472" s="198" t="s">
        <v>362</v>
      </c>
      <c r="H472" s="198" t="s">
        <v>362</v>
      </c>
      <c r="I472" s="202">
        <f t="shared" si="7"/>
        <v>198632052.4499996</v>
      </c>
      <c r="J472" s="202">
        <v>48.099999999999902</v>
      </c>
      <c r="L472" s="204">
        <v>3</v>
      </c>
      <c r="M472" s="202">
        <v>30000</v>
      </c>
      <c r="N472" s="204">
        <v>3</v>
      </c>
      <c r="O472" s="198" t="s">
        <v>51</v>
      </c>
      <c r="P472" s="202">
        <v>30000</v>
      </c>
      <c r="Q472" s="198" t="s">
        <v>73</v>
      </c>
      <c r="R472" s="198" t="s">
        <v>53</v>
      </c>
      <c r="S472" s="198" t="s">
        <v>54</v>
      </c>
      <c r="T472" s="198" t="s">
        <v>363</v>
      </c>
      <c r="U472" s="198" t="s">
        <v>367</v>
      </c>
      <c r="V472" s="198" t="s">
        <v>56</v>
      </c>
      <c r="W472" s="198" t="s">
        <v>356</v>
      </c>
      <c r="X472" s="198" t="s">
        <v>57</v>
      </c>
      <c r="Y472" s="198" t="s">
        <v>58</v>
      </c>
      <c r="Z472" s="201">
        <v>46203</v>
      </c>
      <c r="AA472" s="198" t="s">
        <v>59</v>
      </c>
      <c r="AB472" s="198" t="s">
        <v>60</v>
      </c>
      <c r="AC472" s="198" t="s">
        <v>86</v>
      </c>
      <c r="AD472" s="198" t="s">
        <v>62</v>
      </c>
      <c r="AE472" s="198" t="s">
        <v>370</v>
      </c>
      <c r="AF472" s="198" t="s">
        <v>369</v>
      </c>
      <c r="AG472" s="198" t="s">
        <v>189</v>
      </c>
      <c r="AH472" s="198" t="s">
        <v>132</v>
      </c>
      <c r="AI472" s="198" t="s">
        <v>56</v>
      </c>
      <c r="AJ472" s="198" t="s">
        <v>118</v>
      </c>
      <c r="AK472" s="198" t="s">
        <v>51</v>
      </c>
      <c r="AL472" s="198" t="s">
        <v>67</v>
      </c>
      <c r="AM472" s="198" t="s">
        <v>68</v>
      </c>
      <c r="AN472" s="202">
        <v>30000</v>
      </c>
      <c r="AO472" s="202">
        <v>30000</v>
      </c>
      <c r="AP472" s="202">
        <v>30000</v>
      </c>
      <c r="AQ472" s="198" t="s">
        <v>358</v>
      </c>
      <c r="AR472" s="198" t="s">
        <v>51</v>
      </c>
      <c r="AS472" s="202">
        <v>30000</v>
      </c>
      <c r="AT472" s="202">
        <v>30000</v>
      </c>
      <c r="AU472" s="198" t="s">
        <v>359</v>
      </c>
      <c r="AV472" s="198" t="s">
        <v>62</v>
      </c>
      <c r="AW472" s="198" t="s">
        <v>54</v>
      </c>
    </row>
    <row r="473" spans="1:49" outlineLevel="2" x14ac:dyDescent="0.25">
      <c r="C473" s="201"/>
      <c r="D473" s="198" t="s">
        <v>362</v>
      </c>
      <c r="H473" s="198" t="s">
        <v>362</v>
      </c>
      <c r="I473" s="202">
        <f t="shared" si="7"/>
        <v>199045008.89999959</v>
      </c>
      <c r="J473" s="202">
        <v>48.199999999999903</v>
      </c>
      <c r="L473" s="204">
        <v>3</v>
      </c>
      <c r="M473" s="202">
        <v>75000</v>
      </c>
      <c r="N473" s="204">
        <v>3</v>
      </c>
      <c r="O473" s="198" t="s">
        <v>51</v>
      </c>
      <c r="P473" s="202">
        <v>75000</v>
      </c>
      <c r="Q473" s="198" t="s">
        <v>73</v>
      </c>
      <c r="R473" s="198" t="s">
        <v>53</v>
      </c>
      <c r="S473" s="198" t="s">
        <v>54</v>
      </c>
      <c r="T473" s="198" t="s">
        <v>363</v>
      </c>
      <c r="U473" s="198" t="s">
        <v>367</v>
      </c>
      <c r="V473" s="198" t="s">
        <v>56</v>
      </c>
      <c r="W473" s="198" t="s">
        <v>356</v>
      </c>
      <c r="X473" s="198" t="s">
        <v>57</v>
      </c>
      <c r="Y473" s="198" t="s">
        <v>58</v>
      </c>
      <c r="Z473" s="201">
        <v>46203</v>
      </c>
      <c r="AA473" s="198" t="s">
        <v>59</v>
      </c>
      <c r="AB473" s="198" t="s">
        <v>60</v>
      </c>
      <c r="AC473" s="198" t="s">
        <v>86</v>
      </c>
      <c r="AD473" s="198" t="s">
        <v>62</v>
      </c>
      <c r="AE473" s="198" t="s">
        <v>372</v>
      </c>
      <c r="AF473" s="198" t="s">
        <v>371</v>
      </c>
      <c r="AG473" s="198" t="s">
        <v>189</v>
      </c>
      <c r="AH473" s="198" t="s">
        <v>132</v>
      </c>
      <c r="AI473" s="198" t="s">
        <v>56</v>
      </c>
      <c r="AJ473" s="198" t="s">
        <v>373</v>
      </c>
      <c r="AK473" s="198" t="s">
        <v>51</v>
      </c>
      <c r="AL473" s="198" t="s">
        <v>67</v>
      </c>
      <c r="AM473" s="198" t="s">
        <v>68</v>
      </c>
      <c r="AN473" s="202">
        <v>75000</v>
      </c>
      <c r="AO473" s="202">
        <v>75000</v>
      </c>
      <c r="AP473" s="202">
        <v>75000</v>
      </c>
      <c r="AQ473" s="198" t="s">
        <v>358</v>
      </c>
      <c r="AR473" s="198" t="s">
        <v>51</v>
      </c>
      <c r="AS473" s="202">
        <v>75000</v>
      </c>
      <c r="AT473" s="202">
        <v>75000</v>
      </c>
      <c r="AU473" s="198" t="s">
        <v>359</v>
      </c>
      <c r="AV473" s="198" t="s">
        <v>62</v>
      </c>
      <c r="AW473" s="198" t="s">
        <v>54</v>
      </c>
    </row>
    <row r="474" spans="1:49" outlineLevel="2" x14ac:dyDescent="0.25">
      <c r="C474" s="201"/>
      <c r="D474" s="198" t="s">
        <v>362</v>
      </c>
      <c r="H474" s="198" t="s">
        <v>362</v>
      </c>
      <c r="I474" s="202">
        <f t="shared" si="7"/>
        <v>199457965.34999958</v>
      </c>
      <c r="J474" s="202">
        <v>48.299999999999898</v>
      </c>
      <c r="L474" s="204">
        <v>2</v>
      </c>
      <c r="M474" s="202">
        <v>36000</v>
      </c>
      <c r="N474" s="204">
        <v>2</v>
      </c>
      <c r="O474" s="198" t="s">
        <v>51</v>
      </c>
      <c r="P474" s="202">
        <v>36000</v>
      </c>
      <c r="Q474" s="198" t="s">
        <v>342</v>
      </c>
      <c r="R474" s="198" t="s">
        <v>53</v>
      </c>
      <c r="S474" s="198" t="s">
        <v>54</v>
      </c>
      <c r="T474" s="198" t="s">
        <v>363</v>
      </c>
      <c r="U474" s="198" t="s">
        <v>367</v>
      </c>
      <c r="V474" s="198" t="s">
        <v>56</v>
      </c>
      <c r="W474" s="198" t="s">
        <v>356</v>
      </c>
      <c r="X474" s="198" t="s">
        <v>57</v>
      </c>
      <c r="Y474" s="198" t="s">
        <v>58</v>
      </c>
      <c r="Z474" s="201">
        <v>46203</v>
      </c>
      <c r="AA474" s="198" t="s">
        <v>59</v>
      </c>
      <c r="AB474" s="198" t="s">
        <v>60</v>
      </c>
      <c r="AC474" s="198" t="s">
        <v>86</v>
      </c>
      <c r="AD474" s="198" t="s">
        <v>62</v>
      </c>
      <c r="AE474" s="198" t="s">
        <v>375</v>
      </c>
      <c r="AF474" s="198" t="s">
        <v>374</v>
      </c>
      <c r="AG474" s="198" t="s">
        <v>189</v>
      </c>
      <c r="AH474" s="198" t="s">
        <v>132</v>
      </c>
      <c r="AI474" s="198" t="s">
        <v>56</v>
      </c>
      <c r="AJ474" s="198" t="s">
        <v>294</v>
      </c>
      <c r="AK474" s="198" t="s">
        <v>51</v>
      </c>
      <c r="AL474" s="198" t="s">
        <v>67</v>
      </c>
      <c r="AM474" s="198" t="s">
        <v>68</v>
      </c>
      <c r="AN474" s="202">
        <v>36000</v>
      </c>
      <c r="AO474" s="202">
        <v>36000</v>
      </c>
      <c r="AP474" s="202">
        <v>36000</v>
      </c>
      <c r="AQ474" s="198" t="s">
        <v>358</v>
      </c>
      <c r="AR474" s="198" t="s">
        <v>51</v>
      </c>
      <c r="AS474" s="202">
        <v>36000</v>
      </c>
      <c r="AT474" s="202">
        <v>36000</v>
      </c>
      <c r="AU474" s="198" t="s">
        <v>359</v>
      </c>
      <c r="AV474" s="198" t="s">
        <v>62</v>
      </c>
      <c r="AW474" s="198" t="s">
        <v>54</v>
      </c>
    </row>
    <row r="475" spans="1:49" outlineLevel="2" x14ac:dyDescent="0.25">
      <c r="C475" s="201"/>
      <c r="D475" s="198" t="s">
        <v>362</v>
      </c>
      <c r="H475" s="198" t="s">
        <v>362</v>
      </c>
      <c r="I475" s="202">
        <f t="shared" si="7"/>
        <v>199870921.79999959</v>
      </c>
      <c r="J475" s="202">
        <v>48.399999999999899</v>
      </c>
      <c r="L475" s="204">
        <v>4</v>
      </c>
      <c r="M475" s="202">
        <v>72000</v>
      </c>
      <c r="N475" s="204">
        <v>4</v>
      </c>
      <c r="O475" s="198" t="s">
        <v>51</v>
      </c>
      <c r="P475" s="202">
        <v>72000</v>
      </c>
      <c r="Q475" s="198" t="s">
        <v>73</v>
      </c>
      <c r="R475" s="198" t="s">
        <v>53</v>
      </c>
      <c r="S475" s="198" t="s">
        <v>54</v>
      </c>
      <c r="T475" s="198" t="s">
        <v>363</v>
      </c>
      <c r="U475" s="198" t="s">
        <v>367</v>
      </c>
      <c r="V475" s="198" t="s">
        <v>56</v>
      </c>
      <c r="W475" s="198" t="s">
        <v>356</v>
      </c>
      <c r="X475" s="198" t="s">
        <v>57</v>
      </c>
      <c r="Y475" s="198" t="s">
        <v>58</v>
      </c>
      <c r="Z475" s="201">
        <v>46203</v>
      </c>
      <c r="AA475" s="198" t="s">
        <v>59</v>
      </c>
      <c r="AB475" s="198" t="s">
        <v>60</v>
      </c>
      <c r="AC475" s="198" t="s">
        <v>86</v>
      </c>
      <c r="AD475" s="198" t="s">
        <v>62</v>
      </c>
      <c r="AE475" s="198" t="s">
        <v>377</v>
      </c>
      <c r="AF475" s="198" t="s">
        <v>376</v>
      </c>
      <c r="AG475" s="198" t="s">
        <v>189</v>
      </c>
      <c r="AH475" s="198" t="s">
        <v>132</v>
      </c>
      <c r="AI475" s="198" t="s">
        <v>56</v>
      </c>
      <c r="AJ475" s="198" t="s">
        <v>118</v>
      </c>
      <c r="AK475" s="198" t="s">
        <v>51</v>
      </c>
      <c r="AL475" s="198" t="s">
        <v>67</v>
      </c>
      <c r="AM475" s="198" t="s">
        <v>68</v>
      </c>
      <c r="AN475" s="202">
        <v>72000</v>
      </c>
      <c r="AO475" s="202">
        <v>72000</v>
      </c>
      <c r="AP475" s="202">
        <v>72000</v>
      </c>
      <c r="AQ475" s="198" t="s">
        <v>358</v>
      </c>
      <c r="AR475" s="198" t="s">
        <v>51</v>
      </c>
      <c r="AS475" s="202">
        <v>72000</v>
      </c>
      <c r="AT475" s="202">
        <v>72000</v>
      </c>
      <c r="AU475" s="198" t="s">
        <v>359</v>
      </c>
      <c r="AV475" s="198" t="s">
        <v>62</v>
      </c>
      <c r="AW475" s="198" t="s">
        <v>54</v>
      </c>
    </row>
    <row r="476" spans="1:49" outlineLevel="2" x14ac:dyDescent="0.25">
      <c r="C476" s="201"/>
      <c r="D476" s="198" t="s">
        <v>362</v>
      </c>
      <c r="H476" s="198" t="s">
        <v>362</v>
      </c>
      <c r="I476" s="202">
        <f t="shared" si="7"/>
        <v>200283878.24999958</v>
      </c>
      <c r="J476" s="202">
        <v>48.499999999999901</v>
      </c>
      <c r="L476" s="204">
        <v>1</v>
      </c>
      <c r="M476" s="202">
        <v>85000</v>
      </c>
      <c r="N476" s="204">
        <v>1</v>
      </c>
      <c r="O476" s="198" t="s">
        <v>51</v>
      </c>
      <c r="P476" s="202">
        <v>85000</v>
      </c>
      <c r="Q476" s="198" t="s">
        <v>342</v>
      </c>
      <c r="R476" s="198" t="s">
        <v>53</v>
      </c>
      <c r="S476" s="198" t="s">
        <v>54</v>
      </c>
      <c r="T476" s="198" t="s">
        <v>363</v>
      </c>
      <c r="U476" s="198" t="s">
        <v>367</v>
      </c>
      <c r="V476" s="198" t="s">
        <v>56</v>
      </c>
      <c r="W476" s="198" t="s">
        <v>356</v>
      </c>
      <c r="X476" s="198" t="s">
        <v>57</v>
      </c>
      <c r="Y476" s="198" t="s">
        <v>58</v>
      </c>
      <c r="Z476" s="201">
        <v>46203</v>
      </c>
      <c r="AA476" s="198" t="s">
        <v>59</v>
      </c>
      <c r="AB476" s="198" t="s">
        <v>60</v>
      </c>
      <c r="AC476" s="198" t="s">
        <v>86</v>
      </c>
      <c r="AD476" s="198" t="s">
        <v>62</v>
      </c>
      <c r="AE476" s="198" t="s">
        <v>379</v>
      </c>
      <c r="AF476" s="198" t="s">
        <v>378</v>
      </c>
      <c r="AG476" s="198" t="s">
        <v>189</v>
      </c>
      <c r="AH476" s="198" t="s">
        <v>132</v>
      </c>
      <c r="AI476" s="198" t="s">
        <v>56</v>
      </c>
      <c r="AJ476" s="198" t="s">
        <v>344</v>
      </c>
      <c r="AK476" s="198" t="s">
        <v>51</v>
      </c>
      <c r="AL476" s="198" t="s">
        <v>67</v>
      </c>
      <c r="AM476" s="198" t="s">
        <v>68</v>
      </c>
      <c r="AN476" s="202">
        <v>85000</v>
      </c>
      <c r="AO476" s="202">
        <v>85000</v>
      </c>
      <c r="AP476" s="202">
        <v>85000</v>
      </c>
      <c r="AQ476" s="198" t="s">
        <v>358</v>
      </c>
      <c r="AR476" s="198" t="s">
        <v>51</v>
      </c>
      <c r="AS476" s="202">
        <v>85000</v>
      </c>
      <c r="AT476" s="202">
        <v>85000</v>
      </c>
      <c r="AU476" s="198" t="s">
        <v>359</v>
      </c>
      <c r="AV476" s="198" t="s">
        <v>62</v>
      </c>
      <c r="AW476" s="198" t="s">
        <v>54</v>
      </c>
    </row>
    <row r="477" spans="1:49" outlineLevel="2" x14ac:dyDescent="0.25">
      <c r="C477" s="201"/>
      <c r="D477" s="198" t="s">
        <v>362</v>
      </c>
      <c r="H477" s="198" t="s">
        <v>362</v>
      </c>
      <c r="I477" s="202">
        <f t="shared" si="7"/>
        <v>200696834.6999996</v>
      </c>
      <c r="J477" s="202">
        <v>48.599999999999902</v>
      </c>
      <c r="L477" s="204">
        <v>2</v>
      </c>
      <c r="M477" s="202">
        <v>5000</v>
      </c>
      <c r="N477" s="204">
        <v>2</v>
      </c>
      <c r="O477" s="198" t="s">
        <v>51</v>
      </c>
      <c r="P477" s="202">
        <v>5000</v>
      </c>
      <c r="Q477" s="198" t="s">
        <v>73</v>
      </c>
      <c r="R477" s="198" t="s">
        <v>53</v>
      </c>
      <c r="S477" s="198" t="s">
        <v>54</v>
      </c>
      <c r="T477" s="198" t="s">
        <v>363</v>
      </c>
      <c r="U477" s="198" t="s">
        <v>367</v>
      </c>
      <c r="V477" s="198" t="s">
        <v>56</v>
      </c>
      <c r="W477" s="198" t="s">
        <v>356</v>
      </c>
      <c r="X477" s="198" t="s">
        <v>57</v>
      </c>
      <c r="Y477" s="198" t="s">
        <v>58</v>
      </c>
      <c r="Z477" s="201">
        <v>46203</v>
      </c>
      <c r="AA477" s="198" t="s">
        <v>59</v>
      </c>
      <c r="AB477" s="198" t="s">
        <v>60</v>
      </c>
      <c r="AC477" s="198" t="s">
        <v>86</v>
      </c>
      <c r="AD477" s="198" t="s">
        <v>62</v>
      </c>
      <c r="AE477" s="198" t="s">
        <v>381</v>
      </c>
      <c r="AF477" s="198" t="s">
        <v>380</v>
      </c>
      <c r="AG477" s="198" t="s">
        <v>189</v>
      </c>
      <c r="AH477" s="198" t="s">
        <v>132</v>
      </c>
      <c r="AI477" s="198" t="s">
        <v>56</v>
      </c>
      <c r="AJ477" s="198" t="s">
        <v>382</v>
      </c>
      <c r="AK477" s="198" t="s">
        <v>51</v>
      </c>
      <c r="AL477" s="198" t="s">
        <v>67</v>
      </c>
      <c r="AM477" s="198" t="s">
        <v>68</v>
      </c>
      <c r="AN477" s="202">
        <v>5000</v>
      </c>
      <c r="AO477" s="202">
        <v>5000</v>
      </c>
      <c r="AP477" s="202">
        <v>5000</v>
      </c>
      <c r="AQ477" s="198" t="s">
        <v>358</v>
      </c>
      <c r="AR477" s="198" t="s">
        <v>51</v>
      </c>
      <c r="AS477" s="202">
        <v>5000</v>
      </c>
      <c r="AT477" s="202">
        <v>5000</v>
      </c>
      <c r="AU477" s="198" t="s">
        <v>359</v>
      </c>
      <c r="AV477" s="198" t="s">
        <v>62</v>
      </c>
      <c r="AW477" s="198" t="s">
        <v>54</v>
      </c>
    </row>
    <row r="478" spans="1:49" outlineLevel="2" x14ac:dyDescent="0.25">
      <c r="C478" s="201"/>
      <c r="D478" s="198" t="s">
        <v>362</v>
      </c>
      <c r="H478" s="198" t="s">
        <v>362</v>
      </c>
      <c r="I478" s="202">
        <f t="shared" si="7"/>
        <v>201109791.14999959</v>
      </c>
      <c r="J478" s="202">
        <v>48.699999999999903</v>
      </c>
      <c r="L478" s="204">
        <v>2</v>
      </c>
      <c r="M478" s="202">
        <v>17000</v>
      </c>
      <c r="N478" s="204">
        <v>2</v>
      </c>
      <c r="O478" s="198" t="s">
        <v>51</v>
      </c>
      <c r="P478" s="202">
        <v>17000</v>
      </c>
      <c r="Q478" s="198" t="s">
        <v>384</v>
      </c>
      <c r="R478" s="198" t="s">
        <v>53</v>
      </c>
      <c r="S478" s="198" t="s">
        <v>54</v>
      </c>
      <c r="T478" s="198" t="s">
        <v>363</v>
      </c>
      <c r="U478" s="198" t="s">
        <v>367</v>
      </c>
      <c r="V478" s="198" t="s">
        <v>56</v>
      </c>
      <c r="W478" s="198" t="s">
        <v>356</v>
      </c>
      <c r="X478" s="198" t="s">
        <v>57</v>
      </c>
      <c r="Y478" s="198" t="s">
        <v>58</v>
      </c>
      <c r="Z478" s="201">
        <v>46203</v>
      </c>
      <c r="AA478" s="198" t="s">
        <v>59</v>
      </c>
      <c r="AB478" s="198" t="s">
        <v>60</v>
      </c>
      <c r="AC478" s="198" t="s">
        <v>86</v>
      </c>
      <c r="AD478" s="198" t="s">
        <v>62</v>
      </c>
      <c r="AE478" s="198" t="s">
        <v>385</v>
      </c>
      <c r="AF478" s="198" t="s">
        <v>383</v>
      </c>
      <c r="AG478" s="198" t="s">
        <v>189</v>
      </c>
      <c r="AH478" s="198" t="s">
        <v>132</v>
      </c>
      <c r="AI478" s="198" t="s">
        <v>56</v>
      </c>
      <c r="AJ478" s="198" t="s">
        <v>382</v>
      </c>
      <c r="AK478" s="198" t="s">
        <v>51</v>
      </c>
      <c r="AL478" s="198" t="s">
        <v>67</v>
      </c>
      <c r="AM478" s="198" t="s">
        <v>68</v>
      </c>
      <c r="AN478" s="202">
        <v>17000</v>
      </c>
      <c r="AO478" s="202">
        <v>17000</v>
      </c>
      <c r="AP478" s="202">
        <v>17000</v>
      </c>
      <c r="AQ478" s="198" t="s">
        <v>358</v>
      </c>
      <c r="AR478" s="198" t="s">
        <v>51</v>
      </c>
      <c r="AS478" s="202">
        <v>17000</v>
      </c>
      <c r="AT478" s="202">
        <v>17000</v>
      </c>
      <c r="AU478" s="198" t="s">
        <v>359</v>
      </c>
      <c r="AV478" s="198" t="s">
        <v>62</v>
      </c>
      <c r="AW478" s="198" t="s">
        <v>54</v>
      </c>
    </row>
    <row r="479" spans="1:49" outlineLevel="2" x14ac:dyDescent="0.25">
      <c r="C479" s="201"/>
      <c r="D479" s="198" t="s">
        <v>362</v>
      </c>
      <c r="H479" s="198" t="s">
        <v>362</v>
      </c>
      <c r="I479" s="202">
        <f t="shared" si="7"/>
        <v>201522747.59999958</v>
      </c>
      <c r="J479" s="202">
        <v>48.799999999999898</v>
      </c>
      <c r="L479" s="204">
        <v>10</v>
      </c>
      <c r="M479" s="202">
        <v>60000</v>
      </c>
      <c r="N479" s="204">
        <v>10</v>
      </c>
      <c r="O479" s="198" t="s">
        <v>51</v>
      </c>
      <c r="P479" s="202">
        <v>60000</v>
      </c>
      <c r="Q479" s="198" t="s">
        <v>73</v>
      </c>
      <c r="R479" s="198" t="s">
        <v>53</v>
      </c>
      <c r="S479" s="198" t="s">
        <v>54</v>
      </c>
      <c r="T479" s="198" t="s">
        <v>363</v>
      </c>
      <c r="U479" s="198" t="s">
        <v>367</v>
      </c>
      <c r="V479" s="198" t="s">
        <v>56</v>
      </c>
      <c r="W479" s="198" t="s">
        <v>356</v>
      </c>
      <c r="X479" s="198" t="s">
        <v>57</v>
      </c>
      <c r="Y479" s="198" t="s">
        <v>58</v>
      </c>
      <c r="Z479" s="201">
        <v>46203</v>
      </c>
      <c r="AA479" s="198" t="s">
        <v>59</v>
      </c>
      <c r="AB479" s="198" t="s">
        <v>60</v>
      </c>
      <c r="AC479" s="198" t="s">
        <v>86</v>
      </c>
      <c r="AD479" s="198" t="s">
        <v>62</v>
      </c>
      <c r="AE479" s="198" t="s">
        <v>387</v>
      </c>
      <c r="AF479" s="198" t="s">
        <v>386</v>
      </c>
      <c r="AG479" s="198" t="s">
        <v>189</v>
      </c>
      <c r="AH479" s="198" t="s">
        <v>132</v>
      </c>
      <c r="AI479" s="198" t="s">
        <v>56</v>
      </c>
      <c r="AJ479" s="198" t="s">
        <v>344</v>
      </c>
      <c r="AK479" s="198" t="s">
        <v>51</v>
      </c>
      <c r="AL479" s="198" t="s">
        <v>67</v>
      </c>
      <c r="AM479" s="198" t="s">
        <v>68</v>
      </c>
      <c r="AN479" s="202">
        <v>60000</v>
      </c>
      <c r="AO479" s="202">
        <v>60000</v>
      </c>
      <c r="AP479" s="202">
        <v>60000</v>
      </c>
      <c r="AQ479" s="198" t="s">
        <v>358</v>
      </c>
      <c r="AR479" s="198" t="s">
        <v>51</v>
      </c>
      <c r="AS479" s="202">
        <v>60000</v>
      </c>
      <c r="AT479" s="202">
        <v>60000</v>
      </c>
      <c r="AU479" s="198" t="s">
        <v>359</v>
      </c>
      <c r="AV479" s="198" t="s">
        <v>62</v>
      </c>
      <c r="AW479" s="198" t="s">
        <v>54</v>
      </c>
    </row>
    <row r="480" spans="1:49" outlineLevel="2" x14ac:dyDescent="0.25">
      <c r="C480" s="201"/>
      <c r="D480" s="198" t="s">
        <v>362</v>
      </c>
      <c r="H480" s="198" t="s">
        <v>362</v>
      </c>
      <c r="I480" s="202">
        <f t="shared" si="7"/>
        <v>201935704.04999959</v>
      </c>
      <c r="J480" s="202">
        <v>48.899999999999899</v>
      </c>
      <c r="L480" s="204">
        <v>2</v>
      </c>
      <c r="M480" s="202">
        <v>130000</v>
      </c>
      <c r="N480" s="204">
        <v>2</v>
      </c>
      <c r="O480" s="198" t="s">
        <v>51</v>
      </c>
      <c r="P480" s="202">
        <v>130000</v>
      </c>
      <c r="Q480" s="198" t="s">
        <v>73</v>
      </c>
      <c r="R480" s="198" t="s">
        <v>53</v>
      </c>
      <c r="S480" s="198" t="s">
        <v>54</v>
      </c>
      <c r="T480" s="198" t="s">
        <v>363</v>
      </c>
      <c r="U480" s="198" t="s">
        <v>367</v>
      </c>
      <c r="V480" s="198" t="s">
        <v>56</v>
      </c>
      <c r="W480" s="198" t="s">
        <v>356</v>
      </c>
      <c r="X480" s="198" t="s">
        <v>57</v>
      </c>
      <c r="Y480" s="198" t="s">
        <v>58</v>
      </c>
      <c r="Z480" s="201">
        <v>46203</v>
      </c>
      <c r="AA480" s="198" t="s">
        <v>59</v>
      </c>
      <c r="AB480" s="198" t="s">
        <v>60</v>
      </c>
      <c r="AC480" s="198" t="s">
        <v>86</v>
      </c>
      <c r="AD480" s="198" t="s">
        <v>62</v>
      </c>
      <c r="AE480" s="198" t="s">
        <v>389</v>
      </c>
      <c r="AF480" s="198" t="s">
        <v>388</v>
      </c>
      <c r="AG480" s="198" t="s">
        <v>189</v>
      </c>
      <c r="AH480" s="198" t="s">
        <v>132</v>
      </c>
      <c r="AI480" s="198" t="s">
        <v>56</v>
      </c>
      <c r="AJ480" s="198" t="s">
        <v>390</v>
      </c>
      <c r="AK480" s="198" t="s">
        <v>51</v>
      </c>
      <c r="AL480" s="198" t="s">
        <v>67</v>
      </c>
      <c r="AM480" s="198" t="s">
        <v>68</v>
      </c>
      <c r="AN480" s="202">
        <v>130000</v>
      </c>
      <c r="AO480" s="202">
        <v>130000</v>
      </c>
      <c r="AP480" s="202">
        <v>130000</v>
      </c>
      <c r="AQ480" s="198" t="s">
        <v>358</v>
      </c>
      <c r="AR480" s="198" t="s">
        <v>51</v>
      </c>
      <c r="AS480" s="202">
        <v>130000</v>
      </c>
      <c r="AT480" s="202">
        <v>130000</v>
      </c>
      <c r="AU480" s="198" t="s">
        <v>359</v>
      </c>
      <c r="AV480" s="198" t="s">
        <v>62</v>
      </c>
      <c r="AW480" s="198" t="s">
        <v>54</v>
      </c>
    </row>
    <row r="481" spans="3:49" outlineLevel="2" x14ac:dyDescent="0.25">
      <c r="C481" s="201"/>
      <c r="D481" s="198" t="s">
        <v>362</v>
      </c>
      <c r="H481" s="198" t="s">
        <v>362</v>
      </c>
      <c r="I481" s="202">
        <f t="shared" si="7"/>
        <v>202348660.49999958</v>
      </c>
      <c r="J481" s="202">
        <v>48.999999999999901</v>
      </c>
      <c r="L481" s="204">
        <v>2</v>
      </c>
      <c r="M481" s="202">
        <v>17000</v>
      </c>
      <c r="N481" s="204">
        <v>2</v>
      </c>
      <c r="O481" s="198" t="s">
        <v>51</v>
      </c>
      <c r="P481" s="202">
        <v>17000</v>
      </c>
      <c r="Q481" s="198" t="s">
        <v>73</v>
      </c>
      <c r="R481" s="198" t="s">
        <v>53</v>
      </c>
      <c r="S481" s="198" t="s">
        <v>54</v>
      </c>
      <c r="T481" s="198" t="s">
        <v>363</v>
      </c>
      <c r="U481" s="198" t="s">
        <v>367</v>
      </c>
      <c r="V481" s="198" t="s">
        <v>56</v>
      </c>
      <c r="W481" s="198" t="s">
        <v>356</v>
      </c>
      <c r="X481" s="198" t="s">
        <v>57</v>
      </c>
      <c r="Y481" s="198" t="s">
        <v>58</v>
      </c>
      <c r="Z481" s="201">
        <v>46203</v>
      </c>
      <c r="AA481" s="198" t="s">
        <v>59</v>
      </c>
      <c r="AB481" s="198" t="s">
        <v>60</v>
      </c>
      <c r="AC481" s="198" t="s">
        <v>86</v>
      </c>
      <c r="AD481" s="198" t="s">
        <v>62</v>
      </c>
      <c r="AE481" s="198" t="s">
        <v>392</v>
      </c>
      <c r="AF481" s="198" t="s">
        <v>391</v>
      </c>
      <c r="AG481" s="198" t="s">
        <v>189</v>
      </c>
      <c r="AH481" s="198" t="s">
        <v>132</v>
      </c>
      <c r="AI481" s="198" t="s">
        <v>56</v>
      </c>
      <c r="AJ481" s="198" t="s">
        <v>128</v>
      </c>
      <c r="AK481" s="198" t="s">
        <v>51</v>
      </c>
      <c r="AL481" s="198" t="s">
        <v>67</v>
      </c>
      <c r="AM481" s="198" t="s">
        <v>68</v>
      </c>
      <c r="AN481" s="202">
        <v>17000</v>
      </c>
      <c r="AO481" s="202">
        <v>17000</v>
      </c>
      <c r="AP481" s="202">
        <v>17000</v>
      </c>
      <c r="AQ481" s="198" t="s">
        <v>358</v>
      </c>
      <c r="AR481" s="198" t="s">
        <v>51</v>
      </c>
      <c r="AS481" s="202">
        <v>17000</v>
      </c>
      <c r="AT481" s="202">
        <v>17000</v>
      </c>
      <c r="AU481" s="198" t="s">
        <v>359</v>
      </c>
      <c r="AV481" s="198" t="s">
        <v>62</v>
      </c>
      <c r="AW481" s="198" t="s">
        <v>54</v>
      </c>
    </row>
    <row r="482" spans="3:49" outlineLevel="2" x14ac:dyDescent="0.25">
      <c r="C482" s="201"/>
      <c r="D482" s="198" t="s">
        <v>362</v>
      </c>
      <c r="H482" s="198" t="s">
        <v>362</v>
      </c>
      <c r="I482" s="202">
        <f t="shared" si="7"/>
        <v>202761616.9499996</v>
      </c>
      <c r="J482" s="202">
        <v>49.099999999999902</v>
      </c>
      <c r="L482" s="204">
        <v>2</v>
      </c>
      <c r="M482" s="202">
        <v>15000</v>
      </c>
      <c r="N482" s="204">
        <v>2</v>
      </c>
      <c r="O482" s="198" t="s">
        <v>51</v>
      </c>
      <c r="P482" s="202">
        <v>15000</v>
      </c>
      <c r="Q482" s="198" t="s">
        <v>73</v>
      </c>
      <c r="R482" s="198" t="s">
        <v>53</v>
      </c>
      <c r="S482" s="198" t="s">
        <v>54</v>
      </c>
      <c r="T482" s="198" t="s">
        <v>363</v>
      </c>
      <c r="U482" s="198" t="s">
        <v>367</v>
      </c>
      <c r="V482" s="198" t="s">
        <v>56</v>
      </c>
      <c r="W482" s="198" t="s">
        <v>356</v>
      </c>
      <c r="X482" s="198" t="s">
        <v>57</v>
      </c>
      <c r="Y482" s="198" t="s">
        <v>58</v>
      </c>
      <c r="Z482" s="201">
        <v>46203</v>
      </c>
      <c r="AA482" s="198" t="s">
        <v>59</v>
      </c>
      <c r="AB482" s="198" t="s">
        <v>60</v>
      </c>
      <c r="AC482" s="198" t="s">
        <v>86</v>
      </c>
      <c r="AD482" s="198" t="s">
        <v>62</v>
      </c>
      <c r="AE482" s="198" t="s">
        <v>394</v>
      </c>
      <c r="AF482" s="198" t="s">
        <v>393</v>
      </c>
      <c r="AG482" s="198" t="s">
        <v>189</v>
      </c>
      <c r="AH482" s="198" t="s">
        <v>132</v>
      </c>
      <c r="AI482" s="198" t="s">
        <v>56</v>
      </c>
      <c r="AJ482" s="198" t="s">
        <v>395</v>
      </c>
      <c r="AK482" s="198" t="s">
        <v>51</v>
      </c>
      <c r="AL482" s="198" t="s">
        <v>67</v>
      </c>
      <c r="AM482" s="198" t="s">
        <v>68</v>
      </c>
      <c r="AN482" s="202">
        <v>15000</v>
      </c>
      <c r="AO482" s="202">
        <v>15000</v>
      </c>
      <c r="AP482" s="202">
        <v>15000</v>
      </c>
      <c r="AQ482" s="198" t="s">
        <v>358</v>
      </c>
      <c r="AR482" s="198" t="s">
        <v>51</v>
      </c>
      <c r="AS482" s="202">
        <v>15000</v>
      </c>
      <c r="AT482" s="202">
        <v>15000</v>
      </c>
      <c r="AU482" s="198" t="s">
        <v>359</v>
      </c>
      <c r="AV482" s="198" t="s">
        <v>62</v>
      </c>
      <c r="AW482" s="198" t="s">
        <v>54</v>
      </c>
    </row>
    <row r="483" spans="3:49" outlineLevel="2" x14ac:dyDescent="0.25">
      <c r="C483" s="201"/>
      <c r="D483" s="198" t="s">
        <v>362</v>
      </c>
      <c r="H483" s="198" t="s">
        <v>362</v>
      </c>
      <c r="I483" s="202">
        <f t="shared" si="7"/>
        <v>203174573.39999959</v>
      </c>
      <c r="J483" s="202">
        <v>49.199999999999903</v>
      </c>
      <c r="L483" s="204">
        <v>2</v>
      </c>
      <c r="M483" s="202">
        <v>8000</v>
      </c>
      <c r="N483" s="204">
        <v>2</v>
      </c>
      <c r="O483" s="198" t="s">
        <v>51</v>
      </c>
      <c r="P483" s="202">
        <v>8000</v>
      </c>
      <c r="Q483" s="198" t="s">
        <v>73</v>
      </c>
      <c r="R483" s="198" t="s">
        <v>53</v>
      </c>
      <c r="S483" s="198" t="s">
        <v>54</v>
      </c>
      <c r="T483" s="198" t="s">
        <v>363</v>
      </c>
      <c r="U483" s="198" t="s">
        <v>367</v>
      </c>
      <c r="V483" s="198" t="s">
        <v>56</v>
      </c>
      <c r="W483" s="198" t="s">
        <v>356</v>
      </c>
      <c r="X483" s="198" t="s">
        <v>57</v>
      </c>
      <c r="Y483" s="198" t="s">
        <v>58</v>
      </c>
      <c r="Z483" s="201">
        <v>46203</v>
      </c>
      <c r="AA483" s="198" t="s">
        <v>59</v>
      </c>
      <c r="AB483" s="198" t="s">
        <v>60</v>
      </c>
      <c r="AC483" s="198" t="s">
        <v>86</v>
      </c>
      <c r="AD483" s="198" t="s">
        <v>62</v>
      </c>
      <c r="AE483" s="198" t="s">
        <v>397</v>
      </c>
      <c r="AF483" s="198" t="s">
        <v>396</v>
      </c>
      <c r="AG483" s="198" t="s">
        <v>189</v>
      </c>
      <c r="AH483" s="198" t="s">
        <v>132</v>
      </c>
      <c r="AI483" s="198" t="s">
        <v>56</v>
      </c>
      <c r="AJ483" s="198" t="s">
        <v>398</v>
      </c>
      <c r="AK483" s="198" t="s">
        <v>51</v>
      </c>
      <c r="AL483" s="198" t="s">
        <v>67</v>
      </c>
      <c r="AM483" s="198" t="s">
        <v>68</v>
      </c>
      <c r="AN483" s="202">
        <v>8000</v>
      </c>
      <c r="AO483" s="202">
        <v>8000</v>
      </c>
      <c r="AP483" s="202">
        <v>8000</v>
      </c>
      <c r="AQ483" s="198" t="s">
        <v>358</v>
      </c>
      <c r="AR483" s="198" t="s">
        <v>51</v>
      </c>
      <c r="AS483" s="202">
        <v>8000</v>
      </c>
      <c r="AT483" s="202">
        <v>8000</v>
      </c>
      <c r="AU483" s="198" t="s">
        <v>359</v>
      </c>
      <c r="AV483" s="198" t="s">
        <v>62</v>
      </c>
      <c r="AW483" s="198" t="s">
        <v>54</v>
      </c>
    </row>
    <row r="484" spans="3:49" outlineLevel="2" x14ac:dyDescent="0.25">
      <c r="C484" s="201"/>
      <c r="D484" s="198" t="s">
        <v>362</v>
      </c>
      <c r="H484" s="198" t="s">
        <v>362</v>
      </c>
      <c r="I484" s="202">
        <f t="shared" si="7"/>
        <v>203587529.84999958</v>
      </c>
      <c r="J484" s="202">
        <v>49.299999999999898</v>
      </c>
      <c r="L484" s="204">
        <v>2</v>
      </c>
      <c r="M484" s="202">
        <v>44000</v>
      </c>
      <c r="N484" s="204">
        <v>2</v>
      </c>
      <c r="O484" s="198" t="s">
        <v>51</v>
      </c>
      <c r="P484" s="202">
        <v>44000</v>
      </c>
      <c r="Q484" s="198" t="s">
        <v>73</v>
      </c>
      <c r="R484" s="198" t="s">
        <v>53</v>
      </c>
      <c r="S484" s="198" t="s">
        <v>54</v>
      </c>
      <c r="T484" s="198" t="s">
        <v>363</v>
      </c>
      <c r="U484" s="198" t="s">
        <v>367</v>
      </c>
      <c r="V484" s="198" t="s">
        <v>56</v>
      </c>
      <c r="W484" s="198" t="s">
        <v>356</v>
      </c>
      <c r="X484" s="198" t="s">
        <v>57</v>
      </c>
      <c r="Y484" s="198" t="s">
        <v>58</v>
      </c>
      <c r="Z484" s="201">
        <v>46203</v>
      </c>
      <c r="AA484" s="198" t="s">
        <v>59</v>
      </c>
      <c r="AB484" s="198" t="s">
        <v>60</v>
      </c>
      <c r="AC484" s="198" t="s">
        <v>86</v>
      </c>
      <c r="AD484" s="198" t="s">
        <v>62</v>
      </c>
      <c r="AE484" s="198" t="s">
        <v>400</v>
      </c>
      <c r="AF484" s="198" t="s">
        <v>399</v>
      </c>
      <c r="AG484" s="198" t="s">
        <v>189</v>
      </c>
      <c r="AH484" s="198" t="s">
        <v>132</v>
      </c>
      <c r="AI484" s="198" t="s">
        <v>56</v>
      </c>
      <c r="AJ484" s="198" t="s">
        <v>344</v>
      </c>
      <c r="AK484" s="198" t="s">
        <v>51</v>
      </c>
      <c r="AL484" s="198" t="s">
        <v>67</v>
      </c>
      <c r="AM484" s="198" t="s">
        <v>68</v>
      </c>
      <c r="AN484" s="202">
        <v>44000</v>
      </c>
      <c r="AO484" s="202">
        <v>44000</v>
      </c>
      <c r="AP484" s="202">
        <v>44000</v>
      </c>
      <c r="AQ484" s="198" t="s">
        <v>358</v>
      </c>
      <c r="AR484" s="198" t="s">
        <v>51</v>
      </c>
      <c r="AS484" s="202">
        <v>44000</v>
      </c>
      <c r="AT484" s="202">
        <v>44000</v>
      </c>
      <c r="AU484" s="198" t="s">
        <v>359</v>
      </c>
      <c r="AV484" s="198" t="s">
        <v>62</v>
      </c>
      <c r="AW484" s="198" t="s">
        <v>54</v>
      </c>
    </row>
    <row r="485" spans="3:49" outlineLevel="2" x14ac:dyDescent="0.25">
      <c r="C485" s="201"/>
      <c r="D485" s="198" t="s">
        <v>362</v>
      </c>
      <c r="H485" s="198" t="s">
        <v>362</v>
      </c>
      <c r="I485" s="202">
        <f t="shared" si="7"/>
        <v>204000486.29999959</v>
      </c>
      <c r="J485" s="202">
        <v>49.399999999999899</v>
      </c>
      <c r="L485" s="204">
        <v>2</v>
      </c>
      <c r="M485" s="202">
        <v>8000</v>
      </c>
      <c r="N485" s="204">
        <v>2</v>
      </c>
      <c r="O485" s="198" t="s">
        <v>51</v>
      </c>
      <c r="P485" s="202">
        <v>8000</v>
      </c>
      <c r="Q485" s="198" t="s">
        <v>73</v>
      </c>
      <c r="R485" s="198" t="s">
        <v>53</v>
      </c>
      <c r="S485" s="198" t="s">
        <v>54</v>
      </c>
      <c r="T485" s="198" t="s">
        <v>363</v>
      </c>
      <c r="U485" s="198" t="s">
        <v>367</v>
      </c>
      <c r="V485" s="198" t="s">
        <v>56</v>
      </c>
      <c r="W485" s="198" t="s">
        <v>356</v>
      </c>
      <c r="X485" s="198" t="s">
        <v>57</v>
      </c>
      <c r="Y485" s="198" t="s">
        <v>58</v>
      </c>
      <c r="Z485" s="201">
        <v>46203</v>
      </c>
      <c r="AA485" s="198" t="s">
        <v>59</v>
      </c>
      <c r="AB485" s="198" t="s">
        <v>60</v>
      </c>
      <c r="AC485" s="198" t="s">
        <v>86</v>
      </c>
      <c r="AD485" s="198" t="s">
        <v>62</v>
      </c>
      <c r="AE485" s="198" t="s">
        <v>402</v>
      </c>
      <c r="AF485" s="198" t="s">
        <v>401</v>
      </c>
      <c r="AG485" s="198" t="s">
        <v>189</v>
      </c>
      <c r="AH485" s="198" t="s">
        <v>132</v>
      </c>
      <c r="AI485" s="198" t="s">
        <v>56</v>
      </c>
      <c r="AJ485" s="198" t="s">
        <v>403</v>
      </c>
      <c r="AK485" s="198" t="s">
        <v>51</v>
      </c>
      <c r="AL485" s="198" t="s">
        <v>67</v>
      </c>
      <c r="AM485" s="198" t="s">
        <v>68</v>
      </c>
      <c r="AN485" s="202">
        <v>8000</v>
      </c>
      <c r="AO485" s="202">
        <v>8000</v>
      </c>
      <c r="AP485" s="202">
        <v>8000</v>
      </c>
      <c r="AQ485" s="198" t="s">
        <v>358</v>
      </c>
      <c r="AR485" s="198" t="s">
        <v>51</v>
      </c>
      <c r="AS485" s="202">
        <v>8000</v>
      </c>
      <c r="AT485" s="202">
        <v>8000</v>
      </c>
      <c r="AU485" s="198" t="s">
        <v>359</v>
      </c>
      <c r="AV485" s="198" t="s">
        <v>62</v>
      </c>
      <c r="AW485" s="198" t="s">
        <v>54</v>
      </c>
    </row>
    <row r="486" spans="3:49" outlineLevel="2" x14ac:dyDescent="0.25">
      <c r="C486" s="201"/>
      <c r="D486" s="198" t="s">
        <v>362</v>
      </c>
      <c r="H486" s="198" t="s">
        <v>362</v>
      </c>
      <c r="I486" s="202">
        <f t="shared" si="7"/>
        <v>204413442.74999958</v>
      </c>
      <c r="J486" s="202">
        <v>49.499999999999901</v>
      </c>
      <c r="L486" s="204">
        <v>2</v>
      </c>
      <c r="M486" s="202">
        <v>8000</v>
      </c>
      <c r="N486" s="204">
        <v>2</v>
      </c>
      <c r="O486" s="198" t="s">
        <v>51</v>
      </c>
      <c r="P486" s="202">
        <v>8000</v>
      </c>
      <c r="Q486" s="198" t="s">
        <v>73</v>
      </c>
      <c r="R486" s="198" t="s">
        <v>53</v>
      </c>
      <c r="S486" s="198" t="s">
        <v>54</v>
      </c>
      <c r="T486" s="198" t="s">
        <v>363</v>
      </c>
      <c r="U486" s="198" t="s">
        <v>367</v>
      </c>
      <c r="V486" s="198" t="s">
        <v>56</v>
      </c>
      <c r="W486" s="198" t="s">
        <v>356</v>
      </c>
      <c r="X486" s="198" t="s">
        <v>57</v>
      </c>
      <c r="Y486" s="198" t="s">
        <v>58</v>
      </c>
      <c r="Z486" s="201">
        <v>46203</v>
      </c>
      <c r="AA486" s="198" t="s">
        <v>59</v>
      </c>
      <c r="AB486" s="198" t="s">
        <v>60</v>
      </c>
      <c r="AC486" s="198" t="s">
        <v>86</v>
      </c>
      <c r="AD486" s="198" t="s">
        <v>62</v>
      </c>
      <c r="AE486" s="198" t="s">
        <v>405</v>
      </c>
      <c r="AF486" s="198" t="s">
        <v>404</v>
      </c>
      <c r="AG486" s="198" t="s">
        <v>189</v>
      </c>
      <c r="AH486" s="198" t="s">
        <v>132</v>
      </c>
      <c r="AI486" s="198" t="s">
        <v>56</v>
      </c>
      <c r="AJ486" s="198" t="s">
        <v>406</v>
      </c>
      <c r="AK486" s="198" t="s">
        <v>51</v>
      </c>
      <c r="AL486" s="198" t="s">
        <v>67</v>
      </c>
      <c r="AM486" s="198" t="s">
        <v>68</v>
      </c>
      <c r="AN486" s="202">
        <v>8000</v>
      </c>
      <c r="AO486" s="202">
        <v>8000</v>
      </c>
      <c r="AP486" s="202">
        <v>8000</v>
      </c>
      <c r="AQ486" s="198" t="s">
        <v>358</v>
      </c>
      <c r="AR486" s="198" t="s">
        <v>51</v>
      </c>
      <c r="AS486" s="202">
        <v>8000</v>
      </c>
      <c r="AT486" s="202">
        <v>8000</v>
      </c>
      <c r="AU486" s="198" t="s">
        <v>359</v>
      </c>
      <c r="AV486" s="198" t="s">
        <v>62</v>
      </c>
      <c r="AW486" s="198" t="s">
        <v>54</v>
      </c>
    </row>
    <row r="487" spans="3:49" outlineLevel="2" x14ac:dyDescent="0.25">
      <c r="C487" s="201"/>
      <c r="D487" s="198" t="s">
        <v>362</v>
      </c>
      <c r="H487" s="198" t="s">
        <v>362</v>
      </c>
      <c r="I487" s="202">
        <f t="shared" si="7"/>
        <v>204826399.1999996</v>
      </c>
      <c r="J487" s="202">
        <v>49.599999999999902</v>
      </c>
      <c r="L487" s="204">
        <v>1</v>
      </c>
      <c r="M487" s="202">
        <v>7000</v>
      </c>
      <c r="N487" s="204">
        <v>1</v>
      </c>
      <c r="O487" s="198" t="s">
        <v>51</v>
      </c>
      <c r="P487" s="202">
        <v>7000</v>
      </c>
      <c r="Q487" s="198" t="s">
        <v>73</v>
      </c>
      <c r="R487" s="198" t="s">
        <v>53</v>
      </c>
      <c r="S487" s="198" t="s">
        <v>54</v>
      </c>
      <c r="T487" s="198" t="s">
        <v>363</v>
      </c>
      <c r="U487" s="198" t="s">
        <v>367</v>
      </c>
      <c r="V487" s="198" t="s">
        <v>56</v>
      </c>
      <c r="W487" s="198" t="s">
        <v>356</v>
      </c>
      <c r="X487" s="198" t="s">
        <v>57</v>
      </c>
      <c r="Y487" s="198" t="s">
        <v>58</v>
      </c>
      <c r="Z487" s="201">
        <v>46203</v>
      </c>
      <c r="AA487" s="198" t="s">
        <v>59</v>
      </c>
      <c r="AB487" s="198" t="s">
        <v>60</v>
      </c>
      <c r="AC487" s="198" t="s">
        <v>86</v>
      </c>
      <c r="AD487" s="198" t="s">
        <v>62</v>
      </c>
      <c r="AE487" s="198" t="s">
        <v>408</v>
      </c>
      <c r="AF487" s="198" t="s">
        <v>407</v>
      </c>
      <c r="AG487" s="198" t="s">
        <v>189</v>
      </c>
      <c r="AH487" s="198" t="s">
        <v>132</v>
      </c>
      <c r="AI487" s="198" t="s">
        <v>56</v>
      </c>
      <c r="AJ487" s="198" t="s">
        <v>409</v>
      </c>
      <c r="AK487" s="198" t="s">
        <v>51</v>
      </c>
      <c r="AL487" s="198" t="s">
        <v>67</v>
      </c>
      <c r="AM487" s="198" t="s">
        <v>68</v>
      </c>
      <c r="AN487" s="202">
        <v>7000</v>
      </c>
      <c r="AO487" s="202">
        <v>7000</v>
      </c>
      <c r="AP487" s="202">
        <v>7000</v>
      </c>
      <c r="AQ487" s="198" t="s">
        <v>358</v>
      </c>
      <c r="AR487" s="198" t="s">
        <v>51</v>
      </c>
      <c r="AS487" s="202">
        <v>7000</v>
      </c>
      <c r="AT487" s="202">
        <v>7000</v>
      </c>
      <c r="AU487" s="198" t="s">
        <v>359</v>
      </c>
      <c r="AV487" s="198" t="s">
        <v>62</v>
      </c>
      <c r="AW487" s="198" t="s">
        <v>54</v>
      </c>
    </row>
    <row r="488" spans="3:49" outlineLevel="2" x14ac:dyDescent="0.25">
      <c r="C488" s="201"/>
      <c r="D488" s="198" t="s">
        <v>362</v>
      </c>
      <c r="H488" s="198" t="s">
        <v>362</v>
      </c>
      <c r="I488" s="202">
        <f t="shared" si="7"/>
        <v>205239355.64999959</v>
      </c>
      <c r="J488" s="202">
        <v>49.699999999999903</v>
      </c>
      <c r="L488" s="204">
        <v>2</v>
      </c>
      <c r="M488" s="202">
        <v>280000</v>
      </c>
      <c r="N488" s="204">
        <v>2</v>
      </c>
      <c r="O488" s="198" t="s">
        <v>51</v>
      </c>
      <c r="P488" s="202">
        <v>280000</v>
      </c>
      <c r="Q488" s="198" t="s">
        <v>73</v>
      </c>
      <c r="R488" s="198" t="s">
        <v>53</v>
      </c>
      <c r="S488" s="198" t="s">
        <v>54</v>
      </c>
      <c r="T488" s="198" t="s">
        <v>363</v>
      </c>
      <c r="U488" s="198" t="s">
        <v>367</v>
      </c>
      <c r="V488" s="198" t="s">
        <v>56</v>
      </c>
      <c r="W488" s="198" t="s">
        <v>356</v>
      </c>
      <c r="X488" s="198" t="s">
        <v>57</v>
      </c>
      <c r="Y488" s="198" t="s">
        <v>58</v>
      </c>
      <c r="Z488" s="201">
        <v>46203</v>
      </c>
      <c r="AA488" s="198" t="s">
        <v>59</v>
      </c>
      <c r="AB488" s="198" t="s">
        <v>60</v>
      </c>
      <c r="AC488" s="198" t="s">
        <v>86</v>
      </c>
      <c r="AD488" s="198" t="s">
        <v>62</v>
      </c>
      <c r="AE488" s="198" t="s">
        <v>411</v>
      </c>
      <c r="AF488" s="198" t="s">
        <v>410</v>
      </c>
      <c r="AG488" s="198" t="s">
        <v>189</v>
      </c>
      <c r="AH488" s="198" t="s">
        <v>132</v>
      </c>
      <c r="AI488" s="198" t="s">
        <v>56</v>
      </c>
      <c r="AJ488" s="198" t="s">
        <v>412</v>
      </c>
      <c r="AK488" s="198" t="s">
        <v>51</v>
      </c>
      <c r="AL488" s="198" t="s">
        <v>67</v>
      </c>
      <c r="AM488" s="198" t="s">
        <v>68</v>
      </c>
      <c r="AN488" s="202">
        <v>280000</v>
      </c>
      <c r="AO488" s="202">
        <v>280000</v>
      </c>
      <c r="AP488" s="202">
        <v>280000</v>
      </c>
      <c r="AQ488" s="198" t="s">
        <v>358</v>
      </c>
      <c r="AR488" s="198" t="s">
        <v>51</v>
      </c>
      <c r="AS488" s="202">
        <v>280000</v>
      </c>
      <c r="AT488" s="202">
        <v>280000</v>
      </c>
      <c r="AU488" s="198" t="s">
        <v>359</v>
      </c>
      <c r="AV488" s="198" t="s">
        <v>62</v>
      </c>
      <c r="AW488" s="198" t="s">
        <v>54</v>
      </c>
    </row>
    <row r="489" spans="3:49" outlineLevel="2" x14ac:dyDescent="0.25">
      <c r="C489" s="201"/>
      <c r="D489" s="198" t="s">
        <v>362</v>
      </c>
      <c r="H489" s="198" t="s">
        <v>362</v>
      </c>
      <c r="I489" s="202">
        <f t="shared" si="7"/>
        <v>205652312.09999958</v>
      </c>
      <c r="J489" s="202">
        <v>49.799999999999898</v>
      </c>
      <c r="L489" s="204">
        <v>1</v>
      </c>
      <c r="M489" s="202">
        <v>300000</v>
      </c>
      <c r="N489" s="204">
        <v>1</v>
      </c>
      <c r="O489" s="198" t="s">
        <v>51</v>
      </c>
      <c r="P489" s="202">
        <v>300000</v>
      </c>
      <c r="Q489" s="198" t="s">
        <v>73</v>
      </c>
      <c r="R489" s="198" t="s">
        <v>53</v>
      </c>
      <c r="S489" s="198" t="s">
        <v>54</v>
      </c>
      <c r="T489" s="198" t="s">
        <v>363</v>
      </c>
      <c r="U489" s="198" t="s">
        <v>367</v>
      </c>
      <c r="V489" s="198" t="s">
        <v>56</v>
      </c>
      <c r="W489" s="198" t="s">
        <v>356</v>
      </c>
      <c r="X489" s="198" t="s">
        <v>57</v>
      </c>
      <c r="Y489" s="198" t="s">
        <v>58</v>
      </c>
      <c r="Z489" s="201">
        <v>46203</v>
      </c>
      <c r="AA489" s="198" t="s">
        <v>59</v>
      </c>
      <c r="AB489" s="198" t="s">
        <v>60</v>
      </c>
      <c r="AC489" s="198" t="s">
        <v>86</v>
      </c>
      <c r="AD489" s="198" t="s">
        <v>62</v>
      </c>
      <c r="AE489" s="198" t="s">
        <v>414</v>
      </c>
      <c r="AF489" s="198" t="s">
        <v>413</v>
      </c>
      <c r="AG489" s="198" t="s">
        <v>189</v>
      </c>
      <c r="AH489" s="198" t="s">
        <v>132</v>
      </c>
      <c r="AI489" s="198" t="s">
        <v>56</v>
      </c>
      <c r="AJ489" s="198" t="s">
        <v>395</v>
      </c>
      <c r="AK489" s="198" t="s">
        <v>51</v>
      </c>
      <c r="AL489" s="198" t="s">
        <v>67</v>
      </c>
      <c r="AM489" s="198" t="s">
        <v>68</v>
      </c>
      <c r="AN489" s="202">
        <v>300000</v>
      </c>
      <c r="AO489" s="202">
        <v>300000</v>
      </c>
      <c r="AP489" s="202">
        <v>300000</v>
      </c>
      <c r="AQ489" s="198" t="s">
        <v>358</v>
      </c>
      <c r="AR489" s="198" t="s">
        <v>51</v>
      </c>
      <c r="AS489" s="202">
        <v>300000</v>
      </c>
      <c r="AT489" s="202">
        <v>300000</v>
      </c>
      <c r="AU489" s="198" t="s">
        <v>359</v>
      </c>
      <c r="AV489" s="198" t="s">
        <v>62</v>
      </c>
      <c r="AW489" s="198" t="s">
        <v>54</v>
      </c>
    </row>
    <row r="490" spans="3:49" outlineLevel="2" x14ac:dyDescent="0.25">
      <c r="C490" s="201"/>
      <c r="D490" s="198" t="s">
        <v>362</v>
      </c>
      <c r="H490" s="198" t="s">
        <v>362</v>
      </c>
      <c r="I490" s="202">
        <f t="shared" si="7"/>
        <v>206065268.54999959</v>
      </c>
      <c r="J490" s="202">
        <v>49.899999999999899</v>
      </c>
      <c r="L490" s="204">
        <v>1</v>
      </c>
      <c r="M490" s="202">
        <v>3200000</v>
      </c>
      <c r="N490" s="204">
        <v>1</v>
      </c>
      <c r="O490" s="198" t="s">
        <v>51</v>
      </c>
      <c r="P490" s="202">
        <v>3200000</v>
      </c>
      <c r="Q490" s="198" t="s">
        <v>335</v>
      </c>
      <c r="R490" s="198" t="s">
        <v>53</v>
      </c>
      <c r="S490" s="198" t="s">
        <v>54</v>
      </c>
      <c r="T490" s="198" t="s">
        <v>363</v>
      </c>
      <c r="U490" s="198" t="s">
        <v>367</v>
      </c>
      <c r="V490" s="198" t="s">
        <v>56</v>
      </c>
      <c r="W490" s="198" t="s">
        <v>356</v>
      </c>
      <c r="X490" s="198" t="s">
        <v>57</v>
      </c>
      <c r="Y490" s="198" t="s">
        <v>58</v>
      </c>
      <c r="Z490" s="201">
        <v>46203</v>
      </c>
      <c r="AA490" s="198" t="s">
        <v>59</v>
      </c>
      <c r="AB490" s="198" t="s">
        <v>60</v>
      </c>
      <c r="AC490" s="198" t="s">
        <v>86</v>
      </c>
      <c r="AD490" s="198" t="s">
        <v>62</v>
      </c>
      <c r="AE490" s="198" t="s">
        <v>416</v>
      </c>
      <c r="AF490" s="198" t="s">
        <v>415</v>
      </c>
      <c r="AG490" s="198" t="s">
        <v>189</v>
      </c>
      <c r="AH490" s="198" t="s">
        <v>132</v>
      </c>
      <c r="AI490" s="198" t="s">
        <v>56</v>
      </c>
      <c r="AJ490" s="198" t="s">
        <v>118</v>
      </c>
      <c r="AK490" s="198" t="s">
        <v>51</v>
      </c>
      <c r="AL490" s="198" t="s">
        <v>67</v>
      </c>
      <c r="AM490" s="198" t="s">
        <v>68</v>
      </c>
      <c r="AN490" s="202">
        <v>3200000</v>
      </c>
      <c r="AO490" s="202">
        <v>3200000</v>
      </c>
      <c r="AP490" s="202">
        <v>3200000</v>
      </c>
      <c r="AQ490" s="198" t="s">
        <v>358</v>
      </c>
      <c r="AR490" s="198" t="s">
        <v>51</v>
      </c>
      <c r="AS490" s="202">
        <v>3200000</v>
      </c>
      <c r="AT490" s="202">
        <v>3200000</v>
      </c>
      <c r="AU490" s="198" t="s">
        <v>359</v>
      </c>
      <c r="AV490" s="198" t="s">
        <v>62</v>
      </c>
      <c r="AW490" s="198" t="s">
        <v>54</v>
      </c>
    </row>
    <row r="491" spans="3:49" outlineLevel="2" x14ac:dyDescent="0.25">
      <c r="C491" s="201"/>
      <c r="D491" s="198" t="s">
        <v>362</v>
      </c>
      <c r="H491" s="198" t="s">
        <v>362</v>
      </c>
      <c r="I491" s="202">
        <f t="shared" si="7"/>
        <v>206478224.99999958</v>
      </c>
      <c r="J491" s="202">
        <v>49.999999999999901</v>
      </c>
      <c r="L491" s="204">
        <v>4</v>
      </c>
      <c r="M491" s="202">
        <v>480000</v>
      </c>
      <c r="N491" s="204">
        <v>4</v>
      </c>
      <c r="O491" s="198" t="s">
        <v>51</v>
      </c>
      <c r="P491" s="202">
        <v>480000</v>
      </c>
      <c r="Q491" s="198" t="s">
        <v>73</v>
      </c>
      <c r="R491" s="198" t="s">
        <v>53</v>
      </c>
      <c r="S491" s="198" t="s">
        <v>54</v>
      </c>
      <c r="T491" s="198" t="s">
        <v>363</v>
      </c>
      <c r="U491" s="198" t="s">
        <v>367</v>
      </c>
      <c r="V491" s="198" t="s">
        <v>56</v>
      </c>
      <c r="W491" s="198" t="s">
        <v>356</v>
      </c>
      <c r="X491" s="198" t="s">
        <v>57</v>
      </c>
      <c r="Y491" s="198" t="s">
        <v>58</v>
      </c>
      <c r="Z491" s="201">
        <v>46203</v>
      </c>
      <c r="AA491" s="198" t="s">
        <v>59</v>
      </c>
      <c r="AB491" s="198" t="s">
        <v>60</v>
      </c>
      <c r="AC491" s="198" t="s">
        <v>86</v>
      </c>
      <c r="AD491" s="198" t="s">
        <v>62</v>
      </c>
      <c r="AE491" s="198" t="s">
        <v>418</v>
      </c>
      <c r="AF491" s="198" t="s">
        <v>417</v>
      </c>
      <c r="AG491" s="198" t="s">
        <v>189</v>
      </c>
      <c r="AH491" s="198" t="s">
        <v>132</v>
      </c>
      <c r="AI491" s="198" t="s">
        <v>56</v>
      </c>
      <c r="AJ491" s="198" t="s">
        <v>419</v>
      </c>
      <c r="AK491" s="198" t="s">
        <v>51</v>
      </c>
      <c r="AL491" s="198" t="s">
        <v>67</v>
      </c>
      <c r="AM491" s="198" t="s">
        <v>68</v>
      </c>
      <c r="AN491" s="202">
        <v>480000</v>
      </c>
      <c r="AO491" s="202">
        <v>480000</v>
      </c>
      <c r="AP491" s="202">
        <v>480000</v>
      </c>
      <c r="AQ491" s="198" t="s">
        <v>358</v>
      </c>
      <c r="AR491" s="198" t="s">
        <v>51</v>
      </c>
      <c r="AS491" s="202">
        <v>480000</v>
      </c>
      <c r="AT491" s="202">
        <v>480000</v>
      </c>
      <c r="AU491" s="198" t="s">
        <v>359</v>
      </c>
      <c r="AV491" s="198" t="s">
        <v>62</v>
      </c>
      <c r="AW491" s="198" t="s">
        <v>54</v>
      </c>
    </row>
    <row r="492" spans="3:49" outlineLevel="2" x14ac:dyDescent="0.25">
      <c r="C492" s="201"/>
      <c r="D492" s="198" t="s">
        <v>362</v>
      </c>
      <c r="H492" s="198" t="s">
        <v>362</v>
      </c>
      <c r="I492" s="202">
        <f t="shared" si="7"/>
        <v>206891181.4499996</v>
      </c>
      <c r="J492" s="202">
        <v>50.099999999999902</v>
      </c>
      <c r="L492" s="204">
        <v>4</v>
      </c>
      <c r="M492" s="202">
        <v>192000</v>
      </c>
      <c r="N492" s="204">
        <v>4</v>
      </c>
      <c r="O492" s="198" t="s">
        <v>51</v>
      </c>
      <c r="P492" s="202">
        <v>192000</v>
      </c>
      <c r="Q492" s="198" t="s">
        <v>73</v>
      </c>
      <c r="R492" s="198" t="s">
        <v>53</v>
      </c>
      <c r="S492" s="198" t="s">
        <v>54</v>
      </c>
      <c r="T492" s="198" t="s">
        <v>363</v>
      </c>
      <c r="U492" s="198" t="s">
        <v>367</v>
      </c>
      <c r="V492" s="198" t="s">
        <v>56</v>
      </c>
      <c r="W492" s="198" t="s">
        <v>356</v>
      </c>
      <c r="X492" s="198" t="s">
        <v>57</v>
      </c>
      <c r="Y492" s="198" t="s">
        <v>58</v>
      </c>
      <c r="Z492" s="201">
        <v>46203</v>
      </c>
      <c r="AA492" s="198" t="s">
        <v>59</v>
      </c>
      <c r="AB492" s="198" t="s">
        <v>60</v>
      </c>
      <c r="AC492" s="198" t="s">
        <v>86</v>
      </c>
      <c r="AD492" s="198" t="s">
        <v>62</v>
      </c>
      <c r="AE492" s="198" t="s">
        <v>420</v>
      </c>
      <c r="AF492" s="198" t="s">
        <v>417</v>
      </c>
      <c r="AG492" s="198" t="s">
        <v>189</v>
      </c>
      <c r="AH492" s="198" t="s">
        <v>132</v>
      </c>
      <c r="AI492" s="198" t="s">
        <v>56</v>
      </c>
      <c r="AJ492" s="198" t="s">
        <v>419</v>
      </c>
      <c r="AK492" s="198" t="s">
        <v>51</v>
      </c>
      <c r="AL492" s="198" t="s">
        <v>67</v>
      </c>
      <c r="AM492" s="198" t="s">
        <v>68</v>
      </c>
      <c r="AN492" s="202">
        <v>192000</v>
      </c>
      <c r="AO492" s="202">
        <v>192000</v>
      </c>
      <c r="AP492" s="202">
        <v>192000</v>
      </c>
      <c r="AQ492" s="198" t="s">
        <v>358</v>
      </c>
      <c r="AR492" s="198" t="s">
        <v>51</v>
      </c>
      <c r="AS492" s="202">
        <v>192000</v>
      </c>
      <c r="AT492" s="202">
        <v>192000</v>
      </c>
      <c r="AU492" s="198" t="s">
        <v>359</v>
      </c>
      <c r="AV492" s="198" t="s">
        <v>62</v>
      </c>
      <c r="AW492" s="198" t="s">
        <v>54</v>
      </c>
    </row>
    <row r="493" spans="3:49" outlineLevel="2" x14ac:dyDescent="0.25">
      <c r="C493" s="201"/>
      <c r="D493" s="198" t="s">
        <v>362</v>
      </c>
      <c r="H493" s="198" t="s">
        <v>362</v>
      </c>
      <c r="I493" s="202">
        <f t="shared" si="7"/>
        <v>207304137.89999959</v>
      </c>
      <c r="J493" s="202">
        <v>50.199999999999903</v>
      </c>
      <c r="L493" s="204">
        <v>2</v>
      </c>
      <c r="M493" s="202">
        <v>130000</v>
      </c>
      <c r="N493" s="204">
        <v>2</v>
      </c>
      <c r="O493" s="198" t="s">
        <v>51</v>
      </c>
      <c r="P493" s="202">
        <v>130000</v>
      </c>
      <c r="Q493" s="198" t="s">
        <v>73</v>
      </c>
      <c r="R493" s="198" t="s">
        <v>53</v>
      </c>
      <c r="S493" s="198" t="s">
        <v>54</v>
      </c>
      <c r="T493" s="198" t="s">
        <v>363</v>
      </c>
      <c r="U493" s="198" t="s">
        <v>367</v>
      </c>
      <c r="V493" s="198" t="s">
        <v>56</v>
      </c>
      <c r="W493" s="198" t="s">
        <v>356</v>
      </c>
      <c r="X493" s="198" t="s">
        <v>57</v>
      </c>
      <c r="Y493" s="198" t="s">
        <v>58</v>
      </c>
      <c r="Z493" s="201">
        <v>46203</v>
      </c>
      <c r="AA493" s="198" t="s">
        <v>59</v>
      </c>
      <c r="AB493" s="198" t="s">
        <v>60</v>
      </c>
      <c r="AC493" s="198" t="s">
        <v>86</v>
      </c>
      <c r="AD493" s="198" t="s">
        <v>62</v>
      </c>
      <c r="AE493" s="198" t="s">
        <v>422</v>
      </c>
      <c r="AF493" s="198" t="s">
        <v>421</v>
      </c>
      <c r="AG493" s="198" t="s">
        <v>189</v>
      </c>
      <c r="AH493" s="198" t="s">
        <v>132</v>
      </c>
      <c r="AI493" s="198" t="s">
        <v>56</v>
      </c>
      <c r="AJ493" s="198" t="s">
        <v>423</v>
      </c>
      <c r="AK493" s="198" t="s">
        <v>51</v>
      </c>
      <c r="AL493" s="198" t="s">
        <v>67</v>
      </c>
      <c r="AM493" s="198" t="s">
        <v>68</v>
      </c>
      <c r="AN493" s="202">
        <v>130000</v>
      </c>
      <c r="AO493" s="202">
        <v>130000</v>
      </c>
      <c r="AP493" s="202">
        <v>130000</v>
      </c>
      <c r="AQ493" s="198" t="s">
        <v>358</v>
      </c>
      <c r="AR493" s="198" t="s">
        <v>51</v>
      </c>
      <c r="AS493" s="202">
        <v>130000</v>
      </c>
      <c r="AT493" s="202">
        <v>130000</v>
      </c>
      <c r="AU493" s="198" t="s">
        <v>359</v>
      </c>
      <c r="AV493" s="198" t="s">
        <v>62</v>
      </c>
      <c r="AW493" s="198" t="s">
        <v>54</v>
      </c>
    </row>
    <row r="494" spans="3:49" outlineLevel="2" x14ac:dyDescent="0.25">
      <c r="C494" s="201"/>
      <c r="D494" s="198" t="s">
        <v>362</v>
      </c>
      <c r="H494" s="198" t="s">
        <v>362</v>
      </c>
      <c r="I494" s="202">
        <f t="shared" si="7"/>
        <v>207717094.34999958</v>
      </c>
      <c r="J494" s="202">
        <v>50.299999999999898</v>
      </c>
      <c r="L494" s="204">
        <v>4</v>
      </c>
      <c r="M494" s="202">
        <v>80000</v>
      </c>
      <c r="N494" s="204">
        <v>4</v>
      </c>
      <c r="O494" s="198" t="s">
        <v>51</v>
      </c>
      <c r="P494" s="202">
        <v>80000</v>
      </c>
      <c r="Q494" s="198" t="s">
        <v>342</v>
      </c>
      <c r="R494" s="198" t="s">
        <v>53</v>
      </c>
      <c r="S494" s="198" t="s">
        <v>54</v>
      </c>
      <c r="T494" s="198" t="s">
        <v>363</v>
      </c>
      <c r="U494" s="198" t="s">
        <v>367</v>
      </c>
      <c r="V494" s="198" t="s">
        <v>56</v>
      </c>
      <c r="W494" s="198" t="s">
        <v>356</v>
      </c>
      <c r="X494" s="198" t="s">
        <v>57</v>
      </c>
      <c r="Y494" s="198" t="s">
        <v>58</v>
      </c>
      <c r="Z494" s="201">
        <v>46203</v>
      </c>
      <c r="AA494" s="198" t="s">
        <v>59</v>
      </c>
      <c r="AB494" s="198" t="s">
        <v>60</v>
      </c>
      <c r="AC494" s="198" t="s">
        <v>86</v>
      </c>
      <c r="AD494" s="198" t="s">
        <v>62</v>
      </c>
      <c r="AE494" s="198" t="s">
        <v>425</v>
      </c>
      <c r="AF494" s="198" t="s">
        <v>424</v>
      </c>
      <c r="AG494" s="198" t="s">
        <v>189</v>
      </c>
      <c r="AH494" s="198" t="s">
        <v>132</v>
      </c>
      <c r="AI494" s="198" t="s">
        <v>56</v>
      </c>
      <c r="AJ494" s="198" t="s">
        <v>121</v>
      </c>
      <c r="AK494" s="198" t="s">
        <v>51</v>
      </c>
      <c r="AL494" s="198" t="s">
        <v>67</v>
      </c>
      <c r="AM494" s="198" t="s">
        <v>68</v>
      </c>
      <c r="AN494" s="202">
        <v>80000</v>
      </c>
      <c r="AO494" s="202">
        <v>80000</v>
      </c>
      <c r="AP494" s="202">
        <v>80000</v>
      </c>
      <c r="AQ494" s="198" t="s">
        <v>358</v>
      </c>
      <c r="AR494" s="198" t="s">
        <v>51</v>
      </c>
      <c r="AS494" s="202">
        <v>80000</v>
      </c>
      <c r="AT494" s="202">
        <v>80000</v>
      </c>
      <c r="AU494" s="198" t="s">
        <v>359</v>
      </c>
      <c r="AV494" s="198" t="s">
        <v>62</v>
      </c>
      <c r="AW494" s="198" t="s">
        <v>54</v>
      </c>
    </row>
    <row r="495" spans="3:49" outlineLevel="2" x14ac:dyDescent="0.25">
      <c r="C495" s="201"/>
      <c r="D495" s="198" t="s">
        <v>362</v>
      </c>
      <c r="H495" s="198" t="s">
        <v>362</v>
      </c>
      <c r="I495" s="202">
        <f t="shared" si="7"/>
        <v>208130050.79999959</v>
      </c>
      <c r="J495" s="202">
        <v>50.399999999999899</v>
      </c>
      <c r="L495" s="204">
        <v>2</v>
      </c>
      <c r="M495" s="202">
        <v>46000</v>
      </c>
      <c r="N495" s="204">
        <v>2</v>
      </c>
      <c r="O495" s="198" t="s">
        <v>51</v>
      </c>
      <c r="P495" s="202">
        <v>46000</v>
      </c>
      <c r="Q495" s="198" t="s">
        <v>73</v>
      </c>
      <c r="R495" s="198" t="s">
        <v>53</v>
      </c>
      <c r="S495" s="198" t="s">
        <v>54</v>
      </c>
      <c r="T495" s="198" t="s">
        <v>363</v>
      </c>
      <c r="U495" s="198" t="s">
        <v>367</v>
      </c>
      <c r="V495" s="198" t="s">
        <v>56</v>
      </c>
      <c r="W495" s="198" t="s">
        <v>356</v>
      </c>
      <c r="X495" s="198" t="s">
        <v>57</v>
      </c>
      <c r="Y495" s="198" t="s">
        <v>58</v>
      </c>
      <c r="Z495" s="201">
        <v>46203</v>
      </c>
      <c r="AA495" s="198" t="s">
        <v>59</v>
      </c>
      <c r="AB495" s="198" t="s">
        <v>60</v>
      </c>
      <c r="AC495" s="198" t="s">
        <v>86</v>
      </c>
      <c r="AD495" s="198" t="s">
        <v>62</v>
      </c>
      <c r="AE495" s="198" t="s">
        <v>427</v>
      </c>
      <c r="AF495" s="198" t="s">
        <v>426</v>
      </c>
      <c r="AG495" s="198" t="s">
        <v>189</v>
      </c>
      <c r="AH495" s="198" t="s">
        <v>132</v>
      </c>
      <c r="AI495" s="198" t="s">
        <v>56</v>
      </c>
      <c r="AJ495" s="198" t="s">
        <v>423</v>
      </c>
      <c r="AK495" s="198" t="s">
        <v>51</v>
      </c>
      <c r="AL495" s="198" t="s">
        <v>67</v>
      </c>
      <c r="AM495" s="198" t="s">
        <v>68</v>
      </c>
      <c r="AN495" s="202">
        <v>46000</v>
      </c>
      <c r="AO495" s="202">
        <v>46000</v>
      </c>
      <c r="AP495" s="202">
        <v>46000</v>
      </c>
      <c r="AQ495" s="198" t="s">
        <v>358</v>
      </c>
      <c r="AR495" s="198" t="s">
        <v>51</v>
      </c>
      <c r="AS495" s="202">
        <v>46000</v>
      </c>
      <c r="AT495" s="202">
        <v>46000</v>
      </c>
      <c r="AU495" s="198" t="s">
        <v>359</v>
      </c>
      <c r="AV495" s="198" t="s">
        <v>62</v>
      </c>
      <c r="AW495" s="198" t="s">
        <v>54</v>
      </c>
    </row>
    <row r="496" spans="3:49" outlineLevel="2" x14ac:dyDescent="0.25">
      <c r="C496" s="201"/>
      <c r="D496" s="198" t="s">
        <v>362</v>
      </c>
      <c r="H496" s="198" t="s">
        <v>362</v>
      </c>
      <c r="I496" s="202">
        <f t="shared" si="7"/>
        <v>208543007.24999958</v>
      </c>
      <c r="J496" s="202">
        <v>50.499999999999901</v>
      </c>
      <c r="L496" s="204">
        <v>1</v>
      </c>
      <c r="M496" s="202">
        <v>8500</v>
      </c>
      <c r="N496" s="204">
        <v>1</v>
      </c>
      <c r="O496" s="198" t="s">
        <v>51</v>
      </c>
      <c r="P496" s="202">
        <v>8500</v>
      </c>
      <c r="Q496" s="198" t="s">
        <v>73</v>
      </c>
      <c r="R496" s="198" t="s">
        <v>53</v>
      </c>
      <c r="S496" s="198" t="s">
        <v>54</v>
      </c>
      <c r="T496" s="198" t="s">
        <v>363</v>
      </c>
      <c r="U496" s="198" t="s">
        <v>367</v>
      </c>
      <c r="V496" s="198" t="s">
        <v>56</v>
      </c>
      <c r="W496" s="198" t="s">
        <v>356</v>
      </c>
      <c r="X496" s="198" t="s">
        <v>57</v>
      </c>
      <c r="Y496" s="198" t="s">
        <v>58</v>
      </c>
      <c r="Z496" s="201">
        <v>46203</v>
      </c>
      <c r="AA496" s="198" t="s">
        <v>59</v>
      </c>
      <c r="AB496" s="198" t="s">
        <v>60</v>
      </c>
      <c r="AC496" s="198" t="s">
        <v>86</v>
      </c>
      <c r="AD496" s="198" t="s">
        <v>62</v>
      </c>
      <c r="AE496" s="198" t="s">
        <v>429</v>
      </c>
      <c r="AF496" s="198" t="s">
        <v>428</v>
      </c>
      <c r="AG496" s="198" t="s">
        <v>189</v>
      </c>
      <c r="AH496" s="198" t="s">
        <v>132</v>
      </c>
      <c r="AI496" s="198" t="s">
        <v>56</v>
      </c>
      <c r="AJ496" s="198" t="s">
        <v>294</v>
      </c>
      <c r="AK496" s="198" t="s">
        <v>51</v>
      </c>
      <c r="AL496" s="198" t="s">
        <v>67</v>
      </c>
      <c r="AM496" s="198" t="s">
        <v>68</v>
      </c>
      <c r="AN496" s="202">
        <v>8500</v>
      </c>
      <c r="AO496" s="202">
        <v>8500</v>
      </c>
      <c r="AP496" s="202">
        <v>8500</v>
      </c>
      <c r="AQ496" s="198" t="s">
        <v>358</v>
      </c>
      <c r="AR496" s="198" t="s">
        <v>51</v>
      </c>
      <c r="AS496" s="202">
        <v>8500</v>
      </c>
      <c r="AT496" s="202">
        <v>8500</v>
      </c>
      <c r="AU496" s="198" t="s">
        <v>359</v>
      </c>
      <c r="AV496" s="198" t="s">
        <v>62</v>
      </c>
      <c r="AW496" s="198" t="s">
        <v>54</v>
      </c>
    </row>
    <row r="497" spans="3:49" outlineLevel="2" x14ac:dyDescent="0.25">
      <c r="C497" s="201"/>
      <c r="D497" s="198" t="s">
        <v>433</v>
      </c>
      <c r="H497" s="198" t="s">
        <v>433</v>
      </c>
      <c r="I497" s="202">
        <f t="shared" si="7"/>
        <v>208955963.6999996</v>
      </c>
      <c r="J497" s="202">
        <v>50.599999999999902</v>
      </c>
      <c r="L497" s="204">
        <v>1</v>
      </c>
      <c r="M497" s="202">
        <v>109000000</v>
      </c>
      <c r="N497" s="204">
        <v>1</v>
      </c>
      <c r="O497" s="198" t="s">
        <v>51</v>
      </c>
      <c r="P497" s="202">
        <v>109000000</v>
      </c>
      <c r="Q497" s="198" t="s">
        <v>342</v>
      </c>
      <c r="R497" s="198" t="s">
        <v>53</v>
      </c>
      <c r="S497" s="198" t="s">
        <v>54</v>
      </c>
      <c r="T497" s="198" t="s">
        <v>434</v>
      </c>
      <c r="U497" s="198" t="s">
        <v>277</v>
      </c>
      <c r="V497" s="198" t="s">
        <v>56</v>
      </c>
      <c r="W497" s="198" t="s">
        <v>356</v>
      </c>
      <c r="X497" s="198" t="s">
        <v>57</v>
      </c>
      <c r="Y497" s="198" t="s">
        <v>58</v>
      </c>
      <c r="Z497" s="201">
        <v>46387</v>
      </c>
      <c r="AA497" s="198" t="s">
        <v>59</v>
      </c>
      <c r="AB497" s="198" t="s">
        <v>60</v>
      </c>
      <c r="AC497" s="198" t="s">
        <v>86</v>
      </c>
      <c r="AD497" s="198" t="s">
        <v>62</v>
      </c>
      <c r="AE497" s="198" t="s">
        <v>357</v>
      </c>
      <c r="AF497" s="198" t="s">
        <v>354</v>
      </c>
      <c r="AG497" s="198" t="s">
        <v>88</v>
      </c>
      <c r="AH497" s="198" t="s">
        <v>132</v>
      </c>
      <c r="AI497" s="198" t="s">
        <v>56</v>
      </c>
      <c r="AJ497" s="198" t="s">
        <v>74</v>
      </c>
      <c r="AK497" s="198" t="s">
        <v>51</v>
      </c>
      <c r="AL497" s="198" t="s">
        <v>67</v>
      </c>
      <c r="AM497" s="198" t="s">
        <v>68</v>
      </c>
      <c r="AN497" s="202">
        <v>109000000</v>
      </c>
      <c r="AO497" s="202">
        <v>109000000</v>
      </c>
      <c r="AP497" s="202">
        <v>109000000</v>
      </c>
      <c r="AQ497" s="198" t="s">
        <v>358</v>
      </c>
      <c r="AR497" s="198" t="s">
        <v>51</v>
      </c>
      <c r="AS497" s="202">
        <v>109000000</v>
      </c>
      <c r="AT497" s="202">
        <v>109000000</v>
      </c>
      <c r="AU497" s="198" t="s">
        <v>359</v>
      </c>
      <c r="AV497" s="198" t="s">
        <v>62</v>
      </c>
      <c r="AW497" s="198" t="s">
        <v>54</v>
      </c>
    </row>
    <row r="498" spans="3:49" outlineLevel="2" x14ac:dyDescent="0.25">
      <c r="C498" s="201"/>
      <c r="D498" s="198" t="s">
        <v>439</v>
      </c>
      <c r="H498" s="198" t="s">
        <v>439</v>
      </c>
      <c r="I498" s="202">
        <f t="shared" si="7"/>
        <v>209368920.14999959</v>
      </c>
      <c r="J498" s="202">
        <v>50.699999999999903</v>
      </c>
      <c r="L498" s="204">
        <v>34250</v>
      </c>
      <c r="M498" s="202">
        <v>81208462.5</v>
      </c>
      <c r="N498" s="204">
        <v>34250</v>
      </c>
      <c r="O498" s="198" t="s">
        <v>51</v>
      </c>
      <c r="P498" s="202">
        <v>81208462.5</v>
      </c>
      <c r="Q498" s="198" t="s">
        <v>75</v>
      </c>
      <c r="R498" s="198" t="s">
        <v>53</v>
      </c>
      <c r="S498" s="198" t="s">
        <v>54</v>
      </c>
      <c r="T498" s="198" t="s">
        <v>437</v>
      </c>
      <c r="U498" s="198" t="s">
        <v>80</v>
      </c>
      <c r="V498" s="198" t="s">
        <v>56</v>
      </c>
      <c r="W498" s="198" t="s">
        <v>356</v>
      </c>
      <c r="X498" s="198" t="s">
        <v>57</v>
      </c>
      <c r="Y498" s="198" t="s">
        <v>58</v>
      </c>
      <c r="Z498" s="201">
        <v>46203</v>
      </c>
      <c r="AA498" s="198" t="s">
        <v>59</v>
      </c>
      <c r="AB498" s="198" t="s">
        <v>60</v>
      </c>
      <c r="AC498" s="198" t="s">
        <v>86</v>
      </c>
      <c r="AD498" s="198" t="s">
        <v>62</v>
      </c>
      <c r="AE498" s="198" t="s">
        <v>438</v>
      </c>
      <c r="AF498" s="198" t="s">
        <v>436</v>
      </c>
      <c r="AG498" s="198" t="s">
        <v>189</v>
      </c>
      <c r="AH498" s="198" t="s">
        <v>126</v>
      </c>
      <c r="AI498" s="198" t="s">
        <v>56</v>
      </c>
      <c r="AJ498" s="198" t="s">
        <v>325</v>
      </c>
      <c r="AK498" s="198" t="s">
        <v>51</v>
      </c>
      <c r="AL498" s="198" t="s">
        <v>67</v>
      </c>
      <c r="AM498" s="198" t="s">
        <v>68</v>
      </c>
      <c r="AN498" s="202">
        <v>81208462.5</v>
      </c>
      <c r="AO498" s="202">
        <v>81208462.5</v>
      </c>
      <c r="AP498" s="202">
        <v>81208462.5</v>
      </c>
      <c r="AQ498" s="198" t="s">
        <v>358</v>
      </c>
      <c r="AR498" s="198" t="s">
        <v>51</v>
      </c>
      <c r="AS498" s="202">
        <v>81208462.5</v>
      </c>
      <c r="AT498" s="202">
        <v>81208462.5</v>
      </c>
      <c r="AU498" s="198" t="s">
        <v>359</v>
      </c>
      <c r="AV498" s="198" t="s">
        <v>62</v>
      </c>
      <c r="AW498" s="198" t="s">
        <v>54</v>
      </c>
    </row>
    <row r="499" spans="3:49" outlineLevel="2" x14ac:dyDescent="0.25">
      <c r="C499" s="201"/>
      <c r="D499" s="198" t="s">
        <v>440</v>
      </c>
      <c r="H499" s="198" t="s">
        <v>440</v>
      </c>
      <c r="I499" s="202">
        <f t="shared" si="7"/>
        <v>209781876.59999958</v>
      </c>
      <c r="J499" s="202">
        <v>50.799999999999898</v>
      </c>
      <c r="L499" s="204">
        <v>14</v>
      </c>
      <c r="M499" s="202">
        <v>231499058</v>
      </c>
      <c r="N499" s="204">
        <v>7</v>
      </c>
      <c r="O499" s="198" t="s">
        <v>51</v>
      </c>
      <c r="P499" s="202">
        <v>115749529</v>
      </c>
      <c r="Q499" s="198" t="s">
        <v>73</v>
      </c>
      <c r="R499" s="198" t="s">
        <v>53</v>
      </c>
      <c r="S499" s="198" t="s">
        <v>54</v>
      </c>
      <c r="T499" s="198" t="s">
        <v>363</v>
      </c>
      <c r="U499" s="198" t="s">
        <v>1742</v>
      </c>
      <c r="V499" s="198" t="s">
        <v>56</v>
      </c>
      <c r="W499" s="198" t="s">
        <v>356</v>
      </c>
      <c r="X499" s="198" t="s">
        <v>57</v>
      </c>
      <c r="Y499" s="198" t="s">
        <v>58</v>
      </c>
      <c r="Z499" s="201">
        <v>46203</v>
      </c>
      <c r="AA499" s="198" t="s">
        <v>59</v>
      </c>
      <c r="AB499" s="198" t="s">
        <v>60</v>
      </c>
      <c r="AC499" s="198" t="s">
        <v>86</v>
      </c>
      <c r="AD499" s="198" t="s">
        <v>62</v>
      </c>
      <c r="AE499" s="198" t="s">
        <v>116</v>
      </c>
      <c r="AF499" s="198" t="s">
        <v>115</v>
      </c>
      <c r="AG499" s="198" t="s">
        <v>189</v>
      </c>
      <c r="AH499" s="198" t="s">
        <v>126</v>
      </c>
      <c r="AI499" s="198" t="s">
        <v>56</v>
      </c>
      <c r="AJ499" s="198" t="s">
        <v>118</v>
      </c>
      <c r="AK499" s="198" t="s">
        <v>51</v>
      </c>
      <c r="AL499" s="198" t="s">
        <v>67</v>
      </c>
      <c r="AM499" s="198" t="s">
        <v>68</v>
      </c>
      <c r="AN499" s="202">
        <v>231499058</v>
      </c>
      <c r="AO499" s="202">
        <v>231499058</v>
      </c>
      <c r="AP499" s="202">
        <v>231499058</v>
      </c>
      <c r="AQ499" s="198" t="s">
        <v>358</v>
      </c>
      <c r="AR499" s="198" t="s">
        <v>51</v>
      </c>
      <c r="AS499" s="202">
        <v>115749529</v>
      </c>
      <c r="AT499" s="202">
        <v>115749529</v>
      </c>
      <c r="AU499" s="198" t="s">
        <v>359</v>
      </c>
      <c r="AV499" s="198" t="s">
        <v>62</v>
      </c>
      <c r="AW499" s="198" t="s">
        <v>54</v>
      </c>
    </row>
    <row r="500" spans="3:49" outlineLevel="2" x14ac:dyDescent="0.25">
      <c r="C500" s="201"/>
      <c r="D500" s="198" t="s">
        <v>440</v>
      </c>
      <c r="H500" s="198" t="s">
        <v>440</v>
      </c>
      <c r="I500" s="202">
        <f t="shared" si="7"/>
        <v>210194833.04999959</v>
      </c>
      <c r="J500" s="202">
        <v>50.899999999999899</v>
      </c>
      <c r="L500" s="204">
        <v>14</v>
      </c>
      <c r="M500" s="202">
        <v>10738000</v>
      </c>
      <c r="N500" s="204">
        <v>14</v>
      </c>
      <c r="O500" s="198" t="s">
        <v>51</v>
      </c>
      <c r="P500" s="202">
        <v>10738000</v>
      </c>
      <c r="Q500" s="198" t="s">
        <v>73</v>
      </c>
      <c r="R500" s="198" t="s">
        <v>53</v>
      </c>
      <c r="S500" s="198" t="s">
        <v>54</v>
      </c>
      <c r="T500" s="198" t="s">
        <v>363</v>
      </c>
      <c r="U500" s="198" t="s">
        <v>367</v>
      </c>
      <c r="V500" s="198" t="s">
        <v>56</v>
      </c>
      <c r="W500" s="198" t="s">
        <v>356</v>
      </c>
      <c r="X500" s="198" t="s">
        <v>57</v>
      </c>
      <c r="Y500" s="198" t="s">
        <v>58</v>
      </c>
      <c r="Z500" s="201">
        <v>46203</v>
      </c>
      <c r="AA500" s="198" t="s">
        <v>59</v>
      </c>
      <c r="AB500" s="198" t="s">
        <v>60</v>
      </c>
      <c r="AC500" s="198" t="s">
        <v>86</v>
      </c>
      <c r="AD500" s="198" t="s">
        <v>62</v>
      </c>
      <c r="AE500" s="198" t="s">
        <v>120</v>
      </c>
      <c r="AF500" s="198" t="s">
        <v>119</v>
      </c>
      <c r="AG500" s="198" t="s">
        <v>189</v>
      </c>
      <c r="AH500" s="198" t="s">
        <v>126</v>
      </c>
      <c r="AI500" s="198" t="s">
        <v>56</v>
      </c>
      <c r="AJ500" s="198" t="s">
        <v>121</v>
      </c>
      <c r="AK500" s="198" t="s">
        <v>51</v>
      </c>
      <c r="AL500" s="198" t="s">
        <v>67</v>
      </c>
      <c r="AM500" s="198" t="s">
        <v>68</v>
      </c>
      <c r="AN500" s="202">
        <v>10738000</v>
      </c>
      <c r="AO500" s="202">
        <v>10738000</v>
      </c>
      <c r="AP500" s="202">
        <v>10738000</v>
      </c>
      <c r="AQ500" s="198" t="s">
        <v>358</v>
      </c>
      <c r="AR500" s="198" t="s">
        <v>51</v>
      </c>
      <c r="AS500" s="202">
        <v>10738000</v>
      </c>
      <c r="AT500" s="202">
        <v>10738000</v>
      </c>
      <c r="AU500" s="198" t="s">
        <v>359</v>
      </c>
      <c r="AV500" s="198" t="s">
        <v>62</v>
      </c>
      <c r="AW500" s="198" t="s">
        <v>54</v>
      </c>
    </row>
    <row r="501" spans="3:49" outlineLevel="2" x14ac:dyDescent="0.25">
      <c r="C501" s="201"/>
      <c r="D501" s="198" t="s">
        <v>440</v>
      </c>
      <c r="H501" s="198" t="s">
        <v>440</v>
      </c>
      <c r="I501" s="202">
        <f t="shared" si="7"/>
        <v>210607789.49999958</v>
      </c>
      <c r="J501" s="202">
        <v>50.999999999999901</v>
      </c>
      <c r="L501" s="204">
        <v>16</v>
      </c>
      <c r="M501" s="202">
        <v>267536000</v>
      </c>
      <c r="N501" s="204">
        <v>1</v>
      </c>
      <c r="O501" s="198" t="s">
        <v>51</v>
      </c>
      <c r="P501" s="202">
        <v>15850352</v>
      </c>
      <c r="Q501" s="198" t="s">
        <v>73</v>
      </c>
      <c r="R501" s="198" t="s">
        <v>53</v>
      </c>
      <c r="S501" s="198" t="s">
        <v>54</v>
      </c>
      <c r="T501" s="198" t="s">
        <v>431</v>
      </c>
      <c r="U501" s="198" t="s">
        <v>574</v>
      </c>
      <c r="V501" s="198" t="s">
        <v>56</v>
      </c>
      <c r="W501" s="198" t="s">
        <v>356</v>
      </c>
      <c r="X501" s="198" t="s">
        <v>57</v>
      </c>
      <c r="Y501" s="198" t="s">
        <v>58</v>
      </c>
      <c r="Z501" s="201">
        <v>46203</v>
      </c>
      <c r="AA501" s="198" t="s">
        <v>59</v>
      </c>
      <c r="AB501" s="198" t="s">
        <v>60</v>
      </c>
      <c r="AC501" s="198" t="s">
        <v>86</v>
      </c>
      <c r="AD501" s="198" t="s">
        <v>62</v>
      </c>
      <c r="AE501" s="198" t="s">
        <v>116</v>
      </c>
      <c r="AF501" s="198" t="s">
        <v>115</v>
      </c>
      <c r="AG501" s="198" t="s">
        <v>189</v>
      </c>
      <c r="AH501" s="198" t="s">
        <v>126</v>
      </c>
      <c r="AI501" s="198" t="s">
        <v>56</v>
      </c>
      <c r="AJ501" s="198" t="s">
        <v>118</v>
      </c>
      <c r="AK501" s="198" t="s">
        <v>51</v>
      </c>
      <c r="AL501" s="198" t="s">
        <v>67</v>
      </c>
      <c r="AM501" s="198" t="s">
        <v>68</v>
      </c>
      <c r="AN501" s="202">
        <v>267536000</v>
      </c>
      <c r="AO501" s="202">
        <v>267536000</v>
      </c>
      <c r="AP501" s="202">
        <v>267536000</v>
      </c>
      <c r="AQ501" s="198" t="s">
        <v>358</v>
      </c>
      <c r="AR501" s="198" t="s">
        <v>51</v>
      </c>
      <c r="AS501" s="202">
        <v>15850352</v>
      </c>
      <c r="AT501" s="202">
        <v>15850352</v>
      </c>
      <c r="AU501" s="198" t="s">
        <v>359</v>
      </c>
      <c r="AV501" s="198" t="s">
        <v>62</v>
      </c>
      <c r="AW501" s="198" t="s">
        <v>54</v>
      </c>
    </row>
    <row r="502" spans="3:49" outlineLevel="2" x14ac:dyDescent="0.25">
      <c r="C502" s="201"/>
      <c r="D502" s="198" t="s">
        <v>440</v>
      </c>
      <c r="H502" s="198" t="s">
        <v>440</v>
      </c>
      <c r="I502" s="202">
        <f t="shared" si="7"/>
        <v>211020745.9499996</v>
      </c>
      <c r="J502" s="202">
        <v>51.099999999999902</v>
      </c>
      <c r="L502" s="204">
        <v>16</v>
      </c>
      <c r="M502" s="202">
        <v>10800000</v>
      </c>
      <c r="N502" s="204">
        <v>4</v>
      </c>
      <c r="O502" s="198" t="s">
        <v>51</v>
      </c>
      <c r="P502" s="202">
        <v>2700000</v>
      </c>
      <c r="Q502" s="198" t="s">
        <v>73</v>
      </c>
      <c r="R502" s="198" t="s">
        <v>53</v>
      </c>
      <c r="S502" s="198" t="s">
        <v>54</v>
      </c>
      <c r="T502" s="198" t="s">
        <v>431</v>
      </c>
      <c r="U502" s="198" t="s">
        <v>368</v>
      </c>
      <c r="V502" s="198" t="s">
        <v>56</v>
      </c>
      <c r="W502" s="198" t="s">
        <v>356</v>
      </c>
      <c r="X502" s="198" t="s">
        <v>57</v>
      </c>
      <c r="Y502" s="198" t="s">
        <v>58</v>
      </c>
      <c r="Z502" s="201">
        <v>46203</v>
      </c>
      <c r="AA502" s="198" t="s">
        <v>59</v>
      </c>
      <c r="AB502" s="198" t="s">
        <v>60</v>
      </c>
      <c r="AC502" s="198" t="s">
        <v>86</v>
      </c>
      <c r="AD502" s="198" t="s">
        <v>62</v>
      </c>
      <c r="AE502" s="198" t="s">
        <v>120</v>
      </c>
      <c r="AF502" s="198" t="s">
        <v>119</v>
      </c>
      <c r="AG502" s="198" t="s">
        <v>189</v>
      </c>
      <c r="AH502" s="198" t="s">
        <v>126</v>
      </c>
      <c r="AI502" s="198" t="s">
        <v>56</v>
      </c>
      <c r="AJ502" s="198" t="s">
        <v>121</v>
      </c>
      <c r="AK502" s="198" t="s">
        <v>51</v>
      </c>
      <c r="AL502" s="198" t="s">
        <v>67</v>
      </c>
      <c r="AM502" s="198" t="s">
        <v>68</v>
      </c>
      <c r="AN502" s="202">
        <v>10800000</v>
      </c>
      <c r="AO502" s="202">
        <v>10800000</v>
      </c>
      <c r="AP502" s="202">
        <v>10800000</v>
      </c>
      <c r="AQ502" s="198" t="s">
        <v>358</v>
      </c>
      <c r="AR502" s="198" t="s">
        <v>51</v>
      </c>
      <c r="AS502" s="202">
        <v>2700000</v>
      </c>
      <c r="AT502" s="202">
        <v>2700000</v>
      </c>
      <c r="AU502" s="198" t="s">
        <v>359</v>
      </c>
      <c r="AV502" s="198" t="s">
        <v>62</v>
      </c>
      <c r="AW502" s="198" t="s">
        <v>54</v>
      </c>
    </row>
    <row r="503" spans="3:49" outlineLevel="2" x14ac:dyDescent="0.25">
      <c r="C503" s="201"/>
      <c r="D503" s="198" t="s">
        <v>441</v>
      </c>
      <c r="H503" s="198" t="s">
        <v>441</v>
      </c>
      <c r="I503" s="202">
        <f t="shared" si="7"/>
        <v>211433702.39999959</v>
      </c>
      <c r="J503" s="202">
        <v>51.199999999999903</v>
      </c>
      <c r="L503" s="204">
        <v>10</v>
      </c>
      <c r="M503" s="202">
        <v>60000</v>
      </c>
      <c r="N503" s="204">
        <v>10</v>
      </c>
      <c r="O503" s="198" t="s">
        <v>51</v>
      </c>
      <c r="P503" s="202">
        <v>60000</v>
      </c>
      <c r="Q503" s="198" t="s">
        <v>73</v>
      </c>
      <c r="R503" s="198" t="s">
        <v>53</v>
      </c>
      <c r="S503" s="198" t="s">
        <v>54</v>
      </c>
      <c r="T503" s="198" t="s">
        <v>443</v>
      </c>
      <c r="U503" s="198" t="s">
        <v>367</v>
      </c>
      <c r="V503" s="198" t="s">
        <v>56</v>
      </c>
      <c r="W503" s="198" t="s">
        <v>356</v>
      </c>
      <c r="X503" s="198" t="s">
        <v>57</v>
      </c>
      <c r="Y503" s="198" t="s">
        <v>58</v>
      </c>
      <c r="Z503" s="201">
        <v>46203</v>
      </c>
      <c r="AA503" s="198" t="s">
        <v>59</v>
      </c>
      <c r="AB503" s="198" t="s">
        <v>60</v>
      </c>
      <c r="AC503" s="198" t="s">
        <v>86</v>
      </c>
      <c r="AD503" s="198" t="s">
        <v>62</v>
      </c>
      <c r="AE503" s="198" t="s">
        <v>451</v>
      </c>
      <c r="AF503" s="198" t="s">
        <v>450</v>
      </c>
      <c r="AG503" s="198" t="s">
        <v>189</v>
      </c>
      <c r="AH503" s="198" t="s">
        <v>126</v>
      </c>
      <c r="AI503" s="198" t="s">
        <v>56</v>
      </c>
      <c r="AJ503" s="198" t="s">
        <v>452</v>
      </c>
      <c r="AK503" s="198" t="s">
        <v>51</v>
      </c>
      <c r="AL503" s="198" t="s">
        <v>67</v>
      </c>
      <c r="AM503" s="198" t="s">
        <v>68</v>
      </c>
      <c r="AN503" s="202">
        <v>60000</v>
      </c>
      <c r="AO503" s="202">
        <v>60000</v>
      </c>
      <c r="AP503" s="202">
        <v>60000</v>
      </c>
      <c r="AQ503" s="198" t="s">
        <v>358</v>
      </c>
      <c r="AR503" s="198" t="s">
        <v>51</v>
      </c>
      <c r="AS503" s="202">
        <v>60000</v>
      </c>
      <c r="AT503" s="202">
        <v>60000</v>
      </c>
      <c r="AU503" s="198" t="s">
        <v>359</v>
      </c>
      <c r="AV503" s="198" t="s">
        <v>62</v>
      </c>
      <c r="AW503" s="198" t="s">
        <v>54</v>
      </c>
    </row>
    <row r="504" spans="3:49" outlineLevel="2" x14ac:dyDescent="0.25">
      <c r="C504" s="201"/>
      <c r="D504" s="198" t="s">
        <v>179</v>
      </c>
      <c r="H504" s="198" t="s">
        <v>179</v>
      </c>
      <c r="I504" s="202">
        <f t="shared" si="7"/>
        <v>211846658.84999958</v>
      </c>
      <c r="J504" s="202">
        <v>51.299999999999898</v>
      </c>
      <c r="L504" s="203">
        <v>119.63</v>
      </c>
      <c r="M504" s="202">
        <v>11782358.699999999</v>
      </c>
      <c r="N504" s="203">
        <v>78.159000000000006</v>
      </c>
      <c r="O504" s="198" t="s">
        <v>51</v>
      </c>
      <c r="P504" s="202">
        <v>7697879.9100000001</v>
      </c>
      <c r="Q504" s="198" t="s">
        <v>52</v>
      </c>
      <c r="R504" s="198" t="s">
        <v>53</v>
      </c>
      <c r="S504" s="198" t="s">
        <v>54</v>
      </c>
      <c r="T504" s="198" t="s">
        <v>514</v>
      </c>
      <c r="U504" s="198" t="s">
        <v>368</v>
      </c>
      <c r="V504" s="198" t="s">
        <v>56</v>
      </c>
      <c r="W504" s="198" t="s">
        <v>356</v>
      </c>
      <c r="X504" s="198" t="s">
        <v>57</v>
      </c>
      <c r="Y504" s="198" t="s">
        <v>58</v>
      </c>
      <c r="Z504" s="201">
        <v>46233</v>
      </c>
      <c r="AA504" s="198" t="s">
        <v>59</v>
      </c>
      <c r="AB504" s="198" t="s">
        <v>60</v>
      </c>
      <c r="AC504" s="198" t="s">
        <v>86</v>
      </c>
      <c r="AD504" s="198" t="s">
        <v>62</v>
      </c>
      <c r="AE504" s="198" t="s">
        <v>102</v>
      </c>
      <c r="AF504" s="198" t="s">
        <v>101</v>
      </c>
      <c r="AG504" s="198" t="s">
        <v>248</v>
      </c>
      <c r="AH504" s="198" t="s">
        <v>169</v>
      </c>
      <c r="AI504" s="198" t="s">
        <v>56</v>
      </c>
      <c r="AJ504" s="198" t="s">
        <v>66</v>
      </c>
      <c r="AK504" s="198" t="s">
        <v>51</v>
      </c>
      <c r="AL504" s="198" t="s">
        <v>67</v>
      </c>
      <c r="AM504" s="198" t="s">
        <v>68</v>
      </c>
      <c r="AN504" s="202">
        <v>11782358.699999999</v>
      </c>
      <c r="AO504" s="202">
        <v>11782358.699999999</v>
      </c>
      <c r="AP504" s="202">
        <v>11782358.699999999</v>
      </c>
      <c r="AQ504" s="198" t="s">
        <v>358</v>
      </c>
      <c r="AR504" s="198" t="s">
        <v>51</v>
      </c>
      <c r="AS504" s="202">
        <v>7697879.9100000001</v>
      </c>
      <c r="AT504" s="202">
        <v>7697879.9100000001</v>
      </c>
      <c r="AU504" s="198" t="s">
        <v>359</v>
      </c>
      <c r="AV504" s="198" t="s">
        <v>62</v>
      </c>
      <c r="AW504" s="198" t="s">
        <v>54</v>
      </c>
    </row>
    <row r="505" spans="3:49" outlineLevel="2" x14ac:dyDescent="0.25">
      <c r="C505" s="201"/>
      <c r="D505" s="198" t="s">
        <v>179</v>
      </c>
      <c r="H505" s="198" t="s">
        <v>179</v>
      </c>
      <c r="I505" s="202">
        <f t="shared" si="7"/>
        <v>212259615.29999959</v>
      </c>
      <c r="J505" s="202">
        <v>51.399999999999899</v>
      </c>
      <c r="L505" s="203">
        <v>4.1879999999999997</v>
      </c>
      <c r="M505" s="202">
        <v>753638.98</v>
      </c>
      <c r="N505" s="203">
        <v>0.93600000000000005</v>
      </c>
      <c r="O505" s="198" t="s">
        <v>51</v>
      </c>
      <c r="P505" s="202">
        <v>168435.07</v>
      </c>
      <c r="Q505" s="198" t="s">
        <v>52</v>
      </c>
      <c r="R505" s="198" t="s">
        <v>53</v>
      </c>
      <c r="S505" s="198" t="s">
        <v>54</v>
      </c>
      <c r="T505" s="198" t="s">
        <v>514</v>
      </c>
      <c r="U505" s="198" t="s">
        <v>367</v>
      </c>
      <c r="V505" s="198" t="s">
        <v>56</v>
      </c>
      <c r="W505" s="198" t="s">
        <v>356</v>
      </c>
      <c r="X505" s="198" t="s">
        <v>57</v>
      </c>
      <c r="Y505" s="198" t="s">
        <v>58</v>
      </c>
      <c r="Z505" s="201">
        <v>46233</v>
      </c>
      <c r="AA505" s="198" t="s">
        <v>59</v>
      </c>
      <c r="AB505" s="198" t="s">
        <v>60</v>
      </c>
      <c r="AC505" s="198" t="s">
        <v>86</v>
      </c>
      <c r="AD505" s="198" t="s">
        <v>62</v>
      </c>
      <c r="AE505" s="198" t="s">
        <v>105</v>
      </c>
      <c r="AF505" s="198" t="s">
        <v>104</v>
      </c>
      <c r="AG505" s="198" t="s">
        <v>248</v>
      </c>
      <c r="AH505" s="198" t="s">
        <v>169</v>
      </c>
      <c r="AI505" s="198" t="s">
        <v>56</v>
      </c>
      <c r="AJ505" s="198" t="s">
        <v>103</v>
      </c>
      <c r="AK505" s="198" t="s">
        <v>51</v>
      </c>
      <c r="AL505" s="198" t="s">
        <v>67</v>
      </c>
      <c r="AM505" s="198" t="s">
        <v>68</v>
      </c>
      <c r="AN505" s="202">
        <v>753638.98</v>
      </c>
      <c r="AO505" s="202">
        <v>753638.98</v>
      </c>
      <c r="AP505" s="202">
        <v>753638.98</v>
      </c>
      <c r="AQ505" s="198" t="s">
        <v>358</v>
      </c>
      <c r="AR505" s="198" t="s">
        <v>51</v>
      </c>
      <c r="AS505" s="202">
        <v>168435.07</v>
      </c>
      <c r="AT505" s="202">
        <v>168435.07</v>
      </c>
      <c r="AU505" s="198" t="s">
        <v>359</v>
      </c>
      <c r="AV505" s="198" t="s">
        <v>62</v>
      </c>
      <c r="AW505" s="198" t="s">
        <v>54</v>
      </c>
    </row>
    <row r="506" spans="3:49" outlineLevel="2" x14ac:dyDescent="0.25">
      <c r="C506" s="201"/>
      <c r="D506" s="198" t="s">
        <v>179</v>
      </c>
      <c r="H506" s="198" t="s">
        <v>179</v>
      </c>
      <c r="I506" s="202">
        <f t="shared" si="7"/>
        <v>212672571.74999958</v>
      </c>
      <c r="J506" s="202">
        <v>51.499999999999901</v>
      </c>
      <c r="L506" s="204">
        <v>6810</v>
      </c>
      <c r="M506" s="202">
        <v>4324350</v>
      </c>
      <c r="N506" s="204">
        <v>3395</v>
      </c>
      <c r="O506" s="198" t="s">
        <v>51</v>
      </c>
      <c r="P506" s="202">
        <v>2155825.2000000002</v>
      </c>
      <c r="Q506" s="198" t="s">
        <v>70</v>
      </c>
      <c r="R506" s="198" t="s">
        <v>53</v>
      </c>
      <c r="S506" s="198" t="s">
        <v>54</v>
      </c>
      <c r="T506" s="198" t="s">
        <v>514</v>
      </c>
      <c r="U506" s="198" t="s">
        <v>367</v>
      </c>
      <c r="V506" s="198" t="s">
        <v>56</v>
      </c>
      <c r="W506" s="198" t="s">
        <v>356</v>
      </c>
      <c r="X506" s="198" t="s">
        <v>57</v>
      </c>
      <c r="Y506" s="198" t="s">
        <v>58</v>
      </c>
      <c r="Z506" s="201">
        <v>46233</v>
      </c>
      <c r="AA506" s="198" t="s">
        <v>59</v>
      </c>
      <c r="AB506" s="198" t="s">
        <v>60</v>
      </c>
      <c r="AC506" s="198" t="s">
        <v>86</v>
      </c>
      <c r="AD506" s="198" t="s">
        <v>62</v>
      </c>
      <c r="AE506" s="198" t="s">
        <v>518</v>
      </c>
      <c r="AF506" s="198" t="s">
        <v>517</v>
      </c>
      <c r="AG506" s="198" t="s">
        <v>248</v>
      </c>
      <c r="AH506" s="198" t="s">
        <v>169</v>
      </c>
      <c r="AI506" s="198" t="s">
        <v>56</v>
      </c>
      <c r="AJ506" s="198" t="s">
        <v>106</v>
      </c>
      <c r="AK506" s="198" t="s">
        <v>51</v>
      </c>
      <c r="AL506" s="198" t="s">
        <v>67</v>
      </c>
      <c r="AM506" s="198" t="s">
        <v>68</v>
      </c>
      <c r="AN506" s="202">
        <v>4324350</v>
      </c>
      <c r="AO506" s="202">
        <v>4324350</v>
      </c>
      <c r="AP506" s="202">
        <v>4324350</v>
      </c>
      <c r="AQ506" s="198" t="s">
        <v>358</v>
      </c>
      <c r="AR506" s="198" t="s">
        <v>51</v>
      </c>
      <c r="AS506" s="202">
        <v>2155825.2000000002</v>
      </c>
      <c r="AT506" s="202">
        <v>2155825.2000000002</v>
      </c>
      <c r="AU506" s="198" t="s">
        <v>359</v>
      </c>
      <c r="AV506" s="198" t="s">
        <v>62</v>
      </c>
      <c r="AW506" s="198" t="s">
        <v>54</v>
      </c>
    </row>
    <row r="507" spans="3:49" outlineLevel="2" x14ac:dyDescent="0.25">
      <c r="C507" s="201"/>
      <c r="D507" s="198" t="s">
        <v>179</v>
      </c>
      <c r="H507" s="198" t="s">
        <v>179</v>
      </c>
      <c r="I507" s="202">
        <f t="shared" si="7"/>
        <v>213085528.1999996</v>
      </c>
      <c r="J507" s="202">
        <v>51.599999999999902</v>
      </c>
      <c r="L507" s="203">
        <v>9.7769999999999992</v>
      </c>
      <c r="M507" s="202">
        <v>1270912.23</v>
      </c>
      <c r="N507" s="203">
        <v>9.7769999999999992</v>
      </c>
      <c r="O507" s="198" t="s">
        <v>51</v>
      </c>
      <c r="P507" s="202">
        <v>1270912.23</v>
      </c>
      <c r="Q507" s="198" t="s">
        <v>52</v>
      </c>
      <c r="R507" s="198" t="s">
        <v>53</v>
      </c>
      <c r="S507" s="198" t="s">
        <v>54</v>
      </c>
      <c r="T507" s="198" t="s">
        <v>514</v>
      </c>
      <c r="U507" s="198" t="s">
        <v>367</v>
      </c>
      <c r="V507" s="198" t="s">
        <v>56</v>
      </c>
      <c r="W507" s="198" t="s">
        <v>356</v>
      </c>
      <c r="X507" s="198" t="s">
        <v>57</v>
      </c>
      <c r="Y507" s="198" t="s">
        <v>58</v>
      </c>
      <c r="Z507" s="201">
        <v>46233</v>
      </c>
      <c r="AA507" s="198" t="s">
        <v>59</v>
      </c>
      <c r="AB507" s="198" t="s">
        <v>60</v>
      </c>
      <c r="AC507" s="198" t="s">
        <v>86</v>
      </c>
      <c r="AD507" s="198" t="s">
        <v>62</v>
      </c>
      <c r="AE507" s="198" t="s">
        <v>108</v>
      </c>
      <c r="AF507" s="198" t="s">
        <v>107</v>
      </c>
      <c r="AG507" s="198" t="s">
        <v>248</v>
      </c>
      <c r="AH507" s="198" t="s">
        <v>169</v>
      </c>
      <c r="AI507" s="198" t="s">
        <v>56</v>
      </c>
      <c r="AJ507" s="198" t="s">
        <v>74</v>
      </c>
      <c r="AK507" s="198" t="s">
        <v>51</v>
      </c>
      <c r="AL507" s="198" t="s">
        <v>67</v>
      </c>
      <c r="AM507" s="198" t="s">
        <v>68</v>
      </c>
      <c r="AN507" s="202">
        <v>1270912.23</v>
      </c>
      <c r="AO507" s="202">
        <v>1270912.23</v>
      </c>
      <c r="AP507" s="202">
        <v>1270912.23</v>
      </c>
      <c r="AQ507" s="198" t="s">
        <v>358</v>
      </c>
      <c r="AR507" s="198" t="s">
        <v>51</v>
      </c>
      <c r="AS507" s="202">
        <v>1270912.23</v>
      </c>
      <c r="AT507" s="202">
        <v>1270912.23</v>
      </c>
      <c r="AU507" s="198" t="s">
        <v>359</v>
      </c>
      <c r="AV507" s="198" t="s">
        <v>62</v>
      </c>
      <c r="AW507" s="198" t="s">
        <v>54</v>
      </c>
    </row>
    <row r="508" spans="3:49" outlineLevel="2" x14ac:dyDescent="0.25">
      <c r="C508" s="201"/>
      <c r="D508" s="198" t="s">
        <v>178</v>
      </c>
      <c r="H508" s="198" t="s">
        <v>178</v>
      </c>
      <c r="I508" s="202">
        <f t="shared" si="7"/>
        <v>213498484.64999959</v>
      </c>
      <c r="J508" s="202">
        <v>51.699999999999903</v>
      </c>
      <c r="L508" s="203">
        <v>14.4</v>
      </c>
      <c r="M508" s="202">
        <v>1346256</v>
      </c>
      <c r="N508" s="203">
        <v>14.4</v>
      </c>
      <c r="O508" s="198" t="s">
        <v>51</v>
      </c>
      <c r="P508" s="202">
        <v>1346256</v>
      </c>
      <c r="Q508" s="198" t="s">
        <v>52</v>
      </c>
      <c r="R508" s="198" t="s">
        <v>53</v>
      </c>
      <c r="S508" s="198" t="s">
        <v>54</v>
      </c>
      <c r="T508" s="198" t="s">
        <v>514</v>
      </c>
      <c r="U508" s="198" t="s">
        <v>367</v>
      </c>
      <c r="V508" s="198" t="s">
        <v>56</v>
      </c>
      <c r="W508" s="198" t="s">
        <v>356</v>
      </c>
      <c r="X508" s="198" t="s">
        <v>57</v>
      </c>
      <c r="Y508" s="198" t="s">
        <v>58</v>
      </c>
      <c r="Z508" s="201">
        <v>46233</v>
      </c>
      <c r="AA508" s="198" t="s">
        <v>59</v>
      </c>
      <c r="AB508" s="198" t="s">
        <v>60</v>
      </c>
      <c r="AC508" s="198" t="s">
        <v>86</v>
      </c>
      <c r="AD508" s="198" t="s">
        <v>62</v>
      </c>
      <c r="AE508" s="198" t="s">
        <v>81</v>
      </c>
      <c r="AF508" s="198" t="s">
        <v>79</v>
      </c>
      <c r="AG508" s="198" t="s">
        <v>248</v>
      </c>
      <c r="AH508" s="198" t="s">
        <v>167</v>
      </c>
      <c r="AI508" s="198" t="s">
        <v>56</v>
      </c>
      <c r="AJ508" s="198" t="s">
        <v>66</v>
      </c>
      <c r="AK508" s="198" t="s">
        <v>51</v>
      </c>
      <c r="AL508" s="198" t="s">
        <v>67</v>
      </c>
      <c r="AM508" s="198" t="s">
        <v>68</v>
      </c>
      <c r="AN508" s="202">
        <v>1346256</v>
      </c>
      <c r="AO508" s="202">
        <v>1346256</v>
      </c>
      <c r="AP508" s="202">
        <v>1346256</v>
      </c>
      <c r="AQ508" s="198" t="s">
        <v>358</v>
      </c>
      <c r="AR508" s="198" t="s">
        <v>51</v>
      </c>
      <c r="AS508" s="202">
        <v>1346256</v>
      </c>
      <c r="AT508" s="202">
        <v>1346256</v>
      </c>
      <c r="AU508" s="198" t="s">
        <v>359</v>
      </c>
      <c r="AV508" s="198" t="s">
        <v>62</v>
      </c>
      <c r="AW508" s="198" t="s">
        <v>54</v>
      </c>
    </row>
    <row r="509" spans="3:49" outlineLevel="2" x14ac:dyDescent="0.25">
      <c r="C509" s="201"/>
      <c r="D509" s="198" t="s">
        <v>178</v>
      </c>
      <c r="H509" s="198" t="s">
        <v>178</v>
      </c>
      <c r="I509" s="202">
        <f t="shared" si="7"/>
        <v>213911441.09999958</v>
      </c>
      <c r="J509" s="202">
        <v>51.799999999999898</v>
      </c>
      <c r="L509" s="203">
        <v>47.701000000000001</v>
      </c>
      <c r="M509" s="202">
        <v>4077958.49</v>
      </c>
      <c r="N509" s="203">
        <v>11.5</v>
      </c>
      <c r="O509" s="198" t="s">
        <v>51</v>
      </c>
      <c r="P509" s="202">
        <v>983135</v>
      </c>
      <c r="Q509" s="198" t="s">
        <v>52</v>
      </c>
      <c r="R509" s="198" t="s">
        <v>53</v>
      </c>
      <c r="S509" s="198" t="s">
        <v>54</v>
      </c>
      <c r="T509" s="198" t="s">
        <v>514</v>
      </c>
      <c r="U509" s="198" t="s">
        <v>367</v>
      </c>
      <c r="V509" s="198" t="s">
        <v>56</v>
      </c>
      <c r="W509" s="198" t="s">
        <v>356</v>
      </c>
      <c r="X509" s="198" t="s">
        <v>57</v>
      </c>
      <c r="Y509" s="198" t="s">
        <v>58</v>
      </c>
      <c r="Z509" s="201">
        <v>46233</v>
      </c>
      <c r="AA509" s="198" t="s">
        <v>59</v>
      </c>
      <c r="AB509" s="198" t="s">
        <v>60</v>
      </c>
      <c r="AC509" s="198" t="s">
        <v>86</v>
      </c>
      <c r="AD509" s="198" t="s">
        <v>62</v>
      </c>
      <c r="AE509" s="198" t="s">
        <v>63</v>
      </c>
      <c r="AF509" s="198" t="s">
        <v>50</v>
      </c>
      <c r="AG509" s="198" t="s">
        <v>248</v>
      </c>
      <c r="AH509" s="198" t="s">
        <v>167</v>
      </c>
      <c r="AI509" s="198" t="s">
        <v>56</v>
      </c>
      <c r="AJ509" s="198" t="s">
        <v>66</v>
      </c>
      <c r="AK509" s="198" t="s">
        <v>51</v>
      </c>
      <c r="AL509" s="198" t="s">
        <v>67</v>
      </c>
      <c r="AM509" s="198" t="s">
        <v>68</v>
      </c>
      <c r="AN509" s="202">
        <v>4077958.49</v>
      </c>
      <c r="AO509" s="202">
        <v>4077958.49</v>
      </c>
      <c r="AP509" s="202">
        <v>4077958.49</v>
      </c>
      <c r="AQ509" s="198" t="s">
        <v>358</v>
      </c>
      <c r="AR509" s="198" t="s">
        <v>51</v>
      </c>
      <c r="AS509" s="202">
        <v>983135</v>
      </c>
      <c r="AT509" s="202">
        <v>983135</v>
      </c>
      <c r="AU509" s="198" t="s">
        <v>359</v>
      </c>
      <c r="AV509" s="198" t="s">
        <v>62</v>
      </c>
      <c r="AW509" s="198" t="s">
        <v>54</v>
      </c>
    </row>
    <row r="510" spans="3:49" outlineLevel="2" x14ac:dyDescent="0.25">
      <c r="C510" s="201"/>
      <c r="D510" s="198" t="s">
        <v>178</v>
      </c>
      <c r="H510" s="198" t="s">
        <v>178</v>
      </c>
      <c r="I510" s="202">
        <f t="shared" si="7"/>
        <v>214324397.54999959</v>
      </c>
      <c r="J510" s="202">
        <v>51.899999999999899</v>
      </c>
      <c r="L510" s="203">
        <v>203.04</v>
      </c>
      <c r="M510" s="202">
        <v>19997409.600000001</v>
      </c>
      <c r="N510" s="203">
        <v>34.634</v>
      </c>
      <c r="O510" s="198" t="s">
        <v>51</v>
      </c>
      <c r="P510" s="202">
        <v>3411102.66</v>
      </c>
      <c r="Q510" s="198" t="s">
        <v>52</v>
      </c>
      <c r="R510" s="198" t="s">
        <v>53</v>
      </c>
      <c r="S510" s="198" t="s">
        <v>54</v>
      </c>
      <c r="T510" s="198" t="s">
        <v>514</v>
      </c>
      <c r="U510" s="198" t="s">
        <v>368</v>
      </c>
      <c r="V510" s="198" t="s">
        <v>56</v>
      </c>
      <c r="W510" s="198" t="s">
        <v>356</v>
      </c>
      <c r="X510" s="198" t="s">
        <v>57</v>
      </c>
      <c r="Y510" s="198" t="s">
        <v>58</v>
      </c>
      <c r="Z510" s="201">
        <v>46233</v>
      </c>
      <c r="AA510" s="198" t="s">
        <v>59</v>
      </c>
      <c r="AB510" s="198" t="s">
        <v>60</v>
      </c>
      <c r="AC510" s="198" t="s">
        <v>86</v>
      </c>
      <c r="AD510" s="198" t="s">
        <v>62</v>
      </c>
      <c r="AE510" s="198" t="s">
        <v>102</v>
      </c>
      <c r="AF510" s="198" t="s">
        <v>101</v>
      </c>
      <c r="AG510" s="198" t="s">
        <v>248</v>
      </c>
      <c r="AH510" s="198" t="s">
        <v>167</v>
      </c>
      <c r="AI510" s="198" t="s">
        <v>56</v>
      </c>
      <c r="AJ510" s="198" t="s">
        <v>66</v>
      </c>
      <c r="AK510" s="198" t="s">
        <v>51</v>
      </c>
      <c r="AL510" s="198" t="s">
        <v>67</v>
      </c>
      <c r="AM510" s="198" t="s">
        <v>68</v>
      </c>
      <c r="AN510" s="202">
        <v>19997409.600000001</v>
      </c>
      <c r="AO510" s="202">
        <v>19997409.600000001</v>
      </c>
      <c r="AP510" s="202">
        <v>19997409.600000001</v>
      </c>
      <c r="AQ510" s="198" t="s">
        <v>358</v>
      </c>
      <c r="AR510" s="198" t="s">
        <v>51</v>
      </c>
      <c r="AS510" s="202">
        <v>3411102.66</v>
      </c>
      <c r="AT510" s="202">
        <v>3411102.66</v>
      </c>
      <c r="AU510" s="198" t="s">
        <v>359</v>
      </c>
      <c r="AV510" s="198" t="s">
        <v>62</v>
      </c>
      <c r="AW510" s="198" t="s">
        <v>54</v>
      </c>
    </row>
    <row r="511" spans="3:49" outlineLevel="2" x14ac:dyDescent="0.25">
      <c r="C511" s="201"/>
      <c r="D511" s="198" t="s">
        <v>178</v>
      </c>
      <c r="H511" s="198" t="s">
        <v>178</v>
      </c>
      <c r="I511" s="202">
        <f t="shared" si="7"/>
        <v>214737353.99999958</v>
      </c>
      <c r="J511" s="202">
        <v>51.999999999999901</v>
      </c>
      <c r="L511" s="203">
        <v>5.6710000000000003</v>
      </c>
      <c r="M511" s="202">
        <v>595409.63</v>
      </c>
      <c r="N511" s="203">
        <v>2.1859999999999999</v>
      </c>
      <c r="O511" s="198" t="s">
        <v>51</v>
      </c>
      <c r="P511" s="202">
        <v>229512.51</v>
      </c>
      <c r="Q511" s="198" t="s">
        <v>52</v>
      </c>
      <c r="R511" s="198" t="s">
        <v>53</v>
      </c>
      <c r="S511" s="198" t="s">
        <v>54</v>
      </c>
      <c r="T511" s="198" t="s">
        <v>514</v>
      </c>
      <c r="U511" s="198" t="s">
        <v>367</v>
      </c>
      <c r="V511" s="198" t="s">
        <v>56</v>
      </c>
      <c r="W511" s="198" t="s">
        <v>356</v>
      </c>
      <c r="X511" s="198" t="s">
        <v>57</v>
      </c>
      <c r="Y511" s="198" t="s">
        <v>58</v>
      </c>
      <c r="Z511" s="201">
        <v>46233</v>
      </c>
      <c r="AA511" s="198" t="s">
        <v>59</v>
      </c>
      <c r="AB511" s="198" t="s">
        <v>60</v>
      </c>
      <c r="AC511" s="198" t="s">
        <v>86</v>
      </c>
      <c r="AD511" s="198" t="s">
        <v>62</v>
      </c>
      <c r="AE511" s="198" t="s">
        <v>516</v>
      </c>
      <c r="AF511" s="198" t="s">
        <v>515</v>
      </c>
      <c r="AG511" s="198" t="s">
        <v>248</v>
      </c>
      <c r="AH511" s="198" t="s">
        <v>167</v>
      </c>
      <c r="AI511" s="198" t="s">
        <v>56</v>
      </c>
      <c r="AJ511" s="198" t="s">
        <v>103</v>
      </c>
      <c r="AK511" s="198" t="s">
        <v>51</v>
      </c>
      <c r="AL511" s="198" t="s">
        <v>67</v>
      </c>
      <c r="AM511" s="198" t="s">
        <v>68</v>
      </c>
      <c r="AN511" s="202">
        <v>595409.63</v>
      </c>
      <c r="AO511" s="202">
        <v>595409.63</v>
      </c>
      <c r="AP511" s="202">
        <v>595409.63</v>
      </c>
      <c r="AQ511" s="198" t="s">
        <v>358</v>
      </c>
      <c r="AR511" s="198" t="s">
        <v>51</v>
      </c>
      <c r="AS511" s="202">
        <v>229512.51</v>
      </c>
      <c r="AT511" s="202">
        <v>229512.51</v>
      </c>
      <c r="AU511" s="198" t="s">
        <v>359</v>
      </c>
      <c r="AV511" s="198" t="s">
        <v>62</v>
      </c>
      <c r="AW511" s="198" t="s">
        <v>54</v>
      </c>
    </row>
    <row r="512" spans="3:49" outlineLevel="2" x14ac:dyDescent="0.25">
      <c r="C512" s="201"/>
      <c r="D512" s="198" t="s">
        <v>178</v>
      </c>
      <c r="H512" s="198" t="s">
        <v>178</v>
      </c>
      <c r="I512" s="202">
        <f t="shared" si="7"/>
        <v>215150310.4499996</v>
      </c>
      <c r="J512" s="202">
        <v>52.099999999999902</v>
      </c>
      <c r="L512" s="203">
        <v>6.7009999999999996</v>
      </c>
      <c r="M512" s="202">
        <v>1205858.3500000001</v>
      </c>
      <c r="N512" s="203">
        <v>1.546</v>
      </c>
      <c r="O512" s="198" t="s">
        <v>51</v>
      </c>
      <c r="P512" s="202">
        <v>278205.78999999998</v>
      </c>
      <c r="Q512" s="198" t="s">
        <v>52</v>
      </c>
      <c r="R512" s="198" t="s">
        <v>53</v>
      </c>
      <c r="S512" s="198" t="s">
        <v>54</v>
      </c>
      <c r="T512" s="198" t="s">
        <v>514</v>
      </c>
      <c r="U512" s="198" t="s">
        <v>367</v>
      </c>
      <c r="V512" s="198" t="s">
        <v>56</v>
      </c>
      <c r="W512" s="198" t="s">
        <v>356</v>
      </c>
      <c r="X512" s="198" t="s">
        <v>57</v>
      </c>
      <c r="Y512" s="198" t="s">
        <v>58</v>
      </c>
      <c r="Z512" s="201">
        <v>46233</v>
      </c>
      <c r="AA512" s="198" t="s">
        <v>59</v>
      </c>
      <c r="AB512" s="198" t="s">
        <v>60</v>
      </c>
      <c r="AC512" s="198" t="s">
        <v>86</v>
      </c>
      <c r="AD512" s="198" t="s">
        <v>62</v>
      </c>
      <c r="AE512" s="198" t="s">
        <v>105</v>
      </c>
      <c r="AF512" s="198" t="s">
        <v>104</v>
      </c>
      <c r="AG512" s="198" t="s">
        <v>248</v>
      </c>
      <c r="AH512" s="198" t="s">
        <v>167</v>
      </c>
      <c r="AI512" s="198" t="s">
        <v>56</v>
      </c>
      <c r="AJ512" s="198" t="s">
        <v>103</v>
      </c>
      <c r="AK512" s="198" t="s">
        <v>51</v>
      </c>
      <c r="AL512" s="198" t="s">
        <v>67</v>
      </c>
      <c r="AM512" s="198" t="s">
        <v>68</v>
      </c>
      <c r="AN512" s="202">
        <v>1205858.3500000001</v>
      </c>
      <c r="AO512" s="202">
        <v>1205858.3500000001</v>
      </c>
      <c r="AP512" s="202">
        <v>1205858.3500000001</v>
      </c>
      <c r="AQ512" s="198" t="s">
        <v>358</v>
      </c>
      <c r="AR512" s="198" t="s">
        <v>51</v>
      </c>
      <c r="AS512" s="202">
        <v>278205.78999999998</v>
      </c>
      <c r="AT512" s="202">
        <v>278205.78999999998</v>
      </c>
      <c r="AU512" s="198" t="s">
        <v>359</v>
      </c>
      <c r="AV512" s="198" t="s">
        <v>62</v>
      </c>
      <c r="AW512" s="198" t="s">
        <v>54</v>
      </c>
    </row>
    <row r="513" spans="3:49" outlineLevel="2" x14ac:dyDescent="0.25">
      <c r="C513" s="201"/>
      <c r="D513" s="198" t="s">
        <v>178</v>
      </c>
      <c r="H513" s="198" t="s">
        <v>178</v>
      </c>
      <c r="I513" s="202">
        <f t="shared" si="7"/>
        <v>215563266.89999959</v>
      </c>
      <c r="J513" s="202">
        <v>52.199999999999903</v>
      </c>
      <c r="L513" s="204">
        <v>10896</v>
      </c>
      <c r="M513" s="202">
        <v>6918960</v>
      </c>
      <c r="N513" s="204">
        <v>848</v>
      </c>
      <c r="O513" s="198" t="s">
        <v>51</v>
      </c>
      <c r="P513" s="202">
        <v>538480</v>
      </c>
      <c r="Q513" s="198" t="s">
        <v>70</v>
      </c>
      <c r="R513" s="198" t="s">
        <v>53</v>
      </c>
      <c r="S513" s="198" t="s">
        <v>54</v>
      </c>
      <c r="T513" s="198" t="s">
        <v>514</v>
      </c>
      <c r="U513" s="198" t="s">
        <v>367</v>
      </c>
      <c r="V513" s="198" t="s">
        <v>56</v>
      </c>
      <c r="W513" s="198" t="s">
        <v>356</v>
      </c>
      <c r="X513" s="198" t="s">
        <v>57</v>
      </c>
      <c r="Y513" s="198" t="s">
        <v>58</v>
      </c>
      <c r="Z513" s="201">
        <v>46233</v>
      </c>
      <c r="AA513" s="198" t="s">
        <v>59</v>
      </c>
      <c r="AB513" s="198" t="s">
        <v>60</v>
      </c>
      <c r="AC513" s="198" t="s">
        <v>86</v>
      </c>
      <c r="AD513" s="198" t="s">
        <v>62</v>
      </c>
      <c r="AE513" s="198" t="s">
        <v>518</v>
      </c>
      <c r="AF513" s="198" t="s">
        <v>517</v>
      </c>
      <c r="AG513" s="198" t="s">
        <v>248</v>
      </c>
      <c r="AH513" s="198" t="s">
        <v>167</v>
      </c>
      <c r="AI513" s="198" t="s">
        <v>56</v>
      </c>
      <c r="AJ513" s="198" t="s">
        <v>106</v>
      </c>
      <c r="AK513" s="198" t="s">
        <v>51</v>
      </c>
      <c r="AL513" s="198" t="s">
        <v>67</v>
      </c>
      <c r="AM513" s="198" t="s">
        <v>68</v>
      </c>
      <c r="AN513" s="202">
        <v>6918960</v>
      </c>
      <c r="AO513" s="202">
        <v>6918960</v>
      </c>
      <c r="AP513" s="202">
        <v>6918960</v>
      </c>
      <c r="AQ513" s="198" t="s">
        <v>358</v>
      </c>
      <c r="AR513" s="198" t="s">
        <v>51</v>
      </c>
      <c r="AS513" s="202">
        <v>538480</v>
      </c>
      <c r="AT513" s="202">
        <v>538480</v>
      </c>
      <c r="AU513" s="198" t="s">
        <v>359</v>
      </c>
      <c r="AV513" s="198" t="s">
        <v>62</v>
      </c>
      <c r="AW513" s="198" t="s">
        <v>54</v>
      </c>
    </row>
    <row r="514" spans="3:49" outlineLevel="2" x14ac:dyDescent="0.25">
      <c r="C514" s="201"/>
      <c r="D514" s="198" t="s">
        <v>178</v>
      </c>
      <c r="H514" s="198" t="s">
        <v>178</v>
      </c>
      <c r="I514" s="202">
        <f t="shared" si="7"/>
        <v>215976223.34999958</v>
      </c>
      <c r="J514" s="202">
        <v>52.299999999999898</v>
      </c>
      <c r="L514" s="203">
        <v>15.643000000000001</v>
      </c>
      <c r="M514" s="202">
        <v>2033433.57</v>
      </c>
      <c r="N514" s="203">
        <v>15.643000000000001</v>
      </c>
      <c r="O514" s="198" t="s">
        <v>51</v>
      </c>
      <c r="P514" s="202">
        <v>2033433.57</v>
      </c>
      <c r="Q514" s="198" t="s">
        <v>52</v>
      </c>
      <c r="R514" s="198" t="s">
        <v>53</v>
      </c>
      <c r="S514" s="198" t="s">
        <v>54</v>
      </c>
      <c r="T514" s="198" t="s">
        <v>514</v>
      </c>
      <c r="U514" s="198" t="s">
        <v>367</v>
      </c>
      <c r="V514" s="198" t="s">
        <v>56</v>
      </c>
      <c r="W514" s="198" t="s">
        <v>356</v>
      </c>
      <c r="X514" s="198" t="s">
        <v>57</v>
      </c>
      <c r="Y514" s="198" t="s">
        <v>58</v>
      </c>
      <c r="Z514" s="201">
        <v>46233</v>
      </c>
      <c r="AA514" s="198" t="s">
        <v>59</v>
      </c>
      <c r="AB514" s="198" t="s">
        <v>60</v>
      </c>
      <c r="AC514" s="198" t="s">
        <v>86</v>
      </c>
      <c r="AD514" s="198" t="s">
        <v>62</v>
      </c>
      <c r="AE514" s="198" t="s">
        <v>108</v>
      </c>
      <c r="AF514" s="198" t="s">
        <v>107</v>
      </c>
      <c r="AG514" s="198" t="s">
        <v>248</v>
      </c>
      <c r="AH514" s="198" t="s">
        <v>167</v>
      </c>
      <c r="AI514" s="198" t="s">
        <v>56</v>
      </c>
      <c r="AJ514" s="198" t="s">
        <v>74</v>
      </c>
      <c r="AK514" s="198" t="s">
        <v>51</v>
      </c>
      <c r="AL514" s="198" t="s">
        <v>67</v>
      </c>
      <c r="AM514" s="198" t="s">
        <v>68</v>
      </c>
      <c r="AN514" s="202">
        <v>2033433.57</v>
      </c>
      <c r="AO514" s="202">
        <v>2033433.57</v>
      </c>
      <c r="AP514" s="202">
        <v>2033433.57</v>
      </c>
      <c r="AQ514" s="198" t="s">
        <v>358</v>
      </c>
      <c r="AR514" s="198" t="s">
        <v>51</v>
      </c>
      <c r="AS514" s="202">
        <v>2033433.57</v>
      </c>
      <c r="AT514" s="202">
        <v>2033433.57</v>
      </c>
      <c r="AU514" s="198" t="s">
        <v>359</v>
      </c>
      <c r="AV514" s="198" t="s">
        <v>62</v>
      </c>
      <c r="AW514" s="198" t="s">
        <v>54</v>
      </c>
    </row>
    <row r="515" spans="3:49" outlineLevel="2" x14ac:dyDescent="0.25">
      <c r="C515" s="201"/>
      <c r="D515" s="198" t="s">
        <v>669</v>
      </c>
      <c r="H515" s="198" t="s">
        <v>669</v>
      </c>
      <c r="I515" s="202">
        <f t="shared" ref="I515:I578" si="8">J515*4129564.5</f>
        <v>216389179.79999959</v>
      </c>
      <c r="J515" s="202">
        <v>52.399999999999899</v>
      </c>
      <c r="L515" s="203">
        <v>53.664000000000001</v>
      </c>
      <c r="M515" s="202">
        <v>4587735.3600000003</v>
      </c>
      <c r="N515" s="203">
        <v>53.664000000000001</v>
      </c>
      <c r="O515" s="198" t="s">
        <v>51</v>
      </c>
      <c r="P515" s="202">
        <v>4587735.3600000003</v>
      </c>
      <c r="Q515" s="198" t="s">
        <v>52</v>
      </c>
      <c r="R515" s="198" t="s">
        <v>53</v>
      </c>
      <c r="S515" s="198" t="s">
        <v>54</v>
      </c>
      <c r="T515" s="198" t="s">
        <v>514</v>
      </c>
      <c r="U515" s="198" t="s">
        <v>367</v>
      </c>
      <c r="V515" s="198" t="s">
        <v>56</v>
      </c>
      <c r="W515" s="198" t="s">
        <v>356</v>
      </c>
      <c r="X515" s="198" t="s">
        <v>57</v>
      </c>
      <c r="Y515" s="198" t="s">
        <v>58</v>
      </c>
      <c r="Z515" s="201">
        <v>46233</v>
      </c>
      <c r="AA515" s="198" t="s">
        <v>59</v>
      </c>
      <c r="AB515" s="198" t="s">
        <v>60</v>
      </c>
      <c r="AC515" s="198" t="s">
        <v>86</v>
      </c>
      <c r="AD515" s="198" t="s">
        <v>62</v>
      </c>
      <c r="AE515" s="198" t="s">
        <v>100</v>
      </c>
      <c r="AF515" s="198" t="s">
        <v>99</v>
      </c>
      <c r="AG515" s="198" t="s">
        <v>248</v>
      </c>
      <c r="AH515" s="198" t="s">
        <v>112</v>
      </c>
      <c r="AI515" s="198" t="s">
        <v>56</v>
      </c>
      <c r="AJ515" s="198" t="s">
        <v>74</v>
      </c>
      <c r="AK515" s="198" t="s">
        <v>51</v>
      </c>
      <c r="AL515" s="198" t="s">
        <v>67</v>
      </c>
      <c r="AM515" s="198" t="s">
        <v>68</v>
      </c>
      <c r="AN515" s="202">
        <v>4587735.3600000003</v>
      </c>
      <c r="AO515" s="202">
        <v>4587735.3600000003</v>
      </c>
      <c r="AP515" s="202">
        <v>4587735.3600000003</v>
      </c>
      <c r="AQ515" s="198" t="s">
        <v>358</v>
      </c>
      <c r="AR515" s="198" t="s">
        <v>51</v>
      </c>
      <c r="AS515" s="202">
        <v>4587735.3600000003</v>
      </c>
      <c r="AT515" s="202">
        <v>4587735.3600000003</v>
      </c>
      <c r="AU515" s="198" t="s">
        <v>359</v>
      </c>
      <c r="AV515" s="198" t="s">
        <v>62</v>
      </c>
      <c r="AW515" s="198" t="s">
        <v>54</v>
      </c>
    </row>
    <row r="516" spans="3:49" outlineLevel="2" x14ac:dyDescent="0.25">
      <c r="C516" s="201"/>
      <c r="D516" s="198" t="s">
        <v>669</v>
      </c>
      <c r="H516" s="198" t="s">
        <v>669</v>
      </c>
      <c r="I516" s="202">
        <f t="shared" si="8"/>
        <v>216802136.24999958</v>
      </c>
      <c r="J516" s="202">
        <v>52.499999999999901</v>
      </c>
      <c r="L516" s="203">
        <v>190.82900000000001</v>
      </c>
      <c r="M516" s="202">
        <v>18794748.210000001</v>
      </c>
      <c r="N516" s="203">
        <v>190.82900000000001</v>
      </c>
      <c r="O516" s="198" t="s">
        <v>51</v>
      </c>
      <c r="P516" s="202">
        <v>18794748.210000001</v>
      </c>
      <c r="Q516" s="198" t="s">
        <v>52</v>
      </c>
      <c r="R516" s="198" t="s">
        <v>53</v>
      </c>
      <c r="S516" s="198" t="s">
        <v>54</v>
      </c>
      <c r="T516" s="198" t="s">
        <v>514</v>
      </c>
      <c r="U516" s="198" t="s">
        <v>367</v>
      </c>
      <c r="V516" s="198" t="s">
        <v>56</v>
      </c>
      <c r="W516" s="198" t="s">
        <v>356</v>
      </c>
      <c r="X516" s="198" t="s">
        <v>57</v>
      </c>
      <c r="Y516" s="198" t="s">
        <v>58</v>
      </c>
      <c r="Z516" s="201">
        <v>46233</v>
      </c>
      <c r="AA516" s="198" t="s">
        <v>59</v>
      </c>
      <c r="AB516" s="198" t="s">
        <v>60</v>
      </c>
      <c r="AC516" s="198" t="s">
        <v>86</v>
      </c>
      <c r="AD516" s="198" t="s">
        <v>62</v>
      </c>
      <c r="AE516" s="198" t="s">
        <v>102</v>
      </c>
      <c r="AF516" s="198" t="s">
        <v>101</v>
      </c>
      <c r="AG516" s="198" t="s">
        <v>248</v>
      </c>
      <c r="AH516" s="198" t="s">
        <v>112</v>
      </c>
      <c r="AI516" s="198" t="s">
        <v>56</v>
      </c>
      <c r="AJ516" s="198" t="s">
        <v>66</v>
      </c>
      <c r="AK516" s="198" t="s">
        <v>51</v>
      </c>
      <c r="AL516" s="198" t="s">
        <v>67</v>
      </c>
      <c r="AM516" s="198" t="s">
        <v>68</v>
      </c>
      <c r="AN516" s="202">
        <v>18794748.210000001</v>
      </c>
      <c r="AO516" s="202">
        <v>18794748.210000001</v>
      </c>
      <c r="AP516" s="202">
        <v>18794748.210000001</v>
      </c>
      <c r="AQ516" s="198" t="s">
        <v>358</v>
      </c>
      <c r="AR516" s="198" t="s">
        <v>51</v>
      </c>
      <c r="AS516" s="202">
        <v>18794748.210000001</v>
      </c>
      <c r="AT516" s="202">
        <v>18794748.210000001</v>
      </c>
      <c r="AU516" s="198" t="s">
        <v>359</v>
      </c>
      <c r="AV516" s="198" t="s">
        <v>62</v>
      </c>
      <c r="AW516" s="198" t="s">
        <v>54</v>
      </c>
    </row>
    <row r="517" spans="3:49" outlineLevel="2" x14ac:dyDescent="0.25">
      <c r="C517" s="201"/>
      <c r="D517" s="198" t="s">
        <v>669</v>
      </c>
      <c r="H517" s="198" t="s">
        <v>669</v>
      </c>
      <c r="I517" s="202">
        <f t="shared" si="8"/>
        <v>217215092.6999996</v>
      </c>
      <c r="J517" s="202">
        <v>52.599999999999902</v>
      </c>
      <c r="L517" s="203">
        <v>4.3239999999999998</v>
      </c>
      <c r="M517" s="202">
        <v>453985.41</v>
      </c>
      <c r="N517" s="203">
        <v>4.3239999999999998</v>
      </c>
      <c r="O517" s="198" t="s">
        <v>51</v>
      </c>
      <c r="P517" s="202">
        <v>453985.41</v>
      </c>
      <c r="Q517" s="198" t="s">
        <v>52</v>
      </c>
      <c r="R517" s="198" t="s">
        <v>53</v>
      </c>
      <c r="S517" s="198" t="s">
        <v>54</v>
      </c>
      <c r="T517" s="198" t="s">
        <v>514</v>
      </c>
      <c r="U517" s="198" t="s">
        <v>367</v>
      </c>
      <c r="V517" s="198" t="s">
        <v>56</v>
      </c>
      <c r="W517" s="198" t="s">
        <v>356</v>
      </c>
      <c r="X517" s="198" t="s">
        <v>57</v>
      </c>
      <c r="Y517" s="198" t="s">
        <v>58</v>
      </c>
      <c r="Z517" s="201">
        <v>46233</v>
      </c>
      <c r="AA517" s="198" t="s">
        <v>59</v>
      </c>
      <c r="AB517" s="198" t="s">
        <v>60</v>
      </c>
      <c r="AC517" s="198" t="s">
        <v>86</v>
      </c>
      <c r="AD517" s="198" t="s">
        <v>62</v>
      </c>
      <c r="AE517" s="198" t="s">
        <v>1771</v>
      </c>
      <c r="AF517" s="198" t="s">
        <v>1770</v>
      </c>
      <c r="AG517" s="198" t="s">
        <v>248</v>
      </c>
      <c r="AH517" s="198" t="s">
        <v>112</v>
      </c>
      <c r="AI517" s="198" t="s">
        <v>56</v>
      </c>
      <c r="AJ517" s="198" t="s">
        <v>103</v>
      </c>
      <c r="AK517" s="198" t="s">
        <v>51</v>
      </c>
      <c r="AL517" s="198" t="s">
        <v>67</v>
      </c>
      <c r="AM517" s="198" t="s">
        <v>68</v>
      </c>
      <c r="AN517" s="202">
        <v>453985.41</v>
      </c>
      <c r="AO517" s="202">
        <v>453985.41</v>
      </c>
      <c r="AP517" s="202">
        <v>453985.41</v>
      </c>
      <c r="AQ517" s="198" t="s">
        <v>358</v>
      </c>
      <c r="AR517" s="198" t="s">
        <v>51</v>
      </c>
      <c r="AS517" s="202">
        <v>453985.41</v>
      </c>
      <c r="AT517" s="202">
        <v>453985.41</v>
      </c>
      <c r="AU517" s="198" t="s">
        <v>359</v>
      </c>
      <c r="AV517" s="198" t="s">
        <v>62</v>
      </c>
      <c r="AW517" s="198" t="s">
        <v>54</v>
      </c>
    </row>
    <row r="518" spans="3:49" outlineLevel="2" x14ac:dyDescent="0.25">
      <c r="C518" s="201"/>
      <c r="D518" s="198" t="s">
        <v>669</v>
      </c>
      <c r="H518" s="198" t="s">
        <v>669</v>
      </c>
      <c r="I518" s="202">
        <f t="shared" si="8"/>
        <v>217628049.14999959</v>
      </c>
      <c r="J518" s="202">
        <v>52.699999999999903</v>
      </c>
      <c r="L518" s="203">
        <v>1.744</v>
      </c>
      <c r="M518" s="202">
        <v>313836.28999999998</v>
      </c>
      <c r="N518" s="203">
        <v>1.744</v>
      </c>
      <c r="O518" s="198" t="s">
        <v>51</v>
      </c>
      <c r="P518" s="202">
        <v>313836.28999999998</v>
      </c>
      <c r="Q518" s="198" t="s">
        <v>52</v>
      </c>
      <c r="R518" s="198" t="s">
        <v>53</v>
      </c>
      <c r="S518" s="198" t="s">
        <v>54</v>
      </c>
      <c r="T518" s="198" t="s">
        <v>514</v>
      </c>
      <c r="U518" s="198" t="s">
        <v>367</v>
      </c>
      <c r="V518" s="198" t="s">
        <v>56</v>
      </c>
      <c r="W518" s="198" t="s">
        <v>356</v>
      </c>
      <c r="X518" s="198" t="s">
        <v>57</v>
      </c>
      <c r="Y518" s="198" t="s">
        <v>58</v>
      </c>
      <c r="Z518" s="201">
        <v>46233</v>
      </c>
      <c r="AA518" s="198" t="s">
        <v>59</v>
      </c>
      <c r="AB518" s="198" t="s">
        <v>60</v>
      </c>
      <c r="AC518" s="198" t="s">
        <v>86</v>
      </c>
      <c r="AD518" s="198" t="s">
        <v>62</v>
      </c>
      <c r="AE518" s="198" t="s">
        <v>105</v>
      </c>
      <c r="AF518" s="198" t="s">
        <v>104</v>
      </c>
      <c r="AG518" s="198" t="s">
        <v>248</v>
      </c>
      <c r="AH518" s="198" t="s">
        <v>112</v>
      </c>
      <c r="AI518" s="198" t="s">
        <v>56</v>
      </c>
      <c r="AJ518" s="198" t="s">
        <v>103</v>
      </c>
      <c r="AK518" s="198" t="s">
        <v>51</v>
      </c>
      <c r="AL518" s="198" t="s">
        <v>67</v>
      </c>
      <c r="AM518" s="198" t="s">
        <v>68</v>
      </c>
      <c r="AN518" s="202">
        <v>313836.28999999998</v>
      </c>
      <c r="AO518" s="202">
        <v>313836.28999999998</v>
      </c>
      <c r="AP518" s="202">
        <v>313836.28999999998</v>
      </c>
      <c r="AQ518" s="198" t="s">
        <v>358</v>
      </c>
      <c r="AR518" s="198" t="s">
        <v>51</v>
      </c>
      <c r="AS518" s="202">
        <v>313836.28999999998</v>
      </c>
      <c r="AT518" s="202">
        <v>313836.28999999998</v>
      </c>
      <c r="AU518" s="198" t="s">
        <v>359</v>
      </c>
      <c r="AV518" s="198" t="s">
        <v>62</v>
      </c>
      <c r="AW518" s="198" t="s">
        <v>54</v>
      </c>
    </row>
    <row r="519" spans="3:49" outlineLevel="2" x14ac:dyDescent="0.25">
      <c r="C519" s="201"/>
      <c r="D519" s="198" t="s">
        <v>669</v>
      </c>
      <c r="H519" s="198" t="s">
        <v>669</v>
      </c>
      <c r="I519" s="202">
        <f t="shared" si="8"/>
        <v>218041005.59999958</v>
      </c>
      <c r="J519" s="202">
        <v>52.799999999999898</v>
      </c>
      <c r="L519" s="204">
        <v>12258</v>
      </c>
      <c r="M519" s="202">
        <v>7783830</v>
      </c>
      <c r="N519" s="204">
        <v>12258</v>
      </c>
      <c r="O519" s="198" t="s">
        <v>51</v>
      </c>
      <c r="P519" s="202">
        <v>7783830</v>
      </c>
      <c r="Q519" s="198" t="s">
        <v>70</v>
      </c>
      <c r="R519" s="198" t="s">
        <v>53</v>
      </c>
      <c r="S519" s="198" t="s">
        <v>54</v>
      </c>
      <c r="T519" s="198" t="s">
        <v>514</v>
      </c>
      <c r="U519" s="198" t="s">
        <v>367</v>
      </c>
      <c r="V519" s="198" t="s">
        <v>56</v>
      </c>
      <c r="W519" s="198" t="s">
        <v>356</v>
      </c>
      <c r="X519" s="198" t="s">
        <v>57</v>
      </c>
      <c r="Y519" s="198" t="s">
        <v>58</v>
      </c>
      <c r="Z519" s="201">
        <v>46233</v>
      </c>
      <c r="AA519" s="198" t="s">
        <v>59</v>
      </c>
      <c r="AB519" s="198" t="s">
        <v>60</v>
      </c>
      <c r="AC519" s="198" t="s">
        <v>86</v>
      </c>
      <c r="AD519" s="198" t="s">
        <v>62</v>
      </c>
      <c r="AE519" s="198" t="s">
        <v>2026</v>
      </c>
      <c r="AF519" s="198" t="s">
        <v>2025</v>
      </c>
      <c r="AG519" s="198" t="s">
        <v>248</v>
      </c>
      <c r="AH519" s="198" t="s">
        <v>112</v>
      </c>
      <c r="AI519" s="198" t="s">
        <v>56</v>
      </c>
      <c r="AJ519" s="198" t="s">
        <v>106</v>
      </c>
      <c r="AK519" s="198" t="s">
        <v>51</v>
      </c>
      <c r="AL519" s="198" t="s">
        <v>67</v>
      </c>
      <c r="AM519" s="198" t="s">
        <v>68</v>
      </c>
      <c r="AN519" s="202">
        <v>7783830</v>
      </c>
      <c r="AO519" s="202">
        <v>7783830</v>
      </c>
      <c r="AP519" s="202">
        <v>7783830</v>
      </c>
      <c r="AQ519" s="198" t="s">
        <v>358</v>
      </c>
      <c r="AR519" s="198" t="s">
        <v>51</v>
      </c>
      <c r="AS519" s="202">
        <v>7783830</v>
      </c>
      <c r="AT519" s="202">
        <v>7783830</v>
      </c>
      <c r="AU519" s="198" t="s">
        <v>359</v>
      </c>
      <c r="AV519" s="198" t="s">
        <v>62</v>
      </c>
      <c r="AW519" s="198" t="s">
        <v>54</v>
      </c>
    </row>
    <row r="520" spans="3:49" outlineLevel="2" x14ac:dyDescent="0.25">
      <c r="C520" s="201"/>
      <c r="D520" s="198" t="s">
        <v>669</v>
      </c>
      <c r="H520" s="198" t="s">
        <v>669</v>
      </c>
      <c r="I520" s="202">
        <f t="shared" si="8"/>
        <v>218453962.04999959</v>
      </c>
      <c r="J520" s="202">
        <v>52.899999999999899</v>
      </c>
      <c r="L520" s="203">
        <v>17.597999999999999</v>
      </c>
      <c r="M520" s="202">
        <v>2287564.02</v>
      </c>
      <c r="N520" s="203">
        <v>17.597999999999999</v>
      </c>
      <c r="O520" s="198" t="s">
        <v>51</v>
      </c>
      <c r="P520" s="202">
        <v>2287564.02</v>
      </c>
      <c r="Q520" s="198" t="s">
        <v>52</v>
      </c>
      <c r="R520" s="198" t="s">
        <v>53</v>
      </c>
      <c r="S520" s="198" t="s">
        <v>54</v>
      </c>
      <c r="T520" s="198" t="s">
        <v>514</v>
      </c>
      <c r="U520" s="198" t="s">
        <v>367</v>
      </c>
      <c r="V520" s="198" t="s">
        <v>56</v>
      </c>
      <c r="W520" s="198" t="s">
        <v>356</v>
      </c>
      <c r="X520" s="198" t="s">
        <v>57</v>
      </c>
      <c r="Y520" s="198" t="s">
        <v>58</v>
      </c>
      <c r="Z520" s="201">
        <v>46233</v>
      </c>
      <c r="AA520" s="198" t="s">
        <v>59</v>
      </c>
      <c r="AB520" s="198" t="s">
        <v>60</v>
      </c>
      <c r="AC520" s="198" t="s">
        <v>86</v>
      </c>
      <c r="AD520" s="198" t="s">
        <v>62</v>
      </c>
      <c r="AE520" s="198" t="s">
        <v>108</v>
      </c>
      <c r="AF520" s="198" t="s">
        <v>107</v>
      </c>
      <c r="AG520" s="198" t="s">
        <v>248</v>
      </c>
      <c r="AH520" s="198" t="s">
        <v>112</v>
      </c>
      <c r="AI520" s="198" t="s">
        <v>56</v>
      </c>
      <c r="AJ520" s="198" t="s">
        <v>74</v>
      </c>
      <c r="AK520" s="198" t="s">
        <v>51</v>
      </c>
      <c r="AL520" s="198" t="s">
        <v>67</v>
      </c>
      <c r="AM520" s="198" t="s">
        <v>68</v>
      </c>
      <c r="AN520" s="202">
        <v>2287564.02</v>
      </c>
      <c r="AO520" s="202">
        <v>2287564.02</v>
      </c>
      <c r="AP520" s="202">
        <v>2287564.02</v>
      </c>
      <c r="AQ520" s="198" t="s">
        <v>358</v>
      </c>
      <c r="AR520" s="198" t="s">
        <v>51</v>
      </c>
      <c r="AS520" s="202">
        <v>2287564.02</v>
      </c>
      <c r="AT520" s="202">
        <v>2287564.02</v>
      </c>
      <c r="AU520" s="198" t="s">
        <v>359</v>
      </c>
      <c r="AV520" s="198" t="s">
        <v>62</v>
      </c>
      <c r="AW520" s="198" t="s">
        <v>54</v>
      </c>
    </row>
    <row r="521" spans="3:49" outlineLevel="2" x14ac:dyDescent="0.25">
      <c r="C521" s="201"/>
      <c r="D521" s="198" t="s">
        <v>519</v>
      </c>
      <c r="H521" s="198" t="s">
        <v>519</v>
      </c>
      <c r="I521" s="202">
        <f t="shared" si="8"/>
        <v>218866918.49999958</v>
      </c>
      <c r="J521" s="202">
        <v>52.999999999999901</v>
      </c>
      <c r="L521" s="204">
        <v>18</v>
      </c>
      <c r="M521" s="202">
        <v>108000</v>
      </c>
      <c r="N521" s="204">
        <v>18</v>
      </c>
      <c r="O521" s="198" t="s">
        <v>51</v>
      </c>
      <c r="P521" s="202">
        <v>108000</v>
      </c>
      <c r="Q521" s="198" t="s">
        <v>73</v>
      </c>
      <c r="R521" s="198" t="s">
        <v>53</v>
      </c>
      <c r="S521" s="198" t="s">
        <v>54</v>
      </c>
      <c r="T521" s="198" t="s">
        <v>443</v>
      </c>
      <c r="U521" s="198" t="s">
        <v>367</v>
      </c>
      <c r="V521" s="198" t="s">
        <v>56</v>
      </c>
      <c r="W521" s="198" t="s">
        <v>356</v>
      </c>
      <c r="X521" s="198" t="s">
        <v>57</v>
      </c>
      <c r="Y521" s="198" t="s">
        <v>58</v>
      </c>
      <c r="Z521" s="201">
        <v>46203</v>
      </c>
      <c r="AA521" s="198" t="s">
        <v>59</v>
      </c>
      <c r="AB521" s="198" t="s">
        <v>60</v>
      </c>
      <c r="AC521" s="198" t="s">
        <v>86</v>
      </c>
      <c r="AD521" s="198" t="s">
        <v>62</v>
      </c>
      <c r="AE521" s="198" t="s">
        <v>451</v>
      </c>
      <c r="AF521" s="198" t="s">
        <v>450</v>
      </c>
      <c r="AG521" s="198" t="s">
        <v>189</v>
      </c>
      <c r="AH521" s="198" t="s">
        <v>130</v>
      </c>
      <c r="AI521" s="198" t="s">
        <v>56</v>
      </c>
      <c r="AJ521" s="198" t="s">
        <v>452</v>
      </c>
      <c r="AK521" s="198" t="s">
        <v>51</v>
      </c>
      <c r="AL521" s="198" t="s">
        <v>67</v>
      </c>
      <c r="AM521" s="198" t="s">
        <v>68</v>
      </c>
      <c r="AN521" s="202">
        <v>108000</v>
      </c>
      <c r="AO521" s="202">
        <v>108000</v>
      </c>
      <c r="AP521" s="202">
        <v>108000</v>
      </c>
      <c r="AQ521" s="198" t="s">
        <v>358</v>
      </c>
      <c r="AR521" s="198" t="s">
        <v>51</v>
      </c>
      <c r="AS521" s="202">
        <v>108000</v>
      </c>
      <c r="AT521" s="202">
        <v>108000</v>
      </c>
      <c r="AU521" s="198" t="s">
        <v>359</v>
      </c>
      <c r="AV521" s="198" t="s">
        <v>62</v>
      </c>
      <c r="AW521" s="198" t="s">
        <v>54</v>
      </c>
    </row>
    <row r="522" spans="3:49" outlineLevel="2" x14ac:dyDescent="0.25">
      <c r="C522" s="201"/>
      <c r="D522" s="198" t="s">
        <v>520</v>
      </c>
      <c r="H522" s="198" t="s">
        <v>520</v>
      </c>
      <c r="I522" s="202">
        <f t="shared" si="8"/>
        <v>219279874.9499996</v>
      </c>
      <c r="J522" s="202">
        <v>53.099999999999902</v>
      </c>
      <c r="L522" s="204">
        <v>16</v>
      </c>
      <c r="M522" s="202">
        <v>123714384</v>
      </c>
      <c r="N522" s="204">
        <v>16</v>
      </c>
      <c r="O522" s="198" t="s">
        <v>51</v>
      </c>
      <c r="P522" s="202">
        <v>123714384</v>
      </c>
      <c r="Q522" s="198" t="s">
        <v>73</v>
      </c>
      <c r="R522" s="198" t="s">
        <v>53</v>
      </c>
      <c r="S522" s="198" t="s">
        <v>54</v>
      </c>
      <c r="T522" s="198" t="s">
        <v>443</v>
      </c>
      <c r="U522" s="198" t="s">
        <v>277</v>
      </c>
      <c r="V522" s="198" t="s">
        <v>56</v>
      </c>
      <c r="W522" s="198" t="s">
        <v>356</v>
      </c>
      <c r="X522" s="198" t="s">
        <v>57</v>
      </c>
      <c r="Y522" s="198" t="s">
        <v>58</v>
      </c>
      <c r="Z522" s="201">
        <v>46203</v>
      </c>
      <c r="AA522" s="198" t="s">
        <v>59</v>
      </c>
      <c r="AB522" s="198" t="s">
        <v>60</v>
      </c>
      <c r="AC522" s="198" t="s">
        <v>86</v>
      </c>
      <c r="AD522" s="198" t="s">
        <v>62</v>
      </c>
      <c r="AE522" s="198" t="s">
        <v>444</v>
      </c>
      <c r="AF522" s="198" t="s">
        <v>442</v>
      </c>
      <c r="AG522" s="198" t="s">
        <v>189</v>
      </c>
      <c r="AH522" s="198" t="s">
        <v>132</v>
      </c>
      <c r="AI522" s="198" t="s">
        <v>56</v>
      </c>
      <c r="AJ522" s="198" t="s">
        <v>128</v>
      </c>
      <c r="AK522" s="198" t="s">
        <v>51</v>
      </c>
      <c r="AL522" s="198" t="s">
        <v>67</v>
      </c>
      <c r="AM522" s="198" t="s">
        <v>68</v>
      </c>
      <c r="AN522" s="202">
        <v>123714384</v>
      </c>
      <c r="AO522" s="202">
        <v>123714384</v>
      </c>
      <c r="AP522" s="202">
        <v>123714384</v>
      </c>
      <c r="AQ522" s="198" t="s">
        <v>358</v>
      </c>
      <c r="AR522" s="198" t="s">
        <v>51</v>
      </c>
      <c r="AS522" s="202">
        <v>123714384</v>
      </c>
      <c r="AT522" s="202">
        <v>123714384</v>
      </c>
      <c r="AU522" s="198" t="s">
        <v>359</v>
      </c>
      <c r="AV522" s="198" t="s">
        <v>62</v>
      </c>
      <c r="AW522" s="198" t="s">
        <v>54</v>
      </c>
    </row>
    <row r="523" spans="3:49" outlineLevel="2" x14ac:dyDescent="0.25">
      <c r="C523" s="201"/>
      <c r="D523" s="198" t="s">
        <v>520</v>
      </c>
      <c r="H523" s="198" t="s">
        <v>520</v>
      </c>
      <c r="I523" s="202">
        <f t="shared" si="8"/>
        <v>219692831.39999959</v>
      </c>
      <c r="J523" s="202">
        <v>53.199999999999903</v>
      </c>
      <c r="L523" s="204">
        <v>2</v>
      </c>
      <c r="M523" s="202">
        <v>80000</v>
      </c>
      <c r="N523" s="204">
        <v>2</v>
      </c>
      <c r="O523" s="198" t="s">
        <v>51</v>
      </c>
      <c r="P523" s="202">
        <v>80000</v>
      </c>
      <c r="Q523" s="198" t="s">
        <v>73</v>
      </c>
      <c r="R523" s="198" t="s">
        <v>53</v>
      </c>
      <c r="S523" s="198" t="s">
        <v>54</v>
      </c>
      <c r="T523" s="198" t="s">
        <v>443</v>
      </c>
      <c r="U523" s="198" t="s">
        <v>277</v>
      </c>
      <c r="V523" s="198" t="s">
        <v>56</v>
      </c>
      <c r="W523" s="198" t="s">
        <v>356</v>
      </c>
      <c r="X523" s="198" t="s">
        <v>57</v>
      </c>
      <c r="Y523" s="198" t="s">
        <v>58</v>
      </c>
      <c r="Z523" s="201">
        <v>46203</v>
      </c>
      <c r="AA523" s="198" t="s">
        <v>59</v>
      </c>
      <c r="AB523" s="198" t="s">
        <v>60</v>
      </c>
      <c r="AC523" s="198" t="s">
        <v>86</v>
      </c>
      <c r="AD523" s="198" t="s">
        <v>62</v>
      </c>
      <c r="AE523" s="198" t="s">
        <v>446</v>
      </c>
      <c r="AF523" s="198" t="s">
        <v>445</v>
      </c>
      <c r="AG523" s="198" t="s">
        <v>189</v>
      </c>
      <c r="AH523" s="198" t="s">
        <v>132</v>
      </c>
      <c r="AI523" s="198" t="s">
        <v>56</v>
      </c>
      <c r="AJ523" s="198" t="s">
        <v>406</v>
      </c>
      <c r="AK523" s="198" t="s">
        <v>51</v>
      </c>
      <c r="AL523" s="198" t="s">
        <v>67</v>
      </c>
      <c r="AM523" s="198" t="s">
        <v>68</v>
      </c>
      <c r="AN523" s="202">
        <v>80000</v>
      </c>
      <c r="AO523" s="202">
        <v>80000</v>
      </c>
      <c r="AP523" s="202">
        <v>80000</v>
      </c>
      <c r="AQ523" s="198" t="s">
        <v>358</v>
      </c>
      <c r="AR523" s="198" t="s">
        <v>51</v>
      </c>
      <c r="AS523" s="202">
        <v>80000</v>
      </c>
      <c r="AT523" s="202">
        <v>80000</v>
      </c>
      <c r="AU523" s="198" t="s">
        <v>359</v>
      </c>
      <c r="AV523" s="198" t="s">
        <v>62</v>
      </c>
      <c r="AW523" s="198" t="s">
        <v>54</v>
      </c>
    </row>
    <row r="524" spans="3:49" outlineLevel="2" x14ac:dyDescent="0.25">
      <c r="C524" s="201"/>
      <c r="D524" s="198" t="s">
        <v>520</v>
      </c>
      <c r="H524" s="198" t="s">
        <v>520</v>
      </c>
      <c r="I524" s="202">
        <f t="shared" si="8"/>
        <v>220105787.84999958</v>
      </c>
      <c r="J524" s="202">
        <v>53.299999999999898</v>
      </c>
      <c r="L524" s="204">
        <v>2</v>
      </c>
      <c r="M524" s="202">
        <v>80000</v>
      </c>
      <c r="N524" s="204">
        <v>2</v>
      </c>
      <c r="O524" s="198" t="s">
        <v>51</v>
      </c>
      <c r="P524" s="202">
        <v>80000</v>
      </c>
      <c r="Q524" s="198" t="s">
        <v>73</v>
      </c>
      <c r="R524" s="198" t="s">
        <v>53</v>
      </c>
      <c r="S524" s="198" t="s">
        <v>54</v>
      </c>
      <c r="T524" s="198" t="s">
        <v>443</v>
      </c>
      <c r="U524" s="198" t="s">
        <v>277</v>
      </c>
      <c r="V524" s="198" t="s">
        <v>56</v>
      </c>
      <c r="W524" s="198" t="s">
        <v>356</v>
      </c>
      <c r="X524" s="198" t="s">
        <v>57</v>
      </c>
      <c r="Y524" s="198" t="s">
        <v>58</v>
      </c>
      <c r="Z524" s="201">
        <v>46203</v>
      </c>
      <c r="AA524" s="198" t="s">
        <v>59</v>
      </c>
      <c r="AB524" s="198" t="s">
        <v>60</v>
      </c>
      <c r="AC524" s="198" t="s">
        <v>86</v>
      </c>
      <c r="AD524" s="198" t="s">
        <v>62</v>
      </c>
      <c r="AE524" s="198" t="s">
        <v>448</v>
      </c>
      <c r="AF524" s="198" t="s">
        <v>447</v>
      </c>
      <c r="AG524" s="198" t="s">
        <v>189</v>
      </c>
      <c r="AH524" s="198" t="s">
        <v>132</v>
      </c>
      <c r="AI524" s="198" t="s">
        <v>56</v>
      </c>
      <c r="AJ524" s="198" t="s">
        <v>449</v>
      </c>
      <c r="AK524" s="198" t="s">
        <v>51</v>
      </c>
      <c r="AL524" s="198" t="s">
        <v>67</v>
      </c>
      <c r="AM524" s="198" t="s">
        <v>68</v>
      </c>
      <c r="AN524" s="202">
        <v>80000</v>
      </c>
      <c r="AO524" s="202">
        <v>80000</v>
      </c>
      <c r="AP524" s="202">
        <v>80000</v>
      </c>
      <c r="AQ524" s="198" t="s">
        <v>358</v>
      </c>
      <c r="AR524" s="198" t="s">
        <v>51</v>
      </c>
      <c r="AS524" s="202">
        <v>80000</v>
      </c>
      <c r="AT524" s="202">
        <v>80000</v>
      </c>
      <c r="AU524" s="198" t="s">
        <v>359</v>
      </c>
      <c r="AV524" s="198" t="s">
        <v>62</v>
      </c>
      <c r="AW524" s="198" t="s">
        <v>54</v>
      </c>
    </row>
    <row r="525" spans="3:49" outlineLevel="2" x14ac:dyDescent="0.25">
      <c r="C525" s="201"/>
      <c r="D525" s="198" t="s">
        <v>520</v>
      </c>
      <c r="H525" s="198" t="s">
        <v>520</v>
      </c>
      <c r="I525" s="202">
        <f t="shared" si="8"/>
        <v>220518744.29999959</v>
      </c>
      <c r="J525" s="202">
        <v>53.399999999999899</v>
      </c>
      <c r="L525" s="204">
        <v>16</v>
      </c>
      <c r="M525" s="202">
        <v>96000</v>
      </c>
      <c r="N525" s="204">
        <v>16</v>
      </c>
      <c r="O525" s="198" t="s">
        <v>51</v>
      </c>
      <c r="P525" s="202">
        <v>96000</v>
      </c>
      <c r="Q525" s="198" t="s">
        <v>73</v>
      </c>
      <c r="R525" s="198" t="s">
        <v>53</v>
      </c>
      <c r="S525" s="198" t="s">
        <v>54</v>
      </c>
      <c r="T525" s="198" t="s">
        <v>443</v>
      </c>
      <c r="U525" s="198" t="s">
        <v>277</v>
      </c>
      <c r="V525" s="198" t="s">
        <v>56</v>
      </c>
      <c r="W525" s="198" t="s">
        <v>356</v>
      </c>
      <c r="X525" s="198" t="s">
        <v>57</v>
      </c>
      <c r="Y525" s="198" t="s">
        <v>58</v>
      </c>
      <c r="Z525" s="201">
        <v>46203</v>
      </c>
      <c r="AA525" s="198" t="s">
        <v>59</v>
      </c>
      <c r="AB525" s="198" t="s">
        <v>60</v>
      </c>
      <c r="AC525" s="198" t="s">
        <v>86</v>
      </c>
      <c r="AD525" s="198" t="s">
        <v>62</v>
      </c>
      <c r="AE525" s="198" t="s">
        <v>451</v>
      </c>
      <c r="AF525" s="198" t="s">
        <v>450</v>
      </c>
      <c r="AG525" s="198" t="s">
        <v>189</v>
      </c>
      <c r="AH525" s="198" t="s">
        <v>132</v>
      </c>
      <c r="AI525" s="198" t="s">
        <v>56</v>
      </c>
      <c r="AJ525" s="198" t="s">
        <v>452</v>
      </c>
      <c r="AK525" s="198" t="s">
        <v>51</v>
      </c>
      <c r="AL525" s="198" t="s">
        <v>67</v>
      </c>
      <c r="AM525" s="198" t="s">
        <v>68</v>
      </c>
      <c r="AN525" s="202">
        <v>96000</v>
      </c>
      <c r="AO525" s="202">
        <v>96000</v>
      </c>
      <c r="AP525" s="202">
        <v>96000</v>
      </c>
      <c r="AQ525" s="198" t="s">
        <v>358</v>
      </c>
      <c r="AR525" s="198" t="s">
        <v>51</v>
      </c>
      <c r="AS525" s="202">
        <v>96000</v>
      </c>
      <c r="AT525" s="202">
        <v>96000</v>
      </c>
      <c r="AU525" s="198" t="s">
        <v>359</v>
      </c>
      <c r="AV525" s="198" t="s">
        <v>62</v>
      </c>
      <c r="AW525" s="198" t="s">
        <v>54</v>
      </c>
    </row>
    <row r="526" spans="3:49" outlineLevel="2" x14ac:dyDescent="0.25">
      <c r="C526" s="201"/>
      <c r="D526" s="198" t="s">
        <v>520</v>
      </c>
      <c r="H526" s="198" t="s">
        <v>520</v>
      </c>
      <c r="I526" s="202">
        <f t="shared" si="8"/>
        <v>220931700.74999958</v>
      </c>
      <c r="J526" s="202">
        <v>53.499999999999901</v>
      </c>
      <c r="L526" s="204">
        <v>1</v>
      </c>
      <c r="M526" s="202">
        <v>280000</v>
      </c>
      <c r="N526" s="204">
        <v>1</v>
      </c>
      <c r="O526" s="198" t="s">
        <v>51</v>
      </c>
      <c r="P526" s="202">
        <v>280000</v>
      </c>
      <c r="Q526" s="198" t="s">
        <v>73</v>
      </c>
      <c r="R526" s="198" t="s">
        <v>53</v>
      </c>
      <c r="S526" s="198" t="s">
        <v>54</v>
      </c>
      <c r="T526" s="198" t="s">
        <v>443</v>
      </c>
      <c r="U526" s="198" t="s">
        <v>277</v>
      </c>
      <c r="V526" s="198" t="s">
        <v>56</v>
      </c>
      <c r="W526" s="198" t="s">
        <v>356</v>
      </c>
      <c r="X526" s="198" t="s">
        <v>57</v>
      </c>
      <c r="Y526" s="198" t="s">
        <v>58</v>
      </c>
      <c r="Z526" s="201">
        <v>46203</v>
      </c>
      <c r="AA526" s="198" t="s">
        <v>59</v>
      </c>
      <c r="AB526" s="198" t="s">
        <v>60</v>
      </c>
      <c r="AC526" s="198" t="s">
        <v>86</v>
      </c>
      <c r="AD526" s="198" t="s">
        <v>62</v>
      </c>
      <c r="AE526" s="198" t="s">
        <v>454</v>
      </c>
      <c r="AF526" s="198" t="s">
        <v>453</v>
      </c>
      <c r="AG526" s="198" t="s">
        <v>189</v>
      </c>
      <c r="AH526" s="198" t="s">
        <v>132</v>
      </c>
      <c r="AI526" s="198" t="s">
        <v>56</v>
      </c>
      <c r="AJ526" s="198" t="s">
        <v>455</v>
      </c>
      <c r="AK526" s="198" t="s">
        <v>51</v>
      </c>
      <c r="AL526" s="198" t="s">
        <v>67</v>
      </c>
      <c r="AM526" s="198" t="s">
        <v>68</v>
      </c>
      <c r="AN526" s="202">
        <v>280000</v>
      </c>
      <c r="AO526" s="202">
        <v>280000</v>
      </c>
      <c r="AP526" s="202">
        <v>280000</v>
      </c>
      <c r="AQ526" s="198" t="s">
        <v>358</v>
      </c>
      <c r="AR526" s="198" t="s">
        <v>51</v>
      </c>
      <c r="AS526" s="202">
        <v>280000</v>
      </c>
      <c r="AT526" s="202">
        <v>280000</v>
      </c>
      <c r="AU526" s="198" t="s">
        <v>359</v>
      </c>
      <c r="AV526" s="198" t="s">
        <v>62</v>
      </c>
      <c r="AW526" s="198" t="s">
        <v>54</v>
      </c>
    </row>
    <row r="527" spans="3:49" outlineLevel="2" x14ac:dyDescent="0.25">
      <c r="C527" s="201"/>
      <c r="D527" s="198" t="s">
        <v>520</v>
      </c>
      <c r="H527" s="198" t="s">
        <v>520</v>
      </c>
      <c r="I527" s="202">
        <f t="shared" si="8"/>
        <v>221344657.1999996</v>
      </c>
      <c r="J527" s="202">
        <v>53.599999999999902</v>
      </c>
      <c r="L527" s="204">
        <v>1</v>
      </c>
      <c r="M527" s="202">
        <v>30000</v>
      </c>
      <c r="N527" s="204">
        <v>1</v>
      </c>
      <c r="O527" s="198" t="s">
        <v>51</v>
      </c>
      <c r="P527" s="202">
        <v>30000</v>
      </c>
      <c r="Q527" s="198" t="s">
        <v>73</v>
      </c>
      <c r="R527" s="198" t="s">
        <v>53</v>
      </c>
      <c r="S527" s="198" t="s">
        <v>54</v>
      </c>
      <c r="T527" s="198" t="s">
        <v>443</v>
      </c>
      <c r="U527" s="198" t="s">
        <v>277</v>
      </c>
      <c r="V527" s="198" t="s">
        <v>56</v>
      </c>
      <c r="W527" s="198" t="s">
        <v>356</v>
      </c>
      <c r="X527" s="198" t="s">
        <v>57</v>
      </c>
      <c r="Y527" s="198" t="s">
        <v>58</v>
      </c>
      <c r="Z527" s="201">
        <v>46203</v>
      </c>
      <c r="AA527" s="198" t="s">
        <v>59</v>
      </c>
      <c r="AB527" s="198" t="s">
        <v>60</v>
      </c>
      <c r="AC527" s="198" t="s">
        <v>86</v>
      </c>
      <c r="AD527" s="198" t="s">
        <v>62</v>
      </c>
      <c r="AE527" s="198" t="s">
        <v>457</v>
      </c>
      <c r="AF527" s="198" t="s">
        <v>456</v>
      </c>
      <c r="AG527" s="198" t="s">
        <v>189</v>
      </c>
      <c r="AH527" s="198" t="s">
        <v>132</v>
      </c>
      <c r="AI527" s="198" t="s">
        <v>56</v>
      </c>
      <c r="AJ527" s="198" t="s">
        <v>455</v>
      </c>
      <c r="AK527" s="198" t="s">
        <v>51</v>
      </c>
      <c r="AL527" s="198" t="s">
        <v>67</v>
      </c>
      <c r="AM527" s="198" t="s">
        <v>68</v>
      </c>
      <c r="AN527" s="202">
        <v>30000</v>
      </c>
      <c r="AO527" s="202">
        <v>30000</v>
      </c>
      <c r="AP527" s="202">
        <v>30000</v>
      </c>
      <c r="AQ527" s="198" t="s">
        <v>358</v>
      </c>
      <c r="AR527" s="198" t="s">
        <v>51</v>
      </c>
      <c r="AS527" s="202">
        <v>30000</v>
      </c>
      <c r="AT527" s="202">
        <v>30000</v>
      </c>
      <c r="AU527" s="198" t="s">
        <v>359</v>
      </c>
      <c r="AV527" s="198" t="s">
        <v>62</v>
      </c>
      <c r="AW527" s="198" t="s">
        <v>54</v>
      </c>
    </row>
    <row r="528" spans="3:49" outlineLevel="2" x14ac:dyDescent="0.25">
      <c r="C528" s="201"/>
      <c r="D528" s="198" t="s">
        <v>520</v>
      </c>
      <c r="H528" s="198" t="s">
        <v>520</v>
      </c>
      <c r="I528" s="202">
        <f t="shared" si="8"/>
        <v>221757613.64999959</v>
      </c>
      <c r="J528" s="202">
        <v>53.699999999999903</v>
      </c>
      <c r="L528" s="204">
        <v>2</v>
      </c>
      <c r="M528" s="202">
        <v>24000</v>
      </c>
      <c r="N528" s="204">
        <v>2</v>
      </c>
      <c r="O528" s="198" t="s">
        <v>51</v>
      </c>
      <c r="P528" s="202">
        <v>24000</v>
      </c>
      <c r="Q528" s="198" t="s">
        <v>342</v>
      </c>
      <c r="R528" s="198" t="s">
        <v>53</v>
      </c>
      <c r="S528" s="198" t="s">
        <v>54</v>
      </c>
      <c r="T528" s="198" t="s">
        <v>443</v>
      </c>
      <c r="U528" s="198" t="s">
        <v>277</v>
      </c>
      <c r="V528" s="198" t="s">
        <v>56</v>
      </c>
      <c r="W528" s="198" t="s">
        <v>356</v>
      </c>
      <c r="X528" s="198" t="s">
        <v>57</v>
      </c>
      <c r="Y528" s="198" t="s">
        <v>58</v>
      </c>
      <c r="Z528" s="201">
        <v>46203</v>
      </c>
      <c r="AA528" s="198" t="s">
        <v>59</v>
      </c>
      <c r="AB528" s="198" t="s">
        <v>60</v>
      </c>
      <c r="AC528" s="198" t="s">
        <v>86</v>
      </c>
      <c r="AD528" s="198" t="s">
        <v>62</v>
      </c>
      <c r="AE528" s="198" t="s">
        <v>459</v>
      </c>
      <c r="AF528" s="198" t="s">
        <v>458</v>
      </c>
      <c r="AG528" s="198" t="s">
        <v>189</v>
      </c>
      <c r="AH528" s="198" t="s">
        <v>132</v>
      </c>
      <c r="AI528" s="198" t="s">
        <v>56</v>
      </c>
      <c r="AJ528" s="198" t="s">
        <v>460</v>
      </c>
      <c r="AK528" s="198" t="s">
        <v>51</v>
      </c>
      <c r="AL528" s="198" t="s">
        <v>67</v>
      </c>
      <c r="AM528" s="198" t="s">
        <v>68</v>
      </c>
      <c r="AN528" s="202">
        <v>24000</v>
      </c>
      <c r="AO528" s="202">
        <v>24000</v>
      </c>
      <c r="AP528" s="202">
        <v>24000</v>
      </c>
      <c r="AQ528" s="198" t="s">
        <v>358</v>
      </c>
      <c r="AR528" s="198" t="s">
        <v>51</v>
      </c>
      <c r="AS528" s="202">
        <v>24000</v>
      </c>
      <c r="AT528" s="202">
        <v>24000</v>
      </c>
      <c r="AU528" s="198" t="s">
        <v>359</v>
      </c>
      <c r="AV528" s="198" t="s">
        <v>62</v>
      </c>
      <c r="AW528" s="198" t="s">
        <v>54</v>
      </c>
    </row>
    <row r="529" spans="3:49" outlineLevel="2" x14ac:dyDescent="0.25">
      <c r="C529" s="201"/>
      <c r="D529" s="198" t="s">
        <v>520</v>
      </c>
      <c r="H529" s="198" t="s">
        <v>520</v>
      </c>
      <c r="I529" s="202">
        <f t="shared" si="8"/>
        <v>222170570.09999958</v>
      </c>
      <c r="J529" s="202">
        <v>53.799999999999898</v>
      </c>
      <c r="L529" s="204">
        <v>1</v>
      </c>
      <c r="M529" s="202">
        <v>4000</v>
      </c>
      <c r="N529" s="204">
        <v>1</v>
      </c>
      <c r="O529" s="198" t="s">
        <v>51</v>
      </c>
      <c r="P529" s="202">
        <v>4000</v>
      </c>
      <c r="Q529" s="198" t="s">
        <v>342</v>
      </c>
      <c r="R529" s="198" t="s">
        <v>53</v>
      </c>
      <c r="S529" s="198" t="s">
        <v>54</v>
      </c>
      <c r="T529" s="198" t="s">
        <v>443</v>
      </c>
      <c r="U529" s="198" t="s">
        <v>277</v>
      </c>
      <c r="V529" s="198" t="s">
        <v>56</v>
      </c>
      <c r="W529" s="198" t="s">
        <v>356</v>
      </c>
      <c r="X529" s="198" t="s">
        <v>57</v>
      </c>
      <c r="Y529" s="198" t="s">
        <v>58</v>
      </c>
      <c r="Z529" s="201">
        <v>46203</v>
      </c>
      <c r="AA529" s="198" t="s">
        <v>59</v>
      </c>
      <c r="AB529" s="198" t="s">
        <v>60</v>
      </c>
      <c r="AC529" s="198" t="s">
        <v>86</v>
      </c>
      <c r="AD529" s="198" t="s">
        <v>62</v>
      </c>
      <c r="AE529" s="198" t="s">
        <v>462</v>
      </c>
      <c r="AF529" s="198" t="s">
        <v>461</v>
      </c>
      <c r="AG529" s="198" t="s">
        <v>189</v>
      </c>
      <c r="AH529" s="198" t="s">
        <v>132</v>
      </c>
      <c r="AI529" s="198" t="s">
        <v>56</v>
      </c>
      <c r="AJ529" s="198" t="s">
        <v>406</v>
      </c>
      <c r="AK529" s="198" t="s">
        <v>51</v>
      </c>
      <c r="AL529" s="198" t="s">
        <v>67</v>
      </c>
      <c r="AM529" s="198" t="s">
        <v>68</v>
      </c>
      <c r="AN529" s="202">
        <v>4000</v>
      </c>
      <c r="AO529" s="202">
        <v>4000</v>
      </c>
      <c r="AP529" s="202">
        <v>4000</v>
      </c>
      <c r="AQ529" s="198" t="s">
        <v>358</v>
      </c>
      <c r="AR529" s="198" t="s">
        <v>51</v>
      </c>
      <c r="AS529" s="202">
        <v>4000</v>
      </c>
      <c r="AT529" s="202">
        <v>4000</v>
      </c>
      <c r="AU529" s="198" t="s">
        <v>359</v>
      </c>
      <c r="AV529" s="198" t="s">
        <v>62</v>
      </c>
      <c r="AW529" s="198" t="s">
        <v>54</v>
      </c>
    </row>
    <row r="530" spans="3:49" outlineLevel="2" x14ac:dyDescent="0.25">
      <c r="C530" s="201"/>
      <c r="D530" s="198" t="s">
        <v>520</v>
      </c>
      <c r="H530" s="198" t="s">
        <v>520</v>
      </c>
      <c r="I530" s="202">
        <f t="shared" si="8"/>
        <v>222583526.54999959</v>
      </c>
      <c r="J530" s="202">
        <v>53.899999999999899</v>
      </c>
      <c r="L530" s="204">
        <v>1</v>
      </c>
      <c r="M530" s="202">
        <v>4000</v>
      </c>
      <c r="N530" s="204">
        <v>1</v>
      </c>
      <c r="O530" s="198" t="s">
        <v>51</v>
      </c>
      <c r="P530" s="202">
        <v>4000</v>
      </c>
      <c r="Q530" s="198" t="s">
        <v>73</v>
      </c>
      <c r="R530" s="198" t="s">
        <v>53</v>
      </c>
      <c r="S530" s="198" t="s">
        <v>54</v>
      </c>
      <c r="T530" s="198" t="s">
        <v>443</v>
      </c>
      <c r="U530" s="198" t="s">
        <v>277</v>
      </c>
      <c r="V530" s="198" t="s">
        <v>56</v>
      </c>
      <c r="W530" s="198" t="s">
        <v>356</v>
      </c>
      <c r="X530" s="198" t="s">
        <v>57</v>
      </c>
      <c r="Y530" s="198" t="s">
        <v>58</v>
      </c>
      <c r="Z530" s="201">
        <v>46203</v>
      </c>
      <c r="AA530" s="198" t="s">
        <v>59</v>
      </c>
      <c r="AB530" s="198" t="s">
        <v>60</v>
      </c>
      <c r="AC530" s="198" t="s">
        <v>86</v>
      </c>
      <c r="AD530" s="198" t="s">
        <v>62</v>
      </c>
      <c r="AE530" s="198" t="s">
        <v>464</v>
      </c>
      <c r="AF530" s="198" t="s">
        <v>463</v>
      </c>
      <c r="AG530" s="198" t="s">
        <v>189</v>
      </c>
      <c r="AH530" s="198" t="s">
        <v>132</v>
      </c>
      <c r="AI530" s="198" t="s">
        <v>56</v>
      </c>
      <c r="AJ530" s="198" t="s">
        <v>294</v>
      </c>
      <c r="AK530" s="198" t="s">
        <v>51</v>
      </c>
      <c r="AL530" s="198" t="s">
        <v>67</v>
      </c>
      <c r="AM530" s="198" t="s">
        <v>68</v>
      </c>
      <c r="AN530" s="202">
        <v>4000</v>
      </c>
      <c r="AO530" s="202">
        <v>4000</v>
      </c>
      <c r="AP530" s="202">
        <v>4000</v>
      </c>
      <c r="AQ530" s="198" t="s">
        <v>358</v>
      </c>
      <c r="AR530" s="198" t="s">
        <v>51</v>
      </c>
      <c r="AS530" s="202">
        <v>4000</v>
      </c>
      <c r="AT530" s="202">
        <v>4000</v>
      </c>
      <c r="AU530" s="198" t="s">
        <v>359</v>
      </c>
      <c r="AV530" s="198" t="s">
        <v>62</v>
      </c>
      <c r="AW530" s="198" t="s">
        <v>54</v>
      </c>
    </row>
    <row r="531" spans="3:49" outlineLevel="2" x14ac:dyDescent="0.25">
      <c r="C531" s="201"/>
      <c r="D531" s="198" t="s">
        <v>520</v>
      </c>
      <c r="H531" s="198" t="s">
        <v>520</v>
      </c>
      <c r="I531" s="202">
        <f t="shared" si="8"/>
        <v>222996482.99999958</v>
      </c>
      <c r="J531" s="202">
        <v>53.999999999999901</v>
      </c>
      <c r="L531" s="204">
        <v>1</v>
      </c>
      <c r="M531" s="202">
        <v>45000</v>
      </c>
      <c r="N531" s="204">
        <v>1</v>
      </c>
      <c r="O531" s="198" t="s">
        <v>51</v>
      </c>
      <c r="P531" s="202">
        <v>45000</v>
      </c>
      <c r="Q531" s="198" t="s">
        <v>342</v>
      </c>
      <c r="R531" s="198" t="s">
        <v>53</v>
      </c>
      <c r="S531" s="198" t="s">
        <v>54</v>
      </c>
      <c r="T531" s="198" t="s">
        <v>443</v>
      </c>
      <c r="U531" s="198" t="s">
        <v>277</v>
      </c>
      <c r="V531" s="198" t="s">
        <v>56</v>
      </c>
      <c r="W531" s="198" t="s">
        <v>356</v>
      </c>
      <c r="X531" s="198" t="s">
        <v>57</v>
      </c>
      <c r="Y531" s="198" t="s">
        <v>58</v>
      </c>
      <c r="Z531" s="201">
        <v>46203</v>
      </c>
      <c r="AA531" s="198" t="s">
        <v>59</v>
      </c>
      <c r="AB531" s="198" t="s">
        <v>60</v>
      </c>
      <c r="AC531" s="198" t="s">
        <v>86</v>
      </c>
      <c r="AD531" s="198" t="s">
        <v>62</v>
      </c>
      <c r="AE531" s="198" t="s">
        <v>466</v>
      </c>
      <c r="AF531" s="198" t="s">
        <v>465</v>
      </c>
      <c r="AG531" s="198" t="s">
        <v>189</v>
      </c>
      <c r="AH531" s="198" t="s">
        <v>132</v>
      </c>
      <c r="AI531" s="198" t="s">
        <v>56</v>
      </c>
      <c r="AJ531" s="198" t="s">
        <v>455</v>
      </c>
      <c r="AK531" s="198" t="s">
        <v>51</v>
      </c>
      <c r="AL531" s="198" t="s">
        <v>67</v>
      </c>
      <c r="AM531" s="198" t="s">
        <v>68</v>
      </c>
      <c r="AN531" s="202">
        <v>45000</v>
      </c>
      <c r="AO531" s="202">
        <v>45000</v>
      </c>
      <c r="AP531" s="202">
        <v>45000</v>
      </c>
      <c r="AQ531" s="198" t="s">
        <v>358</v>
      </c>
      <c r="AR531" s="198" t="s">
        <v>51</v>
      </c>
      <c r="AS531" s="202">
        <v>45000</v>
      </c>
      <c r="AT531" s="202">
        <v>45000</v>
      </c>
      <c r="AU531" s="198" t="s">
        <v>359</v>
      </c>
      <c r="AV531" s="198" t="s">
        <v>62</v>
      </c>
      <c r="AW531" s="198" t="s">
        <v>54</v>
      </c>
    </row>
    <row r="532" spans="3:49" outlineLevel="2" x14ac:dyDescent="0.25">
      <c r="C532" s="201"/>
      <c r="D532" s="198" t="s">
        <v>520</v>
      </c>
      <c r="H532" s="198" t="s">
        <v>520</v>
      </c>
      <c r="I532" s="202">
        <f t="shared" si="8"/>
        <v>223409439.4499996</v>
      </c>
      <c r="J532" s="202">
        <v>54.099999999999902</v>
      </c>
      <c r="L532" s="204">
        <v>1</v>
      </c>
      <c r="M532" s="202">
        <v>45000</v>
      </c>
      <c r="N532" s="204">
        <v>1</v>
      </c>
      <c r="O532" s="198" t="s">
        <v>51</v>
      </c>
      <c r="P532" s="202">
        <v>45000</v>
      </c>
      <c r="Q532" s="198" t="s">
        <v>342</v>
      </c>
      <c r="R532" s="198" t="s">
        <v>53</v>
      </c>
      <c r="S532" s="198" t="s">
        <v>54</v>
      </c>
      <c r="T532" s="198" t="s">
        <v>443</v>
      </c>
      <c r="U532" s="198" t="s">
        <v>277</v>
      </c>
      <c r="V532" s="198" t="s">
        <v>56</v>
      </c>
      <c r="W532" s="198" t="s">
        <v>356</v>
      </c>
      <c r="X532" s="198" t="s">
        <v>57</v>
      </c>
      <c r="Y532" s="198" t="s">
        <v>58</v>
      </c>
      <c r="Z532" s="201">
        <v>46203</v>
      </c>
      <c r="AA532" s="198" t="s">
        <v>59</v>
      </c>
      <c r="AB532" s="198" t="s">
        <v>60</v>
      </c>
      <c r="AC532" s="198" t="s">
        <v>86</v>
      </c>
      <c r="AD532" s="198" t="s">
        <v>62</v>
      </c>
      <c r="AE532" s="198" t="s">
        <v>468</v>
      </c>
      <c r="AF532" s="198" t="s">
        <v>467</v>
      </c>
      <c r="AG532" s="198" t="s">
        <v>189</v>
      </c>
      <c r="AH532" s="198" t="s">
        <v>132</v>
      </c>
      <c r="AI532" s="198" t="s">
        <v>56</v>
      </c>
      <c r="AJ532" s="198" t="s">
        <v>406</v>
      </c>
      <c r="AK532" s="198" t="s">
        <v>51</v>
      </c>
      <c r="AL532" s="198" t="s">
        <v>67</v>
      </c>
      <c r="AM532" s="198" t="s">
        <v>68</v>
      </c>
      <c r="AN532" s="202">
        <v>45000</v>
      </c>
      <c r="AO532" s="202">
        <v>45000</v>
      </c>
      <c r="AP532" s="202">
        <v>45000</v>
      </c>
      <c r="AQ532" s="198" t="s">
        <v>358</v>
      </c>
      <c r="AR532" s="198" t="s">
        <v>51</v>
      </c>
      <c r="AS532" s="202">
        <v>45000</v>
      </c>
      <c r="AT532" s="202">
        <v>45000</v>
      </c>
      <c r="AU532" s="198" t="s">
        <v>359</v>
      </c>
      <c r="AV532" s="198" t="s">
        <v>62</v>
      </c>
      <c r="AW532" s="198" t="s">
        <v>54</v>
      </c>
    </row>
    <row r="533" spans="3:49" outlineLevel="2" x14ac:dyDescent="0.25">
      <c r="C533" s="201"/>
      <c r="D533" s="198" t="s">
        <v>520</v>
      </c>
      <c r="H533" s="198" t="s">
        <v>520</v>
      </c>
      <c r="I533" s="202">
        <f t="shared" si="8"/>
        <v>223822395.89999959</v>
      </c>
      <c r="J533" s="202">
        <v>54.199999999999903</v>
      </c>
      <c r="L533" s="204">
        <v>2</v>
      </c>
      <c r="M533" s="202">
        <v>10000</v>
      </c>
      <c r="N533" s="204">
        <v>2</v>
      </c>
      <c r="O533" s="198" t="s">
        <v>51</v>
      </c>
      <c r="P533" s="202">
        <v>10000</v>
      </c>
      <c r="Q533" s="198" t="s">
        <v>73</v>
      </c>
      <c r="R533" s="198" t="s">
        <v>53</v>
      </c>
      <c r="S533" s="198" t="s">
        <v>54</v>
      </c>
      <c r="T533" s="198" t="s">
        <v>443</v>
      </c>
      <c r="U533" s="198" t="s">
        <v>277</v>
      </c>
      <c r="V533" s="198" t="s">
        <v>56</v>
      </c>
      <c r="W533" s="198" t="s">
        <v>356</v>
      </c>
      <c r="X533" s="198" t="s">
        <v>57</v>
      </c>
      <c r="Y533" s="198" t="s">
        <v>58</v>
      </c>
      <c r="Z533" s="201">
        <v>46203</v>
      </c>
      <c r="AA533" s="198" t="s">
        <v>59</v>
      </c>
      <c r="AB533" s="198" t="s">
        <v>60</v>
      </c>
      <c r="AC533" s="198" t="s">
        <v>86</v>
      </c>
      <c r="AD533" s="198" t="s">
        <v>62</v>
      </c>
      <c r="AE533" s="198" t="s">
        <v>470</v>
      </c>
      <c r="AF533" s="198" t="s">
        <v>469</v>
      </c>
      <c r="AG533" s="198" t="s">
        <v>189</v>
      </c>
      <c r="AH533" s="198" t="s">
        <v>132</v>
      </c>
      <c r="AI533" s="198" t="s">
        <v>56</v>
      </c>
      <c r="AJ533" s="198" t="s">
        <v>406</v>
      </c>
      <c r="AK533" s="198" t="s">
        <v>51</v>
      </c>
      <c r="AL533" s="198" t="s">
        <v>67</v>
      </c>
      <c r="AM533" s="198" t="s">
        <v>68</v>
      </c>
      <c r="AN533" s="202">
        <v>10000</v>
      </c>
      <c r="AO533" s="202">
        <v>10000</v>
      </c>
      <c r="AP533" s="202">
        <v>10000</v>
      </c>
      <c r="AQ533" s="198" t="s">
        <v>358</v>
      </c>
      <c r="AR533" s="198" t="s">
        <v>51</v>
      </c>
      <c r="AS533" s="202">
        <v>10000</v>
      </c>
      <c r="AT533" s="202">
        <v>10000</v>
      </c>
      <c r="AU533" s="198" t="s">
        <v>359</v>
      </c>
      <c r="AV533" s="198" t="s">
        <v>62</v>
      </c>
      <c r="AW533" s="198" t="s">
        <v>54</v>
      </c>
    </row>
    <row r="534" spans="3:49" outlineLevel="2" x14ac:dyDescent="0.25">
      <c r="C534" s="201"/>
      <c r="D534" s="198" t="s">
        <v>520</v>
      </c>
      <c r="H534" s="198" t="s">
        <v>520</v>
      </c>
      <c r="I534" s="202">
        <f t="shared" si="8"/>
        <v>224235352.34999958</v>
      </c>
      <c r="J534" s="202">
        <v>54.299999999999898</v>
      </c>
      <c r="L534" s="204">
        <v>2</v>
      </c>
      <c r="M534" s="202">
        <v>10000</v>
      </c>
      <c r="N534" s="204">
        <v>2</v>
      </c>
      <c r="O534" s="198" t="s">
        <v>51</v>
      </c>
      <c r="P534" s="202">
        <v>10000</v>
      </c>
      <c r="Q534" s="198" t="s">
        <v>73</v>
      </c>
      <c r="R534" s="198" t="s">
        <v>53</v>
      </c>
      <c r="S534" s="198" t="s">
        <v>54</v>
      </c>
      <c r="T534" s="198" t="s">
        <v>443</v>
      </c>
      <c r="U534" s="198" t="s">
        <v>277</v>
      </c>
      <c r="V534" s="198" t="s">
        <v>56</v>
      </c>
      <c r="W534" s="198" t="s">
        <v>356</v>
      </c>
      <c r="X534" s="198" t="s">
        <v>57</v>
      </c>
      <c r="Y534" s="198" t="s">
        <v>58</v>
      </c>
      <c r="Z534" s="201">
        <v>46203</v>
      </c>
      <c r="AA534" s="198" t="s">
        <v>59</v>
      </c>
      <c r="AB534" s="198" t="s">
        <v>60</v>
      </c>
      <c r="AC534" s="198" t="s">
        <v>86</v>
      </c>
      <c r="AD534" s="198" t="s">
        <v>62</v>
      </c>
      <c r="AE534" s="198" t="s">
        <v>472</v>
      </c>
      <c r="AF534" s="198" t="s">
        <v>471</v>
      </c>
      <c r="AG534" s="198" t="s">
        <v>189</v>
      </c>
      <c r="AH534" s="198" t="s">
        <v>132</v>
      </c>
      <c r="AI534" s="198" t="s">
        <v>56</v>
      </c>
      <c r="AJ534" s="198" t="s">
        <v>452</v>
      </c>
      <c r="AK534" s="198" t="s">
        <v>51</v>
      </c>
      <c r="AL534" s="198" t="s">
        <v>67</v>
      </c>
      <c r="AM534" s="198" t="s">
        <v>68</v>
      </c>
      <c r="AN534" s="202">
        <v>10000</v>
      </c>
      <c r="AO534" s="202">
        <v>10000</v>
      </c>
      <c r="AP534" s="202">
        <v>10000</v>
      </c>
      <c r="AQ534" s="198" t="s">
        <v>358</v>
      </c>
      <c r="AR534" s="198" t="s">
        <v>51</v>
      </c>
      <c r="AS534" s="202">
        <v>10000</v>
      </c>
      <c r="AT534" s="202">
        <v>10000</v>
      </c>
      <c r="AU534" s="198" t="s">
        <v>359</v>
      </c>
      <c r="AV534" s="198" t="s">
        <v>62</v>
      </c>
      <c r="AW534" s="198" t="s">
        <v>54</v>
      </c>
    </row>
    <row r="535" spans="3:49" outlineLevel="2" x14ac:dyDescent="0.25">
      <c r="C535" s="201"/>
      <c r="D535" s="198" t="s">
        <v>520</v>
      </c>
      <c r="H535" s="198" t="s">
        <v>520</v>
      </c>
      <c r="I535" s="202">
        <f t="shared" si="8"/>
        <v>224648308.79999959</v>
      </c>
      <c r="J535" s="202">
        <v>54.399999999999899</v>
      </c>
      <c r="L535" s="204">
        <v>1</v>
      </c>
      <c r="M535" s="202">
        <v>1000</v>
      </c>
      <c r="N535" s="204">
        <v>1</v>
      </c>
      <c r="O535" s="198" t="s">
        <v>51</v>
      </c>
      <c r="P535" s="202">
        <v>1000</v>
      </c>
      <c r="Q535" s="198" t="s">
        <v>73</v>
      </c>
      <c r="R535" s="198" t="s">
        <v>53</v>
      </c>
      <c r="S535" s="198" t="s">
        <v>54</v>
      </c>
      <c r="T535" s="198" t="s">
        <v>443</v>
      </c>
      <c r="U535" s="198" t="s">
        <v>277</v>
      </c>
      <c r="V535" s="198" t="s">
        <v>56</v>
      </c>
      <c r="W535" s="198" t="s">
        <v>356</v>
      </c>
      <c r="X535" s="198" t="s">
        <v>57</v>
      </c>
      <c r="Y535" s="198" t="s">
        <v>58</v>
      </c>
      <c r="Z535" s="201">
        <v>46203</v>
      </c>
      <c r="AA535" s="198" t="s">
        <v>59</v>
      </c>
      <c r="AB535" s="198" t="s">
        <v>60</v>
      </c>
      <c r="AC535" s="198" t="s">
        <v>86</v>
      </c>
      <c r="AD535" s="198" t="s">
        <v>62</v>
      </c>
      <c r="AE535" s="198" t="s">
        <v>474</v>
      </c>
      <c r="AF535" s="198" t="s">
        <v>473</v>
      </c>
      <c r="AG535" s="198" t="s">
        <v>189</v>
      </c>
      <c r="AH535" s="198" t="s">
        <v>132</v>
      </c>
      <c r="AI535" s="198" t="s">
        <v>56</v>
      </c>
      <c r="AJ535" s="198" t="s">
        <v>406</v>
      </c>
      <c r="AK535" s="198" t="s">
        <v>51</v>
      </c>
      <c r="AL535" s="198" t="s">
        <v>67</v>
      </c>
      <c r="AM535" s="198" t="s">
        <v>68</v>
      </c>
      <c r="AN535" s="202">
        <v>1000</v>
      </c>
      <c r="AO535" s="202">
        <v>1000</v>
      </c>
      <c r="AP535" s="202">
        <v>1000</v>
      </c>
      <c r="AQ535" s="198" t="s">
        <v>358</v>
      </c>
      <c r="AR535" s="198" t="s">
        <v>51</v>
      </c>
      <c r="AS535" s="202">
        <v>1000</v>
      </c>
      <c r="AT535" s="202">
        <v>1000</v>
      </c>
      <c r="AU535" s="198" t="s">
        <v>359</v>
      </c>
      <c r="AV535" s="198" t="s">
        <v>62</v>
      </c>
      <c r="AW535" s="198" t="s">
        <v>54</v>
      </c>
    </row>
    <row r="536" spans="3:49" outlineLevel="2" x14ac:dyDescent="0.25">
      <c r="C536" s="201"/>
      <c r="D536" s="198" t="s">
        <v>520</v>
      </c>
      <c r="H536" s="198" t="s">
        <v>520</v>
      </c>
      <c r="I536" s="202">
        <f t="shared" si="8"/>
        <v>225061265.24999958</v>
      </c>
      <c r="J536" s="202">
        <v>54.499999999999901</v>
      </c>
      <c r="L536" s="204">
        <v>1</v>
      </c>
      <c r="M536" s="202">
        <v>58000</v>
      </c>
      <c r="N536" s="204">
        <v>1</v>
      </c>
      <c r="O536" s="198" t="s">
        <v>51</v>
      </c>
      <c r="P536" s="202">
        <v>58000</v>
      </c>
      <c r="Q536" s="198" t="s">
        <v>73</v>
      </c>
      <c r="R536" s="198" t="s">
        <v>53</v>
      </c>
      <c r="S536" s="198" t="s">
        <v>54</v>
      </c>
      <c r="T536" s="198" t="s">
        <v>443</v>
      </c>
      <c r="U536" s="198" t="s">
        <v>277</v>
      </c>
      <c r="V536" s="198" t="s">
        <v>56</v>
      </c>
      <c r="W536" s="198" t="s">
        <v>356</v>
      </c>
      <c r="X536" s="198" t="s">
        <v>57</v>
      </c>
      <c r="Y536" s="198" t="s">
        <v>58</v>
      </c>
      <c r="Z536" s="201">
        <v>46203</v>
      </c>
      <c r="AA536" s="198" t="s">
        <v>59</v>
      </c>
      <c r="AB536" s="198" t="s">
        <v>60</v>
      </c>
      <c r="AC536" s="198" t="s">
        <v>86</v>
      </c>
      <c r="AD536" s="198" t="s">
        <v>62</v>
      </c>
      <c r="AE536" s="198" t="s">
        <v>476</v>
      </c>
      <c r="AF536" s="198" t="s">
        <v>475</v>
      </c>
      <c r="AG536" s="198" t="s">
        <v>189</v>
      </c>
      <c r="AH536" s="198" t="s">
        <v>132</v>
      </c>
      <c r="AI536" s="198" t="s">
        <v>56</v>
      </c>
      <c r="AJ536" s="198" t="s">
        <v>477</v>
      </c>
      <c r="AK536" s="198" t="s">
        <v>51</v>
      </c>
      <c r="AL536" s="198" t="s">
        <v>67</v>
      </c>
      <c r="AM536" s="198" t="s">
        <v>68</v>
      </c>
      <c r="AN536" s="202">
        <v>58000</v>
      </c>
      <c r="AO536" s="202">
        <v>58000</v>
      </c>
      <c r="AP536" s="202">
        <v>58000</v>
      </c>
      <c r="AQ536" s="198" t="s">
        <v>358</v>
      </c>
      <c r="AR536" s="198" t="s">
        <v>51</v>
      </c>
      <c r="AS536" s="202">
        <v>58000</v>
      </c>
      <c r="AT536" s="202">
        <v>58000</v>
      </c>
      <c r="AU536" s="198" t="s">
        <v>359</v>
      </c>
      <c r="AV536" s="198" t="s">
        <v>62</v>
      </c>
      <c r="AW536" s="198" t="s">
        <v>54</v>
      </c>
    </row>
    <row r="537" spans="3:49" outlineLevel="2" x14ac:dyDescent="0.25">
      <c r="C537" s="201"/>
      <c r="D537" s="198" t="s">
        <v>520</v>
      </c>
      <c r="H537" s="198" t="s">
        <v>520</v>
      </c>
      <c r="I537" s="202">
        <f t="shared" si="8"/>
        <v>225474221.6999996</v>
      </c>
      <c r="J537" s="202">
        <v>54.599999999999902</v>
      </c>
      <c r="L537" s="204">
        <v>1</v>
      </c>
      <c r="M537" s="202">
        <v>58000</v>
      </c>
      <c r="N537" s="204">
        <v>1</v>
      </c>
      <c r="O537" s="198" t="s">
        <v>51</v>
      </c>
      <c r="P537" s="202">
        <v>58000</v>
      </c>
      <c r="Q537" s="198" t="s">
        <v>73</v>
      </c>
      <c r="R537" s="198" t="s">
        <v>53</v>
      </c>
      <c r="S537" s="198" t="s">
        <v>54</v>
      </c>
      <c r="T537" s="198" t="s">
        <v>443</v>
      </c>
      <c r="U537" s="198" t="s">
        <v>277</v>
      </c>
      <c r="V537" s="198" t="s">
        <v>56</v>
      </c>
      <c r="W537" s="198" t="s">
        <v>356</v>
      </c>
      <c r="X537" s="198" t="s">
        <v>57</v>
      </c>
      <c r="Y537" s="198" t="s">
        <v>58</v>
      </c>
      <c r="Z537" s="201">
        <v>46203</v>
      </c>
      <c r="AA537" s="198" t="s">
        <v>59</v>
      </c>
      <c r="AB537" s="198" t="s">
        <v>60</v>
      </c>
      <c r="AC537" s="198" t="s">
        <v>86</v>
      </c>
      <c r="AD537" s="198" t="s">
        <v>62</v>
      </c>
      <c r="AE537" s="198" t="s">
        <v>476</v>
      </c>
      <c r="AF537" s="198" t="s">
        <v>475</v>
      </c>
      <c r="AG537" s="198" t="s">
        <v>189</v>
      </c>
      <c r="AH537" s="198" t="s">
        <v>132</v>
      </c>
      <c r="AI537" s="198" t="s">
        <v>56</v>
      </c>
      <c r="AJ537" s="198" t="s">
        <v>477</v>
      </c>
      <c r="AK537" s="198" t="s">
        <v>51</v>
      </c>
      <c r="AL537" s="198" t="s">
        <v>67</v>
      </c>
      <c r="AM537" s="198" t="s">
        <v>68</v>
      </c>
      <c r="AN537" s="202">
        <v>58000</v>
      </c>
      <c r="AO537" s="202">
        <v>58000</v>
      </c>
      <c r="AP537" s="202">
        <v>58000</v>
      </c>
      <c r="AQ537" s="198" t="s">
        <v>358</v>
      </c>
      <c r="AR537" s="198" t="s">
        <v>51</v>
      </c>
      <c r="AS537" s="202">
        <v>58000</v>
      </c>
      <c r="AT537" s="202">
        <v>58000</v>
      </c>
      <c r="AU537" s="198" t="s">
        <v>359</v>
      </c>
      <c r="AV537" s="198" t="s">
        <v>62</v>
      </c>
      <c r="AW537" s="198" t="s">
        <v>54</v>
      </c>
    </row>
    <row r="538" spans="3:49" outlineLevel="2" x14ac:dyDescent="0.25">
      <c r="C538" s="201"/>
      <c r="D538" s="198" t="s">
        <v>520</v>
      </c>
      <c r="H538" s="198" t="s">
        <v>520</v>
      </c>
      <c r="I538" s="202">
        <f t="shared" si="8"/>
        <v>225887178.14999959</v>
      </c>
      <c r="J538" s="202">
        <v>54.699999999999903</v>
      </c>
      <c r="L538" s="204">
        <v>1</v>
      </c>
      <c r="M538" s="202">
        <v>58000</v>
      </c>
      <c r="N538" s="204">
        <v>1</v>
      </c>
      <c r="O538" s="198" t="s">
        <v>51</v>
      </c>
      <c r="P538" s="202">
        <v>58000</v>
      </c>
      <c r="Q538" s="198" t="s">
        <v>73</v>
      </c>
      <c r="R538" s="198" t="s">
        <v>53</v>
      </c>
      <c r="S538" s="198" t="s">
        <v>54</v>
      </c>
      <c r="T538" s="198" t="s">
        <v>443</v>
      </c>
      <c r="U538" s="198" t="s">
        <v>277</v>
      </c>
      <c r="V538" s="198" t="s">
        <v>56</v>
      </c>
      <c r="W538" s="198" t="s">
        <v>356</v>
      </c>
      <c r="X538" s="198" t="s">
        <v>57</v>
      </c>
      <c r="Y538" s="198" t="s">
        <v>58</v>
      </c>
      <c r="Z538" s="201">
        <v>46203</v>
      </c>
      <c r="AA538" s="198" t="s">
        <v>59</v>
      </c>
      <c r="AB538" s="198" t="s">
        <v>60</v>
      </c>
      <c r="AC538" s="198" t="s">
        <v>86</v>
      </c>
      <c r="AD538" s="198" t="s">
        <v>62</v>
      </c>
      <c r="AE538" s="198" t="s">
        <v>476</v>
      </c>
      <c r="AF538" s="198" t="s">
        <v>475</v>
      </c>
      <c r="AG538" s="198" t="s">
        <v>189</v>
      </c>
      <c r="AH538" s="198" t="s">
        <v>132</v>
      </c>
      <c r="AI538" s="198" t="s">
        <v>56</v>
      </c>
      <c r="AJ538" s="198" t="s">
        <v>477</v>
      </c>
      <c r="AK538" s="198" t="s">
        <v>51</v>
      </c>
      <c r="AL538" s="198" t="s">
        <v>67</v>
      </c>
      <c r="AM538" s="198" t="s">
        <v>68</v>
      </c>
      <c r="AN538" s="202">
        <v>58000</v>
      </c>
      <c r="AO538" s="202">
        <v>58000</v>
      </c>
      <c r="AP538" s="202">
        <v>58000</v>
      </c>
      <c r="AQ538" s="198" t="s">
        <v>358</v>
      </c>
      <c r="AR538" s="198" t="s">
        <v>51</v>
      </c>
      <c r="AS538" s="202">
        <v>58000</v>
      </c>
      <c r="AT538" s="202">
        <v>58000</v>
      </c>
      <c r="AU538" s="198" t="s">
        <v>359</v>
      </c>
      <c r="AV538" s="198" t="s">
        <v>62</v>
      </c>
      <c r="AW538" s="198" t="s">
        <v>54</v>
      </c>
    </row>
    <row r="539" spans="3:49" outlineLevel="2" x14ac:dyDescent="0.25">
      <c r="C539" s="201"/>
      <c r="D539" s="198" t="s">
        <v>520</v>
      </c>
      <c r="H539" s="198" t="s">
        <v>520</v>
      </c>
      <c r="I539" s="202">
        <f t="shared" si="8"/>
        <v>226300134.59999958</v>
      </c>
      <c r="J539" s="202">
        <v>54.799999999999898</v>
      </c>
      <c r="L539" s="204">
        <v>1</v>
      </c>
      <c r="M539" s="202">
        <v>68000</v>
      </c>
      <c r="N539" s="204">
        <v>1</v>
      </c>
      <c r="O539" s="198" t="s">
        <v>51</v>
      </c>
      <c r="P539" s="202">
        <v>68000</v>
      </c>
      <c r="Q539" s="198" t="s">
        <v>73</v>
      </c>
      <c r="R539" s="198" t="s">
        <v>53</v>
      </c>
      <c r="S539" s="198" t="s">
        <v>54</v>
      </c>
      <c r="T539" s="198" t="s">
        <v>443</v>
      </c>
      <c r="U539" s="198" t="s">
        <v>277</v>
      </c>
      <c r="V539" s="198" t="s">
        <v>56</v>
      </c>
      <c r="W539" s="198" t="s">
        <v>356</v>
      </c>
      <c r="X539" s="198" t="s">
        <v>57</v>
      </c>
      <c r="Y539" s="198" t="s">
        <v>58</v>
      </c>
      <c r="Z539" s="201">
        <v>46203</v>
      </c>
      <c r="AA539" s="198" t="s">
        <v>59</v>
      </c>
      <c r="AB539" s="198" t="s">
        <v>60</v>
      </c>
      <c r="AC539" s="198" t="s">
        <v>86</v>
      </c>
      <c r="AD539" s="198" t="s">
        <v>62</v>
      </c>
      <c r="AE539" s="198" t="s">
        <v>479</v>
      </c>
      <c r="AF539" s="198" t="s">
        <v>478</v>
      </c>
      <c r="AG539" s="198" t="s">
        <v>189</v>
      </c>
      <c r="AH539" s="198" t="s">
        <v>132</v>
      </c>
      <c r="AI539" s="198" t="s">
        <v>56</v>
      </c>
      <c r="AJ539" s="198" t="s">
        <v>118</v>
      </c>
      <c r="AK539" s="198" t="s">
        <v>51</v>
      </c>
      <c r="AL539" s="198" t="s">
        <v>67</v>
      </c>
      <c r="AM539" s="198" t="s">
        <v>68</v>
      </c>
      <c r="AN539" s="202">
        <v>68000</v>
      </c>
      <c r="AO539" s="202">
        <v>68000</v>
      </c>
      <c r="AP539" s="202">
        <v>68000</v>
      </c>
      <c r="AQ539" s="198" t="s">
        <v>358</v>
      </c>
      <c r="AR539" s="198" t="s">
        <v>51</v>
      </c>
      <c r="AS539" s="202">
        <v>68000</v>
      </c>
      <c r="AT539" s="202">
        <v>68000</v>
      </c>
      <c r="AU539" s="198" t="s">
        <v>359</v>
      </c>
      <c r="AV539" s="198" t="s">
        <v>62</v>
      </c>
      <c r="AW539" s="198" t="s">
        <v>54</v>
      </c>
    </row>
    <row r="540" spans="3:49" outlineLevel="2" x14ac:dyDescent="0.25">
      <c r="C540" s="201"/>
      <c r="D540" s="198" t="s">
        <v>520</v>
      </c>
      <c r="H540" s="198" t="s">
        <v>520</v>
      </c>
      <c r="I540" s="202">
        <f t="shared" si="8"/>
        <v>226713091.04999959</v>
      </c>
      <c r="J540" s="202">
        <v>54.899999999999899</v>
      </c>
      <c r="L540" s="204">
        <v>1</v>
      </c>
      <c r="M540" s="202">
        <v>750</v>
      </c>
      <c r="N540" s="204">
        <v>1</v>
      </c>
      <c r="O540" s="198" t="s">
        <v>51</v>
      </c>
      <c r="P540" s="202">
        <v>750</v>
      </c>
      <c r="Q540" s="198" t="s">
        <v>73</v>
      </c>
      <c r="R540" s="198" t="s">
        <v>53</v>
      </c>
      <c r="S540" s="198" t="s">
        <v>54</v>
      </c>
      <c r="T540" s="198" t="s">
        <v>443</v>
      </c>
      <c r="U540" s="198" t="s">
        <v>277</v>
      </c>
      <c r="V540" s="198" t="s">
        <v>56</v>
      </c>
      <c r="W540" s="198" t="s">
        <v>356</v>
      </c>
      <c r="X540" s="198" t="s">
        <v>57</v>
      </c>
      <c r="Y540" s="198" t="s">
        <v>58</v>
      </c>
      <c r="Z540" s="201">
        <v>46203</v>
      </c>
      <c r="AA540" s="198" t="s">
        <v>59</v>
      </c>
      <c r="AB540" s="198" t="s">
        <v>60</v>
      </c>
      <c r="AC540" s="198" t="s">
        <v>86</v>
      </c>
      <c r="AD540" s="198" t="s">
        <v>62</v>
      </c>
      <c r="AE540" s="198" t="s">
        <v>481</v>
      </c>
      <c r="AF540" s="198" t="s">
        <v>480</v>
      </c>
      <c r="AG540" s="198" t="s">
        <v>189</v>
      </c>
      <c r="AH540" s="198" t="s">
        <v>132</v>
      </c>
      <c r="AI540" s="198" t="s">
        <v>56</v>
      </c>
      <c r="AJ540" s="198" t="s">
        <v>382</v>
      </c>
      <c r="AK540" s="198" t="s">
        <v>51</v>
      </c>
      <c r="AL540" s="198" t="s">
        <v>67</v>
      </c>
      <c r="AM540" s="198" t="s">
        <v>68</v>
      </c>
      <c r="AN540" s="202">
        <v>750</v>
      </c>
      <c r="AO540" s="202">
        <v>750</v>
      </c>
      <c r="AP540" s="202">
        <v>750</v>
      </c>
      <c r="AQ540" s="198" t="s">
        <v>358</v>
      </c>
      <c r="AR540" s="198" t="s">
        <v>51</v>
      </c>
      <c r="AS540" s="202">
        <v>750</v>
      </c>
      <c r="AT540" s="202">
        <v>750</v>
      </c>
      <c r="AU540" s="198" t="s">
        <v>359</v>
      </c>
      <c r="AV540" s="198" t="s">
        <v>62</v>
      </c>
      <c r="AW540" s="198" t="s">
        <v>54</v>
      </c>
    </row>
    <row r="541" spans="3:49" outlineLevel="2" x14ac:dyDescent="0.25">
      <c r="C541" s="201"/>
      <c r="D541" s="198" t="s">
        <v>520</v>
      </c>
      <c r="H541" s="198" t="s">
        <v>520</v>
      </c>
      <c r="I541" s="202">
        <f t="shared" si="8"/>
        <v>227126047.49999958</v>
      </c>
      <c r="J541" s="202">
        <v>54.999999999999901</v>
      </c>
      <c r="L541" s="204">
        <v>1</v>
      </c>
      <c r="M541" s="202">
        <v>5000</v>
      </c>
      <c r="N541" s="204">
        <v>1</v>
      </c>
      <c r="O541" s="198" t="s">
        <v>51</v>
      </c>
      <c r="P541" s="202">
        <v>5000</v>
      </c>
      <c r="Q541" s="198" t="s">
        <v>73</v>
      </c>
      <c r="R541" s="198" t="s">
        <v>53</v>
      </c>
      <c r="S541" s="198" t="s">
        <v>54</v>
      </c>
      <c r="T541" s="198" t="s">
        <v>443</v>
      </c>
      <c r="U541" s="198" t="s">
        <v>277</v>
      </c>
      <c r="V541" s="198" t="s">
        <v>56</v>
      </c>
      <c r="W541" s="198" t="s">
        <v>356</v>
      </c>
      <c r="X541" s="198" t="s">
        <v>57</v>
      </c>
      <c r="Y541" s="198" t="s">
        <v>58</v>
      </c>
      <c r="Z541" s="201">
        <v>46203</v>
      </c>
      <c r="AA541" s="198" t="s">
        <v>59</v>
      </c>
      <c r="AB541" s="198" t="s">
        <v>60</v>
      </c>
      <c r="AC541" s="198" t="s">
        <v>86</v>
      </c>
      <c r="AD541" s="198" t="s">
        <v>62</v>
      </c>
      <c r="AE541" s="198" t="s">
        <v>483</v>
      </c>
      <c r="AF541" s="198" t="s">
        <v>482</v>
      </c>
      <c r="AG541" s="198" t="s">
        <v>189</v>
      </c>
      <c r="AH541" s="198" t="s">
        <v>132</v>
      </c>
      <c r="AI541" s="198" t="s">
        <v>56</v>
      </c>
      <c r="AJ541" s="198" t="s">
        <v>382</v>
      </c>
      <c r="AK541" s="198" t="s">
        <v>51</v>
      </c>
      <c r="AL541" s="198" t="s">
        <v>67</v>
      </c>
      <c r="AM541" s="198" t="s">
        <v>68</v>
      </c>
      <c r="AN541" s="202">
        <v>5000</v>
      </c>
      <c r="AO541" s="202">
        <v>5000</v>
      </c>
      <c r="AP541" s="202">
        <v>5000</v>
      </c>
      <c r="AQ541" s="198" t="s">
        <v>358</v>
      </c>
      <c r="AR541" s="198" t="s">
        <v>51</v>
      </c>
      <c r="AS541" s="202">
        <v>5000</v>
      </c>
      <c r="AT541" s="202">
        <v>5000</v>
      </c>
      <c r="AU541" s="198" t="s">
        <v>359</v>
      </c>
      <c r="AV541" s="198" t="s">
        <v>62</v>
      </c>
      <c r="AW541" s="198" t="s">
        <v>54</v>
      </c>
    </row>
    <row r="542" spans="3:49" outlineLevel="2" x14ac:dyDescent="0.25">
      <c r="C542" s="201"/>
      <c r="D542" s="198" t="s">
        <v>520</v>
      </c>
      <c r="H542" s="198" t="s">
        <v>520</v>
      </c>
      <c r="I542" s="202">
        <f t="shared" si="8"/>
        <v>227539003.9499996</v>
      </c>
      <c r="J542" s="202">
        <v>55.099999999999902</v>
      </c>
      <c r="L542" s="204">
        <v>2</v>
      </c>
      <c r="M542" s="202">
        <v>110000</v>
      </c>
      <c r="N542" s="204">
        <v>2</v>
      </c>
      <c r="O542" s="198" t="s">
        <v>51</v>
      </c>
      <c r="P542" s="202">
        <v>110000</v>
      </c>
      <c r="Q542" s="198" t="s">
        <v>73</v>
      </c>
      <c r="R542" s="198" t="s">
        <v>53</v>
      </c>
      <c r="S542" s="198" t="s">
        <v>54</v>
      </c>
      <c r="T542" s="198" t="s">
        <v>443</v>
      </c>
      <c r="U542" s="198" t="s">
        <v>277</v>
      </c>
      <c r="V542" s="198" t="s">
        <v>56</v>
      </c>
      <c r="W542" s="198" t="s">
        <v>356</v>
      </c>
      <c r="X542" s="198" t="s">
        <v>57</v>
      </c>
      <c r="Y542" s="198" t="s">
        <v>58</v>
      </c>
      <c r="Z542" s="201">
        <v>46203</v>
      </c>
      <c r="AA542" s="198" t="s">
        <v>59</v>
      </c>
      <c r="AB542" s="198" t="s">
        <v>60</v>
      </c>
      <c r="AC542" s="198" t="s">
        <v>86</v>
      </c>
      <c r="AD542" s="198" t="s">
        <v>62</v>
      </c>
      <c r="AE542" s="198" t="s">
        <v>485</v>
      </c>
      <c r="AF542" s="198" t="s">
        <v>484</v>
      </c>
      <c r="AG542" s="198" t="s">
        <v>189</v>
      </c>
      <c r="AH542" s="198" t="s">
        <v>132</v>
      </c>
      <c r="AI542" s="198" t="s">
        <v>56</v>
      </c>
      <c r="AJ542" s="198" t="s">
        <v>382</v>
      </c>
      <c r="AK542" s="198" t="s">
        <v>51</v>
      </c>
      <c r="AL542" s="198" t="s">
        <v>67</v>
      </c>
      <c r="AM542" s="198" t="s">
        <v>68</v>
      </c>
      <c r="AN542" s="202">
        <v>110000</v>
      </c>
      <c r="AO542" s="202">
        <v>110000</v>
      </c>
      <c r="AP542" s="202">
        <v>110000</v>
      </c>
      <c r="AQ542" s="198" t="s">
        <v>358</v>
      </c>
      <c r="AR542" s="198" t="s">
        <v>51</v>
      </c>
      <c r="AS542" s="202">
        <v>110000</v>
      </c>
      <c r="AT542" s="202">
        <v>110000</v>
      </c>
      <c r="AU542" s="198" t="s">
        <v>359</v>
      </c>
      <c r="AV542" s="198" t="s">
        <v>62</v>
      </c>
      <c r="AW542" s="198" t="s">
        <v>54</v>
      </c>
    </row>
    <row r="543" spans="3:49" outlineLevel="2" x14ac:dyDescent="0.25">
      <c r="C543" s="201"/>
      <c r="D543" s="198" t="s">
        <v>520</v>
      </c>
      <c r="H543" s="198" t="s">
        <v>520</v>
      </c>
      <c r="I543" s="202">
        <f t="shared" si="8"/>
        <v>227951960.39999959</v>
      </c>
      <c r="J543" s="202">
        <v>55.199999999999903</v>
      </c>
      <c r="L543" s="204">
        <v>1</v>
      </c>
      <c r="M543" s="202">
        <v>290000</v>
      </c>
      <c r="N543" s="204">
        <v>1</v>
      </c>
      <c r="O543" s="198" t="s">
        <v>51</v>
      </c>
      <c r="P543" s="202">
        <v>290000</v>
      </c>
      <c r="Q543" s="198" t="s">
        <v>73</v>
      </c>
      <c r="R543" s="198" t="s">
        <v>53</v>
      </c>
      <c r="S543" s="198" t="s">
        <v>54</v>
      </c>
      <c r="T543" s="198" t="s">
        <v>443</v>
      </c>
      <c r="U543" s="198" t="s">
        <v>277</v>
      </c>
      <c r="V543" s="198" t="s">
        <v>56</v>
      </c>
      <c r="W543" s="198" t="s">
        <v>356</v>
      </c>
      <c r="X543" s="198" t="s">
        <v>57</v>
      </c>
      <c r="Y543" s="198" t="s">
        <v>58</v>
      </c>
      <c r="Z543" s="201">
        <v>46203</v>
      </c>
      <c r="AA543" s="198" t="s">
        <v>59</v>
      </c>
      <c r="AB543" s="198" t="s">
        <v>60</v>
      </c>
      <c r="AC543" s="198" t="s">
        <v>86</v>
      </c>
      <c r="AD543" s="198" t="s">
        <v>62</v>
      </c>
      <c r="AE543" s="198" t="s">
        <v>487</v>
      </c>
      <c r="AF543" s="198" t="s">
        <v>486</v>
      </c>
      <c r="AG543" s="198" t="s">
        <v>189</v>
      </c>
      <c r="AH543" s="198" t="s">
        <v>132</v>
      </c>
      <c r="AI543" s="198" t="s">
        <v>56</v>
      </c>
      <c r="AJ543" s="198" t="s">
        <v>128</v>
      </c>
      <c r="AK543" s="198" t="s">
        <v>51</v>
      </c>
      <c r="AL543" s="198" t="s">
        <v>67</v>
      </c>
      <c r="AM543" s="198" t="s">
        <v>68</v>
      </c>
      <c r="AN543" s="202">
        <v>290000</v>
      </c>
      <c r="AO543" s="202">
        <v>290000</v>
      </c>
      <c r="AP543" s="202">
        <v>290000</v>
      </c>
      <c r="AQ543" s="198" t="s">
        <v>358</v>
      </c>
      <c r="AR543" s="198" t="s">
        <v>51</v>
      </c>
      <c r="AS543" s="202">
        <v>290000</v>
      </c>
      <c r="AT543" s="202">
        <v>290000</v>
      </c>
      <c r="AU543" s="198" t="s">
        <v>359</v>
      </c>
      <c r="AV543" s="198" t="s">
        <v>62</v>
      </c>
      <c r="AW543" s="198" t="s">
        <v>54</v>
      </c>
    </row>
    <row r="544" spans="3:49" outlineLevel="2" x14ac:dyDescent="0.25">
      <c r="C544" s="201"/>
      <c r="D544" s="198" t="s">
        <v>520</v>
      </c>
      <c r="H544" s="198" t="s">
        <v>520</v>
      </c>
      <c r="I544" s="202">
        <f t="shared" si="8"/>
        <v>228364916.84999958</v>
      </c>
      <c r="J544" s="202">
        <v>55.299999999999898</v>
      </c>
      <c r="L544" s="204">
        <v>2</v>
      </c>
      <c r="M544" s="202">
        <v>1600</v>
      </c>
      <c r="N544" s="204">
        <v>2</v>
      </c>
      <c r="O544" s="198" t="s">
        <v>51</v>
      </c>
      <c r="P544" s="202">
        <v>1600</v>
      </c>
      <c r="Q544" s="198" t="s">
        <v>73</v>
      </c>
      <c r="R544" s="198" t="s">
        <v>53</v>
      </c>
      <c r="S544" s="198" t="s">
        <v>54</v>
      </c>
      <c r="T544" s="198" t="s">
        <v>443</v>
      </c>
      <c r="U544" s="198" t="s">
        <v>277</v>
      </c>
      <c r="V544" s="198" t="s">
        <v>56</v>
      </c>
      <c r="W544" s="198" t="s">
        <v>356</v>
      </c>
      <c r="X544" s="198" t="s">
        <v>57</v>
      </c>
      <c r="Y544" s="198" t="s">
        <v>58</v>
      </c>
      <c r="Z544" s="201">
        <v>46203</v>
      </c>
      <c r="AA544" s="198" t="s">
        <v>59</v>
      </c>
      <c r="AB544" s="198" t="s">
        <v>60</v>
      </c>
      <c r="AC544" s="198" t="s">
        <v>86</v>
      </c>
      <c r="AD544" s="198" t="s">
        <v>62</v>
      </c>
      <c r="AE544" s="198" t="s">
        <v>489</v>
      </c>
      <c r="AF544" s="198" t="s">
        <v>488</v>
      </c>
      <c r="AG544" s="198" t="s">
        <v>189</v>
      </c>
      <c r="AH544" s="198" t="s">
        <v>132</v>
      </c>
      <c r="AI544" s="198" t="s">
        <v>56</v>
      </c>
      <c r="AJ544" s="198" t="s">
        <v>398</v>
      </c>
      <c r="AK544" s="198" t="s">
        <v>51</v>
      </c>
      <c r="AL544" s="198" t="s">
        <v>67</v>
      </c>
      <c r="AM544" s="198" t="s">
        <v>68</v>
      </c>
      <c r="AN544" s="202">
        <v>1600</v>
      </c>
      <c r="AO544" s="202">
        <v>1600</v>
      </c>
      <c r="AP544" s="202">
        <v>1600</v>
      </c>
      <c r="AQ544" s="198" t="s">
        <v>358</v>
      </c>
      <c r="AR544" s="198" t="s">
        <v>51</v>
      </c>
      <c r="AS544" s="202">
        <v>1600</v>
      </c>
      <c r="AT544" s="202">
        <v>1600</v>
      </c>
      <c r="AU544" s="198" t="s">
        <v>359</v>
      </c>
      <c r="AV544" s="198" t="s">
        <v>62</v>
      </c>
      <c r="AW544" s="198" t="s">
        <v>54</v>
      </c>
    </row>
    <row r="545" spans="3:49" outlineLevel="2" x14ac:dyDescent="0.25">
      <c r="C545" s="201"/>
      <c r="D545" s="198" t="s">
        <v>520</v>
      </c>
      <c r="H545" s="198" t="s">
        <v>520</v>
      </c>
      <c r="I545" s="202">
        <f t="shared" si="8"/>
        <v>228777873.29999959</v>
      </c>
      <c r="J545" s="202">
        <v>55.399999999999899</v>
      </c>
      <c r="L545" s="204">
        <v>2</v>
      </c>
      <c r="M545" s="202">
        <v>3000</v>
      </c>
      <c r="N545" s="204">
        <v>2</v>
      </c>
      <c r="O545" s="198" t="s">
        <v>51</v>
      </c>
      <c r="P545" s="202">
        <v>3000</v>
      </c>
      <c r="Q545" s="198" t="s">
        <v>73</v>
      </c>
      <c r="R545" s="198" t="s">
        <v>53</v>
      </c>
      <c r="S545" s="198" t="s">
        <v>54</v>
      </c>
      <c r="T545" s="198" t="s">
        <v>443</v>
      </c>
      <c r="U545" s="198" t="s">
        <v>277</v>
      </c>
      <c r="V545" s="198" t="s">
        <v>56</v>
      </c>
      <c r="W545" s="198" t="s">
        <v>356</v>
      </c>
      <c r="X545" s="198" t="s">
        <v>57</v>
      </c>
      <c r="Y545" s="198" t="s">
        <v>58</v>
      </c>
      <c r="Z545" s="201">
        <v>46203</v>
      </c>
      <c r="AA545" s="198" t="s">
        <v>59</v>
      </c>
      <c r="AB545" s="198" t="s">
        <v>60</v>
      </c>
      <c r="AC545" s="198" t="s">
        <v>86</v>
      </c>
      <c r="AD545" s="198" t="s">
        <v>62</v>
      </c>
      <c r="AE545" s="198" t="s">
        <v>491</v>
      </c>
      <c r="AF545" s="198" t="s">
        <v>490</v>
      </c>
      <c r="AG545" s="198" t="s">
        <v>189</v>
      </c>
      <c r="AH545" s="198" t="s">
        <v>132</v>
      </c>
      <c r="AI545" s="198" t="s">
        <v>56</v>
      </c>
      <c r="AJ545" s="198" t="s">
        <v>406</v>
      </c>
      <c r="AK545" s="198" t="s">
        <v>51</v>
      </c>
      <c r="AL545" s="198" t="s">
        <v>67</v>
      </c>
      <c r="AM545" s="198" t="s">
        <v>68</v>
      </c>
      <c r="AN545" s="202">
        <v>3000</v>
      </c>
      <c r="AO545" s="202">
        <v>3000</v>
      </c>
      <c r="AP545" s="202">
        <v>3000</v>
      </c>
      <c r="AQ545" s="198" t="s">
        <v>358</v>
      </c>
      <c r="AR545" s="198" t="s">
        <v>51</v>
      </c>
      <c r="AS545" s="202">
        <v>3000</v>
      </c>
      <c r="AT545" s="202">
        <v>3000</v>
      </c>
      <c r="AU545" s="198" t="s">
        <v>359</v>
      </c>
      <c r="AV545" s="198" t="s">
        <v>62</v>
      </c>
      <c r="AW545" s="198" t="s">
        <v>54</v>
      </c>
    </row>
    <row r="546" spans="3:49" outlineLevel="2" x14ac:dyDescent="0.25">
      <c r="C546" s="201"/>
      <c r="D546" s="198" t="s">
        <v>520</v>
      </c>
      <c r="H546" s="198" t="s">
        <v>520</v>
      </c>
      <c r="I546" s="202">
        <f t="shared" si="8"/>
        <v>229190829.74999958</v>
      </c>
      <c r="J546" s="202">
        <v>55.499999999999901</v>
      </c>
      <c r="L546" s="204">
        <v>2</v>
      </c>
      <c r="M546" s="202">
        <v>1600</v>
      </c>
      <c r="N546" s="204">
        <v>2</v>
      </c>
      <c r="O546" s="198" t="s">
        <v>51</v>
      </c>
      <c r="P546" s="202">
        <v>1600</v>
      </c>
      <c r="Q546" s="198" t="s">
        <v>73</v>
      </c>
      <c r="R546" s="198" t="s">
        <v>53</v>
      </c>
      <c r="S546" s="198" t="s">
        <v>54</v>
      </c>
      <c r="T546" s="198" t="s">
        <v>443</v>
      </c>
      <c r="U546" s="198" t="s">
        <v>277</v>
      </c>
      <c r="V546" s="198" t="s">
        <v>56</v>
      </c>
      <c r="W546" s="198" t="s">
        <v>356</v>
      </c>
      <c r="X546" s="198" t="s">
        <v>57</v>
      </c>
      <c r="Y546" s="198" t="s">
        <v>58</v>
      </c>
      <c r="Z546" s="201">
        <v>46203</v>
      </c>
      <c r="AA546" s="198" t="s">
        <v>59</v>
      </c>
      <c r="AB546" s="198" t="s">
        <v>60</v>
      </c>
      <c r="AC546" s="198" t="s">
        <v>86</v>
      </c>
      <c r="AD546" s="198" t="s">
        <v>62</v>
      </c>
      <c r="AE546" s="198" t="s">
        <v>493</v>
      </c>
      <c r="AF546" s="198" t="s">
        <v>492</v>
      </c>
      <c r="AG546" s="198" t="s">
        <v>189</v>
      </c>
      <c r="AH546" s="198" t="s">
        <v>132</v>
      </c>
      <c r="AI546" s="198" t="s">
        <v>56</v>
      </c>
      <c r="AJ546" s="198" t="s">
        <v>452</v>
      </c>
      <c r="AK546" s="198" t="s">
        <v>51</v>
      </c>
      <c r="AL546" s="198" t="s">
        <v>67</v>
      </c>
      <c r="AM546" s="198" t="s">
        <v>68</v>
      </c>
      <c r="AN546" s="202">
        <v>1600</v>
      </c>
      <c r="AO546" s="202">
        <v>1600</v>
      </c>
      <c r="AP546" s="202">
        <v>1600</v>
      </c>
      <c r="AQ546" s="198" t="s">
        <v>358</v>
      </c>
      <c r="AR546" s="198" t="s">
        <v>51</v>
      </c>
      <c r="AS546" s="202">
        <v>1600</v>
      </c>
      <c r="AT546" s="202">
        <v>1600</v>
      </c>
      <c r="AU546" s="198" t="s">
        <v>359</v>
      </c>
      <c r="AV546" s="198" t="s">
        <v>62</v>
      </c>
      <c r="AW546" s="198" t="s">
        <v>54</v>
      </c>
    </row>
    <row r="547" spans="3:49" outlineLevel="2" x14ac:dyDescent="0.25">
      <c r="C547" s="201"/>
      <c r="D547" s="198" t="s">
        <v>520</v>
      </c>
      <c r="H547" s="198" t="s">
        <v>520</v>
      </c>
      <c r="I547" s="202">
        <f t="shared" si="8"/>
        <v>229603786.1999996</v>
      </c>
      <c r="J547" s="202">
        <v>55.599999999999902</v>
      </c>
      <c r="L547" s="204">
        <v>2</v>
      </c>
      <c r="M547" s="202">
        <v>600</v>
      </c>
      <c r="N547" s="204">
        <v>2</v>
      </c>
      <c r="O547" s="198" t="s">
        <v>51</v>
      </c>
      <c r="P547" s="202">
        <v>600</v>
      </c>
      <c r="Q547" s="198" t="s">
        <v>73</v>
      </c>
      <c r="R547" s="198" t="s">
        <v>53</v>
      </c>
      <c r="S547" s="198" t="s">
        <v>54</v>
      </c>
      <c r="T547" s="198" t="s">
        <v>443</v>
      </c>
      <c r="U547" s="198" t="s">
        <v>277</v>
      </c>
      <c r="V547" s="198" t="s">
        <v>56</v>
      </c>
      <c r="W547" s="198" t="s">
        <v>356</v>
      </c>
      <c r="X547" s="198" t="s">
        <v>57</v>
      </c>
      <c r="Y547" s="198" t="s">
        <v>58</v>
      </c>
      <c r="Z547" s="201">
        <v>46203</v>
      </c>
      <c r="AA547" s="198" t="s">
        <v>59</v>
      </c>
      <c r="AB547" s="198" t="s">
        <v>60</v>
      </c>
      <c r="AC547" s="198" t="s">
        <v>86</v>
      </c>
      <c r="AD547" s="198" t="s">
        <v>62</v>
      </c>
      <c r="AE547" s="198" t="s">
        <v>495</v>
      </c>
      <c r="AF547" s="198" t="s">
        <v>494</v>
      </c>
      <c r="AG547" s="198" t="s">
        <v>189</v>
      </c>
      <c r="AH547" s="198" t="s">
        <v>132</v>
      </c>
      <c r="AI547" s="198" t="s">
        <v>56</v>
      </c>
      <c r="AJ547" s="198" t="s">
        <v>455</v>
      </c>
      <c r="AK547" s="198" t="s">
        <v>51</v>
      </c>
      <c r="AL547" s="198" t="s">
        <v>67</v>
      </c>
      <c r="AM547" s="198" t="s">
        <v>68</v>
      </c>
      <c r="AN547" s="202">
        <v>600</v>
      </c>
      <c r="AO547" s="202">
        <v>600</v>
      </c>
      <c r="AP547" s="202">
        <v>600</v>
      </c>
      <c r="AQ547" s="198" t="s">
        <v>358</v>
      </c>
      <c r="AR547" s="198" t="s">
        <v>51</v>
      </c>
      <c r="AS547" s="202">
        <v>600</v>
      </c>
      <c r="AT547" s="202">
        <v>600</v>
      </c>
      <c r="AU547" s="198" t="s">
        <v>359</v>
      </c>
      <c r="AV547" s="198" t="s">
        <v>62</v>
      </c>
      <c r="AW547" s="198" t="s">
        <v>54</v>
      </c>
    </row>
    <row r="548" spans="3:49" outlineLevel="2" x14ac:dyDescent="0.25">
      <c r="C548" s="201"/>
      <c r="D548" s="198" t="s">
        <v>520</v>
      </c>
      <c r="H548" s="198" t="s">
        <v>520</v>
      </c>
      <c r="I548" s="202">
        <f t="shared" si="8"/>
        <v>230016742.64999959</v>
      </c>
      <c r="J548" s="202">
        <v>55.699999999999903</v>
      </c>
      <c r="L548" s="204">
        <v>2</v>
      </c>
      <c r="M548" s="202">
        <v>2500</v>
      </c>
      <c r="N548" s="204">
        <v>2</v>
      </c>
      <c r="O548" s="198" t="s">
        <v>51</v>
      </c>
      <c r="P548" s="202">
        <v>2500</v>
      </c>
      <c r="Q548" s="198" t="s">
        <v>73</v>
      </c>
      <c r="R548" s="198" t="s">
        <v>53</v>
      </c>
      <c r="S548" s="198" t="s">
        <v>54</v>
      </c>
      <c r="T548" s="198" t="s">
        <v>443</v>
      </c>
      <c r="U548" s="198" t="s">
        <v>277</v>
      </c>
      <c r="V548" s="198" t="s">
        <v>56</v>
      </c>
      <c r="W548" s="198" t="s">
        <v>356</v>
      </c>
      <c r="X548" s="198" t="s">
        <v>57</v>
      </c>
      <c r="Y548" s="198" t="s">
        <v>58</v>
      </c>
      <c r="Z548" s="201">
        <v>46203</v>
      </c>
      <c r="AA548" s="198" t="s">
        <v>59</v>
      </c>
      <c r="AB548" s="198" t="s">
        <v>60</v>
      </c>
      <c r="AC548" s="198" t="s">
        <v>86</v>
      </c>
      <c r="AD548" s="198" t="s">
        <v>62</v>
      </c>
      <c r="AE548" s="198" t="s">
        <v>497</v>
      </c>
      <c r="AF548" s="198" t="s">
        <v>496</v>
      </c>
      <c r="AG548" s="198" t="s">
        <v>189</v>
      </c>
      <c r="AH548" s="198" t="s">
        <v>132</v>
      </c>
      <c r="AI548" s="198" t="s">
        <v>56</v>
      </c>
      <c r="AJ548" s="198" t="s">
        <v>455</v>
      </c>
      <c r="AK548" s="198" t="s">
        <v>51</v>
      </c>
      <c r="AL548" s="198" t="s">
        <v>67</v>
      </c>
      <c r="AM548" s="198" t="s">
        <v>68</v>
      </c>
      <c r="AN548" s="202">
        <v>2500</v>
      </c>
      <c r="AO548" s="202">
        <v>2500</v>
      </c>
      <c r="AP548" s="202">
        <v>2500</v>
      </c>
      <c r="AQ548" s="198" t="s">
        <v>358</v>
      </c>
      <c r="AR548" s="198" t="s">
        <v>51</v>
      </c>
      <c r="AS548" s="202">
        <v>2500</v>
      </c>
      <c r="AT548" s="202">
        <v>2500</v>
      </c>
      <c r="AU548" s="198" t="s">
        <v>359</v>
      </c>
      <c r="AV548" s="198" t="s">
        <v>62</v>
      </c>
      <c r="AW548" s="198" t="s">
        <v>54</v>
      </c>
    </row>
    <row r="549" spans="3:49" outlineLevel="2" x14ac:dyDescent="0.25">
      <c r="C549" s="201"/>
      <c r="D549" s="198" t="s">
        <v>520</v>
      </c>
      <c r="H549" s="198" t="s">
        <v>520</v>
      </c>
      <c r="I549" s="202">
        <f t="shared" si="8"/>
        <v>230429699.09999958</v>
      </c>
      <c r="J549" s="202">
        <v>55.799999999999898</v>
      </c>
      <c r="L549" s="204">
        <v>50</v>
      </c>
      <c r="M549" s="202">
        <v>6000</v>
      </c>
      <c r="N549" s="204">
        <v>50</v>
      </c>
      <c r="O549" s="198" t="s">
        <v>51</v>
      </c>
      <c r="P549" s="202">
        <v>6000</v>
      </c>
      <c r="Q549" s="198" t="s">
        <v>73</v>
      </c>
      <c r="R549" s="198" t="s">
        <v>53</v>
      </c>
      <c r="S549" s="198" t="s">
        <v>54</v>
      </c>
      <c r="T549" s="198" t="s">
        <v>443</v>
      </c>
      <c r="U549" s="198" t="s">
        <v>277</v>
      </c>
      <c r="V549" s="198" t="s">
        <v>56</v>
      </c>
      <c r="W549" s="198" t="s">
        <v>356</v>
      </c>
      <c r="X549" s="198" t="s">
        <v>57</v>
      </c>
      <c r="Y549" s="198" t="s">
        <v>58</v>
      </c>
      <c r="Z549" s="201">
        <v>46203</v>
      </c>
      <c r="AA549" s="198" t="s">
        <v>59</v>
      </c>
      <c r="AB549" s="198" t="s">
        <v>60</v>
      </c>
      <c r="AC549" s="198" t="s">
        <v>86</v>
      </c>
      <c r="AD549" s="198" t="s">
        <v>62</v>
      </c>
      <c r="AE549" s="198" t="s">
        <v>499</v>
      </c>
      <c r="AF549" s="198" t="s">
        <v>498</v>
      </c>
      <c r="AG549" s="198" t="s">
        <v>189</v>
      </c>
      <c r="AH549" s="198" t="s">
        <v>132</v>
      </c>
      <c r="AI549" s="198" t="s">
        <v>56</v>
      </c>
      <c r="AJ549" s="198" t="s">
        <v>382</v>
      </c>
      <c r="AK549" s="198" t="s">
        <v>51</v>
      </c>
      <c r="AL549" s="198" t="s">
        <v>67</v>
      </c>
      <c r="AM549" s="198" t="s">
        <v>68</v>
      </c>
      <c r="AN549" s="202">
        <v>6000</v>
      </c>
      <c r="AO549" s="202">
        <v>6000</v>
      </c>
      <c r="AP549" s="202">
        <v>6000</v>
      </c>
      <c r="AQ549" s="198" t="s">
        <v>358</v>
      </c>
      <c r="AR549" s="198" t="s">
        <v>51</v>
      </c>
      <c r="AS549" s="202">
        <v>6000</v>
      </c>
      <c r="AT549" s="202">
        <v>6000</v>
      </c>
      <c r="AU549" s="198" t="s">
        <v>359</v>
      </c>
      <c r="AV549" s="198" t="s">
        <v>62</v>
      </c>
      <c r="AW549" s="198" t="s">
        <v>54</v>
      </c>
    </row>
    <row r="550" spans="3:49" outlineLevel="2" x14ac:dyDescent="0.25">
      <c r="C550" s="201"/>
      <c r="D550" s="198" t="s">
        <v>520</v>
      </c>
      <c r="H550" s="198" t="s">
        <v>520</v>
      </c>
      <c r="I550" s="202">
        <f t="shared" si="8"/>
        <v>230842655.54999959</v>
      </c>
      <c r="J550" s="202">
        <v>55.899999999999899</v>
      </c>
      <c r="L550" s="204">
        <v>50</v>
      </c>
      <c r="M550" s="202">
        <v>42500</v>
      </c>
      <c r="N550" s="204">
        <v>50</v>
      </c>
      <c r="O550" s="198" t="s">
        <v>51</v>
      </c>
      <c r="P550" s="202">
        <v>42500</v>
      </c>
      <c r="Q550" s="198" t="s">
        <v>73</v>
      </c>
      <c r="R550" s="198" t="s">
        <v>53</v>
      </c>
      <c r="S550" s="198" t="s">
        <v>54</v>
      </c>
      <c r="T550" s="198" t="s">
        <v>443</v>
      </c>
      <c r="U550" s="198" t="s">
        <v>277</v>
      </c>
      <c r="V550" s="198" t="s">
        <v>56</v>
      </c>
      <c r="W550" s="198" t="s">
        <v>356</v>
      </c>
      <c r="X550" s="198" t="s">
        <v>57</v>
      </c>
      <c r="Y550" s="198" t="s">
        <v>58</v>
      </c>
      <c r="Z550" s="201">
        <v>46203</v>
      </c>
      <c r="AA550" s="198" t="s">
        <v>59</v>
      </c>
      <c r="AB550" s="198" t="s">
        <v>60</v>
      </c>
      <c r="AC550" s="198" t="s">
        <v>86</v>
      </c>
      <c r="AD550" s="198" t="s">
        <v>62</v>
      </c>
      <c r="AE550" s="198" t="s">
        <v>501</v>
      </c>
      <c r="AF550" s="198" t="s">
        <v>500</v>
      </c>
      <c r="AG550" s="198" t="s">
        <v>189</v>
      </c>
      <c r="AH550" s="198" t="s">
        <v>132</v>
      </c>
      <c r="AI550" s="198" t="s">
        <v>56</v>
      </c>
      <c r="AJ550" s="198" t="s">
        <v>406</v>
      </c>
      <c r="AK550" s="198" t="s">
        <v>51</v>
      </c>
      <c r="AL550" s="198" t="s">
        <v>67</v>
      </c>
      <c r="AM550" s="198" t="s">
        <v>68</v>
      </c>
      <c r="AN550" s="202">
        <v>42500</v>
      </c>
      <c r="AO550" s="202">
        <v>42500</v>
      </c>
      <c r="AP550" s="202">
        <v>42500</v>
      </c>
      <c r="AQ550" s="198" t="s">
        <v>358</v>
      </c>
      <c r="AR550" s="198" t="s">
        <v>51</v>
      </c>
      <c r="AS550" s="202">
        <v>42500</v>
      </c>
      <c r="AT550" s="202">
        <v>42500</v>
      </c>
      <c r="AU550" s="198" t="s">
        <v>359</v>
      </c>
      <c r="AV550" s="198" t="s">
        <v>62</v>
      </c>
      <c r="AW550" s="198" t="s">
        <v>54</v>
      </c>
    </row>
    <row r="551" spans="3:49" outlineLevel="2" x14ac:dyDescent="0.25">
      <c r="C551" s="201"/>
      <c r="D551" s="198" t="s">
        <v>520</v>
      </c>
      <c r="H551" s="198" t="s">
        <v>520</v>
      </c>
      <c r="I551" s="202">
        <f t="shared" si="8"/>
        <v>231255611.99999958</v>
      </c>
      <c r="J551" s="202">
        <v>55.999999999999901</v>
      </c>
      <c r="L551" s="204">
        <v>5</v>
      </c>
      <c r="M551" s="202">
        <v>1500</v>
      </c>
      <c r="N551" s="204">
        <v>5</v>
      </c>
      <c r="O551" s="198" t="s">
        <v>51</v>
      </c>
      <c r="P551" s="202">
        <v>1500</v>
      </c>
      <c r="Q551" s="198" t="s">
        <v>73</v>
      </c>
      <c r="R551" s="198" t="s">
        <v>53</v>
      </c>
      <c r="S551" s="198" t="s">
        <v>54</v>
      </c>
      <c r="T551" s="198" t="s">
        <v>443</v>
      </c>
      <c r="U551" s="198" t="s">
        <v>277</v>
      </c>
      <c r="V551" s="198" t="s">
        <v>56</v>
      </c>
      <c r="W551" s="198" t="s">
        <v>356</v>
      </c>
      <c r="X551" s="198" t="s">
        <v>57</v>
      </c>
      <c r="Y551" s="198" t="s">
        <v>58</v>
      </c>
      <c r="Z551" s="201">
        <v>46203</v>
      </c>
      <c r="AA551" s="198" t="s">
        <v>59</v>
      </c>
      <c r="AB551" s="198" t="s">
        <v>60</v>
      </c>
      <c r="AC551" s="198" t="s">
        <v>86</v>
      </c>
      <c r="AD551" s="198" t="s">
        <v>62</v>
      </c>
      <c r="AE551" s="198" t="s">
        <v>503</v>
      </c>
      <c r="AF551" s="198" t="s">
        <v>502</v>
      </c>
      <c r="AG551" s="198" t="s">
        <v>189</v>
      </c>
      <c r="AH551" s="198" t="s">
        <v>132</v>
      </c>
      <c r="AI551" s="198" t="s">
        <v>56</v>
      </c>
      <c r="AJ551" s="198" t="s">
        <v>455</v>
      </c>
      <c r="AK551" s="198" t="s">
        <v>51</v>
      </c>
      <c r="AL551" s="198" t="s">
        <v>67</v>
      </c>
      <c r="AM551" s="198" t="s">
        <v>68</v>
      </c>
      <c r="AN551" s="202">
        <v>1500</v>
      </c>
      <c r="AO551" s="202">
        <v>1500</v>
      </c>
      <c r="AP551" s="202">
        <v>1500</v>
      </c>
      <c r="AQ551" s="198" t="s">
        <v>358</v>
      </c>
      <c r="AR551" s="198" t="s">
        <v>51</v>
      </c>
      <c r="AS551" s="202">
        <v>1500</v>
      </c>
      <c r="AT551" s="202">
        <v>1500</v>
      </c>
      <c r="AU551" s="198" t="s">
        <v>359</v>
      </c>
      <c r="AV551" s="198" t="s">
        <v>62</v>
      </c>
      <c r="AW551" s="198" t="s">
        <v>54</v>
      </c>
    </row>
    <row r="552" spans="3:49" outlineLevel="2" x14ac:dyDescent="0.25">
      <c r="C552" s="201"/>
      <c r="D552" s="198" t="s">
        <v>520</v>
      </c>
      <c r="H552" s="198" t="s">
        <v>520</v>
      </c>
      <c r="I552" s="202">
        <f t="shared" si="8"/>
        <v>231668568.4499996</v>
      </c>
      <c r="J552" s="202">
        <v>56.099999999999902</v>
      </c>
      <c r="L552" s="204">
        <v>2</v>
      </c>
      <c r="M552" s="202">
        <v>10000</v>
      </c>
      <c r="N552" s="204">
        <v>2</v>
      </c>
      <c r="O552" s="198" t="s">
        <v>51</v>
      </c>
      <c r="P552" s="202">
        <v>10000</v>
      </c>
      <c r="Q552" s="198" t="s">
        <v>73</v>
      </c>
      <c r="R552" s="198" t="s">
        <v>53</v>
      </c>
      <c r="S552" s="198" t="s">
        <v>54</v>
      </c>
      <c r="T552" s="198" t="s">
        <v>443</v>
      </c>
      <c r="U552" s="198" t="s">
        <v>277</v>
      </c>
      <c r="V552" s="198" t="s">
        <v>56</v>
      </c>
      <c r="W552" s="198" t="s">
        <v>356</v>
      </c>
      <c r="X552" s="198" t="s">
        <v>57</v>
      </c>
      <c r="Y552" s="198" t="s">
        <v>58</v>
      </c>
      <c r="Z552" s="201">
        <v>46203</v>
      </c>
      <c r="AA552" s="198" t="s">
        <v>59</v>
      </c>
      <c r="AB552" s="198" t="s">
        <v>60</v>
      </c>
      <c r="AC552" s="198" t="s">
        <v>86</v>
      </c>
      <c r="AD552" s="198" t="s">
        <v>62</v>
      </c>
      <c r="AE552" s="198" t="s">
        <v>505</v>
      </c>
      <c r="AF552" s="198" t="s">
        <v>504</v>
      </c>
      <c r="AG552" s="198" t="s">
        <v>189</v>
      </c>
      <c r="AH552" s="198" t="s">
        <v>132</v>
      </c>
      <c r="AI552" s="198" t="s">
        <v>56</v>
      </c>
      <c r="AJ552" s="198" t="s">
        <v>452</v>
      </c>
      <c r="AK552" s="198" t="s">
        <v>51</v>
      </c>
      <c r="AL552" s="198" t="s">
        <v>67</v>
      </c>
      <c r="AM552" s="198" t="s">
        <v>68</v>
      </c>
      <c r="AN552" s="202">
        <v>10000</v>
      </c>
      <c r="AO552" s="202">
        <v>10000</v>
      </c>
      <c r="AP552" s="202">
        <v>10000</v>
      </c>
      <c r="AQ552" s="198" t="s">
        <v>358</v>
      </c>
      <c r="AR552" s="198" t="s">
        <v>51</v>
      </c>
      <c r="AS552" s="202">
        <v>10000</v>
      </c>
      <c r="AT552" s="202">
        <v>10000</v>
      </c>
      <c r="AU552" s="198" t="s">
        <v>359</v>
      </c>
      <c r="AV552" s="198" t="s">
        <v>62</v>
      </c>
      <c r="AW552" s="198" t="s">
        <v>54</v>
      </c>
    </row>
    <row r="553" spans="3:49" outlineLevel="2" x14ac:dyDescent="0.25">
      <c r="C553" s="201"/>
      <c r="D553" s="198" t="s">
        <v>520</v>
      </c>
      <c r="H553" s="198" t="s">
        <v>520</v>
      </c>
      <c r="I553" s="202">
        <f t="shared" si="8"/>
        <v>232081524.89999959</v>
      </c>
      <c r="J553" s="202">
        <v>56.199999999999903</v>
      </c>
      <c r="L553" s="204">
        <v>1</v>
      </c>
      <c r="M553" s="202">
        <v>12000</v>
      </c>
      <c r="N553" s="204">
        <v>1</v>
      </c>
      <c r="O553" s="198" t="s">
        <v>51</v>
      </c>
      <c r="P553" s="202">
        <v>12000</v>
      </c>
      <c r="Q553" s="198" t="s">
        <v>73</v>
      </c>
      <c r="R553" s="198" t="s">
        <v>53</v>
      </c>
      <c r="S553" s="198" t="s">
        <v>54</v>
      </c>
      <c r="T553" s="198" t="s">
        <v>443</v>
      </c>
      <c r="U553" s="198" t="s">
        <v>277</v>
      </c>
      <c r="V553" s="198" t="s">
        <v>56</v>
      </c>
      <c r="W553" s="198" t="s">
        <v>356</v>
      </c>
      <c r="X553" s="198" t="s">
        <v>57</v>
      </c>
      <c r="Y553" s="198" t="s">
        <v>58</v>
      </c>
      <c r="Z553" s="201">
        <v>46203</v>
      </c>
      <c r="AA553" s="198" t="s">
        <v>59</v>
      </c>
      <c r="AB553" s="198" t="s">
        <v>60</v>
      </c>
      <c r="AC553" s="198" t="s">
        <v>86</v>
      </c>
      <c r="AD553" s="198" t="s">
        <v>62</v>
      </c>
      <c r="AE553" s="198" t="s">
        <v>507</v>
      </c>
      <c r="AF553" s="198" t="s">
        <v>506</v>
      </c>
      <c r="AG553" s="198" t="s">
        <v>189</v>
      </c>
      <c r="AH553" s="198" t="s">
        <v>132</v>
      </c>
      <c r="AI553" s="198" t="s">
        <v>56</v>
      </c>
      <c r="AJ553" s="198" t="s">
        <v>149</v>
      </c>
      <c r="AK553" s="198" t="s">
        <v>51</v>
      </c>
      <c r="AL553" s="198" t="s">
        <v>67</v>
      </c>
      <c r="AM553" s="198" t="s">
        <v>68</v>
      </c>
      <c r="AN553" s="202">
        <v>12000</v>
      </c>
      <c r="AO553" s="202">
        <v>12000</v>
      </c>
      <c r="AP553" s="202">
        <v>12000</v>
      </c>
      <c r="AQ553" s="198" t="s">
        <v>358</v>
      </c>
      <c r="AR553" s="198" t="s">
        <v>51</v>
      </c>
      <c r="AS553" s="202">
        <v>12000</v>
      </c>
      <c r="AT553" s="202">
        <v>12000</v>
      </c>
      <c r="AU553" s="198" t="s">
        <v>359</v>
      </c>
      <c r="AV553" s="198" t="s">
        <v>62</v>
      </c>
      <c r="AW553" s="198" t="s">
        <v>54</v>
      </c>
    </row>
    <row r="554" spans="3:49" outlineLevel="2" x14ac:dyDescent="0.25">
      <c r="C554" s="201"/>
      <c r="D554" s="198" t="s">
        <v>520</v>
      </c>
      <c r="H554" s="198" t="s">
        <v>520</v>
      </c>
      <c r="I554" s="202">
        <f t="shared" si="8"/>
        <v>232494481.34999958</v>
      </c>
      <c r="J554" s="202">
        <v>56.299999999999898</v>
      </c>
      <c r="L554" s="204">
        <v>2</v>
      </c>
      <c r="M554" s="202">
        <v>1000</v>
      </c>
      <c r="N554" s="204">
        <v>2</v>
      </c>
      <c r="O554" s="198" t="s">
        <v>51</v>
      </c>
      <c r="P554" s="202">
        <v>1000</v>
      </c>
      <c r="Q554" s="198" t="s">
        <v>73</v>
      </c>
      <c r="R554" s="198" t="s">
        <v>53</v>
      </c>
      <c r="S554" s="198" t="s">
        <v>54</v>
      </c>
      <c r="T554" s="198" t="s">
        <v>443</v>
      </c>
      <c r="U554" s="198" t="s">
        <v>277</v>
      </c>
      <c r="V554" s="198" t="s">
        <v>56</v>
      </c>
      <c r="W554" s="198" t="s">
        <v>356</v>
      </c>
      <c r="X554" s="198" t="s">
        <v>57</v>
      </c>
      <c r="Y554" s="198" t="s">
        <v>58</v>
      </c>
      <c r="Z554" s="201">
        <v>46203</v>
      </c>
      <c r="AA554" s="198" t="s">
        <v>59</v>
      </c>
      <c r="AB554" s="198" t="s">
        <v>60</v>
      </c>
      <c r="AC554" s="198" t="s">
        <v>86</v>
      </c>
      <c r="AD554" s="198" t="s">
        <v>62</v>
      </c>
      <c r="AE554" s="198" t="s">
        <v>509</v>
      </c>
      <c r="AF554" s="198" t="s">
        <v>508</v>
      </c>
      <c r="AG554" s="198" t="s">
        <v>189</v>
      </c>
      <c r="AH554" s="198" t="s">
        <v>132</v>
      </c>
      <c r="AI554" s="198" t="s">
        <v>56</v>
      </c>
      <c r="AJ554" s="198" t="s">
        <v>449</v>
      </c>
      <c r="AK554" s="198" t="s">
        <v>51</v>
      </c>
      <c r="AL554" s="198" t="s">
        <v>67</v>
      </c>
      <c r="AM554" s="198" t="s">
        <v>68</v>
      </c>
      <c r="AN554" s="202">
        <v>1000</v>
      </c>
      <c r="AO554" s="202">
        <v>1000</v>
      </c>
      <c r="AP554" s="202">
        <v>1000</v>
      </c>
      <c r="AQ554" s="198" t="s">
        <v>358</v>
      </c>
      <c r="AR554" s="198" t="s">
        <v>51</v>
      </c>
      <c r="AS554" s="202">
        <v>1000</v>
      </c>
      <c r="AT554" s="202">
        <v>1000</v>
      </c>
      <c r="AU554" s="198" t="s">
        <v>359</v>
      </c>
      <c r="AV554" s="198" t="s">
        <v>62</v>
      </c>
      <c r="AW554" s="198" t="s">
        <v>54</v>
      </c>
    </row>
    <row r="555" spans="3:49" outlineLevel="2" x14ac:dyDescent="0.25">
      <c r="C555" s="201"/>
      <c r="D555" s="198" t="s">
        <v>520</v>
      </c>
      <c r="H555" s="198" t="s">
        <v>520</v>
      </c>
      <c r="I555" s="202">
        <f t="shared" si="8"/>
        <v>232907437.79999959</v>
      </c>
      <c r="J555" s="202">
        <v>56.399999999999899</v>
      </c>
      <c r="L555" s="204">
        <v>1</v>
      </c>
      <c r="M555" s="202">
        <v>15000</v>
      </c>
      <c r="N555" s="204">
        <v>1</v>
      </c>
      <c r="O555" s="198" t="s">
        <v>51</v>
      </c>
      <c r="P555" s="202">
        <v>15000</v>
      </c>
      <c r="Q555" s="198" t="s">
        <v>73</v>
      </c>
      <c r="R555" s="198" t="s">
        <v>53</v>
      </c>
      <c r="S555" s="198" t="s">
        <v>54</v>
      </c>
      <c r="T555" s="198" t="s">
        <v>443</v>
      </c>
      <c r="U555" s="198" t="s">
        <v>277</v>
      </c>
      <c r="V555" s="198" t="s">
        <v>56</v>
      </c>
      <c r="W555" s="198" t="s">
        <v>356</v>
      </c>
      <c r="X555" s="198" t="s">
        <v>57</v>
      </c>
      <c r="Y555" s="198" t="s">
        <v>58</v>
      </c>
      <c r="Z555" s="201">
        <v>46203</v>
      </c>
      <c r="AA555" s="198" t="s">
        <v>59</v>
      </c>
      <c r="AB555" s="198" t="s">
        <v>60</v>
      </c>
      <c r="AC555" s="198" t="s">
        <v>86</v>
      </c>
      <c r="AD555" s="198" t="s">
        <v>62</v>
      </c>
      <c r="AE555" s="198" t="s">
        <v>511</v>
      </c>
      <c r="AF555" s="198" t="s">
        <v>510</v>
      </c>
      <c r="AG555" s="198" t="s">
        <v>189</v>
      </c>
      <c r="AH555" s="198" t="s">
        <v>132</v>
      </c>
      <c r="AI555" s="198" t="s">
        <v>56</v>
      </c>
      <c r="AJ555" s="198" t="s">
        <v>294</v>
      </c>
      <c r="AK555" s="198" t="s">
        <v>51</v>
      </c>
      <c r="AL555" s="198" t="s">
        <v>67</v>
      </c>
      <c r="AM555" s="198" t="s">
        <v>68</v>
      </c>
      <c r="AN555" s="202">
        <v>15000</v>
      </c>
      <c r="AO555" s="202">
        <v>15000</v>
      </c>
      <c r="AP555" s="202">
        <v>15000</v>
      </c>
      <c r="AQ555" s="198" t="s">
        <v>358</v>
      </c>
      <c r="AR555" s="198" t="s">
        <v>51</v>
      </c>
      <c r="AS555" s="202">
        <v>15000</v>
      </c>
      <c r="AT555" s="202">
        <v>15000</v>
      </c>
      <c r="AU555" s="198" t="s">
        <v>359</v>
      </c>
      <c r="AV555" s="198" t="s">
        <v>62</v>
      </c>
      <c r="AW555" s="198" t="s">
        <v>54</v>
      </c>
    </row>
    <row r="556" spans="3:49" outlineLevel="2" x14ac:dyDescent="0.25">
      <c r="C556" s="201"/>
      <c r="D556" s="198" t="s">
        <v>520</v>
      </c>
      <c r="H556" s="198" t="s">
        <v>520</v>
      </c>
      <c r="I556" s="202">
        <f t="shared" si="8"/>
        <v>233320394.24999958</v>
      </c>
      <c r="J556" s="202">
        <v>56.499999999999901</v>
      </c>
      <c r="L556" s="204">
        <v>1</v>
      </c>
      <c r="M556" s="202">
        <v>65000</v>
      </c>
      <c r="N556" s="204">
        <v>1</v>
      </c>
      <c r="O556" s="198" t="s">
        <v>51</v>
      </c>
      <c r="P556" s="202">
        <v>65000</v>
      </c>
      <c r="Q556" s="198" t="s">
        <v>73</v>
      </c>
      <c r="R556" s="198" t="s">
        <v>53</v>
      </c>
      <c r="S556" s="198" t="s">
        <v>54</v>
      </c>
      <c r="T556" s="198" t="s">
        <v>443</v>
      </c>
      <c r="U556" s="198" t="s">
        <v>277</v>
      </c>
      <c r="V556" s="198" t="s">
        <v>56</v>
      </c>
      <c r="W556" s="198" t="s">
        <v>356</v>
      </c>
      <c r="X556" s="198" t="s">
        <v>57</v>
      </c>
      <c r="Y556" s="198" t="s">
        <v>58</v>
      </c>
      <c r="Z556" s="201">
        <v>46203</v>
      </c>
      <c r="AA556" s="198" t="s">
        <v>59</v>
      </c>
      <c r="AB556" s="198" t="s">
        <v>60</v>
      </c>
      <c r="AC556" s="198" t="s">
        <v>86</v>
      </c>
      <c r="AD556" s="198" t="s">
        <v>62</v>
      </c>
      <c r="AE556" s="198" t="s">
        <v>513</v>
      </c>
      <c r="AF556" s="198" t="s">
        <v>512</v>
      </c>
      <c r="AG556" s="198" t="s">
        <v>189</v>
      </c>
      <c r="AH556" s="198" t="s">
        <v>132</v>
      </c>
      <c r="AI556" s="198" t="s">
        <v>56</v>
      </c>
      <c r="AJ556" s="198" t="s">
        <v>382</v>
      </c>
      <c r="AK556" s="198" t="s">
        <v>51</v>
      </c>
      <c r="AL556" s="198" t="s">
        <v>67</v>
      </c>
      <c r="AM556" s="198" t="s">
        <v>68</v>
      </c>
      <c r="AN556" s="202">
        <v>65000</v>
      </c>
      <c r="AO556" s="202">
        <v>65000</v>
      </c>
      <c r="AP556" s="202">
        <v>65000</v>
      </c>
      <c r="AQ556" s="198" t="s">
        <v>358</v>
      </c>
      <c r="AR556" s="198" t="s">
        <v>51</v>
      </c>
      <c r="AS556" s="202">
        <v>65000</v>
      </c>
      <c r="AT556" s="202">
        <v>65000</v>
      </c>
      <c r="AU556" s="198" t="s">
        <v>359</v>
      </c>
      <c r="AV556" s="198" t="s">
        <v>62</v>
      </c>
      <c r="AW556" s="198" t="s">
        <v>54</v>
      </c>
    </row>
    <row r="557" spans="3:49" outlineLevel="2" x14ac:dyDescent="0.25">
      <c r="C557" s="201"/>
      <c r="D557" s="198" t="s">
        <v>129</v>
      </c>
      <c r="H557" s="198" t="s">
        <v>129</v>
      </c>
      <c r="I557" s="202">
        <f t="shared" si="8"/>
        <v>233733350.6999996</v>
      </c>
      <c r="J557" s="202">
        <v>56.599999999999902</v>
      </c>
      <c r="L557" s="204">
        <v>54</v>
      </c>
      <c r="M557" s="202">
        <v>39342240</v>
      </c>
      <c r="N557" s="204">
        <v>20</v>
      </c>
      <c r="O557" s="198" t="s">
        <v>51</v>
      </c>
      <c r="P557" s="202">
        <v>14571199.4</v>
      </c>
      <c r="Q557" s="198" t="s">
        <v>73</v>
      </c>
      <c r="R557" s="198" t="s">
        <v>53</v>
      </c>
      <c r="S557" s="198" t="s">
        <v>54</v>
      </c>
      <c r="T557" s="198" t="s">
        <v>522</v>
      </c>
      <c r="U557" s="198" t="s">
        <v>1740</v>
      </c>
      <c r="V557" s="198" t="s">
        <v>56</v>
      </c>
      <c r="W557" s="198" t="s">
        <v>356</v>
      </c>
      <c r="X557" s="198" t="s">
        <v>57</v>
      </c>
      <c r="Y557" s="198" t="s">
        <v>58</v>
      </c>
      <c r="Z557" s="201">
        <v>46203</v>
      </c>
      <c r="AA557" s="198" t="s">
        <v>59</v>
      </c>
      <c r="AB557" s="198" t="s">
        <v>60</v>
      </c>
      <c r="AC557" s="198" t="s">
        <v>86</v>
      </c>
      <c r="AD557" s="198" t="s">
        <v>62</v>
      </c>
      <c r="AE557" s="198" t="s">
        <v>523</v>
      </c>
      <c r="AF557" s="198" t="s">
        <v>521</v>
      </c>
      <c r="AG557" s="198" t="s">
        <v>189</v>
      </c>
      <c r="AH557" s="198" t="s">
        <v>130</v>
      </c>
      <c r="AI557" s="198" t="s">
        <v>56</v>
      </c>
      <c r="AJ557" s="198" t="s">
        <v>406</v>
      </c>
      <c r="AK557" s="198" t="s">
        <v>51</v>
      </c>
      <c r="AL557" s="198" t="s">
        <v>67</v>
      </c>
      <c r="AM557" s="198" t="s">
        <v>68</v>
      </c>
      <c r="AN557" s="202">
        <v>39342240</v>
      </c>
      <c r="AO557" s="202">
        <v>39342240</v>
      </c>
      <c r="AP557" s="202">
        <v>39342240</v>
      </c>
      <c r="AQ557" s="198" t="s">
        <v>358</v>
      </c>
      <c r="AR557" s="198" t="s">
        <v>51</v>
      </c>
      <c r="AS557" s="202">
        <v>14571199.4</v>
      </c>
      <c r="AT557" s="202">
        <v>14571199.4</v>
      </c>
      <c r="AU557" s="198" t="s">
        <v>359</v>
      </c>
      <c r="AV557" s="198" t="s">
        <v>62</v>
      </c>
      <c r="AW557" s="198" t="s">
        <v>54</v>
      </c>
    </row>
    <row r="558" spans="3:49" outlineLevel="2" x14ac:dyDescent="0.25">
      <c r="C558" s="201"/>
      <c r="D558" s="198" t="s">
        <v>122</v>
      </c>
      <c r="H558" s="198" t="s">
        <v>122</v>
      </c>
      <c r="I558" s="202">
        <f t="shared" si="8"/>
        <v>234146307.14999959</v>
      </c>
      <c r="J558" s="202">
        <v>56.699999999999903</v>
      </c>
      <c r="L558" s="204">
        <v>30</v>
      </c>
      <c r="M558" s="202">
        <v>21856770</v>
      </c>
      <c r="N558" s="204">
        <v>30</v>
      </c>
      <c r="O558" s="198" t="s">
        <v>51</v>
      </c>
      <c r="P558" s="202">
        <v>21856770</v>
      </c>
      <c r="Q558" s="198" t="s">
        <v>73</v>
      </c>
      <c r="R558" s="198" t="s">
        <v>53</v>
      </c>
      <c r="S558" s="198" t="s">
        <v>54</v>
      </c>
      <c r="T558" s="198" t="s">
        <v>524</v>
      </c>
      <c r="U558" s="198" t="s">
        <v>367</v>
      </c>
      <c r="V558" s="198" t="s">
        <v>56</v>
      </c>
      <c r="W558" s="198" t="s">
        <v>356</v>
      </c>
      <c r="X558" s="198" t="s">
        <v>57</v>
      </c>
      <c r="Y558" s="198" t="s">
        <v>58</v>
      </c>
      <c r="Z558" s="201">
        <v>46203</v>
      </c>
      <c r="AA558" s="198" t="s">
        <v>59</v>
      </c>
      <c r="AB558" s="198" t="s">
        <v>60</v>
      </c>
      <c r="AC558" s="198" t="s">
        <v>86</v>
      </c>
      <c r="AD558" s="198" t="s">
        <v>62</v>
      </c>
      <c r="AE558" s="198" t="s">
        <v>523</v>
      </c>
      <c r="AF558" s="198" t="s">
        <v>521</v>
      </c>
      <c r="AG558" s="198" t="s">
        <v>189</v>
      </c>
      <c r="AH558" s="198" t="s">
        <v>126</v>
      </c>
      <c r="AI558" s="198" t="s">
        <v>56</v>
      </c>
      <c r="AJ558" s="198" t="s">
        <v>406</v>
      </c>
      <c r="AK558" s="198" t="s">
        <v>51</v>
      </c>
      <c r="AL558" s="198" t="s">
        <v>67</v>
      </c>
      <c r="AM558" s="198" t="s">
        <v>68</v>
      </c>
      <c r="AN558" s="202">
        <v>21856770</v>
      </c>
      <c r="AO558" s="202">
        <v>21856770</v>
      </c>
      <c r="AP558" s="202">
        <v>21856770</v>
      </c>
      <c r="AQ558" s="198" t="s">
        <v>358</v>
      </c>
      <c r="AR558" s="198" t="s">
        <v>51</v>
      </c>
      <c r="AS558" s="202">
        <v>21856770</v>
      </c>
      <c r="AT558" s="202">
        <v>21856770</v>
      </c>
      <c r="AU558" s="198" t="s">
        <v>359</v>
      </c>
      <c r="AV558" s="198" t="s">
        <v>62</v>
      </c>
      <c r="AW558" s="198" t="s">
        <v>54</v>
      </c>
    </row>
    <row r="559" spans="3:49" outlineLevel="2" x14ac:dyDescent="0.25">
      <c r="C559" s="201"/>
      <c r="D559" s="198" t="s">
        <v>525</v>
      </c>
      <c r="H559" s="198" t="s">
        <v>525</v>
      </c>
      <c r="I559" s="202">
        <f t="shared" si="8"/>
        <v>234559263.59999958</v>
      </c>
      <c r="J559" s="202">
        <v>56.799999999999898</v>
      </c>
      <c r="L559" s="204">
        <v>18</v>
      </c>
      <c r="M559" s="202">
        <v>137581992</v>
      </c>
      <c r="N559" s="204">
        <v>18</v>
      </c>
      <c r="O559" s="198" t="s">
        <v>51</v>
      </c>
      <c r="P559" s="202">
        <v>137581992</v>
      </c>
      <c r="Q559" s="198" t="s">
        <v>73</v>
      </c>
      <c r="R559" s="198" t="s">
        <v>53</v>
      </c>
      <c r="S559" s="198" t="s">
        <v>54</v>
      </c>
      <c r="T559" s="198" t="s">
        <v>2031</v>
      </c>
      <c r="U559" s="198" t="s">
        <v>2032</v>
      </c>
      <c r="V559" s="198" t="s">
        <v>56</v>
      </c>
      <c r="W559" s="198" t="s">
        <v>356</v>
      </c>
      <c r="X559" s="198" t="s">
        <v>57</v>
      </c>
      <c r="Y559" s="198" t="s">
        <v>58</v>
      </c>
      <c r="Z559" s="201">
        <v>46173</v>
      </c>
      <c r="AA559" s="198" t="s">
        <v>59</v>
      </c>
      <c r="AB559" s="198" t="s">
        <v>60</v>
      </c>
      <c r="AC559" s="198" t="s">
        <v>86</v>
      </c>
      <c r="AD559" s="198" t="s">
        <v>62</v>
      </c>
      <c r="AE559" s="198" t="s">
        <v>2033</v>
      </c>
      <c r="AF559" s="198" t="s">
        <v>2030</v>
      </c>
      <c r="AG559" s="198" t="s">
        <v>147</v>
      </c>
      <c r="AH559" s="198" t="s">
        <v>137</v>
      </c>
      <c r="AI559" s="198" t="s">
        <v>56</v>
      </c>
      <c r="AJ559" s="198" t="s">
        <v>128</v>
      </c>
      <c r="AK559" s="198" t="s">
        <v>51</v>
      </c>
      <c r="AL559" s="198" t="s">
        <v>67</v>
      </c>
      <c r="AM559" s="198" t="s">
        <v>68</v>
      </c>
      <c r="AN559" s="202">
        <v>137581992</v>
      </c>
      <c r="AO559" s="202">
        <v>137581992</v>
      </c>
      <c r="AP559" s="202">
        <v>137581992</v>
      </c>
      <c r="AQ559" s="198" t="s">
        <v>358</v>
      </c>
      <c r="AR559" s="198" t="s">
        <v>51</v>
      </c>
      <c r="AS559" s="202">
        <v>137581992</v>
      </c>
      <c r="AT559" s="202">
        <v>137581992</v>
      </c>
      <c r="AU559" s="198" t="s">
        <v>359</v>
      </c>
      <c r="AV559" s="198" t="s">
        <v>62</v>
      </c>
      <c r="AW559" s="198" t="s">
        <v>54</v>
      </c>
    </row>
    <row r="560" spans="3:49" outlineLevel="2" x14ac:dyDescent="0.25">
      <c r="C560" s="201"/>
      <c r="D560" s="198" t="s">
        <v>525</v>
      </c>
      <c r="H560" s="198" t="s">
        <v>525</v>
      </c>
      <c r="I560" s="202">
        <f t="shared" si="8"/>
        <v>234972220.04999959</v>
      </c>
      <c r="J560" s="202">
        <v>56.899999999999899</v>
      </c>
      <c r="L560" s="204">
        <v>2</v>
      </c>
      <c r="M560" s="202">
        <v>84000</v>
      </c>
      <c r="N560" s="204">
        <v>2</v>
      </c>
      <c r="O560" s="198" t="s">
        <v>51</v>
      </c>
      <c r="P560" s="202">
        <v>84000</v>
      </c>
      <c r="Q560" s="198" t="s">
        <v>73</v>
      </c>
      <c r="R560" s="198" t="s">
        <v>53</v>
      </c>
      <c r="S560" s="198" t="s">
        <v>54</v>
      </c>
      <c r="T560" s="198" t="s">
        <v>2031</v>
      </c>
      <c r="U560" s="198" t="s">
        <v>2032</v>
      </c>
      <c r="V560" s="198" t="s">
        <v>56</v>
      </c>
      <c r="W560" s="198" t="s">
        <v>356</v>
      </c>
      <c r="X560" s="198" t="s">
        <v>57</v>
      </c>
      <c r="Y560" s="198" t="s">
        <v>58</v>
      </c>
      <c r="Z560" s="201">
        <v>46173</v>
      </c>
      <c r="AA560" s="198" t="s">
        <v>59</v>
      </c>
      <c r="AB560" s="198" t="s">
        <v>60</v>
      </c>
      <c r="AC560" s="198" t="s">
        <v>86</v>
      </c>
      <c r="AD560" s="198" t="s">
        <v>62</v>
      </c>
      <c r="AE560" s="198" t="s">
        <v>446</v>
      </c>
      <c r="AF560" s="198" t="s">
        <v>445</v>
      </c>
      <c r="AG560" s="198" t="s">
        <v>147</v>
      </c>
      <c r="AH560" s="198" t="s">
        <v>137</v>
      </c>
      <c r="AI560" s="198" t="s">
        <v>56</v>
      </c>
      <c r="AJ560" s="198" t="s">
        <v>406</v>
      </c>
      <c r="AK560" s="198" t="s">
        <v>51</v>
      </c>
      <c r="AL560" s="198" t="s">
        <v>67</v>
      </c>
      <c r="AM560" s="198" t="s">
        <v>68</v>
      </c>
      <c r="AN560" s="202">
        <v>84000</v>
      </c>
      <c r="AO560" s="202">
        <v>84000</v>
      </c>
      <c r="AP560" s="202">
        <v>84000</v>
      </c>
      <c r="AQ560" s="198" t="s">
        <v>358</v>
      </c>
      <c r="AR560" s="198" t="s">
        <v>51</v>
      </c>
      <c r="AS560" s="202">
        <v>84000</v>
      </c>
      <c r="AT560" s="202">
        <v>84000</v>
      </c>
      <c r="AU560" s="198" t="s">
        <v>359</v>
      </c>
      <c r="AV560" s="198" t="s">
        <v>62</v>
      </c>
      <c r="AW560" s="198" t="s">
        <v>54</v>
      </c>
    </row>
    <row r="561" spans="3:49" outlineLevel="2" x14ac:dyDescent="0.25">
      <c r="C561" s="201"/>
      <c r="D561" s="198" t="s">
        <v>525</v>
      </c>
      <c r="H561" s="198" t="s">
        <v>525</v>
      </c>
      <c r="I561" s="202">
        <f t="shared" si="8"/>
        <v>235385176.49999958</v>
      </c>
      <c r="J561" s="202">
        <v>56.999999999999901</v>
      </c>
      <c r="L561" s="204">
        <v>2</v>
      </c>
      <c r="M561" s="202">
        <v>84000</v>
      </c>
      <c r="N561" s="204">
        <v>2</v>
      </c>
      <c r="O561" s="198" t="s">
        <v>51</v>
      </c>
      <c r="P561" s="202">
        <v>84000</v>
      </c>
      <c r="Q561" s="198" t="s">
        <v>73</v>
      </c>
      <c r="R561" s="198" t="s">
        <v>53</v>
      </c>
      <c r="S561" s="198" t="s">
        <v>54</v>
      </c>
      <c r="T561" s="198" t="s">
        <v>2031</v>
      </c>
      <c r="U561" s="198" t="s">
        <v>2032</v>
      </c>
      <c r="V561" s="198" t="s">
        <v>56</v>
      </c>
      <c r="W561" s="198" t="s">
        <v>356</v>
      </c>
      <c r="X561" s="198" t="s">
        <v>57</v>
      </c>
      <c r="Y561" s="198" t="s">
        <v>58</v>
      </c>
      <c r="Z561" s="201">
        <v>46173</v>
      </c>
      <c r="AA561" s="198" t="s">
        <v>59</v>
      </c>
      <c r="AB561" s="198" t="s">
        <v>60</v>
      </c>
      <c r="AC561" s="198" t="s">
        <v>86</v>
      </c>
      <c r="AD561" s="198" t="s">
        <v>62</v>
      </c>
      <c r="AE561" s="198" t="s">
        <v>448</v>
      </c>
      <c r="AF561" s="198" t="s">
        <v>447</v>
      </c>
      <c r="AG561" s="198" t="s">
        <v>147</v>
      </c>
      <c r="AH561" s="198" t="s">
        <v>137</v>
      </c>
      <c r="AI561" s="198" t="s">
        <v>56</v>
      </c>
      <c r="AJ561" s="198" t="s">
        <v>449</v>
      </c>
      <c r="AK561" s="198" t="s">
        <v>51</v>
      </c>
      <c r="AL561" s="198" t="s">
        <v>67</v>
      </c>
      <c r="AM561" s="198" t="s">
        <v>68</v>
      </c>
      <c r="AN561" s="202">
        <v>84000</v>
      </c>
      <c r="AO561" s="202">
        <v>84000</v>
      </c>
      <c r="AP561" s="202">
        <v>84000</v>
      </c>
      <c r="AQ561" s="198" t="s">
        <v>358</v>
      </c>
      <c r="AR561" s="198" t="s">
        <v>51</v>
      </c>
      <c r="AS561" s="202">
        <v>84000</v>
      </c>
      <c r="AT561" s="202">
        <v>84000</v>
      </c>
      <c r="AU561" s="198" t="s">
        <v>359</v>
      </c>
      <c r="AV561" s="198" t="s">
        <v>62</v>
      </c>
      <c r="AW561" s="198" t="s">
        <v>54</v>
      </c>
    </row>
    <row r="562" spans="3:49" outlineLevel="2" x14ac:dyDescent="0.25">
      <c r="C562" s="201"/>
      <c r="D562" s="198" t="s">
        <v>525</v>
      </c>
      <c r="H562" s="198" t="s">
        <v>525</v>
      </c>
      <c r="I562" s="202">
        <f t="shared" si="8"/>
        <v>235798132.9499996</v>
      </c>
      <c r="J562" s="202">
        <v>57.099999999999902</v>
      </c>
      <c r="L562" s="204">
        <v>2</v>
      </c>
      <c r="M562" s="202">
        <v>29740</v>
      </c>
      <c r="N562" s="204">
        <v>2</v>
      </c>
      <c r="O562" s="198" t="s">
        <v>51</v>
      </c>
      <c r="P562" s="202">
        <v>29740</v>
      </c>
      <c r="Q562" s="198" t="s">
        <v>73</v>
      </c>
      <c r="R562" s="198" t="s">
        <v>53</v>
      </c>
      <c r="S562" s="198" t="s">
        <v>54</v>
      </c>
      <c r="T562" s="198" t="s">
        <v>2031</v>
      </c>
      <c r="U562" s="198" t="s">
        <v>2032</v>
      </c>
      <c r="V562" s="198" t="s">
        <v>56</v>
      </c>
      <c r="W562" s="198" t="s">
        <v>356</v>
      </c>
      <c r="X562" s="198" t="s">
        <v>57</v>
      </c>
      <c r="Y562" s="198" t="s">
        <v>58</v>
      </c>
      <c r="Z562" s="201">
        <v>46173</v>
      </c>
      <c r="AA562" s="198" t="s">
        <v>59</v>
      </c>
      <c r="AB562" s="198" t="s">
        <v>60</v>
      </c>
      <c r="AC562" s="198" t="s">
        <v>86</v>
      </c>
      <c r="AD562" s="198" t="s">
        <v>62</v>
      </c>
      <c r="AE562" s="198" t="s">
        <v>2035</v>
      </c>
      <c r="AF562" s="198" t="s">
        <v>2034</v>
      </c>
      <c r="AG562" s="198" t="s">
        <v>147</v>
      </c>
      <c r="AH562" s="198" t="s">
        <v>137</v>
      </c>
      <c r="AI562" s="198" t="s">
        <v>56</v>
      </c>
      <c r="AJ562" s="198" t="s">
        <v>452</v>
      </c>
      <c r="AK562" s="198" t="s">
        <v>51</v>
      </c>
      <c r="AL562" s="198" t="s">
        <v>67</v>
      </c>
      <c r="AM562" s="198" t="s">
        <v>68</v>
      </c>
      <c r="AN562" s="202">
        <v>29740</v>
      </c>
      <c r="AO562" s="202">
        <v>29740</v>
      </c>
      <c r="AP562" s="202">
        <v>29740</v>
      </c>
      <c r="AQ562" s="198" t="s">
        <v>358</v>
      </c>
      <c r="AR562" s="198" t="s">
        <v>51</v>
      </c>
      <c r="AS562" s="202">
        <v>29740</v>
      </c>
      <c r="AT562" s="202">
        <v>29740</v>
      </c>
      <c r="AU562" s="198" t="s">
        <v>359</v>
      </c>
      <c r="AV562" s="198" t="s">
        <v>62</v>
      </c>
      <c r="AW562" s="198" t="s">
        <v>54</v>
      </c>
    </row>
    <row r="563" spans="3:49" outlineLevel="2" x14ac:dyDescent="0.25">
      <c r="C563" s="201"/>
      <c r="D563" s="198" t="s">
        <v>525</v>
      </c>
      <c r="H563" s="198" t="s">
        <v>525</v>
      </c>
      <c r="I563" s="202">
        <f t="shared" si="8"/>
        <v>236211089.39999959</v>
      </c>
      <c r="J563" s="202">
        <v>57.199999999999903</v>
      </c>
      <c r="L563" s="204">
        <v>18</v>
      </c>
      <c r="M563" s="202">
        <v>50400</v>
      </c>
      <c r="N563" s="204">
        <v>18</v>
      </c>
      <c r="O563" s="198" t="s">
        <v>51</v>
      </c>
      <c r="P563" s="202">
        <v>50400</v>
      </c>
      <c r="Q563" s="198" t="s">
        <v>73</v>
      </c>
      <c r="R563" s="198" t="s">
        <v>53</v>
      </c>
      <c r="S563" s="198" t="s">
        <v>54</v>
      </c>
      <c r="T563" s="198" t="s">
        <v>2031</v>
      </c>
      <c r="U563" s="198" t="s">
        <v>2032</v>
      </c>
      <c r="V563" s="198" t="s">
        <v>56</v>
      </c>
      <c r="W563" s="198" t="s">
        <v>356</v>
      </c>
      <c r="X563" s="198" t="s">
        <v>57</v>
      </c>
      <c r="Y563" s="198" t="s">
        <v>58</v>
      </c>
      <c r="Z563" s="201">
        <v>46173</v>
      </c>
      <c r="AA563" s="198" t="s">
        <v>59</v>
      </c>
      <c r="AB563" s="198" t="s">
        <v>60</v>
      </c>
      <c r="AC563" s="198" t="s">
        <v>86</v>
      </c>
      <c r="AD563" s="198" t="s">
        <v>62</v>
      </c>
      <c r="AE563" s="198" t="s">
        <v>451</v>
      </c>
      <c r="AF563" s="198" t="s">
        <v>450</v>
      </c>
      <c r="AG563" s="198" t="s">
        <v>147</v>
      </c>
      <c r="AH563" s="198" t="s">
        <v>137</v>
      </c>
      <c r="AI563" s="198" t="s">
        <v>56</v>
      </c>
      <c r="AJ563" s="198" t="s">
        <v>452</v>
      </c>
      <c r="AK563" s="198" t="s">
        <v>51</v>
      </c>
      <c r="AL563" s="198" t="s">
        <v>67</v>
      </c>
      <c r="AM563" s="198" t="s">
        <v>68</v>
      </c>
      <c r="AN563" s="202">
        <v>50400</v>
      </c>
      <c r="AO563" s="202">
        <v>50400</v>
      </c>
      <c r="AP563" s="202">
        <v>50400</v>
      </c>
      <c r="AQ563" s="198" t="s">
        <v>358</v>
      </c>
      <c r="AR563" s="198" t="s">
        <v>51</v>
      </c>
      <c r="AS563" s="202">
        <v>50400</v>
      </c>
      <c r="AT563" s="202">
        <v>50400</v>
      </c>
      <c r="AU563" s="198" t="s">
        <v>359</v>
      </c>
      <c r="AV563" s="198" t="s">
        <v>62</v>
      </c>
      <c r="AW563" s="198" t="s">
        <v>54</v>
      </c>
    </row>
    <row r="564" spans="3:49" outlineLevel="2" x14ac:dyDescent="0.25">
      <c r="C564" s="201"/>
      <c r="D564" s="198" t="s">
        <v>525</v>
      </c>
      <c r="H564" s="198" t="s">
        <v>525</v>
      </c>
      <c r="I564" s="202">
        <f t="shared" si="8"/>
        <v>236624045.84999958</v>
      </c>
      <c r="J564" s="202">
        <v>57.299999999999898</v>
      </c>
      <c r="L564" s="204">
        <v>1</v>
      </c>
      <c r="M564" s="202">
        <v>242000</v>
      </c>
      <c r="N564" s="204">
        <v>1</v>
      </c>
      <c r="O564" s="198" t="s">
        <v>51</v>
      </c>
      <c r="P564" s="202">
        <v>242000</v>
      </c>
      <c r="Q564" s="198" t="s">
        <v>73</v>
      </c>
      <c r="R564" s="198" t="s">
        <v>53</v>
      </c>
      <c r="S564" s="198" t="s">
        <v>54</v>
      </c>
      <c r="T564" s="198" t="s">
        <v>2031</v>
      </c>
      <c r="U564" s="198" t="s">
        <v>2032</v>
      </c>
      <c r="V564" s="198" t="s">
        <v>56</v>
      </c>
      <c r="W564" s="198" t="s">
        <v>356</v>
      </c>
      <c r="X564" s="198" t="s">
        <v>57</v>
      </c>
      <c r="Y564" s="198" t="s">
        <v>58</v>
      </c>
      <c r="Z564" s="201">
        <v>46173</v>
      </c>
      <c r="AA564" s="198" t="s">
        <v>59</v>
      </c>
      <c r="AB564" s="198" t="s">
        <v>60</v>
      </c>
      <c r="AC564" s="198" t="s">
        <v>86</v>
      </c>
      <c r="AD564" s="198" t="s">
        <v>62</v>
      </c>
      <c r="AE564" s="198" t="s">
        <v>454</v>
      </c>
      <c r="AF564" s="198" t="s">
        <v>453</v>
      </c>
      <c r="AG564" s="198" t="s">
        <v>147</v>
      </c>
      <c r="AH564" s="198" t="s">
        <v>137</v>
      </c>
      <c r="AI564" s="198" t="s">
        <v>56</v>
      </c>
      <c r="AJ564" s="198" t="s">
        <v>455</v>
      </c>
      <c r="AK564" s="198" t="s">
        <v>51</v>
      </c>
      <c r="AL564" s="198" t="s">
        <v>67</v>
      </c>
      <c r="AM564" s="198" t="s">
        <v>68</v>
      </c>
      <c r="AN564" s="202">
        <v>242000</v>
      </c>
      <c r="AO564" s="202">
        <v>242000</v>
      </c>
      <c r="AP564" s="202">
        <v>242000</v>
      </c>
      <c r="AQ564" s="198" t="s">
        <v>358</v>
      </c>
      <c r="AR564" s="198" t="s">
        <v>51</v>
      </c>
      <c r="AS564" s="202">
        <v>242000</v>
      </c>
      <c r="AT564" s="202">
        <v>242000</v>
      </c>
      <c r="AU564" s="198" t="s">
        <v>359</v>
      </c>
      <c r="AV564" s="198" t="s">
        <v>62</v>
      </c>
      <c r="AW564" s="198" t="s">
        <v>54</v>
      </c>
    </row>
    <row r="565" spans="3:49" outlineLevel="2" x14ac:dyDescent="0.25">
      <c r="C565" s="201"/>
      <c r="D565" s="198" t="s">
        <v>525</v>
      </c>
      <c r="H565" s="198" t="s">
        <v>525</v>
      </c>
      <c r="I565" s="202">
        <f t="shared" si="8"/>
        <v>237037002.29999959</v>
      </c>
      <c r="J565" s="202">
        <v>57.399999999999899</v>
      </c>
      <c r="L565" s="204">
        <v>1</v>
      </c>
      <c r="M565" s="202">
        <v>53000</v>
      </c>
      <c r="N565" s="204">
        <v>1</v>
      </c>
      <c r="O565" s="198" t="s">
        <v>51</v>
      </c>
      <c r="P565" s="202">
        <v>53000</v>
      </c>
      <c r="Q565" s="198" t="s">
        <v>73</v>
      </c>
      <c r="R565" s="198" t="s">
        <v>53</v>
      </c>
      <c r="S565" s="198" t="s">
        <v>54</v>
      </c>
      <c r="T565" s="198" t="s">
        <v>2031</v>
      </c>
      <c r="U565" s="198" t="s">
        <v>2032</v>
      </c>
      <c r="V565" s="198" t="s">
        <v>56</v>
      </c>
      <c r="W565" s="198" t="s">
        <v>356</v>
      </c>
      <c r="X565" s="198" t="s">
        <v>57</v>
      </c>
      <c r="Y565" s="198" t="s">
        <v>58</v>
      </c>
      <c r="Z565" s="201">
        <v>46173</v>
      </c>
      <c r="AA565" s="198" t="s">
        <v>59</v>
      </c>
      <c r="AB565" s="198" t="s">
        <v>60</v>
      </c>
      <c r="AC565" s="198" t="s">
        <v>86</v>
      </c>
      <c r="AD565" s="198" t="s">
        <v>62</v>
      </c>
      <c r="AE565" s="198" t="s">
        <v>457</v>
      </c>
      <c r="AF565" s="198" t="s">
        <v>456</v>
      </c>
      <c r="AG565" s="198" t="s">
        <v>147</v>
      </c>
      <c r="AH565" s="198" t="s">
        <v>137</v>
      </c>
      <c r="AI565" s="198" t="s">
        <v>56</v>
      </c>
      <c r="AJ565" s="198" t="s">
        <v>455</v>
      </c>
      <c r="AK565" s="198" t="s">
        <v>51</v>
      </c>
      <c r="AL565" s="198" t="s">
        <v>67</v>
      </c>
      <c r="AM565" s="198" t="s">
        <v>68</v>
      </c>
      <c r="AN565" s="202">
        <v>53000</v>
      </c>
      <c r="AO565" s="202">
        <v>53000</v>
      </c>
      <c r="AP565" s="202">
        <v>53000</v>
      </c>
      <c r="AQ565" s="198" t="s">
        <v>358</v>
      </c>
      <c r="AR565" s="198" t="s">
        <v>51</v>
      </c>
      <c r="AS565" s="202">
        <v>53000</v>
      </c>
      <c r="AT565" s="202">
        <v>53000</v>
      </c>
      <c r="AU565" s="198" t="s">
        <v>359</v>
      </c>
      <c r="AV565" s="198" t="s">
        <v>62</v>
      </c>
      <c r="AW565" s="198" t="s">
        <v>54</v>
      </c>
    </row>
    <row r="566" spans="3:49" outlineLevel="2" x14ac:dyDescent="0.25">
      <c r="C566" s="201"/>
      <c r="D566" s="198" t="s">
        <v>525</v>
      </c>
      <c r="H566" s="198" t="s">
        <v>525</v>
      </c>
      <c r="I566" s="202">
        <f t="shared" si="8"/>
        <v>237449958.74999958</v>
      </c>
      <c r="J566" s="202">
        <v>57.499999999999901</v>
      </c>
      <c r="L566" s="204">
        <v>2</v>
      </c>
      <c r="M566" s="202">
        <v>41000</v>
      </c>
      <c r="N566" s="204">
        <v>2</v>
      </c>
      <c r="O566" s="198" t="s">
        <v>51</v>
      </c>
      <c r="P566" s="202">
        <v>41000</v>
      </c>
      <c r="Q566" s="198" t="s">
        <v>342</v>
      </c>
      <c r="R566" s="198" t="s">
        <v>53</v>
      </c>
      <c r="S566" s="198" t="s">
        <v>54</v>
      </c>
      <c r="T566" s="198" t="s">
        <v>2031</v>
      </c>
      <c r="U566" s="198" t="s">
        <v>2032</v>
      </c>
      <c r="V566" s="198" t="s">
        <v>56</v>
      </c>
      <c r="W566" s="198" t="s">
        <v>356</v>
      </c>
      <c r="X566" s="198" t="s">
        <v>57</v>
      </c>
      <c r="Y566" s="198" t="s">
        <v>58</v>
      </c>
      <c r="Z566" s="201">
        <v>46173</v>
      </c>
      <c r="AA566" s="198" t="s">
        <v>59</v>
      </c>
      <c r="AB566" s="198" t="s">
        <v>60</v>
      </c>
      <c r="AC566" s="198" t="s">
        <v>86</v>
      </c>
      <c r="AD566" s="198" t="s">
        <v>62</v>
      </c>
      <c r="AE566" s="198" t="s">
        <v>459</v>
      </c>
      <c r="AF566" s="198" t="s">
        <v>458</v>
      </c>
      <c r="AG566" s="198" t="s">
        <v>147</v>
      </c>
      <c r="AH566" s="198" t="s">
        <v>137</v>
      </c>
      <c r="AI566" s="198" t="s">
        <v>56</v>
      </c>
      <c r="AJ566" s="198" t="s">
        <v>460</v>
      </c>
      <c r="AK566" s="198" t="s">
        <v>51</v>
      </c>
      <c r="AL566" s="198" t="s">
        <v>67</v>
      </c>
      <c r="AM566" s="198" t="s">
        <v>68</v>
      </c>
      <c r="AN566" s="202">
        <v>41000</v>
      </c>
      <c r="AO566" s="202">
        <v>41000</v>
      </c>
      <c r="AP566" s="202">
        <v>41000</v>
      </c>
      <c r="AQ566" s="198" t="s">
        <v>358</v>
      </c>
      <c r="AR566" s="198" t="s">
        <v>51</v>
      </c>
      <c r="AS566" s="202">
        <v>41000</v>
      </c>
      <c r="AT566" s="202">
        <v>41000</v>
      </c>
      <c r="AU566" s="198" t="s">
        <v>359</v>
      </c>
      <c r="AV566" s="198" t="s">
        <v>62</v>
      </c>
      <c r="AW566" s="198" t="s">
        <v>54</v>
      </c>
    </row>
    <row r="567" spans="3:49" outlineLevel="2" x14ac:dyDescent="0.25">
      <c r="C567" s="201"/>
      <c r="D567" s="198" t="s">
        <v>525</v>
      </c>
      <c r="H567" s="198" t="s">
        <v>525</v>
      </c>
      <c r="I567" s="202">
        <f t="shared" si="8"/>
        <v>237862915.1999996</v>
      </c>
      <c r="J567" s="202">
        <v>57.599999999999902</v>
      </c>
      <c r="L567" s="204">
        <v>1</v>
      </c>
      <c r="M567" s="202">
        <v>4500</v>
      </c>
      <c r="N567" s="204">
        <v>1</v>
      </c>
      <c r="O567" s="198" t="s">
        <v>51</v>
      </c>
      <c r="P567" s="202">
        <v>4500</v>
      </c>
      <c r="Q567" s="198" t="s">
        <v>342</v>
      </c>
      <c r="R567" s="198" t="s">
        <v>53</v>
      </c>
      <c r="S567" s="198" t="s">
        <v>54</v>
      </c>
      <c r="T567" s="198" t="s">
        <v>2031</v>
      </c>
      <c r="U567" s="198" t="s">
        <v>2032</v>
      </c>
      <c r="V567" s="198" t="s">
        <v>56</v>
      </c>
      <c r="W567" s="198" t="s">
        <v>356</v>
      </c>
      <c r="X567" s="198" t="s">
        <v>57</v>
      </c>
      <c r="Y567" s="198" t="s">
        <v>58</v>
      </c>
      <c r="Z567" s="201">
        <v>46173</v>
      </c>
      <c r="AA567" s="198" t="s">
        <v>59</v>
      </c>
      <c r="AB567" s="198" t="s">
        <v>60</v>
      </c>
      <c r="AC567" s="198" t="s">
        <v>86</v>
      </c>
      <c r="AD567" s="198" t="s">
        <v>62</v>
      </c>
      <c r="AE567" s="198" t="s">
        <v>462</v>
      </c>
      <c r="AF567" s="198" t="s">
        <v>461</v>
      </c>
      <c r="AG567" s="198" t="s">
        <v>147</v>
      </c>
      <c r="AH567" s="198" t="s">
        <v>137</v>
      </c>
      <c r="AI567" s="198" t="s">
        <v>56</v>
      </c>
      <c r="AJ567" s="198" t="s">
        <v>406</v>
      </c>
      <c r="AK567" s="198" t="s">
        <v>51</v>
      </c>
      <c r="AL567" s="198" t="s">
        <v>67</v>
      </c>
      <c r="AM567" s="198" t="s">
        <v>68</v>
      </c>
      <c r="AN567" s="202">
        <v>4500</v>
      </c>
      <c r="AO567" s="202">
        <v>4500</v>
      </c>
      <c r="AP567" s="202">
        <v>4500</v>
      </c>
      <c r="AQ567" s="198" t="s">
        <v>358</v>
      </c>
      <c r="AR567" s="198" t="s">
        <v>51</v>
      </c>
      <c r="AS567" s="202">
        <v>4500</v>
      </c>
      <c r="AT567" s="202">
        <v>4500</v>
      </c>
      <c r="AU567" s="198" t="s">
        <v>359</v>
      </c>
      <c r="AV567" s="198" t="s">
        <v>62</v>
      </c>
      <c r="AW567" s="198" t="s">
        <v>54</v>
      </c>
    </row>
    <row r="568" spans="3:49" outlineLevel="2" x14ac:dyDescent="0.25">
      <c r="C568" s="201"/>
      <c r="D568" s="198" t="s">
        <v>525</v>
      </c>
      <c r="H568" s="198" t="s">
        <v>525</v>
      </c>
      <c r="I568" s="202">
        <f t="shared" si="8"/>
        <v>238275871.64999959</v>
      </c>
      <c r="J568" s="202">
        <v>57.699999999999903</v>
      </c>
      <c r="L568" s="204">
        <v>1</v>
      </c>
      <c r="M568" s="202">
        <v>1550</v>
      </c>
      <c r="N568" s="204">
        <v>1</v>
      </c>
      <c r="O568" s="198" t="s">
        <v>51</v>
      </c>
      <c r="P568" s="202">
        <v>1550</v>
      </c>
      <c r="Q568" s="198" t="s">
        <v>73</v>
      </c>
      <c r="R568" s="198" t="s">
        <v>53</v>
      </c>
      <c r="S568" s="198" t="s">
        <v>54</v>
      </c>
      <c r="T568" s="198" t="s">
        <v>2031</v>
      </c>
      <c r="U568" s="198" t="s">
        <v>2032</v>
      </c>
      <c r="V568" s="198" t="s">
        <v>56</v>
      </c>
      <c r="W568" s="198" t="s">
        <v>356</v>
      </c>
      <c r="X568" s="198" t="s">
        <v>57</v>
      </c>
      <c r="Y568" s="198" t="s">
        <v>58</v>
      </c>
      <c r="Z568" s="201">
        <v>46173</v>
      </c>
      <c r="AA568" s="198" t="s">
        <v>59</v>
      </c>
      <c r="AB568" s="198" t="s">
        <v>60</v>
      </c>
      <c r="AC568" s="198" t="s">
        <v>86</v>
      </c>
      <c r="AD568" s="198" t="s">
        <v>62</v>
      </c>
      <c r="AE568" s="198" t="s">
        <v>464</v>
      </c>
      <c r="AF568" s="198" t="s">
        <v>463</v>
      </c>
      <c r="AG568" s="198" t="s">
        <v>147</v>
      </c>
      <c r="AH568" s="198" t="s">
        <v>137</v>
      </c>
      <c r="AI568" s="198" t="s">
        <v>56</v>
      </c>
      <c r="AJ568" s="198" t="s">
        <v>294</v>
      </c>
      <c r="AK568" s="198" t="s">
        <v>51</v>
      </c>
      <c r="AL568" s="198" t="s">
        <v>67</v>
      </c>
      <c r="AM568" s="198" t="s">
        <v>68</v>
      </c>
      <c r="AN568" s="202">
        <v>1550</v>
      </c>
      <c r="AO568" s="202">
        <v>1550</v>
      </c>
      <c r="AP568" s="202">
        <v>1550</v>
      </c>
      <c r="AQ568" s="198" t="s">
        <v>358</v>
      </c>
      <c r="AR568" s="198" t="s">
        <v>51</v>
      </c>
      <c r="AS568" s="202">
        <v>1550</v>
      </c>
      <c r="AT568" s="202">
        <v>1550</v>
      </c>
      <c r="AU568" s="198" t="s">
        <v>359</v>
      </c>
      <c r="AV568" s="198" t="s">
        <v>62</v>
      </c>
      <c r="AW568" s="198" t="s">
        <v>54</v>
      </c>
    </row>
    <row r="569" spans="3:49" outlineLevel="2" x14ac:dyDescent="0.25">
      <c r="C569" s="201"/>
      <c r="D569" s="198" t="s">
        <v>525</v>
      </c>
      <c r="H569" s="198" t="s">
        <v>525</v>
      </c>
      <c r="I569" s="202">
        <f t="shared" si="8"/>
        <v>238688828.09999958</v>
      </c>
      <c r="J569" s="202">
        <v>57.799999999999898</v>
      </c>
      <c r="L569" s="204">
        <v>1</v>
      </c>
      <c r="M569" s="202">
        <v>31500</v>
      </c>
      <c r="N569" s="204">
        <v>1</v>
      </c>
      <c r="O569" s="198" t="s">
        <v>51</v>
      </c>
      <c r="P569" s="202">
        <v>31500</v>
      </c>
      <c r="Q569" s="198" t="s">
        <v>342</v>
      </c>
      <c r="R569" s="198" t="s">
        <v>53</v>
      </c>
      <c r="S569" s="198" t="s">
        <v>54</v>
      </c>
      <c r="T569" s="198" t="s">
        <v>2031</v>
      </c>
      <c r="U569" s="198" t="s">
        <v>2032</v>
      </c>
      <c r="V569" s="198" t="s">
        <v>56</v>
      </c>
      <c r="W569" s="198" t="s">
        <v>356</v>
      </c>
      <c r="X569" s="198" t="s">
        <v>57</v>
      </c>
      <c r="Y569" s="198" t="s">
        <v>58</v>
      </c>
      <c r="Z569" s="201">
        <v>46173</v>
      </c>
      <c r="AA569" s="198" t="s">
        <v>59</v>
      </c>
      <c r="AB569" s="198" t="s">
        <v>60</v>
      </c>
      <c r="AC569" s="198" t="s">
        <v>86</v>
      </c>
      <c r="AD569" s="198" t="s">
        <v>62</v>
      </c>
      <c r="AE569" s="198" t="s">
        <v>466</v>
      </c>
      <c r="AF569" s="198" t="s">
        <v>465</v>
      </c>
      <c r="AG569" s="198" t="s">
        <v>147</v>
      </c>
      <c r="AH569" s="198" t="s">
        <v>137</v>
      </c>
      <c r="AI569" s="198" t="s">
        <v>56</v>
      </c>
      <c r="AJ569" s="198" t="s">
        <v>455</v>
      </c>
      <c r="AK569" s="198" t="s">
        <v>51</v>
      </c>
      <c r="AL569" s="198" t="s">
        <v>67</v>
      </c>
      <c r="AM569" s="198" t="s">
        <v>68</v>
      </c>
      <c r="AN569" s="202">
        <v>31500</v>
      </c>
      <c r="AO569" s="202">
        <v>31500</v>
      </c>
      <c r="AP569" s="202">
        <v>31500</v>
      </c>
      <c r="AQ569" s="198" t="s">
        <v>358</v>
      </c>
      <c r="AR569" s="198" t="s">
        <v>51</v>
      </c>
      <c r="AS569" s="202">
        <v>31500</v>
      </c>
      <c r="AT569" s="202">
        <v>31500</v>
      </c>
      <c r="AU569" s="198" t="s">
        <v>359</v>
      </c>
      <c r="AV569" s="198" t="s">
        <v>62</v>
      </c>
      <c r="AW569" s="198" t="s">
        <v>54</v>
      </c>
    </row>
    <row r="570" spans="3:49" outlineLevel="2" x14ac:dyDescent="0.25">
      <c r="C570" s="201"/>
      <c r="D570" s="198" t="s">
        <v>525</v>
      </c>
      <c r="H570" s="198" t="s">
        <v>525</v>
      </c>
      <c r="I570" s="202">
        <f t="shared" si="8"/>
        <v>239101784.54999959</v>
      </c>
      <c r="J570" s="202">
        <v>57.899999999999899</v>
      </c>
      <c r="L570" s="204">
        <v>1</v>
      </c>
      <c r="M570" s="202">
        <v>48000</v>
      </c>
      <c r="N570" s="204">
        <v>1</v>
      </c>
      <c r="O570" s="198" t="s">
        <v>51</v>
      </c>
      <c r="P570" s="202">
        <v>48000</v>
      </c>
      <c r="Q570" s="198" t="s">
        <v>342</v>
      </c>
      <c r="R570" s="198" t="s">
        <v>53</v>
      </c>
      <c r="S570" s="198" t="s">
        <v>54</v>
      </c>
      <c r="T570" s="198" t="s">
        <v>2031</v>
      </c>
      <c r="U570" s="198" t="s">
        <v>2032</v>
      </c>
      <c r="V570" s="198" t="s">
        <v>56</v>
      </c>
      <c r="W570" s="198" t="s">
        <v>356</v>
      </c>
      <c r="X570" s="198" t="s">
        <v>57</v>
      </c>
      <c r="Y570" s="198" t="s">
        <v>58</v>
      </c>
      <c r="Z570" s="201">
        <v>46173</v>
      </c>
      <c r="AA570" s="198" t="s">
        <v>59</v>
      </c>
      <c r="AB570" s="198" t="s">
        <v>60</v>
      </c>
      <c r="AC570" s="198" t="s">
        <v>86</v>
      </c>
      <c r="AD570" s="198" t="s">
        <v>62</v>
      </c>
      <c r="AE570" s="198" t="s">
        <v>468</v>
      </c>
      <c r="AF570" s="198" t="s">
        <v>467</v>
      </c>
      <c r="AG570" s="198" t="s">
        <v>147</v>
      </c>
      <c r="AH570" s="198" t="s">
        <v>137</v>
      </c>
      <c r="AI570" s="198" t="s">
        <v>56</v>
      </c>
      <c r="AJ570" s="198" t="s">
        <v>406</v>
      </c>
      <c r="AK570" s="198" t="s">
        <v>51</v>
      </c>
      <c r="AL570" s="198" t="s">
        <v>67</v>
      </c>
      <c r="AM570" s="198" t="s">
        <v>68</v>
      </c>
      <c r="AN570" s="202">
        <v>48000</v>
      </c>
      <c r="AO570" s="202">
        <v>48000</v>
      </c>
      <c r="AP570" s="202">
        <v>48000</v>
      </c>
      <c r="AQ570" s="198" t="s">
        <v>358</v>
      </c>
      <c r="AR570" s="198" t="s">
        <v>51</v>
      </c>
      <c r="AS570" s="202">
        <v>48000</v>
      </c>
      <c r="AT570" s="202">
        <v>48000</v>
      </c>
      <c r="AU570" s="198" t="s">
        <v>359</v>
      </c>
      <c r="AV570" s="198" t="s">
        <v>62</v>
      </c>
      <c r="AW570" s="198" t="s">
        <v>54</v>
      </c>
    </row>
    <row r="571" spans="3:49" outlineLevel="2" x14ac:dyDescent="0.25">
      <c r="C571" s="201"/>
      <c r="D571" s="198" t="s">
        <v>525</v>
      </c>
      <c r="H571" s="198" t="s">
        <v>525</v>
      </c>
      <c r="I571" s="202">
        <f t="shared" si="8"/>
        <v>239514740.99999958</v>
      </c>
      <c r="J571" s="202">
        <v>57.999999999999901</v>
      </c>
      <c r="L571" s="204">
        <v>2</v>
      </c>
      <c r="M571" s="202">
        <v>1620</v>
      </c>
      <c r="N571" s="204">
        <v>2</v>
      </c>
      <c r="O571" s="198" t="s">
        <v>51</v>
      </c>
      <c r="P571" s="202">
        <v>1620</v>
      </c>
      <c r="Q571" s="198" t="s">
        <v>73</v>
      </c>
      <c r="R571" s="198" t="s">
        <v>53</v>
      </c>
      <c r="S571" s="198" t="s">
        <v>54</v>
      </c>
      <c r="T571" s="198" t="s">
        <v>2031</v>
      </c>
      <c r="U571" s="198" t="s">
        <v>2032</v>
      </c>
      <c r="V571" s="198" t="s">
        <v>56</v>
      </c>
      <c r="W571" s="198" t="s">
        <v>356</v>
      </c>
      <c r="X571" s="198" t="s">
        <v>57</v>
      </c>
      <c r="Y571" s="198" t="s">
        <v>58</v>
      </c>
      <c r="Z571" s="201">
        <v>46173</v>
      </c>
      <c r="AA571" s="198" t="s">
        <v>59</v>
      </c>
      <c r="AB571" s="198" t="s">
        <v>60</v>
      </c>
      <c r="AC571" s="198" t="s">
        <v>86</v>
      </c>
      <c r="AD571" s="198" t="s">
        <v>62</v>
      </c>
      <c r="AE571" s="198" t="s">
        <v>2037</v>
      </c>
      <c r="AF571" s="198" t="s">
        <v>2036</v>
      </c>
      <c r="AG571" s="198" t="s">
        <v>147</v>
      </c>
      <c r="AH571" s="198" t="s">
        <v>137</v>
      </c>
      <c r="AI571" s="198" t="s">
        <v>56</v>
      </c>
      <c r="AJ571" s="198" t="s">
        <v>452</v>
      </c>
      <c r="AK571" s="198" t="s">
        <v>51</v>
      </c>
      <c r="AL571" s="198" t="s">
        <v>67</v>
      </c>
      <c r="AM571" s="198" t="s">
        <v>68</v>
      </c>
      <c r="AN571" s="202">
        <v>1620</v>
      </c>
      <c r="AO571" s="202">
        <v>1620</v>
      </c>
      <c r="AP571" s="202">
        <v>1620</v>
      </c>
      <c r="AQ571" s="198" t="s">
        <v>358</v>
      </c>
      <c r="AR571" s="198" t="s">
        <v>51</v>
      </c>
      <c r="AS571" s="202">
        <v>1620</v>
      </c>
      <c r="AT571" s="202">
        <v>1620</v>
      </c>
      <c r="AU571" s="198" t="s">
        <v>359</v>
      </c>
      <c r="AV571" s="198" t="s">
        <v>62</v>
      </c>
      <c r="AW571" s="198" t="s">
        <v>54</v>
      </c>
    </row>
    <row r="572" spans="3:49" outlineLevel="2" x14ac:dyDescent="0.25">
      <c r="C572" s="201"/>
      <c r="D572" s="198" t="s">
        <v>525</v>
      </c>
      <c r="H572" s="198" t="s">
        <v>525</v>
      </c>
      <c r="I572" s="202">
        <f t="shared" si="8"/>
        <v>239927697.4499996</v>
      </c>
      <c r="J572" s="202">
        <v>58.099999999999902</v>
      </c>
      <c r="L572" s="204">
        <v>2</v>
      </c>
      <c r="M572" s="202">
        <v>9000</v>
      </c>
      <c r="N572" s="204">
        <v>2</v>
      </c>
      <c r="O572" s="198" t="s">
        <v>51</v>
      </c>
      <c r="P572" s="202">
        <v>9000</v>
      </c>
      <c r="Q572" s="198" t="s">
        <v>73</v>
      </c>
      <c r="R572" s="198" t="s">
        <v>53</v>
      </c>
      <c r="S572" s="198" t="s">
        <v>54</v>
      </c>
      <c r="T572" s="198" t="s">
        <v>2031</v>
      </c>
      <c r="U572" s="198" t="s">
        <v>2032</v>
      </c>
      <c r="V572" s="198" t="s">
        <v>56</v>
      </c>
      <c r="W572" s="198" t="s">
        <v>356</v>
      </c>
      <c r="X572" s="198" t="s">
        <v>57</v>
      </c>
      <c r="Y572" s="198" t="s">
        <v>58</v>
      </c>
      <c r="Z572" s="201">
        <v>46173</v>
      </c>
      <c r="AA572" s="198" t="s">
        <v>59</v>
      </c>
      <c r="AB572" s="198" t="s">
        <v>60</v>
      </c>
      <c r="AC572" s="198" t="s">
        <v>86</v>
      </c>
      <c r="AD572" s="198" t="s">
        <v>62</v>
      </c>
      <c r="AE572" s="198" t="s">
        <v>470</v>
      </c>
      <c r="AF572" s="198" t="s">
        <v>469</v>
      </c>
      <c r="AG572" s="198" t="s">
        <v>147</v>
      </c>
      <c r="AH572" s="198" t="s">
        <v>137</v>
      </c>
      <c r="AI572" s="198" t="s">
        <v>56</v>
      </c>
      <c r="AJ572" s="198" t="s">
        <v>406</v>
      </c>
      <c r="AK572" s="198" t="s">
        <v>51</v>
      </c>
      <c r="AL572" s="198" t="s">
        <v>67</v>
      </c>
      <c r="AM572" s="198" t="s">
        <v>68</v>
      </c>
      <c r="AN572" s="202">
        <v>9000</v>
      </c>
      <c r="AO572" s="202">
        <v>9000</v>
      </c>
      <c r="AP572" s="202">
        <v>9000</v>
      </c>
      <c r="AQ572" s="198" t="s">
        <v>358</v>
      </c>
      <c r="AR572" s="198" t="s">
        <v>51</v>
      </c>
      <c r="AS572" s="202">
        <v>9000</v>
      </c>
      <c r="AT572" s="202">
        <v>9000</v>
      </c>
      <c r="AU572" s="198" t="s">
        <v>359</v>
      </c>
      <c r="AV572" s="198" t="s">
        <v>62</v>
      </c>
      <c r="AW572" s="198" t="s">
        <v>54</v>
      </c>
    </row>
    <row r="573" spans="3:49" outlineLevel="2" x14ac:dyDescent="0.25">
      <c r="C573" s="201"/>
      <c r="D573" s="198" t="s">
        <v>525</v>
      </c>
      <c r="H573" s="198" t="s">
        <v>525</v>
      </c>
      <c r="I573" s="202">
        <f t="shared" si="8"/>
        <v>240340653.89999959</v>
      </c>
      <c r="J573" s="202">
        <v>58.199999999999903</v>
      </c>
      <c r="L573" s="204">
        <v>2</v>
      </c>
      <c r="M573" s="202">
        <v>9000</v>
      </c>
      <c r="N573" s="204">
        <v>2</v>
      </c>
      <c r="O573" s="198" t="s">
        <v>51</v>
      </c>
      <c r="P573" s="202">
        <v>9000</v>
      </c>
      <c r="Q573" s="198" t="s">
        <v>73</v>
      </c>
      <c r="R573" s="198" t="s">
        <v>53</v>
      </c>
      <c r="S573" s="198" t="s">
        <v>54</v>
      </c>
      <c r="T573" s="198" t="s">
        <v>2031</v>
      </c>
      <c r="U573" s="198" t="s">
        <v>2032</v>
      </c>
      <c r="V573" s="198" t="s">
        <v>56</v>
      </c>
      <c r="W573" s="198" t="s">
        <v>356</v>
      </c>
      <c r="X573" s="198" t="s">
        <v>57</v>
      </c>
      <c r="Y573" s="198" t="s">
        <v>58</v>
      </c>
      <c r="Z573" s="201">
        <v>46173</v>
      </c>
      <c r="AA573" s="198" t="s">
        <v>59</v>
      </c>
      <c r="AB573" s="198" t="s">
        <v>60</v>
      </c>
      <c r="AC573" s="198" t="s">
        <v>86</v>
      </c>
      <c r="AD573" s="198" t="s">
        <v>62</v>
      </c>
      <c r="AE573" s="198" t="s">
        <v>472</v>
      </c>
      <c r="AF573" s="198" t="s">
        <v>471</v>
      </c>
      <c r="AG573" s="198" t="s">
        <v>147</v>
      </c>
      <c r="AH573" s="198" t="s">
        <v>137</v>
      </c>
      <c r="AI573" s="198" t="s">
        <v>56</v>
      </c>
      <c r="AJ573" s="198" t="s">
        <v>452</v>
      </c>
      <c r="AK573" s="198" t="s">
        <v>51</v>
      </c>
      <c r="AL573" s="198" t="s">
        <v>67</v>
      </c>
      <c r="AM573" s="198" t="s">
        <v>68</v>
      </c>
      <c r="AN573" s="202">
        <v>9000</v>
      </c>
      <c r="AO573" s="202">
        <v>9000</v>
      </c>
      <c r="AP573" s="202">
        <v>9000</v>
      </c>
      <c r="AQ573" s="198" t="s">
        <v>358</v>
      </c>
      <c r="AR573" s="198" t="s">
        <v>51</v>
      </c>
      <c r="AS573" s="202">
        <v>9000</v>
      </c>
      <c r="AT573" s="202">
        <v>9000</v>
      </c>
      <c r="AU573" s="198" t="s">
        <v>359</v>
      </c>
      <c r="AV573" s="198" t="s">
        <v>62</v>
      </c>
      <c r="AW573" s="198" t="s">
        <v>54</v>
      </c>
    </row>
    <row r="574" spans="3:49" outlineLevel="2" x14ac:dyDescent="0.25">
      <c r="C574" s="201"/>
      <c r="D574" s="198" t="s">
        <v>525</v>
      </c>
      <c r="H574" s="198" t="s">
        <v>525</v>
      </c>
      <c r="I574" s="202">
        <f t="shared" si="8"/>
        <v>240753610.34999958</v>
      </c>
      <c r="J574" s="202">
        <v>58.299999999999898</v>
      </c>
      <c r="L574" s="204">
        <v>1</v>
      </c>
      <c r="M574" s="202">
        <v>1750</v>
      </c>
      <c r="N574" s="204">
        <v>1</v>
      </c>
      <c r="O574" s="198" t="s">
        <v>51</v>
      </c>
      <c r="P574" s="202">
        <v>1750</v>
      </c>
      <c r="Q574" s="198" t="s">
        <v>73</v>
      </c>
      <c r="R574" s="198" t="s">
        <v>53</v>
      </c>
      <c r="S574" s="198" t="s">
        <v>54</v>
      </c>
      <c r="T574" s="198" t="s">
        <v>2031</v>
      </c>
      <c r="U574" s="198" t="s">
        <v>2032</v>
      </c>
      <c r="V574" s="198" t="s">
        <v>56</v>
      </c>
      <c r="W574" s="198" t="s">
        <v>356</v>
      </c>
      <c r="X574" s="198" t="s">
        <v>57</v>
      </c>
      <c r="Y574" s="198" t="s">
        <v>58</v>
      </c>
      <c r="Z574" s="201">
        <v>46173</v>
      </c>
      <c r="AA574" s="198" t="s">
        <v>59</v>
      </c>
      <c r="AB574" s="198" t="s">
        <v>60</v>
      </c>
      <c r="AC574" s="198" t="s">
        <v>86</v>
      </c>
      <c r="AD574" s="198" t="s">
        <v>62</v>
      </c>
      <c r="AE574" s="198" t="s">
        <v>474</v>
      </c>
      <c r="AF574" s="198" t="s">
        <v>473</v>
      </c>
      <c r="AG574" s="198" t="s">
        <v>147</v>
      </c>
      <c r="AH574" s="198" t="s">
        <v>137</v>
      </c>
      <c r="AI574" s="198" t="s">
        <v>56</v>
      </c>
      <c r="AJ574" s="198" t="s">
        <v>406</v>
      </c>
      <c r="AK574" s="198" t="s">
        <v>51</v>
      </c>
      <c r="AL574" s="198" t="s">
        <v>67</v>
      </c>
      <c r="AM574" s="198" t="s">
        <v>68</v>
      </c>
      <c r="AN574" s="202">
        <v>1750</v>
      </c>
      <c r="AO574" s="202">
        <v>1750</v>
      </c>
      <c r="AP574" s="202">
        <v>1750</v>
      </c>
      <c r="AQ574" s="198" t="s">
        <v>358</v>
      </c>
      <c r="AR574" s="198" t="s">
        <v>51</v>
      </c>
      <c r="AS574" s="202">
        <v>1750</v>
      </c>
      <c r="AT574" s="202">
        <v>1750</v>
      </c>
      <c r="AU574" s="198" t="s">
        <v>359</v>
      </c>
      <c r="AV574" s="198" t="s">
        <v>62</v>
      </c>
      <c r="AW574" s="198" t="s">
        <v>54</v>
      </c>
    </row>
    <row r="575" spans="3:49" outlineLevel="2" x14ac:dyDescent="0.25">
      <c r="C575" s="201"/>
      <c r="D575" s="198" t="s">
        <v>525</v>
      </c>
      <c r="H575" s="198" t="s">
        <v>525</v>
      </c>
      <c r="I575" s="202">
        <f t="shared" si="8"/>
        <v>241166566.79999959</v>
      </c>
      <c r="J575" s="202">
        <v>58.399999999999899</v>
      </c>
      <c r="L575" s="204">
        <v>1</v>
      </c>
      <c r="M575" s="202">
        <v>24500</v>
      </c>
      <c r="N575" s="204">
        <v>1</v>
      </c>
      <c r="O575" s="198" t="s">
        <v>51</v>
      </c>
      <c r="P575" s="202">
        <v>24500</v>
      </c>
      <c r="Q575" s="198" t="s">
        <v>73</v>
      </c>
      <c r="R575" s="198" t="s">
        <v>53</v>
      </c>
      <c r="S575" s="198" t="s">
        <v>54</v>
      </c>
      <c r="T575" s="198" t="s">
        <v>2031</v>
      </c>
      <c r="U575" s="198" t="s">
        <v>2032</v>
      </c>
      <c r="V575" s="198" t="s">
        <v>56</v>
      </c>
      <c r="W575" s="198" t="s">
        <v>356</v>
      </c>
      <c r="X575" s="198" t="s">
        <v>57</v>
      </c>
      <c r="Y575" s="198" t="s">
        <v>58</v>
      </c>
      <c r="Z575" s="201">
        <v>46173</v>
      </c>
      <c r="AA575" s="198" t="s">
        <v>59</v>
      </c>
      <c r="AB575" s="198" t="s">
        <v>60</v>
      </c>
      <c r="AC575" s="198" t="s">
        <v>86</v>
      </c>
      <c r="AD575" s="198" t="s">
        <v>62</v>
      </c>
      <c r="AE575" s="198" t="s">
        <v>476</v>
      </c>
      <c r="AF575" s="198" t="s">
        <v>475</v>
      </c>
      <c r="AG575" s="198" t="s">
        <v>147</v>
      </c>
      <c r="AH575" s="198" t="s">
        <v>137</v>
      </c>
      <c r="AI575" s="198" t="s">
        <v>56</v>
      </c>
      <c r="AJ575" s="198" t="s">
        <v>477</v>
      </c>
      <c r="AK575" s="198" t="s">
        <v>51</v>
      </c>
      <c r="AL575" s="198" t="s">
        <v>67</v>
      </c>
      <c r="AM575" s="198" t="s">
        <v>68</v>
      </c>
      <c r="AN575" s="202">
        <v>24500</v>
      </c>
      <c r="AO575" s="202">
        <v>24500</v>
      </c>
      <c r="AP575" s="202">
        <v>24500</v>
      </c>
      <c r="AQ575" s="198" t="s">
        <v>358</v>
      </c>
      <c r="AR575" s="198" t="s">
        <v>51</v>
      </c>
      <c r="AS575" s="202">
        <v>24500</v>
      </c>
      <c r="AT575" s="202">
        <v>24500</v>
      </c>
      <c r="AU575" s="198" t="s">
        <v>359</v>
      </c>
      <c r="AV575" s="198" t="s">
        <v>62</v>
      </c>
      <c r="AW575" s="198" t="s">
        <v>54</v>
      </c>
    </row>
    <row r="576" spans="3:49" outlineLevel="2" x14ac:dyDescent="0.25">
      <c r="C576" s="201"/>
      <c r="D576" s="198" t="s">
        <v>525</v>
      </c>
      <c r="H576" s="198" t="s">
        <v>525</v>
      </c>
      <c r="I576" s="202">
        <f t="shared" si="8"/>
        <v>241579523.24999958</v>
      </c>
      <c r="J576" s="202">
        <v>58.499999999999901</v>
      </c>
      <c r="L576" s="204">
        <v>1</v>
      </c>
      <c r="M576" s="202">
        <v>24500</v>
      </c>
      <c r="N576" s="204">
        <v>1</v>
      </c>
      <c r="O576" s="198" t="s">
        <v>51</v>
      </c>
      <c r="P576" s="202">
        <v>24500</v>
      </c>
      <c r="Q576" s="198" t="s">
        <v>73</v>
      </c>
      <c r="R576" s="198" t="s">
        <v>53</v>
      </c>
      <c r="S576" s="198" t="s">
        <v>54</v>
      </c>
      <c r="T576" s="198" t="s">
        <v>2031</v>
      </c>
      <c r="U576" s="198" t="s">
        <v>2032</v>
      </c>
      <c r="V576" s="198" t="s">
        <v>56</v>
      </c>
      <c r="W576" s="198" t="s">
        <v>356</v>
      </c>
      <c r="X576" s="198" t="s">
        <v>57</v>
      </c>
      <c r="Y576" s="198" t="s">
        <v>58</v>
      </c>
      <c r="Z576" s="201">
        <v>46173</v>
      </c>
      <c r="AA576" s="198" t="s">
        <v>59</v>
      </c>
      <c r="AB576" s="198" t="s">
        <v>60</v>
      </c>
      <c r="AC576" s="198" t="s">
        <v>86</v>
      </c>
      <c r="AD576" s="198" t="s">
        <v>62</v>
      </c>
      <c r="AE576" s="198" t="s">
        <v>476</v>
      </c>
      <c r="AF576" s="198" t="s">
        <v>475</v>
      </c>
      <c r="AG576" s="198" t="s">
        <v>147</v>
      </c>
      <c r="AH576" s="198" t="s">
        <v>137</v>
      </c>
      <c r="AI576" s="198" t="s">
        <v>56</v>
      </c>
      <c r="AJ576" s="198" t="s">
        <v>477</v>
      </c>
      <c r="AK576" s="198" t="s">
        <v>51</v>
      </c>
      <c r="AL576" s="198" t="s">
        <v>67</v>
      </c>
      <c r="AM576" s="198" t="s">
        <v>68</v>
      </c>
      <c r="AN576" s="202">
        <v>24500</v>
      </c>
      <c r="AO576" s="202">
        <v>24500</v>
      </c>
      <c r="AP576" s="202">
        <v>24500</v>
      </c>
      <c r="AQ576" s="198" t="s">
        <v>358</v>
      </c>
      <c r="AR576" s="198" t="s">
        <v>51</v>
      </c>
      <c r="AS576" s="202">
        <v>24500</v>
      </c>
      <c r="AT576" s="202">
        <v>24500</v>
      </c>
      <c r="AU576" s="198" t="s">
        <v>359</v>
      </c>
      <c r="AV576" s="198" t="s">
        <v>62</v>
      </c>
      <c r="AW576" s="198" t="s">
        <v>54</v>
      </c>
    </row>
    <row r="577" spans="3:49" outlineLevel="2" x14ac:dyDescent="0.25">
      <c r="C577" s="201"/>
      <c r="D577" s="198" t="s">
        <v>525</v>
      </c>
      <c r="H577" s="198" t="s">
        <v>525</v>
      </c>
      <c r="I577" s="202">
        <f t="shared" si="8"/>
        <v>241992479.6999996</v>
      </c>
      <c r="J577" s="202">
        <v>58.599999999999902</v>
      </c>
      <c r="L577" s="204">
        <v>1</v>
      </c>
      <c r="M577" s="202">
        <v>24500</v>
      </c>
      <c r="N577" s="204">
        <v>1</v>
      </c>
      <c r="O577" s="198" t="s">
        <v>51</v>
      </c>
      <c r="P577" s="202">
        <v>24500</v>
      </c>
      <c r="Q577" s="198" t="s">
        <v>73</v>
      </c>
      <c r="R577" s="198" t="s">
        <v>53</v>
      </c>
      <c r="S577" s="198" t="s">
        <v>54</v>
      </c>
      <c r="T577" s="198" t="s">
        <v>2031</v>
      </c>
      <c r="U577" s="198" t="s">
        <v>2032</v>
      </c>
      <c r="V577" s="198" t="s">
        <v>56</v>
      </c>
      <c r="W577" s="198" t="s">
        <v>356</v>
      </c>
      <c r="X577" s="198" t="s">
        <v>57</v>
      </c>
      <c r="Y577" s="198" t="s">
        <v>58</v>
      </c>
      <c r="Z577" s="201">
        <v>46173</v>
      </c>
      <c r="AA577" s="198" t="s">
        <v>59</v>
      </c>
      <c r="AB577" s="198" t="s">
        <v>60</v>
      </c>
      <c r="AC577" s="198" t="s">
        <v>86</v>
      </c>
      <c r="AD577" s="198" t="s">
        <v>62</v>
      </c>
      <c r="AE577" s="198" t="s">
        <v>476</v>
      </c>
      <c r="AF577" s="198" t="s">
        <v>475</v>
      </c>
      <c r="AG577" s="198" t="s">
        <v>147</v>
      </c>
      <c r="AH577" s="198" t="s">
        <v>137</v>
      </c>
      <c r="AI577" s="198" t="s">
        <v>56</v>
      </c>
      <c r="AJ577" s="198" t="s">
        <v>477</v>
      </c>
      <c r="AK577" s="198" t="s">
        <v>51</v>
      </c>
      <c r="AL577" s="198" t="s">
        <v>67</v>
      </c>
      <c r="AM577" s="198" t="s">
        <v>68</v>
      </c>
      <c r="AN577" s="202">
        <v>24500</v>
      </c>
      <c r="AO577" s="202">
        <v>24500</v>
      </c>
      <c r="AP577" s="202">
        <v>24500</v>
      </c>
      <c r="AQ577" s="198" t="s">
        <v>358</v>
      </c>
      <c r="AR577" s="198" t="s">
        <v>51</v>
      </c>
      <c r="AS577" s="202">
        <v>24500</v>
      </c>
      <c r="AT577" s="202">
        <v>24500</v>
      </c>
      <c r="AU577" s="198" t="s">
        <v>359</v>
      </c>
      <c r="AV577" s="198" t="s">
        <v>62</v>
      </c>
      <c r="AW577" s="198" t="s">
        <v>54</v>
      </c>
    </row>
    <row r="578" spans="3:49" outlineLevel="2" x14ac:dyDescent="0.25">
      <c r="C578" s="201"/>
      <c r="D578" s="198" t="s">
        <v>525</v>
      </c>
      <c r="H578" s="198" t="s">
        <v>525</v>
      </c>
      <c r="I578" s="202">
        <f t="shared" si="8"/>
        <v>242405436.14999959</v>
      </c>
      <c r="J578" s="202">
        <v>58.699999999999903</v>
      </c>
      <c r="L578" s="204">
        <v>1</v>
      </c>
      <c r="M578" s="202">
        <v>17500</v>
      </c>
      <c r="N578" s="204">
        <v>1</v>
      </c>
      <c r="O578" s="198" t="s">
        <v>51</v>
      </c>
      <c r="P578" s="202">
        <v>17500</v>
      </c>
      <c r="Q578" s="198" t="s">
        <v>73</v>
      </c>
      <c r="R578" s="198" t="s">
        <v>53</v>
      </c>
      <c r="S578" s="198" t="s">
        <v>54</v>
      </c>
      <c r="T578" s="198" t="s">
        <v>2031</v>
      </c>
      <c r="U578" s="198" t="s">
        <v>2032</v>
      </c>
      <c r="V578" s="198" t="s">
        <v>56</v>
      </c>
      <c r="W578" s="198" t="s">
        <v>356</v>
      </c>
      <c r="X578" s="198" t="s">
        <v>57</v>
      </c>
      <c r="Y578" s="198" t="s">
        <v>58</v>
      </c>
      <c r="Z578" s="201">
        <v>46173</v>
      </c>
      <c r="AA578" s="198" t="s">
        <v>59</v>
      </c>
      <c r="AB578" s="198" t="s">
        <v>60</v>
      </c>
      <c r="AC578" s="198" t="s">
        <v>86</v>
      </c>
      <c r="AD578" s="198" t="s">
        <v>62</v>
      </c>
      <c r="AE578" s="198" t="s">
        <v>476</v>
      </c>
      <c r="AF578" s="198" t="s">
        <v>475</v>
      </c>
      <c r="AG578" s="198" t="s">
        <v>147</v>
      </c>
      <c r="AH578" s="198" t="s">
        <v>137</v>
      </c>
      <c r="AI578" s="198" t="s">
        <v>56</v>
      </c>
      <c r="AJ578" s="198" t="s">
        <v>477</v>
      </c>
      <c r="AK578" s="198" t="s">
        <v>51</v>
      </c>
      <c r="AL578" s="198" t="s">
        <v>67</v>
      </c>
      <c r="AM578" s="198" t="s">
        <v>68</v>
      </c>
      <c r="AN578" s="202">
        <v>17500</v>
      </c>
      <c r="AO578" s="202">
        <v>17500</v>
      </c>
      <c r="AP578" s="202">
        <v>17500</v>
      </c>
      <c r="AQ578" s="198" t="s">
        <v>358</v>
      </c>
      <c r="AR578" s="198" t="s">
        <v>51</v>
      </c>
      <c r="AS578" s="202">
        <v>17500</v>
      </c>
      <c r="AT578" s="202">
        <v>17500</v>
      </c>
      <c r="AU578" s="198" t="s">
        <v>359</v>
      </c>
      <c r="AV578" s="198" t="s">
        <v>62</v>
      </c>
      <c r="AW578" s="198" t="s">
        <v>54</v>
      </c>
    </row>
    <row r="579" spans="3:49" outlineLevel="2" x14ac:dyDescent="0.25">
      <c r="C579" s="201"/>
      <c r="D579" s="198" t="s">
        <v>525</v>
      </c>
      <c r="H579" s="198" t="s">
        <v>525</v>
      </c>
      <c r="I579" s="202">
        <f t="shared" ref="I579:I642" si="9">J579*4129564.5</f>
        <v>242818392.59999958</v>
      </c>
      <c r="J579" s="202">
        <v>58.799999999999898</v>
      </c>
      <c r="L579" s="204">
        <v>1</v>
      </c>
      <c r="M579" s="202">
        <v>17500</v>
      </c>
      <c r="N579" s="204">
        <v>1</v>
      </c>
      <c r="O579" s="198" t="s">
        <v>51</v>
      </c>
      <c r="P579" s="202">
        <v>17500</v>
      </c>
      <c r="Q579" s="198" t="s">
        <v>73</v>
      </c>
      <c r="R579" s="198" t="s">
        <v>53</v>
      </c>
      <c r="S579" s="198" t="s">
        <v>54</v>
      </c>
      <c r="T579" s="198" t="s">
        <v>2031</v>
      </c>
      <c r="U579" s="198" t="s">
        <v>2032</v>
      </c>
      <c r="V579" s="198" t="s">
        <v>56</v>
      </c>
      <c r="W579" s="198" t="s">
        <v>356</v>
      </c>
      <c r="X579" s="198" t="s">
        <v>57</v>
      </c>
      <c r="Y579" s="198" t="s">
        <v>58</v>
      </c>
      <c r="Z579" s="201">
        <v>46173</v>
      </c>
      <c r="AA579" s="198" t="s">
        <v>59</v>
      </c>
      <c r="AB579" s="198" t="s">
        <v>60</v>
      </c>
      <c r="AC579" s="198" t="s">
        <v>86</v>
      </c>
      <c r="AD579" s="198" t="s">
        <v>62</v>
      </c>
      <c r="AE579" s="198" t="s">
        <v>476</v>
      </c>
      <c r="AF579" s="198" t="s">
        <v>475</v>
      </c>
      <c r="AG579" s="198" t="s">
        <v>147</v>
      </c>
      <c r="AH579" s="198" t="s">
        <v>137</v>
      </c>
      <c r="AI579" s="198" t="s">
        <v>56</v>
      </c>
      <c r="AJ579" s="198" t="s">
        <v>477</v>
      </c>
      <c r="AK579" s="198" t="s">
        <v>51</v>
      </c>
      <c r="AL579" s="198" t="s">
        <v>67</v>
      </c>
      <c r="AM579" s="198" t="s">
        <v>68</v>
      </c>
      <c r="AN579" s="202">
        <v>17500</v>
      </c>
      <c r="AO579" s="202">
        <v>17500</v>
      </c>
      <c r="AP579" s="202">
        <v>17500</v>
      </c>
      <c r="AQ579" s="198" t="s">
        <v>358</v>
      </c>
      <c r="AR579" s="198" t="s">
        <v>51</v>
      </c>
      <c r="AS579" s="202">
        <v>17500</v>
      </c>
      <c r="AT579" s="202">
        <v>17500</v>
      </c>
      <c r="AU579" s="198" t="s">
        <v>359</v>
      </c>
      <c r="AV579" s="198" t="s">
        <v>62</v>
      </c>
      <c r="AW579" s="198" t="s">
        <v>54</v>
      </c>
    </row>
    <row r="580" spans="3:49" outlineLevel="2" x14ac:dyDescent="0.25">
      <c r="C580" s="201"/>
      <c r="D580" s="198" t="s">
        <v>525</v>
      </c>
      <c r="H580" s="198" t="s">
        <v>525</v>
      </c>
      <c r="I580" s="202">
        <f t="shared" si="9"/>
        <v>243231349.04999959</v>
      </c>
      <c r="J580" s="202">
        <v>58.899999999999899</v>
      </c>
      <c r="L580" s="204">
        <v>1</v>
      </c>
      <c r="M580" s="202">
        <v>24500</v>
      </c>
      <c r="N580" s="204">
        <v>1</v>
      </c>
      <c r="O580" s="198" t="s">
        <v>51</v>
      </c>
      <c r="P580" s="202">
        <v>24500</v>
      </c>
      <c r="Q580" s="198" t="s">
        <v>73</v>
      </c>
      <c r="R580" s="198" t="s">
        <v>53</v>
      </c>
      <c r="S580" s="198" t="s">
        <v>54</v>
      </c>
      <c r="T580" s="198" t="s">
        <v>2031</v>
      </c>
      <c r="U580" s="198" t="s">
        <v>2032</v>
      </c>
      <c r="V580" s="198" t="s">
        <v>56</v>
      </c>
      <c r="W580" s="198" t="s">
        <v>356</v>
      </c>
      <c r="X580" s="198" t="s">
        <v>57</v>
      </c>
      <c r="Y580" s="198" t="s">
        <v>58</v>
      </c>
      <c r="Z580" s="201">
        <v>46173</v>
      </c>
      <c r="AA580" s="198" t="s">
        <v>59</v>
      </c>
      <c r="AB580" s="198" t="s">
        <v>60</v>
      </c>
      <c r="AC580" s="198" t="s">
        <v>86</v>
      </c>
      <c r="AD580" s="198" t="s">
        <v>62</v>
      </c>
      <c r="AE580" s="198" t="s">
        <v>476</v>
      </c>
      <c r="AF580" s="198" t="s">
        <v>475</v>
      </c>
      <c r="AG580" s="198" t="s">
        <v>147</v>
      </c>
      <c r="AH580" s="198" t="s">
        <v>137</v>
      </c>
      <c r="AI580" s="198" t="s">
        <v>56</v>
      </c>
      <c r="AJ580" s="198" t="s">
        <v>477</v>
      </c>
      <c r="AK580" s="198" t="s">
        <v>51</v>
      </c>
      <c r="AL580" s="198" t="s">
        <v>67</v>
      </c>
      <c r="AM580" s="198" t="s">
        <v>68</v>
      </c>
      <c r="AN580" s="202">
        <v>24500</v>
      </c>
      <c r="AO580" s="202">
        <v>24500</v>
      </c>
      <c r="AP580" s="202">
        <v>24500</v>
      </c>
      <c r="AQ580" s="198" t="s">
        <v>358</v>
      </c>
      <c r="AR580" s="198" t="s">
        <v>51</v>
      </c>
      <c r="AS580" s="202">
        <v>24500</v>
      </c>
      <c r="AT580" s="202">
        <v>24500</v>
      </c>
      <c r="AU580" s="198" t="s">
        <v>359</v>
      </c>
      <c r="AV580" s="198" t="s">
        <v>62</v>
      </c>
      <c r="AW580" s="198" t="s">
        <v>54</v>
      </c>
    </row>
    <row r="581" spans="3:49" outlineLevel="2" x14ac:dyDescent="0.25">
      <c r="C581" s="201"/>
      <c r="D581" s="198" t="s">
        <v>525</v>
      </c>
      <c r="H581" s="198" t="s">
        <v>525</v>
      </c>
      <c r="I581" s="202">
        <f t="shared" si="9"/>
        <v>243644305.49999958</v>
      </c>
      <c r="J581" s="202">
        <v>58.999999999999901</v>
      </c>
      <c r="L581" s="204">
        <v>1</v>
      </c>
      <c r="M581" s="202">
        <v>24500</v>
      </c>
      <c r="N581" s="204">
        <v>1</v>
      </c>
      <c r="O581" s="198" t="s">
        <v>51</v>
      </c>
      <c r="P581" s="202">
        <v>24500</v>
      </c>
      <c r="Q581" s="198" t="s">
        <v>73</v>
      </c>
      <c r="R581" s="198" t="s">
        <v>53</v>
      </c>
      <c r="S581" s="198" t="s">
        <v>54</v>
      </c>
      <c r="T581" s="198" t="s">
        <v>2031</v>
      </c>
      <c r="U581" s="198" t="s">
        <v>2032</v>
      </c>
      <c r="V581" s="198" t="s">
        <v>56</v>
      </c>
      <c r="W581" s="198" t="s">
        <v>356</v>
      </c>
      <c r="X581" s="198" t="s">
        <v>57</v>
      </c>
      <c r="Y581" s="198" t="s">
        <v>58</v>
      </c>
      <c r="Z581" s="201">
        <v>46173</v>
      </c>
      <c r="AA581" s="198" t="s">
        <v>59</v>
      </c>
      <c r="AB581" s="198" t="s">
        <v>60</v>
      </c>
      <c r="AC581" s="198" t="s">
        <v>86</v>
      </c>
      <c r="AD581" s="198" t="s">
        <v>62</v>
      </c>
      <c r="AE581" s="198" t="s">
        <v>476</v>
      </c>
      <c r="AF581" s="198" t="s">
        <v>475</v>
      </c>
      <c r="AG581" s="198" t="s">
        <v>147</v>
      </c>
      <c r="AH581" s="198" t="s">
        <v>137</v>
      </c>
      <c r="AI581" s="198" t="s">
        <v>56</v>
      </c>
      <c r="AJ581" s="198" t="s">
        <v>477</v>
      </c>
      <c r="AK581" s="198" t="s">
        <v>51</v>
      </c>
      <c r="AL581" s="198" t="s">
        <v>67</v>
      </c>
      <c r="AM581" s="198" t="s">
        <v>68</v>
      </c>
      <c r="AN581" s="202">
        <v>24500</v>
      </c>
      <c r="AO581" s="202">
        <v>24500</v>
      </c>
      <c r="AP581" s="202">
        <v>24500</v>
      </c>
      <c r="AQ581" s="198" t="s">
        <v>358</v>
      </c>
      <c r="AR581" s="198" t="s">
        <v>51</v>
      </c>
      <c r="AS581" s="202">
        <v>24500</v>
      </c>
      <c r="AT581" s="202">
        <v>24500</v>
      </c>
      <c r="AU581" s="198" t="s">
        <v>359</v>
      </c>
      <c r="AV581" s="198" t="s">
        <v>62</v>
      </c>
      <c r="AW581" s="198" t="s">
        <v>54</v>
      </c>
    </row>
    <row r="582" spans="3:49" outlineLevel="2" x14ac:dyDescent="0.25">
      <c r="C582" s="201"/>
      <c r="D582" s="198" t="s">
        <v>525</v>
      </c>
      <c r="H582" s="198" t="s">
        <v>525</v>
      </c>
      <c r="I582" s="202">
        <f t="shared" si="9"/>
        <v>244057261.9499996</v>
      </c>
      <c r="J582" s="202">
        <v>59.099999999999902</v>
      </c>
      <c r="L582" s="204">
        <v>1</v>
      </c>
      <c r="M582" s="202">
        <v>28500</v>
      </c>
      <c r="N582" s="204">
        <v>1</v>
      </c>
      <c r="O582" s="198" t="s">
        <v>51</v>
      </c>
      <c r="P582" s="202">
        <v>28500</v>
      </c>
      <c r="Q582" s="198" t="s">
        <v>73</v>
      </c>
      <c r="R582" s="198" t="s">
        <v>53</v>
      </c>
      <c r="S582" s="198" t="s">
        <v>54</v>
      </c>
      <c r="T582" s="198" t="s">
        <v>2031</v>
      </c>
      <c r="U582" s="198" t="s">
        <v>2032</v>
      </c>
      <c r="V582" s="198" t="s">
        <v>56</v>
      </c>
      <c r="W582" s="198" t="s">
        <v>356</v>
      </c>
      <c r="X582" s="198" t="s">
        <v>57</v>
      </c>
      <c r="Y582" s="198" t="s">
        <v>58</v>
      </c>
      <c r="Z582" s="201">
        <v>46173</v>
      </c>
      <c r="AA582" s="198" t="s">
        <v>59</v>
      </c>
      <c r="AB582" s="198" t="s">
        <v>60</v>
      </c>
      <c r="AC582" s="198" t="s">
        <v>86</v>
      </c>
      <c r="AD582" s="198" t="s">
        <v>62</v>
      </c>
      <c r="AE582" s="198" t="s">
        <v>479</v>
      </c>
      <c r="AF582" s="198" t="s">
        <v>478</v>
      </c>
      <c r="AG582" s="198" t="s">
        <v>147</v>
      </c>
      <c r="AH582" s="198" t="s">
        <v>137</v>
      </c>
      <c r="AI582" s="198" t="s">
        <v>56</v>
      </c>
      <c r="AJ582" s="198" t="s">
        <v>118</v>
      </c>
      <c r="AK582" s="198" t="s">
        <v>51</v>
      </c>
      <c r="AL582" s="198" t="s">
        <v>67</v>
      </c>
      <c r="AM582" s="198" t="s">
        <v>68</v>
      </c>
      <c r="AN582" s="202">
        <v>28500</v>
      </c>
      <c r="AO582" s="202">
        <v>28500</v>
      </c>
      <c r="AP582" s="202">
        <v>28500</v>
      </c>
      <c r="AQ582" s="198" t="s">
        <v>358</v>
      </c>
      <c r="AR582" s="198" t="s">
        <v>51</v>
      </c>
      <c r="AS582" s="202">
        <v>28500</v>
      </c>
      <c r="AT582" s="202">
        <v>28500</v>
      </c>
      <c r="AU582" s="198" t="s">
        <v>359</v>
      </c>
      <c r="AV582" s="198" t="s">
        <v>62</v>
      </c>
      <c r="AW582" s="198" t="s">
        <v>54</v>
      </c>
    </row>
    <row r="583" spans="3:49" outlineLevel="2" x14ac:dyDescent="0.25">
      <c r="C583" s="201"/>
      <c r="D583" s="198" t="s">
        <v>525</v>
      </c>
      <c r="H583" s="198" t="s">
        <v>525</v>
      </c>
      <c r="I583" s="202">
        <f t="shared" si="9"/>
        <v>244470218.39999959</v>
      </c>
      <c r="J583" s="202">
        <v>59.199999999999903</v>
      </c>
      <c r="L583" s="204">
        <v>1</v>
      </c>
      <c r="M583" s="202">
        <v>2500</v>
      </c>
      <c r="N583" s="204">
        <v>1</v>
      </c>
      <c r="O583" s="198" t="s">
        <v>51</v>
      </c>
      <c r="P583" s="202">
        <v>2500</v>
      </c>
      <c r="Q583" s="198" t="s">
        <v>73</v>
      </c>
      <c r="R583" s="198" t="s">
        <v>53</v>
      </c>
      <c r="S583" s="198" t="s">
        <v>54</v>
      </c>
      <c r="T583" s="198" t="s">
        <v>2031</v>
      </c>
      <c r="U583" s="198" t="s">
        <v>2032</v>
      </c>
      <c r="V583" s="198" t="s">
        <v>56</v>
      </c>
      <c r="W583" s="198" t="s">
        <v>356</v>
      </c>
      <c r="X583" s="198" t="s">
        <v>57</v>
      </c>
      <c r="Y583" s="198" t="s">
        <v>58</v>
      </c>
      <c r="Z583" s="201">
        <v>46173</v>
      </c>
      <c r="AA583" s="198" t="s">
        <v>59</v>
      </c>
      <c r="AB583" s="198" t="s">
        <v>60</v>
      </c>
      <c r="AC583" s="198" t="s">
        <v>86</v>
      </c>
      <c r="AD583" s="198" t="s">
        <v>62</v>
      </c>
      <c r="AE583" s="198" t="s">
        <v>481</v>
      </c>
      <c r="AF583" s="198" t="s">
        <v>480</v>
      </c>
      <c r="AG583" s="198" t="s">
        <v>147</v>
      </c>
      <c r="AH583" s="198" t="s">
        <v>137</v>
      </c>
      <c r="AI583" s="198" t="s">
        <v>56</v>
      </c>
      <c r="AJ583" s="198" t="s">
        <v>382</v>
      </c>
      <c r="AK583" s="198" t="s">
        <v>51</v>
      </c>
      <c r="AL583" s="198" t="s">
        <v>67</v>
      </c>
      <c r="AM583" s="198" t="s">
        <v>68</v>
      </c>
      <c r="AN583" s="202">
        <v>2500</v>
      </c>
      <c r="AO583" s="202">
        <v>2500</v>
      </c>
      <c r="AP583" s="202">
        <v>2500</v>
      </c>
      <c r="AQ583" s="198" t="s">
        <v>358</v>
      </c>
      <c r="AR583" s="198" t="s">
        <v>51</v>
      </c>
      <c r="AS583" s="202">
        <v>2500</v>
      </c>
      <c r="AT583" s="202">
        <v>2500</v>
      </c>
      <c r="AU583" s="198" t="s">
        <v>359</v>
      </c>
      <c r="AV583" s="198" t="s">
        <v>62</v>
      </c>
      <c r="AW583" s="198" t="s">
        <v>54</v>
      </c>
    </row>
    <row r="584" spans="3:49" outlineLevel="2" x14ac:dyDescent="0.25">
      <c r="C584" s="201"/>
      <c r="D584" s="198" t="s">
        <v>525</v>
      </c>
      <c r="H584" s="198" t="s">
        <v>525</v>
      </c>
      <c r="I584" s="202">
        <f t="shared" si="9"/>
        <v>244883174.84999958</v>
      </c>
      <c r="J584" s="202">
        <v>59.299999999999898</v>
      </c>
      <c r="L584" s="204">
        <v>1</v>
      </c>
      <c r="M584" s="202">
        <v>12200</v>
      </c>
      <c r="N584" s="204">
        <v>1</v>
      </c>
      <c r="O584" s="198" t="s">
        <v>51</v>
      </c>
      <c r="P584" s="202">
        <v>12200</v>
      </c>
      <c r="Q584" s="198" t="s">
        <v>73</v>
      </c>
      <c r="R584" s="198" t="s">
        <v>53</v>
      </c>
      <c r="S584" s="198" t="s">
        <v>54</v>
      </c>
      <c r="T584" s="198" t="s">
        <v>2031</v>
      </c>
      <c r="U584" s="198" t="s">
        <v>2032</v>
      </c>
      <c r="V584" s="198" t="s">
        <v>56</v>
      </c>
      <c r="W584" s="198" t="s">
        <v>356</v>
      </c>
      <c r="X584" s="198" t="s">
        <v>57</v>
      </c>
      <c r="Y584" s="198" t="s">
        <v>58</v>
      </c>
      <c r="Z584" s="201">
        <v>46173</v>
      </c>
      <c r="AA584" s="198" t="s">
        <v>59</v>
      </c>
      <c r="AB584" s="198" t="s">
        <v>60</v>
      </c>
      <c r="AC584" s="198" t="s">
        <v>86</v>
      </c>
      <c r="AD584" s="198" t="s">
        <v>62</v>
      </c>
      <c r="AE584" s="198" t="s">
        <v>483</v>
      </c>
      <c r="AF584" s="198" t="s">
        <v>482</v>
      </c>
      <c r="AG584" s="198" t="s">
        <v>147</v>
      </c>
      <c r="AH584" s="198" t="s">
        <v>137</v>
      </c>
      <c r="AI584" s="198" t="s">
        <v>56</v>
      </c>
      <c r="AJ584" s="198" t="s">
        <v>382</v>
      </c>
      <c r="AK584" s="198" t="s">
        <v>51</v>
      </c>
      <c r="AL584" s="198" t="s">
        <v>67</v>
      </c>
      <c r="AM584" s="198" t="s">
        <v>68</v>
      </c>
      <c r="AN584" s="202">
        <v>12200</v>
      </c>
      <c r="AO584" s="202">
        <v>12200</v>
      </c>
      <c r="AP584" s="202">
        <v>12200</v>
      </c>
      <c r="AQ584" s="198" t="s">
        <v>358</v>
      </c>
      <c r="AR584" s="198" t="s">
        <v>51</v>
      </c>
      <c r="AS584" s="202">
        <v>12200</v>
      </c>
      <c r="AT584" s="202">
        <v>12200</v>
      </c>
      <c r="AU584" s="198" t="s">
        <v>359</v>
      </c>
      <c r="AV584" s="198" t="s">
        <v>62</v>
      </c>
      <c r="AW584" s="198" t="s">
        <v>54</v>
      </c>
    </row>
    <row r="585" spans="3:49" outlineLevel="2" x14ac:dyDescent="0.25">
      <c r="C585" s="201"/>
      <c r="D585" s="198" t="s">
        <v>525</v>
      </c>
      <c r="H585" s="198" t="s">
        <v>525</v>
      </c>
      <c r="I585" s="202">
        <f t="shared" si="9"/>
        <v>245296131.29999959</v>
      </c>
      <c r="J585" s="202">
        <v>59.399999999999899</v>
      </c>
      <c r="L585" s="204">
        <v>2</v>
      </c>
      <c r="M585" s="202">
        <v>108200</v>
      </c>
      <c r="N585" s="204">
        <v>2</v>
      </c>
      <c r="O585" s="198" t="s">
        <v>51</v>
      </c>
      <c r="P585" s="202">
        <v>108200</v>
      </c>
      <c r="Q585" s="198" t="s">
        <v>73</v>
      </c>
      <c r="R585" s="198" t="s">
        <v>53</v>
      </c>
      <c r="S585" s="198" t="s">
        <v>54</v>
      </c>
      <c r="T585" s="198" t="s">
        <v>2031</v>
      </c>
      <c r="U585" s="198" t="s">
        <v>2032</v>
      </c>
      <c r="V585" s="198" t="s">
        <v>56</v>
      </c>
      <c r="W585" s="198" t="s">
        <v>356</v>
      </c>
      <c r="X585" s="198" t="s">
        <v>57</v>
      </c>
      <c r="Y585" s="198" t="s">
        <v>58</v>
      </c>
      <c r="Z585" s="201">
        <v>46173</v>
      </c>
      <c r="AA585" s="198" t="s">
        <v>59</v>
      </c>
      <c r="AB585" s="198" t="s">
        <v>60</v>
      </c>
      <c r="AC585" s="198" t="s">
        <v>86</v>
      </c>
      <c r="AD585" s="198" t="s">
        <v>62</v>
      </c>
      <c r="AE585" s="198" t="s">
        <v>485</v>
      </c>
      <c r="AF585" s="198" t="s">
        <v>484</v>
      </c>
      <c r="AG585" s="198" t="s">
        <v>147</v>
      </c>
      <c r="AH585" s="198" t="s">
        <v>137</v>
      </c>
      <c r="AI585" s="198" t="s">
        <v>56</v>
      </c>
      <c r="AJ585" s="198" t="s">
        <v>382</v>
      </c>
      <c r="AK585" s="198" t="s">
        <v>51</v>
      </c>
      <c r="AL585" s="198" t="s">
        <v>67</v>
      </c>
      <c r="AM585" s="198" t="s">
        <v>68</v>
      </c>
      <c r="AN585" s="202">
        <v>108200</v>
      </c>
      <c r="AO585" s="202">
        <v>108200</v>
      </c>
      <c r="AP585" s="202">
        <v>108200</v>
      </c>
      <c r="AQ585" s="198" t="s">
        <v>358</v>
      </c>
      <c r="AR585" s="198" t="s">
        <v>51</v>
      </c>
      <c r="AS585" s="202">
        <v>108200</v>
      </c>
      <c r="AT585" s="202">
        <v>108200</v>
      </c>
      <c r="AU585" s="198" t="s">
        <v>359</v>
      </c>
      <c r="AV585" s="198" t="s">
        <v>62</v>
      </c>
      <c r="AW585" s="198" t="s">
        <v>54</v>
      </c>
    </row>
    <row r="586" spans="3:49" outlineLevel="2" x14ac:dyDescent="0.25">
      <c r="C586" s="201"/>
      <c r="D586" s="198" t="s">
        <v>525</v>
      </c>
      <c r="H586" s="198" t="s">
        <v>525</v>
      </c>
      <c r="I586" s="202">
        <f t="shared" si="9"/>
        <v>245709087.74999958</v>
      </c>
      <c r="J586" s="202">
        <v>59.499999999999901</v>
      </c>
      <c r="L586" s="204">
        <v>1</v>
      </c>
      <c r="M586" s="202">
        <v>242000</v>
      </c>
      <c r="N586" s="204">
        <v>1</v>
      </c>
      <c r="O586" s="198" t="s">
        <v>51</v>
      </c>
      <c r="P586" s="202">
        <v>242000</v>
      </c>
      <c r="Q586" s="198" t="s">
        <v>73</v>
      </c>
      <c r="R586" s="198" t="s">
        <v>53</v>
      </c>
      <c r="S586" s="198" t="s">
        <v>54</v>
      </c>
      <c r="T586" s="198" t="s">
        <v>2031</v>
      </c>
      <c r="U586" s="198" t="s">
        <v>2032</v>
      </c>
      <c r="V586" s="198" t="s">
        <v>56</v>
      </c>
      <c r="W586" s="198" t="s">
        <v>356</v>
      </c>
      <c r="X586" s="198" t="s">
        <v>57</v>
      </c>
      <c r="Y586" s="198" t="s">
        <v>58</v>
      </c>
      <c r="Z586" s="201">
        <v>46173</v>
      </c>
      <c r="AA586" s="198" t="s">
        <v>59</v>
      </c>
      <c r="AB586" s="198" t="s">
        <v>60</v>
      </c>
      <c r="AC586" s="198" t="s">
        <v>86</v>
      </c>
      <c r="AD586" s="198" t="s">
        <v>62</v>
      </c>
      <c r="AE586" s="198" t="s">
        <v>487</v>
      </c>
      <c r="AF586" s="198" t="s">
        <v>486</v>
      </c>
      <c r="AG586" s="198" t="s">
        <v>147</v>
      </c>
      <c r="AH586" s="198" t="s">
        <v>137</v>
      </c>
      <c r="AI586" s="198" t="s">
        <v>56</v>
      </c>
      <c r="AJ586" s="198" t="s">
        <v>128</v>
      </c>
      <c r="AK586" s="198" t="s">
        <v>51</v>
      </c>
      <c r="AL586" s="198" t="s">
        <v>67</v>
      </c>
      <c r="AM586" s="198" t="s">
        <v>68</v>
      </c>
      <c r="AN586" s="202">
        <v>242000</v>
      </c>
      <c r="AO586" s="202">
        <v>242000</v>
      </c>
      <c r="AP586" s="202">
        <v>242000</v>
      </c>
      <c r="AQ586" s="198" t="s">
        <v>358</v>
      </c>
      <c r="AR586" s="198" t="s">
        <v>51</v>
      </c>
      <c r="AS586" s="202">
        <v>242000</v>
      </c>
      <c r="AT586" s="202">
        <v>242000</v>
      </c>
      <c r="AU586" s="198" t="s">
        <v>359</v>
      </c>
      <c r="AV586" s="198" t="s">
        <v>62</v>
      </c>
      <c r="AW586" s="198" t="s">
        <v>54</v>
      </c>
    </row>
    <row r="587" spans="3:49" outlineLevel="2" x14ac:dyDescent="0.25">
      <c r="C587" s="201"/>
      <c r="D587" s="198" t="s">
        <v>525</v>
      </c>
      <c r="H587" s="198" t="s">
        <v>525</v>
      </c>
      <c r="I587" s="202">
        <f t="shared" si="9"/>
        <v>246122044.1999996</v>
      </c>
      <c r="J587" s="202">
        <v>59.599999999999902</v>
      </c>
      <c r="L587" s="204">
        <v>2</v>
      </c>
      <c r="M587" s="202">
        <v>12000</v>
      </c>
      <c r="N587" s="204">
        <v>2</v>
      </c>
      <c r="O587" s="198" t="s">
        <v>51</v>
      </c>
      <c r="P587" s="202">
        <v>12000</v>
      </c>
      <c r="Q587" s="198" t="s">
        <v>73</v>
      </c>
      <c r="R587" s="198" t="s">
        <v>53</v>
      </c>
      <c r="S587" s="198" t="s">
        <v>54</v>
      </c>
      <c r="T587" s="198" t="s">
        <v>2031</v>
      </c>
      <c r="U587" s="198" t="s">
        <v>2032</v>
      </c>
      <c r="V587" s="198" t="s">
        <v>56</v>
      </c>
      <c r="W587" s="198" t="s">
        <v>356</v>
      </c>
      <c r="X587" s="198" t="s">
        <v>57</v>
      </c>
      <c r="Y587" s="198" t="s">
        <v>58</v>
      </c>
      <c r="Z587" s="201">
        <v>46173</v>
      </c>
      <c r="AA587" s="198" t="s">
        <v>59</v>
      </c>
      <c r="AB587" s="198" t="s">
        <v>60</v>
      </c>
      <c r="AC587" s="198" t="s">
        <v>86</v>
      </c>
      <c r="AD587" s="198" t="s">
        <v>62</v>
      </c>
      <c r="AE587" s="198" t="s">
        <v>489</v>
      </c>
      <c r="AF587" s="198" t="s">
        <v>488</v>
      </c>
      <c r="AG587" s="198" t="s">
        <v>147</v>
      </c>
      <c r="AH587" s="198" t="s">
        <v>137</v>
      </c>
      <c r="AI587" s="198" t="s">
        <v>56</v>
      </c>
      <c r="AJ587" s="198" t="s">
        <v>398</v>
      </c>
      <c r="AK587" s="198" t="s">
        <v>51</v>
      </c>
      <c r="AL587" s="198" t="s">
        <v>67</v>
      </c>
      <c r="AM587" s="198" t="s">
        <v>68</v>
      </c>
      <c r="AN587" s="202">
        <v>12000</v>
      </c>
      <c r="AO587" s="202">
        <v>12000</v>
      </c>
      <c r="AP587" s="202">
        <v>12000</v>
      </c>
      <c r="AQ587" s="198" t="s">
        <v>358</v>
      </c>
      <c r="AR587" s="198" t="s">
        <v>51</v>
      </c>
      <c r="AS587" s="202">
        <v>12000</v>
      </c>
      <c r="AT587" s="202">
        <v>12000</v>
      </c>
      <c r="AU587" s="198" t="s">
        <v>359</v>
      </c>
      <c r="AV587" s="198" t="s">
        <v>62</v>
      </c>
      <c r="AW587" s="198" t="s">
        <v>54</v>
      </c>
    </row>
    <row r="588" spans="3:49" outlineLevel="2" x14ac:dyDescent="0.25">
      <c r="C588" s="201"/>
      <c r="D588" s="198" t="s">
        <v>525</v>
      </c>
      <c r="H588" s="198" t="s">
        <v>525</v>
      </c>
      <c r="I588" s="202">
        <f t="shared" si="9"/>
        <v>246535000.64999959</v>
      </c>
      <c r="J588" s="202">
        <v>59.699999999999903</v>
      </c>
      <c r="L588" s="204">
        <v>2</v>
      </c>
      <c r="M588" s="202">
        <v>2200</v>
      </c>
      <c r="N588" s="204">
        <v>2</v>
      </c>
      <c r="O588" s="198" t="s">
        <v>51</v>
      </c>
      <c r="P588" s="202">
        <v>2200</v>
      </c>
      <c r="Q588" s="198" t="s">
        <v>73</v>
      </c>
      <c r="R588" s="198" t="s">
        <v>53</v>
      </c>
      <c r="S588" s="198" t="s">
        <v>54</v>
      </c>
      <c r="T588" s="198" t="s">
        <v>2031</v>
      </c>
      <c r="U588" s="198" t="s">
        <v>2032</v>
      </c>
      <c r="V588" s="198" t="s">
        <v>56</v>
      </c>
      <c r="W588" s="198" t="s">
        <v>356</v>
      </c>
      <c r="X588" s="198" t="s">
        <v>57</v>
      </c>
      <c r="Y588" s="198" t="s">
        <v>58</v>
      </c>
      <c r="Z588" s="201">
        <v>46173</v>
      </c>
      <c r="AA588" s="198" t="s">
        <v>59</v>
      </c>
      <c r="AB588" s="198" t="s">
        <v>60</v>
      </c>
      <c r="AC588" s="198" t="s">
        <v>86</v>
      </c>
      <c r="AD588" s="198" t="s">
        <v>62</v>
      </c>
      <c r="AE588" s="198" t="s">
        <v>491</v>
      </c>
      <c r="AF588" s="198" t="s">
        <v>490</v>
      </c>
      <c r="AG588" s="198" t="s">
        <v>147</v>
      </c>
      <c r="AH588" s="198" t="s">
        <v>137</v>
      </c>
      <c r="AI588" s="198" t="s">
        <v>56</v>
      </c>
      <c r="AJ588" s="198" t="s">
        <v>406</v>
      </c>
      <c r="AK588" s="198" t="s">
        <v>51</v>
      </c>
      <c r="AL588" s="198" t="s">
        <v>67</v>
      </c>
      <c r="AM588" s="198" t="s">
        <v>68</v>
      </c>
      <c r="AN588" s="202">
        <v>2200</v>
      </c>
      <c r="AO588" s="202">
        <v>2200</v>
      </c>
      <c r="AP588" s="202">
        <v>2200</v>
      </c>
      <c r="AQ588" s="198" t="s">
        <v>358</v>
      </c>
      <c r="AR588" s="198" t="s">
        <v>51</v>
      </c>
      <c r="AS588" s="202">
        <v>2200</v>
      </c>
      <c r="AT588" s="202">
        <v>2200</v>
      </c>
      <c r="AU588" s="198" t="s">
        <v>359</v>
      </c>
      <c r="AV588" s="198" t="s">
        <v>62</v>
      </c>
      <c r="AW588" s="198" t="s">
        <v>54</v>
      </c>
    </row>
    <row r="589" spans="3:49" outlineLevel="2" x14ac:dyDescent="0.25">
      <c r="C589" s="201"/>
      <c r="D589" s="198" t="s">
        <v>525</v>
      </c>
      <c r="H589" s="198" t="s">
        <v>525</v>
      </c>
      <c r="I589" s="202">
        <f t="shared" si="9"/>
        <v>246947957.09999958</v>
      </c>
      <c r="J589" s="202">
        <v>59.799999999999898</v>
      </c>
      <c r="L589" s="204">
        <v>2</v>
      </c>
      <c r="M589" s="202">
        <v>2700</v>
      </c>
      <c r="N589" s="204">
        <v>2</v>
      </c>
      <c r="O589" s="198" t="s">
        <v>51</v>
      </c>
      <c r="P589" s="202">
        <v>2700</v>
      </c>
      <c r="Q589" s="198" t="s">
        <v>73</v>
      </c>
      <c r="R589" s="198" t="s">
        <v>53</v>
      </c>
      <c r="S589" s="198" t="s">
        <v>54</v>
      </c>
      <c r="T589" s="198" t="s">
        <v>2031</v>
      </c>
      <c r="U589" s="198" t="s">
        <v>2032</v>
      </c>
      <c r="V589" s="198" t="s">
        <v>56</v>
      </c>
      <c r="W589" s="198" t="s">
        <v>356</v>
      </c>
      <c r="X589" s="198" t="s">
        <v>57</v>
      </c>
      <c r="Y589" s="198" t="s">
        <v>58</v>
      </c>
      <c r="Z589" s="201">
        <v>46173</v>
      </c>
      <c r="AA589" s="198" t="s">
        <v>59</v>
      </c>
      <c r="AB589" s="198" t="s">
        <v>60</v>
      </c>
      <c r="AC589" s="198" t="s">
        <v>86</v>
      </c>
      <c r="AD589" s="198" t="s">
        <v>62</v>
      </c>
      <c r="AE589" s="198" t="s">
        <v>493</v>
      </c>
      <c r="AF589" s="198" t="s">
        <v>492</v>
      </c>
      <c r="AG589" s="198" t="s">
        <v>147</v>
      </c>
      <c r="AH589" s="198" t="s">
        <v>137</v>
      </c>
      <c r="AI589" s="198" t="s">
        <v>56</v>
      </c>
      <c r="AJ589" s="198" t="s">
        <v>452</v>
      </c>
      <c r="AK589" s="198" t="s">
        <v>51</v>
      </c>
      <c r="AL589" s="198" t="s">
        <v>67</v>
      </c>
      <c r="AM589" s="198" t="s">
        <v>68</v>
      </c>
      <c r="AN589" s="202">
        <v>2700</v>
      </c>
      <c r="AO589" s="202">
        <v>2700</v>
      </c>
      <c r="AP589" s="202">
        <v>2700</v>
      </c>
      <c r="AQ589" s="198" t="s">
        <v>358</v>
      </c>
      <c r="AR589" s="198" t="s">
        <v>51</v>
      </c>
      <c r="AS589" s="202">
        <v>2700</v>
      </c>
      <c r="AT589" s="202">
        <v>2700</v>
      </c>
      <c r="AU589" s="198" t="s">
        <v>359</v>
      </c>
      <c r="AV589" s="198" t="s">
        <v>62</v>
      </c>
      <c r="AW589" s="198" t="s">
        <v>54</v>
      </c>
    </row>
    <row r="590" spans="3:49" outlineLevel="2" x14ac:dyDescent="0.25">
      <c r="C590" s="201"/>
      <c r="D590" s="198" t="s">
        <v>525</v>
      </c>
      <c r="H590" s="198" t="s">
        <v>525</v>
      </c>
      <c r="I590" s="202">
        <f t="shared" si="9"/>
        <v>247360913.54999959</v>
      </c>
      <c r="J590" s="202">
        <v>59.899999999999899</v>
      </c>
      <c r="L590" s="204">
        <v>2</v>
      </c>
      <c r="M590" s="202">
        <v>2700</v>
      </c>
      <c r="N590" s="204">
        <v>2</v>
      </c>
      <c r="O590" s="198" t="s">
        <v>51</v>
      </c>
      <c r="P590" s="202">
        <v>2700</v>
      </c>
      <c r="Q590" s="198" t="s">
        <v>73</v>
      </c>
      <c r="R590" s="198" t="s">
        <v>53</v>
      </c>
      <c r="S590" s="198" t="s">
        <v>54</v>
      </c>
      <c r="T590" s="198" t="s">
        <v>2031</v>
      </c>
      <c r="U590" s="198" t="s">
        <v>2032</v>
      </c>
      <c r="V590" s="198" t="s">
        <v>56</v>
      </c>
      <c r="W590" s="198" t="s">
        <v>356</v>
      </c>
      <c r="X590" s="198" t="s">
        <v>57</v>
      </c>
      <c r="Y590" s="198" t="s">
        <v>58</v>
      </c>
      <c r="Z590" s="201">
        <v>46173</v>
      </c>
      <c r="AA590" s="198" t="s">
        <v>59</v>
      </c>
      <c r="AB590" s="198" t="s">
        <v>60</v>
      </c>
      <c r="AC590" s="198" t="s">
        <v>86</v>
      </c>
      <c r="AD590" s="198" t="s">
        <v>62</v>
      </c>
      <c r="AE590" s="198" t="s">
        <v>495</v>
      </c>
      <c r="AF590" s="198" t="s">
        <v>494</v>
      </c>
      <c r="AG590" s="198" t="s">
        <v>147</v>
      </c>
      <c r="AH590" s="198" t="s">
        <v>137</v>
      </c>
      <c r="AI590" s="198" t="s">
        <v>56</v>
      </c>
      <c r="AJ590" s="198" t="s">
        <v>455</v>
      </c>
      <c r="AK590" s="198" t="s">
        <v>51</v>
      </c>
      <c r="AL590" s="198" t="s">
        <v>67</v>
      </c>
      <c r="AM590" s="198" t="s">
        <v>68</v>
      </c>
      <c r="AN590" s="202">
        <v>2700</v>
      </c>
      <c r="AO590" s="202">
        <v>2700</v>
      </c>
      <c r="AP590" s="202">
        <v>2700</v>
      </c>
      <c r="AQ590" s="198" t="s">
        <v>358</v>
      </c>
      <c r="AR590" s="198" t="s">
        <v>51</v>
      </c>
      <c r="AS590" s="202">
        <v>2700</v>
      </c>
      <c r="AT590" s="202">
        <v>2700</v>
      </c>
      <c r="AU590" s="198" t="s">
        <v>359</v>
      </c>
      <c r="AV590" s="198" t="s">
        <v>62</v>
      </c>
      <c r="AW590" s="198" t="s">
        <v>54</v>
      </c>
    </row>
    <row r="591" spans="3:49" outlineLevel="2" x14ac:dyDescent="0.25">
      <c r="C591" s="201"/>
      <c r="D591" s="198" t="s">
        <v>525</v>
      </c>
      <c r="H591" s="198" t="s">
        <v>525</v>
      </c>
      <c r="I591" s="202">
        <f t="shared" si="9"/>
        <v>247773869.99999958</v>
      </c>
      <c r="J591" s="202">
        <v>59.999999999999901</v>
      </c>
      <c r="L591" s="204">
        <v>2</v>
      </c>
      <c r="M591" s="202">
        <v>500</v>
      </c>
      <c r="N591" s="204">
        <v>2</v>
      </c>
      <c r="O591" s="198" t="s">
        <v>51</v>
      </c>
      <c r="P591" s="202">
        <v>500</v>
      </c>
      <c r="Q591" s="198" t="s">
        <v>73</v>
      </c>
      <c r="R591" s="198" t="s">
        <v>53</v>
      </c>
      <c r="S591" s="198" t="s">
        <v>54</v>
      </c>
      <c r="T591" s="198" t="s">
        <v>2031</v>
      </c>
      <c r="U591" s="198" t="s">
        <v>2032</v>
      </c>
      <c r="V591" s="198" t="s">
        <v>56</v>
      </c>
      <c r="W591" s="198" t="s">
        <v>356</v>
      </c>
      <c r="X591" s="198" t="s">
        <v>57</v>
      </c>
      <c r="Y591" s="198" t="s">
        <v>58</v>
      </c>
      <c r="Z591" s="201">
        <v>46173</v>
      </c>
      <c r="AA591" s="198" t="s">
        <v>59</v>
      </c>
      <c r="AB591" s="198" t="s">
        <v>60</v>
      </c>
      <c r="AC591" s="198" t="s">
        <v>86</v>
      </c>
      <c r="AD591" s="198" t="s">
        <v>62</v>
      </c>
      <c r="AE591" s="198" t="s">
        <v>497</v>
      </c>
      <c r="AF591" s="198" t="s">
        <v>496</v>
      </c>
      <c r="AG591" s="198" t="s">
        <v>147</v>
      </c>
      <c r="AH591" s="198" t="s">
        <v>137</v>
      </c>
      <c r="AI591" s="198" t="s">
        <v>56</v>
      </c>
      <c r="AJ591" s="198" t="s">
        <v>455</v>
      </c>
      <c r="AK591" s="198" t="s">
        <v>51</v>
      </c>
      <c r="AL591" s="198" t="s">
        <v>67</v>
      </c>
      <c r="AM591" s="198" t="s">
        <v>68</v>
      </c>
      <c r="AN591" s="202">
        <v>500</v>
      </c>
      <c r="AO591" s="202">
        <v>500</v>
      </c>
      <c r="AP591" s="202">
        <v>500</v>
      </c>
      <c r="AQ591" s="198" t="s">
        <v>358</v>
      </c>
      <c r="AR591" s="198" t="s">
        <v>51</v>
      </c>
      <c r="AS591" s="202">
        <v>500</v>
      </c>
      <c r="AT591" s="202">
        <v>500</v>
      </c>
      <c r="AU591" s="198" t="s">
        <v>359</v>
      </c>
      <c r="AV591" s="198" t="s">
        <v>62</v>
      </c>
      <c r="AW591" s="198" t="s">
        <v>54</v>
      </c>
    </row>
    <row r="592" spans="3:49" outlineLevel="2" x14ac:dyDescent="0.25">
      <c r="C592" s="201"/>
      <c r="D592" s="198" t="s">
        <v>525</v>
      </c>
      <c r="H592" s="198" t="s">
        <v>525</v>
      </c>
      <c r="I592" s="202">
        <f t="shared" si="9"/>
        <v>248186826.4499996</v>
      </c>
      <c r="J592" s="202">
        <v>60.099999999999902</v>
      </c>
      <c r="L592" s="204">
        <v>50</v>
      </c>
      <c r="M592" s="202">
        <v>11500</v>
      </c>
      <c r="N592" s="204">
        <v>50</v>
      </c>
      <c r="O592" s="198" t="s">
        <v>51</v>
      </c>
      <c r="P592" s="202">
        <v>11500</v>
      </c>
      <c r="Q592" s="198" t="s">
        <v>73</v>
      </c>
      <c r="R592" s="198" t="s">
        <v>53</v>
      </c>
      <c r="S592" s="198" t="s">
        <v>54</v>
      </c>
      <c r="T592" s="198" t="s">
        <v>2031</v>
      </c>
      <c r="U592" s="198" t="s">
        <v>2032</v>
      </c>
      <c r="V592" s="198" t="s">
        <v>56</v>
      </c>
      <c r="W592" s="198" t="s">
        <v>356</v>
      </c>
      <c r="X592" s="198" t="s">
        <v>57</v>
      </c>
      <c r="Y592" s="198" t="s">
        <v>58</v>
      </c>
      <c r="Z592" s="201">
        <v>46173</v>
      </c>
      <c r="AA592" s="198" t="s">
        <v>59</v>
      </c>
      <c r="AB592" s="198" t="s">
        <v>60</v>
      </c>
      <c r="AC592" s="198" t="s">
        <v>86</v>
      </c>
      <c r="AD592" s="198" t="s">
        <v>62</v>
      </c>
      <c r="AE592" s="198" t="s">
        <v>499</v>
      </c>
      <c r="AF592" s="198" t="s">
        <v>498</v>
      </c>
      <c r="AG592" s="198" t="s">
        <v>147</v>
      </c>
      <c r="AH592" s="198" t="s">
        <v>137</v>
      </c>
      <c r="AI592" s="198" t="s">
        <v>56</v>
      </c>
      <c r="AJ592" s="198" t="s">
        <v>382</v>
      </c>
      <c r="AK592" s="198" t="s">
        <v>51</v>
      </c>
      <c r="AL592" s="198" t="s">
        <v>67</v>
      </c>
      <c r="AM592" s="198" t="s">
        <v>68</v>
      </c>
      <c r="AN592" s="202">
        <v>11500</v>
      </c>
      <c r="AO592" s="202">
        <v>11500</v>
      </c>
      <c r="AP592" s="202">
        <v>11500</v>
      </c>
      <c r="AQ592" s="198" t="s">
        <v>358</v>
      </c>
      <c r="AR592" s="198" t="s">
        <v>51</v>
      </c>
      <c r="AS592" s="202">
        <v>11500</v>
      </c>
      <c r="AT592" s="202">
        <v>11500</v>
      </c>
      <c r="AU592" s="198" t="s">
        <v>359</v>
      </c>
      <c r="AV592" s="198" t="s">
        <v>62</v>
      </c>
      <c r="AW592" s="198" t="s">
        <v>54</v>
      </c>
    </row>
    <row r="593" spans="3:49" outlineLevel="2" x14ac:dyDescent="0.25">
      <c r="C593" s="201"/>
      <c r="D593" s="198" t="s">
        <v>525</v>
      </c>
      <c r="H593" s="198" t="s">
        <v>525</v>
      </c>
      <c r="I593" s="202">
        <f t="shared" si="9"/>
        <v>248599782.89999959</v>
      </c>
      <c r="J593" s="202">
        <v>60.199999999999903</v>
      </c>
      <c r="L593" s="204">
        <v>50</v>
      </c>
      <c r="M593" s="202">
        <v>2300</v>
      </c>
      <c r="N593" s="204">
        <v>50</v>
      </c>
      <c r="O593" s="198" t="s">
        <v>51</v>
      </c>
      <c r="P593" s="202">
        <v>2300</v>
      </c>
      <c r="Q593" s="198" t="s">
        <v>73</v>
      </c>
      <c r="R593" s="198" t="s">
        <v>53</v>
      </c>
      <c r="S593" s="198" t="s">
        <v>54</v>
      </c>
      <c r="T593" s="198" t="s">
        <v>2031</v>
      </c>
      <c r="U593" s="198" t="s">
        <v>2032</v>
      </c>
      <c r="V593" s="198" t="s">
        <v>56</v>
      </c>
      <c r="W593" s="198" t="s">
        <v>356</v>
      </c>
      <c r="X593" s="198" t="s">
        <v>57</v>
      </c>
      <c r="Y593" s="198" t="s">
        <v>58</v>
      </c>
      <c r="Z593" s="201">
        <v>46173</v>
      </c>
      <c r="AA593" s="198" t="s">
        <v>59</v>
      </c>
      <c r="AB593" s="198" t="s">
        <v>60</v>
      </c>
      <c r="AC593" s="198" t="s">
        <v>86</v>
      </c>
      <c r="AD593" s="198" t="s">
        <v>62</v>
      </c>
      <c r="AE593" s="198" t="s">
        <v>501</v>
      </c>
      <c r="AF593" s="198" t="s">
        <v>500</v>
      </c>
      <c r="AG593" s="198" t="s">
        <v>147</v>
      </c>
      <c r="AH593" s="198" t="s">
        <v>137</v>
      </c>
      <c r="AI593" s="198" t="s">
        <v>56</v>
      </c>
      <c r="AJ593" s="198" t="s">
        <v>406</v>
      </c>
      <c r="AK593" s="198" t="s">
        <v>51</v>
      </c>
      <c r="AL593" s="198" t="s">
        <v>67</v>
      </c>
      <c r="AM593" s="198" t="s">
        <v>68</v>
      </c>
      <c r="AN593" s="202">
        <v>2300</v>
      </c>
      <c r="AO593" s="202">
        <v>2300</v>
      </c>
      <c r="AP593" s="202">
        <v>2300</v>
      </c>
      <c r="AQ593" s="198" t="s">
        <v>358</v>
      </c>
      <c r="AR593" s="198" t="s">
        <v>51</v>
      </c>
      <c r="AS593" s="202">
        <v>2300</v>
      </c>
      <c r="AT593" s="202">
        <v>2300</v>
      </c>
      <c r="AU593" s="198" t="s">
        <v>359</v>
      </c>
      <c r="AV593" s="198" t="s">
        <v>62</v>
      </c>
      <c r="AW593" s="198" t="s">
        <v>54</v>
      </c>
    </row>
    <row r="594" spans="3:49" outlineLevel="2" x14ac:dyDescent="0.25">
      <c r="C594" s="201"/>
      <c r="D594" s="198" t="s">
        <v>525</v>
      </c>
      <c r="H594" s="198" t="s">
        <v>525</v>
      </c>
      <c r="I594" s="202">
        <f t="shared" si="9"/>
        <v>249012739.34999958</v>
      </c>
      <c r="J594" s="202">
        <v>60.299999999999898</v>
      </c>
      <c r="L594" s="204">
        <v>5</v>
      </c>
      <c r="M594" s="202">
        <v>9800</v>
      </c>
      <c r="N594" s="204">
        <v>5</v>
      </c>
      <c r="O594" s="198" t="s">
        <v>51</v>
      </c>
      <c r="P594" s="202">
        <v>9800</v>
      </c>
      <c r="Q594" s="198" t="s">
        <v>73</v>
      </c>
      <c r="R594" s="198" t="s">
        <v>53</v>
      </c>
      <c r="S594" s="198" t="s">
        <v>54</v>
      </c>
      <c r="T594" s="198" t="s">
        <v>2031</v>
      </c>
      <c r="U594" s="198" t="s">
        <v>2032</v>
      </c>
      <c r="V594" s="198" t="s">
        <v>56</v>
      </c>
      <c r="W594" s="198" t="s">
        <v>356</v>
      </c>
      <c r="X594" s="198" t="s">
        <v>57</v>
      </c>
      <c r="Y594" s="198" t="s">
        <v>58</v>
      </c>
      <c r="Z594" s="201">
        <v>46173</v>
      </c>
      <c r="AA594" s="198" t="s">
        <v>59</v>
      </c>
      <c r="AB594" s="198" t="s">
        <v>60</v>
      </c>
      <c r="AC594" s="198" t="s">
        <v>86</v>
      </c>
      <c r="AD594" s="198" t="s">
        <v>62</v>
      </c>
      <c r="AE594" s="198" t="s">
        <v>503</v>
      </c>
      <c r="AF594" s="198" t="s">
        <v>502</v>
      </c>
      <c r="AG594" s="198" t="s">
        <v>147</v>
      </c>
      <c r="AH594" s="198" t="s">
        <v>137</v>
      </c>
      <c r="AI594" s="198" t="s">
        <v>56</v>
      </c>
      <c r="AJ594" s="198" t="s">
        <v>455</v>
      </c>
      <c r="AK594" s="198" t="s">
        <v>51</v>
      </c>
      <c r="AL594" s="198" t="s">
        <v>67</v>
      </c>
      <c r="AM594" s="198" t="s">
        <v>68</v>
      </c>
      <c r="AN594" s="202">
        <v>9800</v>
      </c>
      <c r="AO594" s="202">
        <v>9800</v>
      </c>
      <c r="AP594" s="202">
        <v>9800</v>
      </c>
      <c r="AQ594" s="198" t="s">
        <v>358</v>
      </c>
      <c r="AR594" s="198" t="s">
        <v>51</v>
      </c>
      <c r="AS594" s="202">
        <v>9800</v>
      </c>
      <c r="AT594" s="202">
        <v>9800</v>
      </c>
      <c r="AU594" s="198" t="s">
        <v>359</v>
      </c>
      <c r="AV594" s="198" t="s">
        <v>62</v>
      </c>
      <c r="AW594" s="198" t="s">
        <v>54</v>
      </c>
    </row>
    <row r="595" spans="3:49" outlineLevel="2" x14ac:dyDescent="0.25">
      <c r="C595" s="201"/>
      <c r="D595" s="198" t="s">
        <v>525</v>
      </c>
      <c r="H595" s="198" t="s">
        <v>525</v>
      </c>
      <c r="I595" s="202">
        <f t="shared" si="9"/>
        <v>249425695.79999959</v>
      </c>
      <c r="J595" s="202">
        <v>60.399999999999899</v>
      </c>
      <c r="L595" s="204">
        <v>2</v>
      </c>
      <c r="M595" s="202">
        <v>12560</v>
      </c>
      <c r="N595" s="204">
        <v>2</v>
      </c>
      <c r="O595" s="198" t="s">
        <v>51</v>
      </c>
      <c r="P595" s="202">
        <v>12560</v>
      </c>
      <c r="Q595" s="198" t="s">
        <v>73</v>
      </c>
      <c r="R595" s="198" t="s">
        <v>53</v>
      </c>
      <c r="S595" s="198" t="s">
        <v>54</v>
      </c>
      <c r="T595" s="198" t="s">
        <v>2031</v>
      </c>
      <c r="U595" s="198" t="s">
        <v>2032</v>
      </c>
      <c r="V595" s="198" t="s">
        <v>56</v>
      </c>
      <c r="W595" s="198" t="s">
        <v>356</v>
      </c>
      <c r="X595" s="198" t="s">
        <v>57</v>
      </c>
      <c r="Y595" s="198" t="s">
        <v>58</v>
      </c>
      <c r="Z595" s="201">
        <v>46173</v>
      </c>
      <c r="AA595" s="198" t="s">
        <v>59</v>
      </c>
      <c r="AB595" s="198" t="s">
        <v>60</v>
      </c>
      <c r="AC595" s="198" t="s">
        <v>86</v>
      </c>
      <c r="AD595" s="198" t="s">
        <v>62</v>
      </c>
      <c r="AE595" s="198" t="s">
        <v>505</v>
      </c>
      <c r="AF595" s="198" t="s">
        <v>504</v>
      </c>
      <c r="AG595" s="198" t="s">
        <v>147</v>
      </c>
      <c r="AH595" s="198" t="s">
        <v>137</v>
      </c>
      <c r="AI595" s="198" t="s">
        <v>56</v>
      </c>
      <c r="AJ595" s="198" t="s">
        <v>452</v>
      </c>
      <c r="AK595" s="198" t="s">
        <v>51</v>
      </c>
      <c r="AL595" s="198" t="s">
        <v>67</v>
      </c>
      <c r="AM595" s="198" t="s">
        <v>68</v>
      </c>
      <c r="AN595" s="202">
        <v>12560</v>
      </c>
      <c r="AO595" s="202">
        <v>12560</v>
      </c>
      <c r="AP595" s="202">
        <v>12560</v>
      </c>
      <c r="AQ595" s="198" t="s">
        <v>358</v>
      </c>
      <c r="AR595" s="198" t="s">
        <v>51</v>
      </c>
      <c r="AS595" s="202">
        <v>12560</v>
      </c>
      <c r="AT595" s="202">
        <v>12560</v>
      </c>
      <c r="AU595" s="198" t="s">
        <v>359</v>
      </c>
      <c r="AV595" s="198" t="s">
        <v>62</v>
      </c>
      <c r="AW595" s="198" t="s">
        <v>54</v>
      </c>
    </row>
    <row r="596" spans="3:49" outlineLevel="2" x14ac:dyDescent="0.25">
      <c r="C596" s="201"/>
      <c r="D596" s="198" t="s">
        <v>525</v>
      </c>
      <c r="H596" s="198" t="s">
        <v>525</v>
      </c>
      <c r="I596" s="202">
        <f t="shared" si="9"/>
        <v>249838652.24999958</v>
      </c>
      <c r="J596" s="202">
        <v>60.499999999999901</v>
      </c>
      <c r="L596" s="204">
        <v>1</v>
      </c>
      <c r="M596" s="202">
        <v>17000</v>
      </c>
      <c r="N596" s="204">
        <v>1</v>
      </c>
      <c r="O596" s="198" t="s">
        <v>51</v>
      </c>
      <c r="P596" s="202">
        <v>17000</v>
      </c>
      <c r="Q596" s="198" t="s">
        <v>73</v>
      </c>
      <c r="R596" s="198" t="s">
        <v>53</v>
      </c>
      <c r="S596" s="198" t="s">
        <v>54</v>
      </c>
      <c r="T596" s="198" t="s">
        <v>2031</v>
      </c>
      <c r="U596" s="198" t="s">
        <v>2032</v>
      </c>
      <c r="V596" s="198" t="s">
        <v>56</v>
      </c>
      <c r="W596" s="198" t="s">
        <v>356</v>
      </c>
      <c r="X596" s="198" t="s">
        <v>57</v>
      </c>
      <c r="Y596" s="198" t="s">
        <v>58</v>
      </c>
      <c r="Z596" s="201">
        <v>46173</v>
      </c>
      <c r="AA596" s="198" t="s">
        <v>59</v>
      </c>
      <c r="AB596" s="198" t="s">
        <v>60</v>
      </c>
      <c r="AC596" s="198" t="s">
        <v>86</v>
      </c>
      <c r="AD596" s="198" t="s">
        <v>62</v>
      </c>
      <c r="AE596" s="198" t="s">
        <v>507</v>
      </c>
      <c r="AF596" s="198" t="s">
        <v>506</v>
      </c>
      <c r="AG596" s="198" t="s">
        <v>147</v>
      </c>
      <c r="AH596" s="198" t="s">
        <v>137</v>
      </c>
      <c r="AI596" s="198" t="s">
        <v>56</v>
      </c>
      <c r="AJ596" s="198" t="s">
        <v>149</v>
      </c>
      <c r="AK596" s="198" t="s">
        <v>51</v>
      </c>
      <c r="AL596" s="198" t="s">
        <v>67</v>
      </c>
      <c r="AM596" s="198" t="s">
        <v>68</v>
      </c>
      <c r="AN596" s="202">
        <v>17000</v>
      </c>
      <c r="AO596" s="202">
        <v>17000</v>
      </c>
      <c r="AP596" s="202">
        <v>17000</v>
      </c>
      <c r="AQ596" s="198" t="s">
        <v>358</v>
      </c>
      <c r="AR596" s="198" t="s">
        <v>51</v>
      </c>
      <c r="AS596" s="202">
        <v>17000</v>
      </c>
      <c r="AT596" s="202">
        <v>17000</v>
      </c>
      <c r="AU596" s="198" t="s">
        <v>359</v>
      </c>
      <c r="AV596" s="198" t="s">
        <v>62</v>
      </c>
      <c r="AW596" s="198" t="s">
        <v>54</v>
      </c>
    </row>
    <row r="597" spans="3:49" outlineLevel="2" x14ac:dyDescent="0.25">
      <c r="C597" s="201"/>
      <c r="D597" s="198" t="s">
        <v>525</v>
      </c>
      <c r="H597" s="198" t="s">
        <v>525</v>
      </c>
      <c r="I597" s="202">
        <f t="shared" si="9"/>
        <v>250251608.6999996</v>
      </c>
      <c r="J597" s="202">
        <v>60.599999999999902</v>
      </c>
      <c r="L597" s="204">
        <v>2</v>
      </c>
      <c r="M597" s="202">
        <v>500</v>
      </c>
      <c r="N597" s="204">
        <v>2</v>
      </c>
      <c r="O597" s="198" t="s">
        <v>51</v>
      </c>
      <c r="P597" s="202">
        <v>500</v>
      </c>
      <c r="Q597" s="198" t="s">
        <v>73</v>
      </c>
      <c r="R597" s="198" t="s">
        <v>53</v>
      </c>
      <c r="S597" s="198" t="s">
        <v>54</v>
      </c>
      <c r="T597" s="198" t="s">
        <v>2031</v>
      </c>
      <c r="U597" s="198" t="s">
        <v>2032</v>
      </c>
      <c r="V597" s="198" t="s">
        <v>56</v>
      </c>
      <c r="W597" s="198" t="s">
        <v>356</v>
      </c>
      <c r="X597" s="198" t="s">
        <v>57</v>
      </c>
      <c r="Y597" s="198" t="s">
        <v>58</v>
      </c>
      <c r="Z597" s="201">
        <v>46173</v>
      </c>
      <c r="AA597" s="198" t="s">
        <v>59</v>
      </c>
      <c r="AB597" s="198" t="s">
        <v>60</v>
      </c>
      <c r="AC597" s="198" t="s">
        <v>86</v>
      </c>
      <c r="AD597" s="198" t="s">
        <v>62</v>
      </c>
      <c r="AE597" s="198" t="s">
        <v>509</v>
      </c>
      <c r="AF597" s="198" t="s">
        <v>508</v>
      </c>
      <c r="AG597" s="198" t="s">
        <v>147</v>
      </c>
      <c r="AH597" s="198" t="s">
        <v>137</v>
      </c>
      <c r="AI597" s="198" t="s">
        <v>56</v>
      </c>
      <c r="AJ597" s="198" t="s">
        <v>449</v>
      </c>
      <c r="AK597" s="198" t="s">
        <v>51</v>
      </c>
      <c r="AL597" s="198" t="s">
        <v>67</v>
      </c>
      <c r="AM597" s="198" t="s">
        <v>68</v>
      </c>
      <c r="AN597" s="202">
        <v>500</v>
      </c>
      <c r="AO597" s="202">
        <v>500</v>
      </c>
      <c r="AP597" s="202">
        <v>500</v>
      </c>
      <c r="AQ597" s="198" t="s">
        <v>358</v>
      </c>
      <c r="AR597" s="198" t="s">
        <v>51</v>
      </c>
      <c r="AS597" s="202">
        <v>500</v>
      </c>
      <c r="AT597" s="202">
        <v>500</v>
      </c>
      <c r="AU597" s="198" t="s">
        <v>359</v>
      </c>
      <c r="AV597" s="198" t="s">
        <v>62</v>
      </c>
      <c r="AW597" s="198" t="s">
        <v>54</v>
      </c>
    </row>
    <row r="598" spans="3:49" outlineLevel="2" x14ac:dyDescent="0.25">
      <c r="C598" s="201"/>
      <c r="D598" s="198" t="s">
        <v>525</v>
      </c>
      <c r="H598" s="198" t="s">
        <v>525</v>
      </c>
      <c r="I598" s="202">
        <f t="shared" si="9"/>
        <v>250664565.14999959</v>
      </c>
      <c r="J598" s="202">
        <v>60.699999999999903</v>
      </c>
      <c r="L598" s="204">
        <v>1</v>
      </c>
      <c r="M598" s="202">
        <v>25500</v>
      </c>
      <c r="N598" s="204">
        <v>1</v>
      </c>
      <c r="O598" s="198" t="s">
        <v>51</v>
      </c>
      <c r="P598" s="202">
        <v>25500</v>
      </c>
      <c r="Q598" s="198" t="s">
        <v>73</v>
      </c>
      <c r="R598" s="198" t="s">
        <v>53</v>
      </c>
      <c r="S598" s="198" t="s">
        <v>54</v>
      </c>
      <c r="T598" s="198" t="s">
        <v>2031</v>
      </c>
      <c r="U598" s="198" t="s">
        <v>2032</v>
      </c>
      <c r="V598" s="198" t="s">
        <v>56</v>
      </c>
      <c r="W598" s="198" t="s">
        <v>356</v>
      </c>
      <c r="X598" s="198" t="s">
        <v>57</v>
      </c>
      <c r="Y598" s="198" t="s">
        <v>58</v>
      </c>
      <c r="Z598" s="201">
        <v>46173</v>
      </c>
      <c r="AA598" s="198" t="s">
        <v>59</v>
      </c>
      <c r="AB598" s="198" t="s">
        <v>60</v>
      </c>
      <c r="AC598" s="198" t="s">
        <v>86</v>
      </c>
      <c r="AD598" s="198" t="s">
        <v>62</v>
      </c>
      <c r="AE598" s="198" t="s">
        <v>511</v>
      </c>
      <c r="AF598" s="198" t="s">
        <v>510</v>
      </c>
      <c r="AG598" s="198" t="s">
        <v>147</v>
      </c>
      <c r="AH598" s="198" t="s">
        <v>137</v>
      </c>
      <c r="AI598" s="198" t="s">
        <v>56</v>
      </c>
      <c r="AJ598" s="198" t="s">
        <v>294</v>
      </c>
      <c r="AK598" s="198" t="s">
        <v>51</v>
      </c>
      <c r="AL598" s="198" t="s">
        <v>67</v>
      </c>
      <c r="AM598" s="198" t="s">
        <v>68</v>
      </c>
      <c r="AN598" s="202">
        <v>25500</v>
      </c>
      <c r="AO598" s="202">
        <v>25500</v>
      </c>
      <c r="AP598" s="202">
        <v>25500</v>
      </c>
      <c r="AQ598" s="198" t="s">
        <v>358</v>
      </c>
      <c r="AR598" s="198" t="s">
        <v>51</v>
      </c>
      <c r="AS598" s="202">
        <v>25500</v>
      </c>
      <c r="AT598" s="202">
        <v>25500</v>
      </c>
      <c r="AU598" s="198" t="s">
        <v>359</v>
      </c>
      <c r="AV598" s="198" t="s">
        <v>62</v>
      </c>
      <c r="AW598" s="198" t="s">
        <v>54</v>
      </c>
    </row>
    <row r="599" spans="3:49" outlineLevel="2" x14ac:dyDescent="0.25">
      <c r="C599" s="201"/>
      <c r="D599" s="198" t="s">
        <v>525</v>
      </c>
      <c r="H599" s="198" t="s">
        <v>525</v>
      </c>
      <c r="I599" s="202">
        <f t="shared" si="9"/>
        <v>251077521.59999958</v>
      </c>
      <c r="J599" s="202">
        <v>60.799999999999898</v>
      </c>
      <c r="L599" s="204">
        <v>1</v>
      </c>
      <c r="M599" s="202">
        <v>6517</v>
      </c>
      <c r="N599" s="204">
        <v>1</v>
      </c>
      <c r="O599" s="198" t="s">
        <v>51</v>
      </c>
      <c r="P599" s="202">
        <v>6517</v>
      </c>
      <c r="Q599" s="198" t="s">
        <v>73</v>
      </c>
      <c r="R599" s="198" t="s">
        <v>53</v>
      </c>
      <c r="S599" s="198" t="s">
        <v>54</v>
      </c>
      <c r="T599" s="198" t="s">
        <v>2031</v>
      </c>
      <c r="U599" s="198" t="s">
        <v>2032</v>
      </c>
      <c r="V599" s="198" t="s">
        <v>56</v>
      </c>
      <c r="W599" s="198" t="s">
        <v>356</v>
      </c>
      <c r="X599" s="198" t="s">
        <v>57</v>
      </c>
      <c r="Y599" s="198" t="s">
        <v>58</v>
      </c>
      <c r="Z599" s="201">
        <v>46173</v>
      </c>
      <c r="AA599" s="198" t="s">
        <v>59</v>
      </c>
      <c r="AB599" s="198" t="s">
        <v>60</v>
      </c>
      <c r="AC599" s="198" t="s">
        <v>86</v>
      </c>
      <c r="AD599" s="198" t="s">
        <v>62</v>
      </c>
      <c r="AE599" s="198" t="s">
        <v>513</v>
      </c>
      <c r="AF599" s="198" t="s">
        <v>512</v>
      </c>
      <c r="AG599" s="198" t="s">
        <v>147</v>
      </c>
      <c r="AH599" s="198" t="s">
        <v>137</v>
      </c>
      <c r="AI599" s="198" t="s">
        <v>56</v>
      </c>
      <c r="AJ599" s="198" t="s">
        <v>382</v>
      </c>
      <c r="AK599" s="198" t="s">
        <v>51</v>
      </c>
      <c r="AL599" s="198" t="s">
        <v>67</v>
      </c>
      <c r="AM599" s="198" t="s">
        <v>68</v>
      </c>
      <c r="AN599" s="202">
        <v>6517</v>
      </c>
      <c r="AO599" s="202">
        <v>6517</v>
      </c>
      <c r="AP599" s="202">
        <v>6517</v>
      </c>
      <c r="AQ599" s="198" t="s">
        <v>358</v>
      </c>
      <c r="AR599" s="198" t="s">
        <v>51</v>
      </c>
      <c r="AS599" s="202">
        <v>6517</v>
      </c>
      <c r="AT599" s="202">
        <v>6517</v>
      </c>
      <c r="AU599" s="198" t="s">
        <v>359</v>
      </c>
      <c r="AV599" s="198" t="s">
        <v>62</v>
      </c>
      <c r="AW599" s="198" t="s">
        <v>54</v>
      </c>
    </row>
    <row r="600" spans="3:49" outlineLevel="2" x14ac:dyDescent="0.25">
      <c r="C600" s="201"/>
      <c r="D600" s="198" t="s">
        <v>526</v>
      </c>
      <c r="H600" s="198" t="s">
        <v>526</v>
      </c>
      <c r="I600" s="202">
        <f t="shared" si="9"/>
        <v>251490478.04999959</v>
      </c>
      <c r="J600" s="202">
        <v>60.899999999999899</v>
      </c>
      <c r="L600" s="204">
        <v>20</v>
      </c>
      <c r="M600" s="202">
        <v>152176860</v>
      </c>
      <c r="N600" s="204">
        <v>20</v>
      </c>
      <c r="O600" s="198" t="s">
        <v>51</v>
      </c>
      <c r="P600" s="202">
        <v>152176860</v>
      </c>
      <c r="Q600" s="198" t="s">
        <v>73</v>
      </c>
      <c r="R600" s="198" t="s">
        <v>53</v>
      </c>
      <c r="S600" s="198" t="s">
        <v>54</v>
      </c>
      <c r="T600" s="198" t="s">
        <v>2038</v>
      </c>
      <c r="U600" s="198" t="s">
        <v>2032</v>
      </c>
      <c r="V600" s="198" t="s">
        <v>56</v>
      </c>
      <c r="W600" s="198" t="s">
        <v>356</v>
      </c>
      <c r="X600" s="198" t="s">
        <v>57</v>
      </c>
      <c r="Y600" s="198" t="s">
        <v>58</v>
      </c>
      <c r="Z600" s="201">
        <v>46295</v>
      </c>
      <c r="AA600" s="198" t="s">
        <v>59</v>
      </c>
      <c r="AB600" s="198" t="s">
        <v>60</v>
      </c>
      <c r="AC600" s="198" t="s">
        <v>86</v>
      </c>
      <c r="AD600" s="198" t="s">
        <v>62</v>
      </c>
      <c r="AE600" s="198" t="s">
        <v>2033</v>
      </c>
      <c r="AF600" s="198" t="s">
        <v>2030</v>
      </c>
      <c r="AG600" s="198" t="s">
        <v>214</v>
      </c>
      <c r="AH600" s="198" t="s">
        <v>134</v>
      </c>
      <c r="AI600" s="198" t="s">
        <v>56</v>
      </c>
      <c r="AJ600" s="198" t="s">
        <v>128</v>
      </c>
      <c r="AK600" s="198" t="s">
        <v>51</v>
      </c>
      <c r="AL600" s="198" t="s">
        <v>67</v>
      </c>
      <c r="AM600" s="198" t="s">
        <v>68</v>
      </c>
      <c r="AN600" s="202">
        <v>152176860</v>
      </c>
      <c r="AO600" s="202">
        <v>152176860</v>
      </c>
      <c r="AP600" s="202">
        <v>152176860</v>
      </c>
      <c r="AQ600" s="198" t="s">
        <v>358</v>
      </c>
      <c r="AR600" s="198" t="s">
        <v>51</v>
      </c>
      <c r="AS600" s="202">
        <v>152176860</v>
      </c>
      <c r="AT600" s="202">
        <v>152176860</v>
      </c>
      <c r="AU600" s="198" t="s">
        <v>359</v>
      </c>
      <c r="AV600" s="198" t="s">
        <v>62</v>
      </c>
      <c r="AW600" s="198" t="s">
        <v>54</v>
      </c>
    </row>
    <row r="601" spans="3:49" outlineLevel="2" x14ac:dyDescent="0.25">
      <c r="C601" s="201"/>
      <c r="D601" s="198" t="s">
        <v>526</v>
      </c>
      <c r="H601" s="198" t="s">
        <v>526</v>
      </c>
      <c r="I601" s="202">
        <f t="shared" si="9"/>
        <v>251903434.49999958</v>
      </c>
      <c r="J601" s="202">
        <v>60.999999999999901</v>
      </c>
      <c r="L601" s="204">
        <v>2</v>
      </c>
      <c r="M601" s="202">
        <v>84000</v>
      </c>
      <c r="N601" s="204">
        <v>2</v>
      </c>
      <c r="O601" s="198" t="s">
        <v>51</v>
      </c>
      <c r="P601" s="202">
        <v>84000</v>
      </c>
      <c r="Q601" s="198" t="s">
        <v>73</v>
      </c>
      <c r="R601" s="198" t="s">
        <v>53</v>
      </c>
      <c r="S601" s="198" t="s">
        <v>54</v>
      </c>
      <c r="T601" s="198" t="s">
        <v>2038</v>
      </c>
      <c r="U601" s="198" t="s">
        <v>2032</v>
      </c>
      <c r="V601" s="198" t="s">
        <v>56</v>
      </c>
      <c r="W601" s="198" t="s">
        <v>356</v>
      </c>
      <c r="X601" s="198" t="s">
        <v>57</v>
      </c>
      <c r="Y601" s="198" t="s">
        <v>58</v>
      </c>
      <c r="Z601" s="201">
        <v>46295</v>
      </c>
      <c r="AA601" s="198" t="s">
        <v>59</v>
      </c>
      <c r="AB601" s="198" t="s">
        <v>60</v>
      </c>
      <c r="AC601" s="198" t="s">
        <v>86</v>
      </c>
      <c r="AD601" s="198" t="s">
        <v>62</v>
      </c>
      <c r="AE601" s="198" t="s">
        <v>446</v>
      </c>
      <c r="AF601" s="198" t="s">
        <v>445</v>
      </c>
      <c r="AG601" s="198" t="s">
        <v>214</v>
      </c>
      <c r="AH601" s="198" t="s">
        <v>134</v>
      </c>
      <c r="AI601" s="198" t="s">
        <v>56</v>
      </c>
      <c r="AJ601" s="198" t="s">
        <v>406</v>
      </c>
      <c r="AK601" s="198" t="s">
        <v>51</v>
      </c>
      <c r="AL601" s="198" t="s">
        <v>67</v>
      </c>
      <c r="AM601" s="198" t="s">
        <v>68</v>
      </c>
      <c r="AN601" s="202">
        <v>84000</v>
      </c>
      <c r="AO601" s="202">
        <v>84000</v>
      </c>
      <c r="AP601" s="202">
        <v>84000</v>
      </c>
      <c r="AQ601" s="198" t="s">
        <v>358</v>
      </c>
      <c r="AR601" s="198" t="s">
        <v>51</v>
      </c>
      <c r="AS601" s="202">
        <v>84000</v>
      </c>
      <c r="AT601" s="202">
        <v>84000</v>
      </c>
      <c r="AU601" s="198" t="s">
        <v>359</v>
      </c>
      <c r="AV601" s="198" t="s">
        <v>62</v>
      </c>
      <c r="AW601" s="198" t="s">
        <v>54</v>
      </c>
    </row>
    <row r="602" spans="3:49" outlineLevel="2" x14ac:dyDescent="0.25">
      <c r="C602" s="201"/>
      <c r="D602" s="198" t="s">
        <v>526</v>
      </c>
      <c r="H602" s="198" t="s">
        <v>526</v>
      </c>
      <c r="I602" s="202">
        <f t="shared" si="9"/>
        <v>252316390.9499996</v>
      </c>
      <c r="J602" s="202">
        <v>61.099999999999902</v>
      </c>
      <c r="L602" s="204">
        <v>2</v>
      </c>
      <c r="M602" s="202">
        <v>84000</v>
      </c>
      <c r="N602" s="204">
        <v>2</v>
      </c>
      <c r="O602" s="198" t="s">
        <v>51</v>
      </c>
      <c r="P602" s="202">
        <v>84000</v>
      </c>
      <c r="Q602" s="198" t="s">
        <v>73</v>
      </c>
      <c r="R602" s="198" t="s">
        <v>53</v>
      </c>
      <c r="S602" s="198" t="s">
        <v>54</v>
      </c>
      <c r="T602" s="198" t="s">
        <v>2038</v>
      </c>
      <c r="U602" s="198" t="s">
        <v>2032</v>
      </c>
      <c r="V602" s="198" t="s">
        <v>56</v>
      </c>
      <c r="W602" s="198" t="s">
        <v>356</v>
      </c>
      <c r="X602" s="198" t="s">
        <v>57</v>
      </c>
      <c r="Y602" s="198" t="s">
        <v>58</v>
      </c>
      <c r="Z602" s="201">
        <v>46295</v>
      </c>
      <c r="AA602" s="198" t="s">
        <v>59</v>
      </c>
      <c r="AB602" s="198" t="s">
        <v>60</v>
      </c>
      <c r="AC602" s="198" t="s">
        <v>86</v>
      </c>
      <c r="AD602" s="198" t="s">
        <v>62</v>
      </c>
      <c r="AE602" s="198" t="s">
        <v>448</v>
      </c>
      <c r="AF602" s="198" t="s">
        <v>447</v>
      </c>
      <c r="AG602" s="198" t="s">
        <v>214</v>
      </c>
      <c r="AH602" s="198" t="s">
        <v>134</v>
      </c>
      <c r="AI602" s="198" t="s">
        <v>56</v>
      </c>
      <c r="AJ602" s="198" t="s">
        <v>449</v>
      </c>
      <c r="AK602" s="198" t="s">
        <v>51</v>
      </c>
      <c r="AL602" s="198" t="s">
        <v>67</v>
      </c>
      <c r="AM602" s="198" t="s">
        <v>68</v>
      </c>
      <c r="AN602" s="202">
        <v>84000</v>
      </c>
      <c r="AO602" s="202">
        <v>84000</v>
      </c>
      <c r="AP602" s="202">
        <v>84000</v>
      </c>
      <c r="AQ602" s="198" t="s">
        <v>358</v>
      </c>
      <c r="AR602" s="198" t="s">
        <v>51</v>
      </c>
      <c r="AS602" s="202">
        <v>84000</v>
      </c>
      <c r="AT602" s="202">
        <v>84000</v>
      </c>
      <c r="AU602" s="198" t="s">
        <v>359</v>
      </c>
      <c r="AV602" s="198" t="s">
        <v>62</v>
      </c>
      <c r="AW602" s="198" t="s">
        <v>54</v>
      </c>
    </row>
    <row r="603" spans="3:49" outlineLevel="2" x14ac:dyDescent="0.25">
      <c r="C603" s="201"/>
      <c r="D603" s="198" t="s">
        <v>526</v>
      </c>
      <c r="H603" s="198" t="s">
        <v>526</v>
      </c>
      <c r="I603" s="202">
        <f t="shared" si="9"/>
        <v>252729347.39999959</v>
      </c>
      <c r="J603" s="202">
        <v>61.199999999999903</v>
      </c>
      <c r="L603" s="204">
        <v>20</v>
      </c>
      <c r="M603" s="202">
        <v>400000</v>
      </c>
      <c r="N603" s="204">
        <v>20</v>
      </c>
      <c r="O603" s="198" t="s">
        <v>51</v>
      </c>
      <c r="P603" s="202">
        <v>400000</v>
      </c>
      <c r="Q603" s="198" t="s">
        <v>73</v>
      </c>
      <c r="R603" s="198" t="s">
        <v>53</v>
      </c>
      <c r="S603" s="198" t="s">
        <v>54</v>
      </c>
      <c r="T603" s="198" t="s">
        <v>2038</v>
      </c>
      <c r="U603" s="198" t="s">
        <v>2032</v>
      </c>
      <c r="V603" s="198" t="s">
        <v>56</v>
      </c>
      <c r="W603" s="198" t="s">
        <v>356</v>
      </c>
      <c r="X603" s="198" t="s">
        <v>57</v>
      </c>
      <c r="Y603" s="198" t="s">
        <v>58</v>
      </c>
      <c r="Z603" s="201">
        <v>46295</v>
      </c>
      <c r="AA603" s="198" t="s">
        <v>59</v>
      </c>
      <c r="AB603" s="198" t="s">
        <v>60</v>
      </c>
      <c r="AC603" s="198" t="s">
        <v>86</v>
      </c>
      <c r="AD603" s="198" t="s">
        <v>62</v>
      </c>
      <c r="AE603" s="198" t="s">
        <v>451</v>
      </c>
      <c r="AF603" s="198" t="s">
        <v>450</v>
      </c>
      <c r="AG603" s="198" t="s">
        <v>214</v>
      </c>
      <c r="AH603" s="198" t="s">
        <v>134</v>
      </c>
      <c r="AI603" s="198" t="s">
        <v>56</v>
      </c>
      <c r="AJ603" s="198" t="s">
        <v>452</v>
      </c>
      <c r="AK603" s="198" t="s">
        <v>51</v>
      </c>
      <c r="AL603" s="198" t="s">
        <v>67</v>
      </c>
      <c r="AM603" s="198" t="s">
        <v>68</v>
      </c>
      <c r="AN603" s="202">
        <v>400000</v>
      </c>
      <c r="AO603" s="202">
        <v>400000</v>
      </c>
      <c r="AP603" s="202">
        <v>400000</v>
      </c>
      <c r="AQ603" s="198" t="s">
        <v>358</v>
      </c>
      <c r="AR603" s="198" t="s">
        <v>51</v>
      </c>
      <c r="AS603" s="202">
        <v>400000</v>
      </c>
      <c r="AT603" s="202">
        <v>400000</v>
      </c>
      <c r="AU603" s="198" t="s">
        <v>359</v>
      </c>
      <c r="AV603" s="198" t="s">
        <v>62</v>
      </c>
      <c r="AW603" s="198" t="s">
        <v>54</v>
      </c>
    </row>
    <row r="604" spans="3:49" outlineLevel="2" x14ac:dyDescent="0.25">
      <c r="C604" s="201"/>
      <c r="D604" s="198" t="s">
        <v>526</v>
      </c>
      <c r="H604" s="198" t="s">
        <v>526</v>
      </c>
      <c r="I604" s="202">
        <f t="shared" si="9"/>
        <v>253142303.84999958</v>
      </c>
      <c r="J604" s="202">
        <v>61.299999999999898</v>
      </c>
      <c r="L604" s="204">
        <v>1</v>
      </c>
      <c r="M604" s="202">
        <v>300000</v>
      </c>
      <c r="N604" s="204">
        <v>1</v>
      </c>
      <c r="O604" s="198" t="s">
        <v>51</v>
      </c>
      <c r="P604" s="202">
        <v>300000</v>
      </c>
      <c r="Q604" s="198" t="s">
        <v>73</v>
      </c>
      <c r="R604" s="198" t="s">
        <v>53</v>
      </c>
      <c r="S604" s="198" t="s">
        <v>54</v>
      </c>
      <c r="T604" s="198" t="s">
        <v>2038</v>
      </c>
      <c r="U604" s="198" t="s">
        <v>2032</v>
      </c>
      <c r="V604" s="198" t="s">
        <v>56</v>
      </c>
      <c r="W604" s="198" t="s">
        <v>356</v>
      </c>
      <c r="X604" s="198" t="s">
        <v>57</v>
      </c>
      <c r="Y604" s="198" t="s">
        <v>58</v>
      </c>
      <c r="Z604" s="201">
        <v>46295</v>
      </c>
      <c r="AA604" s="198" t="s">
        <v>59</v>
      </c>
      <c r="AB604" s="198" t="s">
        <v>60</v>
      </c>
      <c r="AC604" s="198" t="s">
        <v>86</v>
      </c>
      <c r="AD604" s="198" t="s">
        <v>62</v>
      </c>
      <c r="AE604" s="198" t="s">
        <v>454</v>
      </c>
      <c r="AF604" s="198" t="s">
        <v>453</v>
      </c>
      <c r="AG604" s="198" t="s">
        <v>214</v>
      </c>
      <c r="AH604" s="198" t="s">
        <v>134</v>
      </c>
      <c r="AI604" s="198" t="s">
        <v>56</v>
      </c>
      <c r="AJ604" s="198" t="s">
        <v>455</v>
      </c>
      <c r="AK604" s="198" t="s">
        <v>51</v>
      </c>
      <c r="AL604" s="198" t="s">
        <v>67</v>
      </c>
      <c r="AM604" s="198" t="s">
        <v>68</v>
      </c>
      <c r="AN604" s="202">
        <v>300000</v>
      </c>
      <c r="AO604" s="202">
        <v>300000</v>
      </c>
      <c r="AP604" s="202">
        <v>300000</v>
      </c>
      <c r="AQ604" s="198" t="s">
        <v>358</v>
      </c>
      <c r="AR604" s="198" t="s">
        <v>51</v>
      </c>
      <c r="AS604" s="202">
        <v>300000</v>
      </c>
      <c r="AT604" s="202">
        <v>300000</v>
      </c>
      <c r="AU604" s="198" t="s">
        <v>359</v>
      </c>
      <c r="AV604" s="198" t="s">
        <v>62</v>
      </c>
      <c r="AW604" s="198" t="s">
        <v>54</v>
      </c>
    </row>
    <row r="605" spans="3:49" outlineLevel="2" x14ac:dyDescent="0.25">
      <c r="C605" s="201"/>
      <c r="D605" s="198" t="s">
        <v>526</v>
      </c>
      <c r="H605" s="198" t="s">
        <v>526</v>
      </c>
      <c r="I605" s="202">
        <f t="shared" si="9"/>
        <v>253555260.29999959</v>
      </c>
      <c r="J605" s="202">
        <v>61.399999999999899</v>
      </c>
      <c r="L605" s="204">
        <v>1</v>
      </c>
      <c r="M605" s="202">
        <v>100000</v>
      </c>
      <c r="N605" s="204">
        <v>1</v>
      </c>
      <c r="O605" s="198" t="s">
        <v>51</v>
      </c>
      <c r="P605" s="202">
        <v>100000</v>
      </c>
      <c r="Q605" s="198" t="s">
        <v>73</v>
      </c>
      <c r="R605" s="198" t="s">
        <v>53</v>
      </c>
      <c r="S605" s="198" t="s">
        <v>54</v>
      </c>
      <c r="T605" s="198" t="s">
        <v>2038</v>
      </c>
      <c r="U605" s="198" t="s">
        <v>2032</v>
      </c>
      <c r="V605" s="198" t="s">
        <v>56</v>
      </c>
      <c r="W605" s="198" t="s">
        <v>356</v>
      </c>
      <c r="X605" s="198" t="s">
        <v>57</v>
      </c>
      <c r="Y605" s="198" t="s">
        <v>58</v>
      </c>
      <c r="Z605" s="201">
        <v>46295</v>
      </c>
      <c r="AA605" s="198" t="s">
        <v>59</v>
      </c>
      <c r="AB605" s="198" t="s">
        <v>60</v>
      </c>
      <c r="AC605" s="198" t="s">
        <v>86</v>
      </c>
      <c r="AD605" s="198" t="s">
        <v>62</v>
      </c>
      <c r="AE605" s="198" t="s">
        <v>457</v>
      </c>
      <c r="AF605" s="198" t="s">
        <v>456</v>
      </c>
      <c r="AG605" s="198" t="s">
        <v>214</v>
      </c>
      <c r="AH605" s="198" t="s">
        <v>134</v>
      </c>
      <c r="AI605" s="198" t="s">
        <v>56</v>
      </c>
      <c r="AJ605" s="198" t="s">
        <v>455</v>
      </c>
      <c r="AK605" s="198" t="s">
        <v>51</v>
      </c>
      <c r="AL605" s="198" t="s">
        <v>67</v>
      </c>
      <c r="AM605" s="198" t="s">
        <v>68</v>
      </c>
      <c r="AN605" s="202">
        <v>100000</v>
      </c>
      <c r="AO605" s="202">
        <v>100000</v>
      </c>
      <c r="AP605" s="202">
        <v>100000</v>
      </c>
      <c r="AQ605" s="198" t="s">
        <v>358</v>
      </c>
      <c r="AR605" s="198" t="s">
        <v>51</v>
      </c>
      <c r="AS605" s="202">
        <v>100000</v>
      </c>
      <c r="AT605" s="202">
        <v>100000</v>
      </c>
      <c r="AU605" s="198" t="s">
        <v>359</v>
      </c>
      <c r="AV605" s="198" t="s">
        <v>62</v>
      </c>
      <c r="AW605" s="198" t="s">
        <v>54</v>
      </c>
    </row>
    <row r="606" spans="3:49" outlineLevel="2" x14ac:dyDescent="0.25">
      <c r="C606" s="201"/>
      <c r="D606" s="198" t="s">
        <v>526</v>
      </c>
      <c r="H606" s="198" t="s">
        <v>526</v>
      </c>
      <c r="I606" s="202">
        <f t="shared" si="9"/>
        <v>253968216.74999958</v>
      </c>
      <c r="J606" s="202">
        <v>61.499999999999901</v>
      </c>
      <c r="L606" s="204">
        <v>2</v>
      </c>
      <c r="M606" s="202">
        <v>17000</v>
      </c>
      <c r="N606" s="204">
        <v>2</v>
      </c>
      <c r="O606" s="198" t="s">
        <v>51</v>
      </c>
      <c r="P606" s="202">
        <v>17000</v>
      </c>
      <c r="Q606" s="198" t="s">
        <v>342</v>
      </c>
      <c r="R606" s="198" t="s">
        <v>53</v>
      </c>
      <c r="S606" s="198" t="s">
        <v>54</v>
      </c>
      <c r="T606" s="198" t="s">
        <v>2038</v>
      </c>
      <c r="U606" s="198" t="s">
        <v>2032</v>
      </c>
      <c r="V606" s="198" t="s">
        <v>56</v>
      </c>
      <c r="W606" s="198" t="s">
        <v>356</v>
      </c>
      <c r="X606" s="198" t="s">
        <v>57</v>
      </c>
      <c r="Y606" s="198" t="s">
        <v>58</v>
      </c>
      <c r="Z606" s="201">
        <v>46295</v>
      </c>
      <c r="AA606" s="198" t="s">
        <v>59</v>
      </c>
      <c r="AB606" s="198" t="s">
        <v>60</v>
      </c>
      <c r="AC606" s="198" t="s">
        <v>86</v>
      </c>
      <c r="AD606" s="198" t="s">
        <v>62</v>
      </c>
      <c r="AE606" s="198" t="s">
        <v>459</v>
      </c>
      <c r="AF606" s="198" t="s">
        <v>458</v>
      </c>
      <c r="AG606" s="198" t="s">
        <v>214</v>
      </c>
      <c r="AH606" s="198" t="s">
        <v>134</v>
      </c>
      <c r="AI606" s="198" t="s">
        <v>56</v>
      </c>
      <c r="AJ606" s="198" t="s">
        <v>460</v>
      </c>
      <c r="AK606" s="198" t="s">
        <v>51</v>
      </c>
      <c r="AL606" s="198" t="s">
        <v>67</v>
      </c>
      <c r="AM606" s="198" t="s">
        <v>68</v>
      </c>
      <c r="AN606" s="202">
        <v>17000</v>
      </c>
      <c r="AO606" s="202">
        <v>17000</v>
      </c>
      <c r="AP606" s="202">
        <v>17000</v>
      </c>
      <c r="AQ606" s="198" t="s">
        <v>358</v>
      </c>
      <c r="AR606" s="198" t="s">
        <v>51</v>
      </c>
      <c r="AS606" s="202">
        <v>17000</v>
      </c>
      <c r="AT606" s="202">
        <v>17000</v>
      </c>
      <c r="AU606" s="198" t="s">
        <v>359</v>
      </c>
      <c r="AV606" s="198" t="s">
        <v>62</v>
      </c>
      <c r="AW606" s="198" t="s">
        <v>54</v>
      </c>
    </row>
    <row r="607" spans="3:49" outlineLevel="2" x14ac:dyDescent="0.25">
      <c r="C607" s="201"/>
      <c r="D607" s="198" t="s">
        <v>526</v>
      </c>
      <c r="H607" s="198" t="s">
        <v>526</v>
      </c>
      <c r="I607" s="202">
        <f t="shared" si="9"/>
        <v>254381173.1999996</v>
      </c>
      <c r="J607" s="202">
        <v>61.599999999999902</v>
      </c>
      <c r="L607" s="204">
        <v>1</v>
      </c>
      <c r="M607" s="202">
        <v>25000</v>
      </c>
      <c r="N607" s="204">
        <v>1</v>
      </c>
      <c r="O607" s="198" t="s">
        <v>51</v>
      </c>
      <c r="P607" s="202">
        <v>25000</v>
      </c>
      <c r="Q607" s="198" t="s">
        <v>342</v>
      </c>
      <c r="R607" s="198" t="s">
        <v>53</v>
      </c>
      <c r="S607" s="198" t="s">
        <v>54</v>
      </c>
      <c r="T607" s="198" t="s">
        <v>2038</v>
      </c>
      <c r="U607" s="198" t="s">
        <v>2032</v>
      </c>
      <c r="V607" s="198" t="s">
        <v>56</v>
      </c>
      <c r="W607" s="198" t="s">
        <v>356</v>
      </c>
      <c r="X607" s="198" t="s">
        <v>57</v>
      </c>
      <c r="Y607" s="198" t="s">
        <v>58</v>
      </c>
      <c r="Z607" s="201">
        <v>46295</v>
      </c>
      <c r="AA607" s="198" t="s">
        <v>59</v>
      </c>
      <c r="AB607" s="198" t="s">
        <v>60</v>
      </c>
      <c r="AC607" s="198" t="s">
        <v>86</v>
      </c>
      <c r="AD607" s="198" t="s">
        <v>62</v>
      </c>
      <c r="AE607" s="198" t="s">
        <v>2040</v>
      </c>
      <c r="AF607" s="198" t="s">
        <v>2039</v>
      </c>
      <c r="AG607" s="198" t="s">
        <v>214</v>
      </c>
      <c r="AH607" s="198" t="s">
        <v>134</v>
      </c>
      <c r="AI607" s="198" t="s">
        <v>56</v>
      </c>
      <c r="AJ607" s="198" t="s">
        <v>452</v>
      </c>
      <c r="AK607" s="198" t="s">
        <v>51</v>
      </c>
      <c r="AL607" s="198" t="s">
        <v>67</v>
      </c>
      <c r="AM607" s="198" t="s">
        <v>68</v>
      </c>
      <c r="AN607" s="202">
        <v>25000</v>
      </c>
      <c r="AO607" s="202">
        <v>25000</v>
      </c>
      <c r="AP607" s="202">
        <v>25000</v>
      </c>
      <c r="AQ607" s="198" t="s">
        <v>358</v>
      </c>
      <c r="AR607" s="198" t="s">
        <v>51</v>
      </c>
      <c r="AS607" s="202">
        <v>25000</v>
      </c>
      <c r="AT607" s="202">
        <v>25000</v>
      </c>
      <c r="AU607" s="198" t="s">
        <v>359</v>
      </c>
      <c r="AV607" s="198" t="s">
        <v>62</v>
      </c>
      <c r="AW607" s="198" t="s">
        <v>54</v>
      </c>
    </row>
    <row r="608" spans="3:49" outlineLevel="2" x14ac:dyDescent="0.25">
      <c r="C608" s="201"/>
      <c r="D608" s="198" t="s">
        <v>526</v>
      </c>
      <c r="H608" s="198" t="s">
        <v>526</v>
      </c>
      <c r="I608" s="202">
        <f t="shared" si="9"/>
        <v>254794129.64999959</v>
      </c>
      <c r="J608" s="202">
        <v>61.699999999999903</v>
      </c>
      <c r="L608" s="204">
        <v>1</v>
      </c>
      <c r="M608" s="202">
        <v>2000</v>
      </c>
      <c r="N608" s="204">
        <v>1</v>
      </c>
      <c r="O608" s="198" t="s">
        <v>51</v>
      </c>
      <c r="P608" s="202">
        <v>2000</v>
      </c>
      <c r="Q608" s="198" t="s">
        <v>342</v>
      </c>
      <c r="R608" s="198" t="s">
        <v>53</v>
      </c>
      <c r="S608" s="198" t="s">
        <v>54</v>
      </c>
      <c r="T608" s="198" t="s">
        <v>2038</v>
      </c>
      <c r="U608" s="198" t="s">
        <v>2032</v>
      </c>
      <c r="V608" s="198" t="s">
        <v>56</v>
      </c>
      <c r="W608" s="198" t="s">
        <v>356</v>
      </c>
      <c r="X608" s="198" t="s">
        <v>57</v>
      </c>
      <c r="Y608" s="198" t="s">
        <v>58</v>
      </c>
      <c r="Z608" s="201">
        <v>46295</v>
      </c>
      <c r="AA608" s="198" t="s">
        <v>59</v>
      </c>
      <c r="AB608" s="198" t="s">
        <v>60</v>
      </c>
      <c r="AC608" s="198" t="s">
        <v>86</v>
      </c>
      <c r="AD608" s="198" t="s">
        <v>62</v>
      </c>
      <c r="AE608" s="198" t="s">
        <v>462</v>
      </c>
      <c r="AF608" s="198" t="s">
        <v>461</v>
      </c>
      <c r="AG608" s="198" t="s">
        <v>214</v>
      </c>
      <c r="AH608" s="198" t="s">
        <v>134</v>
      </c>
      <c r="AI608" s="198" t="s">
        <v>56</v>
      </c>
      <c r="AJ608" s="198" t="s">
        <v>406</v>
      </c>
      <c r="AK608" s="198" t="s">
        <v>51</v>
      </c>
      <c r="AL608" s="198" t="s">
        <v>67</v>
      </c>
      <c r="AM608" s="198" t="s">
        <v>68</v>
      </c>
      <c r="AN608" s="202">
        <v>2000</v>
      </c>
      <c r="AO608" s="202">
        <v>2000</v>
      </c>
      <c r="AP608" s="202">
        <v>2000</v>
      </c>
      <c r="AQ608" s="198" t="s">
        <v>358</v>
      </c>
      <c r="AR608" s="198" t="s">
        <v>51</v>
      </c>
      <c r="AS608" s="202">
        <v>2000</v>
      </c>
      <c r="AT608" s="202">
        <v>2000</v>
      </c>
      <c r="AU608" s="198" t="s">
        <v>359</v>
      </c>
      <c r="AV608" s="198" t="s">
        <v>62</v>
      </c>
      <c r="AW608" s="198" t="s">
        <v>54</v>
      </c>
    </row>
    <row r="609" spans="3:49" outlineLevel="2" x14ac:dyDescent="0.25">
      <c r="C609" s="201"/>
      <c r="D609" s="198" t="s">
        <v>526</v>
      </c>
      <c r="H609" s="198" t="s">
        <v>526</v>
      </c>
      <c r="I609" s="202">
        <f t="shared" si="9"/>
        <v>255207086.09999958</v>
      </c>
      <c r="J609" s="202">
        <v>61.799999999999898</v>
      </c>
      <c r="L609" s="204">
        <v>1</v>
      </c>
      <c r="M609" s="202">
        <v>2500</v>
      </c>
      <c r="N609" s="204">
        <v>1</v>
      </c>
      <c r="O609" s="198" t="s">
        <v>51</v>
      </c>
      <c r="P609" s="202">
        <v>2500</v>
      </c>
      <c r="Q609" s="198" t="s">
        <v>73</v>
      </c>
      <c r="R609" s="198" t="s">
        <v>53</v>
      </c>
      <c r="S609" s="198" t="s">
        <v>54</v>
      </c>
      <c r="T609" s="198" t="s">
        <v>2038</v>
      </c>
      <c r="U609" s="198" t="s">
        <v>2032</v>
      </c>
      <c r="V609" s="198" t="s">
        <v>56</v>
      </c>
      <c r="W609" s="198" t="s">
        <v>356</v>
      </c>
      <c r="X609" s="198" t="s">
        <v>57</v>
      </c>
      <c r="Y609" s="198" t="s">
        <v>58</v>
      </c>
      <c r="Z609" s="201">
        <v>46295</v>
      </c>
      <c r="AA609" s="198" t="s">
        <v>59</v>
      </c>
      <c r="AB609" s="198" t="s">
        <v>60</v>
      </c>
      <c r="AC609" s="198" t="s">
        <v>86</v>
      </c>
      <c r="AD609" s="198" t="s">
        <v>62</v>
      </c>
      <c r="AE609" s="198" t="s">
        <v>464</v>
      </c>
      <c r="AF609" s="198" t="s">
        <v>463</v>
      </c>
      <c r="AG609" s="198" t="s">
        <v>214</v>
      </c>
      <c r="AH609" s="198" t="s">
        <v>134</v>
      </c>
      <c r="AI609" s="198" t="s">
        <v>56</v>
      </c>
      <c r="AJ609" s="198" t="s">
        <v>294</v>
      </c>
      <c r="AK609" s="198" t="s">
        <v>51</v>
      </c>
      <c r="AL609" s="198" t="s">
        <v>67</v>
      </c>
      <c r="AM609" s="198" t="s">
        <v>68</v>
      </c>
      <c r="AN609" s="202">
        <v>2500</v>
      </c>
      <c r="AO609" s="202">
        <v>2500</v>
      </c>
      <c r="AP609" s="202">
        <v>2500</v>
      </c>
      <c r="AQ609" s="198" t="s">
        <v>358</v>
      </c>
      <c r="AR609" s="198" t="s">
        <v>51</v>
      </c>
      <c r="AS609" s="202">
        <v>2500</v>
      </c>
      <c r="AT609" s="202">
        <v>2500</v>
      </c>
      <c r="AU609" s="198" t="s">
        <v>359</v>
      </c>
      <c r="AV609" s="198" t="s">
        <v>62</v>
      </c>
      <c r="AW609" s="198" t="s">
        <v>54</v>
      </c>
    </row>
    <row r="610" spans="3:49" outlineLevel="2" x14ac:dyDescent="0.25">
      <c r="C610" s="201"/>
      <c r="D610" s="198" t="s">
        <v>526</v>
      </c>
      <c r="H610" s="198" t="s">
        <v>526</v>
      </c>
      <c r="I610" s="202">
        <f t="shared" si="9"/>
        <v>255620042.54999959</v>
      </c>
      <c r="J610" s="202">
        <v>61.899999999999899</v>
      </c>
      <c r="L610" s="204">
        <v>1</v>
      </c>
      <c r="M610" s="202">
        <v>7500</v>
      </c>
      <c r="N610" s="204">
        <v>1</v>
      </c>
      <c r="O610" s="198" t="s">
        <v>51</v>
      </c>
      <c r="P610" s="202">
        <v>7500</v>
      </c>
      <c r="Q610" s="198" t="s">
        <v>342</v>
      </c>
      <c r="R610" s="198" t="s">
        <v>53</v>
      </c>
      <c r="S610" s="198" t="s">
        <v>54</v>
      </c>
      <c r="T610" s="198" t="s">
        <v>2038</v>
      </c>
      <c r="U610" s="198" t="s">
        <v>2032</v>
      </c>
      <c r="V610" s="198" t="s">
        <v>56</v>
      </c>
      <c r="W610" s="198" t="s">
        <v>356</v>
      </c>
      <c r="X610" s="198" t="s">
        <v>57</v>
      </c>
      <c r="Y610" s="198" t="s">
        <v>58</v>
      </c>
      <c r="Z610" s="201">
        <v>46295</v>
      </c>
      <c r="AA610" s="198" t="s">
        <v>59</v>
      </c>
      <c r="AB610" s="198" t="s">
        <v>60</v>
      </c>
      <c r="AC610" s="198" t="s">
        <v>86</v>
      </c>
      <c r="AD610" s="198" t="s">
        <v>62</v>
      </c>
      <c r="AE610" s="198" t="s">
        <v>466</v>
      </c>
      <c r="AF610" s="198" t="s">
        <v>465</v>
      </c>
      <c r="AG610" s="198" t="s">
        <v>214</v>
      </c>
      <c r="AH610" s="198" t="s">
        <v>134</v>
      </c>
      <c r="AI610" s="198" t="s">
        <v>56</v>
      </c>
      <c r="AJ610" s="198" t="s">
        <v>455</v>
      </c>
      <c r="AK610" s="198" t="s">
        <v>51</v>
      </c>
      <c r="AL610" s="198" t="s">
        <v>67</v>
      </c>
      <c r="AM610" s="198" t="s">
        <v>68</v>
      </c>
      <c r="AN610" s="202">
        <v>7500</v>
      </c>
      <c r="AO610" s="202">
        <v>7500</v>
      </c>
      <c r="AP610" s="202">
        <v>7500</v>
      </c>
      <c r="AQ610" s="198" t="s">
        <v>358</v>
      </c>
      <c r="AR610" s="198" t="s">
        <v>51</v>
      </c>
      <c r="AS610" s="202">
        <v>7500</v>
      </c>
      <c r="AT610" s="202">
        <v>7500</v>
      </c>
      <c r="AU610" s="198" t="s">
        <v>359</v>
      </c>
      <c r="AV610" s="198" t="s">
        <v>62</v>
      </c>
      <c r="AW610" s="198" t="s">
        <v>54</v>
      </c>
    </row>
    <row r="611" spans="3:49" outlineLevel="2" x14ac:dyDescent="0.25">
      <c r="C611" s="201"/>
      <c r="D611" s="198" t="s">
        <v>526</v>
      </c>
      <c r="H611" s="198" t="s">
        <v>526</v>
      </c>
      <c r="I611" s="202">
        <f t="shared" si="9"/>
        <v>256032998.99999958</v>
      </c>
      <c r="J611" s="202">
        <v>61.999999999999901</v>
      </c>
      <c r="L611" s="204">
        <v>1</v>
      </c>
      <c r="M611" s="202">
        <v>100000</v>
      </c>
      <c r="N611" s="204">
        <v>1</v>
      </c>
      <c r="O611" s="198" t="s">
        <v>51</v>
      </c>
      <c r="P611" s="202">
        <v>100000</v>
      </c>
      <c r="Q611" s="198" t="s">
        <v>342</v>
      </c>
      <c r="R611" s="198" t="s">
        <v>53</v>
      </c>
      <c r="S611" s="198" t="s">
        <v>54</v>
      </c>
      <c r="T611" s="198" t="s">
        <v>2038</v>
      </c>
      <c r="U611" s="198" t="s">
        <v>2032</v>
      </c>
      <c r="V611" s="198" t="s">
        <v>56</v>
      </c>
      <c r="W611" s="198" t="s">
        <v>356</v>
      </c>
      <c r="X611" s="198" t="s">
        <v>57</v>
      </c>
      <c r="Y611" s="198" t="s">
        <v>58</v>
      </c>
      <c r="Z611" s="201">
        <v>46295</v>
      </c>
      <c r="AA611" s="198" t="s">
        <v>59</v>
      </c>
      <c r="AB611" s="198" t="s">
        <v>60</v>
      </c>
      <c r="AC611" s="198" t="s">
        <v>86</v>
      </c>
      <c r="AD611" s="198" t="s">
        <v>62</v>
      </c>
      <c r="AE611" s="198" t="s">
        <v>468</v>
      </c>
      <c r="AF611" s="198" t="s">
        <v>467</v>
      </c>
      <c r="AG611" s="198" t="s">
        <v>214</v>
      </c>
      <c r="AH611" s="198" t="s">
        <v>134</v>
      </c>
      <c r="AI611" s="198" t="s">
        <v>56</v>
      </c>
      <c r="AJ611" s="198" t="s">
        <v>406</v>
      </c>
      <c r="AK611" s="198" t="s">
        <v>51</v>
      </c>
      <c r="AL611" s="198" t="s">
        <v>67</v>
      </c>
      <c r="AM611" s="198" t="s">
        <v>68</v>
      </c>
      <c r="AN611" s="202">
        <v>100000</v>
      </c>
      <c r="AO611" s="202">
        <v>100000</v>
      </c>
      <c r="AP611" s="202">
        <v>100000</v>
      </c>
      <c r="AQ611" s="198" t="s">
        <v>358</v>
      </c>
      <c r="AR611" s="198" t="s">
        <v>51</v>
      </c>
      <c r="AS611" s="202">
        <v>100000</v>
      </c>
      <c r="AT611" s="202">
        <v>100000</v>
      </c>
      <c r="AU611" s="198" t="s">
        <v>359</v>
      </c>
      <c r="AV611" s="198" t="s">
        <v>62</v>
      </c>
      <c r="AW611" s="198" t="s">
        <v>54</v>
      </c>
    </row>
    <row r="612" spans="3:49" outlineLevel="2" x14ac:dyDescent="0.25">
      <c r="C612" s="201"/>
      <c r="D612" s="198" t="s">
        <v>526</v>
      </c>
      <c r="H612" s="198" t="s">
        <v>526</v>
      </c>
      <c r="I612" s="202">
        <f t="shared" si="9"/>
        <v>256445955.4499996</v>
      </c>
      <c r="J612" s="202">
        <v>62.099999999999902</v>
      </c>
      <c r="L612" s="204">
        <v>2</v>
      </c>
      <c r="M612" s="202">
        <v>10000</v>
      </c>
      <c r="N612" s="204">
        <v>2</v>
      </c>
      <c r="O612" s="198" t="s">
        <v>51</v>
      </c>
      <c r="P612" s="202">
        <v>10000</v>
      </c>
      <c r="Q612" s="198" t="s">
        <v>73</v>
      </c>
      <c r="R612" s="198" t="s">
        <v>53</v>
      </c>
      <c r="S612" s="198" t="s">
        <v>54</v>
      </c>
      <c r="T612" s="198" t="s">
        <v>2038</v>
      </c>
      <c r="U612" s="198" t="s">
        <v>2032</v>
      </c>
      <c r="V612" s="198" t="s">
        <v>56</v>
      </c>
      <c r="W612" s="198" t="s">
        <v>356</v>
      </c>
      <c r="X612" s="198" t="s">
        <v>57</v>
      </c>
      <c r="Y612" s="198" t="s">
        <v>58</v>
      </c>
      <c r="Z612" s="201">
        <v>46295</v>
      </c>
      <c r="AA612" s="198" t="s">
        <v>59</v>
      </c>
      <c r="AB612" s="198" t="s">
        <v>60</v>
      </c>
      <c r="AC612" s="198" t="s">
        <v>86</v>
      </c>
      <c r="AD612" s="198" t="s">
        <v>62</v>
      </c>
      <c r="AE612" s="198" t="s">
        <v>2037</v>
      </c>
      <c r="AF612" s="198" t="s">
        <v>2036</v>
      </c>
      <c r="AG612" s="198" t="s">
        <v>214</v>
      </c>
      <c r="AH612" s="198" t="s">
        <v>134</v>
      </c>
      <c r="AI612" s="198" t="s">
        <v>56</v>
      </c>
      <c r="AJ612" s="198" t="s">
        <v>452</v>
      </c>
      <c r="AK612" s="198" t="s">
        <v>51</v>
      </c>
      <c r="AL612" s="198" t="s">
        <v>67</v>
      </c>
      <c r="AM612" s="198" t="s">
        <v>68</v>
      </c>
      <c r="AN612" s="202">
        <v>10000</v>
      </c>
      <c r="AO612" s="202">
        <v>10000</v>
      </c>
      <c r="AP612" s="202">
        <v>10000</v>
      </c>
      <c r="AQ612" s="198" t="s">
        <v>358</v>
      </c>
      <c r="AR612" s="198" t="s">
        <v>51</v>
      </c>
      <c r="AS612" s="202">
        <v>10000</v>
      </c>
      <c r="AT612" s="202">
        <v>10000</v>
      </c>
      <c r="AU612" s="198" t="s">
        <v>359</v>
      </c>
      <c r="AV612" s="198" t="s">
        <v>62</v>
      </c>
      <c r="AW612" s="198" t="s">
        <v>54</v>
      </c>
    </row>
    <row r="613" spans="3:49" outlineLevel="2" x14ac:dyDescent="0.25">
      <c r="C613" s="201"/>
      <c r="D613" s="198" t="s">
        <v>526</v>
      </c>
      <c r="H613" s="198" t="s">
        <v>526</v>
      </c>
      <c r="I613" s="202">
        <f t="shared" si="9"/>
        <v>256858911.89999959</v>
      </c>
      <c r="J613" s="202">
        <v>62.199999999999903</v>
      </c>
      <c r="L613" s="204">
        <v>2</v>
      </c>
      <c r="M613" s="202">
        <v>7000</v>
      </c>
      <c r="N613" s="204">
        <v>2</v>
      </c>
      <c r="O613" s="198" t="s">
        <v>51</v>
      </c>
      <c r="P613" s="202">
        <v>7000</v>
      </c>
      <c r="Q613" s="198" t="s">
        <v>73</v>
      </c>
      <c r="R613" s="198" t="s">
        <v>53</v>
      </c>
      <c r="S613" s="198" t="s">
        <v>54</v>
      </c>
      <c r="T613" s="198" t="s">
        <v>2038</v>
      </c>
      <c r="U613" s="198" t="s">
        <v>2032</v>
      </c>
      <c r="V613" s="198" t="s">
        <v>56</v>
      </c>
      <c r="W613" s="198" t="s">
        <v>356</v>
      </c>
      <c r="X613" s="198" t="s">
        <v>57</v>
      </c>
      <c r="Y613" s="198" t="s">
        <v>58</v>
      </c>
      <c r="Z613" s="201">
        <v>46295</v>
      </c>
      <c r="AA613" s="198" t="s">
        <v>59</v>
      </c>
      <c r="AB613" s="198" t="s">
        <v>60</v>
      </c>
      <c r="AC613" s="198" t="s">
        <v>86</v>
      </c>
      <c r="AD613" s="198" t="s">
        <v>62</v>
      </c>
      <c r="AE613" s="198" t="s">
        <v>470</v>
      </c>
      <c r="AF613" s="198" t="s">
        <v>469</v>
      </c>
      <c r="AG613" s="198" t="s">
        <v>214</v>
      </c>
      <c r="AH613" s="198" t="s">
        <v>134</v>
      </c>
      <c r="AI613" s="198" t="s">
        <v>56</v>
      </c>
      <c r="AJ613" s="198" t="s">
        <v>406</v>
      </c>
      <c r="AK613" s="198" t="s">
        <v>51</v>
      </c>
      <c r="AL613" s="198" t="s">
        <v>67</v>
      </c>
      <c r="AM613" s="198" t="s">
        <v>68</v>
      </c>
      <c r="AN613" s="202">
        <v>7000</v>
      </c>
      <c r="AO613" s="202">
        <v>7000</v>
      </c>
      <c r="AP613" s="202">
        <v>7000</v>
      </c>
      <c r="AQ613" s="198" t="s">
        <v>358</v>
      </c>
      <c r="AR613" s="198" t="s">
        <v>51</v>
      </c>
      <c r="AS613" s="202">
        <v>7000</v>
      </c>
      <c r="AT613" s="202">
        <v>7000</v>
      </c>
      <c r="AU613" s="198" t="s">
        <v>359</v>
      </c>
      <c r="AV613" s="198" t="s">
        <v>62</v>
      </c>
      <c r="AW613" s="198" t="s">
        <v>54</v>
      </c>
    </row>
    <row r="614" spans="3:49" outlineLevel="2" x14ac:dyDescent="0.25">
      <c r="C614" s="201"/>
      <c r="D614" s="198" t="s">
        <v>526</v>
      </c>
      <c r="H614" s="198" t="s">
        <v>526</v>
      </c>
      <c r="I614" s="202">
        <f t="shared" si="9"/>
        <v>257271868.34999958</v>
      </c>
      <c r="J614" s="202">
        <v>62.299999999999898</v>
      </c>
      <c r="L614" s="204">
        <v>2</v>
      </c>
      <c r="M614" s="202">
        <v>7000</v>
      </c>
      <c r="N614" s="204">
        <v>2</v>
      </c>
      <c r="O614" s="198" t="s">
        <v>51</v>
      </c>
      <c r="P614" s="202">
        <v>7000</v>
      </c>
      <c r="Q614" s="198" t="s">
        <v>73</v>
      </c>
      <c r="R614" s="198" t="s">
        <v>53</v>
      </c>
      <c r="S614" s="198" t="s">
        <v>54</v>
      </c>
      <c r="T614" s="198" t="s">
        <v>2038</v>
      </c>
      <c r="U614" s="198" t="s">
        <v>2032</v>
      </c>
      <c r="V614" s="198" t="s">
        <v>56</v>
      </c>
      <c r="W614" s="198" t="s">
        <v>356</v>
      </c>
      <c r="X614" s="198" t="s">
        <v>57</v>
      </c>
      <c r="Y614" s="198" t="s">
        <v>58</v>
      </c>
      <c r="Z614" s="201">
        <v>46295</v>
      </c>
      <c r="AA614" s="198" t="s">
        <v>59</v>
      </c>
      <c r="AB614" s="198" t="s">
        <v>60</v>
      </c>
      <c r="AC614" s="198" t="s">
        <v>86</v>
      </c>
      <c r="AD614" s="198" t="s">
        <v>62</v>
      </c>
      <c r="AE614" s="198" t="s">
        <v>472</v>
      </c>
      <c r="AF614" s="198" t="s">
        <v>471</v>
      </c>
      <c r="AG614" s="198" t="s">
        <v>214</v>
      </c>
      <c r="AH614" s="198" t="s">
        <v>134</v>
      </c>
      <c r="AI614" s="198" t="s">
        <v>56</v>
      </c>
      <c r="AJ614" s="198" t="s">
        <v>452</v>
      </c>
      <c r="AK614" s="198" t="s">
        <v>51</v>
      </c>
      <c r="AL614" s="198" t="s">
        <v>67</v>
      </c>
      <c r="AM614" s="198" t="s">
        <v>68</v>
      </c>
      <c r="AN614" s="202">
        <v>7000</v>
      </c>
      <c r="AO614" s="202">
        <v>7000</v>
      </c>
      <c r="AP614" s="202">
        <v>7000</v>
      </c>
      <c r="AQ614" s="198" t="s">
        <v>358</v>
      </c>
      <c r="AR614" s="198" t="s">
        <v>51</v>
      </c>
      <c r="AS614" s="202">
        <v>7000</v>
      </c>
      <c r="AT614" s="202">
        <v>7000</v>
      </c>
      <c r="AU614" s="198" t="s">
        <v>359</v>
      </c>
      <c r="AV614" s="198" t="s">
        <v>62</v>
      </c>
      <c r="AW614" s="198" t="s">
        <v>54</v>
      </c>
    </row>
    <row r="615" spans="3:49" outlineLevel="2" x14ac:dyDescent="0.25">
      <c r="C615" s="201"/>
      <c r="D615" s="198" t="s">
        <v>526</v>
      </c>
      <c r="H615" s="198" t="s">
        <v>526</v>
      </c>
      <c r="I615" s="202">
        <f t="shared" si="9"/>
        <v>257684824.79999959</v>
      </c>
      <c r="J615" s="202">
        <v>62.399999999999899</v>
      </c>
      <c r="L615" s="204">
        <v>1</v>
      </c>
      <c r="M615" s="202">
        <v>1500</v>
      </c>
      <c r="N615" s="204">
        <v>1</v>
      </c>
      <c r="O615" s="198" t="s">
        <v>51</v>
      </c>
      <c r="P615" s="202">
        <v>1500</v>
      </c>
      <c r="Q615" s="198" t="s">
        <v>73</v>
      </c>
      <c r="R615" s="198" t="s">
        <v>53</v>
      </c>
      <c r="S615" s="198" t="s">
        <v>54</v>
      </c>
      <c r="T615" s="198" t="s">
        <v>2038</v>
      </c>
      <c r="U615" s="198" t="s">
        <v>2032</v>
      </c>
      <c r="V615" s="198" t="s">
        <v>56</v>
      </c>
      <c r="W615" s="198" t="s">
        <v>356</v>
      </c>
      <c r="X615" s="198" t="s">
        <v>57</v>
      </c>
      <c r="Y615" s="198" t="s">
        <v>58</v>
      </c>
      <c r="Z615" s="201">
        <v>46295</v>
      </c>
      <c r="AA615" s="198" t="s">
        <v>59</v>
      </c>
      <c r="AB615" s="198" t="s">
        <v>60</v>
      </c>
      <c r="AC615" s="198" t="s">
        <v>86</v>
      </c>
      <c r="AD615" s="198" t="s">
        <v>62</v>
      </c>
      <c r="AE615" s="198" t="s">
        <v>474</v>
      </c>
      <c r="AF615" s="198" t="s">
        <v>473</v>
      </c>
      <c r="AG615" s="198" t="s">
        <v>214</v>
      </c>
      <c r="AH615" s="198" t="s">
        <v>134</v>
      </c>
      <c r="AI615" s="198" t="s">
        <v>56</v>
      </c>
      <c r="AJ615" s="198" t="s">
        <v>406</v>
      </c>
      <c r="AK615" s="198" t="s">
        <v>51</v>
      </c>
      <c r="AL615" s="198" t="s">
        <v>67</v>
      </c>
      <c r="AM615" s="198" t="s">
        <v>68</v>
      </c>
      <c r="AN615" s="202">
        <v>1500</v>
      </c>
      <c r="AO615" s="202">
        <v>1500</v>
      </c>
      <c r="AP615" s="202">
        <v>1500</v>
      </c>
      <c r="AQ615" s="198" t="s">
        <v>358</v>
      </c>
      <c r="AR615" s="198" t="s">
        <v>51</v>
      </c>
      <c r="AS615" s="202">
        <v>1500</v>
      </c>
      <c r="AT615" s="202">
        <v>1500</v>
      </c>
      <c r="AU615" s="198" t="s">
        <v>359</v>
      </c>
      <c r="AV615" s="198" t="s">
        <v>62</v>
      </c>
      <c r="AW615" s="198" t="s">
        <v>54</v>
      </c>
    </row>
    <row r="616" spans="3:49" outlineLevel="2" x14ac:dyDescent="0.25">
      <c r="C616" s="201"/>
      <c r="D616" s="198" t="s">
        <v>526</v>
      </c>
      <c r="H616" s="198" t="s">
        <v>526</v>
      </c>
      <c r="I616" s="202">
        <f t="shared" si="9"/>
        <v>258097781.24999958</v>
      </c>
      <c r="J616" s="202">
        <v>62.499999999999901</v>
      </c>
      <c r="L616" s="204">
        <v>1</v>
      </c>
      <c r="M616" s="202">
        <v>54000</v>
      </c>
      <c r="N616" s="204">
        <v>1</v>
      </c>
      <c r="O616" s="198" t="s">
        <v>51</v>
      </c>
      <c r="P616" s="202">
        <v>54000</v>
      </c>
      <c r="Q616" s="198" t="s">
        <v>73</v>
      </c>
      <c r="R616" s="198" t="s">
        <v>53</v>
      </c>
      <c r="S616" s="198" t="s">
        <v>54</v>
      </c>
      <c r="T616" s="198" t="s">
        <v>2038</v>
      </c>
      <c r="U616" s="198" t="s">
        <v>2032</v>
      </c>
      <c r="V616" s="198" t="s">
        <v>56</v>
      </c>
      <c r="W616" s="198" t="s">
        <v>356</v>
      </c>
      <c r="X616" s="198" t="s">
        <v>57</v>
      </c>
      <c r="Y616" s="198" t="s">
        <v>58</v>
      </c>
      <c r="Z616" s="201">
        <v>46295</v>
      </c>
      <c r="AA616" s="198" t="s">
        <v>59</v>
      </c>
      <c r="AB616" s="198" t="s">
        <v>60</v>
      </c>
      <c r="AC616" s="198" t="s">
        <v>86</v>
      </c>
      <c r="AD616" s="198" t="s">
        <v>62</v>
      </c>
      <c r="AE616" s="198" t="s">
        <v>476</v>
      </c>
      <c r="AF616" s="198" t="s">
        <v>475</v>
      </c>
      <c r="AG616" s="198" t="s">
        <v>214</v>
      </c>
      <c r="AH616" s="198" t="s">
        <v>134</v>
      </c>
      <c r="AI616" s="198" t="s">
        <v>56</v>
      </c>
      <c r="AJ616" s="198" t="s">
        <v>477</v>
      </c>
      <c r="AK616" s="198" t="s">
        <v>51</v>
      </c>
      <c r="AL616" s="198" t="s">
        <v>67</v>
      </c>
      <c r="AM616" s="198" t="s">
        <v>68</v>
      </c>
      <c r="AN616" s="202">
        <v>54000</v>
      </c>
      <c r="AO616" s="202">
        <v>54000</v>
      </c>
      <c r="AP616" s="202">
        <v>54000</v>
      </c>
      <c r="AQ616" s="198" t="s">
        <v>358</v>
      </c>
      <c r="AR616" s="198" t="s">
        <v>51</v>
      </c>
      <c r="AS616" s="202">
        <v>54000</v>
      </c>
      <c r="AT616" s="202">
        <v>54000</v>
      </c>
      <c r="AU616" s="198" t="s">
        <v>359</v>
      </c>
      <c r="AV616" s="198" t="s">
        <v>62</v>
      </c>
      <c r="AW616" s="198" t="s">
        <v>54</v>
      </c>
    </row>
    <row r="617" spans="3:49" outlineLevel="2" x14ac:dyDescent="0.25">
      <c r="C617" s="201"/>
      <c r="D617" s="198" t="s">
        <v>526</v>
      </c>
      <c r="H617" s="198" t="s">
        <v>526</v>
      </c>
      <c r="I617" s="202">
        <f t="shared" si="9"/>
        <v>258510737.6999996</v>
      </c>
      <c r="J617" s="202">
        <v>62.599999999999902</v>
      </c>
      <c r="L617" s="204">
        <v>1</v>
      </c>
      <c r="M617" s="202">
        <v>54000</v>
      </c>
      <c r="N617" s="204">
        <v>1</v>
      </c>
      <c r="O617" s="198" t="s">
        <v>51</v>
      </c>
      <c r="P617" s="202">
        <v>54000</v>
      </c>
      <c r="Q617" s="198" t="s">
        <v>73</v>
      </c>
      <c r="R617" s="198" t="s">
        <v>53</v>
      </c>
      <c r="S617" s="198" t="s">
        <v>54</v>
      </c>
      <c r="T617" s="198" t="s">
        <v>2038</v>
      </c>
      <c r="U617" s="198" t="s">
        <v>2032</v>
      </c>
      <c r="V617" s="198" t="s">
        <v>56</v>
      </c>
      <c r="W617" s="198" t="s">
        <v>356</v>
      </c>
      <c r="X617" s="198" t="s">
        <v>57</v>
      </c>
      <c r="Y617" s="198" t="s">
        <v>58</v>
      </c>
      <c r="Z617" s="201">
        <v>46295</v>
      </c>
      <c r="AA617" s="198" t="s">
        <v>59</v>
      </c>
      <c r="AB617" s="198" t="s">
        <v>60</v>
      </c>
      <c r="AC617" s="198" t="s">
        <v>86</v>
      </c>
      <c r="AD617" s="198" t="s">
        <v>62</v>
      </c>
      <c r="AE617" s="198" t="s">
        <v>476</v>
      </c>
      <c r="AF617" s="198" t="s">
        <v>475</v>
      </c>
      <c r="AG617" s="198" t="s">
        <v>214</v>
      </c>
      <c r="AH617" s="198" t="s">
        <v>134</v>
      </c>
      <c r="AI617" s="198" t="s">
        <v>56</v>
      </c>
      <c r="AJ617" s="198" t="s">
        <v>477</v>
      </c>
      <c r="AK617" s="198" t="s">
        <v>51</v>
      </c>
      <c r="AL617" s="198" t="s">
        <v>67</v>
      </c>
      <c r="AM617" s="198" t="s">
        <v>68</v>
      </c>
      <c r="AN617" s="202">
        <v>54000</v>
      </c>
      <c r="AO617" s="202">
        <v>54000</v>
      </c>
      <c r="AP617" s="202">
        <v>54000</v>
      </c>
      <c r="AQ617" s="198" t="s">
        <v>358</v>
      </c>
      <c r="AR617" s="198" t="s">
        <v>51</v>
      </c>
      <c r="AS617" s="202">
        <v>54000</v>
      </c>
      <c r="AT617" s="202">
        <v>54000</v>
      </c>
      <c r="AU617" s="198" t="s">
        <v>359</v>
      </c>
      <c r="AV617" s="198" t="s">
        <v>62</v>
      </c>
      <c r="AW617" s="198" t="s">
        <v>54</v>
      </c>
    </row>
    <row r="618" spans="3:49" outlineLevel="2" x14ac:dyDescent="0.25">
      <c r="C618" s="201"/>
      <c r="D618" s="198" t="s">
        <v>526</v>
      </c>
      <c r="H618" s="198" t="s">
        <v>526</v>
      </c>
      <c r="I618" s="202">
        <f t="shared" si="9"/>
        <v>258923694.14999959</v>
      </c>
      <c r="J618" s="202">
        <v>62.699999999999903</v>
      </c>
      <c r="L618" s="204">
        <v>1</v>
      </c>
      <c r="M618" s="202">
        <v>64500</v>
      </c>
      <c r="N618" s="204">
        <v>1</v>
      </c>
      <c r="O618" s="198" t="s">
        <v>51</v>
      </c>
      <c r="P618" s="202">
        <v>64500</v>
      </c>
      <c r="Q618" s="198" t="s">
        <v>73</v>
      </c>
      <c r="R618" s="198" t="s">
        <v>53</v>
      </c>
      <c r="S618" s="198" t="s">
        <v>54</v>
      </c>
      <c r="T618" s="198" t="s">
        <v>2038</v>
      </c>
      <c r="U618" s="198" t="s">
        <v>2032</v>
      </c>
      <c r="V618" s="198" t="s">
        <v>56</v>
      </c>
      <c r="W618" s="198" t="s">
        <v>356</v>
      </c>
      <c r="X618" s="198" t="s">
        <v>57</v>
      </c>
      <c r="Y618" s="198" t="s">
        <v>58</v>
      </c>
      <c r="Z618" s="201">
        <v>46295</v>
      </c>
      <c r="AA618" s="198" t="s">
        <v>59</v>
      </c>
      <c r="AB618" s="198" t="s">
        <v>60</v>
      </c>
      <c r="AC618" s="198" t="s">
        <v>86</v>
      </c>
      <c r="AD618" s="198" t="s">
        <v>62</v>
      </c>
      <c r="AE618" s="198" t="s">
        <v>476</v>
      </c>
      <c r="AF618" s="198" t="s">
        <v>475</v>
      </c>
      <c r="AG618" s="198" t="s">
        <v>214</v>
      </c>
      <c r="AH618" s="198" t="s">
        <v>134</v>
      </c>
      <c r="AI618" s="198" t="s">
        <v>56</v>
      </c>
      <c r="AJ618" s="198" t="s">
        <v>477</v>
      </c>
      <c r="AK618" s="198" t="s">
        <v>51</v>
      </c>
      <c r="AL618" s="198" t="s">
        <v>67</v>
      </c>
      <c r="AM618" s="198" t="s">
        <v>68</v>
      </c>
      <c r="AN618" s="202">
        <v>64500</v>
      </c>
      <c r="AO618" s="202">
        <v>64500</v>
      </c>
      <c r="AP618" s="202">
        <v>64500</v>
      </c>
      <c r="AQ618" s="198" t="s">
        <v>358</v>
      </c>
      <c r="AR618" s="198" t="s">
        <v>51</v>
      </c>
      <c r="AS618" s="202">
        <v>64500</v>
      </c>
      <c r="AT618" s="202">
        <v>64500</v>
      </c>
      <c r="AU618" s="198" t="s">
        <v>359</v>
      </c>
      <c r="AV618" s="198" t="s">
        <v>62</v>
      </c>
      <c r="AW618" s="198" t="s">
        <v>54</v>
      </c>
    </row>
    <row r="619" spans="3:49" outlineLevel="2" x14ac:dyDescent="0.25">
      <c r="C619" s="201"/>
      <c r="D619" s="198" t="s">
        <v>526</v>
      </c>
      <c r="H619" s="198" t="s">
        <v>526</v>
      </c>
      <c r="I619" s="202">
        <f t="shared" si="9"/>
        <v>259336650.59999958</v>
      </c>
      <c r="J619" s="202">
        <v>62.799999999999898</v>
      </c>
      <c r="L619" s="204">
        <v>1</v>
      </c>
      <c r="M619" s="202">
        <v>66000</v>
      </c>
      <c r="N619" s="204">
        <v>1</v>
      </c>
      <c r="O619" s="198" t="s">
        <v>51</v>
      </c>
      <c r="P619" s="202">
        <v>66000</v>
      </c>
      <c r="Q619" s="198" t="s">
        <v>73</v>
      </c>
      <c r="R619" s="198" t="s">
        <v>53</v>
      </c>
      <c r="S619" s="198" t="s">
        <v>54</v>
      </c>
      <c r="T619" s="198" t="s">
        <v>2038</v>
      </c>
      <c r="U619" s="198" t="s">
        <v>2032</v>
      </c>
      <c r="V619" s="198" t="s">
        <v>56</v>
      </c>
      <c r="W619" s="198" t="s">
        <v>356</v>
      </c>
      <c r="X619" s="198" t="s">
        <v>57</v>
      </c>
      <c r="Y619" s="198" t="s">
        <v>58</v>
      </c>
      <c r="Z619" s="201">
        <v>46295</v>
      </c>
      <c r="AA619" s="198" t="s">
        <v>59</v>
      </c>
      <c r="AB619" s="198" t="s">
        <v>60</v>
      </c>
      <c r="AC619" s="198" t="s">
        <v>86</v>
      </c>
      <c r="AD619" s="198" t="s">
        <v>62</v>
      </c>
      <c r="AE619" s="198" t="s">
        <v>479</v>
      </c>
      <c r="AF619" s="198" t="s">
        <v>478</v>
      </c>
      <c r="AG619" s="198" t="s">
        <v>214</v>
      </c>
      <c r="AH619" s="198" t="s">
        <v>134</v>
      </c>
      <c r="AI619" s="198" t="s">
        <v>56</v>
      </c>
      <c r="AJ619" s="198" t="s">
        <v>118</v>
      </c>
      <c r="AK619" s="198" t="s">
        <v>51</v>
      </c>
      <c r="AL619" s="198" t="s">
        <v>67</v>
      </c>
      <c r="AM619" s="198" t="s">
        <v>68</v>
      </c>
      <c r="AN619" s="202">
        <v>66000</v>
      </c>
      <c r="AO619" s="202">
        <v>66000</v>
      </c>
      <c r="AP619" s="202">
        <v>66000</v>
      </c>
      <c r="AQ619" s="198" t="s">
        <v>358</v>
      </c>
      <c r="AR619" s="198" t="s">
        <v>51</v>
      </c>
      <c r="AS619" s="202">
        <v>66000</v>
      </c>
      <c r="AT619" s="202">
        <v>66000</v>
      </c>
      <c r="AU619" s="198" t="s">
        <v>359</v>
      </c>
      <c r="AV619" s="198" t="s">
        <v>62</v>
      </c>
      <c r="AW619" s="198" t="s">
        <v>54</v>
      </c>
    </row>
    <row r="620" spans="3:49" outlineLevel="2" x14ac:dyDescent="0.25">
      <c r="C620" s="201"/>
      <c r="D620" s="198" t="s">
        <v>526</v>
      </c>
      <c r="H620" s="198" t="s">
        <v>526</v>
      </c>
      <c r="I620" s="202">
        <f t="shared" si="9"/>
        <v>259749607.04999959</v>
      </c>
      <c r="J620" s="202">
        <v>62.899999999999899</v>
      </c>
      <c r="L620" s="204">
        <v>1</v>
      </c>
      <c r="M620" s="202">
        <v>850</v>
      </c>
      <c r="N620" s="204">
        <v>1</v>
      </c>
      <c r="O620" s="198" t="s">
        <v>51</v>
      </c>
      <c r="P620" s="202">
        <v>850</v>
      </c>
      <c r="Q620" s="198" t="s">
        <v>73</v>
      </c>
      <c r="R620" s="198" t="s">
        <v>53</v>
      </c>
      <c r="S620" s="198" t="s">
        <v>54</v>
      </c>
      <c r="T620" s="198" t="s">
        <v>2038</v>
      </c>
      <c r="U620" s="198" t="s">
        <v>2032</v>
      </c>
      <c r="V620" s="198" t="s">
        <v>56</v>
      </c>
      <c r="W620" s="198" t="s">
        <v>356</v>
      </c>
      <c r="X620" s="198" t="s">
        <v>57</v>
      </c>
      <c r="Y620" s="198" t="s">
        <v>58</v>
      </c>
      <c r="Z620" s="201">
        <v>46295</v>
      </c>
      <c r="AA620" s="198" t="s">
        <v>59</v>
      </c>
      <c r="AB620" s="198" t="s">
        <v>60</v>
      </c>
      <c r="AC620" s="198" t="s">
        <v>86</v>
      </c>
      <c r="AD620" s="198" t="s">
        <v>62</v>
      </c>
      <c r="AE620" s="198" t="s">
        <v>481</v>
      </c>
      <c r="AF620" s="198" t="s">
        <v>480</v>
      </c>
      <c r="AG620" s="198" t="s">
        <v>214</v>
      </c>
      <c r="AH620" s="198" t="s">
        <v>134</v>
      </c>
      <c r="AI620" s="198" t="s">
        <v>56</v>
      </c>
      <c r="AJ620" s="198" t="s">
        <v>382</v>
      </c>
      <c r="AK620" s="198" t="s">
        <v>51</v>
      </c>
      <c r="AL620" s="198" t="s">
        <v>67</v>
      </c>
      <c r="AM620" s="198" t="s">
        <v>68</v>
      </c>
      <c r="AN620" s="202">
        <v>850</v>
      </c>
      <c r="AO620" s="202">
        <v>850</v>
      </c>
      <c r="AP620" s="202">
        <v>850</v>
      </c>
      <c r="AQ620" s="198" t="s">
        <v>358</v>
      </c>
      <c r="AR620" s="198" t="s">
        <v>51</v>
      </c>
      <c r="AS620" s="202">
        <v>850</v>
      </c>
      <c r="AT620" s="202">
        <v>850</v>
      </c>
      <c r="AU620" s="198" t="s">
        <v>359</v>
      </c>
      <c r="AV620" s="198" t="s">
        <v>62</v>
      </c>
      <c r="AW620" s="198" t="s">
        <v>54</v>
      </c>
    </row>
    <row r="621" spans="3:49" outlineLevel="2" x14ac:dyDescent="0.25">
      <c r="C621" s="201"/>
      <c r="D621" s="198" t="s">
        <v>526</v>
      </c>
      <c r="H621" s="198" t="s">
        <v>526</v>
      </c>
      <c r="I621" s="202">
        <f t="shared" si="9"/>
        <v>260162563.49999958</v>
      </c>
      <c r="J621" s="202">
        <v>62.999999999999901</v>
      </c>
      <c r="L621" s="204">
        <v>1</v>
      </c>
      <c r="M621" s="202">
        <v>12500</v>
      </c>
      <c r="N621" s="204">
        <v>1</v>
      </c>
      <c r="O621" s="198" t="s">
        <v>51</v>
      </c>
      <c r="P621" s="202">
        <v>12500</v>
      </c>
      <c r="Q621" s="198" t="s">
        <v>73</v>
      </c>
      <c r="R621" s="198" t="s">
        <v>53</v>
      </c>
      <c r="S621" s="198" t="s">
        <v>54</v>
      </c>
      <c r="T621" s="198" t="s">
        <v>2038</v>
      </c>
      <c r="U621" s="198" t="s">
        <v>2032</v>
      </c>
      <c r="V621" s="198" t="s">
        <v>56</v>
      </c>
      <c r="W621" s="198" t="s">
        <v>356</v>
      </c>
      <c r="X621" s="198" t="s">
        <v>57</v>
      </c>
      <c r="Y621" s="198" t="s">
        <v>58</v>
      </c>
      <c r="Z621" s="201">
        <v>46295</v>
      </c>
      <c r="AA621" s="198" t="s">
        <v>59</v>
      </c>
      <c r="AB621" s="198" t="s">
        <v>60</v>
      </c>
      <c r="AC621" s="198" t="s">
        <v>86</v>
      </c>
      <c r="AD621" s="198" t="s">
        <v>62</v>
      </c>
      <c r="AE621" s="198" t="s">
        <v>483</v>
      </c>
      <c r="AF621" s="198" t="s">
        <v>482</v>
      </c>
      <c r="AG621" s="198" t="s">
        <v>214</v>
      </c>
      <c r="AH621" s="198" t="s">
        <v>134</v>
      </c>
      <c r="AI621" s="198" t="s">
        <v>56</v>
      </c>
      <c r="AJ621" s="198" t="s">
        <v>382</v>
      </c>
      <c r="AK621" s="198" t="s">
        <v>51</v>
      </c>
      <c r="AL621" s="198" t="s">
        <v>67</v>
      </c>
      <c r="AM621" s="198" t="s">
        <v>68</v>
      </c>
      <c r="AN621" s="202">
        <v>12500</v>
      </c>
      <c r="AO621" s="202">
        <v>12500</v>
      </c>
      <c r="AP621" s="202">
        <v>12500</v>
      </c>
      <c r="AQ621" s="198" t="s">
        <v>358</v>
      </c>
      <c r="AR621" s="198" t="s">
        <v>51</v>
      </c>
      <c r="AS621" s="202">
        <v>12500</v>
      </c>
      <c r="AT621" s="202">
        <v>12500</v>
      </c>
      <c r="AU621" s="198" t="s">
        <v>359</v>
      </c>
      <c r="AV621" s="198" t="s">
        <v>62</v>
      </c>
      <c r="AW621" s="198" t="s">
        <v>54</v>
      </c>
    </row>
    <row r="622" spans="3:49" outlineLevel="2" x14ac:dyDescent="0.25">
      <c r="C622" s="201"/>
      <c r="D622" s="198" t="s">
        <v>526</v>
      </c>
      <c r="H622" s="198" t="s">
        <v>526</v>
      </c>
      <c r="I622" s="202">
        <f t="shared" si="9"/>
        <v>260575519.9499996</v>
      </c>
      <c r="J622" s="202">
        <v>63.099999999999902</v>
      </c>
      <c r="L622" s="204">
        <v>2</v>
      </c>
      <c r="M622" s="202">
        <v>120000</v>
      </c>
      <c r="N622" s="204">
        <v>2</v>
      </c>
      <c r="O622" s="198" t="s">
        <v>51</v>
      </c>
      <c r="P622" s="202">
        <v>120000</v>
      </c>
      <c r="Q622" s="198" t="s">
        <v>73</v>
      </c>
      <c r="R622" s="198" t="s">
        <v>53</v>
      </c>
      <c r="S622" s="198" t="s">
        <v>54</v>
      </c>
      <c r="T622" s="198" t="s">
        <v>2038</v>
      </c>
      <c r="U622" s="198" t="s">
        <v>2032</v>
      </c>
      <c r="V622" s="198" t="s">
        <v>56</v>
      </c>
      <c r="W622" s="198" t="s">
        <v>356</v>
      </c>
      <c r="X622" s="198" t="s">
        <v>57</v>
      </c>
      <c r="Y622" s="198" t="s">
        <v>58</v>
      </c>
      <c r="Z622" s="201">
        <v>46295</v>
      </c>
      <c r="AA622" s="198" t="s">
        <v>59</v>
      </c>
      <c r="AB622" s="198" t="s">
        <v>60</v>
      </c>
      <c r="AC622" s="198" t="s">
        <v>86</v>
      </c>
      <c r="AD622" s="198" t="s">
        <v>62</v>
      </c>
      <c r="AE622" s="198" t="s">
        <v>485</v>
      </c>
      <c r="AF622" s="198" t="s">
        <v>484</v>
      </c>
      <c r="AG622" s="198" t="s">
        <v>214</v>
      </c>
      <c r="AH622" s="198" t="s">
        <v>134</v>
      </c>
      <c r="AI622" s="198" t="s">
        <v>56</v>
      </c>
      <c r="AJ622" s="198" t="s">
        <v>382</v>
      </c>
      <c r="AK622" s="198" t="s">
        <v>51</v>
      </c>
      <c r="AL622" s="198" t="s">
        <v>67</v>
      </c>
      <c r="AM622" s="198" t="s">
        <v>68</v>
      </c>
      <c r="AN622" s="202">
        <v>120000</v>
      </c>
      <c r="AO622" s="202">
        <v>120000</v>
      </c>
      <c r="AP622" s="202">
        <v>120000</v>
      </c>
      <c r="AQ622" s="198" t="s">
        <v>358</v>
      </c>
      <c r="AR622" s="198" t="s">
        <v>51</v>
      </c>
      <c r="AS622" s="202">
        <v>120000</v>
      </c>
      <c r="AT622" s="202">
        <v>120000</v>
      </c>
      <c r="AU622" s="198" t="s">
        <v>359</v>
      </c>
      <c r="AV622" s="198" t="s">
        <v>62</v>
      </c>
      <c r="AW622" s="198" t="s">
        <v>54</v>
      </c>
    </row>
    <row r="623" spans="3:49" outlineLevel="2" x14ac:dyDescent="0.25">
      <c r="C623" s="201"/>
      <c r="D623" s="198" t="s">
        <v>526</v>
      </c>
      <c r="H623" s="198" t="s">
        <v>526</v>
      </c>
      <c r="I623" s="202">
        <f t="shared" si="9"/>
        <v>260988476.39999959</v>
      </c>
      <c r="J623" s="202">
        <v>63.199999999999903</v>
      </c>
      <c r="L623" s="204">
        <v>1</v>
      </c>
      <c r="M623" s="202">
        <v>310000</v>
      </c>
      <c r="N623" s="204">
        <v>1</v>
      </c>
      <c r="O623" s="198" t="s">
        <v>51</v>
      </c>
      <c r="P623" s="202">
        <v>310000</v>
      </c>
      <c r="Q623" s="198" t="s">
        <v>73</v>
      </c>
      <c r="R623" s="198" t="s">
        <v>53</v>
      </c>
      <c r="S623" s="198" t="s">
        <v>54</v>
      </c>
      <c r="T623" s="198" t="s">
        <v>2038</v>
      </c>
      <c r="U623" s="198" t="s">
        <v>2032</v>
      </c>
      <c r="V623" s="198" t="s">
        <v>56</v>
      </c>
      <c r="W623" s="198" t="s">
        <v>356</v>
      </c>
      <c r="X623" s="198" t="s">
        <v>57</v>
      </c>
      <c r="Y623" s="198" t="s">
        <v>58</v>
      </c>
      <c r="Z623" s="201">
        <v>46295</v>
      </c>
      <c r="AA623" s="198" t="s">
        <v>59</v>
      </c>
      <c r="AB623" s="198" t="s">
        <v>60</v>
      </c>
      <c r="AC623" s="198" t="s">
        <v>86</v>
      </c>
      <c r="AD623" s="198" t="s">
        <v>62</v>
      </c>
      <c r="AE623" s="198" t="s">
        <v>487</v>
      </c>
      <c r="AF623" s="198" t="s">
        <v>486</v>
      </c>
      <c r="AG623" s="198" t="s">
        <v>214</v>
      </c>
      <c r="AH623" s="198" t="s">
        <v>134</v>
      </c>
      <c r="AI623" s="198" t="s">
        <v>56</v>
      </c>
      <c r="AJ623" s="198" t="s">
        <v>128</v>
      </c>
      <c r="AK623" s="198" t="s">
        <v>51</v>
      </c>
      <c r="AL623" s="198" t="s">
        <v>67</v>
      </c>
      <c r="AM623" s="198" t="s">
        <v>68</v>
      </c>
      <c r="AN623" s="202">
        <v>310000</v>
      </c>
      <c r="AO623" s="202">
        <v>310000</v>
      </c>
      <c r="AP623" s="202">
        <v>310000</v>
      </c>
      <c r="AQ623" s="198" t="s">
        <v>358</v>
      </c>
      <c r="AR623" s="198" t="s">
        <v>51</v>
      </c>
      <c r="AS623" s="202">
        <v>310000</v>
      </c>
      <c r="AT623" s="202">
        <v>310000</v>
      </c>
      <c r="AU623" s="198" t="s">
        <v>359</v>
      </c>
      <c r="AV623" s="198" t="s">
        <v>62</v>
      </c>
      <c r="AW623" s="198" t="s">
        <v>54</v>
      </c>
    </row>
    <row r="624" spans="3:49" outlineLevel="2" x14ac:dyDescent="0.25">
      <c r="C624" s="201"/>
      <c r="D624" s="198" t="s">
        <v>526</v>
      </c>
      <c r="H624" s="198" t="s">
        <v>526</v>
      </c>
      <c r="I624" s="202">
        <f t="shared" si="9"/>
        <v>261401432.84999958</v>
      </c>
      <c r="J624" s="202">
        <v>63.299999999999898</v>
      </c>
      <c r="L624" s="204">
        <v>2</v>
      </c>
      <c r="M624" s="202">
        <v>6920</v>
      </c>
      <c r="N624" s="204">
        <v>2</v>
      </c>
      <c r="O624" s="198" t="s">
        <v>51</v>
      </c>
      <c r="P624" s="202">
        <v>6920</v>
      </c>
      <c r="Q624" s="198" t="s">
        <v>73</v>
      </c>
      <c r="R624" s="198" t="s">
        <v>53</v>
      </c>
      <c r="S624" s="198" t="s">
        <v>54</v>
      </c>
      <c r="T624" s="198" t="s">
        <v>2038</v>
      </c>
      <c r="U624" s="198" t="s">
        <v>2032</v>
      </c>
      <c r="V624" s="198" t="s">
        <v>56</v>
      </c>
      <c r="W624" s="198" t="s">
        <v>356</v>
      </c>
      <c r="X624" s="198" t="s">
        <v>57</v>
      </c>
      <c r="Y624" s="198" t="s">
        <v>58</v>
      </c>
      <c r="Z624" s="201">
        <v>46295</v>
      </c>
      <c r="AA624" s="198" t="s">
        <v>59</v>
      </c>
      <c r="AB624" s="198" t="s">
        <v>60</v>
      </c>
      <c r="AC624" s="198" t="s">
        <v>86</v>
      </c>
      <c r="AD624" s="198" t="s">
        <v>62</v>
      </c>
      <c r="AE624" s="198" t="s">
        <v>489</v>
      </c>
      <c r="AF624" s="198" t="s">
        <v>488</v>
      </c>
      <c r="AG624" s="198" t="s">
        <v>214</v>
      </c>
      <c r="AH624" s="198" t="s">
        <v>134</v>
      </c>
      <c r="AI624" s="198" t="s">
        <v>56</v>
      </c>
      <c r="AJ624" s="198" t="s">
        <v>398</v>
      </c>
      <c r="AK624" s="198" t="s">
        <v>51</v>
      </c>
      <c r="AL624" s="198" t="s">
        <v>67</v>
      </c>
      <c r="AM624" s="198" t="s">
        <v>68</v>
      </c>
      <c r="AN624" s="202">
        <v>6920</v>
      </c>
      <c r="AO624" s="202">
        <v>6920</v>
      </c>
      <c r="AP624" s="202">
        <v>6920</v>
      </c>
      <c r="AQ624" s="198" t="s">
        <v>358</v>
      </c>
      <c r="AR624" s="198" t="s">
        <v>51</v>
      </c>
      <c r="AS624" s="202">
        <v>6920</v>
      </c>
      <c r="AT624" s="202">
        <v>6920</v>
      </c>
      <c r="AU624" s="198" t="s">
        <v>359</v>
      </c>
      <c r="AV624" s="198" t="s">
        <v>62</v>
      </c>
      <c r="AW624" s="198" t="s">
        <v>54</v>
      </c>
    </row>
    <row r="625" spans="3:49" outlineLevel="2" x14ac:dyDescent="0.25">
      <c r="C625" s="201"/>
      <c r="D625" s="198" t="s">
        <v>526</v>
      </c>
      <c r="H625" s="198" t="s">
        <v>526</v>
      </c>
      <c r="I625" s="202">
        <f t="shared" si="9"/>
        <v>261814389.29999959</v>
      </c>
      <c r="J625" s="202">
        <v>63.399999999999899</v>
      </c>
      <c r="L625" s="204">
        <v>2</v>
      </c>
      <c r="M625" s="202">
        <v>5000</v>
      </c>
      <c r="N625" s="204">
        <v>2</v>
      </c>
      <c r="O625" s="198" t="s">
        <v>51</v>
      </c>
      <c r="P625" s="202">
        <v>5000</v>
      </c>
      <c r="Q625" s="198" t="s">
        <v>73</v>
      </c>
      <c r="R625" s="198" t="s">
        <v>53</v>
      </c>
      <c r="S625" s="198" t="s">
        <v>54</v>
      </c>
      <c r="T625" s="198" t="s">
        <v>2038</v>
      </c>
      <c r="U625" s="198" t="s">
        <v>2032</v>
      </c>
      <c r="V625" s="198" t="s">
        <v>56</v>
      </c>
      <c r="W625" s="198" t="s">
        <v>356</v>
      </c>
      <c r="X625" s="198" t="s">
        <v>57</v>
      </c>
      <c r="Y625" s="198" t="s">
        <v>58</v>
      </c>
      <c r="Z625" s="201">
        <v>46295</v>
      </c>
      <c r="AA625" s="198" t="s">
        <v>59</v>
      </c>
      <c r="AB625" s="198" t="s">
        <v>60</v>
      </c>
      <c r="AC625" s="198" t="s">
        <v>86</v>
      </c>
      <c r="AD625" s="198" t="s">
        <v>62</v>
      </c>
      <c r="AE625" s="198" t="s">
        <v>491</v>
      </c>
      <c r="AF625" s="198" t="s">
        <v>490</v>
      </c>
      <c r="AG625" s="198" t="s">
        <v>214</v>
      </c>
      <c r="AH625" s="198" t="s">
        <v>134</v>
      </c>
      <c r="AI625" s="198" t="s">
        <v>56</v>
      </c>
      <c r="AJ625" s="198" t="s">
        <v>406</v>
      </c>
      <c r="AK625" s="198" t="s">
        <v>51</v>
      </c>
      <c r="AL625" s="198" t="s">
        <v>67</v>
      </c>
      <c r="AM625" s="198" t="s">
        <v>68</v>
      </c>
      <c r="AN625" s="202">
        <v>5000</v>
      </c>
      <c r="AO625" s="202">
        <v>5000</v>
      </c>
      <c r="AP625" s="202">
        <v>5000</v>
      </c>
      <c r="AQ625" s="198" t="s">
        <v>358</v>
      </c>
      <c r="AR625" s="198" t="s">
        <v>51</v>
      </c>
      <c r="AS625" s="202">
        <v>5000</v>
      </c>
      <c r="AT625" s="202">
        <v>5000</v>
      </c>
      <c r="AU625" s="198" t="s">
        <v>359</v>
      </c>
      <c r="AV625" s="198" t="s">
        <v>62</v>
      </c>
      <c r="AW625" s="198" t="s">
        <v>54</v>
      </c>
    </row>
    <row r="626" spans="3:49" outlineLevel="2" x14ac:dyDescent="0.25">
      <c r="C626" s="201"/>
      <c r="D626" s="198" t="s">
        <v>526</v>
      </c>
      <c r="H626" s="198" t="s">
        <v>526</v>
      </c>
      <c r="I626" s="202">
        <f t="shared" si="9"/>
        <v>262227345.74999958</v>
      </c>
      <c r="J626" s="202">
        <v>63.499999999999901</v>
      </c>
      <c r="L626" s="204">
        <v>2</v>
      </c>
      <c r="M626" s="202">
        <v>1700</v>
      </c>
      <c r="N626" s="204">
        <v>2</v>
      </c>
      <c r="O626" s="198" t="s">
        <v>51</v>
      </c>
      <c r="P626" s="202">
        <v>1700</v>
      </c>
      <c r="Q626" s="198" t="s">
        <v>73</v>
      </c>
      <c r="R626" s="198" t="s">
        <v>53</v>
      </c>
      <c r="S626" s="198" t="s">
        <v>54</v>
      </c>
      <c r="T626" s="198" t="s">
        <v>2038</v>
      </c>
      <c r="U626" s="198" t="s">
        <v>2032</v>
      </c>
      <c r="V626" s="198" t="s">
        <v>56</v>
      </c>
      <c r="W626" s="198" t="s">
        <v>356</v>
      </c>
      <c r="X626" s="198" t="s">
        <v>57</v>
      </c>
      <c r="Y626" s="198" t="s">
        <v>58</v>
      </c>
      <c r="Z626" s="201">
        <v>46295</v>
      </c>
      <c r="AA626" s="198" t="s">
        <v>59</v>
      </c>
      <c r="AB626" s="198" t="s">
        <v>60</v>
      </c>
      <c r="AC626" s="198" t="s">
        <v>86</v>
      </c>
      <c r="AD626" s="198" t="s">
        <v>62</v>
      </c>
      <c r="AE626" s="198" t="s">
        <v>493</v>
      </c>
      <c r="AF626" s="198" t="s">
        <v>492</v>
      </c>
      <c r="AG626" s="198" t="s">
        <v>214</v>
      </c>
      <c r="AH626" s="198" t="s">
        <v>134</v>
      </c>
      <c r="AI626" s="198" t="s">
        <v>56</v>
      </c>
      <c r="AJ626" s="198" t="s">
        <v>452</v>
      </c>
      <c r="AK626" s="198" t="s">
        <v>51</v>
      </c>
      <c r="AL626" s="198" t="s">
        <v>67</v>
      </c>
      <c r="AM626" s="198" t="s">
        <v>68</v>
      </c>
      <c r="AN626" s="202">
        <v>1700</v>
      </c>
      <c r="AO626" s="202">
        <v>1700</v>
      </c>
      <c r="AP626" s="202">
        <v>1700</v>
      </c>
      <c r="AQ626" s="198" t="s">
        <v>358</v>
      </c>
      <c r="AR626" s="198" t="s">
        <v>51</v>
      </c>
      <c r="AS626" s="202">
        <v>1700</v>
      </c>
      <c r="AT626" s="202">
        <v>1700</v>
      </c>
      <c r="AU626" s="198" t="s">
        <v>359</v>
      </c>
      <c r="AV626" s="198" t="s">
        <v>62</v>
      </c>
      <c r="AW626" s="198" t="s">
        <v>54</v>
      </c>
    </row>
    <row r="627" spans="3:49" outlineLevel="2" x14ac:dyDescent="0.25">
      <c r="C627" s="201"/>
      <c r="D627" s="198" t="s">
        <v>526</v>
      </c>
      <c r="H627" s="198" t="s">
        <v>526</v>
      </c>
      <c r="I627" s="202">
        <f t="shared" si="9"/>
        <v>262640302.1999996</v>
      </c>
      <c r="J627" s="202">
        <v>63.599999999999902</v>
      </c>
      <c r="L627" s="204">
        <v>2</v>
      </c>
      <c r="M627" s="202">
        <v>1700</v>
      </c>
      <c r="N627" s="204">
        <v>2</v>
      </c>
      <c r="O627" s="198" t="s">
        <v>51</v>
      </c>
      <c r="P627" s="202">
        <v>1700</v>
      </c>
      <c r="Q627" s="198" t="s">
        <v>73</v>
      </c>
      <c r="R627" s="198" t="s">
        <v>53</v>
      </c>
      <c r="S627" s="198" t="s">
        <v>54</v>
      </c>
      <c r="T627" s="198" t="s">
        <v>2038</v>
      </c>
      <c r="U627" s="198" t="s">
        <v>2032</v>
      </c>
      <c r="V627" s="198" t="s">
        <v>56</v>
      </c>
      <c r="W627" s="198" t="s">
        <v>356</v>
      </c>
      <c r="X627" s="198" t="s">
        <v>57</v>
      </c>
      <c r="Y627" s="198" t="s">
        <v>58</v>
      </c>
      <c r="Z627" s="201">
        <v>46295</v>
      </c>
      <c r="AA627" s="198" t="s">
        <v>59</v>
      </c>
      <c r="AB627" s="198" t="s">
        <v>60</v>
      </c>
      <c r="AC627" s="198" t="s">
        <v>86</v>
      </c>
      <c r="AD627" s="198" t="s">
        <v>62</v>
      </c>
      <c r="AE627" s="198" t="s">
        <v>495</v>
      </c>
      <c r="AF627" s="198" t="s">
        <v>494</v>
      </c>
      <c r="AG627" s="198" t="s">
        <v>214</v>
      </c>
      <c r="AH627" s="198" t="s">
        <v>134</v>
      </c>
      <c r="AI627" s="198" t="s">
        <v>56</v>
      </c>
      <c r="AJ627" s="198" t="s">
        <v>455</v>
      </c>
      <c r="AK627" s="198" t="s">
        <v>51</v>
      </c>
      <c r="AL627" s="198" t="s">
        <v>67</v>
      </c>
      <c r="AM627" s="198" t="s">
        <v>68</v>
      </c>
      <c r="AN627" s="202">
        <v>1700</v>
      </c>
      <c r="AO627" s="202">
        <v>1700</v>
      </c>
      <c r="AP627" s="202">
        <v>1700</v>
      </c>
      <c r="AQ627" s="198" t="s">
        <v>358</v>
      </c>
      <c r="AR627" s="198" t="s">
        <v>51</v>
      </c>
      <c r="AS627" s="202">
        <v>1700</v>
      </c>
      <c r="AT627" s="202">
        <v>1700</v>
      </c>
      <c r="AU627" s="198" t="s">
        <v>359</v>
      </c>
      <c r="AV627" s="198" t="s">
        <v>62</v>
      </c>
      <c r="AW627" s="198" t="s">
        <v>54</v>
      </c>
    </row>
    <row r="628" spans="3:49" outlineLevel="2" x14ac:dyDescent="0.25">
      <c r="C628" s="201"/>
      <c r="D628" s="198" t="s">
        <v>526</v>
      </c>
      <c r="H628" s="198" t="s">
        <v>526</v>
      </c>
      <c r="I628" s="202">
        <f t="shared" si="9"/>
        <v>263053258.64999959</v>
      </c>
      <c r="J628" s="202">
        <v>63.699999999999903</v>
      </c>
      <c r="L628" s="204">
        <v>2</v>
      </c>
      <c r="M628" s="202">
        <v>3500</v>
      </c>
      <c r="N628" s="204">
        <v>2</v>
      </c>
      <c r="O628" s="198" t="s">
        <v>51</v>
      </c>
      <c r="P628" s="202">
        <v>3500</v>
      </c>
      <c r="Q628" s="198" t="s">
        <v>73</v>
      </c>
      <c r="R628" s="198" t="s">
        <v>53</v>
      </c>
      <c r="S628" s="198" t="s">
        <v>54</v>
      </c>
      <c r="T628" s="198" t="s">
        <v>2038</v>
      </c>
      <c r="U628" s="198" t="s">
        <v>2032</v>
      </c>
      <c r="V628" s="198" t="s">
        <v>56</v>
      </c>
      <c r="W628" s="198" t="s">
        <v>356</v>
      </c>
      <c r="X628" s="198" t="s">
        <v>57</v>
      </c>
      <c r="Y628" s="198" t="s">
        <v>58</v>
      </c>
      <c r="Z628" s="201">
        <v>46295</v>
      </c>
      <c r="AA628" s="198" t="s">
        <v>59</v>
      </c>
      <c r="AB628" s="198" t="s">
        <v>60</v>
      </c>
      <c r="AC628" s="198" t="s">
        <v>86</v>
      </c>
      <c r="AD628" s="198" t="s">
        <v>62</v>
      </c>
      <c r="AE628" s="198" t="s">
        <v>497</v>
      </c>
      <c r="AF628" s="198" t="s">
        <v>496</v>
      </c>
      <c r="AG628" s="198" t="s">
        <v>214</v>
      </c>
      <c r="AH628" s="198" t="s">
        <v>134</v>
      </c>
      <c r="AI628" s="198" t="s">
        <v>56</v>
      </c>
      <c r="AJ628" s="198" t="s">
        <v>455</v>
      </c>
      <c r="AK628" s="198" t="s">
        <v>51</v>
      </c>
      <c r="AL628" s="198" t="s">
        <v>67</v>
      </c>
      <c r="AM628" s="198" t="s">
        <v>68</v>
      </c>
      <c r="AN628" s="202">
        <v>3500</v>
      </c>
      <c r="AO628" s="202">
        <v>3500</v>
      </c>
      <c r="AP628" s="202">
        <v>3500</v>
      </c>
      <c r="AQ628" s="198" t="s">
        <v>358</v>
      </c>
      <c r="AR628" s="198" t="s">
        <v>51</v>
      </c>
      <c r="AS628" s="202">
        <v>3500</v>
      </c>
      <c r="AT628" s="202">
        <v>3500</v>
      </c>
      <c r="AU628" s="198" t="s">
        <v>359</v>
      </c>
      <c r="AV628" s="198" t="s">
        <v>62</v>
      </c>
      <c r="AW628" s="198" t="s">
        <v>54</v>
      </c>
    </row>
    <row r="629" spans="3:49" outlineLevel="2" x14ac:dyDescent="0.25">
      <c r="C629" s="201"/>
      <c r="D629" s="198" t="s">
        <v>526</v>
      </c>
      <c r="H629" s="198" t="s">
        <v>526</v>
      </c>
      <c r="I629" s="202">
        <f t="shared" si="9"/>
        <v>263466215.09999958</v>
      </c>
      <c r="J629" s="202">
        <v>63.799999999999898</v>
      </c>
      <c r="L629" s="204">
        <v>50</v>
      </c>
      <c r="M629" s="202">
        <v>17500</v>
      </c>
      <c r="N629" s="204">
        <v>50</v>
      </c>
      <c r="O629" s="198" t="s">
        <v>51</v>
      </c>
      <c r="P629" s="202">
        <v>17500</v>
      </c>
      <c r="Q629" s="198" t="s">
        <v>73</v>
      </c>
      <c r="R629" s="198" t="s">
        <v>53</v>
      </c>
      <c r="S629" s="198" t="s">
        <v>54</v>
      </c>
      <c r="T629" s="198" t="s">
        <v>2038</v>
      </c>
      <c r="U629" s="198" t="s">
        <v>2032</v>
      </c>
      <c r="V629" s="198" t="s">
        <v>56</v>
      </c>
      <c r="W629" s="198" t="s">
        <v>356</v>
      </c>
      <c r="X629" s="198" t="s">
        <v>57</v>
      </c>
      <c r="Y629" s="198" t="s">
        <v>58</v>
      </c>
      <c r="Z629" s="201">
        <v>46295</v>
      </c>
      <c r="AA629" s="198" t="s">
        <v>59</v>
      </c>
      <c r="AB629" s="198" t="s">
        <v>60</v>
      </c>
      <c r="AC629" s="198" t="s">
        <v>86</v>
      </c>
      <c r="AD629" s="198" t="s">
        <v>62</v>
      </c>
      <c r="AE629" s="198" t="s">
        <v>499</v>
      </c>
      <c r="AF629" s="198" t="s">
        <v>498</v>
      </c>
      <c r="AG629" s="198" t="s">
        <v>214</v>
      </c>
      <c r="AH629" s="198" t="s">
        <v>134</v>
      </c>
      <c r="AI629" s="198" t="s">
        <v>56</v>
      </c>
      <c r="AJ629" s="198" t="s">
        <v>382</v>
      </c>
      <c r="AK629" s="198" t="s">
        <v>51</v>
      </c>
      <c r="AL629" s="198" t="s">
        <v>67</v>
      </c>
      <c r="AM629" s="198" t="s">
        <v>68</v>
      </c>
      <c r="AN629" s="202">
        <v>17500</v>
      </c>
      <c r="AO629" s="202">
        <v>17500</v>
      </c>
      <c r="AP629" s="202">
        <v>17500</v>
      </c>
      <c r="AQ629" s="198" t="s">
        <v>358</v>
      </c>
      <c r="AR629" s="198" t="s">
        <v>51</v>
      </c>
      <c r="AS629" s="202">
        <v>17500</v>
      </c>
      <c r="AT629" s="202">
        <v>17500</v>
      </c>
      <c r="AU629" s="198" t="s">
        <v>359</v>
      </c>
      <c r="AV629" s="198" t="s">
        <v>62</v>
      </c>
      <c r="AW629" s="198" t="s">
        <v>54</v>
      </c>
    </row>
    <row r="630" spans="3:49" outlineLevel="2" x14ac:dyDescent="0.25">
      <c r="C630" s="201"/>
      <c r="D630" s="198" t="s">
        <v>526</v>
      </c>
      <c r="H630" s="198" t="s">
        <v>526</v>
      </c>
      <c r="I630" s="202">
        <f t="shared" si="9"/>
        <v>263879171.54999959</v>
      </c>
      <c r="J630" s="202">
        <v>63.899999999999899</v>
      </c>
      <c r="L630" s="204">
        <v>50</v>
      </c>
      <c r="M630" s="202">
        <v>2500</v>
      </c>
      <c r="N630" s="204">
        <v>50</v>
      </c>
      <c r="O630" s="198" t="s">
        <v>51</v>
      </c>
      <c r="P630" s="202">
        <v>2500</v>
      </c>
      <c r="Q630" s="198" t="s">
        <v>73</v>
      </c>
      <c r="R630" s="198" t="s">
        <v>53</v>
      </c>
      <c r="S630" s="198" t="s">
        <v>54</v>
      </c>
      <c r="T630" s="198" t="s">
        <v>2038</v>
      </c>
      <c r="U630" s="198" t="s">
        <v>2032</v>
      </c>
      <c r="V630" s="198" t="s">
        <v>56</v>
      </c>
      <c r="W630" s="198" t="s">
        <v>356</v>
      </c>
      <c r="X630" s="198" t="s">
        <v>57</v>
      </c>
      <c r="Y630" s="198" t="s">
        <v>58</v>
      </c>
      <c r="Z630" s="201">
        <v>46295</v>
      </c>
      <c r="AA630" s="198" t="s">
        <v>59</v>
      </c>
      <c r="AB630" s="198" t="s">
        <v>60</v>
      </c>
      <c r="AC630" s="198" t="s">
        <v>86</v>
      </c>
      <c r="AD630" s="198" t="s">
        <v>62</v>
      </c>
      <c r="AE630" s="198" t="s">
        <v>501</v>
      </c>
      <c r="AF630" s="198" t="s">
        <v>500</v>
      </c>
      <c r="AG630" s="198" t="s">
        <v>214</v>
      </c>
      <c r="AH630" s="198" t="s">
        <v>134</v>
      </c>
      <c r="AI630" s="198" t="s">
        <v>56</v>
      </c>
      <c r="AJ630" s="198" t="s">
        <v>406</v>
      </c>
      <c r="AK630" s="198" t="s">
        <v>51</v>
      </c>
      <c r="AL630" s="198" t="s">
        <v>67</v>
      </c>
      <c r="AM630" s="198" t="s">
        <v>68</v>
      </c>
      <c r="AN630" s="202">
        <v>2500</v>
      </c>
      <c r="AO630" s="202">
        <v>2500</v>
      </c>
      <c r="AP630" s="202">
        <v>2500</v>
      </c>
      <c r="AQ630" s="198" t="s">
        <v>358</v>
      </c>
      <c r="AR630" s="198" t="s">
        <v>51</v>
      </c>
      <c r="AS630" s="202">
        <v>2500</v>
      </c>
      <c r="AT630" s="202">
        <v>2500</v>
      </c>
      <c r="AU630" s="198" t="s">
        <v>359</v>
      </c>
      <c r="AV630" s="198" t="s">
        <v>62</v>
      </c>
      <c r="AW630" s="198" t="s">
        <v>54</v>
      </c>
    </row>
    <row r="631" spans="3:49" outlineLevel="2" x14ac:dyDescent="0.25">
      <c r="C631" s="201"/>
      <c r="D631" s="198" t="s">
        <v>526</v>
      </c>
      <c r="H631" s="198" t="s">
        <v>526</v>
      </c>
      <c r="I631" s="202">
        <f t="shared" si="9"/>
        <v>264292127.99999958</v>
      </c>
      <c r="J631" s="202">
        <v>63.999999999999901</v>
      </c>
      <c r="L631" s="204">
        <v>5</v>
      </c>
      <c r="M631" s="202">
        <v>10750</v>
      </c>
      <c r="N631" s="204">
        <v>5</v>
      </c>
      <c r="O631" s="198" t="s">
        <v>51</v>
      </c>
      <c r="P631" s="202">
        <v>10750</v>
      </c>
      <c r="Q631" s="198" t="s">
        <v>73</v>
      </c>
      <c r="R631" s="198" t="s">
        <v>53</v>
      </c>
      <c r="S631" s="198" t="s">
        <v>54</v>
      </c>
      <c r="T631" s="198" t="s">
        <v>2038</v>
      </c>
      <c r="U631" s="198" t="s">
        <v>2032</v>
      </c>
      <c r="V631" s="198" t="s">
        <v>56</v>
      </c>
      <c r="W631" s="198" t="s">
        <v>356</v>
      </c>
      <c r="X631" s="198" t="s">
        <v>57</v>
      </c>
      <c r="Y631" s="198" t="s">
        <v>58</v>
      </c>
      <c r="Z631" s="201">
        <v>46295</v>
      </c>
      <c r="AA631" s="198" t="s">
        <v>59</v>
      </c>
      <c r="AB631" s="198" t="s">
        <v>60</v>
      </c>
      <c r="AC631" s="198" t="s">
        <v>86</v>
      </c>
      <c r="AD631" s="198" t="s">
        <v>62</v>
      </c>
      <c r="AE631" s="198" t="s">
        <v>503</v>
      </c>
      <c r="AF631" s="198" t="s">
        <v>502</v>
      </c>
      <c r="AG631" s="198" t="s">
        <v>214</v>
      </c>
      <c r="AH631" s="198" t="s">
        <v>134</v>
      </c>
      <c r="AI631" s="198" t="s">
        <v>56</v>
      </c>
      <c r="AJ631" s="198" t="s">
        <v>455</v>
      </c>
      <c r="AK631" s="198" t="s">
        <v>51</v>
      </c>
      <c r="AL631" s="198" t="s">
        <v>67</v>
      </c>
      <c r="AM631" s="198" t="s">
        <v>68</v>
      </c>
      <c r="AN631" s="202">
        <v>10750</v>
      </c>
      <c r="AO631" s="202">
        <v>10750</v>
      </c>
      <c r="AP631" s="202">
        <v>10750</v>
      </c>
      <c r="AQ631" s="198" t="s">
        <v>358</v>
      </c>
      <c r="AR631" s="198" t="s">
        <v>51</v>
      </c>
      <c r="AS631" s="202">
        <v>10750</v>
      </c>
      <c r="AT631" s="202">
        <v>10750</v>
      </c>
      <c r="AU631" s="198" t="s">
        <v>359</v>
      </c>
      <c r="AV631" s="198" t="s">
        <v>62</v>
      </c>
      <c r="AW631" s="198" t="s">
        <v>54</v>
      </c>
    </row>
    <row r="632" spans="3:49" outlineLevel="2" x14ac:dyDescent="0.25">
      <c r="C632" s="201"/>
      <c r="D632" s="198" t="s">
        <v>526</v>
      </c>
      <c r="H632" s="198" t="s">
        <v>526</v>
      </c>
      <c r="I632" s="202">
        <f t="shared" si="9"/>
        <v>264705084.44999957</v>
      </c>
      <c r="J632" s="202">
        <v>64.099999999999895</v>
      </c>
      <c r="L632" s="204">
        <v>2</v>
      </c>
      <c r="M632" s="202">
        <v>39000</v>
      </c>
      <c r="N632" s="204">
        <v>2</v>
      </c>
      <c r="O632" s="198" t="s">
        <v>51</v>
      </c>
      <c r="P632" s="202">
        <v>39000</v>
      </c>
      <c r="Q632" s="198" t="s">
        <v>73</v>
      </c>
      <c r="R632" s="198" t="s">
        <v>53</v>
      </c>
      <c r="S632" s="198" t="s">
        <v>54</v>
      </c>
      <c r="T632" s="198" t="s">
        <v>2038</v>
      </c>
      <c r="U632" s="198" t="s">
        <v>2032</v>
      </c>
      <c r="V632" s="198" t="s">
        <v>56</v>
      </c>
      <c r="W632" s="198" t="s">
        <v>356</v>
      </c>
      <c r="X632" s="198" t="s">
        <v>57</v>
      </c>
      <c r="Y632" s="198" t="s">
        <v>58</v>
      </c>
      <c r="Z632" s="201">
        <v>46295</v>
      </c>
      <c r="AA632" s="198" t="s">
        <v>59</v>
      </c>
      <c r="AB632" s="198" t="s">
        <v>60</v>
      </c>
      <c r="AC632" s="198" t="s">
        <v>86</v>
      </c>
      <c r="AD632" s="198" t="s">
        <v>62</v>
      </c>
      <c r="AE632" s="198" t="s">
        <v>505</v>
      </c>
      <c r="AF632" s="198" t="s">
        <v>504</v>
      </c>
      <c r="AG632" s="198" t="s">
        <v>214</v>
      </c>
      <c r="AH632" s="198" t="s">
        <v>134</v>
      </c>
      <c r="AI632" s="198" t="s">
        <v>56</v>
      </c>
      <c r="AJ632" s="198" t="s">
        <v>452</v>
      </c>
      <c r="AK632" s="198" t="s">
        <v>51</v>
      </c>
      <c r="AL632" s="198" t="s">
        <v>67</v>
      </c>
      <c r="AM632" s="198" t="s">
        <v>68</v>
      </c>
      <c r="AN632" s="202">
        <v>39000</v>
      </c>
      <c r="AO632" s="202">
        <v>39000</v>
      </c>
      <c r="AP632" s="202">
        <v>39000</v>
      </c>
      <c r="AQ632" s="198" t="s">
        <v>358</v>
      </c>
      <c r="AR632" s="198" t="s">
        <v>51</v>
      </c>
      <c r="AS632" s="202">
        <v>39000</v>
      </c>
      <c r="AT632" s="202">
        <v>39000</v>
      </c>
      <c r="AU632" s="198" t="s">
        <v>359</v>
      </c>
      <c r="AV632" s="198" t="s">
        <v>62</v>
      </c>
      <c r="AW632" s="198" t="s">
        <v>54</v>
      </c>
    </row>
    <row r="633" spans="3:49" outlineLevel="2" x14ac:dyDescent="0.25">
      <c r="C633" s="201"/>
      <c r="D633" s="198" t="s">
        <v>526</v>
      </c>
      <c r="H633" s="198" t="s">
        <v>526</v>
      </c>
      <c r="I633" s="202">
        <f t="shared" si="9"/>
        <v>265118040.89999959</v>
      </c>
      <c r="J633" s="202">
        <v>64.199999999999903</v>
      </c>
      <c r="L633" s="204">
        <v>1</v>
      </c>
      <c r="M633" s="202">
        <v>5000</v>
      </c>
      <c r="N633" s="204">
        <v>1</v>
      </c>
      <c r="O633" s="198" t="s">
        <v>51</v>
      </c>
      <c r="P633" s="202">
        <v>5000</v>
      </c>
      <c r="Q633" s="198" t="s">
        <v>73</v>
      </c>
      <c r="R633" s="198" t="s">
        <v>53</v>
      </c>
      <c r="S633" s="198" t="s">
        <v>54</v>
      </c>
      <c r="T633" s="198" t="s">
        <v>2038</v>
      </c>
      <c r="U633" s="198" t="s">
        <v>2032</v>
      </c>
      <c r="V633" s="198" t="s">
        <v>56</v>
      </c>
      <c r="W633" s="198" t="s">
        <v>356</v>
      </c>
      <c r="X633" s="198" t="s">
        <v>57</v>
      </c>
      <c r="Y633" s="198" t="s">
        <v>58</v>
      </c>
      <c r="Z633" s="201">
        <v>46295</v>
      </c>
      <c r="AA633" s="198" t="s">
        <v>59</v>
      </c>
      <c r="AB633" s="198" t="s">
        <v>60</v>
      </c>
      <c r="AC633" s="198" t="s">
        <v>86</v>
      </c>
      <c r="AD633" s="198" t="s">
        <v>62</v>
      </c>
      <c r="AE633" s="198" t="s">
        <v>507</v>
      </c>
      <c r="AF633" s="198" t="s">
        <v>506</v>
      </c>
      <c r="AG633" s="198" t="s">
        <v>214</v>
      </c>
      <c r="AH633" s="198" t="s">
        <v>134</v>
      </c>
      <c r="AI633" s="198" t="s">
        <v>56</v>
      </c>
      <c r="AJ633" s="198" t="s">
        <v>149</v>
      </c>
      <c r="AK633" s="198" t="s">
        <v>51</v>
      </c>
      <c r="AL633" s="198" t="s">
        <v>67</v>
      </c>
      <c r="AM633" s="198" t="s">
        <v>68</v>
      </c>
      <c r="AN633" s="202">
        <v>5000</v>
      </c>
      <c r="AO633" s="202">
        <v>5000</v>
      </c>
      <c r="AP633" s="202">
        <v>5000</v>
      </c>
      <c r="AQ633" s="198" t="s">
        <v>358</v>
      </c>
      <c r="AR633" s="198" t="s">
        <v>51</v>
      </c>
      <c r="AS633" s="202">
        <v>5000</v>
      </c>
      <c r="AT633" s="202">
        <v>5000</v>
      </c>
      <c r="AU633" s="198" t="s">
        <v>359</v>
      </c>
      <c r="AV633" s="198" t="s">
        <v>62</v>
      </c>
      <c r="AW633" s="198" t="s">
        <v>54</v>
      </c>
    </row>
    <row r="634" spans="3:49" outlineLevel="2" x14ac:dyDescent="0.25">
      <c r="C634" s="201"/>
      <c r="D634" s="198" t="s">
        <v>526</v>
      </c>
      <c r="H634" s="198" t="s">
        <v>526</v>
      </c>
      <c r="I634" s="202">
        <f t="shared" si="9"/>
        <v>265530997.34999958</v>
      </c>
      <c r="J634" s="202">
        <v>64.299999999999898</v>
      </c>
      <c r="L634" s="204">
        <v>2</v>
      </c>
      <c r="M634" s="202">
        <v>800</v>
      </c>
      <c r="N634" s="204">
        <v>2</v>
      </c>
      <c r="O634" s="198" t="s">
        <v>51</v>
      </c>
      <c r="P634" s="202">
        <v>800</v>
      </c>
      <c r="Q634" s="198" t="s">
        <v>73</v>
      </c>
      <c r="R634" s="198" t="s">
        <v>53</v>
      </c>
      <c r="S634" s="198" t="s">
        <v>54</v>
      </c>
      <c r="T634" s="198" t="s">
        <v>2038</v>
      </c>
      <c r="U634" s="198" t="s">
        <v>2032</v>
      </c>
      <c r="V634" s="198" t="s">
        <v>56</v>
      </c>
      <c r="W634" s="198" t="s">
        <v>356</v>
      </c>
      <c r="X634" s="198" t="s">
        <v>57</v>
      </c>
      <c r="Y634" s="198" t="s">
        <v>58</v>
      </c>
      <c r="Z634" s="201">
        <v>46295</v>
      </c>
      <c r="AA634" s="198" t="s">
        <v>59</v>
      </c>
      <c r="AB634" s="198" t="s">
        <v>60</v>
      </c>
      <c r="AC634" s="198" t="s">
        <v>86</v>
      </c>
      <c r="AD634" s="198" t="s">
        <v>62</v>
      </c>
      <c r="AE634" s="198" t="s">
        <v>509</v>
      </c>
      <c r="AF634" s="198" t="s">
        <v>508</v>
      </c>
      <c r="AG634" s="198" t="s">
        <v>214</v>
      </c>
      <c r="AH634" s="198" t="s">
        <v>134</v>
      </c>
      <c r="AI634" s="198" t="s">
        <v>56</v>
      </c>
      <c r="AJ634" s="198" t="s">
        <v>449</v>
      </c>
      <c r="AK634" s="198" t="s">
        <v>51</v>
      </c>
      <c r="AL634" s="198" t="s">
        <v>67</v>
      </c>
      <c r="AM634" s="198" t="s">
        <v>68</v>
      </c>
      <c r="AN634" s="202">
        <v>800</v>
      </c>
      <c r="AO634" s="202">
        <v>800</v>
      </c>
      <c r="AP634" s="202">
        <v>800</v>
      </c>
      <c r="AQ634" s="198" t="s">
        <v>358</v>
      </c>
      <c r="AR634" s="198" t="s">
        <v>51</v>
      </c>
      <c r="AS634" s="202">
        <v>800</v>
      </c>
      <c r="AT634" s="202">
        <v>800</v>
      </c>
      <c r="AU634" s="198" t="s">
        <v>359</v>
      </c>
      <c r="AV634" s="198" t="s">
        <v>62</v>
      </c>
      <c r="AW634" s="198" t="s">
        <v>54</v>
      </c>
    </row>
    <row r="635" spans="3:49" outlineLevel="2" x14ac:dyDescent="0.25">
      <c r="C635" s="201"/>
      <c r="D635" s="198" t="s">
        <v>526</v>
      </c>
      <c r="H635" s="198" t="s">
        <v>526</v>
      </c>
      <c r="I635" s="202">
        <f t="shared" si="9"/>
        <v>265943953.79999962</v>
      </c>
      <c r="J635" s="202">
        <v>64.399999999999906</v>
      </c>
      <c r="L635" s="204">
        <v>1</v>
      </c>
      <c r="M635" s="202">
        <v>8500</v>
      </c>
      <c r="N635" s="204">
        <v>1</v>
      </c>
      <c r="O635" s="198" t="s">
        <v>51</v>
      </c>
      <c r="P635" s="202">
        <v>8500</v>
      </c>
      <c r="Q635" s="198" t="s">
        <v>73</v>
      </c>
      <c r="R635" s="198" t="s">
        <v>53</v>
      </c>
      <c r="S635" s="198" t="s">
        <v>54</v>
      </c>
      <c r="T635" s="198" t="s">
        <v>2038</v>
      </c>
      <c r="U635" s="198" t="s">
        <v>2032</v>
      </c>
      <c r="V635" s="198" t="s">
        <v>56</v>
      </c>
      <c r="W635" s="198" t="s">
        <v>356</v>
      </c>
      <c r="X635" s="198" t="s">
        <v>57</v>
      </c>
      <c r="Y635" s="198" t="s">
        <v>58</v>
      </c>
      <c r="Z635" s="201">
        <v>46295</v>
      </c>
      <c r="AA635" s="198" t="s">
        <v>59</v>
      </c>
      <c r="AB635" s="198" t="s">
        <v>60</v>
      </c>
      <c r="AC635" s="198" t="s">
        <v>86</v>
      </c>
      <c r="AD635" s="198" t="s">
        <v>62</v>
      </c>
      <c r="AE635" s="198" t="s">
        <v>511</v>
      </c>
      <c r="AF635" s="198" t="s">
        <v>510</v>
      </c>
      <c r="AG635" s="198" t="s">
        <v>214</v>
      </c>
      <c r="AH635" s="198" t="s">
        <v>134</v>
      </c>
      <c r="AI635" s="198" t="s">
        <v>56</v>
      </c>
      <c r="AJ635" s="198" t="s">
        <v>294</v>
      </c>
      <c r="AK635" s="198" t="s">
        <v>51</v>
      </c>
      <c r="AL635" s="198" t="s">
        <v>67</v>
      </c>
      <c r="AM635" s="198" t="s">
        <v>68</v>
      </c>
      <c r="AN635" s="202">
        <v>8500</v>
      </c>
      <c r="AO635" s="202">
        <v>8500</v>
      </c>
      <c r="AP635" s="202">
        <v>8500</v>
      </c>
      <c r="AQ635" s="198" t="s">
        <v>358</v>
      </c>
      <c r="AR635" s="198" t="s">
        <v>51</v>
      </c>
      <c r="AS635" s="202">
        <v>8500</v>
      </c>
      <c r="AT635" s="202">
        <v>8500</v>
      </c>
      <c r="AU635" s="198" t="s">
        <v>359</v>
      </c>
      <c r="AV635" s="198" t="s">
        <v>62</v>
      </c>
      <c r="AW635" s="198" t="s">
        <v>54</v>
      </c>
    </row>
    <row r="636" spans="3:49" outlineLevel="2" x14ac:dyDescent="0.25">
      <c r="C636" s="201"/>
      <c r="D636" s="198" t="s">
        <v>526</v>
      </c>
      <c r="H636" s="198" t="s">
        <v>526</v>
      </c>
      <c r="I636" s="202">
        <f t="shared" si="9"/>
        <v>266356910.24999958</v>
      </c>
      <c r="J636" s="202">
        <v>64.499999999999901</v>
      </c>
      <c r="L636" s="204">
        <v>1</v>
      </c>
      <c r="M636" s="202">
        <v>23000</v>
      </c>
      <c r="N636" s="204">
        <v>1</v>
      </c>
      <c r="O636" s="198" t="s">
        <v>51</v>
      </c>
      <c r="P636" s="202">
        <v>23000</v>
      </c>
      <c r="Q636" s="198" t="s">
        <v>73</v>
      </c>
      <c r="R636" s="198" t="s">
        <v>53</v>
      </c>
      <c r="S636" s="198" t="s">
        <v>54</v>
      </c>
      <c r="T636" s="198" t="s">
        <v>2038</v>
      </c>
      <c r="U636" s="198" t="s">
        <v>2032</v>
      </c>
      <c r="V636" s="198" t="s">
        <v>56</v>
      </c>
      <c r="W636" s="198" t="s">
        <v>356</v>
      </c>
      <c r="X636" s="198" t="s">
        <v>57</v>
      </c>
      <c r="Y636" s="198" t="s">
        <v>58</v>
      </c>
      <c r="Z636" s="201">
        <v>46295</v>
      </c>
      <c r="AA636" s="198" t="s">
        <v>59</v>
      </c>
      <c r="AB636" s="198" t="s">
        <v>60</v>
      </c>
      <c r="AC636" s="198" t="s">
        <v>86</v>
      </c>
      <c r="AD636" s="198" t="s">
        <v>62</v>
      </c>
      <c r="AE636" s="198" t="s">
        <v>513</v>
      </c>
      <c r="AF636" s="198" t="s">
        <v>512</v>
      </c>
      <c r="AG636" s="198" t="s">
        <v>214</v>
      </c>
      <c r="AH636" s="198" t="s">
        <v>134</v>
      </c>
      <c r="AI636" s="198" t="s">
        <v>56</v>
      </c>
      <c r="AJ636" s="198" t="s">
        <v>382</v>
      </c>
      <c r="AK636" s="198" t="s">
        <v>51</v>
      </c>
      <c r="AL636" s="198" t="s">
        <v>67</v>
      </c>
      <c r="AM636" s="198" t="s">
        <v>68</v>
      </c>
      <c r="AN636" s="202">
        <v>23000</v>
      </c>
      <c r="AO636" s="202">
        <v>23000</v>
      </c>
      <c r="AP636" s="202">
        <v>23000</v>
      </c>
      <c r="AQ636" s="198" t="s">
        <v>358</v>
      </c>
      <c r="AR636" s="198" t="s">
        <v>51</v>
      </c>
      <c r="AS636" s="202">
        <v>23000</v>
      </c>
      <c r="AT636" s="202">
        <v>23000</v>
      </c>
      <c r="AU636" s="198" t="s">
        <v>359</v>
      </c>
      <c r="AV636" s="198" t="s">
        <v>62</v>
      </c>
      <c r="AW636" s="198" t="s">
        <v>54</v>
      </c>
    </row>
    <row r="637" spans="3:49" outlineLevel="2" x14ac:dyDescent="0.25">
      <c r="C637" s="201"/>
      <c r="D637" s="198" t="s">
        <v>527</v>
      </c>
      <c r="H637" s="198" t="s">
        <v>527</v>
      </c>
      <c r="I637" s="202">
        <f t="shared" si="9"/>
        <v>266769866.69999957</v>
      </c>
      <c r="J637" s="202">
        <v>64.599999999999895</v>
      </c>
      <c r="L637" s="204">
        <v>7</v>
      </c>
      <c r="M637" s="202">
        <v>53261901</v>
      </c>
      <c r="N637" s="204">
        <v>7</v>
      </c>
      <c r="O637" s="198" t="s">
        <v>51</v>
      </c>
      <c r="P637" s="202">
        <v>53261901</v>
      </c>
      <c r="Q637" s="198" t="s">
        <v>73</v>
      </c>
      <c r="R637" s="198" t="s">
        <v>53</v>
      </c>
      <c r="S637" s="198" t="s">
        <v>54</v>
      </c>
      <c r="T637" s="198" t="s">
        <v>2038</v>
      </c>
      <c r="U637" s="198" t="s">
        <v>2032</v>
      </c>
      <c r="V637" s="198" t="s">
        <v>56</v>
      </c>
      <c r="W637" s="198" t="s">
        <v>356</v>
      </c>
      <c r="X637" s="198" t="s">
        <v>57</v>
      </c>
      <c r="Y637" s="198" t="s">
        <v>58</v>
      </c>
      <c r="Z637" s="201">
        <v>46326</v>
      </c>
      <c r="AA637" s="198" t="s">
        <v>59</v>
      </c>
      <c r="AB637" s="198" t="s">
        <v>60</v>
      </c>
      <c r="AC637" s="198" t="s">
        <v>86</v>
      </c>
      <c r="AD637" s="198" t="s">
        <v>62</v>
      </c>
      <c r="AE637" s="198" t="s">
        <v>2033</v>
      </c>
      <c r="AF637" s="198" t="s">
        <v>2030</v>
      </c>
      <c r="AG637" s="198" t="s">
        <v>235</v>
      </c>
      <c r="AH637" s="198" t="s">
        <v>117</v>
      </c>
      <c r="AI637" s="198" t="s">
        <v>56</v>
      </c>
      <c r="AJ637" s="198" t="s">
        <v>128</v>
      </c>
      <c r="AK637" s="198" t="s">
        <v>51</v>
      </c>
      <c r="AL637" s="198" t="s">
        <v>67</v>
      </c>
      <c r="AM637" s="198" t="s">
        <v>68</v>
      </c>
      <c r="AN637" s="202">
        <v>53261901</v>
      </c>
      <c r="AO637" s="202">
        <v>53261901</v>
      </c>
      <c r="AP637" s="202">
        <v>53261901</v>
      </c>
      <c r="AQ637" s="198" t="s">
        <v>358</v>
      </c>
      <c r="AR637" s="198" t="s">
        <v>51</v>
      </c>
      <c r="AS637" s="202">
        <v>53261901</v>
      </c>
      <c r="AT637" s="202">
        <v>53261901</v>
      </c>
      <c r="AU637" s="198" t="s">
        <v>359</v>
      </c>
      <c r="AV637" s="198" t="s">
        <v>62</v>
      </c>
      <c r="AW637" s="198" t="s">
        <v>54</v>
      </c>
    </row>
    <row r="638" spans="3:49" outlineLevel="2" x14ac:dyDescent="0.25">
      <c r="C638" s="201"/>
      <c r="D638" s="198" t="s">
        <v>527</v>
      </c>
      <c r="H638" s="198" t="s">
        <v>527</v>
      </c>
      <c r="I638" s="202">
        <f t="shared" si="9"/>
        <v>267182823.14999959</v>
      </c>
      <c r="J638" s="202">
        <v>64.699999999999903</v>
      </c>
      <c r="L638" s="204">
        <v>2</v>
      </c>
      <c r="M638" s="202">
        <v>84000</v>
      </c>
      <c r="N638" s="204">
        <v>2</v>
      </c>
      <c r="O638" s="198" t="s">
        <v>51</v>
      </c>
      <c r="P638" s="202">
        <v>84000</v>
      </c>
      <c r="Q638" s="198" t="s">
        <v>73</v>
      </c>
      <c r="R638" s="198" t="s">
        <v>53</v>
      </c>
      <c r="S638" s="198" t="s">
        <v>54</v>
      </c>
      <c r="T638" s="198" t="s">
        <v>2038</v>
      </c>
      <c r="U638" s="198" t="s">
        <v>2032</v>
      </c>
      <c r="V638" s="198" t="s">
        <v>56</v>
      </c>
      <c r="W638" s="198" t="s">
        <v>356</v>
      </c>
      <c r="X638" s="198" t="s">
        <v>57</v>
      </c>
      <c r="Y638" s="198" t="s">
        <v>58</v>
      </c>
      <c r="Z638" s="201">
        <v>46326</v>
      </c>
      <c r="AA638" s="198" t="s">
        <v>59</v>
      </c>
      <c r="AB638" s="198" t="s">
        <v>60</v>
      </c>
      <c r="AC638" s="198" t="s">
        <v>86</v>
      </c>
      <c r="AD638" s="198" t="s">
        <v>62</v>
      </c>
      <c r="AE638" s="198" t="s">
        <v>446</v>
      </c>
      <c r="AF638" s="198" t="s">
        <v>445</v>
      </c>
      <c r="AG638" s="198" t="s">
        <v>235</v>
      </c>
      <c r="AH638" s="198" t="s">
        <v>117</v>
      </c>
      <c r="AI638" s="198" t="s">
        <v>56</v>
      </c>
      <c r="AJ638" s="198" t="s">
        <v>406</v>
      </c>
      <c r="AK638" s="198" t="s">
        <v>51</v>
      </c>
      <c r="AL638" s="198" t="s">
        <v>67</v>
      </c>
      <c r="AM638" s="198" t="s">
        <v>68</v>
      </c>
      <c r="AN638" s="202">
        <v>84000</v>
      </c>
      <c r="AO638" s="202">
        <v>84000</v>
      </c>
      <c r="AP638" s="202">
        <v>84000</v>
      </c>
      <c r="AQ638" s="198" t="s">
        <v>358</v>
      </c>
      <c r="AR638" s="198" t="s">
        <v>51</v>
      </c>
      <c r="AS638" s="202">
        <v>84000</v>
      </c>
      <c r="AT638" s="202">
        <v>84000</v>
      </c>
      <c r="AU638" s="198" t="s">
        <v>359</v>
      </c>
      <c r="AV638" s="198" t="s">
        <v>62</v>
      </c>
      <c r="AW638" s="198" t="s">
        <v>54</v>
      </c>
    </row>
    <row r="639" spans="3:49" outlineLevel="2" x14ac:dyDescent="0.25">
      <c r="C639" s="201"/>
      <c r="D639" s="198" t="s">
        <v>527</v>
      </c>
      <c r="H639" s="198" t="s">
        <v>527</v>
      </c>
      <c r="I639" s="202">
        <f t="shared" si="9"/>
        <v>267595779.59999958</v>
      </c>
      <c r="J639" s="202">
        <v>64.799999999999898</v>
      </c>
      <c r="L639" s="204">
        <v>2</v>
      </c>
      <c r="M639" s="202">
        <v>84000</v>
      </c>
      <c r="N639" s="204">
        <v>2</v>
      </c>
      <c r="O639" s="198" t="s">
        <v>51</v>
      </c>
      <c r="P639" s="202">
        <v>84000</v>
      </c>
      <c r="Q639" s="198" t="s">
        <v>73</v>
      </c>
      <c r="R639" s="198" t="s">
        <v>53</v>
      </c>
      <c r="S639" s="198" t="s">
        <v>54</v>
      </c>
      <c r="T639" s="198" t="s">
        <v>2038</v>
      </c>
      <c r="U639" s="198" t="s">
        <v>2032</v>
      </c>
      <c r="V639" s="198" t="s">
        <v>56</v>
      </c>
      <c r="W639" s="198" t="s">
        <v>356</v>
      </c>
      <c r="X639" s="198" t="s">
        <v>57</v>
      </c>
      <c r="Y639" s="198" t="s">
        <v>58</v>
      </c>
      <c r="Z639" s="201">
        <v>46326</v>
      </c>
      <c r="AA639" s="198" t="s">
        <v>59</v>
      </c>
      <c r="AB639" s="198" t="s">
        <v>60</v>
      </c>
      <c r="AC639" s="198" t="s">
        <v>86</v>
      </c>
      <c r="AD639" s="198" t="s">
        <v>62</v>
      </c>
      <c r="AE639" s="198" t="s">
        <v>448</v>
      </c>
      <c r="AF639" s="198" t="s">
        <v>447</v>
      </c>
      <c r="AG639" s="198" t="s">
        <v>235</v>
      </c>
      <c r="AH639" s="198" t="s">
        <v>117</v>
      </c>
      <c r="AI639" s="198" t="s">
        <v>56</v>
      </c>
      <c r="AJ639" s="198" t="s">
        <v>449</v>
      </c>
      <c r="AK639" s="198" t="s">
        <v>51</v>
      </c>
      <c r="AL639" s="198" t="s">
        <v>67</v>
      </c>
      <c r="AM639" s="198" t="s">
        <v>68</v>
      </c>
      <c r="AN639" s="202">
        <v>84000</v>
      </c>
      <c r="AO639" s="202">
        <v>84000</v>
      </c>
      <c r="AP639" s="202">
        <v>84000</v>
      </c>
      <c r="AQ639" s="198" t="s">
        <v>358</v>
      </c>
      <c r="AR639" s="198" t="s">
        <v>51</v>
      </c>
      <c r="AS639" s="202">
        <v>84000</v>
      </c>
      <c r="AT639" s="202">
        <v>84000</v>
      </c>
      <c r="AU639" s="198" t="s">
        <v>359</v>
      </c>
      <c r="AV639" s="198" t="s">
        <v>62</v>
      </c>
      <c r="AW639" s="198" t="s">
        <v>54</v>
      </c>
    </row>
    <row r="640" spans="3:49" outlineLevel="2" x14ac:dyDescent="0.25">
      <c r="C640" s="201"/>
      <c r="D640" s="198" t="s">
        <v>527</v>
      </c>
      <c r="H640" s="198" t="s">
        <v>527</v>
      </c>
      <c r="I640" s="202">
        <f t="shared" si="9"/>
        <v>268008736.04999962</v>
      </c>
      <c r="J640" s="202">
        <v>64.899999999999906</v>
      </c>
      <c r="L640" s="204">
        <v>7</v>
      </c>
      <c r="M640" s="202">
        <v>140000</v>
      </c>
      <c r="N640" s="204">
        <v>7</v>
      </c>
      <c r="O640" s="198" t="s">
        <v>51</v>
      </c>
      <c r="P640" s="202">
        <v>140000</v>
      </c>
      <c r="Q640" s="198" t="s">
        <v>73</v>
      </c>
      <c r="R640" s="198" t="s">
        <v>53</v>
      </c>
      <c r="S640" s="198" t="s">
        <v>54</v>
      </c>
      <c r="T640" s="198" t="s">
        <v>2038</v>
      </c>
      <c r="U640" s="198" t="s">
        <v>2032</v>
      </c>
      <c r="V640" s="198" t="s">
        <v>56</v>
      </c>
      <c r="W640" s="198" t="s">
        <v>356</v>
      </c>
      <c r="X640" s="198" t="s">
        <v>57</v>
      </c>
      <c r="Y640" s="198" t="s">
        <v>58</v>
      </c>
      <c r="Z640" s="201">
        <v>46326</v>
      </c>
      <c r="AA640" s="198" t="s">
        <v>59</v>
      </c>
      <c r="AB640" s="198" t="s">
        <v>60</v>
      </c>
      <c r="AC640" s="198" t="s">
        <v>86</v>
      </c>
      <c r="AD640" s="198" t="s">
        <v>62</v>
      </c>
      <c r="AE640" s="198" t="s">
        <v>451</v>
      </c>
      <c r="AF640" s="198" t="s">
        <v>450</v>
      </c>
      <c r="AG640" s="198" t="s">
        <v>235</v>
      </c>
      <c r="AH640" s="198" t="s">
        <v>117</v>
      </c>
      <c r="AI640" s="198" t="s">
        <v>56</v>
      </c>
      <c r="AJ640" s="198" t="s">
        <v>452</v>
      </c>
      <c r="AK640" s="198" t="s">
        <v>51</v>
      </c>
      <c r="AL640" s="198" t="s">
        <v>67</v>
      </c>
      <c r="AM640" s="198" t="s">
        <v>68</v>
      </c>
      <c r="AN640" s="202">
        <v>140000</v>
      </c>
      <c r="AO640" s="202">
        <v>140000</v>
      </c>
      <c r="AP640" s="202">
        <v>140000</v>
      </c>
      <c r="AQ640" s="198" t="s">
        <v>358</v>
      </c>
      <c r="AR640" s="198" t="s">
        <v>51</v>
      </c>
      <c r="AS640" s="202">
        <v>140000</v>
      </c>
      <c r="AT640" s="202">
        <v>140000</v>
      </c>
      <c r="AU640" s="198" t="s">
        <v>359</v>
      </c>
      <c r="AV640" s="198" t="s">
        <v>62</v>
      </c>
      <c r="AW640" s="198" t="s">
        <v>54</v>
      </c>
    </row>
    <row r="641" spans="3:49" outlineLevel="2" x14ac:dyDescent="0.25">
      <c r="C641" s="201"/>
      <c r="D641" s="198" t="s">
        <v>527</v>
      </c>
      <c r="H641" s="198" t="s">
        <v>527</v>
      </c>
      <c r="I641" s="202">
        <f t="shared" si="9"/>
        <v>268421692.49999958</v>
      </c>
      <c r="J641" s="202">
        <v>64.999999999999901</v>
      </c>
      <c r="L641" s="204">
        <v>1</v>
      </c>
      <c r="M641" s="202">
        <v>300000</v>
      </c>
      <c r="N641" s="204">
        <v>1</v>
      </c>
      <c r="O641" s="198" t="s">
        <v>51</v>
      </c>
      <c r="P641" s="202">
        <v>300000</v>
      </c>
      <c r="Q641" s="198" t="s">
        <v>73</v>
      </c>
      <c r="R641" s="198" t="s">
        <v>53</v>
      </c>
      <c r="S641" s="198" t="s">
        <v>54</v>
      </c>
      <c r="T641" s="198" t="s">
        <v>2038</v>
      </c>
      <c r="U641" s="198" t="s">
        <v>2032</v>
      </c>
      <c r="V641" s="198" t="s">
        <v>56</v>
      </c>
      <c r="W641" s="198" t="s">
        <v>356</v>
      </c>
      <c r="X641" s="198" t="s">
        <v>57</v>
      </c>
      <c r="Y641" s="198" t="s">
        <v>58</v>
      </c>
      <c r="Z641" s="201">
        <v>46326</v>
      </c>
      <c r="AA641" s="198" t="s">
        <v>59</v>
      </c>
      <c r="AB641" s="198" t="s">
        <v>60</v>
      </c>
      <c r="AC641" s="198" t="s">
        <v>86</v>
      </c>
      <c r="AD641" s="198" t="s">
        <v>62</v>
      </c>
      <c r="AE641" s="198" t="s">
        <v>454</v>
      </c>
      <c r="AF641" s="198" t="s">
        <v>453</v>
      </c>
      <c r="AG641" s="198" t="s">
        <v>235</v>
      </c>
      <c r="AH641" s="198" t="s">
        <v>117</v>
      </c>
      <c r="AI641" s="198" t="s">
        <v>56</v>
      </c>
      <c r="AJ641" s="198" t="s">
        <v>455</v>
      </c>
      <c r="AK641" s="198" t="s">
        <v>51</v>
      </c>
      <c r="AL641" s="198" t="s">
        <v>67</v>
      </c>
      <c r="AM641" s="198" t="s">
        <v>68</v>
      </c>
      <c r="AN641" s="202">
        <v>300000</v>
      </c>
      <c r="AO641" s="202">
        <v>300000</v>
      </c>
      <c r="AP641" s="202">
        <v>300000</v>
      </c>
      <c r="AQ641" s="198" t="s">
        <v>358</v>
      </c>
      <c r="AR641" s="198" t="s">
        <v>51</v>
      </c>
      <c r="AS641" s="202">
        <v>300000</v>
      </c>
      <c r="AT641" s="202">
        <v>300000</v>
      </c>
      <c r="AU641" s="198" t="s">
        <v>359</v>
      </c>
      <c r="AV641" s="198" t="s">
        <v>62</v>
      </c>
      <c r="AW641" s="198" t="s">
        <v>54</v>
      </c>
    </row>
    <row r="642" spans="3:49" outlineLevel="2" x14ac:dyDescent="0.25">
      <c r="C642" s="201"/>
      <c r="D642" s="198" t="s">
        <v>527</v>
      </c>
      <c r="H642" s="198" t="s">
        <v>527</v>
      </c>
      <c r="I642" s="202">
        <f t="shared" si="9"/>
        <v>268834648.94999957</v>
      </c>
      <c r="J642" s="202">
        <v>65.099999999999895</v>
      </c>
      <c r="L642" s="204">
        <v>1</v>
      </c>
      <c r="M642" s="202">
        <v>100000</v>
      </c>
      <c r="N642" s="204">
        <v>1</v>
      </c>
      <c r="O642" s="198" t="s">
        <v>51</v>
      </c>
      <c r="P642" s="202">
        <v>100000</v>
      </c>
      <c r="Q642" s="198" t="s">
        <v>73</v>
      </c>
      <c r="R642" s="198" t="s">
        <v>53</v>
      </c>
      <c r="S642" s="198" t="s">
        <v>54</v>
      </c>
      <c r="T642" s="198" t="s">
        <v>2038</v>
      </c>
      <c r="U642" s="198" t="s">
        <v>2032</v>
      </c>
      <c r="V642" s="198" t="s">
        <v>56</v>
      </c>
      <c r="W642" s="198" t="s">
        <v>356</v>
      </c>
      <c r="X642" s="198" t="s">
        <v>57</v>
      </c>
      <c r="Y642" s="198" t="s">
        <v>58</v>
      </c>
      <c r="Z642" s="201">
        <v>46326</v>
      </c>
      <c r="AA642" s="198" t="s">
        <v>59</v>
      </c>
      <c r="AB642" s="198" t="s">
        <v>60</v>
      </c>
      <c r="AC642" s="198" t="s">
        <v>86</v>
      </c>
      <c r="AD642" s="198" t="s">
        <v>62</v>
      </c>
      <c r="AE642" s="198" t="s">
        <v>457</v>
      </c>
      <c r="AF642" s="198" t="s">
        <v>456</v>
      </c>
      <c r="AG642" s="198" t="s">
        <v>235</v>
      </c>
      <c r="AH642" s="198" t="s">
        <v>117</v>
      </c>
      <c r="AI642" s="198" t="s">
        <v>56</v>
      </c>
      <c r="AJ642" s="198" t="s">
        <v>455</v>
      </c>
      <c r="AK642" s="198" t="s">
        <v>51</v>
      </c>
      <c r="AL642" s="198" t="s">
        <v>67</v>
      </c>
      <c r="AM642" s="198" t="s">
        <v>68</v>
      </c>
      <c r="AN642" s="202">
        <v>100000</v>
      </c>
      <c r="AO642" s="202">
        <v>100000</v>
      </c>
      <c r="AP642" s="202">
        <v>100000</v>
      </c>
      <c r="AQ642" s="198" t="s">
        <v>358</v>
      </c>
      <c r="AR642" s="198" t="s">
        <v>51</v>
      </c>
      <c r="AS642" s="202">
        <v>100000</v>
      </c>
      <c r="AT642" s="202">
        <v>100000</v>
      </c>
      <c r="AU642" s="198" t="s">
        <v>359</v>
      </c>
      <c r="AV642" s="198" t="s">
        <v>62</v>
      </c>
      <c r="AW642" s="198" t="s">
        <v>54</v>
      </c>
    </row>
    <row r="643" spans="3:49" outlineLevel="2" x14ac:dyDescent="0.25">
      <c r="C643" s="201"/>
      <c r="D643" s="198" t="s">
        <v>527</v>
      </c>
      <c r="H643" s="198" t="s">
        <v>527</v>
      </c>
      <c r="I643" s="202">
        <f t="shared" ref="I643:I706" si="10">J643*4129564.5</f>
        <v>269247605.39999962</v>
      </c>
      <c r="J643" s="202">
        <v>65.199999999999903</v>
      </c>
      <c r="L643" s="204">
        <v>2</v>
      </c>
      <c r="M643" s="202">
        <v>17000</v>
      </c>
      <c r="N643" s="204">
        <v>2</v>
      </c>
      <c r="O643" s="198" t="s">
        <v>51</v>
      </c>
      <c r="P643" s="202">
        <v>17000</v>
      </c>
      <c r="Q643" s="198" t="s">
        <v>342</v>
      </c>
      <c r="R643" s="198" t="s">
        <v>53</v>
      </c>
      <c r="S643" s="198" t="s">
        <v>54</v>
      </c>
      <c r="T643" s="198" t="s">
        <v>2038</v>
      </c>
      <c r="U643" s="198" t="s">
        <v>2032</v>
      </c>
      <c r="V643" s="198" t="s">
        <v>56</v>
      </c>
      <c r="W643" s="198" t="s">
        <v>356</v>
      </c>
      <c r="X643" s="198" t="s">
        <v>57</v>
      </c>
      <c r="Y643" s="198" t="s">
        <v>58</v>
      </c>
      <c r="Z643" s="201">
        <v>46326</v>
      </c>
      <c r="AA643" s="198" t="s">
        <v>59</v>
      </c>
      <c r="AB643" s="198" t="s">
        <v>60</v>
      </c>
      <c r="AC643" s="198" t="s">
        <v>86</v>
      </c>
      <c r="AD643" s="198" t="s">
        <v>62</v>
      </c>
      <c r="AE643" s="198" t="s">
        <v>459</v>
      </c>
      <c r="AF643" s="198" t="s">
        <v>458</v>
      </c>
      <c r="AG643" s="198" t="s">
        <v>235</v>
      </c>
      <c r="AH643" s="198" t="s">
        <v>117</v>
      </c>
      <c r="AI643" s="198" t="s">
        <v>56</v>
      </c>
      <c r="AJ643" s="198" t="s">
        <v>460</v>
      </c>
      <c r="AK643" s="198" t="s">
        <v>51</v>
      </c>
      <c r="AL643" s="198" t="s">
        <v>67</v>
      </c>
      <c r="AM643" s="198" t="s">
        <v>68</v>
      </c>
      <c r="AN643" s="202">
        <v>17000</v>
      </c>
      <c r="AO643" s="202">
        <v>17000</v>
      </c>
      <c r="AP643" s="202">
        <v>17000</v>
      </c>
      <c r="AQ643" s="198" t="s">
        <v>358</v>
      </c>
      <c r="AR643" s="198" t="s">
        <v>51</v>
      </c>
      <c r="AS643" s="202">
        <v>17000</v>
      </c>
      <c r="AT643" s="202">
        <v>17000</v>
      </c>
      <c r="AU643" s="198" t="s">
        <v>359</v>
      </c>
      <c r="AV643" s="198" t="s">
        <v>62</v>
      </c>
      <c r="AW643" s="198" t="s">
        <v>54</v>
      </c>
    </row>
    <row r="644" spans="3:49" outlineLevel="2" x14ac:dyDescent="0.25">
      <c r="C644" s="201"/>
      <c r="D644" s="198" t="s">
        <v>527</v>
      </c>
      <c r="H644" s="198" t="s">
        <v>527</v>
      </c>
      <c r="I644" s="202">
        <f t="shared" si="10"/>
        <v>269660561.84999961</v>
      </c>
      <c r="J644" s="202">
        <v>65.299999999999898</v>
      </c>
      <c r="L644" s="204">
        <v>1</v>
      </c>
      <c r="M644" s="202">
        <v>25000</v>
      </c>
      <c r="N644" s="204">
        <v>1</v>
      </c>
      <c r="O644" s="198" t="s">
        <v>51</v>
      </c>
      <c r="P644" s="202">
        <v>25000</v>
      </c>
      <c r="Q644" s="198" t="s">
        <v>342</v>
      </c>
      <c r="R644" s="198" t="s">
        <v>53</v>
      </c>
      <c r="S644" s="198" t="s">
        <v>54</v>
      </c>
      <c r="T644" s="198" t="s">
        <v>2038</v>
      </c>
      <c r="U644" s="198" t="s">
        <v>2032</v>
      </c>
      <c r="V644" s="198" t="s">
        <v>56</v>
      </c>
      <c r="W644" s="198" t="s">
        <v>356</v>
      </c>
      <c r="X644" s="198" t="s">
        <v>57</v>
      </c>
      <c r="Y644" s="198" t="s">
        <v>58</v>
      </c>
      <c r="Z644" s="201">
        <v>46326</v>
      </c>
      <c r="AA644" s="198" t="s">
        <v>59</v>
      </c>
      <c r="AB644" s="198" t="s">
        <v>60</v>
      </c>
      <c r="AC644" s="198" t="s">
        <v>86</v>
      </c>
      <c r="AD644" s="198" t="s">
        <v>62</v>
      </c>
      <c r="AE644" s="198" t="s">
        <v>2040</v>
      </c>
      <c r="AF644" s="198" t="s">
        <v>2039</v>
      </c>
      <c r="AG644" s="198" t="s">
        <v>235</v>
      </c>
      <c r="AH644" s="198" t="s">
        <v>117</v>
      </c>
      <c r="AI644" s="198" t="s">
        <v>56</v>
      </c>
      <c r="AJ644" s="198" t="s">
        <v>452</v>
      </c>
      <c r="AK644" s="198" t="s">
        <v>51</v>
      </c>
      <c r="AL644" s="198" t="s">
        <v>67</v>
      </c>
      <c r="AM644" s="198" t="s">
        <v>68</v>
      </c>
      <c r="AN644" s="202">
        <v>25000</v>
      </c>
      <c r="AO644" s="202">
        <v>25000</v>
      </c>
      <c r="AP644" s="202">
        <v>25000</v>
      </c>
      <c r="AQ644" s="198" t="s">
        <v>358</v>
      </c>
      <c r="AR644" s="198" t="s">
        <v>51</v>
      </c>
      <c r="AS644" s="202">
        <v>25000</v>
      </c>
      <c r="AT644" s="202">
        <v>25000</v>
      </c>
      <c r="AU644" s="198" t="s">
        <v>359</v>
      </c>
      <c r="AV644" s="198" t="s">
        <v>62</v>
      </c>
      <c r="AW644" s="198" t="s">
        <v>54</v>
      </c>
    </row>
    <row r="645" spans="3:49" outlineLevel="2" x14ac:dyDescent="0.25">
      <c r="C645" s="201"/>
      <c r="D645" s="198" t="s">
        <v>527</v>
      </c>
      <c r="H645" s="198" t="s">
        <v>527</v>
      </c>
      <c r="I645" s="202">
        <f t="shared" si="10"/>
        <v>270073518.29999959</v>
      </c>
      <c r="J645" s="202">
        <v>65.399999999999906</v>
      </c>
      <c r="L645" s="204">
        <v>1</v>
      </c>
      <c r="M645" s="202">
        <v>2000</v>
      </c>
      <c r="N645" s="204">
        <v>1</v>
      </c>
      <c r="O645" s="198" t="s">
        <v>51</v>
      </c>
      <c r="P645" s="202">
        <v>2000</v>
      </c>
      <c r="Q645" s="198" t="s">
        <v>342</v>
      </c>
      <c r="R645" s="198" t="s">
        <v>53</v>
      </c>
      <c r="S645" s="198" t="s">
        <v>54</v>
      </c>
      <c r="T645" s="198" t="s">
        <v>2038</v>
      </c>
      <c r="U645" s="198" t="s">
        <v>2032</v>
      </c>
      <c r="V645" s="198" t="s">
        <v>56</v>
      </c>
      <c r="W645" s="198" t="s">
        <v>356</v>
      </c>
      <c r="X645" s="198" t="s">
        <v>57</v>
      </c>
      <c r="Y645" s="198" t="s">
        <v>58</v>
      </c>
      <c r="Z645" s="201">
        <v>46326</v>
      </c>
      <c r="AA645" s="198" t="s">
        <v>59</v>
      </c>
      <c r="AB645" s="198" t="s">
        <v>60</v>
      </c>
      <c r="AC645" s="198" t="s">
        <v>86</v>
      </c>
      <c r="AD645" s="198" t="s">
        <v>62</v>
      </c>
      <c r="AE645" s="198" t="s">
        <v>462</v>
      </c>
      <c r="AF645" s="198" t="s">
        <v>461</v>
      </c>
      <c r="AG645" s="198" t="s">
        <v>235</v>
      </c>
      <c r="AH645" s="198" t="s">
        <v>117</v>
      </c>
      <c r="AI645" s="198" t="s">
        <v>56</v>
      </c>
      <c r="AJ645" s="198" t="s">
        <v>406</v>
      </c>
      <c r="AK645" s="198" t="s">
        <v>51</v>
      </c>
      <c r="AL645" s="198" t="s">
        <v>67</v>
      </c>
      <c r="AM645" s="198" t="s">
        <v>68</v>
      </c>
      <c r="AN645" s="202">
        <v>2000</v>
      </c>
      <c r="AO645" s="202">
        <v>2000</v>
      </c>
      <c r="AP645" s="202">
        <v>2000</v>
      </c>
      <c r="AQ645" s="198" t="s">
        <v>358</v>
      </c>
      <c r="AR645" s="198" t="s">
        <v>51</v>
      </c>
      <c r="AS645" s="202">
        <v>2000</v>
      </c>
      <c r="AT645" s="202">
        <v>2000</v>
      </c>
      <c r="AU645" s="198" t="s">
        <v>359</v>
      </c>
      <c r="AV645" s="198" t="s">
        <v>62</v>
      </c>
      <c r="AW645" s="198" t="s">
        <v>54</v>
      </c>
    </row>
    <row r="646" spans="3:49" outlineLevel="2" x14ac:dyDescent="0.25">
      <c r="C646" s="201"/>
      <c r="D646" s="198" t="s">
        <v>527</v>
      </c>
      <c r="H646" s="198" t="s">
        <v>527</v>
      </c>
      <c r="I646" s="202">
        <f t="shared" si="10"/>
        <v>270486474.74999958</v>
      </c>
      <c r="J646" s="202">
        <v>65.499999999999901</v>
      </c>
      <c r="L646" s="204">
        <v>1</v>
      </c>
      <c r="M646" s="202">
        <v>2500</v>
      </c>
      <c r="N646" s="204">
        <v>1</v>
      </c>
      <c r="O646" s="198" t="s">
        <v>51</v>
      </c>
      <c r="P646" s="202">
        <v>2500</v>
      </c>
      <c r="Q646" s="198" t="s">
        <v>73</v>
      </c>
      <c r="R646" s="198" t="s">
        <v>53</v>
      </c>
      <c r="S646" s="198" t="s">
        <v>54</v>
      </c>
      <c r="T646" s="198" t="s">
        <v>2038</v>
      </c>
      <c r="U646" s="198" t="s">
        <v>2032</v>
      </c>
      <c r="V646" s="198" t="s">
        <v>56</v>
      </c>
      <c r="W646" s="198" t="s">
        <v>356</v>
      </c>
      <c r="X646" s="198" t="s">
        <v>57</v>
      </c>
      <c r="Y646" s="198" t="s">
        <v>58</v>
      </c>
      <c r="Z646" s="201">
        <v>46326</v>
      </c>
      <c r="AA646" s="198" t="s">
        <v>59</v>
      </c>
      <c r="AB646" s="198" t="s">
        <v>60</v>
      </c>
      <c r="AC646" s="198" t="s">
        <v>86</v>
      </c>
      <c r="AD646" s="198" t="s">
        <v>62</v>
      </c>
      <c r="AE646" s="198" t="s">
        <v>464</v>
      </c>
      <c r="AF646" s="198" t="s">
        <v>463</v>
      </c>
      <c r="AG646" s="198" t="s">
        <v>235</v>
      </c>
      <c r="AH646" s="198" t="s">
        <v>117</v>
      </c>
      <c r="AI646" s="198" t="s">
        <v>56</v>
      </c>
      <c r="AJ646" s="198" t="s">
        <v>294</v>
      </c>
      <c r="AK646" s="198" t="s">
        <v>51</v>
      </c>
      <c r="AL646" s="198" t="s">
        <v>67</v>
      </c>
      <c r="AM646" s="198" t="s">
        <v>68</v>
      </c>
      <c r="AN646" s="202">
        <v>2500</v>
      </c>
      <c r="AO646" s="202">
        <v>2500</v>
      </c>
      <c r="AP646" s="202">
        <v>2500</v>
      </c>
      <c r="AQ646" s="198" t="s">
        <v>358</v>
      </c>
      <c r="AR646" s="198" t="s">
        <v>51</v>
      </c>
      <c r="AS646" s="202">
        <v>2500</v>
      </c>
      <c r="AT646" s="202">
        <v>2500</v>
      </c>
      <c r="AU646" s="198" t="s">
        <v>359</v>
      </c>
      <c r="AV646" s="198" t="s">
        <v>62</v>
      </c>
      <c r="AW646" s="198" t="s">
        <v>54</v>
      </c>
    </row>
    <row r="647" spans="3:49" outlineLevel="2" x14ac:dyDescent="0.25">
      <c r="C647" s="201"/>
      <c r="D647" s="198" t="s">
        <v>527</v>
      </c>
      <c r="H647" s="198" t="s">
        <v>527</v>
      </c>
      <c r="I647" s="202">
        <f t="shared" si="10"/>
        <v>270899431.19999957</v>
      </c>
      <c r="J647" s="202">
        <v>65.599999999999895</v>
      </c>
      <c r="L647" s="204">
        <v>1</v>
      </c>
      <c r="M647" s="202">
        <v>7500</v>
      </c>
      <c r="N647" s="204">
        <v>1</v>
      </c>
      <c r="O647" s="198" t="s">
        <v>51</v>
      </c>
      <c r="P647" s="202">
        <v>7500</v>
      </c>
      <c r="Q647" s="198" t="s">
        <v>342</v>
      </c>
      <c r="R647" s="198" t="s">
        <v>53</v>
      </c>
      <c r="S647" s="198" t="s">
        <v>54</v>
      </c>
      <c r="T647" s="198" t="s">
        <v>2038</v>
      </c>
      <c r="U647" s="198" t="s">
        <v>2032</v>
      </c>
      <c r="V647" s="198" t="s">
        <v>56</v>
      </c>
      <c r="W647" s="198" t="s">
        <v>356</v>
      </c>
      <c r="X647" s="198" t="s">
        <v>57</v>
      </c>
      <c r="Y647" s="198" t="s">
        <v>58</v>
      </c>
      <c r="Z647" s="201">
        <v>46326</v>
      </c>
      <c r="AA647" s="198" t="s">
        <v>59</v>
      </c>
      <c r="AB647" s="198" t="s">
        <v>60</v>
      </c>
      <c r="AC647" s="198" t="s">
        <v>86</v>
      </c>
      <c r="AD647" s="198" t="s">
        <v>62</v>
      </c>
      <c r="AE647" s="198" t="s">
        <v>466</v>
      </c>
      <c r="AF647" s="198" t="s">
        <v>465</v>
      </c>
      <c r="AG647" s="198" t="s">
        <v>235</v>
      </c>
      <c r="AH647" s="198" t="s">
        <v>117</v>
      </c>
      <c r="AI647" s="198" t="s">
        <v>56</v>
      </c>
      <c r="AJ647" s="198" t="s">
        <v>455</v>
      </c>
      <c r="AK647" s="198" t="s">
        <v>51</v>
      </c>
      <c r="AL647" s="198" t="s">
        <v>67</v>
      </c>
      <c r="AM647" s="198" t="s">
        <v>68</v>
      </c>
      <c r="AN647" s="202">
        <v>7500</v>
      </c>
      <c r="AO647" s="202">
        <v>7500</v>
      </c>
      <c r="AP647" s="202">
        <v>7500</v>
      </c>
      <c r="AQ647" s="198" t="s">
        <v>358</v>
      </c>
      <c r="AR647" s="198" t="s">
        <v>51</v>
      </c>
      <c r="AS647" s="202">
        <v>7500</v>
      </c>
      <c r="AT647" s="202">
        <v>7500</v>
      </c>
      <c r="AU647" s="198" t="s">
        <v>359</v>
      </c>
      <c r="AV647" s="198" t="s">
        <v>62</v>
      </c>
      <c r="AW647" s="198" t="s">
        <v>54</v>
      </c>
    </row>
    <row r="648" spans="3:49" outlineLevel="2" x14ac:dyDescent="0.25">
      <c r="C648" s="201"/>
      <c r="D648" s="198" t="s">
        <v>527</v>
      </c>
      <c r="H648" s="198" t="s">
        <v>527</v>
      </c>
      <c r="I648" s="202">
        <f t="shared" si="10"/>
        <v>271312387.64999962</v>
      </c>
      <c r="J648" s="202">
        <v>65.699999999999903</v>
      </c>
      <c r="L648" s="204">
        <v>1</v>
      </c>
      <c r="M648" s="202">
        <v>100000</v>
      </c>
      <c r="N648" s="204">
        <v>1</v>
      </c>
      <c r="O648" s="198" t="s">
        <v>51</v>
      </c>
      <c r="P648" s="202">
        <v>100000</v>
      </c>
      <c r="Q648" s="198" t="s">
        <v>342</v>
      </c>
      <c r="R648" s="198" t="s">
        <v>53</v>
      </c>
      <c r="S648" s="198" t="s">
        <v>54</v>
      </c>
      <c r="T648" s="198" t="s">
        <v>2038</v>
      </c>
      <c r="U648" s="198" t="s">
        <v>2032</v>
      </c>
      <c r="V648" s="198" t="s">
        <v>56</v>
      </c>
      <c r="W648" s="198" t="s">
        <v>356</v>
      </c>
      <c r="X648" s="198" t="s">
        <v>57</v>
      </c>
      <c r="Y648" s="198" t="s">
        <v>58</v>
      </c>
      <c r="Z648" s="201">
        <v>46326</v>
      </c>
      <c r="AA648" s="198" t="s">
        <v>59</v>
      </c>
      <c r="AB648" s="198" t="s">
        <v>60</v>
      </c>
      <c r="AC648" s="198" t="s">
        <v>86</v>
      </c>
      <c r="AD648" s="198" t="s">
        <v>62</v>
      </c>
      <c r="AE648" s="198" t="s">
        <v>468</v>
      </c>
      <c r="AF648" s="198" t="s">
        <v>467</v>
      </c>
      <c r="AG648" s="198" t="s">
        <v>235</v>
      </c>
      <c r="AH648" s="198" t="s">
        <v>117</v>
      </c>
      <c r="AI648" s="198" t="s">
        <v>56</v>
      </c>
      <c r="AJ648" s="198" t="s">
        <v>406</v>
      </c>
      <c r="AK648" s="198" t="s">
        <v>51</v>
      </c>
      <c r="AL648" s="198" t="s">
        <v>67</v>
      </c>
      <c r="AM648" s="198" t="s">
        <v>68</v>
      </c>
      <c r="AN648" s="202">
        <v>100000</v>
      </c>
      <c r="AO648" s="202">
        <v>100000</v>
      </c>
      <c r="AP648" s="202">
        <v>100000</v>
      </c>
      <c r="AQ648" s="198" t="s">
        <v>358</v>
      </c>
      <c r="AR648" s="198" t="s">
        <v>51</v>
      </c>
      <c r="AS648" s="202">
        <v>100000</v>
      </c>
      <c r="AT648" s="202">
        <v>100000</v>
      </c>
      <c r="AU648" s="198" t="s">
        <v>359</v>
      </c>
      <c r="AV648" s="198" t="s">
        <v>62</v>
      </c>
      <c r="AW648" s="198" t="s">
        <v>54</v>
      </c>
    </row>
    <row r="649" spans="3:49" outlineLevel="2" x14ac:dyDescent="0.25">
      <c r="C649" s="201"/>
      <c r="D649" s="198" t="s">
        <v>527</v>
      </c>
      <c r="H649" s="198" t="s">
        <v>527</v>
      </c>
      <c r="I649" s="202">
        <f t="shared" si="10"/>
        <v>271725344.09999961</v>
      </c>
      <c r="J649" s="202">
        <v>65.799999999999898</v>
      </c>
      <c r="L649" s="204">
        <v>2</v>
      </c>
      <c r="M649" s="202">
        <v>10000</v>
      </c>
      <c r="N649" s="204">
        <v>2</v>
      </c>
      <c r="O649" s="198" t="s">
        <v>51</v>
      </c>
      <c r="P649" s="202">
        <v>10000</v>
      </c>
      <c r="Q649" s="198" t="s">
        <v>73</v>
      </c>
      <c r="R649" s="198" t="s">
        <v>53</v>
      </c>
      <c r="S649" s="198" t="s">
        <v>54</v>
      </c>
      <c r="T649" s="198" t="s">
        <v>2038</v>
      </c>
      <c r="U649" s="198" t="s">
        <v>2032</v>
      </c>
      <c r="V649" s="198" t="s">
        <v>56</v>
      </c>
      <c r="W649" s="198" t="s">
        <v>356</v>
      </c>
      <c r="X649" s="198" t="s">
        <v>57</v>
      </c>
      <c r="Y649" s="198" t="s">
        <v>58</v>
      </c>
      <c r="Z649" s="201">
        <v>46326</v>
      </c>
      <c r="AA649" s="198" t="s">
        <v>59</v>
      </c>
      <c r="AB649" s="198" t="s">
        <v>60</v>
      </c>
      <c r="AC649" s="198" t="s">
        <v>86</v>
      </c>
      <c r="AD649" s="198" t="s">
        <v>62</v>
      </c>
      <c r="AE649" s="198" t="s">
        <v>2037</v>
      </c>
      <c r="AF649" s="198" t="s">
        <v>2036</v>
      </c>
      <c r="AG649" s="198" t="s">
        <v>235</v>
      </c>
      <c r="AH649" s="198" t="s">
        <v>117</v>
      </c>
      <c r="AI649" s="198" t="s">
        <v>56</v>
      </c>
      <c r="AJ649" s="198" t="s">
        <v>452</v>
      </c>
      <c r="AK649" s="198" t="s">
        <v>51</v>
      </c>
      <c r="AL649" s="198" t="s">
        <v>67</v>
      </c>
      <c r="AM649" s="198" t="s">
        <v>68</v>
      </c>
      <c r="AN649" s="202">
        <v>10000</v>
      </c>
      <c r="AO649" s="202">
        <v>10000</v>
      </c>
      <c r="AP649" s="202">
        <v>10000</v>
      </c>
      <c r="AQ649" s="198" t="s">
        <v>358</v>
      </c>
      <c r="AR649" s="198" t="s">
        <v>51</v>
      </c>
      <c r="AS649" s="202">
        <v>10000</v>
      </c>
      <c r="AT649" s="202">
        <v>10000</v>
      </c>
      <c r="AU649" s="198" t="s">
        <v>359</v>
      </c>
      <c r="AV649" s="198" t="s">
        <v>62</v>
      </c>
      <c r="AW649" s="198" t="s">
        <v>54</v>
      </c>
    </row>
    <row r="650" spans="3:49" outlineLevel="2" x14ac:dyDescent="0.25">
      <c r="C650" s="201"/>
      <c r="D650" s="198" t="s">
        <v>527</v>
      </c>
      <c r="H650" s="198" t="s">
        <v>527</v>
      </c>
      <c r="I650" s="202">
        <f t="shared" si="10"/>
        <v>272138300.54999959</v>
      </c>
      <c r="J650" s="202">
        <v>65.899999999999906</v>
      </c>
      <c r="L650" s="204">
        <v>2</v>
      </c>
      <c r="M650" s="202">
        <v>7000</v>
      </c>
      <c r="N650" s="204">
        <v>2</v>
      </c>
      <c r="O650" s="198" t="s">
        <v>51</v>
      </c>
      <c r="P650" s="202">
        <v>7000</v>
      </c>
      <c r="Q650" s="198" t="s">
        <v>73</v>
      </c>
      <c r="R650" s="198" t="s">
        <v>53</v>
      </c>
      <c r="S650" s="198" t="s">
        <v>54</v>
      </c>
      <c r="T650" s="198" t="s">
        <v>2038</v>
      </c>
      <c r="U650" s="198" t="s">
        <v>2032</v>
      </c>
      <c r="V650" s="198" t="s">
        <v>56</v>
      </c>
      <c r="W650" s="198" t="s">
        <v>356</v>
      </c>
      <c r="X650" s="198" t="s">
        <v>57</v>
      </c>
      <c r="Y650" s="198" t="s">
        <v>58</v>
      </c>
      <c r="Z650" s="201">
        <v>46326</v>
      </c>
      <c r="AA650" s="198" t="s">
        <v>59</v>
      </c>
      <c r="AB650" s="198" t="s">
        <v>60</v>
      </c>
      <c r="AC650" s="198" t="s">
        <v>86</v>
      </c>
      <c r="AD650" s="198" t="s">
        <v>62</v>
      </c>
      <c r="AE650" s="198" t="s">
        <v>470</v>
      </c>
      <c r="AF650" s="198" t="s">
        <v>469</v>
      </c>
      <c r="AG650" s="198" t="s">
        <v>235</v>
      </c>
      <c r="AH650" s="198" t="s">
        <v>117</v>
      </c>
      <c r="AI650" s="198" t="s">
        <v>56</v>
      </c>
      <c r="AJ650" s="198" t="s">
        <v>406</v>
      </c>
      <c r="AK650" s="198" t="s">
        <v>51</v>
      </c>
      <c r="AL650" s="198" t="s">
        <v>67</v>
      </c>
      <c r="AM650" s="198" t="s">
        <v>68</v>
      </c>
      <c r="AN650" s="202">
        <v>7000</v>
      </c>
      <c r="AO650" s="202">
        <v>7000</v>
      </c>
      <c r="AP650" s="202">
        <v>7000</v>
      </c>
      <c r="AQ650" s="198" t="s">
        <v>358</v>
      </c>
      <c r="AR650" s="198" t="s">
        <v>51</v>
      </c>
      <c r="AS650" s="202">
        <v>7000</v>
      </c>
      <c r="AT650" s="202">
        <v>7000</v>
      </c>
      <c r="AU650" s="198" t="s">
        <v>359</v>
      </c>
      <c r="AV650" s="198" t="s">
        <v>62</v>
      </c>
      <c r="AW650" s="198" t="s">
        <v>54</v>
      </c>
    </row>
    <row r="651" spans="3:49" outlineLevel="2" x14ac:dyDescent="0.25">
      <c r="C651" s="201"/>
      <c r="D651" s="198" t="s">
        <v>527</v>
      </c>
      <c r="H651" s="198" t="s">
        <v>527</v>
      </c>
      <c r="I651" s="202">
        <f t="shared" si="10"/>
        <v>272551256.99999958</v>
      </c>
      <c r="J651" s="202">
        <v>65.999999999999901</v>
      </c>
      <c r="L651" s="204">
        <v>2</v>
      </c>
      <c r="M651" s="202">
        <v>7000</v>
      </c>
      <c r="N651" s="204">
        <v>2</v>
      </c>
      <c r="O651" s="198" t="s">
        <v>51</v>
      </c>
      <c r="P651" s="202">
        <v>7000</v>
      </c>
      <c r="Q651" s="198" t="s">
        <v>73</v>
      </c>
      <c r="R651" s="198" t="s">
        <v>53</v>
      </c>
      <c r="S651" s="198" t="s">
        <v>54</v>
      </c>
      <c r="T651" s="198" t="s">
        <v>2038</v>
      </c>
      <c r="U651" s="198" t="s">
        <v>2032</v>
      </c>
      <c r="V651" s="198" t="s">
        <v>56</v>
      </c>
      <c r="W651" s="198" t="s">
        <v>356</v>
      </c>
      <c r="X651" s="198" t="s">
        <v>57</v>
      </c>
      <c r="Y651" s="198" t="s">
        <v>58</v>
      </c>
      <c r="Z651" s="201">
        <v>46326</v>
      </c>
      <c r="AA651" s="198" t="s">
        <v>59</v>
      </c>
      <c r="AB651" s="198" t="s">
        <v>60</v>
      </c>
      <c r="AC651" s="198" t="s">
        <v>86</v>
      </c>
      <c r="AD651" s="198" t="s">
        <v>62</v>
      </c>
      <c r="AE651" s="198" t="s">
        <v>472</v>
      </c>
      <c r="AF651" s="198" t="s">
        <v>471</v>
      </c>
      <c r="AG651" s="198" t="s">
        <v>235</v>
      </c>
      <c r="AH651" s="198" t="s">
        <v>117</v>
      </c>
      <c r="AI651" s="198" t="s">
        <v>56</v>
      </c>
      <c r="AJ651" s="198" t="s">
        <v>452</v>
      </c>
      <c r="AK651" s="198" t="s">
        <v>51</v>
      </c>
      <c r="AL651" s="198" t="s">
        <v>67</v>
      </c>
      <c r="AM651" s="198" t="s">
        <v>68</v>
      </c>
      <c r="AN651" s="202">
        <v>7000</v>
      </c>
      <c r="AO651" s="202">
        <v>7000</v>
      </c>
      <c r="AP651" s="202">
        <v>7000</v>
      </c>
      <c r="AQ651" s="198" t="s">
        <v>358</v>
      </c>
      <c r="AR651" s="198" t="s">
        <v>51</v>
      </c>
      <c r="AS651" s="202">
        <v>7000</v>
      </c>
      <c r="AT651" s="202">
        <v>7000</v>
      </c>
      <c r="AU651" s="198" t="s">
        <v>359</v>
      </c>
      <c r="AV651" s="198" t="s">
        <v>62</v>
      </c>
      <c r="AW651" s="198" t="s">
        <v>54</v>
      </c>
    </row>
    <row r="652" spans="3:49" outlineLevel="2" x14ac:dyDescent="0.25">
      <c r="C652" s="201"/>
      <c r="D652" s="198" t="s">
        <v>527</v>
      </c>
      <c r="H652" s="198" t="s">
        <v>527</v>
      </c>
      <c r="I652" s="202">
        <f t="shared" si="10"/>
        <v>272964213.44999957</v>
      </c>
      <c r="J652" s="202">
        <v>66.099999999999895</v>
      </c>
      <c r="L652" s="204">
        <v>1</v>
      </c>
      <c r="M652" s="202">
        <v>1500</v>
      </c>
      <c r="N652" s="204">
        <v>1</v>
      </c>
      <c r="O652" s="198" t="s">
        <v>51</v>
      </c>
      <c r="P652" s="202">
        <v>1500</v>
      </c>
      <c r="Q652" s="198" t="s">
        <v>73</v>
      </c>
      <c r="R652" s="198" t="s">
        <v>53</v>
      </c>
      <c r="S652" s="198" t="s">
        <v>54</v>
      </c>
      <c r="T652" s="198" t="s">
        <v>2038</v>
      </c>
      <c r="U652" s="198" t="s">
        <v>2032</v>
      </c>
      <c r="V652" s="198" t="s">
        <v>56</v>
      </c>
      <c r="W652" s="198" t="s">
        <v>356</v>
      </c>
      <c r="X652" s="198" t="s">
        <v>57</v>
      </c>
      <c r="Y652" s="198" t="s">
        <v>58</v>
      </c>
      <c r="Z652" s="201">
        <v>46326</v>
      </c>
      <c r="AA652" s="198" t="s">
        <v>59</v>
      </c>
      <c r="AB652" s="198" t="s">
        <v>60</v>
      </c>
      <c r="AC652" s="198" t="s">
        <v>86</v>
      </c>
      <c r="AD652" s="198" t="s">
        <v>62</v>
      </c>
      <c r="AE652" s="198" t="s">
        <v>474</v>
      </c>
      <c r="AF652" s="198" t="s">
        <v>473</v>
      </c>
      <c r="AG652" s="198" t="s">
        <v>235</v>
      </c>
      <c r="AH652" s="198" t="s">
        <v>117</v>
      </c>
      <c r="AI652" s="198" t="s">
        <v>56</v>
      </c>
      <c r="AJ652" s="198" t="s">
        <v>406</v>
      </c>
      <c r="AK652" s="198" t="s">
        <v>51</v>
      </c>
      <c r="AL652" s="198" t="s">
        <v>67</v>
      </c>
      <c r="AM652" s="198" t="s">
        <v>68</v>
      </c>
      <c r="AN652" s="202">
        <v>1500</v>
      </c>
      <c r="AO652" s="202">
        <v>1500</v>
      </c>
      <c r="AP652" s="202">
        <v>1500</v>
      </c>
      <c r="AQ652" s="198" t="s">
        <v>358</v>
      </c>
      <c r="AR652" s="198" t="s">
        <v>51</v>
      </c>
      <c r="AS652" s="202">
        <v>1500</v>
      </c>
      <c r="AT652" s="202">
        <v>1500</v>
      </c>
      <c r="AU652" s="198" t="s">
        <v>359</v>
      </c>
      <c r="AV652" s="198" t="s">
        <v>62</v>
      </c>
      <c r="AW652" s="198" t="s">
        <v>54</v>
      </c>
    </row>
    <row r="653" spans="3:49" outlineLevel="2" x14ac:dyDescent="0.25">
      <c r="C653" s="201"/>
      <c r="D653" s="198" t="s">
        <v>527</v>
      </c>
      <c r="H653" s="198" t="s">
        <v>527</v>
      </c>
      <c r="I653" s="202">
        <f t="shared" si="10"/>
        <v>273377169.89999962</v>
      </c>
      <c r="J653" s="202">
        <v>66.199999999999903</v>
      </c>
      <c r="L653" s="204">
        <v>1</v>
      </c>
      <c r="M653" s="202">
        <v>54000</v>
      </c>
      <c r="N653" s="204">
        <v>1</v>
      </c>
      <c r="O653" s="198" t="s">
        <v>51</v>
      </c>
      <c r="P653" s="202">
        <v>54000</v>
      </c>
      <c r="Q653" s="198" t="s">
        <v>73</v>
      </c>
      <c r="R653" s="198" t="s">
        <v>53</v>
      </c>
      <c r="S653" s="198" t="s">
        <v>54</v>
      </c>
      <c r="T653" s="198" t="s">
        <v>2038</v>
      </c>
      <c r="U653" s="198" t="s">
        <v>2032</v>
      </c>
      <c r="V653" s="198" t="s">
        <v>56</v>
      </c>
      <c r="W653" s="198" t="s">
        <v>356</v>
      </c>
      <c r="X653" s="198" t="s">
        <v>57</v>
      </c>
      <c r="Y653" s="198" t="s">
        <v>58</v>
      </c>
      <c r="Z653" s="201">
        <v>46326</v>
      </c>
      <c r="AA653" s="198" t="s">
        <v>59</v>
      </c>
      <c r="AB653" s="198" t="s">
        <v>60</v>
      </c>
      <c r="AC653" s="198" t="s">
        <v>86</v>
      </c>
      <c r="AD653" s="198" t="s">
        <v>62</v>
      </c>
      <c r="AE653" s="198" t="s">
        <v>476</v>
      </c>
      <c r="AF653" s="198" t="s">
        <v>475</v>
      </c>
      <c r="AG653" s="198" t="s">
        <v>235</v>
      </c>
      <c r="AH653" s="198" t="s">
        <v>117</v>
      </c>
      <c r="AI653" s="198" t="s">
        <v>56</v>
      </c>
      <c r="AJ653" s="198" t="s">
        <v>477</v>
      </c>
      <c r="AK653" s="198" t="s">
        <v>51</v>
      </c>
      <c r="AL653" s="198" t="s">
        <v>67</v>
      </c>
      <c r="AM653" s="198" t="s">
        <v>68</v>
      </c>
      <c r="AN653" s="202">
        <v>54000</v>
      </c>
      <c r="AO653" s="202">
        <v>54000</v>
      </c>
      <c r="AP653" s="202">
        <v>54000</v>
      </c>
      <c r="AQ653" s="198" t="s">
        <v>358</v>
      </c>
      <c r="AR653" s="198" t="s">
        <v>51</v>
      </c>
      <c r="AS653" s="202">
        <v>54000</v>
      </c>
      <c r="AT653" s="202">
        <v>54000</v>
      </c>
      <c r="AU653" s="198" t="s">
        <v>359</v>
      </c>
      <c r="AV653" s="198" t="s">
        <v>62</v>
      </c>
      <c r="AW653" s="198" t="s">
        <v>54</v>
      </c>
    </row>
    <row r="654" spans="3:49" outlineLevel="2" x14ac:dyDescent="0.25">
      <c r="C654" s="201"/>
      <c r="D654" s="198" t="s">
        <v>527</v>
      </c>
      <c r="H654" s="198" t="s">
        <v>527</v>
      </c>
      <c r="I654" s="202">
        <f t="shared" si="10"/>
        <v>273790126.34999961</v>
      </c>
      <c r="J654" s="202">
        <v>66.299999999999898</v>
      </c>
      <c r="L654" s="204">
        <v>1</v>
      </c>
      <c r="M654" s="202">
        <v>54000</v>
      </c>
      <c r="N654" s="204">
        <v>1</v>
      </c>
      <c r="O654" s="198" t="s">
        <v>51</v>
      </c>
      <c r="P654" s="202">
        <v>54000</v>
      </c>
      <c r="Q654" s="198" t="s">
        <v>73</v>
      </c>
      <c r="R654" s="198" t="s">
        <v>53</v>
      </c>
      <c r="S654" s="198" t="s">
        <v>54</v>
      </c>
      <c r="T654" s="198" t="s">
        <v>2038</v>
      </c>
      <c r="U654" s="198" t="s">
        <v>2032</v>
      </c>
      <c r="V654" s="198" t="s">
        <v>56</v>
      </c>
      <c r="W654" s="198" t="s">
        <v>356</v>
      </c>
      <c r="X654" s="198" t="s">
        <v>57</v>
      </c>
      <c r="Y654" s="198" t="s">
        <v>58</v>
      </c>
      <c r="Z654" s="201">
        <v>46326</v>
      </c>
      <c r="AA654" s="198" t="s">
        <v>59</v>
      </c>
      <c r="AB654" s="198" t="s">
        <v>60</v>
      </c>
      <c r="AC654" s="198" t="s">
        <v>86</v>
      </c>
      <c r="AD654" s="198" t="s">
        <v>62</v>
      </c>
      <c r="AE654" s="198" t="s">
        <v>476</v>
      </c>
      <c r="AF654" s="198" t="s">
        <v>475</v>
      </c>
      <c r="AG654" s="198" t="s">
        <v>235</v>
      </c>
      <c r="AH654" s="198" t="s">
        <v>117</v>
      </c>
      <c r="AI654" s="198" t="s">
        <v>56</v>
      </c>
      <c r="AJ654" s="198" t="s">
        <v>477</v>
      </c>
      <c r="AK654" s="198" t="s">
        <v>51</v>
      </c>
      <c r="AL654" s="198" t="s">
        <v>67</v>
      </c>
      <c r="AM654" s="198" t="s">
        <v>68</v>
      </c>
      <c r="AN654" s="202">
        <v>54000</v>
      </c>
      <c r="AO654" s="202">
        <v>54000</v>
      </c>
      <c r="AP654" s="202">
        <v>54000</v>
      </c>
      <c r="AQ654" s="198" t="s">
        <v>358</v>
      </c>
      <c r="AR654" s="198" t="s">
        <v>51</v>
      </c>
      <c r="AS654" s="202">
        <v>54000</v>
      </c>
      <c r="AT654" s="202">
        <v>54000</v>
      </c>
      <c r="AU654" s="198" t="s">
        <v>359</v>
      </c>
      <c r="AV654" s="198" t="s">
        <v>62</v>
      </c>
      <c r="AW654" s="198" t="s">
        <v>54</v>
      </c>
    </row>
    <row r="655" spans="3:49" outlineLevel="2" x14ac:dyDescent="0.25">
      <c r="C655" s="201"/>
      <c r="D655" s="198" t="s">
        <v>527</v>
      </c>
      <c r="H655" s="198" t="s">
        <v>527</v>
      </c>
      <c r="I655" s="202">
        <f t="shared" si="10"/>
        <v>274203082.79999959</v>
      </c>
      <c r="J655" s="202">
        <v>66.399999999999906</v>
      </c>
      <c r="L655" s="204">
        <v>1</v>
      </c>
      <c r="M655" s="202">
        <v>64500</v>
      </c>
      <c r="N655" s="204">
        <v>1</v>
      </c>
      <c r="O655" s="198" t="s">
        <v>51</v>
      </c>
      <c r="P655" s="202">
        <v>64500</v>
      </c>
      <c r="Q655" s="198" t="s">
        <v>73</v>
      </c>
      <c r="R655" s="198" t="s">
        <v>53</v>
      </c>
      <c r="S655" s="198" t="s">
        <v>54</v>
      </c>
      <c r="T655" s="198" t="s">
        <v>2038</v>
      </c>
      <c r="U655" s="198" t="s">
        <v>2032</v>
      </c>
      <c r="V655" s="198" t="s">
        <v>56</v>
      </c>
      <c r="W655" s="198" t="s">
        <v>356</v>
      </c>
      <c r="X655" s="198" t="s">
        <v>57</v>
      </c>
      <c r="Y655" s="198" t="s">
        <v>58</v>
      </c>
      <c r="Z655" s="201">
        <v>46326</v>
      </c>
      <c r="AA655" s="198" t="s">
        <v>59</v>
      </c>
      <c r="AB655" s="198" t="s">
        <v>60</v>
      </c>
      <c r="AC655" s="198" t="s">
        <v>86</v>
      </c>
      <c r="AD655" s="198" t="s">
        <v>62</v>
      </c>
      <c r="AE655" s="198" t="s">
        <v>476</v>
      </c>
      <c r="AF655" s="198" t="s">
        <v>475</v>
      </c>
      <c r="AG655" s="198" t="s">
        <v>235</v>
      </c>
      <c r="AH655" s="198" t="s">
        <v>117</v>
      </c>
      <c r="AI655" s="198" t="s">
        <v>56</v>
      </c>
      <c r="AJ655" s="198" t="s">
        <v>477</v>
      </c>
      <c r="AK655" s="198" t="s">
        <v>51</v>
      </c>
      <c r="AL655" s="198" t="s">
        <v>67</v>
      </c>
      <c r="AM655" s="198" t="s">
        <v>68</v>
      </c>
      <c r="AN655" s="202">
        <v>64500</v>
      </c>
      <c r="AO655" s="202">
        <v>64500</v>
      </c>
      <c r="AP655" s="202">
        <v>64500</v>
      </c>
      <c r="AQ655" s="198" t="s">
        <v>358</v>
      </c>
      <c r="AR655" s="198" t="s">
        <v>51</v>
      </c>
      <c r="AS655" s="202">
        <v>64500</v>
      </c>
      <c r="AT655" s="202">
        <v>64500</v>
      </c>
      <c r="AU655" s="198" t="s">
        <v>359</v>
      </c>
      <c r="AV655" s="198" t="s">
        <v>62</v>
      </c>
      <c r="AW655" s="198" t="s">
        <v>54</v>
      </c>
    </row>
    <row r="656" spans="3:49" outlineLevel="2" x14ac:dyDescent="0.25">
      <c r="C656" s="201"/>
      <c r="D656" s="198" t="s">
        <v>527</v>
      </c>
      <c r="H656" s="198" t="s">
        <v>527</v>
      </c>
      <c r="I656" s="202">
        <f t="shared" si="10"/>
        <v>274616039.24999958</v>
      </c>
      <c r="J656" s="202">
        <v>66.499999999999901</v>
      </c>
      <c r="L656" s="204">
        <v>1</v>
      </c>
      <c r="M656" s="202">
        <v>66000</v>
      </c>
      <c r="N656" s="204">
        <v>1</v>
      </c>
      <c r="O656" s="198" t="s">
        <v>51</v>
      </c>
      <c r="P656" s="202">
        <v>66000</v>
      </c>
      <c r="Q656" s="198" t="s">
        <v>73</v>
      </c>
      <c r="R656" s="198" t="s">
        <v>53</v>
      </c>
      <c r="S656" s="198" t="s">
        <v>54</v>
      </c>
      <c r="T656" s="198" t="s">
        <v>2038</v>
      </c>
      <c r="U656" s="198" t="s">
        <v>2032</v>
      </c>
      <c r="V656" s="198" t="s">
        <v>56</v>
      </c>
      <c r="W656" s="198" t="s">
        <v>356</v>
      </c>
      <c r="X656" s="198" t="s">
        <v>57</v>
      </c>
      <c r="Y656" s="198" t="s">
        <v>58</v>
      </c>
      <c r="Z656" s="201">
        <v>46326</v>
      </c>
      <c r="AA656" s="198" t="s">
        <v>59</v>
      </c>
      <c r="AB656" s="198" t="s">
        <v>60</v>
      </c>
      <c r="AC656" s="198" t="s">
        <v>86</v>
      </c>
      <c r="AD656" s="198" t="s">
        <v>62</v>
      </c>
      <c r="AE656" s="198" t="s">
        <v>479</v>
      </c>
      <c r="AF656" s="198" t="s">
        <v>478</v>
      </c>
      <c r="AG656" s="198" t="s">
        <v>235</v>
      </c>
      <c r="AH656" s="198" t="s">
        <v>117</v>
      </c>
      <c r="AI656" s="198" t="s">
        <v>56</v>
      </c>
      <c r="AJ656" s="198" t="s">
        <v>118</v>
      </c>
      <c r="AK656" s="198" t="s">
        <v>51</v>
      </c>
      <c r="AL656" s="198" t="s">
        <v>67</v>
      </c>
      <c r="AM656" s="198" t="s">
        <v>68</v>
      </c>
      <c r="AN656" s="202">
        <v>66000</v>
      </c>
      <c r="AO656" s="202">
        <v>66000</v>
      </c>
      <c r="AP656" s="202">
        <v>66000</v>
      </c>
      <c r="AQ656" s="198" t="s">
        <v>358</v>
      </c>
      <c r="AR656" s="198" t="s">
        <v>51</v>
      </c>
      <c r="AS656" s="202">
        <v>66000</v>
      </c>
      <c r="AT656" s="202">
        <v>66000</v>
      </c>
      <c r="AU656" s="198" t="s">
        <v>359</v>
      </c>
      <c r="AV656" s="198" t="s">
        <v>62</v>
      </c>
      <c r="AW656" s="198" t="s">
        <v>54</v>
      </c>
    </row>
    <row r="657" spans="3:49" outlineLevel="2" x14ac:dyDescent="0.25">
      <c r="C657" s="201"/>
      <c r="D657" s="198" t="s">
        <v>527</v>
      </c>
      <c r="H657" s="198" t="s">
        <v>527</v>
      </c>
      <c r="I657" s="202">
        <f t="shared" si="10"/>
        <v>275028995.69999957</v>
      </c>
      <c r="J657" s="202">
        <v>66.599999999999895</v>
      </c>
      <c r="L657" s="204">
        <v>1</v>
      </c>
      <c r="M657" s="202">
        <v>850</v>
      </c>
      <c r="N657" s="204">
        <v>1</v>
      </c>
      <c r="O657" s="198" t="s">
        <v>51</v>
      </c>
      <c r="P657" s="202">
        <v>850</v>
      </c>
      <c r="Q657" s="198" t="s">
        <v>73</v>
      </c>
      <c r="R657" s="198" t="s">
        <v>53</v>
      </c>
      <c r="S657" s="198" t="s">
        <v>54</v>
      </c>
      <c r="T657" s="198" t="s">
        <v>2038</v>
      </c>
      <c r="U657" s="198" t="s">
        <v>2032</v>
      </c>
      <c r="V657" s="198" t="s">
        <v>56</v>
      </c>
      <c r="W657" s="198" t="s">
        <v>356</v>
      </c>
      <c r="X657" s="198" t="s">
        <v>57</v>
      </c>
      <c r="Y657" s="198" t="s">
        <v>58</v>
      </c>
      <c r="Z657" s="201">
        <v>46326</v>
      </c>
      <c r="AA657" s="198" t="s">
        <v>59</v>
      </c>
      <c r="AB657" s="198" t="s">
        <v>60</v>
      </c>
      <c r="AC657" s="198" t="s">
        <v>86</v>
      </c>
      <c r="AD657" s="198" t="s">
        <v>62</v>
      </c>
      <c r="AE657" s="198" t="s">
        <v>481</v>
      </c>
      <c r="AF657" s="198" t="s">
        <v>480</v>
      </c>
      <c r="AG657" s="198" t="s">
        <v>235</v>
      </c>
      <c r="AH657" s="198" t="s">
        <v>117</v>
      </c>
      <c r="AI657" s="198" t="s">
        <v>56</v>
      </c>
      <c r="AJ657" s="198" t="s">
        <v>382</v>
      </c>
      <c r="AK657" s="198" t="s">
        <v>51</v>
      </c>
      <c r="AL657" s="198" t="s">
        <v>67</v>
      </c>
      <c r="AM657" s="198" t="s">
        <v>68</v>
      </c>
      <c r="AN657" s="202">
        <v>850</v>
      </c>
      <c r="AO657" s="202">
        <v>850</v>
      </c>
      <c r="AP657" s="202">
        <v>850</v>
      </c>
      <c r="AQ657" s="198" t="s">
        <v>358</v>
      </c>
      <c r="AR657" s="198" t="s">
        <v>51</v>
      </c>
      <c r="AS657" s="202">
        <v>850</v>
      </c>
      <c r="AT657" s="202">
        <v>850</v>
      </c>
      <c r="AU657" s="198" t="s">
        <v>359</v>
      </c>
      <c r="AV657" s="198" t="s">
        <v>62</v>
      </c>
      <c r="AW657" s="198" t="s">
        <v>54</v>
      </c>
    </row>
    <row r="658" spans="3:49" outlineLevel="2" x14ac:dyDescent="0.25">
      <c r="C658" s="201"/>
      <c r="D658" s="198" t="s">
        <v>527</v>
      </c>
      <c r="H658" s="198" t="s">
        <v>527</v>
      </c>
      <c r="I658" s="202">
        <f t="shared" si="10"/>
        <v>275441952.14999962</v>
      </c>
      <c r="J658" s="202">
        <v>66.699999999999903</v>
      </c>
      <c r="L658" s="204">
        <v>1</v>
      </c>
      <c r="M658" s="202">
        <v>12500</v>
      </c>
      <c r="N658" s="204">
        <v>1</v>
      </c>
      <c r="O658" s="198" t="s">
        <v>51</v>
      </c>
      <c r="P658" s="202">
        <v>12500</v>
      </c>
      <c r="Q658" s="198" t="s">
        <v>73</v>
      </c>
      <c r="R658" s="198" t="s">
        <v>53</v>
      </c>
      <c r="S658" s="198" t="s">
        <v>54</v>
      </c>
      <c r="T658" s="198" t="s">
        <v>2038</v>
      </c>
      <c r="U658" s="198" t="s">
        <v>2032</v>
      </c>
      <c r="V658" s="198" t="s">
        <v>56</v>
      </c>
      <c r="W658" s="198" t="s">
        <v>356</v>
      </c>
      <c r="X658" s="198" t="s">
        <v>57</v>
      </c>
      <c r="Y658" s="198" t="s">
        <v>58</v>
      </c>
      <c r="Z658" s="201">
        <v>46326</v>
      </c>
      <c r="AA658" s="198" t="s">
        <v>59</v>
      </c>
      <c r="AB658" s="198" t="s">
        <v>60</v>
      </c>
      <c r="AC658" s="198" t="s">
        <v>86</v>
      </c>
      <c r="AD658" s="198" t="s">
        <v>62</v>
      </c>
      <c r="AE658" s="198" t="s">
        <v>483</v>
      </c>
      <c r="AF658" s="198" t="s">
        <v>482</v>
      </c>
      <c r="AG658" s="198" t="s">
        <v>235</v>
      </c>
      <c r="AH658" s="198" t="s">
        <v>117</v>
      </c>
      <c r="AI658" s="198" t="s">
        <v>56</v>
      </c>
      <c r="AJ658" s="198" t="s">
        <v>382</v>
      </c>
      <c r="AK658" s="198" t="s">
        <v>51</v>
      </c>
      <c r="AL658" s="198" t="s">
        <v>67</v>
      </c>
      <c r="AM658" s="198" t="s">
        <v>68</v>
      </c>
      <c r="AN658" s="202">
        <v>12500</v>
      </c>
      <c r="AO658" s="202">
        <v>12500</v>
      </c>
      <c r="AP658" s="202">
        <v>12500</v>
      </c>
      <c r="AQ658" s="198" t="s">
        <v>358</v>
      </c>
      <c r="AR658" s="198" t="s">
        <v>51</v>
      </c>
      <c r="AS658" s="202">
        <v>12500</v>
      </c>
      <c r="AT658" s="202">
        <v>12500</v>
      </c>
      <c r="AU658" s="198" t="s">
        <v>359</v>
      </c>
      <c r="AV658" s="198" t="s">
        <v>62</v>
      </c>
      <c r="AW658" s="198" t="s">
        <v>54</v>
      </c>
    </row>
    <row r="659" spans="3:49" outlineLevel="2" x14ac:dyDescent="0.25">
      <c r="C659" s="201"/>
      <c r="D659" s="198" t="s">
        <v>527</v>
      </c>
      <c r="H659" s="198" t="s">
        <v>527</v>
      </c>
      <c r="I659" s="202">
        <f t="shared" si="10"/>
        <v>275854908.59999961</v>
      </c>
      <c r="J659" s="202">
        <v>66.799999999999898</v>
      </c>
      <c r="L659" s="204">
        <v>2</v>
      </c>
      <c r="M659" s="202">
        <v>120000</v>
      </c>
      <c r="N659" s="204">
        <v>2</v>
      </c>
      <c r="O659" s="198" t="s">
        <v>51</v>
      </c>
      <c r="P659" s="202">
        <v>120000</v>
      </c>
      <c r="Q659" s="198" t="s">
        <v>73</v>
      </c>
      <c r="R659" s="198" t="s">
        <v>53</v>
      </c>
      <c r="S659" s="198" t="s">
        <v>54</v>
      </c>
      <c r="T659" s="198" t="s">
        <v>2038</v>
      </c>
      <c r="U659" s="198" t="s">
        <v>2032</v>
      </c>
      <c r="V659" s="198" t="s">
        <v>56</v>
      </c>
      <c r="W659" s="198" t="s">
        <v>356</v>
      </c>
      <c r="X659" s="198" t="s">
        <v>57</v>
      </c>
      <c r="Y659" s="198" t="s">
        <v>58</v>
      </c>
      <c r="Z659" s="201">
        <v>46326</v>
      </c>
      <c r="AA659" s="198" t="s">
        <v>59</v>
      </c>
      <c r="AB659" s="198" t="s">
        <v>60</v>
      </c>
      <c r="AC659" s="198" t="s">
        <v>86</v>
      </c>
      <c r="AD659" s="198" t="s">
        <v>62</v>
      </c>
      <c r="AE659" s="198" t="s">
        <v>485</v>
      </c>
      <c r="AF659" s="198" t="s">
        <v>484</v>
      </c>
      <c r="AG659" s="198" t="s">
        <v>235</v>
      </c>
      <c r="AH659" s="198" t="s">
        <v>117</v>
      </c>
      <c r="AI659" s="198" t="s">
        <v>56</v>
      </c>
      <c r="AJ659" s="198" t="s">
        <v>382</v>
      </c>
      <c r="AK659" s="198" t="s">
        <v>51</v>
      </c>
      <c r="AL659" s="198" t="s">
        <v>67</v>
      </c>
      <c r="AM659" s="198" t="s">
        <v>68</v>
      </c>
      <c r="AN659" s="202">
        <v>120000</v>
      </c>
      <c r="AO659" s="202">
        <v>120000</v>
      </c>
      <c r="AP659" s="202">
        <v>120000</v>
      </c>
      <c r="AQ659" s="198" t="s">
        <v>358</v>
      </c>
      <c r="AR659" s="198" t="s">
        <v>51</v>
      </c>
      <c r="AS659" s="202">
        <v>120000</v>
      </c>
      <c r="AT659" s="202">
        <v>120000</v>
      </c>
      <c r="AU659" s="198" t="s">
        <v>359</v>
      </c>
      <c r="AV659" s="198" t="s">
        <v>62</v>
      </c>
      <c r="AW659" s="198" t="s">
        <v>54</v>
      </c>
    </row>
    <row r="660" spans="3:49" outlineLevel="2" x14ac:dyDescent="0.25">
      <c r="C660" s="201"/>
      <c r="D660" s="198" t="s">
        <v>527</v>
      </c>
      <c r="H660" s="198" t="s">
        <v>527</v>
      </c>
      <c r="I660" s="202">
        <f t="shared" si="10"/>
        <v>276267865.04999959</v>
      </c>
      <c r="J660" s="202">
        <v>66.899999999999906</v>
      </c>
      <c r="L660" s="204">
        <v>1</v>
      </c>
      <c r="M660" s="202">
        <v>310000</v>
      </c>
      <c r="N660" s="204">
        <v>1</v>
      </c>
      <c r="O660" s="198" t="s">
        <v>51</v>
      </c>
      <c r="P660" s="202">
        <v>310000</v>
      </c>
      <c r="Q660" s="198" t="s">
        <v>73</v>
      </c>
      <c r="R660" s="198" t="s">
        <v>53</v>
      </c>
      <c r="S660" s="198" t="s">
        <v>54</v>
      </c>
      <c r="T660" s="198" t="s">
        <v>2038</v>
      </c>
      <c r="U660" s="198" t="s">
        <v>2032</v>
      </c>
      <c r="V660" s="198" t="s">
        <v>56</v>
      </c>
      <c r="W660" s="198" t="s">
        <v>356</v>
      </c>
      <c r="X660" s="198" t="s">
        <v>57</v>
      </c>
      <c r="Y660" s="198" t="s">
        <v>58</v>
      </c>
      <c r="Z660" s="201">
        <v>46326</v>
      </c>
      <c r="AA660" s="198" t="s">
        <v>59</v>
      </c>
      <c r="AB660" s="198" t="s">
        <v>60</v>
      </c>
      <c r="AC660" s="198" t="s">
        <v>86</v>
      </c>
      <c r="AD660" s="198" t="s">
        <v>62</v>
      </c>
      <c r="AE660" s="198" t="s">
        <v>487</v>
      </c>
      <c r="AF660" s="198" t="s">
        <v>486</v>
      </c>
      <c r="AG660" s="198" t="s">
        <v>235</v>
      </c>
      <c r="AH660" s="198" t="s">
        <v>117</v>
      </c>
      <c r="AI660" s="198" t="s">
        <v>56</v>
      </c>
      <c r="AJ660" s="198" t="s">
        <v>128</v>
      </c>
      <c r="AK660" s="198" t="s">
        <v>51</v>
      </c>
      <c r="AL660" s="198" t="s">
        <v>67</v>
      </c>
      <c r="AM660" s="198" t="s">
        <v>68</v>
      </c>
      <c r="AN660" s="202">
        <v>310000</v>
      </c>
      <c r="AO660" s="202">
        <v>310000</v>
      </c>
      <c r="AP660" s="202">
        <v>310000</v>
      </c>
      <c r="AQ660" s="198" t="s">
        <v>358</v>
      </c>
      <c r="AR660" s="198" t="s">
        <v>51</v>
      </c>
      <c r="AS660" s="202">
        <v>310000</v>
      </c>
      <c r="AT660" s="202">
        <v>310000</v>
      </c>
      <c r="AU660" s="198" t="s">
        <v>359</v>
      </c>
      <c r="AV660" s="198" t="s">
        <v>62</v>
      </c>
      <c r="AW660" s="198" t="s">
        <v>54</v>
      </c>
    </row>
    <row r="661" spans="3:49" outlineLevel="2" x14ac:dyDescent="0.25">
      <c r="C661" s="201"/>
      <c r="D661" s="198" t="s">
        <v>527</v>
      </c>
      <c r="H661" s="198" t="s">
        <v>527</v>
      </c>
      <c r="I661" s="202">
        <f t="shared" si="10"/>
        <v>276680821.49999958</v>
      </c>
      <c r="J661" s="202">
        <v>66.999999999999901</v>
      </c>
      <c r="L661" s="204">
        <v>2</v>
      </c>
      <c r="M661" s="202">
        <v>6920</v>
      </c>
      <c r="N661" s="204">
        <v>2</v>
      </c>
      <c r="O661" s="198" t="s">
        <v>51</v>
      </c>
      <c r="P661" s="202">
        <v>6920</v>
      </c>
      <c r="Q661" s="198" t="s">
        <v>73</v>
      </c>
      <c r="R661" s="198" t="s">
        <v>53</v>
      </c>
      <c r="S661" s="198" t="s">
        <v>54</v>
      </c>
      <c r="T661" s="198" t="s">
        <v>2038</v>
      </c>
      <c r="U661" s="198" t="s">
        <v>2032</v>
      </c>
      <c r="V661" s="198" t="s">
        <v>56</v>
      </c>
      <c r="W661" s="198" t="s">
        <v>356</v>
      </c>
      <c r="X661" s="198" t="s">
        <v>57</v>
      </c>
      <c r="Y661" s="198" t="s">
        <v>58</v>
      </c>
      <c r="Z661" s="201">
        <v>46326</v>
      </c>
      <c r="AA661" s="198" t="s">
        <v>59</v>
      </c>
      <c r="AB661" s="198" t="s">
        <v>60</v>
      </c>
      <c r="AC661" s="198" t="s">
        <v>86</v>
      </c>
      <c r="AD661" s="198" t="s">
        <v>62</v>
      </c>
      <c r="AE661" s="198" t="s">
        <v>489</v>
      </c>
      <c r="AF661" s="198" t="s">
        <v>488</v>
      </c>
      <c r="AG661" s="198" t="s">
        <v>235</v>
      </c>
      <c r="AH661" s="198" t="s">
        <v>117</v>
      </c>
      <c r="AI661" s="198" t="s">
        <v>56</v>
      </c>
      <c r="AJ661" s="198" t="s">
        <v>398</v>
      </c>
      <c r="AK661" s="198" t="s">
        <v>51</v>
      </c>
      <c r="AL661" s="198" t="s">
        <v>67</v>
      </c>
      <c r="AM661" s="198" t="s">
        <v>68</v>
      </c>
      <c r="AN661" s="202">
        <v>6920</v>
      </c>
      <c r="AO661" s="202">
        <v>6920</v>
      </c>
      <c r="AP661" s="202">
        <v>6920</v>
      </c>
      <c r="AQ661" s="198" t="s">
        <v>358</v>
      </c>
      <c r="AR661" s="198" t="s">
        <v>51</v>
      </c>
      <c r="AS661" s="202">
        <v>6920</v>
      </c>
      <c r="AT661" s="202">
        <v>6920</v>
      </c>
      <c r="AU661" s="198" t="s">
        <v>359</v>
      </c>
      <c r="AV661" s="198" t="s">
        <v>62</v>
      </c>
      <c r="AW661" s="198" t="s">
        <v>54</v>
      </c>
    </row>
    <row r="662" spans="3:49" outlineLevel="2" x14ac:dyDescent="0.25">
      <c r="C662" s="201"/>
      <c r="D662" s="198" t="s">
        <v>527</v>
      </c>
      <c r="H662" s="198" t="s">
        <v>527</v>
      </c>
      <c r="I662" s="202">
        <f t="shared" si="10"/>
        <v>277093777.94999957</v>
      </c>
      <c r="J662" s="202">
        <v>67.099999999999895</v>
      </c>
      <c r="L662" s="204">
        <v>2</v>
      </c>
      <c r="M662" s="202">
        <v>5000</v>
      </c>
      <c r="N662" s="204">
        <v>2</v>
      </c>
      <c r="O662" s="198" t="s">
        <v>51</v>
      </c>
      <c r="P662" s="202">
        <v>5000</v>
      </c>
      <c r="Q662" s="198" t="s">
        <v>73</v>
      </c>
      <c r="R662" s="198" t="s">
        <v>53</v>
      </c>
      <c r="S662" s="198" t="s">
        <v>54</v>
      </c>
      <c r="T662" s="198" t="s">
        <v>2038</v>
      </c>
      <c r="U662" s="198" t="s">
        <v>2032</v>
      </c>
      <c r="V662" s="198" t="s">
        <v>56</v>
      </c>
      <c r="W662" s="198" t="s">
        <v>356</v>
      </c>
      <c r="X662" s="198" t="s">
        <v>57</v>
      </c>
      <c r="Y662" s="198" t="s">
        <v>58</v>
      </c>
      <c r="Z662" s="201">
        <v>46326</v>
      </c>
      <c r="AA662" s="198" t="s">
        <v>59</v>
      </c>
      <c r="AB662" s="198" t="s">
        <v>60</v>
      </c>
      <c r="AC662" s="198" t="s">
        <v>86</v>
      </c>
      <c r="AD662" s="198" t="s">
        <v>62</v>
      </c>
      <c r="AE662" s="198" t="s">
        <v>491</v>
      </c>
      <c r="AF662" s="198" t="s">
        <v>490</v>
      </c>
      <c r="AG662" s="198" t="s">
        <v>235</v>
      </c>
      <c r="AH662" s="198" t="s">
        <v>117</v>
      </c>
      <c r="AI662" s="198" t="s">
        <v>56</v>
      </c>
      <c r="AJ662" s="198" t="s">
        <v>406</v>
      </c>
      <c r="AK662" s="198" t="s">
        <v>51</v>
      </c>
      <c r="AL662" s="198" t="s">
        <v>67</v>
      </c>
      <c r="AM662" s="198" t="s">
        <v>68</v>
      </c>
      <c r="AN662" s="202">
        <v>5000</v>
      </c>
      <c r="AO662" s="202">
        <v>5000</v>
      </c>
      <c r="AP662" s="202">
        <v>5000</v>
      </c>
      <c r="AQ662" s="198" t="s">
        <v>358</v>
      </c>
      <c r="AR662" s="198" t="s">
        <v>51</v>
      </c>
      <c r="AS662" s="202">
        <v>5000</v>
      </c>
      <c r="AT662" s="202">
        <v>5000</v>
      </c>
      <c r="AU662" s="198" t="s">
        <v>359</v>
      </c>
      <c r="AV662" s="198" t="s">
        <v>62</v>
      </c>
      <c r="AW662" s="198" t="s">
        <v>54</v>
      </c>
    </row>
    <row r="663" spans="3:49" outlineLevel="2" x14ac:dyDescent="0.25">
      <c r="C663" s="201"/>
      <c r="D663" s="198" t="s">
        <v>527</v>
      </c>
      <c r="H663" s="198" t="s">
        <v>527</v>
      </c>
      <c r="I663" s="202">
        <f t="shared" si="10"/>
        <v>277506734.39999962</v>
      </c>
      <c r="J663" s="202">
        <v>67.199999999999903</v>
      </c>
      <c r="L663" s="204">
        <v>2</v>
      </c>
      <c r="M663" s="202">
        <v>1700</v>
      </c>
      <c r="N663" s="204">
        <v>2</v>
      </c>
      <c r="O663" s="198" t="s">
        <v>51</v>
      </c>
      <c r="P663" s="202">
        <v>1700</v>
      </c>
      <c r="Q663" s="198" t="s">
        <v>73</v>
      </c>
      <c r="R663" s="198" t="s">
        <v>53</v>
      </c>
      <c r="S663" s="198" t="s">
        <v>54</v>
      </c>
      <c r="T663" s="198" t="s">
        <v>2038</v>
      </c>
      <c r="U663" s="198" t="s">
        <v>2032</v>
      </c>
      <c r="V663" s="198" t="s">
        <v>56</v>
      </c>
      <c r="W663" s="198" t="s">
        <v>356</v>
      </c>
      <c r="X663" s="198" t="s">
        <v>57</v>
      </c>
      <c r="Y663" s="198" t="s">
        <v>58</v>
      </c>
      <c r="Z663" s="201">
        <v>46326</v>
      </c>
      <c r="AA663" s="198" t="s">
        <v>59</v>
      </c>
      <c r="AB663" s="198" t="s">
        <v>60</v>
      </c>
      <c r="AC663" s="198" t="s">
        <v>86</v>
      </c>
      <c r="AD663" s="198" t="s">
        <v>62</v>
      </c>
      <c r="AE663" s="198" t="s">
        <v>493</v>
      </c>
      <c r="AF663" s="198" t="s">
        <v>492</v>
      </c>
      <c r="AG663" s="198" t="s">
        <v>235</v>
      </c>
      <c r="AH663" s="198" t="s">
        <v>117</v>
      </c>
      <c r="AI663" s="198" t="s">
        <v>56</v>
      </c>
      <c r="AJ663" s="198" t="s">
        <v>452</v>
      </c>
      <c r="AK663" s="198" t="s">
        <v>51</v>
      </c>
      <c r="AL663" s="198" t="s">
        <v>67</v>
      </c>
      <c r="AM663" s="198" t="s">
        <v>68</v>
      </c>
      <c r="AN663" s="202">
        <v>1700</v>
      </c>
      <c r="AO663" s="202">
        <v>1700</v>
      </c>
      <c r="AP663" s="202">
        <v>1700</v>
      </c>
      <c r="AQ663" s="198" t="s">
        <v>358</v>
      </c>
      <c r="AR663" s="198" t="s">
        <v>51</v>
      </c>
      <c r="AS663" s="202">
        <v>1700</v>
      </c>
      <c r="AT663" s="202">
        <v>1700</v>
      </c>
      <c r="AU663" s="198" t="s">
        <v>359</v>
      </c>
      <c r="AV663" s="198" t="s">
        <v>62</v>
      </c>
      <c r="AW663" s="198" t="s">
        <v>54</v>
      </c>
    </row>
    <row r="664" spans="3:49" outlineLevel="2" x14ac:dyDescent="0.25">
      <c r="C664" s="201"/>
      <c r="D664" s="198" t="s">
        <v>527</v>
      </c>
      <c r="H664" s="198" t="s">
        <v>527</v>
      </c>
      <c r="I664" s="202">
        <f t="shared" si="10"/>
        <v>277919690.84999961</v>
      </c>
      <c r="J664" s="202">
        <v>67.299999999999898</v>
      </c>
      <c r="L664" s="204">
        <v>2</v>
      </c>
      <c r="M664" s="202">
        <v>1700</v>
      </c>
      <c r="N664" s="204">
        <v>2</v>
      </c>
      <c r="O664" s="198" t="s">
        <v>51</v>
      </c>
      <c r="P664" s="202">
        <v>1700</v>
      </c>
      <c r="Q664" s="198" t="s">
        <v>73</v>
      </c>
      <c r="R664" s="198" t="s">
        <v>53</v>
      </c>
      <c r="S664" s="198" t="s">
        <v>54</v>
      </c>
      <c r="T664" s="198" t="s">
        <v>2038</v>
      </c>
      <c r="U664" s="198" t="s">
        <v>2032</v>
      </c>
      <c r="V664" s="198" t="s">
        <v>56</v>
      </c>
      <c r="W664" s="198" t="s">
        <v>356</v>
      </c>
      <c r="X664" s="198" t="s">
        <v>57</v>
      </c>
      <c r="Y664" s="198" t="s">
        <v>58</v>
      </c>
      <c r="Z664" s="201">
        <v>46326</v>
      </c>
      <c r="AA664" s="198" t="s">
        <v>59</v>
      </c>
      <c r="AB664" s="198" t="s">
        <v>60</v>
      </c>
      <c r="AC664" s="198" t="s">
        <v>86</v>
      </c>
      <c r="AD664" s="198" t="s">
        <v>62</v>
      </c>
      <c r="AE664" s="198" t="s">
        <v>495</v>
      </c>
      <c r="AF664" s="198" t="s">
        <v>494</v>
      </c>
      <c r="AG664" s="198" t="s">
        <v>235</v>
      </c>
      <c r="AH664" s="198" t="s">
        <v>117</v>
      </c>
      <c r="AI664" s="198" t="s">
        <v>56</v>
      </c>
      <c r="AJ664" s="198" t="s">
        <v>455</v>
      </c>
      <c r="AK664" s="198" t="s">
        <v>51</v>
      </c>
      <c r="AL664" s="198" t="s">
        <v>67</v>
      </c>
      <c r="AM664" s="198" t="s">
        <v>68</v>
      </c>
      <c r="AN664" s="202">
        <v>1700</v>
      </c>
      <c r="AO664" s="202">
        <v>1700</v>
      </c>
      <c r="AP664" s="202">
        <v>1700</v>
      </c>
      <c r="AQ664" s="198" t="s">
        <v>358</v>
      </c>
      <c r="AR664" s="198" t="s">
        <v>51</v>
      </c>
      <c r="AS664" s="202">
        <v>1700</v>
      </c>
      <c r="AT664" s="202">
        <v>1700</v>
      </c>
      <c r="AU664" s="198" t="s">
        <v>359</v>
      </c>
      <c r="AV664" s="198" t="s">
        <v>62</v>
      </c>
      <c r="AW664" s="198" t="s">
        <v>54</v>
      </c>
    </row>
    <row r="665" spans="3:49" outlineLevel="2" x14ac:dyDescent="0.25">
      <c r="C665" s="201"/>
      <c r="D665" s="198" t="s">
        <v>527</v>
      </c>
      <c r="H665" s="198" t="s">
        <v>527</v>
      </c>
      <c r="I665" s="202">
        <f t="shared" si="10"/>
        <v>278332647.29999959</v>
      </c>
      <c r="J665" s="202">
        <v>67.399999999999906</v>
      </c>
      <c r="L665" s="204">
        <v>2</v>
      </c>
      <c r="M665" s="202">
        <v>3500</v>
      </c>
      <c r="N665" s="204">
        <v>2</v>
      </c>
      <c r="O665" s="198" t="s">
        <v>51</v>
      </c>
      <c r="P665" s="202">
        <v>3500</v>
      </c>
      <c r="Q665" s="198" t="s">
        <v>73</v>
      </c>
      <c r="R665" s="198" t="s">
        <v>53</v>
      </c>
      <c r="S665" s="198" t="s">
        <v>54</v>
      </c>
      <c r="T665" s="198" t="s">
        <v>2038</v>
      </c>
      <c r="U665" s="198" t="s">
        <v>2032</v>
      </c>
      <c r="V665" s="198" t="s">
        <v>56</v>
      </c>
      <c r="W665" s="198" t="s">
        <v>356</v>
      </c>
      <c r="X665" s="198" t="s">
        <v>57</v>
      </c>
      <c r="Y665" s="198" t="s">
        <v>58</v>
      </c>
      <c r="Z665" s="201">
        <v>46326</v>
      </c>
      <c r="AA665" s="198" t="s">
        <v>59</v>
      </c>
      <c r="AB665" s="198" t="s">
        <v>60</v>
      </c>
      <c r="AC665" s="198" t="s">
        <v>86</v>
      </c>
      <c r="AD665" s="198" t="s">
        <v>62</v>
      </c>
      <c r="AE665" s="198" t="s">
        <v>497</v>
      </c>
      <c r="AF665" s="198" t="s">
        <v>496</v>
      </c>
      <c r="AG665" s="198" t="s">
        <v>235</v>
      </c>
      <c r="AH665" s="198" t="s">
        <v>117</v>
      </c>
      <c r="AI665" s="198" t="s">
        <v>56</v>
      </c>
      <c r="AJ665" s="198" t="s">
        <v>455</v>
      </c>
      <c r="AK665" s="198" t="s">
        <v>51</v>
      </c>
      <c r="AL665" s="198" t="s">
        <v>67</v>
      </c>
      <c r="AM665" s="198" t="s">
        <v>68</v>
      </c>
      <c r="AN665" s="202">
        <v>3500</v>
      </c>
      <c r="AO665" s="202">
        <v>3500</v>
      </c>
      <c r="AP665" s="202">
        <v>3500</v>
      </c>
      <c r="AQ665" s="198" t="s">
        <v>358</v>
      </c>
      <c r="AR665" s="198" t="s">
        <v>51</v>
      </c>
      <c r="AS665" s="202">
        <v>3500</v>
      </c>
      <c r="AT665" s="202">
        <v>3500</v>
      </c>
      <c r="AU665" s="198" t="s">
        <v>359</v>
      </c>
      <c r="AV665" s="198" t="s">
        <v>62</v>
      </c>
      <c r="AW665" s="198" t="s">
        <v>54</v>
      </c>
    </row>
    <row r="666" spans="3:49" outlineLevel="2" x14ac:dyDescent="0.25">
      <c r="C666" s="201"/>
      <c r="D666" s="198" t="s">
        <v>527</v>
      </c>
      <c r="H666" s="198" t="s">
        <v>527</v>
      </c>
      <c r="I666" s="202">
        <f t="shared" si="10"/>
        <v>278745603.74999958</v>
      </c>
      <c r="J666" s="202">
        <v>67.499999999999901</v>
      </c>
      <c r="L666" s="204">
        <v>50</v>
      </c>
      <c r="M666" s="202">
        <v>17500</v>
      </c>
      <c r="N666" s="204">
        <v>50</v>
      </c>
      <c r="O666" s="198" t="s">
        <v>51</v>
      </c>
      <c r="P666" s="202">
        <v>17500</v>
      </c>
      <c r="Q666" s="198" t="s">
        <v>73</v>
      </c>
      <c r="R666" s="198" t="s">
        <v>53</v>
      </c>
      <c r="S666" s="198" t="s">
        <v>54</v>
      </c>
      <c r="T666" s="198" t="s">
        <v>2038</v>
      </c>
      <c r="U666" s="198" t="s">
        <v>2032</v>
      </c>
      <c r="V666" s="198" t="s">
        <v>56</v>
      </c>
      <c r="W666" s="198" t="s">
        <v>356</v>
      </c>
      <c r="X666" s="198" t="s">
        <v>57</v>
      </c>
      <c r="Y666" s="198" t="s">
        <v>58</v>
      </c>
      <c r="Z666" s="201">
        <v>46326</v>
      </c>
      <c r="AA666" s="198" t="s">
        <v>59</v>
      </c>
      <c r="AB666" s="198" t="s">
        <v>60</v>
      </c>
      <c r="AC666" s="198" t="s">
        <v>86</v>
      </c>
      <c r="AD666" s="198" t="s">
        <v>62</v>
      </c>
      <c r="AE666" s="198" t="s">
        <v>499</v>
      </c>
      <c r="AF666" s="198" t="s">
        <v>498</v>
      </c>
      <c r="AG666" s="198" t="s">
        <v>235</v>
      </c>
      <c r="AH666" s="198" t="s">
        <v>117</v>
      </c>
      <c r="AI666" s="198" t="s">
        <v>56</v>
      </c>
      <c r="AJ666" s="198" t="s">
        <v>382</v>
      </c>
      <c r="AK666" s="198" t="s">
        <v>51</v>
      </c>
      <c r="AL666" s="198" t="s">
        <v>67</v>
      </c>
      <c r="AM666" s="198" t="s">
        <v>68</v>
      </c>
      <c r="AN666" s="202">
        <v>17500</v>
      </c>
      <c r="AO666" s="202">
        <v>17500</v>
      </c>
      <c r="AP666" s="202">
        <v>17500</v>
      </c>
      <c r="AQ666" s="198" t="s">
        <v>358</v>
      </c>
      <c r="AR666" s="198" t="s">
        <v>51</v>
      </c>
      <c r="AS666" s="202">
        <v>17500</v>
      </c>
      <c r="AT666" s="202">
        <v>17500</v>
      </c>
      <c r="AU666" s="198" t="s">
        <v>359</v>
      </c>
      <c r="AV666" s="198" t="s">
        <v>62</v>
      </c>
      <c r="AW666" s="198" t="s">
        <v>54</v>
      </c>
    </row>
    <row r="667" spans="3:49" outlineLevel="2" x14ac:dyDescent="0.25">
      <c r="C667" s="201"/>
      <c r="D667" s="198" t="s">
        <v>527</v>
      </c>
      <c r="H667" s="198" t="s">
        <v>527</v>
      </c>
      <c r="I667" s="202">
        <f t="shared" si="10"/>
        <v>279158560.19999957</v>
      </c>
      <c r="J667" s="202">
        <v>67.599999999999895</v>
      </c>
      <c r="L667" s="204">
        <v>50</v>
      </c>
      <c r="M667" s="202">
        <v>2500</v>
      </c>
      <c r="N667" s="204">
        <v>50</v>
      </c>
      <c r="O667" s="198" t="s">
        <v>51</v>
      </c>
      <c r="P667" s="202">
        <v>2500</v>
      </c>
      <c r="Q667" s="198" t="s">
        <v>73</v>
      </c>
      <c r="R667" s="198" t="s">
        <v>53</v>
      </c>
      <c r="S667" s="198" t="s">
        <v>54</v>
      </c>
      <c r="T667" s="198" t="s">
        <v>2038</v>
      </c>
      <c r="U667" s="198" t="s">
        <v>2032</v>
      </c>
      <c r="V667" s="198" t="s">
        <v>56</v>
      </c>
      <c r="W667" s="198" t="s">
        <v>356</v>
      </c>
      <c r="X667" s="198" t="s">
        <v>57</v>
      </c>
      <c r="Y667" s="198" t="s">
        <v>58</v>
      </c>
      <c r="Z667" s="201">
        <v>46326</v>
      </c>
      <c r="AA667" s="198" t="s">
        <v>59</v>
      </c>
      <c r="AB667" s="198" t="s">
        <v>60</v>
      </c>
      <c r="AC667" s="198" t="s">
        <v>86</v>
      </c>
      <c r="AD667" s="198" t="s">
        <v>62</v>
      </c>
      <c r="AE667" s="198" t="s">
        <v>501</v>
      </c>
      <c r="AF667" s="198" t="s">
        <v>500</v>
      </c>
      <c r="AG667" s="198" t="s">
        <v>235</v>
      </c>
      <c r="AH667" s="198" t="s">
        <v>117</v>
      </c>
      <c r="AI667" s="198" t="s">
        <v>56</v>
      </c>
      <c r="AJ667" s="198" t="s">
        <v>406</v>
      </c>
      <c r="AK667" s="198" t="s">
        <v>51</v>
      </c>
      <c r="AL667" s="198" t="s">
        <v>67</v>
      </c>
      <c r="AM667" s="198" t="s">
        <v>68</v>
      </c>
      <c r="AN667" s="202">
        <v>2500</v>
      </c>
      <c r="AO667" s="202">
        <v>2500</v>
      </c>
      <c r="AP667" s="202">
        <v>2500</v>
      </c>
      <c r="AQ667" s="198" t="s">
        <v>358</v>
      </c>
      <c r="AR667" s="198" t="s">
        <v>51</v>
      </c>
      <c r="AS667" s="202">
        <v>2500</v>
      </c>
      <c r="AT667" s="202">
        <v>2500</v>
      </c>
      <c r="AU667" s="198" t="s">
        <v>359</v>
      </c>
      <c r="AV667" s="198" t="s">
        <v>62</v>
      </c>
      <c r="AW667" s="198" t="s">
        <v>54</v>
      </c>
    </row>
    <row r="668" spans="3:49" outlineLevel="2" x14ac:dyDescent="0.25">
      <c r="C668" s="201"/>
      <c r="D668" s="198" t="s">
        <v>527</v>
      </c>
      <c r="H668" s="198" t="s">
        <v>527</v>
      </c>
      <c r="I668" s="202">
        <f t="shared" si="10"/>
        <v>279571516.64999962</v>
      </c>
      <c r="J668" s="202">
        <v>67.699999999999903</v>
      </c>
      <c r="L668" s="204">
        <v>5</v>
      </c>
      <c r="M668" s="202">
        <v>10750</v>
      </c>
      <c r="N668" s="204">
        <v>5</v>
      </c>
      <c r="O668" s="198" t="s">
        <v>51</v>
      </c>
      <c r="P668" s="202">
        <v>10750</v>
      </c>
      <c r="Q668" s="198" t="s">
        <v>73</v>
      </c>
      <c r="R668" s="198" t="s">
        <v>53</v>
      </c>
      <c r="S668" s="198" t="s">
        <v>54</v>
      </c>
      <c r="T668" s="198" t="s">
        <v>2038</v>
      </c>
      <c r="U668" s="198" t="s">
        <v>2032</v>
      </c>
      <c r="V668" s="198" t="s">
        <v>56</v>
      </c>
      <c r="W668" s="198" t="s">
        <v>356</v>
      </c>
      <c r="X668" s="198" t="s">
        <v>57</v>
      </c>
      <c r="Y668" s="198" t="s">
        <v>58</v>
      </c>
      <c r="Z668" s="201">
        <v>46326</v>
      </c>
      <c r="AA668" s="198" t="s">
        <v>59</v>
      </c>
      <c r="AB668" s="198" t="s">
        <v>60</v>
      </c>
      <c r="AC668" s="198" t="s">
        <v>86</v>
      </c>
      <c r="AD668" s="198" t="s">
        <v>62</v>
      </c>
      <c r="AE668" s="198" t="s">
        <v>503</v>
      </c>
      <c r="AF668" s="198" t="s">
        <v>502</v>
      </c>
      <c r="AG668" s="198" t="s">
        <v>235</v>
      </c>
      <c r="AH668" s="198" t="s">
        <v>117</v>
      </c>
      <c r="AI668" s="198" t="s">
        <v>56</v>
      </c>
      <c r="AJ668" s="198" t="s">
        <v>455</v>
      </c>
      <c r="AK668" s="198" t="s">
        <v>51</v>
      </c>
      <c r="AL668" s="198" t="s">
        <v>67</v>
      </c>
      <c r="AM668" s="198" t="s">
        <v>68</v>
      </c>
      <c r="AN668" s="202">
        <v>10750</v>
      </c>
      <c r="AO668" s="202">
        <v>10750</v>
      </c>
      <c r="AP668" s="202">
        <v>10750</v>
      </c>
      <c r="AQ668" s="198" t="s">
        <v>358</v>
      </c>
      <c r="AR668" s="198" t="s">
        <v>51</v>
      </c>
      <c r="AS668" s="202">
        <v>10750</v>
      </c>
      <c r="AT668" s="202">
        <v>10750</v>
      </c>
      <c r="AU668" s="198" t="s">
        <v>359</v>
      </c>
      <c r="AV668" s="198" t="s">
        <v>62</v>
      </c>
      <c r="AW668" s="198" t="s">
        <v>54</v>
      </c>
    </row>
    <row r="669" spans="3:49" outlineLevel="2" x14ac:dyDescent="0.25">
      <c r="C669" s="201"/>
      <c r="D669" s="198" t="s">
        <v>527</v>
      </c>
      <c r="H669" s="198" t="s">
        <v>527</v>
      </c>
      <c r="I669" s="202">
        <f t="shared" si="10"/>
        <v>279984473.09999961</v>
      </c>
      <c r="J669" s="202">
        <v>67.799999999999898</v>
      </c>
      <c r="L669" s="204">
        <v>2</v>
      </c>
      <c r="M669" s="202">
        <v>39000</v>
      </c>
      <c r="N669" s="204">
        <v>2</v>
      </c>
      <c r="O669" s="198" t="s">
        <v>51</v>
      </c>
      <c r="P669" s="202">
        <v>39000</v>
      </c>
      <c r="Q669" s="198" t="s">
        <v>73</v>
      </c>
      <c r="R669" s="198" t="s">
        <v>53</v>
      </c>
      <c r="S669" s="198" t="s">
        <v>54</v>
      </c>
      <c r="T669" s="198" t="s">
        <v>2038</v>
      </c>
      <c r="U669" s="198" t="s">
        <v>2032</v>
      </c>
      <c r="V669" s="198" t="s">
        <v>56</v>
      </c>
      <c r="W669" s="198" t="s">
        <v>356</v>
      </c>
      <c r="X669" s="198" t="s">
        <v>57</v>
      </c>
      <c r="Y669" s="198" t="s">
        <v>58</v>
      </c>
      <c r="Z669" s="201">
        <v>46326</v>
      </c>
      <c r="AA669" s="198" t="s">
        <v>59</v>
      </c>
      <c r="AB669" s="198" t="s">
        <v>60</v>
      </c>
      <c r="AC669" s="198" t="s">
        <v>86</v>
      </c>
      <c r="AD669" s="198" t="s">
        <v>62</v>
      </c>
      <c r="AE669" s="198" t="s">
        <v>505</v>
      </c>
      <c r="AF669" s="198" t="s">
        <v>504</v>
      </c>
      <c r="AG669" s="198" t="s">
        <v>235</v>
      </c>
      <c r="AH669" s="198" t="s">
        <v>117</v>
      </c>
      <c r="AI669" s="198" t="s">
        <v>56</v>
      </c>
      <c r="AJ669" s="198" t="s">
        <v>452</v>
      </c>
      <c r="AK669" s="198" t="s">
        <v>51</v>
      </c>
      <c r="AL669" s="198" t="s">
        <v>67</v>
      </c>
      <c r="AM669" s="198" t="s">
        <v>68</v>
      </c>
      <c r="AN669" s="202">
        <v>39000</v>
      </c>
      <c r="AO669" s="202">
        <v>39000</v>
      </c>
      <c r="AP669" s="202">
        <v>39000</v>
      </c>
      <c r="AQ669" s="198" t="s">
        <v>358</v>
      </c>
      <c r="AR669" s="198" t="s">
        <v>51</v>
      </c>
      <c r="AS669" s="202">
        <v>39000</v>
      </c>
      <c r="AT669" s="202">
        <v>39000</v>
      </c>
      <c r="AU669" s="198" t="s">
        <v>359</v>
      </c>
      <c r="AV669" s="198" t="s">
        <v>62</v>
      </c>
      <c r="AW669" s="198" t="s">
        <v>54</v>
      </c>
    </row>
    <row r="670" spans="3:49" outlineLevel="2" x14ac:dyDescent="0.25">
      <c r="C670" s="201"/>
      <c r="D670" s="198" t="s">
        <v>527</v>
      </c>
      <c r="H670" s="198" t="s">
        <v>527</v>
      </c>
      <c r="I670" s="202">
        <f t="shared" si="10"/>
        <v>280397429.54999959</v>
      </c>
      <c r="J670" s="202">
        <v>67.899999999999906</v>
      </c>
      <c r="L670" s="204">
        <v>1</v>
      </c>
      <c r="M670" s="202">
        <v>5000</v>
      </c>
      <c r="N670" s="204">
        <v>1</v>
      </c>
      <c r="O670" s="198" t="s">
        <v>51</v>
      </c>
      <c r="P670" s="202">
        <v>5000</v>
      </c>
      <c r="Q670" s="198" t="s">
        <v>73</v>
      </c>
      <c r="R670" s="198" t="s">
        <v>53</v>
      </c>
      <c r="S670" s="198" t="s">
        <v>54</v>
      </c>
      <c r="T670" s="198" t="s">
        <v>2038</v>
      </c>
      <c r="U670" s="198" t="s">
        <v>2032</v>
      </c>
      <c r="V670" s="198" t="s">
        <v>56</v>
      </c>
      <c r="W670" s="198" t="s">
        <v>356</v>
      </c>
      <c r="X670" s="198" t="s">
        <v>57</v>
      </c>
      <c r="Y670" s="198" t="s">
        <v>58</v>
      </c>
      <c r="Z670" s="201">
        <v>46326</v>
      </c>
      <c r="AA670" s="198" t="s">
        <v>59</v>
      </c>
      <c r="AB670" s="198" t="s">
        <v>60</v>
      </c>
      <c r="AC670" s="198" t="s">
        <v>86</v>
      </c>
      <c r="AD670" s="198" t="s">
        <v>62</v>
      </c>
      <c r="AE670" s="198" t="s">
        <v>507</v>
      </c>
      <c r="AF670" s="198" t="s">
        <v>506</v>
      </c>
      <c r="AG670" s="198" t="s">
        <v>235</v>
      </c>
      <c r="AH670" s="198" t="s">
        <v>117</v>
      </c>
      <c r="AI670" s="198" t="s">
        <v>56</v>
      </c>
      <c r="AJ670" s="198" t="s">
        <v>149</v>
      </c>
      <c r="AK670" s="198" t="s">
        <v>51</v>
      </c>
      <c r="AL670" s="198" t="s">
        <v>67</v>
      </c>
      <c r="AM670" s="198" t="s">
        <v>68</v>
      </c>
      <c r="AN670" s="202">
        <v>5000</v>
      </c>
      <c r="AO670" s="202">
        <v>5000</v>
      </c>
      <c r="AP670" s="202">
        <v>5000</v>
      </c>
      <c r="AQ670" s="198" t="s">
        <v>358</v>
      </c>
      <c r="AR670" s="198" t="s">
        <v>51</v>
      </c>
      <c r="AS670" s="202">
        <v>5000</v>
      </c>
      <c r="AT670" s="202">
        <v>5000</v>
      </c>
      <c r="AU670" s="198" t="s">
        <v>359</v>
      </c>
      <c r="AV670" s="198" t="s">
        <v>62</v>
      </c>
      <c r="AW670" s="198" t="s">
        <v>54</v>
      </c>
    </row>
    <row r="671" spans="3:49" outlineLevel="2" x14ac:dyDescent="0.25">
      <c r="C671" s="201"/>
      <c r="D671" s="198" t="s">
        <v>527</v>
      </c>
      <c r="H671" s="198" t="s">
        <v>527</v>
      </c>
      <c r="I671" s="202">
        <f t="shared" si="10"/>
        <v>280810385.99999958</v>
      </c>
      <c r="J671" s="202">
        <v>67.999999999999901</v>
      </c>
      <c r="L671" s="204">
        <v>2</v>
      </c>
      <c r="M671" s="202">
        <v>800</v>
      </c>
      <c r="N671" s="204">
        <v>2</v>
      </c>
      <c r="O671" s="198" t="s">
        <v>51</v>
      </c>
      <c r="P671" s="202">
        <v>800</v>
      </c>
      <c r="Q671" s="198" t="s">
        <v>73</v>
      </c>
      <c r="R671" s="198" t="s">
        <v>53</v>
      </c>
      <c r="S671" s="198" t="s">
        <v>54</v>
      </c>
      <c r="T671" s="198" t="s">
        <v>2038</v>
      </c>
      <c r="U671" s="198" t="s">
        <v>2032</v>
      </c>
      <c r="V671" s="198" t="s">
        <v>56</v>
      </c>
      <c r="W671" s="198" t="s">
        <v>356</v>
      </c>
      <c r="X671" s="198" t="s">
        <v>57</v>
      </c>
      <c r="Y671" s="198" t="s">
        <v>58</v>
      </c>
      <c r="Z671" s="201">
        <v>46326</v>
      </c>
      <c r="AA671" s="198" t="s">
        <v>59</v>
      </c>
      <c r="AB671" s="198" t="s">
        <v>60</v>
      </c>
      <c r="AC671" s="198" t="s">
        <v>86</v>
      </c>
      <c r="AD671" s="198" t="s">
        <v>62</v>
      </c>
      <c r="AE671" s="198" t="s">
        <v>509</v>
      </c>
      <c r="AF671" s="198" t="s">
        <v>508</v>
      </c>
      <c r="AG671" s="198" t="s">
        <v>235</v>
      </c>
      <c r="AH671" s="198" t="s">
        <v>117</v>
      </c>
      <c r="AI671" s="198" t="s">
        <v>56</v>
      </c>
      <c r="AJ671" s="198" t="s">
        <v>449</v>
      </c>
      <c r="AK671" s="198" t="s">
        <v>51</v>
      </c>
      <c r="AL671" s="198" t="s">
        <v>67</v>
      </c>
      <c r="AM671" s="198" t="s">
        <v>68</v>
      </c>
      <c r="AN671" s="202">
        <v>800</v>
      </c>
      <c r="AO671" s="202">
        <v>800</v>
      </c>
      <c r="AP671" s="202">
        <v>800</v>
      </c>
      <c r="AQ671" s="198" t="s">
        <v>358</v>
      </c>
      <c r="AR671" s="198" t="s">
        <v>51</v>
      </c>
      <c r="AS671" s="202">
        <v>800</v>
      </c>
      <c r="AT671" s="202">
        <v>800</v>
      </c>
      <c r="AU671" s="198" t="s">
        <v>359</v>
      </c>
      <c r="AV671" s="198" t="s">
        <v>62</v>
      </c>
      <c r="AW671" s="198" t="s">
        <v>54</v>
      </c>
    </row>
    <row r="672" spans="3:49" outlineLevel="2" x14ac:dyDescent="0.25">
      <c r="C672" s="201"/>
      <c r="D672" s="198" t="s">
        <v>527</v>
      </c>
      <c r="H672" s="198" t="s">
        <v>527</v>
      </c>
      <c r="I672" s="202">
        <f t="shared" si="10"/>
        <v>281223342.44999957</v>
      </c>
      <c r="J672" s="202">
        <v>68.099999999999895</v>
      </c>
      <c r="L672" s="204">
        <v>1</v>
      </c>
      <c r="M672" s="202">
        <v>8500</v>
      </c>
      <c r="N672" s="204">
        <v>1</v>
      </c>
      <c r="O672" s="198" t="s">
        <v>51</v>
      </c>
      <c r="P672" s="202">
        <v>8500</v>
      </c>
      <c r="Q672" s="198" t="s">
        <v>73</v>
      </c>
      <c r="R672" s="198" t="s">
        <v>53</v>
      </c>
      <c r="S672" s="198" t="s">
        <v>54</v>
      </c>
      <c r="T672" s="198" t="s">
        <v>2038</v>
      </c>
      <c r="U672" s="198" t="s">
        <v>2032</v>
      </c>
      <c r="V672" s="198" t="s">
        <v>56</v>
      </c>
      <c r="W672" s="198" t="s">
        <v>356</v>
      </c>
      <c r="X672" s="198" t="s">
        <v>57</v>
      </c>
      <c r="Y672" s="198" t="s">
        <v>58</v>
      </c>
      <c r="Z672" s="201">
        <v>46326</v>
      </c>
      <c r="AA672" s="198" t="s">
        <v>59</v>
      </c>
      <c r="AB672" s="198" t="s">
        <v>60</v>
      </c>
      <c r="AC672" s="198" t="s">
        <v>86</v>
      </c>
      <c r="AD672" s="198" t="s">
        <v>62</v>
      </c>
      <c r="AE672" s="198" t="s">
        <v>511</v>
      </c>
      <c r="AF672" s="198" t="s">
        <v>510</v>
      </c>
      <c r="AG672" s="198" t="s">
        <v>235</v>
      </c>
      <c r="AH672" s="198" t="s">
        <v>117</v>
      </c>
      <c r="AI672" s="198" t="s">
        <v>56</v>
      </c>
      <c r="AJ672" s="198" t="s">
        <v>294</v>
      </c>
      <c r="AK672" s="198" t="s">
        <v>51</v>
      </c>
      <c r="AL672" s="198" t="s">
        <v>67</v>
      </c>
      <c r="AM672" s="198" t="s">
        <v>68</v>
      </c>
      <c r="AN672" s="202">
        <v>8500</v>
      </c>
      <c r="AO672" s="202">
        <v>8500</v>
      </c>
      <c r="AP672" s="202">
        <v>8500</v>
      </c>
      <c r="AQ672" s="198" t="s">
        <v>358</v>
      </c>
      <c r="AR672" s="198" t="s">
        <v>51</v>
      </c>
      <c r="AS672" s="202">
        <v>8500</v>
      </c>
      <c r="AT672" s="202">
        <v>8500</v>
      </c>
      <c r="AU672" s="198" t="s">
        <v>359</v>
      </c>
      <c r="AV672" s="198" t="s">
        <v>62</v>
      </c>
      <c r="AW672" s="198" t="s">
        <v>54</v>
      </c>
    </row>
    <row r="673" spans="3:49" outlineLevel="2" x14ac:dyDescent="0.25">
      <c r="C673" s="201"/>
      <c r="D673" s="198" t="s">
        <v>527</v>
      </c>
      <c r="H673" s="198" t="s">
        <v>527</v>
      </c>
      <c r="I673" s="202">
        <f t="shared" si="10"/>
        <v>281636298.89999962</v>
      </c>
      <c r="J673" s="202">
        <v>68.199999999999903</v>
      </c>
      <c r="L673" s="204">
        <v>1</v>
      </c>
      <c r="M673" s="202">
        <v>23000</v>
      </c>
      <c r="N673" s="204">
        <v>1</v>
      </c>
      <c r="O673" s="198" t="s">
        <v>51</v>
      </c>
      <c r="P673" s="202">
        <v>23000</v>
      </c>
      <c r="Q673" s="198" t="s">
        <v>73</v>
      </c>
      <c r="R673" s="198" t="s">
        <v>53</v>
      </c>
      <c r="S673" s="198" t="s">
        <v>54</v>
      </c>
      <c r="T673" s="198" t="s">
        <v>2038</v>
      </c>
      <c r="U673" s="198" t="s">
        <v>2032</v>
      </c>
      <c r="V673" s="198" t="s">
        <v>56</v>
      </c>
      <c r="W673" s="198" t="s">
        <v>356</v>
      </c>
      <c r="X673" s="198" t="s">
        <v>57</v>
      </c>
      <c r="Y673" s="198" t="s">
        <v>58</v>
      </c>
      <c r="Z673" s="201">
        <v>46326</v>
      </c>
      <c r="AA673" s="198" t="s">
        <v>59</v>
      </c>
      <c r="AB673" s="198" t="s">
        <v>60</v>
      </c>
      <c r="AC673" s="198" t="s">
        <v>86</v>
      </c>
      <c r="AD673" s="198" t="s">
        <v>62</v>
      </c>
      <c r="AE673" s="198" t="s">
        <v>513</v>
      </c>
      <c r="AF673" s="198" t="s">
        <v>512</v>
      </c>
      <c r="AG673" s="198" t="s">
        <v>235</v>
      </c>
      <c r="AH673" s="198" t="s">
        <v>117</v>
      </c>
      <c r="AI673" s="198" t="s">
        <v>56</v>
      </c>
      <c r="AJ673" s="198" t="s">
        <v>382</v>
      </c>
      <c r="AK673" s="198" t="s">
        <v>51</v>
      </c>
      <c r="AL673" s="198" t="s">
        <v>67</v>
      </c>
      <c r="AM673" s="198" t="s">
        <v>68</v>
      </c>
      <c r="AN673" s="202">
        <v>23000</v>
      </c>
      <c r="AO673" s="202">
        <v>23000</v>
      </c>
      <c r="AP673" s="202">
        <v>23000</v>
      </c>
      <c r="AQ673" s="198" t="s">
        <v>358</v>
      </c>
      <c r="AR673" s="198" t="s">
        <v>51</v>
      </c>
      <c r="AS673" s="202">
        <v>23000</v>
      </c>
      <c r="AT673" s="202">
        <v>23000</v>
      </c>
      <c r="AU673" s="198" t="s">
        <v>359</v>
      </c>
      <c r="AV673" s="198" t="s">
        <v>62</v>
      </c>
      <c r="AW673" s="198" t="s">
        <v>54</v>
      </c>
    </row>
    <row r="674" spans="3:49" outlineLevel="2" x14ac:dyDescent="0.25">
      <c r="C674" s="201"/>
      <c r="D674" s="198" t="s">
        <v>533</v>
      </c>
      <c r="H674" s="198" t="s">
        <v>533</v>
      </c>
      <c r="I674" s="202">
        <f t="shared" si="10"/>
        <v>282049255.34999961</v>
      </c>
      <c r="J674" s="202">
        <v>68.299999999999898</v>
      </c>
      <c r="L674" s="204">
        <v>1</v>
      </c>
      <c r="M674" s="202">
        <v>135000000</v>
      </c>
      <c r="N674" s="204">
        <v>1</v>
      </c>
      <c r="O674" s="198" t="s">
        <v>51</v>
      </c>
      <c r="P674" s="202">
        <v>135000000</v>
      </c>
      <c r="Q674" s="198" t="s">
        <v>342</v>
      </c>
      <c r="R674" s="198" t="s">
        <v>53</v>
      </c>
      <c r="S674" s="198" t="s">
        <v>54</v>
      </c>
      <c r="T674" s="198" t="s">
        <v>361</v>
      </c>
      <c r="U674" s="198" t="s">
        <v>277</v>
      </c>
      <c r="V674" s="198" t="s">
        <v>56</v>
      </c>
      <c r="W674" s="198" t="s">
        <v>356</v>
      </c>
      <c r="X674" s="198" t="s">
        <v>57</v>
      </c>
      <c r="Y674" s="198" t="s">
        <v>58</v>
      </c>
      <c r="Z674" s="201">
        <v>46387</v>
      </c>
      <c r="AA674" s="198" t="s">
        <v>59</v>
      </c>
      <c r="AB674" s="198" t="s">
        <v>60</v>
      </c>
      <c r="AC674" s="198" t="s">
        <v>86</v>
      </c>
      <c r="AD674" s="198" t="s">
        <v>62</v>
      </c>
      <c r="AE674" s="198" t="s">
        <v>357</v>
      </c>
      <c r="AF674" s="198" t="s">
        <v>354</v>
      </c>
      <c r="AG674" s="198" t="s">
        <v>88</v>
      </c>
      <c r="AH674" s="198" t="s">
        <v>134</v>
      </c>
      <c r="AI674" s="198" t="s">
        <v>56</v>
      </c>
      <c r="AJ674" s="198" t="s">
        <v>74</v>
      </c>
      <c r="AK674" s="198" t="s">
        <v>51</v>
      </c>
      <c r="AL674" s="198" t="s">
        <v>67</v>
      </c>
      <c r="AM674" s="198" t="s">
        <v>68</v>
      </c>
      <c r="AN674" s="202">
        <v>135000000</v>
      </c>
      <c r="AO674" s="202">
        <v>135000000</v>
      </c>
      <c r="AP674" s="202">
        <v>135000000</v>
      </c>
      <c r="AQ674" s="198" t="s">
        <v>358</v>
      </c>
      <c r="AR674" s="198" t="s">
        <v>51</v>
      </c>
      <c r="AS674" s="202">
        <v>135000000</v>
      </c>
      <c r="AT674" s="202">
        <v>135000000</v>
      </c>
      <c r="AU674" s="198" t="s">
        <v>359</v>
      </c>
      <c r="AV674" s="198" t="s">
        <v>62</v>
      </c>
      <c r="AW674" s="198" t="s">
        <v>54</v>
      </c>
    </row>
    <row r="675" spans="3:49" outlineLevel="2" x14ac:dyDescent="0.25">
      <c r="C675" s="201"/>
      <c r="D675" s="198" t="s">
        <v>534</v>
      </c>
      <c r="H675" s="198" t="s">
        <v>534</v>
      </c>
      <c r="I675" s="202">
        <f t="shared" si="10"/>
        <v>282462211.79999959</v>
      </c>
      <c r="J675" s="202">
        <v>68.399999999999906</v>
      </c>
      <c r="L675" s="204">
        <v>1</v>
      </c>
      <c r="M675" s="202">
        <v>75000000</v>
      </c>
      <c r="N675" s="204">
        <v>1</v>
      </c>
      <c r="O675" s="198" t="s">
        <v>51</v>
      </c>
      <c r="P675" s="202">
        <v>75000000</v>
      </c>
      <c r="Q675" s="198" t="s">
        <v>342</v>
      </c>
      <c r="R675" s="198" t="s">
        <v>53</v>
      </c>
      <c r="S675" s="198" t="s">
        <v>54</v>
      </c>
      <c r="T675" s="198" t="s">
        <v>361</v>
      </c>
      <c r="U675" s="198" t="s">
        <v>2042</v>
      </c>
      <c r="V675" s="198" t="s">
        <v>56</v>
      </c>
      <c r="W675" s="198" t="s">
        <v>356</v>
      </c>
      <c r="X675" s="198" t="s">
        <v>57</v>
      </c>
      <c r="Y675" s="198" t="s">
        <v>58</v>
      </c>
      <c r="Z675" s="201">
        <v>46167</v>
      </c>
      <c r="AA675" s="198" t="s">
        <v>59</v>
      </c>
      <c r="AB675" s="198" t="s">
        <v>60</v>
      </c>
      <c r="AC675" s="198" t="s">
        <v>86</v>
      </c>
      <c r="AD675" s="198" t="s">
        <v>62</v>
      </c>
      <c r="AE675" s="198" t="s">
        <v>357</v>
      </c>
      <c r="AF675" s="198" t="s">
        <v>354</v>
      </c>
      <c r="AG675" s="198" t="s">
        <v>147</v>
      </c>
      <c r="AH675" s="198" t="s">
        <v>117</v>
      </c>
      <c r="AI675" s="198" t="s">
        <v>56</v>
      </c>
      <c r="AJ675" s="198" t="s">
        <v>74</v>
      </c>
      <c r="AK675" s="198" t="s">
        <v>51</v>
      </c>
      <c r="AL675" s="198" t="s">
        <v>67</v>
      </c>
      <c r="AM675" s="198" t="s">
        <v>68</v>
      </c>
      <c r="AN675" s="202">
        <v>75000000</v>
      </c>
      <c r="AO675" s="202">
        <v>75000000</v>
      </c>
      <c r="AP675" s="202">
        <v>75000000</v>
      </c>
      <c r="AQ675" s="198" t="s">
        <v>358</v>
      </c>
      <c r="AR675" s="198" t="s">
        <v>51</v>
      </c>
      <c r="AS675" s="202">
        <v>75000000</v>
      </c>
      <c r="AT675" s="202">
        <v>75000000</v>
      </c>
      <c r="AU675" s="198" t="s">
        <v>359</v>
      </c>
      <c r="AV675" s="198" t="s">
        <v>62</v>
      </c>
      <c r="AW675" s="198" t="s">
        <v>54</v>
      </c>
    </row>
    <row r="676" spans="3:49" outlineLevel="2" x14ac:dyDescent="0.25">
      <c r="C676" s="201"/>
      <c r="D676" s="198" t="s">
        <v>535</v>
      </c>
      <c r="H676" s="198" t="s">
        <v>535</v>
      </c>
      <c r="I676" s="202">
        <f t="shared" si="10"/>
        <v>282875168.24999958</v>
      </c>
      <c r="J676" s="202">
        <v>68.499999999999901</v>
      </c>
      <c r="L676" s="204">
        <v>1</v>
      </c>
      <c r="M676" s="202">
        <v>117800000</v>
      </c>
      <c r="N676" s="204">
        <v>1</v>
      </c>
      <c r="O676" s="198" t="s">
        <v>51</v>
      </c>
      <c r="P676" s="202">
        <v>117800000</v>
      </c>
      <c r="Q676" s="198" t="s">
        <v>342</v>
      </c>
      <c r="R676" s="198" t="s">
        <v>53</v>
      </c>
      <c r="S676" s="198" t="s">
        <v>54</v>
      </c>
      <c r="T676" s="198" t="s">
        <v>434</v>
      </c>
      <c r="U676" s="198" t="s">
        <v>277</v>
      </c>
      <c r="V676" s="198" t="s">
        <v>56</v>
      </c>
      <c r="W676" s="198" t="s">
        <v>356</v>
      </c>
      <c r="X676" s="198" t="s">
        <v>57</v>
      </c>
      <c r="Y676" s="198" t="s">
        <v>58</v>
      </c>
      <c r="Z676" s="201">
        <v>46387</v>
      </c>
      <c r="AA676" s="198" t="s">
        <v>59</v>
      </c>
      <c r="AB676" s="198" t="s">
        <v>60</v>
      </c>
      <c r="AC676" s="198" t="s">
        <v>86</v>
      </c>
      <c r="AD676" s="198" t="s">
        <v>62</v>
      </c>
      <c r="AE676" s="198" t="s">
        <v>357</v>
      </c>
      <c r="AF676" s="198" t="s">
        <v>354</v>
      </c>
      <c r="AG676" s="198" t="s">
        <v>88</v>
      </c>
      <c r="AH676" s="198" t="s">
        <v>137</v>
      </c>
      <c r="AI676" s="198" t="s">
        <v>56</v>
      </c>
      <c r="AJ676" s="198" t="s">
        <v>74</v>
      </c>
      <c r="AK676" s="198" t="s">
        <v>51</v>
      </c>
      <c r="AL676" s="198" t="s">
        <v>67</v>
      </c>
      <c r="AM676" s="198" t="s">
        <v>68</v>
      </c>
      <c r="AN676" s="202">
        <v>117800000</v>
      </c>
      <c r="AO676" s="202">
        <v>117800000</v>
      </c>
      <c r="AP676" s="202">
        <v>117800000</v>
      </c>
      <c r="AQ676" s="198" t="s">
        <v>358</v>
      </c>
      <c r="AR676" s="198" t="s">
        <v>51</v>
      </c>
      <c r="AS676" s="202">
        <v>117800000</v>
      </c>
      <c r="AT676" s="202">
        <v>117800000</v>
      </c>
      <c r="AU676" s="198" t="s">
        <v>359</v>
      </c>
      <c r="AV676" s="198" t="s">
        <v>62</v>
      </c>
      <c r="AW676" s="198" t="s">
        <v>54</v>
      </c>
    </row>
    <row r="677" spans="3:49" outlineLevel="2" x14ac:dyDescent="0.25">
      <c r="C677" s="201"/>
      <c r="D677" s="198" t="s">
        <v>136</v>
      </c>
      <c r="H677" s="198" t="s">
        <v>136</v>
      </c>
      <c r="I677" s="202">
        <f t="shared" si="10"/>
        <v>283288124.69999957</v>
      </c>
      <c r="J677" s="202">
        <v>68.599999999999895</v>
      </c>
      <c r="L677" s="204">
        <v>54</v>
      </c>
      <c r="M677" s="202">
        <v>39342240</v>
      </c>
      <c r="N677" s="204">
        <v>54</v>
      </c>
      <c r="O677" s="198" t="s">
        <v>51</v>
      </c>
      <c r="P677" s="202">
        <v>39342240</v>
      </c>
      <c r="Q677" s="198" t="s">
        <v>73</v>
      </c>
      <c r="R677" s="198" t="s">
        <v>53</v>
      </c>
      <c r="S677" s="198" t="s">
        <v>54</v>
      </c>
      <c r="T677" s="198" t="s">
        <v>522</v>
      </c>
      <c r="U677" s="198" t="s">
        <v>367</v>
      </c>
      <c r="V677" s="198" t="s">
        <v>56</v>
      </c>
      <c r="W677" s="198" t="s">
        <v>356</v>
      </c>
      <c r="X677" s="198" t="s">
        <v>57</v>
      </c>
      <c r="Y677" s="198" t="s">
        <v>58</v>
      </c>
      <c r="Z677" s="201">
        <v>46203</v>
      </c>
      <c r="AA677" s="198" t="s">
        <v>59</v>
      </c>
      <c r="AB677" s="198" t="s">
        <v>60</v>
      </c>
      <c r="AC677" s="198" t="s">
        <v>86</v>
      </c>
      <c r="AD677" s="198" t="s">
        <v>62</v>
      </c>
      <c r="AE677" s="198" t="s">
        <v>523</v>
      </c>
      <c r="AF677" s="198" t="s">
        <v>521</v>
      </c>
      <c r="AG677" s="198" t="s">
        <v>189</v>
      </c>
      <c r="AH677" s="198" t="s">
        <v>137</v>
      </c>
      <c r="AI677" s="198" t="s">
        <v>56</v>
      </c>
      <c r="AJ677" s="198" t="s">
        <v>406</v>
      </c>
      <c r="AK677" s="198" t="s">
        <v>51</v>
      </c>
      <c r="AL677" s="198" t="s">
        <v>67</v>
      </c>
      <c r="AM677" s="198" t="s">
        <v>68</v>
      </c>
      <c r="AN677" s="202">
        <v>39342240</v>
      </c>
      <c r="AO677" s="202">
        <v>39342240</v>
      </c>
      <c r="AP677" s="202">
        <v>39342240</v>
      </c>
      <c r="AQ677" s="198" t="s">
        <v>358</v>
      </c>
      <c r="AR677" s="198" t="s">
        <v>51</v>
      </c>
      <c r="AS677" s="202">
        <v>39342240</v>
      </c>
      <c r="AT677" s="202">
        <v>39342240</v>
      </c>
      <c r="AU677" s="198" t="s">
        <v>359</v>
      </c>
      <c r="AV677" s="198" t="s">
        <v>62</v>
      </c>
      <c r="AW677" s="198" t="s">
        <v>54</v>
      </c>
    </row>
    <row r="678" spans="3:49" outlineLevel="2" x14ac:dyDescent="0.25">
      <c r="C678" s="201"/>
      <c r="D678" s="198" t="s">
        <v>133</v>
      </c>
      <c r="H678" s="198" t="s">
        <v>133</v>
      </c>
      <c r="I678" s="202">
        <f t="shared" si="10"/>
        <v>283701081.14999962</v>
      </c>
      <c r="J678" s="202">
        <v>68.699999999999903</v>
      </c>
      <c r="L678" s="204">
        <v>56</v>
      </c>
      <c r="M678" s="202">
        <v>40799304</v>
      </c>
      <c r="N678" s="204">
        <v>56</v>
      </c>
      <c r="O678" s="198" t="s">
        <v>51</v>
      </c>
      <c r="P678" s="202">
        <v>40799304</v>
      </c>
      <c r="Q678" s="198" t="s">
        <v>73</v>
      </c>
      <c r="R678" s="198" t="s">
        <v>53</v>
      </c>
      <c r="S678" s="198" t="s">
        <v>54</v>
      </c>
      <c r="T678" s="198" t="s">
        <v>524</v>
      </c>
      <c r="U678" s="198" t="s">
        <v>2032</v>
      </c>
      <c r="V678" s="198" t="s">
        <v>56</v>
      </c>
      <c r="W678" s="198" t="s">
        <v>356</v>
      </c>
      <c r="X678" s="198" t="s">
        <v>57</v>
      </c>
      <c r="Y678" s="198" t="s">
        <v>58</v>
      </c>
      <c r="Z678" s="201">
        <v>46295</v>
      </c>
      <c r="AA678" s="198" t="s">
        <v>59</v>
      </c>
      <c r="AB678" s="198" t="s">
        <v>60</v>
      </c>
      <c r="AC678" s="198" t="s">
        <v>86</v>
      </c>
      <c r="AD678" s="198" t="s">
        <v>62</v>
      </c>
      <c r="AE678" s="198" t="s">
        <v>523</v>
      </c>
      <c r="AF678" s="198" t="s">
        <v>521</v>
      </c>
      <c r="AG678" s="198" t="s">
        <v>214</v>
      </c>
      <c r="AH678" s="198" t="s">
        <v>134</v>
      </c>
      <c r="AI678" s="198" t="s">
        <v>56</v>
      </c>
      <c r="AJ678" s="198" t="s">
        <v>406</v>
      </c>
      <c r="AK678" s="198" t="s">
        <v>51</v>
      </c>
      <c r="AL678" s="198" t="s">
        <v>67</v>
      </c>
      <c r="AM678" s="198" t="s">
        <v>68</v>
      </c>
      <c r="AN678" s="202">
        <v>40799304</v>
      </c>
      <c r="AO678" s="202">
        <v>40799304</v>
      </c>
      <c r="AP678" s="202">
        <v>40799304</v>
      </c>
      <c r="AQ678" s="198" t="s">
        <v>358</v>
      </c>
      <c r="AR678" s="198" t="s">
        <v>51</v>
      </c>
      <c r="AS678" s="202">
        <v>40799304</v>
      </c>
      <c r="AT678" s="202">
        <v>40799304</v>
      </c>
      <c r="AU678" s="198" t="s">
        <v>359</v>
      </c>
      <c r="AV678" s="198" t="s">
        <v>62</v>
      </c>
      <c r="AW678" s="198" t="s">
        <v>54</v>
      </c>
    </row>
    <row r="679" spans="3:49" outlineLevel="2" x14ac:dyDescent="0.25">
      <c r="C679" s="201"/>
      <c r="D679" s="198" t="s">
        <v>135</v>
      </c>
      <c r="H679" s="198" t="s">
        <v>135</v>
      </c>
      <c r="I679" s="202">
        <f t="shared" si="10"/>
        <v>284114037.59999961</v>
      </c>
      <c r="J679" s="202">
        <v>68.799999999999898</v>
      </c>
      <c r="L679" s="204">
        <v>21</v>
      </c>
      <c r="M679" s="202">
        <v>15299760</v>
      </c>
      <c r="N679" s="204">
        <v>21</v>
      </c>
      <c r="O679" s="198" t="s">
        <v>51</v>
      </c>
      <c r="P679" s="202">
        <v>15299760</v>
      </c>
      <c r="Q679" s="198" t="s">
        <v>73</v>
      </c>
      <c r="R679" s="198" t="s">
        <v>53</v>
      </c>
      <c r="S679" s="198" t="s">
        <v>54</v>
      </c>
      <c r="T679" s="198" t="s">
        <v>522</v>
      </c>
      <c r="U679" s="198" t="s">
        <v>367</v>
      </c>
      <c r="V679" s="198" t="s">
        <v>56</v>
      </c>
      <c r="W679" s="198" t="s">
        <v>356</v>
      </c>
      <c r="X679" s="198" t="s">
        <v>57</v>
      </c>
      <c r="Y679" s="198" t="s">
        <v>58</v>
      </c>
      <c r="Z679" s="201">
        <v>46326</v>
      </c>
      <c r="AA679" s="198" t="s">
        <v>59</v>
      </c>
      <c r="AB679" s="198" t="s">
        <v>60</v>
      </c>
      <c r="AC679" s="198" t="s">
        <v>86</v>
      </c>
      <c r="AD679" s="198" t="s">
        <v>62</v>
      </c>
      <c r="AE679" s="198" t="s">
        <v>523</v>
      </c>
      <c r="AF679" s="198" t="s">
        <v>521</v>
      </c>
      <c r="AG679" s="198" t="s">
        <v>235</v>
      </c>
      <c r="AH679" s="198" t="s">
        <v>117</v>
      </c>
      <c r="AI679" s="198" t="s">
        <v>56</v>
      </c>
      <c r="AJ679" s="198" t="s">
        <v>406</v>
      </c>
      <c r="AK679" s="198" t="s">
        <v>51</v>
      </c>
      <c r="AL679" s="198" t="s">
        <v>67</v>
      </c>
      <c r="AM679" s="198" t="s">
        <v>68</v>
      </c>
      <c r="AN679" s="202">
        <v>15299760</v>
      </c>
      <c r="AO679" s="202">
        <v>15299760</v>
      </c>
      <c r="AP679" s="202">
        <v>15299760</v>
      </c>
      <c r="AQ679" s="198" t="s">
        <v>358</v>
      </c>
      <c r="AR679" s="198" t="s">
        <v>51</v>
      </c>
      <c r="AS679" s="202">
        <v>15299760</v>
      </c>
      <c r="AT679" s="202">
        <v>15299760</v>
      </c>
      <c r="AU679" s="198" t="s">
        <v>359</v>
      </c>
      <c r="AV679" s="198" t="s">
        <v>62</v>
      </c>
      <c r="AW679" s="198" t="s">
        <v>54</v>
      </c>
    </row>
    <row r="680" spans="3:49" outlineLevel="2" x14ac:dyDescent="0.25">
      <c r="C680" s="201"/>
      <c r="D680" s="198" t="s">
        <v>536</v>
      </c>
      <c r="H680" s="198" t="s">
        <v>536</v>
      </c>
      <c r="I680" s="202">
        <f t="shared" si="10"/>
        <v>284526994.04999959</v>
      </c>
      <c r="J680" s="202">
        <v>68.899999999999906</v>
      </c>
      <c r="L680" s="204">
        <v>2736</v>
      </c>
      <c r="M680" s="202">
        <v>472589.28</v>
      </c>
      <c r="N680" s="204">
        <v>55</v>
      </c>
      <c r="O680" s="198" t="s">
        <v>51</v>
      </c>
      <c r="P680" s="202">
        <v>9500.15</v>
      </c>
      <c r="Q680" s="198" t="s">
        <v>75</v>
      </c>
      <c r="R680" s="198" t="s">
        <v>53</v>
      </c>
      <c r="S680" s="198" t="s">
        <v>54</v>
      </c>
      <c r="T680" s="198" t="s">
        <v>538</v>
      </c>
      <c r="U680" s="198" t="s">
        <v>1742</v>
      </c>
      <c r="V680" s="198" t="s">
        <v>56</v>
      </c>
      <c r="W680" s="198" t="s">
        <v>356</v>
      </c>
      <c r="X680" s="198" t="s">
        <v>57</v>
      </c>
      <c r="Y680" s="198" t="s">
        <v>58</v>
      </c>
      <c r="Z680" s="201">
        <v>46203</v>
      </c>
      <c r="AA680" s="198" t="s">
        <v>59</v>
      </c>
      <c r="AB680" s="198" t="s">
        <v>60</v>
      </c>
      <c r="AC680" s="198" t="s">
        <v>86</v>
      </c>
      <c r="AD680" s="198" t="s">
        <v>62</v>
      </c>
      <c r="AE680" s="198" t="s">
        <v>324</v>
      </c>
      <c r="AF680" s="198" t="s">
        <v>323</v>
      </c>
      <c r="AG680" s="198" t="s">
        <v>189</v>
      </c>
      <c r="AH680" s="198" t="s">
        <v>126</v>
      </c>
      <c r="AI680" s="198" t="s">
        <v>56</v>
      </c>
      <c r="AJ680" s="198" t="s">
        <v>325</v>
      </c>
      <c r="AK680" s="198" t="s">
        <v>51</v>
      </c>
      <c r="AL680" s="198" t="s">
        <v>67</v>
      </c>
      <c r="AM680" s="198" t="s">
        <v>68</v>
      </c>
      <c r="AN680" s="202">
        <v>472589.28</v>
      </c>
      <c r="AO680" s="202">
        <v>472589.28</v>
      </c>
      <c r="AP680" s="202">
        <v>472589.28</v>
      </c>
      <c r="AQ680" s="198" t="s">
        <v>358</v>
      </c>
      <c r="AR680" s="198" t="s">
        <v>51</v>
      </c>
      <c r="AS680" s="202">
        <v>9500.15</v>
      </c>
      <c r="AT680" s="202">
        <v>9500.15</v>
      </c>
      <c r="AU680" s="198" t="s">
        <v>359</v>
      </c>
      <c r="AV680" s="198" t="s">
        <v>62</v>
      </c>
      <c r="AW680" s="198" t="s">
        <v>54</v>
      </c>
    </row>
    <row r="681" spans="3:49" outlineLevel="2" x14ac:dyDescent="0.25">
      <c r="C681" s="201"/>
      <c r="D681" s="198" t="s">
        <v>550</v>
      </c>
      <c r="H681" s="198" t="s">
        <v>550</v>
      </c>
      <c r="I681" s="202">
        <f t="shared" si="10"/>
        <v>284939950.49999958</v>
      </c>
      <c r="J681" s="202">
        <v>68.999999999999901</v>
      </c>
      <c r="L681" s="204">
        <v>40000</v>
      </c>
      <c r="M681" s="202">
        <v>94842000</v>
      </c>
      <c r="N681" s="204">
        <v>40000</v>
      </c>
      <c r="O681" s="198" t="s">
        <v>51</v>
      </c>
      <c r="P681" s="202">
        <v>94842000</v>
      </c>
      <c r="Q681" s="198" t="s">
        <v>75</v>
      </c>
      <c r="R681" s="198" t="s">
        <v>53</v>
      </c>
      <c r="S681" s="198" t="s">
        <v>54</v>
      </c>
      <c r="T681" s="198" t="s">
        <v>437</v>
      </c>
      <c r="U681" s="198" t="s">
        <v>2042</v>
      </c>
      <c r="V681" s="198" t="s">
        <v>56</v>
      </c>
      <c r="W681" s="198" t="s">
        <v>356</v>
      </c>
      <c r="X681" s="198" t="s">
        <v>57</v>
      </c>
      <c r="Y681" s="198" t="s">
        <v>58</v>
      </c>
      <c r="Z681" s="201">
        <v>46203</v>
      </c>
      <c r="AA681" s="198" t="s">
        <v>59</v>
      </c>
      <c r="AB681" s="198" t="s">
        <v>60</v>
      </c>
      <c r="AC681" s="198" t="s">
        <v>86</v>
      </c>
      <c r="AD681" s="198" t="s">
        <v>62</v>
      </c>
      <c r="AE681" s="198" t="s">
        <v>552</v>
      </c>
      <c r="AF681" s="198" t="s">
        <v>551</v>
      </c>
      <c r="AG681" s="198" t="s">
        <v>189</v>
      </c>
      <c r="AH681" s="198" t="s">
        <v>117</v>
      </c>
      <c r="AI681" s="198" t="s">
        <v>56</v>
      </c>
      <c r="AJ681" s="198" t="s">
        <v>318</v>
      </c>
      <c r="AK681" s="198" t="s">
        <v>51</v>
      </c>
      <c r="AL681" s="198" t="s">
        <v>67</v>
      </c>
      <c r="AM681" s="198" t="s">
        <v>68</v>
      </c>
      <c r="AN681" s="202">
        <v>94842000</v>
      </c>
      <c r="AO681" s="202">
        <v>94842000</v>
      </c>
      <c r="AP681" s="202">
        <v>94842000</v>
      </c>
      <c r="AQ681" s="198" t="s">
        <v>358</v>
      </c>
      <c r="AR681" s="198" t="s">
        <v>51</v>
      </c>
      <c r="AS681" s="202">
        <v>94842000</v>
      </c>
      <c r="AT681" s="202">
        <v>94842000</v>
      </c>
      <c r="AU681" s="198" t="s">
        <v>359</v>
      </c>
      <c r="AV681" s="198" t="s">
        <v>62</v>
      </c>
      <c r="AW681" s="198" t="s">
        <v>54</v>
      </c>
    </row>
    <row r="682" spans="3:49" outlineLevel="2" x14ac:dyDescent="0.25">
      <c r="C682" s="201"/>
      <c r="D682" s="198" t="s">
        <v>553</v>
      </c>
      <c r="H682" s="198" t="s">
        <v>553</v>
      </c>
      <c r="I682" s="202">
        <f t="shared" si="10"/>
        <v>285352906.94999957</v>
      </c>
      <c r="J682" s="202">
        <v>69.099999999999895</v>
      </c>
      <c r="L682" s="204">
        <v>100000</v>
      </c>
      <c r="M682" s="202">
        <v>237105000</v>
      </c>
      <c r="N682" s="204">
        <v>100000</v>
      </c>
      <c r="O682" s="198" t="s">
        <v>51</v>
      </c>
      <c r="P682" s="202">
        <v>237105000</v>
      </c>
      <c r="Q682" s="198" t="s">
        <v>75</v>
      </c>
      <c r="R682" s="198" t="s">
        <v>53</v>
      </c>
      <c r="S682" s="198" t="s">
        <v>54</v>
      </c>
      <c r="T682" s="198" t="s">
        <v>437</v>
      </c>
      <c r="U682" s="198" t="s">
        <v>1741</v>
      </c>
      <c r="V682" s="198" t="s">
        <v>56</v>
      </c>
      <c r="W682" s="198" t="s">
        <v>356</v>
      </c>
      <c r="X682" s="198" t="s">
        <v>57</v>
      </c>
      <c r="Y682" s="198" t="s">
        <v>58</v>
      </c>
      <c r="Z682" s="201">
        <v>46203</v>
      </c>
      <c r="AA682" s="198" t="s">
        <v>59</v>
      </c>
      <c r="AB682" s="198" t="s">
        <v>60</v>
      </c>
      <c r="AC682" s="198" t="s">
        <v>86</v>
      </c>
      <c r="AD682" s="198" t="s">
        <v>62</v>
      </c>
      <c r="AE682" s="198" t="s">
        <v>552</v>
      </c>
      <c r="AF682" s="198" t="s">
        <v>551</v>
      </c>
      <c r="AG682" s="198" t="s">
        <v>189</v>
      </c>
      <c r="AH682" s="198" t="s">
        <v>134</v>
      </c>
      <c r="AI682" s="198" t="s">
        <v>56</v>
      </c>
      <c r="AJ682" s="198" t="s">
        <v>318</v>
      </c>
      <c r="AK682" s="198" t="s">
        <v>51</v>
      </c>
      <c r="AL682" s="198" t="s">
        <v>67</v>
      </c>
      <c r="AM682" s="198" t="s">
        <v>68</v>
      </c>
      <c r="AN682" s="202">
        <v>237105000</v>
      </c>
      <c r="AO682" s="202">
        <v>237105000</v>
      </c>
      <c r="AP682" s="202">
        <v>237105000</v>
      </c>
      <c r="AQ682" s="198" t="s">
        <v>358</v>
      </c>
      <c r="AR682" s="198" t="s">
        <v>51</v>
      </c>
      <c r="AS682" s="202">
        <v>237105000</v>
      </c>
      <c r="AT682" s="202">
        <v>237105000</v>
      </c>
      <c r="AU682" s="198" t="s">
        <v>359</v>
      </c>
      <c r="AV682" s="198" t="s">
        <v>62</v>
      </c>
      <c r="AW682" s="198" t="s">
        <v>54</v>
      </c>
    </row>
    <row r="683" spans="3:49" outlineLevel="2" x14ac:dyDescent="0.25">
      <c r="C683" s="201"/>
      <c r="D683" s="198" t="s">
        <v>553</v>
      </c>
      <c r="H683" s="198" t="s">
        <v>553</v>
      </c>
      <c r="I683" s="202">
        <f t="shared" si="10"/>
        <v>285765863.39999962</v>
      </c>
      <c r="J683" s="202">
        <v>69.199999999999903</v>
      </c>
      <c r="L683" s="204">
        <v>31000</v>
      </c>
      <c r="M683" s="202">
        <v>73502550</v>
      </c>
      <c r="N683" s="204">
        <v>677</v>
      </c>
      <c r="O683" s="198" t="s">
        <v>51</v>
      </c>
      <c r="P683" s="202">
        <v>1605200.85</v>
      </c>
      <c r="Q683" s="198" t="s">
        <v>75</v>
      </c>
      <c r="R683" s="198" t="s">
        <v>53</v>
      </c>
      <c r="S683" s="198" t="s">
        <v>54</v>
      </c>
      <c r="T683" s="198" t="s">
        <v>437</v>
      </c>
      <c r="U683" s="198" t="s">
        <v>368</v>
      </c>
      <c r="V683" s="198" t="s">
        <v>56</v>
      </c>
      <c r="W683" s="198" t="s">
        <v>356</v>
      </c>
      <c r="X683" s="198" t="s">
        <v>57</v>
      </c>
      <c r="Y683" s="198" t="s">
        <v>58</v>
      </c>
      <c r="Z683" s="201">
        <v>46203</v>
      </c>
      <c r="AA683" s="198" t="s">
        <v>59</v>
      </c>
      <c r="AB683" s="198" t="s">
        <v>60</v>
      </c>
      <c r="AC683" s="198" t="s">
        <v>86</v>
      </c>
      <c r="AD683" s="198" t="s">
        <v>62</v>
      </c>
      <c r="AE683" s="198" t="s">
        <v>552</v>
      </c>
      <c r="AF683" s="198" t="s">
        <v>551</v>
      </c>
      <c r="AG683" s="198" t="s">
        <v>189</v>
      </c>
      <c r="AH683" s="198" t="s">
        <v>134</v>
      </c>
      <c r="AI683" s="198" t="s">
        <v>56</v>
      </c>
      <c r="AJ683" s="198" t="s">
        <v>318</v>
      </c>
      <c r="AK683" s="198" t="s">
        <v>51</v>
      </c>
      <c r="AL683" s="198" t="s">
        <v>67</v>
      </c>
      <c r="AM683" s="198" t="s">
        <v>68</v>
      </c>
      <c r="AN683" s="202">
        <v>73502550</v>
      </c>
      <c r="AO683" s="202">
        <v>73502550</v>
      </c>
      <c r="AP683" s="202">
        <v>73502550</v>
      </c>
      <c r="AQ683" s="198" t="s">
        <v>358</v>
      </c>
      <c r="AR683" s="198" t="s">
        <v>51</v>
      </c>
      <c r="AS683" s="202">
        <v>1605200.85</v>
      </c>
      <c r="AT683" s="202">
        <v>1605200.85</v>
      </c>
      <c r="AU683" s="198" t="s">
        <v>359</v>
      </c>
      <c r="AV683" s="198" t="s">
        <v>62</v>
      </c>
      <c r="AW683" s="198" t="s">
        <v>54</v>
      </c>
    </row>
    <row r="684" spans="3:49" outlineLevel="2" x14ac:dyDescent="0.25">
      <c r="C684" s="201"/>
      <c r="D684" s="198" t="s">
        <v>554</v>
      </c>
      <c r="H684" s="198" t="s">
        <v>554</v>
      </c>
      <c r="I684" s="202">
        <f t="shared" si="10"/>
        <v>286178819.84999961</v>
      </c>
      <c r="J684" s="202">
        <v>69.299999999999898</v>
      </c>
      <c r="L684" s="204">
        <v>27540</v>
      </c>
      <c r="M684" s="202">
        <v>6810917.4000000004</v>
      </c>
      <c r="N684" s="204">
        <v>1198</v>
      </c>
      <c r="O684" s="198" t="s">
        <v>51</v>
      </c>
      <c r="P684" s="202">
        <v>296277.38</v>
      </c>
      <c r="Q684" s="198" t="s">
        <v>75</v>
      </c>
      <c r="R684" s="198" t="s">
        <v>53</v>
      </c>
      <c r="S684" s="198" t="s">
        <v>54</v>
      </c>
      <c r="T684" s="198" t="s">
        <v>538</v>
      </c>
      <c r="U684" s="198" t="s">
        <v>2079</v>
      </c>
      <c r="V684" s="198" t="s">
        <v>56</v>
      </c>
      <c r="W684" s="198" t="s">
        <v>356</v>
      </c>
      <c r="X684" s="198" t="s">
        <v>57</v>
      </c>
      <c r="Y684" s="198" t="s">
        <v>58</v>
      </c>
      <c r="Z684" s="201">
        <v>46203</v>
      </c>
      <c r="AA684" s="198" t="s">
        <v>59</v>
      </c>
      <c r="AB684" s="198" t="s">
        <v>60</v>
      </c>
      <c r="AC684" s="198" t="s">
        <v>86</v>
      </c>
      <c r="AD684" s="198" t="s">
        <v>62</v>
      </c>
      <c r="AE684" s="198" t="s">
        <v>539</v>
      </c>
      <c r="AF684" s="198" t="s">
        <v>537</v>
      </c>
      <c r="AG684" s="198" t="s">
        <v>189</v>
      </c>
      <c r="AH684" s="198" t="s">
        <v>130</v>
      </c>
      <c r="AI684" s="198" t="s">
        <v>56</v>
      </c>
      <c r="AJ684" s="198" t="s">
        <v>325</v>
      </c>
      <c r="AK684" s="198" t="s">
        <v>51</v>
      </c>
      <c r="AL684" s="198" t="s">
        <v>67</v>
      </c>
      <c r="AM684" s="198" t="s">
        <v>68</v>
      </c>
      <c r="AN684" s="202">
        <v>6810917.4000000004</v>
      </c>
      <c r="AO684" s="202">
        <v>6810917.4000000004</v>
      </c>
      <c r="AP684" s="202">
        <v>6810917.4000000004</v>
      </c>
      <c r="AQ684" s="198" t="s">
        <v>358</v>
      </c>
      <c r="AR684" s="198" t="s">
        <v>51</v>
      </c>
      <c r="AS684" s="202">
        <v>296277.38</v>
      </c>
      <c r="AT684" s="202">
        <v>296277.38</v>
      </c>
      <c r="AU684" s="198" t="s">
        <v>359</v>
      </c>
      <c r="AV684" s="198" t="s">
        <v>62</v>
      </c>
      <c r="AW684" s="198" t="s">
        <v>54</v>
      </c>
    </row>
    <row r="685" spans="3:49" outlineLevel="2" x14ac:dyDescent="0.25">
      <c r="C685" s="201"/>
      <c r="D685" s="198" t="s">
        <v>554</v>
      </c>
      <c r="H685" s="198" t="s">
        <v>554</v>
      </c>
      <c r="I685" s="202">
        <f t="shared" si="10"/>
        <v>286591776.29999959</v>
      </c>
      <c r="J685" s="202">
        <v>69.399999999999906</v>
      </c>
      <c r="L685" s="204">
        <v>82458</v>
      </c>
      <c r="M685" s="202">
        <v>11851688.34</v>
      </c>
      <c r="N685" s="204">
        <v>15837</v>
      </c>
      <c r="O685" s="198" t="s">
        <v>51</v>
      </c>
      <c r="P685" s="202">
        <v>2276252.0099999998</v>
      </c>
      <c r="Q685" s="198" t="s">
        <v>75</v>
      </c>
      <c r="R685" s="198" t="s">
        <v>53</v>
      </c>
      <c r="S685" s="198" t="s">
        <v>54</v>
      </c>
      <c r="T685" s="198" t="s">
        <v>538</v>
      </c>
      <c r="U685" s="198" t="s">
        <v>2079</v>
      </c>
      <c r="V685" s="198" t="s">
        <v>56</v>
      </c>
      <c r="W685" s="198" t="s">
        <v>356</v>
      </c>
      <c r="X685" s="198" t="s">
        <v>57</v>
      </c>
      <c r="Y685" s="198" t="s">
        <v>58</v>
      </c>
      <c r="Z685" s="201">
        <v>46203</v>
      </c>
      <c r="AA685" s="198" t="s">
        <v>59</v>
      </c>
      <c r="AB685" s="198" t="s">
        <v>60</v>
      </c>
      <c r="AC685" s="198" t="s">
        <v>86</v>
      </c>
      <c r="AD685" s="198" t="s">
        <v>62</v>
      </c>
      <c r="AE685" s="198" t="s">
        <v>547</v>
      </c>
      <c r="AF685" s="198" t="s">
        <v>546</v>
      </c>
      <c r="AG685" s="198" t="s">
        <v>189</v>
      </c>
      <c r="AH685" s="198" t="s">
        <v>130</v>
      </c>
      <c r="AI685" s="198" t="s">
        <v>56</v>
      </c>
      <c r="AJ685" s="198" t="s">
        <v>318</v>
      </c>
      <c r="AK685" s="198" t="s">
        <v>51</v>
      </c>
      <c r="AL685" s="198" t="s">
        <v>67</v>
      </c>
      <c r="AM685" s="198" t="s">
        <v>68</v>
      </c>
      <c r="AN685" s="202">
        <v>11851688.34</v>
      </c>
      <c r="AO685" s="202">
        <v>11851688.34</v>
      </c>
      <c r="AP685" s="202">
        <v>11851688.34</v>
      </c>
      <c r="AQ685" s="198" t="s">
        <v>358</v>
      </c>
      <c r="AR685" s="198" t="s">
        <v>51</v>
      </c>
      <c r="AS685" s="202">
        <v>2276252.0099999998</v>
      </c>
      <c r="AT685" s="202">
        <v>2276252.0099999998</v>
      </c>
      <c r="AU685" s="198" t="s">
        <v>359</v>
      </c>
      <c r="AV685" s="198" t="s">
        <v>62</v>
      </c>
      <c r="AW685" s="198" t="s">
        <v>54</v>
      </c>
    </row>
    <row r="686" spans="3:49" outlineLevel="2" x14ac:dyDescent="0.25">
      <c r="C686" s="201"/>
      <c r="D686" s="198" t="s">
        <v>554</v>
      </c>
      <c r="H686" s="198" t="s">
        <v>554</v>
      </c>
      <c r="I686" s="202">
        <f t="shared" si="10"/>
        <v>287004732.74999958</v>
      </c>
      <c r="J686" s="202">
        <v>69.499999999999901</v>
      </c>
      <c r="L686" s="204">
        <v>36288</v>
      </c>
      <c r="M686" s="202">
        <v>3733309.4399999999</v>
      </c>
      <c r="N686" s="204">
        <v>23154</v>
      </c>
      <c r="O686" s="198" t="s">
        <v>51</v>
      </c>
      <c r="P686" s="202">
        <v>2382083.52</v>
      </c>
      <c r="Q686" s="198" t="s">
        <v>75</v>
      </c>
      <c r="R686" s="198" t="s">
        <v>53</v>
      </c>
      <c r="S686" s="198" t="s">
        <v>54</v>
      </c>
      <c r="T686" s="198" t="s">
        <v>538</v>
      </c>
      <c r="U686" s="198" t="s">
        <v>2079</v>
      </c>
      <c r="V686" s="198" t="s">
        <v>56</v>
      </c>
      <c r="W686" s="198" t="s">
        <v>356</v>
      </c>
      <c r="X686" s="198" t="s">
        <v>57</v>
      </c>
      <c r="Y686" s="198" t="s">
        <v>58</v>
      </c>
      <c r="Z686" s="201">
        <v>46203</v>
      </c>
      <c r="AA686" s="198" t="s">
        <v>59</v>
      </c>
      <c r="AB686" s="198" t="s">
        <v>60</v>
      </c>
      <c r="AC686" s="198" t="s">
        <v>86</v>
      </c>
      <c r="AD686" s="198" t="s">
        <v>62</v>
      </c>
      <c r="AE686" s="198" t="s">
        <v>549</v>
      </c>
      <c r="AF686" s="198" t="s">
        <v>548</v>
      </c>
      <c r="AG686" s="198" t="s">
        <v>189</v>
      </c>
      <c r="AH686" s="198" t="s">
        <v>130</v>
      </c>
      <c r="AI686" s="198" t="s">
        <v>56</v>
      </c>
      <c r="AJ686" s="198" t="s">
        <v>294</v>
      </c>
      <c r="AK686" s="198" t="s">
        <v>51</v>
      </c>
      <c r="AL686" s="198" t="s">
        <v>67</v>
      </c>
      <c r="AM686" s="198" t="s">
        <v>68</v>
      </c>
      <c r="AN686" s="202">
        <v>3733309.4399999999</v>
      </c>
      <c r="AO686" s="202">
        <v>3733309.4399999999</v>
      </c>
      <c r="AP686" s="202">
        <v>3733309.4399999999</v>
      </c>
      <c r="AQ686" s="198" t="s">
        <v>358</v>
      </c>
      <c r="AR686" s="198" t="s">
        <v>51</v>
      </c>
      <c r="AS686" s="202">
        <v>2382083.52</v>
      </c>
      <c r="AT686" s="202">
        <v>2382083.52</v>
      </c>
      <c r="AU686" s="198" t="s">
        <v>359</v>
      </c>
      <c r="AV686" s="198" t="s">
        <v>62</v>
      </c>
      <c r="AW686" s="198" t="s">
        <v>54</v>
      </c>
    </row>
    <row r="687" spans="3:49" outlineLevel="2" x14ac:dyDescent="0.25">
      <c r="C687" s="201"/>
      <c r="D687" s="198" t="s">
        <v>554</v>
      </c>
      <c r="H687" s="198" t="s">
        <v>554</v>
      </c>
      <c r="I687" s="202">
        <f t="shared" si="10"/>
        <v>287417689.19999957</v>
      </c>
      <c r="J687" s="202">
        <v>69.599999999999895</v>
      </c>
      <c r="L687" s="204">
        <v>9228</v>
      </c>
      <c r="M687" s="202">
        <v>710925.12</v>
      </c>
      <c r="N687" s="204">
        <v>4951</v>
      </c>
      <c r="O687" s="198" t="s">
        <v>51</v>
      </c>
      <c r="P687" s="202">
        <v>381425.04</v>
      </c>
      <c r="Q687" s="198" t="s">
        <v>75</v>
      </c>
      <c r="R687" s="198" t="s">
        <v>53</v>
      </c>
      <c r="S687" s="198" t="s">
        <v>54</v>
      </c>
      <c r="T687" s="198" t="s">
        <v>538</v>
      </c>
      <c r="U687" s="198" t="s">
        <v>367</v>
      </c>
      <c r="V687" s="198" t="s">
        <v>56</v>
      </c>
      <c r="W687" s="198" t="s">
        <v>356</v>
      </c>
      <c r="X687" s="198" t="s">
        <v>57</v>
      </c>
      <c r="Y687" s="198" t="s">
        <v>58</v>
      </c>
      <c r="Z687" s="201">
        <v>46203</v>
      </c>
      <c r="AA687" s="198" t="s">
        <v>59</v>
      </c>
      <c r="AB687" s="198" t="s">
        <v>60</v>
      </c>
      <c r="AC687" s="198" t="s">
        <v>86</v>
      </c>
      <c r="AD687" s="198" t="s">
        <v>62</v>
      </c>
      <c r="AE687" s="198" t="s">
        <v>549</v>
      </c>
      <c r="AF687" s="198" t="s">
        <v>548</v>
      </c>
      <c r="AG687" s="198" t="s">
        <v>189</v>
      </c>
      <c r="AH687" s="198" t="s">
        <v>130</v>
      </c>
      <c r="AI687" s="198" t="s">
        <v>56</v>
      </c>
      <c r="AJ687" s="198" t="s">
        <v>294</v>
      </c>
      <c r="AK687" s="198" t="s">
        <v>51</v>
      </c>
      <c r="AL687" s="198" t="s">
        <v>67</v>
      </c>
      <c r="AM687" s="198" t="s">
        <v>68</v>
      </c>
      <c r="AN687" s="202">
        <v>710925.12</v>
      </c>
      <c r="AO687" s="202">
        <v>710925.12</v>
      </c>
      <c r="AP687" s="202">
        <v>710925.12</v>
      </c>
      <c r="AQ687" s="198" t="s">
        <v>358</v>
      </c>
      <c r="AR687" s="198" t="s">
        <v>51</v>
      </c>
      <c r="AS687" s="202">
        <v>381425.04</v>
      </c>
      <c r="AT687" s="202">
        <v>381425.04</v>
      </c>
      <c r="AU687" s="198" t="s">
        <v>359</v>
      </c>
      <c r="AV687" s="198" t="s">
        <v>62</v>
      </c>
      <c r="AW687" s="198" t="s">
        <v>54</v>
      </c>
    </row>
    <row r="688" spans="3:49" outlineLevel="2" x14ac:dyDescent="0.25">
      <c r="C688" s="201"/>
      <c r="D688" s="198" t="s">
        <v>554</v>
      </c>
      <c r="H688" s="198" t="s">
        <v>554</v>
      </c>
      <c r="I688" s="202">
        <f t="shared" si="10"/>
        <v>287830645.64999962</v>
      </c>
      <c r="J688" s="202">
        <v>69.699999999999903</v>
      </c>
      <c r="L688" s="204">
        <v>3906</v>
      </c>
      <c r="M688" s="202">
        <v>674683.38</v>
      </c>
      <c r="N688" s="204">
        <v>3906</v>
      </c>
      <c r="O688" s="198" t="s">
        <v>51</v>
      </c>
      <c r="P688" s="202">
        <v>674683.38</v>
      </c>
      <c r="Q688" s="198" t="s">
        <v>75</v>
      </c>
      <c r="R688" s="198" t="s">
        <v>53</v>
      </c>
      <c r="S688" s="198" t="s">
        <v>54</v>
      </c>
      <c r="T688" s="198" t="s">
        <v>538</v>
      </c>
      <c r="U688" s="198" t="s">
        <v>367</v>
      </c>
      <c r="V688" s="198" t="s">
        <v>56</v>
      </c>
      <c r="W688" s="198" t="s">
        <v>356</v>
      </c>
      <c r="X688" s="198" t="s">
        <v>57</v>
      </c>
      <c r="Y688" s="198" t="s">
        <v>58</v>
      </c>
      <c r="Z688" s="201">
        <v>46203</v>
      </c>
      <c r="AA688" s="198" t="s">
        <v>59</v>
      </c>
      <c r="AB688" s="198" t="s">
        <v>60</v>
      </c>
      <c r="AC688" s="198" t="s">
        <v>86</v>
      </c>
      <c r="AD688" s="198" t="s">
        <v>62</v>
      </c>
      <c r="AE688" s="198" t="s">
        <v>324</v>
      </c>
      <c r="AF688" s="198" t="s">
        <v>323</v>
      </c>
      <c r="AG688" s="198" t="s">
        <v>189</v>
      </c>
      <c r="AH688" s="198" t="s">
        <v>130</v>
      </c>
      <c r="AI688" s="198" t="s">
        <v>56</v>
      </c>
      <c r="AJ688" s="198" t="s">
        <v>325</v>
      </c>
      <c r="AK688" s="198" t="s">
        <v>51</v>
      </c>
      <c r="AL688" s="198" t="s">
        <v>67</v>
      </c>
      <c r="AM688" s="198" t="s">
        <v>68</v>
      </c>
      <c r="AN688" s="202">
        <v>674683.38</v>
      </c>
      <c r="AO688" s="202">
        <v>674683.38</v>
      </c>
      <c r="AP688" s="202">
        <v>674683.38</v>
      </c>
      <c r="AQ688" s="198" t="s">
        <v>358</v>
      </c>
      <c r="AR688" s="198" t="s">
        <v>51</v>
      </c>
      <c r="AS688" s="202">
        <v>674683.38</v>
      </c>
      <c r="AT688" s="202">
        <v>674683.38</v>
      </c>
      <c r="AU688" s="198" t="s">
        <v>359</v>
      </c>
      <c r="AV688" s="198" t="s">
        <v>62</v>
      </c>
      <c r="AW688" s="198" t="s">
        <v>54</v>
      </c>
    </row>
    <row r="689" spans="3:49" outlineLevel="2" x14ac:dyDescent="0.25">
      <c r="C689" s="201"/>
      <c r="D689" s="198" t="s">
        <v>555</v>
      </c>
      <c r="H689" s="198" t="s">
        <v>555</v>
      </c>
      <c r="I689" s="202">
        <f t="shared" si="10"/>
        <v>288243602.09999961</v>
      </c>
      <c r="J689" s="202">
        <v>69.799999999999898</v>
      </c>
      <c r="L689" s="204">
        <v>24480</v>
      </c>
      <c r="M689" s="202">
        <v>6054148.7999999998</v>
      </c>
      <c r="N689" s="204">
        <v>2701</v>
      </c>
      <c r="O689" s="198" t="s">
        <v>51</v>
      </c>
      <c r="P689" s="202">
        <v>667984.31000000006</v>
      </c>
      <c r="Q689" s="198" t="s">
        <v>75</v>
      </c>
      <c r="R689" s="198" t="s">
        <v>53</v>
      </c>
      <c r="S689" s="198" t="s">
        <v>54</v>
      </c>
      <c r="T689" s="198" t="s">
        <v>538</v>
      </c>
      <c r="U689" s="198" t="s">
        <v>2047</v>
      </c>
      <c r="V689" s="198" t="s">
        <v>56</v>
      </c>
      <c r="W689" s="198" t="s">
        <v>356</v>
      </c>
      <c r="X689" s="198" t="s">
        <v>57</v>
      </c>
      <c r="Y689" s="198" t="s">
        <v>58</v>
      </c>
      <c r="Z689" s="201">
        <v>46203</v>
      </c>
      <c r="AA689" s="198" t="s">
        <v>59</v>
      </c>
      <c r="AB689" s="198" t="s">
        <v>60</v>
      </c>
      <c r="AC689" s="198" t="s">
        <v>86</v>
      </c>
      <c r="AD689" s="198" t="s">
        <v>62</v>
      </c>
      <c r="AE689" s="198" t="s">
        <v>539</v>
      </c>
      <c r="AF689" s="198" t="s">
        <v>537</v>
      </c>
      <c r="AG689" s="198" t="s">
        <v>189</v>
      </c>
      <c r="AH689" s="198" t="s">
        <v>132</v>
      </c>
      <c r="AI689" s="198" t="s">
        <v>56</v>
      </c>
      <c r="AJ689" s="198" t="s">
        <v>325</v>
      </c>
      <c r="AK689" s="198" t="s">
        <v>51</v>
      </c>
      <c r="AL689" s="198" t="s">
        <v>67</v>
      </c>
      <c r="AM689" s="198" t="s">
        <v>68</v>
      </c>
      <c r="AN689" s="202">
        <v>6054148.7999999998</v>
      </c>
      <c r="AO689" s="202">
        <v>6054148.7999999998</v>
      </c>
      <c r="AP689" s="202">
        <v>6054148.7999999998</v>
      </c>
      <c r="AQ689" s="198" t="s">
        <v>358</v>
      </c>
      <c r="AR689" s="198" t="s">
        <v>51</v>
      </c>
      <c r="AS689" s="202">
        <v>667984.31000000006</v>
      </c>
      <c r="AT689" s="202">
        <v>667984.31000000006</v>
      </c>
      <c r="AU689" s="198" t="s">
        <v>359</v>
      </c>
      <c r="AV689" s="198" t="s">
        <v>62</v>
      </c>
      <c r="AW689" s="198" t="s">
        <v>54</v>
      </c>
    </row>
    <row r="690" spans="3:49" outlineLevel="2" x14ac:dyDescent="0.25">
      <c r="C690" s="201"/>
      <c r="D690" s="198" t="s">
        <v>555</v>
      </c>
      <c r="H690" s="198" t="s">
        <v>555</v>
      </c>
      <c r="I690" s="202">
        <f t="shared" si="10"/>
        <v>288656558.54999959</v>
      </c>
      <c r="J690" s="202">
        <v>69.899999999999906</v>
      </c>
      <c r="L690" s="204">
        <v>22464</v>
      </c>
      <c r="M690" s="202">
        <v>2562693.1200000001</v>
      </c>
      <c r="N690" s="204">
        <v>22464</v>
      </c>
      <c r="O690" s="198" t="s">
        <v>51</v>
      </c>
      <c r="P690" s="202">
        <v>2562693.1200000001</v>
      </c>
      <c r="Q690" s="198" t="s">
        <v>75</v>
      </c>
      <c r="R690" s="198" t="s">
        <v>53</v>
      </c>
      <c r="S690" s="198" t="s">
        <v>54</v>
      </c>
      <c r="T690" s="198" t="s">
        <v>538</v>
      </c>
      <c r="U690" s="198" t="s">
        <v>367</v>
      </c>
      <c r="V690" s="198" t="s">
        <v>56</v>
      </c>
      <c r="W690" s="198" t="s">
        <v>356</v>
      </c>
      <c r="X690" s="198" t="s">
        <v>57</v>
      </c>
      <c r="Y690" s="198" t="s">
        <v>58</v>
      </c>
      <c r="Z690" s="201">
        <v>46203</v>
      </c>
      <c r="AA690" s="198" t="s">
        <v>59</v>
      </c>
      <c r="AB690" s="198" t="s">
        <v>60</v>
      </c>
      <c r="AC690" s="198" t="s">
        <v>86</v>
      </c>
      <c r="AD690" s="198" t="s">
        <v>62</v>
      </c>
      <c r="AE690" s="198" t="s">
        <v>545</v>
      </c>
      <c r="AF690" s="198" t="s">
        <v>544</v>
      </c>
      <c r="AG690" s="198" t="s">
        <v>189</v>
      </c>
      <c r="AH690" s="198" t="s">
        <v>132</v>
      </c>
      <c r="AI690" s="198" t="s">
        <v>56</v>
      </c>
      <c r="AJ690" s="198" t="s">
        <v>318</v>
      </c>
      <c r="AK690" s="198" t="s">
        <v>51</v>
      </c>
      <c r="AL690" s="198" t="s">
        <v>67</v>
      </c>
      <c r="AM690" s="198" t="s">
        <v>68</v>
      </c>
      <c r="AN690" s="202">
        <v>2562693.1200000001</v>
      </c>
      <c r="AO690" s="202">
        <v>2562693.1200000001</v>
      </c>
      <c r="AP690" s="202">
        <v>2562693.1200000001</v>
      </c>
      <c r="AQ690" s="198" t="s">
        <v>358</v>
      </c>
      <c r="AR690" s="198" t="s">
        <v>51</v>
      </c>
      <c r="AS690" s="202">
        <v>2562693.1200000001</v>
      </c>
      <c r="AT690" s="202">
        <v>2562693.1200000001</v>
      </c>
      <c r="AU690" s="198" t="s">
        <v>359</v>
      </c>
      <c r="AV690" s="198" t="s">
        <v>62</v>
      </c>
      <c r="AW690" s="198" t="s">
        <v>54</v>
      </c>
    </row>
    <row r="691" spans="3:49" outlineLevel="2" x14ac:dyDescent="0.25">
      <c r="C691" s="201"/>
      <c r="D691" s="198" t="s">
        <v>555</v>
      </c>
      <c r="H691" s="198" t="s">
        <v>555</v>
      </c>
      <c r="I691" s="202">
        <f t="shared" si="10"/>
        <v>289069514.99999958</v>
      </c>
      <c r="J691" s="202">
        <v>69.999999999999901</v>
      </c>
      <c r="L691" s="204">
        <v>73296</v>
      </c>
      <c r="M691" s="202">
        <v>10534834.08</v>
      </c>
      <c r="N691" s="204">
        <v>9390</v>
      </c>
      <c r="O691" s="198" t="s">
        <v>51</v>
      </c>
      <c r="P691" s="202">
        <v>1349624.7</v>
      </c>
      <c r="Q691" s="198" t="s">
        <v>75</v>
      </c>
      <c r="R691" s="198" t="s">
        <v>53</v>
      </c>
      <c r="S691" s="198" t="s">
        <v>54</v>
      </c>
      <c r="T691" s="198" t="s">
        <v>538</v>
      </c>
      <c r="U691" s="198" t="s">
        <v>2047</v>
      </c>
      <c r="V691" s="198" t="s">
        <v>56</v>
      </c>
      <c r="W691" s="198" t="s">
        <v>356</v>
      </c>
      <c r="X691" s="198" t="s">
        <v>57</v>
      </c>
      <c r="Y691" s="198" t="s">
        <v>58</v>
      </c>
      <c r="Z691" s="201">
        <v>46203</v>
      </c>
      <c r="AA691" s="198" t="s">
        <v>59</v>
      </c>
      <c r="AB691" s="198" t="s">
        <v>60</v>
      </c>
      <c r="AC691" s="198" t="s">
        <v>86</v>
      </c>
      <c r="AD691" s="198" t="s">
        <v>62</v>
      </c>
      <c r="AE691" s="198" t="s">
        <v>547</v>
      </c>
      <c r="AF691" s="198" t="s">
        <v>546</v>
      </c>
      <c r="AG691" s="198" t="s">
        <v>189</v>
      </c>
      <c r="AH691" s="198" t="s">
        <v>132</v>
      </c>
      <c r="AI691" s="198" t="s">
        <v>56</v>
      </c>
      <c r="AJ691" s="198" t="s">
        <v>318</v>
      </c>
      <c r="AK691" s="198" t="s">
        <v>51</v>
      </c>
      <c r="AL691" s="198" t="s">
        <v>67</v>
      </c>
      <c r="AM691" s="198" t="s">
        <v>68</v>
      </c>
      <c r="AN691" s="202">
        <v>10534834.08</v>
      </c>
      <c r="AO691" s="202">
        <v>10534834.08</v>
      </c>
      <c r="AP691" s="202">
        <v>10534834.08</v>
      </c>
      <c r="AQ691" s="198" t="s">
        <v>358</v>
      </c>
      <c r="AR691" s="198" t="s">
        <v>51</v>
      </c>
      <c r="AS691" s="202">
        <v>1349624.7</v>
      </c>
      <c r="AT691" s="202">
        <v>1349624.7</v>
      </c>
      <c r="AU691" s="198" t="s">
        <v>359</v>
      </c>
      <c r="AV691" s="198" t="s">
        <v>62</v>
      </c>
      <c r="AW691" s="198" t="s">
        <v>54</v>
      </c>
    </row>
    <row r="692" spans="3:49" outlineLevel="2" x14ac:dyDescent="0.25">
      <c r="C692" s="201"/>
      <c r="D692" s="198" t="s">
        <v>555</v>
      </c>
      <c r="H692" s="198" t="s">
        <v>555</v>
      </c>
      <c r="I692" s="202">
        <f t="shared" si="10"/>
        <v>289482471.44999957</v>
      </c>
      <c r="J692" s="202">
        <v>70.099999999999895</v>
      </c>
      <c r="L692" s="204">
        <v>32256</v>
      </c>
      <c r="M692" s="202">
        <v>3318497.2799999998</v>
      </c>
      <c r="N692" s="204">
        <v>19883</v>
      </c>
      <c r="O692" s="198" t="s">
        <v>51</v>
      </c>
      <c r="P692" s="202">
        <v>2045563.04</v>
      </c>
      <c r="Q692" s="198" t="s">
        <v>75</v>
      </c>
      <c r="R692" s="198" t="s">
        <v>53</v>
      </c>
      <c r="S692" s="198" t="s">
        <v>54</v>
      </c>
      <c r="T692" s="198" t="s">
        <v>538</v>
      </c>
      <c r="U692" s="198" t="s">
        <v>662</v>
      </c>
      <c r="V692" s="198" t="s">
        <v>56</v>
      </c>
      <c r="W692" s="198" t="s">
        <v>356</v>
      </c>
      <c r="X692" s="198" t="s">
        <v>57</v>
      </c>
      <c r="Y692" s="198" t="s">
        <v>58</v>
      </c>
      <c r="Z692" s="201">
        <v>46203</v>
      </c>
      <c r="AA692" s="198" t="s">
        <v>59</v>
      </c>
      <c r="AB692" s="198" t="s">
        <v>60</v>
      </c>
      <c r="AC692" s="198" t="s">
        <v>86</v>
      </c>
      <c r="AD692" s="198" t="s">
        <v>62</v>
      </c>
      <c r="AE692" s="198" t="s">
        <v>549</v>
      </c>
      <c r="AF692" s="198" t="s">
        <v>548</v>
      </c>
      <c r="AG692" s="198" t="s">
        <v>189</v>
      </c>
      <c r="AH692" s="198" t="s">
        <v>132</v>
      </c>
      <c r="AI692" s="198" t="s">
        <v>56</v>
      </c>
      <c r="AJ692" s="198" t="s">
        <v>294</v>
      </c>
      <c r="AK692" s="198" t="s">
        <v>51</v>
      </c>
      <c r="AL692" s="198" t="s">
        <v>67</v>
      </c>
      <c r="AM692" s="198" t="s">
        <v>68</v>
      </c>
      <c r="AN692" s="202">
        <v>3318497.2799999998</v>
      </c>
      <c r="AO692" s="202">
        <v>3318497.2799999998</v>
      </c>
      <c r="AP692" s="202">
        <v>3318497.2799999998</v>
      </c>
      <c r="AQ692" s="198" t="s">
        <v>358</v>
      </c>
      <c r="AR692" s="198" t="s">
        <v>51</v>
      </c>
      <c r="AS692" s="202">
        <v>2045563.04</v>
      </c>
      <c r="AT692" s="202">
        <v>2045563.04</v>
      </c>
      <c r="AU692" s="198" t="s">
        <v>359</v>
      </c>
      <c r="AV692" s="198" t="s">
        <v>62</v>
      </c>
      <c r="AW692" s="198" t="s">
        <v>54</v>
      </c>
    </row>
    <row r="693" spans="3:49" outlineLevel="2" x14ac:dyDescent="0.25">
      <c r="C693" s="201"/>
      <c r="D693" s="198" t="s">
        <v>555</v>
      </c>
      <c r="H693" s="198" t="s">
        <v>555</v>
      </c>
      <c r="I693" s="202">
        <f t="shared" si="10"/>
        <v>289895427.89999962</v>
      </c>
      <c r="J693" s="202">
        <v>70.199999999999903</v>
      </c>
      <c r="L693" s="204">
        <v>8256</v>
      </c>
      <c r="M693" s="202">
        <v>636042.23999999999</v>
      </c>
      <c r="N693" s="204">
        <v>8256</v>
      </c>
      <c r="O693" s="198" t="s">
        <v>51</v>
      </c>
      <c r="P693" s="202">
        <v>636042.23999999999</v>
      </c>
      <c r="Q693" s="198" t="s">
        <v>75</v>
      </c>
      <c r="R693" s="198" t="s">
        <v>53</v>
      </c>
      <c r="S693" s="198" t="s">
        <v>54</v>
      </c>
      <c r="T693" s="198" t="s">
        <v>538</v>
      </c>
      <c r="U693" s="198" t="s">
        <v>367</v>
      </c>
      <c r="V693" s="198" t="s">
        <v>56</v>
      </c>
      <c r="W693" s="198" t="s">
        <v>356</v>
      </c>
      <c r="X693" s="198" t="s">
        <v>57</v>
      </c>
      <c r="Y693" s="198" t="s">
        <v>58</v>
      </c>
      <c r="Z693" s="201">
        <v>46203</v>
      </c>
      <c r="AA693" s="198" t="s">
        <v>59</v>
      </c>
      <c r="AB693" s="198" t="s">
        <v>60</v>
      </c>
      <c r="AC693" s="198" t="s">
        <v>86</v>
      </c>
      <c r="AD693" s="198" t="s">
        <v>62</v>
      </c>
      <c r="AE693" s="198" t="s">
        <v>549</v>
      </c>
      <c r="AF693" s="198" t="s">
        <v>548</v>
      </c>
      <c r="AG693" s="198" t="s">
        <v>189</v>
      </c>
      <c r="AH693" s="198" t="s">
        <v>132</v>
      </c>
      <c r="AI693" s="198" t="s">
        <v>56</v>
      </c>
      <c r="AJ693" s="198" t="s">
        <v>294</v>
      </c>
      <c r="AK693" s="198" t="s">
        <v>51</v>
      </c>
      <c r="AL693" s="198" t="s">
        <v>67</v>
      </c>
      <c r="AM693" s="198" t="s">
        <v>68</v>
      </c>
      <c r="AN693" s="202">
        <v>636042.23999999999</v>
      </c>
      <c r="AO693" s="202">
        <v>636042.23999999999</v>
      </c>
      <c r="AP693" s="202">
        <v>636042.23999999999</v>
      </c>
      <c r="AQ693" s="198" t="s">
        <v>358</v>
      </c>
      <c r="AR693" s="198" t="s">
        <v>51</v>
      </c>
      <c r="AS693" s="202">
        <v>636042.23999999999</v>
      </c>
      <c r="AT693" s="202">
        <v>636042.23999999999</v>
      </c>
      <c r="AU693" s="198" t="s">
        <v>359</v>
      </c>
      <c r="AV693" s="198" t="s">
        <v>62</v>
      </c>
      <c r="AW693" s="198" t="s">
        <v>54</v>
      </c>
    </row>
    <row r="694" spans="3:49" outlineLevel="2" x14ac:dyDescent="0.25">
      <c r="C694" s="201"/>
      <c r="D694" s="198" t="s">
        <v>555</v>
      </c>
      <c r="H694" s="198" t="s">
        <v>555</v>
      </c>
      <c r="I694" s="202">
        <f t="shared" si="10"/>
        <v>290308384.34999961</v>
      </c>
      <c r="J694" s="202">
        <v>70.299999999999898</v>
      </c>
      <c r="L694" s="204">
        <v>3528</v>
      </c>
      <c r="M694" s="202">
        <v>609391.43999999994</v>
      </c>
      <c r="N694" s="204">
        <v>3528</v>
      </c>
      <c r="O694" s="198" t="s">
        <v>51</v>
      </c>
      <c r="P694" s="202">
        <v>609391.43999999994</v>
      </c>
      <c r="Q694" s="198" t="s">
        <v>75</v>
      </c>
      <c r="R694" s="198" t="s">
        <v>53</v>
      </c>
      <c r="S694" s="198" t="s">
        <v>54</v>
      </c>
      <c r="T694" s="198" t="s">
        <v>538</v>
      </c>
      <c r="U694" s="198" t="s">
        <v>367</v>
      </c>
      <c r="V694" s="198" t="s">
        <v>56</v>
      </c>
      <c r="W694" s="198" t="s">
        <v>356</v>
      </c>
      <c r="X694" s="198" t="s">
        <v>57</v>
      </c>
      <c r="Y694" s="198" t="s">
        <v>58</v>
      </c>
      <c r="Z694" s="201">
        <v>46203</v>
      </c>
      <c r="AA694" s="198" t="s">
        <v>59</v>
      </c>
      <c r="AB694" s="198" t="s">
        <v>60</v>
      </c>
      <c r="AC694" s="198" t="s">
        <v>86</v>
      </c>
      <c r="AD694" s="198" t="s">
        <v>62</v>
      </c>
      <c r="AE694" s="198" t="s">
        <v>324</v>
      </c>
      <c r="AF694" s="198" t="s">
        <v>323</v>
      </c>
      <c r="AG694" s="198" t="s">
        <v>189</v>
      </c>
      <c r="AH694" s="198" t="s">
        <v>132</v>
      </c>
      <c r="AI694" s="198" t="s">
        <v>56</v>
      </c>
      <c r="AJ694" s="198" t="s">
        <v>325</v>
      </c>
      <c r="AK694" s="198" t="s">
        <v>51</v>
      </c>
      <c r="AL694" s="198" t="s">
        <v>67</v>
      </c>
      <c r="AM694" s="198" t="s">
        <v>68</v>
      </c>
      <c r="AN694" s="202">
        <v>609391.43999999994</v>
      </c>
      <c r="AO694" s="202">
        <v>609391.43999999994</v>
      </c>
      <c r="AP694" s="202">
        <v>609391.43999999994</v>
      </c>
      <c r="AQ694" s="198" t="s">
        <v>358</v>
      </c>
      <c r="AR694" s="198" t="s">
        <v>51</v>
      </c>
      <c r="AS694" s="202">
        <v>609391.43999999994</v>
      </c>
      <c r="AT694" s="202">
        <v>609391.43999999994</v>
      </c>
      <c r="AU694" s="198" t="s">
        <v>359</v>
      </c>
      <c r="AV694" s="198" t="s">
        <v>62</v>
      </c>
      <c r="AW694" s="198" t="s">
        <v>54</v>
      </c>
    </row>
    <row r="695" spans="3:49" outlineLevel="2" x14ac:dyDescent="0.25">
      <c r="C695" s="201"/>
      <c r="D695" s="198" t="s">
        <v>528</v>
      </c>
      <c r="H695" s="198" t="s">
        <v>528</v>
      </c>
      <c r="I695" s="202">
        <f t="shared" si="10"/>
        <v>290721340.79999959</v>
      </c>
      <c r="J695" s="202">
        <v>70.399999999999906</v>
      </c>
      <c r="L695" s="204">
        <v>5184</v>
      </c>
      <c r="M695" s="202">
        <v>1134881.28</v>
      </c>
      <c r="N695" s="204">
        <v>1939</v>
      </c>
      <c r="O695" s="198" t="s">
        <v>51</v>
      </c>
      <c r="P695" s="202">
        <v>424485.88</v>
      </c>
      <c r="Q695" s="198" t="s">
        <v>75</v>
      </c>
      <c r="R695" s="198" t="s">
        <v>53</v>
      </c>
      <c r="S695" s="198" t="s">
        <v>54</v>
      </c>
      <c r="T695" s="198" t="s">
        <v>538</v>
      </c>
      <c r="U695" s="198" t="s">
        <v>2047</v>
      </c>
      <c r="V695" s="198" t="s">
        <v>56</v>
      </c>
      <c r="W695" s="198" t="s">
        <v>356</v>
      </c>
      <c r="X695" s="198" t="s">
        <v>57</v>
      </c>
      <c r="Y695" s="198" t="s">
        <v>58</v>
      </c>
      <c r="Z695" s="201">
        <v>46203</v>
      </c>
      <c r="AA695" s="198" t="s">
        <v>59</v>
      </c>
      <c r="AB695" s="198" t="s">
        <v>60</v>
      </c>
      <c r="AC695" s="198" t="s">
        <v>86</v>
      </c>
      <c r="AD695" s="198" t="s">
        <v>62</v>
      </c>
      <c r="AE695" s="198" t="s">
        <v>541</v>
      </c>
      <c r="AF695" s="198" t="s">
        <v>540</v>
      </c>
      <c r="AG695" s="198" t="s">
        <v>189</v>
      </c>
      <c r="AH695" s="198" t="s">
        <v>134</v>
      </c>
      <c r="AI695" s="198" t="s">
        <v>56</v>
      </c>
      <c r="AJ695" s="198" t="s">
        <v>318</v>
      </c>
      <c r="AK695" s="198" t="s">
        <v>51</v>
      </c>
      <c r="AL695" s="198" t="s">
        <v>67</v>
      </c>
      <c r="AM695" s="198" t="s">
        <v>68</v>
      </c>
      <c r="AN695" s="202">
        <v>1134881.28</v>
      </c>
      <c r="AO695" s="202">
        <v>1134881.28</v>
      </c>
      <c r="AP695" s="202">
        <v>1134881.28</v>
      </c>
      <c r="AQ695" s="198" t="s">
        <v>358</v>
      </c>
      <c r="AR695" s="198" t="s">
        <v>51</v>
      </c>
      <c r="AS695" s="202">
        <v>424485.88</v>
      </c>
      <c r="AT695" s="202">
        <v>424485.88</v>
      </c>
      <c r="AU695" s="198" t="s">
        <v>359</v>
      </c>
      <c r="AV695" s="198" t="s">
        <v>62</v>
      </c>
      <c r="AW695" s="198" t="s">
        <v>54</v>
      </c>
    </row>
    <row r="696" spans="3:49" outlineLevel="2" x14ac:dyDescent="0.25">
      <c r="C696" s="201"/>
      <c r="D696" s="198" t="s">
        <v>528</v>
      </c>
      <c r="H696" s="198" t="s">
        <v>528</v>
      </c>
      <c r="I696" s="202">
        <f t="shared" si="10"/>
        <v>291134297.24999958</v>
      </c>
      <c r="J696" s="202">
        <v>70.499999999999901</v>
      </c>
      <c r="L696" s="204">
        <v>83802</v>
      </c>
      <c r="M696" s="202">
        <v>12044861.460000001</v>
      </c>
      <c r="N696" s="204">
        <v>83802</v>
      </c>
      <c r="O696" s="198" t="s">
        <v>51</v>
      </c>
      <c r="P696" s="202">
        <v>12044861.460000001</v>
      </c>
      <c r="Q696" s="198" t="s">
        <v>75</v>
      </c>
      <c r="R696" s="198" t="s">
        <v>53</v>
      </c>
      <c r="S696" s="198" t="s">
        <v>54</v>
      </c>
      <c r="T696" s="198" t="s">
        <v>538</v>
      </c>
      <c r="U696" s="198" t="s">
        <v>367</v>
      </c>
      <c r="V696" s="198" t="s">
        <v>56</v>
      </c>
      <c r="W696" s="198" t="s">
        <v>356</v>
      </c>
      <c r="X696" s="198" t="s">
        <v>57</v>
      </c>
      <c r="Y696" s="198" t="s">
        <v>58</v>
      </c>
      <c r="Z696" s="201">
        <v>46203</v>
      </c>
      <c r="AA696" s="198" t="s">
        <v>59</v>
      </c>
      <c r="AB696" s="198" t="s">
        <v>60</v>
      </c>
      <c r="AC696" s="198" t="s">
        <v>86</v>
      </c>
      <c r="AD696" s="198" t="s">
        <v>62</v>
      </c>
      <c r="AE696" s="198" t="s">
        <v>547</v>
      </c>
      <c r="AF696" s="198" t="s">
        <v>546</v>
      </c>
      <c r="AG696" s="198" t="s">
        <v>189</v>
      </c>
      <c r="AH696" s="198" t="s">
        <v>134</v>
      </c>
      <c r="AI696" s="198" t="s">
        <v>56</v>
      </c>
      <c r="AJ696" s="198" t="s">
        <v>318</v>
      </c>
      <c r="AK696" s="198" t="s">
        <v>51</v>
      </c>
      <c r="AL696" s="198" t="s">
        <v>67</v>
      </c>
      <c r="AM696" s="198" t="s">
        <v>68</v>
      </c>
      <c r="AN696" s="202">
        <v>12044861.460000001</v>
      </c>
      <c r="AO696" s="202">
        <v>12044861.460000001</v>
      </c>
      <c r="AP696" s="202">
        <v>12044861.460000001</v>
      </c>
      <c r="AQ696" s="198" t="s">
        <v>358</v>
      </c>
      <c r="AR696" s="198" t="s">
        <v>51</v>
      </c>
      <c r="AS696" s="202">
        <v>12044861.460000001</v>
      </c>
      <c r="AT696" s="202">
        <v>12044861.460000001</v>
      </c>
      <c r="AU696" s="198" t="s">
        <v>359</v>
      </c>
      <c r="AV696" s="198" t="s">
        <v>62</v>
      </c>
      <c r="AW696" s="198" t="s">
        <v>54</v>
      </c>
    </row>
    <row r="697" spans="3:49" outlineLevel="2" x14ac:dyDescent="0.25">
      <c r="C697" s="201"/>
      <c r="D697" s="198" t="s">
        <v>528</v>
      </c>
      <c r="H697" s="198" t="s">
        <v>528</v>
      </c>
      <c r="I697" s="202">
        <f t="shared" si="10"/>
        <v>291547253.69999957</v>
      </c>
      <c r="J697" s="202">
        <v>70.599999999999895</v>
      </c>
      <c r="L697" s="204">
        <v>37632</v>
      </c>
      <c r="M697" s="202">
        <v>3871580.1600000001</v>
      </c>
      <c r="N697" s="204">
        <v>21735</v>
      </c>
      <c r="O697" s="198" t="s">
        <v>51</v>
      </c>
      <c r="P697" s="202">
        <v>2236096.7999999998</v>
      </c>
      <c r="Q697" s="198" t="s">
        <v>75</v>
      </c>
      <c r="R697" s="198" t="s">
        <v>53</v>
      </c>
      <c r="S697" s="198" t="s">
        <v>54</v>
      </c>
      <c r="T697" s="198" t="s">
        <v>538</v>
      </c>
      <c r="U697" s="198" t="s">
        <v>364</v>
      </c>
      <c r="V697" s="198" t="s">
        <v>56</v>
      </c>
      <c r="W697" s="198" t="s">
        <v>356</v>
      </c>
      <c r="X697" s="198" t="s">
        <v>57</v>
      </c>
      <c r="Y697" s="198" t="s">
        <v>58</v>
      </c>
      <c r="Z697" s="201">
        <v>46203</v>
      </c>
      <c r="AA697" s="198" t="s">
        <v>59</v>
      </c>
      <c r="AB697" s="198" t="s">
        <v>60</v>
      </c>
      <c r="AC697" s="198" t="s">
        <v>86</v>
      </c>
      <c r="AD697" s="198" t="s">
        <v>62</v>
      </c>
      <c r="AE697" s="198" t="s">
        <v>549</v>
      </c>
      <c r="AF697" s="198" t="s">
        <v>548</v>
      </c>
      <c r="AG697" s="198" t="s">
        <v>189</v>
      </c>
      <c r="AH697" s="198" t="s">
        <v>134</v>
      </c>
      <c r="AI697" s="198" t="s">
        <v>56</v>
      </c>
      <c r="AJ697" s="198" t="s">
        <v>294</v>
      </c>
      <c r="AK697" s="198" t="s">
        <v>51</v>
      </c>
      <c r="AL697" s="198" t="s">
        <v>67</v>
      </c>
      <c r="AM697" s="198" t="s">
        <v>68</v>
      </c>
      <c r="AN697" s="202">
        <v>3871580.1600000001</v>
      </c>
      <c r="AO697" s="202">
        <v>3871580.1600000001</v>
      </c>
      <c r="AP697" s="202">
        <v>3871580.1600000001</v>
      </c>
      <c r="AQ697" s="198" t="s">
        <v>358</v>
      </c>
      <c r="AR697" s="198" t="s">
        <v>51</v>
      </c>
      <c r="AS697" s="202">
        <v>2236096.7999999998</v>
      </c>
      <c r="AT697" s="202">
        <v>2236096.7999999998</v>
      </c>
      <c r="AU697" s="198" t="s">
        <v>359</v>
      </c>
      <c r="AV697" s="198" t="s">
        <v>62</v>
      </c>
      <c r="AW697" s="198" t="s">
        <v>54</v>
      </c>
    </row>
    <row r="698" spans="3:49" outlineLevel="2" x14ac:dyDescent="0.25">
      <c r="C698" s="201"/>
      <c r="D698" s="198" t="s">
        <v>528</v>
      </c>
      <c r="H698" s="198" t="s">
        <v>528</v>
      </c>
      <c r="I698" s="202">
        <f t="shared" si="10"/>
        <v>291960210.14999962</v>
      </c>
      <c r="J698" s="202">
        <v>70.699999999999903</v>
      </c>
      <c r="L698" s="204">
        <v>3410</v>
      </c>
      <c r="M698" s="202">
        <v>262706.40000000002</v>
      </c>
      <c r="N698" s="204">
        <v>3410</v>
      </c>
      <c r="O698" s="198" t="s">
        <v>51</v>
      </c>
      <c r="P698" s="202">
        <v>262706.40000000002</v>
      </c>
      <c r="Q698" s="198" t="s">
        <v>75</v>
      </c>
      <c r="R698" s="198" t="s">
        <v>53</v>
      </c>
      <c r="S698" s="198" t="s">
        <v>54</v>
      </c>
      <c r="T698" s="198" t="s">
        <v>538</v>
      </c>
      <c r="U698" s="198" t="s">
        <v>367</v>
      </c>
      <c r="V698" s="198" t="s">
        <v>56</v>
      </c>
      <c r="W698" s="198" t="s">
        <v>356</v>
      </c>
      <c r="X698" s="198" t="s">
        <v>57</v>
      </c>
      <c r="Y698" s="198" t="s">
        <v>58</v>
      </c>
      <c r="Z698" s="201">
        <v>46203</v>
      </c>
      <c r="AA698" s="198" t="s">
        <v>59</v>
      </c>
      <c r="AB698" s="198" t="s">
        <v>60</v>
      </c>
      <c r="AC698" s="198" t="s">
        <v>86</v>
      </c>
      <c r="AD698" s="198" t="s">
        <v>62</v>
      </c>
      <c r="AE698" s="198" t="s">
        <v>549</v>
      </c>
      <c r="AF698" s="198" t="s">
        <v>548</v>
      </c>
      <c r="AG698" s="198" t="s">
        <v>189</v>
      </c>
      <c r="AH698" s="198" t="s">
        <v>134</v>
      </c>
      <c r="AI698" s="198" t="s">
        <v>56</v>
      </c>
      <c r="AJ698" s="198" t="s">
        <v>294</v>
      </c>
      <c r="AK698" s="198" t="s">
        <v>51</v>
      </c>
      <c r="AL698" s="198" t="s">
        <v>67</v>
      </c>
      <c r="AM698" s="198" t="s">
        <v>68</v>
      </c>
      <c r="AN698" s="202">
        <v>262706.40000000002</v>
      </c>
      <c r="AO698" s="202">
        <v>262706.40000000002</v>
      </c>
      <c r="AP698" s="202">
        <v>262706.40000000002</v>
      </c>
      <c r="AQ698" s="198" t="s">
        <v>358</v>
      </c>
      <c r="AR698" s="198" t="s">
        <v>51</v>
      </c>
      <c r="AS698" s="202">
        <v>262706.40000000002</v>
      </c>
      <c r="AT698" s="202">
        <v>262706.40000000002</v>
      </c>
      <c r="AU698" s="198" t="s">
        <v>359</v>
      </c>
      <c r="AV698" s="198" t="s">
        <v>62</v>
      </c>
      <c r="AW698" s="198" t="s">
        <v>54</v>
      </c>
    </row>
    <row r="699" spans="3:49" outlineLevel="2" x14ac:dyDescent="0.25">
      <c r="C699" s="201"/>
      <c r="D699" s="198" t="s">
        <v>528</v>
      </c>
      <c r="H699" s="198" t="s">
        <v>528</v>
      </c>
      <c r="I699" s="202">
        <f t="shared" si="10"/>
        <v>292373166.59999961</v>
      </c>
      <c r="J699" s="202">
        <v>70.799999999999898</v>
      </c>
      <c r="L699" s="204">
        <v>4000</v>
      </c>
      <c r="M699" s="202">
        <v>690920</v>
      </c>
      <c r="N699" s="204">
        <v>4000</v>
      </c>
      <c r="O699" s="198" t="s">
        <v>51</v>
      </c>
      <c r="P699" s="202">
        <v>690920</v>
      </c>
      <c r="Q699" s="198" t="s">
        <v>75</v>
      </c>
      <c r="R699" s="198" t="s">
        <v>53</v>
      </c>
      <c r="S699" s="198" t="s">
        <v>54</v>
      </c>
      <c r="T699" s="198" t="s">
        <v>538</v>
      </c>
      <c r="U699" s="198" t="s">
        <v>367</v>
      </c>
      <c r="V699" s="198" t="s">
        <v>56</v>
      </c>
      <c r="W699" s="198" t="s">
        <v>356</v>
      </c>
      <c r="X699" s="198" t="s">
        <v>57</v>
      </c>
      <c r="Y699" s="198" t="s">
        <v>58</v>
      </c>
      <c r="Z699" s="201">
        <v>46203</v>
      </c>
      <c r="AA699" s="198" t="s">
        <v>59</v>
      </c>
      <c r="AB699" s="198" t="s">
        <v>60</v>
      </c>
      <c r="AC699" s="198" t="s">
        <v>86</v>
      </c>
      <c r="AD699" s="198" t="s">
        <v>62</v>
      </c>
      <c r="AE699" s="198" t="s">
        <v>324</v>
      </c>
      <c r="AF699" s="198" t="s">
        <v>323</v>
      </c>
      <c r="AG699" s="198" t="s">
        <v>189</v>
      </c>
      <c r="AH699" s="198" t="s">
        <v>134</v>
      </c>
      <c r="AI699" s="198" t="s">
        <v>56</v>
      </c>
      <c r="AJ699" s="198" t="s">
        <v>325</v>
      </c>
      <c r="AK699" s="198" t="s">
        <v>51</v>
      </c>
      <c r="AL699" s="198" t="s">
        <v>67</v>
      </c>
      <c r="AM699" s="198" t="s">
        <v>68</v>
      </c>
      <c r="AN699" s="202">
        <v>690920</v>
      </c>
      <c r="AO699" s="202">
        <v>690920</v>
      </c>
      <c r="AP699" s="202">
        <v>690920</v>
      </c>
      <c r="AQ699" s="198" t="s">
        <v>358</v>
      </c>
      <c r="AR699" s="198" t="s">
        <v>51</v>
      </c>
      <c r="AS699" s="202">
        <v>690920</v>
      </c>
      <c r="AT699" s="202">
        <v>690920</v>
      </c>
      <c r="AU699" s="198" t="s">
        <v>359</v>
      </c>
      <c r="AV699" s="198" t="s">
        <v>62</v>
      </c>
      <c r="AW699" s="198" t="s">
        <v>54</v>
      </c>
    </row>
    <row r="700" spans="3:49" outlineLevel="2" x14ac:dyDescent="0.25">
      <c r="C700" s="201"/>
      <c r="D700" s="198" t="s">
        <v>531</v>
      </c>
      <c r="H700" s="198" t="s">
        <v>531</v>
      </c>
      <c r="I700" s="202">
        <f t="shared" si="10"/>
        <v>292786123.04999959</v>
      </c>
      <c r="J700" s="202">
        <v>70.899999999999906</v>
      </c>
      <c r="L700" s="204">
        <v>10272</v>
      </c>
      <c r="M700" s="202">
        <v>2540368.3199999998</v>
      </c>
      <c r="N700" s="204">
        <v>10272</v>
      </c>
      <c r="O700" s="198" t="s">
        <v>51</v>
      </c>
      <c r="P700" s="202">
        <v>2540368.3199999998</v>
      </c>
      <c r="Q700" s="198" t="s">
        <v>75</v>
      </c>
      <c r="R700" s="198" t="s">
        <v>53</v>
      </c>
      <c r="S700" s="198" t="s">
        <v>54</v>
      </c>
      <c r="T700" s="198" t="s">
        <v>538</v>
      </c>
      <c r="U700" s="198" t="s">
        <v>367</v>
      </c>
      <c r="V700" s="198" t="s">
        <v>56</v>
      </c>
      <c r="W700" s="198" t="s">
        <v>356</v>
      </c>
      <c r="X700" s="198" t="s">
        <v>57</v>
      </c>
      <c r="Y700" s="198" t="s">
        <v>58</v>
      </c>
      <c r="Z700" s="201">
        <v>46203</v>
      </c>
      <c r="AA700" s="198" t="s">
        <v>59</v>
      </c>
      <c r="AB700" s="198" t="s">
        <v>60</v>
      </c>
      <c r="AC700" s="198" t="s">
        <v>86</v>
      </c>
      <c r="AD700" s="198" t="s">
        <v>62</v>
      </c>
      <c r="AE700" s="198" t="s">
        <v>539</v>
      </c>
      <c r="AF700" s="198" t="s">
        <v>537</v>
      </c>
      <c r="AG700" s="198" t="s">
        <v>189</v>
      </c>
      <c r="AH700" s="198" t="s">
        <v>117</v>
      </c>
      <c r="AI700" s="198" t="s">
        <v>56</v>
      </c>
      <c r="AJ700" s="198" t="s">
        <v>325</v>
      </c>
      <c r="AK700" s="198" t="s">
        <v>51</v>
      </c>
      <c r="AL700" s="198" t="s">
        <v>67</v>
      </c>
      <c r="AM700" s="198" t="s">
        <v>68</v>
      </c>
      <c r="AN700" s="202">
        <v>2540368.3199999998</v>
      </c>
      <c r="AO700" s="202">
        <v>2540368.3199999998</v>
      </c>
      <c r="AP700" s="202">
        <v>2540368.3199999998</v>
      </c>
      <c r="AQ700" s="198" t="s">
        <v>358</v>
      </c>
      <c r="AR700" s="198" t="s">
        <v>51</v>
      </c>
      <c r="AS700" s="202">
        <v>2540368.3199999998</v>
      </c>
      <c r="AT700" s="202">
        <v>2540368.3199999998</v>
      </c>
      <c r="AU700" s="198" t="s">
        <v>359</v>
      </c>
      <c r="AV700" s="198" t="s">
        <v>62</v>
      </c>
      <c r="AW700" s="198" t="s">
        <v>54</v>
      </c>
    </row>
    <row r="701" spans="3:49" outlineLevel="2" x14ac:dyDescent="0.25">
      <c r="C701" s="201"/>
      <c r="D701" s="198" t="s">
        <v>531</v>
      </c>
      <c r="H701" s="198" t="s">
        <v>531</v>
      </c>
      <c r="I701" s="202">
        <f t="shared" si="10"/>
        <v>293199079.49999958</v>
      </c>
      <c r="J701" s="202">
        <v>70.999999999999901</v>
      </c>
      <c r="L701" s="204">
        <v>6990</v>
      </c>
      <c r="M701" s="202">
        <v>690821.7</v>
      </c>
      <c r="N701" s="204">
        <v>6990</v>
      </c>
      <c r="O701" s="198" t="s">
        <v>51</v>
      </c>
      <c r="P701" s="202">
        <v>690821.7</v>
      </c>
      <c r="Q701" s="198" t="s">
        <v>75</v>
      </c>
      <c r="R701" s="198" t="s">
        <v>53</v>
      </c>
      <c r="S701" s="198" t="s">
        <v>54</v>
      </c>
      <c r="T701" s="198" t="s">
        <v>538</v>
      </c>
      <c r="U701" s="198" t="s">
        <v>367</v>
      </c>
      <c r="V701" s="198" t="s">
        <v>56</v>
      </c>
      <c r="W701" s="198" t="s">
        <v>356</v>
      </c>
      <c r="X701" s="198" t="s">
        <v>57</v>
      </c>
      <c r="Y701" s="198" t="s">
        <v>58</v>
      </c>
      <c r="Z701" s="201">
        <v>46203</v>
      </c>
      <c r="AA701" s="198" t="s">
        <v>59</v>
      </c>
      <c r="AB701" s="198" t="s">
        <v>60</v>
      </c>
      <c r="AC701" s="198" t="s">
        <v>86</v>
      </c>
      <c r="AD701" s="198" t="s">
        <v>62</v>
      </c>
      <c r="AE701" s="198" t="s">
        <v>543</v>
      </c>
      <c r="AF701" s="198" t="s">
        <v>542</v>
      </c>
      <c r="AG701" s="198" t="s">
        <v>189</v>
      </c>
      <c r="AH701" s="198" t="s">
        <v>117</v>
      </c>
      <c r="AI701" s="198" t="s">
        <v>56</v>
      </c>
      <c r="AJ701" s="198" t="s">
        <v>318</v>
      </c>
      <c r="AK701" s="198" t="s">
        <v>51</v>
      </c>
      <c r="AL701" s="198" t="s">
        <v>67</v>
      </c>
      <c r="AM701" s="198" t="s">
        <v>68</v>
      </c>
      <c r="AN701" s="202">
        <v>690821.7</v>
      </c>
      <c r="AO701" s="202">
        <v>690821.7</v>
      </c>
      <c r="AP701" s="202">
        <v>690821.7</v>
      </c>
      <c r="AQ701" s="198" t="s">
        <v>358</v>
      </c>
      <c r="AR701" s="198" t="s">
        <v>51</v>
      </c>
      <c r="AS701" s="202">
        <v>690821.7</v>
      </c>
      <c r="AT701" s="202">
        <v>690821.7</v>
      </c>
      <c r="AU701" s="198" t="s">
        <v>359</v>
      </c>
      <c r="AV701" s="198" t="s">
        <v>62</v>
      </c>
      <c r="AW701" s="198" t="s">
        <v>54</v>
      </c>
    </row>
    <row r="702" spans="3:49" outlineLevel="2" x14ac:dyDescent="0.25">
      <c r="C702" s="201"/>
      <c r="D702" s="198" t="s">
        <v>531</v>
      </c>
      <c r="H702" s="198" t="s">
        <v>531</v>
      </c>
      <c r="I702" s="202">
        <f t="shared" si="10"/>
        <v>293612035.94999957</v>
      </c>
      <c r="J702" s="202">
        <v>71.099999999999895</v>
      </c>
      <c r="L702" s="204">
        <v>11232</v>
      </c>
      <c r="M702" s="202">
        <v>1281346.5600000001</v>
      </c>
      <c r="N702" s="204">
        <v>11232</v>
      </c>
      <c r="O702" s="198" t="s">
        <v>51</v>
      </c>
      <c r="P702" s="202">
        <v>1281346.5600000001</v>
      </c>
      <c r="Q702" s="198" t="s">
        <v>75</v>
      </c>
      <c r="R702" s="198" t="s">
        <v>53</v>
      </c>
      <c r="S702" s="198" t="s">
        <v>54</v>
      </c>
      <c r="T702" s="198" t="s">
        <v>538</v>
      </c>
      <c r="U702" s="198" t="s">
        <v>367</v>
      </c>
      <c r="V702" s="198" t="s">
        <v>56</v>
      </c>
      <c r="W702" s="198" t="s">
        <v>356</v>
      </c>
      <c r="X702" s="198" t="s">
        <v>57</v>
      </c>
      <c r="Y702" s="198" t="s">
        <v>58</v>
      </c>
      <c r="Z702" s="201">
        <v>46203</v>
      </c>
      <c r="AA702" s="198" t="s">
        <v>59</v>
      </c>
      <c r="AB702" s="198" t="s">
        <v>60</v>
      </c>
      <c r="AC702" s="198" t="s">
        <v>86</v>
      </c>
      <c r="AD702" s="198" t="s">
        <v>62</v>
      </c>
      <c r="AE702" s="198" t="s">
        <v>545</v>
      </c>
      <c r="AF702" s="198" t="s">
        <v>544</v>
      </c>
      <c r="AG702" s="198" t="s">
        <v>189</v>
      </c>
      <c r="AH702" s="198" t="s">
        <v>117</v>
      </c>
      <c r="AI702" s="198" t="s">
        <v>56</v>
      </c>
      <c r="AJ702" s="198" t="s">
        <v>318</v>
      </c>
      <c r="AK702" s="198" t="s">
        <v>51</v>
      </c>
      <c r="AL702" s="198" t="s">
        <v>67</v>
      </c>
      <c r="AM702" s="198" t="s">
        <v>68</v>
      </c>
      <c r="AN702" s="202">
        <v>1281346.5600000001</v>
      </c>
      <c r="AO702" s="202">
        <v>1281346.5600000001</v>
      </c>
      <c r="AP702" s="202">
        <v>1281346.5600000001</v>
      </c>
      <c r="AQ702" s="198" t="s">
        <v>358</v>
      </c>
      <c r="AR702" s="198" t="s">
        <v>51</v>
      </c>
      <c r="AS702" s="202">
        <v>1281346.5600000001</v>
      </c>
      <c r="AT702" s="202">
        <v>1281346.5600000001</v>
      </c>
      <c r="AU702" s="198" t="s">
        <v>359</v>
      </c>
      <c r="AV702" s="198" t="s">
        <v>62</v>
      </c>
      <c r="AW702" s="198" t="s">
        <v>54</v>
      </c>
    </row>
    <row r="703" spans="3:49" outlineLevel="2" x14ac:dyDescent="0.25">
      <c r="C703" s="201"/>
      <c r="D703" s="198" t="s">
        <v>531</v>
      </c>
      <c r="H703" s="198" t="s">
        <v>531</v>
      </c>
      <c r="I703" s="202">
        <f t="shared" si="10"/>
        <v>294024992.39999962</v>
      </c>
      <c r="J703" s="202">
        <v>71.199999999999903</v>
      </c>
      <c r="L703" s="204">
        <v>63490</v>
      </c>
      <c r="M703" s="202">
        <v>9125417.6999999993</v>
      </c>
      <c r="N703" s="204">
        <v>30506</v>
      </c>
      <c r="O703" s="198" t="s">
        <v>51</v>
      </c>
      <c r="P703" s="202">
        <v>4384627.38</v>
      </c>
      <c r="Q703" s="198" t="s">
        <v>75</v>
      </c>
      <c r="R703" s="198" t="s">
        <v>53</v>
      </c>
      <c r="S703" s="198" t="s">
        <v>54</v>
      </c>
      <c r="T703" s="198" t="s">
        <v>538</v>
      </c>
      <c r="U703" s="198" t="s">
        <v>2047</v>
      </c>
      <c r="V703" s="198" t="s">
        <v>56</v>
      </c>
      <c r="W703" s="198" t="s">
        <v>356</v>
      </c>
      <c r="X703" s="198" t="s">
        <v>57</v>
      </c>
      <c r="Y703" s="198" t="s">
        <v>58</v>
      </c>
      <c r="Z703" s="201">
        <v>46203</v>
      </c>
      <c r="AA703" s="198" t="s">
        <v>59</v>
      </c>
      <c r="AB703" s="198" t="s">
        <v>60</v>
      </c>
      <c r="AC703" s="198" t="s">
        <v>86</v>
      </c>
      <c r="AD703" s="198" t="s">
        <v>62</v>
      </c>
      <c r="AE703" s="198" t="s">
        <v>547</v>
      </c>
      <c r="AF703" s="198" t="s">
        <v>546</v>
      </c>
      <c r="AG703" s="198" t="s">
        <v>189</v>
      </c>
      <c r="AH703" s="198" t="s">
        <v>117</v>
      </c>
      <c r="AI703" s="198" t="s">
        <v>56</v>
      </c>
      <c r="AJ703" s="198" t="s">
        <v>318</v>
      </c>
      <c r="AK703" s="198" t="s">
        <v>51</v>
      </c>
      <c r="AL703" s="198" t="s">
        <v>67</v>
      </c>
      <c r="AM703" s="198" t="s">
        <v>68</v>
      </c>
      <c r="AN703" s="202">
        <v>9125417.6999999993</v>
      </c>
      <c r="AO703" s="202">
        <v>9125417.6999999993</v>
      </c>
      <c r="AP703" s="202">
        <v>9125417.6999999993</v>
      </c>
      <c r="AQ703" s="198" t="s">
        <v>358</v>
      </c>
      <c r="AR703" s="198" t="s">
        <v>51</v>
      </c>
      <c r="AS703" s="202">
        <v>4384627.38</v>
      </c>
      <c r="AT703" s="202">
        <v>4384627.38</v>
      </c>
      <c r="AU703" s="198" t="s">
        <v>359</v>
      </c>
      <c r="AV703" s="198" t="s">
        <v>62</v>
      </c>
      <c r="AW703" s="198" t="s">
        <v>54</v>
      </c>
    </row>
    <row r="704" spans="3:49" outlineLevel="2" x14ac:dyDescent="0.25">
      <c r="C704" s="201"/>
      <c r="D704" s="198" t="s">
        <v>531</v>
      </c>
      <c r="H704" s="198" t="s">
        <v>531</v>
      </c>
      <c r="I704" s="202">
        <f t="shared" si="10"/>
        <v>294437948.84999961</v>
      </c>
      <c r="J704" s="202">
        <v>71.299999999999898</v>
      </c>
      <c r="L704" s="204">
        <v>14112</v>
      </c>
      <c r="M704" s="202">
        <v>1451842.5600000001</v>
      </c>
      <c r="N704" s="204">
        <v>14112</v>
      </c>
      <c r="O704" s="198" t="s">
        <v>51</v>
      </c>
      <c r="P704" s="202">
        <v>1451842.5600000001</v>
      </c>
      <c r="Q704" s="198" t="s">
        <v>75</v>
      </c>
      <c r="R704" s="198" t="s">
        <v>53</v>
      </c>
      <c r="S704" s="198" t="s">
        <v>54</v>
      </c>
      <c r="T704" s="198" t="s">
        <v>538</v>
      </c>
      <c r="U704" s="198" t="s">
        <v>367</v>
      </c>
      <c r="V704" s="198" t="s">
        <v>56</v>
      </c>
      <c r="W704" s="198" t="s">
        <v>356</v>
      </c>
      <c r="X704" s="198" t="s">
        <v>57</v>
      </c>
      <c r="Y704" s="198" t="s">
        <v>58</v>
      </c>
      <c r="Z704" s="201">
        <v>46203</v>
      </c>
      <c r="AA704" s="198" t="s">
        <v>59</v>
      </c>
      <c r="AB704" s="198" t="s">
        <v>60</v>
      </c>
      <c r="AC704" s="198" t="s">
        <v>86</v>
      </c>
      <c r="AD704" s="198" t="s">
        <v>62</v>
      </c>
      <c r="AE704" s="198" t="s">
        <v>549</v>
      </c>
      <c r="AF704" s="198" t="s">
        <v>548</v>
      </c>
      <c r="AG704" s="198" t="s">
        <v>189</v>
      </c>
      <c r="AH704" s="198" t="s">
        <v>117</v>
      </c>
      <c r="AI704" s="198" t="s">
        <v>56</v>
      </c>
      <c r="AJ704" s="198" t="s">
        <v>294</v>
      </c>
      <c r="AK704" s="198" t="s">
        <v>51</v>
      </c>
      <c r="AL704" s="198" t="s">
        <v>67</v>
      </c>
      <c r="AM704" s="198" t="s">
        <v>68</v>
      </c>
      <c r="AN704" s="202">
        <v>1451842.5600000001</v>
      </c>
      <c r="AO704" s="202">
        <v>1451842.5600000001</v>
      </c>
      <c r="AP704" s="202">
        <v>1451842.5600000001</v>
      </c>
      <c r="AQ704" s="198" t="s">
        <v>358</v>
      </c>
      <c r="AR704" s="198" t="s">
        <v>51</v>
      </c>
      <c r="AS704" s="202">
        <v>1451842.5600000001</v>
      </c>
      <c r="AT704" s="202">
        <v>1451842.5600000001</v>
      </c>
      <c r="AU704" s="198" t="s">
        <v>359</v>
      </c>
      <c r="AV704" s="198" t="s">
        <v>62</v>
      </c>
      <c r="AW704" s="198" t="s">
        <v>54</v>
      </c>
    </row>
    <row r="705" spans="3:49" outlineLevel="2" x14ac:dyDescent="0.25">
      <c r="C705" s="201"/>
      <c r="D705" s="198" t="s">
        <v>531</v>
      </c>
      <c r="H705" s="198" t="s">
        <v>531</v>
      </c>
      <c r="I705" s="202">
        <f t="shared" si="10"/>
        <v>294850905.29999959</v>
      </c>
      <c r="J705" s="202">
        <v>71.399999999999906</v>
      </c>
      <c r="L705" s="204">
        <v>4128</v>
      </c>
      <c r="M705" s="202">
        <v>318021.12</v>
      </c>
      <c r="N705" s="204">
        <v>4128</v>
      </c>
      <c r="O705" s="198" t="s">
        <v>51</v>
      </c>
      <c r="P705" s="202">
        <v>318021.12</v>
      </c>
      <c r="Q705" s="198" t="s">
        <v>75</v>
      </c>
      <c r="R705" s="198" t="s">
        <v>53</v>
      </c>
      <c r="S705" s="198" t="s">
        <v>54</v>
      </c>
      <c r="T705" s="198" t="s">
        <v>538</v>
      </c>
      <c r="U705" s="198" t="s">
        <v>367</v>
      </c>
      <c r="V705" s="198" t="s">
        <v>56</v>
      </c>
      <c r="W705" s="198" t="s">
        <v>356</v>
      </c>
      <c r="X705" s="198" t="s">
        <v>57</v>
      </c>
      <c r="Y705" s="198" t="s">
        <v>58</v>
      </c>
      <c r="Z705" s="201">
        <v>46203</v>
      </c>
      <c r="AA705" s="198" t="s">
        <v>59</v>
      </c>
      <c r="AB705" s="198" t="s">
        <v>60</v>
      </c>
      <c r="AC705" s="198" t="s">
        <v>86</v>
      </c>
      <c r="AD705" s="198" t="s">
        <v>62</v>
      </c>
      <c r="AE705" s="198" t="s">
        <v>549</v>
      </c>
      <c r="AF705" s="198" t="s">
        <v>548</v>
      </c>
      <c r="AG705" s="198" t="s">
        <v>189</v>
      </c>
      <c r="AH705" s="198" t="s">
        <v>117</v>
      </c>
      <c r="AI705" s="198" t="s">
        <v>56</v>
      </c>
      <c r="AJ705" s="198" t="s">
        <v>294</v>
      </c>
      <c r="AK705" s="198" t="s">
        <v>51</v>
      </c>
      <c r="AL705" s="198" t="s">
        <v>67</v>
      </c>
      <c r="AM705" s="198" t="s">
        <v>68</v>
      </c>
      <c r="AN705" s="202">
        <v>318021.12</v>
      </c>
      <c r="AO705" s="202">
        <v>318021.12</v>
      </c>
      <c r="AP705" s="202">
        <v>318021.12</v>
      </c>
      <c r="AQ705" s="198" t="s">
        <v>358</v>
      </c>
      <c r="AR705" s="198" t="s">
        <v>51</v>
      </c>
      <c r="AS705" s="202">
        <v>318021.12</v>
      </c>
      <c r="AT705" s="202">
        <v>318021.12</v>
      </c>
      <c r="AU705" s="198" t="s">
        <v>359</v>
      </c>
      <c r="AV705" s="198" t="s">
        <v>62</v>
      </c>
      <c r="AW705" s="198" t="s">
        <v>54</v>
      </c>
    </row>
    <row r="706" spans="3:49" outlineLevel="2" x14ac:dyDescent="0.25">
      <c r="C706" s="201"/>
      <c r="D706" s="198" t="s">
        <v>531</v>
      </c>
      <c r="H706" s="198" t="s">
        <v>531</v>
      </c>
      <c r="I706" s="202">
        <f t="shared" si="10"/>
        <v>295263861.74999958</v>
      </c>
      <c r="J706" s="202">
        <v>71.499999999999901</v>
      </c>
      <c r="L706" s="204">
        <v>2000</v>
      </c>
      <c r="M706" s="202">
        <v>345460</v>
      </c>
      <c r="N706" s="204">
        <v>2000</v>
      </c>
      <c r="O706" s="198" t="s">
        <v>51</v>
      </c>
      <c r="P706" s="202">
        <v>345460</v>
      </c>
      <c r="Q706" s="198" t="s">
        <v>75</v>
      </c>
      <c r="R706" s="198" t="s">
        <v>53</v>
      </c>
      <c r="S706" s="198" t="s">
        <v>54</v>
      </c>
      <c r="T706" s="198" t="s">
        <v>538</v>
      </c>
      <c r="U706" s="198" t="s">
        <v>367</v>
      </c>
      <c r="V706" s="198" t="s">
        <v>56</v>
      </c>
      <c r="W706" s="198" t="s">
        <v>356</v>
      </c>
      <c r="X706" s="198" t="s">
        <v>57</v>
      </c>
      <c r="Y706" s="198" t="s">
        <v>58</v>
      </c>
      <c r="Z706" s="201">
        <v>46203</v>
      </c>
      <c r="AA706" s="198" t="s">
        <v>59</v>
      </c>
      <c r="AB706" s="198" t="s">
        <v>60</v>
      </c>
      <c r="AC706" s="198" t="s">
        <v>86</v>
      </c>
      <c r="AD706" s="198" t="s">
        <v>62</v>
      </c>
      <c r="AE706" s="198" t="s">
        <v>324</v>
      </c>
      <c r="AF706" s="198" t="s">
        <v>323</v>
      </c>
      <c r="AG706" s="198" t="s">
        <v>189</v>
      </c>
      <c r="AH706" s="198" t="s">
        <v>117</v>
      </c>
      <c r="AI706" s="198" t="s">
        <v>56</v>
      </c>
      <c r="AJ706" s="198" t="s">
        <v>325</v>
      </c>
      <c r="AK706" s="198" t="s">
        <v>51</v>
      </c>
      <c r="AL706" s="198" t="s">
        <v>67</v>
      </c>
      <c r="AM706" s="198" t="s">
        <v>68</v>
      </c>
      <c r="AN706" s="202">
        <v>345460</v>
      </c>
      <c r="AO706" s="202">
        <v>345460</v>
      </c>
      <c r="AP706" s="202">
        <v>345460</v>
      </c>
      <c r="AQ706" s="198" t="s">
        <v>358</v>
      </c>
      <c r="AR706" s="198" t="s">
        <v>51</v>
      </c>
      <c r="AS706" s="202">
        <v>345460</v>
      </c>
      <c r="AT706" s="202">
        <v>345460</v>
      </c>
      <c r="AU706" s="198" t="s">
        <v>359</v>
      </c>
      <c r="AV706" s="198" t="s">
        <v>62</v>
      </c>
      <c r="AW706" s="198" t="s">
        <v>54</v>
      </c>
    </row>
    <row r="707" spans="3:49" outlineLevel="2" x14ac:dyDescent="0.25">
      <c r="C707" s="201"/>
      <c r="D707" s="198" t="s">
        <v>532</v>
      </c>
      <c r="H707" s="198" t="s">
        <v>532</v>
      </c>
      <c r="I707" s="202">
        <f t="shared" ref="I707:I770" si="11">J707*4129564.5</f>
        <v>295676818.19999957</v>
      </c>
      <c r="J707" s="202">
        <v>71.599999999999895</v>
      </c>
      <c r="L707" s="204">
        <v>27540</v>
      </c>
      <c r="M707" s="202">
        <v>6810917.4000000004</v>
      </c>
      <c r="N707" s="204">
        <v>27540</v>
      </c>
      <c r="O707" s="198" t="s">
        <v>51</v>
      </c>
      <c r="P707" s="202">
        <v>6810917.4000000004</v>
      </c>
      <c r="Q707" s="198" t="s">
        <v>75</v>
      </c>
      <c r="R707" s="198" t="s">
        <v>53</v>
      </c>
      <c r="S707" s="198" t="s">
        <v>54</v>
      </c>
      <c r="T707" s="198" t="s">
        <v>538</v>
      </c>
      <c r="U707" s="198" t="s">
        <v>367</v>
      </c>
      <c r="V707" s="198" t="s">
        <v>56</v>
      </c>
      <c r="W707" s="198" t="s">
        <v>356</v>
      </c>
      <c r="X707" s="198" t="s">
        <v>57</v>
      </c>
      <c r="Y707" s="198" t="s">
        <v>58</v>
      </c>
      <c r="Z707" s="201">
        <v>46203</v>
      </c>
      <c r="AA707" s="198" t="s">
        <v>59</v>
      </c>
      <c r="AB707" s="198" t="s">
        <v>60</v>
      </c>
      <c r="AC707" s="198" t="s">
        <v>86</v>
      </c>
      <c r="AD707" s="198" t="s">
        <v>62</v>
      </c>
      <c r="AE707" s="198" t="s">
        <v>539</v>
      </c>
      <c r="AF707" s="198" t="s">
        <v>537</v>
      </c>
      <c r="AG707" s="198" t="s">
        <v>189</v>
      </c>
      <c r="AH707" s="198" t="s">
        <v>137</v>
      </c>
      <c r="AI707" s="198" t="s">
        <v>56</v>
      </c>
      <c r="AJ707" s="198" t="s">
        <v>325</v>
      </c>
      <c r="AK707" s="198" t="s">
        <v>51</v>
      </c>
      <c r="AL707" s="198" t="s">
        <v>67</v>
      </c>
      <c r="AM707" s="198" t="s">
        <v>68</v>
      </c>
      <c r="AN707" s="202">
        <v>6810917.4000000004</v>
      </c>
      <c r="AO707" s="202">
        <v>6810917.4000000004</v>
      </c>
      <c r="AP707" s="202">
        <v>6810917.4000000004</v>
      </c>
      <c r="AQ707" s="198" t="s">
        <v>358</v>
      </c>
      <c r="AR707" s="198" t="s">
        <v>51</v>
      </c>
      <c r="AS707" s="202">
        <v>6810917.4000000004</v>
      </c>
      <c r="AT707" s="202">
        <v>6810917.4000000004</v>
      </c>
      <c r="AU707" s="198" t="s">
        <v>359</v>
      </c>
      <c r="AV707" s="198" t="s">
        <v>62</v>
      </c>
      <c r="AW707" s="198" t="s">
        <v>54</v>
      </c>
    </row>
    <row r="708" spans="3:49" outlineLevel="2" x14ac:dyDescent="0.25">
      <c r="C708" s="201"/>
      <c r="D708" s="198" t="s">
        <v>532</v>
      </c>
      <c r="H708" s="198" t="s">
        <v>532</v>
      </c>
      <c r="I708" s="202">
        <f t="shared" si="11"/>
        <v>296089774.64999962</v>
      </c>
      <c r="J708" s="202">
        <v>71.699999999999903</v>
      </c>
      <c r="L708" s="204">
        <v>16794</v>
      </c>
      <c r="M708" s="202">
        <v>1659751.02</v>
      </c>
      <c r="N708" s="204">
        <v>16794</v>
      </c>
      <c r="O708" s="198" t="s">
        <v>51</v>
      </c>
      <c r="P708" s="202">
        <v>1659751.02</v>
      </c>
      <c r="Q708" s="198" t="s">
        <v>75</v>
      </c>
      <c r="R708" s="198" t="s">
        <v>53</v>
      </c>
      <c r="S708" s="198" t="s">
        <v>54</v>
      </c>
      <c r="T708" s="198" t="s">
        <v>538</v>
      </c>
      <c r="U708" s="198" t="s">
        <v>367</v>
      </c>
      <c r="V708" s="198" t="s">
        <v>56</v>
      </c>
      <c r="W708" s="198" t="s">
        <v>356</v>
      </c>
      <c r="X708" s="198" t="s">
        <v>57</v>
      </c>
      <c r="Y708" s="198" t="s">
        <v>58</v>
      </c>
      <c r="Z708" s="201">
        <v>46203</v>
      </c>
      <c r="AA708" s="198" t="s">
        <v>59</v>
      </c>
      <c r="AB708" s="198" t="s">
        <v>60</v>
      </c>
      <c r="AC708" s="198" t="s">
        <v>86</v>
      </c>
      <c r="AD708" s="198" t="s">
        <v>62</v>
      </c>
      <c r="AE708" s="198" t="s">
        <v>543</v>
      </c>
      <c r="AF708" s="198" t="s">
        <v>542</v>
      </c>
      <c r="AG708" s="198" t="s">
        <v>189</v>
      </c>
      <c r="AH708" s="198" t="s">
        <v>137</v>
      </c>
      <c r="AI708" s="198" t="s">
        <v>56</v>
      </c>
      <c r="AJ708" s="198" t="s">
        <v>318</v>
      </c>
      <c r="AK708" s="198" t="s">
        <v>51</v>
      </c>
      <c r="AL708" s="198" t="s">
        <v>67</v>
      </c>
      <c r="AM708" s="198" t="s">
        <v>68</v>
      </c>
      <c r="AN708" s="202">
        <v>1659751.02</v>
      </c>
      <c r="AO708" s="202">
        <v>1659751.02</v>
      </c>
      <c r="AP708" s="202">
        <v>1659751.02</v>
      </c>
      <c r="AQ708" s="198" t="s">
        <v>358</v>
      </c>
      <c r="AR708" s="198" t="s">
        <v>51</v>
      </c>
      <c r="AS708" s="202">
        <v>1659751.02</v>
      </c>
      <c r="AT708" s="202">
        <v>1659751.02</v>
      </c>
      <c r="AU708" s="198" t="s">
        <v>359</v>
      </c>
      <c r="AV708" s="198" t="s">
        <v>62</v>
      </c>
      <c r="AW708" s="198" t="s">
        <v>54</v>
      </c>
    </row>
    <row r="709" spans="3:49" outlineLevel="2" x14ac:dyDescent="0.25">
      <c r="C709" s="201"/>
      <c r="D709" s="198" t="s">
        <v>532</v>
      </c>
      <c r="H709" s="198" t="s">
        <v>532</v>
      </c>
      <c r="I709" s="202">
        <f t="shared" si="11"/>
        <v>296502731.09999961</v>
      </c>
      <c r="J709" s="202">
        <v>71.799999999999898</v>
      </c>
      <c r="L709" s="204">
        <v>25272</v>
      </c>
      <c r="M709" s="202">
        <v>2883029.76</v>
      </c>
      <c r="N709" s="204">
        <v>25272</v>
      </c>
      <c r="O709" s="198" t="s">
        <v>51</v>
      </c>
      <c r="P709" s="202">
        <v>2883029.76</v>
      </c>
      <c r="Q709" s="198" t="s">
        <v>75</v>
      </c>
      <c r="R709" s="198" t="s">
        <v>53</v>
      </c>
      <c r="S709" s="198" t="s">
        <v>54</v>
      </c>
      <c r="T709" s="198" t="s">
        <v>538</v>
      </c>
      <c r="U709" s="198" t="s">
        <v>367</v>
      </c>
      <c r="V709" s="198" t="s">
        <v>56</v>
      </c>
      <c r="W709" s="198" t="s">
        <v>356</v>
      </c>
      <c r="X709" s="198" t="s">
        <v>57</v>
      </c>
      <c r="Y709" s="198" t="s">
        <v>58</v>
      </c>
      <c r="Z709" s="201">
        <v>46203</v>
      </c>
      <c r="AA709" s="198" t="s">
        <v>59</v>
      </c>
      <c r="AB709" s="198" t="s">
        <v>60</v>
      </c>
      <c r="AC709" s="198" t="s">
        <v>86</v>
      </c>
      <c r="AD709" s="198" t="s">
        <v>62</v>
      </c>
      <c r="AE709" s="198" t="s">
        <v>545</v>
      </c>
      <c r="AF709" s="198" t="s">
        <v>544</v>
      </c>
      <c r="AG709" s="198" t="s">
        <v>189</v>
      </c>
      <c r="AH709" s="198" t="s">
        <v>137</v>
      </c>
      <c r="AI709" s="198" t="s">
        <v>56</v>
      </c>
      <c r="AJ709" s="198" t="s">
        <v>318</v>
      </c>
      <c r="AK709" s="198" t="s">
        <v>51</v>
      </c>
      <c r="AL709" s="198" t="s">
        <v>67</v>
      </c>
      <c r="AM709" s="198" t="s">
        <v>68</v>
      </c>
      <c r="AN709" s="202">
        <v>2883029.76</v>
      </c>
      <c r="AO709" s="202">
        <v>2883029.76</v>
      </c>
      <c r="AP709" s="202">
        <v>2883029.76</v>
      </c>
      <c r="AQ709" s="198" t="s">
        <v>358</v>
      </c>
      <c r="AR709" s="198" t="s">
        <v>51</v>
      </c>
      <c r="AS709" s="202">
        <v>2883029.76</v>
      </c>
      <c r="AT709" s="202">
        <v>2883029.76</v>
      </c>
      <c r="AU709" s="198" t="s">
        <v>359</v>
      </c>
      <c r="AV709" s="198" t="s">
        <v>62</v>
      </c>
      <c r="AW709" s="198" t="s">
        <v>54</v>
      </c>
    </row>
    <row r="710" spans="3:49" outlineLevel="2" x14ac:dyDescent="0.25">
      <c r="C710" s="201"/>
      <c r="D710" s="198" t="s">
        <v>532</v>
      </c>
      <c r="H710" s="198" t="s">
        <v>532</v>
      </c>
      <c r="I710" s="202">
        <f t="shared" si="11"/>
        <v>296915687.54999959</v>
      </c>
      <c r="J710" s="202">
        <v>71.899999999999906</v>
      </c>
      <c r="L710" s="204">
        <v>82458</v>
      </c>
      <c r="M710" s="202">
        <v>11851688.34</v>
      </c>
      <c r="N710" s="204">
        <v>82458</v>
      </c>
      <c r="O710" s="198" t="s">
        <v>51</v>
      </c>
      <c r="P710" s="202">
        <v>11851688.34</v>
      </c>
      <c r="Q710" s="198" t="s">
        <v>75</v>
      </c>
      <c r="R710" s="198" t="s">
        <v>53</v>
      </c>
      <c r="S710" s="198" t="s">
        <v>54</v>
      </c>
      <c r="T710" s="198" t="s">
        <v>538</v>
      </c>
      <c r="U710" s="198" t="s">
        <v>367</v>
      </c>
      <c r="V710" s="198" t="s">
        <v>56</v>
      </c>
      <c r="W710" s="198" t="s">
        <v>356</v>
      </c>
      <c r="X710" s="198" t="s">
        <v>57</v>
      </c>
      <c r="Y710" s="198" t="s">
        <v>58</v>
      </c>
      <c r="Z710" s="201">
        <v>46203</v>
      </c>
      <c r="AA710" s="198" t="s">
        <v>59</v>
      </c>
      <c r="AB710" s="198" t="s">
        <v>60</v>
      </c>
      <c r="AC710" s="198" t="s">
        <v>86</v>
      </c>
      <c r="AD710" s="198" t="s">
        <v>62</v>
      </c>
      <c r="AE710" s="198" t="s">
        <v>547</v>
      </c>
      <c r="AF710" s="198" t="s">
        <v>546</v>
      </c>
      <c r="AG710" s="198" t="s">
        <v>189</v>
      </c>
      <c r="AH710" s="198" t="s">
        <v>137</v>
      </c>
      <c r="AI710" s="198" t="s">
        <v>56</v>
      </c>
      <c r="AJ710" s="198" t="s">
        <v>318</v>
      </c>
      <c r="AK710" s="198" t="s">
        <v>51</v>
      </c>
      <c r="AL710" s="198" t="s">
        <v>67</v>
      </c>
      <c r="AM710" s="198" t="s">
        <v>68</v>
      </c>
      <c r="AN710" s="202">
        <v>11851688.34</v>
      </c>
      <c r="AO710" s="202">
        <v>11851688.34</v>
      </c>
      <c r="AP710" s="202">
        <v>11851688.34</v>
      </c>
      <c r="AQ710" s="198" t="s">
        <v>358</v>
      </c>
      <c r="AR710" s="198" t="s">
        <v>51</v>
      </c>
      <c r="AS710" s="202">
        <v>11851688.34</v>
      </c>
      <c r="AT710" s="202">
        <v>11851688.34</v>
      </c>
      <c r="AU710" s="198" t="s">
        <v>359</v>
      </c>
      <c r="AV710" s="198" t="s">
        <v>62</v>
      </c>
      <c r="AW710" s="198" t="s">
        <v>54</v>
      </c>
    </row>
    <row r="711" spans="3:49" outlineLevel="2" x14ac:dyDescent="0.25">
      <c r="C711" s="201"/>
      <c r="D711" s="198" t="s">
        <v>532</v>
      </c>
      <c r="H711" s="198" t="s">
        <v>532</v>
      </c>
      <c r="I711" s="202">
        <f t="shared" si="11"/>
        <v>297328643.99999958</v>
      </c>
      <c r="J711" s="202">
        <v>71.999999999999901</v>
      </c>
      <c r="L711" s="204">
        <v>36288</v>
      </c>
      <c r="M711" s="202">
        <v>3733309.4399999999</v>
      </c>
      <c r="N711" s="204">
        <v>36288</v>
      </c>
      <c r="O711" s="198" t="s">
        <v>51</v>
      </c>
      <c r="P711" s="202">
        <v>3733309.4399999999</v>
      </c>
      <c r="Q711" s="198" t="s">
        <v>75</v>
      </c>
      <c r="R711" s="198" t="s">
        <v>53</v>
      </c>
      <c r="S711" s="198" t="s">
        <v>54</v>
      </c>
      <c r="T711" s="198" t="s">
        <v>538</v>
      </c>
      <c r="U711" s="198" t="s">
        <v>367</v>
      </c>
      <c r="V711" s="198" t="s">
        <v>56</v>
      </c>
      <c r="W711" s="198" t="s">
        <v>356</v>
      </c>
      <c r="X711" s="198" t="s">
        <v>57</v>
      </c>
      <c r="Y711" s="198" t="s">
        <v>58</v>
      </c>
      <c r="Z711" s="201">
        <v>46203</v>
      </c>
      <c r="AA711" s="198" t="s">
        <v>59</v>
      </c>
      <c r="AB711" s="198" t="s">
        <v>60</v>
      </c>
      <c r="AC711" s="198" t="s">
        <v>86</v>
      </c>
      <c r="AD711" s="198" t="s">
        <v>62</v>
      </c>
      <c r="AE711" s="198" t="s">
        <v>549</v>
      </c>
      <c r="AF711" s="198" t="s">
        <v>548</v>
      </c>
      <c r="AG711" s="198" t="s">
        <v>189</v>
      </c>
      <c r="AH711" s="198" t="s">
        <v>137</v>
      </c>
      <c r="AI711" s="198" t="s">
        <v>56</v>
      </c>
      <c r="AJ711" s="198" t="s">
        <v>294</v>
      </c>
      <c r="AK711" s="198" t="s">
        <v>51</v>
      </c>
      <c r="AL711" s="198" t="s">
        <v>67</v>
      </c>
      <c r="AM711" s="198" t="s">
        <v>68</v>
      </c>
      <c r="AN711" s="202">
        <v>3733309.4399999999</v>
      </c>
      <c r="AO711" s="202">
        <v>3733309.4399999999</v>
      </c>
      <c r="AP711" s="202">
        <v>3733309.4399999999</v>
      </c>
      <c r="AQ711" s="198" t="s">
        <v>358</v>
      </c>
      <c r="AR711" s="198" t="s">
        <v>51</v>
      </c>
      <c r="AS711" s="202">
        <v>3733309.4399999999</v>
      </c>
      <c r="AT711" s="202">
        <v>3733309.4399999999</v>
      </c>
      <c r="AU711" s="198" t="s">
        <v>359</v>
      </c>
      <c r="AV711" s="198" t="s">
        <v>62</v>
      </c>
      <c r="AW711" s="198" t="s">
        <v>54</v>
      </c>
    </row>
    <row r="712" spans="3:49" outlineLevel="2" x14ac:dyDescent="0.25">
      <c r="C712" s="201"/>
      <c r="D712" s="198" t="s">
        <v>532</v>
      </c>
      <c r="H712" s="198" t="s">
        <v>532</v>
      </c>
      <c r="I712" s="202">
        <f t="shared" si="11"/>
        <v>297741600.44999957</v>
      </c>
      <c r="J712" s="202">
        <v>72.099999999999895</v>
      </c>
      <c r="L712" s="204">
        <v>9228</v>
      </c>
      <c r="M712" s="202">
        <v>710925.12</v>
      </c>
      <c r="N712" s="204">
        <v>9228</v>
      </c>
      <c r="O712" s="198" t="s">
        <v>51</v>
      </c>
      <c r="P712" s="202">
        <v>710925.12</v>
      </c>
      <c r="Q712" s="198" t="s">
        <v>75</v>
      </c>
      <c r="R712" s="198" t="s">
        <v>53</v>
      </c>
      <c r="S712" s="198" t="s">
        <v>54</v>
      </c>
      <c r="T712" s="198" t="s">
        <v>538</v>
      </c>
      <c r="U712" s="198" t="s">
        <v>367</v>
      </c>
      <c r="V712" s="198" t="s">
        <v>56</v>
      </c>
      <c r="W712" s="198" t="s">
        <v>356</v>
      </c>
      <c r="X712" s="198" t="s">
        <v>57</v>
      </c>
      <c r="Y712" s="198" t="s">
        <v>58</v>
      </c>
      <c r="Z712" s="201">
        <v>46203</v>
      </c>
      <c r="AA712" s="198" t="s">
        <v>59</v>
      </c>
      <c r="AB712" s="198" t="s">
        <v>60</v>
      </c>
      <c r="AC712" s="198" t="s">
        <v>86</v>
      </c>
      <c r="AD712" s="198" t="s">
        <v>62</v>
      </c>
      <c r="AE712" s="198" t="s">
        <v>549</v>
      </c>
      <c r="AF712" s="198" t="s">
        <v>548</v>
      </c>
      <c r="AG712" s="198" t="s">
        <v>189</v>
      </c>
      <c r="AH712" s="198" t="s">
        <v>137</v>
      </c>
      <c r="AI712" s="198" t="s">
        <v>56</v>
      </c>
      <c r="AJ712" s="198" t="s">
        <v>294</v>
      </c>
      <c r="AK712" s="198" t="s">
        <v>51</v>
      </c>
      <c r="AL712" s="198" t="s">
        <v>67</v>
      </c>
      <c r="AM712" s="198" t="s">
        <v>68</v>
      </c>
      <c r="AN712" s="202">
        <v>710925.12</v>
      </c>
      <c r="AO712" s="202">
        <v>710925.12</v>
      </c>
      <c r="AP712" s="202">
        <v>710925.12</v>
      </c>
      <c r="AQ712" s="198" t="s">
        <v>358</v>
      </c>
      <c r="AR712" s="198" t="s">
        <v>51</v>
      </c>
      <c r="AS712" s="202">
        <v>710925.12</v>
      </c>
      <c r="AT712" s="202">
        <v>710925.12</v>
      </c>
      <c r="AU712" s="198" t="s">
        <v>359</v>
      </c>
      <c r="AV712" s="198" t="s">
        <v>62</v>
      </c>
      <c r="AW712" s="198" t="s">
        <v>54</v>
      </c>
    </row>
    <row r="713" spans="3:49" outlineLevel="2" x14ac:dyDescent="0.25">
      <c r="C713" s="201"/>
      <c r="D713" s="198" t="s">
        <v>532</v>
      </c>
      <c r="H713" s="198" t="s">
        <v>532</v>
      </c>
      <c r="I713" s="202">
        <f t="shared" si="11"/>
        <v>298154556.89999962</v>
      </c>
      <c r="J713" s="202">
        <v>72.199999999999903</v>
      </c>
      <c r="L713" s="204">
        <v>3906</v>
      </c>
      <c r="M713" s="202">
        <v>674683.38</v>
      </c>
      <c r="N713" s="204">
        <v>3906</v>
      </c>
      <c r="O713" s="198" t="s">
        <v>51</v>
      </c>
      <c r="P713" s="202">
        <v>674683.38</v>
      </c>
      <c r="Q713" s="198" t="s">
        <v>75</v>
      </c>
      <c r="R713" s="198" t="s">
        <v>53</v>
      </c>
      <c r="S713" s="198" t="s">
        <v>54</v>
      </c>
      <c r="T713" s="198" t="s">
        <v>538</v>
      </c>
      <c r="U713" s="198" t="s">
        <v>367</v>
      </c>
      <c r="V713" s="198" t="s">
        <v>56</v>
      </c>
      <c r="W713" s="198" t="s">
        <v>356</v>
      </c>
      <c r="X713" s="198" t="s">
        <v>57</v>
      </c>
      <c r="Y713" s="198" t="s">
        <v>58</v>
      </c>
      <c r="Z713" s="201">
        <v>46203</v>
      </c>
      <c r="AA713" s="198" t="s">
        <v>59</v>
      </c>
      <c r="AB713" s="198" t="s">
        <v>60</v>
      </c>
      <c r="AC713" s="198" t="s">
        <v>86</v>
      </c>
      <c r="AD713" s="198" t="s">
        <v>62</v>
      </c>
      <c r="AE713" s="198" t="s">
        <v>324</v>
      </c>
      <c r="AF713" s="198" t="s">
        <v>323</v>
      </c>
      <c r="AG713" s="198" t="s">
        <v>189</v>
      </c>
      <c r="AH713" s="198" t="s">
        <v>137</v>
      </c>
      <c r="AI713" s="198" t="s">
        <v>56</v>
      </c>
      <c r="AJ713" s="198" t="s">
        <v>325</v>
      </c>
      <c r="AK713" s="198" t="s">
        <v>51</v>
      </c>
      <c r="AL713" s="198" t="s">
        <v>67</v>
      </c>
      <c r="AM713" s="198" t="s">
        <v>68</v>
      </c>
      <c r="AN713" s="202">
        <v>674683.38</v>
      </c>
      <c r="AO713" s="202">
        <v>674683.38</v>
      </c>
      <c r="AP713" s="202">
        <v>674683.38</v>
      </c>
      <c r="AQ713" s="198" t="s">
        <v>358</v>
      </c>
      <c r="AR713" s="198" t="s">
        <v>51</v>
      </c>
      <c r="AS713" s="202">
        <v>674683.38</v>
      </c>
      <c r="AT713" s="202">
        <v>674683.38</v>
      </c>
      <c r="AU713" s="198" t="s">
        <v>359</v>
      </c>
      <c r="AV713" s="198" t="s">
        <v>62</v>
      </c>
      <c r="AW713" s="198" t="s">
        <v>54</v>
      </c>
    </row>
    <row r="714" spans="3:49" outlineLevel="2" x14ac:dyDescent="0.25">
      <c r="C714" s="201"/>
      <c r="D714" s="198" t="s">
        <v>557</v>
      </c>
      <c r="H714" s="198" t="s">
        <v>557</v>
      </c>
      <c r="I714" s="202">
        <f t="shared" si="11"/>
        <v>298567513.34999961</v>
      </c>
      <c r="J714" s="202">
        <v>72.299999999999898</v>
      </c>
      <c r="L714" s="204">
        <v>9</v>
      </c>
      <c r="M714" s="202">
        <v>149175000</v>
      </c>
      <c r="N714" s="204">
        <v>9</v>
      </c>
      <c r="O714" s="198" t="s">
        <v>51</v>
      </c>
      <c r="P714" s="202">
        <v>149175000</v>
      </c>
      <c r="Q714" s="198" t="s">
        <v>73</v>
      </c>
      <c r="R714" s="198" t="s">
        <v>53</v>
      </c>
      <c r="S714" s="198" t="s">
        <v>54</v>
      </c>
      <c r="T714" s="198" t="s">
        <v>2043</v>
      </c>
      <c r="U714" s="198" t="s">
        <v>2047</v>
      </c>
      <c r="V714" s="198" t="s">
        <v>56</v>
      </c>
      <c r="W714" s="198" t="s">
        <v>356</v>
      </c>
      <c r="X714" s="198" t="s">
        <v>57</v>
      </c>
      <c r="Y714" s="198" t="s">
        <v>58</v>
      </c>
      <c r="Z714" s="201">
        <v>46233</v>
      </c>
      <c r="AA714" s="198" t="s">
        <v>59</v>
      </c>
      <c r="AB714" s="198" t="s">
        <v>60</v>
      </c>
      <c r="AC714" s="198" t="s">
        <v>86</v>
      </c>
      <c r="AD714" s="198" t="s">
        <v>62</v>
      </c>
      <c r="AE714" s="198" t="s">
        <v>116</v>
      </c>
      <c r="AF714" s="198" t="s">
        <v>115</v>
      </c>
      <c r="AG714" s="198" t="s">
        <v>248</v>
      </c>
      <c r="AH714" s="198" t="s">
        <v>134</v>
      </c>
      <c r="AI714" s="198" t="s">
        <v>56</v>
      </c>
      <c r="AJ714" s="198" t="s">
        <v>118</v>
      </c>
      <c r="AK714" s="198" t="s">
        <v>51</v>
      </c>
      <c r="AL714" s="198" t="s">
        <v>67</v>
      </c>
      <c r="AM714" s="198" t="s">
        <v>68</v>
      </c>
      <c r="AN714" s="202">
        <v>149175000</v>
      </c>
      <c r="AO714" s="202">
        <v>149175000</v>
      </c>
      <c r="AP714" s="202">
        <v>149175000</v>
      </c>
      <c r="AQ714" s="198" t="s">
        <v>358</v>
      </c>
      <c r="AR714" s="198" t="s">
        <v>51</v>
      </c>
      <c r="AS714" s="202">
        <v>149175000</v>
      </c>
      <c r="AT714" s="202">
        <v>149175000</v>
      </c>
      <c r="AU714" s="198" t="s">
        <v>359</v>
      </c>
      <c r="AV714" s="198" t="s">
        <v>62</v>
      </c>
      <c r="AW714" s="198" t="s">
        <v>54</v>
      </c>
    </row>
    <row r="715" spans="3:49" outlineLevel="2" x14ac:dyDescent="0.25">
      <c r="C715" s="201"/>
      <c r="D715" s="198" t="s">
        <v>557</v>
      </c>
      <c r="H715" s="198" t="s">
        <v>557</v>
      </c>
      <c r="I715" s="202">
        <f t="shared" si="11"/>
        <v>298980469.79999959</v>
      </c>
      <c r="J715" s="202">
        <v>72.399999999999906</v>
      </c>
      <c r="L715" s="204">
        <v>10</v>
      </c>
      <c r="M715" s="202">
        <v>165750000</v>
      </c>
      <c r="N715" s="204">
        <v>10</v>
      </c>
      <c r="O715" s="198" t="s">
        <v>51</v>
      </c>
      <c r="P715" s="202">
        <v>165750000</v>
      </c>
      <c r="Q715" s="198" t="s">
        <v>73</v>
      </c>
      <c r="R715" s="198" t="s">
        <v>53</v>
      </c>
      <c r="S715" s="198" t="s">
        <v>54</v>
      </c>
      <c r="T715" s="198" t="s">
        <v>2043</v>
      </c>
      <c r="U715" s="198" t="s">
        <v>2047</v>
      </c>
      <c r="V715" s="198" t="s">
        <v>56</v>
      </c>
      <c r="W715" s="198" t="s">
        <v>356</v>
      </c>
      <c r="X715" s="198" t="s">
        <v>57</v>
      </c>
      <c r="Y715" s="198" t="s">
        <v>58</v>
      </c>
      <c r="Z715" s="201">
        <v>46203</v>
      </c>
      <c r="AA715" s="198" t="s">
        <v>59</v>
      </c>
      <c r="AB715" s="198" t="s">
        <v>60</v>
      </c>
      <c r="AC715" s="198" t="s">
        <v>86</v>
      </c>
      <c r="AD715" s="198" t="s">
        <v>62</v>
      </c>
      <c r="AE715" s="198" t="s">
        <v>116</v>
      </c>
      <c r="AF715" s="198" t="s">
        <v>115</v>
      </c>
      <c r="AG715" s="198" t="s">
        <v>189</v>
      </c>
      <c r="AH715" s="198" t="s">
        <v>134</v>
      </c>
      <c r="AI715" s="198" t="s">
        <v>147</v>
      </c>
      <c r="AJ715" s="198" t="s">
        <v>118</v>
      </c>
      <c r="AK715" s="198" t="s">
        <v>51</v>
      </c>
      <c r="AL715" s="198" t="s">
        <v>67</v>
      </c>
      <c r="AM715" s="198" t="s">
        <v>68</v>
      </c>
      <c r="AN715" s="202">
        <v>165750000</v>
      </c>
      <c r="AO715" s="202">
        <v>165750000</v>
      </c>
      <c r="AP715" s="202">
        <v>165750000</v>
      </c>
      <c r="AQ715" s="198" t="s">
        <v>358</v>
      </c>
      <c r="AR715" s="198" t="s">
        <v>51</v>
      </c>
      <c r="AS715" s="202">
        <v>165750000</v>
      </c>
      <c r="AT715" s="202">
        <v>165750000</v>
      </c>
      <c r="AU715" s="198" t="s">
        <v>359</v>
      </c>
      <c r="AV715" s="198" t="s">
        <v>62</v>
      </c>
      <c r="AW715" s="198" t="s">
        <v>54</v>
      </c>
    </row>
    <row r="716" spans="3:49" outlineLevel="2" x14ac:dyDescent="0.25">
      <c r="C716" s="201"/>
      <c r="D716" s="198" t="s">
        <v>557</v>
      </c>
      <c r="H716" s="198" t="s">
        <v>557</v>
      </c>
      <c r="I716" s="202">
        <f t="shared" si="11"/>
        <v>299393426.24999958</v>
      </c>
      <c r="J716" s="202">
        <v>72.499999999999901</v>
      </c>
      <c r="L716" s="204">
        <v>6</v>
      </c>
      <c r="M716" s="202">
        <v>99450000</v>
      </c>
      <c r="N716" s="204">
        <v>6</v>
      </c>
      <c r="O716" s="198" t="s">
        <v>51</v>
      </c>
      <c r="P716" s="202">
        <v>99450000</v>
      </c>
      <c r="Q716" s="198" t="s">
        <v>73</v>
      </c>
      <c r="R716" s="198" t="s">
        <v>53</v>
      </c>
      <c r="S716" s="198" t="s">
        <v>54</v>
      </c>
      <c r="T716" s="198" t="s">
        <v>2043</v>
      </c>
      <c r="U716" s="198" t="s">
        <v>2047</v>
      </c>
      <c r="V716" s="198" t="s">
        <v>56</v>
      </c>
      <c r="W716" s="198" t="s">
        <v>356</v>
      </c>
      <c r="X716" s="198" t="s">
        <v>57</v>
      </c>
      <c r="Y716" s="198" t="s">
        <v>58</v>
      </c>
      <c r="Z716" s="201">
        <v>46172</v>
      </c>
      <c r="AA716" s="198" t="s">
        <v>59</v>
      </c>
      <c r="AB716" s="198" t="s">
        <v>60</v>
      </c>
      <c r="AC716" s="198" t="s">
        <v>86</v>
      </c>
      <c r="AD716" s="198" t="s">
        <v>62</v>
      </c>
      <c r="AE716" s="198" t="s">
        <v>116</v>
      </c>
      <c r="AF716" s="198" t="s">
        <v>115</v>
      </c>
      <c r="AG716" s="198" t="s">
        <v>147</v>
      </c>
      <c r="AH716" s="198" t="s">
        <v>134</v>
      </c>
      <c r="AI716" s="198" t="s">
        <v>189</v>
      </c>
      <c r="AJ716" s="198" t="s">
        <v>118</v>
      </c>
      <c r="AK716" s="198" t="s">
        <v>51</v>
      </c>
      <c r="AL716" s="198" t="s">
        <v>67</v>
      </c>
      <c r="AM716" s="198" t="s">
        <v>68</v>
      </c>
      <c r="AN716" s="202">
        <v>99450000</v>
      </c>
      <c r="AO716" s="202">
        <v>99450000</v>
      </c>
      <c r="AP716" s="202">
        <v>99450000</v>
      </c>
      <c r="AQ716" s="198" t="s">
        <v>358</v>
      </c>
      <c r="AR716" s="198" t="s">
        <v>51</v>
      </c>
      <c r="AS716" s="202">
        <v>99450000</v>
      </c>
      <c r="AT716" s="202">
        <v>99450000</v>
      </c>
      <c r="AU716" s="198" t="s">
        <v>359</v>
      </c>
      <c r="AV716" s="198" t="s">
        <v>62</v>
      </c>
      <c r="AW716" s="198" t="s">
        <v>54</v>
      </c>
    </row>
    <row r="717" spans="3:49" outlineLevel="2" x14ac:dyDescent="0.25">
      <c r="C717" s="201"/>
      <c r="D717" s="198" t="s">
        <v>558</v>
      </c>
      <c r="H717" s="198" t="s">
        <v>558</v>
      </c>
      <c r="I717" s="202">
        <f t="shared" si="11"/>
        <v>299806382.69999957</v>
      </c>
      <c r="J717" s="202">
        <v>72.599999999999895</v>
      </c>
      <c r="L717" s="204">
        <v>1</v>
      </c>
      <c r="M717" s="202">
        <v>16575000</v>
      </c>
      <c r="N717" s="204">
        <v>1</v>
      </c>
      <c r="O717" s="198" t="s">
        <v>51</v>
      </c>
      <c r="P717" s="202">
        <v>16575000</v>
      </c>
      <c r="Q717" s="198" t="s">
        <v>73</v>
      </c>
      <c r="R717" s="198" t="s">
        <v>53</v>
      </c>
      <c r="S717" s="198" t="s">
        <v>54</v>
      </c>
      <c r="T717" s="198" t="s">
        <v>2043</v>
      </c>
      <c r="U717" s="198" t="s">
        <v>85</v>
      </c>
      <c r="V717" s="198" t="s">
        <v>56</v>
      </c>
      <c r="W717" s="198" t="s">
        <v>356</v>
      </c>
      <c r="X717" s="198" t="s">
        <v>57</v>
      </c>
      <c r="Y717" s="198" t="s">
        <v>58</v>
      </c>
      <c r="Z717" s="201">
        <v>46233</v>
      </c>
      <c r="AA717" s="198" t="s">
        <v>59</v>
      </c>
      <c r="AB717" s="198" t="s">
        <v>60</v>
      </c>
      <c r="AC717" s="198" t="s">
        <v>86</v>
      </c>
      <c r="AD717" s="198" t="s">
        <v>62</v>
      </c>
      <c r="AE717" s="198" t="s">
        <v>116</v>
      </c>
      <c r="AF717" s="198" t="s">
        <v>115</v>
      </c>
      <c r="AG717" s="198" t="s">
        <v>248</v>
      </c>
      <c r="AH717" s="198" t="s">
        <v>134</v>
      </c>
      <c r="AI717" s="198" t="s">
        <v>56</v>
      </c>
      <c r="AJ717" s="198" t="s">
        <v>118</v>
      </c>
      <c r="AK717" s="198" t="s">
        <v>51</v>
      </c>
      <c r="AL717" s="198" t="s">
        <v>67</v>
      </c>
      <c r="AM717" s="198" t="s">
        <v>68</v>
      </c>
      <c r="AN717" s="202">
        <v>16575000</v>
      </c>
      <c r="AO717" s="202">
        <v>16575000</v>
      </c>
      <c r="AP717" s="202">
        <v>16575000</v>
      </c>
      <c r="AQ717" s="198" t="s">
        <v>358</v>
      </c>
      <c r="AR717" s="198" t="s">
        <v>51</v>
      </c>
      <c r="AS717" s="202">
        <v>16575000</v>
      </c>
      <c r="AT717" s="202">
        <v>16575000</v>
      </c>
      <c r="AU717" s="198" t="s">
        <v>359</v>
      </c>
      <c r="AV717" s="198" t="s">
        <v>62</v>
      </c>
      <c r="AW717" s="198" t="s">
        <v>54</v>
      </c>
    </row>
    <row r="718" spans="3:49" outlineLevel="2" x14ac:dyDescent="0.25">
      <c r="C718" s="201"/>
      <c r="D718" s="198" t="s">
        <v>557</v>
      </c>
      <c r="H718" s="198" t="s">
        <v>557</v>
      </c>
      <c r="I718" s="202">
        <f t="shared" si="11"/>
        <v>300219339.14999962</v>
      </c>
      <c r="J718" s="202">
        <v>72.699999999999903</v>
      </c>
      <c r="L718" s="204">
        <v>6</v>
      </c>
      <c r="M718" s="202">
        <v>4650000</v>
      </c>
      <c r="N718" s="204">
        <v>6</v>
      </c>
      <c r="O718" s="198" t="s">
        <v>51</v>
      </c>
      <c r="P718" s="202">
        <v>4650000</v>
      </c>
      <c r="Q718" s="198" t="s">
        <v>73</v>
      </c>
      <c r="R718" s="198" t="s">
        <v>53</v>
      </c>
      <c r="S718" s="198" t="s">
        <v>54</v>
      </c>
      <c r="T718" s="198" t="s">
        <v>2043</v>
      </c>
      <c r="U718" s="198" t="s">
        <v>282</v>
      </c>
      <c r="V718" s="198" t="s">
        <v>56</v>
      </c>
      <c r="W718" s="198" t="s">
        <v>356</v>
      </c>
      <c r="X718" s="198" t="s">
        <v>57</v>
      </c>
      <c r="Y718" s="198" t="s">
        <v>58</v>
      </c>
      <c r="Z718" s="201">
        <v>46172</v>
      </c>
      <c r="AA718" s="198" t="s">
        <v>59</v>
      </c>
      <c r="AB718" s="198" t="s">
        <v>60</v>
      </c>
      <c r="AC718" s="198" t="s">
        <v>86</v>
      </c>
      <c r="AD718" s="198" t="s">
        <v>62</v>
      </c>
      <c r="AE718" s="198" t="s">
        <v>120</v>
      </c>
      <c r="AF718" s="198" t="s">
        <v>119</v>
      </c>
      <c r="AG718" s="198" t="s">
        <v>147</v>
      </c>
      <c r="AH718" s="198" t="s">
        <v>134</v>
      </c>
      <c r="AI718" s="198" t="s">
        <v>56</v>
      </c>
      <c r="AJ718" s="198" t="s">
        <v>121</v>
      </c>
      <c r="AK718" s="198" t="s">
        <v>51</v>
      </c>
      <c r="AL718" s="198" t="s">
        <v>67</v>
      </c>
      <c r="AM718" s="198" t="s">
        <v>68</v>
      </c>
      <c r="AN718" s="202">
        <v>4650000</v>
      </c>
      <c r="AO718" s="202">
        <v>4650000</v>
      </c>
      <c r="AP718" s="202">
        <v>4650000</v>
      </c>
      <c r="AQ718" s="198" t="s">
        <v>358</v>
      </c>
      <c r="AR718" s="198" t="s">
        <v>51</v>
      </c>
      <c r="AS718" s="202">
        <v>4650000</v>
      </c>
      <c r="AT718" s="202">
        <v>4650000</v>
      </c>
      <c r="AU718" s="198" t="s">
        <v>359</v>
      </c>
      <c r="AV718" s="198" t="s">
        <v>62</v>
      </c>
      <c r="AW718" s="198" t="s">
        <v>54</v>
      </c>
    </row>
    <row r="719" spans="3:49" outlineLevel="2" x14ac:dyDescent="0.25">
      <c r="C719" s="201"/>
      <c r="D719" s="198" t="s">
        <v>557</v>
      </c>
      <c r="H719" s="198" t="s">
        <v>557</v>
      </c>
      <c r="I719" s="202">
        <f t="shared" si="11"/>
        <v>300632295.59999961</v>
      </c>
      <c r="J719" s="202">
        <v>72.799999999999898</v>
      </c>
      <c r="L719" s="204">
        <v>10</v>
      </c>
      <c r="M719" s="202">
        <v>7750000</v>
      </c>
      <c r="N719" s="204">
        <v>10</v>
      </c>
      <c r="O719" s="198" t="s">
        <v>51</v>
      </c>
      <c r="P719" s="202">
        <v>7750000</v>
      </c>
      <c r="Q719" s="198" t="s">
        <v>73</v>
      </c>
      <c r="R719" s="198" t="s">
        <v>53</v>
      </c>
      <c r="S719" s="198" t="s">
        <v>54</v>
      </c>
      <c r="T719" s="198" t="s">
        <v>2043</v>
      </c>
      <c r="U719" s="198" t="s">
        <v>282</v>
      </c>
      <c r="V719" s="198" t="s">
        <v>56</v>
      </c>
      <c r="W719" s="198" t="s">
        <v>356</v>
      </c>
      <c r="X719" s="198" t="s">
        <v>57</v>
      </c>
      <c r="Y719" s="198" t="s">
        <v>58</v>
      </c>
      <c r="Z719" s="201">
        <v>46203</v>
      </c>
      <c r="AA719" s="198" t="s">
        <v>59</v>
      </c>
      <c r="AB719" s="198" t="s">
        <v>60</v>
      </c>
      <c r="AC719" s="198" t="s">
        <v>86</v>
      </c>
      <c r="AD719" s="198" t="s">
        <v>62</v>
      </c>
      <c r="AE719" s="198" t="s">
        <v>120</v>
      </c>
      <c r="AF719" s="198" t="s">
        <v>119</v>
      </c>
      <c r="AG719" s="198" t="s">
        <v>189</v>
      </c>
      <c r="AH719" s="198" t="s">
        <v>134</v>
      </c>
      <c r="AI719" s="198" t="s">
        <v>147</v>
      </c>
      <c r="AJ719" s="198" t="s">
        <v>121</v>
      </c>
      <c r="AK719" s="198" t="s">
        <v>51</v>
      </c>
      <c r="AL719" s="198" t="s">
        <v>67</v>
      </c>
      <c r="AM719" s="198" t="s">
        <v>68</v>
      </c>
      <c r="AN719" s="202">
        <v>7750000</v>
      </c>
      <c r="AO719" s="202">
        <v>7750000</v>
      </c>
      <c r="AP719" s="202">
        <v>7750000</v>
      </c>
      <c r="AQ719" s="198" t="s">
        <v>358</v>
      </c>
      <c r="AR719" s="198" t="s">
        <v>51</v>
      </c>
      <c r="AS719" s="202">
        <v>7750000</v>
      </c>
      <c r="AT719" s="202">
        <v>7750000</v>
      </c>
      <c r="AU719" s="198" t="s">
        <v>359</v>
      </c>
      <c r="AV719" s="198" t="s">
        <v>62</v>
      </c>
      <c r="AW719" s="198" t="s">
        <v>54</v>
      </c>
    </row>
    <row r="720" spans="3:49" outlineLevel="2" x14ac:dyDescent="0.25">
      <c r="C720" s="201"/>
      <c r="D720" s="198" t="s">
        <v>557</v>
      </c>
      <c r="H720" s="198" t="s">
        <v>557</v>
      </c>
      <c r="I720" s="202">
        <f t="shared" si="11"/>
        <v>301045252.04999959</v>
      </c>
      <c r="J720" s="202">
        <v>72.899999999999906</v>
      </c>
      <c r="L720" s="204">
        <v>9</v>
      </c>
      <c r="M720" s="202">
        <v>6975000</v>
      </c>
      <c r="N720" s="204">
        <v>9</v>
      </c>
      <c r="O720" s="198" t="s">
        <v>51</v>
      </c>
      <c r="P720" s="202">
        <v>6975000</v>
      </c>
      <c r="Q720" s="198" t="s">
        <v>73</v>
      </c>
      <c r="R720" s="198" t="s">
        <v>53</v>
      </c>
      <c r="S720" s="198" t="s">
        <v>54</v>
      </c>
      <c r="T720" s="198" t="s">
        <v>2043</v>
      </c>
      <c r="U720" s="198" t="s">
        <v>282</v>
      </c>
      <c r="V720" s="198" t="s">
        <v>56</v>
      </c>
      <c r="W720" s="198" t="s">
        <v>356</v>
      </c>
      <c r="X720" s="198" t="s">
        <v>57</v>
      </c>
      <c r="Y720" s="198" t="s">
        <v>58</v>
      </c>
      <c r="Z720" s="201">
        <v>46233</v>
      </c>
      <c r="AA720" s="198" t="s">
        <v>59</v>
      </c>
      <c r="AB720" s="198" t="s">
        <v>60</v>
      </c>
      <c r="AC720" s="198" t="s">
        <v>86</v>
      </c>
      <c r="AD720" s="198" t="s">
        <v>62</v>
      </c>
      <c r="AE720" s="198" t="s">
        <v>120</v>
      </c>
      <c r="AF720" s="198" t="s">
        <v>119</v>
      </c>
      <c r="AG720" s="198" t="s">
        <v>248</v>
      </c>
      <c r="AH720" s="198" t="s">
        <v>134</v>
      </c>
      <c r="AI720" s="198" t="s">
        <v>189</v>
      </c>
      <c r="AJ720" s="198" t="s">
        <v>121</v>
      </c>
      <c r="AK720" s="198" t="s">
        <v>51</v>
      </c>
      <c r="AL720" s="198" t="s">
        <v>67</v>
      </c>
      <c r="AM720" s="198" t="s">
        <v>68</v>
      </c>
      <c r="AN720" s="202">
        <v>6975000</v>
      </c>
      <c r="AO720" s="202">
        <v>6975000</v>
      </c>
      <c r="AP720" s="202">
        <v>6975000</v>
      </c>
      <c r="AQ720" s="198" t="s">
        <v>358</v>
      </c>
      <c r="AR720" s="198" t="s">
        <v>51</v>
      </c>
      <c r="AS720" s="202">
        <v>6975000</v>
      </c>
      <c r="AT720" s="202">
        <v>6975000</v>
      </c>
      <c r="AU720" s="198" t="s">
        <v>359</v>
      </c>
      <c r="AV720" s="198" t="s">
        <v>62</v>
      </c>
      <c r="AW720" s="198" t="s">
        <v>54</v>
      </c>
    </row>
    <row r="721" spans="3:49" outlineLevel="2" x14ac:dyDescent="0.25">
      <c r="C721" s="201"/>
      <c r="D721" s="198" t="s">
        <v>558</v>
      </c>
      <c r="H721" s="198" t="s">
        <v>558</v>
      </c>
      <c r="I721" s="202">
        <f t="shared" si="11"/>
        <v>301458208.49999958</v>
      </c>
      <c r="J721" s="202">
        <v>72.999999999999901</v>
      </c>
      <c r="L721" s="204">
        <v>1</v>
      </c>
      <c r="M721" s="202">
        <v>775000</v>
      </c>
      <c r="N721" s="204">
        <v>1</v>
      </c>
      <c r="O721" s="198" t="s">
        <v>51</v>
      </c>
      <c r="P721" s="202">
        <v>775000</v>
      </c>
      <c r="Q721" s="198" t="s">
        <v>73</v>
      </c>
      <c r="R721" s="198" t="s">
        <v>53</v>
      </c>
      <c r="S721" s="198" t="s">
        <v>54</v>
      </c>
      <c r="T721" s="198" t="s">
        <v>2043</v>
      </c>
      <c r="U721" s="198" t="s">
        <v>282</v>
      </c>
      <c r="V721" s="198" t="s">
        <v>56</v>
      </c>
      <c r="W721" s="198" t="s">
        <v>356</v>
      </c>
      <c r="X721" s="198" t="s">
        <v>57</v>
      </c>
      <c r="Y721" s="198" t="s">
        <v>58</v>
      </c>
      <c r="Z721" s="201">
        <v>46233</v>
      </c>
      <c r="AA721" s="198" t="s">
        <v>59</v>
      </c>
      <c r="AB721" s="198" t="s">
        <v>60</v>
      </c>
      <c r="AC721" s="198" t="s">
        <v>86</v>
      </c>
      <c r="AD721" s="198" t="s">
        <v>62</v>
      </c>
      <c r="AE721" s="198" t="s">
        <v>120</v>
      </c>
      <c r="AF721" s="198" t="s">
        <v>119</v>
      </c>
      <c r="AG721" s="198" t="s">
        <v>248</v>
      </c>
      <c r="AH721" s="198" t="s">
        <v>134</v>
      </c>
      <c r="AI721" s="198" t="s">
        <v>56</v>
      </c>
      <c r="AJ721" s="198" t="s">
        <v>121</v>
      </c>
      <c r="AK721" s="198" t="s">
        <v>51</v>
      </c>
      <c r="AL721" s="198" t="s">
        <v>67</v>
      </c>
      <c r="AM721" s="198" t="s">
        <v>68</v>
      </c>
      <c r="AN721" s="202">
        <v>775000</v>
      </c>
      <c r="AO721" s="202">
        <v>775000</v>
      </c>
      <c r="AP721" s="202">
        <v>775000</v>
      </c>
      <c r="AQ721" s="198" t="s">
        <v>358</v>
      </c>
      <c r="AR721" s="198" t="s">
        <v>51</v>
      </c>
      <c r="AS721" s="202">
        <v>775000</v>
      </c>
      <c r="AT721" s="202">
        <v>775000</v>
      </c>
      <c r="AU721" s="198" t="s">
        <v>359</v>
      </c>
      <c r="AV721" s="198" t="s">
        <v>62</v>
      </c>
      <c r="AW721" s="198" t="s">
        <v>54</v>
      </c>
    </row>
    <row r="722" spans="3:49" outlineLevel="2" x14ac:dyDescent="0.25">
      <c r="C722" s="201"/>
      <c r="D722" s="198" t="s">
        <v>557</v>
      </c>
      <c r="H722" s="198" t="s">
        <v>557</v>
      </c>
      <c r="I722" s="202">
        <f t="shared" si="11"/>
        <v>301871164.94999957</v>
      </c>
      <c r="J722" s="202">
        <v>73.099999999999895</v>
      </c>
      <c r="L722" s="204">
        <v>3</v>
      </c>
      <c r="M722" s="202">
        <v>120000</v>
      </c>
      <c r="N722" s="204">
        <v>3</v>
      </c>
      <c r="O722" s="198" t="s">
        <v>51</v>
      </c>
      <c r="P722" s="202">
        <v>120000</v>
      </c>
      <c r="Q722" s="198" t="s">
        <v>73</v>
      </c>
      <c r="R722" s="198" t="s">
        <v>53</v>
      </c>
      <c r="S722" s="198" t="s">
        <v>54</v>
      </c>
      <c r="T722" s="198" t="s">
        <v>2043</v>
      </c>
      <c r="U722" s="198" t="s">
        <v>282</v>
      </c>
      <c r="V722" s="198" t="s">
        <v>56</v>
      </c>
      <c r="W722" s="198" t="s">
        <v>356</v>
      </c>
      <c r="X722" s="198" t="s">
        <v>57</v>
      </c>
      <c r="Y722" s="198" t="s">
        <v>58</v>
      </c>
      <c r="Z722" s="201">
        <v>46233</v>
      </c>
      <c r="AA722" s="198" t="s">
        <v>59</v>
      </c>
      <c r="AB722" s="198" t="s">
        <v>60</v>
      </c>
      <c r="AC722" s="198" t="s">
        <v>86</v>
      </c>
      <c r="AD722" s="198" t="s">
        <v>62</v>
      </c>
      <c r="AE722" s="198" t="s">
        <v>370</v>
      </c>
      <c r="AF722" s="198" t="s">
        <v>369</v>
      </c>
      <c r="AG722" s="198" t="s">
        <v>248</v>
      </c>
      <c r="AH722" s="198" t="s">
        <v>134</v>
      </c>
      <c r="AI722" s="198" t="s">
        <v>56</v>
      </c>
      <c r="AJ722" s="198" t="s">
        <v>118</v>
      </c>
      <c r="AK722" s="198" t="s">
        <v>51</v>
      </c>
      <c r="AL722" s="198" t="s">
        <v>67</v>
      </c>
      <c r="AM722" s="198" t="s">
        <v>68</v>
      </c>
      <c r="AN722" s="202">
        <v>120000</v>
      </c>
      <c r="AO722" s="202">
        <v>120000</v>
      </c>
      <c r="AP722" s="202">
        <v>120000</v>
      </c>
      <c r="AQ722" s="198" t="s">
        <v>358</v>
      </c>
      <c r="AR722" s="198" t="s">
        <v>51</v>
      </c>
      <c r="AS722" s="202">
        <v>120000</v>
      </c>
      <c r="AT722" s="202">
        <v>120000</v>
      </c>
      <c r="AU722" s="198" t="s">
        <v>359</v>
      </c>
      <c r="AV722" s="198" t="s">
        <v>62</v>
      </c>
      <c r="AW722" s="198" t="s">
        <v>54</v>
      </c>
    </row>
    <row r="723" spans="3:49" outlineLevel="2" x14ac:dyDescent="0.25">
      <c r="C723" s="201"/>
      <c r="D723" s="198" t="s">
        <v>557</v>
      </c>
      <c r="H723" s="198" t="s">
        <v>557</v>
      </c>
      <c r="I723" s="202">
        <f t="shared" si="11"/>
        <v>302284121.39999962</v>
      </c>
      <c r="J723" s="202">
        <v>73.199999999999903</v>
      </c>
      <c r="L723" s="204">
        <v>3</v>
      </c>
      <c r="M723" s="202">
        <v>165000</v>
      </c>
      <c r="N723" s="204">
        <v>3</v>
      </c>
      <c r="O723" s="198" t="s">
        <v>51</v>
      </c>
      <c r="P723" s="202">
        <v>165000</v>
      </c>
      <c r="Q723" s="198" t="s">
        <v>73</v>
      </c>
      <c r="R723" s="198" t="s">
        <v>53</v>
      </c>
      <c r="S723" s="198" t="s">
        <v>54</v>
      </c>
      <c r="T723" s="198" t="s">
        <v>2043</v>
      </c>
      <c r="U723" s="198" t="s">
        <v>282</v>
      </c>
      <c r="V723" s="198" t="s">
        <v>56</v>
      </c>
      <c r="W723" s="198" t="s">
        <v>356</v>
      </c>
      <c r="X723" s="198" t="s">
        <v>57</v>
      </c>
      <c r="Y723" s="198" t="s">
        <v>58</v>
      </c>
      <c r="Z723" s="201">
        <v>46233</v>
      </c>
      <c r="AA723" s="198" t="s">
        <v>59</v>
      </c>
      <c r="AB723" s="198" t="s">
        <v>60</v>
      </c>
      <c r="AC723" s="198" t="s">
        <v>86</v>
      </c>
      <c r="AD723" s="198" t="s">
        <v>62</v>
      </c>
      <c r="AE723" s="198" t="s">
        <v>372</v>
      </c>
      <c r="AF723" s="198" t="s">
        <v>371</v>
      </c>
      <c r="AG723" s="198" t="s">
        <v>248</v>
      </c>
      <c r="AH723" s="198" t="s">
        <v>134</v>
      </c>
      <c r="AI723" s="198" t="s">
        <v>56</v>
      </c>
      <c r="AJ723" s="198" t="s">
        <v>373</v>
      </c>
      <c r="AK723" s="198" t="s">
        <v>51</v>
      </c>
      <c r="AL723" s="198" t="s">
        <v>67</v>
      </c>
      <c r="AM723" s="198" t="s">
        <v>68</v>
      </c>
      <c r="AN723" s="202">
        <v>165000</v>
      </c>
      <c r="AO723" s="202">
        <v>165000</v>
      </c>
      <c r="AP723" s="202">
        <v>165000</v>
      </c>
      <c r="AQ723" s="198" t="s">
        <v>358</v>
      </c>
      <c r="AR723" s="198" t="s">
        <v>51</v>
      </c>
      <c r="AS723" s="202">
        <v>165000</v>
      </c>
      <c r="AT723" s="202">
        <v>165000</v>
      </c>
      <c r="AU723" s="198" t="s">
        <v>359</v>
      </c>
      <c r="AV723" s="198" t="s">
        <v>62</v>
      </c>
      <c r="AW723" s="198" t="s">
        <v>54</v>
      </c>
    </row>
    <row r="724" spans="3:49" outlineLevel="2" x14ac:dyDescent="0.25">
      <c r="C724" s="201"/>
      <c r="D724" s="198" t="s">
        <v>557</v>
      </c>
      <c r="H724" s="198" t="s">
        <v>557</v>
      </c>
      <c r="I724" s="202">
        <f t="shared" si="11"/>
        <v>302697077.84999961</v>
      </c>
      <c r="J724" s="202">
        <v>73.299999999999898</v>
      </c>
      <c r="L724" s="204">
        <v>2</v>
      </c>
      <c r="M724" s="202">
        <v>44000</v>
      </c>
      <c r="N724" s="204">
        <v>2</v>
      </c>
      <c r="O724" s="198" t="s">
        <v>51</v>
      </c>
      <c r="P724" s="202">
        <v>44000</v>
      </c>
      <c r="Q724" s="198" t="s">
        <v>342</v>
      </c>
      <c r="R724" s="198" t="s">
        <v>53</v>
      </c>
      <c r="S724" s="198" t="s">
        <v>54</v>
      </c>
      <c r="T724" s="198" t="s">
        <v>2043</v>
      </c>
      <c r="U724" s="198" t="s">
        <v>282</v>
      </c>
      <c r="V724" s="198" t="s">
        <v>56</v>
      </c>
      <c r="W724" s="198" t="s">
        <v>356</v>
      </c>
      <c r="X724" s="198" t="s">
        <v>57</v>
      </c>
      <c r="Y724" s="198" t="s">
        <v>58</v>
      </c>
      <c r="Z724" s="201">
        <v>46233</v>
      </c>
      <c r="AA724" s="198" t="s">
        <v>59</v>
      </c>
      <c r="AB724" s="198" t="s">
        <v>60</v>
      </c>
      <c r="AC724" s="198" t="s">
        <v>86</v>
      </c>
      <c r="AD724" s="198" t="s">
        <v>62</v>
      </c>
      <c r="AE724" s="198" t="s">
        <v>375</v>
      </c>
      <c r="AF724" s="198" t="s">
        <v>374</v>
      </c>
      <c r="AG724" s="198" t="s">
        <v>248</v>
      </c>
      <c r="AH724" s="198" t="s">
        <v>134</v>
      </c>
      <c r="AI724" s="198" t="s">
        <v>56</v>
      </c>
      <c r="AJ724" s="198" t="s">
        <v>294</v>
      </c>
      <c r="AK724" s="198" t="s">
        <v>51</v>
      </c>
      <c r="AL724" s="198" t="s">
        <v>67</v>
      </c>
      <c r="AM724" s="198" t="s">
        <v>68</v>
      </c>
      <c r="AN724" s="202">
        <v>44000</v>
      </c>
      <c r="AO724" s="202">
        <v>44000</v>
      </c>
      <c r="AP724" s="202">
        <v>44000</v>
      </c>
      <c r="AQ724" s="198" t="s">
        <v>358</v>
      </c>
      <c r="AR724" s="198" t="s">
        <v>51</v>
      </c>
      <c r="AS724" s="202">
        <v>44000</v>
      </c>
      <c r="AT724" s="202">
        <v>44000</v>
      </c>
      <c r="AU724" s="198" t="s">
        <v>359</v>
      </c>
      <c r="AV724" s="198" t="s">
        <v>62</v>
      </c>
      <c r="AW724" s="198" t="s">
        <v>54</v>
      </c>
    </row>
    <row r="725" spans="3:49" outlineLevel="2" x14ac:dyDescent="0.25">
      <c r="C725" s="201"/>
      <c r="D725" s="198" t="s">
        <v>557</v>
      </c>
      <c r="H725" s="198" t="s">
        <v>557</v>
      </c>
      <c r="I725" s="202">
        <f t="shared" si="11"/>
        <v>303110034.29999959</v>
      </c>
      <c r="J725" s="202">
        <v>73.399999999999906</v>
      </c>
      <c r="L725" s="204">
        <v>4</v>
      </c>
      <c r="M725" s="202">
        <v>96000</v>
      </c>
      <c r="N725" s="204">
        <v>4</v>
      </c>
      <c r="O725" s="198" t="s">
        <v>51</v>
      </c>
      <c r="P725" s="202">
        <v>96000</v>
      </c>
      <c r="Q725" s="198" t="s">
        <v>73</v>
      </c>
      <c r="R725" s="198" t="s">
        <v>53</v>
      </c>
      <c r="S725" s="198" t="s">
        <v>54</v>
      </c>
      <c r="T725" s="198" t="s">
        <v>2043</v>
      </c>
      <c r="U725" s="198" t="s">
        <v>282</v>
      </c>
      <c r="V725" s="198" t="s">
        <v>56</v>
      </c>
      <c r="W725" s="198" t="s">
        <v>356</v>
      </c>
      <c r="X725" s="198" t="s">
        <v>57</v>
      </c>
      <c r="Y725" s="198" t="s">
        <v>58</v>
      </c>
      <c r="Z725" s="201">
        <v>46233</v>
      </c>
      <c r="AA725" s="198" t="s">
        <v>59</v>
      </c>
      <c r="AB725" s="198" t="s">
        <v>60</v>
      </c>
      <c r="AC725" s="198" t="s">
        <v>86</v>
      </c>
      <c r="AD725" s="198" t="s">
        <v>62</v>
      </c>
      <c r="AE725" s="198" t="s">
        <v>377</v>
      </c>
      <c r="AF725" s="198" t="s">
        <v>376</v>
      </c>
      <c r="AG725" s="198" t="s">
        <v>248</v>
      </c>
      <c r="AH725" s="198" t="s">
        <v>134</v>
      </c>
      <c r="AI725" s="198" t="s">
        <v>56</v>
      </c>
      <c r="AJ725" s="198" t="s">
        <v>118</v>
      </c>
      <c r="AK725" s="198" t="s">
        <v>51</v>
      </c>
      <c r="AL725" s="198" t="s">
        <v>67</v>
      </c>
      <c r="AM725" s="198" t="s">
        <v>68</v>
      </c>
      <c r="AN725" s="202">
        <v>96000</v>
      </c>
      <c r="AO725" s="202">
        <v>96000</v>
      </c>
      <c r="AP725" s="202">
        <v>96000</v>
      </c>
      <c r="AQ725" s="198" t="s">
        <v>358</v>
      </c>
      <c r="AR725" s="198" t="s">
        <v>51</v>
      </c>
      <c r="AS725" s="202">
        <v>96000</v>
      </c>
      <c r="AT725" s="202">
        <v>96000</v>
      </c>
      <c r="AU725" s="198" t="s">
        <v>359</v>
      </c>
      <c r="AV725" s="198" t="s">
        <v>62</v>
      </c>
      <c r="AW725" s="198" t="s">
        <v>54</v>
      </c>
    </row>
    <row r="726" spans="3:49" outlineLevel="2" x14ac:dyDescent="0.25">
      <c r="C726" s="201"/>
      <c r="D726" s="198" t="s">
        <v>557</v>
      </c>
      <c r="H726" s="198" t="s">
        <v>557</v>
      </c>
      <c r="I726" s="202">
        <f t="shared" si="11"/>
        <v>303522990.74999958</v>
      </c>
      <c r="J726" s="202">
        <v>73.499999999999901</v>
      </c>
      <c r="L726" s="204">
        <v>1</v>
      </c>
      <c r="M726" s="202">
        <v>65000</v>
      </c>
      <c r="N726" s="204">
        <v>1</v>
      </c>
      <c r="O726" s="198" t="s">
        <v>51</v>
      </c>
      <c r="P726" s="202">
        <v>65000</v>
      </c>
      <c r="Q726" s="198" t="s">
        <v>342</v>
      </c>
      <c r="R726" s="198" t="s">
        <v>53</v>
      </c>
      <c r="S726" s="198" t="s">
        <v>54</v>
      </c>
      <c r="T726" s="198" t="s">
        <v>2043</v>
      </c>
      <c r="U726" s="198" t="s">
        <v>282</v>
      </c>
      <c r="V726" s="198" t="s">
        <v>56</v>
      </c>
      <c r="W726" s="198" t="s">
        <v>356</v>
      </c>
      <c r="X726" s="198" t="s">
        <v>57</v>
      </c>
      <c r="Y726" s="198" t="s">
        <v>58</v>
      </c>
      <c r="Z726" s="201">
        <v>46233</v>
      </c>
      <c r="AA726" s="198" t="s">
        <v>59</v>
      </c>
      <c r="AB726" s="198" t="s">
        <v>60</v>
      </c>
      <c r="AC726" s="198" t="s">
        <v>86</v>
      </c>
      <c r="AD726" s="198" t="s">
        <v>62</v>
      </c>
      <c r="AE726" s="198" t="s">
        <v>379</v>
      </c>
      <c r="AF726" s="198" t="s">
        <v>378</v>
      </c>
      <c r="AG726" s="198" t="s">
        <v>248</v>
      </c>
      <c r="AH726" s="198" t="s">
        <v>134</v>
      </c>
      <c r="AI726" s="198" t="s">
        <v>56</v>
      </c>
      <c r="AJ726" s="198" t="s">
        <v>344</v>
      </c>
      <c r="AK726" s="198" t="s">
        <v>51</v>
      </c>
      <c r="AL726" s="198" t="s">
        <v>67</v>
      </c>
      <c r="AM726" s="198" t="s">
        <v>68</v>
      </c>
      <c r="AN726" s="202">
        <v>65000</v>
      </c>
      <c r="AO726" s="202">
        <v>65000</v>
      </c>
      <c r="AP726" s="202">
        <v>65000</v>
      </c>
      <c r="AQ726" s="198" t="s">
        <v>358</v>
      </c>
      <c r="AR726" s="198" t="s">
        <v>51</v>
      </c>
      <c r="AS726" s="202">
        <v>65000</v>
      </c>
      <c r="AT726" s="202">
        <v>65000</v>
      </c>
      <c r="AU726" s="198" t="s">
        <v>359</v>
      </c>
      <c r="AV726" s="198" t="s">
        <v>62</v>
      </c>
      <c r="AW726" s="198" t="s">
        <v>54</v>
      </c>
    </row>
    <row r="727" spans="3:49" outlineLevel="2" x14ac:dyDescent="0.25">
      <c r="C727" s="201"/>
      <c r="D727" s="198" t="s">
        <v>557</v>
      </c>
      <c r="H727" s="198" t="s">
        <v>557</v>
      </c>
      <c r="I727" s="202">
        <f t="shared" si="11"/>
        <v>303935947.19999957</v>
      </c>
      <c r="J727" s="202">
        <v>73.599999999999895</v>
      </c>
      <c r="L727" s="204">
        <v>2</v>
      </c>
      <c r="M727" s="202">
        <v>20000</v>
      </c>
      <c r="N727" s="204">
        <v>2</v>
      </c>
      <c r="O727" s="198" t="s">
        <v>51</v>
      </c>
      <c r="P727" s="202">
        <v>20000</v>
      </c>
      <c r="Q727" s="198" t="s">
        <v>73</v>
      </c>
      <c r="R727" s="198" t="s">
        <v>53</v>
      </c>
      <c r="S727" s="198" t="s">
        <v>54</v>
      </c>
      <c r="T727" s="198" t="s">
        <v>2043</v>
      </c>
      <c r="U727" s="198" t="s">
        <v>282</v>
      </c>
      <c r="V727" s="198" t="s">
        <v>56</v>
      </c>
      <c r="W727" s="198" t="s">
        <v>356</v>
      </c>
      <c r="X727" s="198" t="s">
        <v>57</v>
      </c>
      <c r="Y727" s="198" t="s">
        <v>58</v>
      </c>
      <c r="Z727" s="201">
        <v>46233</v>
      </c>
      <c r="AA727" s="198" t="s">
        <v>59</v>
      </c>
      <c r="AB727" s="198" t="s">
        <v>60</v>
      </c>
      <c r="AC727" s="198" t="s">
        <v>86</v>
      </c>
      <c r="AD727" s="198" t="s">
        <v>62</v>
      </c>
      <c r="AE727" s="198" t="s">
        <v>381</v>
      </c>
      <c r="AF727" s="198" t="s">
        <v>380</v>
      </c>
      <c r="AG727" s="198" t="s">
        <v>248</v>
      </c>
      <c r="AH727" s="198" t="s">
        <v>134</v>
      </c>
      <c r="AI727" s="198" t="s">
        <v>56</v>
      </c>
      <c r="AJ727" s="198" t="s">
        <v>382</v>
      </c>
      <c r="AK727" s="198" t="s">
        <v>51</v>
      </c>
      <c r="AL727" s="198" t="s">
        <v>67</v>
      </c>
      <c r="AM727" s="198" t="s">
        <v>68</v>
      </c>
      <c r="AN727" s="202">
        <v>20000</v>
      </c>
      <c r="AO727" s="202">
        <v>20000</v>
      </c>
      <c r="AP727" s="202">
        <v>20000</v>
      </c>
      <c r="AQ727" s="198" t="s">
        <v>358</v>
      </c>
      <c r="AR727" s="198" t="s">
        <v>51</v>
      </c>
      <c r="AS727" s="202">
        <v>20000</v>
      </c>
      <c r="AT727" s="202">
        <v>20000</v>
      </c>
      <c r="AU727" s="198" t="s">
        <v>359</v>
      </c>
      <c r="AV727" s="198" t="s">
        <v>62</v>
      </c>
      <c r="AW727" s="198" t="s">
        <v>54</v>
      </c>
    </row>
    <row r="728" spans="3:49" outlineLevel="2" x14ac:dyDescent="0.25">
      <c r="C728" s="201"/>
      <c r="D728" s="198" t="s">
        <v>557</v>
      </c>
      <c r="H728" s="198" t="s">
        <v>557</v>
      </c>
      <c r="I728" s="202">
        <f t="shared" si="11"/>
        <v>304348903.64999962</v>
      </c>
      <c r="J728" s="202">
        <v>73.699999999999903</v>
      </c>
      <c r="L728" s="204">
        <v>2</v>
      </c>
      <c r="M728" s="202">
        <v>40000</v>
      </c>
      <c r="N728" s="204">
        <v>2</v>
      </c>
      <c r="O728" s="198" t="s">
        <v>51</v>
      </c>
      <c r="P728" s="202">
        <v>40000</v>
      </c>
      <c r="Q728" s="198" t="s">
        <v>384</v>
      </c>
      <c r="R728" s="198" t="s">
        <v>53</v>
      </c>
      <c r="S728" s="198" t="s">
        <v>54</v>
      </c>
      <c r="T728" s="198" t="s">
        <v>2043</v>
      </c>
      <c r="U728" s="198" t="s">
        <v>282</v>
      </c>
      <c r="V728" s="198" t="s">
        <v>56</v>
      </c>
      <c r="W728" s="198" t="s">
        <v>356</v>
      </c>
      <c r="X728" s="198" t="s">
        <v>57</v>
      </c>
      <c r="Y728" s="198" t="s">
        <v>58</v>
      </c>
      <c r="Z728" s="201">
        <v>46233</v>
      </c>
      <c r="AA728" s="198" t="s">
        <v>59</v>
      </c>
      <c r="AB728" s="198" t="s">
        <v>60</v>
      </c>
      <c r="AC728" s="198" t="s">
        <v>86</v>
      </c>
      <c r="AD728" s="198" t="s">
        <v>62</v>
      </c>
      <c r="AE728" s="198" t="s">
        <v>385</v>
      </c>
      <c r="AF728" s="198" t="s">
        <v>383</v>
      </c>
      <c r="AG728" s="198" t="s">
        <v>248</v>
      </c>
      <c r="AH728" s="198" t="s">
        <v>134</v>
      </c>
      <c r="AI728" s="198" t="s">
        <v>56</v>
      </c>
      <c r="AJ728" s="198" t="s">
        <v>382</v>
      </c>
      <c r="AK728" s="198" t="s">
        <v>51</v>
      </c>
      <c r="AL728" s="198" t="s">
        <v>67</v>
      </c>
      <c r="AM728" s="198" t="s">
        <v>68</v>
      </c>
      <c r="AN728" s="202">
        <v>40000</v>
      </c>
      <c r="AO728" s="202">
        <v>40000</v>
      </c>
      <c r="AP728" s="202">
        <v>40000</v>
      </c>
      <c r="AQ728" s="198" t="s">
        <v>358</v>
      </c>
      <c r="AR728" s="198" t="s">
        <v>51</v>
      </c>
      <c r="AS728" s="202">
        <v>40000</v>
      </c>
      <c r="AT728" s="202">
        <v>40000</v>
      </c>
      <c r="AU728" s="198" t="s">
        <v>359</v>
      </c>
      <c r="AV728" s="198" t="s">
        <v>62</v>
      </c>
      <c r="AW728" s="198" t="s">
        <v>54</v>
      </c>
    </row>
    <row r="729" spans="3:49" outlineLevel="2" x14ac:dyDescent="0.25">
      <c r="C729" s="201"/>
      <c r="D729" s="198" t="s">
        <v>557</v>
      </c>
      <c r="H729" s="198" t="s">
        <v>557</v>
      </c>
      <c r="I729" s="202">
        <f t="shared" si="11"/>
        <v>304761860.09999961</v>
      </c>
      <c r="J729" s="202">
        <v>73.799999999999898</v>
      </c>
      <c r="L729" s="204">
        <v>10</v>
      </c>
      <c r="M729" s="202">
        <v>150000</v>
      </c>
      <c r="N729" s="204">
        <v>10</v>
      </c>
      <c r="O729" s="198" t="s">
        <v>51</v>
      </c>
      <c r="P729" s="202">
        <v>150000</v>
      </c>
      <c r="Q729" s="198" t="s">
        <v>73</v>
      </c>
      <c r="R729" s="198" t="s">
        <v>53</v>
      </c>
      <c r="S729" s="198" t="s">
        <v>54</v>
      </c>
      <c r="T729" s="198" t="s">
        <v>2043</v>
      </c>
      <c r="U729" s="198" t="s">
        <v>282</v>
      </c>
      <c r="V729" s="198" t="s">
        <v>56</v>
      </c>
      <c r="W729" s="198" t="s">
        <v>356</v>
      </c>
      <c r="X729" s="198" t="s">
        <v>57</v>
      </c>
      <c r="Y729" s="198" t="s">
        <v>58</v>
      </c>
      <c r="Z729" s="201">
        <v>46233</v>
      </c>
      <c r="AA729" s="198" t="s">
        <v>59</v>
      </c>
      <c r="AB729" s="198" t="s">
        <v>60</v>
      </c>
      <c r="AC729" s="198" t="s">
        <v>86</v>
      </c>
      <c r="AD729" s="198" t="s">
        <v>62</v>
      </c>
      <c r="AE729" s="198" t="s">
        <v>387</v>
      </c>
      <c r="AF729" s="198" t="s">
        <v>386</v>
      </c>
      <c r="AG729" s="198" t="s">
        <v>248</v>
      </c>
      <c r="AH729" s="198" t="s">
        <v>134</v>
      </c>
      <c r="AI729" s="198" t="s">
        <v>56</v>
      </c>
      <c r="AJ729" s="198" t="s">
        <v>344</v>
      </c>
      <c r="AK729" s="198" t="s">
        <v>51</v>
      </c>
      <c r="AL729" s="198" t="s">
        <v>67</v>
      </c>
      <c r="AM729" s="198" t="s">
        <v>68</v>
      </c>
      <c r="AN729" s="202">
        <v>150000</v>
      </c>
      <c r="AO729" s="202">
        <v>150000</v>
      </c>
      <c r="AP729" s="202">
        <v>150000</v>
      </c>
      <c r="AQ729" s="198" t="s">
        <v>358</v>
      </c>
      <c r="AR729" s="198" t="s">
        <v>51</v>
      </c>
      <c r="AS729" s="202">
        <v>150000</v>
      </c>
      <c r="AT729" s="202">
        <v>150000</v>
      </c>
      <c r="AU729" s="198" t="s">
        <v>359</v>
      </c>
      <c r="AV729" s="198" t="s">
        <v>62</v>
      </c>
      <c r="AW729" s="198" t="s">
        <v>54</v>
      </c>
    </row>
    <row r="730" spans="3:49" outlineLevel="2" x14ac:dyDescent="0.25">
      <c r="C730" s="201"/>
      <c r="D730" s="198" t="s">
        <v>557</v>
      </c>
      <c r="H730" s="198" t="s">
        <v>557</v>
      </c>
      <c r="I730" s="202">
        <f t="shared" si="11"/>
        <v>305174816.54999959</v>
      </c>
      <c r="J730" s="202">
        <v>73.899999999999906</v>
      </c>
      <c r="L730" s="204">
        <v>2</v>
      </c>
      <c r="M730" s="202">
        <v>100000</v>
      </c>
      <c r="N730" s="204">
        <v>2</v>
      </c>
      <c r="O730" s="198" t="s">
        <v>51</v>
      </c>
      <c r="P730" s="202">
        <v>100000</v>
      </c>
      <c r="Q730" s="198" t="s">
        <v>73</v>
      </c>
      <c r="R730" s="198" t="s">
        <v>53</v>
      </c>
      <c r="S730" s="198" t="s">
        <v>54</v>
      </c>
      <c r="T730" s="198" t="s">
        <v>2043</v>
      </c>
      <c r="U730" s="198" t="s">
        <v>282</v>
      </c>
      <c r="V730" s="198" t="s">
        <v>56</v>
      </c>
      <c r="W730" s="198" t="s">
        <v>356</v>
      </c>
      <c r="X730" s="198" t="s">
        <v>57</v>
      </c>
      <c r="Y730" s="198" t="s">
        <v>58</v>
      </c>
      <c r="Z730" s="201">
        <v>46233</v>
      </c>
      <c r="AA730" s="198" t="s">
        <v>59</v>
      </c>
      <c r="AB730" s="198" t="s">
        <v>60</v>
      </c>
      <c r="AC730" s="198" t="s">
        <v>86</v>
      </c>
      <c r="AD730" s="198" t="s">
        <v>62</v>
      </c>
      <c r="AE730" s="198" t="s">
        <v>389</v>
      </c>
      <c r="AF730" s="198" t="s">
        <v>388</v>
      </c>
      <c r="AG730" s="198" t="s">
        <v>248</v>
      </c>
      <c r="AH730" s="198" t="s">
        <v>134</v>
      </c>
      <c r="AI730" s="198" t="s">
        <v>56</v>
      </c>
      <c r="AJ730" s="198" t="s">
        <v>2044</v>
      </c>
      <c r="AK730" s="198" t="s">
        <v>51</v>
      </c>
      <c r="AL730" s="198" t="s">
        <v>67</v>
      </c>
      <c r="AM730" s="198" t="s">
        <v>68</v>
      </c>
      <c r="AN730" s="202">
        <v>100000</v>
      </c>
      <c r="AO730" s="202">
        <v>100000</v>
      </c>
      <c r="AP730" s="202">
        <v>100000</v>
      </c>
      <c r="AQ730" s="198" t="s">
        <v>358</v>
      </c>
      <c r="AR730" s="198" t="s">
        <v>51</v>
      </c>
      <c r="AS730" s="202">
        <v>100000</v>
      </c>
      <c r="AT730" s="202">
        <v>100000</v>
      </c>
      <c r="AU730" s="198" t="s">
        <v>359</v>
      </c>
      <c r="AV730" s="198" t="s">
        <v>62</v>
      </c>
      <c r="AW730" s="198" t="s">
        <v>54</v>
      </c>
    </row>
    <row r="731" spans="3:49" outlineLevel="2" x14ac:dyDescent="0.25">
      <c r="C731" s="201"/>
      <c r="D731" s="198" t="s">
        <v>557</v>
      </c>
      <c r="H731" s="198" t="s">
        <v>557</v>
      </c>
      <c r="I731" s="202">
        <f t="shared" si="11"/>
        <v>305587772.99999958</v>
      </c>
      <c r="J731" s="202">
        <v>73.999999999999901</v>
      </c>
      <c r="L731" s="204">
        <v>2</v>
      </c>
      <c r="M731" s="202">
        <v>35000</v>
      </c>
      <c r="N731" s="204">
        <v>2</v>
      </c>
      <c r="O731" s="198" t="s">
        <v>51</v>
      </c>
      <c r="P731" s="202">
        <v>35000</v>
      </c>
      <c r="Q731" s="198" t="s">
        <v>73</v>
      </c>
      <c r="R731" s="198" t="s">
        <v>53</v>
      </c>
      <c r="S731" s="198" t="s">
        <v>54</v>
      </c>
      <c r="T731" s="198" t="s">
        <v>2043</v>
      </c>
      <c r="U731" s="198" t="s">
        <v>282</v>
      </c>
      <c r="V731" s="198" t="s">
        <v>56</v>
      </c>
      <c r="W731" s="198" t="s">
        <v>356</v>
      </c>
      <c r="X731" s="198" t="s">
        <v>57</v>
      </c>
      <c r="Y731" s="198" t="s">
        <v>58</v>
      </c>
      <c r="Z731" s="201">
        <v>46233</v>
      </c>
      <c r="AA731" s="198" t="s">
        <v>59</v>
      </c>
      <c r="AB731" s="198" t="s">
        <v>60</v>
      </c>
      <c r="AC731" s="198" t="s">
        <v>86</v>
      </c>
      <c r="AD731" s="198" t="s">
        <v>62</v>
      </c>
      <c r="AE731" s="198" t="s">
        <v>392</v>
      </c>
      <c r="AF731" s="198" t="s">
        <v>391</v>
      </c>
      <c r="AG731" s="198" t="s">
        <v>248</v>
      </c>
      <c r="AH731" s="198" t="s">
        <v>134</v>
      </c>
      <c r="AI731" s="198" t="s">
        <v>56</v>
      </c>
      <c r="AJ731" s="198" t="s">
        <v>128</v>
      </c>
      <c r="AK731" s="198" t="s">
        <v>51</v>
      </c>
      <c r="AL731" s="198" t="s">
        <v>67</v>
      </c>
      <c r="AM731" s="198" t="s">
        <v>68</v>
      </c>
      <c r="AN731" s="202">
        <v>35000</v>
      </c>
      <c r="AO731" s="202">
        <v>35000</v>
      </c>
      <c r="AP731" s="202">
        <v>35000</v>
      </c>
      <c r="AQ731" s="198" t="s">
        <v>358</v>
      </c>
      <c r="AR731" s="198" t="s">
        <v>51</v>
      </c>
      <c r="AS731" s="202">
        <v>35000</v>
      </c>
      <c r="AT731" s="202">
        <v>35000</v>
      </c>
      <c r="AU731" s="198" t="s">
        <v>359</v>
      </c>
      <c r="AV731" s="198" t="s">
        <v>62</v>
      </c>
      <c r="AW731" s="198" t="s">
        <v>54</v>
      </c>
    </row>
    <row r="732" spans="3:49" outlineLevel="2" x14ac:dyDescent="0.25">
      <c r="C732" s="201"/>
      <c r="D732" s="198" t="s">
        <v>557</v>
      </c>
      <c r="H732" s="198" t="s">
        <v>557</v>
      </c>
      <c r="I732" s="202">
        <f t="shared" si="11"/>
        <v>306000729.44999957</v>
      </c>
      <c r="J732" s="202">
        <v>74.099999999999895</v>
      </c>
      <c r="L732" s="204">
        <v>2</v>
      </c>
      <c r="M732" s="202">
        <v>15000</v>
      </c>
      <c r="N732" s="204">
        <v>2</v>
      </c>
      <c r="O732" s="198" t="s">
        <v>51</v>
      </c>
      <c r="P732" s="202">
        <v>15000</v>
      </c>
      <c r="Q732" s="198" t="s">
        <v>73</v>
      </c>
      <c r="R732" s="198" t="s">
        <v>53</v>
      </c>
      <c r="S732" s="198" t="s">
        <v>54</v>
      </c>
      <c r="T732" s="198" t="s">
        <v>2043</v>
      </c>
      <c r="U732" s="198" t="s">
        <v>282</v>
      </c>
      <c r="V732" s="198" t="s">
        <v>56</v>
      </c>
      <c r="W732" s="198" t="s">
        <v>356</v>
      </c>
      <c r="X732" s="198" t="s">
        <v>57</v>
      </c>
      <c r="Y732" s="198" t="s">
        <v>58</v>
      </c>
      <c r="Z732" s="201">
        <v>46233</v>
      </c>
      <c r="AA732" s="198" t="s">
        <v>59</v>
      </c>
      <c r="AB732" s="198" t="s">
        <v>60</v>
      </c>
      <c r="AC732" s="198" t="s">
        <v>86</v>
      </c>
      <c r="AD732" s="198" t="s">
        <v>62</v>
      </c>
      <c r="AE732" s="198" t="s">
        <v>394</v>
      </c>
      <c r="AF732" s="198" t="s">
        <v>393</v>
      </c>
      <c r="AG732" s="198" t="s">
        <v>248</v>
      </c>
      <c r="AH732" s="198" t="s">
        <v>134</v>
      </c>
      <c r="AI732" s="198" t="s">
        <v>56</v>
      </c>
      <c r="AJ732" s="198" t="s">
        <v>395</v>
      </c>
      <c r="AK732" s="198" t="s">
        <v>51</v>
      </c>
      <c r="AL732" s="198" t="s">
        <v>67</v>
      </c>
      <c r="AM732" s="198" t="s">
        <v>68</v>
      </c>
      <c r="AN732" s="202">
        <v>15000</v>
      </c>
      <c r="AO732" s="202">
        <v>15000</v>
      </c>
      <c r="AP732" s="202">
        <v>15000</v>
      </c>
      <c r="AQ732" s="198" t="s">
        <v>358</v>
      </c>
      <c r="AR732" s="198" t="s">
        <v>51</v>
      </c>
      <c r="AS732" s="202">
        <v>15000</v>
      </c>
      <c r="AT732" s="202">
        <v>15000</v>
      </c>
      <c r="AU732" s="198" t="s">
        <v>359</v>
      </c>
      <c r="AV732" s="198" t="s">
        <v>62</v>
      </c>
      <c r="AW732" s="198" t="s">
        <v>54</v>
      </c>
    </row>
    <row r="733" spans="3:49" outlineLevel="2" x14ac:dyDescent="0.25">
      <c r="C733" s="201"/>
      <c r="D733" s="198" t="s">
        <v>557</v>
      </c>
      <c r="H733" s="198" t="s">
        <v>557</v>
      </c>
      <c r="I733" s="202">
        <f t="shared" si="11"/>
        <v>306413685.89999962</v>
      </c>
      <c r="J733" s="202">
        <v>74.199999999999903</v>
      </c>
      <c r="L733" s="204">
        <v>2</v>
      </c>
      <c r="M733" s="202">
        <v>20000</v>
      </c>
      <c r="N733" s="204">
        <v>2</v>
      </c>
      <c r="O733" s="198" t="s">
        <v>51</v>
      </c>
      <c r="P733" s="202">
        <v>20000</v>
      </c>
      <c r="Q733" s="198" t="s">
        <v>73</v>
      </c>
      <c r="R733" s="198" t="s">
        <v>53</v>
      </c>
      <c r="S733" s="198" t="s">
        <v>54</v>
      </c>
      <c r="T733" s="198" t="s">
        <v>2043</v>
      </c>
      <c r="U733" s="198" t="s">
        <v>282</v>
      </c>
      <c r="V733" s="198" t="s">
        <v>56</v>
      </c>
      <c r="W733" s="198" t="s">
        <v>356</v>
      </c>
      <c r="X733" s="198" t="s">
        <v>57</v>
      </c>
      <c r="Y733" s="198" t="s">
        <v>58</v>
      </c>
      <c r="Z733" s="201">
        <v>46233</v>
      </c>
      <c r="AA733" s="198" t="s">
        <v>59</v>
      </c>
      <c r="AB733" s="198" t="s">
        <v>60</v>
      </c>
      <c r="AC733" s="198" t="s">
        <v>86</v>
      </c>
      <c r="AD733" s="198" t="s">
        <v>62</v>
      </c>
      <c r="AE733" s="198" t="s">
        <v>397</v>
      </c>
      <c r="AF733" s="198" t="s">
        <v>396</v>
      </c>
      <c r="AG733" s="198" t="s">
        <v>248</v>
      </c>
      <c r="AH733" s="198" t="s">
        <v>134</v>
      </c>
      <c r="AI733" s="198" t="s">
        <v>56</v>
      </c>
      <c r="AJ733" s="198" t="s">
        <v>398</v>
      </c>
      <c r="AK733" s="198" t="s">
        <v>51</v>
      </c>
      <c r="AL733" s="198" t="s">
        <v>67</v>
      </c>
      <c r="AM733" s="198" t="s">
        <v>68</v>
      </c>
      <c r="AN733" s="202">
        <v>20000</v>
      </c>
      <c r="AO733" s="202">
        <v>20000</v>
      </c>
      <c r="AP733" s="202">
        <v>20000</v>
      </c>
      <c r="AQ733" s="198" t="s">
        <v>358</v>
      </c>
      <c r="AR733" s="198" t="s">
        <v>51</v>
      </c>
      <c r="AS733" s="202">
        <v>20000</v>
      </c>
      <c r="AT733" s="202">
        <v>20000</v>
      </c>
      <c r="AU733" s="198" t="s">
        <v>359</v>
      </c>
      <c r="AV733" s="198" t="s">
        <v>62</v>
      </c>
      <c r="AW733" s="198" t="s">
        <v>54</v>
      </c>
    </row>
    <row r="734" spans="3:49" outlineLevel="2" x14ac:dyDescent="0.25">
      <c r="C734" s="201"/>
      <c r="D734" s="198" t="s">
        <v>557</v>
      </c>
      <c r="H734" s="198" t="s">
        <v>557</v>
      </c>
      <c r="I734" s="202">
        <f t="shared" si="11"/>
        <v>306826642.34999961</v>
      </c>
      <c r="J734" s="202">
        <v>74.299999999999898</v>
      </c>
      <c r="L734" s="204">
        <v>2</v>
      </c>
      <c r="M734" s="202">
        <v>50000</v>
      </c>
      <c r="N734" s="204">
        <v>2</v>
      </c>
      <c r="O734" s="198" t="s">
        <v>51</v>
      </c>
      <c r="P734" s="202">
        <v>50000</v>
      </c>
      <c r="Q734" s="198" t="s">
        <v>73</v>
      </c>
      <c r="R734" s="198" t="s">
        <v>53</v>
      </c>
      <c r="S734" s="198" t="s">
        <v>54</v>
      </c>
      <c r="T734" s="198" t="s">
        <v>2043</v>
      </c>
      <c r="U734" s="198" t="s">
        <v>282</v>
      </c>
      <c r="V734" s="198" t="s">
        <v>56</v>
      </c>
      <c r="W734" s="198" t="s">
        <v>356</v>
      </c>
      <c r="X734" s="198" t="s">
        <v>57</v>
      </c>
      <c r="Y734" s="198" t="s">
        <v>58</v>
      </c>
      <c r="Z734" s="201">
        <v>46233</v>
      </c>
      <c r="AA734" s="198" t="s">
        <v>59</v>
      </c>
      <c r="AB734" s="198" t="s">
        <v>60</v>
      </c>
      <c r="AC734" s="198" t="s">
        <v>86</v>
      </c>
      <c r="AD734" s="198" t="s">
        <v>62</v>
      </c>
      <c r="AE734" s="198" t="s">
        <v>400</v>
      </c>
      <c r="AF734" s="198" t="s">
        <v>399</v>
      </c>
      <c r="AG734" s="198" t="s">
        <v>248</v>
      </c>
      <c r="AH734" s="198" t="s">
        <v>134</v>
      </c>
      <c r="AI734" s="198" t="s">
        <v>56</v>
      </c>
      <c r="AJ734" s="198" t="s">
        <v>344</v>
      </c>
      <c r="AK734" s="198" t="s">
        <v>51</v>
      </c>
      <c r="AL734" s="198" t="s">
        <v>67</v>
      </c>
      <c r="AM734" s="198" t="s">
        <v>68</v>
      </c>
      <c r="AN734" s="202">
        <v>50000</v>
      </c>
      <c r="AO734" s="202">
        <v>50000</v>
      </c>
      <c r="AP734" s="202">
        <v>50000</v>
      </c>
      <c r="AQ734" s="198" t="s">
        <v>358</v>
      </c>
      <c r="AR734" s="198" t="s">
        <v>51</v>
      </c>
      <c r="AS734" s="202">
        <v>50000</v>
      </c>
      <c r="AT734" s="202">
        <v>50000</v>
      </c>
      <c r="AU734" s="198" t="s">
        <v>359</v>
      </c>
      <c r="AV734" s="198" t="s">
        <v>62</v>
      </c>
      <c r="AW734" s="198" t="s">
        <v>54</v>
      </c>
    </row>
    <row r="735" spans="3:49" outlineLevel="2" x14ac:dyDescent="0.25">
      <c r="C735" s="201"/>
      <c r="D735" s="198" t="s">
        <v>557</v>
      </c>
      <c r="H735" s="198" t="s">
        <v>557</v>
      </c>
      <c r="I735" s="202">
        <f t="shared" si="11"/>
        <v>307239598.79999959</v>
      </c>
      <c r="J735" s="202">
        <v>74.399999999999906</v>
      </c>
      <c r="L735" s="204">
        <v>2</v>
      </c>
      <c r="M735" s="202">
        <v>10000</v>
      </c>
      <c r="N735" s="204">
        <v>2</v>
      </c>
      <c r="O735" s="198" t="s">
        <v>51</v>
      </c>
      <c r="P735" s="202">
        <v>10000</v>
      </c>
      <c r="Q735" s="198" t="s">
        <v>73</v>
      </c>
      <c r="R735" s="198" t="s">
        <v>53</v>
      </c>
      <c r="S735" s="198" t="s">
        <v>54</v>
      </c>
      <c r="T735" s="198" t="s">
        <v>2043</v>
      </c>
      <c r="U735" s="198" t="s">
        <v>282</v>
      </c>
      <c r="V735" s="198" t="s">
        <v>56</v>
      </c>
      <c r="W735" s="198" t="s">
        <v>356</v>
      </c>
      <c r="X735" s="198" t="s">
        <v>57</v>
      </c>
      <c r="Y735" s="198" t="s">
        <v>58</v>
      </c>
      <c r="Z735" s="201">
        <v>46233</v>
      </c>
      <c r="AA735" s="198" t="s">
        <v>59</v>
      </c>
      <c r="AB735" s="198" t="s">
        <v>60</v>
      </c>
      <c r="AC735" s="198" t="s">
        <v>86</v>
      </c>
      <c r="AD735" s="198" t="s">
        <v>62</v>
      </c>
      <c r="AE735" s="198" t="s">
        <v>402</v>
      </c>
      <c r="AF735" s="198" t="s">
        <v>401</v>
      </c>
      <c r="AG735" s="198" t="s">
        <v>248</v>
      </c>
      <c r="AH735" s="198" t="s">
        <v>134</v>
      </c>
      <c r="AI735" s="198" t="s">
        <v>56</v>
      </c>
      <c r="AJ735" s="198" t="s">
        <v>403</v>
      </c>
      <c r="AK735" s="198" t="s">
        <v>51</v>
      </c>
      <c r="AL735" s="198" t="s">
        <v>67</v>
      </c>
      <c r="AM735" s="198" t="s">
        <v>68</v>
      </c>
      <c r="AN735" s="202">
        <v>10000</v>
      </c>
      <c r="AO735" s="202">
        <v>10000</v>
      </c>
      <c r="AP735" s="202">
        <v>10000</v>
      </c>
      <c r="AQ735" s="198" t="s">
        <v>358</v>
      </c>
      <c r="AR735" s="198" t="s">
        <v>51</v>
      </c>
      <c r="AS735" s="202">
        <v>10000</v>
      </c>
      <c r="AT735" s="202">
        <v>10000</v>
      </c>
      <c r="AU735" s="198" t="s">
        <v>359</v>
      </c>
      <c r="AV735" s="198" t="s">
        <v>62</v>
      </c>
      <c r="AW735" s="198" t="s">
        <v>54</v>
      </c>
    </row>
    <row r="736" spans="3:49" outlineLevel="2" x14ac:dyDescent="0.25">
      <c r="C736" s="201"/>
      <c r="D736" s="198" t="s">
        <v>557</v>
      </c>
      <c r="H736" s="198" t="s">
        <v>557</v>
      </c>
      <c r="I736" s="202">
        <f t="shared" si="11"/>
        <v>307652555.24999958</v>
      </c>
      <c r="J736" s="202">
        <v>74.499999999999901</v>
      </c>
      <c r="L736" s="204">
        <v>2</v>
      </c>
      <c r="M736" s="202">
        <v>10000</v>
      </c>
      <c r="N736" s="204">
        <v>2</v>
      </c>
      <c r="O736" s="198" t="s">
        <v>51</v>
      </c>
      <c r="P736" s="202">
        <v>10000</v>
      </c>
      <c r="Q736" s="198" t="s">
        <v>73</v>
      </c>
      <c r="R736" s="198" t="s">
        <v>53</v>
      </c>
      <c r="S736" s="198" t="s">
        <v>54</v>
      </c>
      <c r="T736" s="198" t="s">
        <v>2043</v>
      </c>
      <c r="U736" s="198" t="s">
        <v>282</v>
      </c>
      <c r="V736" s="198" t="s">
        <v>56</v>
      </c>
      <c r="W736" s="198" t="s">
        <v>356</v>
      </c>
      <c r="X736" s="198" t="s">
        <v>57</v>
      </c>
      <c r="Y736" s="198" t="s">
        <v>58</v>
      </c>
      <c r="Z736" s="201">
        <v>46233</v>
      </c>
      <c r="AA736" s="198" t="s">
        <v>59</v>
      </c>
      <c r="AB736" s="198" t="s">
        <v>60</v>
      </c>
      <c r="AC736" s="198" t="s">
        <v>86</v>
      </c>
      <c r="AD736" s="198" t="s">
        <v>62</v>
      </c>
      <c r="AE736" s="198" t="s">
        <v>405</v>
      </c>
      <c r="AF736" s="198" t="s">
        <v>404</v>
      </c>
      <c r="AG736" s="198" t="s">
        <v>248</v>
      </c>
      <c r="AH736" s="198" t="s">
        <v>134</v>
      </c>
      <c r="AI736" s="198" t="s">
        <v>56</v>
      </c>
      <c r="AJ736" s="198" t="s">
        <v>406</v>
      </c>
      <c r="AK736" s="198" t="s">
        <v>51</v>
      </c>
      <c r="AL736" s="198" t="s">
        <v>67</v>
      </c>
      <c r="AM736" s="198" t="s">
        <v>68</v>
      </c>
      <c r="AN736" s="202">
        <v>10000</v>
      </c>
      <c r="AO736" s="202">
        <v>10000</v>
      </c>
      <c r="AP736" s="202">
        <v>10000</v>
      </c>
      <c r="AQ736" s="198" t="s">
        <v>358</v>
      </c>
      <c r="AR736" s="198" t="s">
        <v>51</v>
      </c>
      <c r="AS736" s="202">
        <v>10000</v>
      </c>
      <c r="AT736" s="202">
        <v>10000</v>
      </c>
      <c r="AU736" s="198" t="s">
        <v>359</v>
      </c>
      <c r="AV736" s="198" t="s">
        <v>62</v>
      </c>
      <c r="AW736" s="198" t="s">
        <v>54</v>
      </c>
    </row>
    <row r="737" spans="3:49" outlineLevel="2" x14ac:dyDescent="0.25">
      <c r="C737" s="201"/>
      <c r="D737" s="198" t="s">
        <v>557</v>
      </c>
      <c r="H737" s="198" t="s">
        <v>557</v>
      </c>
      <c r="I737" s="202">
        <f t="shared" si="11"/>
        <v>308065511.69999957</v>
      </c>
      <c r="J737" s="202">
        <v>74.599999999999895</v>
      </c>
      <c r="L737" s="204">
        <v>1</v>
      </c>
      <c r="M737" s="202">
        <v>15000</v>
      </c>
      <c r="N737" s="204">
        <v>1</v>
      </c>
      <c r="O737" s="198" t="s">
        <v>51</v>
      </c>
      <c r="P737" s="202">
        <v>15000</v>
      </c>
      <c r="Q737" s="198" t="s">
        <v>73</v>
      </c>
      <c r="R737" s="198" t="s">
        <v>53</v>
      </c>
      <c r="S737" s="198" t="s">
        <v>54</v>
      </c>
      <c r="T737" s="198" t="s">
        <v>2043</v>
      </c>
      <c r="U737" s="198" t="s">
        <v>282</v>
      </c>
      <c r="V737" s="198" t="s">
        <v>56</v>
      </c>
      <c r="W737" s="198" t="s">
        <v>356</v>
      </c>
      <c r="X737" s="198" t="s">
        <v>57</v>
      </c>
      <c r="Y737" s="198" t="s">
        <v>58</v>
      </c>
      <c r="Z737" s="201">
        <v>46233</v>
      </c>
      <c r="AA737" s="198" t="s">
        <v>59</v>
      </c>
      <c r="AB737" s="198" t="s">
        <v>60</v>
      </c>
      <c r="AC737" s="198" t="s">
        <v>86</v>
      </c>
      <c r="AD737" s="198" t="s">
        <v>62</v>
      </c>
      <c r="AE737" s="198" t="s">
        <v>408</v>
      </c>
      <c r="AF737" s="198" t="s">
        <v>407</v>
      </c>
      <c r="AG737" s="198" t="s">
        <v>248</v>
      </c>
      <c r="AH737" s="198" t="s">
        <v>134</v>
      </c>
      <c r="AI737" s="198" t="s">
        <v>56</v>
      </c>
      <c r="AJ737" s="198" t="s">
        <v>409</v>
      </c>
      <c r="AK737" s="198" t="s">
        <v>51</v>
      </c>
      <c r="AL737" s="198" t="s">
        <v>67</v>
      </c>
      <c r="AM737" s="198" t="s">
        <v>68</v>
      </c>
      <c r="AN737" s="202">
        <v>15000</v>
      </c>
      <c r="AO737" s="202">
        <v>15000</v>
      </c>
      <c r="AP737" s="202">
        <v>15000</v>
      </c>
      <c r="AQ737" s="198" t="s">
        <v>358</v>
      </c>
      <c r="AR737" s="198" t="s">
        <v>51</v>
      </c>
      <c r="AS737" s="202">
        <v>15000</v>
      </c>
      <c r="AT737" s="202">
        <v>15000</v>
      </c>
      <c r="AU737" s="198" t="s">
        <v>359</v>
      </c>
      <c r="AV737" s="198" t="s">
        <v>62</v>
      </c>
      <c r="AW737" s="198" t="s">
        <v>54</v>
      </c>
    </row>
    <row r="738" spans="3:49" outlineLevel="2" x14ac:dyDescent="0.25">
      <c r="C738" s="201"/>
      <c r="D738" s="198" t="s">
        <v>557</v>
      </c>
      <c r="H738" s="198" t="s">
        <v>557</v>
      </c>
      <c r="I738" s="202">
        <f t="shared" si="11"/>
        <v>308478468.14999962</v>
      </c>
      <c r="J738" s="202">
        <v>74.699999999999903</v>
      </c>
      <c r="L738" s="204">
        <v>2</v>
      </c>
      <c r="M738" s="202">
        <v>40000</v>
      </c>
      <c r="N738" s="204">
        <v>2</v>
      </c>
      <c r="O738" s="198" t="s">
        <v>51</v>
      </c>
      <c r="P738" s="202">
        <v>40000</v>
      </c>
      <c r="Q738" s="198" t="s">
        <v>73</v>
      </c>
      <c r="R738" s="198" t="s">
        <v>53</v>
      </c>
      <c r="S738" s="198" t="s">
        <v>54</v>
      </c>
      <c r="T738" s="198" t="s">
        <v>2043</v>
      </c>
      <c r="U738" s="198" t="s">
        <v>282</v>
      </c>
      <c r="V738" s="198" t="s">
        <v>56</v>
      </c>
      <c r="W738" s="198" t="s">
        <v>356</v>
      </c>
      <c r="X738" s="198" t="s">
        <v>57</v>
      </c>
      <c r="Y738" s="198" t="s">
        <v>58</v>
      </c>
      <c r="Z738" s="201">
        <v>46233</v>
      </c>
      <c r="AA738" s="198" t="s">
        <v>59</v>
      </c>
      <c r="AB738" s="198" t="s">
        <v>60</v>
      </c>
      <c r="AC738" s="198" t="s">
        <v>86</v>
      </c>
      <c r="AD738" s="198" t="s">
        <v>62</v>
      </c>
      <c r="AE738" s="198" t="s">
        <v>411</v>
      </c>
      <c r="AF738" s="198" t="s">
        <v>410</v>
      </c>
      <c r="AG738" s="198" t="s">
        <v>248</v>
      </c>
      <c r="AH738" s="198" t="s">
        <v>134</v>
      </c>
      <c r="AI738" s="198" t="s">
        <v>56</v>
      </c>
      <c r="AJ738" s="198" t="s">
        <v>412</v>
      </c>
      <c r="AK738" s="198" t="s">
        <v>51</v>
      </c>
      <c r="AL738" s="198" t="s">
        <v>67</v>
      </c>
      <c r="AM738" s="198" t="s">
        <v>68</v>
      </c>
      <c r="AN738" s="202">
        <v>40000</v>
      </c>
      <c r="AO738" s="202">
        <v>40000</v>
      </c>
      <c r="AP738" s="202">
        <v>40000</v>
      </c>
      <c r="AQ738" s="198" t="s">
        <v>358</v>
      </c>
      <c r="AR738" s="198" t="s">
        <v>51</v>
      </c>
      <c r="AS738" s="202">
        <v>40000</v>
      </c>
      <c r="AT738" s="202">
        <v>40000</v>
      </c>
      <c r="AU738" s="198" t="s">
        <v>359</v>
      </c>
      <c r="AV738" s="198" t="s">
        <v>62</v>
      </c>
      <c r="AW738" s="198" t="s">
        <v>54</v>
      </c>
    </row>
    <row r="739" spans="3:49" outlineLevel="2" x14ac:dyDescent="0.25">
      <c r="C739" s="201"/>
      <c r="D739" s="198" t="s">
        <v>557</v>
      </c>
      <c r="H739" s="198" t="s">
        <v>557</v>
      </c>
      <c r="I739" s="202">
        <f t="shared" si="11"/>
        <v>308891424.59999961</v>
      </c>
      <c r="J739" s="202">
        <v>74.799999999999898</v>
      </c>
      <c r="L739" s="204">
        <v>1</v>
      </c>
      <c r="M739" s="202">
        <v>195000</v>
      </c>
      <c r="N739" s="204">
        <v>1</v>
      </c>
      <c r="O739" s="198" t="s">
        <v>51</v>
      </c>
      <c r="P739" s="202">
        <v>195000</v>
      </c>
      <c r="Q739" s="198" t="s">
        <v>73</v>
      </c>
      <c r="R739" s="198" t="s">
        <v>53</v>
      </c>
      <c r="S739" s="198" t="s">
        <v>54</v>
      </c>
      <c r="T739" s="198" t="s">
        <v>2043</v>
      </c>
      <c r="U739" s="198" t="s">
        <v>282</v>
      </c>
      <c r="V739" s="198" t="s">
        <v>56</v>
      </c>
      <c r="W739" s="198" t="s">
        <v>356</v>
      </c>
      <c r="X739" s="198" t="s">
        <v>57</v>
      </c>
      <c r="Y739" s="198" t="s">
        <v>58</v>
      </c>
      <c r="Z739" s="201">
        <v>46233</v>
      </c>
      <c r="AA739" s="198" t="s">
        <v>59</v>
      </c>
      <c r="AB739" s="198" t="s">
        <v>60</v>
      </c>
      <c r="AC739" s="198" t="s">
        <v>86</v>
      </c>
      <c r="AD739" s="198" t="s">
        <v>62</v>
      </c>
      <c r="AE739" s="198" t="s">
        <v>414</v>
      </c>
      <c r="AF739" s="198" t="s">
        <v>413</v>
      </c>
      <c r="AG739" s="198" t="s">
        <v>248</v>
      </c>
      <c r="AH739" s="198" t="s">
        <v>134</v>
      </c>
      <c r="AI739" s="198" t="s">
        <v>56</v>
      </c>
      <c r="AJ739" s="198" t="s">
        <v>395</v>
      </c>
      <c r="AK739" s="198" t="s">
        <v>51</v>
      </c>
      <c r="AL739" s="198" t="s">
        <v>67</v>
      </c>
      <c r="AM739" s="198" t="s">
        <v>68</v>
      </c>
      <c r="AN739" s="202">
        <v>195000</v>
      </c>
      <c r="AO739" s="202">
        <v>195000</v>
      </c>
      <c r="AP739" s="202">
        <v>195000</v>
      </c>
      <c r="AQ739" s="198" t="s">
        <v>358</v>
      </c>
      <c r="AR739" s="198" t="s">
        <v>51</v>
      </c>
      <c r="AS739" s="202">
        <v>195000</v>
      </c>
      <c r="AT739" s="202">
        <v>195000</v>
      </c>
      <c r="AU739" s="198" t="s">
        <v>359</v>
      </c>
      <c r="AV739" s="198" t="s">
        <v>62</v>
      </c>
      <c r="AW739" s="198" t="s">
        <v>54</v>
      </c>
    </row>
    <row r="740" spans="3:49" outlineLevel="2" x14ac:dyDescent="0.25">
      <c r="C740" s="201"/>
      <c r="D740" s="198" t="s">
        <v>557</v>
      </c>
      <c r="H740" s="198" t="s">
        <v>557</v>
      </c>
      <c r="I740" s="202">
        <f t="shared" si="11"/>
        <v>309304381.04999959</v>
      </c>
      <c r="J740" s="202">
        <v>74.899999999999906</v>
      </c>
      <c r="L740" s="204">
        <v>1</v>
      </c>
      <c r="M740" s="202">
        <v>5934000</v>
      </c>
      <c r="N740" s="204">
        <v>1</v>
      </c>
      <c r="O740" s="198" t="s">
        <v>51</v>
      </c>
      <c r="P740" s="202">
        <v>5934000</v>
      </c>
      <c r="Q740" s="198" t="s">
        <v>335</v>
      </c>
      <c r="R740" s="198" t="s">
        <v>53</v>
      </c>
      <c r="S740" s="198" t="s">
        <v>54</v>
      </c>
      <c r="T740" s="198" t="s">
        <v>2043</v>
      </c>
      <c r="U740" s="198" t="s">
        <v>282</v>
      </c>
      <c r="V740" s="198" t="s">
        <v>56</v>
      </c>
      <c r="W740" s="198" t="s">
        <v>356</v>
      </c>
      <c r="X740" s="198" t="s">
        <v>57</v>
      </c>
      <c r="Y740" s="198" t="s">
        <v>58</v>
      </c>
      <c r="Z740" s="201">
        <v>46233</v>
      </c>
      <c r="AA740" s="198" t="s">
        <v>59</v>
      </c>
      <c r="AB740" s="198" t="s">
        <v>60</v>
      </c>
      <c r="AC740" s="198" t="s">
        <v>86</v>
      </c>
      <c r="AD740" s="198" t="s">
        <v>62</v>
      </c>
      <c r="AE740" s="198" t="s">
        <v>416</v>
      </c>
      <c r="AF740" s="198" t="s">
        <v>415</v>
      </c>
      <c r="AG740" s="198" t="s">
        <v>248</v>
      </c>
      <c r="AH740" s="198" t="s">
        <v>134</v>
      </c>
      <c r="AI740" s="198" t="s">
        <v>56</v>
      </c>
      <c r="AJ740" s="198" t="s">
        <v>118</v>
      </c>
      <c r="AK740" s="198" t="s">
        <v>51</v>
      </c>
      <c r="AL740" s="198" t="s">
        <v>67</v>
      </c>
      <c r="AM740" s="198" t="s">
        <v>68</v>
      </c>
      <c r="AN740" s="202">
        <v>5934000</v>
      </c>
      <c r="AO740" s="202">
        <v>5934000</v>
      </c>
      <c r="AP740" s="202">
        <v>5934000</v>
      </c>
      <c r="AQ740" s="198" t="s">
        <v>358</v>
      </c>
      <c r="AR740" s="198" t="s">
        <v>51</v>
      </c>
      <c r="AS740" s="202">
        <v>5934000</v>
      </c>
      <c r="AT740" s="202">
        <v>5934000</v>
      </c>
      <c r="AU740" s="198" t="s">
        <v>359</v>
      </c>
      <c r="AV740" s="198" t="s">
        <v>62</v>
      </c>
      <c r="AW740" s="198" t="s">
        <v>54</v>
      </c>
    </row>
    <row r="741" spans="3:49" outlineLevel="2" x14ac:dyDescent="0.25">
      <c r="C741" s="201"/>
      <c r="D741" s="198" t="s">
        <v>557</v>
      </c>
      <c r="H741" s="198" t="s">
        <v>557</v>
      </c>
      <c r="I741" s="202">
        <f t="shared" si="11"/>
        <v>309717337.49999958</v>
      </c>
      <c r="J741" s="202">
        <v>74.999999999999901</v>
      </c>
      <c r="L741" s="204">
        <v>4</v>
      </c>
      <c r="M741" s="202">
        <v>2400000</v>
      </c>
      <c r="N741" s="204">
        <v>4</v>
      </c>
      <c r="O741" s="198" t="s">
        <v>51</v>
      </c>
      <c r="P741" s="202">
        <v>2400000</v>
      </c>
      <c r="Q741" s="198" t="s">
        <v>73</v>
      </c>
      <c r="R741" s="198" t="s">
        <v>53</v>
      </c>
      <c r="S741" s="198" t="s">
        <v>54</v>
      </c>
      <c r="T741" s="198" t="s">
        <v>2043</v>
      </c>
      <c r="U741" s="198" t="s">
        <v>282</v>
      </c>
      <c r="V741" s="198" t="s">
        <v>56</v>
      </c>
      <c r="W741" s="198" t="s">
        <v>356</v>
      </c>
      <c r="X741" s="198" t="s">
        <v>57</v>
      </c>
      <c r="Y741" s="198" t="s">
        <v>58</v>
      </c>
      <c r="Z741" s="201">
        <v>46233</v>
      </c>
      <c r="AA741" s="198" t="s">
        <v>59</v>
      </c>
      <c r="AB741" s="198" t="s">
        <v>60</v>
      </c>
      <c r="AC741" s="198" t="s">
        <v>86</v>
      </c>
      <c r="AD741" s="198" t="s">
        <v>62</v>
      </c>
      <c r="AE741" s="198" t="s">
        <v>418</v>
      </c>
      <c r="AF741" s="198" t="s">
        <v>417</v>
      </c>
      <c r="AG741" s="198" t="s">
        <v>248</v>
      </c>
      <c r="AH741" s="198" t="s">
        <v>134</v>
      </c>
      <c r="AI741" s="198" t="s">
        <v>56</v>
      </c>
      <c r="AJ741" s="198" t="s">
        <v>419</v>
      </c>
      <c r="AK741" s="198" t="s">
        <v>51</v>
      </c>
      <c r="AL741" s="198" t="s">
        <v>67</v>
      </c>
      <c r="AM741" s="198" t="s">
        <v>68</v>
      </c>
      <c r="AN741" s="202">
        <v>2400000</v>
      </c>
      <c r="AO741" s="202">
        <v>2400000</v>
      </c>
      <c r="AP741" s="202">
        <v>2400000</v>
      </c>
      <c r="AQ741" s="198" t="s">
        <v>358</v>
      </c>
      <c r="AR741" s="198" t="s">
        <v>51</v>
      </c>
      <c r="AS741" s="202">
        <v>2400000</v>
      </c>
      <c r="AT741" s="202">
        <v>2400000</v>
      </c>
      <c r="AU741" s="198" t="s">
        <v>359</v>
      </c>
      <c r="AV741" s="198" t="s">
        <v>62</v>
      </c>
      <c r="AW741" s="198" t="s">
        <v>54</v>
      </c>
    </row>
    <row r="742" spans="3:49" outlineLevel="2" x14ac:dyDescent="0.25">
      <c r="C742" s="201"/>
      <c r="D742" s="198" t="s">
        <v>557</v>
      </c>
      <c r="H742" s="198" t="s">
        <v>557</v>
      </c>
      <c r="I742" s="202">
        <f t="shared" si="11"/>
        <v>310130293.94999957</v>
      </c>
      <c r="J742" s="202">
        <v>75.099999999999895</v>
      </c>
      <c r="L742" s="204">
        <v>4</v>
      </c>
      <c r="M742" s="202">
        <v>600000</v>
      </c>
      <c r="N742" s="204">
        <v>4</v>
      </c>
      <c r="O742" s="198" t="s">
        <v>51</v>
      </c>
      <c r="P742" s="202">
        <v>600000</v>
      </c>
      <c r="Q742" s="198" t="s">
        <v>73</v>
      </c>
      <c r="R742" s="198" t="s">
        <v>53</v>
      </c>
      <c r="S742" s="198" t="s">
        <v>54</v>
      </c>
      <c r="T742" s="198" t="s">
        <v>2043</v>
      </c>
      <c r="U742" s="198" t="s">
        <v>282</v>
      </c>
      <c r="V742" s="198" t="s">
        <v>56</v>
      </c>
      <c r="W742" s="198" t="s">
        <v>356</v>
      </c>
      <c r="X742" s="198" t="s">
        <v>57</v>
      </c>
      <c r="Y742" s="198" t="s">
        <v>58</v>
      </c>
      <c r="Z742" s="201">
        <v>46233</v>
      </c>
      <c r="AA742" s="198" t="s">
        <v>59</v>
      </c>
      <c r="AB742" s="198" t="s">
        <v>60</v>
      </c>
      <c r="AC742" s="198" t="s">
        <v>86</v>
      </c>
      <c r="AD742" s="198" t="s">
        <v>62</v>
      </c>
      <c r="AE742" s="198" t="s">
        <v>420</v>
      </c>
      <c r="AF742" s="198" t="s">
        <v>417</v>
      </c>
      <c r="AG742" s="198" t="s">
        <v>248</v>
      </c>
      <c r="AH742" s="198" t="s">
        <v>134</v>
      </c>
      <c r="AI742" s="198" t="s">
        <v>56</v>
      </c>
      <c r="AJ742" s="198" t="s">
        <v>419</v>
      </c>
      <c r="AK742" s="198" t="s">
        <v>51</v>
      </c>
      <c r="AL742" s="198" t="s">
        <v>67</v>
      </c>
      <c r="AM742" s="198" t="s">
        <v>68</v>
      </c>
      <c r="AN742" s="202">
        <v>600000</v>
      </c>
      <c r="AO742" s="202">
        <v>600000</v>
      </c>
      <c r="AP742" s="202">
        <v>600000</v>
      </c>
      <c r="AQ742" s="198" t="s">
        <v>358</v>
      </c>
      <c r="AR742" s="198" t="s">
        <v>51</v>
      </c>
      <c r="AS742" s="202">
        <v>600000</v>
      </c>
      <c r="AT742" s="202">
        <v>600000</v>
      </c>
      <c r="AU742" s="198" t="s">
        <v>359</v>
      </c>
      <c r="AV742" s="198" t="s">
        <v>62</v>
      </c>
      <c r="AW742" s="198" t="s">
        <v>54</v>
      </c>
    </row>
    <row r="743" spans="3:49" outlineLevel="2" x14ac:dyDescent="0.25">
      <c r="C743" s="201"/>
      <c r="D743" s="198" t="s">
        <v>557</v>
      </c>
      <c r="H743" s="198" t="s">
        <v>557</v>
      </c>
      <c r="I743" s="202">
        <f t="shared" si="11"/>
        <v>310543250.39999962</v>
      </c>
      <c r="J743" s="202">
        <v>75.199999999999903</v>
      </c>
      <c r="L743" s="204">
        <v>2</v>
      </c>
      <c r="M743" s="202">
        <v>100000</v>
      </c>
      <c r="N743" s="204">
        <v>2</v>
      </c>
      <c r="O743" s="198" t="s">
        <v>51</v>
      </c>
      <c r="P743" s="202">
        <v>100000</v>
      </c>
      <c r="Q743" s="198" t="s">
        <v>73</v>
      </c>
      <c r="R743" s="198" t="s">
        <v>53</v>
      </c>
      <c r="S743" s="198" t="s">
        <v>54</v>
      </c>
      <c r="T743" s="198" t="s">
        <v>2043</v>
      </c>
      <c r="U743" s="198" t="s">
        <v>282</v>
      </c>
      <c r="V743" s="198" t="s">
        <v>56</v>
      </c>
      <c r="W743" s="198" t="s">
        <v>356</v>
      </c>
      <c r="X743" s="198" t="s">
        <v>57</v>
      </c>
      <c r="Y743" s="198" t="s">
        <v>58</v>
      </c>
      <c r="Z743" s="201">
        <v>46233</v>
      </c>
      <c r="AA743" s="198" t="s">
        <v>59</v>
      </c>
      <c r="AB743" s="198" t="s">
        <v>60</v>
      </c>
      <c r="AC743" s="198" t="s">
        <v>86</v>
      </c>
      <c r="AD743" s="198" t="s">
        <v>62</v>
      </c>
      <c r="AE743" s="198" t="s">
        <v>422</v>
      </c>
      <c r="AF743" s="198" t="s">
        <v>421</v>
      </c>
      <c r="AG743" s="198" t="s">
        <v>248</v>
      </c>
      <c r="AH743" s="198" t="s">
        <v>134</v>
      </c>
      <c r="AI743" s="198" t="s">
        <v>56</v>
      </c>
      <c r="AJ743" s="198" t="s">
        <v>423</v>
      </c>
      <c r="AK743" s="198" t="s">
        <v>51</v>
      </c>
      <c r="AL743" s="198" t="s">
        <v>67</v>
      </c>
      <c r="AM743" s="198" t="s">
        <v>68</v>
      </c>
      <c r="AN743" s="202">
        <v>100000</v>
      </c>
      <c r="AO743" s="202">
        <v>100000</v>
      </c>
      <c r="AP743" s="202">
        <v>100000</v>
      </c>
      <c r="AQ743" s="198" t="s">
        <v>358</v>
      </c>
      <c r="AR743" s="198" t="s">
        <v>51</v>
      </c>
      <c r="AS743" s="202">
        <v>100000</v>
      </c>
      <c r="AT743" s="202">
        <v>100000</v>
      </c>
      <c r="AU743" s="198" t="s">
        <v>359</v>
      </c>
      <c r="AV743" s="198" t="s">
        <v>62</v>
      </c>
      <c r="AW743" s="198" t="s">
        <v>54</v>
      </c>
    </row>
    <row r="744" spans="3:49" outlineLevel="2" x14ac:dyDescent="0.25">
      <c r="C744" s="201"/>
      <c r="D744" s="198" t="s">
        <v>557</v>
      </c>
      <c r="H744" s="198" t="s">
        <v>557</v>
      </c>
      <c r="I744" s="202">
        <f t="shared" si="11"/>
        <v>310956206.84999961</v>
      </c>
      <c r="J744" s="202">
        <v>75.299999999999898</v>
      </c>
      <c r="L744" s="204">
        <v>4</v>
      </c>
      <c r="M744" s="202">
        <v>52000</v>
      </c>
      <c r="N744" s="204">
        <v>4</v>
      </c>
      <c r="O744" s="198" t="s">
        <v>51</v>
      </c>
      <c r="P744" s="202">
        <v>52000</v>
      </c>
      <c r="Q744" s="198" t="s">
        <v>342</v>
      </c>
      <c r="R744" s="198" t="s">
        <v>53</v>
      </c>
      <c r="S744" s="198" t="s">
        <v>54</v>
      </c>
      <c r="T744" s="198" t="s">
        <v>2043</v>
      </c>
      <c r="U744" s="198" t="s">
        <v>282</v>
      </c>
      <c r="V744" s="198" t="s">
        <v>56</v>
      </c>
      <c r="W744" s="198" t="s">
        <v>356</v>
      </c>
      <c r="X744" s="198" t="s">
        <v>57</v>
      </c>
      <c r="Y744" s="198" t="s">
        <v>58</v>
      </c>
      <c r="Z744" s="201">
        <v>46233</v>
      </c>
      <c r="AA744" s="198" t="s">
        <v>59</v>
      </c>
      <c r="AB744" s="198" t="s">
        <v>60</v>
      </c>
      <c r="AC744" s="198" t="s">
        <v>86</v>
      </c>
      <c r="AD744" s="198" t="s">
        <v>62</v>
      </c>
      <c r="AE744" s="198" t="s">
        <v>425</v>
      </c>
      <c r="AF744" s="198" t="s">
        <v>424</v>
      </c>
      <c r="AG744" s="198" t="s">
        <v>248</v>
      </c>
      <c r="AH744" s="198" t="s">
        <v>134</v>
      </c>
      <c r="AI744" s="198" t="s">
        <v>56</v>
      </c>
      <c r="AJ744" s="198" t="s">
        <v>121</v>
      </c>
      <c r="AK744" s="198" t="s">
        <v>51</v>
      </c>
      <c r="AL744" s="198" t="s">
        <v>67</v>
      </c>
      <c r="AM744" s="198" t="s">
        <v>68</v>
      </c>
      <c r="AN744" s="202">
        <v>52000</v>
      </c>
      <c r="AO744" s="202">
        <v>52000</v>
      </c>
      <c r="AP744" s="202">
        <v>52000</v>
      </c>
      <c r="AQ744" s="198" t="s">
        <v>358</v>
      </c>
      <c r="AR744" s="198" t="s">
        <v>51</v>
      </c>
      <c r="AS744" s="202">
        <v>52000</v>
      </c>
      <c r="AT744" s="202">
        <v>52000</v>
      </c>
      <c r="AU744" s="198" t="s">
        <v>359</v>
      </c>
      <c r="AV744" s="198" t="s">
        <v>62</v>
      </c>
      <c r="AW744" s="198" t="s">
        <v>54</v>
      </c>
    </row>
    <row r="745" spans="3:49" outlineLevel="2" x14ac:dyDescent="0.25">
      <c r="C745" s="201"/>
      <c r="D745" s="198" t="s">
        <v>557</v>
      </c>
      <c r="H745" s="198" t="s">
        <v>557</v>
      </c>
      <c r="I745" s="202">
        <f t="shared" si="11"/>
        <v>311369163.29999959</v>
      </c>
      <c r="J745" s="202">
        <v>75.399999999999906</v>
      </c>
      <c r="L745" s="204">
        <v>2</v>
      </c>
      <c r="M745" s="202">
        <v>50000</v>
      </c>
      <c r="N745" s="204">
        <v>2</v>
      </c>
      <c r="O745" s="198" t="s">
        <v>51</v>
      </c>
      <c r="P745" s="202">
        <v>50000</v>
      </c>
      <c r="Q745" s="198" t="s">
        <v>73</v>
      </c>
      <c r="R745" s="198" t="s">
        <v>53</v>
      </c>
      <c r="S745" s="198" t="s">
        <v>54</v>
      </c>
      <c r="T745" s="198" t="s">
        <v>2043</v>
      </c>
      <c r="U745" s="198" t="s">
        <v>282</v>
      </c>
      <c r="V745" s="198" t="s">
        <v>56</v>
      </c>
      <c r="W745" s="198" t="s">
        <v>356</v>
      </c>
      <c r="X745" s="198" t="s">
        <v>57</v>
      </c>
      <c r="Y745" s="198" t="s">
        <v>58</v>
      </c>
      <c r="Z745" s="201">
        <v>46233</v>
      </c>
      <c r="AA745" s="198" t="s">
        <v>59</v>
      </c>
      <c r="AB745" s="198" t="s">
        <v>60</v>
      </c>
      <c r="AC745" s="198" t="s">
        <v>86</v>
      </c>
      <c r="AD745" s="198" t="s">
        <v>62</v>
      </c>
      <c r="AE745" s="198" t="s">
        <v>427</v>
      </c>
      <c r="AF745" s="198" t="s">
        <v>426</v>
      </c>
      <c r="AG745" s="198" t="s">
        <v>248</v>
      </c>
      <c r="AH745" s="198" t="s">
        <v>134</v>
      </c>
      <c r="AI745" s="198" t="s">
        <v>56</v>
      </c>
      <c r="AJ745" s="198" t="s">
        <v>423</v>
      </c>
      <c r="AK745" s="198" t="s">
        <v>51</v>
      </c>
      <c r="AL745" s="198" t="s">
        <v>67</v>
      </c>
      <c r="AM745" s="198" t="s">
        <v>68</v>
      </c>
      <c r="AN745" s="202">
        <v>50000</v>
      </c>
      <c r="AO745" s="202">
        <v>50000</v>
      </c>
      <c r="AP745" s="202">
        <v>50000</v>
      </c>
      <c r="AQ745" s="198" t="s">
        <v>358</v>
      </c>
      <c r="AR745" s="198" t="s">
        <v>51</v>
      </c>
      <c r="AS745" s="202">
        <v>50000</v>
      </c>
      <c r="AT745" s="202">
        <v>50000</v>
      </c>
      <c r="AU745" s="198" t="s">
        <v>359</v>
      </c>
      <c r="AV745" s="198" t="s">
        <v>62</v>
      </c>
      <c r="AW745" s="198" t="s">
        <v>54</v>
      </c>
    </row>
    <row r="746" spans="3:49" outlineLevel="2" x14ac:dyDescent="0.25">
      <c r="C746" s="201"/>
      <c r="D746" s="198" t="s">
        <v>557</v>
      </c>
      <c r="H746" s="198" t="s">
        <v>557</v>
      </c>
      <c r="I746" s="202">
        <f t="shared" si="11"/>
        <v>311782119.74999958</v>
      </c>
      <c r="J746" s="202">
        <v>75.499999999999901</v>
      </c>
      <c r="L746" s="204">
        <v>1</v>
      </c>
      <c r="M746" s="202">
        <v>13750</v>
      </c>
      <c r="N746" s="204">
        <v>1</v>
      </c>
      <c r="O746" s="198" t="s">
        <v>51</v>
      </c>
      <c r="P746" s="202">
        <v>13750</v>
      </c>
      <c r="Q746" s="198" t="s">
        <v>73</v>
      </c>
      <c r="R746" s="198" t="s">
        <v>53</v>
      </c>
      <c r="S746" s="198" t="s">
        <v>54</v>
      </c>
      <c r="T746" s="198" t="s">
        <v>2043</v>
      </c>
      <c r="U746" s="198" t="s">
        <v>282</v>
      </c>
      <c r="V746" s="198" t="s">
        <v>56</v>
      </c>
      <c r="W746" s="198" t="s">
        <v>356</v>
      </c>
      <c r="X746" s="198" t="s">
        <v>57</v>
      </c>
      <c r="Y746" s="198" t="s">
        <v>58</v>
      </c>
      <c r="Z746" s="201">
        <v>46233</v>
      </c>
      <c r="AA746" s="198" t="s">
        <v>59</v>
      </c>
      <c r="AB746" s="198" t="s">
        <v>60</v>
      </c>
      <c r="AC746" s="198" t="s">
        <v>86</v>
      </c>
      <c r="AD746" s="198" t="s">
        <v>62</v>
      </c>
      <c r="AE746" s="198" t="s">
        <v>429</v>
      </c>
      <c r="AF746" s="198" t="s">
        <v>428</v>
      </c>
      <c r="AG746" s="198" t="s">
        <v>248</v>
      </c>
      <c r="AH746" s="198" t="s">
        <v>134</v>
      </c>
      <c r="AI746" s="198" t="s">
        <v>56</v>
      </c>
      <c r="AJ746" s="198" t="s">
        <v>294</v>
      </c>
      <c r="AK746" s="198" t="s">
        <v>51</v>
      </c>
      <c r="AL746" s="198" t="s">
        <v>67</v>
      </c>
      <c r="AM746" s="198" t="s">
        <v>68</v>
      </c>
      <c r="AN746" s="202">
        <v>13750</v>
      </c>
      <c r="AO746" s="202">
        <v>13750</v>
      </c>
      <c r="AP746" s="202">
        <v>13750</v>
      </c>
      <c r="AQ746" s="198" t="s">
        <v>358</v>
      </c>
      <c r="AR746" s="198" t="s">
        <v>51</v>
      </c>
      <c r="AS746" s="202">
        <v>13750</v>
      </c>
      <c r="AT746" s="202">
        <v>13750</v>
      </c>
      <c r="AU746" s="198" t="s">
        <v>359</v>
      </c>
      <c r="AV746" s="198" t="s">
        <v>62</v>
      </c>
      <c r="AW746" s="198" t="s">
        <v>54</v>
      </c>
    </row>
    <row r="747" spans="3:49" outlineLevel="2" x14ac:dyDescent="0.25">
      <c r="C747" s="201"/>
      <c r="D747" s="198" t="s">
        <v>559</v>
      </c>
      <c r="H747" s="198" t="s">
        <v>559</v>
      </c>
      <c r="I747" s="202">
        <f t="shared" si="11"/>
        <v>312195076.19999957</v>
      </c>
      <c r="J747" s="202">
        <v>75.599999999999895</v>
      </c>
      <c r="L747" s="204">
        <v>25</v>
      </c>
      <c r="M747" s="202">
        <v>10500000</v>
      </c>
      <c r="N747" s="204">
        <v>22</v>
      </c>
      <c r="O747" s="198" t="s">
        <v>51</v>
      </c>
      <c r="P747" s="202">
        <v>9240000</v>
      </c>
      <c r="Q747" s="198" t="s">
        <v>73</v>
      </c>
      <c r="R747" s="198" t="s">
        <v>53</v>
      </c>
      <c r="S747" s="198" t="s">
        <v>54</v>
      </c>
      <c r="T747" s="198" t="s">
        <v>363</v>
      </c>
      <c r="U747" s="198" t="s">
        <v>368</v>
      </c>
      <c r="V747" s="198" t="s">
        <v>56</v>
      </c>
      <c r="W747" s="198" t="s">
        <v>356</v>
      </c>
      <c r="X747" s="198" t="s">
        <v>57</v>
      </c>
      <c r="Y747" s="198" t="s">
        <v>58</v>
      </c>
      <c r="Z747" s="201">
        <v>46203</v>
      </c>
      <c r="AA747" s="198" t="s">
        <v>59</v>
      </c>
      <c r="AB747" s="198" t="s">
        <v>60</v>
      </c>
      <c r="AC747" s="198" t="s">
        <v>86</v>
      </c>
      <c r="AD747" s="198" t="s">
        <v>62</v>
      </c>
      <c r="AE747" s="198" t="s">
        <v>116</v>
      </c>
      <c r="AF747" s="198" t="s">
        <v>115</v>
      </c>
      <c r="AG747" s="198" t="s">
        <v>189</v>
      </c>
      <c r="AH747" s="198" t="s">
        <v>137</v>
      </c>
      <c r="AI747" s="198" t="s">
        <v>56</v>
      </c>
      <c r="AJ747" s="198" t="s">
        <v>118</v>
      </c>
      <c r="AK747" s="198" t="s">
        <v>51</v>
      </c>
      <c r="AL747" s="198" t="s">
        <v>67</v>
      </c>
      <c r="AM747" s="198" t="s">
        <v>68</v>
      </c>
      <c r="AN747" s="202">
        <v>10500000</v>
      </c>
      <c r="AO747" s="202">
        <v>10500000</v>
      </c>
      <c r="AP747" s="202">
        <v>10500000</v>
      </c>
      <c r="AQ747" s="198" t="s">
        <v>2045</v>
      </c>
      <c r="AR747" s="198" t="s">
        <v>51</v>
      </c>
      <c r="AS747" s="202">
        <v>9240000</v>
      </c>
      <c r="AT747" s="202">
        <v>9240000</v>
      </c>
      <c r="AU747" s="198" t="s">
        <v>359</v>
      </c>
      <c r="AV747" s="198" t="s">
        <v>62</v>
      </c>
      <c r="AW747" s="198" t="s">
        <v>54</v>
      </c>
    </row>
    <row r="748" spans="3:49" outlineLevel="2" x14ac:dyDescent="0.25">
      <c r="C748" s="201"/>
      <c r="D748" s="198" t="s">
        <v>559</v>
      </c>
      <c r="H748" s="198" t="s">
        <v>559</v>
      </c>
      <c r="I748" s="202">
        <f t="shared" si="11"/>
        <v>312608032.64999962</v>
      </c>
      <c r="J748" s="202">
        <v>75.699999999999903</v>
      </c>
      <c r="L748" s="204">
        <v>25</v>
      </c>
      <c r="M748" s="202">
        <v>402891175</v>
      </c>
      <c r="N748" s="204">
        <v>22</v>
      </c>
      <c r="O748" s="198" t="s">
        <v>51</v>
      </c>
      <c r="P748" s="202">
        <v>354544234</v>
      </c>
      <c r="Q748" s="198" t="s">
        <v>73</v>
      </c>
      <c r="R748" s="198" t="s">
        <v>53</v>
      </c>
      <c r="S748" s="198" t="s">
        <v>54</v>
      </c>
      <c r="T748" s="198" t="s">
        <v>363</v>
      </c>
      <c r="U748" s="198" t="s">
        <v>368</v>
      </c>
      <c r="V748" s="198" t="s">
        <v>56</v>
      </c>
      <c r="W748" s="198" t="s">
        <v>356</v>
      </c>
      <c r="X748" s="198" t="s">
        <v>57</v>
      </c>
      <c r="Y748" s="198" t="s">
        <v>58</v>
      </c>
      <c r="Z748" s="201">
        <v>46203</v>
      </c>
      <c r="AA748" s="198" t="s">
        <v>59</v>
      </c>
      <c r="AB748" s="198" t="s">
        <v>60</v>
      </c>
      <c r="AC748" s="198" t="s">
        <v>86</v>
      </c>
      <c r="AD748" s="198" t="s">
        <v>62</v>
      </c>
      <c r="AE748" s="198" t="s">
        <v>116</v>
      </c>
      <c r="AF748" s="198" t="s">
        <v>115</v>
      </c>
      <c r="AG748" s="198" t="s">
        <v>189</v>
      </c>
      <c r="AH748" s="198" t="s">
        <v>137</v>
      </c>
      <c r="AI748" s="198" t="s">
        <v>56</v>
      </c>
      <c r="AJ748" s="198" t="s">
        <v>118</v>
      </c>
      <c r="AK748" s="198" t="s">
        <v>51</v>
      </c>
      <c r="AL748" s="198" t="s">
        <v>67</v>
      </c>
      <c r="AM748" s="198" t="s">
        <v>68</v>
      </c>
      <c r="AN748" s="202">
        <v>402891175</v>
      </c>
      <c r="AO748" s="202">
        <v>402891175</v>
      </c>
      <c r="AP748" s="202">
        <v>402891175</v>
      </c>
      <c r="AQ748" s="198" t="s">
        <v>358</v>
      </c>
      <c r="AR748" s="198" t="s">
        <v>51</v>
      </c>
      <c r="AS748" s="202">
        <v>354544234</v>
      </c>
      <c r="AT748" s="202">
        <v>354544234</v>
      </c>
      <c r="AU748" s="198" t="s">
        <v>359</v>
      </c>
      <c r="AV748" s="198" t="s">
        <v>62</v>
      </c>
      <c r="AW748" s="198" t="s">
        <v>54</v>
      </c>
    </row>
    <row r="749" spans="3:49" outlineLevel="2" x14ac:dyDescent="0.25">
      <c r="C749" s="201"/>
      <c r="D749" s="198" t="s">
        <v>559</v>
      </c>
      <c r="H749" s="198" t="s">
        <v>559</v>
      </c>
      <c r="I749" s="202">
        <f t="shared" si="11"/>
        <v>313020989.09999961</v>
      </c>
      <c r="J749" s="202">
        <v>75.799999999999898</v>
      </c>
      <c r="L749" s="204">
        <v>25</v>
      </c>
      <c r="M749" s="202">
        <v>19175000</v>
      </c>
      <c r="N749" s="204">
        <v>25</v>
      </c>
      <c r="O749" s="198" t="s">
        <v>51</v>
      </c>
      <c r="P749" s="202">
        <v>19175000</v>
      </c>
      <c r="Q749" s="198" t="s">
        <v>73</v>
      </c>
      <c r="R749" s="198" t="s">
        <v>53</v>
      </c>
      <c r="S749" s="198" t="s">
        <v>54</v>
      </c>
      <c r="T749" s="198" t="s">
        <v>363</v>
      </c>
      <c r="U749" s="198" t="s">
        <v>367</v>
      </c>
      <c r="V749" s="198" t="s">
        <v>56</v>
      </c>
      <c r="W749" s="198" t="s">
        <v>356</v>
      </c>
      <c r="X749" s="198" t="s">
        <v>57</v>
      </c>
      <c r="Y749" s="198" t="s">
        <v>58</v>
      </c>
      <c r="Z749" s="201">
        <v>46203</v>
      </c>
      <c r="AA749" s="198" t="s">
        <v>59</v>
      </c>
      <c r="AB749" s="198" t="s">
        <v>60</v>
      </c>
      <c r="AC749" s="198" t="s">
        <v>86</v>
      </c>
      <c r="AD749" s="198" t="s">
        <v>62</v>
      </c>
      <c r="AE749" s="198" t="s">
        <v>120</v>
      </c>
      <c r="AF749" s="198" t="s">
        <v>119</v>
      </c>
      <c r="AG749" s="198" t="s">
        <v>189</v>
      </c>
      <c r="AH749" s="198" t="s">
        <v>137</v>
      </c>
      <c r="AI749" s="198" t="s">
        <v>56</v>
      </c>
      <c r="AJ749" s="198" t="s">
        <v>121</v>
      </c>
      <c r="AK749" s="198" t="s">
        <v>51</v>
      </c>
      <c r="AL749" s="198" t="s">
        <v>67</v>
      </c>
      <c r="AM749" s="198" t="s">
        <v>68</v>
      </c>
      <c r="AN749" s="202">
        <v>19175000</v>
      </c>
      <c r="AO749" s="202">
        <v>19175000</v>
      </c>
      <c r="AP749" s="202">
        <v>19175000</v>
      </c>
      <c r="AQ749" s="198" t="s">
        <v>358</v>
      </c>
      <c r="AR749" s="198" t="s">
        <v>51</v>
      </c>
      <c r="AS749" s="202">
        <v>19175000</v>
      </c>
      <c r="AT749" s="202">
        <v>19175000</v>
      </c>
      <c r="AU749" s="198" t="s">
        <v>359</v>
      </c>
      <c r="AV749" s="198" t="s">
        <v>62</v>
      </c>
      <c r="AW749" s="198" t="s">
        <v>54</v>
      </c>
    </row>
    <row r="750" spans="3:49" outlineLevel="2" x14ac:dyDescent="0.25">
      <c r="C750" s="201"/>
      <c r="D750" s="198" t="s">
        <v>114</v>
      </c>
      <c r="H750" s="198" t="s">
        <v>114</v>
      </c>
      <c r="I750" s="202">
        <f t="shared" si="11"/>
        <v>313433945.54999959</v>
      </c>
      <c r="J750" s="202">
        <v>75.899999999999906</v>
      </c>
      <c r="L750" s="204">
        <v>11</v>
      </c>
      <c r="M750" s="202">
        <v>181892117</v>
      </c>
      <c r="N750" s="204">
        <v>11</v>
      </c>
      <c r="O750" s="198" t="s">
        <v>51</v>
      </c>
      <c r="P750" s="202">
        <v>181892117</v>
      </c>
      <c r="Q750" s="198" t="s">
        <v>73</v>
      </c>
      <c r="R750" s="198" t="s">
        <v>53</v>
      </c>
      <c r="S750" s="198" t="s">
        <v>54</v>
      </c>
      <c r="T750" s="198" t="s">
        <v>363</v>
      </c>
      <c r="U750" s="198" t="s">
        <v>2046</v>
      </c>
      <c r="V750" s="198" t="s">
        <v>56</v>
      </c>
      <c r="W750" s="198" t="s">
        <v>356</v>
      </c>
      <c r="X750" s="198" t="s">
        <v>57</v>
      </c>
      <c r="Y750" s="198" t="s">
        <v>58</v>
      </c>
      <c r="Z750" s="201">
        <v>46295</v>
      </c>
      <c r="AA750" s="198" t="s">
        <v>59</v>
      </c>
      <c r="AB750" s="198" t="s">
        <v>60</v>
      </c>
      <c r="AC750" s="198" t="s">
        <v>86</v>
      </c>
      <c r="AD750" s="198" t="s">
        <v>62</v>
      </c>
      <c r="AE750" s="198" t="s">
        <v>116</v>
      </c>
      <c r="AF750" s="198" t="s">
        <v>115</v>
      </c>
      <c r="AG750" s="198" t="s">
        <v>214</v>
      </c>
      <c r="AH750" s="198" t="s">
        <v>117</v>
      </c>
      <c r="AI750" s="198" t="s">
        <v>56</v>
      </c>
      <c r="AJ750" s="198" t="s">
        <v>118</v>
      </c>
      <c r="AK750" s="198" t="s">
        <v>51</v>
      </c>
      <c r="AL750" s="198" t="s">
        <v>67</v>
      </c>
      <c r="AM750" s="198" t="s">
        <v>68</v>
      </c>
      <c r="AN750" s="202">
        <v>181892117</v>
      </c>
      <c r="AO750" s="202">
        <v>181892117</v>
      </c>
      <c r="AP750" s="202">
        <v>181892117</v>
      </c>
      <c r="AQ750" s="198" t="s">
        <v>358</v>
      </c>
      <c r="AR750" s="198" t="s">
        <v>51</v>
      </c>
      <c r="AS750" s="202">
        <v>181892117</v>
      </c>
      <c r="AT750" s="202">
        <v>181892117</v>
      </c>
      <c r="AU750" s="198" t="s">
        <v>359</v>
      </c>
      <c r="AV750" s="198" t="s">
        <v>62</v>
      </c>
      <c r="AW750" s="198" t="s">
        <v>54</v>
      </c>
    </row>
    <row r="751" spans="3:49" outlineLevel="2" x14ac:dyDescent="0.25">
      <c r="C751" s="201"/>
      <c r="D751" s="198" t="s">
        <v>114</v>
      </c>
      <c r="H751" s="198" t="s">
        <v>114</v>
      </c>
      <c r="I751" s="202">
        <f t="shared" si="11"/>
        <v>313846901.99999958</v>
      </c>
      <c r="J751" s="202">
        <v>75.999999999999901</v>
      </c>
      <c r="L751" s="204">
        <v>11</v>
      </c>
      <c r="M751" s="202">
        <v>8437000</v>
      </c>
      <c r="N751" s="204">
        <v>11</v>
      </c>
      <c r="O751" s="198" t="s">
        <v>51</v>
      </c>
      <c r="P751" s="202">
        <v>8437000</v>
      </c>
      <c r="Q751" s="198" t="s">
        <v>73</v>
      </c>
      <c r="R751" s="198" t="s">
        <v>53</v>
      </c>
      <c r="S751" s="198" t="s">
        <v>54</v>
      </c>
      <c r="T751" s="198" t="s">
        <v>363</v>
      </c>
      <c r="U751" s="198" t="s">
        <v>2046</v>
      </c>
      <c r="V751" s="198" t="s">
        <v>56</v>
      </c>
      <c r="W751" s="198" t="s">
        <v>356</v>
      </c>
      <c r="X751" s="198" t="s">
        <v>57</v>
      </c>
      <c r="Y751" s="198" t="s">
        <v>58</v>
      </c>
      <c r="Z751" s="201">
        <v>46295</v>
      </c>
      <c r="AA751" s="198" t="s">
        <v>59</v>
      </c>
      <c r="AB751" s="198" t="s">
        <v>60</v>
      </c>
      <c r="AC751" s="198" t="s">
        <v>86</v>
      </c>
      <c r="AD751" s="198" t="s">
        <v>62</v>
      </c>
      <c r="AE751" s="198" t="s">
        <v>120</v>
      </c>
      <c r="AF751" s="198" t="s">
        <v>119</v>
      </c>
      <c r="AG751" s="198" t="s">
        <v>214</v>
      </c>
      <c r="AH751" s="198" t="s">
        <v>117</v>
      </c>
      <c r="AI751" s="198" t="s">
        <v>56</v>
      </c>
      <c r="AJ751" s="198" t="s">
        <v>121</v>
      </c>
      <c r="AK751" s="198" t="s">
        <v>51</v>
      </c>
      <c r="AL751" s="198" t="s">
        <v>67</v>
      </c>
      <c r="AM751" s="198" t="s">
        <v>68</v>
      </c>
      <c r="AN751" s="202">
        <v>8437000</v>
      </c>
      <c r="AO751" s="202">
        <v>8437000</v>
      </c>
      <c r="AP751" s="202">
        <v>8437000</v>
      </c>
      <c r="AQ751" s="198" t="s">
        <v>358</v>
      </c>
      <c r="AR751" s="198" t="s">
        <v>51</v>
      </c>
      <c r="AS751" s="202">
        <v>8437000</v>
      </c>
      <c r="AT751" s="202">
        <v>8437000</v>
      </c>
      <c r="AU751" s="198" t="s">
        <v>359</v>
      </c>
      <c r="AV751" s="198" t="s">
        <v>62</v>
      </c>
      <c r="AW751" s="198" t="s">
        <v>54</v>
      </c>
    </row>
    <row r="752" spans="3:49" outlineLevel="2" x14ac:dyDescent="0.25">
      <c r="C752" s="201"/>
      <c r="D752" s="198" t="s">
        <v>114</v>
      </c>
      <c r="H752" s="198" t="s">
        <v>114</v>
      </c>
      <c r="I752" s="202">
        <f t="shared" si="11"/>
        <v>314259858.44999957</v>
      </c>
      <c r="J752" s="202">
        <v>76.099999999999895</v>
      </c>
      <c r="L752" s="204">
        <v>3</v>
      </c>
      <c r="M752" s="202">
        <v>30000</v>
      </c>
      <c r="N752" s="204">
        <v>3</v>
      </c>
      <c r="O752" s="198" t="s">
        <v>51</v>
      </c>
      <c r="P752" s="202">
        <v>30000</v>
      </c>
      <c r="Q752" s="198" t="s">
        <v>73</v>
      </c>
      <c r="R752" s="198" t="s">
        <v>53</v>
      </c>
      <c r="S752" s="198" t="s">
        <v>54</v>
      </c>
      <c r="T752" s="198" t="s">
        <v>363</v>
      </c>
      <c r="U752" s="198" t="s">
        <v>2046</v>
      </c>
      <c r="V752" s="198" t="s">
        <v>56</v>
      </c>
      <c r="W752" s="198" t="s">
        <v>356</v>
      </c>
      <c r="X752" s="198" t="s">
        <v>57</v>
      </c>
      <c r="Y752" s="198" t="s">
        <v>58</v>
      </c>
      <c r="Z752" s="201">
        <v>46295</v>
      </c>
      <c r="AA752" s="198" t="s">
        <v>59</v>
      </c>
      <c r="AB752" s="198" t="s">
        <v>60</v>
      </c>
      <c r="AC752" s="198" t="s">
        <v>86</v>
      </c>
      <c r="AD752" s="198" t="s">
        <v>62</v>
      </c>
      <c r="AE752" s="198" t="s">
        <v>370</v>
      </c>
      <c r="AF752" s="198" t="s">
        <v>369</v>
      </c>
      <c r="AG752" s="198" t="s">
        <v>214</v>
      </c>
      <c r="AH752" s="198" t="s">
        <v>117</v>
      </c>
      <c r="AI752" s="198" t="s">
        <v>56</v>
      </c>
      <c r="AJ752" s="198" t="s">
        <v>118</v>
      </c>
      <c r="AK752" s="198" t="s">
        <v>51</v>
      </c>
      <c r="AL752" s="198" t="s">
        <v>67</v>
      </c>
      <c r="AM752" s="198" t="s">
        <v>68</v>
      </c>
      <c r="AN752" s="202">
        <v>30000</v>
      </c>
      <c r="AO752" s="202">
        <v>30000</v>
      </c>
      <c r="AP752" s="202">
        <v>30000</v>
      </c>
      <c r="AQ752" s="198" t="s">
        <v>358</v>
      </c>
      <c r="AR752" s="198" t="s">
        <v>51</v>
      </c>
      <c r="AS752" s="202">
        <v>30000</v>
      </c>
      <c r="AT752" s="202">
        <v>30000</v>
      </c>
      <c r="AU752" s="198" t="s">
        <v>359</v>
      </c>
      <c r="AV752" s="198" t="s">
        <v>62</v>
      </c>
      <c r="AW752" s="198" t="s">
        <v>54</v>
      </c>
    </row>
    <row r="753" spans="3:49" outlineLevel="2" x14ac:dyDescent="0.25">
      <c r="C753" s="201"/>
      <c r="D753" s="198" t="s">
        <v>114</v>
      </c>
      <c r="H753" s="198" t="s">
        <v>114</v>
      </c>
      <c r="I753" s="202">
        <f t="shared" si="11"/>
        <v>314672814.89999962</v>
      </c>
      <c r="J753" s="202">
        <v>76.199999999999903</v>
      </c>
      <c r="L753" s="204">
        <v>3</v>
      </c>
      <c r="M753" s="202">
        <v>75000</v>
      </c>
      <c r="N753" s="204">
        <v>3</v>
      </c>
      <c r="O753" s="198" t="s">
        <v>51</v>
      </c>
      <c r="P753" s="202">
        <v>75000</v>
      </c>
      <c r="Q753" s="198" t="s">
        <v>73</v>
      </c>
      <c r="R753" s="198" t="s">
        <v>53</v>
      </c>
      <c r="S753" s="198" t="s">
        <v>54</v>
      </c>
      <c r="T753" s="198" t="s">
        <v>363</v>
      </c>
      <c r="U753" s="198" t="s">
        <v>2046</v>
      </c>
      <c r="V753" s="198" t="s">
        <v>56</v>
      </c>
      <c r="W753" s="198" t="s">
        <v>356</v>
      </c>
      <c r="X753" s="198" t="s">
        <v>57</v>
      </c>
      <c r="Y753" s="198" t="s">
        <v>58</v>
      </c>
      <c r="Z753" s="201">
        <v>46295</v>
      </c>
      <c r="AA753" s="198" t="s">
        <v>59</v>
      </c>
      <c r="AB753" s="198" t="s">
        <v>60</v>
      </c>
      <c r="AC753" s="198" t="s">
        <v>86</v>
      </c>
      <c r="AD753" s="198" t="s">
        <v>62</v>
      </c>
      <c r="AE753" s="198" t="s">
        <v>372</v>
      </c>
      <c r="AF753" s="198" t="s">
        <v>371</v>
      </c>
      <c r="AG753" s="198" t="s">
        <v>214</v>
      </c>
      <c r="AH753" s="198" t="s">
        <v>117</v>
      </c>
      <c r="AI753" s="198" t="s">
        <v>56</v>
      </c>
      <c r="AJ753" s="198" t="s">
        <v>373</v>
      </c>
      <c r="AK753" s="198" t="s">
        <v>51</v>
      </c>
      <c r="AL753" s="198" t="s">
        <v>67</v>
      </c>
      <c r="AM753" s="198" t="s">
        <v>68</v>
      </c>
      <c r="AN753" s="202">
        <v>75000</v>
      </c>
      <c r="AO753" s="202">
        <v>75000</v>
      </c>
      <c r="AP753" s="202">
        <v>75000</v>
      </c>
      <c r="AQ753" s="198" t="s">
        <v>358</v>
      </c>
      <c r="AR753" s="198" t="s">
        <v>51</v>
      </c>
      <c r="AS753" s="202">
        <v>75000</v>
      </c>
      <c r="AT753" s="202">
        <v>75000</v>
      </c>
      <c r="AU753" s="198" t="s">
        <v>359</v>
      </c>
      <c r="AV753" s="198" t="s">
        <v>62</v>
      </c>
      <c r="AW753" s="198" t="s">
        <v>54</v>
      </c>
    </row>
    <row r="754" spans="3:49" outlineLevel="2" x14ac:dyDescent="0.25">
      <c r="C754" s="201"/>
      <c r="D754" s="198" t="s">
        <v>114</v>
      </c>
      <c r="H754" s="198" t="s">
        <v>114</v>
      </c>
      <c r="I754" s="202">
        <f t="shared" si="11"/>
        <v>315085771.34999961</v>
      </c>
      <c r="J754" s="202">
        <v>76.299999999999898</v>
      </c>
      <c r="L754" s="204">
        <v>2</v>
      </c>
      <c r="M754" s="202">
        <v>36000</v>
      </c>
      <c r="N754" s="204">
        <v>2</v>
      </c>
      <c r="O754" s="198" t="s">
        <v>51</v>
      </c>
      <c r="P754" s="202">
        <v>36000</v>
      </c>
      <c r="Q754" s="198" t="s">
        <v>342</v>
      </c>
      <c r="R754" s="198" t="s">
        <v>53</v>
      </c>
      <c r="S754" s="198" t="s">
        <v>54</v>
      </c>
      <c r="T754" s="198" t="s">
        <v>363</v>
      </c>
      <c r="U754" s="198" t="s">
        <v>2046</v>
      </c>
      <c r="V754" s="198" t="s">
        <v>56</v>
      </c>
      <c r="W754" s="198" t="s">
        <v>356</v>
      </c>
      <c r="X754" s="198" t="s">
        <v>57</v>
      </c>
      <c r="Y754" s="198" t="s">
        <v>58</v>
      </c>
      <c r="Z754" s="201">
        <v>46295</v>
      </c>
      <c r="AA754" s="198" t="s">
        <v>59</v>
      </c>
      <c r="AB754" s="198" t="s">
        <v>60</v>
      </c>
      <c r="AC754" s="198" t="s">
        <v>86</v>
      </c>
      <c r="AD754" s="198" t="s">
        <v>62</v>
      </c>
      <c r="AE754" s="198" t="s">
        <v>375</v>
      </c>
      <c r="AF754" s="198" t="s">
        <v>374</v>
      </c>
      <c r="AG754" s="198" t="s">
        <v>214</v>
      </c>
      <c r="AH754" s="198" t="s">
        <v>117</v>
      </c>
      <c r="AI754" s="198" t="s">
        <v>56</v>
      </c>
      <c r="AJ754" s="198" t="s">
        <v>294</v>
      </c>
      <c r="AK754" s="198" t="s">
        <v>51</v>
      </c>
      <c r="AL754" s="198" t="s">
        <v>67</v>
      </c>
      <c r="AM754" s="198" t="s">
        <v>68</v>
      </c>
      <c r="AN754" s="202">
        <v>36000</v>
      </c>
      <c r="AO754" s="202">
        <v>36000</v>
      </c>
      <c r="AP754" s="202">
        <v>36000</v>
      </c>
      <c r="AQ754" s="198" t="s">
        <v>358</v>
      </c>
      <c r="AR754" s="198" t="s">
        <v>51</v>
      </c>
      <c r="AS754" s="202">
        <v>36000</v>
      </c>
      <c r="AT754" s="202">
        <v>36000</v>
      </c>
      <c r="AU754" s="198" t="s">
        <v>359</v>
      </c>
      <c r="AV754" s="198" t="s">
        <v>62</v>
      </c>
      <c r="AW754" s="198" t="s">
        <v>54</v>
      </c>
    </row>
    <row r="755" spans="3:49" outlineLevel="2" x14ac:dyDescent="0.25">
      <c r="C755" s="201"/>
      <c r="D755" s="198" t="s">
        <v>114</v>
      </c>
      <c r="H755" s="198" t="s">
        <v>114</v>
      </c>
      <c r="I755" s="202">
        <f t="shared" si="11"/>
        <v>315498727.79999959</v>
      </c>
      <c r="J755" s="202">
        <v>76.399999999999906</v>
      </c>
      <c r="L755" s="204">
        <v>4</v>
      </c>
      <c r="M755" s="202">
        <v>72000</v>
      </c>
      <c r="N755" s="204">
        <v>4</v>
      </c>
      <c r="O755" s="198" t="s">
        <v>51</v>
      </c>
      <c r="P755" s="202">
        <v>72000</v>
      </c>
      <c r="Q755" s="198" t="s">
        <v>73</v>
      </c>
      <c r="R755" s="198" t="s">
        <v>53</v>
      </c>
      <c r="S755" s="198" t="s">
        <v>54</v>
      </c>
      <c r="T755" s="198" t="s">
        <v>363</v>
      </c>
      <c r="U755" s="198" t="s">
        <v>2046</v>
      </c>
      <c r="V755" s="198" t="s">
        <v>56</v>
      </c>
      <c r="W755" s="198" t="s">
        <v>356</v>
      </c>
      <c r="X755" s="198" t="s">
        <v>57</v>
      </c>
      <c r="Y755" s="198" t="s">
        <v>58</v>
      </c>
      <c r="Z755" s="201">
        <v>46295</v>
      </c>
      <c r="AA755" s="198" t="s">
        <v>59</v>
      </c>
      <c r="AB755" s="198" t="s">
        <v>60</v>
      </c>
      <c r="AC755" s="198" t="s">
        <v>86</v>
      </c>
      <c r="AD755" s="198" t="s">
        <v>62</v>
      </c>
      <c r="AE755" s="198" t="s">
        <v>377</v>
      </c>
      <c r="AF755" s="198" t="s">
        <v>376</v>
      </c>
      <c r="AG755" s="198" t="s">
        <v>214</v>
      </c>
      <c r="AH755" s="198" t="s">
        <v>117</v>
      </c>
      <c r="AI755" s="198" t="s">
        <v>56</v>
      </c>
      <c r="AJ755" s="198" t="s">
        <v>118</v>
      </c>
      <c r="AK755" s="198" t="s">
        <v>51</v>
      </c>
      <c r="AL755" s="198" t="s">
        <v>67</v>
      </c>
      <c r="AM755" s="198" t="s">
        <v>68</v>
      </c>
      <c r="AN755" s="202">
        <v>72000</v>
      </c>
      <c r="AO755" s="202">
        <v>72000</v>
      </c>
      <c r="AP755" s="202">
        <v>72000</v>
      </c>
      <c r="AQ755" s="198" t="s">
        <v>358</v>
      </c>
      <c r="AR755" s="198" t="s">
        <v>51</v>
      </c>
      <c r="AS755" s="202">
        <v>72000</v>
      </c>
      <c r="AT755" s="202">
        <v>72000</v>
      </c>
      <c r="AU755" s="198" t="s">
        <v>359</v>
      </c>
      <c r="AV755" s="198" t="s">
        <v>62</v>
      </c>
      <c r="AW755" s="198" t="s">
        <v>54</v>
      </c>
    </row>
    <row r="756" spans="3:49" outlineLevel="2" x14ac:dyDescent="0.25">
      <c r="C756" s="201"/>
      <c r="D756" s="198" t="s">
        <v>114</v>
      </c>
      <c r="H756" s="198" t="s">
        <v>114</v>
      </c>
      <c r="I756" s="202">
        <f t="shared" si="11"/>
        <v>315911684.24999958</v>
      </c>
      <c r="J756" s="202">
        <v>76.499999999999901</v>
      </c>
      <c r="L756" s="204">
        <v>1</v>
      </c>
      <c r="M756" s="202">
        <v>85000</v>
      </c>
      <c r="N756" s="204">
        <v>1</v>
      </c>
      <c r="O756" s="198" t="s">
        <v>51</v>
      </c>
      <c r="P756" s="202">
        <v>85000</v>
      </c>
      <c r="Q756" s="198" t="s">
        <v>342</v>
      </c>
      <c r="R756" s="198" t="s">
        <v>53</v>
      </c>
      <c r="S756" s="198" t="s">
        <v>54</v>
      </c>
      <c r="T756" s="198" t="s">
        <v>363</v>
      </c>
      <c r="U756" s="198" t="s">
        <v>2046</v>
      </c>
      <c r="V756" s="198" t="s">
        <v>56</v>
      </c>
      <c r="W756" s="198" t="s">
        <v>356</v>
      </c>
      <c r="X756" s="198" t="s">
        <v>57</v>
      </c>
      <c r="Y756" s="198" t="s">
        <v>58</v>
      </c>
      <c r="Z756" s="201">
        <v>46295</v>
      </c>
      <c r="AA756" s="198" t="s">
        <v>59</v>
      </c>
      <c r="AB756" s="198" t="s">
        <v>60</v>
      </c>
      <c r="AC756" s="198" t="s">
        <v>86</v>
      </c>
      <c r="AD756" s="198" t="s">
        <v>62</v>
      </c>
      <c r="AE756" s="198" t="s">
        <v>379</v>
      </c>
      <c r="AF756" s="198" t="s">
        <v>378</v>
      </c>
      <c r="AG756" s="198" t="s">
        <v>214</v>
      </c>
      <c r="AH756" s="198" t="s">
        <v>117</v>
      </c>
      <c r="AI756" s="198" t="s">
        <v>56</v>
      </c>
      <c r="AJ756" s="198" t="s">
        <v>344</v>
      </c>
      <c r="AK756" s="198" t="s">
        <v>51</v>
      </c>
      <c r="AL756" s="198" t="s">
        <v>67</v>
      </c>
      <c r="AM756" s="198" t="s">
        <v>68</v>
      </c>
      <c r="AN756" s="202">
        <v>85000</v>
      </c>
      <c r="AO756" s="202">
        <v>85000</v>
      </c>
      <c r="AP756" s="202">
        <v>85000</v>
      </c>
      <c r="AQ756" s="198" t="s">
        <v>358</v>
      </c>
      <c r="AR756" s="198" t="s">
        <v>51</v>
      </c>
      <c r="AS756" s="202">
        <v>85000</v>
      </c>
      <c r="AT756" s="202">
        <v>85000</v>
      </c>
      <c r="AU756" s="198" t="s">
        <v>359</v>
      </c>
      <c r="AV756" s="198" t="s">
        <v>62</v>
      </c>
      <c r="AW756" s="198" t="s">
        <v>54</v>
      </c>
    </row>
    <row r="757" spans="3:49" outlineLevel="2" x14ac:dyDescent="0.25">
      <c r="C757" s="201"/>
      <c r="D757" s="198" t="s">
        <v>114</v>
      </c>
      <c r="H757" s="198" t="s">
        <v>114</v>
      </c>
      <c r="I757" s="202">
        <f t="shared" si="11"/>
        <v>316324640.69999957</v>
      </c>
      <c r="J757" s="202">
        <v>76.599999999999895</v>
      </c>
      <c r="L757" s="204">
        <v>2</v>
      </c>
      <c r="M757" s="202">
        <v>5000</v>
      </c>
      <c r="N757" s="204">
        <v>2</v>
      </c>
      <c r="O757" s="198" t="s">
        <v>51</v>
      </c>
      <c r="P757" s="202">
        <v>5000</v>
      </c>
      <c r="Q757" s="198" t="s">
        <v>73</v>
      </c>
      <c r="R757" s="198" t="s">
        <v>53</v>
      </c>
      <c r="S757" s="198" t="s">
        <v>54</v>
      </c>
      <c r="T757" s="198" t="s">
        <v>363</v>
      </c>
      <c r="U757" s="198" t="s">
        <v>2046</v>
      </c>
      <c r="V757" s="198" t="s">
        <v>56</v>
      </c>
      <c r="W757" s="198" t="s">
        <v>356</v>
      </c>
      <c r="X757" s="198" t="s">
        <v>57</v>
      </c>
      <c r="Y757" s="198" t="s">
        <v>58</v>
      </c>
      <c r="Z757" s="201">
        <v>46295</v>
      </c>
      <c r="AA757" s="198" t="s">
        <v>59</v>
      </c>
      <c r="AB757" s="198" t="s">
        <v>60</v>
      </c>
      <c r="AC757" s="198" t="s">
        <v>86</v>
      </c>
      <c r="AD757" s="198" t="s">
        <v>62</v>
      </c>
      <c r="AE757" s="198" t="s">
        <v>381</v>
      </c>
      <c r="AF757" s="198" t="s">
        <v>380</v>
      </c>
      <c r="AG757" s="198" t="s">
        <v>214</v>
      </c>
      <c r="AH757" s="198" t="s">
        <v>117</v>
      </c>
      <c r="AI757" s="198" t="s">
        <v>56</v>
      </c>
      <c r="AJ757" s="198" t="s">
        <v>382</v>
      </c>
      <c r="AK757" s="198" t="s">
        <v>51</v>
      </c>
      <c r="AL757" s="198" t="s">
        <v>67</v>
      </c>
      <c r="AM757" s="198" t="s">
        <v>68</v>
      </c>
      <c r="AN757" s="202">
        <v>5000</v>
      </c>
      <c r="AO757" s="202">
        <v>5000</v>
      </c>
      <c r="AP757" s="202">
        <v>5000</v>
      </c>
      <c r="AQ757" s="198" t="s">
        <v>358</v>
      </c>
      <c r="AR757" s="198" t="s">
        <v>51</v>
      </c>
      <c r="AS757" s="202">
        <v>5000</v>
      </c>
      <c r="AT757" s="202">
        <v>5000</v>
      </c>
      <c r="AU757" s="198" t="s">
        <v>359</v>
      </c>
      <c r="AV757" s="198" t="s">
        <v>62</v>
      </c>
      <c r="AW757" s="198" t="s">
        <v>54</v>
      </c>
    </row>
    <row r="758" spans="3:49" outlineLevel="2" x14ac:dyDescent="0.25">
      <c r="C758" s="201"/>
      <c r="D758" s="198" t="s">
        <v>114</v>
      </c>
      <c r="H758" s="198" t="s">
        <v>114</v>
      </c>
      <c r="I758" s="202">
        <f t="shared" si="11"/>
        <v>316737597.14999962</v>
      </c>
      <c r="J758" s="202">
        <v>76.699999999999903</v>
      </c>
      <c r="L758" s="204">
        <v>2</v>
      </c>
      <c r="M758" s="202">
        <v>17000</v>
      </c>
      <c r="N758" s="204">
        <v>2</v>
      </c>
      <c r="O758" s="198" t="s">
        <v>51</v>
      </c>
      <c r="P758" s="202">
        <v>17000</v>
      </c>
      <c r="Q758" s="198" t="s">
        <v>384</v>
      </c>
      <c r="R758" s="198" t="s">
        <v>53</v>
      </c>
      <c r="S758" s="198" t="s">
        <v>54</v>
      </c>
      <c r="T758" s="198" t="s">
        <v>363</v>
      </c>
      <c r="U758" s="198" t="s">
        <v>2046</v>
      </c>
      <c r="V758" s="198" t="s">
        <v>56</v>
      </c>
      <c r="W758" s="198" t="s">
        <v>356</v>
      </c>
      <c r="X758" s="198" t="s">
        <v>57</v>
      </c>
      <c r="Y758" s="198" t="s">
        <v>58</v>
      </c>
      <c r="Z758" s="201">
        <v>46295</v>
      </c>
      <c r="AA758" s="198" t="s">
        <v>59</v>
      </c>
      <c r="AB758" s="198" t="s">
        <v>60</v>
      </c>
      <c r="AC758" s="198" t="s">
        <v>86</v>
      </c>
      <c r="AD758" s="198" t="s">
        <v>62</v>
      </c>
      <c r="AE758" s="198" t="s">
        <v>385</v>
      </c>
      <c r="AF758" s="198" t="s">
        <v>383</v>
      </c>
      <c r="AG758" s="198" t="s">
        <v>214</v>
      </c>
      <c r="AH758" s="198" t="s">
        <v>117</v>
      </c>
      <c r="AI758" s="198" t="s">
        <v>56</v>
      </c>
      <c r="AJ758" s="198" t="s">
        <v>382</v>
      </c>
      <c r="AK758" s="198" t="s">
        <v>51</v>
      </c>
      <c r="AL758" s="198" t="s">
        <v>67</v>
      </c>
      <c r="AM758" s="198" t="s">
        <v>68</v>
      </c>
      <c r="AN758" s="202">
        <v>17000</v>
      </c>
      <c r="AO758" s="202">
        <v>17000</v>
      </c>
      <c r="AP758" s="202">
        <v>17000</v>
      </c>
      <c r="AQ758" s="198" t="s">
        <v>358</v>
      </c>
      <c r="AR758" s="198" t="s">
        <v>51</v>
      </c>
      <c r="AS758" s="202">
        <v>17000</v>
      </c>
      <c r="AT758" s="202">
        <v>17000</v>
      </c>
      <c r="AU758" s="198" t="s">
        <v>359</v>
      </c>
      <c r="AV758" s="198" t="s">
        <v>62</v>
      </c>
      <c r="AW758" s="198" t="s">
        <v>54</v>
      </c>
    </row>
    <row r="759" spans="3:49" outlineLevel="2" x14ac:dyDescent="0.25">
      <c r="C759" s="201"/>
      <c r="D759" s="198" t="s">
        <v>114</v>
      </c>
      <c r="H759" s="198" t="s">
        <v>114</v>
      </c>
      <c r="I759" s="202">
        <f t="shared" si="11"/>
        <v>317150553.59999961</v>
      </c>
      <c r="J759" s="202">
        <v>76.799999999999898</v>
      </c>
      <c r="L759" s="204">
        <v>10</v>
      </c>
      <c r="M759" s="202">
        <v>60000</v>
      </c>
      <c r="N759" s="204">
        <v>10</v>
      </c>
      <c r="O759" s="198" t="s">
        <v>51</v>
      </c>
      <c r="P759" s="202">
        <v>60000</v>
      </c>
      <c r="Q759" s="198" t="s">
        <v>73</v>
      </c>
      <c r="R759" s="198" t="s">
        <v>53</v>
      </c>
      <c r="S759" s="198" t="s">
        <v>54</v>
      </c>
      <c r="T759" s="198" t="s">
        <v>363</v>
      </c>
      <c r="U759" s="198" t="s">
        <v>2046</v>
      </c>
      <c r="V759" s="198" t="s">
        <v>56</v>
      </c>
      <c r="W759" s="198" t="s">
        <v>356</v>
      </c>
      <c r="X759" s="198" t="s">
        <v>57</v>
      </c>
      <c r="Y759" s="198" t="s">
        <v>58</v>
      </c>
      <c r="Z759" s="201">
        <v>46295</v>
      </c>
      <c r="AA759" s="198" t="s">
        <v>59</v>
      </c>
      <c r="AB759" s="198" t="s">
        <v>60</v>
      </c>
      <c r="AC759" s="198" t="s">
        <v>86</v>
      </c>
      <c r="AD759" s="198" t="s">
        <v>62</v>
      </c>
      <c r="AE759" s="198" t="s">
        <v>387</v>
      </c>
      <c r="AF759" s="198" t="s">
        <v>386</v>
      </c>
      <c r="AG759" s="198" t="s">
        <v>214</v>
      </c>
      <c r="AH759" s="198" t="s">
        <v>117</v>
      </c>
      <c r="AI759" s="198" t="s">
        <v>56</v>
      </c>
      <c r="AJ759" s="198" t="s">
        <v>344</v>
      </c>
      <c r="AK759" s="198" t="s">
        <v>51</v>
      </c>
      <c r="AL759" s="198" t="s">
        <v>67</v>
      </c>
      <c r="AM759" s="198" t="s">
        <v>68</v>
      </c>
      <c r="AN759" s="202">
        <v>60000</v>
      </c>
      <c r="AO759" s="202">
        <v>60000</v>
      </c>
      <c r="AP759" s="202">
        <v>60000</v>
      </c>
      <c r="AQ759" s="198" t="s">
        <v>358</v>
      </c>
      <c r="AR759" s="198" t="s">
        <v>51</v>
      </c>
      <c r="AS759" s="202">
        <v>60000</v>
      </c>
      <c r="AT759" s="202">
        <v>60000</v>
      </c>
      <c r="AU759" s="198" t="s">
        <v>359</v>
      </c>
      <c r="AV759" s="198" t="s">
        <v>62</v>
      </c>
      <c r="AW759" s="198" t="s">
        <v>54</v>
      </c>
    </row>
    <row r="760" spans="3:49" outlineLevel="2" x14ac:dyDescent="0.25">
      <c r="C760" s="201"/>
      <c r="D760" s="198" t="s">
        <v>114</v>
      </c>
      <c r="H760" s="198" t="s">
        <v>114</v>
      </c>
      <c r="I760" s="202">
        <f t="shared" si="11"/>
        <v>317563510.04999959</v>
      </c>
      <c r="J760" s="202">
        <v>76.899999999999906</v>
      </c>
      <c r="L760" s="204">
        <v>2</v>
      </c>
      <c r="M760" s="202">
        <v>130000</v>
      </c>
      <c r="N760" s="204">
        <v>2</v>
      </c>
      <c r="O760" s="198" t="s">
        <v>51</v>
      </c>
      <c r="P760" s="202">
        <v>130000</v>
      </c>
      <c r="Q760" s="198" t="s">
        <v>73</v>
      </c>
      <c r="R760" s="198" t="s">
        <v>53</v>
      </c>
      <c r="S760" s="198" t="s">
        <v>54</v>
      </c>
      <c r="T760" s="198" t="s">
        <v>363</v>
      </c>
      <c r="U760" s="198" t="s">
        <v>2046</v>
      </c>
      <c r="V760" s="198" t="s">
        <v>56</v>
      </c>
      <c r="W760" s="198" t="s">
        <v>356</v>
      </c>
      <c r="X760" s="198" t="s">
        <v>57</v>
      </c>
      <c r="Y760" s="198" t="s">
        <v>58</v>
      </c>
      <c r="Z760" s="201">
        <v>46295</v>
      </c>
      <c r="AA760" s="198" t="s">
        <v>59</v>
      </c>
      <c r="AB760" s="198" t="s">
        <v>60</v>
      </c>
      <c r="AC760" s="198" t="s">
        <v>86</v>
      </c>
      <c r="AD760" s="198" t="s">
        <v>62</v>
      </c>
      <c r="AE760" s="198" t="s">
        <v>389</v>
      </c>
      <c r="AF760" s="198" t="s">
        <v>388</v>
      </c>
      <c r="AG760" s="198" t="s">
        <v>214</v>
      </c>
      <c r="AH760" s="198" t="s">
        <v>117</v>
      </c>
      <c r="AI760" s="198" t="s">
        <v>56</v>
      </c>
      <c r="AJ760" s="198" t="s">
        <v>2044</v>
      </c>
      <c r="AK760" s="198" t="s">
        <v>51</v>
      </c>
      <c r="AL760" s="198" t="s">
        <v>67</v>
      </c>
      <c r="AM760" s="198" t="s">
        <v>68</v>
      </c>
      <c r="AN760" s="202">
        <v>130000</v>
      </c>
      <c r="AO760" s="202">
        <v>130000</v>
      </c>
      <c r="AP760" s="202">
        <v>130000</v>
      </c>
      <c r="AQ760" s="198" t="s">
        <v>358</v>
      </c>
      <c r="AR760" s="198" t="s">
        <v>51</v>
      </c>
      <c r="AS760" s="202">
        <v>130000</v>
      </c>
      <c r="AT760" s="202">
        <v>130000</v>
      </c>
      <c r="AU760" s="198" t="s">
        <v>359</v>
      </c>
      <c r="AV760" s="198" t="s">
        <v>62</v>
      </c>
      <c r="AW760" s="198" t="s">
        <v>54</v>
      </c>
    </row>
    <row r="761" spans="3:49" outlineLevel="2" x14ac:dyDescent="0.25">
      <c r="C761" s="201"/>
      <c r="D761" s="198" t="s">
        <v>114</v>
      </c>
      <c r="H761" s="198" t="s">
        <v>114</v>
      </c>
      <c r="I761" s="202">
        <f t="shared" si="11"/>
        <v>317976466.49999958</v>
      </c>
      <c r="J761" s="202">
        <v>76.999999999999901</v>
      </c>
      <c r="L761" s="204">
        <v>2</v>
      </c>
      <c r="M761" s="202">
        <v>17000</v>
      </c>
      <c r="N761" s="204">
        <v>2</v>
      </c>
      <c r="O761" s="198" t="s">
        <v>51</v>
      </c>
      <c r="P761" s="202">
        <v>17000</v>
      </c>
      <c r="Q761" s="198" t="s">
        <v>73</v>
      </c>
      <c r="R761" s="198" t="s">
        <v>53</v>
      </c>
      <c r="S761" s="198" t="s">
        <v>54</v>
      </c>
      <c r="T761" s="198" t="s">
        <v>363</v>
      </c>
      <c r="U761" s="198" t="s">
        <v>2046</v>
      </c>
      <c r="V761" s="198" t="s">
        <v>56</v>
      </c>
      <c r="W761" s="198" t="s">
        <v>356</v>
      </c>
      <c r="X761" s="198" t="s">
        <v>57</v>
      </c>
      <c r="Y761" s="198" t="s">
        <v>58</v>
      </c>
      <c r="Z761" s="201">
        <v>46295</v>
      </c>
      <c r="AA761" s="198" t="s">
        <v>59</v>
      </c>
      <c r="AB761" s="198" t="s">
        <v>60</v>
      </c>
      <c r="AC761" s="198" t="s">
        <v>86</v>
      </c>
      <c r="AD761" s="198" t="s">
        <v>62</v>
      </c>
      <c r="AE761" s="198" t="s">
        <v>392</v>
      </c>
      <c r="AF761" s="198" t="s">
        <v>391</v>
      </c>
      <c r="AG761" s="198" t="s">
        <v>214</v>
      </c>
      <c r="AH761" s="198" t="s">
        <v>117</v>
      </c>
      <c r="AI761" s="198" t="s">
        <v>56</v>
      </c>
      <c r="AJ761" s="198" t="s">
        <v>128</v>
      </c>
      <c r="AK761" s="198" t="s">
        <v>51</v>
      </c>
      <c r="AL761" s="198" t="s">
        <v>67</v>
      </c>
      <c r="AM761" s="198" t="s">
        <v>68</v>
      </c>
      <c r="AN761" s="202">
        <v>17000</v>
      </c>
      <c r="AO761" s="202">
        <v>17000</v>
      </c>
      <c r="AP761" s="202">
        <v>17000</v>
      </c>
      <c r="AQ761" s="198" t="s">
        <v>358</v>
      </c>
      <c r="AR761" s="198" t="s">
        <v>51</v>
      </c>
      <c r="AS761" s="202">
        <v>17000</v>
      </c>
      <c r="AT761" s="202">
        <v>17000</v>
      </c>
      <c r="AU761" s="198" t="s">
        <v>359</v>
      </c>
      <c r="AV761" s="198" t="s">
        <v>62</v>
      </c>
      <c r="AW761" s="198" t="s">
        <v>54</v>
      </c>
    </row>
    <row r="762" spans="3:49" outlineLevel="2" x14ac:dyDescent="0.25">
      <c r="C762" s="201"/>
      <c r="D762" s="198" t="s">
        <v>114</v>
      </c>
      <c r="H762" s="198" t="s">
        <v>114</v>
      </c>
      <c r="I762" s="202">
        <f t="shared" si="11"/>
        <v>318389422.94999957</v>
      </c>
      <c r="J762" s="202">
        <v>77.099999999999895</v>
      </c>
      <c r="L762" s="204">
        <v>2</v>
      </c>
      <c r="M762" s="202">
        <v>15000</v>
      </c>
      <c r="N762" s="204">
        <v>2</v>
      </c>
      <c r="O762" s="198" t="s">
        <v>51</v>
      </c>
      <c r="P762" s="202">
        <v>15000</v>
      </c>
      <c r="Q762" s="198" t="s">
        <v>73</v>
      </c>
      <c r="R762" s="198" t="s">
        <v>53</v>
      </c>
      <c r="S762" s="198" t="s">
        <v>54</v>
      </c>
      <c r="T762" s="198" t="s">
        <v>363</v>
      </c>
      <c r="U762" s="198" t="s">
        <v>2046</v>
      </c>
      <c r="V762" s="198" t="s">
        <v>56</v>
      </c>
      <c r="W762" s="198" t="s">
        <v>356</v>
      </c>
      <c r="X762" s="198" t="s">
        <v>57</v>
      </c>
      <c r="Y762" s="198" t="s">
        <v>58</v>
      </c>
      <c r="Z762" s="201">
        <v>46295</v>
      </c>
      <c r="AA762" s="198" t="s">
        <v>59</v>
      </c>
      <c r="AB762" s="198" t="s">
        <v>60</v>
      </c>
      <c r="AC762" s="198" t="s">
        <v>86</v>
      </c>
      <c r="AD762" s="198" t="s">
        <v>62</v>
      </c>
      <c r="AE762" s="198" t="s">
        <v>394</v>
      </c>
      <c r="AF762" s="198" t="s">
        <v>393</v>
      </c>
      <c r="AG762" s="198" t="s">
        <v>214</v>
      </c>
      <c r="AH762" s="198" t="s">
        <v>117</v>
      </c>
      <c r="AI762" s="198" t="s">
        <v>56</v>
      </c>
      <c r="AJ762" s="198" t="s">
        <v>395</v>
      </c>
      <c r="AK762" s="198" t="s">
        <v>51</v>
      </c>
      <c r="AL762" s="198" t="s">
        <v>67</v>
      </c>
      <c r="AM762" s="198" t="s">
        <v>68</v>
      </c>
      <c r="AN762" s="202">
        <v>15000</v>
      </c>
      <c r="AO762" s="202">
        <v>15000</v>
      </c>
      <c r="AP762" s="202">
        <v>15000</v>
      </c>
      <c r="AQ762" s="198" t="s">
        <v>358</v>
      </c>
      <c r="AR762" s="198" t="s">
        <v>51</v>
      </c>
      <c r="AS762" s="202">
        <v>15000</v>
      </c>
      <c r="AT762" s="202">
        <v>15000</v>
      </c>
      <c r="AU762" s="198" t="s">
        <v>359</v>
      </c>
      <c r="AV762" s="198" t="s">
        <v>62</v>
      </c>
      <c r="AW762" s="198" t="s">
        <v>54</v>
      </c>
    </row>
    <row r="763" spans="3:49" outlineLevel="2" x14ac:dyDescent="0.25">
      <c r="C763" s="201"/>
      <c r="D763" s="198" t="s">
        <v>114</v>
      </c>
      <c r="H763" s="198" t="s">
        <v>114</v>
      </c>
      <c r="I763" s="202">
        <f t="shared" si="11"/>
        <v>318802379.39999962</v>
      </c>
      <c r="J763" s="202">
        <v>77.199999999999903</v>
      </c>
      <c r="L763" s="204">
        <v>2</v>
      </c>
      <c r="M763" s="202">
        <v>8000</v>
      </c>
      <c r="N763" s="204">
        <v>2</v>
      </c>
      <c r="O763" s="198" t="s">
        <v>51</v>
      </c>
      <c r="P763" s="202">
        <v>8000</v>
      </c>
      <c r="Q763" s="198" t="s">
        <v>73</v>
      </c>
      <c r="R763" s="198" t="s">
        <v>53</v>
      </c>
      <c r="S763" s="198" t="s">
        <v>54</v>
      </c>
      <c r="T763" s="198" t="s">
        <v>363</v>
      </c>
      <c r="U763" s="198" t="s">
        <v>2046</v>
      </c>
      <c r="V763" s="198" t="s">
        <v>56</v>
      </c>
      <c r="W763" s="198" t="s">
        <v>356</v>
      </c>
      <c r="X763" s="198" t="s">
        <v>57</v>
      </c>
      <c r="Y763" s="198" t="s">
        <v>58</v>
      </c>
      <c r="Z763" s="201">
        <v>46295</v>
      </c>
      <c r="AA763" s="198" t="s">
        <v>59</v>
      </c>
      <c r="AB763" s="198" t="s">
        <v>60</v>
      </c>
      <c r="AC763" s="198" t="s">
        <v>86</v>
      </c>
      <c r="AD763" s="198" t="s">
        <v>62</v>
      </c>
      <c r="AE763" s="198" t="s">
        <v>397</v>
      </c>
      <c r="AF763" s="198" t="s">
        <v>396</v>
      </c>
      <c r="AG763" s="198" t="s">
        <v>214</v>
      </c>
      <c r="AH763" s="198" t="s">
        <v>117</v>
      </c>
      <c r="AI763" s="198" t="s">
        <v>56</v>
      </c>
      <c r="AJ763" s="198" t="s">
        <v>398</v>
      </c>
      <c r="AK763" s="198" t="s">
        <v>51</v>
      </c>
      <c r="AL763" s="198" t="s">
        <v>67</v>
      </c>
      <c r="AM763" s="198" t="s">
        <v>68</v>
      </c>
      <c r="AN763" s="202">
        <v>8000</v>
      </c>
      <c r="AO763" s="202">
        <v>8000</v>
      </c>
      <c r="AP763" s="202">
        <v>8000</v>
      </c>
      <c r="AQ763" s="198" t="s">
        <v>358</v>
      </c>
      <c r="AR763" s="198" t="s">
        <v>51</v>
      </c>
      <c r="AS763" s="202">
        <v>8000</v>
      </c>
      <c r="AT763" s="202">
        <v>8000</v>
      </c>
      <c r="AU763" s="198" t="s">
        <v>359</v>
      </c>
      <c r="AV763" s="198" t="s">
        <v>62</v>
      </c>
      <c r="AW763" s="198" t="s">
        <v>54</v>
      </c>
    </row>
    <row r="764" spans="3:49" outlineLevel="2" x14ac:dyDescent="0.25">
      <c r="C764" s="201"/>
      <c r="D764" s="198" t="s">
        <v>114</v>
      </c>
      <c r="H764" s="198" t="s">
        <v>114</v>
      </c>
      <c r="I764" s="202">
        <f t="shared" si="11"/>
        <v>319215335.84999961</v>
      </c>
      <c r="J764" s="202">
        <v>77.299999999999898</v>
      </c>
      <c r="L764" s="204">
        <v>2</v>
      </c>
      <c r="M764" s="202">
        <v>44000</v>
      </c>
      <c r="N764" s="204">
        <v>2</v>
      </c>
      <c r="O764" s="198" t="s">
        <v>51</v>
      </c>
      <c r="P764" s="202">
        <v>44000</v>
      </c>
      <c r="Q764" s="198" t="s">
        <v>73</v>
      </c>
      <c r="R764" s="198" t="s">
        <v>53</v>
      </c>
      <c r="S764" s="198" t="s">
        <v>54</v>
      </c>
      <c r="T764" s="198" t="s">
        <v>363</v>
      </c>
      <c r="U764" s="198" t="s">
        <v>2046</v>
      </c>
      <c r="V764" s="198" t="s">
        <v>56</v>
      </c>
      <c r="W764" s="198" t="s">
        <v>356</v>
      </c>
      <c r="X764" s="198" t="s">
        <v>57</v>
      </c>
      <c r="Y764" s="198" t="s">
        <v>58</v>
      </c>
      <c r="Z764" s="201">
        <v>46295</v>
      </c>
      <c r="AA764" s="198" t="s">
        <v>59</v>
      </c>
      <c r="AB764" s="198" t="s">
        <v>60</v>
      </c>
      <c r="AC764" s="198" t="s">
        <v>86</v>
      </c>
      <c r="AD764" s="198" t="s">
        <v>62</v>
      </c>
      <c r="AE764" s="198" t="s">
        <v>400</v>
      </c>
      <c r="AF764" s="198" t="s">
        <v>399</v>
      </c>
      <c r="AG764" s="198" t="s">
        <v>214</v>
      </c>
      <c r="AH764" s="198" t="s">
        <v>117</v>
      </c>
      <c r="AI764" s="198" t="s">
        <v>56</v>
      </c>
      <c r="AJ764" s="198" t="s">
        <v>344</v>
      </c>
      <c r="AK764" s="198" t="s">
        <v>51</v>
      </c>
      <c r="AL764" s="198" t="s">
        <v>67</v>
      </c>
      <c r="AM764" s="198" t="s">
        <v>68</v>
      </c>
      <c r="AN764" s="202">
        <v>44000</v>
      </c>
      <c r="AO764" s="202">
        <v>44000</v>
      </c>
      <c r="AP764" s="202">
        <v>44000</v>
      </c>
      <c r="AQ764" s="198" t="s">
        <v>358</v>
      </c>
      <c r="AR764" s="198" t="s">
        <v>51</v>
      </c>
      <c r="AS764" s="202">
        <v>44000</v>
      </c>
      <c r="AT764" s="202">
        <v>44000</v>
      </c>
      <c r="AU764" s="198" t="s">
        <v>359</v>
      </c>
      <c r="AV764" s="198" t="s">
        <v>62</v>
      </c>
      <c r="AW764" s="198" t="s">
        <v>54</v>
      </c>
    </row>
    <row r="765" spans="3:49" outlineLevel="2" x14ac:dyDescent="0.25">
      <c r="C765" s="201"/>
      <c r="D765" s="198" t="s">
        <v>114</v>
      </c>
      <c r="H765" s="198" t="s">
        <v>114</v>
      </c>
      <c r="I765" s="202">
        <f t="shared" si="11"/>
        <v>319628292.29999959</v>
      </c>
      <c r="J765" s="202">
        <v>77.399999999999906</v>
      </c>
      <c r="L765" s="204">
        <v>2</v>
      </c>
      <c r="M765" s="202">
        <v>8000</v>
      </c>
      <c r="N765" s="204">
        <v>2</v>
      </c>
      <c r="O765" s="198" t="s">
        <v>51</v>
      </c>
      <c r="P765" s="202">
        <v>8000</v>
      </c>
      <c r="Q765" s="198" t="s">
        <v>73</v>
      </c>
      <c r="R765" s="198" t="s">
        <v>53</v>
      </c>
      <c r="S765" s="198" t="s">
        <v>54</v>
      </c>
      <c r="T765" s="198" t="s">
        <v>363</v>
      </c>
      <c r="U765" s="198" t="s">
        <v>2046</v>
      </c>
      <c r="V765" s="198" t="s">
        <v>56</v>
      </c>
      <c r="W765" s="198" t="s">
        <v>356</v>
      </c>
      <c r="X765" s="198" t="s">
        <v>57</v>
      </c>
      <c r="Y765" s="198" t="s">
        <v>58</v>
      </c>
      <c r="Z765" s="201">
        <v>46295</v>
      </c>
      <c r="AA765" s="198" t="s">
        <v>59</v>
      </c>
      <c r="AB765" s="198" t="s">
        <v>60</v>
      </c>
      <c r="AC765" s="198" t="s">
        <v>86</v>
      </c>
      <c r="AD765" s="198" t="s">
        <v>62</v>
      </c>
      <c r="AE765" s="198" t="s">
        <v>402</v>
      </c>
      <c r="AF765" s="198" t="s">
        <v>401</v>
      </c>
      <c r="AG765" s="198" t="s">
        <v>214</v>
      </c>
      <c r="AH765" s="198" t="s">
        <v>117</v>
      </c>
      <c r="AI765" s="198" t="s">
        <v>56</v>
      </c>
      <c r="AJ765" s="198" t="s">
        <v>403</v>
      </c>
      <c r="AK765" s="198" t="s">
        <v>51</v>
      </c>
      <c r="AL765" s="198" t="s">
        <v>67</v>
      </c>
      <c r="AM765" s="198" t="s">
        <v>68</v>
      </c>
      <c r="AN765" s="202">
        <v>8000</v>
      </c>
      <c r="AO765" s="202">
        <v>8000</v>
      </c>
      <c r="AP765" s="202">
        <v>8000</v>
      </c>
      <c r="AQ765" s="198" t="s">
        <v>358</v>
      </c>
      <c r="AR765" s="198" t="s">
        <v>51</v>
      </c>
      <c r="AS765" s="202">
        <v>8000</v>
      </c>
      <c r="AT765" s="202">
        <v>8000</v>
      </c>
      <c r="AU765" s="198" t="s">
        <v>359</v>
      </c>
      <c r="AV765" s="198" t="s">
        <v>62</v>
      </c>
      <c r="AW765" s="198" t="s">
        <v>54</v>
      </c>
    </row>
    <row r="766" spans="3:49" outlineLevel="2" x14ac:dyDescent="0.25">
      <c r="C766" s="201"/>
      <c r="D766" s="198" t="s">
        <v>114</v>
      </c>
      <c r="H766" s="198" t="s">
        <v>114</v>
      </c>
      <c r="I766" s="202">
        <f t="shared" si="11"/>
        <v>320041248.74999958</v>
      </c>
      <c r="J766" s="202">
        <v>77.499999999999901</v>
      </c>
      <c r="L766" s="204">
        <v>2</v>
      </c>
      <c r="M766" s="202">
        <v>8000</v>
      </c>
      <c r="N766" s="204">
        <v>2</v>
      </c>
      <c r="O766" s="198" t="s">
        <v>51</v>
      </c>
      <c r="P766" s="202">
        <v>8000</v>
      </c>
      <c r="Q766" s="198" t="s">
        <v>73</v>
      </c>
      <c r="R766" s="198" t="s">
        <v>53</v>
      </c>
      <c r="S766" s="198" t="s">
        <v>54</v>
      </c>
      <c r="T766" s="198" t="s">
        <v>363</v>
      </c>
      <c r="U766" s="198" t="s">
        <v>2046</v>
      </c>
      <c r="V766" s="198" t="s">
        <v>56</v>
      </c>
      <c r="W766" s="198" t="s">
        <v>356</v>
      </c>
      <c r="X766" s="198" t="s">
        <v>57</v>
      </c>
      <c r="Y766" s="198" t="s">
        <v>58</v>
      </c>
      <c r="Z766" s="201">
        <v>46295</v>
      </c>
      <c r="AA766" s="198" t="s">
        <v>59</v>
      </c>
      <c r="AB766" s="198" t="s">
        <v>60</v>
      </c>
      <c r="AC766" s="198" t="s">
        <v>86</v>
      </c>
      <c r="AD766" s="198" t="s">
        <v>62</v>
      </c>
      <c r="AE766" s="198" t="s">
        <v>405</v>
      </c>
      <c r="AF766" s="198" t="s">
        <v>404</v>
      </c>
      <c r="AG766" s="198" t="s">
        <v>214</v>
      </c>
      <c r="AH766" s="198" t="s">
        <v>117</v>
      </c>
      <c r="AI766" s="198" t="s">
        <v>56</v>
      </c>
      <c r="AJ766" s="198" t="s">
        <v>406</v>
      </c>
      <c r="AK766" s="198" t="s">
        <v>51</v>
      </c>
      <c r="AL766" s="198" t="s">
        <v>67</v>
      </c>
      <c r="AM766" s="198" t="s">
        <v>68</v>
      </c>
      <c r="AN766" s="202">
        <v>8000</v>
      </c>
      <c r="AO766" s="202">
        <v>8000</v>
      </c>
      <c r="AP766" s="202">
        <v>8000</v>
      </c>
      <c r="AQ766" s="198" t="s">
        <v>358</v>
      </c>
      <c r="AR766" s="198" t="s">
        <v>51</v>
      </c>
      <c r="AS766" s="202">
        <v>8000</v>
      </c>
      <c r="AT766" s="202">
        <v>8000</v>
      </c>
      <c r="AU766" s="198" t="s">
        <v>359</v>
      </c>
      <c r="AV766" s="198" t="s">
        <v>62</v>
      </c>
      <c r="AW766" s="198" t="s">
        <v>54</v>
      </c>
    </row>
    <row r="767" spans="3:49" outlineLevel="2" x14ac:dyDescent="0.25">
      <c r="C767" s="201"/>
      <c r="D767" s="198" t="s">
        <v>114</v>
      </c>
      <c r="H767" s="198" t="s">
        <v>114</v>
      </c>
      <c r="I767" s="202">
        <f t="shared" si="11"/>
        <v>320454205.19999957</v>
      </c>
      <c r="J767" s="202">
        <v>77.599999999999895</v>
      </c>
      <c r="L767" s="204">
        <v>1</v>
      </c>
      <c r="M767" s="202">
        <v>7000</v>
      </c>
      <c r="N767" s="204">
        <v>1</v>
      </c>
      <c r="O767" s="198" t="s">
        <v>51</v>
      </c>
      <c r="P767" s="202">
        <v>7000</v>
      </c>
      <c r="Q767" s="198" t="s">
        <v>73</v>
      </c>
      <c r="R767" s="198" t="s">
        <v>53</v>
      </c>
      <c r="S767" s="198" t="s">
        <v>54</v>
      </c>
      <c r="T767" s="198" t="s">
        <v>363</v>
      </c>
      <c r="U767" s="198" t="s">
        <v>2046</v>
      </c>
      <c r="V767" s="198" t="s">
        <v>56</v>
      </c>
      <c r="W767" s="198" t="s">
        <v>356</v>
      </c>
      <c r="X767" s="198" t="s">
        <v>57</v>
      </c>
      <c r="Y767" s="198" t="s">
        <v>58</v>
      </c>
      <c r="Z767" s="201">
        <v>46295</v>
      </c>
      <c r="AA767" s="198" t="s">
        <v>59</v>
      </c>
      <c r="AB767" s="198" t="s">
        <v>60</v>
      </c>
      <c r="AC767" s="198" t="s">
        <v>86</v>
      </c>
      <c r="AD767" s="198" t="s">
        <v>62</v>
      </c>
      <c r="AE767" s="198" t="s">
        <v>408</v>
      </c>
      <c r="AF767" s="198" t="s">
        <v>407</v>
      </c>
      <c r="AG767" s="198" t="s">
        <v>214</v>
      </c>
      <c r="AH767" s="198" t="s">
        <v>117</v>
      </c>
      <c r="AI767" s="198" t="s">
        <v>56</v>
      </c>
      <c r="AJ767" s="198" t="s">
        <v>409</v>
      </c>
      <c r="AK767" s="198" t="s">
        <v>51</v>
      </c>
      <c r="AL767" s="198" t="s">
        <v>67</v>
      </c>
      <c r="AM767" s="198" t="s">
        <v>68</v>
      </c>
      <c r="AN767" s="202">
        <v>7000</v>
      </c>
      <c r="AO767" s="202">
        <v>7000</v>
      </c>
      <c r="AP767" s="202">
        <v>7000</v>
      </c>
      <c r="AQ767" s="198" t="s">
        <v>358</v>
      </c>
      <c r="AR767" s="198" t="s">
        <v>51</v>
      </c>
      <c r="AS767" s="202">
        <v>7000</v>
      </c>
      <c r="AT767" s="202">
        <v>7000</v>
      </c>
      <c r="AU767" s="198" t="s">
        <v>359</v>
      </c>
      <c r="AV767" s="198" t="s">
        <v>62</v>
      </c>
      <c r="AW767" s="198" t="s">
        <v>54</v>
      </c>
    </row>
    <row r="768" spans="3:49" outlineLevel="2" x14ac:dyDescent="0.25">
      <c r="C768" s="201"/>
      <c r="D768" s="198" t="s">
        <v>114</v>
      </c>
      <c r="H768" s="198" t="s">
        <v>114</v>
      </c>
      <c r="I768" s="202">
        <f t="shared" si="11"/>
        <v>320867161.64999962</v>
      </c>
      <c r="J768" s="202">
        <v>77.699999999999903</v>
      </c>
      <c r="L768" s="204">
        <v>2</v>
      </c>
      <c r="M768" s="202">
        <v>280000</v>
      </c>
      <c r="N768" s="204">
        <v>2</v>
      </c>
      <c r="O768" s="198" t="s">
        <v>51</v>
      </c>
      <c r="P768" s="202">
        <v>280000</v>
      </c>
      <c r="Q768" s="198" t="s">
        <v>73</v>
      </c>
      <c r="R768" s="198" t="s">
        <v>53</v>
      </c>
      <c r="S768" s="198" t="s">
        <v>54</v>
      </c>
      <c r="T768" s="198" t="s">
        <v>363</v>
      </c>
      <c r="U768" s="198" t="s">
        <v>2046</v>
      </c>
      <c r="V768" s="198" t="s">
        <v>56</v>
      </c>
      <c r="W768" s="198" t="s">
        <v>356</v>
      </c>
      <c r="X768" s="198" t="s">
        <v>57</v>
      </c>
      <c r="Y768" s="198" t="s">
        <v>58</v>
      </c>
      <c r="Z768" s="201">
        <v>46295</v>
      </c>
      <c r="AA768" s="198" t="s">
        <v>59</v>
      </c>
      <c r="AB768" s="198" t="s">
        <v>60</v>
      </c>
      <c r="AC768" s="198" t="s">
        <v>86</v>
      </c>
      <c r="AD768" s="198" t="s">
        <v>62</v>
      </c>
      <c r="AE768" s="198" t="s">
        <v>411</v>
      </c>
      <c r="AF768" s="198" t="s">
        <v>410</v>
      </c>
      <c r="AG768" s="198" t="s">
        <v>214</v>
      </c>
      <c r="AH768" s="198" t="s">
        <v>117</v>
      </c>
      <c r="AI768" s="198" t="s">
        <v>56</v>
      </c>
      <c r="AJ768" s="198" t="s">
        <v>412</v>
      </c>
      <c r="AK768" s="198" t="s">
        <v>51</v>
      </c>
      <c r="AL768" s="198" t="s">
        <v>67</v>
      </c>
      <c r="AM768" s="198" t="s">
        <v>68</v>
      </c>
      <c r="AN768" s="202">
        <v>280000</v>
      </c>
      <c r="AO768" s="202">
        <v>280000</v>
      </c>
      <c r="AP768" s="202">
        <v>280000</v>
      </c>
      <c r="AQ768" s="198" t="s">
        <v>358</v>
      </c>
      <c r="AR768" s="198" t="s">
        <v>51</v>
      </c>
      <c r="AS768" s="202">
        <v>280000</v>
      </c>
      <c r="AT768" s="202">
        <v>280000</v>
      </c>
      <c r="AU768" s="198" t="s">
        <v>359</v>
      </c>
      <c r="AV768" s="198" t="s">
        <v>62</v>
      </c>
      <c r="AW768" s="198" t="s">
        <v>54</v>
      </c>
    </row>
    <row r="769" spans="3:49" outlineLevel="2" x14ac:dyDescent="0.25">
      <c r="C769" s="201"/>
      <c r="D769" s="198" t="s">
        <v>114</v>
      </c>
      <c r="H769" s="198" t="s">
        <v>114</v>
      </c>
      <c r="I769" s="202">
        <f t="shared" si="11"/>
        <v>321280118.09999961</v>
      </c>
      <c r="J769" s="202">
        <v>77.799999999999898</v>
      </c>
      <c r="L769" s="204">
        <v>1</v>
      </c>
      <c r="M769" s="202">
        <v>300000</v>
      </c>
      <c r="N769" s="204">
        <v>1</v>
      </c>
      <c r="O769" s="198" t="s">
        <v>51</v>
      </c>
      <c r="P769" s="202">
        <v>300000</v>
      </c>
      <c r="Q769" s="198" t="s">
        <v>73</v>
      </c>
      <c r="R769" s="198" t="s">
        <v>53</v>
      </c>
      <c r="S769" s="198" t="s">
        <v>54</v>
      </c>
      <c r="T769" s="198" t="s">
        <v>363</v>
      </c>
      <c r="U769" s="198" t="s">
        <v>2046</v>
      </c>
      <c r="V769" s="198" t="s">
        <v>56</v>
      </c>
      <c r="W769" s="198" t="s">
        <v>356</v>
      </c>
      <c r="X769" s="198" t="s">
        <v>57</v>
      </c>
      <c r="Y769" s="198" t="s">
        <v>58</v>
      </c>
      <c r="Z769" s="201">
        <v>46295</v>
      </c>
      <c r="AA769" s="198" t="s">
        <v>59</v>
      </c>
      <c r="AB769" s="198" t="s">
        <v>60</v>
      </c>
      <c r="AC769" s="198" t="s">
        <v>86</v>
      </c>
      <c r="AD769" s="198" t="s">
        <v>62</v>
      </c>
      <c r="AE769" s="198" t="s">
        <v>414</v>
      </c>
      <c r="AF769" s="198" t="s">
        <v>413</v>
      </c>
      <c r="AG769" s="198" t="s">
        <v>214</v>
      </c>
      <c r="AH769" s="198" t="s">
        <v>117</v>
      </c>
      <c r="AI769" s="198" t="s">
        <v>56</v>
      </c>
      <c r="AJ769" s="198" t="s">
        <v>395</v>
      </c>
      <c r="AK769" s="198" t="s">
        <v>51</v>
      </c>
      <c r="AL769" s="198" t="s">
        <v>67</v>
      </c>
      <c r="AM769" s="198" t="s">
        <v>68</v>
      </c>
      <c r="AN769" s="202">
        <v>300000</v>
      </c>
      <c r="AO769" s="202">
        <v>300000</v>
      </c>
      <c r="AP769" s="202">
        <v>300000</v>
      </c>
      <c r="AQ769" s="198" t="s">
        <v>358</v>
      </c>
      <c r="AR769" s="198" t="s">
        <v>51</v>
      </c>
      <c r="AS769" s="202">
        <v>300000</v>
      </c>
      <c r="AT769" s="202">
        <v>300000</v>
      </c>
      <c r="AU769" s="198" t="s">
        <v>359</v>
      </c>
      <c r="AV769" s="198" t="s">
        <v>62</v>
      </c>
      <c r="AW769" s="198" t="s">
        <v>54</v>
      </c>
    </row>
    <row r="770" spans="3:49" outlineLevel="2" x14ac:dyDescent="0.25">
      <c r="C770" s="201"/>
      <c r="D770" s="198" t="s">
        <v>114</v>
      </c>
      <c r="H770" s="198" t="s">
        <v>114</v>
      </c>
      <c r="I770" s="202">
        <f t="shared" si="11"/>
        <v>321693074.54999959</v>
      </c>
      <c r="J770" s="202">
        <v>77.899999999999906</v>
      </c>
      <c r="L770" s="204">
        <v>1</v>
      </c>
      <c r="M770" s="202">
        <v>3200000</v>
      </c>
      <c r="N770" s="204">
        <v>1</v>
      </c>
      <c r="O770" s="198" t="s">
        <v>51</v>
      </c>
      <c r="P770" s="202">
        <v>3200000</v>
      </c>
      <c r="Q770" s="198" t="s">
        <v>335</v>
      </c>
      <c r="R770" s="198" t="s">
        <v>53</v>
      </c>
      <c r="S770" s="198" t="s">
        <v>54</v>
      </c>
      <c r="T770" s="198" t="s">
        <v>363</v>
      </c>
      <c r="U770" s="198" t="s">
        <v>2046</v>
      </c>
      <c r="V770" s="198" t="s">
        <v>56</v>
      </c>
      <c r="W770" s="198" t="s">
        <v>356</v>
      </c>
      <c r="X770" s="198" t="s">
        <v>57</v>
      </c>
      <c r="Y770" s="198" t="s">
        <v>58</v>
      </c>
      <c r="Z770" s="201">
        <v>46295</v>
      </c>
      <c r="AA770" s="198" t="s">
        <v>59</v>
      </c>
      <c r="AB770" s="198" t="s">
        <v>60</v>
      </c>
      <c r="AC770" s="198" t="s">
        <v>86</v>
      </c>
      <c r="AD770" s="198" t="s">
        <v>62</v>
      </c>
      <c r="AE770" s="198" t="s">
        <v>416</v>
      </c>
      <c r="AF770" s="198" t="s">
        <v>415</v>
      </c>
      <c r="AG770" s="198" t="s">
        <v>214</v>
      </c>
      <c r="AH770" s="198" t="s">
        <v>117</v>
      </c>
      <c r="AI770" s="198" t="s">
        <v>56</v>
      </c>
      <c r="AJ770" s="198" t="s">
        <v>118</v>
      </c>
      <c r="AK770" s="198" t="s">
        <v>51</v>
      </c>
      <c r="AL770" s="198" t="s">
        <v>67</v>
      </c>
      <c r="AM770" s="198" t="s">
        <v>68</v>
      </c>
      <c r="AN770" s="202">
        <v>3200000</v>
      </c>
      <c r="AO770" s="202">
        <v>3200000</v>
      </c>
      <c r="AP770" s="202">
        <v>3200000</v>
      </c>
      <c r="AQ770" s="198" t="s">
        <v>358</v>
      </c>
      <c r="AR770" s="198" t="s">
        <v>51</v>
      </c>
      <c r="AS770" s="202">
        <v>3200000</v>
      </c>
      <c r="AT770" s="202">
        <v>3200000</v>
      </c>
      <c r="AU770" s="198" t="s">
        <v>359</v>
      </c>
      <c r="AV770" s="198" t="s">
        <v>62</v>
      </c>
      <c r="AW770" s="198" t="s">
        <v>54</v>
      </c>
    </row>
    <row r="771" spans="3:49" outlineLevel="2" x14ac:dyDescent="0.25">
      <c r="C771" s="201"/>
      <c r="D771" s="198" t="s">
        <v>114</v>
      </c>
      <c r="H771" s="198" t="s">
        <v>114</v>
      </c>
      <c r="I771" s="202">
        <f t="shared" ref="I771:I834" si="12">J771*4129564.5</f>
        <v>322106030.99999958</v>
      </c>
      <c r="J771" s="202">
        <v>77.999999999999901</v>
      </c>
      <c r="L771" s="204">
        <v>4</v>
      </c>
      <c r="M771" s="202">
        <v>480000</v>
      </c>
      <c r="N771" s="204">
        <v>4</v>
      </c>
      <c r="O771" s="198" t="s">
        <v>51</v>
      </c>
      <c r="P771" s="202">
        <v>480000</v>
      </c>
      <c r="Q771" s="198" t="s">
        <v>73</v>
      </c>
      <c r="R771" s="198" t="s">
        <v>53</v>
      </c>
      <c r="S771" s="198" t="s">
        <v>54</v>
      </c>
      <c r="T771" s="198" t="s">
        <v>363</v>
      </c>
      <c r="U771" s="198" t="s">
        <v>2046</v>
      </c>
      <c r="V771" s="198" t="s">
        <v>56</v>
      </c>
      <c r="W771" s="198" t="s">
        <v>356</v>
      </c>
      <c r="X771" s="198" t="s">
        <v>57</v>
      </c>
      <c r="Y771" s="198" t="s">
        <v>58</v>
      </c>
      <c r="Z771" s="201">
        <v>46295</v>
      </c>
      <c r="AA771" s="198" t="s">
        <v>59</v>
      </c>
      <c r="AB771" s="198" t="s">
        <v>60</v>
      </c>
      <c r="AC771" s="198" t="s">
        <v>86</v>
      </c>
      <c r="AD771" s="198" t="s">
        <v>62</v>
      </c>
      <c r="AE771" s="198" t="s">
        <v>418</v>
      </c>
      <c r="AF771" s="198" t="s">
        <v>417</v>
      </c>
      <c r="AG771" s="198" t="s">
        <v>214</v>
      </c>
      <c r="AH771" s="198" t="s">
        <v>117</v>
      </c>
      <c r="AI771" s="198" t="s">
        <v>56</v>
      </c>
      <c r="AJ771" s="198" t="s">
        <v>419</v>
      </c>
      <c r="AK771" s="198" t="s">
        <v>51</v>
      </c>
      <c r="AL771" s="198" t="s">
        <v>67</v>
      </c>
      <c r="AM771" s="198" t="s">
        <v>68</v>
      </c>
      <c r="AN771" s="202">
        <v>480000</v>
      </c>
      <c r="AO771" s="202">
        <v>480000</v>
      </c>
      <c r="AP771" s="202">
        <v>480000</v>
      </c>
      <c r="AQ771" s="198" t="s">
        <v>358</v>
      </c>
      <c r="AR771" s="198" t="s">
        <v>51</v>
      </c>
      <c r="AS771" s="202">
        <v>480000</v>
      </c>
      <c r="AT771" s="202">
        <v>480000</v>
      </c>
      <c r="AU771" s="198" t="s">
        <v>359</v>
      </c>
      <c r="AV771" s="198" t="s">
        <v>62</v>
      </c>
      <c r="AW771" s="198" t="s">
        <v>54</v>
      </c>
    </row>
    <row r="772" spans="3:49" outlineLevel="2" x14ac:dyDescent="0.25">
      <c r="C772" s="201"/>
      <c r="D772" s="198" t="s">
        <v>114</v>
      </c>
      <c r="H772" s="198" t="s">
        <v>114</v>
      </c>
      <c r="I772" s="202">
        <f t="shared" si="12"/>
        <v>322518987.44999957</v>
      </c>
      <c r="J772" s="202">
        <v>78.099999999999895</v>
      </c>
      <c r="L772" s="204">
        <v>4</v>
      </c>
      <c r="M772" s="202">
        <v>192000</v>
      </c>
      <c r="N772" s="204">
        <v>4</v>
      </c>
      <c r="O772" s="198" t="s">
        <v>51</v>
      </c>
      <c r="P772" s="202">
        <v>192000</v>
      </c>
      <c r="Q772" s="198" t="s">
        <v>73</v>
      </c>
      <c r="R772" s="198" t="s">
        <v>53</v>
      </c>
      <c r="S772" s="198" t="s">
        <v>54</v>
      </c>
      <c r="T772" s="198" t="s">
        <v>363</v>
      </c>
      <c r="U772" s="198" t="s">
        <v>2046</v>
      </c>
      <c r="V772" s="198" t="s">
        <v>56</v>
      </c>
      <c r="W772" s="198" t="s">
        <v>356</v>
      </c>
      <c r="X772" s="198" t="s">
        <v>57</v>
      </c>
      <c r="Y772" s="198" t="s">
        <v>58</v>
      </c>
      <c r="Z772" s="201">
        <v>46295</v>
      </c>
      <c r="AA772" s="198" t="s">
        <v>59</v>
      </c>
      <c r="AB772" s="198" t="s">
        <v>60</v>
      </c>
      <c r="AC772" s="198" t="s">
        <v>86</v>
      </c>
      <c r="AD772" s="198" t="s">
        <v>62</v>
      </c>
      <c r="AE772" s="198" t="s">
        <v>420</v>
      </c>
      <c r="AF772" s="198" t="s">
        <v>417</v>
      </c>
      <c r="AG772" s="198" t="s">
        <v>214</v>
      </c>
      <c r="AH772" s="198" t="s">
        <v>117</v>
      </c>
      <c r="AI772" s="198" t="s">
        <v>56</v>
      </c>
      <c r="AJ772" s="198" t="s">
        <v>419</v>
      </c>
      <c r="AK772" s="198" t="s">
        <v>51</v>
      </c>
      <c r="AL772" s="198" t="s">
        <v>67</v>
      </c>
      <c r="AM772" s="198" t="s">
        <v>68</v>
      </c>
      <c r="AN772" s="202">
        <v>192000</v>
      </c>
      <c r="AO772" s="202">
        <v>192000</v>
      </c>
      <c r="AP772" s="202">
        <v>192000</v>
      </c>
      <c r="AQ772" s="198" t="s">
        <v>358</v>
      </c>
      <c r="AR772" s="198" t="s">
        <v>51</v>
      </c>
      <c r="AS772" s="202">
        <v>192000</v>
      </c>
      <c r="AT772" s="202">
        <v>192000</v>
      </c>
      <c r="AU772" s="198" t="s">
        <v>359</v>
      </c>
      <c r="AV772" s="198" t="s">
        <v>62</v>
      </c>
      <c r="AW772" s="198" t="s">
        <v>54</v>
      </c>
    </row>
    <row r="773" spans="3:49" outlineLevel="2" x14ac:dyDescent="0.25">
      <c r="C773" s="201"/>
      <c r="D773" s="198" t="s">
        <v>114</v>
      </c>
      <c r="H773" s="198" t="s">
        <v>114</v>
      </c>
      <c r="I773" s="202">
        <f t="shared" si="12"/>
        <v>322931943.89999962</v>
      </c>
      <c r="J773" s="202">
        <v>78.199999999999903</v>
      </c>
      <c r="L773" s="204">
        <v>2</v>
      </c>
      <c r="M773" s="202">
        <v>130000</v>
      </c>
      <c r="N773" s="204">
        <v>2</v>
      </c>
      <c r="O773" s="198" t="s">
        <v>51</v>
      </c>
      <c r="P773" s="202">
        <v>130000</v>
      </c>
      <c r="Q773" s="198" t="s">
        <v>73</v>
      </c>
      <c r="R773" s="198" t="s">
        <v>53</v>
      </c>
      <c r="S773" s="198" t="s">
        <v>54</v>
      </c>
      <c r="T773" s="198" t="s">
        <v>363</v>
      </c>
      <c r="U773" s="198" t="s">
        <v>2046</v>
      </c>
      <c r="V773" s="198" t="s">
        <v>56</v>
      </c>
      <c r="W773" s="198" t="s">
        <v>356</v>
      </c>
      <c r="X773" s="198" t="s">
        <v>57</v>
      </c>
      <c r="Y773" s="198" t="s">
        <v>58</v>
      </c>
      <c r="Z773" s="201">
        <v>46295</v>
      </c>
      <c r="AA773" s="198" t="s">
        <v>59</v>
      </c>
      <c r="AB773" s="198" t="s">
        <v>60</v>
      </c>
      <c r="AC773" s="198" t="s">
        <v>86</v>
      </c>
      <c r="AD773" s="198" t="s">
        <v>62</v>
      </c>
      <c r="AE773" s="198" t="s">
        <v>422</v>
      </c>
      <c r="AF773" s="198" t="s">
        <v>421</v>
      </c>
      <c r="AG773" s="198" t="s">
        <v>214</v>
      </c>
      <c r="AH773" s="198" t="s">
        <v>117</v>
      </c>
      <c r="AI773" s="198" t="s">
        <v>56</v>
      </c>
      <c r="AJ773" s="198" t="s">
        <v>423</v>
      </c>
      <c r="AK773" s="198" t="s">
        <v>51</v>
      </c>
      <c r="AL773" s="198" t="s">
        <v>67</v>
      </c>
      <c r="AM773" s="198" t="s">
        <v>68</v>
      </c>
      <c r="AN773" s="202">
        <v>130000</v>
      </c>
      <c r="AO773" s="202">
        <v>130000</v>
      </c>
      <c r="AP773" s="202">
        <v>130000</v>
      </c>
      <c r="AQ773" s="198" t="s">
        <v>358</v>
      </c>
      <c r="AR773" s="198" t="s">
        <v>51</v>
      </c>
      <c r="AS773" s="202">
        <v>130000</v>
      </c>
      <c r="AT773" s="202">
        <v>130000</v>
      </c>
      <c r="AU773" s="198" t="s">
        <v>359</v>
      </c>
      <c r="AV773" s="198" t="s">
        <v>62</v>
      </c>
      <c r="AW773" s="198" t="s">
        <v>54</v>
      </c>
    </row>
    <row r="774" spans="3:49" outlineLevel="2" x14ac:dyDescent="0.25">
      <c r="C774" s="201"/>
      <c r="D774" s="198" t="s">
        <v>114</v>
      </c>
      <c r="H774" s="198" t="s">
        <v>114</v>
      </c>
      <c r="I774" s="202">
        <f t="shared" si="12"/>
        <v>323344900.34999961</v>
      </c>
      <c r="J774" s="202">
        <v>78.299999999999898</v>
      </c>
      <c r="L774" s="204">
        <v>4</v>
      </c>
      <c r="M774" s="202">
        <v>80000</v>
      </c>
      <c r="N774" s="204">
        <v>4</v>
      </c>
      <c r="O774" s="198" t="s">
        <v>51</v>
      </c>
      <c r="P774" s="202">
        <v>80000</v>
      </c>
      <c r="Q774" s="198" t="s">
        <v>342</v>
      </c>
      <c r="R774" s="198" t="s">
        <v>53</v>
      </c>
      <c r="S774" s="198" t="s">
        <v>54</v>
      </c>
      <c r="T774" s="198" t="s">
        <v>363</v>
      </c>
      <c r="U774" s="198" t="s">
        <v>2046</v>
      </c>
      <c r="V774" s="198" t="s">
        <v>56</v>
      </c>
      <c r="W774" s="198" t="s">
        <v>356</v>
      </c>
      <c r="X774" s="198" t="s">
        <v>57</v>
      </c>
      <c r="Y774" s="198" t="s">
        <v>58</v>
      </c>
      <c r="Z774" s="201">
        <v>46295</v>
      </c>
      <c r="AA774" s="198" t="s">
        <v>59</v>
      </c>
      <c r="AB774" s="198" t="s">
        <v>60</v>
      </c>
      <c r="AC774" s="198" t="s">
        <v>86</v>
      </c>
      <c r="AD774" s="198" t="s">
        <v>62</v>
      </c>
      <c r="AE774" s="198" t="s">
        <v>425</v>
      </c>
      <c r="AF774" s="198" t="s">
        <v>424</v>
      </c>
      <c r="AG774" s="198" t="s">
        <v>214</v>
      </c>
      <c r="AH774" s="198" t="s">
        <v>117</v>
      </c>
      <c r="AI774" s="198" t="s">
        <v>56</v>
      </c>
      <c r="AJ774" s="198" t="s">
        <v>121</v>
      </c>
      <c r="AK774" s="198" t="s">
        <v>51</v>
      </c>
      <c r="AL774" s="198" t="s">
        <v>67</v>
      </c>
      <c r="AM774" s="198" t="s">
        <v>68</v>
      </c>
      <c r="AN774" s="202">
        <v>80000</v>
      </c>
      <c r="AO774" s="202">
        <v>80000</v>
      </c>
      <c r="AP774" s="202">
        <v>80000</v>
      </c>
      <c r="AQ774" s="198" t="s">
        <v>358</v>
      </c>
      <c r="AR774" s="198" t="s">
        <v>51</v>
      </c>
      <c r="AS774" s="202">
        <v>80000</v>
      </c>
      <c r="AT774" s="202">
        <v>80000</v>
      </c>
      <c r="AU774" s="198" t="s">
        <v>359</v>
      </c>
      <c r="AV774" s="198" t="s">
        <v>62</v>
      </c>
      <c r="AW774" s="198" t="s">
        <v>54</v>
      </c>
    </row>
    <row r="775" spans="3:49" outlineLevel="2" x14ac:dyDescent="0.25">
      <c r="C775" s="201"/>
      <c r="D775" s="198" t="s">
        <v>114</v>
      </c>
      <c r="H775" s="198" t="s">
        <v>114</v>
      </c>
      <c r="I775" s="202">
        <f t="shared" si="12"/>
        <v>323757856.79999959</v>
      </c>
      <c r="J775" s="202">
        <v>78.399999999999906</v>
      </c>
      <c r="L775" s="204">
        <v>2</v>
      </c>
      <c r="M775" s="202">
        <v>46000</v>
      </c>
      <c r="N775" s="204">
        <v>2</v>
      </c>
      <c r="O775" s="198" t="s">
        <v>51</v>
      </c>
      <c r="P775" s="202">
        <v>46000</v>
      </c>
      <c r="Q775" s="198" t="s">
        <v>73</v>
      </c>
      <c r="R775" s="198" t="s">
        <v>53</v>
      </c>
      <c r="S775" s="198" t="s">
        <v>54</v>
      </c>
      <c r="T775" s="198" t="s">
        <v>363</v>
      </c>
      <c r="U775" s="198" t="s">
        <v>2046</v>
      </c>
      <c r="V775" s="198" t="s">
        <v>56</v>
      </c>
      <c r="W775" s="198" t="s">
        <v>356</v>
      </c>
      <c r="X775" s="198" t="s">
        <v>57</v>
      </c>
      <c r="Y775" s="198" t="s">
        <v>58</v>
      </c>
      <c r="Z775" s="201">
        <v>46295</v>
      </c>
      <c r="AA775" s="198" t="s">
        <v>59</v>
      </c>
      <c r="AB775" s="198" t="s">
        <v>60</v>
      </c>
      <c r="AC775" s="198" t="s">
        <v>86</v>
      </c>
      <c r="AD775" s="198" t="s">
        <v>62</v>
      </c>
      <c r="AE775" s="198" t="s">
        <v>427</v>
      </c>
      <c r="AF775" s="198" t="s">
        <v>426</v>
      </c>
      <c r="AG775" s="198" t="s">
        <v>214</v>
      </c>
      <c r="AH775" s="198" t="s">
        <v>117</v>
      </c>
      <c r="AI775" s="198" t="s">
        <v>56</v>
      </c>
      <c r="AJ775" s="198" t="s">
        <v>423</v>
      </c>
      <c r="AK775" s="198" t="s">
        <v>51</v>
      </c>
      <c r="AL775" s="198" t="s">
        <v>67</v>
      </c>
      <c r="AM775" s="198" t="s">
        <v>68</v>
      </c>
      <c r="AN775" s="202">
        <v>46000</v>
      </c>
      <c r="AO775" s="202">
        <v>46000</v>
      </c>
      <c r="AP775" s="202">
        <v>46000</v>
      </c>
      <c r="AQ775" s="198" t="s">
        <v>358</v>
      </c>
      <c r="AR775" s="198" t="s">
        <v>51</v>
      </c>
      <c r="AS775" s="202">
        <v>46000</v>
      </c>
      <c r="AT775" s="202">
        <v>46000</v>
      </c>
      <c r="AU775" s="198" t="s">
        <v>359</v>
      </c>
      <c r="AV775" s="198" t="s">
        <v>62</v>
      </c>
      <c r="AW775" s="198" t="s">
        <v>54</v>
      </c>
    </row>
    <row r="776" spans="3:49" outlineLevel="2" x14ac:dyDescent="0.25">
      <c r="C776" s="201"/>
      <c r="D776" s="198" t="s">
        <v>114</v>
      </c>
      <c r="H776" s="198" t="s">
        <v>114</v>
      </c>
      <c r="I776" s="202">
        <f t="shared" si="12"/>
        <v>324170813.24999958</v>
      </c>
      <c r="J776" s="202">
        <v>78.499999999999901</v>
      </c>
      <c r="L776" s="204">
        <v>1</v>
      </c>
      <c r="M776" s="202">
        <v>8500</v>
      </c>
      <c r="N776" s="204">
        <v>1</v>
      </c>
      <c r="O776" s="198" t="s">
        <v>51</v>
      </c>
      <c r="P776" s="202">
        <v>8500</v>
      </c>
      <c r="Q776" s="198" t="s">
        <v>73</v>
      </c>
      <c r="R776" s="198" t="s">
        <v>53</v>
      </c>
      <c r="S776" s="198" t="s">
        <v>54</v>
      </c>
      <c r="T776" s="198" t="s">
        <v>363</v>
      </c>
      <c r="U776" s="198" t="s">
        <v>2046</v>
      </c>
      <c r="V776" s="198" t="s">
        <v>56</v>
      </c>
      <c r="W776" s="198" t="s">
        <v>356</v>
      </c>
      <c r="X776" s="198" t="s">
        <v>57</v>
      </c>
      <c r="Y776" s="198" t="s">
        <v>58</v>
      </c>
      <c r="Z776" s="201">
        <v>46295</v>
      </c>
      <c r="AA776" s="198" t="s">
        <v>59</v>
      </c>
      <c r="AB776" s="198" t="s">
        <v>60</v>
      </c>
      <c r="AC776" s="198" t="s">
        <v>86</v>
      </c>
      <c r="AD776" s="198" t="s">
        <v>62</v>
      </c>
      <c r="AE776" s="198" t="s">
        <v>429</v>
      </c>
      <c r="AF776" s="198" t="s">
        <v>428</v>
      </c>
      <c r="AG776" s="198" t="s">
        <v>214</v>
      </c>
      <c r="AH776" s="198" t="s">
        <v>117</v>
      </c>
      <c r="AI776" s="198" t="s">
        <v>56</v>
      </c>
      <c r="AJ776" s="198" t="s">
        <v>294</v>
      </c>
      <c r="AK776" s="198" t="s">
        <v>51</v>
      </c>
      <c r="AL776" s="198" t="s">
        <v>67</v>
      </c>
      <c r="AM776" s="198" t="s">
        <v>68</v>
      </c>
      <c r="AN776" s="202">
        <v>8500</v>
      </c>
      <c r="AO776" s="202">
        <v>8500</v>
      </c>
      <c r="AP776" s="202">
        <v>8500</v>
      </c>
      <c r="AQ776" s="198" t="s">
        <v>358</v>
      </c>
      <c r="AR776" s="198" t="s">
        <v>51</v>
      </c>
      <c r="AS776" s="202">
        <v>8500</v>
      </c>
      <c r="AT776" s="202">
        <v>8500</v>
      </c>
      <c r="AU776" s="198" t="s">
        <v>359</v>
      </c>
      <c r="AV776" s="198" t="s">
        <v>62</v>
      </c>
      <c r="AW776" s="198" t="s">
        <v>54</v>
      </c>
    </row>
    <row r="777" spans="3:49" outlineLevel="2" x14ac:dyDescent="0.25">
      <c r="C777" s="201"/>
      <c r="D777" s="198" t="s">
        <v>135</v>
      </c>
      <c r="H777" s="198" t="s">
        <v>135</v>
      </c>
      <c r="I777" s="202">
        <f t="shared" si="12"/>
        <v>324583769.69999957</v>
      </c>
      <c r="J777" s="202">
        <v>78.599999999999895</v>
      </c>
      <c r="L777" s="204">
        <v>4</v>
      </c>
      <c r="M777" s="202">
        <v>92000000</v>
      </c>
      <c r="N777" s="204">
        <v>4</v>
      </c>
      <c r="O777" s="198" t="s">
        <v>51</v>
      </c>
      <c r="P777" s="202">
        <v>92000000</v>
      </c>
      <c r="Q777" s="198" t="s">
        <v>73</v>
      </c>
      <c r="R777" s="198" t="s">
        <v>53</v>
      </c>
      <c r="S777" s="198" t="s">
        <v>54</v>
      </c>
      <c r="T777" s="198" t="s">
        <v>561</v>
      </c>
      <c r="U777" s="198" t="s">
        <v>562</v>
      </c>
      <c r="V777" s="198" t="s">
        <v>56</v>
      </c>
      <c r="W777" s="198" t="s">
        <v>356</v>
      </c>
      <c r="X777" s="198" t="s">
        <v>57</v>
      </c>
      <c r="Y777" s="198" t="s">
        <v>58</v>
      </c>
      <c r="Z777" s="201">
        <v>46265</v>
      </c>
      <c r="AA777" s="198" t="s">
        <v>59</v>
      </c>
      <c r="AB777" s="198" t="s">
        <v>60</v>
      </c>
      <c r="AC777" s="198" t="s">
        <v>86</v>
      </c>
      <c r="AD777" s="198" t="s">
        <v>62</v>
      </c>
      <c r="AE777" s="198" t="s">
        <v>563</v>
      </c>
      <c r="AF777" s="198" t="s">
        <v>560</v>
      </c>
      <c r="AG777" s="198" t="s">
        <v>564</v>
      </c>
      <c r="AH777" s="198" t="s">
        <v>117</v>
      </c>
      <c r="AI777" s="198" t="s">
        <v>56</v>
      </c>
      <c r="AJ777" s="198" t="s">
        <v>294</v>
      </c>
      <c r="AK777" s="198" t="s">
        <v>51</v>
      </c>
      <c r="AL777" s="198" t="s">
        <v>67</v>
      </c>
      <c r="AM777" s="198" t="s">
        <v>68</v>
      </c>
      <c r="AN777" s="202">
        <v>92000000</v>
      </c>
      <c r="AO777" s="202">
        <v>92000000</v>
      </c>
      <c r="AP777" s="202">
        <v>92000000</v>
      </c>
      <c r="AQ777" s="198" t="s">
        <v>358</v>
      </c>
      <c r="AR777" s="198" t="s">
        <v>51</v>
      </c>
      <c r="AS777" s="202">
        <v>92000000</v>
      </c>
      <c r="AT777" s="202">
        <v>92000000</v>
      </c>
      <c r="AU777" s="198" t="s">
        <v>359</v>
      </c>
      <c r="AV777" s="198" t="s">
        <v>62</v>
      </c>
      <c r="AW777" s="198" t="s">
        <v>54</v>
      </c>
    </row>
    <row r="778" spans="3:49" outlineLevel="2" x14ac:dyDescent="0.25">
      <c r="C778" s="201"/>
      <c r="D778" s="198" t="s">
        <v>133</v>
      </c>
      <c r="H778" s="198" t="s">
        <v>133</v>
      </c>
      <c r="I778" s="202">
        <f t="shared" si="12"/>
        <v>324996726.14999962</v>
      </c>
      <c r="J778" s="202">
        <v>78.699999999999903</v>
      </c>
      <c r="L778" s="204">
        <v>10</v>
      </c>
      <c r="M778" s="202">
        <v>230000000</v>
      </c>
      <c r="N778" s="204">
        <v>10</v>
      </c>
      <c r="O778" s="198" t="s">
        <v>51</v>
      </c>
      <c r="P778" s="202">
        <v>230000000</v>
      </c>
      <c r="Q778" s="198" t="s">
        <v>73</v>
      </c>
      <c r="R778" s="198" t="s">
        <v>53</v>
      </c>
      <c r="S778" s="198" t="s">
        <v>54</v>
      </c>
      <c r="T778" s="198" t="s">
        <v>561</v>
      </c>
      <c r="U778" s="198" t="s">
        <v>562</v>
      </c>
      <c r="V778" s="198" t="s">
        <v>56</v>
      </c>
      <c r="W778" s="198" t="s">
        <v>356</v>
      </c>
      <c r="X778" s="198" t="s">
        <v>57</v>
      </c>
      <c r="Y778" s="198" t="s">
        <v>58</v>
      </c>
      <c r="Z778" s="201">
        <v>46234</v>
      </c>
      <c r="AA778" s="198" t="s">
        <v>59</v>
      </c>
      <c r="AB778" s="198" t="s">
        <v>60</v>
      </c>
      <c r="AC778" s="198" t="s">
        <v>86</v>
      </c>
      <c r="AD778" s="198" t="s">
        <v>62</v>
      </c>
      <c r="AE778" s="198" t="s">
        <v>563</v>
      </c>
      <c r="AF778" s="198" t="s">
        <v>560</v>
      </c>
      <c r="AG778" s="198" t="s">
        <v>248</v>
      </c>
      <c r="AH778" s="198" t="s">
        <v>134</v>
      </c>
      <c r="AI778" s="198" t="s">
        <v>56</v>
      </c>
      <c r="AJ778" s="198" t="s">
        <v>294</v>
      </c>
      <c r="AK778" s="198" t="s">
        <v>51</v>
      </c>
      <c r="AL778" s="198" t="s">
        <v>67</v>
      </c>
      <c r="AM778" s="198" t="s">
        <v>68</v>
      </c>
      <c r="AN778" s="202">
        <v>230000000</v>
      </c>
      <c r="AO778" s="202">
        <v>230000000</v>
      </c>
      <c r="AP778" s="202">
        <v>230000000</v>
      </c>
      <c r="AQ778" s="198" t="s">
        <v>358</v>
      </c>
      <c r="AR778" s="198" t="s">
        <v>51</v>
      </c>
      <c r="AS778" s="202">
        <v>230000000</v>
      </c>
      <c r="AT778" s="202">
        <v>230000000</v>
      </c>
      <c r="AU778" s="198" t="s">
        <v>359</v>
      </c>
      <c r="AV778" s="198" t="s">
        <v>62</v>
      </c>
      <c r="AW778" s="198" t="s">
        <v>54</v>
      </c>
    </row>
    <row r="779" spans="3:49" outlineLevel="2" x14ac:dyDescent="0.25">
      <c r="C779" s="201"/>
      <c r="D779" s="198" t="s">
        <v>136</v>
      </c>
      <c r="H779" s="198" t="s">
        <v>136</v>
      </c>
      <c r="I779" s="202">
        <f t="shared" si="12"/>
        <v>325409682.59999961</v>
      </c>
      <c r="J779" s="202">
        <v>78.799999999999898</v>
      </c>
      <c r="L779" s="204">
        <v>9</v>
      </c>
      <c r="M779" s="202">
        <v>207000000</v>
      </c>
      <c r="N779" s="204">
        <v>9</v>
      </c>
      <c r="O779" s="198" t="s">
        <v>51</v>
      </c>
      <c r="P779" s="202">
        <v>207000000</v>
      </c>
      <c r="Q779" s="198" t="s">
        <v>73</v>
      </c>
      <c r="R779" s="198" t="s">
        <v>53</v>
      </c>
      <c r="S779" s="198" t="s">
        <v>54</v>
      </c>
      <c r="T779" s="198" t="s">
        <v>561</v>
      </c>
      <c r="U779" s="198" t="s">
        <v>562</v>
      </c>
      <c r="V779" s="198" t="s">
        <v>56</v>
      </c>
      <c r="W779" s="198" t="s">
        <v>356</v>
      </c>
      <c r="X779" s="198" t="s">
        <v>57</v>
      </c>
      <c r="Y779" s="198" t="s">
        <v>58</v>
      </c>
      <c r="Z779" s="201">
        <v>46203</v>
      </c>
      <c r="AA779" s="198" t="s">
        <v>59</v>
      </c>
      <c r="AB779" s="198" t="s">
        <v>60</v>
      </c>
      <c r="AC779" s="198" t="s">
        <v>86</v>
      </c>
      <c r="AD779" s="198" t="s">
        <v>62</v>
      </c>
      <c r="AE779" s="198" t="s">
        <v>563</v>
      </c>
      <c r="AF779" s="198" t="s">
        <v>560</v>
      </c>
      <c r="AG779" s="198" t="s">
        <v>189</v>
      </c>
      <c r="AH779" s="198" t="s">
        <v>137</v>
      </c>
      <c r="AI779" s="198" t="s">
        <v>56</v>
      </c>
      <c r="AJ779" s="198" t="s">
        <v>294</v>
      </c>
      <c r="AK779" s="198" t="s">
        <v>51</v>
      </c>
      <c r="AL779" s="198" t="s">
        <v>67</v>
      </c>
      <c r="AM779" s="198" t="s">
        <v>68</v>
      </c>
      <c r="AN779" s="202">
        <v>207000000</v>
      </c>
      <c r="AO779" s="202">
        <v>207000000</v>
      </c>
      <c r="AP779" s="202">
        <v>207000000</v>
      </c>
      <c r="AQ779" s="198" t="s">
        <v>358</v>
      </c>
      <c r="AR779" s="198" t="s">
        <v>51</v>
      </c>
      <c r="AS779" s="202">
        <v>207000000</v>
      </c>
      <c r="AT779" s="202">
        <v>207000000</v>
      </c>
      <c r="AU779" s="198" t="s">
        <v>359</v>
      </c>
      <c r="AV779" s="198" t="s">
        <v>62</v>
      </c>
      <c r="AW779" s="198" t="s">
        <v>54</v>
      </c>
    </row>
    <row r="780" spans="3:49" outlineLevel="2" x14ac:dyDescent="0.25">
      <c r="C780" s="201"/>
      <c r="D780" s="198" t="s">
        <v>122</v>
      </c>
      <c r="H780" s="198" t="s">
        <v>122</v>
      </c>
      <c r="I780" s="202">
        <f t="shared" si="12"/>
        <v>325822639.04999959</v>
      </c>
      <c r="J780" s="202">
        <v>78.899999999999906</v>
      </c>
      <c r="L780" s="204">
        <v>5</v>
      </c>
      <c r="M780" s="202">
        <v>115000000</v>
      </c>
      <c r="N780" s="204">
        <v>5</v>
      </c>
      <c r="O780" s="198" t="s">
        <v>51</v>
      </c>
      <c r="P780" s="202">
        <v>115000000</v>
      </c>
      <c r="Q780" s="198" t="s">
        <v>73</v>
      </c>
      <c r="R780" s="198" t="s">
        <v>53</v>
      </c>
      <c r="S780" s="198" t="s">
        <v>54</v>
      </c>
      <c r="T780" s="198" t="s">
        <v>561</v>
      </c>
      <c r="U780" s="198" t="s">
        <v>562</v>
      </c>
      <c r="V780" s="198" t="s">
        <v>56</v>
      </c>
      <c r="W780" s="198" t="s">
        <v>356</v>
      </c>
      <c r="X780" s="198" t="s">
        <v>57</v>
      </c>
      <c r="Y780" s="198" t="s">
        <v>58</v>
      </c>
      <c r="Z780" s="201">
        <v>46173</v>
      </c>
      <c r="AA780" s="198" t="s">
        <v>59</v>
      </c>
      <c r="AB780" s="198" t="s">
        <v>60</v>
      </c>
      <c r="AC780" s="198" t="s">
        <v>86</v>
      </c>
      <c r="AD780" s="198" t="s">
        <v>62</v>
      </c>
      <c r="AE780" s="198" t="s">
        <v>563</v>
      </c>
      <c r="AF780" s="198" t="s">
        <v>560</v>
      </c>
      <c r="AG780" s="198" t="s">
        <v>147</v>
      </c>
      <c r="AH780" s="198" t="s">
        <v>126</v>
      </c>
      <c r="AI780" s="198" t="s">
        <v>56</v>
      </c>
      <c r="AJ780" s="198" t="s">
        <v>294</v>
      </c>
      <c r="AK780" s="198" t="s">
        <v>51</v>
      </c>
      <c r="AL780" s="198" t="s">
        <v>67</v>
      </c>
      <c r="AM780" s="198" t="s">
        <v>68</v>
      </c>
      <c r="AN780" s="202">
        <v>115000000</v>
      </c>
      <c r="AO780" s="202">
        <v>115000000</v>
      </c>
      <c r="AP780" s="202">
        <v>115000000</v>
      </c>
      <c r="AQ780" s="198" t="s">
        <v>358</v>
      </c>
      <c r="AR780" s="198" t="s">
        <v>51</v>
      </c>
      <c r="AS780" s="202">
        <v>115000000</v>
      </c>
      <c r="AT780" s="202">
        <v>115000000</v>
      </c>
      <c r="AU780" s="198" t="s">
        <v>359</v>
      </c>
      <c r="AV780" s="198" t="s">
        <v>62</v>
      </c>
      <c r="AW780" s="198" t="s">
        <v>54</v>
      </c>
    </row>
    <row r="781" spans="3:49" outlineLevel="2" x14ac:dyDescent="0.25">
      <c r="C781" s="201"/>
      <c r="D781" s="198" t="s">
        <v>131</v>
      </c>
      <c r="H781" s="198" t="s">
        <v>131</v>
      </c>
      <c r="I781" s="202">
        <f t="shared" si="12"/>
        <v>326235595.49999958</v>
      </c>
      <c r="J781" s="202">
        <v>78.999999999999901</v>
      </c>
      <c r="L781" s="204">
        <v>8</v>
      </c>
      <c r="M781" s="202">
        <v>184000000</v>
      </c>
      <c r="N781" s="204">
        <v>5</v>
      </c>
      <c r="O781" s="198" t="s">
        <v>51</v>
      </c>
      <c r="P781" s="202">
        <v>115000000</v>
      </c>
      <c r="Q781" s="198" t="s">
        <v>73</v>
      </c>
      <c r="R781" s="198" t="s">
        <v>53</v>
      </c>
      <c r="S781" s="198" t="s">
        <v>54</v>
      </c>
      <c r="T781" s="198" t="s">
        <v>561</v>
      </c>
      <c r="U781" s="198" t="s">
        <v>2078</v>
      </c>
      <c r="V781" s="198" t="s">
        <v>56</v>
      </c>
      <c r="W781" s="198" t="s">
        <v>356</v>
      </c>
      <c r="X781" s="198" t="s">
        <v>57</v>
      </c>
      <c r="Y781" s="198" t="s">
        <v>58</v>
      </c>
      <c r="Z781" s="201">
        <v>46173</v>
      </c>
      <c r="AA781" s="198" t="s">
        <v>59</v>
      </c>
      <c r="AB781" s="198" t="s">
        <v>60</v>
      </c>
      <c r="AC781" s="198" t="s">
        <v>86</v>
      </c>
      <c r="AD781" s="198" t="s">
        <v>62</v>
      </c>
      <c r="AE781" s="198" t="s">
        <v>563</v>
      </c>
      <c r="AF781" s="198" t="s">
        <v>560</v>
      </c>
      <c r="AG781" s="198" t="s">
        <v>147</v>
      </c>
      <c r="AH781" s="198" t="s">
        <v>132</v>
      </c>
      <c r="AI781" s="198" t="s">
        <v>56</v>
      </c>
      <c r="AJ781" s="198" t="s">
        <v>294</v>
      </c>
      <c r="AK781" s="198" t="s">
        <v>51</v>
      </c>
      <c r="AL781" s="198" t="s">
        <v>67</v>
      </c>
      <c r="AM781" s="198" t="s">
        <v>68</v>
      </c>
      <c r="AN781" s="202">
        <v>184000000</v>
      </c>
      <c r="AO781" s="202">
        <v>184000000</v>
      </c>
      <c r="AP781" s="202">
        <v>184000000</v>
      </c>
      <c r="AQ781" s="198" t="s">
        <v>358</v>
      </c>
      <c r="AR781" s="198" t="s">
        <v>51</v>
      </c>
      <c r="AS781" s="202">
        <v>115000000</v>
      </c>
      <c r="AT781" s="202">
        <v>115000000</v>
      </c>
      <c r="AU781" s="198" t="s">
        <v>359</v>
      </c>
      <c r="AV781" s="198" t="s">
        <v>62</v>
      </c>
      <c r="AW781" s="198" t="s">
        <v>54</v>
      </c>
    </row>
    <row r="782" spans="3:49" outlineLevel="2" x14ac:dyDescent="0.25">
      <c r="C782" s="201"/>
      <c r="D782" s="198" t="s">
        <v>559</v>
      </c>
      <c r="H782" s="198" t="s">
        <v>559</v>
      </c>
      <c r="I782" s="202">
        <f t="shared" si="12"/>
        <v>326648551.94999957</v>
      </c>
      <c r="J782" s="202">
        <v>79.099999999999895</v>
      </c>
      <c r="L782" s="204">
        <v>29</v>
      </c>
      <c r="M782" s="202">
        <v>496509000</v>
      </c>
      <c r="N782" s="204">
        <v>29</v>
      </c>
      <c r="O782" s="198" t="s">
        <v>51</v>
      </c>
      <c r="P782" s="202">
        <v>496509000</v>
      </c>
      <c r="Q782" s="198" t="s">
        <v>73</v>
      </c>
      <c r="R782" s="198" t="s">
        <v>53</v>
      </c>
      <c r="S782" s="198" t="s">
        <v>54</v>
      </c>
      <c r="T782" s="198" t="s">
        <v>431</v>
      </c>
      <c r="U782" s="198" t="s">
        <v>367</v>
      </c>
      <c r="V782" s="198" t="s">
        <v>56</v>
      </c>
      <c r="W782" s="198" t="s">
        <v>356</v>
      </c>
      <c r="X782" s="198" t="s">
        <v>57</v>
      </c>
      <c r="Y782" s="198" t="s">
        <v>58</v>
      </c>
      <c r="Z782" s="201">
        <v>46203</v>
      </c>
      <c r="AA782" s="198" t="s">
        <v>59</v>
      </c>
      <c r="AB782" s="198" t="s">
        <v>60</v>
      </c>
      <c r="AC782" s="198" t="s">
        <v>86</v>
      </c>
      <c r="AD782" s="198" t="s">
        <v>62</v>
      </c>
      <c r="AE782" s="198" t="s">
        <v>116</v>
      </c>
      <c r="AF782" s="198" t="s">
        <v>115</v>
      </c>
      <c r="AG782" s="198" t="s">
        <v>189</v>
      </c>
      <c r="AH782" s="198" t="s">
        <v>137</v>
      </c>
      <c r="AI782" s="198" t="s">
        <v>56</v>
      </c>
      <c r="AJ782" s="198" t="s">
        <v>118</v>
      </c>
      <c r="AK782" s="198" t="s">
        <v>51</v>
      </c>
      <c r="AL782" s="198" t="s">
        <v>67</v>
      </c>
      <c r="AM782" s="198" t="s">
        <v>68</v>
      </c>
      <c r="AN782" s="202">
        <v>496509000</v>
      </c>
      <c r="AO782" s="202">
        <v>496509000</v>
      </c>
      <c r="AP782" s="202">
        <v>496509000</v>
      </c>
      <c r="AQ782" s="198" t="s">
        <v>358</v>
      </c>
      <c r="AR782" s="198" t="s">
        <v>51</v>
      </c>
      <c r="AS782" s="202">
        <v>496509000</v>
      </c>
      <c r="AT782" s="202">
        <v>496509000</v>
      </c>
      <c r="AU782" s="198" t="s">
        <v>359</v>
      </c>
      <c r="AV782" s="198" t="s">
        <v>62</v>
      </c>
      <c r="AW782" s="198" t="s">
        <v>54</v>
      </c>
    </row>
    <row r="783" spans="3:49" outlineLevel="2" x14ac:dyDescent="0.25">
      <c r="C783" s="201"/>
      <c r="D783" s="198" t="s">
        <v>565</v>
      </c>
      <c r="H783" s="198" t="s">
        <v>565</v>
      </c>
      <c r="I783" s="202">
        <f t="shared" si="12"/>
        <v>327061508.39999962</v>
      </c>
      <c r="J783" s="202">
        <v>79.199999999999903</v>
      </c>
      <c r="L783" s="204">
        <v>1</v>
      </c>
      <c r="M783" s="202">
        <v>17121000</v>
      </c>
      <c r="N783" s="204">
        <v>1</v>
      </c>
      <c r="O783" s="198" t="s">
        <v>51</v>
      </c>
      <c r="P783" s="202">
        <v>17121000</v>
      </c>
      <c r="Q783" s="198" t="s">
        <v>73</v>
      </c>
      <c r="R783" s="198" t="s">
        <v>53</v>
      </c>
      <c r="S783" s="198" t="s">
        <v>54</v>
      </c>
      <c r="T783" s="198" t="s">
        <v>431</v>
      </c>
      <c r="U783" s="198" t="s">
        <v>367</v>
      </c>
      <c r="V783" s="198" t="s">
        <v>56</v>
      </c>
      <c r="W783" s="198" t="s">
        <v>356</v>
      </c>
      <c r="X783" s="198" t="s">
        <v>57</v>
      </c>
      <c r="Y783" s="198" t="s">
        <v>58</v>
      </c>
      <c r="Z783" s="201">
        <v>46203</v>
      </c>
      <c r="AA783" s="198" t="s">
        <v>59</v>
      </c>
      <c r="AB783" s="198" t="s">
        <v>60</v>
      </c>
      <c r="AC783" s="198" t="s">
        <v>86</v>
      </c>
      <c r="AD783" s="198" t="s">
        <v>62</v>
      </c>
      <c r="AE783" s="198" t="s">
        <v>116</v>
      </c>
      <c r="AF783" s="198" t="s">
        <v>115</v>
      </c>
      <c r="AG783" s="198" t="s">
        <v>189</v>
      </c>
      <c r="AH783" s="198" t="s">
        <v>137</v>
      </c>
      <c r="AI783" s="198" t="s">
        <v>56</v>
      </c>
      <c r="AJ783" s="198" t="s">
        <v>118</v>
      </c>
      <c r="AK783" s="198" t="s">
        <v>51</v>
      </c>
      <c r="AL783" s="198" t="s">
        <v>67</v>
      </c>
      <c r="AM783" s="198" t="s">
        <v>68</v>
      </c>
      <c r="AN783" s="202">
        <v>17121000</v>
      </c>
      <c r="AO783" s="202">
        <v>17121000</v>
      </c>
      <c r="AP783" s="202">
        <v>17121000</v>
      </c>
      <c r="AQ783" s="198" t="s">
        <v>358</v>
      </c>
      <c r="AR783" s="198" t="s">
        <v>51</v>
      </c>
      <c r="AS783" s="202">
        <v>17121000</v>
      </c>
      <c r="AT783" s="202">
        <v>17121000</v>
      </c>
      <c r="AU783" s="198" t="s">
        <v>359</v>
      </c>
      <c r="AV783" s="198" t="s">
        <v>62</v>
      </c>
      <c r="AW783" s="198" t="s">
        <v>54</v>
      </c>
    </row>
    <row r="784" spans="3:49" outlineLevel="2" x14ac:dyDescent="0.25">
      <c r="C784" s="201"/>
      <c r="D784" s="198" t="s">
        <v>559</v>
      </c>
      <c r="H784" s="198" t="s">
        <v>559</v>
      </c>
      <c r="I784" s="202">
        <f t="shared" si="12"/>
        <v>327474464.84999961</v>
      </c>
      <c r="J784" s="202">
        <v>79.299999999999898</v>
      </c>
      <c r="L784" s="204">
        <v>29</v>
      </c>
      <c r="M784" s="202">
        <v>19575000</v>
      </c>
      <c r="N784" s="204">
        <v>29</v>
      </c>
      <c r="O784" s="198" t="s">
        <v>51</v>
      </c>
      <c r="P784" s="202">
        <v>19575000</v>
      </c>
      <c r="Q784" s="198" t="s">
        <v>73</v>
      </c>
      <c r="R784" s="198" t="s">
        <v>53</v>
      </c>
      <c r="S784" s="198" t="s">
        <v>54</v>
      </c>
      <c r="T784" s="198" t="s">
        <v>431</v>
      </c>
      <c r="U784" s="198" t="s">
        <v>367</v>
      </c>
      <c r="V784" s="198" t="s">
        <v>56</v>
      </c>
      <c r="W784" s="198" t="s">
        <v>356</v>
      </c>
      <c r="X784" s="198" t="s">
        <v>57</v>
      </c>
      <c r="Y784" s="198" t="s">
        <v>58</v>
      </c>
      <c r="Z784" s="201">
        <v>46203</v>
      </c>
      <c r="AA784" s="198" t="s">
        <v>59</v>
      </c>
      <c r="AB784" s="198" t="s">
        <v>60</v>
      </c>
      <c r="AC784" s="198" t="s">
        <v>86</v>
      </c>
      <c r="AD784" s="198" t="s">
        <v>62</v>
      </c>
      <c r="AE784" s="198" t="s">
        <v>120</v>
      </c>
      <c r="AF784" s="198" t="s">
        <v>119</v>
      </c>
      <c r="AG784" s="198" t="s">
        <v>189</v>
      </c>
      <c r="AH784" s="198" t="s">
        <v>137</v>
      </c>
      <c r="AI784" s="198" t="s">
        <v>56</v>
      </c>
      <c r="AJ784" s="198" t="s">
        <v>121</v>
      </c>
      <c r="AK784" s="198" t="s">
        <v>51</v>
      </c>
      <c r="AL784" s="198" t="s">
        <v>67</v>
      </c>
      <c r="AM784" s="198" t="s">
        <v>68</v>
      </c>
      <c r="AN784" s="202">
        <v>19575000</v>
      </c>
      <c r="AO784" s="202">
        <v>19575000</v>
      </c>
      <c r="AP784" s="202">
        <v>19575000</v>
      </c>
      <c r="AQ784" s="198" t="s">
        <v>358</v>
      </c>
      <c r="AR784" s="198" t="s">
        <v>51</v>
      </c>
      <c r="AS784" s="202">
        <v>19575000</v>
      </c>
      <c r="AT784" s="202">
        <v>19575000</v>
      </c>
      <c r="AU784" s="198" t="s">
        <v>359</v>
      </c>
      <c r="AV784" s="198" t="s">
        <v>62</v>
      </c>
      <c r="AW784" s="198" t="s">
        <v>54</v>
      </c>
    </row>
    <row r="785" spans="3:49" outlineLevel="2" x14ac:dyDescent="0.25">
      <c r="C785" s="201"/>
      <c r="D785" s="198" t="s">
        <v>565</v>
      </c>
      <c r="H785" s="198" t="s">
        <v>565</v>
      </c>
      <c r="I785" s="202">
        <f t="shared" si="12"/>
        <v>327887421.29999959</v>
      </c>
      <c r="J785" s="202">
        <v>79.399999999999906</v>
      </c>
      <c r="L785" s="204">
        <v>1</v>
      </c>
      <c r="M785" s="202">
        <v>675000</v>
      </c>
      <c r="N785" s="204">
        <v>1</v>
      </c>
      <c r="O785" s="198" t="s">
        <v>51</v>
      </c>
      <c r="P785" s="202">
        <v>675000</v>
      </c>
      <c r="Q785" s="198" t="s">
        <v>73</v>
      </c>
      <c r="R785" s="198" t="s">
        <v>53</v>
      </c>
      <c r="S785" s="198" t="s">
        <v>54</v>
      </c>
      <c r="T785" s="198" t="s">
        <v>431</v>
      </c>
      <c r="U785" s="198" t="s">
        <v>367</v>
      </c>
      <c r="V785" s="198" t="s">
        <v>56</v>
      </c>
      <c r="W785" s="198" t="s">
        <v>356</v>
      </c>
      <c r="X785" s="198" t="s">
        <v>57</v>
      </c>
      <c r="Y785" s="198" t="s">
        <v>58</v>
      </c>
      <c r="Z785" s="201">
        <v>46203</v>
      </c>
      <c r="AA785" s="198" t="s">
        <v>59</v>
      </c>
      <c r="AB785" s="198" t="s">
        <v>60</v>
      </c>
      <c r="AC785" s="198" t="s">
        <v>86</v>
      </c>
      <c r="AD785" s="198" t="s">
        <v>62</v>
      </c>
      <c r="AE785" s="198" t="s">
        <v>120</v>
      </c>
      <c r="AF785" s="198" t="s">
        <v>119</v>
      </c>
      <c r="AG785" s="198" t="s">
        <v>189</v>
      </c>
      <c r="AH785" s="198" t="s">
        <v>137</v>
      </c>
      <c r="AI785" s="198" t="s">
        <v>56</v>
      </c>
      <c r="AJ785" s="198" t="s">
        <v>121</v>
      </c>
      <c r="AK785" s="198" t="s">
        <v>51</v>
      </c>
      <c r="AL785" s="198" t="s">
        <v>67</v>
      </c>
      <c r="AM785" s="198" t="s">
        <v>68</v>
      </c>
      <c r="AN785" s="202">
        <v>675000</v>
      </c>
      <c r="AO785" s="202">
        <v>675000</v>
      </c>
      <c r="AP785" s="202">
        <v>675000</v>
      </c>
      <c r="AQ785" s="198" t="s">
        <v>358</v>
      </c>
      <c r="AR785" s="198" t="s">
        <v>51</v>
      </c>
      <c r="AS785" s="202">
        <v>675000</v>
      </c>
      <c r="AT785" s="202">
        <v>675000</v>
      </c>
      <c r="AU785" s="198" t="s">
        <v>359</v>
      </c>
      <c r="AV785" s="198" t="s">
        <v>62</v>
      </c>
      <c r="AW785" s="198" t="s">
        <v>54</v>
      </c>
    </row>
    <row r="786" spans="3:49" outlineLevel="2" x14ac:dyDescent="0.25">
      <c r="C786" s="201"/>
      <c r="D786" s="198" t="s">
        <v>559</v>
      </c>
      <c r="H786" s="198" t="s">
        <v>559</v>
      </c>
      <c r="I786" s="202">
        <f t="shared" si="12"/>
        <v>328300377.74999958</v>
      </c>
      <c r="J786" s="202">
        <v>79.499999999999901</v>
      </c>
      <c r="L786" s="204">
        <v>3</v>
      </c>
      <c r="M786" s="202">
        <v>36000</v>
      </c>
      <c r="N786" s="204">
        <v>3</v>
      </c>
      <c r="O786" s="198" t="s">
        <v>51</v>
      </c>
      <c r="P786" s="202">
        <v>36000</v>
      </c>
      <c r="Q786" s="198" t="s">
        <v>73</v>
      </c>
      <c r="R786" s="198" t="s">
        <v>53</v>
      </c>
      <c r="S786" s="198" t="s">
        <v>54</v>
      </c>
      <c r="T786" s="198" t="s">
        <v>431</v>
      </c>
      <c r="U786" s="198" t="s">
        <v>367</v>
      </c>
      <c r="V786" s="198" t="s">
        <v>56</v>
      </c>
      <c r="W786" s="198" t="s">
        <v>356</v>
      </c>
      <c r="X786" s="198" t="s">
        <v>57</v>
      </c>
      <c r="Y786" s="198" t="s">
        <v>58</v>
      </c>
      <c r="Z786" s="201">
        <v>46203</v>
      </c>
      <c r="AA786" s="198" t="s">
        <v>59</v>
      </c>
      <c r="AB786" s="198" t="s">
        <v>60</v>
      </c>
      <c r="AC786" s="198" t="s">
        <v>86</v>
      </c>
      <c r="AD786" s="198" t="s">
        <v>62</v>
      </c>
      <c r="AE786" s="198" t="s">
        <v>370</v>
      </c>
      <c r="AF786" s="198" t="s">
        <v>369</v>
      </c>
      <c r="AG786" s="198" t="s">
        <v>189</v>
      </c>
      <c r="AH786" s="198" t="s">
        <v>137</v>
      </c>
      <c r="AI786" s="198" t="s">
        <v>56</v>
      </c>
      <c r="AJ786" s="198" t="s">
        <v>118</v>
      </c>
      <c r="AK786" s="198" t="s">
        <v>51</v>
      </c>
      <c r="AL786" s="198" t="s">
        <v>67</v>
      </c>
      <c r="AM786" s="198" t="s">
        <v>68</v>
      </c>
      <c r="AN786" s="202">
        <v>36000</v>
      </c>
      <c r="AO786" s="202">
        <v>36000</v>
      </c>
      <c r="AP786" s="202">
        <v>36000</v>
      </c>
      <c r="AQ786" s="198" t="s">
        <v>358</v>
      </c>
      <c r="AR786" s="198" t="s">
        <v>51</v>
      </c>
      <c r="AS786" s="202">
        <v>36000</v>
      </c>
      <c r="AT786" s="202">
        <v>36000</v>
      </c>
      <c r="AU786" s="198" t="s">
        <v>359</v>
      </c>
      <c r="AV786" s="198" t="s">
        <v>62</v>
      </c>
      <c r="AW786" s="198" t="s">
        <v>54</v>
      </c>
    </row>
    <row r="787" spans="3:49" outlineLevel="2" x14ac:dyDescent="0.25">
      <c r="C787" s="201"/>
      <c r="D787" s="198" t="s">
        <v>559</v>
      </c>
      <c r="H787" s="198" t="s">
        <v>559</v>
      </c>
      <c r="I787" s="202">
        <f t="shared" si="12"/>
        <v>328713334.19999957</v>
      </c>
      <c r="J787" s="202">
        <v>79.599999999999895</v>
      </c>
      <c r="L787" s="204">
        <v>3</v>
      </c>
      <c r="M787" s="202">
        <v>143400</v>
      </c>
      <c r="N787" s="204">
        <v>3</v>
      </c>
      <c r="O787" s="198" t="s">
        <v>51</v>
      </c>
      <c r="P787" s="202">
        <v>143400</v>
      </c>
      <c r="Q787" s="198" t="s">
        <v>73</v>
      </c>
      <c r="R787" s="198" t="s">
        <v>53</v>
      </c>
      <c r="S787" s="198" t="s">
        <v>54</v>
      </c>
      <c r="T787" s="198" t="s">
        <v>431</v>
      </c>
      <c r="U787" s="198" t="s">
        <v>367</v>
      </c>
      <c r="V787" s="198" t="s">
        <v>56</v>
      </c>
      <c r="W787" s="198" t="s">
        <v>356</v>
      </c>
      <c r="X787" s="198" t="s">
        <v>57</v>
      </c>
      <c r="Y787" s="198" t="s">
        <v>58</v>
      </c>
      <c r="Z787" s="201">
        <v>46203</v>
      </c>
      <c r="AA787" s="198" t="s">
        <v>59</v>
      </c>
      <c r="AB787" s="198" t="s">
        <v>60</v>
      </c>
      <c r="AC787" s="198" t="s">
        <v>86</v>
      </c>
      <c r="AD787" s="198" t="s">
        <v>62</v>
      </c>
      <c r="AE787" s="198" t="s">
        <v>372</v>
      </c>
      <c r="AF787" s="198" t="s">
        <v>371</v>
      </c>
      <c r="AG787" s="198" t="s">
        <v>189</v>
      </c>
      <c r="AH787" s="198" t="s">
        <v>137</v>
      </c>
      <c r="AI787" s="198" t="s">
        <v>56</v>
      </c>
      <c r="AJ787" s="198" t="s">
        <v>373</v>
      </c>
      <c r="AK787" s="198" t="s">
        <v>51</v>
      </c>
      <c r="AL787" s="198" t="s">
        <v>67</v>
      </c>
      <c r="AM787" s="198" t="s">
        <v>68</v>
      </c>
      <c r="AN787" s="202">
        <v>143400</v>
      </c>
      <c r="AO787" s="202">
        <v>143400</v>
      </c>
      <c r="AP787" s="202">
        <v>143400</v>
      </c>
      <c r="AQ787" s="198" t="s">
        <v>358</v>
      </c>
      <c r="AR787" s="198" t="s">
        <v>51</v>
      </c>
      <c r="AS787" s="202">
        <v>143400</v>
      </c>
      <c r="AT787" s="202">
        <v>143400</v>
      </c>
      <c r="AU787" s="198" t="s">
        <v>359</v>
      </c>
      <c r="AV787" s="198" t="s">
        <v>62</v>
      </c>
      <c r="AW787" s="198" t="s">
        <v>54</v>
      </c>
    </row>
    <row r="788" spans="3:49" outlineLevel="2" x14ac:dyDescent="0.25">
      <c r="C788" s="201"/>
      <c r="D788" s="198" t="s">
        <v>559</v>
      </c>
      <c r="H788" s="198" t="s">
        <v>559</v>
      </c>
      <c r="I788" s="202">
        <f t="shared" si="12"/>
        <v>329126290.64999962</v>
      </c>
      <c r="J788" s="202">
        <v>79.699999999999903</v>
      </c>
      <c r="L788" s="204">
        <v>2</v>
      </c>
      <c r="M788" s="202">
        <v>28600</v>
      </c>
      <c r="N788" s="204">
        <v>2</v>
      </c>
      <c r="O788" s="198" t="s">
        <v>51</v>
      </c>
      <c r="P788" s="202">
        <v>28600</v>
      </c>
      <c r="Q788" s="198" t="s">
        <v>342</v>
      </c>
      <c r="R788" s="198" t="s">
        <v>53</v>
      </c>
      <c r="S788" s="198" t="s">
        <v>54</v>
      </c>
      <c r="T788" s="198" t="s">
        <v>431</v>
      </c>
      <c r="U788" s="198" t="s">
        <v>367</v>
      </c>
      <c r="V788" s="198" t="s">
        <v>56</v>
      </c>
      <c r="W788" s="198" t="s">
        <v>356</v>
      </c>
      <c r="X788" s="198" t="s">
        <v>57</v>
      </c>
      <c r="Y788" s="198" t="s">
        <v>58</v>
      </c>
      <c r="Z788" s="201">
        <v>46203</v>
      </c>
      <c r="AA788" s="198" t="s">
        <v>59</v>
      </c>
      <c r="AB788" s="198" t="s">
        <v>60</v>
      </c>
      <c r="AC788" s="198" t="s">
        <v>86</v>
      </c>
      <c r="AD788" s="198" t="s">
        <v>62</v>
      </c>
      <c r="AE788" s="198" t="s">
        <v>375</v>
      </c>
      <c r="AF788" s="198" t="s">
        <v>374</v>
      </c>
      <c r="AG788" s="198" t="s">
        <v>189</v>
      </c>
      <c r="AH788" s="198" t="s">
        <v>137</v>
      </c>
      <c r="AI788" s="198" t="s">
        <v>56</v>
      </c>
      <c r="AJ788" s="198" t="s">
        <v>294</v>
      </c>
      <c r="AK788" s="198" t="s">
        <v>51</v>
      </c>
      <c r="AL788" s="198" t="s">
        <v>67</v>
      </c>
      <c r="AM788" s="198" t="s">
        <v>68</v>
      </c>
      <c r="AN788" s="202">
        <v>28600</v>
      </c>
      <c r="AO788" s="202">
        <v>28600</v>
      </c>
      <c r="AP788" s="202">
        <v>28600</v>
      </c>
      <c r="AQ788" s="198" t="s">
        <v>358</v>
      </c>
      <c r="AR788" s="198" t="s">
        <v>51</v>
      </c>
      <c r="AS788" s="202">
        <v>28600</v>
      </c>
      <c r="AT788" s="202">
        <v>28600</v>
      </c>
      <c r="AU788" s="198" t="s">
        <v>359</v>
      </c>
      <c r="AV788" s="198" t="s">
        <v>62</v>
      </c>
      <c r="AW788" s="198" t="s">
        <v>54</v>
      </c>
    </row>
    <row r="789" spans="3:49" outlineLevel="2" x14ac:dyDescent="0.25">
      <c r="C789" s="201"/>
      <c r="D789" s="198" t="s">
        <v>559</v>
      </c>
      <c r="H789" s="198" t="s">
        <v>559</v>
      </c>
      <c r="I789" s="202">
        <f t="shared" si="12"/>
        <v>329539247.09999961</v>
      </c>
      <c r="J789" s="202">
        <v>79.799999999999898</v>
      </c>
      <c r="L789" s="204">
        <v>4</v>
      </c>
      <c r="M789" s="202">
        <v>79600</v>
      </c>
      <c r="N789" s="204">
        <v>4</v>
      </c>
      <c r="O789" s="198" t="s">
        <v>51</v>
      </c>
      <c r="P789" s="202">
        <v>79600</v>
      </c>
      <c r="Q789" s="198" t="s">
        <v>73</v>
      </c>
      <c r="R789" s="198" t="s">
        <v>53</v>
      </c>
      <c r="S789" s="198" t="s">
        <v>54</v>
      </c>
      <c r="T789" s="198" t="s">
        <v>431</v>
      </c>
      <c r="U789" s="198" t="s">
        <v>367</v>
      </c>
      <c r="V789" s="198" t="s">
        <v>56</v>
      </c>
      <c r="W789" s="198" t="s">
        <v>356</v>
      </c>
      <c r="X789" s="198" t="s">
        <v>57</v>
      </c>
      <c r="Y789" s="198" t="s">
        <v>58</v>
      </c>
      <c r="Z789" s="201">
        <v>46203</v>
      </c>
      <c r="AA789" s="198" t="s">
        <v>59</v>
      </c>
      <c r="AB789" s="198" t="s">
        <v>60</v>
      </c>
      <c r="AC789" s="198" t="s">
        <v>86</v>
      </c>
      <c r="AD789" s="198" t="s">
        <v>62</v>
      </c>
      <c r="AE789" s="198" t="s">
        <v>377</v>
      </c>
      <c r="AF789" s="198" t="s">
        <v>376</v>
      </c>
      <c r="AG789" s="198" t="s">
        <v>189</v>
      </c>
      <c r="AH789" s="198" t="s">
        <v>137</v>
      </c>
      <c r="AI789" s="198" t="s">
        <v>56</v>
      </c>
      <c r="AJ789" s="198" t="s">
        <v>118</v>
      </c>
      <c r="AK789" s="198" t="s">
        <v>51</v>
      </c>
      <c r="AL789" s="198" t="s">
        <v>67</v>
      </c>
      <c r="AM789" s="198" t="s">
        <v>68</v>
      </c>
      <c r="AN789" s="202">
        <v>79600</v>
      </c>
      <c r="AO789" s="202">
        <v>79600</v>
      </c>
      <c r="AP789" s="202">
        <v>79600</v>
      </c>
      <c r="AQ789" s="198" t="s">
        <v>358</v>
      </c>
      <c r="AR789" s="198" t="s">
        <v>51</v>
      </c>
      <c r="AS789" s="202">
        <v>79600</v>
      </c>
      <c r="AT789" s="202">
        <v>79600</v>
      </c>
      <c r="AU789" s="198" t="s">
        <v>359</v>
      </c>
      <c r="AV789" s="198" t="s">
        <v>62</v>
      </c>
      <c r="AW789" s="198" t="s">
        <v>54</v>
      </c>
    </row>
    <row r="790" spans="3:49" outlineLevel="2" x14ac:dyDescent="0.25">
      <c r="C790" s="201"/>
      <c r="D790" s="198" t="s">
        <v>559</v>
      </c>
      <c r="H790" s="198" t="s">
        <v>559</v>
      </c>
      <c r="I790" s="202">
        <f t="shared" si="12"/>
        <v>329952203.54999959</v>
      </c>
      <c r="J790" s="202">
        <v>79.899999999999906</v>
      </c>
      <c r="L790" s="204">
        <v>1</v>
      </c>
      <c r="M790" s="202">
        <v>67600</v>
      </c>
      <c r="N790" s="204">
        <v>1</v>
      </c>
      <c r="O790" s="198" t="s">
        <v>51</v>
      </c>
      <c r="P790" s="202">
        <v>67600</v>
      </c>
      <c r="Q790" s="198" t="s">
        <v>342</v>
      </c>
      <c r="R790" s="198" t="s">
        <v>53</v>
      </c>
      <c r="S790" s="198" t="s">
        <v>54</v>
      </c>
      <c r="T790" s="198" t="s">
        <v>431</v>
      </c>
      <c r="U790" s="198" t="s">
        <v>367</v>
      </c>
      <c r="V790" s="198" t="s">
        <v>56</v>
      </c>
      <c r="W790" s="198" t="s">
        <v>356</v>
      </c>
      <c r="X790" s="198" t="s">
        <v>57</v>
      </c>
      <c r="Y790" s="198" t="s">
        <v>58</v>
      </c>
      <c r="Z790" s="201">
        <v>46203</v>
      </c>
      <c r="AA790" s="198" t="s">
        <v>59</v>
      </c>
      <c r="AB790" s="198" t="s">
        <v>60</v>
      </c>
      <c r="AC790" s="198" t="s">
        <v>86</v>
      </c>
      <c r="AD790" s="198" t="s">
        <v>62</v>
      </c>
      <c r="AE790" s="198" t="s">
        <v>379</v>
      </c>
      <c r="AF790" s="198" t="s">
        <v>378</v>
      </c>
      <c r="AG790" s="198" t="s">
        <v>189</v>
      </c>
      <c r="AH790" s="198" t="s">
        <v>137</v>
      </c>
      <c r="AI790" s="198" t="s">
        <v>56</v>
      </c>
      <c r="AJ790" s="198" t="s">
        <v>344</v>
      </c>
      <c r="AK790" s="198" t="s">
        <v>51</v>
      </c>
      <c r="AL790" s="198" t="s">
        <v>67</v>
      </c>
      <c r="AM790" s="198" t="s">
        <v>68</v>
      </c>
      <c r="AN790" s="202">
        <v>67600</v>
      </c>
      <c r="AO790" s="202">
        <v>67600</v>
      </c>
      <c r="AP790" s="202">
        <v>67600</v>
      </c>
      <c r="AQ790" s="198" t="s">
        <v>358</v>
      </c>
      <c r="AR790" s="198" t="s">
        <v>51</v>
      </c>
      <c r="AS790" s="202">
        <v>67600</v>
      </c>
      <c r="AT790" s="202">
        <v>67600</v>
      </c>
      <c r="AU790" s="198" t="s">
        <v>359</v>
      </c>
      <c r="AV790" s="198" t="s">
        <v>62</v>
      </c>
      <c r="AW790" s="198" t="s">
        <v>54</v>
      </c>
    </row>
    <row r="791" spans="3:49" outlineLevel="2" x14ac:dyDescent="0.25">
      <c r="C791" s="201"/>
      <c r="D791" s="198" t="s">
        <v>559</v>
      </c>
      <c r="H791" s="198" t="s">
        <v>559</v>
      </c>
      <c r="I791" s="202">
        <f t="shared" si="12"/>
        <v>330365159.99999958</v>
      </c>
      <c r="J791" s="202">
        <v>79.999999999999901</v>
      </c>
      <c r="L791" s="204">
        <v>2</v>
      </c>
      <c r="M791" s="202">
        <v>28600</v>
      </c>
      <c r="N791" s="204">
        <v>2</v>
      </c>
      <c r="O791" s="198" t="s">
        <v>51</v>
      </c>
      <c r="P791" s="202">
        <v>28600</v>
      </c>
      <c r="Q791" s="198" t="s">
        <v>73</v>
      </c>
      <c r="R791" s="198" t="s">
        <v>53</v>
      </c>
      <c r="S791" s="198" t="s">
        <v>54</v>
      </c>
      <c r="T791" s="198" t="s">
        <v>431</v>
      </c>
      <c r="U791" s="198" t="s">
        <v>367</v>
      </c>
      <c r="V791" s="198" t="s">
        <v>56</v>
      </c>
      <c r="W791" s="198" t="s">
        <v>356</v>
      </c>
      <c r="X791" s="198" t="s">
        <v>57</v>
      </c>
      <c r="Y791" s="198" t="s">
        <v>58</v>
      </c>
      <c r="Z791" s="201">
        <v>46203</v>
      </c>
      <c r="AA791" s="198" t="s">
        <v>59</v>
      </c>
      <c r="AB791" s="198" t="s">
        <v>60</v>
      </c>
      <c r="AC791" s="198" t="s">
        <v>86</v>
      </c>
      <c r="AD791" s="198" t="s">
        <v>62</v>
      </c>
      <c r="AE791" s="198" t="s">
        <v>381</v>
      </c>
      <c r="AF791" s="198" t="s">
        <v>380</v>
      </c>
      <c r="AG791" s="198" t="s">
        <v>189</v>
      </c>
      <c r="AH791" s="198" t="s">
        <v>137</v>
      </c>
      <c r="AI791" s="198" t="s">
        <v>56</v>
      </c>
      <c r="AJ791" s="198" t="s">
        <v>382</v>
      </c>
      <c r="AK791" s="198" t="s">
        <v>51</v>
      </c>
      <c r="AL791" s="198" t="s">
        <v>67</v>
      </c>
      <c r="AM791" s="198" t="s">
        <v>68</v>
      </c>
      <c r="AN791" s="202">
        <v>28600</v>
      </c>
      <c r="AO791" s="202">
        <v>28600</v>
      </c>
      <c r="AP791" s="202">
        <v>28600</v>
      </c>
      <c r="AQ791" s="198" t="s">
        <v>358</v>
      </c>
      <c r="AR791" s="198" t="s">
        <v>51</v>
      </c>
      <c r="AS791" s="202">
        <v>28600</v>
      </c>
      <c r="AT791" s="202">
        <v>28600</v>
      </c>
      <c r="AU791" s="198" t="s">
        <v>359</v>
      </c>
      <c r="AV791" s="198" t="s">
        <v>62</v>
      </c>
      <c r="AW791" s="198" t="s">
        <v>54</v>
      </c>
    </row>
    <row r="792" spans="3:49" outlineLevel="2" x14ac:dyDescent="0.25">
      <c r="C792" s="201"/>
      <c r="D792" s="198" t="s">
        <v>559</v>
      </c>
      <c r="H792" s="198" t="s">
        <v>559</v>
      </c>
      <c r="I792" s="202">
        <f t="shared" si="12"/>
        <v>330778116.44999957</v>
      </c>
      <c r="J792" s="202">
        <v>80.099999999999895</v>
      </c>
      <c r="L792" s="204">
        <v>2</v>
      </c>
      <c r="M792" s="202">
        <v>21000</v>
      </c>
      <c r="N792" s="204">
        <v>2</v>
      </c>
      <c r="O792" s="198" t="s">
        <v>51</v>
      </c>
      <c r="P792" s="202">
        <v>21000</v>
      </c>
      <c r="Q792" s="198" t="s">
        <v>384</v>
      </c>
      <c r="R792" s="198" t="s">
        <v>53</v>
      </c>
      <c r="S792" s="198" t="s">
        <v>54</v>
      </c>
      <c r="T792" s="198" t="s">
        <v>431</v>
      </c>
      <c r="U792" s="198" t="s">
        <v>367</v>
      </c>
      <c r="V792" s="198" t="s">
        <v>56</v>
      </c>
      <c r="W792" s="198" t="s">
        <v>356</v>
      </c>
      <c r="X792" s="198" t="s">
        <v>57</v>
      </c>
      <c r="Y792" s="198" t="s">
        <v>58</v>
      </c>
      <c r="Z792" s="201">
        <v>46203</v>
      </c>
      <c r="AA792" s="198" t="s">
        <v>59</v>
      </c>
      <c r="AB792" s="198" t="s">
        <v>60</v>
      </c>
      <c r="AC792" s="198" t="s">
        <v>86</v>
      </c>
      <c r="AD792" s="198" t="s">
        <v>62</v>
      </c>
      <c r="AE792" s="198" t="s">
        <v>385</v>
      </c>
      <c r="AF792" s="198" t="s">
        <v>383</v>
      </c>
      <c r="AG792" s="198" t="s">
        <v>189</v>
      </c>
      <c r="AH792" s="198" t="s">
        <v>137</v>
      </c>
      <c r="AI792" s="198" t="s">
        <v>56</v>
      </c>
      <c r="AJ792" s="198" t="s">
        <v>382</v>
      </c>
      <c r="AK792" s="198" t="s">
        <v>51</v>
      </c>
      <c r="AL792" s="198" t="s">
        <v>67</v>
      </c>
      <c r="AM792" s="198" t="s">
        <v>68</v>
      </c>
      <c r="AN792" s="202">
        <v>21000</v>
      </c>
      <c r="AO792" s="202">
        <v>21000</v>
      </c>
      <c r="AP792" s="202">
        <v>21000</v>
      </c>
      <c r="AQ792" s="198" t="s">
        <v>358</v>
      </c>
      <c r="AR792" s="198" t="s">
        <v>51</v>
      </c>
      <c r="AS792" s="202">
        <v>21000</v>
      </c>
      <c r="AT792" s="202">
        <v>21000</v>
      </c>
      <c r="AU792" s="198" t="s">
        <v>359</v>
      </c>
      <c r="AV792" s="198" t="s">
        <v>62</v>
      </c>
      <c r="AW792" s="198" t="s">
        <v>54</v>
      </c>
    </row>
    <row r="793" spans="3:49" outlineLevel="2" x14ac:dyDescent="0.25">
      <c r="C793" s="201"/>
      <c r="D793" s="198" t="s">
        <v>559</v>
      </c>
      <c r="H793" s="198" t="s">
        <v>559</v>
      </c>
      <c r="I793" s="202">
        <f t="shared" si="12"/>
        <v>331191072.89999962</v>
      </c>
      <c r="J793" s="202">
        <v>80.199999999999903</v>
      </c>
      <c r="L793" s="204">
        <v>10</v>
      </c>
      <c r="M793" s="202">
        <v>105000</v>
      </c>
      <c r="N793" s="204">
        <v>10</v>
      </c>
      <c r="O793" s="198" t="s">
        <v>51</v>
      </c>
      <c r="P793" s="202">
        <v>105000</v>
      </c>
      <c r="Q793" s="198" t="s">
        <v>73</v>
      </c>
      <c r="R793" s="198" t="s">
        <v>53</v>
      </c>
      <c r="S793" s="198" t="s">
        <v>54</v>
      </c>
      <c r="T793" s="198" t="s">
        <v>431</v>
      </c>
      <c r="U793" s="198" t="s">
        <v>367</v>
      </c>
      <c r="V793" s="198" t="s">
        <v>56</v>
      </c>
      <c r="W793" s="198" t="s">
        <v>356</v>
      </c>
      <c r="X793" s="198" t="s">
        <v>57</v>
      </c>
      <c r="Y793" s="198" t="s">
        <v>58</v>
      </c>
      <c r="Z793" s="201">
        <v>46203</v>
      </c>
      <c r="AA793" s="198" t="s">
        <v>59</v>
      </c>
      <c r="AB793" s="198" t="s">
        <v>60</v>
      </c>
      <c r="AC793" s="198" t="s">
        <v>86</v>
      </c>
      <c r="AD793" s="198" t="s">
        <v>62</v>
      </c>
      <c r="AE793" s="198" t="s">
        <v>387</v>
      </c>
      <c r="AF793" s="198" t="s">
        <v>386</v>
      </c>
      <c r="AG793" s="198" t="s">
        <v>189</v>
      </c>
      <c r="AH793" s="198" t="s">
        <v>137</v>
      </c>
      <c r="AI793" s="198" t="s">
        <v>56</v>
      </c>
      <c r="AJ793" s="198" t="s">
        <v>344</v>
      </c>
      <c r="AK793" s="198" t="s">
        <v>51</v>
      </c>
      <c r="AL793" s="198" t="s">
        <v>67</v>
      </c>
      <c r="AM793" s="198" t="s">
        <v>68</v>
      </c>
      <c r="AN793" s="202">
        <v>105000</v>
      </c>
      <c r="AO793" s="202">
        <v>105000</v>
      </c>
      <c r="AP793" s="202">
        <v>105000</v>
      </c>
      <c r="AQ793" s="198" t="s">
        <v>358</v>
      </c>
      <c r="AR793" s="198" t="s">
        <v>51</v>
      </c>
      <c r="AS793" s="202">
        <v>105000</v>
      </c>
      <c r="AT793" s="202">
        <v>105000</v>
      </c>
      <c r="AU793" s="198" t="s">
        <v>359</v>
      </c>
      <c r="AV793" s="198" t="s">
        <v>62</v>
      </c>
      <c r="AW793" s="198" t="s">
        <v>54</v>
      </c>
    </row>
    <row r="794" spans="3:49" outlineLevel="2" x14ac:dyDescent="0.25">
      <c r="C794" s="201"/>
      <c r="D794" s="198" t="s">
        <v>559</v>
      </c>
      <c r="H794" s="198" t="s">
        <v>559</v>
      </c>
      <c r="I794" s="202">
        <f t="shared" si="12"/>
        <v>331604029.34999961</v>
      </c>
      <c r="J794" s="202">
        <v>80.299999999999898</v>
      </c>
      <c r="L794" s="204">
        <v>2</v>
      </c>
      <c r="M794" s="202">
        <v>120000</v>
      </c>
      <c r="N794" s="204">
        <v>2</v>
      </c>
      <c r="O794" s="198" t="s">
        <v>51</v>
      </c>
      <c r="P794" s="202">
        <v>120000</v>
      </c>
      <c r="Q794" s="198" t="s">
        <v>73</v>
      </c>
      <c r="R794" s="198" t="s">
        <v>53</v>
      </c>
      <c r="S794" s="198" t="s">
        <v>54</v>
      </c>
      <c r="T794" s="198" t="s">
        <v>431</v>
      </c>
      <c r="U794" s="198" t="s">
        <v>367</v>
      </c>
      <c r="V794" s="198" t="s">
        <v>56</v>
      </c>
      <c r="W794" s="198" t="s">
        <v>356</v>
      </c>
      <c r="X794" s="198" t="s">
        <v>57</v>
      </c>
      <c r="Y794" s="198" t="s">
        <v>58</v>
      </c>
      <c r="Z794" s="201">
        <v>46203</v>
      </c>
      <c r="AA794" s="198" t="s">
        <v>59</v>
      </c>
      <c r="AB794" s="198" t="s">
        <v>60</v>
      </c>
      <c r="AC794" s="198" t="s">
        <v>86</v>
      </c>
      <c r="AD794" s="198" t="s">
        <v>62</v>
      </c>
      <c r="AE794" s="198" t="s">
        <v>389</v>
      </c>
      <c r="AF794" s="198" t="s">
        <v>388</v>
      </c>
      <c r="AG794" s="198" t="s">
        <v>189</v>
      </c>
      <c r="AH794" s="198" t="s">
        <v>137</v>
      </c>
      <c r="AI794" s="198" t="s">
        <v>56</v>
      </c>
      <c r="AJ794" s="198" t="s">
        <v>2044</v>
      </c>
      <c r="AK794" s="198" t="s">
        <v>51</v>
      </c>
      <c r="AL794" s="198" t="s">
        <v>67</v>
      </c>
      <c r="AM794" s="198" t="s">
        <v>68</v>
      </c>
      <c r="AN794" s="202">
        <v>120000</v>
      </c>
      <c r="AO794" s="202">
        <v>120000</v>
      </c>
      <c r="AP794" s="202">
        <v>120000</v>
      </c>
      <c r="AQ794" s="198" t="s">
        <v>358</v>
      </c>
      <c r="AR794" s="198" t="s">
        <v>51</v>
      </c>
      <c r="AS794" s="202">
        <v>120000</v>
      </c>
      <c r="AT794" s="202">
        <v>120000</v>
      </c>
      <c r="AU794" s="198" t="s">
        <v>359</v>
      </c>
      <c r="AV794" s="198" t="s">
        <v>62</v>
      </c>
      <c r="AW794" s="198" t="s">
        <v>54</v>
      </c>
    </row>
    <row r="795" spans="3:49" outlineLevel="2" x14ac:dyDescent="0.25">
      <c r="C795" s="201"/>
      <c r="D795" s="198" t="s">
        <v>559</v>
      </c>
      <c r="H795" s="198" t="s">
        <v>559</v>
      </c>
      <c r="I795" s="202">
        <f t="shared" si="12"/>
        <v>332016985.79999959</v>
      </c>
      <c r="J795" s="202">
        <v>80.399999999999906</v>
      </c>
      <c r="L795" s="204">
        <v>2</v>
      </c>
      <c r="M795" s="202">
        <v>39200</v>
      </c>
      <c r="N795" s="204">
        <v>2</v>
      </c>
      <c r="O795" s="198" t="s">
        <v>51</v>
      </c>
      <c r="P795" s="202">
        <v>39200</v>
      </c>
      <c r="Q795" s="198" t="s">
        <v>73</v>
      </c>
      <c r="R795" s="198" t="s">
        <v>53</v>
      </c>
      <c r="S795" s="198" t="s">
        <v>54</v>
      </c>
      <c r="T795" s="198" t="s">
        <v>431</v>
      </c>
      <c r="U795" s="198" t="s">
        <v>367</v>
      </c>
      <c r="V795" s="198" t="s">
        <v>56</v>
      </c>
      <c r="W795" s="198" t="s">
        <v>356</v>
      </c>
      <c r="X795" s="198" t="s">
        <v>57</v>
      </c>
      <c r="Y795" s="198" t="s">
        <v>58</v>
      </c>
      <c r="Z795" s="201">
        <v>46203</v>
      </c>
      <c r="AA795" s="198" t="s">
        <v>59</v>
      </c>
      <c r="AB795" s="198" t="s">
        <v>60</v>
      </c>
      <c r="AC795" s="198" t="s">
        <v>86</v>
      </c>
      <c r="AD795" s="198" t="s">
        <v>62</v>
      </c>
      <c r="AE795" s="198" t="s">
        <v>392</v>
      </c>
      <c r="AF795" s="198" t="s">
        <v>391</v>
      </c>
      <c r="AG795" s="198" t="s">
        <v>189</v>
      </c>
      <c r="AH795" s="198" t="s">
        <v>137</v>
      </c>
      <c r="AI795" s="198" t="s">
        <v>56</v>
      </c>
      <c r="AJ795" s="198" t="s">
        <v>128</v>
      </c>
      <c r="AK795" s="198" t="s">
        <v>51</v>
      </c>
      <c r="AL795" s="198" t="s">
        <v>67</v>
      </c>
      <c r="AM795" s="198" t="s">
        <v>68</v>
      </c>
      <c r="AN795" s="202">
        <v>39200</v>
      </c>
      <c r="AO795" s="202">
        <v>39200</v>
      </c>
      <c r="AP795" s="202">
        <v>39200</v>
      </c>
      <c r="AQ795" s="198" t="s">
        <v>358</v>
      </c>
      <c r="AR795" s="198" t="s">
        <v>51</v>
      </c>
      <c r="AS795" s="202">
        <v>39200</v>
      </c>
      <c r="AT795" s="202">
        <v>39200</v>
      </c>
      <c r="AU795" s="198" t="s">
        <v>359</v>
      </c>
      <c r="AV795" s="198" t="s">
        <v>62</v>
      </c>
      <c r="AW795" s="198" t="s">
        <v>54</v>
      </c>
    </row>
    <row r="796" spans="3:49" outlineLevel="2" x14ac:dyDescent="0.25">
      <c r="C796" s="201"/>
      <c r="D796" s="198" t="s">
        <v>559</v>
      </c>
      <c r="H796" s="198" t="s">
        <v>559</v>
      </c>
      <c r="I796" s="202">
        <f t="shared" si="12"/>
        <v>332429942.24999958</v>
      </c>
      <c r="J796" s="202">
        <v>80.499999999999901</v>
      </c>
      <c r="L796" s="204">
        <v>2</v>
      </c>
      <c r="M796" s="202">
        <v>30000</v>
      </c>
      <c r="N796" s="204">
        <v>2</v>
      </c>
      <c r="O796" s="198" t="s">
        <v>51</v>
      </c>
      <c r="P796" s="202">
        <v>30000</v>
      </c>
      <c r="Q796" s="198" t="s">
        <v>73</v>
      </c>
      <c r="R796" s="198" t="s">
        <v>53</v>
      </c>
      <c r="S796" s="198" t="s">
        <v>54</v>
      </c>
      <c r="T796" s="198" t="s">
        <v>431</v>
      </c>
      <c r="U796" s="198" t="s">
        <v>367</v>
      </c>
      <c r="V796" s="198" t="s">
        <v>56</v>
      </c>
      <c r="W796" s="198" t="s">
        <v>356</v>
      </c>
      <c r="X796" s="198" t="s">
        <v>57</v>
      </c>
      <c r="Y796" s="198" t="s">
        <v>58</v>
      </c>
      <c r="Z796" s="201">
        <v>46203</v>
      </c>
      <c r="AA796" s="198" t="s">
        <v>59</v>
      </c>
      <c r="AB796" s="198" t="s">
        <v>60</v>
      </c>
      <c r="AC796" s="198" t="s">
        <v>86</v>
      </c>
      <c r="AD796" s="198" t="s">
        <v>62</v>
      </c>
      <c r="AE796" s="198" t="s">
        <v>394</v>
      </c>
      <c r="AF796" s="198" t="s">
        <v>393</v>
      </c>
      <c r="AG796" s="198" t="s">
        <v>189</v>
      </c>
      <c r="AH796" s="198" t="s">
        <v>137</v>
      </c>
      <c r="AI796" s="198" t="s">
        <v>56</v>
      </c>
      <c r="AJ796" s="198" t="s">
        <v>395</v>
      </c>
      <c r="AK796" s="198" t="s">
        <v>51</v>
      </c>
      <c r="AL796" s="198" t="s">
        <v>67</v>
      </c>
      <c r="AM796" s="198" t="s">
        <v>68</v>
      </c>
      <c r="AN796" s="202">
        <v>30000</v>
      </c>
      <c r="AO796" s="202">
        <v>30000</v>
      </c>
      <c r="AP796" s="202">
        <v>30000</v>
      </c>
      <c r="AQ796" s="198" t="s">
        <v>358</v>
      </c>
      <c r="AR796" s="198" t="s">
        <v>51</v>
      </c>
      <c r="AS796" s="202">
        <v>30000</v>
      </c>
      <c r="AT796" s="202">
        <v>30000</v>
      </c>
      <c r="AU796" s="198" t="s">
        <v>359</v>
      </c>
      <c r="AV796" s="198" t="s">
        <v>62</v>
      </c>
      <c r="AW796" s="198" t="s">
        <v>54</v>
      </c>
    </row>
    <row r="797" spans="3:49" outlineLevel="2" x14ac:dyDescent="0.25">
      <c r="C797" s="201"/>
      <c r="D797" s="198" t="s">
        <v>559</v>
      </c>
      <c r="H797" s="198" t="s">
        <v>559</v>
      </c>
      <c r="I797" s="202">
        <f t="shared" si="12"/>
        <v>332842898.69999957</v>
      </c>
      <c r="J797" s="202">
        <v>80.599999999999895</v>
      </c>
      <c r="L797" s="204">
        <v>2</v>
      </c>
      <c r="M797" s="202">
        <v>48000</v>
      </c>
      <c r="N797" s="204">
        <v>2</v>
      </c>
      <c r="O797" s="198" t="s">
        <v>51</v>
      </c>
      <c r="P797" s="202">
        <v>48000</v>
      </c>
      <c r="Q797" s="198" t="s">
        <v>73</v>
      </c>
      <c r="R797" s="198" t="s">
        <v>53</v>
      </c>
      <c r="S797" s="198" t="s">
        <v>54</v>
      </c>
      <c r="T797" s="198" t="s">
        <v>431</v>
      </c>
      <c r="U797" s="198" t="s">
        <v>367</v>
      </c>
      <c r="V797" s="198" t="s">
        <v>56</v>
      </c>
      <c r="W797" s="198" t="s">
        <v>356</v>
      </c>
      <c r="X797" s="198" t="s">
        <v>57</v>
      </c>
      <c r="Y797" s="198" t="s">
        <v>58</v>
      </c>
      <c r="Z797" s="201">
        <v>46203</v>
      </c>
      <c r="AA797" s="198" t="s">
        <v>59</v>
      </c>
      <c r="AB797" s="198" t="s">
        <v>60</v>
      </c>
      <c r="AC797" s="198" t="s">
        <v>86</v>
      </c>
      <c r="AD797" s="198" t="s">
        <v>62</v>
      </c>
      <c r="AE797" s="198" t="s">
        <v>397</v>
      </c>
      <c r="AF797" s="198" t="s">
        <v>396</v>
      </c>
      <c r="AG797" s="198" t="s">
        <v>189</v>
      </c>
      <c r="AH797" s="198" t="s">
        <v>137</v>
      </c>
      <c r="AI797" s="198" t="s">
        <v>56</v>
      </c>
      <c r="AJ797" s="198" t="s">
        <v>398</v>
      </c>
      <c r="AK797" s="198" t="s">
        <v>51</v>
      </c>
      <c r="AL797" s="198" t="s">
        <v>67</v>
      </c>
      <c r="AM797" s="198" t="s">
        <v>68</v>
      </c>
      <c r="AN797" s="202">
        <v>48000</v>
      </c>
      <c r="AO797" s="202">
        <v>48000</v>
      </c>
      <c r="AP797" s="202">
        <v>48000</v>
      </c>
      <c r="AQ797" s="198" t="s">
        <v>358</v>
      </c>
      <c r="AR797" s="198" t="s">
        <v>51</v>
      </c>
      <c r="AS797" s="202">
        <v>48000</v>
      </c>
      <c r="AT797" s="202">
        <v>48000</v>
      </c>
      <c r="AU797" s="198" t="s">
        <v>359</v>
      </c>
      <c r="AV797" s="198" t="s">
        <v>62</v>
      </c>
      <c r="AW797" s="198" t="s">
        <v>54</v>
      </c>
    </row>
    <row r="798" spans="3:49" outlineLevel="2" x14ac:dyDescent="0.25">
      <c r="C798" s="201"/>
      <c r="D798" s="198" t="s">
        <v>559</v>
      </c>
      <c r="H798" s="198" t="s">
        <v>559</v>
      </c>
      <c r="I798" s="202">
        <f t="shared" si="12"/>
        <v>333255855.14999962</v>
      </c>
      <c r="J798" s="202">
        <v>80.699999999999903</v>
      </c>
      <c r="L798" s="204">
        <v>2</v>
      </c>
      <c r="M798" s="202">
        <v>31800</v>
      </c>
      <c r="N798" s="204">
        <v>2</v>
      </c>
      <c r="O798" s="198" t="s">
        <v>51</v>
      </c>
      <c r="P798" s="202">
        <v>31800</v>
      </c>
      <c r="Q798" s="198" t="s">
        <v>73</v>
      </c>
      <c r="R798" s="198" t="s">
        <v>53</v>
      </c>
      <c r="S798" s="198" t="s">
        <v>54</v>
      </c>
      <c r="T798" s="198" t="s">
        <v>431</v>
      </c>
      <c r="U798" s="198" t="s">
        <v>367</v>
      </c>
      <c r="V798" s="198" t="s">
        <v>56</v>
      </c>
      <c r="W798" s="198" t="s">
        <v>356</v>
      </c>
      <c r="X798" s="198" t="s">
        <v>57</v>
      </c>
      <c r="Y798" s="198" t="s">
        <v>58</v>
      </c>
      <c r="Z798" s="201">
        <v>46203</v>
      </c>
      <c r="AA798" s="198" t="s">
        <v>59</v>
      </c>
      <c r="AB798" s="198" t="s">
        <v>60</v>
      </c>
      <c r="AC798" s="198" t="s">
        <v>86</v>
      </c>
      <c r="AD798" s="198" t="s">
        <v>62</v>
      </c>
      <c r="AE798" s="198" t="s">
        <v>400</v>
      </c>
      <c r="AF798" s="198" t="s">
        <v>399</v>
      </c>
      <c r="AG798" s="198" t="s">
        <v>189</v>
      </c>
      <c r="AH798" s="198" t="s">
        <v>137</v>
      </c>
      <c r="AI798" s="198" t="s">
        <v>56</v>
      </c>
      <c r="AJ798" s="198" t="s">
        <v>344</v>
      </c>
      <c r="AK798" s="198" t="s">
        <v>51</v>
      </c>
      <c r="AL798" s="198" t="s">
        <v>67</v>
      </c>
      <c r="AM798" s="198" t="s">
        <v>68</v>
      </c>
      <c r="AN798" s="202">
        <v>31800</v>
      </c>
      <c r="AO798" s="202">
        <v>31800</v>
      </c>
      <c r="AP798" s="202">
        <v>31800</v>
      </c>
      <c r="AQ798" s="198" t="s">
        <v>358</v>
      </c>
      <c r="AR798" s="198" t="s">
        <v>51</v>
      </c>
      <c r="AS798" s="202">
        <v>31800</v>
      </c>
      <c r="AT798" s="202">
        <v>31800</v>
      </c>
      <c r="AU798" s="198" t="s">
        <v>359</v>
      </c>
      <c r="AV798" s="198" t="s">
        <v>62</v>
      </c>
      <c r="AW798" s="198" t="s">
        <v>54</v>
      </c>
    </row>
    <row r="799" spans="3:49" outlineLevel="2" x14ac:dyDescent="0.25">
      <c r="C799" s="201"/>
      <c r="D799" s="198" t="s">
        <v>559</v>
      </c>
      <c r="H799" s="198" t="s">
        <v>559</v>
      </c>
      <c r="I799" s="202">
        <f t="shared" si="12"/>
        <v>333668811.59999961</v>
      </c>
      <c r="J799" s="202">
        <v>80.799999999999898</v>
      </c>
      <c r="L799" s="204">
        <v>2</v>
      </c>
      <c r="M799" s="202">
        <v>16000</v>
      </c>
      <c r="N799" s="204">
        <v>2</v>
      </c>
      <c r="O799" s="198" t="s">
        <v>51</v>
      </c>
      <c r="P799" s="202">
        <v>16000</v>
      </c>
      <c r="Q799" s="198" t="s">
        <v>73</v>
      </c>
      <c r="R799" s="198" t="s">
        <v>53</v>
      </c>
      <c r="S799" s="198" t="s">
        <v>54</v>
      </c>
      <c r="T799" s="198" t="s">
        <v>431</v>
      </c>
      <c r="U799" s="198" t="s">
        <v>367</v>
      </c>
      <c r="V799" s="198" t="s">
        <v>56</v>
      </c>
      <c r="W799" s="198" t="s">
        <v>356</v>
      </c>
      <c r="X799" s="198" t="s">
        <v>57</v>
      </c>
      <c r="Y799" s="198" t="s">
        <v>58</v>
      </c>
      <c r="Z799" s="201">
        <v>46203</v>
      </c>
      <c r="AA799" s="198" t="s">
        <v>59</v>
      </c>
      <c r="AB799" s="198" t="s">
        <v>60</v>
      </c>
      <c r="AC799" s="198" t="s">
        <v>86</v>
      </c>
      <c r="AD799" s="198" t="s">
        <v>62</v>
      </c>
      <c r="AE799" s="198" t="s">
        <v>402</v>
      </c>
      <c r="AF799" s="198" t="s">
        <v>401</v>
      </c>
      <c r="AG799" s="198" t="s">
        <v>189</v>
      </c>
      <c r="AH799" s="198" t="s">
        <v>137</v>
      </c>
      <c r="AI799" s="198" t="s">
        <v>56</v>
      </c>
      <c r="AJ799" s="198" t="s">
        <v>403</v>
      </c>
      <c r="AK799" s="198" t="s">
        <v>51</v>
      </c>
      <c r="AL799" s="198" t="s">
        <v>67</v>
      </c>
      <c r="AM799" s="198" t="s">
        <v>68</v>
      </c>
      <c r="AN799" s="202">
        <v>16000</v>
      </c>
      <c r="AO799" s="202">
        <v>16000</v>
      </c>
      <c r="AP799" s="202">
        <v>16000</v>
      </c>
      <c r="AQ799" s="198" t="s">
        <v>358</v>
      </c>
      <c r="AR799" s="198" t="s">
        <v>51</v>
      </c>
      <c r="AS799" s="202">
        <v>16000</v>
      </c>
      <c r="AT799" s="202">
        <v>16000</v>
      </c>
      <c r="AU799" s="198" t="s">
        <v>359</v>
      </c>
      <c r="AV799" s="198" t="s">
        <v>62</v>
      </c>
      <c r="AW799" s="198" t="s">
        <v>54</v>
      </c>
    </row>
    <row r="800" spans="3:49" outlineLevel="2" x14ac:dyDescent="0.25">
      <c r="C800" s="201"/>
      <c r="D800" s="198" t="s">
        <v>559</v>
      </c>
      <c r="H800" s="198" t="s">
        <v>559</v>
      </c>
      <c r="I800" s="202">
        <f t="shared" si="12"/>
        <v>334081768.04999959</v>
      </c>
      <c r="J800" s="202">
        <v>80.899999999999906</v>
      </c>
      <c r="L800" s="204">
        <v>2</v>
      </c>
      <c r="M800" s="202">
        <v>16000</v>
      </c>
      <c r="N800" s="204">
        <v>2</v>
      </c>
      <c r="O800" s="198" t="s">
        <v>51</v>
      </c>
      <c r="P800" s="202">
        <v>16000</v>
      </c>
      <c r="Q800" s="198" t="s">
        <v>73</v>
      </c>
      <c r="R800" s="198" t="s">
        <v>53</v>
      </c>
      <c r="S800" s="198" t="s">
        <v>54</v>
      </c>
      <c r="T800" s="198" t="s">
        <v>431</v>
      </c>
      <c r="U800" s="198" t="s">
        <v>367</v>
      </c>
      <c r="V800" s="198" t="s">
        <v>56</v>
      </c>
      <c r="W800" s="198" t="s">
        <v>356</v>
      </c>
      <c r="X800" s="198" t="s">
        <v>57</v>
      </c>
      <c r="Y800" s="198" t="s">
        <v>58</v>
      </c>
      <c r="Z800" s="201">
        <v>46203</v>
      </c>
      <c r="AA800" s="198" t="s">
        <v>59</v>
      </c>
      <c r="AB800" s="198" t="s">
        <v>60</v>
      </c>
      <c r="AC800" s="198" t="s">
        <v>86</v>
      </c>
      <c r="AD800" s="198" t="s">
        <v>62</v>
      </c>
      <c r="AE800" s="198" t="s">
        <v>405</v>
      </c>
      <c r="AF800" s="198" t="s">
        <v>404</v>
      </c>
      <c r="AG800" s="198" t="s">
        <v>189</v>
      </c>
      <c r="AH800" s="198" t="s">
        <v>137</v>
      </c>
      <c r="AI800" s="198" t="s">
        <v>56</v>
      </c>
      <c r="AJ800" s="198" t="s">
        <v>406</v>
      </c>
      <c r="AK800" s="198" t="s">
        <v>51</v>
      </c>
      <c r="AL800" s="198" t="s">
        <v>67</v>
      </c>
      <c r="AM800" s="198" t="s">
        <v>68</v>
      </c>
      <c r="AN800" s="202">
        <v>16000</v>
      </c>
      <c r="AO800" s="202">
        <v>16000</v>
      </c>
      <c r="AP800" s="202">
        <v>16000</v>
      </c>
      <c r="AQ800" s="198" t="s">
        <v>358</v>
      </c>
      <c r="AR800" s="198" t="s">
        <v>51</v>
      </c>
      <c r="AS800" s="202">
        <v>16000</v>
      </c>
      <c r="AT800" s="202">
        <v>16000</v>
      </c>
      <c r="AU800" s="198" t="s">
        <v>359</v>
      </c>
      <c r="AV800" s="198" t="s">
        <v>62</v>
      </c>
      <c r="AW800" s="198" t="s">
        <v>54</v>
      </c>
    </row>
    <row r="801" spans="3:49" outlineLevel="2" x14ac:dyDescent="0.25">
      <c r="C801" s="201"/>
      <c r="D801" s="198" t="s">
        <v>559</v>
      </c>
      <c r="H801" s="198" t="s">
        <v>559</v>
      </c>
      <c r="I801" s="202">
        <f t="shared" si="12"/>
        <v>334494724.49999958</v>
      </c>
      <c r="J801" s="202">
        <v>80.999999999999901</v>
      </c>
      <c r="L801" s="204">
        <v>1</v>
      </c>
      <c r="M801" s="202">
        <v>12000</v>
      </c>
      <c r="N801" s="204">
        <v>1</v>
      </c>
      <c r="O801" s="198" t="s">
        <v>51</v>
      </c>
      <c r="P801" s="202">
        <v>12000</v>
      </c>
      <c r="Q801" s="198" t="s">
        <v>73</v>
      </c>
      <c r="R801" s="198" t="s">
        <v>53</v>
      </c>
      <c r="S801" s="198" t="s">
        <v>54</v>
      </c>
      <c r="T801" s="198" t="s">
        <v>431</v>
      </c>
      <c r="U801" s="198" t="s">
        <v>367</v>
      </c>
      <c r="V801" s="198" t="s">
        <v>56</v>
      </c>
      <c r="W801" s="198" t="s">
        <v>356</v>
      </c>
      <c r="X801" s="198" t="s">
        <v>57</v>
      </c>
      <c r="Y801" s="198" t="s">
        <v>58</v>
      </c>
      <c r="Z801" s="201">
        <v>46203</v>
      </c>
      <c r="AA801" s="198" t="s">
        <v>59</v>
      </c>
      <c r="AB801" s="198" t="s">
        <v>60</v>
      </c>
      <c r="AC801" s="198" t="s">
        <v>86</v>
      </c>
      <c r="AD801" s="198" t="s">
        <v>62</v>
      </c>
      <c r="AE801" s="198" t="s">
        <v>408</v>
      </c>
      <c r="AF801" s="198" t="s">
        <v>407</v>
      </c>
      <c r="AG801" s="198" t="s">
        <v>189</v>
      </c>
      <c r="AH801" s="198" t="s">
        <v>137</v>
      </c>
      <c r="AI801" s="198" t="s">
        <v>56</v>
      </c>
      <c r="AJ801" s="198" t="s">
        <v>409</v>
      </c>
      <c r="AK801" s="198" t="s">
        <v>51</v>
      </c>
      <c r="AL801" s="198" t="s">
        <v>67</v>
      </c>
      <c r="AM801" s="198" t="s">
        <v>68</v>
      </c>
      <c r="AN801" s="202">
        <v>12000</v>
      </c>
      <c r="AO801" s="202">
        <v>12000</v>
      </c>
      <c r="AP801" s="202">
        <v>12000</v>
      </c>
      <c r="AQ801" s="198" t="s">
        <v>358</v>
      </c>
      <c r="AR801" s="198" t="s">
        <v>51</v>
      </c>
      <c r="AS801" s="202">
        <v>12000</v>
      </c>
      <c r="AT801" s="202">
        <v>12000</v>
      </c>
      <c r="AU801" s="198" t="s">
        <v>359</v>
      </c>
      <c r="AV801" s="198" t="s">
        <v>62</v>
      </c>
      <c r="AW801" s="198" t="s">
        <v>54</v>
      </c>
    </row>
    <row r="802" spans="3:49" outlineLevel="2" x14ac:dyDescent="0.25">
      <c r="C802" s="201"/>
      <c r="D802" s="198" t="s">
        <v>559</v>
      </c>
      <c r="H802" s="198" t="s">
        <v>559</v>
      </c>
      <c r="I802" s="202">
        <f t="shared" si="12"/>
        <v>334907680.94999957</v>
      </c>
      <c r="J802" s="202">
        <v>81.099999999999895</v>
      </c>
      <c r="L802" s="204">
        <v>2</v>
      </c>
      <c r="M802" s="202">
        <v>64000</v>
      </c>
      <c r="N802" s="204">
        <v>2</v>
      </c>
      <c r="O802" s="198" t="s">
        <v>51</v>
      </c>
      <c r="P802" s="202">
        <v>64000</v>
      </c>
      <c r="Q802" s="198" t="s">
        <v>73</v>
      </c>
      <c r="R802" s="198" t="s">
        <v>53</v>
      </c>
      <c r="S802" s="198" t="s">
        <v>54</v>
      </c>
      <c r="T802" s="198" t="s">
        <v>431</v>
      </c>
      <c r="U802" s="198" t="s">
        <v>367</v>
      </c>
      <c r="V802" s="198" t="s">
        <v>56</v>
      </c>
      <c r="W802" s="198" t="s">
        <v>356</v>
      </c>
      <c r="X802" s="198" t="s">
        <v>57</v>
      </c>
      <c r="Y802" s="198" t="s">
        <v>58</v>
      </c>
      <c r="Z802" s="201">
        <v>46203</v>
      </c>
      <c r="AA802" s="198" t="s">
        <v>59</v>
      </c>
      <c r="AB802" s="198" t="s">
        <v>60</v>
      </c>
      <c r="AC802" s="198" t="s">
        <v>86</v>
      </c>
      <c r="AD802" s="198" t="s">
        <v>62</v>
      </c>
      <c r="AE802" s="198" t="s">
        <v>411</v>
      </c>
      <c r="AF802" s="198" t="s">
        <v>410</v>
      </c>
      <c r="AG802" s="198" t="s">
        <v>189</v>
      </c>
      <c r="AH802" s="198" t="s">
        <v>137</v>
      </c>
      <c r="AI802" s="198" t="s">
        <v>56</v>
      </c>
      <c r="AJ802" s="198" t="s">
        <v>412</v>
      </c>
      <c r="AK802" s="198" t="s">
        <v>51</v>
      </c>
      <c r="AL802" s="198" t="s">
        <v>67</v>
      </c>
      <c r="AM802" s="198" t="s">
        <v>68</v>
      </c>
      <c r="AN802" s="202">
        <v>64000</v>
      </c>
      <c r="AO802" s="202">
        <v>64000</v>
      </c>
      <c r="AP802" s="202">
        <v>64000</v>
      </c>
      <c r="AQ802" s="198" t="s">
        <v>358</v>
      </c>
      <c r="AR802" s="198" t="s">
        <v>51</v>
      </c>
      <c r="AS802" s="202">
        <v>64000</v>
      </c>
      <c r="AT802" s="202">
        <v>64000</v>
      </c>
      <c r="AU802" s="198" t="s">
        <v>359</v>
      </c>
      <c r="AV802" s="198" t="s">
        <v>62</v>
      </c>
      <c r="AW802" s="198" t="s">
        <v>54</v>
      </c>
    </row>
    <row r="803" spans="3:49" outlineLevel="2" x14ac:dyDescent="0.25">
      <c r="C803" s="201"/>
      <c r="D803" s="198" t="s">
        <v>559</v>
      </c>
      <c r="H803" s="198" t="s">
        <v>559</v>
      </c>
      <c r="I803" s="202">
        <f t="shared" si="12"/>
        <v>335320637.39999962</v>
      </c>
      <c r="J803" s="202">
        <v>81.199999999999903</v>
      </c>
      <c r="L803" s="204">
        <v>1</v>
      </c>
      <c r="M803" s="202">
        <v>318400</v>
      </c>
      <c r="N803" s="204">
        <v>1</v>
      </c>
      <c r="O803" s="198" t="s">
        <v>51</v>
      </c>
      <c r="P803" s="202">
        <v>318400</v>
      </c>
      <c r="Q803" s="198" t="s">
        <v>73</v>
      </c>
      <c r="R803" s="198" t="s">
        <v>53</v>
      </c>
      <c r="S803" s="198" t="s">
        <v>54</v>
      </c>
      <c r="T803" s="198" t="s">
        <v>431</v>
      </c>
      <c r="U803" s="198" t="s">
        <v>367</v>
      </c>
      <c r="V803" s="198" t="s">
        <v>56</v>
      </c>
      <c r="W803" s="198" t="s">
        <v>356</v>
      </c>
      <c r="X803" s="198" t="s">
        <v>57</v>
      </c>
      <c r="Y803" s="198" t="s">
        <v>58</v>
      </c>
      <c r="Z803" s="201">
        <v>46203</v>
      </c>
      <c r="AA803" s="198" t="s">
        <v>59</v>
      </c>
      <c r="AB803" s="198" t="s">
        <v>60</v>
      </c>
      <c r="AC803" s="198" t="s">
        <v>86</v>
      </c>
      <c r="AD803" s="198" t="s">
        <v>62</v>
      </c>
      <c r="AE803" s="198" t="s">
        <v>414</v>
      </c>
      <c r="AF803" s="198" t="s">
        <v>413</v>
      </c>
      <c r="AG803" s="198" t="s">
        <v>189</v>
      </c>
      <c r="AH803" s="198" t="s">
        <v>137</v>
      </c>
      <c r="AI803" s="198" t="s">
        <v>56</v>
      </c>
      <c r="AJ803" s="198" t="s">
        <v>395</v>
      </c>
      <c r="AK803" s="198" t="s">
        <v>51</v>
      </c>
      <c r="AL803" s="198" t="s">
        <v>67</v>
      </c>
      <c r="AM803" s="198" t="s">
        <v>68</v>
      </c>
      <c r="AN803" s="202">
        <v>318400</v>
      </c>
      <c r="AO803" s="202">
        <v>318400</v>
      </c>
      <c r="AP803" s="202">
        <v>318400</v>
      </c>
      <c r="AQ803" s="198" t="s">
        <v>358</v>
      </c>
      <c r="AR803" s="198" t="s">
        <v>51</v>
      </c>
      <c r="AS803" s="202">
        <v>318400</v>
      </c>
      <c r="AT803" s="202">
        <v>318400</v>
      </c>
      <c r="AU803" s="198" t="s">
        <v>359</v>
      </c>
      <c r="AV803" s="198" t="s">
        <v>62</v>
      </c>
      <c r="AW803" s="198" t="s">
        <v>54</v>
      </c>
    </row>
    <row r="804" spans="3:49" outlineLevel="2" x14ac:dyDescent="0.25">
      <c r="C804" s="201"/>
      <c r="D804" s="198" t="s">
        <v>559</v>
      </c>
      <c r="H804" s="198" t="s">
        <v>559</v>
      </c>
      <c r="I804" s="202">
        <f t="shared" si="12"/>
        <v>335733593.84999961</v>
      </c>
      <c r="J804" s="202">
        <v>81.299999999999898</v>
      </c>
      <c r="L804" s="204">
        <v>1</v>
      </c>
      <c r="M804" s="202">
        <v>3750000</v>
      </c>
      <c r="N804" s="204">
        <v>1</v>
      </c>
      <c r="O804" s="198" t="s">
        <v>51</v>
      </c>
      <c r="P804" s="202">
        <v>3750000</v>
      </c>
      <c r="Q804" s="198" t="s">
        <v>335</v>
      </c>
      <c r="R804" s="198" t="s">
        <v>53</v>
      </c>
      <c r="S804" s="198" t="s">
        <v>54</v>
      </c>
      <c r="T804" s="198" t="s">
        <v>431</v>
      </c>
      <c r="U804" s="198" t="s">
        <v>367</v>
      </c>
      <c r="V804" s="198" t="s">
        <v>56</v>
      </c>
      <c r="W804" s="198" t="s">
        <v>356</v>
      </c>
      <c r="X804" s="198" t="s">
        <v>57</v>
      </c>
      <c r="Y804" s="198" t="s">
        <v>58</v>
      </c>
      <c r="Z804" s="201">
        <v>46203</v>
      </c>
      <c r="AA804" s="198" t="s">
        <v>59</v>
      </c>
      <c r="AB804" s="198" t="s">
        <v>60</v>
      </c>
      <c r="AC804" s="198" t="s">
        <v>86</v>
      </c>
      <c r="AD804" s="198" t="s">
        <v>62</v>
      </c>
      <c r="AE804" s="198" t="s">
        <v>416</v>
      </c>
      <c r="AF804" s="198" t="s">
        <v>415</v>
      </c>
      <c r="AG804" s="198" t="s">
        <v>189</v>
      </c>
      <c r="AH804" s="198" t="s">
        <v>137</v>
      </c>
      <c r="AI804" s="198" t="s">
        <v>56</v>
      </c>
      <c r="AJ804" s="198" t="s">
        <v>118</v>
      </c>
      <c r="AK804" s="198" t="s">
        <v>51</v>
      </c>
      <c r="AL804" s="198" t="s">
        <v>67</v>
      </c>
      <c r="AM804" s="198" t="s">
        <v>68</v>
      </c>
      <c r="AN804" s="202">
        <v>3750000</v>
      </c>
      <c r="AO804" s="202">
        <v>3750000</v>
      </c>
      <c r="AP804" s="202">
        <v>3750000</v>
      </c>
      <c r="AQ804" s="198" t="s">
        <v>358</v>
      </c>
      <c r="AR804" s="198" t="s">
        <v>51</v>
      </c>
      <c r="AS804" s="202">
        <v>3750000</v>
      </c>
      <c r="AT804" s="202">
        <v>3750000</v>
      </c>
      <c r="AU804" s="198" t="s">
        <v>359</v>
      </c>
      <c r="AV804" s="198" t="s">
        <v>62</v>
      </c>
      <c r="AW804" s="198" t="s">
        <v>54</v>
      </c>
    </row>
    <row r="805" spans="3:49" outlineLevel="2" x14ac:dyDescent="0.25">
      <c r="C805" s="201"/>
      <c r="D805" s="198" t="s">
        <v>559</v>
      </c>
      <c r="H805" s="198" t="s">
        <v>559</v>
      </c>
      <c r="I805" s="202">
        <f t="shared" si="12"/>
        <v>336146550.29999959</v>
      </c>
      <c r="J805" s="202">
        <v>81.399999999999906</v>
      </c>
      <c r="L805" s="204">
        <v>4</v>
      </c>
      <c r="M805" s="202">
        <v>1600000</v>
      </c>
      <c r="N805" s="204">
        <v>4</v>
      </c>
      <c r="O805" s="198" t="s">
        <v>51</v>
      </c>
      <c r="P805" s="202">
        <v>1600000</v>
      </c>
      <c r="Q805" s="198" t="s">
        <v>73</v>
      </c>
      <c r="R805" s="198" t="s">
        <v>53</v>
      </c>
      <c r="S805" s="198" t="s">
        <v>54</v>
      </c>
      <c r="T805" s="198" t="s">
        <v>431</v>
      </c>
      <c r="U805" s="198" t="s">
        <v>367</v>
      </c>
      <c r="V805" s="198" t="s">
        <v>56</v>
      </c>
      <c r="W805" s="198" t="s">
        <v>356</v>
      </c>
      <c r="X805" s="198" t="s">
        <v>57</v>
      </c>
      <c r="Y805" s="198" t="s">
        <v>58</v>
      </c>
      <c r="Z805" s="201">
        <v>46203</v>
      </c>
      <c r="AA805" s="198" t="s">
        <v>59</v>
      </c>
      <c r="AB805" s="198" t="s">
        <v>60</v>
      </c>
      <c r="AC805" s="198" t="s">
        <v>86</v>
      </c>
      <c r="AD805" s="198" t="s">
        <v>62</v>
      </c>
      <c r="AE805" s="198" t="s">
        <v>418</v>
      </c>
      <c r="AF805" s="198" t="s">
        <v>417</v>
      </c>
      <c r="AG805" s="198" t="s">
        <v>189</v>
      </c>
      <c r="AH805" s="198" t="s">
        <v>137</v>
      </c>
      <c r="AI805" s="198" t="s">
        <v>56</v>
      </c>
      <c r="AJ805" s="198" t="s">
        <v>419</v>
      </c>
      <c r="AK805" s="198" t="s">
        <v>51</v>
      </c>
      <c r="AL805" s="198" t="s">
        <v>67</v>
      </c>
      <c r="AM805" s="198" t="s">
        <v>68</v>
      </c>
      <c r="AN805" s="202">
        <v>1600000</v>
      </c>
      <c r="AO805" s="202">
        <v>1600000</v>
      </c>
      <c r="AP805" s="202">
        <v>1600000</v>
      </c>
      <c r="AQ805" s="198" t="s">
        <v>358</v>
      </c>
      <c r="AR805" s="198" t="s">
        <v>51</v>
      </c>
      <c r="AS805" s="202">
        <v>1600000</v>
      </c>
      <c r="AT805" s="202">
        <v>1600000</v>
      </c>
      <c r="AU805" s="198" t="s">
        <v>359</v>
      </c>
      <c r="AV805" s="198" t="s">
        <v>62</v>
      </c>
      <c r="AW805" s="198" t="s">
        <v>54</v>
      </c>
    </row>
    <row r="806" spans="3:49" outlineLevel="2" x14ac:dyDescent="0.25">
      <c r="C806" s="201"/>
      <c r="D806" s="198" t="s">
        <v>559</v>
      </c>
      <c r="H806" s="198" t="s">
        <v>559</v>
      </c>
      <c r="I806" s="202">
        <f t="shared" si="12"/>
        <v>336559506.74999958</v>
      </c>
      <c r="J806" s="202">
        <v>81.499999999999901</v>
      </c>
      <c r="L806" s="204">
        <v>4</v>
      </c>
      <c r="M806" s="202">
        <v>320000</v>
      </c>
      <c r="N806" s="204">
        <v>4</v>
      </c>
      <c r="O806" s="198" t="s">
        <v>51</v>
      </c>
      <c r="P806" s="202">
        <v>320000</v>
      </c>
      <c r="Q806" s="198" t="s">
        <v>73</v>
      </c>
      <c r="R806" s="198" t="s">
        <v>53</v>
      </c>
      <c r="S806" s="198" t="s">
        <v>54</v>
      </c>
      <c r="T806" s="198" t="s">
        <v>431</v>
      </c>
      <c r="U806" s="198" t="s">
        <v>367</v>
      </c>
      <c r="V806" s="198" t="s">
        <v>56</v>
      </c>
      <c r="W806" s="198" t="s">
        <v>356</v>
      </c>
      <c r="X806" s="198" t="s">
        <v>57</v>
      </c>
      <c r="Y806" s="198" t="s">
        <v>58</v>
      </c>
      <c r="Z806" s="201">
        <v>46203</v>
      </c>
      <c r="AA806" s="198" t="s">
        <v>59</v>
      </c>
      <c r="AB806" s="198" t="s">
        <v>60</v>
      </c>
      <c r="AC806" s="198" t="s">
        <v>86</v>
      </c>
      <c r="AD806" s="198" t="s">
        <v>62</v>
      </c>
      <c r="AE806" s="198" t="s">
        <v>420</v>
      </c>
      <c r="AF806" s="198" t="s">
        <v>417</v>
      </c>
      <c r="AG806" s="198" t="s">
        <v>189</v>
      </c>
      <c r="AH806" s="198" t="s">
        <v>137</v>
      </c>
      <c r="AI806" s="198" t="s">
        <v>56</v>
      </c>
      <c r="AJ806" s="198" t="s">
        <v>419</v>
      </c>
      <c r="AK806" s="198" t="s">
        <v>51</v>
      </c>
      <c r="AL806" s="198" t="s">
        <v>67</v>
      </c>
      <c r="AM806" s="198" t="s">
        <v>68</v>
      </c>
      <c r="AN806" s="202">
        <v>320000</v>
      </c>
      <c r="AO806" s="202">
        <v>320000</v>
      </c>
      <c r="AP806" s="202">
        <v>320000</v>
      </c>
      <c r="AQ806" s="198" t="s">
        <v>358</v>
      </c>
      <c r="AR806" s="198" t="s">
        <v>51</v>
      </c>
      <c r="AS806" s="202">
        <v>320000</v>
      </c>
      <c r="AT806" s="202">
        <v>320000</v>
      </c>
      <c r="AU806" s="198" t="s">
        <v>359</v>
      </c>
      <c r="AV806" s="198" t="s">
        <v>62</v>
      </c>
      <c r="AW806" s="198" t="s">
        <v>54</v>
      </c>
    </row>
    <row r="807" spans="3:49" outlineLevel="2" x14ac:dyDescent="0.25">
      <c r="C807" s="201"/>
      <c r="D807" s="198" t="s">
        <v>559</v>
      </c>
      <c r="H807" s="198" t="s">
        <v>559</v>
      </c>
      <c r="I807" s="202">
        <f t="shared" si="12"/>
        <v>336972463.19999957</v>
      </c>
      <c r="J807" s="202">
        <v>81.599999999999895</v>
      </c>
      <c r="L807" s="204">
        <v>2</v>
      </c>
      <c r="M807" s="202">
        <v>260000</v>
      </c>
      <c r="N807" s="204">
        <v>2</v>
      </c>
      <c r="O807" s="198" t="s">
        <v>51</v>
      </c>
      <c r="P807" s="202">
        <v>260000</v>
      </c>
      <c r="Q807" s="198" t="s">
        <v>73</v>
      </c>
      <c r="R807" s="198" t="s">
        <v>53</v>
      </c>
      <c r="S807" s="198" t="s">
        <v>54</v>
      </c>
      <c r="T807" s="198" t="s">
        <v>431</v>
      </c>
      <c r="U807" s="198" t="s">
        <v>367</v>
      </c>
      <c r="V807" s="198" t="s">
        <v>56</v>
      </c>
      <c r="W807" s="198" t="s">
        <v>356</v>
      </c>
      <c r="X807" s="198" t="s">
        <v>57</v>
      </c>
      <c r="Y807" s="198" t="s">
        <v>58</v>
      </c>
      <c r="Z807" s="201">
        <v>46203</v>
      </c>
      <c r="AA807" s="198" t="s">
        <v>59</v>
      </c>
      <c r="AB807" s="198" t="s">
        <v>60</v>
      </c>
      <c r="AC807" s="198" t="s">
        <v>86</v>
      </c>
      <c r="AD807" s="198" t="s">
        <v>62</v>
      </c>
      <c r="AE807" s="198" t="s">
        <v>422</v>
      </c>
      <c r="AF807" s="198" t="s">
        <v>421</v>
      </c>
      <c r="AG807" s="198" t="s">
        <v>189</v>
      </c>
      <c r="AH807" s="198" t="s">
        <v>137</v>
      </c>
      <c r="AI807" s="198" t="s">
        <v>56</v>
      </c>
      <c r="AJ807" s="198" t="s">
        <v>423</v>
      </c>
      <c r="AK807" s="198" t="s">
        <v>51</v>
      </c>
      <c r="AL807" s="198" t="s">
        <v>67</v>
      </c>
      <c r="AM807" s="198" t="s">
        <v>68</v>
      </c>
      <c r="AN807" s="202">
        <v>260000</v>
      </c>
      <c r="AO807" s="202">
        <v>260000</v>
      </c>
      <c r="AP807" s="202">
        <v>260000</v>
      </c>
      <c r="AQ807" s="198" t="s">
        <v>358</v>
      </c>
      <c r="AR807" s="198" t="s">
        <v>51</v>
      </c>
      <c r="AS807" s="202">
        <v>260000</v>
      </c>
      <c r="AT807" s="202">
        <v>260000</v>
      </c>
      <c r="AU807" s="198" t="s">
        <v>359</v>
      </c>
      <c r="AV807" s="198" t="s">
        <v>62</v>
      </c>
      <c r="AW807" s="198" t="s">
        <v>54</v>
      </c>
    </row>
    <row r="808" spans="3:49" outlineLevel="2" x14ac:dyDescent="0.25">
      <c r="C808" s="201"/>
      <c r="D808" s="198" t="s">
        <v>559</v>
      </c>
      <c r="H808" s="198" t="s">
        <v>559</v>
      </c>
      <c r="I808" s="202">
        <f t="shared" si="12"/>
        <v>337385419.64999962</v>
      </c>
      <c r="J808" s="202">
        <v>81.699999999999903</v>
      </c>
      <c r="L808" s="204">
        <v>4</v>
      </c>
      <c r="M808" s="202">
        <v>6600</v>
      </c>
      <c r="N808" s="204">
        <v>4</v>
      </c>
      <c r="O808" s="198" t="s">
        <v>51</v>
      </c>
      <c r="P808" s="202">
        <v>6600</v>
      </c>
      <c r="Q808" s="198" t="s">
        <v>342</v>
      </c>
      <c r="R808" s="198" t="s">
        <v>53</v>
      </c>
      <c r="S808" s="198" t="s">
        <v>54</v>
      </c>
      <c r="T808" s="198" t="s">
        <v>431</v>
      </c>
      <c r="U808" s="198" t="s">
        <v>367</v>
      </c>
      <c r="V808" s="198" t="s">
        <v>56</v>
      </c>
      <c r="W808" s="198" t="s">
        <v>356</v>
      </c>
      <c r="X808" s="198" t="s">
        <v>57</v>
      </c>
      <c r="Y808" s="198" t="s">
        <v>58</v>
      </c>
      <c r="Z808" s="201">
        <v>46203</v>
      </c>
      <c r="AA808" s="198" t="s">
        <v>59</v>
      </c>
      <c r="AB808" s="198" t="s">
        <v>60</v>
      </c>
      <c r="AC808" s="198" t="s">
        <v>86</v>
      </c>
      <c r="AD808" s="198" t="s">
        <v>62</v>
      </c>
      <c r="AE808" s="198" t="s">
        <v>425</v>
      </c>
      <c r="AF808" s="198" t="s">
        <v>424</v>
      </c>
      <c r="AG808" s="198" t="s">
        <v>189</v>
      </c>
      <c r="AH808" s="198" t="s">
        <v>137</v>
      </c>
      <c r="AI808" s="198" t="s">
        <v>56</v>
      </c>
      <c r="AJ808" s="198" t="s">
        <v>121</v>
      </c>
      <c r="AK808" s="198" t="s">
        <v>51</v>
      </c>
      <c r="AL808" s="198" t="s">
        <v>67</v>
      </c>
      <c r="AM808" s="198" t="s">
        <v>68</v>
      </c>
      <c r="AN808" s="202">
        <v>6600</v>
      </c>
      <c r="AO808" s="202">
        <v>6600</v>
      </c>
      <c r="AP808" s="202">
        <v>6600</v>
      </c>
      <c r="AQ808" s="198" t="s">
        <v>358</v>
      </c>
      <c r="AR808" s="198" t="s">
        <v>51</v>
      </c>
      <c r="AS808" s="202">
        <v>6600</v>
      </c>
      <c r="AT808" s="202">
        <v>6600</v>
      </c>
      <c r="AU808" s="198" t="s">
        <v>359</v>
      </c>
      <c r="AV808" s="198" t="s">
        <v>62</v>
      </c>
      <c r="AW808" s="198" t="s">
        <v>54</v>
      </c>
    </row>
    <row r="809" spans="3:49" outlineLevel="2" x14ac:dyDescent="0.25">
      <c r="C809" s="201"/>
      <c r="D809" s="198" t="s">
        <v>559</v>
      </c>
      <c r="H809" s="198" t="s">
        <v>559</v>
      </c>
      <c r="I809" s="202">
        <f t="shared" si="12"/>
        <v>337798376.09999961</v>
      </c>
      <c r="J809" s="202">
        <v>81.799999999999898</v>
      </c>
      <c r="L809" s="204">
        <v>2</v>
      </c>
      <c r="M809" s="202">
        <v>142000</v>
      </c>
      <c r="N809" s="204">
        <v>2</v>
      </c>
      <c r="O809" s="198" t="s">
        <v>51</v>
      </c>
      <c r="P809" s="202">
        <v>142000</v>
      </c>
      <c r="Q809" s="198" t="s">
        <v>73</v>
      </c>
      <c r="R809" s="198" t="s">
        <v>53</v>
      </c>
      <c r="S809" s="198" t="s">
        <v>54</v>
      </c>
      <c r="T809" s="198" t="s">
        <v>431</v>
      </c>
      <c r="U809" s="198" t="s">
        <v>367</v>
      </c>
      <c r="V809" s="198" t="s">
        <v>56</v>
      </c>
      <c r="W809" s="198" t="s">
        <v>356</v>
      </c>
      <c r="X809" s="198" t="s">
        <v>57</v>
      </c>
      <c r="Y809" s="198" t="s">
        <v>58</v>
      </c>
      <c r="Z809" s="201">
        <v>46203</v>
      </c>
      <c r="AA809" s="198" t="s">
        <v>59</v>
      </c>
      <c r="AB809" s="198" t="s">
        <v>60</v>
      </c>
      <c r="AC809" s="198" t="s">
        <v>86</v>
      </c>
      <c r="AD809" s="198" t="s">
        <v>62</v>
      </c>
      <c r="AE809" s="198" t="s">
        <v>427</v>
      </c>
      <c r="AF809" s="198" t="s">
        <v>426</v>
      </c>
      <c r="AG809" s="198" t="s">
        <v>189</v>
      </c>
      <c r="AH809" s="198" t="s">
        <v>137</v>
      </c>
      <c r="AI809" s="198" t="s">
        <v>56</v>
      </c>
      <c r="AJ809" s="198" t="s">
        <v>423</v>
      </c>
      <c r="AK809" s="198" t="s">
        <v>51</v>
      </c>
      <c r="AL809" s="198" t="s">
        <v>67</v>
      </c>
      <c r="AM809" s="198" t="s">
        <v>68</v>
      </c>
      <c r="AN809" s="202">
        <v>142000</v>
      </c>
      <c r="AO809" s="202">
        <v>142000</v>
      </c>
      <c r="AP809" s="202">
        <v>142000</v>
      </c>
      <c r="AQ809" s="198" t="s">
        <v>358</v>
      </c>
      <c r="AR809" s="198" t="s">
        <v>51</v>
      </c>
      <c r="AS809" s="202">
        <v>142000</v>
      </c>
      <c r="AT809" s="202">
        <v>142000</v>
      </c>
      <c r="AU809" s="198" t="s">
        <v>359</v>
      </c>
      <c r="AV809" s="198" t="s">
        <v>62</v>
      </c>
      <c r="AW809" s="198" t="s">
        <v>54</v>
      </c>
    </row>
    <row r="810" spans="3:49" outlineLevel="2" x14ac:dyDescent="0.25">
      <c r="C810" s="201"/>
      <c r="D810" s="198" t="s">
        <v>559</v>
      </c>
      <c r="H810" s="198" t="s">
        <v>559</v>
      </c>
      <c r="I810" s="202">
        <f t="shared" si="12"/>
        <v>338211332.54999959</v>
      </c>
      <c r="J810" s="202">
        <v>81.899999999999906</v>
      </c>
      <c r="L810" s="204">
        <v>1</v>
      </c>
      <c r="M810" s="202">
        <v>71000</v>
      </c>
      <c r="N810" s="204">
        <v>1</v>
      </c>
      <c r="O810" s="198" t="s">
        <v>51</v>
      </c>
      <c r="P810" s="202">
        <v>71000</v>
      </c>
      <c r="Q810" s="198" t="s">
        <v>73</v>
      </c>
      <c r="R810" s="198" t="s">
        <v>53</v>
      </c>
      <c r="S810" s="198" t="s">
        <v>54</v>
      </c>
      <c r="T810" s="198" t="s">
        <v>431</v>
      </c>
      <c r="U810" s="198" t="s">
        <v>367</v>
      </c>
      <c r="V810" s="198" t="s">
        <v>56</v>
      </c>
      <c r="W810" s="198" t="s">
        <v>356</v>
      </c>
      <c r="X810" s="198" t="s">
        <v>57</v>
      </c>
      <c r="Y810" s="198" t="s">
        <v>58</v>
      </c>
      <c r="Z810" s="201">
        <v>46203</v>
      </c>
      <c r="AA810" s="198" t="s">
        <v>59</v>
      </c>
      <c r="AB810" s="198" t="s">
        <v>60</v>
      </c>
      <c r="AC810" s="198" t="s">
        <v>86</v>
      </c>
      <c r="AD810" s="198" t="s">
        <v>62</v>
      </c>
      <c r="AE810" s="198" t="s">
        <v>429</v>
      </c>
      <c r="AF810" s="198" t="s">
        <v>428</v>
      </c>
      <c r="AG810" s="198" t="s">
        <v>189</v>
      </c>
      <c r="AH810" s="198" t="s">
        <v>137</v>
      </c>
      <c r="AI810" s="198" t="s">
        <v>56</v>
      </c>
      <c r="AJ810" s="198" t="s">
        <v>294</v>
      </c>
      <c r="AK810" s="198" t="s">
        <v>51</v>
      </c>
      <c r="AL810" s="198" t="s">
        <v>67</v>
      </c>
      <c r="AM810" s="198" t="s">
        <v>68</v>
      </c>
      <c r="AN810" s="202">
        <v>71000</v>
      </c>
      <c r="AO810" s="202">
        <v>71000</v>
      </c>
      <c r="AP810" s="202">
        <v>71000</v>
      </c>
      <c r="AQ810" s="198" t="s">
        <v>358</v>
      </c>
      <c r="AR810" s="198" t="s">
        <v>51</v>
      </c>
      <c r="AS810" s="202">
        <v>71000</v>
      </c>
      <c r="AT810" s="202">
        <v>71000</v>
      </c>
      <c r="AU810" s="198" t="s">
        <v>359</v>
      </c>
      <c r="AV810" s="198" t="s">
        <v>62</v>
      </c>
      <c r="AW810" s="198" t="s">
        <v>54</v>
      </c>
    </row>
    <row r="811" spans="3:49" outlineLevel="2" x14ac:dyDescent="0.25">
      <c r="C811" s="201"/>
      <c r="D811" s="198" t="s">
        <v>557</v>
      </c>
      <c r="H811" s="198" t="s">
        <v>557</v>
      </c>
      <c r="I811" s="202">
        <f t="shared" si="12"/>
        <v>338624288.99999958</v>
      </c>
      <c r="J811" s="202">
        <v>81.999999999999901</v>
      </c>
      <c r="L811" s="204">
        <v>14</v>
      </c>
      <c r="M811" s="202">
        <v>239613130.06999999</v>
      </c>
      <c r="N811" s="204">
        <v>14</v>
      </c>
      <c r="O811" s="198" t="s">
        <v>51</v>
      </c>
      <c r="P811" s="202">
        <v>239613130.06999999</v>
      </c>
      <c r="Q811" s="198" t="s">
        <v>73</v>
      </c>
      <c r="R811" s="198" t="s">
        <v>53</v>
      </c>
      <c r="S811" s="198" t="s">
        <v>54</v>
      </c>
      <c r="T811" s="198" t="s">
        <v>431</v>
      </c>
      <c r="U811" s="198" t="s">
        <v>2042</v>
      </c>
      <c r="V811" s="198" t="s">
        <v>56</v>
      </c>
      <c r="W811" s="198" t="s">
        <v>356</v>
      </c>
      <c r="X811" s="198" t="s">
        <v>57</v>
      </c>
      <c r="Y811" s="198" t="s">
        <v>58</v>
      </c>
      <c r="Z811" s="201">
        <v>46264</v>
      </c>
      <c r="AA811" s="198" t="s">
        <v>59</v>
      </c>
      <c r="AB811" s="198" t="s">
        <v>60</v>
      </c>
      <c r="AC811" s="198" t="s">
        <v>86</v>
      </c>
      <c r="AD811" s="198" t="s">
        <v>62</v>
      </c>
      <c r="AE811" s="198" t="s">
        <v>116</v>
      </c>
      <c r="AF811" s="198" t="s">
        <v>115</v>
      </c>
      <c r="AG811" s="198" t="s">
        <v>564</v>
      </c>
      <c r="AH811" s="198" t="s">
        <v>134</v>
      </c>
      <c r="AI811" s="198" t="s">
        <v>56</v>
      </c>
      <c r="AJ811" s="198" t="s">
        <v>118</v>
      </c>
      <c r="AK811" s="198" t="s">
        <v>51</v>
      </c>
      <c r="AL811" s="198" t="s">
        <v>67</v>
      </c>
      <c r="AM811" s="198" t="s">
        <v>68</v>
      </c>
      <c r="AN811" s="202">
        <v>239613130.06999999</v>
      </c>
      <c r="AO811" s="202">
        <v>239613130.06999999</v>
      </c>
      <c r="AP811" s="202">
        <v>239613130.06999999</v>
      </c>
      <c r="AQ811" s="198" t="s">
        <v>358</v>
      </c>
      <c r="AR811" s="198" t="s">
        <v>51</v>
      </c>
      <c r="AS811" s="202">
        <v>239613130.06999999</v>
      </c>
      <c r="AT811" s="202">
        <v>239613130.06999999</v>
      </c>
      <c r="AU811" s="198" t="s">
        <v>359</v>
      </c>
      <c r="AV811" s="198" t="s">
        <v>62</v>
      </c>
      <c r="AW811" s="198" t="s">
        <v>54</v>
      </c>
    </row>
    <row r="812" spans="3:49" outlineLevel="2" x14ac:dyDescent="0.25">
      <c r="C812" s="201"/>
      <c r="D812" s="198" t="s">
        <v>557</v>
      </c>
      <c r="H812" s="198" t="s">
        <v>557</v>
      </c>
      <c r="I812" s="202">
        <f t="shared" si="12"/>
        <v>339037245.44999957</v>
      </c>
      <c r="J812" s="202">
        <v>82.099999999999895</v>
      </c>
      <c r="L812" s="204">
        <v>14</v>
      </c>
      <c r="M812" s="202">
        <v>9530869.9299999997</v>
      </c>
      <c r="N812" s="204">
        <v>14</v>
      </c>
      <c r="O812" s="198" t="s">
        <v>51</v>
      </c>
      <c r="P812" s="202">
        <v>9530869.9299999997</v>
      </c>
      <c r="Q812" s="198" t="s">
        <v>73</v>
      </c>
      <c r="R812" s="198" t="s">
        <v>53</v>
      </c>
      <c r="S812" s="198" t="s">
        <v>54</v>
      </c>
      <c r="T812" s="198" t="s">
        <v>431</v>
      </c>
      <c r="U812" s="198" t="s">
        <v>232</v>
      </c>
      <c r="V812" s="198" t="s">
        <v>56</v>
      </c>
      <c r="W812" s="198" t="s">
        <v>356</v>
      </c>
      <c r="X812" s="198" t="s">
        <v>57</v>
      </c>
      <c r="Y812" s="198" t="s">
        <v>58</v>
      </c>
      <c r="Z812" s="201">
        <v>46264</v>
      </c>
      <c r="AA812" s="198" t="s">
        <v>59</v>
      </c>
      <c r="AB812" s="198" t="s">
        <v>60</v>
      </c>
      <c r="AC812" s="198" t="s">
        <v>86</v>
      </c>
      <c r="AD812" s="198" t="s">
        <v>62</v>
      </c>
      <c r="AE812" s="198" t="s">
        <v>120</v>
      </c>
      <c r="AF812" s="198" t="s">
        <v>119</v>
      </c>
      <c r="AG812" s="198" t="s">
        <v>564</v>
      </c>
      <c r="AH812" s="198" t="s">
        <v>134</v>
      </c>
      <c r="AI812" s="198" t="s">
        <v>56</v>
      </c>
      <c r="AJ812" s="198" t="s">
        <v>121</v>
      </c>
      <c r="AK812" s="198" t="s">
        <v>51</v>
      </c>
      <c r="AL812" s="198" t="s">
        <v>67</v>
      </c>
      <c r="AM812" s="198" t="s">
        <v>68</v>
      </c>
      <c r="AN812" s="202">
        <v>9530869.9299999997</v>
      </c>
      <c r="AO812" s="202">
        <v>9530869.9299999997</v>
      </c>
      <c r="AP812" s="202">
        <v>9530869.9299999997</v>
      </c>
      <c r="AQ812" s="198" t="s">
        <v>358</v>
      </c>
      <c r="AR812" s="198" t="s">
        <v>51</v>
      </c>
      <c r="AS812" s="202">
        <v>9530869.9299999997</v>
      </c>
      <c r="AT812" s="202">
        <v>9530869.9299999997</v>
      </c>
      <c r="AU812" s="198" t="s">
        <v>359</v>
      </c>
      <c r="AV812" s="198" t="s">
        <v>62</v>
      </c>
      <c r="AW812" s="198" t="s">
        <v>54</v>
      </c>
    </row>
    <row r="813" spans="3:49" outlineLevel="2" x14ac:dyDescent="0.25">
      <c r="C813" s="201"/>
      <c r="D813" s="198" t="s">
        <v>557</v>
      </c>
      <c r="H813" s="198" t="s">
        <v>557</v>
      </c>
      <c r="I813" s="202">
        <f t="shared" si="12"/>
        <v>339450201.89999962</v>
      </c>
      <c r="J813" s="202">
        <v>82.199999999999903</v>
      </c>
      <c r="L813" s="204">
        <v>17</v>
      </c>
      <c r="M813" s="202">
        <v>290958800.79000002</v>
      </c>
      <c r="N813" s="204">
        <v>17</v>
      </c>
      <c r="O813" s="198" t="s">
        <v>51</v>
      </c>
      <c r="P813" s="202">
        <v>290958800.79000002</v>
      </c>
      <c r="Q813" s="198" t="s">
        <v>73</v>
      </c>
      <c r="R813" s="198" t="s">
        <v>53</v>
      </c>
      <c r="S813" s="198" t="s">
        <v>54</v>
      </c>
      <c r="T813" s="198" t="s">
        <v>431</v>
      </c>
      <c r="U813" s="198" t="s">
        <v>232</v>
      </c>
      <c r="V813" s="198" t="s">
        <v>56</v>
      </c>
      <c r="W813" s="198" t="s">
        <v>356</v>
      </c>
      <c r="X813" s="198" t="s">
        <v>57</v>
      </c>
      <c r="Y813" s="198" t="s">
        <v>58</v>
      </c>
      <c r="Z813" s="201">
        <v>46295</v>
      </c>
      <c r="AA813" s="198" t="s">
        <v>59</v>
      </c>
      <c r="AB813" s="198" t="s">
        <v>60</v>
      </c>
      <c r="AC813" s="198" t="s">
        <v>86</v>
      </c>
      <c r="AD813" s="198" t="s">
        <v>62</v>
      </c>
      <c r="AE813" s="198" t="s">
        <v>116</v>
      </c>
      <c r="AF813" s="198" t="s">
        <v>115</v>
      </c>
      <c r="AG813" s="198" t="s">
        <v>214</v>
      </c>
      <c r="AH813" s="198" t="s">
        <v>134</v>
      </c>
      <c r="AI813" s="198" t="s">
        <v>56</v>
      </c>
      <c r="AJ813" s="198" t="s">
        <v>118</v>
      </c>
      <c r="AK813" s="198" t="s">
        <v>51</v>
      </c>
      <c r="AL813" s="198" t="s">
        <v>67</v>
      </c>
      <c r="AM813" s="198" t="s">
        <v>68</v>
      </c>
      <c r="AN813" s="202">
        <v>290958800.79000002</v>
      </c>
      <c r="AO813" s="202">
        <v>290958800.79000002</v>
      </c>
      <c r="AP813" s="202">
        <v>290958800.79000002</v>
      </c>
      <c r="AQ813" s="198" t="s">
        <v>358</v>
      </c>
      <c r="AR813" s="198" t="s">
        <v>51</v>
      </c>
      <c r="AS813" s="202">
        <v>290958800.79000002</v>
      </c>
      <c r="AT813" s="202">
        <v>290958800.79000002</v>
      </c>
      <c r="AU813" s="198" t="s">
        <v>359</v>
      </c>
      <c r="AV813" s="198" t="s">
        <v>62</v>
      </c>
      <c r="AW813" s="198" t="s">
        <v>54</v>
      </c>
    </row>
    <row r="814" spans="3:49" outlineLevel="2" x14ac:dyDescent="0.25">
      <c r="C814" s="201"/>
      <c r="D814" s="198" t="s">
        <v>557</v>
      </c>
      <c r="H814" s="198" t="s">
        <v>557</v>
      </c>
      <c r="I814" s="202">
        <f t="shared" si="12"/>
        <v>339863158.34999961</v>
      </c>
      <c r="J814" s="202">
        <v>82.299999999999898</v>
      </c>
      <c r="L814" s="204">
        <v>17</v>
      </c>
      <c r="M814" s="202">
        <v>11573199.210000001</v>
      </c>
      <c r="N814" s="204">
        <v>17</v>
      </c>
      <c r="O814" s="198" t="s">
        <v>51</v>
      </c>
      <c r="P814" s="202">
        <v>11573199.210000001</v>
      </c>
      <c r="Q814" s="198" t="s">
        <v>73</v>
      </c>
      <c r="R814" s="198" t="s">
        <v>53</v>
      </c>
      <c r="S814" s="198" t="s">
        <v>54</v>
      </c>
      <c r="T814" s="198" t="s">
        <v>431</v>
      </c>
      <c r="U814" s="198" t="s">
        <v>232</v>
      </c>
      <c r="V814" s="198" t="s">
        <v>56</v>
      </c>
      <c r="W814" s="198" t="s">
        <v>356</v>
      </c>
      <c r="X814" s="198" t="s">
        <v>57</v>
      </c>
      <c r="Y814" s="198" t="s">
        <v>58</v>
      </c>
      <c r="Z814" s="201">
        <v>46295</v>
      </c>
      <c r="AA814" s="198" t="s">
        <v>59</v>
      </c>
      <c r="AB814" s="198" t="s">
        <v>60</v>
      </c>
      <c r="AC814" s="198" t="s">
        <v>86</v>
      </c>
      <c r="AD814" s="198" t="s">
        <v>62</v>
      </c>
      <c r="AE814" s="198" t="s">
        <v>120</v>
      </c>
      <c r="AF814" s="198" t="s">
        <v>119</v>
      </c>
      <c r="AG814" s="198" t="s">
        <v>214</v>
      </c>
      <c r="AH814" s="198" t="s">
        <v>134</v>
      </c>
      <c r="AI814" s="198" t="s">
        <v>56</v>
      </c>
      <c r="AJ814" s="198" t="s">
        <v>121</v>
      </c>
      <c r="AK814" s="198" t="s">
        <v>51</v>
      </c>
      <c r="AL814" s="198" t="s">
        <v>67</v>
      </c>
      <c r="AM814" s="198" t="s">
        <v>68</v>
      </c>
      <c r="AN814" s="202">
        <v>11573199.210000001</v>
      </c>
      <c r="AO814" s="202">
        <v>11573199.210000001</v>
      </c>
      <c r="AP814" s="202">
        <v>11573199.210000001</v>
      </c>
      <c r="AQ814" s="198" t="s">
        <v>358</v>
      </c>
      <c r="AR814" s="198" t="s">
        <v>51</v>
      </c>
      <c r="AS814" s="202">
        <v>11573199.210000001</v>
      </c>
      <c r="AT814" s="202">
        <v>11573199.210000001</v>
      </c>
      <c r="AU814" s="198" t="s">
        <v>359</v>
      </c>
      <c r="AV814" s="198" t="s">
        <v>62</v>
      </c>
      <c r="AW814" s="198" t="s">
        <v>54</v>
      </c>
    </row>
    <row r="815" spans="3:49" outlineLevel="2" x14ac:dyDescent="0.25">
      <c r="C815" s="201"/>
      <c r="D815" s="198" t="s">
        <v>218</v>
      </c>
      <c r="H815" s="198" t="s">
        <v>218</v>
      </c>
      <c r="I815" s="202">
        <f t="shared" si="12"/>
        <v>340276114.79999959</v>
      </c>
      <c r="J815" s="202">
        <v>82.399999999999906</v>
      </c>
      <c r="L815" s="204">
        <v>168</v>
      </c>
      <c r="M815" s="202">
        <v>5223456</v>
      </c>
      <c r="N815" s="204">
        <v>168</v>
      </c>
      <c r="O815" s="198" t="s">
        <v>51</v>
      </c>
      <c r="P815" s="202">
        <v>5223456</v>
      </c>
      <c r="Q815" s="198" t="s">
        <v>73</v>
      </c>
      <c r="R815" s="198" t="s">
        <v>53</v>
      </c>
      <c r="S815" s="198" t="s">
        <v>54</v>
      </c>
      <c r="T815" s="198" t="s">
        <v>568</v>
      </c>
      <c r="U815" s="198" t="s">
        <v>277</v>
      </c>
      <c r="V815" s="198" t="s">
        <v>56</v>
      </c>
      <c r="W815" s="198" t="s">
        <v>356</v>
      </c>
      <c r="X815" s="198" t="s">
        <v>57</v>
      </c>
      <c r="Y815" s="198" t="s">
        <v>58</v>
      </c>
      <c r="Z815" s="201">
        <v>46188</v>
      </c>
      <c r="AA815" s="198" t="s">
        <v>59</v>
      </c>
      <c r="AB815" s="198" t="s">
        <v>60</v>
      </c>
      <c r="AC815" s="198" t="s">
        <v>86</v>
      </c>
      <c r="AD815" s="198" t="s">
        <v>62</v>
      </c>
      <c r="AE815" s="198" t="s">
        <v>569</v>
      </c>
      <c r="AF815" s="198" t="s">
        <v>567</v>
      </c>
      <c r="AG815" s="198" t="s">
        <v>189</v>
      </c>
      <c r="AH815" s="198" t="s">
        <v>95</v>
      </c>
      <c r="AI815" s="198" t="s">
        <v>56</v>
      </c>
      <c r="AJ815" s="198" t="s">
        <v>71</v>
      </c>
      <c r="AK815" s="198" t="s">
        <v>51</v>
      </c>
      <c r="AL815" s="198" t="s">
        <v>67</v>
      </c>
      <c r="AM815" s="198" t="s">
        <v>68</v>
      </c>
      <c r="AN815" s="202">
        <v>5223456</v>
      </c>
      <c r="AO815" s="202">
        <v>5223456</v>
      </c>
      <c r="AP815" s="202">
        <v>5223456</v>
      </c>
      <c r="AQ815" s="198" t="s">
        <v>358</v>
      </c>
      <c r="AR815" s="198" t="s">
        <v>51</v>
      </c>
      <c r="AS815" s="202">
        <v>5223456</v>
      </c>
      <c r="AT815" s="202">
        <v>5223456</v>
      </c>
      <c r="AU815" s="198" t="s">
        <v>359</v>
      </c>
      <c r="AV815" s="198" t="s">
        <v>62</v>
      </c>
      <c r="AW815" s="198" t="s">
        <v>54</v>
      </c>
    </row>
    <row r="816" spans="3:49" outlineLevel="2" x14ac:dyDescent="0.25">
      <c r="C816" s="201"/>
      <c r="D816" s="198" t="s">
        <v>218</v>
      </c>
      <c r="H816" s="198" t="s">
        <v>218</v>
      </c>
      <c r="I816" s="202">
        <f t="shared" si="12"/>
        <v>340689071.24999958</v>
      </c>
      <c r="J816" s="202">
        <v>82.499999999999901</v>
      </c>
      <c r="L816" s="204">
        <v>168</v>
      </c>
      <c r="M816" s="202">
        <v>11116392</v>
      </c>
      <c r="N816" s="204">
        <v>168</v>
      </c>
      <c r="O816" s="198" t="s">
        <v>51</v>
      </c>
      <c r="P816" s="202">
        <v>11116392</v>
      </c>
      <c r="Q816" s="198" t="s">
        <v>73</v>
      </c>
      <c r="R816" s="198" t="s">
        <v>53</v>
      </c>
      <c r="S816" s="198" t="s">
        <v>54</v>
      </c>
      <c r="T816" s="198" t="s">
        <v>568</v>
      </c>
      <c r="U816" s="198" t="s">
        <v>277</v>
      </c>
      <c r="V816" s="198" t="s">
        <v>56</v>
      </c>
      <c r="W816" s="198" t="s">
        <v>356</v>
      </c>
      <c r="X816" s="198" t="s">
        <v>57</v>
      </c>
      <c r="Y816" s="198" t="s">
        <v>58</v>
      </c>
      <c r="Z816" s="201">
        <v>46188</v>
      </c>
      <c r="AA816" s="198" t="s">
        <v>59</v>
      </c>
      <c r="AB816" s="198" t="s">
        <v>60</v>
      </c>
      <c r="AC816" s="198" t="s">
        <v>86</v>
      </c>
      <c r="AD816" s="198" t="s">
        <v>62</v>
      </c>
      <c r="AE816" s="198" t="s">
        <v>571</v>
      </c>
      <c r="AF816" s="198" t="s">
        <v>570</v>
      </c>
      <c r="AG816" s="198" t="s">
        <v>189</v>
      </c>
      <c r="AH816" s="198" t="s">
        <v>95</v>
      </c>
      <c r="AI816" s="198" t="s">
        <v>56</v>
      </c>
      <c r="AJ816" s="198" t="s">
        <v>572</v>
      </c>
      <c r="AK816" s="198" t="s">
        <v>51</v>
      </c>
      <c r="AL816" s="198" t="s">
        <v>67</v>
      </c>
      <c r="AM816" s="198" t="s">
        <v>68</v>
      </c>
      <c r="AN816" s="202">
        <v>11116392</v>
      </c>
      <c r="AO816" s="202">
        <v>11116392</v>
      </c>
      <c r="AP816" s="202">
        <v>11116392</v>
      </c>
      <c r="AQ816" s="198" t="s">
        <v>358</v>
      </c>
      <c r="AR816" s="198" t="s">
        <v>51</v>
      </c>
      <c r="AS816" s="202">
        <v>11116392</v>
      </c>
      <c r="AT816" s="202">
        <v>11116392</v>
      </c>
      <c r="AU816" s="198" t="s">
        <v>359</v>
      </c>
      <c r="AV816" s="198" t="s">
        <v>62</v>
      </c>
      <c r="AW816" s="198" t="s">
        <v>54</v>
      </c>
    </row>
    <row r="817" spans="3:49" outlineLevel="2" x14ac:dyDescent="0.25">
      <c r="C817" s="201"/>
      <c r="D817" s="198" t="s">
        <v>91</v>
      </c>
      <c r="H817" s="198" t="s">
        <v>91</v>
      </c>
      <c r="I817" s="202">
        <f t="shared" si="12"/>
        <v>341102027.69999957</v>
      </c>
      <c r="J817" s="202">
        <v>82.599999999999895</v>
      </c>
      <c r="L817" s="204">
        <v>10</v>
      </c>
      <c r="M817" s="202">
        <v>172020</v>
      </c>
      <c r="N817" s="204">
        <v>10</v>
      </c>
      <c r="O817" s="198" t="s">
        <v>51</v>
      </c>
      <c r="P817" s="202">
        <v>172020</v>
      </c>
      <c r="Q817" s="198" t="s">
        <v>73</v>
      </c>
      <c r="R817" s="198" t="s">
        <v>53</v>
      </c>
      <c r="S817" s="198" t="s">
        <v>54</v>
      </c>
      <c r="T817" s="198" t="s">
        <v>568</v>
      </c>
      <c r="U817" s="198" t="s">
        <v>277</v>
      </c>
      <c r="V817" s="198" t="s">
        <v>56</v>
      </c>
      <c r="W817" s="198" t="s">
        <v>356</v>
      </c>
      <c r="X817" s="198" t="s">
        <v>57</v>
      </c>
      <c r="Y817" s="198" t="s">
        <v>58</v>
      </c>
      <c r="Z817" s="201">
        <v>46188</v>
      </c>
      <c r="AA817" s="198" t="s">
        <v>59</v>
      </c>
      <c r="AB817" s="198" t="s">
        <v>60</v>
      </c>
      <c r="AC817" s="198" t="s">
        <v>86</v>
      </c>
      <c r="AD817" s="198" t="s">
        <v>62</v>
      </c>
      <c r="AE817" s="198" t="s">
        <v>94</v>
      </c>
      <c r="AF817" s="198" t="s">
        <v>92</v>
      </c>
      <c r="AG817" s="198" t="s">
        <v>189</v>
      </c>
      <c r="AH817" s="198" t="s">
        <v>95</v>
      </c>
      <c r="AI817" s="198" t="s">
        <v>56</v>
      </c>
      <c r="AJ817" s="198" t="s">
        <v>74</v>
      </c>
      <c r="AK817" s="198" t="s">
        <v>51</v>
      </c>
      <c r="AL817" s="198" t="s">
        <v>67</v>
      </c>
      <c r="AM817" s="198" t="s">
        <v>68</v>
      </c>
      <c r="AN817" s="202">
        <v>172020</v>
      </c>
      <c r="AO817" s="202">
        <v>172020</v>
      </c>
      <c r="AP817" s="202">
        <v>172020</v>
      </c>
      <c r="AQ817" s="198" t="s">
        <v>358</v>
      </c>
      <c r="AR817" s="198" t="s">
        <v>51</v>
      </c>
      <c r="AS817" s="202">
        <v>172020</v>
      </c>
      <c r="AT817" s="202">
        <v>172020</v>
      </c>
      <c r="AU817" s="198" t="s">
        <v>359</v>
      </c>
      <c r="AV817" s="198" t="s">
        <v>62</v>
      </c>
      <c r="AW817" s="198" t="s">
        <v>54</v>
      </c>
    </row>
    <row r="818" spans="3:49" outlineLevel="2" x14ac:dyDescent="0.25">
      <c r="C818" s="201"/>
      <c r="D818" s="198" t="s">
        <v>219</v>
      </c>
      <c r="H818" s="198" t="s">
        <v>219</v>
      </c>
      <c r="I818" s="202">
        <f t="shared" si="12"/>
        <v>341514984.14999962</v>
      </c>
      <c r="J818" s="202">
        <v>82.699999999999903</v>
      </c>
      <c r="L818" s="204">
        <v>21</v>
      </c>
      <c r="M818" s="202">
        <v>1169070</v>
      </c>
      <c r="N818" s="204">
        <v>21</v>
      </c>
      <c r="O818" s="198" t="s">
        <v>51</v>
      </c>
      <c r="P818" s="202">
        <v>1169070</v>
      </c>
      <c r="Q818" s="198" t="s">
        <v>73</v>
      </c>
      <c r="R818" s="198" t="s">
        <v>53</v>
      </c>
      <c r="S818" s="198" t="s">
        <v>54</v>
      </c>
      <c r="T818" s="198" t="s">
        <v>568</v>
      </c>
      <c r="U818" s="198" t="s">
        <v>277</v>
      </c>
      <c r="V818" s="198" t="s">
        <v>56</v>
      </c>
      <c r="W818" s="198" t="s">
        <v>356</v>
      </c>
      <c r="X818" s="198" t="s">
        <v>57</v>
      </c>
      <c r="Y818" s="198" t="s">
        <v>58</v>
      </c>
      <c r="Z818" s="201">
        <v>46188</v>
      </c>
      <c r="AA818" s="198" t="s">
        <v>59</v>
      </c>
      <c r="AB818" s="198" t="s">
        <v>60</v>
      </c>
      <c r="AC818" s="198" t="s">
        <v>86</v>
      </c>
      <c r="AD818" s="198" t="s">
        <v>62</v>
      </c>
      <c r="AE818" s="198" t="s">
        <v>569</v>
      </c>
      <c r="AF818" s="198" t="s">
        <v>567</v>
      </c>
      <c r="AG818" s="198" t="s">
        <v>189</v>
      </c>
      <c r="AH818" s="198" t="s">
        <v>95</v>
      </c>
      <c r="AI818" s="198" t="s">
        <v>56</v>
      </c>
      <c r="AJ818" s="198" t="s">
        <v>71</v>
      </c>
      <c r="AK818" s="198" t="s">
        <v>51</v>
      </c>
      <c r="AL818" s="198" t="s">
        <v>67</v>
      </c>
      <c r="AM818" s="198" t="s">
        <v>68</v>
      </c>
      <c r="AN818" s="202">
        <v>1169070</v>
      </c>
      <c r="AO818" s="202">
        <v>1169070</v>
      </c>
      <c r="AP818" s="202">
        <v>1169070</v>
      </c>
      <c r="AQ818" s="198" t="s">
        <v>358</v>
      </c>
      <c r="AR818" s="198" t="s">
        <v>51</v>
      </c>
      <c r="AS818" s="202">
        <v>1169070</v>
      </c>
      <c r="AT818" s="202">
        <v>1169070</v>
      </c>
      <c r="AU818" s="198" t="s">
        <v>359</v>
      </c>
      <c r="AV818" s="198" t="s">
        <v>62</v>
      </c>
      <c r="AW818" s="198" t="s">
        <v>54</v>
      </c>
    </row>
    <row r="819" spans="3:49" outlineLevel="2" x14ac:dyDescent="0.25">
      <c r="C819" s="201"/>
      <c r="D819" s="198" t="s">
        <v>220</v>
      </c>
      <c r="H819" s="198" t="s">
        <v>220</v>
      </c>
      <c r="I819" s="202">
        <f t="shared" si="12"/>
        <v>341927940.59999961</v>
      </c>
      <c r="J819" s="202">
        <v>82.799999999999898</v>
      </c>
      <c r="L819" s="204">
        <v>4</v>
      </c>
      <c r="M819" s="202">
        <v>222680</v>
      </c>
      <c r="N819" s="204">
        <v>4</v>
      </c>
      <c r="O819" s="198" t="s">
        <v>51</v>
      </c>
      <c r="P819" s="202">
        <v>222680</v>
      </c>
      <c r="Q819" s="198" t="s">
        <v>73</v>
      </c>
      <c r="R819" s="198" t="s">
        <v>53</v>
      </c>
      <c r="S819" s="198" t="s">
        <v>54</v>
      </c>
      <c r="T819" s="198" t="s">
        <v>568</v>
      </c>
      <c r="U819" s="198" t="s">
        <v>277</v>
      </c>
      <c r="V819" s="198" t="s">
        <v>56</v>
      </c>
      <c r="W819" s="198" t="s">
        <v>356</v>
      </c>
      <c r="X819" s="198" t="s">
        <v>57</v>
      </c>
      <c r="Y819" s="198" t="s">
        <v>58</v>
      </c>
      <c r="Z819" s="201">
        <v>46188</v>
      </c>
      <c r="AA819" s="198" t="s">
        <v>59</v>
      </c>
      <c r="AB819" s="198" t="s">
        <v>60</v>
      </c>
      <c r="AC819" s="198" t="s">
        <v>86</v>
      </c>
      <c r="AD819" s="198" t="s">
        <v>62</v>
      </c>
      <c r="AE819" s="198" t="s">
        <v>569</v>
      </c>
      <c r="AF819" s="198" t="s">
        <v>567</v>
      </c>
      <c r="AG819" s="198" t="s">
        <v>189</v>
      </c>
      <c r="AH819" s="198" t="s">
        <v>95</v>
      </c>
      <c r="AI819" s="198" t="s">
        <v>56</v>
      </c>
      <c r="AJ819" s="198" t="s">
        <v>71</v>
      </c>
      <c r="AK819" s="198" t="s">
        <v>51</v>
      </c>
      <c r="AL819" s="198" t="s">
        <v>67</v>
      </c>
      <c r="AM819" s="198" t="s">
        <v>68</v>
      </c>
      <c r="AN819" s="202">
        <v>222680</v>
      </c>
      <c r="AO819" s="202">
        <v>222680</v>
      </c>
      <c r="AP819" s="202">
        <v>222680</v>
      </c>
      <c r="AQ819" s="198" t="s">
        <v>358</v>
      </c>
      <c r="AR819" s="198" t="s">
        <v>51</v>
      </c>
      <c r="AS819" s="202">
        <v>222680</v>
      </c>
      <c r="AT819" s="202">
        <v>222680</v>
      </c>
      <c r="AU819" s="198" t="s">
        <v>359</v>
      </c>
      <c r="AV819" s="198" t="s">
        <v>62</v>
      </c>
      <c r="AW819" s="198" t="s">
        <v>54</v>
      </c>
    </row>
    <row r="820" spans="3:49" outlineLevel="2" x14ac:dyDescent="0.25">
      <c r="C820" s="201"/>
      <c r="D820" s="198" t="s">
        <v>221</v>
      </c>
      <c r="H820" s="198" t="s">
        <v>221</v>
      </c>
      <c r="I820" s="202">
        <f t="shared" si="12"/>
        <v>342340897.04999959</v>
      </c>
      <c r="J820" s="202">
        <v>82.899999999999906</v>
      </c>
      <c r="L820" s="204">
        <v>448</v>
      </c>
      <c r="M820" s="202">
        <v>31744384</v>
      </c>
      <c r="N820" s="204">
        <v>231</v>
      </c>
      <c r="O820" s="198" t="s">
        <v>51</v>
      </c>
      <c r="P820" s="202">
        <v>16368198</v>
      </c>
      <c r="Q820" s="198" t="s">
        <v>73</v>
      </c>
      <c r="R820" s="198" t="s">
        <v>53</v>
      </c>
      <c r="S820" s="198" t="s">
        <v>54</v>
      </c>
      <c r="T820" s="198" t="s">
        <v>573</v>
      </c>
      <c r="U820" s="198" t="s">
        <v>2050</v>
      </c>
      <c r="V820" s="198" t="s">
        <v>56</v>
      </c>
      <c r="W820" s="198" t="s">
        <v>356</v>
      </c>
      <c r="X820" s="198" t="s">
        <v>57</v>
      </c>
      <c r="Y820" s="198" t="s">
        <v>58</v>
      </c>
      <c r="Z820" s="201">
        <v>46218</v>
      </c>
      <c r="AA820" s="198" t="s">
        <v>59</v>
      </c>
      <c r="AB820" s="198" t="s">
        <v>60</v>
      </c>
      <c r="AC820" s="198" t="s">
        <v>86</v>
      </c>
      <c r="AD820" s="198" t="s">
        <v>62</v>
      </c>
      <c r="AE820" s="198" t="s">
        <v>571</v>
      </c>
      <c r="AF820" s="198" t="s">
        <v>570</v>
      </c>
      <c r="AG820" s="198" t="s">
        <v>248</v>
      </c>
      <c r="AH820" s="198" t="s">
        <v>112</v>
      </c>
      <c r="AI820" s="198" t="s">
        <v>56</v>
      </c>
      <c r="AJ820" s="198" t="s">
        <v>572</v>
      </c>
      <c r="AK820" s="198" t="s">
        <v>51</v>
      </c>
      <c r="AL820" s="198" t="s">
        <v>67</v>
      </c>
      <c r="AM820" s="198" t="s">
        <v>68</v>
      </c>
      <c r="AN820" s="202">
        <v>31744384</v>
      </c>
      <c r="AO820" s="202">
        <v>31744384</v>
      </c>
      <c r="AP820" s="202">
        <v>31744384</v>
      </c>
      <c r="AQ820" s="198" t="s">
        <v>358</v>
      </c>
      <c r="AR820" s="198" t="s">
        <v>51</v>
      </c>
      <c r="AS820" s="202">
        <v>16368198</v>
      </c>
      <c r="AT820" s="202">
        <v>16368198</v>
      </c>
      <c r="AU820" s="198" t="s">
        <v>359</v>
      </c>
      <c r="AV820" s="198" t="s">
        <v>62</v>
      </c>
      <c r="AW820" s="198" t="s">
        <v>575</v>
      </c>
    </row>
    <row r="821" spans="3:49" outlineLevel="2" x14ac:dyDescent="0.25">
      <c r="C821" s="201"/>
      <c r="D821" s="198" t="s">
        <v>204</v>
      </c>
      <c r="H821" s="198" t="s">
        <v>204</v>
      </c>
      <c r="I821" s="202">
        <f t="shared" si="12"/>
        <v>342753853.49999958</v>
      </c>
      <c r="J821" s="202">
        <v>82.999999999999901</v>
      </c>
      <c r="L821" s="204">
        <v>240</v>
      </c>
      <c r="M821" s="202">
        <v>16753920</v>
      </c>
      <c r="N821" s="204">
        <v>2</v>
      </c>
      <c r="O821" s="198" t="s">
        <v>51</v>
      </c>
      <c r="P821" s="202">
        <v>139616.20000000001</v>
      </c>
      <c r="Q821" s="198" t="s">
        <v>73</v>
      </c>
      <c r="R821" s="198" t="s">
        <v>53</v>
      </c>
      <c r="S821" s="198" t="s">
        <v>54</v>
      </c>
      <c r="T821" s="198" t="s">
        <v>573</v>
      </c>
      <c r="U821" s="198" t="s">
        <v>277</v>
      </c>
      <c r="V821" s="198" t="s">
        <v>56</v>
      </c>
      <c r="W821" s="198" t="s">
        <v>356</v>
      </c>
      <c r="X821" s="198" t="s">
        <v>57</v>
      </c>
      <c r="Y821" s="198" t="s">
        <v>58</v>
      </c>
      <c r="Z821" s="201">
        <v>46218</v>
      </c>
      <c r="AA821" s="198" t="s">
        <v>59</v>
      </c>
      <c r="AB821" s="198" t="s">
        <v>60</v>
      </c>
      <c r="AC821" s="198" t="s">
        <v>86</v>
      </c>
      <c r="AD821" s="198" t="s">
        <v>62</v>
      </c>
      <c r="AE821" s="198" t="s">
        <v>571</v>
      </c>
      <c r="AF821" s="198" t="s">
        <v>570</v>
      </c>
      <c r="AG821" s="198" t="s">
        <v>248</v>
      </c>
      <c r="AH821" s="198" t="s">
        <v>169</v>
      </c>
      <c r="AI821" s="198" t="s">
        <v>56</v>
      </c>
      <c r="AJ821" s="198" t="s">
        <v>572</v>
      </c>
      <c r="AK821" s="198" t="s">
        <v>51</v>
      </c>
      <c r="AL821" s="198" t="s">
        <v>67</v>
      </c>
      <c r="AM821" s="198" t="s">
        <v>68</v>
      </c>
      <c r="AN821" s="202">
        <v>16753920</v>
      </c>
      <c r="AO821" s="202">
        <v>16753920</v>
      </c>
      <c r="AP821" s="202">
        <v>16753920</v>
      </c>
      <c r="AQ821" s="198" t="s">
        <v>358</v>
      </c>
      <c r="AR821" s="198" t="s">
        <v>51</v>
      </c>
      <c r="AS821" s="202">
        <v>139616.20000000001</v>
      </c>
      <c r="AT821" s="202">
        <v>139616.20000000001</v>
      </c>
      <c r="AU821" s="198" t="s">
        <v>359</v>
      </c>
      <c r="AV821" s="198" t="s">
        <v>62</v>
      </c>
      <c r="AW821" s="198" t="s">
        <v>575</v>
      </c>
    </row>
    <row r="822" spans="3:49" outlineLevel="2" x14ac:dyDescent="0.25">
      <c r="C822" s="201"/>
      <c r="D822" s="198" t="s">
        <v>82</v>
      </c>
      <c r="H822" s="198" t="s">
        <v>82</v>
      </c>
      <c r="I822" s="202">
        <f t="shared" si="12"/>
        <v>343166809.94999957</v>
      </c>
      <c r="J822" s="202">
        <v>83.099999999999895</v>
      </c>
      <c r="L822" s="204">
        <v>27</v>
      </c>
      <c r="M822" s="202">
        <v>7020000</v>
      </c>
      <c r="N822" s="204">
        <v>11</v>
      </c>
      <c r="O822" s="198" t="s">
        <v>51</v>
      </c>
      <c r="P822" s="202">
        <v>2860000</v>
      </c>
      <c r="Q822" s="198" t="s">
        <v>73</v>
      </c>
      <c r="R822" s="198" t="s">
        <v>53</v>
      </c>
      <c r="S822" s="198" t="s">
        <v>54</v>
      </c>
      <c r="T822" s="198" t="s">
        <v>576</v>
      </c>
      <c r="U822" s="198" t="s">
        <v>367</v>
      </c>
      <c r="V822" s="198" t="s">
        <v>56</v>
      </c>
      <c r="W822" s="198" t="s">
        <v>356</v>
      </c>
      <c r="X822" s="198" t="s">
        <v>57</v>
      </c>
      <c r="Y822" s="198" t="s">
        <v>58</v>
      </c>
      <c r="Z822" s="201">
        <v>46188</v>
      </c>
      <c r="AA822" s="198" t="s">
        <v>59</v>
      </c>
      <c r="AB822" s="198" t="s">
        <v>60</v>
      </c>
      <c r="AC822" s="198" t="s">
        <v>86</v>
      </c>
      <c r="AD822" s="198" t="s">
        <v>62</v>
      </c>
      <c r="AE822" s="198" t="s">
        <v>87</v>
      </c>
      <c r="AF822" s="198" t="s">
        <v>84</v>
      </c>
      <c r="AG822" s="198" t="s">
        <v>189</v>
      </c>
      <c r="AH822" s="198" t="s">
        <v>89</v>
      </c>
      <c r="AI822" s="198" t="s">
        <v>56</v>
      </c>
      <c r="AJ822" s="198" t="s">
        <v>90</v>
      </c>
      <c r="AK822" s="198" t="s">
        <v>51</v>
      </c>
      <c r="AL822" s="198" t="s">
        <v>67</v>
      </c>
      <c r="AM822" s="198" t="s">
        <v>68</v>
      </c>
      <c r="AN822" s="202">
        <v>7020000</v>
      </c>
      <c r="AO822" s="202">
        <v>7020000</v>
      </c>
      <c r="AP822" s="202">
        <v>7020000</v>
      </c>
      <c r="AQ822" s="198" t="s">
        <v>358</v>
      </c>
      <c r="AR822" s="198" t="s">
        <v>51</v>
      </c>
      <c r="AS822" s="202">
        <v>2860000</v>
      </c>
      <c r="AT822" s="202">
        <v>2860000</v>
      </c>
      <c r="AU822" s="198" t="s">
        <v>359</v>
      </c>
      <c r="AV822" s="198" t="s">
        <v>62</v>
      </c>
      <c r="AW822" s="198" t="s">
        <v>54</v>
      </c>
    </row>
    <row r="823" spans="3:49" outlineLevel="2" x14ac:dyDescent="0.25">
      <c r="C823" s="201"/>
      <c r="D823" s="198" t="s">
        <v>91</v>
      </c>
      <c r="H823" s="198" t="s">
        <v>91</v>
      </c>
      <c r="I823" s="202">
        <f t="shared" si="12"/>
        <v>343579766.39999962</v>
      </c>
      <c r="J823" s="202">
        <v>83.199999999999903</v>
      </c>
      <c r="L823" s="204">
        <v>11</v>
      </c>
      <c r="M823" s="202">
        <v>3080000</v>
      </c>
      <c r="N823" s="204">
        <v>11</v>
      </c>
      <c r="O823" s="198" t="s">
        <v>51</v>
      </c>
      <c r="P823" s="202">
        <v>3080000</v>
      </c>
      <c r="Q823" s="198" t="s">
        <v>73</v>
      </c>
      <c r="R823" s="198" t="s">
        <v>53</v>
      </c>
      <c r="S823" s="198" t="s">
        <v>54</v>
      </c>
      <c r="T823" s="198" t="s">
        <v>576</v>
      </c>
      <c r="U823" s="198" t="s">
        <v>367</v>
      </c>
      <c r="V823" s="198" t="s">
        <v>56</v>
      </c>
      <c r="W823" s="198" t="s">
        <v>356</v>
      </c>
      <c r="X823" s="198" t="s">
        <v>57</v>
      </c>
      <c r="Y823" s="198" t="s">
        <v>58</v>
      </c>
      <c r="Z823" s="201">
        <v>46188</v>
      </c>
      <c r="AA823" s="198" t="s">
        <v>59</v>
      </c>
      <c r="AB823" s="198" t="s">
        <v>60</v>
      </c>
      <c r="AC823" s="198" t="s">
        <v>86</v>
      </c>
      <c r="AD823" s="198" t="s">
        <v>62</v>
      </c>
      <c r="AE823" s="198" t="s">
        <v>87</v>
      </c>
      <c r="AF823" s="198" t="s">
        <v>84</v>
      </c>
      <c r="AG823" s="198" t="s">
        <v>189</v>
      </c>
      <c r="AH823" s="198" t="s">
        <v>95</v>
      </c>
      <c r="AI823" s="198" t="s">
        <v>56</v>
      </c>
      <c r="AJ823" s="198" t="s">
        <v>90</v>
      </c>
      <c r="AK823" s="198" t="s">
        <v>51</v>
      </c>
      <c r="AL823" s="198" t="s">
        <v>67</v>
      </c>
      <c r="AM823" s="198" t="s">
        <v>68</v>
      </c>
      <c r="AN823" s="202">
        <v>3080000</v>
      </c>
      <c r="AO823" s="202">
        <v>3080000</v>
      </c>
      <c r="AP823" s="202">
        <v>3080000</v>
      </c>
      <c r="AQ823" s="198" t="s">
        <v>358</v>
      </c>
      <c r="AR823" s="198" t="s">
        <v>51</v>
      </c>
      <c r="AS823" s="202">
        <v>3080000</v>
      </c>
      <c r="AT823" s="202">
        <v>3080000</v>
      </c>
      <c r="AU823" s="198" t="s">
        <v>359</v>
      </c>
      <c r="AV823" s="198" t="s">
        <v>62</v>
      </c>
      <c r="AW823" s="198" t="s">
        <v>54</v>
      </c>
    </row>
    <row r="824" spans="3:49" outlineLevel="2" x14ac:dyDescent="0.25">
      <c r="C824" s="201"/>
      <c r="D824" s="198" t="s">
        <v>212</v>
      </c>
      <c r="H824" s="198" t="s">
        <v>212</v>
      </c>
      <c r="I824" s="202">
        <f t="shared" si="12"/>
        <v>343992722.84999961</v>
      </c>
      <c r="J824" s="202">
        <v>83.299999999999898</v>
      </c>
      <c r="L824" s="204">
        <v>28</v>
      </c>
      <c r="M824" s="202">
        <v>7280000</v>
      </c>
      <c r="N824" s="204">
        <v>28</v>
      </c>
      <c r="O824" s="198" t="s">
        <v>51</v>
      </c>
      <c r="P824" s="202">
        <v>7280000</v>
      </c>
      <c r="Q824" s="198" t="s">
        <v>73</v>
      </c>
      <c r="R824" s="198" t="s">
        <v>53</v>
      </c>
      <c r="S824" s="198" t="s">
        <v>54</v>
      </c>
      <c r="T824" s="198" t="s">
        <v>576</v>
      </c>
      <c r="U824" s="198" t="s">
        <v>367</v>
      </c>
      <c r="V824" s="198" t="s">
        <v>56</v>
      </c>
      <c r="W824" s="198" t="s">
        <v>356</v>
      </c>
      <c r="X824" s="198" t="s">
        <v>57</v>
      </c>
      <c r="Y824" s="198" t="s">
        <v>58</v>
      </c>
      <c r="Z824" s="201">
        <v>46188</v>
      </c>
      <c r="AA824" s="198" t="s">
        <v>59</v>
      </c>
      <c r="AB824" s="198" t="s">
        <v>60</v>
      </c>
      <c r="AC824" s="198" t="s">
        <v>86</v>
      </c>
      <c r="AD824" s="198" t="s">
        <v>62</v>
      </c>
      <c r="AE824" s="198" t="s">
        <v>87</v>
      </c>
      <c r="AF824" s="198" t="s">
        <v>84</v>
      </c>
      <c r="AG824" s="198" t="s">
        <v>189</v>
      </c>
      <c r="AH824" s="198" t="s">
        <v>112</v>
      </c>
      <c r="AI824" s="198" t="s">
        <v>56</v>
      </c>
      <c r="AJ824" s="198" t="s">
        <v>90</v>
      </c>
      <c r="AK824" s="198" t="s">
        <v>51</v>
      </c>
      <c r="AL824" s="198" t="s">
        <v>67</v>
      </c>
      <c r="AM824" s="198" t="s">
        <v>68</v>
      </c>
      <c r="AN824" s="202">
        <v>7280000</v>
      </c>
      <c r="AO824" s="202">
        <v>7280000</v>
      </c>
      <c r="AP824" s="202">
        <v>7280000</v>
      </c>
      <c r="AQ824" s="198" t="s">
        <v>358</v>
      </c>
      <c r="AR824" s="198" t="s">
        <v>51</v>
      </c>
      <c r="AS824" s="202">
        <v>7280000</v>
      </c>
      <c r="AT824" s="202">
        <v>7280000</v>
      </c>
      <c r="AU824" s="198" t="s">
        <v>359</v>
      </c>
      <c r="AV824" s="198" t="s">
        <v>62</v>
      </c>
      <c r="AW824" s="198" t="s">
        <v>54</v>
      </c>
    </row>
    <row r="825" spans="3:49" outlineLevel="2" x14ac:dyDescent="0.25">
      <c r="C825" s="201"/>
      <c r="D825" s="198" t="s">
        <v>180</v>
      </c>
      <c r="H825" s="198" t="s">
        <v>180</v>
      </c>
      <c r="I825" s="202">
        <f t="shared" si="12"/>
        <v>344405679.29999959</v>
      </c>
      <c r="J825" s="202">
        <v>83.399999999999906</v>
      </c>
      <c r="L825" s="204">
        <v>18</v>
      </c>
      <c r="M825" s="202">
        <v>4680000</v>
      </c>
      <c r="N825" s="204">
        <v>6</v>
      </c>
      <c r="O825" s="198" t="s">
        <v>51</v>
      </c>
      <c r="P825" s="202">
        <v>1560000</v>
      </c>
      <c r="Q825" s="198" t="s">
        <v>73</v>
      </c>
      <c r="R825" s="198" t="s">
        <v>53</v>
      </c>
      <c r="S825" s="198" t="s">
        <v>54</v>
      </c>
      <c r="T825" s="198" t="s">
        <v>576</v>
      </c>
      <c r="U825" s="198" t="s">
        <v>364</v>
      </c>
      <c r="V825" s="198" t="s">
        <v>56</v>
      </c>
      <c r="W825" s="198" t="s">
        <v>356</v>
      </c>
      <c r="X825" s="198" t="s">
        <v>57</v>
      </c>
      <c r="Y825" s="198" t="s">
        <v>58</v>
      </c>
      <c r="Z825" s="201">
        <v>46188</v>
      </c>
      <c r="AA825" s="198" t="s">
        <v>59</v>
      </c>
      <c r="AB825" s="198" t="s">
        <v>60</v>
      </c>
      <c r="AC825" s="198" t="s">
        <v>86</v>
      </c>
      <c r="AD825" s="198" t="s">
        <v>62</v>
      </c>
      <c r="AE825" s="198" t="s">
        <v>87</v>
      </c>
      <c r="AF825" s="198" t="s">
        <v>84</v>
      </c>
      <c r="AG825" s="198" t="s">
        <v>189</v>
      </c>
      <c r="AH825" s="198" t="s">
        <v>65</v>
      </c>
      <c r="AI825" s="198" t="s">
        <v>56</v>
      </c>
      <c r="AJ825" s="198" t="s">
        <v>90</v>
      </c>
      <c r="AK825" s="198" t="s">
        <v>51</v>
      </c>
      <c r="AL825" s="198" t="s">
        <v>67</v>
      </c>
      <c r="AM825" s="198" t="s">
        <v>68</v>
      </c>
      <c r="AN825" s="202">
        <v>4680000</v>
      </c>
      <c r="AO825" s="202">
        <v>4680000</v>
      </c>
      <c r="AP825" s="202">
        <v>4680000</v>
      </c>
      <c r="AQ825" s="198" t="s">
        <v>358</v>
      </c>
      <c r="AR825" s="198" t="s">
        <v>51</v>
      </c>
      <c r="AS825" s="202">
        <v>1560000</v>
      </c>
      <c r="AT825" s="202">
        <v>1560000</v>
      </c>
      <c r="AU825" s="198" t="s">
        <v>359</v>
      </c>
      <c r="AV825" s="198" t="s">
        <v>62</v>
      </c>
      <c r="AW825" s="198" t="s">
        <v>54</v>
      </c>
    </row>
    <row r="826" spans="3:49" outlineLevel="2" x14ac:dyDescent="0.25">
      <c r="C826" s="201"/>
      <c r="D826" s="198" t="s">
        <v>164</v>
      </c>
      <c r="H826" s="198" t="s">
        <v>164</v>
      </c>
      <c r="I826" s="202">
        <f t="shared" si="12"/>
        <v>344818635.74999958</v>
      </c>
      <c r="J826" s="202">
        <v>83.499999999999901</v>
      </c>
      <c r="L826" s="204">
        <v>23</v>
      </c>
      <c r="M826" s="202">
        <v>5980000</v>
      </c>
      <c r="N826" s="204">
        <v>14</v>
      </c>
      <c r="O826" s="198" t="s">
        <v>51</v>
      </c>
      <c r="P826" s="202">
        <v>3640000</v>
      </c>
      <c r="Q826" s="198" t="s">
        <v>73</v>
      </c>
      <c r="R826" s="198" t="s">
        <v>53</v>
      </c>
      <c r="S826" s="198" t="s">
        <v>54</v>
      </c>
      <c r="T826" s="198" t="s">
        <v>576</v>
      </c>
      <c r="U826" s="198" t="s">
        <v>364</v>
      </c>
      <c r="V826" s="198" t="s">
        <v>56</v>
      </c>
      <c r="W826" s="198" t="s">
        <v>356</v>
      </c>
      <c r="X826" s="198" t="s">
        <v>57</v>
      </c>
      <c r="Y826" s="198" t="s">
        <v>58</v>
      </c>
      <c r="Z826" s="201">
        <v>46188</v>
      </c>
      <c r="AA826" s="198" t="s">
        <v>59</v>
      </c>
      <c r="AB826" s="198" t="s">
        <v>60</v>
      </c>
      <c r="AC826" s="198" t="s">
        <v>86</v>
      </c>
      <c r="AD826" s="198" t="s">
        <v>62</v>
      </c>
      <c r="AE826" s="198" t="s">
        <v>87</v>
      </c>
      <c r="AF826" s="198" t="s">
        <v>84</v>
      </c>
      <c r="AG826" s="198" t="s">
        <v>189</v>
      </c>
      <c r="AH826" s="198" t="s">
        <v>167</v>
      </c>
      <c r="AI826" s="198" t="s">
        <v>56</v>
      </c>
      <c r="AJ826" s="198" t="s">
        <v>90</v>
      </c>
      <c r="AK826" s="198" t="s">
        <v>51</v>
      </c>
      <c r="AL826" s="198" t="s">
        <v>67</v>
      </c>
      <c r="AM826" s="198" t="s">
        <v>68</v>
      </c>
      <c r="AN826" s="202">
        <v>5980000</v>
      </c>
      <c r="AO826" s="202">
        <v>5980000</v>
      </c>
      <c r="AP826" s="202">
        <v>5980000</v>
      </c>
      <c r="AQ826" s="198" t="s">
        <v>358</v>
      </c>
      <c r="AR826" s="198" t="s">
        <v>51</v>
      </c>
      <c r="AS826" s="202">
        <v>3640000</v>
      </c>
      <c r="AT826" s="202">
        <v>3640000</v>
      </c>
      <c r="AU826" s="198" t="s">
        <v>359</v>
      </c>
      <c r="AV826" s="198" t="s">
        <v>62</v>
      </c>
      <c r="AW826" s="198" t="s">
        <v>54</v>
      </c>
    </row>
    <row r="827" spans="3:49" outlineLevel="2" x14ac:dyDescent="0.25">
      <c r="C827" s="201"/>
      <c r="D827" s="198" t="s">
        <v>577</v>
      </c>
      <c r="H827" s="198" t="s">
        <v>577</v>
      </c>
      <c r="I827" s="202">
        <f t="shared" si="12"/>
        <v>345231592.19999957</v>
      </c>
      <c r="J827" s="202">
        <v>83.599999999999895</v>
      </c>
      <c r="L827" s="204">
        <v>100000</v>
      </c>
      <c r="M827" s="202">
        <v>47500000</v>
      </c>
      <c r="N827" s="204">
        <v>83392</v>
      </c>
      <c r="O827" s="198" t="s">
        <v>51</v>
      </c>
      <c r="P827" s="202">
        <v>39611200</v>
      </c>
      <c r="Q827" s="198" t="s">
        <v>75</v>
      </c>
      <c r="R827" s="198" t="s">
        <v>53</v>
      </c>
      <c r="S827" s="198" t="s">
        <v>54</v>
      </c>
      <c r="T827" s="198" t="s">
        <v>437</v>
      </c>
      <c r="U827" s="198" t="s">
        <v>368</v>
      </c>
      <c r="V827" s="198" t="s">
        <v>56</v>
      </c>
      <c r="W827" s="198" t="s">
        <v>356</v>
      </c>
      <c r="X827" s="198" t="s">
        <v>57</v>
      </c>
      <c r="Y827" s="198" t="s">
        <v>58</v>
      </c>
      <c r="Z827" s="201">
        <v>46203</v>
      </c>
      <c r="AA827" s="198" t="s">
        <v>59</v>
      </c>
      <c r="AB827" s="198" t="s">
        <v>60</v>
      </c>
      <c r="AC827" s="198" t="s">
        <v>86</v>
      </c>
      <c r="AD827" s="198" t="s">
        <v>62</v>
      </c>
      <c r="AE827" s="198" t="s">
        <v>579</v>
      </c>
      <c r="AF827" s="198" t="s">
        <v>578</v>
      </c>
      <c r="AG827" s="198" t="s">
        <v>189</v>
      </c>
      <c r="AH827" s="198" t="s">
        <v>130</v>
      </c>
      <c r="AI827" s="198" t="s">
        <v>147</v>
      </c>
      <c r="AJ827" s="198" t="s">
        <v>318</v>
      </c>
      <c r="AK827" s="198" t="s">
        <v>51</v>
      </c>
      <c r="AL827" s="198" t="s">
        <v>67</v>
      </c>
      <c r="AM827" s="198" t="s">
        <v>68</v>
      </c>
      <c r="AN827" s="202">
        <v>47500000</v>
      </c>
      <c r="AO827" s="202">
        <v>47500000</v>
      </c>
      <c r="AP827" s="202">
        <v>47500000</v>
      </c>
      <c r="AQ827" s="198" t="s">
        <v>358</v>
      </c>
      <c r="AR827" s="198" t="s">
        <v>51</v>
      </c>
      <c r="AS827" s="202">
        <v>39611200</v>
      </c>
      <c r="AT827" s="202">
        <v>39611200</v>
      </c>
      <c r="AU827" s="198" t="s">
        <v>359</v>
      </c>
      <c r="AV827" s="198" t="s">
        <v>62</v>
      </c>
      <c r="AW827" s="198" t="s">
        <v>54</v>
      </c>
    </row>
    <row r="828" spans="3:49" outlineLevel="2" x14ac:dyDescent="0.25">
      <c r="C828" s="201"/>
      <c r="D828" s="198" t="s">
        <v>577</v>
      </c>
      <c r="H828" s="198" t="s">
        <v>577</v>
      </c>
      <c r="I828" s="202">
        <f t="shared" si="12"/>
        <v>345644548.64999962</v>
      </c>
      <c r="J828" s="202">
        <v>83.699999999999903</v>
      </c>
      <c r="L828" s="204">
        <v>200000</v>
      </c>
      <c r="M828" s="202">
        <v>95000000</v>
      </c>
      <c r="N828" s="204">
        <v>200000</v>
      </c>
      <c r="O828" s="198" t="s">
        <v>51</v>
      </c>
      <c r="P828" s="202">
        <v>95000000</v>
      </c>
      <c r="Q828" s="198" t="s">
        <v>75</v>
      </c>
      <c r="R828" s="198" t="s">
        <v>53</v>
      </c>
      <c r="S828" s="198" t="s">
        <v>54</v>
      </c>
      <c r="T828" s="198" t="s">
        <v>437</v>
      </c>
      <c r="U828" s="198" t="s">
        <v>368</v>
      </c>
      <c r="V828" s="198" t="s">
        <v>56</v>
      </c>
      <c r="W828" s="198" t="s">
        <v>356</v>
      </c>
      <c r="X828" s="198" t="s">
        <v>57</v>
      </c>
      <c r="Y828" s="198" t="s">
        <v>58</v>
      </c>
      <c r="Z828" s="201">
        <v>46203</v>
      </c>
      <c r="AA828" s="198" t="s">
        <v>59</v>
      </c>
      <c r="AB828" s="198" t="s">
        <v>60</v>
      </c>
      <c r="AC828" s="198" t="s">
        <v>86</v>
      </c>
      <c r="AD828" s="198" t="s">
        <v>62</v>
      </c>
      <c r="AE828" s="198" t="s">
        <v>579</v>
      </c>
      <c r="AF828" s="198" t="s">
        <v>578</v>
      </c>
      <c r="AG828" s="198" t="s">
        <v>189</v>
      </c>
      <c r="AH828" s="198" t="s">
        <v>130</v>
      </c>
      <c r="AI828" s="198" t="s">
        <v>189</v>
      </c>
      <c r="AJ828" s="198" t="s">
        <v>318</v>
      </c>
      <c r="AK828" s="198" t="s">
        <v>51</v>
      </c>
      <c r="AL828" s="198" t="s">
        <v>67</v>
      </c>
      <c r="AM828" s="198" t="s">
        <v>68</v>
      </c>
      <c r="AN828" s="202">
        <v>95000000</v>
      </c>
      <c r="AO828" s="202">
        <v>95000000</v>
      </c>
      <c r="AP828" s="202">
        <v>95000000</v>
      </c>
      <c r="AQ828" s="198" t="s">
        <v>358</v>
      </c>
      <c r="AR828" s="198" t="s">
        <v>51</v>
      </c>
      <c r="AS828" s="202">
        <v>95000000</v>
      </c>
      <c r="AT828" s="202">
        <v>95000000</v>
      </c>
      <c r="AU828" s="198" t="s">
        <v>359</v>
      </c>
      <c r="AV828" s="198" t="s">
        <v>62</v>
      </c>
      <c r="AW828" s="198" t="s">
        <v>54</v>
      </c>
    </row>
    <row r="829" spans="3:49" outlineLevel="2" x14ac:dyDescent="0.25">
      <c r="C829" s="201"/>
      <c r="D829" s="198" t="s">
        <v>577</v>
      </c>
      <c r="H829" s="198" t="s">
        <v>577</v>
      </c>
      <c r="I829" s="202">
        <f t="shared" si="12"/>
        <v>346057505.09999961</v>
      </c>
      <c r="J829" s="202">
        <v>83.799999999999898</v>
      </c>
      <c r="L829" s="204">
        <v>200000</v>
      </c>
      <c r="M829" s="202">
        <v>95000000</v>
      </c>
      <c r="N829" s="204">
        <v>200000</v>
      </c>
      <c r="O829" s="198" t="s">
        <v>51</v>
      </c>
      <c r="P829" s="202">
        <v>95000000</v>
      </c>
      <c r="Q829" s="198" t="s">
        <v>75</v>
      </c>
      <c r="R829" s="198" t="s">
        <v>53</v>
      </c>
      <c r="S829" s="198" t="s">
        <v>54</v>
      </c>
      <c r="T829" s="198" t="s">
        <v>437</v>
      </c>
      <c r="U829" s="198" t="s">
        <v>368</v>
      </c>
      <c r="V829" s="198" t="s">
        <v>56</v>
      </c>
      <c r="W829" s="198" t="s">
        <v>356</v>
      </c>
      <c r="X829" s="198" t="s">
        <v>57</v>
      </c>
      <c r="Y829" s="198" t="s">
        <v>58</v>
      </c>
      <c r="Z829" s="201">
        <v>46203</v>
      </c>
      <c r="AA829" s="198" t="s">
        <v>59</v>
      </c>
      <c r="AB829" s="198" t="s">
        <v>60</v>
      </c>
      <c r="AC829" s="198" t="s">
        <v>86</v>
      </c>
      <c r="AD829" s="198" t="s">
        <v>62</v>
      </c>
      <c r="AE829" s="198" t="s">
        <v>579</v>
      </c>
      <c r="AF829" s="198" t="s">
        <v>578</v>
      </c>
      <c r="AG829" s="198" t="s">
        <v>189</v>
      </c>
      <c r="AH829" s="198" t="s">
        <v>130</v>
      </c>
      <c r="AI829" s="198" t="s">
        <v>248</v>
      </c>
      <c r="AJ829" s="198" t="s">
        <v>318</v>
      </c>
      <c r="AK829" s="198" t="s">
        <v>51</v>
      </c>
      <c r="AL829" s="198" t="s">
        <v>67</v>
      </c>
      <c r="AM829" s="198" t="s">
        <v>68</v>
      </c>
      <c r="AN829" s="202">
        <v>95000000</v>
      </c>
      <c r="AO829" s="202">
        <v>95000000</v>
      </c>
      <c r="AP829" s="202">
        <v>95000000</v>
      </c>
      <c r="AQ829" s="198" t="s">
        <v>358</v>
      </c>
      <c r="AR829" s="198" t="s">
        <v>51</v>
      </c>
      <c r="AS829" s="202">
        <v>95000000</v>
      </c>
      <c r="AT829" s="202">
        <v>95000000</v>
      </c>
      <c r="AU829" s="198" t="s">
        <v>359</v>
      </c>
      <c r="AV829" s="198" t="s">
        <v>62</v>
      </c>
      <c r="AW829" s="198" t="s">
        <v>54</v>
      </c>
    </row>
    <row r="830" spans="3:49" outlineLevel="2" x14ac:dyDescent="0.25">
      <c r="C830" s="201"/>
      <c r="D830" s="198" t="s">
        <v>577</v>
      </c>
      <c r="H830" s="198" t="s">
        <v>577</v>
      </c>
      <c r="I830" s="202">
        <f t="shared" si="12"/>
        <v>346470461.54999959</v>
      </c>
      <c r="J830" s="202">
        <v>83.899999999999906</v>
      </c>
      <c r="L830" s="204">
        <v>25000</v>
      </c>
      <c r="M830" s="202">
        <v>29775000</v>
      </c>
      <c r="N830" s="204">
        <v>11801</v>
      </c>
      <c r="O830" s="198" t="s">
        <v>51</v>
      </c>
      <c r="P830" s="202">
        <v>14054991</v>
      </c>
      <c r="Q830" s="198" t="s">
        <v>75</v>
      </c>
      <c r="R830" s="198" t="s">
        <v>53</v>
      </c>
      <c r="S830" s="198" t="s">
        <v>54</v>
      </c>
      <c r="T830" s="198" t="s">
        <v>437</v>
      </c>
      <c r="U830" s="198" t="s">
        <v>368</v>
      </c>
      <c r="V830" s="198" t="s">
        <v>56</v>
      </c>
      <c r="W830" s="198" t="s">
        <v>356</v>
      </c>
      <c r="X830" s="198" t="s">
        <v>57</v>
      </c>
      <c r="Y830" s="198" t="s">
        <v>58</v>
      </c>
      <c r="Z830" s="201">
        <v>46203</v>
      </c>
      <c r="AA830" s="198" t="s">
        <v>59</v>
      </c>
      <c r="AB830" s="198" t="s">
        <v>60</v>
      </c>
      <c r="AC830" s="198" t="s">
        <v>86</v>
      </c>
      <c r="AD830" s="198" t="s">
        <v>62</v>
      </c>
      <c r="AE830" s="198" t="s">
        <v>581</v>
      </c>
      <c r="AF830" s="198" t="s">
        <v>580</v>
      </c>
      <c r="AG830" s="198" t="s">
        <v>189</v>
      </c>
      <c r="AH830" s="198" t="s">
        <v>130</v>
      </c>
      <c r="AI830" s="198" t="s">
        <v>147</v>
      </c>
      <c r="AJ830" s="198" t="s">
        <v>318</v>
      </c>
      <c r="AK830" s="198" t="s">
        <v>51</v>
      </c>
      <c r="AL830" s="198" t="s">
        <v>67</v>
      </c>
      <c r="AM830" s="198" t="s">
        <v>68</v>
      </c>
      <c r="AN830" s="202">
        <v>29775000</v>
      </c>
      <c r="AO830" s="202">
        <v>29775000</v>
      </c>
      <c r="AP830" s="202">
        <v>29775000</v>
      </c>
      <c r="AQ830" s="198" t="s">
        <v>358</v>
      </c>
      <c r="AR830" s="198" t="s">
        <v>51</v>
      </c>
      <c r="AS830" s="202">
        <v>14054991</v>
      </c>
      <c r="AT830" s="202">
        <v>14054991</v>
      </c>
      <c r="AU830" s="198" t="s">
        <v>359</v>
      </c>
      <c r="AV830" s="198" t="s">
        <v>62</v>
      </c>
      <c r="AW830" s="198" t="s">
        <v>54</v>
      </c>
    </row>
    <row r="831" spans="3:49" outlineLevel="2" x14ac:dyDescent="0.25">
      <c r="C831" s="201"/>
      <c r="D831" s="198" t="s">
        <v>577</v>
      </c>
      <c r="H831" s="198" t="s">
        <v>577</v>
      </c>
      <c r="I831" s="202">
        <f t="shared" si="12"/>
        <v>346883417.99999958</v>
      </c>
      <c r="J831" s="202">
        <v>83.999999999999901</v>
      </c>
      <c r="L831" s="204">
        <v>12000</v>
      </c>
      <c r="M831" s="202">
        <v>3012000</v>
      </c>
      <c r="N831" s="204">
        <v>12000</v>
      </c>
      <c r="O831" s="198" t="s">
        <v>51</v>
      </c>
      <c r="P831" s="202">
        <v>3012000</v>
      </c>
      <c r="Q831" s="198" t="s">
        <v>75</v>
      </c>
      <c r="R831" s="198" t="s">
        <v>53</v>
      </c>
      <c r="S831" s="198" t="s">
        <v>54</v>
      </c>
      <c r="T831" s="198" t="s">
        <v>437</v>
      </c>
      <c r="U831" s="198" t="s">
        <v>367</v>
      </c>
      <c r="V831" s="198" t="s">
        <v>56</v>
      </c>
      <c r="W831" s="198" t="s">
        <v>356</v>
      </c>
      <c r="X831" s="198" t="s">
        <v>57</v>
      </c>
      <c r="Y831" s="198" t="s">
        <v>58</v>
      </c>
      <c r="Z831" s="201">
        <v>46203</v>
      </c>
      <c r="AA831" s="198" t="s">
        <v>59</v>
      </c>
      <c r="AB831" s="198" t="s">
        <v>60</v>
      </c>
      <c r="AC831" s="198" t="s">
        <v>86</v>
      </c>
      <c r="AD831" s="198" t="s">
        <v>62</v>
      </c>
      <c r="AE831" s="198" t="s">
        <v>581</v>
      </c>
      <c r="AF831" s="198" t="s">
        <v>580</v>
      </c>
      <c r="AG831" s="198" t="s">
        <v>189</v>
      </c>
      <c r="AH831" s="198" t="s">
        <v>130</v>
      </c>
      <c r="AI831" s="198" t="s">
        <v>56</v>
      </c>
      <c r="AJ831" s="198" t="s">
        <v>318</v>
      </c>
      <c r="AK831" s="198" t="s">
        <v>51</v>
      </c>
      <c r="AL831" s="198" t="s">
        <v>67</v>
      </c>
      <c r="AM831" s="198" t="s">
        <v>68</v>
      </c>
      <c r="AN831" s="202">
        <v>3012000</v>
      </c>
      <c r="AO831" s="202">
        <v>3012000</v>
      </c>
      <c r="AP831" s="202">
        <v>3012000</v>
      </c>
      <c r="AQ831" s="198" t="s">
        <v>358</v>
      </c>
      <c r="AR831" s="198" t="s">
        <v>51</v>
      </c>
      <c r="AS831" s="202">
        <v>3012000</v>
      </c>
      <c r="AT831" s="202">
        <v>3012000</v>
      </c>
      <c r="AU831" s="198" t="s">
        <v>359</v>
      </c>
      <c r="AV831" s="198" t="s">
        <v>62</v>
      </c>
      <c r="AW831" s="198" t="s">
        <v>54</v>
      </c>
    </row>
    <row r="832" spans="3:49" outlineLevel="2" x14ac:dyDescent="0.25">
      <c r="C832" s="201"/>
      <c r="D832" s="198" t="s">
        <v>577</v>
      </c>
      <c r="H832" s="198" t="s">
        <v>577</v>
      </c>
      <c r="I832" s="202">
        <f t="shared" si="12"/>
        <v>347296374.44999957</v>
      </c>
      <c r="J832" s="202">
        <v>84.099999999999895</v>
      </c>
      <c r="L832" s="204">
        <v>10000</v>
      </c>
      <c r="M832" s="202">
        <v>2510000</v>
      </c>
      <c r="N832" s="204">
        <v>10000</v>
      </c>
      <c r="O832" s="198" t="s">
        <v>51</v>
      </c>
      <c r="P832" s="202">
        <v>2510000</v>
      </c>
      <c r="Q832" s="198" t="s">
        <v>75</v>
      </c>
      <c r="R832" s="198" t="s">
        <v>53</v>
      </c>
      <c r="S832" s="198" t="s">
        <v>54</v>
      </c>
      <c r="T832" s="198" t="s">
        <v>437</v>
      </c>
      <c r="U832" s="198" t="s">
        <v>367</v>
      </c>
      <c r="V832" s="198" t="s">
        <v>56</v>
      </c>
      <c r="W832" s="198" t="s">
        <v>356</v>
      </c>
      <c r="X832" s="198" t="s">
        <v>57</v>
      </c>
      <c r="Y832" s="198" t="s">
        <v>58</v>
      </c>
      <c r="Z832" s="201">
        <v>46203</v>
      </c>
      <c r="AA832" s="198" t="s">
        <v>59</v>
      </c>
      <c r="AB832" s="198" t="s">
        <v>60</v>
      </c>
      <c r="AC832" s="198" t="s">
        <v>86</v>
      </c>
      <c r="AD832" s="198" t="s">
        <v>62</v>
      </c>
      <c r="AE832" s="198" t="s">
        <v>581</v>
      </c>
      <c r="AF832" s="198" t="s">
        <v>580</v>
      </c>
      <c r="AG832" s="198" t="s">
        <v>189</v>
      </c>
      <c r="AH832" s="198" t="s">
        <v>130</v>
      </c>
      <c r="AI832" s="198" t="s">
        <v>147</v>
      </c>
      <c r="AJ832" s="198" t="s">
        <v>318</v>
      </c>
      <c r="AK832" s="198" t="s">
        <v>51</v>
      </c>
      <c r="AL832" s="198" t="s">
        <v>67</v>
      </c>
      <c r="AM832" s="198" t="s">
        <v>68</v>
      </c>
      <c r="AN832" s="202">
        <v>2510000</v>
      </c>
      <c r="AO832" s="202">
        <v>2510000</v>
      </c>
      <c r="AP832" s="202">
        <v>2510000</v>
      </c>
      <c r="AQ832" s="198" t="s">
        <v>358</v>
      </c>
      <c r="AR832" s="198" t="s">
        <v>51</v>
      </c>
      <c r="AS832" s="202">
        <v>2510000</v>
      </c>
      <c r="AT832" s="202">
        <v>2510000</v>
      </c>
      <c r="AU832" s="198" t="s">
        <v>359</v>
      </c>
      <c r="AV832" s="198" t="s">
        <v>62</v>
      </c>
      <c r="AW832" s="198" t="s">
        <v>54</v>
      </c>
    </row>
    <row r="833" spans="3:49" outlineLevel="2" x14ac:dyDescent="0.25">
      <c r="C833" s="201"/>
      <c r="D833" s="198" t="s">
        <v>566</v>
      </c>
      <c r="H833" s="198" t="s">
        <v>566</v>
      </c>
      <c r="I833" s="202">
        <f t="shared" si="12"/>
        <v>347709330.89999962</v>
      </c>
      <c r="J833" s="202">
        <v>84.199999999999903</v>
      </c>
      <c r="L833" s="204">
        <v>60000</v>
      </c>
      <c r="M833" s="202">
        <v>28500000</v>
      </c>
      <c r="N833" s="204">
        <v>60000</v>
      </c>
      <c r="O833" s="198" t="s">
        <v>51</v>
      </c>
      <c r="P833" s="202">
        <v>28500000</v>
      </c>
      <c r="Q833" s="198" t="s">
        <v>75</v>
      </c>
      <c r="R833" s="198" t="s">
        <v>53</v>
      </c>
      <c r="S833" s="198" t="s">
        <v>54</v>
      </c>
      <c r="T833" s="198" t="s">
        <v>437</v>
      </c>
      <c r="U833" s="198" t="s">
        <v>80</v>
      </c>
      <c r="V833" s="198" t="s">
        <v>56</v>
      </c>
      <c r="W833" s="198" t="s">
        <v>356</v>
      </c>
      <c r="X833" s="198" t="s">
        <v>57</v>
      </c>
      <c r="Y833" s="198" t="s">
        <v>58</v>
      </c>
      <c r="Z833" s="201">
        <v>46203</v>
      </c>
      <c r="AA833" s="198" t="s">
        <v>59</v>
      </c>
      <c r="AB833" s="198" t="s">
        <v>60</v>
      </c>
      <c r="AC833" s="198" t="s">
        <v>86</v>
      </c>
      <c r="AD833" s="198" t="s">
        <v>62</v>
      </c>
      <c r="AE833" s="198" t="s">
        <v>579</v>
      </c>
      <c r="AF833" s="198" t="s">
        <v>578</v>
      </c>
      <c r="AG833" s="198" t="s">
        <v>189</v>
      </c>
      <c r="AH833" s="198" t="s">
        <v>117</v>
      </c>
      <c r="AI833" s="198" t="s">
        <v>56</v>
      </c>
      <c r="AJ833" s="198" t="s">
        <v>318</v>
      </c>
      <c r="AK833" s="198" t="s">
        <v>51</v>
      </c>
      <c r="AL833" s="198" t="s">
        <v>67</v>
      </c>
      <c r="AM833" s="198" t="s">
        <v>68</v>
      </c>
      <c r="AN833" s="202">
        <v>28500000</v>
      </c>
      <c r="AO833" s="202">
        <v>28500000</v>
      </c>
      <c r="AP833" s="202">
        <v>28500000</v>
      </c>
      <c r="AQ833" s="198" t="s">
        <v>358</v>
      </c>
      <c r="AR833" s="198" t="s">
        <v>51</v>
      </c>
      <c r="AS833" s="202">
        <v>28500000</v>
      </c>
      <c r="AT833" s="202">
        <v>28500000</v>
      </c>
      <c r="AU833" s="198" t="s">
        <v>359</v>
      </c>
      <c r="AV833" s="198" t="s">
        <v>62</v>
      </c>
      <c r="AW833" s="198" t="s">
        <v>54</v>
      </c>
    </row>
    <row r="834" spans="3:49" outlineLevel="2" x14ac:dyDescent="0.25">
      <c r="C834" s="201"/>
      <c r="D834" s="198" t="s">
        <v>566</v>
      </c>
      <c r="H834" s="198" t="s">
        <v>566</v>
      </c>
      <c r="I834" s="202">
        <f t="shared" si="12"/>
        <v>348122287.34999961</v>
      </c>
      <c r="J834" s="202">
        <v>84.299999999999898</v>
      </c>
      <c r="L834" s="204">
        <v>50000</v>
      </c>
      <c r="M834" s="202">
        <v>23750000</v>
      </c>
      <c r="N834" s="204">
        <v>50000</v>
      </c>
      <c r="O834" s="198" t="s">
        <v>51</v>
      </c>
      <c r="P834" s="202">
        <v>23750000</v>
      </c>
      <c r="Q834" s="198" t="s">
        <v>75</v>
      </c>
      <c r="R834" s="198" t="s">
        <v>53</v>
      </c>
      <c r="S834" s="198" t="s">
        <v>54</v>
      </c>
      <c r="T834" s="198" t="s">
        <v>437</v>
      </c>
      <c r="U834" s="198" t="s">
        <v>80</v>
      </c>
      <c r="V834" s="198" t="s">
        <v>56</v>
      </c>
      <c r="W834" s="198" t="s">
        <v>356</v>
      </c>
      <c r="X834" s="198" t="s">
        <v>57</v>
      </c>
      <c r="Y834" s="198" t="s">
        <v>58</v>
      </c>
      <c r="Z834" s="201">
        <v>46203</v>
      </c>
      <c r="AA834" s="198" t="s">
        <v>59</v>
      </c>
      <c r="AB834" s="198" t="s">
        <v>60</v>
      </c>
      <c r="AC834" s="198" t="s">
        <v>86</v>
      </c>
      <c r="AD834" s="198" t="s">
        <v>62</v>
      </c>
      <c r="AE834" s="198" t="s">
        <v>579</v>
      </c>
      <c r="AF834" s="198" t="s">
        <v>578</v>
      </c>
      <c r="AG834" s="198" t="s">
        <v>189</v>
      </c>
      <c r="AH834" s="198" t="s">
        <v>117</v>
      </c>
      <c r="AI834" s="198" t="s">
        <v>147</v>
      </c>
      <c r="AJ834" s="198" t="s">
        <v>318</v>
      </c>
      <c r="AK834" s="198" t="s">
        <v>51</v>
      </c>
      <c r="AL834" s="198" t="s">
        <v>67</v>
      </c>
      <c r="AM834" s="198" t="s">
        <v>68</v>
      </c>
      <c r="AN834" s="202">
        <v>23750000</v>
      </c>
      <c r="AO834" s="202">
        <v>23750000</v>
      </c>
      <c r="AP834" s="202">
        <v>23750000</v>
      </c>
      <c r="AQ834" s="198" t="s">
        <v>358</v>
      </c>
      <c r="AR834" s="198" t="s">
        <v>51</v>
      </c>
      <c r="AS834" s="202">
        <v>23750000</v>
      </c>
      <c r="AT834" s="202">
        <v>23750000</v>
      </c>
      <c r="AU834" s="198" t="s">
        <v>359</v>
      </c>
      <c r="AV834" s="198" t="s">
        <v>62</v>
      </c>
      <c r="AW834" s="198" t="s">
        <v>54</v>
      </c>
    </row>
    <row r="835" spans="3:49" outlineLevel="2" x14ac:dyDescent="0.25">
      <c r="C835" s="201"/>
      <c r="D835" s="198" t="s">
        <v>566</v>
      </c>
      <c r="H835" s="198" t="s">
        <v>566</v>
      </c>
      <c r="I835" s="202">
        <f t="shared" ref="I835:I898" si="13">J835*4129564.5</f>
        <v>348535243.79999959</v>
      </c>
      <c r="J835" s="202">
        <v>84.399999999999906</v>
      </c>
      <c r="L835" s="204">
        <v>35000</v>
      </c>
      <c r="M835" s="202">
        <v>16625000</v>
      </c>
      <c r="N835" s="204">
        <v>35000</v>
      </c>
      <c r="O835" s="198" t="s">
        <v>51</v>
      </c>
      <c r="P835" s="202">
        <v>16625000</v>
      </c>
      <c r="Q835" s="198" t="s">
        <v>75</v>
      </c>
      <c r="R835" s="198" t="s">
        <v>53</v>
      </c>
      <c r="S835" s="198" t="s">
        <v>54</v>
      </c>
      <c r="T835" s="198" t="s">
        <v>437</v>
      </c>
      <c r="U835" s="198" t="s">
        <v>80</v>
      </c>
      <c r="V835" s="198" t="s">
        <v>56</v>
      </c>
      <c r="W835" s="198" t="s">
        <v>356</v>
      </c>
      <c r="X835" s="198" t="s">
        <v>57</v>
      </c>
      <c r="Y835" s="198" t="s">
        <v>58</v>
      </c>
      <c r="Z835" s="201">
        <v>46203</v>
      </c>
      <c r="AA835" s="198" t="s">
        <v>59</v>
      </c>
      <c r="AB835" s="198" t="s">
        <v>60</v>
      </c>
      <c r="AC835" s="198" t="s">
        <v>86</v>
      </c>
      <c r="AD835" s="198" t="s">
        <v>62</v>
      </c>
      <c r="AE835" s="198" t="s">
        <v>579</v>
      </c>
      <c r="AF835" s="198" t="s">
        <v>578</v>
      </c>
      <c r="AG835" s="198" t="s">
        <v>189</v>
      </c>
      <c r="AH835" s="198" t="s">
        <v>117</v>
      </c>
      <c r="AI835" s="198" t="s">
        <v>56</v>
      </c>
      <c r="AJ835" s="198" t="s">
        <v>318</v>
      </c>
      <c r="AK835" s="198" t="s">
        <v>51</v>
      </c>
      <c r="AL835" s="198" t="s">
        <v>67</v>
      </c>
      <c r="AM835" s="198" t="s">
        <v>68</v>
      </c>
      <c r="AN835" s="202">
        <v>16625000</v>
      </c>
      <c r="AO835" s="202">
        <v>16625000</v>
      </c>
      <c r="AP835" s="202">
        <v>16625000</v>
      </c>
      <c r="AQ835" s="198" t="s">
        <v>358</v>
      </c>
      <c r="AR835" s="198" t="s">
        <v>51</v>
      </c>
      <c r="AS835" s="202">
        <v>16625000</v>
      </c>
      <c r="AT835" s="202">
        <v>16625000</v>
      </c>
      <c r="AU835" s="198" t="s">
        <v>359</v>
      </c>
      <c r="AV835" s="198" t="s">
        <v>62</v>
      </c>
      <c r="AW835" s="198" t="s">
        <v>54</v>
      </c>
    </row>
    <row r="836" spans="3:49" outlineLevel="2" x14ac:dyDescent="0.25">
      <c r="C836" s="201"/>
      <c r="D836" s="198" t="s">
        <v>582</v>
      </c>
      <c r="H836" s="198" t="s">
        <v>582</v>
      </c>
      <c r="I836" s="202">
        <f t="shared" si="13"/>
        <v>348948200.24999958</v>
      </c>
      <c r="J836" s="202">
        <v>84.499999999999901</v>
      </c>
      <c r="L836" s="204">
        <v>29350</v>
      </c>
      <c r="M836" s="202">
        <v>34955850</v>
      </c>
      <c r="N836" s="204">
        <v>29350</v>
      </c>
      <c r="O836" s="198" t="s">
        <v>51</v>
      </c>
      <c r="P836" s="202">
        <v>34955850</v>
      </c>
      <c r="Q836" s="198" t="s">
        <v>75</v>
      </c>
      <c r="R836" s="198" t="s">
        <v>53</v>
      </c>
      <c r="S836" s="198" t="s">
        <v>54</v>
      </c>
      <c r="T836" s="198" t="s">
        <v>437</v>
      </c>
      <c r="U836" s="198" t="s">
        <v>80</v>
      </c>
      <c r="V836" s="198" t="s">
        <v>56</v>
      </c>
      <c r="W836" s="198" t="s">
        <v>356</v>
      </c>
      <c r="X836" s="198" t="s">
        <v>57</v>
      </c>
      <c r="Y836" s="198" t="s">
        <v>58</v>
      </c>
      <c r="Z836" s="201">
        <v>46203</v>
      </c>
      <c r="AA836" s="198" t="s">
        <v>59</v>
      </c>
      <c r="AB836" s="198" t="s">
        <v>60</v>
      </c>
      <c r="AC836" s="198" t="s">
        <v>86</v>
      </c>
      <c r="AD836" s="198" t="s">
        <v>62</v>
      </c>
      <c r="AE836" s="198" t="s">
        <v>581</v>
      </c>
      <c r="AF836" s="198" t="s">
        <v>580</v>
      </c>
      <c r="AG836" s="198" t="s">
        <v>189</v>
      </c>
      <c r="AH836" s="198" t="s">
        <v>132</v>
      </c>
      <c r="AI836" s="198" t="s">
        <v>56</v>
      </c>
      <c r="AJ836" s="198" t="s">
        <v>318</v>
      </c>
      <c r="AK836" s="198" t="s">
        <v>51</v>
      </c>
      <c r="AL836" s="198" t="s">
        <v>67</v>
      </c>
      <c r="AM836" s="198" t="s">
        <v>68</v>
      </c>
      <c r="AN836" s="202">
        <v>34955850</v>
      </c>
      <c r="AO836" s="202">
        <v>34955850</v>
      </c>
      <c r="AP836" s="202">
        <v>34955850</v>
      </c>
      <c r="AQ836" s="198" t="s">
        <v>358</v>
      </c>
      <c r="AR836" s="198" t="s">
        <v>51</v>
      </c>
      <c r="AS836" s="202">
        <v>34955850</v>
      </c>
      <c r="AT836" s="202">
        <v>34955850</v>
      </c>
      <c r="AU836" s="198" t="s">
        <v>359</v>
      </c>
      <c r="AV836" s="198" t="s">
        <v>62</v>
      </c>
      <c r="AW836" s="198" t="s">
        <v>54</v>
      </c>
    </row>
    <row r="837" spans="3:49" outlineLevel="2" x14ac:dyDescent="0.25">
      <c r="C837" s="201"/>
      <c r="D837" s="198" t="s">
        <v>582</v>
      </c>
      <c r="H837" s="198" t="s">
        <v>582</v>
      </c>
      <c r="I837" s="202">
        <f t="shared" si="13"/>
        <v>349361156.69999957</v>
      </c>
      <c r="J837" s="202">
        <v>84.599999999999895</v>
      </c>
      <c r="L837" s="204">
        <v>20000</v>
      </c>
      <c r="M837" s="202">
        <v>23820000</v>
      </c>
      <c r="N837" s="204">
        <v>20000</v>
      </c>
      <c r="O837" s="198" t="s">
        <v>51</v>
      </c>
      <c r="P837" s="202">
        <v>23820000</v>
      </c>
      <c r="Q837" s="198" t="s">
        <v>75</v>
      </c>
      <c r="R837" s="198" t="s">
        <v>53</v>
      </c>
      <c r="S837" s="198" t="s">
        <v>54</v>
      </c>
      <c r="T837" s="198" t="s">
        <v>437</v>
      </c>
      <c r="U837" s="198" t="s">
        <v>80</v>
      </c>
      <c r="V837" s="198" t="s">
        <v>56</v>
      </c>
      <c r="W837" s="198" t="s">
        <v>356</v>
      </c>
      <c r="X837" s="198" t="s">
        <v>57</v>
      </c>
      <c r="Y837" s="198" t="s">
        <v>58</v>
      </c>
      <c r="Z837" s="201">
        <v>46203</v>
      </c>
      <c r="AA837" s="198" t="s">
        <v>59</v>
      </c>
      <c r="AB837" s="198" t="s">
        <v>60</v>
      </c>
      <c r="AC837" s="198" t="s">
        <v>86</v>
      </c>
      <c r="AD837" s="198" t="s">
        <v>62</v>
      </c>
      <c r="AE837" s="198" t="s">
        <v>581</v>
      </c>
      <c r="AF837" s="198" t="s">
        <v>580</v>
      </c>
      <c r="AG837" s="198" t="s">
        <v>189</v>
      </c>
      <c r="AH837" s="198" t="s">
        <v>132</v>
      </c>
      <c r="AI837" s="198" t="s">
        <v>147</v>
      </c>
      <c r="AJ837" s="198" t="s">
        <v>318</v>
      </c>
      <c r="AK837" s="198" t="s">
        <v>51</v>
      </c>
      <c r="AL837" s="198" t="s">
        <v>67</v>
      </c>
      <c r="AM837" s="198" t="s">
        <v>68</v>
      </c>
      <c r="AN837" s="202">
        <v>23820000</v>
      </c>
      <c r="AO837" s="202">
        <v>23820000</v>
      </c>
      <c r="AP837" s="202">
        <v>23820000</v>
      </c>
      <c r="AQ837" s="198" t="s">
        <v>358</v>
      </c>
      <c r="AR837" s="198" t="s">
        <v>51</v>
      </c>
      <c r="AS837" s="202">
        <v>23820000</v>
      </c>
      <c r="AT837" s="202">
        <v>23820000</v>
      </c>
      <c r="AU837" s="198" t="s">
        <v>359</v>
      </c>
      <c r="AV837" s="198" t="s">
        <v>62</v>
      </c>
      <c r="AW837" s="198" t="s">
        <v>54</v>
      </c>
    </row>
    <row r="838" spans="3:49" outlineLevel="2" x14ac:dyDescent="0.25">
      <c r="C838" s="201"/>
      <c r="D838" s="198" t="s">
        <v>582</v>
      </c>
      <c r="H838" s="198" t="s">
        <v>582</v>
      </c>
      <c r="I838" s="202">
        <f t="shared" si="13"/>
        <v>349774113.14999962</v>
      </c>
      <c r="J838" s="202">
        <v>84.699999999999903</v>
      </c>
      <c r="L838" s="204">
        <v>10950</v>
      </c>
      <c r="M838" s="202">
        <v>2748450</v>
      </c>
      <c r="N838" s="204">
        <v>10950</v>
      </c>
      <c r="O838" s="198" t="s">
        <v>51</v>
      </c>
      <c r="P838" s="202">
        <v>2748450</v>
      </c>
      <c r="Q838" s="198" t="s">
        <v>75</v>
      </c>
      <c r="R838" s="198" t="s">
        <v>53</v>
      </c>
      <c r="S838" s="198" t="s">
        <v>54</v>
      </c>
      <c r="T838" s="198" t="s">
        <v>437</v>
      </c>
      <c r="U838" s="198" t="s">
        <v>80</v>
      </c>
      <c r="V838" s="198" t="s">
        <v>56</v>
      </c>
      <c r="W838" s="198" t="s">
        <v>356</v>
      </c>
      <c r="X838" s="198" t="s">
        <v>57</v>
      </c>
      <c r="Y838" s="198" t="s">
        <v>58</v>
      </c>
      <c r="Z838" s="201">
        <v>46203</v>
      </c>
      <c r="AA838" s="198" t="s">
        <v>59</v>
      </c>
      <c r="AB838" s="198" t="s">
        <v>60</v>
      </c>
      <c r="AC838" s="198" t="s">
        <v>86</v>
      </c>
      <c r="AD838" s="198" t="s">
        <v>62</v>
      </c>
      <c r="AE838" s="198" t="s">
        <v>581</v>
      </c>
      <c r="AF838" s="198" t="s">
        <v>580</v>
      </c>
      <c r="AG838" s="198" t="s">
        <v>189</v>
      </c>
      <c r="AH838" s="198" t="s">
        <v>132</v>
      </c>
      <c r="AI838" s="198" t="s">
        <v>56</v>
      </c>
      <c r="AJ838" s="198" t="s">
        <v>318</v>
      </c>
      <c r="AK838" s="198" t="s">
        <v>51</v>
      </c>
      <c r="AL838" s="198" t="s">
        <v>67</v>
      </c>
      <c r="AM838" s="198" t="s">
        <v>68</v>
      </c>
      <c r="AN838" s="202">
        <v>2748450</v>
      </c>
      <c r="AO838" s="202">
        <v>2748450</v>
      </c>
      <c r="AP838" s="202">
        <v>2748450</v>
      </c>
      <c r="AQ838" s="198" t="s">
        <v>358</v>
      </c>
      <c r="AR838" s="198" t="s">
        <v>51</v>
      </c>
      <c r="AS838" s="202">
        <v>2748450</v>
      </c>
      <c r="AT838" s="202">
        <v>2748450</v>
      </c>
      <c r="AU838" s="198" t="s">
        <v>359</v>
      </c>
      <c r="AV838" s="198" t="s">
        <v>62</v>
      </c>
      <c r="AW838" s="198" t="s">
        <v>54</v>
      </c>
    </row>
    <row r="839" spans="3:49" outlineLevel="2" x14ac:dyDescent="0.25">
      <c r="C839" s="201"/>
      <c r="D839" s="198" t="s">
        <v>582</v>
      </c>
      <c r="H839" s="198" t="s">
        <v>582</v>
      </c>
      <c r="I839" s="202">
        <f t="shared" si="13"/>
        <v>350187069.59999961</v>
      </c>
      <c r="J839" s="202">
        <v>84.799999999999898</v>
      </c>
      <c r="L839" s="204">
        <v>9000</v>
      </c>
      <c r="M839" s="202">
        <v>2259000</v>
      </c>
      <c r="N839" s="204">
        <v>9000</v>
      </c>
      <c r="O839" s="198" t="s">
        <v>51</v>
      </c>
      <c r="P839" s="202">
        <v>2259000</v>
      </c>
      <c r="Q839" s="198" t="s">
        <v>75</v>
      </c>
      <c r="R839" s="198" t="s">
        <v>53</v>
      </c>
      <c r="S839" s="198" t="s">
        <v>54</v>
      </c>
      <c r="T839" s="198" t="s">
        <v>437</v>
      </c>
      <c r="U839" s="198" t="s">
        <v>80</v>
      </c>
      <c r="V839" s="198" t="s">
        <v>56</v>
      </c>
      <c r="W839" s="198" t="s">
        <v>356</v>
      </c>
      <c r="X839" s="198" t="s">
        <v>57</v>
      </c>
      <c r="Y839" s="198" t="s">
        <v>58</v>
      </c>
      <c r="Z839" s="201">
        <v>46203</v>
      </c>
      <c r="AA839" s="198" t="s">
        <v>59</v>
      </c>
      <c r="AB839" s="198" t="s">
        <v>60</v>
      </c>
      <c r="AC839" s="198" t="s">
        <v>86</v>
      </c>
      <c r="AD839" s="198" t="s">
        <v>62</v>
      </c>
      <c r="AE839" s="198" t="s">
        <v>581</v>
      </c>
      <c r="AF839" s="198" t="s">
        <v>580</v>
      </c>
      <c r="AG839" s="198" t="s">
        <v>189</v>
      </c>
      <c r="AH839" s="198" t="s">
        <v>132</v>
      </c>
      <c r="AI839" s="198" t="s">
        <v>147</v>
      </c>
      <c r="AJ839" s="198" t="s">
        <v>318</v>
      </c>
      <c r="AK839" s="198" t="s">
        <v>51</v>
      </c>
      <c r="AL839" s="198" t="s">
        <v>67</v>
      </c>
      <c r="AM839" s="198" t="s">
        <v>68</v>
      </c>
      <c r="AN839" s="202">
        <v>2259000</v>
      </c>
      <c r="AO839" s="202">
        <v>2259000</v>
      </c>
      <c r="AP839" s="202">
        <v>2259000</v>
      </c>
      <c r="AQ839" s="198" t="s">
        <v>358</v>
      </c>
      <c r="AR839" s="198" t="s">
        <v>51</v>
      </c>
      <c r="AS839" s="202">
        <v>2259000</v>
      </c>
      <c r="AT839" s="202">
        <v>2259000</v>
      </c>
      <c r="AU839" s="198" t="s">
        <v>359</v>
      </c>
      <c r="AV839" s="198" t="s">
        <v>62</v>
      </c>
      <c r="AW839" s="198" t="s">
        <v>54</v>
      </c>
    </row>
    <row r="840" spans="3:49" outlineLevel="2" x14ac:dyDescent="0.25">
      <c r="C840" s="201"/>
      <c r="D840" s="198" t="s">
        <v>122</v>
      </c>
      <c r="H840" s="198" t="s">
        <v>122</v>
      </c>
      <c r="I840" s="202">
        <f t="shared" si="13"/>
        <v>350600026.04999959</v>
      </c>
      <c r="J840" s="202">
        <v>84.899999999999906</v>
      </c>
      <c r="L840" s="204">
        <v>119974</v>
      </c>
      <c r="M840" s="202">
        <v>8878076</v>
      </c>
      <c r="N840" s="204">
        <v>119974</v>
      </c>
      <c r="O840" s="198" t="s">
        <v>51</v>
      </c>
      <c r="P840" s="202">
        <v>8878076</v>
      </c>
      <c r="Q840" s="198" t="s">
        <v>73</v>
      </c>
      <c r="R840" s="198" t="s">
        <v>53</v>
      </c>
      <c r="S840" s="198" t="s">
        <v>54</v>
      </c>
      <c r="T840" s="198" t="s">
        <v>585</v>
      </c>
      <c r="U840" s="198" t="s">
        <v>367</v>
      </c>
      <c r="V840" s="198" t="s">
        <v>56</v>
      </c>
      <c r="W840" s="198" t="s">
        <v>356</v>
      </c>
      <c r="X840" s="198" t="s">
        <v>57</v>
      </c>
      <c r="Y840" s="198" t="s">
        <v>58</v>
      </c>
      <c r="Z840" s="201">
        <v>46234</v>
      </c>
      <c r="AA840" s="198" t="s">
        <v>59</v>
      </c>
      <c r="AB840" s="198" t="s">
        <v>60</v>
      </c>
      <c r="AC840" s="198" t="s">
        <v>86</v>
      </c>
      <c r="AD840" s="198" t="s">
        <v>62</v>
      </c>
      <c r="AE840" s="198" t="s">
        <v>125</v>
      </c>
      <c r="AF840" s="198" t="s">
        <v>124</v>
      </c>
      <c r="AG840" s="198" t="s">
        <v>248</v>
      </c>
      <c r="AH840" s="198" t="s">
        <v>126</v>
      </c>
      <c r="AI840" s="198" t="s">
        <v>56</v>
      </c>
      <c r="AJ840" s="198" t="s">
        <v>127</v>
      </c>
      <c r="AK840" s="198" t="s">
        <v>51</v>
      </c>
      <c r="AL840" s="198" t="s">
        <v>67</v>
      </c>
      <c r="AM840" s="198" t="s">
        <v>68</v>
      </c>
      <c r="AN840" s="202">
        <v>8878076</v>
      </c>
      <c r="AO840" s="202">
        <v>8878076</v>
      </c>
      <c r="AP840" s="202">
        <v>8878076</v>
      </c>
      <c r="AQ840" s="198" t="s">
        <v>358</v>
      </c>
      <c r="AR840" s="198" t="s">
        <v>51</v>
      </c>
      <c r="AS840" s="202">
        <v>8878076</v>
      </c>
      <c r="AT840" s="202">
        <v>8878076</v>
      </c>
      <c r="AU840" s="198" t="s">
        <v>359</v>
      </c>
      <c r="AV840" s="198" t="s">
        <v>62</v>
      </c>
      <c r="AW840" s="198" t="s">
        <v>587</v>
      </c>
    </row>
    <row r="841" spans="3:49" outlineLevel="2" x14ac:dyDescent="0.25">
      <c r="C841" s="201"/>
      <c r="D841" s="198" t="s">
        <v>122</v>
      </c>
      <c r="H841" s="198" t="s">
        <v>122</v>
      </c>
      <c r="I841" s="202">
        <f t="shared" si="13"/>
        <v>351012982.49999958</v>
      </c>
      <c r="J841" s="202">
        <v>84.999999999999901</v>
      </c>
      <c r="L841" s="204">
        <v>1575</v>
      </c>
      <c r="M841" s="202">
        <v>51975</v>
      </c>
      <c r="N841" s="204">
        <v>1575</v>
      </c>
      <c r="O841" s="198" t="s">
        <v>51</v>
      </c>
      <c r="P841" s="202">
        <v>51975</v>
      </c>
      <c r="Q841" s="198" t="s">
        <v>342</v>
      </c>
      <c r="R841" s="198" t="s">
        <v>53</v>
      </c>
      <c r="S841" s="198" t="s">
        <v>54</v>
      </c>
      <c r="T841" s="198" t="s">
        <v>585</v>
      </c>
      <c r="U841" s="198" t="s">
        <v>367</v>
      </c>
      <c r="V841" s="198" t="s">
        <v>56</v>
      </c>
      <c r="W841" s="198" t="s">
        <v>356</v>
      </c>
      <c r="X841" s="198" t="s">
        <v>57</v>
      </c>
      <c r="Y841" s="198" t="s">
        <v>58</v>
      </c>
      <c r="Z841" s="201">
        <v>46234</v>
      </c>
      <c r="AA841" s="198" t="s">
        <v>59</v>
      </c>
      <c r="AB841" s="198" t="s">
        <v>60</v>
      </c>
      <c r="AC841" s="198" t="s">
        <v>86</v>
      </c>
      <c r="AD841" s="198" t="s">
        <v>62</v>
      </c>
      <c r="AE841" s="198" t="s">
        <v>589</v>
      </c>
      <c r="AF841" s="198" t="s">
        <v>588</v>
      </c>
      <c r="AG841" s="198" t="s">
        <v>248</v>
      </c>
      <c r="AH841" s="198" t="s">
        <v>126</v>
      </c>
      <c r="AI841" s="198" t="s">
        <v>56</v>
      </c>
      <c r="AJ841" s="198" t="s">
        <v>74</v>
      </c>
      <c r="AK841" s="198" t="s">
        <v>51</v>
      </c>
      <c r="AL841" s="198" t="s">
        <v>67</v>
      </c>
      <c r="AM841" s="198" t="s">
        <v>68</v>
      </c>
      <c r="AN841" s="202">
        <v>51975</v>
      </c>
      <c r="AO841" s="202">
        <v>51975</v>
      </c>
      <c r="AP841" s="202">
        <v>51975</v>
      </c>
      <c r="AQ841" s="198" t="s">
        <v>358</v>
      </c>
      <c r="AR841" s="198" t="s">
        <v>51</v>
      </c>
      <c r="AS841" s="202">
        <v>51975</v>
      </c>
      <c r="AT841" s="202">
        <v>51975</v>
      </c>
      <c r="AU841" s="198" t="s">
        <v>359</v>
      </c>
      <c r="AV841" s="198" t="s">
        <v>62</v>
      </c>
      <c r="AW841" s="198" t="s">
        <v>587</v>
      </c>
    </row>
    <row r="842" spans="3:49" outlineLevel="2" x14ac:dyDescent="0.25">
      <c r="C842" s="201"/>
      <c r="D842" s="198" t="s">
        <v>122</v>
      </c>
      <c r="H842" s="198" t="s">
        <v>122</v>
      </c>
      <c r="I842" s="202">
        <f t="shared" si="13"/>
        <v>351425938.94999957</v>
      </c>
      <c r="J842" s="202">
        <v>85.099999999999895</v>
      </c>
      <c r="L842" s="204">
        <v>12</v>
      </c>
      <c r="M842" s="202">
        <v>1228890</v>
      </c>
      <c r="N842" s="204">
        <v>12</v>
      </c>
      <c r="O842" s="198" t="s">
        <v>51</v>
      </c>
      <c r="P842" s="202">
        <v>1228890</v>
      </c>
      <c r="Q842" s="198" t="s">
        <v>52</v>
      </c>
      <c r="R842" s="198" t="s">
        <v>53</v>
      </c>
      <c r="S842" s="198" t="s">
        <v>54</v>
      </c>
      <c r="T842" s="198" t="s">
        <v>585</v>
      </c>
      <c r="U842" s="198" t="s">
        <v>367</v>
      </c>
      <c r="V842" s="198" t="s">
        <v>56</v>
      </c>
      <c r="W842" s="198" t="s">
        <v>356</v>
      </c>
      <c r="X842" s="198" t="s">
        <v>57</v>
      </c>
      <c r="Y842" s="198" t="s">
        <v>58</v>
      </c>
      <c r="Z842" s="201">
        <v>46234</v>
      </c>
      <c r="AA842" s="198" t="s">
        <v>59</v>
      </c>
      <c r="AB842" s="198" t="s">
        <v>60</v>
      </c>
      <c r="AC842" s="198" t="s">
        <v>86</v>
      </c>
      <c r="AD842" s="198" t="s">
        <v>62</v>
      </c>
      <c r="AE842" s="198" t="s">
        <v>102</v>
      </c>
      <c r="AF842" s="198" t="s">
        <v>101</v>
      </c>
      <c r="AG842" s="198" t="s">
        <v>248</v>
      </c>
      <c r="AH842" s="198" t="s">
        <v>126</v>
      </c>
      <c r="AI842" s="198" t="s">
        <v>56</v>
      </c>
      <c r="AJ842" s="198" t="s">
        <v>66</v>
      </c>
      <c r="AK842" s="198" t="s">
        <v>51</v>
      </c>
      <c r="AL842" s="198" t="s">
        <v>67</v>
      </c>
      <c r="AM842" s="198" t="s">
        <v>68</v>
      </c>
      <c r="AN842" s="202">
        <v>1228890</v>
      </c>
      <c r="AO842" s="202">
        <v>1228890</v>
      </c>
      <c r="AP842" s="202">
        <v>1228890</v>
      </c>
      <c r="AQ842" s="198" t="s">
        <v>358</v>
      </c>
      <c r="AR842" s="198" t="s">
        <v>51</v>
      </c>
      <c r="AS842" s="202">
        <v>1228890</v>
      </c>
      <c r="AT842" s="202">
        <v>1228890</v>
      </c>
      <c r="AU842" s="198" t="s">
        <v>359</v>
      </c>
      <c r="AV842" s="198" t="s">
        <v>62</v>
      </c>
      <c r="AW842" s="198" t="s">
        <v>587</v>
      </c>
    </row>
    <row r="843" spans="3:49" outlineLevel="2" x14ac:dyDescent="0.25">
      <c r="C843" s="201"/>
      <c r="D843" s="198" t="s">
        <v>122</v>
      </c>
      <c r="H843" s="198" t="s">
        <v>122</v>
      </c>
      <c r="I843" s="202">
        <f t="shared" si="13"/>
        <v>351838895.39999962</v>
      </c>
      <c r="J843" s="202">
        <v>85.199999999999903</v>
      </c>
      <c r="L843" s="204">
        <v>1500</v>
      </c>
      <c r="M843" s="202">
        <v>60855</v>
      </c>
      <c r="N843" s="204">
        <v>60</v>
      </c>
      <c r="O843" s="198" t="s">
        <v>51</v>
      </c>
      <c r="P843" s="202">
        <v>2434.1999999999998</v>
      </c>
      <c r="Q843" s="198" t="s">
        <v>75</v>
      </c>
      <c r="R843" s="198" t="s">
        <v>53</v>
      </c>
      <c r="S843" s="198" t="s">
        <v>54</v>
      </c>
      <c r="T843" s="198" t="s">
        <v>585</v>
      </c>
      <c r="U843" s="198" t="s">
        <v>367</v>
      </c>
      <c r="V843" s="198" t="s">
        <v>56</v>
      </c>
      <c r="W843" s="198" t="s">
        <v>356</v>
      </c>
      <c r="X843" s="198" t="s">
        <v>57</v>
      </c>
      <c r="Y843" s="198" t="s">
        <v>58</v>
      </c>
      <c r="Z843" s="201">
        <v>46234</v>
      </c>
      <c r="AA843" s="198" t="s">
        <v>59</v>
      </c>
      <c r="AB843" s="198" t="s">
        <v>60</v>
      </c>
      <c r="AC843" s="198" t="s">
        <v>86</v>
      </c>
      <c r="AD843" s="198" t="s">
        <v>62</v>
      </c>
      <c r="AE843" s="198" t="s">
        <v>598</v>
      </c>
      <c r="AF843" s="198" t="s">
        <v>597</v>
      </c>
      <c r="AG843" s="198" t="s">
        <v>248</v>
      </c>
      <c r="AH843" s="198" t="s">
        <v>126</v>
      </c>
      <c r="AI843" s="198" t="s">
        <v>56</v>
      </c>
      <c r="AJ843" s="198" t="s">
        <v>318</v>
      </c>
      <c r="AK843" s="198" t="s">
        <v>51</v>
      </c>
      <c r="AL843" s="198" t="s">
        <v>67</v>
      </c>
      <c r="AM843" s="198" t="s">
        <v>68</v>
      </c>
      <c r="AN843" s="202">
        <v>60855</v>
      </c>
      <c r="AO843" s="202">
        <v>60855</v>
      </c>
      <c r="AP843" s="202">
        <v>60855</v>
      </c>
      <c r="AQ843" s="198" t="s">
        <v>358</v>
      </c>
      <c r="AR843" s="198" t="s">
        <v>51</v>
      </c>
      <c r="AS843" s="202">
        <v>2434.1999999999998</v>
      </c>
      <c r="AT843" s="202">
        <v>2434.1999999999998</v>
      </c>
      <c r="AU843" s="198" t="s">
        <v>359</v>
      </c>
      <c r="AV843" s="198" t="s">
        <v>62</v>
      </c>
      <c r="AW843" s="198" t="s">
        <v>587</v>
      </c>
    </row>
    <row r="844" spans="3:49" outlineLevel="2" x14ac:dyDescent="0.25">
      <c r="C844" s="201"/>
      <c r="D844" s="198" t="s">
        <v>122</v>
      </c>
      <c r="H844" s="198" t="s">
        <v>122</v>
      </c>
      <c r="I844" s="202">
        <f t="shared" si="13"/>
        <v>352251851.84999961</v>
      </c>
      <c r="J844" s="202">
        <v>85.299999999999898</v>
      </c>
      <c r="L844" s="204">
        <v>1500</v>
      </c>
      <c r="M844" s="202">
        <v>38220</v>
      </c>
      <c r="N844" s="204">
        <v>60</v>
      </c>
      <c r="O844" s="198" t="s">
        <v>51</v>
      </c>
      <c r="P844" s="202">
        <v>1528.8</v>
      </c>
      <c r="Q844" s="198" t="s">
        <v>75</v>
      </c>
      <c r="R844" s="198" t="s">
        <v>53</v>
      </c>
      <c r="S844" s="198" t="s">
        <v>54</v>
      </c>
      <c r="T844" s="198" t="s">
        <v>585</v>
      </c>
      <c r="U844" s="198" t="s">
        <v>367</v>
      </c>
      <c r="V844" s="198" t="s">
        <v>56</v>
      </c>
      <c r="W844" s="198" t="s">
        <v>356</v>
      </c>
      <c r="X844" s="198" t="s">
        <v>57</v>
      </c>
      <c r="Y844" s="198" t="s">
        <v>58</v>
      </c>
      <c r="Z844" s="201">
        <v>46234</v>
      </c>
      <c r="AA844" s="198" t="s">
        <v>59</v>
      </c>
      <c r="AB844" s="198" t="s">
        <v>60</v>
      </c>
      <c r="AC844" s="198" t="s">
        <v>86</v>
      </c>
      <c r="AD844" s="198" t="s">
        <v>62</v>
      </c>
      <c r="AE844" s="198" t="s">
        <v>600</v>
      </c>
      <c r="AF844" s="198" t="s">
        <v>599</v>
      </c>
      <c r="AG844" s="198" t="s">
        <v>248</v>
      </c>
      <c r="AH844" s="198" t="s">
        <v>126</v>
      </c>
      <c r="AI844" s="198" t="s">
        <v>56</v>
      </c>
      <c r="AJ844" s="198" t="s">
        <v>325</v>
      </c>
      <c r="AK844" s="198" t="s">
        <v>51</v>
      </c>
      <c r="AL844" s="198" t="s">
        <v>67</v>
      </c>
      <c r="AM844" s="198" t="s">
        <v>68</v>
      </c>
      <c r="AN844" s="202">
        <v>38220</v>
      </c>
      <c r="AO844" s="202">
        <v>38220</v>
      </c>
      <c r="AP844" s="202">
        <v>38220</v>
      </c>
      <c r="AQ844" s="198" t="s">
        <v>358</v>
      </c>
      <c r="AR844" s="198" t="s">
        <v>51</v>
      </c>
      <c r="AS844" s="202">
        <v>1528.8</v>
      </c>
      <c r="AT844" s="202">
        <v>1528.8</v>
      </c>
      <c r="AU844" s="198" t="s">
        <v>359</v>
      </c>
      <c r="AV844" s="198" t="s">
        <v>62</v>
      </c>
      <c r="AW844" s="198" t="s">
        <v>587</v>
      </c>
    </row>
    <row r="845" spans="3:49" outlineLevel="2" x14ac:dyDescent="0.25">
      <c r="C845" s="201"/>
      <c r="D845" s="198" t="s">
        <v>122</v>
      </c>
      <c r="H845" s="198" t="s">
        <v>122</v>
      </c>
      <c r="I845" s="202">
        <f t="shared" si="13"/>
        <v>352664808.29999959</v>
      </c>
      <c r="J845" s="202">
        <v>85.399999999999906</v>
      </c>
      <c r="L845" s="204">
        <v>2600</v>
      </c>
      <c r="M845" s="202">
        <v>40898</v>
      </c>
      <c r="N845" s="204">
        <v>80</v>
      </c>
      <c r="O845" s="198" t="s">
        <v>51</v>
      </c>
      <c r="P845" s="202">
        <v>1258.4000000000001</v>
      </c>
      <c r="Q845" s="198" t="s">
        <v>75</v>
      </c>
      <c r="R845" s="198" t="s">
        <v>53</v>
      </c>
      <c r="S845" s="198" t="s">
        <v>54</v>
      </c>
      <c r="T845" s="198" t="s">
        <v>585</v>
      </c>
      <c r="U845" s="198" t="s">
        <v>367</v>
      </c>
      <c r="V845" s="198" t="s">
        <v>56</v>
      </c>
      <c r="W845" s="198" t="s">
        <v>356</v>
      </c>
      <c r="X845" s="198" t="s">
        <v>57</v>
      </c>
      <c r="Y845" s="198" t="s">
        <v>58</v>
      </c>
      <c r="Z845" s="201">
        <v>46234</v>
      </c>
      <c r="AA845" s="198" t="s">
        <v>59</v>
      </c>
      <c r="AB845" s="198" t="s">
        <v>60</v>
      </c>
      <c r="AC845" s="198" t="s">
        <v>86</v>
      </c>
      <c r="AD845" s="198" t="s">
        <v>62</v>
      </c>
      <c r="AE845" s="198" t="s">
        <v>602</v>
      </c>
      <c r="AF845" s="198" t="s">
        <v>601</v>
      </c>
      <c r="AG845" s="198" t="s">
        <v>248</v>
      </c>
      <c r="AH845" s="198" t="s">
        <v>126</v>
      </c>
      <c r="AI845" s="198" t="s">
        <v>56</v>
      </c>
      <c r="AJ845" s="198" t="s">
        <v>318</v>
      </c>
      <c r="AK845" s="198" t="s">
        <v>51</v>
      </c>
      <c r="AL845" s="198" t="s">
        <v>67</v>
      </c>
      <c r="AM845" s="198" t="s">
        <v>68</v>
      </c>
      <c r="AN845" s="202">
        <v>40898</v>
      </c>
      <c r="AO845" s="202">
        <v>40898</v>
      </c>
      <c r="AP845" s="202">
        <v>40898</v>
      </c>
      <c r="AQ845" s="198" t="s">
        <v>358</v>
      </c>
      <c r="AR845" s="198" t="s">
        <v>51</v>
      </c>
      <c r="AS845" s="202">
        <v>1258.4000000000001</v>
      </c>
      <c r="AT845" s="202">
        <v>1258.4000000000001</v>
      </c>
      <c r="AU845" s="198" t="s">
        <v>359</v>
      </c>
      <c r="AV845" s="198" t="s">
        <v>62</v>
      </c>
      <c r="AW845" s="198" t="s">
        <v>587</v>
      </c>
    </row>
    <row r="846" spans="3:49" outlineLevel="2" x14ac:dyDescent="0.25">
      <c r="C846" s="201"/>
      <c r="D846" s="198" t="s">
        <v>122</v>
      </c>
      <c r="H846" s="198" t="s">
        <v>122</v>
      </c>
      <c r="I846" s="202">
        <f t="shared" si="13"/>
        <v>353077764.74999958</v>
      </c>
      <c r="J846" s="202">
        <v>85.499999999999901</v>
      </c>
      <c r="L846" s="204">
        <v>12096</v>
      </c>
      <c r="M846" s="202">
        <v>7644672</v>
      </c>
      <c r="N846" s="204">
        <v>12096</v>
      </c>
      <c r="O846" s="198" t="s">
        <v>51</v>
      </c>
      <c r="P846" s="202">
        <v>7644672</v>
      </c>
      <c r="Q846" s="198" t="s">
        <v>73</v>
      </c>
      <c r="R846" s="198" t="s">
        <v>53</v>
      </c>
      <c r="S846" s="198" t="s">
        <v>54</v>
      </c>
      <c r="T846" s="198" t="s">
        <v>585</v>
      </c>
      <c r="U846" s="198" t="s">
        <v>367</v>
      </c>
      <c r="V846" s="198" t="s">
        <v>56</v>
      </c>
      <c r="W846" s="198" t="s">
        <v>356</v>
      </c>
      <c r="X846" s="198" t="s">
        <v>57</v>
      </c>
      <c r="Y846" s="198" t="s">
        <v>58</v>
      </c>
      <c r="Z846" s="201">
        <v>46234</v>
      </c>
      <c r="AA846" s="198" t="s">
        <v>59</v>
      </c>
      <c r="AB846" s="198" t="s">
        <v>60</v>
      </c>
      <c r="AC846" s="198" t="s">
        <v>86</v>
      </c>
      <c r="AD846" s="198" t="s">
        <v>62</v>
      </c>
      <c r="AE846" s="198" t="s">
        <v>612</v>
      </c>
      <c r="AF846" s="198" t="s">
        <v>611</v>
      </c>
      <c r="AG846" s="198" t="s">
        <v>248</v>
      </c>
      <c r="AH846" s="198" t="s">
        <v>126</v>
      </c>
      <c r="AI846" s="198" t="s">
        <v>56</v>
      </c>
      <c r="AJ846" s="198" t="s">
        <v>318</v>
      </c>
      <c r="AK846" s="198" t="s">
        <v>51</v>
      </c>
      <c r="AL846" s="198" t="s">
        <v>67</v>
      </c>
      <c r="AM846" s="198" t="s">
        <v>68</v>
      </c>
      <c r="AN846" s="202">
        <v>7644672</v>
      </c>
      <c r="AO846" s="202">
        <v>7644672</v>
      </c>
      <c r="AP846" s="202">
        <v>7644672</v>
      </c>
      <c r="AQ846" s="198" t="s">
        <v>358</v>
      </c>
      <c r="AR846" s="198" t="s">
        <v>51</v>
      </c>
      <c r="AS846" s="202">
        <v>7644672</v>
      </c>
      <c r="AT846" s="202">
        <v>7644672</v>
      </c>
      <c r="AU846" s="198" t="s">
        <v>359</v>
      </c>
      <c r="AV846" s="198" t="s">
        <v>62</v>
      </c>
      <c r="AW846" s="198" t="s">
        <v>587</v>
      </c>
    </row>
    <row r="847" spans="3:49" outlineLevel="2" x14ac:dyDescent="0.25">
      <c r="C847" s="201"/>
      <c r="D847" s="198" t="s">
        <v>122</v>
      </c>
      <c r="H847" s="198" t="s">
        <v>122</v>
      </c>
      <c r="I847" s="202">
        <f t="shared" si="13"/>
        <v>353490721.19999957</v>
      </c>
      <c r="J847" s="202">
        <v>85.599999999999895</v>
      </c>
      <c r="L847" s="204">
        <v>12096</v>
      </c>
      <c r="M847" s="202">
        <v>7777728</v>
      </c>
      <c r="N847" s="204">
        <v>12096</v>
      </c>
      <c r="O847" s="198" t="s">
        <v>51</v>
      </c>
      <c r="P847" s="202">
        <v>7777728</v>
      </c>
      <c r="Q847" s="198" t="s">
        <v>73</v>
      </c>
      <c r="R847" s="198" t="s">
        <v>53</v>
      </c>
      <c r="S847" s="198" t="s">
        <v>54</v>
      </c>
      <c r="T847" s="198" t="s">
        <v>585</v>
      </c>
      <c r="U847" s="198" t="s">
        <v>367</v>
      </c>
      <c r="V847" s="198" t="s">
        <v>56</v>
      </c>
      <c r="W847" s="198" t="s">
        <v>356</v>
      </c>
      <c r="X847" s="198" t="s">
        <v>57</v>
      </c>
      <c r="Y847" s="198" t="s">
        <v>58</v>
      </c>
      <c r="Z847" s="201">
        <v>46234</v>
      </c>
      <c r="AA847" s="198" t="s">
        <v>59</v>
      </c>
      <c r="AB847" s="198" t="s">
        <v>60</v>
      </c>
      <c r="AC847" s="198" t="s">
        <v>86</v>
      </c>
      <c r="AD847" s="198" t="s">
        <v>62</v>
      </c>
      <c r="AE847" s="198" t="s">
        <v>614</v>
      </c>
      <c r="AF847" s="198" t="s">
        <v>613</v>
      </c>
      <c r="AG847" s="198" t="s">
        <v>248</v>
      </c>
      <c r="AH847" s="198" t="s">
        <v>126</v>
      </c>
      <c r="AI847" s="198" t="s">
        <v>56</v>
      </c>
      <c r="AJ847" s="198" t="s">
        <v>318</v>
      </c>
      <c r="AK847" s="198" t="s">
        <v>51</v>
      </c>
      <c r="AL847" s="198" t="s">
        <v>67</v>
      </c>
      <c r="AM847" s="198" t="s">
        <v>68</v>
      </c>
      <c r="AN847" s="202">
        <v>7777728</v>
      </c>
      <c r="AO847" s="202">
        <v>7777728</v>
      </c>
      <c r="AP847" s="202">
        <v>7777728</v>
      </c>
      <c r="AQ847" s="198" t="s">
        <v>358</v>
      </c>
      <c r="AR847" s="198" t="s">
        <v>51</v>
      </c>
      <c r="AS847" s="202">
        <v>7777728</v>
      </c>
      <c r="AT847" s="202">
        <v>7777728</v>
      </c>
      <c r="AU847" s="198" t="s">
        <v>359</v>
      </c>
      <c r="AV847" s="198" t="s">
        <v>62</v>
      </c>
      <c r="AW847" s="198" t="s">
        <v>587</v>
      </c>
    </row>
    <row r="848" spans="3:49" outlineLevel="2" x14ac:dyDescent="0.25">
      <c r="C848" s="201"/>
      <c r="D848" s="198" t="s">
        <v>122</v>
      </c>
      <c r="H848" s="198" t="s">
        <v>122</v>
      </c>
      <c r="I848" s="202">
        <f t="shared" si="13"/>
        <v>353903677.64999962</v>
      </c>
      <c r="J848" s="202">
        <v>85.699999999999903</v>
      </c>
      <c r="L848" s="204">
        <v>504</v>
      </c>
      <c r="M848" s="202">
        <v>685440</v>
      </c>
      <c r="N848" s="204">
        <v>504</v>
      </c>
      <c r="O848" s="198" t="s">
        <v>51</v>
      </c>
      <c r="P848" s="202">
        <v>685440</v>
      </c>
      <c r="Q848" s="198" t="s">
        <v>73</v>
      </c>
      <c r="R848" s="198" t="s">
        <v>53</v>
      </c>
      <c r="S848" s="198" t="s">
        <v>54</v>
      </c>
      <c r="T848" s="198" t="s">
        <v>585</v>
      </c>
      <c r="U848" s="198" t="s">
        <v>367</v>
      </c>
      <c r="V848" s="198" t="s">
        <v>56</v>
      </c>
      <c r="W848" s="198" t="s">
        <v>356</v>
      </c>
      <c r="X848" s="198" t="s">
        <v>57</v>
      </c>
      <c r="Y848" s="198" t="s">
        <v>58</v>
      </c>
      <c r="Z848" s="201">
        <v>46234</v>
      </c>
      <c r="AA848" s="198" t="s">
        <v>59</v>
      </c>
      <c r="AB848" s="198" t="s">
        <v>60</v>
      </c>
      <c r="AC848" s="198" t="s">
        <v>86</v>
      </c>
      <c r="AD848" s="198" t="s">
        <v>62</v>
      </c>
      <c r="AE848" s="198" t="s">
        <v>616</v>
      </c>
      <c r="AF848" s="198" t="s">
        <v>615</v>
      </c>
      <c r="AG848" s="198" t="s">
        <v>248</v>
      </c>
      <c r="AH848" s="198" t="s">
        <v>126</v>
      </c>
      <c r="AI848" s="198" t="s">
        <v>56</v>
      </c>
      <c r="AJ848" s="198" t="s">
        <v>318</v>
      </c>
      <c r="AK848" s="198" t="s">
        <v>51</v>
      </c>
      <c r="AL848" s="198" t="s">
        <v>67</v>
      </c>
      <c r="AM848" s="198" t="s">
        <v>68</v>
      </c>
      <c r="AN848" s="202">
        <v>685440</v>
      </c>
      <c r="AO848" s="202">
        <v>685440</v>
      </c>
      <c r="AP848" s="202">
        <v>685440</v>
      </c>
      <c r="AQ848" s="198" t="s">
        <v>358</v>
      </c>
      <c r="AR848" s="198" t="s">
        <v>51</v>
      </c>
      <c r="AS848" s="202">
        <v>685440</v>
      </c>
      <c r="AT848" s="202">
        <v>685440</v>
      </c>
      <c r="AU848" s="198" t="s">
        <v>359</v>
      </c>
      <c r="AV848" s="198" t="s">
        <v>62</v>
      </c>
      <c r="AW848" s="198" t="s">
        <v>587</v>
      </c>
    </row>
    <row r="849" spans="3:49" outlineLevel="2" x14ac:dyDescent="0.25">
      <c r="C849" s="201"/>
      <c r="D849" s="198" t="s">
        <v>122</v>
      </c>
      <c r="H849" s="198" t="s">
        <v>122</v>
      </c>
      <c r="I849" s="202">
        <f t="shared" si="13"/>
        <v>354316634.09999961</v>
      </c>
      <c r="J849" s="202">
        <v>85.799999999999898</v>
      </c>
      <c r="L849" s="204">
        <v>1512</v>
      </c>
      <c r="M849" s="202">
        <v>813456</v>
      </c>
      <c r="N849" s="204">
        <v>1512</v>
      </c>
      <c r="O849" s="198" t="s">
        <v>51</v>
      </c>
      <c r="P849" s="202">
        <v>813456</v>
      </c>
      <c r="Q849" s="198" t="s">
        <v>73</v>
      </c>
      <c r="R849" s="198" t="s">
        <v>53</v>
      </c>
      <c r="S849" s="198" t="s">
        <v>54</v>
      </c>
      <c r="T849" s="198" t="s">
        <v>585</v>
      </c>
      <c r="U849" s="198" t="s">
        <v>367</v>
      </c>
      <c r="V849" s="198" t="s">
        <v>56</v>
      </c>
      <c r="W849" s="198" t="s">
        <v>356</v>
      </c>
      <c r="X849" s="198" t="s">
        <v>57</v>
      </c>
      <c r="Y849" s="198" t="s">
        <v>58</v>
      </c>
      <c r="Z849" s="201">
        <v>46234</v>
      </c>
      <c r="AA849" s="198" t="s">
        <v>59</v>
      </c>
      <c r="AB849" s="198" t="s">
        <v>60</v>
      </c>
      <c r="AC849" s="198" t="s">
        <v>86</v>
      </c>
      <c r="AD849" s="198" t="s">
        <v>62</v>
      </c>
      <c r="AE849" s="198" t="s">
        <v>614</v>
      </c>
      <c r="AF849" s="198" t="s">
        <v>613</v>
      </c>
      <c r="AG849" s="198" t="s">
        <v>248</v>
      </c>
      <c r="AH849" s="198" t="s">
        <v>126</v>
      </c>
      <c r="AI849" s="198" t="s">
        <v>56</v>
      </c>
      <c r="AJ849" s="198" t="s">
        <v>318</v>
      </c>
      <c r="AK849" s="198" t="s">
        <v>51</v>
      </c>
      <c r="AL849" s="198" t="s">
        <v>67</v>
      </c>
      <c r="AM849" s="198" t="s">
        <v>68</v>
      </c>
      <c r="AN849" s="202">
        <v>813456</v>
      </c>
      <c r="AO849" s="202">
        <v>813456</v>
      </c>
      <c r="AP849" s="202">
        <v>813456</v>
      </c>
      <c r="AQ849" s="198" t="s">
        <v>358</v>
      </c>
      <c r="AR849" s="198" t="s">
        <v>51</v>
      </c>
      <c r="AS849" s="202">
        <v>813456</v>
      </c>
      <c r="AT849" s="202">
        <v>813456</v>
      </c>
      <c r="AU849" s="198" t="s">
        <v>359</v>
      </c>
      <c r="AV849" s="198" t="s">
        <v>62</v>
      </c>
      <c r="AW849" s="198" t="s">
        <v>587</v>
      </c>
    </row>
    <row r="850" spans="3:49" outlineLevel="2" x14ac:dyDescent="0.25">
      <c r="C850" s="201"/>
      <c r="D850" s="198" t="s">
        <v>122</v>
      </c>
      <c r="H850" s="198" t="s">
        <v>122</v>
      </c>
      <c r="I850" s="202">
        <f t="shared" si="13"/>
        <v>354729590.54999959</v>
      </c>
      <c r="J850" s="202">
        <v>85.899999999999906</v>
      </c>
      <c r="L850" s="204">
        <v>504</v>
      </c>
      <c r="M850" s="202">
        <v>166320</v>
      </c>
      <c r="N850" s="204">
        <v>504</v>
      </c>
      <c r="O850" s="198" t="s">
        <v>51</v>
      </c>
      <c r="P850" s="202">
        <v>166320</v>
      </c>
      <c r="Q850" s="198" t="s">
        <v>73</v>
      </c>
      <c r="R850" s="198" t="s">
        <v>53</v>
      </c>
      <c r="S850" s="198" t="s">
        <v>54</v>
      </c>
      <c r="T850" s="198" t="s">
        <v>585</v>
      </c>
      <c r="U850" s="198" t="s">
        <v>367</v>
      </c>
      <c r="V850" s="198" t="s">
        <v>56</v>
      </c>
      <c r="W850" s="198" t="s">
        <v>356</v>
      </c>
      <c r="X850" s="198" t="s">
        <v>57</v>
      </c>
      <c r="Y850" s="198" t="s">
        <v>58</v>
      </c>
      <c r="Z850" s="201">
        <v>46234</v>
      </c>
      <c r="AA850" s="198" t="s">
        <v>59</v>
      </c>
      <c r="AB850" s="198" t="s">
        <v>60</v>
      </c>
      <c r="AC850" s="198" t="s">
        <v>86</v>
      </c>
      <c r="AD850" s="198" t="s">
        <v>62</v>
      </c>
      <c r="AE850" s="198" t="s">
        <v>614</v>
      </c>
      <c r="AF850" s="198" t="s">
        <v>613</v>
      </c>
      <c r="AG850" s="198" t="s">
        <v>248</v>
      </c>
      <c r="AH850" s="198" t="s">
        <v>126</v>
      </c>
      <c r="AI850" s="198" t="s">
        <v>56</v>
      </c>
      <c r="AJ850" s="198" t="s">
        <v>318</v>
      </c>
      <c r="AK850" s="198" t="s">
        <v>51</v>
      </c>
      <c r="AL850" s="198" t="s">
        <v>67</v>
      </c>
      <c r="AM850" s="198" t="s">
        <v>68</v>
      </c>
      <c r="AN850" s="202">
        <v>166320</v>
      </c>
      <c r="AO850" s="202">
        <v>166320</v>
      </c>
      <c r="AP850" s="202">
        <v>166320</v>
      </c>
      <c r="AQ850" s="198" t="s">
        <v>358</v>
      </c>
      <c r="AR850" s="198" t="s">
        <v>51</v>
      </c>
      <c r="AS850" s="202">
        <v>166320</v>
      </c>
      <c r="AT850" s="202">
        <v>166320</v>
      </c>
      <c r="AU850" s="198" t="s">
        <v>359</v>
      </c>
      <c r="AV850" s="198" t="s">
        <v>62</v>
      </c>
      <c r="AW850" s="198" t="s">
        <v>587</v>
      </c>
    </row>
    <row r="851" spans="3:49" outlineLevel="2" x14ac:dyDescent="0.25">
      <c r="C851" s="201"/>
      <c r="D851" s="198" t="s">
        <v>122</v>
      </c>
      <c r="H851" s="198" t="s">
        <v>122</v>
      </c>
      <c r="I851" s="202">
        <f t="shared" si="13"/>
        <v>355142546.99999958</v>
      </c>
      <c r="J851" s="202">
        <v>85.999999999999901</v>
      </c>
      <c r="L851" s="204">
        <v>504</v>
      </c>
      <c r="M851" s="202">
        <v>186480</v>
      </c>
      <c r="N851" s="204">
        <v>504</v>
      </c>
      <c r="O851" s="198" t="s">
        <v>51</v>
      </c>
      <c r="P851" s="202">
        <v>186480</v>
      </c>
      <c r="Q851" s="198" t="s">
        <v>73</v>
      </c>
      <c r="R851" s="198" t="s">
        <v>53</v>
      </c>
      <c r="S851" s="198" t="s">
        <v>54</v>
      </c>
      <c r="T851" s="198" t="s">
        <v>585</v>
      </c>
      <c r="U851" s="198" t="s">
        <v>367</v>
      </c>
      <c r="V851" s="198" t="s">
        <v>56</v>
      </c>
      <c r="W851" s="198" t="s">
        <v>356</v>
      </c>
      <c r="X851" s="198" t="s">
        <v>57</v>
      </c>
      <c r="Y851" s="198" t="s">
        <v>58</v>
      </c>
      <c r="Z851" s="201">
        <v>46234</v>
      </c>
      <c r="AA851" s="198" t="s">
        <v>59</v>
      </c>
      <c r="AB851" s="198" t="s">
        <v>60</v>
      </c>
      <c r="AC851" s="198" t="s">
        <v>86</v>
      </c>
      <c r="AD851" s="198" t="s">
        <v>62</v>
      </c>
      <c r="AE851" s="198" t="s">
        <v>618</v>
      </c>
      <c r="AF851" s="198" t="s">
        <v>617</v>
      </c>
      <c r="AG851" s="198" t="s">
        <v>248</v>
      </c>
      <c r="AH851" s="198" t="s">
        <v>126</v>
      </c>
      <c r="AI851" s="198" t="s">
        <v>56</v>
      </c>
      <c r="AJ851" s="198" t="s">
        <v>318</v>
      </c>
      <c r="AK851" s="198" t="s">
        <v>51</v>
      </c>
      <c r="AL851" s="198" t="s">
        <v>67</v>
      </c>
      <c r="AM851" s="198" t="s">
        <v>68</v>
      </c>
      <c r="AN851" s="202">
        <v>186480</v>
      </c>
      <c r="AO851" s="202">
        <v>186480</v>
      </c>
      <c r="AP851" s="202">
        <v>186480</v>
      </c>
      <c r="AQ851" s="198" t="s">
        <v>358</v>
      </c>
      <c r="AR851" s="198" t="s">
        <v>51</v>
      </c>
      <c r="AS851" s="202">
        <v>186480</v>
      </c>
      <c r="AT851" s="202">
        <v>186480</v>
      </c>
      <c r="AU851" s="198" t="s">
        <v>359</v>
      </c>
      <c r="AV851" s="198" t="s">
        <v>62</v>
      </c>
      <c r="AW851" s="198" t="s">
        <v>587</v>
      </c>
    </row>
    <row r="852" spans="3:49" outlineLevel="2" x14ac:dyDescent="0.25">
      <c r="C852" s="201"/>
      <c r="D852" s="198" t="s">
        <v>122</v>
      </c>
      <c r="H852" s="198" t="s">
        <v>122</v>
      </c>
      <c r="I852" s="202">
        <f t="shared" si="13"/>
        <v>355555503.44999957</v>
      </c>
      <c r="J852" s="202">
        <v>86.099999999999895</v>
      </c>
      <c r="L852" s="204">
        <v>221</v>
      </c>
      <c r="M852" s="202">
        <v>147186</v>
      </c>
      <c r="N852" s="204">
        <v>221</v>
      </c>
      <c r="O852" s="198" t="s">
        <v>51</v>
      </c>
      <c r="P852" s="202">
        <v>147186</v>
      </c>
      <c r="Q852" s="198" t="s">
        <v>73</v>
      </c>
      <c r="R852" s="198" t="s">
        <v>53</v>
      </c>
      <c r="S852" s="198" t="s">
        <v>54</v>
      </c>
      <c r="T852" s="198" t="s">
        <v>585</v>
      </c>
      <c r="U852" s="198" t="s">
        <v>367</v>
      </c>
      <c r="V852" s="198" t="s">
        <v>56</v>
      </c>
      <c r="W852" s="198" t="s">
        <v>356</v>
      </c>
      <c r="X852" s="198" t="s">
        <v>57</v>
      </c>
      <c r="Y852" s="198" t="s">
        <v>58</v>
      </c>
      <c r="Z852" s="201">
        <v>46234</v>
      </c>
      <c r="AA852" s="198" t="s">
        <v>59</v>
      </c>
      <c r="AB852" s="198" t="s">
        <v>60</v>
      </c>
      <c r="AC852" s="198" t="s">
        <v>86</v>
      </c>
      <c r="AD852" s="198" t="s">
        <v>62</v>
      </c>
      <c r="AE852" s="198" t="s">
        <v>620</v>
      </c>
      <c r="AF852" s="198" t="s">
        <v>619</v>
      </c>
      <c r="AG852" s="198" t="s">
        <v>248</v>
      </c>
      <c r="AH852" s="198" t="s">
        <v>126</v>
      </c>
      <c r="AI852" s="198" t="s">
        <v>56</v>
      </c>
      <c r="AJ852" s="198" t="s">
        <v>318</v>
      </c>
      <c r="AK852" s="198" t="s">
        <v>51</v>
      </c>
      <c r="AL852" s="198" t="s">
        <v>67</v>
      </c>
      <c r="AM852" s="198" t="s">
        <v>68</v>
      </c>
      <c r="AN852" s="202">
        <v>147186</v>
      </c>
      <c r="AO852" s="202">
        <v>147186</v>
      </c>
      <c r="AP852" s="202">
        <v>147186</v>
      </c>
      <c r="AQ852" s="198" t="s">
        <v>358</v>
      </c>
      <c r="AR852" s="198" t="s">
        <v>51</v>
      </c>
      <c r="AS852" s="202">
        <v>147186</v>
      </c>
      <c r="AT852" s="202">
        <v>147186</v>
      </c>
      <c r="AU852" s="198" t="s">
        <v>359</v>
      </c>
      <c r="AV852" s="198" t="s">
        <v>62</v>
      </c>
      <c r="AW852" s="198" t="s">
        <v>587</v>
      </c>
    </row>
    <row r="853" spans="3:49" outlineLevel="2" x14ac:dyDescent="0.25">
      <c r="C853" s="201"/>
      <c r="D853" s="198" t="s">
        <v>122</v>
      </c>
      <c r="H853" s="198" t="s">
        <v>122</v>
      </c>
      <c r="I853" s="202">
        <f t="shared" si="13"/>
        <v>355968459.89999962</v>
      </c>
      <c r="J853" s="202">
        <v>86.199999999999903</v>
      </c>
      <c r="L853" s="204">
        <v>360</v>
      </c>
      <c r="M853" s="202">
        <v>122760</v>
      </c>
      <c r="N853" s="204">
        <v>360</v>
      </c>
      <c r="O853" s="198" t="s">
        <v>51</v>
      </c>
      <c r="P853" s="202">
        <v>122760</v>
      </c>
      <c r="Q853" s="198" t="s">
        <v>73</v>
      </c>
      <c r="R853" s="198" t="s">
        <v>53</v>
      </c>
      <c r="S853" s="198" t="s">
        <v>54</v>
      </c>
      <c r="T853" s="198" t="s">
        <v>585</v>
      </c>
      <c r="U853" s="198" t="s">
        <v>367</v>
      </c>
      <c r="V853" s="198" t="s">
        <v>56</v>
      </c>
      <c r="W853" s="198" t="s">
        <v>356</v>
      </c>
      <c r="X853" s="198" t="s">
        <v>57</v>
      </c>
      <c r="Y853" s="198" t="s">
        <v>58</v>
      </c>
      <c r="Z853" s="201">
        <v>46234</v>
      </c>
      <c r="AA853" s="198" t="s">
        <v>59</v>
      </c>
      <c r="AB853" s="198" t="s">
        <v>60</v>
      </c>
      <c r="AC853" s="198" t="s">
        <v>86</v>
      </c>
      <c r="AD853" s="198" t="s">
        <v>62</v>
      </c>
      <c r="AE853" s="198" t="s">
        <v>622</v>
      </c>
      <c r="AF853" s="198" t="s">
        <v>621</v>
      </c>
      <c r="AG853" s="198" t="s">
        <v>248</v>
      </c>
      <c r="AH853" s="198" t="s">
        <v>126</v>
      </c>
      <c r="AI853" s="198" t="s">
        <v>56</v>
      </c>
      <c r="AJ853" s="198" t="s">
        <v>318</v>
      </c>
      <c r="AK853" s="198" t="s">
        <v>51</v>
      </c>
      <c r="AL853" s="198" t="s">
        <v>67</v>
      </c>
      <c r="AM853" s="198" t="s">
        <v>68</v>
      </c>
      <c r="AN853" s="202">
        <v>122760</v>
      </c>
      <c r="AO853" s="202">
        <v>122760</v>
      </c>
      <c r="AP853" s="202">
        <v>122760</v>
      </c>
      <c r="AQ853" s="198" t="s">
        <v>358</v>
      </c>
      <c r="AR853" s="198" t="s">
        <v>51</v>
      </c>
      <c r="AS853" s="202">
        <v>122760</v>
      </c>
      <c r="AT853" s="202">
        <v>122760</v>
      </c>
      <c r="AU853" s="198" t="s">
        <v>359</v>
      </c>
      <c r="AV853" s="198" t="s">
        <v>62</v>
      </c>
      <c r="AW853" s="198" t="s">
        <v>587</v>
      </c>
    </row>
    <row r="854" spans="3:49" outlineLevel="2" x14ac:dyDescent="0.25">
      <c r="C854" s="201"/>
      <c r="D854" s="198" t="s">
        <v>122</v>
      </c>
      <c r="H854" s="198" t="s">
        <v>122</v>
      </c>
      <c r="I854" s="202">
        <f t="shared" si="13"/>
        <v>356381416.34999961</v>
      </c>
      <c r="J854" s="202">
        <v>86.299999999999898</v>
      </c>
      <c r="L854" s="204">
        <v>300</v>
      </c>
      <c r="M854" s="202">
        <v>140700</v>
      </c>
      <c r="N854" s="204">
        <v>300</v>
      </c>
      <c r="O854" s="198" t="s">
        <v>51</v>
      </c>
      <c r="P854" s="202">
        <v>140700</v>
      </c>
      <c r="Q854" s="198" t="s">
        <v>73</v>
      </c>
      <c r="R854" s="198" t="s">
        <v>53</v>
      </c>
      <c r="S854" s="198" t="s">
        <v>54</v>
      </c>
      <c r="T854" s="198" t="s">
        <v>585</v>
      </c>
      <c r="U854" s="198" t="s">
        <v>367</v>
      </c>
      <c r="V854" s="198" t="s">
        <v>56</v>
      </c>
      <c r="W854" s="198" t="s">
        <v>356</v>
      </c>
      <c r="X854" s="198" t="s">
        <v>57</v>
      </c>
      <c r="Y854" s="198" t="s">
        <v>58</v>
      </c>
      <c r="Z854" s="201">
        <v>46234</v>
      </c>
      <c r="AA854" s="198" t="s">
        <v>59</v>
      </c>
      <c r="AB854" s="198" t="s">
        <v>60</v>
      </c>
      <c r="AC854" s="198" t="s">
        <v>86</v>
      </c>
      <c r="AD854" s="198" t="s">
        <v>62</v>
      </c>
      <c r="AE854" s="198" t="s">
        <v>624</v>
      </c>
      <c r="AF854" s="198" t="s">
        <v>623</v>
      </c>
      <c r="AG854" s="198" t="s">
        <v>248</v>
      </c>
      <c r="AH854" s="198" t="s">
        <v>126</v>
      </c>
      <c r="AI854" s="198" t="s">
        <v>56</v>
      </c>
      <c r="AJ854" s="198" t="s">
        <v>318</v>
      </c>
      <c r="AK854" s="198" t="s">
        <v>51</v>
      </c>
      <c r="AL854" s="198" t="s">
        <v>67</v>
      </c>
      <c r="AM854" s="198" t="s">
        <v>68</v>
      </c>
      <c r="AN854" s="202">
        <v>140700</v>
      </c>
      <c r="AO854" s="202">
        <v>140700</v>
      </c>
      <c r="AP854" s="202">
        <v>140700</v>
      </c>
      <c r="AQ854" s="198" t="s">
        <v>358</v>
      </c>
      <c r="AR854" s="198" t="s">
        <v>51</v>
      </c>
      <c r="AS854" s="202">
        <v>140700</v>
      </c>
      <c r="AT854" s="202">
        <v>140700</v>
      </c>
      <c r="AU854" s="198" t="s">
        <v>359</v>
      </c>
      <c r="AV854" s="198" t="s">
        <v>62</v>
      </c>
      <c r="AW854" s="198" t="s">
        <v>587</v>
      </c>
    </row>
    <row r="855" spans="3:49" outlineLevel="2" x14ac:dyDescent="0.25">
      <c r="C855" s="201"/>
      <c r="D855" s="198" t="s">
        <v>122</v>
      </c>
      <c r="H855" s="198" t="s">
        <v>122</v>
      </c>
      <c r="I855" s="202">
        <f t="shared" si="13"/>
        <v>356794372.79999959</v>
      </c>
      <c r="J855" s="202">
        <v>86.399999999999906</v>
      </c>
      <c r="L855" s="204">
        <v>120</v>
      </c>
      <c r="M855" s="202">
        <v>74880</v>
      </c>
      <c r="N855" s="204">
        <v>120</v>
      </c>
      <c r="O855" s="198" t="s">
        <v>51</v>
      </c>
      <c r="P855" s="202">
        <v>74880</v>
      </c>
      <c r="Q855" s="198" t="s">
        <v>73</v>
      </c>
      <c r="R855" s="198" t="s">
        <v>53</v>
      </c>
      <c r="S855" s="198" t="s">
        <v>54</v>
      </c>
      <c r="T855" s="198" t="s">
        <v>585</v>
      </c>
      <c r="U855" s="198" t="s">
        <v>367</v>
      </c>
      <c r="V855" s="198" t="s">
        <v>56</v>
      </c>
      <c r="W855" s="198" t="s">
        <v>356</v>
      </c>
      <c r="X855" s="198" t="s">
        <v>57</v>
      </c>
      <c r="Y855" s="198" t="s">
        <v>58</v>
      </c>
      <c r="Z855" s="201">
        <v>46234</v>
      </c>
      <c r="AA855" s="198" t="s">
        <v>59</v>
      </c>
      <c r="AB855" s="198" t="s">
        <v>60</v>
      </c>
      <c r="AC855" s="198" t="s">
        <v>86</v>
      </c>
      <c r="AD855" s="198" t="s">
        <v>62</v>
      </c>
      <c r="AE855" s="198" t="s">
        <v>626</v>
      </c>
      <c r="AF855" s="198" t="s">
        <v>625</v>
      </c>
      <c r="AG855" s="198" t="s">
        <v>248</v>
      </c>
      <c r="AH855" s="198" t="s">
        <v>126</v>
      </c>
      <c r="AI855" s="198" t="s">
        <v>56</v>
      </c>
      <c r="AJ855" s="198" t="s">
        <v>406</v>
      </c>
      <c r="AK855" s="198" t="s">
        <v>51</v>
      </c>
      <c r="AL855" s="198" t="s">
        <v>67</v>
      </c>
      <c r="AM855" s="198" t="s">
        <v>68</v>
      </c>
      <c r="AN855" s="202">
        <v>74880</v>
      </c>
      <c r="AO855" s="202">
        <v>74880</v>
      </c>
      <c r="AP855" s="202">
        <v>74880</v>
      </c>
      <c r="AQ855" s="198" t="s">
        <v>358</v>
      </c>
      <c r="AR855" s="198" t="s">
        <v>51</v>
      </c>
      <c r="AS855" s="202">
        <v>74880</v>
      </c>
      <c r="AT855" s="202">
        <v>74880</v>
      </c>
      <c r="AU855" s="198" t="s">
        <v>359</v>
      </c>
      <c r="AV855" s="198" t="s">
        <v>62</v>
      </c>
      <c r="AW855" s="198" t="s">
        <v>587</v>
      </c>
    </row>
    <row r="856" spans="3:49" outlineLevel="2" x14ac:dyDescent="0.25">
      <c r="C856" s="201"/>
      <c r="D856" s="198" t="s">
        <v>122</v>
      </c>
      <c r="H856" s="198" t="s">
        <v>122</v>
      </c>
      <c r="I856" s="202">
        <f t="shared" si="13"/>
        <v>357207329.24999958</v>
      </c>
      <c r="J856" s="202">
        <v>86.499999999999901</v>
      </c>
      <c r="L856" s="204">
        <v>600</v>
      </c>
      <c r="M856" s="202">
        <v>289800</v>
      </c>
      <c r="N856" s="204">
        <v>600</v>
      </c>
      <c r="O856" s="198" t="s">
        <v>51</v>
      </c>
      <c r="P856" s="202">
        <v>289800</v>
      </c>
      <c r="Q856" s="198" t="s">
        <v>73</v>
      </c>
      <c r="R856" s="198" t="s">
        <v>53</v>
      </c>
      <c r="S856" s="198" t="s">
        <v>54</v>
      </c>
      <c r="T856" s="198" t="s">
        <v>585</v>
      </c>
      <c r="U856" s="198" t="s">
        <v>367</v>
      </c>
      <c r="V856" s="198" t="s">
        <v>56</v>
      </c>
      <c r="W856" s="198" t="s">
        <v>356</v>
      </c>
      <c r="X856" s="198" t="s">
        <v>57</v>
      </c>
      <c r="Y856" s="198" t="s">
        <v>58</v>
      </c>
      <c r="Z856" s="201">
        <v>46234</v>
      </c>
      <c r="AA856" s="198" t="s">
        <v>59</v>
      </c>
      <c r="AB856" s="198" t="s">
        <v>60</v>
      </c>
      <c r="AC856" s="198" t="s">
        <v>86</v>
      </c>
      <c r="AD856" s="198" t="s">
        <v>62</v>
      </c>
      <c r="AE856" s="198" t="s">
        <v>628</v>
      </c>
      <c r="AF856" s="198" t="s">
        <v>627</v>
      </c>
      <c r="AG856" s="198" t="s">
        <v>248</v>
      </c>
      <c r="AH856" s="198" t="s">
        <v>126</v>
      </c>
      <c r="AI856" s="198" t="s">
        <v>56</v>
      </c>
      <c r="AJ856" s="198" t="s">
        <v>406</v>
      </c>
      <c r="AK856" s="198" t="s">
        <v>51</v>
      </c>
      <c r="AL856" s="198" t="s">
        <v>67</v>
      </c>
      <c r="AM856" s="198" t="s">
        <v>68</v>
      </c>
      <c r="AN856" s="202">
        <v>289800</v>
      </c>
      <c r="AO856" s="202">
        <v>289800</v>
      </c>
      <c r="AP856" s="202">
        <v>289800</v>
      </c>
      <c r="AQ856" s="198" t="s">
        <v>358</v>
      </c>
      <c r="AR856" s="198" t="s">
        <v>51</v>
      </c>
      <c r="AS856" s="202">
        <v>289800</v>
      </c>
      <c r="AT856" s="202">
        <v>289800</v>
      </c>
      <c r="AU856" s="198" t="s">
        <v>359</v>
      </c>
      <c r="AV856" s="198" t="s">
        <v>62</v>
      </c>
      <c r="AW856" s="198" t="s">
        <v>587</v>
      </c>
    </row>
    <row r="857" spans="3:49" outlineLevel="2" x14ac:dyDescent="0.25">
      <c r="C857" s="201"/>
      <c r="D857" s="198" t="s">
        <v>122</v>
      </c>
      <c r="H857" s="198" t="s">
        <v>122</v>
      </c>
      <c r="I857" s="202">
        <f t="shared" si="13"/>
        <v>357620285.69999957</v>
      </c>
      <c r="J857" s="202">
        <v>86.599999999999895</v>
      </c>
      <c r="L857" s="204">
        <v>126</v>
      </c>
      <c r="M857" s="202">
        <v>19278</v>
      </c>
      <c r="N857" s="204">
        <v>126</v>
      </c>
      <c r="O857" s="198" t="s">
        <v>51</v>
      </c>
      <c r="P857" s="202">
        <v>19278</v>
      </c>
      <c r="Q857" s="198" t="s">
        <v>73</v>
      </c>
      <c r="R857" s="198" t="s">
        <v>53</v>
      </c>
      <c r="S857" s="198" t="s">
        <v>54</v>
      </c>
      <c r="T857" s="198" t="s">
        <v>585</v>
      </c>
      <c r="U857" s="198" t="s">
        <v>367</v>
      </c>
      <c r="V857" s="198" t="s">
        <v>56</v>
      </c>
      <c r="W857" s="198" t="s">
        <v>356</v>
      </c>
      <c r="X857" s="198" t="s">
        <v>57</v>
      </c>
      <c r="Y857" s="198" t="s">
        <v>58</v>
      </c>
      <c r="Z857" s="201">
        <v>46234</v>
      </c>
      <c r="AA857" s="198" t="s">
        <v>59</v>
      </c>
      <c r="AB857" s="198" t="s">
        <v>60</v>
      </c>
      <c r="AC857" s="198" t="s">
        <v>86</v>
      </c>
      <c r="AD857" s="198" t="s">
        <v>62</v>
      </c>
      <c r="AE857" s="198" t="s">
        <v>630</v>
      </c>
      <c r="AF857" s="198" t="s">
        <v>629</v>
      </c>
      <c r="AG857" s="198" t="s">
        <v>248</v>
      </c>
      <c r="AH857" s="198" t="s">
        <v>126</v>
      </c>
      <c r="AI857" s="198" t="s">
        <v>56</v>
      </c>
      <c r="AJ857" s="198" t="s">
        <v>318</v>
      </c>
      <c r="AK857" s="198" t="s">
        <v>51</v>
      </c>
      <c r="AL857" s="198" t="s">
        <v>67</v>
      </c>
      <c r="AM857" s="198" t="s">
        <v>68</v>
      </c>
      <c r="AN857" s="202">
        <v>19278</v>
      </c>
      <c r="AO857" s="202">
        <v>19278</v>
      </c>
      <c r="AP857" s="202">
        <v>19278</v>
      </c>
      <c r="AQ857" s="198" t="s">
        <v>358</v>
      </c>
      <c r="AR857" s="198" t="s">
        <v>51</v>
      </c>
      <c r="AS857" s="202">
        <v>19278</v>
      </c>
      <c r="AT857" s="202">
        <v>19278</v>
      </c>
      <c r="AU857" s="198" t="s">
        <v>359</v>
      </c>
      <c r="AV857" s="198" t="s">
        <v>62</v>
      </c>
      <c r="AW857" s="198" t="s">
        <v>587</v>
      </c>
    </row>
    <row r="858" spans="3:49" outlineLevel="2" x14ac:dyDescent="0.25">
      <c r="C858" s="201"/>
      <c r="D858" s="198" t="s">
        <v>122</v>
      </c>
      <c r="H858" s="198" t="s">
        <v>122</v>
      </c>
      <c r="I858" s="202">
        <f t="shared" si="13"/>
        <v>358033242.14999962</v>
      </c>
      <c r="J858" s="202">
        <v>86.699999999999903</v>
      </c>
      <c r="L858" s="204">
        <v>500</v>
      </c>
      <c r="M858" s="202">
        <v>107500</v>
      </c>
      <c r="N858" s="204">
        <v>500</v>
      </c>
      <c r="O858" s="198" t="s">
        <v>51</v>
      </c>
      <c r="P858" s="202">
        <v>107500</v>
      </c>
      <c r="Q858" s="198" t="s">
        <v>73</v>
      </c>
      <c r="R858" s="198" t="s">
        <v>53</v>
      </c>
      <c r="S858" s="198" t="s">
        <v>54</v>
      </c>
      <c r="T858" s="198" t="s">
        <v>585</v>
      </c>
      <c r="U858" s="198" t="s">
        <v>367</v>
      </c>
      <c r="V858" s="198" t="s">
        <v>56</v>
      </c>
      <c r="W858" s="198" t="s">
        <v>356</v>
      </c>
      <c r="X858" s="198" t="s">
        <v>57</v>
      </c>
      <c r="Y858" s="198" t="s">
        <v>58</v>
      </c>
      <c r="Z858" s="201">
        <v>46234</v>
      </c>
      <c r="AA858" s="198" t="s">
        <v>59</v>
      </c>
      <c r="AB858" s="198" t="s">
        <v>60</v>
      </c>
      <c r="AC858" s="198" t="s">
        <v>86</v>
      </c>
      <c r="AD858" s="198" t="s">
        <v>62</v>
      </c>
      <c r="AE858" s="198" t="s">
        <v>632</v>
      </c>
      <c r="AF858" s="198" t="s">
        <v>631</v>
      </c>
      <c r="AG858" s="198" t="s">
        <v>248</v>
      </c>
      <c r="AH858" s="198" t="s">
        <v>126</v>
      </c>
      <c r="AI858" s="198" t="s">
        <v>56</v>
      </c>
      <c r="AJ858" s="198" t="s">
        <v>318</v>
      </c>
      <c r="AK858" s="198" t="s">
        <v>51</v>
      </c>
      <c r="AL858" s="198" t="s">
        <v>67</v>
      </c>
      <c r="AM858" s="198" t="s">
        <v>68</v>
      </c>
      <c r="AN858" s="202">
        <v>107500</v>
      </c>
      <c r="AO858" s="202">
        <v>107500</v>
      </c>
      <c r="AP858" s="202">
        <v>107500</v>
      </c>
      <c r="AQ858" s="198" t="s">
        <v>358</v>
      </c>
      <c r="AR858" s="198" t="s">
        <v>51</v>
      </c>
      <c r="AS858" s="202">
        <v>107500</v>
      </c>
      <c r="AT858" s="202">
        <v>107500</v>
      </c>
      <c r="AU858" s="198" t="s">
        <v>359</v>
      </c>
      <c r="AV858" s="198" t="s">
        <v>62</v>
      </c>
      <c r="AW858" s="198" t="s">
        <v>587</v>
      </c>
    </row>
    <row r="859" spans="3:49" outlineLevel="2" x14ac:dyDescent="0.25">
      <c r="C859" s="201"/>
      <c r="D859" s="198" t="s">
        <v>122</v>
      </c>
      <c r="H859" s="198" t="s">
        <v>122</v>
      </c>
      <c r="I859" s="202">
        <f t="shared" si="13"/>
        <v>358446198.59999961</v>
      </c>
      <c r="J859" s="202">
        <v>86.799999999999898</v>
      </c>
      <c r="L859" s="204">
        <v>900</v>
      </c>
      <c r="M859" s="202">
        <v>134100</v>
      </c>
      <c r="N859" s="204">
        <v>900</v>
      </c>
      <c r="O859" s="198" t="s">
        <v>51</v>
      </c>
      <c r="P859" s="202">
        <v>134100</v>
      </c>
      <c r="Q859" s="198" t="s">
        <v>73</v>
      </c>
      <c r="R859" s="198" t="s">
        <v>53</v>
      </c>
      <c r="S859" s="198" t="s">
        <v>54</v>
      </c>
      <c r="T859" s="198" t="s">
        <v>585</v>
      </c>
      <c r="U859" s="198" t="s">
        <v>367</v>
      </c>
      <c r="V859" s="198" t="s">
        <v>56</v>
      </c>
      <c r="W859" s="198" t="s">
        <v>356</v>
      </c>
      <c r="X859" s="198" t="s">
        <v>57</v>
      </c>
      <c r="Y859" s="198" t="s">
        <v>58</v>
      </c>
      <c r="Z859" s="201">
        <v>46234</v>
      </c>
      <c r="AA859" s="198" t="s">
        <v>59</v>
      </c>
      <c r="AB859" s="198" t="s">
        <v>60</v>
      </c>
      <c r="AC859" s="198" t="s">
        <v>86</v>
      </c>
      <c r="AD859" s="198" t="s">
        <v>62</v>
      </c>
      <c r="AE859" s="198" t="s">
        <v>634</v>
      </c>
      <c r="AF859" s="198" t="s">
        <v>633</v>
      </c>
      <c r="AG859" s="198" t="s">
        <v>248</v>
      </c>
      <c r="AH859" s="198" t="s">
        <v>126</v>
      </c>
      <c r="AI859" s="198" t="s">
        <v>56</v>
      </c>
      <c r="AJ859" s="198" t="s">
        <v>635</v>
      </c>
      <c r="AK859" s="198" t="s">
        <v>51</v>
      </c>
      <c r="AL859" s="198" t="s">
        <v>67</v>
      </c>
      <c r="AM859" s="198" t="s">
        <v>68</v>
      </c>
      <c r="AN859" s="202">
        <v>134100</v>
      </c>
      <c r="AO859" s="202">
        <v>134100</v>
      </c>
      <c r="AP859" s="202">
        <v>134100</v>
      </c>
      <c r="AQ859" s="198" t="s">
        <v>358</v>
      </c>
      <c r="AR859" s="198" t="s">
        <v>51</v>
      </c>
      <c r="AS859" s="202">
        <v>134100</v>
      </c>
      <c r="AT859" s="202">
        <v>134100</v>
      </c>
      <c r="AU859" s="198" t="s">
        <v>359</v>
      </c>
      <c r="AV859" s="198" t="s">
        <v>62</v>
      </c>
      <c r="AW859" s="198" t="s">
        <v>587</v>
      </c>
    </row>
    <row r="860" spans="3:49" outlineLevel="2" x14ac:dyDescent="0.25">
      <c r="C860" s="201"/>
      <c r="D860" s="198" t="s">
        <v>122</v>
      </c>
      <c r="H860" s="198" t="s">
        <v>122</v>
      </c>
      <c r="I860" s="202">
        <f t="shared" si="13"/>
        <v>358859155.04999959</v>
      </c>
      <c r="J860" s="202">
        <v>86.899999999999906</v>
      </c>
      <c r="L860" s="204">
        <v>200</v>
      </c>
      <c r="M860" s="202">
        <v>35200</v>
      </c>
      <c r="N860" s="204">
        <v>200</v>
      </c>
      <c r="O860" s="198" t="s">
        <v>51</v>
      </c>
      <c r="P860" s="202">
        <v>35200</v>
      </c>
      <c r="Q860" s="198" t="s">
        <v>73</v>
      </c>
      <c r="R860" s="198" t="s">
        <v>53</v>
      </c>
      <c r="S860" s="198" t="s">
        <v>54</v>
      </c>
      <c r="T860" s="198" t="s">
        <v>585</v>
      </c>
      <c r="U860" s="198" t="s">
        <v>367</v>
      </c>
      <c r="V860" s="198" t="s">
        <v>56</v>
      </c>
      <c r="W860" s="198" t="s">
        <v>356</v>
      </c>
      <c r="X860" s="198" t="s">
        <v>57</v>
      </c>
      <c r="Y860" s="198" t="s">
        <v>58</v>
      </c>
      <c r="Z860" s="201">
        <v>46234</v>
      </c>
      <c r="AA860" s="198" t="s">
        <v>59</v>
      </c>
      <c r="AB860" s="198" t="s">
        <v>60</v>
      </c>
      <c r="AC860" s="198" t="s">
        <v>86</v>
      </c>
      <c r="AD860" s="198" t="s">
        <v>62</v>
      </c>
      <c r="AE860" s="198" t="s">
        <v>637</v>
      </c>
      <c r="AF860" s="198" t="s">
        <v>636</v>
      </c>
      <c r="AG860" s="198" t="s">
        <v>248</v>
      </c>
      <c r="AH860" s="198" t="s">
        <v>126</v>
      </c>
      <c r="AI860" s="198" t="s">
        <v>56</v>
      </c>
      <c r="AJ860" s="198" t="s">
        <v>318</v>
      </c>
      <c r="AK860" s="198" t="s">
        <v>51</v>
      </c>
      <c r="AL860" s="198" t="s">
        <v>67</v>
      </c>
      <c r="AM860" s="198" t="s">
        <v>68</v>
      </c>
      <c r="AN860" s="202">
        <v>35200</v>
      </c>
      <c r="AO860" s="202">
        <v>35200</v>
      </c>
      <c r="AP860" s="202">
        <v>35200</v>
      </c>
      <c r="AQ860" s="198" t="s">
        <v>358</v>
      </c>
      <c r="AR860" s="198" t="s">
        <v>51</v>
      </c>
      <c r="AS860" s="202">
        <v>35200</v>
      </c>
      <c r="AT860" s="202">
        <v>35200</v>
      </c>
      <c r="AU860" s="198" t="s">
        <v>359</v>
      </c>
      <c r="AV860" s="198" t="s">
        <v>62</v>
      </c>
      <c r="AW860" s="198" t="s">
        <v>587</v>
      </c>
    </row>
    <row r="861" spans="3:49" outlineLevel="2" x14ac:dyDescent="0.25">
      <c r="C861" s="201"/>
      <c r="D861" s="198" t="s">
        <v>122</v>
      </c>
      <c r="H861" s="198" t="s">
        <v>122</v>
      </c>
      <c r="I861" s="202">
        <f t="shared" si="13"/>
        <v>359272111.49999958</v>
      </c>
      <c r="J861" s="202">
        <v>86.999999999999901</v>
      </c>
      <c r="L861" s="204">
        <v>250</v>
      </c>
      <c r="M861" s="202">
        <v>37250</v>
      </c>
      <c r="N861" s="204">
        <v>250</v>
      </c>
      <c r="O861" s="198" t="s">
        <v>51</v>
      </c>
      <c r="P861" s="202">
        <v>37250</v>
      </c>
      <c r="Q861" s="198" t="s">
        <v>73</v>
      </c>
      <c r="R861" s="198" t="s">
        <v>53</v>
      </c>
      <c r="S861" s="198" t="s">
        <v>54</v>
      </c>
      <c r="T861" s="198" t="s">
        <v>585</v>
      </c>
      <c r="U861" s="198" t="s">
        <v>367</v>
      </c>
      <c r="V861" s="198" t="s">
        <v>56</v>
      </c>
      <c r="W861" s="198" t="s">
        <v>356</v>
      </c>
      <c r="X861" s="198" t="s">
        <v>57</v>
      </c>
      <c r="Y861" s="198" t="s">
        <v>58</v>
      </c>
      <c r="Z861" s="201">
        <v>46234</v>
      </c>
      <c r="AA861" s="198" t="s">
        <v>59</v>
      </c>
      <c r="AB861" s="198" t="s">
        <v>60</v>
      </c>
      <c r="AC861" s="198" t="s">
        <v>86</v>
      </c>
      <c r="AD861" s="198" t="s">
        <v>62</v>
      </c>
      <c r="AE861" s="198" t="s">
        <v>639</v>
      </c>
      <c r="AF861" s="198" t="s">
        <v>638</v>
      </c>
      <c r="AG861" s="198" t="s">
        <v>248</v>
      </c>
      <c r="AH861" s="198" t="s">
        <v>126</v>
      </c>
      <c r="AI861" s="198" t="s">
        <v>56</v>
      </c>
      <c r="AJ861" s="198" t="s">
        <v>318</v>
      </c>
      <c r="AK861" s="198" t="s">
        <v>51</v>
      </c>
      <c r="AL861" s="198" t="s">
        <v>67</v>
      </c>
      <c r="AM861" s="198" t="s">
        <v>68</v>
      </c>
      <c r="AN861" s="202">
        <v>37250</v>
      </c>
      <c r="AO861" s="202">
        <v>37250</v>
      </c>
      <c r="AP861" s="202">
        <v>37250</v>
      </c>
      <c r="AQ861" s="198" t="s">
        <v>358</v>
      </c>
      <c r="AR861" s="198" t="s">
        <v>51</v>
      </c>
      <c r="AS861" s="202">
        <v>37250</v>
      </c>
      <c r="AT861" s="202">
        <v>37250</v>
      </c>
      <c r="AU861" s="198" t="s">
        <v>359</v>
      </c>
      <c r="AV861" s="198" t="s">
        <v>62</v>
      </c>
      <c r="AW861" s="198" t="s">
        <v>587</v>
      </c>
    </row>
    <row r="862" spans="3:49" outlineLevel="2" x14ac:dyDescent="0.25">
      <c r="C862" s="201"/>
      <c r="D862" s="198" t="s">
        <v>122</v>
      </c>
      <c r="H862" s="198" t="s">
        <v>122</v>
      </c>
      <c r="I862" s="202">
        <f t="shared" si="13"/>
        <v>359685067.94999957</v>
      </c>
      <c r="J862" s="202">
        <v>87.099999999999895</v>
      </c>
      <c r="L862" s="204">
        <v>300</v>
      </c>
      <c r="M862" s="202">
        <v>40500</v>
      </c>
      <c r="N862" s="204">
        <v>300</v>
      </c>
      <c r="O862" s="198" t="s">
        <v>51</v>
      </c>
      <c r="P862" s="202">
        <v>40500</v>
      </c>
      <c r="Q862" s="198" t="s">
        <v>73</v>
      </c>
      <c r="R862" s="198" t="s">
        <v>53</v>
      </c>
      <c r="S862" s="198" t="s">
        <v>54</v>
      </c>
      <c r="T862" s="198" t="s">
        <v>585</v>
      </c>
      <c r="U862" s="198" t="s">
        <v>367</v>
      </c>
      <c r="V862" s="198" t="s">
        <v>56</v>
      </c>
      <c r="W862" s="198" t="s">
        <v>356</v>
      </c>
      <c r="X862" s="198" t="s">
        <v>57</v>
      </c>
      <c r="Y862" s="198" t="s">
        <v>58</v>
      </c>
      <c r="Z862" s="201">
        <v>46234</v>
      </c>
      <c r="AA862" s="198" t="s">
        <v>59</v>
      </c>
      <c r="AB862" s="198" t="s">
        <v>60</v>
      </c>
      <c r="AC862" s="198" t="s">
        <v>86</v>
      </c>
      <c r="AD862" s="198" t="s">
        <v>62</v>
      </c>
      <c r="AE862" s="198" t="s">
        <v>641</v>
      </c>
      <c r="AF862" s="198" t="s">
        <v>640</v>
      </c>
      <c r="AG862" s="198" t="s">
        <v>248</v>
      </c>
      <c r="AH862" s="198" t="s">
        <v>126</v>
      </c>
      <c r="AI862" s="198" t="s">
        <v>56</v>
      </c>
      <c r="AJ862" s="198" t="s">
        <v>318</v>
      </c>
      <c r="AK862" s="198" t="s">
        <v>51</v>
      </c>
      <c r="AL862" s="198" t="s">
        <v>67</v>
      </c>
      <c r="AM862" s="198" t="s">
        <v>68</v>
      </c>
      <c r="AN862" s="202">
        <v>40500</v>
      </c>
      <c r="AO862" s="202">
        <v>40500</v>
      </c>
      <c r="AP862" s="202">
        <v>40500</v>
      </c>
      <c r="AQ862" s="198" t="s">
        <v>358</v>
      </c>
      <c r="AR862" s="198" t="s">
        <v>51</v>
      </c>
      <c r="AS862" s="202">
        <v>40500</v>
      </c>
      <c r="AT862" s="202">
        <v>40500</v>
      </c>
      <c r="AU862" s="198" t="s">
        <v>359</v>
      </c>
      <c r="AV862" s="198" t="s">
        <v>62</v>
      </c>
      <c r="AW862" s="198" t="s">
        <v>587</v>
      </c>
    </row>
    <row r="863" spans="3:49" outlineLevel="2" x14ac:dyDescent="0.25">
      <c r="C863" s="201"/>
      <c r="D863" s="198" t="s">
        <v>122</v>
      </c>
      <c r="H863" s="198" t="s">
        <v>122</v>
      </c>
      <c r="I863" s="202">
        <f t="shared" si="13"/>
        <v>360098024.39999962</v>
      </c>
      <c r="J863" s="202">
        <v>87.199999999999903</v>
      </c>
      <c r="L863" s="204">
        <v>100</v>
      </c>
      <c r="M863" s="202">
        <v>6300</v>
      </c>
      <c r="N863" s="204">
        <v>100</v>
      </c>
      <c r="O863" s="198" t="s">
        <v>51</v>
      </c>
      <c r="P863" s="202">
        <v>6300</v>
      </c>
      <c r="Q863" s="198" t="s">
        <v>73</v>
      </c>
      <c r="R863" s="198" t="s">
        <v>53</v>
      </c>
      <c r="S863" s="198" t="s">
        <v>54</v>
      </c>
      <c r="T863" s="198" t="s">
        <v>585</v>
      </c>
      <c r="U863" s="198" t="s">
        <v>367</v>
      </c>
      <c r="V863" s="198" t="s">
        <v>56</v>
      </c>
      <c r="W863" s="198" t="s">
        <v>356</v>
      </c>
      <c r="X863" s="198" t="s">
        <v>57</v>
      </c>
      <c r="Y863" s="198" t="s">
        <v>58</v>
      </c>
      <c r="Z863" s="201">
        <v>46234</v>
      </c>
      <c r="AA863" s="198" t="s">
        <v>59</v>
      </c>
      <c r="AB863" s="198" t="s">
        <v>60</v>
      </c>
      <c r="AC863" s="198" t="s">
        <v>86</v>
      </c>
      <c r="AD863" s="198" t="s">
        <v>62</v>
      </c>
      <c r="AE863" s="198" t="s">
        <v>643</v>
      </c>
      <c r="AF863" s="198" t="s">
        <v>642</v>
      </c>
      <c r="AG863" s="198" t="s">
        <v>248</v>
      </c>
      <c r="AH863" s="198" t="s">
        <v>126</v>
      </c>
      <c r="AI863" s="198" t="s">
        <v>56</v>
      </c>
      <c r="AJ863" s="198" t="s">
        <v>74</v>
      </c>
      <c r="AK863" s="198" t="s">
        <v>51</v>
      </c>
      <c r="AL863" s="198" t="s">
        <v>67</v>
      </c>
      <c r="AM863" s="198" t="s">
        <v>68</v>
      </c>
      <c r="AN863" s="202">
        <v>6300</v>
      </c>
      <c r="AO863" s="202">
        <v>6300</v>
      </c>
      <c r="AP863" s="202">
        <v>6300</v>
      </c>
      <c r="AQ863" s="198" t="s">
        <v>358</v>
      </c>
      <c r="AR863" s="198" t="s">
        <v>51</v>
      </c>
      <c r="AS863" s="202">
        <v>6300</v>
      </c>
      <c r="AT863" s="202">
        <v>6300</v>
      </c>
      <c r="AU863" s="198" t="s">
        <v>359</v>
      </c>
      <c r="AV863" s="198" t="s">
        <v>62</v>
      </c>
      <c r="AW863" s="198" t="s">
        <v>587</v>
      </c>
    </row>
    <row r="864" spans="3:49" outlineLevel="2" x14ac:dyDescent="0.25">
      <c r="C864" s="201"/>
      <c r="D864" s="198" t="s">
        <v>122</v>
      </c>
      <c r="H864" s="198" t="s">
        <v>122</v>
      </c>
      <c r="I864" s="202">
        <f t="shared" si="13"/>
        <v>360510980.84999961</v>
      </c>
      <c r="J864" s="202">
        <v>87.299999999999898</v>
      </c>
      <c r="L864" s="204">
        <v>650</v>
      </c>
      <c r="M864" s="202">
        <v>96850</v>
      </c>
      <c r="N864" s="204">
        <v>650</v>
      </c>
      <c r="O864" s="198" t="s">
        <v>51</v>
      </c>
      <c r="P864" s="202">
        <v>96850</v>
      </c>
      <c r="Q864" s="198" t="s">
        <v>73</v>
      </c>
      <c r="R864" s="198" t="s">
        <v>53</v>
      </c>
      <c r="S864" s="198" t="s">
        <v>54</v>
      </c>
      <c r="T864" s="198" t="s">
        <v>585</v>
      </c>
      <c r="U864" s="198" t="s">
        <v>367</v>
      </c>
      <c r="V864" s="198" t="s">
        <v>56</v>
      </c>
      <c r="W864" s="198" t="s">
        <v>356</v>
      </c>
      <c r="X864" s="198" t="s">
        <v>57</v>
      </c>
      <c r="Y864" s="198" t="s">
        <v>58</v>
      </c>
      <c r="Z864" s="201">
        <v>46234</v>
      </c>
      <c r="AA864" s="198" t="s">
        <v>59</v>
      </c>
      <c r="AB864" s="198" t="s">
        <v>60</v>
      </c>
      <c r="AC864" s="198" t="s">
        <v>86</v>
      </c>
      <c r="AD864" s="198" t="s">
        <v>62</v>
      </c>
      <c r="AE864" s="198" t="s">
        <v>645</v>
      </c>
      <c r="AF864" s="198" t="s">
        <v>644</v>
      </c>
      <c r="AG864" s="198" t="s">
        <v>248</v>
      </c>
      <c r="AH864" s="198" t="s">
        <v>126</v>
      </c>
      <c r="AI864" s="198" t="s">
        <v>56</v>
      </c>
      <c r="AJ864" s="198" t="s">
        <v>318</v>
      </c>
      <c r="AK864" s="198" t="s">
        <v>51</v>
      </c>
      <c r="AL864" s="198" t="s">
        <v>67</v>
      </c>
      <c r="AM864" s="198" t="s">
        <v>68</v>
      </c>
      <c r="AN864" s="202">
        <v>96850</v>
      </c>
      <c r="AO864" s="202">
        <v>96850</v>
      </c>
      <c r="AP864" s="202">
        <v>96850</v>
      </c>
      <c r="AQ864" s="198" t="s">
        <v>358</v>
      </c>
      <c r="AR864" s="198" t="s">
        <v>51</v>
      </c>
      <c r="AS864" s="202">
        <v>96850</v>
      </c>
      <c r="AT864" s="202">
        <v>96850</v>
      </c>
      <c r="AU864" s="198" t="s">
        <v>359</v>
      </c>
      <c r="AV864" s="198" t="s">
        <v>62</v>
      </c>
      <c r="AW864" s="198" t="s">
        <v>587</v>
      </c>
    </row>
    <row r="865" spans="3:49" outlineLevel="2" x14ac:dyDescent="0.25">
      <c r="C865" s="201"/>
      <c r="D865" s="198" t="s">
        <v>122</v>
      </c>
      <c r="H865" s="198" t="s">
        <v>122</v>
      </c>
      <c r="I865" s="202">
        <f t="shared" si="13"/>
        <v>360923937.29999959</v>
      </c>
      <c r="J865" s="202">
        <v>87.399999999999906</v>
      </c>
      <c r="L865" s="204">
        <v>1550</v>
      </c>
      <c r="M865" s="202">
        <v>75950</v>
      </c>
      <c r="N865" s="204">
        <v>1550</v>
      </c>
      <c r="O865" s="198" t="s">
        <v>51</v>
      </c>
      <c r="P865" s="202">
        <v>75950</v>
      </c>
      <c r="Q865" s="198" t="s">
        <v>73</v>
      </c>
      <c r="R865" s="198" t="s">
        <v>53</v>
      </c>
      <c r="S865" s="198" t="s">
        <v>54</v>
      </c>
      <c r="T865" s="198" t="s">
        <v>585</v>
      </c>
      <c r="U865" s="198" t="s">
        <v>367</v>
      </c>
      <c r="V865" s="198" t="s">
        <v>56</v>
      </c>
      <c r="W865" s="198" t="s">
        <v>356</v>
      </c>
      <c r="X865" s="198" t="s">
        <v>57</v>
      </c>
      <c r="Y865" s="198" t="s">
        <v>58</v>
      </c>
      <c r="Z865" s="201">
        <v>46234</v>
      </c>
      <c r="AA865" s="198" t="s">
        <v>59</v>
      </c>
      <c r="AB865" s="198" t="s">
        <v>60</v>
      </c>
      <c r="AC865" s="198" t="s">
        <v>86</v>
      </c>
      <c r="AD865" s="198" t="s">
        <v>62</v>
      </c>
      <c r="AE865" s="198" t="s">
        <v>647</v>
      </c>
      <c r="AF865" s="198" t="s">
        <v>646</v>
      </c>
      <c r="AG865" s="198" t="s">
        <v>248</v>
      </c>
      <c r="AH865" s="198" t="s">
        <v>126</v>
      </c>
      <c r="AI865" s="198" t="s">
        <v>56</v>
      </c>
      <c r="AJ865" s="198" t="s">
        <v>318</v>
      </c>
      <c r="AK865" s="198" t="s">
        <v>51</v>
      </c>
      <c r="AL865" s="198" t="s">
        <v>67</v>
      </c>
      <c r="AM865" s="198" t="s">
        <v>68</v>
      </c>
      <c r="AN865" s="202">
        <v>75950</v>
      </c>
      <c r="AO865" s="202">
        <v>75950</v>
      </c>
      <c r="AP865" s="202">
        <v>75950</v>
      </c>
      <c r="AQ865" s="198" t="s">
        <v>358</v>
      </c>
      <c r="AR865" s="198" t="s">
        <v>51</v>
      </c>
      <c r="AS865" s="202">
        <v>75950</v>
      </c>
      <c r="AT865" s="202">
        <v>75950</v>
      </c>
      <c r="AU865" s="198" t="s">
        <v>359</v>
      </c>
      <c r="AV865" s="198" t="s">
        <v>62</v>
      </c>
      <c r="AW865" s="198" t="s">
        <v>587</v>
      </c>
    </row>
    <row r="866" spans="3:49" outlineLevel="2" x14ac:dyDescent="0.25">
      <c r="C866" s="201"/>
      <c r="D866" s="198" t="s">
        <v>122</v>
      </c>
      <c r="H866" s="198" t="s">
        <v>122</v>
      </c>
      <c r="I866" s="202">
        <f t="shared" si="13"/>
        <v>361336893.74999958</v>
      </c>
      <c r="J866" s="202">
        <v>87.499999999999901</v>
      </c>
      <c r="L866" s="204">
        <v>200</v>
      </c>
      <c r="M866" s="202">
        <v>29800</v>
      </c>
      <c r="N866" s="204">
        <v>200</v>
      </c>
      <c r="O866" s="198" t="s">
        <v>51</v>
      </c>
      <c r="P866" s="202">
        <v>29800</v>
      </c>
      <c r="Q866" s="198" t="s">
        <v>73</v>
      </c>
      <c r="R866" s="198" t="s">
        <v>53</v>
      </c>
      <c r="S866" s="198" t="s">
        <v>54</v>
      </c>
      <c r="T866" s="198" t="s">
        <v>585</v>
      </c>
      <c r="U866" s="198" t="s">
        <v>367</v>
      </c>
      <c r="V866" s="198" t="s">
        <v>56</v>
      </c>
      <c r="W866" s="198" t="s">
        <v>356</v>
      </c>
      <c r="X866" s="198" t="s">
        <v>57</v>
      </c>
      <c r="Y866" s="198" t="s">
        <v>58</v>
      </c>
      <c r="Z866" s="201">
        <v>46234</v>
      </c>
      <c r="AA866" s="198" t="s">
        <v>59</v>
      </c>
      <c r="AB866" s="198" t="s">
        <v>60</v>
      </c>
      <c r="AC866" s="198" t="s">
        <v>86</v>
      </c>
      <c r="AD866" s="198" t="s">
        <v>62</v>
      </c>
      <c r="AE866" s="198" t="s">
        <v>649</v>
      </c>
      <c r="AF866" s="198" t="s">
        <v>648</v>
      </c>
      <c r="AG866" s="198" t="s">
        <v>248</v>
      </c>
      <c r="AH866" s="198" t="s">
        <v>126</v>
      </c>
      <c r="AI866" s="198" t="s">
        <v>56</v>
      </c>
      <c r="AJ866" s="198" t="s">
        <v>318</v>
      </c>
      <c r="AK866" s="198" t="s">
        <v>51</v>
      </c>
      <c r="AL866" s="198" t="s">
        <v>67</v>
      </c>
      <c r="AM866" s="198" t="s">
        <v>68</v>
      </c>
      <c r="AN866" s="202">
        <v>29800</v>
      </c>
      <c r="AO866" s="202">
        <v>29800</v>
      </c>
      <c r="AP866" s="202">
        <v>29800</v>
      </c>
      <c r="AQ866" s="198" t="s">
        <v>358</v>
      </c>
      <c r="AR866" s="198" t="s">
        <v>51</v>
      </c>
      <c r="AS866" s="202">
        <v>29800</v>
      </c>
      <c r="AT866" s="202">
        <v>29800</v>
      </c>
      <c r="AU866" s="198" t="s">
        <v>359</v>
      </c>
      <c r="AV866" s="198" t="s">
        <v>62</v>
      </c>
      <c r="AW866" s="198" t="s">
        <v>587</v>
      </c>
    </row>
    <row r="867" spans="3:49" outlineLevel="2" x14ac:dyDescent="0.25">
      <c r="C867" s="201"/>
      <c r="D867" s="198" t="s">
        <v>122</v>
      </c>
      <c r="H867" s="198" t="s">
        <v>122</v>
      </c>
      <c r="I867" s="202">
        <f t="shared" si="13"/>
        <v>361749850.19999957</v>
      </c>
      <c r="J867" s="202">
        <v>87.599999999999895</v>
      </c>
      <c r="L867" s="204">
        <v>100</v>
      </c>
      <c r="M867" s="202">
        <v>13500</v>
      </c>
      <c r="N867" s="204">
        <v>100</v>
      </c>
      <c r="O867" s="198" t="s">
        <v>51</v>
      </c>
      <c r="P867" s="202">
        <v>13500</v>
      </c>
      <c r="Q867" s="198" t="s">
        <v>73</v>
      </c>
      <c r="R867" s="198" t="s">
        <v>53</v>
      </c>
      <c r="S867" s="198" t="s">
        <v>54</v>
      </c>
      <c r="T867" s="198" t="s">
        <v>585</v>
      </c>
      <c r="U867" s="198" t="s">
        <v>367</v>
      </c>
      <c r="V867" s="198" t="s">
        <v>56</v>
      </c>
      <c r="W867" s="198" t="s">
        <v>356</v>
      </c>
      <c r="X867" s="198" t="s">
        <v>57</v>
      </c>
      <c r="Y867" s="198" t="s">
        <v>58</v>
      </c>
      <c r="Z867" s="201">
        <v>46234</v>
      </c>
      <c r="AA867" s="198" t="s">
        <v>59</v>
      </c>
      <c r="AB867" s="198" t="s">
        <v>60</v>
      </c>
      <c r="AC867" s="198" t="s">
        <v>86</v>
      </c>
      <c r="AD867" s="198" t="s">
        <v>62</v>
      </c>
      <c r="AE867" s="198" t="s">
        <v>650</v>
      </c>
      <c r="AF867" s="198" t="s">
        <v>339</v>
      </c>
      <c r="AG867" s="198" t="s">
        <v>248</v>
      </c>
      <c r="AH867" s="198" t="s">
        <v>126</v>
      </c>
      <c r="AI867" s="198" t="s">
        <v>56</v>
      </c>
      <c r="AJ867" s="198" t="s">
        <v>318</v>
      </c>
      <c r="AK867" s="198" t="s">
        <v>51</v>
      </c>
      <c r="AL867" s="198" t="s">
        <v>67</v>
      </c>
      <c r="AM867" s="198" t="s">
        <v>68</v>
      </c>
      <c r="AN867" s="202">
        <v>13500</v>
      </c>
      <c r="AO867" s="202">
        <v>13500</v>
      </c>
      <c r="AP867" s="202">
        <v>13500</v>
      </c>
      <c r="AQ867" s="198" t="s">
        <v>358</v>
      </c>
      <c r="AR867" s="198" t="s">
        <v>51</v>
      </c>
      <c r="AS867" s="202">
        <v>13500</v>
      </c>
      <c r="AT867" s="202">
        <v>13500</v>
      </c>
      <c r="AU867" s="198" t="s">
        <v>359</v>
      </c>
      <c r="AV867" s="198" t="s">
        <v>62</v>
      </c>
      <c r="AW867" s="198" t="s">
        <v>587</v>
      </c>
    </row>
    <row r="868" spans="3:49" outlineLevel="2" x14ac:dyDescent="0.25">
      <c r="C868" s="201"/>
      <c r="D868" s="198" t="s">
        <v>122</v>
      </c>
      <c r="H868" s="198" t="s">
        <v>122</v>
      </c>
      <c r="I868" s="202">
        <f t="shared" si="13"/>
        <v>362162806.64999962</v>
      </c>
      <c r="J868" s="202">
        <v>87.699999999999903</v>
      </c>
      <c r="L868" s="204">
        <v>150</v>
      </c>
      <c r="M868" s="202">
        <v>1800</v>
      </c>
      <c r="N868" s="204">
        <v>150</v>
      </c>
      <c r="O868" s="198" t="s">
        <v>51</v>
      </c>
      <c r="P868" s="202">
        <v>1800</v>
      </c>
      <c r="Q868" s="198" t="s">
        <v>73</v>
      </c>
      <c r="R868" s="198" t="s">
        <v>53</v>
      </c>
      <c r="S868" s="198" t="s">
        <v>54</v>
      </c>
      <c r="T868" s="198" t="s">
        <v>585</v>
      </c>
      <c r="U868" s="198" t="s">
        <v>367</v>
      </c>
      <c r="V868" s="198" t="s">
        <v>56</v>
      </c>
      <c r="W868" s="198" t="s">
        <v>356</v>
      </c>
      <c r="X868" s="198" t="s">
        <v>57</v>
      </c>
      <c r="Y868" s="198" t="s">
        <v>58</v>
      </c>
      <c r="Z868" s="201">
        <v>46234</v>
      </c>
      <c r="AA868" s="198" t="s">
        <v>59</v>
      </c>
      <c r="AB868" s="198" t="s">
        <v>60</v>
      </c>
      <c r="AC868" s="198" t="s">
        <v>86</v>
      </c>
      <c r="AD868" s="198" t="s">
        <v>62</v>
      </c>
      <c r="AE868" s="198" t="s">
        <v>652</v>
      </c>
      <c r="AF868" s="198" t="s">
        <v>651</v>
      </c>
      <c r="AG868" s="198" t="s">
        <v>248</v>
      </c>
      <c r="AH868" s="198" t="s">
        <v>126</v>
      </c>
      <c r="AI868" s="198" t="s">
        <v>56</v>
      </c>
      <c r="AJ868" s="198" t="s">
        <v>318</v>
      </c>
      <c r="AK868" s="198" t="s">
        <v>51</v>
      </c>
      <c r="AL868" s="198" t="s">
        <v>67</v>
      </c>
      <c r="AM868" s="198" t="s">
        <v>68</v>
      </c>
      <c r="AN868" s="202">
        <v>1800</v>
      </c>
      <c r="AO868" s="202">
        <v>1800</v>
      </c>
      <c r="AP868" s="202">
        <v>1800</v>
      </c>
      <c r="AQ868" s="198" t="s">
        <v>358</v>
      </c>
      <c r="AR868" s="198" t="s">
        <v>51</v>
      </c>
      <c r="AS868" s="202">
        <v>1800</v>
      </c>
      <c r="AT868" s="202">
        <v>1800</v>
      </c>
      <c r="AU868" s="198" t="s">
        <v>359</v>
      </c>
      <c r="AV868" s="198" t="s">
        <v>62</v>
      </c>
      <c r="AW868" s="198" t="s">
        <v>587</v>
      </c>
    </row>
    <row r="869" spans="3:49" outlineLevel="2" x14ac:dyDescent="0.25">
      <c r="C869" s="201"/>
      <c r="D869" s="198" t="s">
        <v>122</v>
      </c>
      <c r="H869" s="198" t="s">
        <v>122</v>
      </c>
      <c r="I869" s="202">
        <f t="shared" si="13"/>
        <v>362575763.09999961</v>
      </c>
      <c r="J869" s="202">
        <v>87.799999999999898</v>
      </c>
      <c r="L869" s="204">
        <v>70</v>
      </c>
      <c r="M869" s="202">
        <v>840</v>
      </c>
      <c r="N869" s="204">
        <v>70</v>
      </c>
      <c r="O869" s="198" t="s">
        <v>51</v>
      </c>
      <c r="P869" s="202">
        <v>840</v>
      </c>
      <c r="Q869" s="198" t="s">
        <v>73</v>
      </c>
      <c r="R869" s="198" t="s">
        <v>53</v>
      </c>
      <c r="S869" s="198" t="s">
        <v>54</v>
      </c>
      <c r="T869" s="198" t="s">
        <v>585</v>
      </c>
      <c r="U869" s="198" t="s">
        <v>367</v>
      </c>
      <c r="V869" s="198" t="s">
        <v>56</v>
      </c>
      <c r="W869" s="198" t="s">
        <v>356</v>
      </c>
      <c r="X869" s="198" t="s">
        <v>57</v>
      </c>
      <c r="Y869" s="198" t="s">
        <v>58</v>
      </c>
      <c r="Z869" s="201">
        <v>46234</v>
      </c>
      <c r="AA869" s="198" t="s">
        <v>59</v>
      </c>
      <c r="AB869" s="198" t="s">
        <v>60</v>
      </c>
      <c r="AC869" s="198" t="s">
        <v>86</v>
      </c>
      <c r="AD869" s="198" t="s">
        <v>62</v>
      </c>
      <c r="AE869" s="198" t="s">
        <v>654</v>
      </c>
      <c r="AF869" s="198" t="s">
        <v>653</v>
      </c>
      <c r="AG869" s="198" t="s">
        <v>248</v>
      </c>
      <c r="AH869" s="198" t="s">
        <v>126</v>
      </c>
      <c r="AI869" s="198" t="s">
        <v>56</v>
      </c>
      <c r="AJ869" s="198" t="s">
        <v>318</v>
      </c>
      <c r="AK869" s="198" t="s">
        <v>51</v>
      </c>
      <c r="AL869" s="198" t="s">
        <v>67</v>
      </c>
      <c r="AM869" s="198" t="s">
        <v>68</v>
      </c>
      <c r="AN869" s="202">
        <v>840</v>
      </c>
      <c r="AO869" s="202">
        <v>840</v>
      </c>
      <c r="AP869" s="202">
        <v>840</v>
      </c>
      <c r="AQ869" s="198" t="s">
        <v>358</v>
      </c>
      <c r="AR869" s="198" t="s">
        <v>51</v>
      </c>
      <c r="AS869" s="202">
        <v>840</v>
      </c>
      <c r="AT869" s="202">
        <v>840</v>
      </c>
      <c r="AU869" s="198" t="s">
        <v>359</v>
      </c>
      <c r="AV869" s="198" t="s">
        <v>62</v>
      </c>
      <c r="AW869" s="198" t="s">
        <v>587</v>
      </c>
    </row>
    <row r="870" spans="3:49" outlineLevel="2" x14ac:dyDescent="0.25">
      <c r="C870" s="201"/>
      <c r="D870" s="198" t="s">
        <v>122</v>
      </c>
      <c r="H870" s="198" t="s">
        <v>122</v>
      </c>
      <c r="I870" s="202">
        <f t="shared" si="13"/>
        <v>362988719.54999959</v>
      </c>
      <c r="J870" s="202">
        <v>87.899999999999906</v>
      </c>
      <c r="L870" s="204">
        <v>1512</v>
      </c>
      <c r="M870" s="202">
        <v>317520</v>
      </c>
      <c r="N870" s="204">
        <v>1512</v>
      </c>
      <c r="O870" s="198" t="s">
        <v>51</v>
      </c>
      <c r="P870" s="202">
        <v>317520</v>
      </c>
      <c r="Q870" s="198" t="s">
        <v>73</v>
      </c>
      <c r="R870" s="198" t="s">
        <v>53</v>
      </c>
      <c r="S870" s="198" t="s">
        <v>54</v>
      </c>
      <c r="T870" s="198" t="s">
        <v>585</v>
      </c>
      <c r="U870" s="198" t="s">
        <v>367</v>
      </c>
      <c r="V870" s="198" t="s">
        <v>56</v>
      </c>
      <c r="W870" s="198" t="s">
        <v>356</v>
      </c>
      <c r="X870" s="198" t="s">
        <v>57</v>
      </c>
      <c r="Y870" s="198" t="s">
        <v>58</v>
      </c>
      <c r="Z870" s="201">
        <v>46234</v>
      </c>
      <c r="AA870" s="198" t="s">
        <v>59</v>
      </c>
      <c r="AB870" s="198" t="s">
        <v>60</v>
      </c>
      <c r="AC870" s="198" t="s">
        <v>86</v>
      </c>
      <c r="AD870" s="198" t="s">
        <v>62</v>
      </c>
      <c r="AE870" s="198" t="s">
        <v>656</v>
      </c>
      <c r="AF870" s="198" t="s">
        <v>655</v>
      </c>
      <c r="AG870" s="198" t="s">
        <v>248</v>
      </c>
      <c r="AH870" s="198" t="s">
        <v>126</v>
      </c>
      <c r="AI870" s="198" t="s">
        <v>56</v>
      </c>
      <c r="AJ870" s="198" t="s">
        <v>318</v>
      </c>
      <c r="AK870" s="198" t="s">
        <v>51</v>
      </c>
      <c r="AL870" s="198" t="s">
        <v>67</v>
      </c>
      <c r="AM870" s="198" t="s">
        <v>68</v>
      </c>
      <c r="AN870" s="202">
        <v>317520</v>
      </c>
      <c r="AO870" s="202">
        <v>317520</v>
      </c>
      <c r="AP870" s="202">
        <v>317520</v>
      </c>
      <c r="AQ870" s="198" t="s">
        <v>358</v>
      </c>
      <c r="AR870" s="198" t="s">
        <v>51</v>
      </c>
      <c r="AS870" s="202">
        <v>317520</v>
      </c>
      <c r="AT870" s="202">
        <v>317520</v>
      </c>
      <c r="AU870" s="198" t="s">
        <v>359</v>
      </c>
      <c r="AV870" s="198" t="s">
        <v>62</v>
      </c>
      <c r="AW870" s="198" t="s">
        <v>587</v>
      </c>
    </row>
    <row r="871" spans="3:49" outlineLevel="2" x14ac:dyDescent="0.25">
      <c r="C871" s="201"/>
      <c r="D871" s="198" t="s">
        <v>122</v>
      </c>
      <c r="H871" s="198" t="s">
        <v>122</v>
      </c>
      <c r="I871" s="202">
        <f t="shared" si="13"/>
        <v>363401675.99999958</v>
      </c>
      <c r="J871" s="202">
        <v>87.999999999999901</v>
      </c>
      <c r="L871" s="204">
        <v>504</v>
      </c>
      <c r="M871" s="202">
        <v>73584</v>
      </c>
      <c r="N871" s="204">
        <v>504</v>
      </c>
      <c r="O871" s="198" t="s">
        <v>51</v>
      </c>
      <c r="P871" s="202">
        <v>73584</v>
      </c>
      <c r="Q871" s="198" t="s">
        <v>73</v>
      </c>
      <c r="R871" s="198" t="s">
        <v>53</v>
      </c>
      <c r="S871" s="198" t="s">
        <v>54</v>
      </c>
      <c r="T871" s="198" t="s">
        <v>585</v>
      </c>
      <c r="U871" s="198" t="s">
        <v>367</v>
      </c>
      <c r="V871" s="198" t="s">
        <v>56</v>
      </c>
      <c r="W871" s="198" t="s">
        <v>356</v>
      </c>
      <c r="X871" s="198" t="s">
        <v>57</v>
      </c>
      <c r="Y871" s="198" t="s">
        <v>58</v>
      </c>
      <c r="Z871" s="201">
        <v>46234</v>
      </c>
      <c r="AA871" s="198" t="s">
        <v>59</v>
      </c>
      <c r="AB871" s="198" t="s">
        <v>60</v>
      </c>
      <c r="AC871" s="198" t="s">
        <v>86</v>
      </c>
      <c r="AD871" s="198" t="s">
        <v>62</v>
      </c>
      <c r="AE871" s="198" t="s">
        <v>656</v>
      </c>
      <c r="AF871" s="198" t="s">
        <v>655</v>
      </c>
      <c r="AG871" s="198" t="s">
        <v>248</v>
      </c>
      <c r="AH871" s="198" t="s">
        <v>126</v>
      </c>
      <c r="AI871" s="198" t="s">
        <v>56</v>
      </c>
      <c r="AJ871" s="198" t="s">
        <v>318</v>
      </c>
      <c r="AK871" s="198" t="s">
        <v>51</v>
      </c>
      <c r="AL871" s="198" t="s">
        <v>67</v>
      </c>
      <c r="AM871" s="198" t="s">
        <v>68</v>
      </c>
      <c r="AN871" s="202">
        <v>73584</v>
      </c>
      <c r="AO871" s="202">
        <v>73584</v>
      </c>
      <c r="AP871" s="202">
        <v>73584</v>
      </c>
      <c r="AQ871" s="198" t="s">
        <v>358</v>
      </c>
      <c r="AR871" s="198" t="s">
        <v>51</v>
      </c>
      <c r="AS871" s="202">
        <v>73584</v>
      </c>
      <c r="AT871" s="202">
        <v>73584</v>
      </c>
      <c r="AU871" s="198" t="s">
        <v>359</v>
      </c>
      <c r="AV871" s="198" t="s">
        <v>62</v>
      </c>
      <c r="AW871" s="198" t="s">
        <v>587</v>
      </c>
    </row>
    <row r="872" spans="3:49" outlineLevel="2" x14ac:dyDescent="0.25">
      <c r="C872" s="201"/>
      <c r="D872" s="198" t="s">
        <v>131</v>
      </c>
      <c r="H872" s="198" t="s">
        <v>131</v>
      </c>
      <c r="I872" s="202">
        <f t="shared" si="13"/>
        <v>363814632.44999957</v>
      </c>
      <c r="J872" s="202">
        <v>88.099999999999895</v>
      </c>
      <c r="L872" s="204">
        <v>191959</v>
      </c>
      <c r="M872" s="202">
        <v>14204966</v>
      </c>
      <c r="N872" s="204">
        <v>191959</v>
      </c>
      <c r="O872" s="198" t="s">
        <v>51</v>
      </c>
      <c r="P872" s="202">
        <v>14204966</v>
      </c>
      <c r="Q872" s="198" t="s">
        <v>73</v>
      </c>
      <c r="R872" s="198" t="s">
        <v>53</v>
      </c>
      <c r="S872" s="198" t="s">
        <v>54</v>
      </c>
      <c r="T872" s="198" t="s">
        <v>585</v>
      </c>
      <c r="U872" s="198" t="s">
        <v>1741</v>
      </c>
      <c r="V872" s="198" t="s">
        <v>56</v>
      </c>
      <c r="W872" s="198" t="s">
        <v>356</v>
      </c>
      <c r="X872" s="198" t="s">
        <v>57</v>
      </c>
      <c r="Y872" s="198" t="s">
        <v>58</v>
      </c>
      <c r="Z872" s="201">
        <v>46234</v>
      </c>
      <c r="AA872" s="198" t="s">
        <v>59</v>
      </c>
      <c r="AB872" s="198" t="s">
        <v>60</v>
      </c>
      <c r="AC872" s="198" t="s">
        <v>86</v>
      </c>
      <c r="AD872" s="198" t="s">
        <v>62</v>
      </c>
      <c r="AE872" s="198" t="s">
        <v>125</v>
      </c>
      <c r="AF872" s="198" t="s">
        <v>124</v>
      </c>
      <c r="AG872" s="198" t="s">
        <v>248</v>
      </c>
      <c r="AH872" s="198" t="s">
        <v>132</v>
      </c>
      <c r="AI872" s="198" t="s">
        <v>56</v>
      </c>
      <c r="AJ872" s="198" t="s">
        <v>127</v>
      </c>
      <c r="AK872" s="198" t="s">
        <v>51</v>
      </c>
      <c r="AL872" s="198" t="s">
        <v>67</v>
      </c>
      <c r="AM872" s="198" t="s">
        <v>68</v>
      </c>
      <c r="AN872" s="202">
        <v>14204966</v>
      </c>
      <c r="AO872" s="202">
        <v>14204966</v>
      </c>
      <c r="AP872" s="202">
        <v>14204966</v>
      </c>
      <c r="AQ872" s="198" t="s">
        <v>358</v>
      </c>
      <c r="AR872" s="198" t="s">
        <v>51</v>
      </c>
      <c r="AS872" s="202">
        <v>14204966</v>
      </c>
      <c r="AT872" s="202">
        <v>14204966</v>
      </c>
      <c r="AU872" s="198" t="s">
        <v>359</v>
      </c>
      <c r="AV872" s="198" t="s">
        <v>62</v>
      </c>
      <c r="AW872" s="198" t="s">
        <v>587</v>
      </c>
    </row>
    <row r="873" spans="3:49" outlineLevel="2" x14ac:dyDescent="0.25">
      <c r="C873" s="201"/>
      <c r="D873" s="198" t="s">
        <v>131</v>
      </c>
      <c r="H873" s="198" t="s">
        <v>131</v>
      </c>
      <c r="I873" s="202">
        <f t="shared" si="13"/>
        <v>364227588.89999962</v>
      </c>
      <c r="J873" s="202">
        <v>88.199999999999903</v>
      </c>
      <c r="L873" s="204">
        <v>2520</v>
      </c>
      <c r="M873" s="202">
        <v>83160</v>
      </c>
      <c r="N873" s="204">
        <v>2520</v>
      </c>
      <c r="O873" s="198" t="s">
        <v>51</v>
      </c>
      <c r="P873" s="202">
        <v>83160</v>
      </c>
      <c r="Q873" s="198" t="s">
        <v>342</v>
      </c>
      <c r="R873" s="198" t="s">
        <v>53</v>
      </c>
      <c r="S873" s="198" t="s">
        <v>54</v>
      </c>
      <c r="T873" s="198" t="s">
        <v>585</v>
      </c>
      <c r="U873" s="198" t="s">
        <v>367</v>
      </c>
      <c r="V873" s="198" t="s">
        <v>56</v>
      </c>
      <c r="W873" s="198" t="s">
        <v>356</v>
      </c>
      <c r="X873" s="198" t="s">
        <v>57</v>
      </c>
      <c r="Y873" s="198" t="s">
        <v>58</v>
      </c>
      <c r="Z873" s="201">
        <v>46234</v>
      </c>
      <c r="AA873" s="198" t="s">
        <v>59</v>
      </c>
      <c r="AB873" s="198" t="s">
        <v>60</v>
      </c>
      <c r="AC873" s="198" t="s">
        <v>86</v>
      </c>
      <c r="AD873" s="198" t="s">
        <v>62</v>
      </c>
      <c r="AE873" s="198" t="s">
        <v>589</v>
      </c>
      <c r="AF873" s="198" t="s">
        <v>588</v>
      </c>
      <c r="AG873" s="198" t="s">
        <v>248</v>
      </c>
      <c r="AH873" s="198" t="s">
        <v>132</v>
      </c>
      <c r="AI873" s="198" t="s">
        <v>56</v>
      </c>
      <c r="AJ873" s="198" t="s">
        <v>74</v>
      </c>
      <c r="AK873" s="198" t="s">
        <v>51</v>
      </c>
      <c r="AL873" s="198" t="s">
        <v>67</v>
      </c>
      <c r="AM873" s="198" t="s">
        <v>68</v>
      </c>
      <c r="AN873" s="202">
        <v>83160</v>
      </c>
      <c r="AO873" s="202">
        <v>83160</v>
      </c>
      <c r="AP873" s="202">
        <v>83160</v>
      </c>
      <c r="AQ873" s="198" t="s">
        <v>358</v>
      </c>
      <c r="AR873" s="198" t="s">
        <v>51</v>
      </c>
      <c r="AS873" s="202">
        <v>83160</v>
      </c>
      <c r="AT873" s="202">
        <v>83160</v>
      </c>
      <c r="AU873" s="198" t="s">
        <v>359</v>
      </c>
      <c r="AV873" s="198" t="s">
        <v>62</v>
      </c>
      <c r="AW873" s="198" t="s">
        <v>587</v>
      </c>
    </row>
    <row r="874" spans="3:49" outlineLevel="2" x14ac:dyDescent="0.25">
      <c r="C874" s="201"/>
      <c r="D874" s="198" t="s">
        <v>131</v>
      </c>
      <c r="H874" s="198" t="s">
        <v>131</v>
      </c>
      <c r="I874" s="202">
        <f t="shared" si="13"/>
        <v>364640545.34999961</v>
      </c>
      <c r="J874" s="202">
        <v>88.299999999999898</v>
      </c>
      <c r="L874" s="204">
        <v>9</v>
      </c>
      <c r="M874" s="202">
        <v>62178.66</v>
      </c>
      <c r="N874" s="204">
        <v>9</v>
      </c>
      <c r="O874" s="198" t="s">
        <v>51</v>
      </c>
      <c r="P874" s="202">
        <v>62178.66</v>
      </c>
      <c r="Q874" s="198" t="s">
        <v>73</v>
      </c>
      <c r="R874" s="198" t="s">
        <v>53</v>
      </c>
      <c r="S874" s="198" t="s">
        <v>54</v>
      </c>
      <c r="T874" s="198" t="s">
        <v>585</v>
      </c>
      <c r="U874" s="198" t="s">
        <v>367</v>
      </c>
      <c r="V874" s="198" t="s">
        <v>56</v>
      </c>
      <c r="W874" s="198" t="s">
        <v>356</v>
      </c>
      <c r="X874" s="198" t="s">
        <v>57</v>
      </c>
      <c r="Y874" s="198" t="s">
        <v>58</v>
      </c>
      <c r="Z874" s="201">
        <v>46234</v>
      </c>
      <c r="AA874" s="198" t="s">
        <v>59</v>
      </c>
      <c r="AB874" s="198" t="s">
        <v>60</v>
      </c>
      <c r="AC874" s="198" t="s">
        <v>86</v>
      </c>
      <c r="AD874" s="198" t="s">
        <v>62</v>
      </c>
      <c r="AE874" s="198" t="s">
        <v>595</v>
      </c>
      <c r="AF874" s="198" t="s">
        <v>594</v>
      </c>
      <c r="AG874" s="198" t="s">
        <v>248</v>
      </c>
      <c r="AH874" s="198" t="s">
        <v>132</v>
      </c>
      <c r="AI874" s="198" t="s">
        <v>56</v>
      </c>
      <c r="AJ874" s="198" t="s">
        <v>596</v>
      </c>
      <c r="AK874" s="198" t="s">
        <v>51</v>
      </c>
      <c r="AL874" s="198" t="s">
        <v>67</v>
      </c>
      <c r="AM874" s="198" t="s">
        <v>68</v>
      </c>
      <c r="AN874" s="202">
        <v>62178.66</v>
      </c>
      <c r="AO874" s="202">
        <v>62178.66</v>
      </c>
      <c r="AP874" s="202">
        <v>62178.66</v>
      </c>
      <c r="AQ874" s="198" t="s">
        <v>358</v>
      </c>
      <c r="AR874" s="198" t="s">
        <v>51</v>
      </c>
      <c r="AS874" s="202">
        <v>62178.66</v>
      </c>
      <c r="AT874" s="202">
        <v>62178.66</v>
      </c>
      <c r="AU874" s="198" t="s">
        <v>359</v>
      </c>
      <c r="AV874" s="198" t="s">
        <v>62</v>
      </c>
      <c r="AW874" s="198" t="s">
        <v>587</v>
      </c>
    </row>
    <row r="875" spans="3:49" outlineLevel="2" x14ac:dyDescent="0.25">
      <c r="C875" s="201"/>
      <c r="D875" s="198" t="s">
        <v>131</v>
      </c>
      <c r="H875" s="198" t="s">
        <v>131</v>
      </c>
      <c r="I875" s="202">
        <f t="shared" si="13"/>
        <v>365053501.79999959</v>
      </c>
      <c r="J875" s="202">
        <v>88.399999999999906</v>
      </c>
      <c r="L875" s="204">
        <v>19354</v>
      </c>
      <c r="M875" s="202">
        <v>12231728</v>
      </c>
      <c r="N875" s="204">
        <v>16354</v>
      </c>
      <c r="O875" s="198" t="s">
        <v>51</v>
      </c>
      <c r="P875" s="202">
        <v>10335728</v>
      </c>
      <c r="Q875" s="198" t="s">
        <v>73</v>
      </c>
      <c r="R875" s="198" t="s">
        <v>53</v>
      </c>
      <c r="S875" s="198" t="s">
        <v>54</v>
      </c>
      <c r="T875" s="198" t="s">
        <v>585</v>
      </c>
      <c r="U875" s="198" t="s">
        <v>364</v>
      </c>
      <c r="V875" s="198" t="s">
        <v>56</v>
      </c>
      <c r="W875" s="198" t="s">
        <v>356</v>
      </c>
      <c r="X875" s="198" t="s">
        <v>57</v>
      </c>
      <c r="Y875" s="198" t="s">
        <v>58</v>
      </c>
      <c r="Z875" s="201">
        <v>46234</v>
      </c>
      <c r="AA875" s="198" t="s">
        <v>59</v>
      </c>
      <c r="AB875" s="198" t="s">
        <v>60</v>
      </c>
      <c r="AC875" s="198" t="s">
        <v>86</v>
      </c>
      <c r="AD875" s="198" t="s">
        <v>62</v>
      </c>
      <c r="AE875" s="198" t="s">
        <v>612</v>
      </c>
      <c r="AF875" s="198" t="s">
        <v>611</v>
      </c>
      <c r="AG875" s="198" t="s">
        <v>248</v>
      </c>
      <c r="AH875" s="198" t="s">
        <v>132</v>
      </c>
      <c r="AI875" s="198" t="s">
        <v>56</v>
      </c>
      <c r="AJ875" s="198" t="s">
        <v>318</v>
      </c>
      <c r="AK875" s="198" t="s">
        <v>51</v>
      </c>
      <c r="AL875" s="198" t="s">
        <v>67</v>
      </c>
      <c r="AM875" s="198" t="s">
        <v>68</v>
      </c>
      <c r="AN875" s="202">
        <v>12231728</v>
      </c>
      <c r="AO875" s="202">
        <v>12231728</v>
      </c>
      <c r="AP875" s="202">
        <v>12231728</v>
      </c>
      <c r="AQ875" s="198" t="s">
        <v>358</v>
      </c>
      <c r="AR875" s="198" t="s">
        <v>51</v>
      </c>
      <c r="AS875" s="202">
        <v>10335728</v>
      </c>
      <c r="AT875" s="202">
        <v>10335728</v>
      </c>
      <c r="AU875" s="198" t="s">
        <v>359</v>
      </c>
      <c r="AV875" s="198" t="s">
        <v>62</v>
      </c>
      <c r="AW875" s="198" t="s">
        <v>587</v>
      </c>
    </row>
    <row r="876" spans="3:49" outlineLevel="2" x14ac:dyDescent="0.25">
      <c r="C876" s="201"/>
      <c r="D876" s="198" t="s">
        <v>131</v>
      </c>
      <c r="H876" s="198" t="s">
        <v>131</v>
      </c>
      <c r="I876" s="202">
        <f t="shared" si="13"/>
        <v>365466458.24999958</v>
      </c>
      <c r="J876" s="202">
        <v>88.499999999999901</v>
      </c>
      <c r="L876" s="204">
        <v>19354</v>
      </c>
      <c r="M876" s="202">
        <v>12444622</v>
      </c>
      <c r="N876" s="204">
        <v>2154</v>
      </c>
      <c r="O876" s="198" t="s">
        <v>51</v>
      </c>
      <c r="P876" s="202">
        <v>1385022</v>
      </c>
      <c r="Q876" s="198" t="s">
        <v>73</v>
      </c>
      <c r="R876" s="198" t="s">
        <v>53</v>
      </c>
      <c r="S876" s="198" t="s">
        <v>54</v>
      </c>
      <c r="T876" s="198" t="s">
        <v>585</v>
      </c>
      <c r="U876" s="198" t="s">
        <v>2077</v>
      </c>
      <c r="V876" s="198" t="s">
        <v>56</v>
      </c>
      <c r="W876" s="198" t="s">
        <v>356</v>
      </c>
      <c r="X876" s="198" t="s">
        <v>57</v>
      </c>
      <c r="Y876" s="198" t="s">
        <v>58</v>
      </c>
      <c r="Z876" s="201">
        <v>46234</v>
      </c>
      <c r="AA876" s="198" t="s">
        <v>59</v>
      </c>
      <c r="AB876" s="198" t="s">
        <v>60</v>
      </c>
      <c r="AC876" s="198" t="s">
        <v>86</v>
      </c>
      <c r="AD876" s="198" t="s">
        <v>62</v>
      </c>
      <c r="AE876" s="198" t="s">
        <v>614</v>
      </c>
      <c r="AF876" s="198" t="s">
        <v>613</v>
      </c>
      <c r="AG876" s="198" t="s">
        <v>248</v>
      </c>
      <c r="AH876" s="198" t="s">
        <v>132</v>
      </c>
      <c r="AI876" s="198" t="s">
        <v>56</v>
      </c>
      <c r="AJ876" s="198" t="s">
        <v>318</v>
      </c>
      <c r="AK876" s="198" t="s">
        <v>51</v>
      </c>
      <c r="AL876" s="198" t="s">
        <v>67</v>
      </c>
      <c r="AM876" s="198" t="s">
        <v>68</v>
      </c>
      <c r="AN876" s="202">
        <v>12444622</v>
      </c>
      <c r="AO876" s="202">
        <v>12444622</v>
      </c>
      <c r="AP876" s="202">
        <v>12444622</v>
      </c>
      <c r="AQ876" s="198" t="s">
        <v>358</v>
      </c>
      <c r="AR876" s="198" t="s">
        <v>51</v>
      </c>
      <c r="AS876" s="202">
        <v>1385022</v>
      </c>
      <c r="AT876" s="202">
        <v>1385022</v>
      </c>
      <c r="AU876" s="198" t="s">
        <v>359</v>
      </c>
      <c r="AV876" s="198" t="s">
        <v>62</v>
      </c>
      <c r="AW876" s="198" t="s">
        <v>587</v>
      </c>
    </row>
    <row r="877" spans="3:49" outlineLevel="2" x14ac:dyDescent="0.25">
      <c r="C877" s="201"/>
      <c r="D877" s="198" t="s">
        <v>131</v>
      </c>
      <c r="H877" s="198" t="s">
        <v>131</v>
      </c>
      <c r="I877" s="202">
        <f t="shared" si="13"/>
        <v>365879414.69999957</v>
      </c>
      <c r="J877" s="202">
        <v>88.599999999999895</v>
      </c>
      <c r="L877" s="204">
        <v>807</v>
      </c>
      <c r="M877" s="202">
        <v>1097520</v>
      </c>
      <c r="N877" s="204">
        <v>807</v>
      </c>
      <c r="O877" s="198" t="s">
        <v>51</v>
      </c>
      <c r="P877" s="202">
        <v>1097520</v>
      </c>
      <c r="Q877" s="198" t="s">
        <v>73</v>
      </c>
      <c r="R877" s="198" t="s">
        <v>53</v>
      </c>
      <c r="S877" s="198" t="s">
        <v>54</v>
      </c>
      <c r="T877" s="198" t="s">
        <v>585</v>
      </c>
      <c r="U877" s="198" t="s">
        <v>367</v>
      </c>
      <c r="V877" s="198" t="s">
        <v>56</v>
      </c>
      <c r="W877" s="198" t="s">
        <v>356</v>
      </c>
      <c r="X877" s="198" t="s">
        <v>57</v>
      </c>
      <c r="Y877" s="198" t="s">
        <v>58</v>
      </c>
      <c r="Z877" s="201">
        <v>46234</v>
      </c>
      <c r="AA877" s="198" t="s">
        <v>59</v>
      </c>
      <c r="AB877" s="198" t="s">
        <v>60</v>
      </c>
      <c r="AC877" s="198" t="s">
        <v>86</v>
      </c>
      <c r="AD877" s="198" t="s">
        <v>62</v>
      </c>
      <c r="AE877" s="198" t="s">
        <v>616</v>
      </c>
      <c r="AF877" s="198" t="s">
        <v>615</v>
      </c>
      <c r="AG877" s="198" t="s">
        <v>248</v>
      </c>
      <c r="AH877" s="198" t="s">
        <v>132</v>
      </c>
      <c r="AI877" s="198" t="s">
        <v>56</v>
      </c>
      <c r="AJ877" s="198" t="s">
        <v>318</v>
      </c>
      <c r="AK877" s="198" t="s">
        <v>51</v>
      </c>
      <c r="AL877" s="198" t="s">
        <v>67</v>
      </c>
      <c r="AM877" s="198" t="s">
        <v>68</v>
      </c>
      <c r="AN877" s="202">
        <v>1097520</v>
      </c>
      <c r="AO877" s="202">
        <v>1097520</v>
      </c>
      <c r="AP877" s="202">
        <v>1097520</v>
      </c>
      <c r="AQ877" s="198" t="s">
        <v>358</v>
      </c>
      <c r="AR877" s="198" t="s">
        <v>51</v>
      </c>
      <c r="AS877" s="202">
        <v>1097520</v>
      </c>
      <c r="AT877" s="202">
        <v>1097520</v>
      </c>
      <c r="AU877" s="198" t="s">
        <v>359</v>
      </c>
      <c r="AV877" s="198" t="s">
        <v>62</v>
      </c>
      <c r="AW877" s="198" t="s">
        <v>587</v>
      </c>
    </row>
    <row r="878" spans="3:49" outlineLevel="2" x14ac:dyDescent="0.25">
      <c r="C878" s="201"/>
      <c r="D878" s="198" t="s">
        <v>131</v>
      </c>
      <c r="H878" s="198" t="s">
        <v>131</v>
      </c>
      <c r="I878" s="202">
        <f t="shared" si="13"/>
        <v>366292371.14999962</v>
      </c>
      <c r="J878" s="202">
        <v>88.699999999999903</v>
      </c>
      <c r="L878" s="204">
        <v>2420</v>
      </c>
      <c r="M878" s="202">
        <v>1301960</v>
      </c>
      <c r="N878" s="204">
        <v>2420</v>
      </c>
      <c r="O878" s="198" t="s">
        <v>51</v>
      </c>
      <c r="P878" s="202">
        <v>1301960</v>
      </c>
      <c r="Q878" s="198" t="s">
        <v>73</v>
      </c>
      <c r="R878" s="198" t="s">
        <v>53</v>
      </c>
      <c r="S878" s="198" t="s">
        <v>54</v>
      </c>
      <c r="T878" s="198" t="s">
        <v>585</v>
      </c>
      <c r="U878" s="198" t="s">
        <v>367</v>
      </c>
      <c r="V878" s="198" t="s">
        <v>56</v>
      </c>
      <c r="W878" s="198" t="s">
        <v>356</v>
      </c>
      <c r="X878" s="198" t="s">
        <v>57</v>
      </c>
      <c r="Y878" s="198" t="s">
        <v>58</v>
      </c>
      <c r="Z878" s="201">
        <v>46234</v>
      </c>
      <c r="AA878" s="198" t="s">
        <v>59</v>
      </c>
      <c r="AB878" s="198" t="s">
        <v>60</v>
      </c>
      <c r="AC878" s="198" t="s">
        <v>86</v>
      </c>
      <c r="AD878" s="198" t="s">
        <v>62</v>
      </c>
      <c r="AE878" s="198" t="s">
        <v>614</v>
      </c>
      <c r="AF878" s="198" t="s">
        <v>613</v>
      </c>
      <c r="AG878" s="198" t="s">
        <v>248</v>
      </c>
      <c r="AH878" s="198" t="s">
        <v>132</v>
      </c>
      <c r="AI878" s="198" t="s">
        <v>56</v>
      </c>
      <c r="AJ878" s="198" t="s">
        <v>318</v>
      </c>
      <c r="AK878" s="198" t="s">
        <v>51</v>
      </c>
      <c r="AL878" s="198" t="s">
        <v>67</v>
      </c>
      <c r="AM878" s="198" t="s">
        <v>68</v>
      </c>
      <c r="AN878" s="202">
        <v>1301960</v>
      </c>
      <c r="AO878" s="202">
        <v>1301960</v>
      </c>
      <c r="AP878" s="202">
        <v>1301960</v>
      </c>
      <c r="AQ878" s="198" t="s">
        <v>358</v>
      </c>
      <c r="AR878" s="198" t="s">
        <v>51</v>
      </c>
      <c r="AS878" s="202">
        <v>1301960</v>
      </c>
      <c r="AT878" s="202">
        <v>1301960</v>
      </c>
      <c r="AU878" s="198" t="s">
        <v>359</v>
      </c>
      <c r="AV878" s="198" t="s">
        <v>62</v>
      </c>
      <c r="AW878" s="198" t="s">
        <v>587</v>
      </c>
    </row>
    <row r="879" spans="3:49" outlineLevel="2" x14ac:dyDescent="0.25">
      <c r="C879" s="201"/>
      <c r="D879" s="198" t="s">
        <v>131</v>
      </c>
      <c r="H879" s="198" t="s">
        <v>131</v>
      </c>
      <c r="I879" s="202">
        <f t="shared" si="13"/>
        <v>366705327.59999961</v>
      </c>
      <c r="J879" s="202">
        <v>88.799999999999898</v>
      </c>
      <c r="L879" s="204">
        <v>806</v>
      </c>
      <c r="M879" s="202">
        <v>265980</v>
      </c>
      <c r="N879" s="204">
        <v>806</v>
      </c>
      <c r="O879" s="198" t="s">
        <v>51</v>
      </c>
      <c r="P879" s="202">
        <v>265980</v>
      </c>
      <c r="Q879" s="198" t="s">
        <v>73</v>
      </c>
      <c r="R879" s="198" t="s">
        <v>53</v>
      </c>
      <c r="S879" s="198" t="s">
        <v>54</v>
      </c>
      <c r="T879" s="198" t="s">
        <v>585</v>
      </c>
      <c r="U879" s="198" t="s">
        <v>367</v>
      </c>
      <c r="V879" s="198" t="s">
        <v>56</v>
      </c>
      <c r="W879" s="198" t="s">
        <v>356</v>
      </c>
      <c r="X879" s="198" t="s">
        <v>57</v>
      </c>
      <c r="Y879" s="198" t="s">
        <v>58</v>
      </c>
      <c r="Z879" s="201">
        <v>46234</v>
      </c>
      <c r="AA879" s="198" t="s">
        <v>59</v>
      </c>
      <c r="AB879" s="198" t="s">
        <v>60</v>
      </c>
      <c r="AC879" s="198" t="s">
        <v>86</v>
      </c>
      <c r="AD879" s="198" t="s">
        <v>62</v>
      </c>
      <c r="AE879" s="198" t="s">
        <v>614</v>
      </c>
      <c r="AF879" s="198" t="s">
        <v>613</v>
      </c>
      <c r="AG879" s="198" t="s">
        <v>248</v>
      </c>
      <c r="AH879" s="198" t="s">
        <v>132</v>
      </c>
      <c r="AI879" s="198" t="s">
        <v>56</v>
      </c>
      <c r="AJ879" s="198" t="s">
        <v>318</v>
      </c>
      <c r="AK879" s="198" t="s">
        <v>51</v>
      </c>
      <c r="AL879" s="198" t="s">
        <v>67</v>
      </c>
      <c r="AM879" s="198" t="s">
        <v>68</v>
      </c>
      <c r="AN879" s="202">
        <v>265980</v>
      </c>
      <c r="AO879" s="202">
        <v>265980</v>
      </c>
      <c r="AP879" s="202">
        <v>265980</v>
      </c>
      <c r="AQ879" s="198" t="s">
        <v>358</v>
      </c>
      <c r="AR879" s="198" t="s">
        <v>51</v>
      </c>
      <c r="AS879" s="202">
        <v>265980</v>
      </c>
      <c r="AT879" s="202">
        <v>265980</v>
      </c>
      <c r="AU879" s="198" t="s">
        <v>359</v>
      </c>
      <c r="AV879" s="198" t="s">
        <v>62</v>
      </c>
      <c r="AW879" s="198" t="s">
        <v>587</v>
      </c>
    </row>
    <row r="880" spans="3:49" outlineLevel="2" x14ac:dyDescent="0.25">
      <c r="C880" s="201"/>
      <c r="D880" s="198" t="s">
        <v>131</v>
      </c>
      <c r="H880" s="198" t="s">
        <v>131</v>
      </c>
      <c r="I880" s="202">
        <f t="shared" si="13"/>
        <v>367118284.04999959</v>
      </c>
      <c r="J880" s="202">
        <v>88.899999999999906</v>
      </c>
      <c r="L880" s="204">
        <v>807</v>
      </c>
      <c r="M880" s="202">
        <v>298590</v>
      </c>
      <c r="N880" s="204">
        <v>807</v>
      </c>
      <c r="O880" s="198" t="s">
        <v>51</v>
      </c>
      <c r="P880" s="202">
        <v>298590</v>
      </c>
      <c r="Q880" s="198" t="s">
        <v>73</v>
      </c>
      <c r="R880" s="198" t="s">
        <v>53</v>
      </c>
      <c r="S880" s="198" t="s">
        <v>54</v>
      </c>
      <c r="T880" s="198" t="s">
        <v>585</v>
      </c>
      <c r="U880" s="198" t="s">
        <v>367</v>
      </c>
      <c r="V880" s="198" t="s">
        <v>56</v>
      </c>
      <c r="W880" s="198" t="s">
        <v>356</v>
      </c>
      <c r="X880" s="198" t="s">
        <v>57</v>
      </c>
      <c r="Y880" s="198" t="s">
        <v>58</v>
      </c>
      <c r="Z880" s="201">
        <v>46234</v>
      </c>
      <c r="AA880" s="198" t="s">
        <v>59</v>
      </c>
      <c r="AB880" s="198" t="s">
        <v>60</v>
      </c>
      <c r="AC880" s="198" t="s">
        <v>86</v>
      </c>
      <c r="AD880" s="198" t="s">
        <v>62</v>
      </c>
      <c r="AE880" s="198" t="s">
        <v>618</v>
      </c>
      <c r="AF880" s="198" t="s">
        <v>617</v>
      </c>
      <c r="AG880" s="198" t="s">
        <v>248</v>
      </c>
      <c r="AH880" s="198" t="s">
        <v>132</v>
      </c>
      <c r="AI880" s="198" t="s">
        <v>56</v>
      </c>
      <c r="AJ880" s="198" t="s">
        <v>318</v>
      </c>
      <c r="AK880" s="198" t="s">
        <v>51</v>
      </c>
      <c r="AL880" s="198" t="s">
        <v>67</v>
      </c>
      <c r="AM880" s="198" t="s">
        <v>68</v>
      </c>
      <c r="AN880" s="202">
        <v>298590</v>
      </c>
      <c r="AO880" s="202">
        <v>298590</v>
      </c>
      <c r="AP880" s="202">
        <v>298590</v>
      </c>
      <c r="AQ880" s="198" t="s">
        <v>358</v>
      </c>
      <c r="AR880" s="198" t="s">
        <v>51</v>
      </c>
      <c r="AS880" s="202">
        <v>298590</v>
      </c>
      <c r="AT880" s="202">
        <v>298590</v>
      </c>
      <c r="AU880" s="198" t="s">
        <v>359</v>
      </c>
      <c r="AV880" s="198" t="s">
        <v>62</v>
      </c>
      <c r="AW880" s="198" t="s">
        <v>587</v>
      </c>
    </row>
    <row r="881" spans="3:49" outlineLevel="2" x14ac:dyDescent="0.25">
      <c r="C881" s="201"/>
      <c r="D881" s="198" t="s">
        <v>131</v>
      </c>
      <c r="H881" s="198" t="s">
        <v>131</v>
      </c>
      <c r="I881" s="202">
        <f t="shared" si="13"/>
        <v>367531240.49999958</v>
      </c>
      <c r="J881" s="202">
        <v>88.999999999999901</v>
      </c>
      <c r="L881" s="204">
        <v>2420</v>
      </c>
      <c r="M881" s="202">
        <v>508200</v>
      </c>
      <c r="N881" s="204">
        <v>2420</v>
      </c>
      <c r="O881" s="198" t="s">
        <v>51</v>
      </c>
      <c r="P881" s="202">
        <v>508200</v>
      </c>
      <c r="Q881" s="198" t="s">
        <v>73</v>
      </c>
      <c r="R881" s="198" t="s">
        <v>53</v>
      </c>
      <c r="S881" s="198" t="s">
        <v>54</v>
      </c>
      <c r="T881" s="198" t="s">
        <v>585</v>
      </c>
      <c r="U881" s="198" t="s">
        <v>367</v>
      </c>
      <c r="V881" s="198" t="s">
        <v>56</v>
      </c>
      <c r="W881" s="198" t="s">
        <v>356</v>
      </c>
      <c r="X881" s="198" t="s">
        <v>57</v>
      </c>
      <c r="Y881" s="198" t="s">
        <v>58</v>
      </c>
      <c r="Z881" s="201">
        <v>46234</v>
      </c>
      <c r="AA881" s="198" t="s">
        <v>59</v>
      </c>
      <c r="AB881" s="198" t="s">
        <v>60</v>
      </c>
      <c r="AC881" s="198" t="s">
        <v>86</v>
      </c>
      <c r="AD881" s="198" t="s">
        <v>62</v>
      </c>
      <c r="AE881" s="198" t="s">
        <v>656</v>
      </c>
      <c r="AF881" s="198" t="s">
        <v>655</v>
      </c>
      <c r="AG881" s="198" t="s">
        <v>248</v>
      </c>
      <c r="AH881" s="198" t="s">
        <v>132</v>
      </c>
      <c r="AI881" s="198" t="s">
        <v>56</v>
      </c>
      <c r="AJ881" s="198" t="s">
        <v>318</v>
      </c>
      <c r="AK881" s="198" t="s">
        <v>51</v>
      </c>
      <c r="AL881" s="198" t="s">
        <v>67</v>
      </c>
      <c r="AM881" s="198" t="s">
        <v>68</v>
      </c>
      <c r="AN881" s="202">
        <v>508200</v>
      </c>
      <c r="AO881" s="202">
        <v>508200</v>
      </c>
      <c r="AP881" s="202">
        <v>508200</v>
      </c>
      <c r="AQ881" s="198" t="s">
        <v>358</v>
      </c>
      <c r="AR881" s="198" t="s">
        <v>51</v>
      </c>
      <c r="AS881" s="202">
        <v>508200</v>
      </c>
      <c r="AT881" s="202">
        <v>508200</v>
      </c>
      <c r="AU881" s="198" t="s">
        <v>359</v>
      </c>
      <c r="AV881" s="198" t="s">
        <v>62</v>
      </c>
      <c r="AW881" s="198" t="s">
        <v>587</v>
      </c>
    </row>
    <row r="882" spans="3:49" outlineLevel="2" x14ac:dyDescent="0.25">
      <c r="C882" s="201"/>
      <c r="D882" s="198" t="s">
        <v>131</v>
      </c>
      <c r="H882" s="198" t="s">
        <v>131</v>
      </c>
      <c r="I882" s="202">
        <f t="shared" si="13"/>
        <v>367944196.94999957</v>
      </c>
      <c r="J882" s="202">
        <v>89.099999999999895</v>
      </c>
      <c r="L882" s="204">
        <v>806</v>
      </c>
      <c r="M882" s="202">
        <v>117676</v>
      </c>
      <c r="N882" s="204">
        <v>806</v>
      </c>
      <c r="O882" s="198" t="s">
        <v>51</v>
      </c>
      <c r="P882" s="202">
        <v>117676</v>
      </c>
      <c r="Q882" s="198" t="s">
        <v>73</v>
      </c>
      <c r="R882" s="198" t="s">
        <v>53</v>
      </c>
      <c r="S882" s="198" t="s">
        <v>54</v>
      </c>
      <c r="T882" s="198" t="s">
        <v>585</v>
      </c>
      <c r="U882" s="198" t="s">
        <v>367</v>
      </c>
      <c r="V882" s="198" t="s">
        <v>56</v>
      </c>
      <c r="W882" s="198" t="s">
        <v>356</v>
      </c>
      <c r="X882" s="198" t="s">
        <v>57</v>
      </c>
      <c r="Y882" s="198" t="s">
        <v>58</v>
      </c>
      <c r="Z882" s="201">
        <v>46234</v>
      </c>
      <c r="AA882" s="198" t="s">
        <v>59</v>
      </c>
      <c r="AB882" s="198" t="s">
        <v>60</v>
      </c>
      <c r="AC882" s="198" t="s">
        <v>86</v>
      </c>
      <c r="AD882" s="198" t="s">
        <v>62</v>
      </c>
      <c r="AE882" s="198" t="s">
        <v>656</v>
      </c>
      <c r="AF882" s="198" t="s">
        <v>655</v>
      </c>
      <c r="AG882" s="198" t="s">
        <v>248</v>
      </c>
      <c r="AH882" s="198" t="s">
        <v>132</v>
      </c>
      <c r="AI882" s="198" t="s">
        <v>56</v>
      </c>
      <c r="AJ882" s="198" t="s">
        <v>318</v>
      </c>
      <c r="AK882" s="198" t="s">
        <v>51</v>
      </c>
      <c r="AL882" s="198" t="s">
        <v>67</v>
      </c>
      <c r="AM882" s="198" t="s">
        <v>68</v>
      </c>
      <c r="AN882" s="202">
        <v>117676</v>
      </c>
      <c r="AO882" s="202">
        <v>117676</v>
      </c>
      <c r="AP882" s="202">
        <v>117676</v>
      </c>
      <c r="AQ882" s="198" t="s">
        <v>358</v>
      </c>
      <c r="AR882" s="198" t="s">
        <v>51</v>
      </c>
      <c r="AS882" s="202">
        <v>117676</v>
      </c>
      <c r="AT882" s="202">
        <v>117676</v>
      </c>
      <c r="AU882" s="198" t="s">
        <v>359</v>
      </c>
      <c r="AV882" s="198" t="s">
        <v>62</v>
      </c>
      <c r="AW882" s="198" t="s">
        <v>587</v>
      </c>
    </row>
    <row r="883" spans="3:49" outlineLevel="2" x14ac:dyDescent="0.25">
      <c r="C883" s="201"/>
      <c r="D883" s="198" t="s">
        <v>131</v>
      </c>
      <c r="H883" s="198" t="s">
        <v>131</v>
      </c>
      <c r="I883" s="202">
        <f t="shared" si="13"/>
        <v>368357153.39999962</v>
      </c>
      <c r="J883" s="202">
        <v>89.199999999999903</v>
      </c>
      <c r="L883" s="204">
        <v>353</v>
      </c>
      <c r="M883" s="202">
        <v>235098</v>
      </c>
      <c r="N883" s="204">
        <v>353</v>
      </c>
      <c r="O883" s="198" t="s">
        <v>51</v>
      </c>
      <c r="P883" s="202">
        <v>235098</v>
      </c>
      <c r="Q883" s="198" t="s">
        <v>73</v>
      </c>
      <c r="R883" s="198" t="s">
        <v>53</v>
      </c>
      <c r="S883" s="198" t="s">
        <v>54</v>
      </c>
      <c r="T883" s="198" t="s">
        <v>585</v>
      </c>
      <c r="U883" s="198" t="s">
        <v>367</v>
      </c>
      <c r="V883" s="198" t="s">
        <v>56</v>
      </c>
      <c r="W883" s="198" t="s">
        <v>356</v>
      </c>
      <c r="X883" s="198" t="s">
        <v>57</v>
      </c>
      <c r="Y883" s="198" t="s">
        <v>58</v>
      </c>
      <c r="Z883" s="201">
        <v>46234</v>
      </c>
      <c r="AA883" s="198" t="s">
        <v>59</v>
      </c>
      <c r="AB883" s="198" t="s">
        <v>60</v>
      </c>
      <c r="AC883" s="198" t="s">
        <v>86</v>
      </c>
      <c r="AD883" s="198" t="s">
        <v>62</v>
      </c>
      <c r="AE883" s="198" t="s">
        <v>620</v>
      </c>
      <c r="AF883" s="198" t="s">
        <v>619</v>
      </c>
      <c r="AG883" s="198" t="s">
        <v>248</v>
      </c>
      <c r="AH883" s="198" t="s">
        <v>132</v>
      </c>
      <c r="AI883" s="198" t="s">
        <v>56</v>
      </c>
      <c r="AJ883" s="198" t="s">
        <v>318</v>
      </c>
      <c r="AK883" s="198" t="s">
        <v>51</v>
      </c>
      <c r="AL883" s="198" t="s">
        <v>67</v>
      </c>
      <c r="AM883" s="198" t="s">
        <v>68</v>
      </c>
      <c r="AN883" s="202">
        <v>235098</v>
      </c>
      <c r="AO883" s="202">
        <v>235098</v>
      </c>
      <c r="AP883" s="202">
        <v>235098</v>
      </c>
      <c r="AQ883" s="198" t="s">
        <v>358</v>
      </c>
      <c r="AR883" s="198" t="s">
        <v>51</v>
      </c>
      <c r="AS883" s="202">
        <v>235098</v>
      </c>
      <c r="AT883" s="202">
        <v>235098</v>
      </c>
      <c r="AU883" s="198" t="s">
        <v>359</v>
      </c>
      <c r="AV883" s="198" t="s">
        <v>62</v>
      </c>
      <c r="AW883" s="198" t="s">
        <v>587</v>
      </c>
    </row>
    <row r="884" spans="3:49" outlineLevel="2" x14ac:dyDescent="0.25">
      <c r="C884" s="201"/>
      <c r="D884" s="198" t="s">
        <v>131</v>
      </c>
      <c r="H884" s="198" t="s">
        <v>131</v>
      </c>
      <c r="I884" s="202">
        <f t="shared" si="13"/>
        <v>368770109.84999961</v>
      </c>
      <c r="J884" s="202">
        <v>89.299999999999898</v>
      </c>
      <c r="L884" s="204">
        <v>576</v>
      </c>
      <c r="M884" s="202">
        <v>196416</v>
      </c>
      <c r="N884" s="204">
        <v>576</v>
      </c>
      <c r="O884" s="198" t="s">
        <v>51</v>
      </c>
      <c r="P884" s="202">
        <v>196416</v>
      </c>
      <c r="Q884" s="198" t="s">
        <v>73</v>
      </c>
      <c r="R884" s="198" t="s">
        <v>53</v>
      </c>
      <c r="S884" s="198" t="s">
        <v>54</v>
      </c>
      <c r="T884" s="198" t="s">
        <v>585</v>
      </c>
      <c r="U884" s="198" t="s">
        <v>367</v>
      </c>
      <c r="V884" s="198" t="s">
        <v>56</v>
      </c>
      <c r="W884" s="198" t="s">
        <v>356</v>
      </c>
      <c r="X884" s="198" t="s">
        <v>57</v>
      </c>
      <c r="Y884" s="198" t="s">
        <v>58</v>
      </c>
      <c r="Z884" s="201">
        <v>46234</v>
      </c>
      <c r="AA884" s="198" t="s">
        <v>59</v>
      </c>
      <c r="AB884" s="198" t="s">
        <v>60</v>
      </c>
      <c r="AC884" s="198" t="s">
        <v>86</v>
      </c>
      <c r="AD884" s="198" t="s">
        <v>62</v>
      </c>
      <c r="AE884" s="198" t="s">
        <v>622</v>
      </c>
      <c r="AF884" s="198" t="s">
        <v>621</v>
      </c>
      <c r="AG884" s="198" t="s">
        <v>248</v>
      </c>
      <c r="AH884" s="198" t="s">
        <v>132</v>
      </c>
      <c r="AI884" s="198" t="s">
        <v>56</v>
      </c>
      <c r="AJ884" s="198" t="s">
        <v>318</v>
      </c>
      <c r="AK884" s="198" t="s">
        <v>51</v>
      </c>
      <c r="AL884" s="198" t="s">
        <v>67</v>
      </c>
      <c r="AM884" s="198" t="s">
        <v>68</v>
      </c>
      <c r="AN884" s="202">
        <v>196416</v>
      </c>
      <c r="AO884" s="202">
        <v>196416</v>
      </c>
      <c r="AP884" s="202">
        <v>196416</v>
      </c>
      <c r="AQ884" s="198" t="s">
        <v>358</v>
      </c>
      <c r="AR884" s="198" t="s">
        <v>51</v>
      </c>
      <c r="AS884" s="202">
        <v>196416</v>
      </c>
      <c r="AT884" s="202">
        <v>196416</v>
      </c>
      <c r="AU884" s="198" t="s">
        <v>359</v>
      </c>
      <c r="AV884" s="198" t="s">
        <v>62</v>
      </c>
      <c r="AW884" s="198" t="s">
        <v>587</v>
      </c>
    </row>
    <row r="885" spans="3:49" outlineLevel="2" x14ac:dyDescent="0.25">
      <c r="C885" s="201"/>
      <c r="D885" s="198" t="s">
        <v>131</v>
      </c>
      <c r="H885" s="198" t="s">
        <v>131</v>
      </c>
      <c r="I885" s="202">
        <f t="shared" si="13"/>
        <v>369183066.29999959</v>
      </c>
      <c r="J885" s="202">
        <v>89.399999999999906</v>
      </c>
      <c r="L885" s="204">
        <v>480</v>
      </c>
      <c r="M885" s="202">
        <v>225120</v>
      </c>
      <c r="N885" s="204">
        <v>480</v>
      </c>
      <c r="O885" s="198" t="s">
        <v>51</v>
      </c>
      <c r="P885" s="202">
        <v>225120</v>
      </c>
      <c r="Q885" s="198" t="s">
        <v>73</v>
      </c>
      <c r="R885" s="198" t="s">
        <v>53</v>
      </c>
      <c r="S885" s="198" t="s">
        <v>54</v>
      </c>
      <c r="T885" s="198" t="s">
        <v>585</v>
      </c>
      <c r="U885" s="198" t="s">
        <v>367</v>
      </c>
      <c r="V885" s="198" t="s">
        <v>56</v>
      </c>
      <c r="W885" s="198" t="s">
        <v>356</v>
      </c>
      <c r="X885" s="198" t="s">
        <v>57</v>
      </c>
      <c r="Y885" s="198" t="s">
        <v>58</v>
      </c>
      <c r="Z885" s="201">
        <v>46234</v>
      </c>
      <c r="AA885" s="198" t="s">
        <v>59</v>
      </c>
      <c r="AB885" s="198" t="s">
        <v>60</v>
      </c>
      <c r="AC885" s="198" t="s">
        <v>86</v>
      </c>
      <c r="AD885" s="198" t="s">
        <v>62</v>
      </c>
      <c r="AE885" s="198" t="s">
        <v>624</v>
      </c>
      <c r="AF885" s="198" t="s">
        <v>623</v>
      </c>
      <c r="AG885" s="198" t="s">
        <v>248</v>
      </c>
      <c r="AH885" s="198" t="s">
        <v>132</v>
      </c>
      <c r="AI885" s="198" t="s">
        <v>56</v>
      </c>
      <c r="AJ885" s="198" t="s">
        <v>318</v>
      </c>
      <c r="AK885" s="198" t="s">
        <v>51</v>
      </c>
      <c r="AL885" s="198" t="s">
        <v>67</v>
      </c>
      <c r="AM885" s="198" t="s">
        <v>68</v>
      </c>
      <c r="AN885" s="202">
        <v>225120</v>
      </c>
      <c r="AO885" s="202">
        <v>225120</v>
      </c>
      <c r="AP885" s="202">
        <v>225120</v>
      </c>
      <c r="AQ885" s="198" t="s">
        <v>358</v>
      </c>
      <c r="AR885" s="198" t="s">
        <v>51</v>
      </c>
      <c r="AS885" s="202">
        <v>225120</v>
      </c>
      <c r="AT885" s="202">
        <v>225120</v>
      </c>
      <c r="AU885" s="198" t="s">
        <v>359</v>
      </c>
      <c r="AV885" s="198" t="s">
        <v>62</v>
      </c>
      <c r="AW885" s="198" t="s">
        <v>587</v>
      </c>
    </row>
    <row r="886" spans="3:49" outlineLevel="2" x14ac:dyDescent="0.25">
      <c r="C886" s="201"/>
      <c r="D886" s="198" t="s">
        <v>131</v>
      </c>
      <c r="H886" s="198" t="s">
        <v>131</v>
      </c>
      <c r="I886" s="202">
        <f t="shared" si="13"/>
        <v>369596022.74999958</v>
      </c>
      <c r="J886" s="202">
        <v>89.499999999999901</v>
      </c>
      <c r="L886" s="204">
        <v>192</v>
      </c>
      <c r="M886" s="202">
        <v>119808</v>
      </c>
      <c r="N886" s="204">
        <v>192</v>
      </c>
      <c r="O886" s="198" t="s">
        <v>51</v>
      </c>
      <c r="P886" s="202">
        <v>119808</v>
      </c>
      <c r="Q886" s="198" t="s">
        <v>73</v>
      </c>
      <c r="R886" s="198" t="s">
        <v>53</v>
      </c>
      <c r="S886" s="198" t="s">
        <v>54</v>
      </c>
      <c r="T886" s="198" t="s">
        <v>585</v>
      </c>
      <c r="U886" s="198" t="s">
        <v>367</v>
      </c>
      <c r="V886" s="198" t="s">
        <v>56</v>
      </c>
      <c r="W886" s="198" t="s">
        <v>356</v>
      </c>
      <c r="X886" s="198" t="s">
        <v>57</v>
      </c>
      <c r="Y886" s="198" t="s">
        <v>58</v>
      </c>
      <c r="Z886" s="201">
        <v>46234</v>
      </c>
      <c r="AA886" s="198" t="s">
        <v>59</v>
      </c>
      <c r="AB886" s="198" t="s">
        <v>60</v>
      </c>
      <c r="AC886" s="198" t="s">
        <v>86</v>
      </c>
      <c r="AD886" s="198" t="s">
        <v>62</v>
      </c>
      <c r="AE886" s="198" t="s">
        <v>626</v>
      </c>
      <c r="AF886" s="198" t="s">
        <v>625</v>
      </c>
      <c r="AG886" s="198" t="s">
        <v>248</v>
      </c>
      <c r="AH886" s="198" t="s">
        <v>132</v>
      </c>
      <c r="AI886" s="198" t="s">
        <v>56</v>
      </c>
      <c r="AJ886" s="198" t="s">
        <v>406</v>
      </c>
      <c r="AK886" s="198" t="s">
        <v>51</v>
      </c>
      <c r="AL886" s="198" t="s">
        <v>67</v>
      </c>
      <c r="AM886" s="198" t="s">
        <v>68</v>
      </c>
      <c r="AN886" s="202">
        <v>119808</v>
      </c>
      <c r="AO886" s="202">
        <v>119808</v>
      </c>
      <c r="AP886" s="202">
        <v>119808</v>
      </c>
      <c r="AQ886" s="198" t="s">
        <v>358</v>
      </c>
      <c r="AR886" s="198" t="s">
        <v>51</v>
      </c>
      <c r="AS886" s="202">
        <v>119808</v>
      </c>
      <c r="AT886" s="202">
        <v>119808</v>
      </c>
      <c r="AU886" s="198" t="s">
        <v>359</v>
      </c>
      <c r="AV886" s="198" t="s">
        <v>62</v>
      </c>
      <c r="AW886" s="198" t="s">
        <v>587</v>
      </c>
    </row>
    <row r="887" spans="3:49" outlineLevel="2" x14ac:dyDescent="0.25">
      <c r="C887" s="201"/>
      <c r="D887" s="198" t="s">
        <v>131</v>
      </c>
      <c r="H887" s="198" t="s">
        <v>131</v>
      </c>
      <c r="I887" s="202">
        <f t="shared" si="13"/>
        <v>370008979.19999957</v>
      </c>
      <c r="J887" s="202">
        <v>89.599999999999895</v>
      </c>
      <c r="L887" s="204">
        <v>960</v>
      </c>
      <c r="M887" s="202">
        <v>463680</v>
      </c>
      <c r="N887" s="204">
        <v>960</v>
      </c>
      <c r="O887" s="198" t="s">
        <v>51</v>
      </c>
      <c r="P887" s="202">
        <v>463680</v>
      </c>
      <c r="Q887" s="198" t="s">
        <v>73</v>
      </c>
      <c r="R887" s="198" t="s">
        <v>53</v>
      </c>
      <c r="S887" s="198" t="s">
        <v>54</v>
      </c>
      <c r="T887" s="198" t="s">
        <v>585</v>
      </c>
      <c r="U887" s="198" t="s">
        <v>367</v>
      </c>
      <c r="V887" s="198" t="s">
        <v>56</v>
      </c>
      <c r="W887" s="198" t="s">
        <v>356</v>
      </c>
      <c r="X887" s="198" t="s">
        <v>57</v>
      </c>
      <c r="Y887" s="198" t="s">
        <v>58</v>
      </c>
      <c r="Z887" s="201">
        <v>46234</v>
      </c>
      <c r="AA887" s="198" t="s">
        <v>59</v>
      </c>
      <c r="AB887" s="198" t="s">
        <v>60</v>
      </c>
      <c r="AC887" s="198" t="s">
        <v>86</v>
      </c>
      <c r="AD887" s="198" t="s">
        <v>62</v>
      </c>
      <c r="AE887" s="198" t="s">
        <v>628</v>
      </c>
      <c r="AF887" s="198" t="s">
        <v>627</v>
      </c>
      <c r="AG887" s="198" t="s">
        <v>248</v>
      </c>
      <c r="AH887" s="198" t="s">
        <v>132</v>
      </c>
      <c r="AI887" s="198" t="s">
        <v>56</v>
      </c>
      <c r="AJ887" s="198" t="s">
        <v>406</v>
      </c>
      <c r="AK887" s="198" t="s">
        <v>51</v>
      </c>
      <c r="AL887" s="198" t="s">
        <v>67</v>
      </c>
      <c r="AM887" s="198" t="s">
        <v>68</v>
      </c>
      <c r="AN887" s="202">
        <v>463680</v>
      </c>
      <c r="AO887" s="202">
        <v>463680</v>
      </c>
      <c r="AP887" s="202">
        <v>463680</v>
      </c>
      <c r="AQ887" s="198" t="s">
        <v>358</v>
      </c>
      <c r="AR887" s="198" t="s">
        <v>51</v>
      </c>
      <c r="AS887" s="202">
        <v>463680</v>
      </c>
      <c r="AT887" s="202">
        <v>463680</v>
      </c>
      <c r="AU887" s="198" t="s">
        <v>359</v>
      </c>
      <c r="AV887" s="198" t="s">
        <v>62</v>
      </c>
      <c r="AW887" s="198" t="s">
        <v>587</v>
      </c>
    </row>
    <row r="888" spans="3:49" outlineLevel="2" x14ac:dyDescent="0.25">
      <c r="C888" s="201"/>
      <c r="D888" s="198" t="s">
        <v>131</v>
      </c>
      <c r="H888" s="198" t="s">
        <v>131</v>
      </c>
      <c r="I888" s="202">
        <f t="shared" si="13"/>
        <v>370421935.64999962</v>
      </c>
      <c r="J888" s="202">
        <v>89.699999999999903</v>
      </c>
      <c r="L888" s="204">
        <v>202</v>
      </c>
      <c r="M888" s="202">
        <v>30906</v>
      </c>
      <c r="N888" s="204">
        <v>202</v>
      </c>
      <c r="O888" s="198" t="s">
        <v>51</v>
      </c>
      <c r="P888" s="202">
        <v>30906</v>
      </c>
      <c r="Q888" s="198" t="s">
        <v>73</v>
      </c>
      <c r="R888" s="198" t="s">
        <v>53</v>
      </c>
      <c r="S888" s="198" t="s">
        <v>54</v>
      </c>
      <c r="T888" s="198" t="s">
        <v>585</v>
      </c>
      <c r="U888" s="198" t="s">
        <v>367</v>
      </c>
      <c r="V888" s="198" t="s">
        <v>56</v>
      </c>
      <c r="W888" s="198" t="s">
        <v>356</v>
      </c>
      <c r="X888" s="198" t="s">
        <v>57</v>
      </c>
      <c r="Y888" s="198" t="s">
        <v>58</v>
      </c>
      <c r="Z888" s="201">
        <v>46234</v>
      </c>
      <c r="AA888" s="198" t="s">
        <v>59</v>
      </c>
      <c r="AB888" s="198" t="s">
        <v>60</v>
      </c>
      <c r="AC888" s="198" t="s">
        <v>86</v>
      </c>
      <c r="AD888" s="198" t="s">
        <v>62</v>
      </c>
      <c r="AE888" s="198" t="s">
        <v>630</v>
      </c>
      <c r="AF888" s="198" t="s">
        <v>629</v>
      </c>
      <c r="AG888" s="198" t="s">
        <v>248</v>
      </c>
      <c r="AH888" s="198" t="s">
        <v>132</v>
      </c>
      <c r="AI888" s="198" t="s">
        <v>56</v>
      </c>
      <c r="AJ888" s="198" t="s">
        <v>318</v>
      </c>
      <c r="AK888" s="198" t="s">
        <v>51</v>
      </c>
      <c r="AL888" s="198" t="s">
        <v>67</v>
      </c>
      <c r="AM888" s="198" t="s">
        <v>68</v>
      </c>
      <c r="AN888" s="202">
        <v>30906</v>
      </c>
      <c r="AO888" s="202">
        <v>30906</v>
      </c>
      <c r="AP888" s="202">
        <v>30906</v>
      </c>
      <c r="AQ888" s="198" t="s">
        <v>358</v>
      </c>
      <c r="AR888" s="198" t="s">
        <v>51</v>
      </c>
      <c r="AS888" s="202">
        <v>30906</v>
      </c>
      <c r="AT888" s="202">
        <v>30906</v>
      </c>
      <c r="AU888" s="198" t="s">
        <v>359</v>
      </c>
      <c r="AV888" s="198" t="s">
        <v>62</v>
      </c>
      <c r="AW888" s="198" t="s">
        <v>587</v>
      </c>
    </row>
    <row r="889" spans="3:49" outlineLevel="2" x14ac:dyDescent="0.25">
      <c r="C889" s="201"/>
      <c r="D889" s="198" t="s">
        <v>131</v>
      </c>
      <c r="H889" s="198" t="s">
        <v>131</v>
      </c>
      <c r="I889" s="202">
        <f t="shared" si="13"/>
        <v>370834892.09999961</v>
      </c>
      <c r="J889" s="202">
        <v>89.799999999999898</v>
      </c>
      <c r="L889" s="204">
        <v>800</v>
      </c>
      <c r="M889" s="202">
        <v>172000</v>
      </c>
      <c r="N889" s="204">
        <v>800</v>
      </c>
      <c r="O889" s="198" t="s">
        <v>51</v>
      </c>
      <c r="P889" s="202">
        <v>172000</v>
      </c>
      <c r="Q889" s="198" t="s">
        <v>73</v>
      </c>
      <c r="R889" s="198" t="s">
        <v>53</v>
      </c>
      <c r="S889" s="198" t="s">
        <v>54</v>
      </c>
      <c r="T889" s="198" t="s">
        <v>585</v>
      </c>
      <c r="U889" s="198" t="s">
        <v>367</v>
      </c>
      <c r="V889" s="198" t="s">
        <v>56</v>
      </c>
      <c r="W889" s="198" t="s">
        <v>356</v>
      </c>
      <c r="X889" s="198" t="s">
        <v>57</v>
      </c>
      <c r="Y889" s="198" t="s">
        <v>58</v>
      </c>
      <c r="Z889" s="201">
        <v>46234</v>
      </c>
      <c r="AA889" s="198" t="s">
        <v>59</v>
      </c>
      <c r="AB889" s="198" t="s">
        <v>60</v>
      </c>
      <c r="AC889" s="198" t="s">
        <v>86</v>
      </c>
      <c r="AD889" s="198" t="s">
        <v>62</v>
      </c>
      <c r="AE889" s="198" t="s">
        <v>632</v>
      </c>
      <c r="AF889" s="198" t="s">
        <v>631</v>
      </c>
      <c r="AG889" s="198" t="s">
        <v>248</v>
      </c>
      <c r="AH889" s="198" t="s">
        <v>132</v>
      </c>
      <c r="AI889" s="198" t="s">
        <v>56</v>
      </c>
      <c r="AJ889" s="198" t="s">
        <v>318</v>
      </c>
      <c r="AK889" s="198" t="s">
        <v>51</v>
      </c>
      <c r="AL889" s="198" t="s">
        <v>67</v>
      </c>
      <c r="AM889" s="198" t="s">
        <v>68</v>
      </c>
      <c r="AN889" s="202">
        <v>172000</v>
      </c>
      <c r="AO889" s="202">
        <v>172000</v>
      </c>
      <c r="AP889" s="202">
        <v>172000</v>
      </c>
      <c r="AQ889" s="198" t="s">
        <v>358</v>
      </c>
      <c r="AR889" s="198" t="s">
        <v>51</v>
      </c>
      <c r="AS889" s="202">
        <v>172000</v>
      </c>
      <c r="AT889" s="202">
        <v>172000</v>
      </c>
      <c r="AU889" s="198" t="s">
        <v>359</v>
      </c>
      <c r="AV889" s="198" t="s">
        <v>62</v>
      </c>
      <c r="AW889" s="198" t="s">
        <v>587</v>
      </c>
    </row>
    <row r="890" spans="3:49" outlineLevel="2" x14ac:dyDescent="0.25">
      <c r="C890" s="201"/>
      <c r="D890" s="198" t="s">
        <v>131</v>
      </c>
      <c r="H890" s="198" t="s">
        <v>131</v>
      </c>
      <c r="I890" s="202">
        <f t="shared" si="13"/>
        <v>371247848.54999959</v>
      </c>
      <c r="J890" s="202">
        <v>89.899999999999906</v>
      </c>
      <c r="L890" s="204">
        <v>1440</v>
      </c>
      <c r="M890" s="202">
        <v>214560</v>
      </c>
      <c r="N890" s="204">
        <v>1440</v>
      </c>
      <c r="O890" s="198" t="s">
        <v>51</v>
      </c>
      <c r="P890" s="202">
        <v>214560</v>
      </c>
      <c r="Q890" s="198" t="s">
        <v>73</v>
      </c>
      <c r="R890" s="198" t="s">
        <v>53</v>
      </c>
      <c r="S890" s="198" t="s">
        <v>54</v>
      </c>
      <c r="T890" s="198" t="s">
        <v>585</v>
      </c>
      <c r="U890" s="198" t="s">
        <v>367</v>
      </c>
      <c r="V890" s="198" t="s">
        <v>56</v>
      </c>
      <c r="W890" s="198" t="s">
        <v>356</v>
      </c>
      <c r="X890" s="198" t="s">
        <v>57</v>
      </c>
      <c r="Y890" s="198" t="s">
        <v>58</v>
      </c>
      <c r="Z890" s="201">
        <v>46234</v>
      </c>
      <c r="AA890" s="198" t="s">
        <v>59</v>
      </c>
      <c r="AB890" s="198" t="s">
        <v>60</v>
      </c>
      <c r="AC890" s="198" t="s">
        <v>86</v>
      </c>
      <c r="AD890" s="198" t="s">
        <v>62</v>
      </c>
      <c r="AE890" s="198" t="s">
        <v>634</v>
      </c>
      <c r="AF890" s="198" t="s">
        <v>633</v>
      </c>
      <c r="AG890" s="198" t="s">
        <v>248</v>
      </c>
      <c r="AH890" s="198" t="s">
        <v>132</v>
      </c>
      <c r="AI890" s="198" t="s">
        <v>56</v>
      </c>
      <c r="AJ890" s="198" t="s">
        <v>635</v>
      </c>
      <c r="AK890" s="198" t="s">
        <v>51</v>
      </c>
      <c r="AL890" s="198" t="s">
        <v>67</v>
      </c>
      <c r="AM890" s="198" t="s">
        <v>68</v>
      </c>
      <c r="AN890" s="202">
        <v>214560</v>
      </c>
      <c r="AO890" s="202">
        <v>214560</v>
      </c>
      <c r="AP890" s="202">
        <v>214560</v>
      </c>
      <c r="AQ890" s="198" t="s">
        <v>358</v>
      </c>
      <c r="AR890" s="198" t="s">
        <v>51</v>
      </c>
      <c r="AS890" s="202">
        <v>214560</v>
      </c>
      <c r="AT890" s="202">
        <v>214560</v>
      </c>
      <c r="AU890" s="198" t="s">
        <v>359</v>
      </c>
      <c r="AV890" s="198" t="s">
        <v>62</v>
      </c>
      <c r="AW890" s="198" t="s">
        <v>587</v>
      </c>
    </row>
    <row r="891" spans="3:49" outlineLevel="2" x14ac:dyDescent="0.25">
      <c r="C891" s="201"/>
      <c r="D891" s="198" t="s">
        <v>131</v>
      </c>
      <c r="H891" s="198" t="s">
        <v>131</v>
      </c>
      <c r="I891" s="202">
        <f t="shared" si="13"/>
        <v>371660804.99999958</v>
      </c>
      <c r="J891" s="202">
        <v>89.999999999999901</v>
      </c>
      <c r="L891" s="204">
        <v>290</v>
      </c>
      <c r="M891" s="202">
        <v>51040</v>
      </c>
      <c r="N891" s="204">
        <v>290</v>
      </c>
      <c r="O891" s="198" t="s">
        <v>51</v>
      </c>
      <c r="P891" s="202">
        <v>51040</v>
      </c>
      <c r="Q891" s="198" t="s">
        <v>73</v>
      </c>
      <c r="R891" s="198" t="s">
        <v>53</v>
      </c>
      <c r="S891" s="198" t="s">
        <v>54</v>
      </c>
      <c r="T891" s="198" t="s">
        <v>585</v>
      </c>
      <c r="U891" s="198" t="s">
        <v>367</v>
      </c>
      <c r="V891" s="198" t="s">
        <v>56</v>
      </c>
      <c r="W891" s="198" t="s">
        <v>356</v>
      </c>
      <c r="X891" s="198" t="s">
        <v>57</v>
      </c>
      <c r="Y891" s="198" t="s">
        <v>58</v>
      </c>
      <c r="Z891" s="201">
        <v>46234</v>
      </c>
      <c r="AA891" s="198" t="s">
        <v>59</v>
      </c>
      <c r="AB891" s="198" t="s">
        <v>60</v>
      </c>
      <c r="AC891" s="198" t="s">
        <v>86</v>
      </c>
      <c r="AD891" s="198" t="s">
        <v>62</v>
      </c>
      <c r="AE891" s="198" t="s">
        <v>637</v>
      </c>
      <c r="AF891" s="198" t="s">
        <v>636</v>
      </c>
      <c r="AG891" s="198" t="s">
        <v>248</v>
      </c>
      <c r="AH891" s="198" t="s">
        <v>132</v>
      </c>
      <c r="AI891" s="198" t="s">
        <v>56</v>
      </c>
      <c r="AJ891" s="198" t="s">
        <v>318</v>
      </c>
      <c r="AK891" s="198" t="s">
        <v>51</v>
      </c>
      <c r="AL891" s="198" t="s">
        <v>67</v>
      </c>
      <c r="AM891" s="198" t="s">
        <v>68</v>
      </c>
      <c r="AN891" s="202">
        <v>51040</v>
      </c>
      <c r="AO891" s="202">
        <v>51040</v>
      </c>
      <c r="AP891" s="202">
        <v>51040</v>
      </c>
      <c r="AQ891" s="198" t="s">
        <v>358</v>
      </c>
      <c r="AR891" s="198" t="s">
        <v>51</v>
      </c>
      <c r="AS891" s="202">
        <v>51040</v>
      </c>
      <c r="AT891" s="202">
        <v>51040</v>
      </c>
      <c r="AU891" s="198" t="s">
        <v>359</v>
      </c>
      <c r="AV891" s="198" t="s">
        <v>62</v>
      </c>
      <c r="AW891" s="198" t="s">
        <v>587</v>
      </c>
    </row>
    <row r="892" spans="3:49" outlineLevel="2" x14ac:dyDescent="0.25">
      <c r="C892" s="201"/>
      <c r="D892" s="198" t="s">
        <v>131</v>
      </c>
      <c r="H892" s="198" t="s">
        <v>131</v>
      </c>
      <c r="I892" s="202">
        <f t="shared" si="13"/>
        <v>372073761.44999957</v>
      </c>
      <c r="J892" s="202">
        <v>90.099999999999895</v>
      </c>
      <c r="L892" s="204">
        <v>375</v>
      </c>
      <c r="M892" s="202">
        <v>55875</v>
      </c>
      <c r="N892" s="204">
        <v>375</v>
      </c>
      <c r="O892" s="198" t="s">
        <v>51</v>
      </c>
      <c r="P892" s="202">
        <v>55875</v>
      </c>
      <c r="Q892" s="198" t="s">
        <v>73</v>
      </c>
      <c r="R892" s="198" t="s">
        <v>53</v>
      </c>
      <c r="S892" s="198" t="s">
        <v>54</v>
      </c>
      <c r="T892" s="198" t="s">
        <v>585</v>
      </c>
      <c r="U892" s="198" t="s">
        <v>367</v>
      </c>
      <c r="V892" s="198" t="s">
        <v>56</v>
      </c>
      <c r="W892" s="198" t="s">
        <v>356</v>
      </c>
      <c r="X892" s="198" t="s">
        <v>57</v>
      </c>
      <c r="Y892" s="198" t="s">
        <v>58</v>
      </c>
      <c r="Z892" s="201">
        <v>46234</v>
      </c>
      <c r="AA892" s="198" t="s">
        <v>59</v>
      </c>
      <c r="AB892" s="198" t="s">
        <v>60</v>
      </c>
      <c r="AC892" s="198" t="s">
        <v>86</v>
      </c>
      <c r="AD892" s="198" t="s">
        <v>62</v>
      </c>
      <c r="AE892" s="198" t="s">
        <v>639</v>
      </c>
      <c r="AF892" s="198" t="s">
        <v>638</v>
      </c>
      <c r="AG892" s="198" t="s">
        <v>248</v>
      </c>
      <c r="AH892" s="198" t="s">
        <v>132</v>
      </c>
      <c r="AI892" s="198" t="s">
        <v>56</v>
      </c>
      <c r="AJ892" s="198" t="s">
        <v>318</v>
      </c>
      <c r="AK892" s="198" t="s">
        <v>51</v>
      </c>
      <c r="AL892" s="198" t="s">
        <v>67</v>
      </c>
      <c r="AM892" s="198" t="s">
        <v>68</v>
      </c>
      <c r="AN892" s="202">
        <v>55875</v>
      </c>
      <c r="AO892" s="202">
        <v>55875</v>
      </c>
      <c r="AP892" s="202">
        <v>55875</v>
      </c>
      <c r="AQ892" s="198" t="s">
        <v>358</v>
      </c>
      <c r="AR892" s="198" t="s">
        <v>51</v>
      </c>
      <c r="AS892" s="202">
        <v>55875</v>
      </c>
      <c r="AT892" s="202">
        <v>55875</v>
      </c>
      <c r="AU892" s="198" t="s">
        <v>359</v>
      </c>
      <c r="AV892" s="198" t="s">
        <v>62</v>
      </c>
      <c r="AW892" s="198" t="s">
        <v>587</v>
      </c>
    </row>
    <row r="893" spans="3:49" outlineLevel="2" x14ac:dyDescent="0.25">
      <c r="C893" s="201"/>
      <c r="D893" s="198" t="s">
        <v>131</v>
      </c>
      <c r="H893" s="198" t="s">
        <v>131</v>
      </c>
      <c r="I893" s="202">
        <f t="shared" si="13"/>
        <v>372486717.89999962</v>
      </c>
      <c r="J893" s="202">
        <v>90.199999999999903</v>
      </c>
      <c r="L893" s="204">
        <v>460</v>
      </c>
      <c r="M893" s="202">
        <v>62100</v>
      </c>
      <c r="N893" s="204">
        <v>460</v>
      </c>
      <c r="O893" s="198" t="s">
        <v>51</v>
      </c>
      <c r="P893" s="202">
        <v>62100</v>
      </c>
      <c r="Q893" s="198" t="s">
        <v>73</v>
      </c>
      <c r="R893" s="198" t="s">
        <v>53</v>
      </c>
      <c r="S893" s="198" t="s">
        <v>54</v>
      </c>
      <c r="T893" s="198" t="s">
        <v>585</v>
      </c>
      <c r="U893" s="198" t="s">
        <v>367</v>
      </c>
      <c r="V893" s="198" t="s">
        <v>56</v>
      </c>
      <c r="W893" s="198" t="s">
        <v>356</v>
      </c>
      <c r="X893" s="198" t="s">
        <v>57</v>
      </c>
      <c r="Y893" s="198" t="s">
        <v>58</v>
      </c>
      <c r="Z893" s="201">
        <v>46234</v>
      </c>
      <c r="AA893" s="198" t="s">
        <v>59</v>
      </c>
      <c r="AB893" s="198" t="s">
        <v>60</v>
      </c>
      <c r="AC893" s="198" t="s">
        <v>86</v>
      </c>
      <c r="AD893" s="198" t="s">
        <v>62</v>
      </c>
      <c r="AE893" s="198" t="s">
        <v>641</v>
      </c>
      <c r="AF893" s="198" t="s">
        <v>640</v>
      </c>
      <c r="AG893" s="198" t="s">
        <v>248</v>
      </c>
      <c r="AH893" s="198" t="s">
        <v>132</v>
      </c>
      <c r="AI893" s="198" t="s">
        <v>56</v>
      </c>
      <c r="AJ893" s="198" t="s">
        <v>318</v>
      </c>
      <c r="AK893" s="198" t="s">
        <v>51</v>
      </c>
      <c r="AL893" s="198" t="s">
        <v>67</v>
      </c>
      <c r="AM893" s="198" t="s">
        <v>68</v>
      </c>
      <c r="AN893" s="202">
        <v>62100</v>
      </c>
      <c r="AO893" s="202">
        <v>62100</v>
      </c>
      <c r="AP893" s="202">
        <v>62100</v>
      </c>
      <c r="AQ893" s="198" t="s">
        <v>358</v>
      </c>
      <c r="AR893" s="198" t="s">
        <v>51</v>
      </c>
      <c r="AS893" s="202">
        <v>62100</v>
      </c>
      <c r="AT893" s="202">
        <v>62100</v>
      </c>
      <c r="AU893" s="198" t="s">
        <v>359</v>
      </c>
      <c r="AV893" s="198" t="s">
        <v>62</v>
      </c>
      <c r="AW893" s="198" t="s">
        <v>587</v>
      </c>
    </row>
    <row r="894" spans="3:49" outlineLevel="2" x14ac:dyDescent="0.25">
      <c r="C894" s="201"/>
      <c r="D894" s="198" t="s">
        <v>131</v>
      </c>
      <c r="H894" s="198" t="s">
        <v>131</v>
      </c>
      <c r="I894" s="202">
        <f t="shared" si="13"/>
        <v>372899674.34999961</v>
      </c>
      <c r="J894" s="202">
        <v>90.299999999999898</v>
      </c>
      <c r="L894" s="204">
        <v>120</v>
      </c>
      <c r="M894" s="202">
        <v>7560</v>
      </c>
      <c r="N894" s="204">
        <v>120</v>
      </c>
      <c r="O894" s="198" t="s">
        <v>51</v>
      </c>
      <c r="P894" s="202">
        <v>7560</v>
      </c>
      <c r="Q894" s="198" t="s">
        <v>73</v>
      </c>
      <c r="R894" s="198" t="s">
        <v>53</v>
      </c>
      <c r="S894" s="198" t="s">
        <v>54</v>
      </c>
      <c r="T894" s="198" t="s">
        <v>585</v>
      </c>
      <c r="U894" s="198" t="s">
        <v>367</v>
      </c>
      <c r="V894" s="198" t="s">
        <v>56</v>
      </c>
      <c r="W894" s="198" t="s">
        <v>356</v>
      </c>
      <c r="X894" s="198" t="s">
        <v>57</v>
      </c>
      <c r="Y894" s="198" t="s">
        <v>58</v>
      </c>
      <c r="Z894" s="201">
        <v>46234</v>
      </c>
      <c r="AA894" s="198" t="s">
        <v>59</v>
      </c>
      <c r="AB894" s="198" t="s">
        <v>60</v>
      </c>
      <c r="AC894" s="198" t="s">
        <v>86</v>
      </c>
      <c r="AD894" s="198" t="s">
        <v>62</v>
      </c>
      <c r="AE894" s="198" t="s">
        <v>643</v>
      </c>
      <c r="AF894" s="198" t="s">
        <v>642</v>
      </c>
      <c r="AG894" s="198" t="s">
        <v>248</v>
      </c>
      <c r="AH894" s="198" t="s">
        <v>132</v>
      </c>
      <c r="AI894" s="198" t="s">
        <v>56</v>
      </c>
      <c r="AJ894" s="198" t="s">
        <v>74</v>
      </c>
      <c r="AK894" s="198" t="s">
        <v>51</v>
      </c>
      <c r="AL894" s="198" t="s">
        <v>67</v>
      </c>
      <c r="AM894" s="198" t="s">
        <v>68</v>
      </c>
      <c r="AN894" s="202">
        <v>7560</v>
      </c>
      <c r="AO894" s="202">
        <v>7560</v>
      </c>
      <c r="AP894" s="202">
        <v>7560</v>
      </c>
      <c r="AQ894" s="198" t="s">
        <v>358</v>
      </c>
      <c r="AR894" s="198" t="s">
        <v>51</v>
      </c>
      <c r="AS894" s="202">
        <v>7560</v>
      </c>
      <c r="AT894" s="202">
        <v>7560</v>
      </c>
      <c r="AU894" s="198" t="s">
        <v>359</v>
      </c>
      <c r="AV894" s="198" t="s">
        <v>62</v>
      </c>
      <c r="AW894" s="198" t="s">
        <v>587</v>
      </c>
    </row>
    <row r="895" spans="3:49" outlineLevel="2" x14ac:dyDescent="0.25">
      <c r="C895" s="201"/>
      <c r="D895" s="198" t="s">
        <v>131</v>
      </c>
      <c r="H895" s="198" t="s">
        <v>131</v>
      </c>
      <c r="I895" s="202">
        <f t="shared" si="13"/>
        <v>373312630.79999959</v>
      </c>
      <c r="J895" s="202">
        <v>90.399999999999906</v>
      </c>
      <c r="L895" s="204">
        <v>1000</v>
      </c>
      <c r="M895" s="202">
        <v>149000</v>
      </c>
      <c r="N895" s="204">
        <v>1000</v>
      </c>
      <c r="O895" s="198" t="s">
        <v>51</v>
      </c>
      <c r="P895" s="202">
        <v>149000</v>
      </c>
      <c r="Q895" s="198" t="s">
        <v>73</v>
      </c>
      <c r="R895" s="198" t="s">
        <v>53</v>
      </c>
      <c r="S895" s="198" t="s">
        <v>54</v>
      </c>
      <c r="T895" s="198" t="s">
        <v>585</v>
      </c>
      <c r="U895" s="198" t="s">
        <v>367</v>
      </c>
      <c r="V895" s="198" t="s">
        <v>56</v>
      </c>
      <c r="W895" s="198" t="s">
        <v>356</v>
      </c>
      <c r="X895" s="198" t="s">
        <v>57</v>
      </c>
      <c r="Y895" s="198" t="s">
        <v>58</v>
      </c>
      <c r="Z895" s="201">
        <v>46234</v>
      </c>
      <c r="AA895" s="198" t="s">
        <v>59</v>
      </c>
      <c r="AB895" s="198" t="s">
        <v>60</v>
      </c>
      <c r="AC895" s="198" t="s">
        <v>86</v>
      </c>
      <c r="AD895" s="198" t="s">
        <v>62</v>
      </c>
      <c r="AE895" s="198" t="s">
        <v>645</v>
      </c>
      <c r="AF895" s="198" t="s">
        <v>644</v>
      </c>
      <c r="AG895" s="198" t="s">
        <v>248</v>
      </c>
      <c r="AH895" s="198" t="s">
        <v>132</v>
      </c>
      <c r="AI895" s="198" t="s">
        <v>56</v>
      </c>
      <c r="AJ895" s="198" t="s">
        <v>318</v>
      </c>
      <c r="AK895" s="198" t="s">
        <v>51</v>
      </c>
      <c r="AL895" s="198" t="s">
        <v>67</v>
      </c>
      <c r="AM895" s="198" t="s">
        <v>68</v>
      </c>
      <c r="AN895" s="202">
        <v>149000</v>
      </c>
      <c r="AO895" s="202">
        <v>149000</v>
      </c>
      <c r="AP895" s="202">
        <v>149000</v>
      </c>
      <c r="AQ895" s="198" t="s">
        <v>358</v>
      </c>
      <c r="AR895" s="198" t="s">
        <v>51</v>
      </c>
      <c r="AS895" s="202">
        <v>149000</v>
      </c>
      <c r="AT895" s="202">
        <v>149000</v>
      </c>
      <c r="AU895" s="198" t="s">
        <v>359</v>
      </c>
      <c r="AV895" s="198" t="s">
        <v>62</v>
      </c>
      <c r="AW895" s="198" t="s">
        <v>587</v>
      </c>
    </row>
    <row r="896" spans="3:49" outlineLevel="2" x14ac:dyDescent="0.25">
      <c r="C896" s="201"/>
      <c r="D896" s="198" t="s">
        <v>131</v>
      </c>
      <c r="H896" s="198" t="s">
        <v>131</v>
      </c>
      <c r="I896" s="202">
        <f t="shared" si="13"/>
        <v>373725587.24999958</v>
      </c>
      <c r="J896" s="202">
        <v>90.499999999999901</v>
      </c>
      <c r="L896" s="204">
        <v>2420</v>
      </c>
      <c r="M896" s="202">
        <v>118580</v>
      </c>
      <c r="N896" s="204">
        <v>2420</v>
      </c>
      <c r="O896" s="198" t="s">
        <v>51</v>
      </c>
      <c r="P896" s="202">
        <v>118580</v>
      </c>
      <c r="Q896" s="198" t="s">
        <v>73</v>
      </c>
      <c r="R896" s="198" t="s">
        <v>53</v>
      </c>
      <c r="S896" s="198" t="s">
        <v>54</v>
      </c>
      <c r="T896" s="198" t="s">
        <v>585</v>
      </c>
      <c r="U896" s="198" t="s">
        <v>367</v>
      </c>
      <c r="V896" s="198" t="s">
        <v>56</v>
      </c>
      <c r="W896" s="198" t="s">
        <v>356</v>
      </c>
      <c r="X896" s="198" t="s">
        <v>57</v>
      </c>
      <c r="Y896" s="198" t="s">
        <v>58</v>
      </c>
      <c r="Z896" s="201">
        <v>46234</v>
      </c>
      <c r="AA896" s="198" t="s">
        <v>59</v>
      </c>
      <c r="AB896" s="198" t="s">
        <v>60</v>
      </c>
      <c r="AC896" s="198" t="s">
        <v>86</v>
      </c>
      <c r="AD896" s="198" t="s">
        <v>62</v>
      </c>
      <c r="AE896" s="198" t="s">
        <v>647</v>
      </c>
      <c r="AF896" s="198" t="s">
        <v>646</v>
      </c>
      <c r="AG896" s="198" t="s">
        <v>248</v>
      </c>
      <c r="AH896" s="198" t="s">
        <v>132</v>
      </c>
      <c r="AI896" s="198" t="s">
        <v>56</v>
      </c>
      <c r="AJ896" s="198" t="s">
        <v>318</v>
      </c>
      <c r="AK896" s="198" t="s">
        <v>51</v>
      </c>
      <c r="AL896" s="198" t="s">
        <v>67</v>
      </c>
      <c r="AM896" s="198" t="s">
        <v>68</v>
      </c>
      <c r="AN896" s="202">
        <v>118580</v>
      </c>
      <c r="AO896" s="202">
        <v>118580</v>
      </c>
      <c r="AP896" s="202">
        <v>118580</v>
      </c>
      <c r="AQ896" s="198" t="s">
        <v>358</v>
      </c>
      <c r="AR896" s="198" t="s">
        <v>51</v>
      </c>
      <c r="AS896" s="202">
        <v>118580</v>
      </c>
      <c r="AT896" s="202">
        <v>118580</v>
      </c>
      <c r="AU896" s="198" t="s">
        <v>359</v>
      </c>
      <c r="AV896" s="198" t="s">
        <v>62</v>
      </c>
      <c r="AW896" s="198" t="s">
        <v>587</v>
      </c>
    </row>
    <row r="897" spans="3:49" outlineLevel="2" x14ac:dyDescent="0.25">
      <c r="C897" s="201"/>
      <c r="D897" s="198" t="s">
        <v>131</v>
      </c>
      <c r="H897" s="198" t="s">
        <v>131</v>
      </c>
      <c r="I897" s="202">
        <f t="shared" si="13"/>
        <v>374138543.69999957</v>
      </c>
      <c r="J897" s="202">
        <v>90.599999999999895</v>
      </c>
      <c r="L897" s="204">
        <v>270</v>
      </c>
      <c r="M897" s="202">
        <v>40230</v>
      </c>
      <c r="N897" s="204">
        <v>270</v>
      </c>
      <c r="O897" s="198" t="s">
        <v>51</v>
      </c>
      <c r="P897" s="202">
        <v>40230</v>
      </c>
      <c r="Q897" s="198" t="s">
        <v>73</v>
      </c>
      <c r="R897" s="198" t="s">
        <v>53</v>
      </c>
      <c r="S897" s="198" t="s">
        <v>54</v>
      </c>
      <c r="T897" s="198" t="s">
        <v>585</v>
      </c>
      <c r="U897" s="198" t="s">
        <v>367</v>
      </c>
      <c r="V897" s="198" t="s">
        <v>56</v>
      </c>
      <c r="W897" s="198" t="s">
        <v>356</v>
      </c>
      <c r="X897" s="198" t="s">
        <v>57</v>
      </c>
      <c r="Y897" s="198" t="s">
        <v>58</v>
      </c>
      <c r="Z897" s="201">
        <v>46234</v>
      </c>
      <c r="AA897" s="198" t="s">
        <v>59</v>
      </c>
      <c r="AB897" s="198" t="s">
        <v>60</v>
      </c>
      <c r="AC897" s="198" t="s">
        <v>86</v>
      </c>
      <c r="AD897" s="198" t="s">
        <v>62</v>
      </c>
      <c r="AE897" s="198" t="s">
        <v>649</v>
      </c>
      <c r="AF897" s="198" t="s">
        <v>648</v>
      </c>
      <c r="AG897" s="198" t="s">
        <v>248</v>
      </c>
      <c r="AH897" s="198" t="s">
        <v>132</v>
      </c>
      <c r="AI897" s="198" t="s">
        <v>56</v>
      </c>
      <c r="AJ897" s="198" t="s">
        <v>318</v>
      </c>
      <c r="AK897" s="198" t="s">
        <v>51</v>
      </c>
      <c r="AL897" s="198" t="s">
        <v>67</v>
      </c>
      <c r="AM897" s="198" t="s">
        <v>68</v>
      </c>
      <c r="AN897" s="202">
        <v>40230</v>
      </c>
      <c r="AO897" s="202">
        <v>40230</v>
      </c>
      <c r="AP897" s="202">
        <v>40230</v>
      </c>
      <c r="AQ897" s="198" t="s">
        <v>358</v>
      </c>
      <c r="AR897" s="198" t="s">
        <v>51</v>
      </c>
      <c r="AS897" s="202">
        <v>40230</v>
      </c>
      <c r="AT897" s="202">
        <v>40230</v>
      </c>
      <c r="AU897" s="198" t="s">
        <v>359</v>
      </c>
      <c r="AV897" s="198" t="s">
        <v>62</v>
      </c>
      <c r="AW897" s="198" t="s">
        <v>587</v>
      </c>
    </row>
    <row r="898" spans="3:49" outlineLevel="2" x14ac:dyDescent="0.25">
      <c r="C898" s="201"/>
      <c r="D898" s="198" t="s">
        <v>131</v>
      </c>
      <c r="H898" s="198" t="s">
        <v>131</v>
      </c>
      <c r="I898" s="202">
        <f t="shared" si="13"/>
        <v>374551500.14999962</v>
      </c>
      <c r="J898" s="202">
        <v>90.699999999999903</v>
      </c>
      <c r="L898" s="204">
        <v>560</v>
      </c>
      <c r="M898" s="202">
        <v>75600</v>
      </c>
      <c r="N898" s="204">
        <v>560</v>
      </c>
      <c r="O898" s="198" t="s">
        <v>51</v>
      </c>
      <c r="P898" s="202">
        <v>75600</v>
      </c>
      <c r="Q898" s="198" t="s">
        <v>73</v>
      </c>
      <c r="R898" s="198" t="s">
        <v>53</v>
      </c>
      <c r="S898" s="198" t="s">
        <v>54</v>
      </c>
      <c r="T898" s="198" t="s">
        <v>585</v>
      </c>
      <c r="U898" s="198" t="s">
        <v>367</v>
      </c>
      <c r="V898" s="198" t="s">
        <v>56</v>
      </c>
      <c r="W898" s="198" t="s">
        <v>356</v>
      </c>
      <c r="X898" s="198" t="s">
        <v>57</v>
      </c>
      <c r="Y898" s="198" t="s">
        <v>58</v>
      </c>
      <c r="Z898" s="201">
        <v>46234</v>
      </c>
      <c r="AA898" s="198" t="s">
        <v>59</v>
      </c>
      <c r="AB898" s="198" t="s">
        <v>60</v>
      </c>
      <c r="AC898" s="198" t="s">
        <v>86</v>
      </c>
      <c r="AD898" s="198" t="s">
        <v>62</v>
      </c>
      <c r="AE898" s="198" t="s">
        <v>650</v>
      </c>
      <c r="AF898" s="198" t="s">
        <v>339</v>
      </c>
      <c r="AG898" s="198" t="s">
        <v>248</v>
      </c>
      <c r="AH898" s="198" t="s">
        <v>132</v>
      </c>
      <c r="AI898" s="198" t="s">
        <v>56</v>
      </c>
      <c r="AJ898" s="198" t="s">
        <v>318</v>
      </c>
      <c r="AK898" s="198" t="s">
        <v>51</v>
      </c>
      <c r="AL898" s="198" t="s">
        <v>67</v>
      </c>
      <c r="AM898" s="198" t="s">
        <v>68</v>
      </c>
      <c r="AN898" s="202">
        <v>75600</v>
      </c>
      <c r="AO898" s="202">
        <v>75600</v>
      </c>
      <c r="AP898" s="202">
        <v>75600</v>
      </c>
      <c r="AQ898" s="198" t="s">
        <v>358</v>
      </c>
      <c r="AR898" s="198" t="s">
        <v>51</v>
      </c>
      <c r="AS898" s="202">
        <v>75600</v>
      </c>
      <c r="AT898" s="202">
        <v>75600</v>
      </c>
      <c r="AU898" s="198" t="s">
        <v>359</v>
      </c>
      <c r="AV898" s="198" t="s">
        <v>62</v>
      </c>
      <c r="AW898" s="198" t="s">
        <v>587</v>
      </c>
    </row>
    <row r="899" spans="3:49" outlineLevel="2" x14ac:dyDescent="0.25">
      <c r="C899" s="201"/>
      <c r="D899" s="198" t="s">
        <v>131</v>
      </c>
      <c r="H899" s="198" t="s">
        <v>131</v>
      </c>
      <c r="I899" s="202">
        <f t="shared" ref="I899:I962" si="14">J899*4129564.5</f>
        <v>374964456.59999961</v>
      </c>
      <c r="J899" s="202">
        <v>90.799999999999898</v>
      </c>
      <c r="L899" s="204">
        <v>180</v>
      </c>
      <c r="M899" s="202">
        <v>2160</v>
      </c>
      <c r="N899" s="204">
        <v>180</v>
      </c>
      <c r="O899" s="198" t="s">
        <v>51</v>
      </c>
      <c r="P899" s="202">
        <v>2160</v>
      </c>
      <c r="Q899" s="198" t="s">
        <v>73</v>
      </c>
      <c r="R899" s="198" t="s">
        <v>53</v>
      </c>
      <c r="S899" s="198" t="s">
        <v>54</v>
      </c>
      <c r="T899" s="198" t="s">
        <v>585</v>
      </c>
      <c r="U899" s="198" t="s">
        <v>367</v>
      </c>
      <c r="V899" s="198" t="s">
        <v>56</v>
      </c>
      <c r="W899" s="198" t="s">
        <v>356</v>
      </c>
      <c r="X899" s="198" t="s">
        <v>57</v>
      </c>
      <c r="Y899" s="198" t="s">
        <v>58</v>
      </c>
      <c r="Z899" s="201">
        <v>46234</v>
      </c>
      <c r="AA899" s="198" t="s">
        <v>59</v>
      </c>
      <c r="AB899" s="198" t="s">
        <v>60</v>
      </c>
      <c r="AC899" s="198" t="s">
        <v>86</v>
      </c>
      <c r="AD899" s="198" t="s">
        <v>62</v>
      </c>
      <c r="AE899" s="198" t="s">
        <v>652</v>
      </c>
      <c r="AF899" s="198" t="s">
        <v>651</v>
      </c>
      <c r="AG899" s="198" t="s">
        <v>248</v>
      </c>
      <c r="AH899" s="198" t="s">
        <v>132</v>
      </c>
      <c r="AI899" s="198" t="s">
        <v>56</v>
      </c>
      <c r="AJ899" s="198" t="s">
        <v>318</v>
      </c>
      <c r="AK899" s="198" t="s">
        <v>51</v>
      </c>
      <c r="AL899" s="198" t="s">
        <v>67</v>
      </c>
      <c r="AM899" s="198" t="s">
        <v>68</v>
      </c>
      <c r="AN899" s="202">
        <v>2160</v>
      </c>
      <c r="AO899" s="202">
        <v>2160</v>
      </c>
      <c r="AP899" s="202">
        <v>2160</v>
      </c>
      <c r="AQ899" s="198" t="s">
        <v>358</v>
      </c>
      <c r="AR899" s="198" t="s">
        <v>51</v>
      </c>
      <c r="AS899" s="202">
        <v>2160</v>
      </c>
      <c r="AT899" s="202">
        <v>2160</v>
      </c>
      <c r="AU899" s="198" t="s">
        <v>359</v>
      </c>
      <c r="AV899" s="198" t="s">
        <v>62</v>
      </c>
      <c r="AW899" s="198" t="s">
        <v>587</v>
      </c>
    </row>
    <row r="900" spans="3:49" outlineLevel="2" x14ac:dyDescent="0.25">
      <c r="C900" s="201"/>
      <c r="D900" s="198" t="s">
        <v>131</v>
      </c>
      <c r="H900" s="198" t="s">
        <v>131</v>
      </c>
      <c r="I900" s="202">
        <f t="shared" si="14"/>
        <v>375377413.04999959</v>
      </c>
      <c r="J900" s="202">
        <v>90.899999999999906</v>
      </c>
      <c r="L900" s="204">
        <v>70</v>
      </c>
      <c r="M900" s="202">
        <v>840</v>
      </c>
      <c r="N900" s="204">
        <v>70</v>
      </c>
      <c r="O900" s="198" t="s">
        <v>51</v>
      </c>
      <c r="P900" s="202">
        <v>840</v>
      </c>
      <c r="Q900" s="198" t="s">
        <v>73</v>
      </c>
      <c r="R900" s="198" t="s">
        <v>53</v>
      </c>
      <c r="S900" s="198" t="s">
        <v>54</v>
      </c>
      <c r="T900" s="198" t="s">
        <v>585</v>
      </c>
      <c r="U900" s="198" t="s">
        <v>367</v>
      </c>
      <c r="V900" s="198" t="s">
        <v>56</v>
      </c>
      <c r="W900" s="198" t="s">
        <v>356</v>
      </c>
      <c r="X900" s="198" t="s">
        <v>57</v>
      </c>
      <c r="Y900" s="198" t="s">
        <v>58</v>
      </c>
      <c r="Z900" s="201">
        <v>46234</v>
      </c>
      <c r="AA900" s="198" t="s">
        <v>59</v>
      </c>
      <c r="AB900" s="198" t="s">
        <v>60</v>
      </c>
      <c r="AC900" s="198" t="s">
        <v>86</v>
      </c>
      <c r="AD900" s="198" t="s">
        <v>62</v>
      </c>
      <c r="AE900" s="198" t="s">
        <v>654</v>
      </c>
      <c r="AF900" s="198" t="s">
        <v>653</v>
      </c>
      <c r="AG900" s="198" t="s">
        <v>248</v>
      </c>
      <c r="AH900" s="198" t="s">
        <v>132</v>
      </c>
      <c r="AI900" s="198" t="s">
        <v>56</v>
      </c>
      <c r="AJ900" s="198" t="s">
        <v>318</v>
      </c>
      <c r="AK900" s="198" t="s">
        <v>51</v>
      </c>
      <c r="AL900" s="198" t="s">
        <v>67</v>
      </c>
      <c r="AM900" s="198" t="s">
        <v>68</v>
      </c>
      <c r="AN900" s="202">
        <v>840</v>
      </c>
      <c r="AO900" s="202">
        <v>840</v>
      </c>
      <c r="AP900" s="202">
        <v>840</v>
      </c>
      <c r="AQ900" s="198" t="s">
        <v>358</v>
      </c>
      <c r="AR900" s="198" t="s">
        <v>51</v>
      </c>
      <c r="AS900" s="202">
        <v>840</v>
      </c>
      <c r="AT900" s="202">
        <v>840</v>
      </c>
      <c r="AU900" s="198" t="s">
        <v>359</v>
      </c>
      <c r="AV900" s="198" t="s">
        <v>62</v>
      </c>
      <c r="AW900" s="198" t="s">
        <v>587</v>
      </c>
    </row>
    <row r="901" spans="3:49" outlineLevel="2" x14ac:dyDescent="0.25">
      <c r="C901" s="201"/>
      <c r="D901" s="198" t="s">
        <v>129</v>
      </c>
      <c r="H901" s="198" t="s">
        <v>129</v>
      </c>
      <c r="I901" s="202">
        <f t="shared" si="14"/>
        <v>375790369.49999958</v>
      </c>
      <c r="J901" s="202">
        <v>90.999999999999901</v>
      </c>
      <c r="L901" s="204">
        <v>215954</v>
      </c>
      <c r="M901" s="202">
        <v>15980596</v>
      </c>
      <c r="N901" s="204">
        <v>189704</v>
      </c>
      <c r="O901" s="198" t="s">
        <v>51</v>
      </c>
      <c r="P901" s="202">
        <v>14038096</v>
      </c>
      <c r="Q901" s="198" t="s">
        <v>73</v>
      </c>
      <c r="R901" s="198" t="s">
        <v>53</v>
      </c>
      <c r="S901" s="198" t="s">
        <v>54</v>
      </c>
      <c r="T901" s="198" t="s">
        <v>661</v>
      </c>
      <c r="U901" s="198" t="s">
        <v>364</v>
      </c>
      <c r="V901" s="198" t="s">
        <v>56</v>
      </c>
      <c r="W901" s="198" t="s">
        <v>356</v>
      </c>
      <c r="X901" s="198" t="s">
        <v>57</v>
      </c>
      <c r="Y901" s="198" t="s">
        <v>58</v>
      </c>
      <c r="Z901" s="201">
        <v>46234</v>
      </c>
      <c r="AA901" s="198" t="s">
        <v>59</v>
      </c>
      <c r="AB901" s="198" t="s">
        <v>60</v>
      </c>
      <c r="AC901" s="198" t="s">
        <v>86</v>
      </c>
      <c r="AD901" s="198" t="s">
        <v>62</v>
      </c>
      <c r="AE901" s="198" t="s">
        <v>125</v>
      </c>
      <c r="AF901" s="198" t="s">
        <v>124</v>
      </c>
      <c r="AG901" s="198" t="s">
        <v>248</v>
      </c>
      <c r="AH901" s="198" t="s">
        <v>130</v>
      </c>
      <c r="AI901" s="198" t="s">
        <v>56</v>
      </c>
      <c r="AJ901" s="198" t="s">
        <v>127</v>
      </c>
      <c r="AK901" s="198" t="s">
        <v>51</v>
      </c>
      <c r="AL901" s="198" t="s">
        <v>67</v>
      </c>
      <c r="AM901" s="198" t="s">
        <v>68</v>
      </c>
      <c r="AN901" s="202">
        <v>15980596</v>
      </c>
      <c r="AO901" s="202">
        <v>15980596</v>
      </c>
      <c r="AP901" s="202">
        <v>15980596</v>
      </c>
      <c r="AQ901" s="198" t="s">
        <v>358</v>
      </c>
      <c r="AR901" s="198" t="s">
        <v>51</v>
      </c>
      <c r="AS901" s="202">
        <v>14038096</v>
      </c>
      <c r="AT901" s="202">
        <v>14038096</v>
      </c>
      <c r="AU901" s="198" t="s">
        <v>359</v>
      </c>
      <c r="AV901" s="198" t="s">
        <v>62</v>
      </c>
      <c r="AW901" s="198" t="s">
        <v>54</v>
      </c>
    </row>
    <row r="902" spans="3:49" outlineLevel="2" x14ac:dyDescent="0.25">
      <c r="C902" s="201"/>
      <c r="D902" s="198" t="s">
        <v>129</v>
      </c>
      <c r="H902" s="198" t="s">
        <v>129</v>
      </c>
      <c r="I902" s="202">
        <f t="shared" si="14"/>
        <v>376203325.94999957</v>
      </c>
      <c r="J902" s="202">
        <v>91.099999999999895</v>
      </c>
      <c r="L902" s="204">
        <v>2835</v>
      </c>
      <c r="M902" s="202">
        <v>93555</v>
      </c>
      <c r="N902" s="204">
        <v>2835</v>
      </c>
      <c r="O902" s="198" t="s">
        <v>51</v>
      </c>
      <c r="P902" s="202">
        <v>93555</v>
      </c>
      <c r="Q902" s="198" t="s">
        <v>342</v>
      </c>
      <c r="R902" s="198" t="s">
        <v>53</v>
      </c>
      <c r="S902" s="198" t="s">
        <v>54</v>
      </c>
      <c r="T902" s="198" t="s">
        <v>661</v>
      </c>
      <c r="U902" s="198" t="s">
        <v>367</v>
      </c>
      <c r="V902" s="198" t="s">
        <v>56</v>
      </c>
      <c r="W902" s="198" t="s">
        <v>356</v>
      </c>
      <c r="X902" s="198" t="s">
        <v>57</v>
      </c>
      <c r="Y902" s="198" t="s">
        <v>58</v>
      </c>
      <c r="Z902" s="201">
        <v>46234</v>
      </c>
      <c r="AA902" s="198" t="s">
        <v>59</v>
      </c>
      <c r="AB902" s="198" t="s">
        <v>60</v>
      </c>
      <c r="AC902" s="198" t="s">
        <v>86</v>
      </c>
      <c r="AD902" s="198" t="s">
        <v>62</v>
      </c>
      <c r="AE902" s="198" t="s">
        <v>589</v>
      </c>
      <c r="AF902" s="198" t="s">
        <v>588</v>
      </c>
      <c r="AG902" s="198" t="s">
        <v>248</v>
      </c>
      <c r="AH902" s="198" t="s">
        <v>130</v>
      </c>
      <c r="AI902" s="198" t="s">
        <v>56</v>
      </c>
      <c r="AJ902" s="198" t="s">
        <v>74</v>
      </c>
      <c r="AK902" s="198" t="s">
        <v>51</v>
      </c>
      <c r="AL902" s="198" t="s">
        <v>67</v>
      </c>
      <c r="AM902" s="198" t="s">
        <v>68</v>
      </c>
      <c r="AN902" s="202">
        <v>93555</v>
      </c>
      <c r="AO902" s="202">
        <v>93555</v>
      </c>
      <c r="AP902" s="202">
        <v>93555</v>
      </c>
      <c r="AQ902" s="198" t="s">
        <v>358</v>
      </c>
      <c r="AR902" s="198" t="s">
        <v>51</v>
      </c>
      <c r="AS902" s="202">
        <v>93555</v>
      </c>
      <c r="AT902" s="202">
        <v>93555</v>
      </c>
      <c r="AU902" s="198" t="s">
        <v>359</v>
      </c>
      <c r="AV902" s="198" t="s">
        <v>62</v>
      </c>
      <c r="AW902" s="198" t="s">
        <v>54</v>
      </c>
    </row>
    <row r="903" spans="3:49" outlineLevel="2" x14ac:dyDescent="0.25">
      <c r="C903" s="201"/>
      <c r="D903" s="198" t="s">
        <v>129</v>
      </c>
      <c r="H903" s="198" t="s">
        <v>129</v>
      </c>
      <c r="I903" s="202">
        <f t="shared" si="14"/>
        <v>376616282.39999962</v>
      </c>
      <c r="J903" s="202">
        <v>91.199999999999903</v>
      </c>
      <c r="L903" s="204">
        <v>2700</v>
      </c>
      <c r="M903" s="202">
        <v>109539</v>
      </c>
      <c r="N903" s="204">
        <v>2700</v>
      </c>
      <c r="O903" s="198" t="s">
        <v>51</v>
      </c>
      <c r="P903" s="202">
        <v>109539</v>
      </c>
      <c r="Q903" s="198" t="s">
        <v>75</v>
      </c>
      <c r="R903" s="198" t="s">
        <v>53</v>
      </c>
      <c r="S903" s="198" t="s">
        <v>54</v>
      </c>
      <c r="T903" s="198" t="s">
        <v>661</v>
      </c>
      <c r="U903" s="198" t="s">
        <v>367</v>
      </c>
      <c r="V903" s="198" t="s">
        <v>56</v>
      </c>
      <c r="W903" s="198" t="s">
        <v>356</v>
      </c>
      <c r="X903" s="198" t="s">
        <v>57</v>
      </c>
      <c r="Y903" s="198" t="s">
        <v>58</v>
      </c>
      <c r="Z903" s="201">
        <v>46234</v>
      </c>
      <c r="AA903" s="198" t="s">
        <v>59</v>
      </c>
      <c r="AB903" s="198" t="s">
        <v>60</v>
      </c>
      <c r="AC903" s="198" t="s">
        <v>86</v>
      </c>
      <c r="AD903" s="198" t="s">
        <v>62</v>
      </c>
      <c r="AE903" s="198" t="s">
        <v>598</v>
      </c>
      <c r="AF903" s="198" t="s">
        <v>597</v>
      </c>
      <c r="AG903" s="198" t="s">
        <v>248</v>
      </c>
      <c r="AH903" s="198" t="s">
        <v>130</v>
      </c>
      <c r="AI903" s="198" t="s">
        <v>56</v>
      </c>
      <c r="AJ903" s="198" t="s">
        <v>318</v>
      </c>
      <c r="AK903" s="198" t="s">
        <v>51</v>
      </c>
      <c r="AL903" s="198" t="s">
        <v>67</v>
      </c>
      <c r="AM903" s="198" t="s">
        <v>68</v>
      </c>
      <c r="AN903" s="202">
        <v>109539</v>
      </c>
      <c r="AO903" s="202">
        <v>109539</v>
      </c>
      <c r="AP903" s="202">
        <v>109539</v>
      </c>
      <c r="AQ903" s="198" t="s">
        <v>358</v>
      </c>
      <c r="AR903" s="198" t="s">
        <v>51</v>
      </c>
      <c r="AS903" s="202">
        <v>109539</v>
      </c>
      <c r="AT903" s="202">
        <v>109539</v>
      </c>
      <c r="AU903" s="198" t="s">
        <v>359</v>
      </c>
      <c r="AV903" s="198" t="s">
        <v>62</v>
      </c>
      <c r="AW903" s="198" t="s">
        <v>54</v>
      </c>
    </row>
    <row r="904" spans="3:49" outlineLevel="2" x14ac:dyDescent="0.25">
      <c r="C904" s="201"/>
      <c r="D904" s="198" t="s">
        <v>129</v>
      </c>
      <c r="H904" s="198" t="s">
        <v>129</v>
      </c>
      <c r="I904" s="202">
        <f t="shared" si="14"/>
        <v>377029238.84999961</v>
      </c>
      <c r="J904" s="202">
        <v>91.299999999999898</v>
      </c>
      <c r="L904" s="204">
        <v>2700</v>
      </c>
      <c r="M904" s="202">
        <v>68796</v>
      </c>
      <c r="N904" s="204">
        <v>2700</v>
      </c>
      <c r="O904" s="198" t="s">
        <v>51</v>
      </c>
      <c r="P904" s="202">
        <v>68796</v>
      </c>
      <c r="Q904" s="198" t="s">
        <v>75</v>
      </c>
      <c r="R904" s="198" t="s">
        <v>53</v>
      </c>
      <c r="S904" s="198" t="s">
        <v>54</v>
      </c>
      <c r="T904" s="198" t="s">
        <v>661</v>
      </c>
      <c r="U904" s="198" t="s">
        <v>367</v>
      </c>
      <c r="V904" s="198" t="s">
        <v>56</v>
      </c>
      <c r="W904" s="198" t="s">
        <v>356</v>
      </c>
      <c r="X904" s="198" t="s">
        <v>57</v>
      </c>
      <c r="Y904" s="198" t="s">
        <v>58</v>
      </c>
      <c r="Z904" s="201">
        <v>46234</v>
      </c>
      <c r="AA904" s="198" t="s">
        <v>59</v>
      </c>
      <c r="AB904" s="198" t="s">
        <v>60</v>
      </c>
      <c r="AC904" s="198" t="s">
        <v>86</v>
      </c>
      <c r="AD904" s="198" t="s">
        <v>62</v>
      </c>
      <c r="AE904" s="198" t="s">
        <v>600</v>
      </c>
      <c r="AF904" s="198" t="s">
        <v>599</v>
      </c>
      <c r="AG904" s="198" t="s">
        <v>248</v>
      </c>
      <c r="AH904" s="198" t="s">
        <v>130</v>
      </c>
      <c r="AI904" s="198" t="s">
        <v>56</v>
      </c>
      <c r="AJ904" s="198" t="s">
        <v>325</v>
      </c>
      <c r="AK904" s="198" t="s">
        <v>51</v>
      </c>
      <c r="AL904" s="198" t="s">
        <v>67</v>
      </c>
      <c r="AM904" s="198" t="s">
        <v>68</v>
      </c>
      <c r="AN904" s="202">
        <v>68796</v>
      </c>
      <c r="AO904" s="202">
        <v>68796</v>
      </c>
      <c r="AP904" s="202">
        <v>68796</v>
      </c>
      <c r="AQ904" s="198" t="s">
        <v>358</v>
      </c>
      <c r="AR904" s="198" t="s">
        <v>51</v>
      </c>
      <c r="AS904" s="202">
        <v>68796</v>
      </c>
      <c r="AT904" s="202">
        <v>68796</v>
      </c>
      <c r="AU904" s="198" t="s">
        <v>359</v>
      </c>
      <c r="AV904" s="198" t="s">
        <v>62</v>
      </c>
      <c r="AW904" s="198" t="s">
        <v>54</v>
      </c>
    </row>
    <row r="905" spans="3:49" outlineLevel="2" x14ac:dyDescent="0.25">
      <c r="C905" s="201"/>
      <c r="D905" s="198" t="s">
        <v>129</v>
      </c>
      <c r="H905" s="198" t="s">
        <v>129</v>
      </c>
      <c r="I905" s="202">
        <f t="shared" si="14"/>
        <v>377442195.29999959</v>
      </c>
      <c r="J905" s="202">
        <v>91.399999999999906</v>
      </c>
      <c r="L905" s="204">
        <v>4680</v>
      </c>
      <c r="M905" s="202">
        <v>73616.399999999994</v>
      </c>
      <c r="N905" s="204">
        <v>4680</v>
      </c>
      <c r="O905" s="198" t="s">
        <v>51</v>
      </c>
      <c r="P905" s="202">
        <v>73616.399999999994</v>
      </c>
      <c r="Q905" s="198" t="s">
        <v>75</v>
      </c>
      <c r="R905" s="198" t="s">
        <v>53</v>
      </c>
      <c r="S905" s="198" t="s">
        <v>54</v>
      </c>
      <c r="T905" s="198" t="s">
        <v>661</v>
      </c>
      <c r="U905" s="198" t="s">
        <v>367</v>
      </c>
      <c r="V905" s="198" t="s">
        <v>56</v>
      </c>
      <c r="W905" s="198" t="s">
        <v>356</v>
      </c>
      <c r="X905" s="198" t="s">
        <v>57</v>
      </c>
      <c r="Y905" s="198" t="s">
        <v>58</v>
      </c>
      <c r="Z905" s="201">
        <v>46234</v>
      </c>
      <c r="AA905" s="198" t="s">
        <v>59</v>
      </c>
      <c r="AB905" s="198" t="s">
        <v>60</v>
      </c>
      <c r="AC905" s="198" t="s">
        <v>86</v>
      </c>
      <c r="AD905" s="198" t="s">
        <v>62</v>
      </c>
      <c r="AE905" s="198" t="s">
        <v>602</v>
      </c>
      <c r="AF905" s="198" t="s">
        <v>601</v>
      </c>
      <c r="AG905" s="198" t="s">
        <v>248</v>
      </c>
      <c r="AH905" s="198" t="s">
        <v>130</v>
      </c>
      <c r="AI905" s="198" t="s">
        <v>56</v>
      </c>
      <c r="AJ905" s="198" t="s">
        <v>318</v>
      </c>
      <c r="AK905" s="198" t="s">
        <v>51</v>
      </c>
      <c r="AL905" s="198" t="s">
        <v>67</v>
      </c>
      <c r="AM905" s="198" t="s">
        <v>68</v>
      </c>
      <c r="AN905" s="202">
        <v>73616.399999999994</v>
      </c>
      <c r="AO905" s="202">
        <v>73616.399999999994</v>
      </c>
      <c r="AP905" s="202">
        <v>73616.399999999994</v>
      </c>
      <c r="AQ905" s="198" t="s">
        <v>358</v>
      </c>
      <c r="AR905" s="198" t="s">
        <v>51</v>
      </c>
      <c r="AS905" s="202">
        <v>73616.399999999994</v>
      </c>
      <c r="AT905" s="202">
        <v>73616.399999999994</v>
      </c>
      <c r="AU905" s="198" t="s">
        <v>359</v>
      </c>
      <c r="AV905" s="198" t="s">
        <v>62</v>
      </c>
      <c r="AW905" s="198" t="s">
        <v>54</v>
      </c>
    </row>
    <row r="906" spans="3:49" outlineLevel="2" x14ac:dyDescent="0.25">
      <c r="C906" s="201"/>
      <c r="D906" s="198" t="s">
        <v>129</v>
      </c>
      <c r="H906" s="198" t="s">
        <v>129</v>
      </c>
      <c r="I906" s="202">
        <f t="shared" si="14"/>
        <v>377855151.74999958</v>
      </c>
      <c r="J906" s="202">
        <v>91.499999999999901</v>
      </c>
      <c r="L906" s="204">
        <v>21773</v>
      </c>
      <c r="M906" s="202">
        <v>13760536</v>
      </c>
      <c r="N906" s="204">
        <v>21773</v>
      </c>
      <c r="O906" s="198" t="s">
        <v>51</v>
      </c>
      <c r="P906" s="202">
        <v>13760536</v>
      </c>
      <c r="Q906" s="198" t="s">
        <v>73</v>
      </c>
      <c r="R906" s="198" t="s">
        <v>53</v>
      </c>
      <c r="S906" s="198" t="s">
        <v>54</v>
      </c>
      <c r="T906" s="198" t="s">
        <v>661</v>
      </c>
      <c r="U906" s="198" t="s">
        <v>367</v>
      </c>
      <c r="V906" s="198" t="s">
        <v>56</v>
      </c>
      <c r="W906" s="198" t="s">
        <v>356</v>
      </c>
      <c r="X906" s="198" t="s">
        <v>57</v>
      </c>
      <c r="Y906" s="198" t="s">
        <v>58</v>
      </c>
      <c r="Z906" s="201">
        <v>46234</v>
      </c>
      <c r="AA906" s="198" t="s">
        <v>59</v>
      </c>
      <c r="AB906" s="198" t="s">
        <v>60</v>
      </c>
      <c r="AC906" s="198" t="s">
        <v>86</v>
      </c>
      <c r="AD906" s="198" t="s">
        <v>62</v>
      </c>
      <c r="AE906" s="198" t="s">
        <v>612</v>
      </c>
      <c r="AF906" s="198" t="s">
        <v>611</v>
      </c>
      <c r="AG906" s="198" t="s">
        <v>248</v>
      </c>
      <c r="AH906" s="198" t="s">
        <v>130</v>
      </c>
      <c r="AI906" s="198" t="s">
        <v>56</v>
      </c>
      <c r="AJ906" s="198" t="s">
        <v>318</v>
      </c>
      <c r="AK906" s="198" t="s">
        <v>51</v>
      </c>
      <c r="AL906" s="198" t="s">
        <v>67</v>
      </c>
      <c r="AM906" s="198" t="s">
        <v>68</v>
      </c>
      <c r="AN906" s="202">
        <v>13760536</v>
      </c>
      <c r="AO906" s="202">
        <v>13760536</v>
      </c>
      <c r="AP906" s="202">
        <v>13760536</v>
      </c>
      <c r="AQ906" s="198" t="s">
        <v>358</v>
      </c>
      <c r="AR906" s="198" t="s">
        <v>51</v>
      </c>
      <c r="AS906" s="202">
        <v>13760536</v>
      </c>
      <c r="AT906" s="202">
        <v>13760536</v>
      </c>
      <c r="AU906" s="198" t="s">
        <v>359</v>
      </c>
      <c r="AV906" s="198" t="s">
        <v>62</v>
      </c>
      <c r="AW906" s="198" t="s">
        <v>54</v>
      </c>
    </row>
    <row r="907" spans="3:49" outlineLevel="2" x14ac:dyDescent="0.25">
      <c r="C907" s="201"/>
      <c r="D907" s="198" t="s">
        <v>129</v>
      </c>
      <c r="H907" s="198" t="s">
        <v>129</v>
      </c>
      <c r="I907" s="202">
        <f t="shared" si="14"/>
        <v>378268108.19999957</v>
      </c>
      <c r="J907" s="202">
        <v>91.599999999999895</v>
      </c>
      <c r="L907" s="204">
        <v>21773</v>
      </c>
      <c r="M907" s="202">
        <v>14000039</v>
      </c>
      <c r="N907" s="204">
        <v>14573</v>
      </c>
      <c r="O907" s="198" t="s">
        <v>51</v>
      </c>
      <c r="P907" s="202">
        <v>9370439</v>
      </c>
      <c r="Q907" s="198" t="s">
        <v>73</v>
      </c>
      <c r="R907" s="198" t="s">
        <v>53</v>
      </c>
      <c r="S907" s="198" t="s">
        <v>54</v>
      </c>
      <c r="T907" s="198" t="s">
        <v>661</v>
      </c>
      <c r="U907" s="198" t="s">
        <v>574</v>
      </c>
      <c r="V907" s="198" t="s">
        <v>56</v>
      </c>
      <c r="W907" s="198" t="s">
        <v>356</v>
      </c>
      <c r="X907" s="198" t="s">
        <v>57</v>
      </c>
      <c r="Y907" s="198" t="s">
        <v>58</v>
      </c>
      <c r="Z907" s="201">
        <v>46234</v>
      </c>
      <c r="AA907" s="198" t="s">
        <v>59</v>
      </c>
      <c r="AB907" s="198" t="s">
        <v>60</v>
      </c>
      <c r="AC907" s="198" t="s">
        <v>86</v>
      </c>
      <c r="AD907" s="198" t="s">
        <v>62</v>
      </c>
      <c r="AE907" s="198" t="s">
        <v>614</v>
      </c>
      <c r="AF907" s="198" t="s">
        <v>613</v>
      </c>
      <c r="AG907" s="198" t="s">
        <v>248</v>
      </c>
      <c r="AH907" s="198" t="s">
        <v>130</v>
      </c>
      <c r="AI907" s="198" t="s">
        <v>56</v>
      </c>
      <c r="AJ907" s="198" t="s">
        <v>318</v>
      </c>
      <c r="AK907" s="198" t="s">
        <v>51</v>
      </c>
      <c r="AL907" s="198" t="s">
        <v>67</v>
      </c>
      <c r="AM907" s="198" t="s">
        <v>68</v>
      </c>
      <c r="AN907" s="202">
        <v>14000039</v>
      </c>
      <c r="AO907" s="202">
        <v>14000039</v>
      </c>
      <c r="AP907" s="202">
        <v>14000039</v>
      </c>
      <c r="AQ907" s="198" t="s">
        <v>358</v>
      </c>
      <c r="AR907" s="198" t="s">
        <v>51</v>
      </c>
      <c r="AS907" s="202">
        <v>9370439</v>
      </c>
      <c r="AT907" s="202">
        <v>9370439</v>
      </c>
      <c r="AU907" s="198" t="s">
        <v>359</v>
      </c>
      <c r="AV907" s="198" t="s">
        <v>62</v>
      </c>
      <c r="AW907" s="198" t="s">
        <v>54</v>
      </c>
    </row>
    <row r="908" spans="3:49" outlineLevel="2" x14ac:dyDescent="0.25">
      <c r="C908" s="201"/>
      <c r="D908" s="198" t="s">
        <v>129</v>
      </c>
      <c r="H908" s="198" t="s">
        <v>129</v>
      </c>
      <c r="I908" s="202">
        <f t="shared" si="14"/>
        <v>378681064.64999962</v>
      </c>
      <c r="J908" s="202">
        <v>91.699999999999903</v>
      </c>
      <c r="L908" s="204">
        <v>908</v>
      </c>
      <c r="M908" s="202">
        <v>1234880</v>
      </c>
      <c r="N908" s="204">
        <v>908</v>
      </c>
      <c r="O908" s="198" t="s">
        <v>51</v>
      </c>
      <c r="P908" s="202">
        <v>1234880</v>
      </c>
      <c r="Q908" s="198" t="s">
        <v>73</v>
      </c>
      <c r="R908" s="198" t="s">
        <v>53</v>
      </c>
      <c r="S908" s="198" t="s">
        <v>54</v>
      </c>
      <c r="T908" s="198" t="s">
        <v>661</v>
      </c>
      <c r="U908" s="198" t="s">
        <v>367</v>
      </c>
      <c r="V908" s="198" t="s">
        <v>56</v>
      </c>
      <c r="W908" s="198" t="s">
        <v>356</v>
      </c>
      <c r="X908" s="198" t="s">
        <v>57</v>
      </c>
      <c r="Y908" s="198" t="s">
        <v>58</v>
      </c>
      <c r="Z908" s="201">
        <v>46234</v>
      </c>
      <c r="AA908" s="198" t="s">
        <v>59</v>
      </c>
      <c r="AB908" s="198" t="s">
        <v>60</v>
      </c>
      <c r="AC908" s="198" t="s">
        <v>86</v>
      </c>
      <c r="AD908" s="198" t="s">
        <v>62</v>
      </c>
      <c r="AE908" s="198" t="s">
        <v>616</v>
      </c>
      <c r="AF908" s="198" t="s">
        <v>615</v>
      </c>
      <c r="AG908" s="198" t="s">
        <v>248</v>
      </c>
      <c r="AH908" s="198" t="s">
        <v>130</v>
      </c>
      <c r="AI908" s="198" t="s">
        <v>56</v>
      </c>
      <c r="AJ908" s="198" t="s">
        <v>318</v>
      </c>
      <c r="AK908" s="198" t="s">
        <v>51</v>
      </c>
      <c r="AL908" s="198" t="s">
        <v>67</v>
      </c>
      <c r="AM908" s="198" t="s">
        <v>68</v>
      </c>
      <c r="AN908" s="202">
        <v>1234880</v>
      </c>
      <c r="AO908" s="202">
        <v>1234880</v>
      </c>
      <c r="AP908" s="202">
        <v>1234880</v>
      </c>
      <c r="AQ908" s="198" t="s">
        <v>358</v>
      </c>
      <c r="AR908" s="198" t="s">
        <v>51</v>
      </c>
      <c r="AS908" s="202">
        <v>1234880</v>
      </c>
      <c r="AT908" s="202">
        <v>1234880</v>
      </c>
      <c r="AU908" s="198" t="s">
        <v>359</v>
      </c>
      <c r="AV908" s="198" t="s">
        <v>62</v>
      </c>
      <c r="AW908" s="198" t="s">
        <v>54</v>
      </c>
    </row>
    <row r="909" spans="3:49" outlineLevel="2" x14ac:dyDescent="0.25">
      <c r="C909" s="201"/>
      <c r="D909" s="198" t="s">
        <v>129</v>
      </c>
      <c r="H909" s="198" t="s">
        <v>129</v>
      </c>
      <c r="I909" s="202">
        <f t="shared" si="14"/>
        <v>379094021.09999961</v>
      </c>
      <c r="J909" s="202">
        <v>91.799999999999898</v>
      </c>
      <c r="L909" s="204">
        <v>2722</v>
      </c>
      <c r="M909" s="202">
        <v>1464436</v>
      </c>
      <c r="N909" s="204">
        <v>2722</v>
      </c>
      <c r="O909" s="198" t="s">
        <v>51</v>
      </c>
      <c r="P909" s="202">
        <v>1464436</v>
      </c>
      <c r="Q909" s="198" t="s">
        <v>73</v>
      </c>
      <c r="R909" s="198" t="s">
        <v>53</v>
      </c>
      <c r="S909" s="198" t="s">
        <v>54</v>
      </c>
      <c r="T909" s="198" t="s">
        <v>661</v>
      </c>
      <c r="U909" s="198" t="s">
        <v>367</v>
      </c>
      <c r="V909" s="198" t="s">
        <v>56</v>
      </c>
      <c r="W909" s="198" t="s">
        <v>356</v>
      </c>
      <c r="X909" s="198" t="s">
        <v>57</v>
      </c>
      <c r="Y909" s="198" t="s">
        <v>58</v>
      </c>
      <c r="Z909" s="201">
        <v>46234</v>
      </c>
      <c r="AA909" s="198" t="s">
        <v>59</v>
      </c>
      <c r="AB909" s="198" t="s">
        <v>60</v>
      </c>
      <c r="AC909" s="198" t="s">
        <v>86</v>
      </c>
      <c r="AD909" s="198" t="s">
        <v>62</v>
      </c>
      <c r="AE909" s="198" t="s">
        <v>614</v>
      </c>
      <c r="AF909" s="198" t="s">
        <v>613</v>
      </c>
      <c r="AG909" s="198" t="s">
        <v>248</v>
      </c>
      <c r="AH909" s="198" t="s">
        <v>130</v>
      </c>
      <c r="AI909" s="198" t="s">
        <v>56</v>
      </c>
      <c r="AJ909" s="198" t="s">
        <v>318</v>
      </c>
      <c r="AK909" s="198" t="s">
        <v>51</v>
      </c>
      <c r="AL909" s="198" t="s">
        <v>67</v>
      </c>
      <c r="AM909" s="198" t="s">
        <v>68</v>
      </c>
      <c r="AN909" s="202">
        <v>1464436</v>
      </c>
      <c r="AO909" s="202">
        <v>1464436</v>
      </c>
      <c r="AP909" s="202">
        <v>1464436</v>
      </c>
      <c r="AQ909" s="198" t="s">
        <v>358</v>
      </c>
      <c r="AR909" s="198" t="s">
        <v>51</v>
      </c>
      <c r="AS909" s="202">
        <v>1464436</v>
      </c>
      <c r="AT909" s="202">
        <v>1464436</v>
      </c>
      <c r="AU909" s="198" t="s">
        <v>359</v>
      </c>
      <c r="AV909" s="198" t="s">
        <v>62</v>
      </c>
      <c r="AW909" s="198" t="s">
        <v>54</v>
      </c>
    </row>
    <row r="910" spans="3:49" outlineLevel="2" x14ac:dyDescent="0.25">
      <c r="C910" s="201"/>
      <c r="D910" s="198" t="s">
        <v>129</v>
      </c>
      <c r="H910" s="198" t="s">
        <v>129</v>
      </c>
      <c r="I910" s="202">
        <f t="shared" si="14"/>
        <v>379506977.54999959</v>
      </c>
      <c r="J910" s="202">
        <v>91.899999999999906</v>
      </c>
      <c r="L910" s="204">
        <v>907</v>
      </c>
      <c r="M910" s="202">
        <v>299310</v>
      </c>
      <c r="N910" s="204">
        <v>907</v>
      </c>
      <c r="O910" s="198" t="s">
        <v>51</v>
      </c>
      <c r="P910" s="202">
        <v>299310</v>
      </c>
      <c r="Q910" s="198" t="s">
        <v>73</v>
      </c>
      <c r="R910" s="198" t="s">
        <v>53</v>
      </c>
      <c r="S910" s="198" t="s">
        <v>54</v>
      </c>
      <c r="T910" s="198" t="s">
        <v>661</v>
      </c>
      <c r="U910" s="198" t="s">
        <v>367</v>
      </c>
      <c r="V910" s="198" t="s">
        <v>56</v>
      </c>
      <c r="W910" s="198" t="s">
        <v>356</v>
      </c>
      <c r="X910" s="198" t="s">
        <v>57</v>
      </c>
      <c r="Y910" s="198" t="s">
        <v>58</v>
      </c>
      <c r="Z910" s="201">
        <v>46234</v>
      </c>
      <c r="AA910" s="198" t="s">
        <v>59</v>
      </c>
      <c r="AB910" s="198" t="s">
        <v>60</v>
      </c>
      <c r="AC910" s="198" t="s">
        <v>86</v>
      </c>
      <c r="AD910" s="198" t="s">
        <v>62</v>
      </c>
      <c r="AE910" s="198" t="s">
        <v>614</v>
      </c>
      <c r="AF910" s="198" t="s">
        <v>613</v>
      </c>
      <c r="AG910" s="198" t="s">
        <v>248</v>
      </c>
      <c r="AH910" s="198" t="s">
        <v>130</v>
      </c>
      <c r="AI910" s="198" t="s">
        <v>56</v>
      </c>
      <c r="AJ910" s="198" t="s">
        <v>318</v>
      </c>
      <c r="AK910" s="198" t="s">
        <v>51</v>
      </c>
      <c r="AL910" s="198" t="s">
        <v>67</v>
      </c>
      <c r="AM910" s="198" t="s">
        <v>68</v>
      </c>
      <c r="AN910" s="202">
        <v>299310</v>
      </c>
      <c r="AO910" s="202">
        <v>299310</v>
      </c>
      <c r="AP910" s="202">
        <v>299310</v>
      </c>
      <c r="AQ910" s="198" t="s">
        <v>358</v>
      </c>
      <c r="AR910" s="198" t="s">
        <v>51</v>
      </c>
      <c r="AS910" s="202">
        <v>299310</v>
      </c>
      <c r="AT910" s="202">
        <v>299310</v>
      </c>
      <c r="AU910" s="198" t="s">
        <v>359</v>
      </c>
      <c r="AV910" s="198" t="s">
        <v>62</v>
      </c>
      <c r="AW910" s="198" t="s">
        <v>54</v>
      </c>
    </row>
    <row r="911" spans="3:49" outlineLevel="2" x14ac:dyDescent="0.25">
      <c r="C911" s="201"/>
      <c r="D911" s="198" t="s">
        <v>129</v>
      </c>
      <c r="H911" s="198" t="s">
        <v>129</v>
      </c>
      <c r="I911" s="202">
        <f t="shared" si="14"/>
        <v>379919933.99999958</v>
      </c>
      <c r="J911" s="202">
        <v>91.999999999999901</v>
      </c>
      <c r="L911" s="204">
        <v>908</v>
      </c>
      <c r="M911" s="202">
        <v>335960</v>
      </c>
      <c r="N911" s="204">
        <v>908</v>
      </c>
      <c r="O911" s="198" t="s">
        <v>51</v>
      </c>
      <c r="P911" s="202">
        <v>335960</v>
      </c>
      <c r="Q911" s="198" t="s">
        <v>73</v>
      </c>
      <c r="R911" s="198" t="s">
        <v>53</v>
      </c>
      <c r="S911" s="198" t="s">
        <v>54</v>
      </c>
      <c r="T911" s="198" t="s">
        <v>661</v>
      </c>
      <c r="U911" s="198" t="s">
        <v>367</v>
      </c>
      <c r="V911" s="198" t="s">
        <v>56</v>
      </c>
      <c r="W911" s="198" t="s">
        <v>356</v>
      </c>
      <c r="X911" s="198" t="s">
        <v>57</v>
      </c>
      <c r="Y911" s="198" t="s">
        <v>58</v>
      </c>
      <c r="Z911" s="201">
        <v>46234</v>
      </c>
      <c r="AA911" s="198" t="s">
        <v>59</v>
      </c>
      <c r="AB911" s="198" t="s">
        <v>60</v>
      </c>
      <c r="AC911" s="198" t="s">
        <v>86</v>
      </c>
      <c r="AD911" s="198" t="s">
        <v>62</v>
      </c>
      <c r="AE911" s="198" t="s">
        <v>618</v>
      </c>
      <c r="AF911" s="198" t="s">
        <v>617</v>
      </c>
      <c r="AG911" s="198" t="s">
        <v>248</v>
      </c>
      <c r="AH911" s="198" t="s">
        <v>130</v>
      </c>
      <c r="AI911" s="198" t="s">
        <v>56</v>
      </c>
      <c r="AJ911" s="198" t="s">
        <v>318</v>
      </c>
      <c r="AK911" s="198" t="s">
        <v>51</v>
      </c>
      <c r="AL911" s="198" t="s">
        <v>67</v>
      </c>
      <c r="AM911" s="198" t="s">
        <v>68</v>
      </c>
      <c r="AN911" s="202">
        <v>335960</v>
      </c>
      <c r="AO911" s="202">
        <v>335960</v>
      </c>
      <c r="AP911" s="202">
        <v>335960</v>
      </c>
      <c r="AQ911" s="198" t="s">
        <v>358</v>
      </c>
      <c r="AR911" s="198" t="s">
        <v>51</v>
      </c>
      <c r="AS911" s="202">
        <v>335960</v>
      </c>
      <c r="AT911" s="202">
        <v>335960</v>
      </c>
      <c r="AU911" s="198" t="s">
        <v>359</v>
      </c>
      <c r="AV911" s="198" t="s">
        <v>62</v>
      </c>
      <c r="AW911" s="198" t="s">
        <v>54</v>
      </c>
    </row>
    <row r="912" spans="3:49" outlineLevel="2" x14ac:dyDescent="0.25">
      <c r="C912" s="201"/>
      <c r="D912" s="198" t="s">
        <v>129</v>
      </c>
      <c r="H912" s="198" t="s">
        <v>129</v>
      </c>
      <c r="I912" s="202">
        <f t="shared" si="14"/>
        <v>380332890.44999957</v>
      </c>
      <c r="J912" s="202">
        <v>92.099999999999895</v>
      </c>
      <c r="L912" s="204">
        <v>397</v>
      </c>
      <c r="M912" s="202">
        <v>264402</v>
      </c>
      <c r="N912" s="204">
        <v>397</v>
      </c>
      <c r="O912" s="198" t="s">
        <v>51</v>
      </c>
      <c r="P912" s="202">
        <v>264402</v>
      </c>
      <c r="Q912" s="198" t="s">
        <v>73</v>
      </c>
      <c r="R912" s="198" t="s">
        <v>53</v>
      </c>
      <c r="S912" s="198" t="s">
        <v>54</v>
      </c>
      <c r="T912" s="198" t="s">
        <v>661</v>
      </c>
      <c r="U912" s="198" t="s">
        <v>367</v>
      </c>
      <c r="V912" s="198" t="s">
        <v>56</v>
      </c>
      <c r="W912" s="198" t="s">
        <v>356</v>
      </c>
      <c r="X912" s="198" t="s">
        <v>57</v>
      </c>
      <c r="Y912" s="198" t="s">
        <v>58</v>
      </c>
      <c r="Z912" s="201">
        <v>46234</v>
      </c>
      <c r="AA912" s="198" t="s">
        <v>59</v>
      </c>
      <c r="AB912" s="198" t="s">
        <v>60</v>
      </c>
      <c r="AC912" s="198" t="s">
        <v>86</v>
      </c>
      <c r="AD912" s="198" t="s">
        <v>62</v>
      </c>
      <c r="AE912" s="198" t="s">
        <v>620</v>
      </c>
      <c r="AF912" s="198" t="s">
        <v>619</v>
      </c>
      <c r="AG912" s="198" t="s">
        <v>248</v>
      </c>
      <c r="AH912" s="198" t="s">
        <v>130</v>
      </c>
      <c r="AI912" s="198" t="s">
        <v>56</v>
      </c>
      <c r="AJ912" s="198" t="s">
        <v>318</v>
      </c>
      <c r="AK912" s="198" t="s">
        <v>51</v>
      </c>
      <c r="AL912" s="198" t="s">
        <v>67</v>
      </c>
      <c r="AM912" s="198" t="s">
        <v>68</v>
      </c>
      <c r="AN912" s="202">
        <v>264402</v>
      </c>
      <c r="AO912" s="202">
        <v>264402</v>
      </c>
      <c r="AP912" s="202">
        <v>264402</v>
      </c>
      <c r="AQ912" s="198" t="s">
        <v>358</v>
      </c>
      <c r="AR912" s="198" t="s">
        <v>51</v>
      </c>
      <c r="AS912" s="202">
        <v>264402</v>
      </c>
      <c r="AT912" s="202">
        <v>264402</v>
      </c>
      <c r="AU912" s="198" t="s">
        <v>359</v>
      </c>
      <c r="AV912" s="198" t="s">
        <v>62</v>
      </c>
      <c r="AW912" s="198" t="s">
        <v>54</v>
      </c>
    </row>
    <row r="913" spans="3:49" outlineLevel="2" x14ac:dyDescent="0.25">
      <c r="C913" s="201"/>
      <c r="D913" s="198" t="s">
        <v>129</v>
      </c>
      <c r="H913" s="198" t="s">
        <v>129</v>
      </c>
      <c r="I913" s="202">
        <f t="shared" si="14"/>
        <v>380745846.89999962</v>
      </c>
      <c r="J913" s="202">
        <v>92.199999999999903</v>
      </c>
      <c r="L913" s="204">
        <v>648</v>
      </c>
      <c r="M913" s="202">
        <v>220968</v>
      </c>
      <c r="N913" s="204">
        <v>648</v>
      </c>
      <c r="O913" s="198" t="s">
        <v>51</v>
      </c>
      <c r="P913" s="202">
        <v>220968</v>
      </c>
      <c r="Q913" s="198" t="s">
        <v>73</v>
      </c>
      <c r="R913" s="198" t="s">
        <v>53</v>
      </c>
      <c r="S913" s="198" t="s">
        <v>54</v>
      </c>
      <c r="T913" s="198" t="s">
        <v>661</v>
      </c>
      <c r="U913" s="198" t="s">
        <v>367</v>
      </c>
      <c r="V913" s="198" t="s">
        <v>56</v>
      </c>
      <c r="W913" s="198" t="s">
        <v>356</v>
      </c>
      <c r="X913" s="198" t="s">
        <v>57</v>
      </c>
      <c r="Y913" s="198" t="s">
        <v>58</v>
      </c>
      <c r="Z913" s="201">
        <v>46234</v>
      </c>
      <c r="AA913" s="198" t="s">
        <v>59</v>
      </c>
      <c r="AB913" s="198" t="s">
        <v>60</v>
      </c>
      <c r="AC913" s="198" t="s">
        <v>86</v>
      </c>
      <c r="AD913" s="198" t="s">
        <v>62</v>
      </c>
      <c r="AE913" s="198" t="s">
        <v>622</v>
      </c>
      <c r="AF913" s="198" t="s">
        <v>621</v>
      </c>
      <c r="AG913" s="198" t="s">
        <v>248</v>
      </c>
      <c r="AH913" s="198" t="s">
        <v>130</v>
      </c>
      <c r="AI913" s="198" t="s">
        <v>56</v>
      </c>
      <c r="AJ913" s="198" t="s">
        <v>318</v>
      </c>
      <c r="AK913" s="198" t="s">
        <v>51</v>
      </c>
      <c r="AL913" s="198" t="s">
        <v>67</v>
      </c>
      <c r="AM913" s="198" t="s">
        <v>68</v>
      </c>
      <c r="AN913" s="202">
        <v>220968</v>
      </c>
      <c r="AO913" s="202">
        <v>220968</v>
      </c>
      <c r="AP913" s="202">
        <v>220968</v>
      </c>
      <c r="AQ913" s="198" t="s">
        <v>358</v>
      </c>
      <c r="AR913" s="198" t="s">
        <v>51</v>
      </c>
      <c r="AS913" s="202">
        <v>220968</v>
      </c>
      <c r="AT913" s="202">
        <v>220968</v>
      </c>
      <c r="AU913" s="198" t="s">
        <v>359</v>
      </c>
      <c r="AV913" s="198" t="s">
        <v>62</v>
      </c>
      <c r="AW913" s="198" t="s">
        <v>54</v>
      </c>
    </row>
    <row r="914" spans="3:49" outlineLevel="2" x14ac:dyDescent="0.25">
      <c r="C914" s="201"/>
      <c r="D914" s="198" t="s">
        <v>129</v>
      </c>
      <c r="H914" s="198" t="s">
        <v>129</v>
      </c>
      <c r="I914" s="202">
        <f t="shared" si="14"/>
        <v>381158803.34999961</v>
      </c>
      <c r="J914" s="202">
        <v>92.299999999999898</v>
      </c>
      <c r="L914" s="204">
        <v>540</v>
      </c>
      <c r="M914" s="202">
        <v>253260</v>
      </c>
      <c r="N914" s="204">
        <v>540</v>
      </c>
      <c r="O914" s="198" t="s">
        <v>51</v>
      </c>
      <c r="P914" s="202">
        <v>253260</v>
      </c>
      <c r="Q914" s="198" t="s">
        <v>73</v>
      </c>
      <c r="R914" s="198" t="s">
        <v>53</v>
      </c>
      <c r="S914" s="198" t="s">
        <v>54</v>
      </c>
      <c r="T914" s="198" t="s">
        <v>661</v>
      </c>
      <c r="U914" s="198" t="s">
        <v>367</v>
      </c>
      <c r="V914" s="198" t="s">
        <v>56</v>
      </c>
      <c r="W914" s="198" t="s">
        <v>356</v>
      </c>
      <c r="X914" s="198" t="s">
        <v>57</v>
      </c>
      <c r="Y914" s="198" t="s">
        <v>58</v>
      </c>
      <c r="Z914" s="201">
        <v>46234</v>
      </c>
      <c r="AA914" s="198" t="s">
        <v>59</v>
      </c>
      <c r="AB914" s="198" t="s">
        <v>60</v>
      </c>
      <c r="AC914" s="198" t="s">
        <v>86</v>
      </c>
      <c r="AD914" s="198" t="s">
        <v>62</v>
      </c>
      <c r="AE914" s="198" t="s">
        <v>624</v>
      </c>
      <c r="AF914" s="198" t="s">
        <v>623</v>
      </c>
      <c r="AG914" s="198" t="s">
        <v>248</v>
      </c>
      <c r="AH914" s="198" t="s">
        <v>130</v>
      </c>
      <c r="AI914" s="198" t="s">
        <v>56</v>
      </c>
      <c r="AJ914" s="198" t="s">
        <v>318</v>
      </c>
      <c r="AK914" s="198" t="s">
        <v>51</v>
      </c>
      <c r="AL914" s="198" t="s">
        <v>67</v>
      </c>
      <c r="AM914" s="198" t="s">
        <v>68</v>
      </c>
      <c r="AN914" s="202">
        <v>253260</v>
      </c>
      <c r="AO914" s="202">
        <v>253260</v>
      </c>
      <c r="AP914" s="202">
        <v>253260</v>
      </c>
      <c r="AQ914" s="198" t="s">
        <v>358</v>
      </c>
      <c r="AR914" s="198" t="s">
        <v>51</v>
      </c>
      <c r="AS914" s="202">
        <v>253260</v>
      </c>
      <c r="AT914" s="202">
        <v>253260</v>
      </c>
      <c r="AU914" s="198" t="s">
        <v>359</v>
      </c>
      <c r="AV914" s="198" t="s">
        <v>62</v>
      </c>
      <c r="AW914" s="198" t="s">
        <v>54</v>
      </c>
    </row>
    <row r="915" spans="3:49" outlineLevel="2" x14ac:dyDescent="0.25">
      <c r="C915" s="201"/>
      <c r="D915" s="198" t="s">
        <v>129</v>
      </c>
      <c r="H915" s="198" t="s">
        <v>129</v>
      </c>
      <c r="I915" s="202">
        <f t="shared" si="14"/>
        <v>381571759.79999959</v>
      </c>
      <c r="J915" s="202">
        <v>92.399999999999906</v>
      </c>
      <c r="L915" s="204">
        <v>216</v>
      </c>
      <c r="M915" s="202">
        <v>134784</v>
      </c>
      <c r="N915" s="204">
        <v>216</v>
      </c>
      <c r="O915" s="198" t="s">
        <v>51</v>
      </c>
      <c r="P915" s="202">
        <v>134784</v>
      </c>
      <c r="Q915" s="198" t="s">
        <v>73</v>
      </c>
      <c r="R915" s="198" t="s">
        <v>53</v>
      </c>
      <c r="S915" s="198" t="s">
        <v>54</v>
      </c>
      <c r="T915" s="198" t="s">
        <v>661</v>
      </c>
      <c r="U915" s="198" t="s">
        <v>367</v>
      </c>
      <c r="V915" s="198" t="s">
        <v>56</v>
      </c>
      <c r="W915" s="198" t="s">
        <v>356</v>
      </c>
      <c r="X915" s="198" t="s">
        <v>57</v>
      </c>
      <c r="Y915" s="198" t="s">
        <v>58</v>
      </c>
      <c r="Z915" s="201">
        <v>46234</v>
      </c>
      <c r="AA915" s="198" t="s">
        <v>59</v>
      </c>
      <c r="AB915" s="198" t="s">
        <v>60</v>
      </c>
      <c r="AC915" s="198" t="s">
        <v>86</v>
      </c>
      <c r="AD915" s="198" t="s">
        <v>62</v>
      </c>
      <c r="AE915" s="198" t="s">
        <v>626</v>
      </c>
      <c r="AF915" s="198" t="s">
        <v>625</v>
      </c>
      <c r="AG915" s="198" t="s">
        <v>248</v>
      </c>
      <c r="AH915" s="198" t="s">
        <v>130</v>
      </c>
      <c r="AI915" s="198" t="s">
        <v>56</v>
      </c>
      <c r="AJ915" s="198" t="s">
        <v>406</v>
      </c>
      <c r="AK915" s="198" t="s">
        <v>51</v>
      </c>
      <c r="AL915" s="198" t="s">
        <v>67</v>
      </c>
      <c r="AM915" s="198" t="s">
        <v>68</v>
      </c>
      <c r="AN915" s="202">
        <v>134784</v>
      </c>
      <c r="AO915" s="202">
        <v>134784</v>
      </c>
      <c r="AP915" s="202">
        <v>134784</v>
      </c>
      <c r="AQ915" s="198" t="s">
        <v>358</v>
      </c>
      <c r="AR915" s="198" t="s">
        <v>51</v>
      </c>
      <c r="AS915" s="202">
        <v>134784</v>
      </c>
      <c r="AT915" s="202">
        <v>134784</v>
      </c>
      <c r="AU915" s="198" t="s">
        <v>359</v>
      </c>
      <c r="AV915" s="198" t="s">
        <v>62</v>
      </c>
      <c r="AW915" s="198" t="s">
        <v>54</v>
      </c>
    </row>
    <row r="916" spans="3:49" outlineLevel="2" x14ac:dyDescent="0.25">
      <c r="C916" s="201"/>
      <c r="D916" s="198" t="s">
        <v>129</v>
      </c>
      <c r="H916" s="198" t="s">
        <v>129</v>
      </c>
      <c r="I916" s="202">
        <f t="shared" si="14"/>
        <v>381984716.24999958</v>
      </c>
      <c r="J916" s="202">
        <v>92.499999999999901</v>
      </c>
      <c r="L916" s="204">
        <v>1080</v>
      </c>
      <c r="M916" s="202">
        <v>521640</v>
      </c>
      <c r="N916" s="204">
        <v>1080</v>
      </c>
      <c r="O916" s="198" t="s">
        <v>51</v>
      </c>
      <c r="P916" s="202">
        <v>521640</v>
      </c>
      <c r="Q916" s="198" t="s">
        <v>73</v>
      </c>
      <c r="R916" s="198" t="s">
        <v>53</v>
      </c>
      <c r="S916" s="198" t="s">
        <v>54</v>
      </c>
      <c r="T916" s="198" t="s">
        <v>661</v>
      </c>
      <c r="U916" s="198" t="s">
        <v>367</v>
      </c>
      <c r="V916" s="198" t="s">
        <v>56</v>
      </c>
      <c r="W916" s="198" t="s">
        <v>356</v>
      </c>
      <c r="X916" s="198" t="s">
        <v>57</v>
      </c>
      <c r="Y916" s="198" t="s">
        <v>58</v>
      </c>
      <c r="Z916" s="201">
        <v>46234</v>
      </c>
      <c r="AA916" s="198" t="s">
        <v>59</v>
      </c>
      <c r="AB916" s="198" t="s">
        <v>60</v>
      </c>
      <c r="AC916" s="198" t="s">
        <v>86</v>
      </c>
      <c r="AD916" s="198" t="s">
        <v>62</v>
      </c>
      <c r="AE916" s="198" t="s">
        <v>628</v>
      </c>
      <c r="AF916" s="198" t="s">
        <v>627</v>
      </c>
      <c r="AG916" s="198" t="s">
        <v>248</v>
      </c>
      <c r="AH916" s="198" t="s">
        <v>130</v>
      </c>
      <c r="AI916" s="198" t="s">
        <v>56</v>
      </c>
      <c r="AJ916" s="198" t="s">
        <v>406</v>
      </c>
      <c r="AK916" s="198" t="s">
        <v>51</v>
      </c>
      <c r="AL916" s="198" t="s">
        <v>67</v>
      </c>
      <c r="AM916" s="198" t="s">
        <v>68</v>
      </c>
      <c r="AN916" s="202">
        <v>521640</v>
      </c>
      <c r="AO916" s="202">
        <v>521640</v>
      </c>
      <c r="AP916" s="202">
        <v>521640</v>
      </c>
      <c r="AQ916" s="198" t="s">
        <v>358</v>
      </c>
      <c r="AR916" s="198" t="s">
        <v>51</v>
      </c>
      <c r="AS916" s="202">
        <v>521640</v>
      </c>
      <c r="AT916" s="202">
        <v>521640</v>
      </c>
      <c r="AU916" s="198" t="s">
        <v>359</v>
      </c>
      <c r="AV916" s="198" t="s">
        <v>62</v>
      </c>
      <c r="AW916" s="198" t="s">
        <v>54</v>
      </c>
    </row>
    <row r="917" spans="3:49" outlineLevel="2" x14ac:dyDescent="0.25">
      <c r="C917" s="201"/>
      <c r="D917" s="198" t="s">
        <v>129</v>
      </c>
      <c r="H917" s="198" t="s">
        <v>129</v>
      </c>
      <c r="I917" s="202">
        <f t="shared" si="14"/>
        <v>382397672.69999957</v>
      </c>
      <c r="J917" s="202">
        <v>92.599999999999895</v>
      </c>
      <c r="L917" s="204">
        <v>227</v>
      </c>
      <c r="M917" s="202">
        <v>34731</v>
      </c>
      <c r="N917" s="204">
        <v>227</v>
      </c>
      <c r="O917" s="198" t="s">
        <v>51</v>
      </c>
      <c r="P917" s="202">
        <v>34731</v>
      </c>
      <c r="Q917" s="198" t="s">
        <v>73</v>
      </c>
      <c r="R917" s="198" t="s">
        <v>53</v>
      </c>
      <c r="S917" s="198" t="s">
        <v>54</v>
      </c>
      <c r="T917" s="198" t="s">
        <v>661</v>
      </c>
      <c r="U917" s="198" t="s">
        <v>367</v>
      </c>
      <c r="V917" s="198" t="s">
        <v>56</v>
      </c>
      <c r="W917" s="198" t="s">
        <v>356</v>
      </c>
      <c r="X917" s="198" t="s">
        <v>57</v>
      </c>
      <c r="Y917" s="198" t="s">
        <v>58</v>
      </c>
      <c r="Z917" s="201">
        <v>46234</v>
      </c>
      <c r="AA917" s="198" t="s">
        <v>59</v>
      </c>
      <c r="AB917" s="198" t="s">
        <v>60</v>
      </c>
      <c r="AC917" s="198" t="s">
        <v>86</v>
      </c>
      <c r="AD917" s="198" t="s">
        <v>62</v>
      </c>
      <c r="AE917" s="198" t="s">
        <v>630</v>
      </c>
      <c r="AF917" s="198" t="s">
        <v>629</v>
      </c>
      <c r="AG917" s="198" t="s">
        <v>248</v>
      </c>
      <c r="AH917" s="198" t="s">
        <v>130</v>
      </c>
      <c r="AI917" s="198" t="s">
        <v>56</v>
      </c>
      <c r="AJ917" s="198" t="s">
        <v>318</v>
      </c>
      <c r="AK917" s="198" t="s">
        <v>51</v>
      </c>
      <c r="AL917" s="198" t="s">
        <v>67</v>
      </c>
      <c r="AM917" s="198" t="s">
        <v>68</v>
      </c>
      <c r="AN917" s="202">
        <v>34731</v>
      </c>
      <c r="AO917" s="202">
        <v>34731</v>
      </c>
      <c r="AP917" s="202">
        <v>34731</v>
      </c>
      <c r="AQ917" s="198" t="s">
        <v>358</v>
      </c>
      <c r="AR917" s="198" t="s">
        <v>51</v>
      </c>
      <c r="AS917" s="202">
        <v>34731</v>
      </c>
      <c r="AT917" s="202">
        <v>34731</v>
      </c>
      <c r="AU917" s="198" t="s">
        <v>359</v>
      </c>
      <c r="AV917" s="198" t="s">
        <v>62</v>
      </c>
      <c r="AW917" s="198" t="s">
        <v>54</v>
      </c>
    </row>
    <row r="918" spans="3:49" outlineLevel="2" x14ac:dyDescent="0.25">
      <c r="C918" s="201"/>
      <c r="D918" s="198" t="s">
        <v>129</v>
      </c>
      <c r="H918" s="198" t="s">
        <v>129</v>
      </c>
      <c r="I918" s="202">
        <f t="shared" si="14"/>
        <v>382810629.14999962</v>
      </c>
      <c r="J918" s="202">
        <v>92.699999999999903</v>
      </c>
      <c r="L918" s="204">
        <v>900</v>
      </c>
      <c r="M918" s="202">
        <v>193500</v>
      </c>
      <c r="N918" s="204">
        <v>900</v>
      </c>
      <c r="O918" s="198" t="s">
        <v>51</v>
      </c>
      <c r="P918" s="202">
        <v>193500</v>
      </c>
      <c r="Q918" s="198" t="s">
        <v>73</v>
      </c>
      <c r="R918" s="198" t="s">
        <v>53</v>
      </c>
      <c r="S918" s="198" t="s">
        <v>54</v>
      </c>
      <c r="T918" s="198" t="s">
        <v>661</v>
      </c>
      <c r="U918" s="198" t="s">
        <v>367</v>
      </c>
      <c r="V918" s="198" t="s">
        <v>56</v>
      </c>
      <c r="W918" s="198" t="s">
        <v>356</v>
      </c>
      <c r="X918" s="198" t="s">
        <v>57</v>
      </c>
      <c r="Y918" s="198" t="s">
        <v>58</v>
      </c>
      <c r="Z918" s="201">
        <v>46234</v>
      </c>
      <c r="AA918" s="198" t="s">
        <v>59</v>
      </c>
      <c r="AB918" s="198" t="s">
        <v>60</v>
      </c>
      <c r="AC918" s="198" t="s">
        <v>86</v>
      </c>
      <c r="AD918" s="198" t="s">
        <v>62</v>
      </c>
      <c r="AE918" s="198" t="s">
        <v>632</v>
      </c>
      <c r="AF918" s="198" t="s">
        <v>631</v>
      </c>
      <c r="AG918" s="198" t="s">
        <v>248</v>
      </c>
      <c r="AH918" s="198" t="s">
        <v>130</v>
      </c>
      <c r="AI918" s="198" t="s">
        <v>56</v>
      </c>
      <c r="AJ918" s="198" t="s">
        <v>318</v>
      </c>
      <c r="AK918" s="198" t="s">
        <v>51</v>
      </c>
      <c r="AL918" s="198" t="s">
        <v>67</v>
      </c>
      <c r="AM918" s="198" t="s">
        <v>68</v>
      </c>
      <c r="AN918" s="202">
        <v>193500</v>
      </c>
      <c r="AO918" s="202">
        <v>193500</v>
      </c>
      <c r="AP918" s="202">
        <v>193500</v>
      </c>
      <c r="AQ918" s="198" t="s">
        <v>358</v>
      </c>
      <c r="AR918" s="198" t="s">
        <v>51</v>
      </c>
      <c r="AS918" s="202">
        <v>193500</v>
      </c>
      <c r="AT918" s="202">
        <v>193500</v>
      </c>
      <c r="AU918" s="198" t="s">
        <v>359</v>
      </c>
      <c r="AV918" s="198" t="s">
        <v>62</v>
      </c>
      <c r="AW918" s="198" t="s">
        <v>54</v>
      </c>
    </row>
    <row r="919" spans="3:49" outlineLevel="2" x14ac:dyDescent="0.25">
      <c r="C919" s="201"/>
      <c r="D919" s="198" t="s">
        <v>129</v>
      </c>
      <c r="H919" s="198" t="s">
        <v>129</v>
      </c>
      <c r="I919" s="202">
        <f t="shared" si="14"/>
        <v>383223585.59999961</v>
      </c>
      <c r="J919" s="202">
        <v>92.799999999999898</v>
      </c>
      <c r="L919" s="204">
        <v>1620</v>
      </c>
      <c r="M919" s="202">
        <v>241380</v>
      </c>
      <c r="N919" s="204">
        <v>1620</v>
      </c>
      <c r="O919" s="198" t="s">
        <v>51</v>
      </c>
      <c r="P919" s="202">
        <v>241380</v>
      </c>
      <c r="Q919" s="198" t="s">
        <v>73</v>
      </c>
      <c r="R919" s="198" t="s">
        <v>53</v>
      </c>
      <c r="S919" s="198" t="s">
        <v>54</v>
      </c>
      <c r="T919" s="198" t="s">
        <v>661</v>
      </c>
      <c r="U919" s="198" t="s">
        <v>367</v>
      </c>
      <c r="V919" s="198" t="s">
        <v>56</v>
      </c>
      <c r="W919" s="198" t="s">
        <v>356</v>
      </c>
      <c r="X919" s="198" t="s">
        <v>57</v>
      </c>
      <c r="Y919" s="198" t="s">
        <v>58</v>
      </c>
      <c r="Z919" s="201">
        <v>46234</v>
      </c>
      <c r="AA919" s="198" t="s">
        <v>59</v>
      </c>
      <c r="AB919" s="198" t="s">
        <v>60</v>
      </c>
      <c r="AC919" s="198" t="s">
        <v>86</v>
      </c>
      <c r="AD919" s="198" t="s">
        <v>62</v>
      </c>
      <c r="AE919" s="198" t="s">
        <v>634</v>
      </c>
      <c r="AF919" s="198" t="s">
        <v>633</v>
      </c>
      <c r="AG919" s="198" t="s">
        <v>248</v>
      </c>
      <c r="AH919" s="198" t="s">
        <v>130</v>
      </c>
      <c r="AI919" s="198" t="s">
        <v>56</v>
      </c>
      <c r="AJ919" s="198" t="s">
        <v>635</v>
      </c>
      <c r="AK919" s="198" t="s">
        <v>51</v>
      </c>
      <c r="AL919" s="198" t="s">
        <v>67</v>
      </c>
      <c r="AM919" s="198" t="s">
        <v>68</v>
      </c>
      <c r="AN919" s="202">
        <v>241380</v>
      </c>
      <c r="AO919" s="202">
        <v>241380</v>
      </c>
      <c r="AP919" s="202">
        <v>241380</v>
      </c>
      <c r="AQ919" s="198" t="s">
        <v>358</v>
      </c>
      <c r="AR919" s="198" t="s">
        <v>51</v>
      </c>
      <c r="AS919" s="202">
        <v>241380</v>
      </c>
      <c r="AT919" s="202">
        <v>241380</v>
      </c>
      <c r="AU919" s="198" t="s">
        <v>359</v>
      </c>
      <c r="AV919" s="198" t="s">
        <v>62</v>
      </c>
      <c r="AW919" s="198" t="s">
        <v>54</v>
      </c>
    </row>
    <row r="920" spans="3:49" outlineLevel="2" x14ac:dyDescent="0.25">
      <c r="C920" s="201"/>
      <c r="D920" s="198" t="s">
        <v>129</v>
      </c>
      <c r="H920" s="198" t="s">
        <v>129</v>
      </c>
      <c r="I920" s="202">
        <f t="shared" si="14"/>
        <v>383636542.04999959</v>
      </c>
      <c r="J920" s="202">
        <v>92.899999999999906</v>
      </c>
      <c r="L920" s="204">
        <v>280</v>
      </c>
      <c r="M920" s="202">
        <v>49280</v>
      </c>
      <c r="N920" s="204">
        <v>280</v>
      </c>
      <c r="O920" s="198" t="s">
        <v>51</v>
      </c>
      <c r="P920" s="202">
        <v>49280</v>
      </c>
      <c r="Q920" s="198" t="s">
        <v>73</v>
      </c>
      <c r="R920" s="198" t="s">
        <v>53</v>
      </c>
      <c r="S920" s="198" t="s">
        <v>54</v>
      </c>
      <c r="T920" s="198" t="s">
        <v>661</v>
      </c>
      <c r="U920" s="198" t="s">
        <v>367</v>
      </c>
      <c r="V920" s="198" t="s">
        <v>56</v>
      </c>
      <c r="W920" s="198" t="s">
        <v>356</v>
      </c>
      <c r="X920" s="198" t="s">
        <v>57</v>
      </c>
      <c r="Y920" s="198" t="s">
        <v>58</v>
      </c>
      <c r="Z920" s="201">
        <v>46234</v>
      </c>
      <c r="AA920" s="198" t="s">
        <v>59</v>
      </c>
      <c r="AB920" s="198" t="s">
        <v>60</v>
      </c>
      <c r="AC920" s="198" t="s">
        <v>86</v>
      </c>
      <c r="AD920" s="198" t="s">
        <v>62</v>
      </c>
      <c r="AE920" s="198" t="s">
        <v>637</v>
      </c>
      <c r="AF920" s="198" t="s">
        <v>636</v>
      </c>
      <c r="AG920" s="198" t="s">
        <v>248</v>
      </c>
      <c r="AH920" s="198" t="s">
        <v>130</v>
      </c>
      <c r="AI920" s="198" t="s">
        <v>56</v>
      </c>
      <c r="AJ920" s="198" t="s">
        <v>318</v>
      </c>
      <c r="AK920" s="198" t="s">
        <v>51</v>
      </c>
      <c r="AL920" s="198" t="s">
        <v>67</v>
      </c>
      <c r="AM920" s="198" t="s">
        <v>68</v>
      </c>
      <c r="AN920" s="202">
        <v>49280</v>
      </c>
      <c r="AO920" s="202">
        <v>49280</v>
      </c>
      <c r="AP920" s="202">
        <v>49280</v>
      </c>
      <c r="AQ920" s="198" t="s">
        <v>358</v>
      </c>
      <c r="AR920" s="198" t="s">
        <v>51</v>
      </c>
      <c r="AS920" s="202">
        <v>49280</v>
      </c>
      <c r="AT920" s="202">
        <v>49280</v>
      </c>
      <c r="AU920" s="198" t="s">
        <v>359</v>
      </c>
      <c r="AV920" s="198" t="s">
        <v>62</v>
      </c>
      <c r="AW920" s="198" t="s">
        <v>54</v>
      </c>
    </row>
    <row r="921" spans="3:49" outlineLevel="2" x14ac:dyDescent="0.25">
      <c r="C921" s="201"/>
      <c r="D921" s="198" t="s">
        <v>129</v>
      </c>
      <c r="H921" s="198" t="s">
        <v>129</v>
      </c>
      <c r="I921" s="202">
        <f t="shared" si="14"/>
        <v>384049498.49999958</v>
      </c>
      <c r="J921" s="202">
        <v>92.999999999999901</v>
      </c>
      <c r="L921" s="204">
        <v>425</v>
      </c>
      <c r="M921" s="202">
        <v>63325</v>
      </c>
      <c r="N921" s="204">
        <v>425</v>
      </c>
      <c r="O921" s="198" t="s">
        <v>51</v>
      </c>
      <c r="P921" s="202">
        <v>63325</v>
      </c>
      <c r="Q921" s="198" t="s">
        <v>73</v>
      </c>
      <c r="R921" s="198" t="s">
        <v>53</v>
      </c>
      <c r="S921" s="198" t="s">
        <v>54</v>
      </c>
      <c r="T921" s="198" t="s">
        <v>661</v>
      </c>
      <c r="U921" s="198" t="s">
        <v>367</v>
      </c>
      <c r="V921" s="198" t="s">
        <v>56</v>
      </c>
      <c r="W921" s="198" t="s">
        <v>356</v>
      </c>
      <c r="X921" s="198" t="s">
        <v>57</v>
      </c>
      <c r="Y921" s="198" t="s">
        <v>58</v>
      </c>
      <c r="Z921" s="201">
        <v>46234</v>
      </c>
      <c r="AA921" s="198" t="s">
        <v>59</v>
      </c>
      <c r="AB921" s="198" t="s">
        <v>60</v>
      </c>
      <c r="AC921" s="198" t="s">
        <v>86</v>
      </c>
      <c r="AD921" s="198" t="s">
        <v>62</v>
      </c>
      <c r="AE921" s="198" t="s">
        <v>639</v>
      </c>
      <c r="AF921" s="198" t="s">
        <v>638</v>
      </c>
      <c r="AG921" s="198" t="s">
        <v>248</v>
      </c>
      <c r="AH921" s="198" t="s">
        <v>130</v>
      </c>
      <c r="AI921" s="198" t="s">
        <v>56</v>
      </c>
      <c r="AJ921" s="198" t="s">
        <v>318</v>
      </c>
      <c r="AK921" s="198" t="s">
        <v>51</v>
      </c>
      <c r="AL921" s="198" t="s">
        <v>67</v>
      </c>
      <c r="AM921" s="198" t="s">
        <v>68</v>
      </c>
      <c r="AN921" s="202">
        <v>63325</v>
      </c>
      <c r="AO921" s="202">
        <v>63325</v>
      </c>
      <c r="AP921" s="202">
        <v>63325</v>
      </c>
      <c r="AQ921" s="198" t="s">
        <v>358</v>
      </c>
      <c r="AR921" s="198" t="s">
        <v>51</v>
      </c>
      <c r="AS921" s="202">
        <v>63325</v>
      </c>
      <c r="AT921" s="202">
        <v>63325</v>
      </c>
      <c r="AU921" s="198" t="s">
        <v>359</v>
      </c>
      <c r="AV921" s="198" t="s">
        <v>62</v>
      </c>
      <c r="AW921" s="198" t="s">
        <v>54</v>
      </c>
    </row>
    <row r="922" spans="3:49" outlineLevel="2" x14ac:dyDescent="0.25">
      <c r="C922" s="201"/>
      <c r="D922" s="198" t="s">
        <v>129</v>
      </c>
      <c r="H922" s="198" t="s">
        <v>129</v>
      </c>
      <c r="I922" s="202">
        <f t="shared" si="14"/>
        <v>384462454.94999957</v>
      </c>
      <c r="J922" s="202">
        <v>93.099999999999895</v>
      </c>
      <c r="L922" s="204">
        <v>520</v>
      </c>
      <c r="M922" s="202">
        <v>70200</v>
      </c>
      <c r="N922" s="204">
        <v>520</v>
      </c>
      <c r="O922" s="198" t="s">
        <v>51</v>
      </c>
      <c r="P922" s="202">
        <v>70200</v>
      </c>
      <c r="Q922" s="198" t="s">
        <v>73</v>
      </c>
      <c r="R922" s="198" t="s">
        <v>53</v>
      </c>
      <c r="S922" s="198" t="s">
        <v>54</v>
      </c>
      <c r="T922" s="198" t="s">
        <v>661</v>
      </c>
      <c r="U922" s="198" t="s">
        <v>367</v>
      </c>
      <c r="V922" s="198" t="s">
        <v>56</v>
      </c>
      <c r="W922" s="198" t="s">
        <v>356</v>
      </c>
      <c r="X922" s="198" t="s">
        <v>57</v>
      </c>
      <c r="Y922" s="198" t="s">
        <v>58</v>
      </c>
      <c r="Z922" s="201">
        <v>46234</v>
      </c>
      <c r="AA922" s="198" t="s">
        <v>59</v>
      </c>
      <c r="AB922" s="198" t="s">
        <v>60</v>
      </c>
      <c r="AC922" s="198" t="s">
        <v>86</v>
      </c>
      <c r="AD922" s="198" t="s">
        <v>62</v>
      </c>
      <c r="AE922" s="198" t="s">
        <v>641</v>
      </c>
      <c r="AF922" s="198" t="s">
        <v>640</v>
      </c>
      <c r="AG922" s="198" t="s">
        <v>248</v>
      </c>
      <c r="AH922" s="198" t="s">
        <v>130</v>
      </c>
      <c r="AI922" s="198" t="s">
        <v>56</v>
      </c>
      <c r="AJ922" s="198" t="s">
        <v>318</v>
      </c>
      <c r="AK922" s="198" t="s">
        <v>51</v>
      </c>
      <c r="AL922" s="198" t="s">
        <v>67</v>
      </c>
      <c r="AM922" s="198" t="s">
        <v>68</v>
      </c>
      <c r="AN922" s="202">
        <v>70200</v>
      </c>
      <c r="AO922" s="202">
        <v>70200</v>
      </c>
      <c r="AP922" s="202">
        <v>70200</v>
      </c>
      <c r="AQ922" s="198" t="s">
        <v>358</v>
      </c>
      <c r="AR922" s="198" t="s">
        <v>51</v>
      </c>
      <c r="AS922" s="202">
        <v>70200</v>
      </c>
      <c r="AT922" s="202">
        <v>70200</v>
      </c>
      <c r="AU922" s="198" t="s">
        <v>359</v>
      </c>
      <c r="AV922" s="198" t="s">
        <v>62</v>
      </c>
      <c r="AW922" s="198" t="s">
        <v>54</v>
      </c>
    </row>
    <row r="923" spans="3:49" outlineLevel="2" x14ac:dyDescent="0.25">
      <c r="C923" s="201"/>
      <c r="D923" s="198" t="s">
        <v>129</v>
      </c>
      <c r="H923" s="198" t="s">
        <v>129</v>
      </c>
      <c r="I923" s="202">
        <f t="shared" si="14"/>
        <v>384875411.39999962</v>
      </c>
      <c r="J923" s="202">
        <v>93.199999999999903</v>
      </c>
      <c r="L923" s="204">
        <v>150</v>
      </c>
      <c r="M923" s="202">
        <v>9450</v>
      </c>
      <c r="N923" s="204">
        <v>150</v>
      </c>
      <c r="O923" s="198" t="s">
        <v>51</v>
      </c>
      <c r="P923" s="202">
        <v>9450</v>
      </c>
      <c r="Q923" s="198" t="s">
        <v>73</v>
      </c>
      <c r="R923" s="198" t="s">
        <v>53</v>
      </c>
      <c r="S923" s="198" t="s">
        <v>54</v>
      </c>
      <c r="T923" s="198" t="s">
        <v>661</v>
      </c>
      <c r="U923" s="198" t="s">
        <v>367</v>
      </c>
      <c r="V923" s="198" t="s">
        <v>56</v>
      </c>
      <c r="W923" s="198" t="s">
        <v>356</v>
      </c>
      <c r="X923" s="198" t="s">
        <v>57</v>
      </c>
      <c r="Y923" s="198" t="s">
        <v>58</v>
      </c>
      <c r="Z923" s="201">
        <v>46234</v>
      </c>
      <c r="AA923" s="198" t="s">
        <v>59</v>
      </c>
      <c r="AB923" s="198" t="s">
        <v>60</v>
      </c>
      <c r="AC923" s="198" t="s">
        <v>86</v>
      </c>
      <c r="AD923" s="198" t="s">
        <v>62</v>
      </c>
      <c r="AE923" s="198" t="s">
        <v>643</v>
      </c>
      <c r="AF923" s="198" t="s">
        <v>642</v>
      </c>
      <c r="AG923" s="198" t="s">
        <v>248</v>
      </c>
      <c r="AH923" s="198" t="s">
        <v>130</v>
      </c>
      <c r="AI923" s="198" t="s">
        <v>56</v>
      </c>
      <c r="AJ923" s="198" t="s">
        <v>74</v>
      </c>
      <c r="AK923" s="198" t="s">
        <v>51</v>
      </c>
      <c r="AL923" s="198" t="s">
        <v>67</v>
      </c>
      <c r="AM923" s="198" t="s">
        <v>68</v>
      </c>
      <c r="AN923" s="202">
        <v>9450</v>
      </c>
      <c r="AO923" s="202">
        <v>9450</v>
      </c>
      <c r="AP923" s="202">
        <v>9450</v>
      </c>
      <c r="AQ923" s="198" t="s">
        <v>358</v>
      </c>
      <c r="AR923" s="198" t="s">
        <v>51</v>
      </c>
      <c r="AS923" s="202">
        <v>9450</v>
      </c>
      <c r="AT923" s="202">
        <v>9450</v>
      </c>
      <c r="AU923" s="198" t="s">
        <v>359</v>
      </c>
      <c r="AV923" s="198" t="s">
        <v>62</v>
      </c>
      <c r="AW923" s="198" t="s">
        <v>54</v>
      </c>
    </row>
    <row r="924" spans="3:49" outlineLevel="2" x14ac:dyDescent="0.25">
      <c r="C924" s="201"/>
      <c r="D924" s="198" t="s">
        <v>129</v>
      </c>
      <c r="H924" s="198" t="s">
        <v>129</v>
      </c>
      <c r="I924" s="202">
        <f t="shared" si="14"/>
        <v>385288367.84999961</v>
      </c>
      <c r="J924" s="202">
        <v>93.299999999999898</v>
      </c>
      <c r="L924" s="204">
        <v>1125</v>
      </c>
      <c r="M924" s="202">
        <v>167625</v>
      </c>
      <c r="N924" s="204">
        <v>1125</v>
      </c>
      <c r="O924" s="198" t="s">
        <v>51</v>
      </c>
      <c r="P924" s="202">
        <v>167625</v>
      </c>
      <c r="Q924" s="198" t="s">
        <v>73</v>
      </c>
      <c r="R924" s="198" t="s">
        <v>53</v>
      </c>
      <c r="S924" s="198" t="s">
        <v>54</v>
      </c>
      <c r="T924" s="198" t="s">
        <v>661</v>
      </c>
      <c r="U924" s="198" t="s">
        <v>367</v>
      </c>
      <c r="V924" s="198" t="s">
        <v>56</v>
      </c>
      <c r="W924" s="198" t="s">
        <v>356</v>
      </c>
      <c r="X924" s="198" t="s">
        <v>57</v>
      </c>
      <c r="Y924" s="198" t="s">
        <v>58</v>
      </c>
      <c r="Z924" s="201">
        <v>46234</v>
      </c>
      <c r="AA924" s="198" t="s">
        <v>59</v>
      </c>
      <c r="AB924" s="198" t="s">
        <v>60</v>
      </c>
      <c r="AC924" s="198" t="s">
        <v>86</v>
      </c>
      <c r="AD924" s="198" t="s">
        <v>62</v>
      </c>
      <c r="AE924" s="198" t="s">
        <v>645</v>
      </c>
      <c r="AF924" s="198" t="s">
        <v>644</v>
      </c>
      <c r="AG924" s="198" t="s">
        <v>248</v>
      </c>
      <c r="AH924" s="198" t="s">
        <v>130</v>
      </c>
      <c r="AI924" s="198" t="s">
        <v>56</v>
      </c>
      <c r="AJ924" s="198" t="s">
        <v>318</v>
      </c>
      <c r="AK924" s="198" t="s">
        <v>51</v>
      </c>
      <c r="AL924" s="198" t="s">
        <v>67</v>
      </c>
      <c r="AM924" s="198" t="s">
        <v>68</v>
      </c>
      <c r="AN924" s="202">
        <v>167625</v>
      </c>
      <c r="AO924" s="202">
        <v>167625</v>
      </c>
      <c r="AP924" s="202">
        <v>167625</v>
      </c>
      <c r="AQ924" s="198" t="s">
        <v>358</v>
      </c>
      <c r="AR924" s="198" t="s">
        <v>51</v>
      </c>
      <c r="AS924" s="202">
        <v>167625</v>
      </c>
      <c r="AT924" s="202">
        <v>167625</v>
      </c>
      <c r="AU924" s="198" t="s">
        <v>359</v>
      </c>
      <c r="AV924" s="198" t="s">
        <v>62</v>
      </c>
      <c r="AW924" s="198" t="s">
        <v>54</v>
      </c>
    </row>
    <row r="925" spans="3:49" outlineLevel="2" x14ac:dyDescent="0.25">
      <c r="C925" s="201"/>
      <c r="D925" s="198" t="s">
        <v>129</v>
      </c>
      <c r="H925" s="198" t="s">
        <v>129</v>
      </c>
      <c r="I925" s="202">
        <f t="shared" si="14"/>
        <v>385701324.29999959</v>
      </c>
      <c r="J925" s="202">
        <v>93.399999999999906</v>
      </c>
      <c r="L925" s="204">
        <v>2720</v>
      </c>
      <c r="M925" s="202">
        <v>133280</v>
      </c>
      <c r="N925" s="204">
        <v>2720</v>
      </c>
      <c r="O925" s="198" t="s">
        <v>51</v>
      </c>
      <c r="P925" s="202">
        <v>133280</v>
      </c>
      <c r="Q925" s="198" t="s">
        <v>73</v>
      </c>
      <c r="R925" s="198" t="s">
        <v>53</v>
      </c>
      <c r="S925" s="198" t="s">
        <v>54</v>
      </c>
      <c r="T925" s="198" t="s">
        <v>661</v>
      </c>
      <c r="U925" s="198" t="s">
        <v>367</v>
      </c>
      <c r="V925" s="198" t="s">
        <v>56</v>
      </c>
      <c r="W925" s="198" t="s">
        <v>356</v>
      </c>
      <c r="X925" s="198" t="s">
        <v>57</v>
      </c>
      <c r="Y925" s="198" t="s">
        <v>58</v>
      </c>
      <c r="Z925" s="201">
        <v>46234</v>
      </c>
      <c r="AA925" s="198" t="s">
        <v>59</v>
      </c>
      <c r="AB925" s="198" t="s">
        <v>60</v>
      </c>
      <c r="AC925" s="198" t="s">
        <v>86</v>
      </c>
      <c r="AD925" s="198" t="s">
        <v>62</v>
      </c>
      <c r="AE925" s="198" t="s">
        <v>647</v>
      </c>
      <c r="AF925" s="198" t="s">
        <v>646</v>
      </c>
      <c r="AG925" s="198" t="s">
        <v>248</v>
      </c>
      <c r="AH925" s="198" t="s">
        <v>130</v>
      </c>
      <c r="AI925" s="198" t="s">
        <v>56</v>
      </c>
      <c r="AJ925" s="198" t="s">
        <v>318</v>
      </c>
      <c r="AK925" s="198" t="s">
        <v>51</v>
      </c>
      <c r="AL925" s="198" t="s">
        <v>67</v>
      </c>
      <c r="AM925" s="198" t="s">
        <v>68</v>
      </c>
      <c r="AN925" s="202">
        <v>133280</v>
      </c>
      <c r="AO925" s="202">
        <v>133280</v>
      </c>
      <c r="AP925" s="202">
        <v>133280</v>
      </c>
      <c r="AQ925" s="198" t="s">
        <v>358</v>
      </c>
      <c r="AR925" s="198" t="s">
        <v>51</v>
      </c>
      <c r="AS925" s="202">
        <v>133280</v>
      </c>
      <c r="AT925" s="202">
        <v>133280</v>
      </c>
      <c r="AU925" s="198" t="s">
        <v>359</v>
      </c>
      <c r="AV925" s="198" t="s">
        <v>62</v>
      </c>
      <c r="AW925" s="198" t="s">
        <v>54</v>
      </c>
    </row>
    <row r="926" spans="3:49" outlineLevel="2" x14ac:dyDescent="0.25">
      <c r="C926" s="201"/>
      <c r="D926" s="198" t="s">
        <v>129</v>
      </c>
      <c r="H926" s="198" t="s">
        <v>129</v>
      </c>
      <c r="I926" s="202">
        <f t="shared" si="14"/>
        <v>386114280.74999958</v>
      </c>
      <c r="J926" s="202">
        <v>93.499999999999901</v>
      </c>
      <c r="L926" s="204">
        <v>300</v>
      </c>
      <c r="M926" s="202">
        <v>44700</v>
      </c>
      <c r="N926" s="204">
        <v>300</v>
      </c>
      <c r="O926" s="198" t="s">
        <v>51</v>
      </c>
      <c r="P926" s="202">
        <v>44700</v>
      </c>
      <c r="Q926" s="198" t="s">
        <v>73</v>
      </c>
      <c r="R926" s="198" t="s">
        <v>53</v>
      </c>
      <c r="S926" s="198" t="s">
        <v>54</v>
      </c>
      <c r="T926" s="198" t="s">
        <v>661</v>
      </c>
      <c r="U926" s="198" t="s">
        <v>367</v>
      </c>
      <c r="V926" s="198" t="s">
        <v>56</v>
      </c>
      <c r="W926" s="198" t="s">
        <v>356</v>
      </c>
      <c r="X926" s="198" t="s">
        <v>57</v>
      </c>
      <c r="Y926" s="198" t="s">
        <v>58</v>
      </c>
      <c r="Z926" s="201">
        <v>46234</v>
      </c>
      <c r="AA926" s="198" t="s">
        <v>59</v>
      </c>
      <c r="AB926" s="198" t="s">
        <v>60</v>
      </c>
      <c r="AC926" s="198" t="s">
        <v>86</v>
      </c>
      <c r="AD926" s="198" t="s">
        <v>62</v>
      </c>
      <c r="AE926" s="198" t="s">
        <v>649</v>
      </c>
      <c r="AF926" s="198" t="s">
        <v>648</v>
      </c>
      <c r="AG926" s="198" t="s">
        <v>248</v>
      </c>
      <c r="AH926" s="198" t="s">
        <v>130</v>
      </c>
      <c r="AI926" s="198" t="s">
        <v>56</v>
      </c>
      <c r="AJ926" s="198" t="s">
        <v>318</v>
      </c>
      <c r="AK926" s="198" t="s">
        <v>51</v>
      </c>
      <c r="AL926" s="198" t="s">
        <v>67</v>
      </c>
      <c r="AM926" s="198" t="s">
        <v>68</v>
      </c>
      <c r="AN926" s="202">
        <v>44700</v>
      </c>
      <c r="AO926" s="202">
        <v>44700</v>
      </c>
      <c r="AP926" s="202">
        <v>44700</v>
      </c>
      <c r="AQ926" s="198" t="s">
        <v>358</v>
      </c>
      <c r="AR926" s="198" t="s">
        <v>51</v>
      </c>
      <c r="AS926" s="202">
        <v>44700</v>
      </c>
      <c r="AT926" s="202">
        <v>44700</v>
      </c>
      <c r="AU926" s="198" t="s">
        <v>359</v>
      </c>
      <c r="AV926" s="198" t="s">
        <v>62</v>
      </c>
      <c r="AW926" s="198" t="s">
        <v>54</v>
      </c>
    </row>
    <row r="927" spans="3:49" outlineLevel="2" x14ac:dyDescent="0.25">
      <c r="C927" s="201"/>
      <c r="D927" s="198" t="s">
        <v>129</v>
      </c>
      <c r="H927" s="198" t="s">
        <v>129</v>
      </c>
      <c r="I927" s="202">
        <f t="shared" si="14"/>
        <v>386527237.19999957</v>
      </c>
      <c r="J927" s="202">
        <v>93.599999999999895</v>
      </c>
      <c r="L927" s="204">
        <v>650</v>
      </c>
      <c r="M927" s="202">
        <v>87750</v>
      </c>
      <c r="N927" s="204">
        <v>650</v>
      </c>
      <c r="O927" s="198" t="s">
        <v>51</v>
      </c>
      <c r="P927" s="202">
        <v>87750</v>
      </c>
      <c r="Q927" s="198" t="s">
        <v>73</v>
      </c>
      <c r="R927" s="198" t="s">
        <v>53</v>
      </c>
      <c r="S927" s="198" t="s">
        <v>54</v>
      </c>
      <c r="T927" s="198" t="s">
        <v>661</v>
      </c>
      <c r="U927" s="198" t="s">
        <v>367</v>
      </c>
      <c r="V927" s="198" t="s">
        <v>56</v>
      </c>
      <c r="W927" s="198" t="s">
        <v>356</v>
      </c>
      <c r="X927" s="198" t="s">
        <v>57</v>
      </c>
      <c r="Y927" s="198" t="s">
        <v>58</v>
      </c>
      <c r="Z927" s="201">
        <v>46234</v>
      </c>
      <c r="AA927" s="198" t="s">
        <v>59</v>
      </c>
      <c r="AB927" s="198" t="s">
        <v>60</v>
      </c>
      <c r="AC927" s="198" t="s">
        <v>86</v>
      </c>
      <c r="AD927" s="198" t="s">
        <v>62</v>
      </c>
      <c r="AE927" s="198" t="s">
        <v>650</v>
      </c>
      <c r="AF927" s="198" t="s">
        <v>339</v>
      </c>
      <c r="AG927" s="198" t="s">
        <v>248</v>
      </c>
      <c r="AH927" s="198" t="s">
        <v>130</v>
      </c>
      <c r="AI927" s="198" t="s">
        <v>56</v>
      </c>
      <c r="AJ927" s="198" t="s">
        <v>318</v>
      </c>
      <c r="AK927" s="198" t="s">
        <v>51</v>
      </c>
      <c r="AL927" s="198" t="s">
        <v>67</v>
      </c>
      <c r="AM927" s="198" t="s">
        <v>68</v>
      </c>
      <c r="AN927" s="202">
        <v>87750</v>
      </c>
      <c r="AO927" s="202">
        <v>87750</v>
      </c>
      <c r="AP927" s="202">
        <v>87750</v>
      </c>
      <c r="AQ927" s="198" t="s">
        <v>358</v>
      </c>
      <c r="AR927" s="198" t="s">
        <v>51</v>
      </c>
      <c r="AS927" s="202">
        <v>87750</v>
      </c>
      <c r="AT927" s="202">
        <v>87750</v>
      </c>
      <c r="AU927" s="198" t="s">
        <v>359</v>
      </c>
      <c r="AV927" s="198" t="s">
        <v>62</v>
      </c>
      <c r="AW927" s="198" t="s">
        <v>54</v>
      </c>
    </row>
    <row r="928" spans="3:49" outlineLevel="2" x14ac:dyDescent="0.25">
      <c r="C928" s="201"/>
      <c r="D928" s="198" t="s">
        <v>129</v>
      </c>
      <c r="H928" s="198" t="s">
        <v>129</v>
      </c>
      <c r="I928" s="202">
        <f t="shared" si="14"/>
        <v>386940193.64999962</v>
      </c>
      <c r="J928" s="202">
        <v>93.699999999999903</v>
      </c>
      <c r="L928" s="204">
        <v>200</v>
      </c>
      <c r="M928" s="202">
        <v>2400</v>
      </c>
      <c r="N928" s="204">
        <v>200</v>
      </c>
      <c r="O928" s="198" t="s">
        <v>51</v>
      </c>
      <c r="P928" s="202">
        <v>2400</v>
      </c>
      <c r="Q928" s="198" t="s">
        <v>73</v>
      </c>
      <c r="R928" s="198" t="s">
        <v>53</v>
      </c>
      <c r="S928" s="198" t="s">
        <v>54</v>
      </c>
      <c r="T928" s="198" t="s">
        <v>661</v>
      </c>
      <c r="U928" s="198" t="s">
        <v>367</v>
      </c>
      <c r="V928" s="198" t="s">
        <v>56</v>
      </c>
      <c r="W928" s="198" t="s">
        <v>356</v>
      </c>
      <c r="X928" s="198" t="s">
        <v>57</v>
      </c>
      <c r="Y928" s="198" t="s">
        <v>58</v>
      </c>
      <c r="Z928" s="201">
        <v>46234</v>
      </c>
      <c r="AA928" s="198" t="s">
        <v>59</v>
      </c>
      <c r="AB928" s="198" t="s">
        <v>60</v>
      </c>
      <c r="AC928" s="198" t="s">
        <v>86</v>
      </c>
      <c r="AD928" s="198" t="s">
        <v>62</v>
      </c>
      <c r="AE928" s="198" t="s">
        <v>652</v>
      </c>
      <c r="AF928" s="198" t="s">
        <v>651</v>
      </c>
      <c r="AG928" s="198" t="s">
        <v>248</v>
      </c>
      <c r="AH928" s="198" t="s">
        <v>130</v>
      </c>
      <c r="AI928" s="198" t="s">
        <v>56</v>
      </c>
      <c r="AJ928" s="198" t="s">
        <v>318</v>
      </c>
      <c r="AK928" s="198" t="s">
        <v>51</v>
      </c>
      <c r="AL928" s="198" t="s">
        <v>67</v>
      </c>
      <c r="AM928" s="198" t="s">
        <v>68</v>
      </c>
      <c r="AN928" s="202">
        <v>2400</v>
      </c>
      <c r="AO928" s="202">
        <v>2400</v>
      </c>
      <c r="AP928" s="202">
        <v>2400</v>
      </c>
      <c r="AQ928" s="198" t="s">
        <v>358</v>
      </c>
      <c r="AR928" s="198" t="s">
        <v>51</v>
      </c>
      <c r="AS928" s="202">
        <v>2400</v>
      </c>
      <c r="AT928" s="202">
        <v>2400</v>
      </c>
      <c r="AU928" s="198" t="s">
        <v>359</v>
      </c>
      <c r="AV928" s="198" t="s">
        <v>62</v>
      </c>
      <c r="AW928" s="198" t="s">
        <v>54</v>
      </c>
    </row>
    <row r="929" spans="3:49" outlineLevel="2" x14ac:dyDescent="0.25">
      <c r="C929" s="201"/>
      <c r="D929" s="198" t="s">
        <v>129</v>
      </c>
      <c r="H929" s="198" t="s">
        <v>129</v>
      </c>
      <c r="I929" s="202">
        <f t="shared" si="14"/>
        <v>387353150.09999961</v>
      </c>
      <c r="J929" s="202">
        <v>93.799999999999898</v>
      </c>
      <c r="L929" s="204">
        <v>70</v>
      </c>
      <c r="M929" s="202">
        <v>840</v>
      </c>
      <c r="N929" s="204">
        <v>70</v>
      </c>
      <c r="O929" s="198" t="s">
        <v>51</v>
      </c>
      <c r="P929" s="202">
        <v>840</v>
      </c>
      <c r="Q929" s="198" t="s">
        <v>73</v>
      </c>
      <c r="R929" s="198" t="s">
        <v>53</v>
      </c>
      <c r="S929" s="198" t="s">
        <v>54</v>
      </c>
      <c r="T929" s="198" t="s">
        <v>661</v>
      </c>
      <c r="U929" s="198" t="s">
        <v>367</v>
      </c>
      <c r="V929" s="198" t="s">
        <v>56</v>
      </c>
      <c r="W929" s="198" t="s">
        <v>356</v>
      </c>
      <c r="X929" s="198" t="s">
        <v>57</v>
      </c>
      <c r="Y929" s="198" t="s">
        <v>58</v>
      </c>
      <c r="Z929" s="201">
        <v>46234</v>
      </c>
      <c r="AA929" s="198" t="s">
        <v>59</v>
      </c>
      <c r="AB929" s="198" t="s">
        <v>60</v>
      </c>
      <c r="AC929" s="198" t="s">
        <v>86</v>
      </c>
      <c r="AD929" s="198" t="s">
        <v>62</v>
      </c>
      <c r="AE929" s="198" t="s">
        <v>654</v>
      </c>
      <c r="AF929" s="198" t="s">
        <v>653</v>
      </c>
      <c r="AG929" s="198" t="s">
        <v>248</v>
      </c>
      <c r="AH929" s="198" t="s">
        <v>130</v>
      </c>
      <c r="AI929" s="198" t="s">
        <v>56</v>
      </c>
      <c r="AJ929" s="198" t="s">
        <v>318</v>
      </c>
      <c r="AK929" s="198" t="s">
        <v>51</v>
      </c>
      <c r="AL929" s="198" t="s">
        <v>67</v>
      </c>
      <c r="AM929" s="198" t="s">
        <v>68</v>
      </c>
      <c r="AN929" s="202">
        <v>840</v>
      </c>
      <c r="AO929" s="202">
        <v>840</v>
      </c>
      <c r="AP929" s="202">
        <v>840</v>
      </c>
      <c r="AQ929" s="198" t="s">
        <v>358</v>
      </c>
      <c r="AR929" s="198" t="s">
        <v>51</v>
      </c>
      <c r="AS929" s="202">
        <v>840</v>
      </c>
      <c r="AT929" s="202">
        <v>840</v>
      </c>
      <c r="AU929" s="198" t="s">
        <v>359</v>
      </c>
      <c r="AV929" s="198" t="s">
        <v>62</v>
      </c>
      <c r="AW929" s="198" t="s">
        <v>54</v>
      </c>
    </row>
    <row r="930" spans="3:49" outlineLevel="2" x14ac:dyDescent="0.25">
      <c r="C930" s="201"/>
      <c r="D930" s="198" t="s">
        <v>129</v>
      </c>
      <c r="H930" s="198" t="s">
        <v>129</v>
      </c>
      <c r="I930" s="202">
        <f t="shared" si="14"/>
        <v>387766106.54999959</v>
      </c>
      <c r="J930" s="202">
        <v>93.899999999999906</v>
      </c>
      <c r="L930" s="204">
        <v>2722</v>
      </c>
      <c r="M930" s="202">
        <v>571620</v>
      </c>
      <c r="N930" s="204">
        <v>2722</v>
      </c>
      <c r="O930" s="198" t="s">
        <v>51</v>
      </c>
      <c r="P930" s="202">
        <v>571620</v>
      </c>
      <c r="Q930" s="198" t="s">
        <v>73</v>
      </c>
      <c r="R930" s="198" t="s">
        <v>53</v>
      </c>
      <c r="S930" s="198" t="s">
        <v>54</v>
      </c>
      <c r="T930" s="198" t="s">
        <v>661</v>
      </c>
      <c r="U930" s="198" t="s">
        <v>367</v>
      </c>
      <c r="V930" s="198" t="s">
        <v>56</v>
      </c>
      <c r="W930" s="198" t="s">
        <v>356</v>
      </c>
      <c r="X930" s="198" t="s">
        <v>57</v>
      </c>
      <c r="Y930" s="198" t="s">
        <v>58</v>
      </c>
      <c r="Z930" s="201">
        <v>46234</v>
      </c>
      <c r="AA930" s="198" t="s">
        <v>59</v>
      </c>
      <c r="AB930" s="198" t="s">
        <v>60</v>
      </c>
      <c r="AC930" s="198" t="s">
        <v>86</v>
      </c>
      <c r="AD930" s="198" t="s">
        <v>62</v>
      </c>
      <c r="AE930" s="198" t="s">
        <v>656</v>
      </c>
      <c r="AF930" s="198" t="s">
        <v>655</v>
      </c>
      <c r="AG930" s="198" t="s">
        <v>248</v>
      </c>
      <c r="AH930" s="198" t="s">
        <v>130</v>
      </c>
      <c r="AI930" s="198" t="s">
        <v>56</v>
      </c>
      <c r="AJ930" s="198" t="s">
        <v>318</v>
      </c>
      <c r="AK930" s="198" t="s">
        <v>51</v>
      </c>
      <c r="AL930" s="198" t="s">
        <v>67</v>
      </c>
      <c r="AM930" s="198" t="s">
        <v>68</v>
      </c>
      <c r="AN930" s="202">
        <v>571620</v>
      </c>
      <c r="AO930" s="202">
        <v>571620</v>
      </c>
      <c r="AP930" s="202">
        <v>571620</v>
      </c>
      <c r="AQ930" s="198" t="s">
        <v>358</v>
      </c>
      <c r="AR930" s="198" t="s">
        <v>51</v>
      </c>
      <c r="AS930" s="202">
        <v>571620</v>
      </c>
      <c r="AT930" s="202">
        <v>571620</v>
      </c>
      <c r="AU930" s="198" t="s">
        <v>359</v>
      </c>
      <c r="AV930" s="198" t="s">
        <v>62</v>
      </c>
      <c r="AW930" s="198" t="s">
        <v>54</v>
      </c>
    </row>
    <row r="931" spans="3:49" outlineLevel="2" x14ac:dyDescent="0.25">
      <c r="C931" s="201"/>
      <c r="D931" s="198" t="s">
        <v>129</v>
      </c>
      <c r="H931" s="198" t="s">
        <v>129</v>
      </c>
      <c r="I931" s="202">
        <f t="shared" si="14"/>
        <v>388179062.99999958</v>
      </c>
      <c r="J931" s="202">
        <v>93.999999999999901</v>
      </c>
      <c r="L931" s="204">
        <v>907</v>
      </c>
      <c r="M931" s="202">
        <v>132422</v>
      </c>
      <c r="N931" s="204">
        <v>907</v>
      </c>
      <c r="O931" s="198" t="s">
        <v>51</v>
      </c>
      <c r="P931" s="202">
        <v>132422</v>
      </c>
      <c r="Q931" s="198" t="s">
        <v>73</v>
      </c>
      <c r="R931" s="198" t="s">
        <v>53</v>
      </c>
      <c r="S931" s="198" t="s">
        <v>54</v>
      </c>
      <c r="T931" s="198" t="s">
        <v>661</v>
      </c>
      <c r="U931" s="198" t="s">
        <v>367</v>
      </c>
      <c r="V931" s="198" t="s">
        <v>56</v>
      </c>
      <c r="W931" s="198" t="s">
        <v>356</v>
      </c>
      <c r="X931" s="198" t="s">
        <v>57</v>
      </c>
      <c r="Y931" s="198" t="s">
        <v>58</v>
      </c>
      <c r="Z931" s="201">
        <v>46234</v>
      </c>
      <c r="AA931" s="198" t="s">
        <v>59</v>
      </c>
      <c r="AB931" s="198" t="s">
        <v>60</v>
      </c>
      <c r="AC931" s="198" t="s">
        <v>86</v>
      </c>
      <c r="AD931" s="198" t="s">
        <v>62</v>
      </c>
      <c r="AE931" s="198" t="s">
        <v>656</v>
      </c>
      <c r="AF931" s="198" t="s">
        <v>655</v>
      </c>
      <c r="AG931" s="198" t="s">
        <v>248</v>
      </c>
      <c r="AH931" s="198" t="s">
        <v>130</v>
      </c>
      <c r="AI931" s="198" t="s">
        <v>56</v>
      </c>
      <c r="AJ931" s="198" t="s">
        <v>318</v>
      </c>
      <c r="AK931" s="198" t="s">
        <v>51</v>
      </c>
      <c r="AL931" s="198" t="s">
        <v>67</v>
      </c>
      <c r="AM931" s="198" t="s">
        <v>68</v>
      </c>
      <c r="AN931" s="202">
        <v>132422</v>
      </c>
      <c r="AO931" s="202">
        <v>132422</v>
      </c>
      <c r="AP931" s="202">
        <v>132422</v>
      </c>
      <c r="AQ931" s="198" t="s">
        <v>358</v>
      </c>
      <c r="AR931" s="198" t="s">
        <v>51</v>
      </c>
      <c r="AS931" s="202">
        <v>132422</v>
      </c>
      <c r="AT931" s="202">
        <v>132422</v>
      </c>
      <c r="AU931" s="198" t="s">
        <v>359</v>
      </c>
      <c r="AV931" s="198" t="s">
        <v>62</v>
      </c>
      <c r="AW931" s="198" t="s">
        <v>54</v>
      </c>
    </row>
    <row r="932" spans="3:49" outlineLevel="2" x14ac:dyDescent="0.25">
      <c r="C932" s="201"/>
      <c r="D932" s="198" t="s">
        <v>133</v>
      </c>
      <c r="H932" s="198" t="s">
        <v>133</v>
      </c>
      <c r="I932" s="202">
        <f t="shared" si="14"/>
        <v>388592019.44999957</v>
      </c>
      <c r="J932" s="202">
        <v>94.099999999999895</v>
      </c>
      <c r="L932" s="204">
        <v>239949</v>
      </c>
      <c r="M932" s="202">
        <v>17756226</v>
      </c>
      <c r="N932" s="204">
        <v>239949</v>
      </c>
      <c r="O932" s="198" t="s">
        <v>51</v>
      </c>
      <c r="P932" s="202">
        <v>17756226</v>
      </c>
      <c r="Q932" s="198" t="s">
        <v>73</v>
      </c>
      <c r="R932" s="198" t="s">
        <v>53</v>
      </c>
      <c r="S932" s="198" t="s">
        <v>54</v>
      </c>
      <c r="T932" s="198" t="s">
        <v>2048</v>
      </c>
      <c r="U932" s="198" t="s">
        <v>1740</v>
      </c>
      <c r="V932" s="198" t="s">
        <v>56</v>
      </c>
      <c r="W932" s="198" t="s">
        <v>356</v>
      </c>
      <c r="X932" s="198" t="s">
        <v>57</v>
      </c>
      <c r="Y932" s="198" t="s">
        <v>58</v>
      </c>
      <c r="Z932" s="201">
        <v>46234</v>
      </c>
      <c r="AA932" s="198" t="s">
        <v>59</v>
      </c>
      <c r="AB932" s="198" t="s">
        <v>60</v>
      </c>
      <c r="AC932" s="198" t="s">
        <v>86</v>
      </c>
      <c r="AD932" s="198" t="s">
        <v>62</v>
      </c>
      <c r="AE932" s="198" t="s">
        <v>125</v>
      </c>
      <c r="AF932" s="198" t="s">
        <v>124</v>
      </c>
      <c r="AG932" s="198" t="s">
        <v>248</v>
      </c>
      <c r="AH932" s="198" t="s">
        <v>134</v>
      </c>
      <c r="AI932" s="198" t="s">
        <v>56</v>
      </c>
      <c r="AJ932" s="198" t="s">
        <v>127</v>
      </c>
      <c r="AK932" s="198" t="s">
        <v>51</v>
      </c>
      <c r="AL932" s="198" t="s">
        <v>67</v>
      </c>
      <c r="AM932" s="198" t="s">
        <v>68</v>
      </c>
      <c r="AN932" s="202">
        <v>17756226</v>
      </c>
      <c r="AO932" s="202">
        <v>17756226</v>
      </c>
      <c r="AP932" s="202">
        <v>17756226</v>
      </c>
      <c r="AQ932" s="198" t="s">
        <v>358</v>
      </c>
      <c r="AR932" s="198" t="s">
        <v>51</v>
      </c>
      <c r="AS932" s="202">
        <v>17756226</v>
      </c>
      <c r="AT932" s="202">
        <v>17756226</v>
      </c>
      <c r="AU932" s="198" t="s">
        <v>359</v>
      </c>
      <c r="AV932" s="198" t="s">
        <v>62</v>
      </c>
      <c r="AW932" s="198" t="s">
        <v>54</v>
      </c>
    </row>
    <row r="933" spans="3:49" outlineLevel="2" x14ac:dyDescent="0.25">
      <c r="C933" s="201"/>
      <c r="D933" s="198" t="s">
        <v>133</v>
      </c>
      <c r="H933" s="198" t="s">
        <v>133</v>
      </c>
      <c r="I933" s="202">
        <f t="shared" si="14"/>
        <v>389004975.89999962</v>
      </c>
      <c r="J933" s="202">
        <v>94.199999999999903</v>
      </c>
      <c r="L933" s="204">
        <v>228</v>
      </c>
      <c r="M933" s="202">
        <v>1362984</v>
      </c>
      <c r="N933" s="204">
        <v>228</v>
      </c>
      <c r="O933" s="198" t="s">
        <v>51</v>
      </c>
      <c r="P933" s="202">
        <v>1362984</v>
      </c>
      <c r="Q933" s="198" t="s">
        <v>73</v>
      </c>
      <c r="R933" s="198" t="s">
        <v>53</v>
      </c>
      <c r="S933" s="198" t="s">
        <v>54</v>
      </c>
      <c r="T933" s="198" t="s">
        <v>2048</v>
      </c>
      <c r="U933" s="198" t="s">
        <v>367</v>
      </c>
      <c r="V933" s="198" t="s">
        <v>56</v>
      </c>
      <c r="W933" s="198" t="s">
        <v>356</v>
      </c>
      <c r="X933" s="198" t="s">
        <v>57</v>
      </c>
      <c r="Y933" s="198" t="s">
        <v>58</v>
      </c>
      <c r="Z933" s="201">
        <v>46234</v>
      </c>
      <c r="AA933" s="198" t="s">
        <v>59</v>
      </c>
      <c r="AB933" s="198" t="s">
        <v>60</v>
      </c>
      <c r="AC933" s="198" t="s">
        <v>86</v>
      </c>
      <c r="AD933" s="198" t="s">
        <v>62</v>
      </c>
      <c r="AE933" s="198" t="s">
        <v>664</v>
      </c>
      <c r="AF933" s="198" t="s">
        <v>663</v>
      </c>
      <c r="AG933" s="198" t="s">
        <v>248</v>
      </c>
      <c r="AH933" s="198" t="s">
        <v>134</v>
      </c>
      <c r="AI933" s="198" t="s">
        <v>56</v>
      </c>
      <c r="AJ933" s="198" t="s">
        <v>318</v>
      </c>
      <c r="AK933" s="198" t="s">
        <v>51</v>
      </c>
      <c r="AL933" s="198" t="s">
        <v>67</v>
      </c>
      <c r="AM933" s="198" t="s">
        <v>68</v>
      </c>
      <c r="AN933" s="202">
        <v>1362984</v>
      </c>
      <c r="AO933" s="202">
        <v>1362984</v>
      </c>
      <c r="AP933" s="202">
        <v>1362984</v>
      </c>
      <c r="AQ933" s="198" t="s">
        <v>358</v>
      </c>
      <c r="AR933" s="198" t="s">
        <v>51</v>
      </c>
      <c r="AS933" s="202">
        <v>1362984</v>
      </c>
      <c r="AT933" s="202">
        <v>1362984</v>
      </c>
      <c r="AU933" s="198" t="s">
        <v>359</v>
      </c>
      <c r="AV933" s="198" t="s">
        <v>62</v>
      </c>
      <c r="AW933" s="198" t="s">
        <v>54</v>
      </c>
    </row>
    <row r="934" spans="3:49" outlineLevel="2" x14ac:dyDescent="0.25">
      <c r="C934" s="201"/>
      <c r="D934" s="198" t="s">
        <v>133</v>
      </c>
      <c r="H934" s="198" t="s">
        <v>133</v>
      </c>
      <c r="I934" s="202">
        <f t="shared" si="14"/>
        <v>389417932.34999961</v>
      </c>
      <c r="J934" s="202">
        <v>94.299999999999898</v>
      </c>
      <c r="L934" s="204">
        <v>1120</v>
      </c>
      <c r="M934" s="202">
        <v>975520</v>
      </c>
      <c r="N934" s="204">
        <v>1120</v>
      </c>
      <c r="O934" s="198" t="s">
        <v>51</v>
      </c>
      <c r="P934" s="202">
        <v>975520</v>
      </c>
      <c r="Q934" s="198" t="s">
        <v>75</v>
      </c>
      <c r="R934" s="198" t="s">
        <v>53</v>
      </c>
      <c r="S934" s="198" t="s">
        <v>54</v>
      </c>
      <c r="T934" s="198" t="s">
        <v>2048</v>
      </c>
      <c r="U934" s="198" t="s">
        <v>367</v>
      </c>
      <c r="V934" s="198" t="s">
        <v>56</v>
      </c>
      <c r="W934" s="198" t="s">
        <v>356</v>
      </c>
      <c r="X934" s="198" t="s">
        <v>57</v>
      </c>
      <c r="Y934" s="198" t="s">
        <v>58</v>
      </c>
      <c r="Z934" s="201">
        <v>46234</v>
      </c>
      <c r="AA934" s="198" t="s">
        <v>59</v>
      </c>
      <c r="AB934" s="198" t="s">
        <v>60</v>
      </c>
      <c r="AC934" s="198" t="s">
        <v>86</v>
      </c>
      <c r="AD934" s="198" t="s">
        <v>62</v>
      </c>
      <c r="AE934" s="198" t="s">
        <v>586</v>
      </c>
      <c r="AF934" s="198" t="s">
        <v>584</v>
      </c>
      <c r="AG934" s="198" t="s">
        <v>248</v>
      </c>
      <c r="AH934" s="198" t="s">
        <v>134</v>
      </c>
      <c r="AI934" s="198" t="s">
        <v>56</v>
      </c>
      <c r="AJ934" s="198" t="s">
        <v>318</v>
      </c>
      <c r="AK934" s="198" t="s">
        <v>51</v>
      </c>
      <c r="AL934" s="198" t="s">
        <v>67</v>
      </c>
      <c r="AM934" s="198" t="s">
        <v>68</v>
      </c>
      <c r="AN934" s="202">
        <v>975520</v>
      </c>
      <c r="AO934" s="202">
        <v>975520</v>
      </c>
      <c r="AP934" s="202">
        <v>975520</v>
      </c>
      <c r="AQ934" s="198" t="s">
        <v>358</v>
      </c>
      <c r="AR934" s="198" t="s">
        <v>51</v>
      </c>
      <c r="AS934" s="202">
        <v>975520</v>
      </c>
      <c r="AT934" s="202">
        <v>975520</v>
      </c>
      <c r="AU934" s="198" t="s">
        <v>359</v>
      </c>
      <c r="AV934" s="198" t="s">
        <v>62</v>
      </c>
      <c r="AW934" s="198" t="s">
        <v>54</v>
      </c>
    </row>
    <row r="935" spans="3:49" outlineLevel="2" x14ac:dyDescent="0.25">
      <c r="C935" s="201"/>
      <c r="D935" s="198" t="s">
        <v>133</v>
      </c>
      <c r="H935" s="198" t="s">
        <v>133</v>
      </c>
      <c r="I935" s="202">
        <f t="shared" si="14"/>
        <v>389830888.79999959</v>
      </c>
      <c r="J935" s="202">
        <v>94.399999999999906</v>
      </c>
      <c r="L935" s="204">
        <v>2940</v>
      </c>
      <c r="M935" s="202">
        <v>97020</v>
      </c>
      <c r="N935" s="204">
        <v>2940</v>
      </c>
      <c r="O935" s="198" t="s">
        <v>51</v>
      </c>
      <c r="P935" s="202">
        <v>97020</v>
      </c>
      <c r="Q935" s="198" t="s">
        <v>342</v>
      </c>
      <c r="R935" s="198" t="s">
        <v>53</v>
      </c>
      <c r="S935" s="198" t="s">
        <v>54</v>
      </c>
      <c r="T935" s="198" t="s">
        <v>2048</v>
      </c>
      <c r="U935" s="198" t="s">
        <v>367</v>
      </c>
      <c r="V935" s="198" t="s">
        <v>56</v>
      </c>
      <c r="W935" s="198" t="s">
        <v>356</v>
      </c>
      <c r="X935" s="198" t="s">
        <v>57</v>
      </c>
      <c r="Y935" s="198" t="s">
        <v>58</v>
      </c>
      <c r="Z935" s="201">
        <v>46234</v>
      </c>
      <c r="AA935" s="198" t="s">
        <v>59</v>
      </c>
      <c r="AB935" s="198" t="s">
        <v>60</v>
      </c>
      <c r="AC935" s="198" t="s">
        <v>86</v>
      </c>
      <c r="AD935" s="198" t="s">
        <v>62</v>
      </c>
      <c r="AE935" s="198" t="s">
        <v>589</v>
      </c>
      <c r="AF935" s="198" t="s">
        <v>588</v>
      </c>
      <c r="AG935" s="198" t="s">
        <v>248</v>
      </c>
      <c r="AH935" s="198" t="s">
        <v>134</v>
      </c>
      <c r="AI935" s="198" t="s">
        <v>56</v>
      </c>
      <c r="AJ935" s="198" t="s">
        <v>74</v>
      </c>
      <c r="AK935" s="198" t="s">
        <v>51</v>
      </c>
      <c r="AL935" s="198" t="s">
        <v>67</v>
      </c>
      <c r="AM935" s="198" t="s">
        <v>68</v>
      </c>
      <c r="AN935" s="202">
        <v>97020</v>
      </c>
      <c r="AO935" s="202">
        <v>97020</v>
      </c>
      <c r="AP935" s="202">
        <v>97020</v>
      </c>
      <c r="AQ935" s="198" t="s">
        <v>358</v>
      </c>
      <c r="AR935" s="198" t="s">
        <v>51</v>
      </c>
      <c r="AS935" s="202">
        <v>97020</v>
      </c>
      <c r="AT935" s="202">
        <v>97020</v>
      </c>
      <c r="AU935" s="198" t="s">
        <v>359</v>
      </c>
      <c r="AV935" s="198" t="s">
        <v>62</v>
      </c>
      <c r="AW935" s="198" t="s">
        <v>54</v>
      </c>
    </row>
    <row r="936" spans="3:49" outlineLevel="2" x14ac:dyDescent="0.25">
      <c r="C936" s="201"/>
      <c r="D936" s="198" t="s">
        <v>133</v>
      </c>
      <c r="H936" s="198" t="s">
        <v>133</v>
      </c>
      <c r="I936" s="202">
        <f t="shared" si="14"/>
        <v>390243845.24999958</v>
      </c>
      <c r="J936" s="202">
        <v>94.499999999999901</v>
      </c>
      <c r="L936" s="204">
        <v>8250</v>
      </c>
      <c r="M936" s="202">
        <v>497557.5</v>
      </c>
      <c r="N936" s="204">
        <v>8250</v>
      </c>
      <c r="O936" s="198" t="s">
        <v>51</v>
      </c>
      <c r="P936" s="202">
        <v>497557.5</v>
      </c>
      <c r="Q936" s="198" t="s">
        <v>75</v>
      </c>
      <c r="R936" s="198" t="s">
        <v>53</v>
      </c>
      <c r="S936" s="198" t="s">
        <v>54</v>
      </c>
      <c r="T936" s="198" t="s">
        <v>2048</v>
      </c>
      <c r="U936" s="198" t="s">
        <v>367</v>
      </c>
      <c r="V936" s="198" t="s">
        <v>56</v>
      </c>
      <c r="W936" s="198" t="s">
        <v>356</v>
      </c>
      <c r="X936" s="198" t="s">
        <v>57</v>
      </c>
      <c r="Y936" s="198" t="s">
        <v>58</v>
      </c>
      <c r="Z936" s="201">
        <v>46234</v>
      </c>
      <c r="AA936" s="198" t="s">
        <v>59</v>
      </c>
      <c r="AB936" s="198" t="s">
        <v>60</v>
      </c>
      <c r="AC936" s="198" t="s">
        <v>86</v>
      </c>
      <c r="AD936" s="198" t="s">
        <v>62</v>
      </c>
      <c r="AE936" s="198" t="s">
        <v>591</v>
      </c>
      <c r="AF936" s="198" t="s">
        <v>590</v>
      </c>
      <c r="AG936" s="198" t="s">
        <v>248</v>
      </c>
      <c r="AH936" s="198" t="s">
        <v>134</v>
      </c>
      <c r="AI936" s="198" t="s">
        <v>56</v>
      </c>
      <c r="AJ936" s="198" t="s">
        <v>76</v>
      </c>
      <c r="AK936" s="198" t="s">
        <v>51</v>
      </c>
      <c r="AL936" s="198" t="s">
        <v>67</v>
      </c>
      <c r="AM936" s="198" t="s">
        <v>68</v>
      </c>
      <c r="AN936" s="202">
        <v>497557.5</v>
      </c>
      <c r="AO936" s="202">
        <v>497557.5</v>
      </c>
      <c r="AP936" s="202">
        <v>497557.5</v>
      </c>
      <c r="AQ936" s="198" t="s">
        <v>358</v>
      </c>
      <c r="AR936" s="198" t="s">
        <v>51</v>
      </c>
      <c r="AS936" s="202">
        <v>497557.5</v>
      </c>
      <c r="AT936" s="202">
        <v>497557.5</v>
      </c>
      <c r="AU936" s="198" t="s">
        <v>359</v>
      </c>
      <c r="AV936" s="198" t="s">
        <v>62</v>
      </c>
      <c r="AW936" s="198" t="s">
        <v>54</v>
      </c>
    </row>
    <row r="937" spans="3:49" outlineLevel="2" x14ac:dyDescent="0.25">
      <c r="C937" s="201"/>
      <c r="D937" s="198" t="s">
        <v>133</v>
      </c>
      <c r="H937" s="198" t="s">
        <v>133</v>
      </c>
      <c r="I937" s="202">
        <f t="shared" si="14"/>
        <v>390656801.69999957</v>
      </c>
      <c r="J937" s="202">
        <v>94.599999999999895</v>
      </c>
      <c r="L937" s="204">
        <v>66</v>
      </c>
      <c r="M937" s="202">
        <v>2142360</v>
      </c>
      <c r="N937" s="204">
        <v>66</v>
      </c>
      <c r="O937" s="198" t="s">
        <v>51</v>
      </c>
      <c r="P937" s="202">
        <v>2142360</v>
      </c>
      <c r="Q937" s="198" t="s">
        <v>335</v>
      </c>
      <c r="R937" s="198" t="s">
        <v>53</v>
      </c>
      <c r="S937" s="198" t="s">
        <v>54</v>
      </c>
      <c r="T937" s="198" t="s">
        <v>2048</v>
      </c>
      <c r="U937" s="198" t="s">
        <v>367</v>
      </c>
      <c r="V937" s="198" t="s">
        <v>56</v>
      </c>
      <c r="W937" s="198" t="s">
        <v>356</v>
      </c>
      <c r="X937" s="198" t="s">
        <v>57</v>
      </c>
      <c r="Y937" s="198" t="s">
        <v>58</v>
      </c>
      <c r="Z937" s="201">
        <v>46234</v>
      </c>
      <c r="AA937" s="198" t="s">
        <v>59</v>
      </c>
      <c r="AB937" s="198" t="s">
        <v>60</v>
      </c>
      <c r="AC937" s="198" t="s">
        <v>86</v>
      </c>
      <c r="AD937" s="198" t="s">
        <v>62</v>
      </c>
      <c r="AE937" s="198" t="s">
        <v>660</v>
      </c>
      <c r="AF937" s="198" t="s">
        <v>659</v>
      </c>
      <c r="AG937" s="198" t="s">
        <v>248</v>
      </c>
      <c r="AH937" s="198" t="s">
        <v>134</v>
      </c>
      <c r="AI937" s="198" t="s">
        <v>56</v>
      </c>
      <c r="AJ937" s="198" t="s">
        <v>299</v>
      </c>
      <c r="AK937" s="198" t="s">
        <v>51</v>
      </c>
      <c r="AL937" s="198" t="s">
        <v>67</v>
      </c>
      <c r="AM937" s="198" t="s">
        <v>68</v>
      </c>
      <c r="AN937" s="202">
        <v>2142360</v>
      </c>
      <c r="AO937" s="202">
        <v>2142360</v>
      </c>
      <c r="AP937" s="202">
        <v>2142360</v>
      </c>
      <c r="AQ937" s="198" t="s">
        <v>358</v>
      </c>
      <c r="AR937" s="198" t="s">
        <v>51</v>
      </c>
      <c r="AS937" s="202">
        <v>2142360</v>
      </c>
      <c r="AT937" s="202">
        <v>2142360</v>
      </c>
      <c r="AU937" s="198" t="s">
        <v>359</v>
      </c>
      <c r="AV937" s="198" t="s">
        <v>62</v>
      </c>
      <c r="AW937" s="198" t="s">
        <v>54</v>
      </c>
    </row>
    <row r="938" spans="3:49" outlineLevel="2" x14ac:dyDescent="0.25">
      <c r="C938" s="201"/>
      <c r="D938" s="198" t="s">
        <v>133</v>
      </c>
      <c r="H938" s="198" t="s">
        <v>133</v>
      </c>
      <c r="I938" s="202">
        <f t="shared" si="14"/>
        <v>391069758.14999962</v>
      </c>
      <c r="J938" s="202">
        <v>94.699999999999903</v>
      </c>
      <c r="L938" s="204">
        <v>22</v>
      </c>
      <c r="M938" s="202">
        <v>2252965</v>
      </c>
      <c r="N938" s="204">
        <v>22</v>
      </c>
      <c r="O938" s="198" t="s">
        <v>51</v>
      </c>
      <c r="P938" s="202">
        <v>2252965</v>
      </c>
      <c r="Q938" s="198" t="s">
        <v>52</v>
      </c>
      <c r="R938" s="198" t="s">
        <v>53</v>
      </c>
      <c r="S938" s="198" t="s">
        <v>54</v>
      </c>
      <c r="T938" s="198" t="s">
        <v>2048</v>
      </c>
      <c r="U938" s="198" t="s">
        <v>367</v>
      </c>
      <c r="V938" s="198" t="s">
        <v>56</v>
      </c>
      <c r="W938" s="198" t="s">
        <v>356</v>
      </c>
      <c r="X938" s="198" t="s">
        <v>57</v>
      </c>
      <c r="Y938" s="198" t="s">
        <v>58</v>
      </c>
      <c r="Z938" s="201">
        <v>46234</v>
      </c>
      <c r="AA938" s="198" t="s">
        <v>59</v>
      </c>
      <c r="AB938" s="198" t="s">
        <v>60</v>
      </c>
      <c r="AC938" s="198" t="s">
        <v>86</v>
      </c>
      <c r="AD938" s="198" t="s">
        <v>62</v>
      </c>
      <c r="AE938" s="198" t="s">
        <v>102</v>
      </c>
      <c r="AF938" s="198" t="s">
        <v>101</v>
      </c>
      <c r="AG938" s="198" t="s">
        <v>248</v>
      </c>
      <c r="AH938" s="198" t="s">
        <v>134</v>
      </c>
      <c r="AI938" s="198" t="s">
        <v>56</v>
      </c>
      <c r="AJ938" s="198" t="s">
        <v>66</v>
      </c>
      <c r="AK938" s="198" t="s">
        <v>51</v>
      </c>
      <c r="AL938" s="198" t="s">
        <v>67</v>
      </c>
      <c r="AM938" s="198" t="s">
        <v>68</v>
      </c>
      <c r="AN938" s="202">
        <v>2252965</v>
      </c>
      <c r="AO938" s="202">
        <v>2252965</v>
      </c>
      <c r="AP938" s="202">
        <v>2252965</v>
      </c>
      <c r="AQ938" s="198" t="s">
        <v>358</v>
      </c>
      <c r="AR938" s="198" t="s">
        <v>51</v>
      </c>
      <c r="AS938" s="202">
        <v>2252965</v>
      </c>
      <c r="AT938" s="202">
        <v>2252965</v>
      </c>
      <c r="AU938" s="198" t="s">
        <v>359</v>
      </c>
      <c r="AV938" s="198" t="s">
        <v>62</v>
      </c>
      <c r="AW938" s="198" t="s">
        <v>54</v>
      </c>
    </row>
    <row r="939" spans="3:49" outlineLevel="2" x14ac:dyDescent="0.25">
      <c r="C939" s="201"/>
      <c r="D939" s="198" t="s">
        <v>133</v>
      </c>
      <c r="H939" s="198" t="s">
        <v>133</v>
      </c>
      <c r="I939" s="202">
        <f t="shared" si="14"/>
        <v>391482714.59999961</v>
      </c>
      <c r="J939" s="202">
        <v>94.799999999999898</v>
      </c>
      <c r="L939" s="204">
        <v>20</v>
      </c>
      <c r="M939" s="202">
        <v>900000</v>
      </c>
      <c r="N939" s="204">
        <v>20</v>
      </c>
      <c r="O939" s="198" t="s">
        <v>51</v>
      </c>
      <c r="P939" s="202">
        <v>900000</v>
      </c>
      <c r="Q939" s="198" t="s">
        <v>73</v>
      </c>
      <c r="R939" s="198" t="s">
        <v>53</v>
      </c>
      <c r="S939" s="198" t="s">
        <v>54</v>
      </c>
      <c r="T939" s="198" t="s">
        <v>2048</v>
      </c>
      <c r="U939" s="198" t="s">
        <v>367</v>
      </c>
      <c r="V939" s="198" t="s">
        <v>56</v>
      </c>
      <c r="W939" s="198" t="s">
        <v>356</v>
      </c>
      <c r="X939" s="198" t="s">
        <v>57</v>
      </c>
      <c r="Y939" s="198" t="s">
        <v>58</v>
      </c>
      <c r="Z939" s="201">
        <v>46234</v>
      </c>
      <c r="AA939" s="198" t="s">
        <v>59</v>
      </c>
      <c r="AB939" s="198" t="s">
        <v>60</v>
      </c>
      <c r="AC939" s="198" t="s">
        <v>86</v>
      </c>
      <c r="AD939" s="198" t="s">
        <v>62</v>
      </c>
      <c r="AE939" s="198" t="s">
        <v>593</v>
      </c>
      <c r="AF939" s="198" t="s">
        <v>592</v>
      </c>
      <c r="AG939" s="198" t="s">
        <v>248</v>
      </c>
      <c r="AH939" s="198" t="s">
        <v>134</v>
      </c>
      <c r="AI939" s="198" t="s">
        <v>56</v>
      </c>
      <c r="AJ939" s="198" t="s">
        <v>333</v>
      </c>
      <c r="AK939" s="198" t="s">
        <v>51</v>
      </c>
      <c r="AL939" s="198" t="s">
        <v>67</v>
      </c>
      <c r="AM939" s="198" t="s">
        <v>68</v>
      </c>
      <c r="AN939" s="202">
        <v>900000</v>
      </c>
      <c r="AO939" s="202">
        <v>900000</v>
      </c>
      <c r="AP939" s="202">
        <v>900000</v>
      </c>
      <c r="AQ939" s="198" t="s">
        <v>358</v>
      </c>
      <c r="AR939" s="198" t="s">
        <v>51</v>
      </c>
      <c r="AS939" s="202">
        <v>900000</v>
      </c>
      <c r="AT939" s="202">
        <v>900000</v>
      </c>
      <c r="AU939" s="198" t="s">
        <v>359</v>
      </c>
      <c r="AV939" s="198" t="s">
        <v>62</v>
      </c>
      <c r="AW939" s="198" t="s">
        <v>54</v>
      </c>
    </row>
    <row r="940" spans="3:49" outlineLevel="2" x14ac:dyDescent="0.25">
      <c r="C940" s="201"/>
      <c r="D940" s="198" t="s">
        <v>133</v>
      </c>
      <c r="H940" s="198" t="s">
        <v>133</v>
      </c>
      <c r="I940" s="202">
        <f t="shared" si="14"/>
        <v>391895671.04999959</v>
      </c>
      <c r="J940" s="202">
        <v>94.899999999999906</v>
      </c>
      <c r="L940" s="204">
        <v>20</v>
      </c>
      <c r="M940" s="202">
        <v>110000</v>
      </c>
      <c r="N940" s="204">
        <v>20</v>
      </c>
      <c r="O940" s="198" t="s">
        <v>51</v>
      </c>
      <c r="P940" s="202">
        <v>110000</v>
      </c>
      <c r="Q940" s="198" t="s">
        <v>73</v>
      </c>
      <c r="R940" s="198" t="s">
        <v>53</v>
      </c>
      <c r="S940" s="198" t="s">
        <v>54</v>
      </c>
      <c r="T940" s="198" t="s">
        <v>2048</v>
      </c>
      <c r="U940" s="198" t="s">
        <v>367</v>
      </c>
      <c r="V940" s="198" t="s">
        <v>56</v>
      </c>
      <c r="W940" s="198" t="s">
        <v>356</v>
      </c>
      <c r="X940" s="198" t="s">
        <v>57</v>
      </c>
      <c r="Y940" s="198" t="s">
        <v>58</v>
      </c>
      <c r="Z940" s="201">
        <v>46234</v>
      </c>
      <c r="AA940" s="198" t="s">
        <v>59</v>
      </c>
      <c r="AB940" s="198" t="s">
        <v>60</v>
      </c>
      <c r="AC940" s="198" t="s">
        <v>86</v>
      </c>
      <c r="AD940" s="198" t="s">
        <v>62</v>
      </c>
      <c r="AE940" s="198" t="s">
        <v>666</v>
      </c>
      <c r="AF940" s="198" t="s">
        <v>665</v>
      </c>
      <c r="AG940" s="198" t="s">
        <v>248</v>
      </c>
      <c r="AH940" s="198" t="s">
        <v>134</v>
      </c>
      <c r="AI940" s="198" t="s">
        <v>56</v>
      </c>
      <c r="AJ940" s="198" t="s">
        <v>2049</v>
      </c>
      <c r="AK940" s="198" t="s">
        <v>51</v>
      </c>
      <c r="AL940" s="198" t="s">
        <v>67</v>
      </c>
      <c r="AM940" s="198" t="s">
        <v>68</v>
      </c>
      <c r="AN940" s="202">
        <v>110000</v>
      </c>
      <c r="AO940" s="202">
        <v>110000</v>
      </c>
      <c r="AP940" s="202">
        <v>110000</v>
      </c>
      <c r="AQ940" s="198" t="s">
        <v>358</v>
      </c>
      <c r="AR940" s="198" t="s">
        <v>51</v>
      </c>
      <c r="AS940" s="202">
        <v>110000</v>
      </c>
      <c r="AT940" s="202">
        <v>110000</v>
      </c>
      <c r="AU940" s="198" t="s">
        <v>359</v>
      </c>
      <c r="AV940" s="198" t="s">
        <v>62</v>
      </c>
      <c r="AW940" s="198" t="s">
        <v>54</v>
      </c>
    </row>
    <row r="941" spans="3:49" outlineLevel="2" x14ac:dyDescent="0.25">
      <c r="C941" s="201"/>
      <c r="D941" s="198" t="s">
        <v>133</v>
      </c>
      <c r="H941" s="198" t="s">
        <v>133</v>
      </c>
      <c r="I941" s="202">
        <f t="shared" si="14"/>
        <v>392308627.49999958</v>
      </c>
      <c r="J941" s="202">
        <v>94.999999999999901</v>
      </c>
      <c r="L941" s="204">
        <v>10</v>
      </c>
      <c r="M941" s="202">
        <v>69087.399999999994</v>
      </c>
      <c r="N941" s="204">
        <v>10</v>
      </c>
      <c r="O941" s="198" t="s">
        <v>51</v>
      </c>
      <c r="P941" s="202">
        <v>69087.399999999994</v>
      </c>
      <c r="Q941" s="198" t="s">
        <v>73</v>
      </c>
      <c r="R941" s="198" t="s">
        <v>53</v>
      </c>
      <c r="S941" s="198" t="s">
        <v>54</v>
      </c>
      <c r="T941" s="198" t="s">
        <v>2048</v>
      </c>
      <c r="U941" s="198" t="s">
        <v>367</v>
      </c>
      <c r="V941" s="198" t="s">
        <v>56</v>
      </c>
      <c r="W941" s="198" t="s">
        <v>356</v>
      </c>
      <c r="X941" s="198" t="s">
        <v>57</v>
      </c>
      <c r="Y941" s="198" t="s">
        <v>58</v>
      </c>
      <c r="Z941" s="201">
        <v>46234</v>
      </c>
      <c r="AA941" s="198" t="s">
        <v>59</v>
      </c>
      <c r="AB941" s="198" t="s">
        <v>60</v>
      </c>
      <c r="AC941" s="198" t="s">
        <v>86</v>
      </c>
      <c r="AD941" s="198" t="s">
        <v>62</v>
      </c>
      <c r="AE941" s="198" t="s">
        <v>595</v>
      </c>
      <c r="AF941" s="198" t="s">
        <v>594</v>
      </c>
      <c r="AG941" s="198" t="s">
        <v>248</v>
      </c>
      <c r="AH941" s="198" t="s">
        <v>134</v>
      </c>
      <c r="AI941" s="198" t="s">
        <v>56</v>
      </c>
      <c r="AJ941" s="198" t="s">
        <v>596</v>
      </c>
      <c r="AK941" s="198" t="s">
        <v>51</v>
      </c>
      <c r="AL941" s="198" t="s">
        <v>67</v>
      </c>
      <c r="AM941" s="198" t="s">
        <v>68</v>
      </c>
      <c r="AN941" s="202">
        <v>69087.399999999994</v>
      </c>
      <c r="AO941" s="202">
        <v>69087.399999999994</v>
      </c>
      <c r="AP941" s="202">
        <v>69087.399999999994</v>
      </c>
      <c r="AQ941" s="198" t="s">
        <v>358</v>
      </c>
      <c r="AR941" s="198" t="s">
        <v>51</v>
      </c>
      <c r="AS941" s="202">
        <v>69087.399999999994</v>
      </c>
      <c r="AT941" s="202">
        <v>69087.399999999994</v>
      </c>
      <c r="AU941" s="198" t="s">
        <v>359</v>
      </c>
      <c r="AV941" s="198" t="s">
        <v>62</v>
      </c>
      <c r="AW941" s="198" t="s">
        <v>54</v>
      </c>
    </row>
    <row r="942" spans="3:49" outlineLevel="2" x14ac:dyDescent="0.25">
      <c r="C942" s="201"/>
      <c r="D942" s="198" t="s">
        <v>133</v>
      </c>
      <c r="H942" s="198" t="s">
        <v>133</v>
      </c>
      <c r="I942" s="202">
        <f t="shared" si="14"/>
        <v>392721583.94999957</v>
      </c>
      <c r="J942" s="202">
        <v>95.099999999999895</v>
      </c>
      <c r="L942" s="204">
        <v>3000</v>
      </c>
      <c r="M942" s="202">
        <v>121710</v>
      </c>
      <c r="N942" s="204">
        <v>3000</v>
      </c>
      <c r="O942" s="198" t="s">
        <v>51</v>
      </c>
      <c r="P942" s="202">
        <v>121710</v>
      </c>
      <c r="Q942" s="198" t="s">
        <v>75</v>
      </c>
      <c r="R942" s="198" t="s">
        <v>53</v>
      </c>
      <c r="S942" s="198" t="s">
        <v>54</v>
      </c>
      <c r="T942" s="198" t="s">
        <v>2048</v>
      </c>
      <c r="U942" s="198" t="s">
        <v>367</v>
      </c>
      <c r="V942" s="198" t="s">
        <v>56</v>
      </c>
      <c r="W942" s="198" t="s">
        <v>356</v>
      </c>
      <c r="X942" s="198" t="s">
        <v>57</v>
      </c>
      <c r="Y942" s="198" t="s">
        <v>58</v>
      </c>
      <c r="Z942" s="201">
        <v>46234</v>
      </c>
      <c r="AA942" s="198" t="s">
        <v>59</v>
      </c>
      <c r="AB942" s="198" t="s">
        <v>60</v>
      </c>
      <c r="AC942" s="198" t="s">
        <v>86</v>
      </c>
      <c r="AD942" s="198" t="s">
        <v>62</v>
      </c>
      <c r="AE942" s="198" t="s">
        <v>598</v>
      </c>
      <c r="AF942" s="198" t="s">
        <v>597</v>
      </c>
      <c r="AG942" s="198" t="s">
        <v>248</v>
      </c>
      <c r="AH942" s="198" t="s">
        <v>134</v>
      </c>
      <c r="AI942" s="198" t="s">
        <v>56</v>
      </c>
      <c r="AJ942" s="198" t="s">
        <v>318</v>
      </c>
      <c r="AK942" s="198" t="s">
        <v>51</v>
      </c>
      <c r="AL942" s="198" t="s">
        <v>67</v>
      </c>
      <c r="AM942" s="198" t="s">
        <v>68</v>
      </c>
      <c r="AN942" s="202">
        <v>121710</v>
      </c>
      <c r="AO942" s="202">
        <v>121710</v>
      </c>
      <c r="AP942" s="202">
        <v>121710</v>
      </c>
      <c r="AQ942" s="198" t="s">
        <v>358</v>
      </c>
      <c r="AR942" s="198" t="s">
        <v>51</v>
      </c>
      <c r="AS942" s="202">
        <v>121710</v>
      </c>
      <c r="AT942" s="202">
        <v>121710</v>
      </c>
      <c r="AU942" s="198" t="s">
        <v>359</v>
      </c>
      <c r="AV942" s="198" t="s">
        <v>62</v>
      </c>
      <c r="AW942" s="198" t="s">
        <v>54</v>
      </c>
    </row>
    <row r="943" spans="3:49" outlineLevel="2" x14ac:dyDescent="0.25">
      <c r="C943" s="201"/>
      <c r="D943" s="198" t="s">
        <v>133</v>
      </c>
      <c r="H943" s="198" t="s">
        <v>133</v>
      </c>
      <c r="I943" s="202">
        <f t="shared" si="14"/>
        <v>393134540.39999962</v>
      </c>
      <c r="J943" s="202">
        <v>95.199999999999903</v>
      </c>
      <c r="L943" s="204">
        <v>3000</v>
      </c>
      <c r="M943" s="202">
        <v>76440</v>
      </c>
      <c r="N943" s="204">
        <v>3000</v>
      </c>
      <c r="O943" s="198" t="s">
        <v>51</v>
      </c>
      <c r="P943" s="202">
        <v>76440</v>
      </c>
      <c r="Q943" s="198" t="s">
        <v>75</v>
      </c>
      <c r="R943" s="198" t="s">
        <v>53</v>
      </c>
      <c r="S943" s="198" t="s">
        <v>54</v>
      </c>
      <c r="T943" s="198" t="s">
        <v>2048</v>
      </c>
      <c r="U943" s="198" t="s">
        <v>367</v>
      </c>
      <c r="V943" s="198" t="s">
        <v>56</v>
      </c>
      <c r="W943" s="198" t="s">
        <v>356</v>
      </c>
      <c r="X943" s="198" t="s">
        <v>57</v>
      </c>
      <c r="Y943" s="198" t="s">
        <v>58</v>
      </c>
      <c r="Z943" s="201">
        <v>46234</v>
      </c>
      <c r="AA943" s="198" t="s">
        <v>59</v>
      </c>
      <c r="AB943" s="198" t="s">
        <v>60</v>
      </c>
      <c r="AC943" s="198" t="s">
        <v>86</v>
      </c>
      <c r="AD943" s="198" t="s">
        <v>62</v>
      </c>
      <c r="AE943" s="198" t="s">
        <v>600</v>
      </c>
      <c r="AF943" s="198" t="s">
        <v>599</v>
      </c>
      <c r="AG943" s="198" t="s">
        <v>248</v>
      </c>
      <c r="AH943" s="198" t="s">
        <v>134</v>
      </c>
      <c r="AI943" s="198" t="s">
        <v>56</v>
      </c>
      <c r="AJ943" s="198" t="s">
        <v>325</v>
      </c>
      <c r="AK943" s="198" t="s">
        <v>51</v>
      </c>
      <c r="AL943" s="198" t="s">
        <v>67</v>
      </c>
      <c r="AM943" s="198" t="s">
        <v>68</v>
      </c>
      <c r="AN943" s="202">
        <v>76440</v>
      </c>
      <c r="AO943" s="202">
        <v>76440</v>
      </c>
      <c r="AP943" s="202">
        <v>76440</v>
      </c>
      <c r="AQ943" s="198" t="s">
        <v>358</v>
      </c>
      <c r="AR943" s="198" t="s">
        <v>51</v>
      </c>
      <c r="AS943" s="202">
        <v>76440</v>
      </c>
      <c r="AT943" s="202">
        <v>76440</v>
      </c>
      <c r="AU943" s="198" t="s">
        <v>359</v>
      </c>
      <c r="AV943" s="198" t="s">
        <v>62</v>
      </c>
      <c r="AW943" s="198" t="s">
        <v>54</v>
      </c>
    </row>
    <row r="944" spans="3:49" outlineLevel="2" x14ac:dyDescent="0.25">
      <c r="C944" s="201"/>
      <c r="D944" s="198" t="s">
        <v>133</v>
      </c>
      <c r="H944" s="198" t="s">
        <v>133</v>
      </c>
      <c r="I944" s="202">
        <f t="shared" si="14"/>
        <v>393547496.84999961</v>
      </c>
      <c r="J944" s="202">
        <v>95.299999999999898</v>
      </c>
      <c r="L944" s="204">
        <v>5200</v>
      </c>
      <c r="M944" s="202">
        <v>81796</v>
      </c>
      <c r="N944" s="204">
        <v>5200</v>
      </c>
      <c r="O944" s="198" t="s">
        <v>51</v>
      </c>
      <c r="P944" s="202">
        <v>81796</v>
      </c>
      <c r="Q944" s="198" t="s">
        <v>75</v>
      </c>
      <c r="R944" s="198" t="s">
        <v>53</v>
      </c>
      <c r="S944" s="198" t="s">
        <v>54</v>
      </c>
      <c r="T944" s="198" t="s">
        <v>2048</v>
      </c>
      <c r="U944" s="198" t="s">
        <v>367</v>
      </c>
      <c r="V944" s="198" t="s">
        <v>56</v>
      </c>
      <c r="W944" s="198" t="s">
        <v>356</v>
      </c>
      <c r="X944" s="198" t="s">
        <v>57</v>
      </c>
      <c r="Y944" s="198" t="s">
        <v>58</v>
      </c>
      <c r="Z944" s="201">
        <v>46234</v>
      </c>
      <c r="AA944" s="198" t="s">
        <v>59</v>
      </c>
      <c r="AB944" s="198" t="s">
        <v>60</v>
      </c>
      <c r="AC944" s="198" t="s">
        <v>86</v>
      </c>
      <c r="AD944" s="198" t="s">
        <v>62</v>
      </c>
      <c r="AE944" s="198" t="s">
        <v>602</v>
      </c>
      <c r="AF944" s="198" t="s">
        <v>601</v>
      </c>
      <c r="AG944" s="198" t="s">
        <v>248</v>
      </c>
      <c r="AH944" s="198" t="s">
        <v>134</v>
      </c>
      <c r="AI944" s="198" t="s">
        <v>56</v>
      </c>
      <c r="AJ944" s="198" t="s">
        <v>318</v>
      </c>
      <c r="AK944" s="198" t="s">
        <v>51</v>
      </c>
      <c r="AL944" s="198" t="s">
        <v>67</v>
      </c>
      <c r="AM944" s="198" t="s">
        <v>68</v>
      </c>
      <c r="AN944" s="202">
        <v>81796</v>
      </c>
      <c r="AO944" s="202">
        <v>81796</v>
      </c>
      <c r="AP944" s="202">
        <v>81796</v>
      </c>
      <c r="AQ944" s="198" t="s">
        <v>358</v>
      </c>
      <c r="AR944" s="198" t="s">
        <v>51</v>
      </c>
      <c r="AS944" s="202">
        <v>81796</v>
      </c>
      <c r="AT944" s="202">
        <v>81796</v>
      </c>
      <c r="AU944" s="198" t="s">
        <v>359</v>
      </c>
      <c r="AV944" s="198" t="s">
        <v>62</v>
      </c>
      <c r="AW944" s="198" t="s">
        <v>54</v>
      </c>
    </row>
    <row r="945" spans="3:49" outlineLevel="2" x14ac:dyDescent="0.25">
      <c r="C945" s="201"/>
      <c r="D945" s="198" t="s">
        <v>133</v>
      </c>
      <c r="H945" s="198" t="s">
        <v>133</v>
      </c>
      <c r="I945" s="202">
        <f t="shared" si="14"/>
        <v>393960453.29999959</v>
      </c>
      <c r="J945" s="202">
        <v>95.399999999999906</v>
      </c>
      <c r="L945" s="204">
        <v>4500</v>
      </c>
      <c r="M945" s="202">
        <v>270000</v>
      </c>
      <c r="N945" s="204">
        <v>4500</v>
      </c>
      <c r="O945" s="198" t="s">
        <v>51</v>
      </c>
      <c r="P945" s="202">
        <v>270000</v>
      </c>
      <c r="Q945" s="198" t="s">
        <v>75</v>
      </c>
      <c r="R945" s="198" t="s">
        <v>53</v>
      </c>
      <c r="S945" s="198" t="s">
        <v>54</v>
      </c>
      <c r="T945" s="198" t="s">
        <v>2048</v>
      </c>
      <c r="U945" s="198" t="s">
        <v>367</v>
      </c>
      <c r="V945" s="198" t="s">
        <v>56</v>
      </c>
      <c r="W945" s="198" t="s">
        <v>356</v>
      </c>
      <c r="X945" s="198" t="s">
        <v>57</v>
      </c>
      <c r="Y945" s="198" t="s">
        <v>58</v>
      </c>
      <c r="Z945" s="201">
        <v>46234</v>
      </c>
      <c r="AA945" s="198" t="s">
        <v>59</v>
      </c>
      <c r="AB945" s="198" t="s">
        <v>60</v>
      </c>
      <c r="AC945" s="198" t="s">
        <v>86</v>
      </c>
      <c r="AD945" s="198" t="s">
        <v>62</v>
      </c>
      <c r="AE945" s="198" t="s">
        <v>604</v>
      </c>
      <c r="AF945" s="198" t="s">
        <v>603</v>
      </c>
      <c r="AG945" s="198" t="s">
        <v>248</v>
      </c>
      <c r="AH945" s="198" t="s">
        <v>134</v>
      </c>
      <c r="AI945" s="198" t="s">
        <v>56</v>
      </c>
      <c r="AJ945" s="198" t="s">
        <v>325</v>
      </c>
      <c r="AK945" s="198" t="s">
        <v>51</v>
      </c>
      <c r="AL945" s="198" t="s">
        <v>67</v>
      </c>
      <c r="AM945" s="198" t="s">
        <v>68</v>
      </c>
      <c r="AN945" s="202">
        <v>270000</v>
      </c>
      <c r="AO945" s="202">
        <v>270000</v>
      </c>
      <c r="AP945" s="202">
        <v>270000</v>
      </c>
      <c r="AQ945" s="198" t="s">
        <v>358</v>
      </c>
      <c r="AR945" s="198" t="s">
        <v>51</v>
      </c>
      <c r="AS945" s="202">
        <v>270000</v>
      </c>
      <c r="AT945" s="202">
        <v>270000</v>
      </c>
      <c r="AU945" s="198" t="s">
        <v>359</v>
      </c>
      <c r="AV945" s="198" t="s">
        <v>62</v>
      </c>
      <c r="AW945" s="198" t="s">
        <v>54</v>
      </c>
    </row>
    <row r="946" spans="3:49" outlineLevel="2" x14ac:dyDescent="0.25">
      <c r="C946" s="201"/>
      <c r="D946" s="198" t="s">
        <v>133</v>
      </c>
      <c r="H946" s="198" t="s">
        <v>133</v>
      </c>
      <c r="I946" s="202">
        <f t="shared" si="14"/>
        <v>394373409.74999958</v>
      </c>
      <c r="J946" s="202">
        <v>95.499999999999901</v>
      </c>
      <c r="L946" s="204">
        <v>10</v>
      </c>
      <c r="M946" s="202">
        <v>10323</v>
      </c>
      <c r="N946" s="204">
        <v>10</v>
      </c>
      <c r="O946" s="198" t="s">
        <v>51</v>
      </c>
      <c r="P946" s="202">
        <v>10323</v>
      </c>
      <c r="Q946" s="198" t="s">
        <v>73</v>
      </c>
      <c r="R946" s="198" t="s">
        <v>53</v>
      </c>
      <c r="S946" s="198" t="s">
        <v>54</v>
      </c>
      <c r="T946" s="198" t="s">
        <v>2048</v>
      </c>
      <c r="U946" s="198" t="s">
        <v>367</v>
      </c>
      <c r="V946" s="198" t="s">
        <v>56</v>
      </c>
      <c r="W946" s="198" t="s">
        <v>356</v>
      </c>
      <c r="X946" s="198" t="s">
        <v>57</v>
      </c>
      <c r="Y946" s="198" t="s">
        <v>58</v>
      </c>
      <c r="Z946" s="201">
        <v>46234</v>
      </c>
      <c r="AA946" s="198" t="s">
        <v>59</v>
      </c>
      <c r="AB946" s="198" t="s">
        <v>60</v>
      </c>
      <c r="AC946" s="198" t="s">
        <v>86</v>
      </c>
      <c r="AD946" s="198" t="s">
        <v>62</v>
      </c>
      <c r="AE946" s="198" t="s">
        <v>606</v>
      </c>
      <c r="AF946" s="198" t="s">
        <v>605</v>
      </c>
      <c r="AG946" s="198" t="s">
        <v>248</v>
      </c>
      <c r="AH946" s="198" t="s">
        <v>134</v>
      </c>
      <c r="AI946" s="198" t="s">
        <v>56</v>
      </c>
      <c r="AJ946" s="198" t="s">
        <v>128</v>
      </c>
      <c r="AK946" s="198" t="s">
        <v>51</v>
      </c>
      <c r="AL946" s="198" t="s">
        <v>67</v>
      </c>
      <c r="AM946" s="198" t="s">
        <v>68</v>
      </c>
      <c r="AN946" s="202">
        <v>10323</v>
      </c>
      <c r="AO946" s="202">
        <v>10323</v>
      </c>
      <c r="AP946" s="202">
        <v>10323</v>
      </c>
      <c r="AQ946" s="198" t="s">
        <v>358</v>
      </c>
      <c r="AR946" s="198" t="s">
        <v>51</v>
      </c>
      <c r="AS946" s="202">
        <v>10323</v>
      </c>
      <c r="AT946" s="202">
        <v>10323</v>
      </c>
      <c r="AU946" s="198" t="s">
        <v>359</v>
      </c>
      <c r="AV946" s="198" t="s">
        <v>62</v>
      </c>
      <c r="AW946" s="198" t="s">
        <v>54</v>
      </c>
    </row>
    <row r="947" spans="3:49" outlineLevel="2" x14ac:dyDescent="0.25">
      <c r="C947" s="201"/>
      <c r="D947" s="198" t="s">
        <v>133</v>
      </c>
      <c r="H947" s="198" t="s">
        <v>133</v>
      </c>
      <c r="I947" s="202">
        <f t="shared" si="14"/>
        <v>394786366.19999957</v>
      </c>
      <c r="J947" s="202">
        <v>95.599999999999895</v>
      </c>
      <c r="L947" s="204">
        <v>10</v>
      </c>
      <c r="M947" s="202">
        <v>12716</v>
      </c>
      <c r="N947" s="204">
        <v>10</v>
      </c>
      <c r="O947" s="198" t="s">
        <v>51</v>
      </c>
      <c r="P947" s="202">
        <v>12716</v>
      </c>
      <c r="Q947" s="198" t="s">
        <v>73</v>
      </c>
      <c r="R947" s="198" t="s">
        <v>53</v>
      </c>
      <c r="S947" s="198" t="s">
        <v>54</v>
      </c>
      <c r="T947" s="198" t="s">
        <v>2048</v>
      </c>
      <c r="U947" s="198" t="s">
        <v>367</v>
      </c>
      <c r="V947" s="198" t="s">
        <v>56</v>
      </c>
      <c r="W947" s="198" t="s">
        <v>356</v>
      </c>
      <c r="X947" s="198" t="s">
        <v>57</v>
      </c>
      <c r="Y947" s="198" t="s">
        <v>58</v>
      </c>
      <c r="Z947" s="201">
        <v>46234</v>
      </c>
      <c r="AA947" s="198" t="s">
        <v>59</v>
      </c>
      <c r="AB947" s="198" t="s">
        <v>60</v>
      </c>
      <c r="AC947" s="198" t="s">
        <v>86</v>
      </c>
      <c r="AD947" s="198" t="s">
        <v>62</v>
      </c>
      <c r="AE947" s="198" t="s">
        <v>608</v>
      </c>
      <c r="AF947" s="198" t="s">
        <v>607</v>
      </c>
      <c r="AG947" s="198" t="s">
        <v>248</v>
      </c>
      <c r="AH947" s="198" t="s">
        <v>134</v>
      </c>
      <c r="AI947" s="198" t="s">
        <v>56</v>
      </c>
      <c r="AJ947" s="198" t="s">
        <v>128</v>
      </c>
      <c r="AK947" s="198" t="s">
        <v>51</v>
      </c>
      <c r="AL947" s="198" t="s">
        <v>67</v>
      </c>
      <c r="AM947" s="198" t="s">
        <v>68</v>
      </c>
      <c r="AN947" s="202">
        <v>12716</v>
      </c>
      <c r="AO947" s="202">
        <v>12716</v>
      </c>
      <c r="AP947" s="202">
        <v>12716</v>
      </c>
      <c r="AQ947" s="198" t="s">
        <v>358</v>
      </c>
      <c r="AR947" s="198" t="s">
        <v>51</v>
      </c>
      <c r="AS947" s="202">
        <v>12716</v>
      </c>
      <c r="AT947" s="202">
        <v>12716</v>
      </c>
      <c r="AU947" s="198" t="s">
        <v>359</v>
      </c>
      <c r="AV947" s="198" t="s">
        <v>62</v>
      </c>
      <c r="AW947" s="198" t="s">
        <v>54</v>
      </c>
    </row>
    <row r="948" spans="3:49" outlineLevel="2" x14ac:dyDescent="0.25">
      <c r="C948" s="201"/>
      <c r="D948" s="198" t="s">
        <v>133</v>
      </c>
      <c r="H948" s="198" t="s">
        <v>133</v>
      </c>
      <c r="I948" s="202">
        <f t="shared" si="14"/>
        <v>395199322.64999962</v>
      </c>
      <c r="J948" s="202">
        <v>95.699999999999903</v>
      </c>
      <c r="L948" s="204">
        <v>10</v>
      </c>
      <c r="M948" s="202">
        <v>39775.599999999999</v>
      </c>
      <c r="N948" s="204">
        <v>10</v>
      </c>
      <c r="O948" s="198" t="s">
        <v>51</v>
      </c>
      <c r="P948" s="202">
        <v>39775.599999999999</v>
      </c>
      <c r="Q948" s="198" t="s">
        <v>73</v>
      </c>
      <c r="R948" s="198" t="s">
        <v>53</v>
      </c>
      <c r="S948" s="198" t="s">
        <v>54</v>
      </c>
      <c r="T948" s="198" t="s">
        <v>2048</v>
      </c>
      <c r="U948" s="198" t="s">
        <v>367</v>
      </c>
      <c r="V948" s="198" t="s">
        <v>56</v>
      </c>
      <c r="W948" s="198" t="s">
        <v>356</v>
      </c>
      <c r="X948" s="198" t="s">
        <v>57</v>
      </c>
      <c r="Y948" s="198" t="s">
        <v>58</v>
      </c>
      <c r="Z948" s="201">
        <v>46234</v>
      </c>
      <c r="AA948" s="198" t="s">
        <v>59</v>
      </c>
      <c r="AB948" s="198" t="s">
        <v>60</v>
      </c>
      <c r="AC948" s="198" t="s">
        <v>86</v>
      </c>
      <c r="AD948" s="198" t="s">
        <v>62</v>
      </c>
      <c r="AE948" s="198" t="s">
        <v>610</v>
      </c>
      <c r="AF948" s="198" t="s">
        <v>609</v>
      </c>
      <c r="AG948" s="198" t="s">
        <v>248</v>
      </c>
      <c r="AH948" s="198" t="s">
        <v>134</v>
      </c>
      <c r="AI948" s="198" t="s">
        <v>56</v>
      </c>
      <c r="AJ948" s="198" t="s">
        <v>406</v>
      </c>
      <c r="AK948" s="198" t="s">
        <v>51</v>
      </c>
      <c r="AL948" s="198" t="s">
        <v>67</v>
      </c>
      <c r="AM948" s="198" t="s">
        <v>68</v>
      </c>
      <c r="AN948" s="202">
        <v>39775.599999999999</v>
      </c>
      <c r="AO948" s="202">
        <v>39775.599999999999</v>
      </c>
      <c r="AP948" s="202">
        <v>39775.599999999999</v>
      </c>
      <c r="AQ948" s="198" t="s">
        <v>358</v>
      </c>
      <c r="AR948" s="198" t="s">
        <v>51</v>
      </c>
      <c r="AS948" s="202">
        <v>39775.599999999999</v>
      </c>
      <c r="AT948" s="202">
        <v>39775.599999999999</v>
      </c>
      <c r="AU948" s="198" t="s">
        <v>359</v>
      </c>
      <c r="AV948" s="198" t="s">
        <v>62</v>
      </c>
      <c r="AW948" s="198" t="s">
        <v>54</v>
      </c>
    </row>
    <row r="949" spans="3:49" outlineLevel="2" x14ac:dyDescent="0.25">
      <c r="C949" s="201"/>
      <c r="D949" s="198" t="s">
        <v>133</v>
      </c>
      <c r="H949" s="198" t="s">
        <v>133</v>
      </c>
      <c r="I949" s="202">
        <f t="shared" si="14"/>
        <v>395612279.09999961</v>
      </c>
      <c r="J949" s="202">
        <v>95.799999999999898</v>
      </c>
      <c r="L949" s="204">
        <v>22580</v>
      </c>
      <c r="M949" s="202">
        <v>14270560</v>
      </c>
      <c r="N949" s="204">
        <v>11290</v>
      </c>
      <c r="O949" s="198" t="s">
        <v>51</v>
      </c>
      <c r="P949" s="202">
        <v>7135280</v>
      </c>
      <c r="Q949" s="198" t="s">
        <v>73</v>
      </c>
      <c r="R949" s="198" t="s">
        <v>53</v>
      </c>
      <c r="S949" s="198" t="s">
        <v>54</v>
      </c>
      <c r="T949" s="198" t="s">
        <v>2048</v>
      </c>
      <c r="U949" s="198" t="s">
        <v>574</v>
      </c>
      <c r="V949" s="198" t="s">
        <v>56</v>
      </c>
      <c r="W949" s="198" t="s">
        <v>356</v>
      </c>
      <c r="X949" s="198" t="s">
        <v>57</v>
      </c>
      <c r="Y949" s="198" t="s">
        <v>58</v>
      </c>
      <c r="Z949" s="201">
        <v>46234</v>
      </c>
      <c r="AA949" s="198" t="s">
        <v>59</v>
      </c>
      <c r="AB949" s="198" t="s">
        <v>60</v>
      </c>
      <c r="AC949" s="198" t="s">
        <v>86</v>
      </c>
      <c r="AD949" s="198" t="s">
        <v>62</v>
      </c>
      <c r="AE949" s="198" t="s">
        <v>612</v>
      </c>
      <c r="AF949" s="198" t="s">
        <v>611</v>
      </c>
      <c r="AG949" s="198" t="s">
        <v>248</v>
      </c>
      <c r="AH949" s="198" t="s">
        <v>134</v>
      </c>
      <c r="AI949" s="198" t="s">
        <v>56</v>
      </c>
      <c r="AJ949" s="198" t="s">
        <v>318</v>
      </c>
      <c r="AK949" s="198" t="s">
        <v>51</v>
      </c>
      <c r="AL949" s="198" t="s">
        <v>67</v>
      </c>
      <c r="AM949" s="198" t="s">
        <v>68</v>
      </c>
      <c r="AN949" s="202">
        <v>14270560</v>
      </c>
      <c r="AO949" s="202">
        <v>14270560</v>
      </c>
      <c r="AP949" s="202">
        <v>14270560</v>
      </c>
      <c r="AQ949" s="198" t="s">
        <v>358</v>
      </c>
      <c r="AR949" s="198" t="s">
        <v>51</v>
      </c>
      <c r="AS949" s="202">
        <v>7135280</v>
      </c>
      <c r="AT949" s="202">
        <v>7135280</v>
      </c>
      <c r="AU949" s="198" t="s">
        <v>359</v>
      </c>
      <c r="AV949" s="198" t="s">
        <v>62</v>
      </c>
      <c r="AW949" s="198" t="s">
        <v>54</v>
      </c>
    </row>
    <row r="950" spans="3:49" outlineLevel="2" x14ac:dyDescent="0.25">
      <c r="C950" s="201"/>
      <c r="D950" s="198" t="s">
        <v>133</v>
      </c>
      <c r="H950" s="198" t="s">
        <v>133</v>
      </c>
      <c r="I950" s="202">
        <f t="shared" si="14"/>
        <v>396025235.54999959</v>
      </c>
      <c r="J950" s="202">
        <v>95.899999999999906</v>
      </c>
      <c r="L950" s="204">
        <v>22580</v>
      </c>
      <c r="M950" s="202">
        <v>14518940</v>
      </c>
      <c r="N950" s="204">
        <v>11290</v>
      </c>
      <c r="O950" s="198" t="s">
        <v>51</v>
      </c>
      <c r="P950" s="202">
        <v>7259470</v>
      </c>
      <c r="Q950" s="198" t="s">
        <v>73</v>
      </c>
      <c r="R950" s="198" t="s">
        <v>53</v>
      </c>
      <c r="S950" s="198" t="s">
        <v>54</v>
      </c>
      <c r="T950" s="198" t="s">
        <v>2048</v>
      </c>
      <c r="U950" s="198" t="s">
        <v>574</v>
      </c>
      <c r="V950" s="198" t="s">
        <v>56</v>
      </c>
      <c r="W950" s="198" t="s">
        <v>356</v>
      </c>
      <c r="X950" s="198" t="s">
        <v>57</v>
      </c>
      <c r="Y950" s="198" t="s">
        <v>58</v>
      </c>
      <c r="Z950" s="201">
        <v>46234</v>
      </c>
      <c r="AA950" s="198" t="s">
        <v>59</v>
      </c>
      <c r="AB950" s="198" t="s">
        <v>60</v>
      </c>
      <c r="AC950" s="198" t="s">
        <v>86</v>
      </c>
      <c r="AD950" s="198" t="s">
        <v>62</v>
      </c>
      <c r="AE950" s="198" t="s">
        <v>614</v>
      </c>
      <c r="AF950" s="198" t="s">
        <v>613</v>
      </c>
      <c r="AG950" s="198" t="s">
        <v>248</v>
      </c>
      <c r="AH950" s="198" t="s">
        <v>134</v>
      </c>
      <c r="AI950" s="198" t="s">
        <v>56</v>
      </c>
      <c r="AJ950" s="198" t="s">
        <v>318</v>
      </c>
      <c r="AK950" s="198" t="s">
        <v>51</v>
      </c>
      <c r="AL950" s="198" t="s">
        <v>67</v>
      </c>
      <c r="AM950" s="198" t="s">
        <v>68</v>
      </c>
      <c r="AN950" s="202">
        <v>14518940</v>
      </c>
      <c r="AO950" s="202">
        <v>14518940</v>
      </c>
      <c r="AP950" s="202">
        <v>14518940</v>
      </c>
      <c r="AQ950" s="198" t="s">
        <v>358</v>
      </c>
      <c r="AR950" s="198" t="s">
        <v>51</v>
      </c>
      <c r="AS950" s="202">
        <v>7259470</v>
      </c>
      <c r="AT950" s="202">
        <v>7259470</v>
      </c>
      <c r="AU950" s="198" t="s">
        <v>359</v>
      </c>
      <c r="AV950" s="198" t="s">
        <v>62</v>
      </c>
      <c r="AW950" s="198" t="s">
        <v>54</v>
      </c>
    </row>
    <row r="951" spans="3:49" outlineLevel="2" x14ac:dyDescent="0.25">
      <c r="C951" s="201"/>
      <c r="D951" s="198" t="s">
        <v>133</v>
      </c>
      <c r="H951" s="198" t="s">
        <v>133</v>
      </c>
      <c r="I951" s="202">
        <f t="shared" si="14"/>
        <v>396438191.99999958</v>
      </c>
      <c r="J951" s="202">
        <v>95.999999999999901</v>
      </c>
      <c r="L951" s="204">
        <v>941</v>
      </c>
      <c r="M951" s="202">
        <v>1279760</v>
      </c>
      <c r="N951" s="204">
        <v>941</v>
      </c>
      <c r="O951" s="198" t="s">
        <v>51</v>
      </c>
      <c r="P951" s="202">
        <v>1279760</v>
      </c>
      <c r="Q951" s="198" t="s">
        <v>73</v>
      </c>
      <c r="R951" s="198" t="s">
        <v>53</v>
      </c>
      <c r="S951" s="198" t="s">
        <v>54</v>
      </c>
      <c r="T951" s="198" t="s">
        <v>2048</v>
      </c>
      <c r="U951" s="198" t="s">
        <v>367</v>
      </c>
      <c r="V951" s="198" t="s">
        <v>56</v>
      </c>
      <c r="W951" s="198" t="s">
        <v>356</v>
      </c>
      <c r="X951" s="198" t="s">
        <v>57</v>
      </c>
      <c r="Y951" s="198" t="s">
        <v>58</v>
      </c>
      <c r="Z951" s="201">
        <v>46234</v>
      </c>
      <c r="AA951" s="198" t="s">
        <v>59</v>
      </c>
      <c r="AB951" s="198" t="s">
        <v>60</v>
      </c>
      <c r="AC951" s="198" t="s">
        <v>86</v>
      </c>
      <c r="AD951" s="198" t="s">
        <v>62</v>
      </c>
      <c r="AE951" s="198" t="s">
        <v>616</v>
      </c>
      <c r="AF951" s="198" t="s">
        <v>615</v>
      </c>
      <c r="AG951" s="198" t="s">
        <v>248</v>
      </c>
      <c r="AH951" s="198" t="s">
        <v>134</v>
      </c>
      <c r="AI951" s="198" t="s">
        <v>56</v>
      </c>
      <c r="AJ951" s="198" t="s">
        <v>318</v>
      </c>
      <c r="AK951" s="198" t="s">
        <v>51</v>
      </c>
      <c r="AL951" s="198" t="s">
        <v>67</v>
      </c>
      <c r="AM951" s="198" t="s">
        <v>68</v>
      </c>
      <c r="AN951" s="202">
        <v>1279760</v>
      </c>
      <c r="AO951" s="202">
        <v>1279760</v>
      </c>
      <c r="AP951" s="202">
        <v>1279760</v>
      </c>
      <c r="AQ951" s="198" t="s">
        <v>358</v>
      </c>
      <c r="AR951" s="198" t="s">
        <v>51</v>
      </c>
      <c r="AS951" s="202">
        <v>1279760</v>
      </c>
      <c r="AT951" s="202">
        <v>1279760</v>
      </c>
      <c r="AU951" s="198" t="s">
        <v>359</v>
      </c>
      <c r="AV951" s="198" t="s">
        <v>62</v>
      </c>
      <c r="AW951" s="198" t="s">
        <v>54</v>
      </c>
    </row>
    <row r="952" spans="3:49" outlineLevel="2" x14ac:dyDescent="0.25">
      <c r="C952" s="201"/>
      <c r="D952" s="198" t="s">
        <v>133</v>
      </c>
      <c r="H952" s="198" t="s">
        <v>133</v>
      </c>
      <c r="I952" s="202">
        <f t="shared" si="14"/>
        <v>396851148.44999957</v>
      </c>
      <c r="J952" s="202">
        <v>96.099999999999895</v>
      </c>
      <c r="L952" s="204">
        <v>2823</v>
      </c>
      <c r="M952" s="202">
        <v>1518774</v>
      </c>
      <c r="N952" s="204">
        <v>2823</v>
      </c>
      <c r="O952" s="198" t="s">
        <v>51</v>
      </c>
      <c r="P952" s="202">
        <v>1518774</v>
      </c>
      <c r="Q952" s="198" t="s">
        <v>73</v>
      </c>
      <c r="R952" s="198" t="s">
        <v>53</v>
      </c>
      <c r="S952" s="198" t="s">
        <v>54</v>
      </c>
      <c r="T952" s="198" t="s">
        <v>2048</v>
      </c>
      <c r="U952" s="198" t="s">
        <v>367</v>
      </c>
      <c r="V952" s="198" t="s">
        <v>56</v>
      </c>
      <c r="W952" s="198" t="s">
        <v>356</v>
      </c>
      <c r="X952" s="198" t="s">
        <v>57</v>
      </c>
      <c r="Y952" s="198" t="s">
        <v>58</v>
      </c>
      <c r="Z952" s="201">
        <v>46234</v>
      </c>
      <c r="AA952" s="198" t="s">
        <v>59</v>
      </c>
      <c r="AB952" s="198" t="s">
        <v>60</v>
      </c>
      <c r="AC952" s="198" t="s">
        <v>86</v>
      </c>
      <c r="AD952" s="198" t="s">
        <v>62</v>
      </c>
      <c r="AE952" s="198" t="s">
        <v>614</v>
      </c>
      <c r="AF952" s="198" t="s">
        <v>613</v>
      </c>
      <c r="AG952" s="198" t="s">
        <v>248</v>
      </c>
      <c r="AH952" s="198" t="s">
        <v>134</v>
      </c>
      <c r="AI952" s="198" t="s">
        <v>56</v>
      </c>
      <c r="AJ952" s="198" t="s">
        <v>318</v>
      </c>
      <c r="AK952" s="198" t="s">
        <v>51</v>
      </c>
      <c r="AL952" s="198" t="s">
        <v>67</v>
      </c>
      <c r="AM952" s="198" t="s">
        <v>68</v>
      </c>
      <c r="AN952" s="202">
        <v>1518774</v>
      </c>
      <c r="AO952" s="202">
        <v>1518774</v>
      </c>
      <c r="AP952" s="202">
        <v>1518774</v>
      </c>
      <c r="AQ952" s="198" t="s">
        <v>358</v>
      </c>
      <c r="AR952" s="198" t="s">
        <v>51</v>
      </c>
      <c r="AS952" s="202">
        <v>1518774</v>
      </c>
      <c r="AT952" s="202">
        <v>1518774</v>
      </c>
      <c r="AU952" s="198" t="s">
        <v>359</v>
      </c>
      <c r="AV952" s="198" t="s">
        <v>62</v>
      </c>
      <c r="AW952" s="198" t="s">
        <v>54</v>
      </c>
    </row>
    <row r="953" spans="3:49" outlineLevel="2" x14ac:dyDescent="0.25">
      <c r="C953" s="201"/>
      <c r="D953" s="198" t="s">
        <v>133</v>
      </c>
      <c r="H953" s="198" t="s">
        <v>133</v>
      </c>
      <c r="I953" s="202">
        <f t="shared" si="14"/>
        <v>397264104.89999962</v>
      </c>
      <c r="J953" s="202">
        <v>96.199999999999903</v>
      </c>
      <c r="L953" s="204">
        <v>941</v>
      </c>
      <c r="M953" s="202">
        <v>310530</v>
      </c>
      <c r="N953" s="204">
        <v>941</v>
      </c>
      <c r="O953" s="198" t="s">
        <v>51</v>
      </c>
      <c r="P953" s="202">
        <v>310530</v>
      </c>
      <c r="Q953" s="198" t="s">
        <v>73</v>
      </c>
      <c r="R953" s="198" t="s">
        <v>53</v>
      </c>
      <c r="S953" s="198" t="s">
        <v>54</v>
      </c>
      <c r="T953" s="198" t="s">
        <v>2048</v>
      </c>
      <c r="U953" s="198" t="s">
        <v>367</v>
      </c>
      <c r="V953" s="198" t="s">
        <v>56</v>
      </c>
      <c r="W953" s="198" t="s">
        <v>356</v>
      </c>
      <c r="X953" s="198" t="s">
        <v>57</v>
      </c>
      <c r="Y953" s="198" t="s">
        <v>58</v>
      </c>
      <c r="Z953" s="201">
        <v>46234</v>
      </c>
      <c r="AA953" s="198" t="s">
        <v>59</v>
      </c>
      <c r="AB953" s="198" t="s">
        <v>60</v>
      </c>
      <c r="AC953" s="198" t="s">
        <v>86</v>
      </c>
      <c r="AD953" s="198" t="s">
        <v>62</v>
      </c>
      <c r="AE953" s="198" t="s">
        <v>614</v>
      </c>
      <c r="AF953" s="198" t="s">
        <v>613</v>
      </c>
      <c r="AG953" s="198" t="s">
        <v>248</v>
      </c>
      <c r="AH953" s="198" t="s">
        <v>134</v>
      </c>
      <c r="AI953" s="198" t="s">
        <v>56</v>
      </c>
      <c r="AJ953" s="198" t="s">
        <v>318</v>
      </c>
      <c r="AK953" s="198" t="s">
        <v>51</v>
      </c>
      <c r="AL953" s="198" t="s">
        <v>67</v>
      </c>
      <c r="AM953" s="198" t="s">
        <v>68</v>
      </c>
      <c r="AN953" s="202">
        <v>310530</v>
      </c>
      <c r="AO953" s="202">
        <v>310530</v>
      </c>
      <c r="AP953" s="202">
        <v>310530</v>
      </c>
      <c r="AQ953" s="198" t="s">
        <v>358</v>
      </c>
      <c r="AR953" s="198" t="s">
        <v>51</v>
      </c>
      <c r="AS953" s="202">
        <v>310530</v>
      </c>
      <c r="AT953" s="202">
        <v>310530</v>
      </c>
      <c r="AU953" s="198" t="s">
        <v>359</v>
      </c>
      <c r="AV953" s="198" t="s">
        <v>62</v>
      </c>
      <c r="AW953" s="198" t="s">
        <v>54</v>
      </c>
    </row>
    <row r="954" spans="3:49" outlineLevel="2" x14ac:dyDescent="0.25">
      <c r="C954" s="201"/>
      <c r="D954" s="198" t="s">
        <v>133</v>
      </c>
      <c r="H954" s="198" t="s">
        <v>133</v>
      </c>
      <c r="I954" s="202">
        <f t="shared" si="14"/>
        <v>397677061.34999961</v>
      </c>
      <c r="J954" s="202">
        <v>96.299999999999898</v>
      </c>
      <c r="L954" s="204">
        <v>941</v>
      </c>
      <c r="M954" s="202">
        <v>348170</v>
      </c>
      <c r="N954" s="204">
        <v>941</v>
      </c>
      <c r="O954" s="198" t="s">
        <v>51</v>
      </c>
      <c r="P954" s="202">
        <v>348170</v>
      </c>
      <c r="Q954" s="198" t="s">
        <v>73</v>
      </c>
      <c r="R954" s="198" t="s">
        <v>53</v>
      </c>
      <c r="S954" s="198" t="s">
        <v>54</v>
      </c>
      <c r="T954" s="198" t="s">
        <v>2048</v>
      </c>
      <c r="U954" s="198" t="s">
        <v>367</v>
      </c>
      <c r="V954" s="198" t="s">
        <v>56</v>
      </c>
      <c r="W954" s="198" t="s">
        <v>356</v>
      </c>
      <c r="X954" s="198" t="s">
        <v>57</v>
      </c>
      <c r="Y954" s="198" t="s">
        <v>58</v>
      </c>
      <c r="Z954" s="201">
        <v>46234</v>
      </c>
      <c r="AA954" s="198" t="s">
        <v>59</v>
      </c>
      <c r="AB954" s="198" t="s">
        <v>60</v>
      </c>
      <c r="AC954" s="198" t="s">
        <v>86</v>
      </c>
      <c r="AD954" s="198" t="s">
        <v>62</v>
      </c>
      <c r="AE954" s="198" t="s">
        <v>618</v>
      </c>
      <c r="AF954" s="198" t="s">
        <v>617</v>
      </c>
      <c r="AG954" s="198" t="s">
        <v>248</v>
      </c>
      <c r="AH954" s="198" t="s">
        <v>134</v>
      </c>
      <c r="AI954" s="198" t="s">
        <v>56</v>
      </c>
      <c r="AJ954" s="198" t="s">
        <v>318</v>
      </c>
      <c r="AK954" s="198" t="s">
        <v>51</v>
      </c>
      <c r="AL954" s="198" t="s">
        <v>67</v>
      </c>
      <c r="AM954" s="198" t="s">
        <v>68</v>
      </c>
      <c r="AN954" s="202">
        <v>348170</v>
      </c>
      <c r="AO954" s="202">
        <v>348170</v>
      </c>
      <c r="AP954" s="202">
        <v>348170</v>
      </c>
      <c r="AQ954" s="198" t="s">
        <v>358</v>
      </c>
      <c r="AR954" s="198" t="s">
        <v>51</v>
      </c>
      <c r="AS954" s="202">
        <v>348170</v>
      </c>
      <c r="AT954" s="202">
        <v>348170</v>
      </c>
      <c r="AU954" s="198" t="s">
        <v>359</v>
      </c>
      <c r="AV954" s="198" t="s">
        <v>62</v>
      </c>
      <c r="AW954" s="198" t="s">
        <v>54</v>
      </c>
    </row>
    <row r="955" spans="3:49" outlineLevel="2" x14ac:dyDescent="0.25">
      <c r="C955" s="201"/>
      <c r="D955" s="198" t="s">
        <v>133</v>
      </c>
      <c r="H955" s="198" t="s">
        <v>133</v>
      </c>
      <c r="I955" s="202">
        <f t="shared" si="14"/>
        <v>398090017.79999959</v>
      </c>
      <c r="J955" s="202">
        <v>96.399999999999906</v>
      </c>
      <c r="L955" s="204">
        <v>2823</v>
      </c>
      <c r="M955" s="202">
        <v>592830</v>
      </c>
      <c r="N955" s="204">
        <v>2823</v>
      </c>
      <c r="O955" s="198" t="s">
        <v>51</v>
      </c>
      <c r="P955" s="202">
        <v>592830</v>
      </c>
      <c r="Q955" s="198" t="s">
        <v>73</v>
      </c>
      <c r="R955" s="198" t="s">
        <v>53</v>
      </c>
      <c r="S955" s="198" t="s">
        <v>54</v>
      </c>
      <c r="T955" s="198" t="s">
        <v>2048</v>
      </c>
      <c r="U955" s="198" t="s">
        <v>367</v>
      </c>
      <c r="V955" s="198" t="s">
        <v>56</v>
      </c>
      <c r="W955" s="198" t="s">
        <v>356</v>
      </c>
      <c r="X955" s="198" t="s">
        <v>57</v>
      </c>
      <c r="Y955" s="198" t="s">
        <v>58</v>
      </c>
      <c r="Z955" s="201">
        <v>46234</v>
      </c>
      <c r="AA955" s="198" t="s">
        <v>59</v>
      </c>
      <c r="AB955" s="198" t="s">
        <v>60</v>
      </c>
      <c r="AC955" s="198" t="s">
        <v>86</v>
      </c>
      <c r="AD955" s="198" t="s">
        <v>62</v>
      </c>
      <c r="AE955" s="198" t="s">
        <v>656</v>
      </c>
      <c r="AF955" s="198" t="s">
        <v>655</v>
      </c>
      <c r="AG955" s="198" t="s">
        <v>248</v>
      </c>
      <c r="AH955" s="198" t="s">
        <v>134</v>
      </c>
      <c r="AI955" s="198" t="s">
        <v>56</v>
      </c>
      <c r="AJ955" s="198" t="s">
        <v>318</v>
      </c>
      <c r="AK955" s="198" t="s">
        <v>51</v>
      </c>
      <c r="AL955" s="198" t="s">
        <v>67</v>
      </c>
      <c r="AM955" s="198" t="s">
        <v>68</v>
      </c>
      <c r="AN955" s="202">
        <v>592830</v>
      </c>
      <c r="AO955" s="202">
        <v>592830</v>
      </c>
      <c r="AP955" s="202">
        <v>592830</v>
      </c>
      <c r="AQ955" s="198" t="s">
        <v>358</v>
      </c>
      <c r="AR955" s="198" t="s">
        <v>51</v>
      </c>
      <c r="AS955" s="202">
        <v>592830</v>
      </c>
      <c r="AT955" s="202">
        <v>592830</v>
      </c>
      <c r="AU955" s="198" t="s">
        <v>359</v>
      </c>
      <c r="AV955" s="198" t="s">
        <v>62</v>
      </c>
      <c r="AW955" s="198" t="s">
        <v>54</v>
      </c>
    </row>
    <row r="956" spans="3:49" outlineLevel="2" x14ac:dyDescent="0.25">
      <c r="C956" s="201"/>
      <c r="D956" s="198" t="s">
        <v>133</v>
      </c>
      <c r="H956" s="198" t="s">
        <v>133</v>
      </c>
      <c r="I956" s="202">
        <f t="shared" si="14"/>
        <v>398502974.24999958</v>
      </c>
      <c r="J956" s="202">
        <v>96.499999999999901</v>
      </c>
      <c r="L956" s="204">
        <v>941</v>
      </c>
      <c r="M956" s="202">
        <v>137386</v>
      </c>
      <c r="N956" s="204">
        <v>941</v>
      </c>
      <c r="O956" s="198" t="s">
        <v>51</v>
      </c>
      <c r="P956" s="202">
        <v>137386</v>
      </c>
      <c r="Q956" s="198" t="s">
        <v>73</v>
      </c>
      <c r="R956" s="198" t="s">
        <v>53</v>
      </c>
      <c r="S956" s="198" t="s">
        <v>54</v>
      </c>
      <c r="T956" s="198" t="s">
        <v>2048</v>
      </c>
      <c r="U956" s="198" t="s">
        <v>367</v>
      </c>
      <c r="V956" s="198" t="s">
        <v>56</v>
      </c>
      <c r="W956" s="198" t="s">
        <v>356</v>
      </c>
      <c r="X956" s="198" t="s">
        <v>57</v>
      </c>
      <c r="Y956" s="198" t="s">
        <v>58</v>
      </c>
      <c r="Z956" s="201">
        <v>46234</v>
      </c>
      <c r="AA956" s="198" t="s">
        <v>59</v>
      </c>
      <c r="AB956" s="198" t="s">
        <v>60</v>
      </c>
      <c r="AC956" s="198" t="s">
        <v>86</v>
      </c>
      <c r="AD956" s="198" t="s">
        <v>62</v>
      </c>
      <c r="AE956" s="198" t="s">
        <v>656</v>
      </c>
      <c r="AF956" s="198" t="s">
        <v>655</v>
      </c>
      <c r="AG956" s="198" t="s">
        <v>248</v>
      </c>
      <c r="AH956" s="198" t="s">
        <v>134</v>
      </c>
      <c r="AI956" s="198" t="s">
        <v>56</v>
      </c>
      <c r="AJ956" s="198" t="s">
        <v>318</v>
      </c>
      <c r="AK956" s="198" t="s">
        <v>51</v>
      </c>
      <c r="AL956" s="198" t="s">
        <v>67</v>
      </c>
      <c r="AM956" s="198" t="s">
        <v>68</v>
      </c>
      <c r="AN956" s="202">
        <v>137386</v>
      </c>
      <c r="AO956" s="202">
        <v>137386</v>
      </c>
      <c r="AP956" s="202">
        <v>137386</v>
      </c>
      <c r="AQ956" s="198" t="s">
        <v>358</v>
      </c>
      <c r="AR956" s="198" t="s">
        <v>51</v>
      </c>
      <c r="AS956" s="202">
        <v>137386</v>
      </c>
      <c r="AT956" s="202">
        <v>137386</v>
      </c>
      <c r="AU956" s="198" t="s">
        <v>359</v>
      </c>
      <c r="AV956" s="198" t="s">
        <v>62</v>
      </c>
      <c r="AW956" s="198" t="s">
        <v>54</v>
      </c>
    </row>
    <row r="957" spans="3:49" outlineLevel="2" x14ac:dyDescent="0.25">
      <c r="C957" s="201"/>
      <c r="D957" s="198" t="s">
        <v>133</v>
      </c>
      <c r="H957" s="198" t="s">
        <v>133</v>
      </c>
      <c r="I957" s="202">
        <f t="shared" si="14"/>
        <v>398915930.69999957</v>
      </c>
      <c r="J957" s="202">
        <v>96.599999999999895</v>
      </c>
      <c r="L957" s="204">
        <v>416</v>
      </c>
      <c r="M957" s="202">
        <v>277056</v>
      </c>
      <c r="N957" s="204">
        <v>416</v>
      </c>
      <c r="O957" s="198" t="s">
        <v>51</v>
      </c>
      <c r="P957" s="202">
        <v>277056</v>
      </c>
      <c r="Q957" s="198" t="s">
        <v>73</v>
      </c>
      <c r="R957" s="198" t="s">
        <v>53</v>
      </c>
      <c r="S957" s="198" t="s">
        <v>54</v>
      </c>
      <c r="T957" s="198" t="s">
        <v>2048</v>
      </c>
      <c r="U957" s="198" t="s">
        <v>367</v>
      </c>
      <c r="V957" s="198" t="s">
        <v>56</v>
      </c>
      <c r="W957" s="198" t="s">
        <v>356</v>
      </c>
      <c r="X957" s="198" t="s">
        <v>57</v>
      </c>
      <c r="Y957" s="198" t="s">
        <v>58</v>
      </c>
      <c r="Z957" s="201">
        <v>46234</v>
      </c>
      <c r="AA957" s="198" t="s">
        <v>59</v>
      </c>
      <c r="AB957" s="198" t="s">
        <v>60</v>
      </c>
      <c r="AC957" s="198" t="s">
        <v>86</v>
      </c>
      <c r="AD957" s="198" t="s">
        <v>62</v>
      </c>
      <c r="AE957" s="198" t="s">
        <v>620</v>
      </c>
      <c r="AF957" s="198" t="s">
        <v>619</v>
      </c>
      <c r="AG957" s="198" t="s">
        <v>248</v>
      </c>
      <c r="AH957" s="198" t="s">
        <v>134</v>
      </c>
      <c r="AI957" s="198" t="s">
        <v>56</v>
      </c>
      <c r="AJ957" s="198" t="s">
        <v>318</v>
      </c>
      <c r="AK957" s="198" t="s">
        <v>51</v>
      </c>
      <c r="AL957" s="198" t="s">
        <v>67</v>
      </c>
      <c r="AM957" s="198" t="s">
        <v>68</v>
      </c>
      <c r="AN957" s="202">
        <v>277056</v>
      </c>
      <c r="AO957" s="202">
        <v>277056</v>
      </c>
      <c r="AP957" s="202">
        <v>277056</v>
      </c>
      <c r="AQ957" s="198" t="s">
        <v>358</v>
      </c>
      <c r="AR957" s="198" t="s">
        <v>51</v>
      </c>
      <c r="AS957" s="202">
        <v>277056</v>
      </c>
      <c r="AT957" s="202">
        <v>277056</v>
      </c>
      <c r="AU957" s="198" t="s">
        <v>359</v>
      </c>
      <c r="AV957" s="198" t="s">
        <v>62</v>
      </c>
      <c r="AW957" s="198" t="s">
        <v>54</v>
      </c>
    </row>
    <row r="958" spans="3:49" outlineLevel="2" x14ac:dyDescent="0.25">
      <c r="C958" s="201"/>
      <c r="D958" s="198" t="s">
        <v>133</v>
      </c>
      <c r="H958" s="198" t="s">
        <v>133</v>
      </c>
      <c r="I958" s="202">
        <f t="shared" si="14"/>
        <v>399328887.14999962</v>
      </c>
      <c r="J958" s="202">
        <v>96.699999999999903</v>
      </c>
      <c r="L958" s="204">
        <v>672</v>
      </c>
      <c r="M958" s="202">
        <v>229152</v>
      </c>
      <c r="N958" s="204">
        <v>672</v>
      </c>
      <c r="O958" s="198" t="s">
        <v>51</v>
      </c>
      <c r="P958" s="202">
        <v>229152</v>
      </c>
      <c r="Q958" s="198" t="s">
        <v>73</v>
      </c>
      <c r="R958" s="198" t="s">
        <v>53</v>
      </c>
      <c r="S958" s="198" t="s">
        <v>54</v>
      </c>
      <c r="T958" s="198" t="s">
        <v>2048</v>
      </c>
      <c r="U958" s="198" t="s">
        <v>367</v>
      </c>
      <c r="V958" s="198" t="s">
        <v>56</v>
      </c>
      <c r="W958" s="198" t="s">
        <v>356</v>
      </c>
      <c r="X958" s="198" t="s">
        <v>57</v>
      </c>
      <c r="Y958" s="198" t="s">
        <v>58</v>
      </c>
      <c r="Z958" s="201">
        <v>46234</v>
      </c>
      <c r="AA958" s="198" t="s">
        <v>59</v>
      </c>
      <c r="AB958" s="198" t="s">
        <v>60</v>
      </c>
      <c r="AC958" s="198" t="s">
        <v>86</v>
      </c>
      <c r="AD958" s="198" t="s">
        <v>62</v>
      </c>
      <c r="AE958" s="198" t="s">
        <v>622</v>
      </c>
      <c r="AF958" s="198" t="s">
        <v>621</v>
      </c>
      <c r="AG958" s="198" t="s">
        <v>248</v>
      </c>
      <c r="AH958" s="198" t="s">
        <v>134</v>
      </c>
      <c r="AI958" s="198" t="s">
        <v>56</v>
      </c>
      <c r="AJ958" s="198" t="s">
        <v>318</v>
      </c>
      <c r="AK958" s="198" t="s">
        <v>51</v>
      </c>
      <c r="AL958" s="198" t="s">
        <v>67</v>
      </c>
      <c r="AM958" s="198" t="s">
        <v>68</v>
      </c>
      <c r="AN958" s="202">
        <v>229152</v>
      </c>
      <c r="AO958" s="202">
        <v>229152</v>
      </c>
      <c r="AP958" s="202">
        <v>229152</v>
      </c>
      <c r="AQ958" s="198" t="s">
        <v>358</v>
      </c>
      <c r="AR958" s="198" t="s">
        <v>51</v>
      </c>
      <c r="AS958" s="202">
        <v>229152</v>
      </c>
      <c r="AT958" s="202">
        <v>229152</v>
      </c>
      <c r="AU958" s="198" t="s">
        <v>359</v>
      </c>
      <c r="AV958" s="198" t="s">
        <v>62</v>
      </c>
      <c r="AW958" s="198" t="s">
        <v>54</v>
      </c>
    </row>
    <row r="959" spans="3:49" outlineLevel="2" x14ac:dyDescent="0.25">
      <c r="C959" s="201"/>
      <c r="D959" s="198" t="s">
        <v>133</v>
      </c>
      <c r="H959" s="198" t="s">
        <v>133</v>
      </c>
      <c r="I959" s="202">
        <f t="shared" si="14"/>
        <v>399741843.59999961</v>
      </c>
      <c r="J959" s="202">
        <v>96.799999999999898</v>
      </c>
      <c r="L959" s="204">
        <v>560</v>
      </c>
      <c r="M959" s="202">
        <v>262640</v>
      </c>
      <c r="N959" s="204">
        <v>560</v>
      </c>
      <c r="O959" s="198" t="s">
        <v>51</v>
      </c>
      <c r="P959" s="202">
        <v>262640</v>
      </c>
      <c r="Q959" s="198" t="s">
        <v>73</v>
      </c>
      <c r="R959" s="198" t="s">
        <v>53</v>
      </c>
      <c r="S959" s="198" t="s">
        <v>54</v>
      </c>
      <c r="T959" s="198" t="s">
        <v>2048</v>
      </c>
      <c r="U959" s="198" t="s">
        <v>367</v>
      </c>
      <c r="V959" s="198" t="s">
        <v>56</v>
      </c>
      <c r="W959" s="198" t="s">
        <v>356</v>
      </c>
      <c r="X959" s="198" t="s">
        <v>57</v>
      </c>
      <c r="Y959" s="198" t="s">
        <v>58</v>
      </c>
      <c r="Z959" s="201">
        <v>46234</v>
      </c>
      <c r="AA959" s="198" t="s">
        <v>59</v>
      </c>
      <c r="AB959" s="198" t="s">
        <v>60</v>
      </c>
      <c r="AC959" s="198" t="s">
        <v>86</v>
      </c>
      <c r="AD959" s="198" t="s">
        <v>62</v>
      </c>
      <c r="AE959" s="198" t="s">
        <v>624</v>
      </c>
      <c r="AF959" s="198" t="s">
        <v>623</v>
      </c>
      <c r="AG959" s="198" t="s">
        <v>248</v>
      </c>
      <c r="AH959" s="198" t="s">
        <v>134</v>
      </c>
      <c r="AI959" s="198" t="s">
        <v>56</v>
      </c>
      <c r="AJ959" s="198" t="s">
        <v>318</v>
      </c>
      <c r="AK959" s="198" t="s">
        <v>51</v>
      </c>
      <c r="AL959" s="198" t="s">
        <v>67</v>
      </c>
      <c r="AM959" s="198" t="s">
        <v>68</v>
      </c>
      <c r="AN959" s="202">
        <v>262640</v>
      </c>
      <c r="AO959" s="202">
        <v>262640</v>
      </c>
      <c r="AP959" s="202">
        <v>262640</v>
      </c>
      <c r="AQ959" s="198" t="s">
        <v>358</v>
      </c>
      <c r="AR959" s="198" t="s">
        <v>51</v>
      </c>
      <c r="AS959" s="202">
        <v>262640</v>
      </c>
      <c r="AT959" s="202">
        <v>262640</v>
      </c>
      <c r="AU959" s="198" t="s">
        <v>359</v>
      </c>
      <c r="AV959" s="198" t="s">
        <v>62</v>
      </c>
      <c r="AW959" s="198" t="s">
        <v>54</v>
      </c>
    </row>
    <row r="960" spans="3:49" outlineLevel="2" x14ac:dyDescent="0.25">
      <c r="C960" s="201"/>
      <c r="D960" s="198" t="s">
        <v>133</v>
      </c>
      <c r="H960" s="198" t="s">
        <v>133</v>
      </c>
      <c r="I960" s="202">
        <f t="shared" si="14"/>
        <v>400154800.04999959</v>
      </c>
      <c r="J960" s="202">
        <v>96.899999999999906</v>
      </c>
      <c r="L960" s="204">
        <v>224</v>
      </c>
      <c r="M960" s="202">
        <v>139776</v>
      </c>
      <c r="N960" s="204">
        <v>224</v>
      </c>
      <c r="O960" s="198" t="s">
        <v>51</v>
      </c>
      <c r="P960" s="202">
        <v>139776</v>
      </c>
      <c r="Q960" s="198" t="s">
        <v>73</v>
      </c>
      <c r="R960" s="198" t="s">
        <v>53</v>
      </c>
      <c r="S960" s="198" t="s">
        <v>54</v>
      </c>
      <c r="T960" s="198" t="s">
        <v>2048</v>
      </c>
      <c r="U960" s="198" t="s">
        <v>367</v>
      </c>
      <c r="V960" s="198" t="s">
        <v>56</v>
      </c>
      <c r="W960" s="198" t="s">
        <v>356</v>
      </c>
      <c r="X960" s="198" t="s">
        <v>57</v>
      </c>
      <c r="Y960" s="198" t="s">
        <v>58</v>
      </c>
      <c r="Z960" s="201">
        <v>46234</v>
      </c>
      <c r="AA960" s="198" t="s">
        <v>59</v>
      </c>
      <c r="AB960" s="198" t="s">
        <v>60</v>
      </c>
      <c r="AC960" s="198" t="s">
        <v>86</v>
      </c>
      <c r="AD960" s="198" t="s">
        <v>62</v>
      </c>
      <c r="AE960" s="198" t="s">
        <v>626</v>
      </c>
      <c r="AF960" s="198" t="s">
        <v>625</v>
      </c>
      <c r="AG960" s="198" t="s">
        <v>248</v>
      </c>
      <c r="AH960" s="198" t="s">
        <v>134</v>
      </c>
      <c r="AI960" s="198" t="s">
        <v>56</v>
      </c>
      <c r="AJ960" s="198" t="s">
        <v>406</v>
      </c>
      <c r="AK960" s="198" t="s">
        <v>51</v>
      </c>
      <c r="AL960" s="198" t="s">
        <v>67</v>
      </c>
      <c r="AM960" s="198" t="s">
        <v>68</v>
      </c>
      <c r="AN960" s="202">
        <v>139776</v>
      </c>
      <c r="AO960" s="202">
        <v>139776</v>
      </c>
      <c r="AP960" s="202">
        <v>139776</v>
      </c>
      <c r="AQ960" s="198" t="s">
        <v>358</v>
      </c>
      <c r="AR960" s="198" t="s">
        <v>51</v>
      </c>
      <c r="AS960" s="202">
        <v>139776</v>
      </c>
      <c r="AT960" s="202">
        <v>139776</v>
      </c>
      <c r="AU960" s="198" t="s">
        <v>359</v>
      </c>
      <c r="AV960" s="198" t="s">
        <v>62</v>
      </c>
      <c r="AW960" s="198" t="s">
        <v>54</v>
      </c>
    </row>
    <row r="961" spans="3:49" outlineLevel="2" x14ac:dyDescent="0.25">
      <c r="C961" s="201"/>
      <c r="D961" s="198" t="s">
        <v>133</v>
      </c>
      <c r="H961" s="198" t="s">
        <v>133</v>
      </c>
      <c r="I961" s="202">
        <f t="shared" si="14"/>
        <v>400567756.49999958</v>
      </c>
      <c r="J961" s="202">
        <v>96.999999999999901</v>
      </c>
      <c r="L961" s="204">
        <v>1120</v>
      </c>
      <c r="M961" s="202">
        <v>540960</v>
      </c>
      <c r="N961" s="204">
        <v>1120</v>
      </c>
      <c r="O961" s="198" t="s">
        <v>51</v>
      </c>
      <c r="P961" s="202">
        <v>540960</v>
      </c>
      <c r="Q961" s="198" t="s">
        <v>73</v>
      </c>
      <c r="R961" s="198" t="s">
        <v>53</v>
      </c>
      <c r="S961" s="198" t="s">
        <v>54</v>
      </c>
      <c r="T961" s="198" t="s">
        <v>2048</v>
      </c>
      <c r="U961" s="198" t="s">
        <v>367</v>
      </c>
      <c r="V961" s="198" t="s">
        <v>56</v>
      </c>
      <c r="W961" s="198" t="s">
        <v>356</v>
      </c>
      <c r="X961" s="198" t="s">
        <v>57</v>
      </c>
      <c r="Y961" s="198" t="s">
        <v>58</v>
      </c>
      <c r="Z961" s="201">
        <v>46234</v>
      </c>
      <c r="AA961" s="198" t="s">
        <v>59</v>
      </c>
      <c r="AB961" s="198" t="s">
        <v>60</v>
      </c>
      <c r="AC961" s="198" t="s">
        <v>86</v>
      </c>
      <c r="AD961" s="198" t="s">
        <v>62</v>
      </c>
      <c r="AE961" s="198" t="s">
        <v>628</v>
      </c>
      <c r="AF961" s="198" t="s">
        <v>627</v>
      </c>
      <c r="AG961" s="198" t="s">
        <v>248</v>
      </c>
      <c r="AH961" s="198" t="s">
        <v>134</v>
      </c>
      <c r="AI961" s="198" t="s">
        <v>56</v>
      </c>
      <c r="AJ961" s="198" t="s">
        <v>406</v>
      </c>
      <c r="AK961" s="198" t="s">
        <v>51</v>
      </c>
      <c r="AL961" s="198" t="s">
        <v>67</v>
      </c>
      <c r="AM961" s="198" t="s">
        <v>68</v>
      </c>
      <c r="AN961" s="202">
        <v>540960</v>
      </c>
      <c r="AO961" s="202">
        <v>540960</v>
      </c>
      <c r="AP961" s="202">
        <v>540960</v>
      </c>
      <c r="AQ961" s="198" t="s">
        <v>358</v>
      </c>
      <c r="AR961" s="198" t="s">
        <v>51</v>
      </c>
      <c r="AS961" s="202">
        <v>540960</v>
      </c>
      <c r="AT961" s="202">
        <v>540960</v>
      </c>
      <c r="AU961" s="198" t="s">
        <v>359</v>
      </c>
      <c r="AV961" s="198" t="s">
        <v>62</v>
      </c>
      <c r="AW961" s="198" t="s">
        <v>54</v>
      </c>
    </row>
    <row r="962" spans="3:49" outlineLevel="2" x14ac:dyDescent="0.25">
      <c r="C962" s="201"/>
      <c r="D962" s="198" t="s">
        <v>133</v>
      </c>
      <c r="H962" s="198" t="s">
        <v>133</v>
      </c>
      <c r="I962" s="202">
        <f t="shared" si="14"/>
        <v>400980712.94999957</v>
      </c>
      <c r="J962" s="202">
        <v>97.099999999999895</v>
      </c>
      <c r="L962" s="204">
        <v>236</v>
      </c>
      <c r="M962" s="202">
        <v>36108</v>
      </c>
      <c r="N962" s="204">
        <v>236</v>
      </c>
      <c r="O962" s="198" t="s">
        <v>51</v>
      </c>
      <c r="P962" s="202">
        <v>36108</v>
      </c>
      <c r="Q962" s="198" t="s">
        <v>73</v>
      </c>
      <c r="R962" s="198" t="s">
        <v>53</v>
      </c>
      <c r="S962" s="198" t="s">
        <v>54</v>
      </c>
      <c r="T962" s="198" t="s">
        <v>2048</v>
      </c>
      <c r="U962" s="198" t="s">
        <v>367</v>
      </c>
      <c r="V962" s="198" t="s">
        <v>56</v>
      </c>
      <c r="W962" s="198" t="s">
        <v>356</v>
      </c>
      <c r="X962" s="198" t="s">
        <v>57</v>
      </c>
      <c r="Y962" s="198" t="s">
        <v>58</v>
      </c>
      <c r="Z962" s="201">
        <v>46234</v>
      </c>
      <c r="AA962" s="198" t="s">
        <v>59</v>
      </c>
      <c r="AB962" s="198" t="s">
        <v>60</v>
      </c>
      <c r="AC962" s="198" t="s">
        <v>86</v>
      </c>
      <c r="AD962" s="198" t="s">
        <v>62</v>
      </c>
      <c r="AE962" s="198" t="s">
        <v>630</v>
      </c>
      <c r="AF962" s="198" t="s">
        <v>629</v>
      </c>
      <c r="AG962" s="198" t="s">
        <v>248</v>
      </c>
      <c r="AH962" s="198" t="s">
        <v>134</v>
      </c>
      <c r="AI962" s="198" t="s">
        <v>56</v>
      </c>
      <c r="AJ962" s="198" t="s">
        <v>318</v>
      </c>
      <c r="AK962" s="198" t="s">
        <v>51</v>
      </c>
      <c r="AL962" s="198" t="s">
        <v>67</v>
      </c>
      <c r="AM962" s="198" t="s">
        <v>68</v>
      </c>
      <c r="AN962" s="202">
        <v>36108</v>
      </c>
      <c r="AO962" s="202">
        <v>36108</v>
      </c>
      <c r="AP962" s="202">
        <v>36108</v>
      </c>
      <c r="AQ962" s="198" t="s">
        <v>358</v>
      </c>
      <c r="AR962" s="198" t="s">
        <v>51</v>
      </c>
      <c r="AS962" s="202">
        <v>36108</v>
      </c>
      <c r="AT962" s="202">
        <v>36108</v>
      </c>
      <c r="AU962" s="198" t="s">
        <v>359</v>
      </c>
      <c r="AV962" s="198" t="s">
        <v>62</v>
      </c>
      <c r="AW962" s="198" t="s">
        <v>54</v>
      </c>
    </row>
    <row r="963" spans="3:49" outlineLevel="2" x14ac:dyDescent="0.25">
      <c r="C963" s="201"/>
      <c r="D963" s="198" t="s">
        <v>133</v>
      </c>
      <c r="H963" s="198" t="s">
        <v>133</v>
      </c>
      <c r="I963" s="202">
        <f t="shared" ref="I963:I1026" si="15">J963*4129564.5</f>
        <v>401393669.39999962</v>
      </c>
      <c r="J963" s="202">
        <v>97.199999999999903</v>
      </c>
      <c r="L963" s="204">
        <v>900</v>
      </c>
      <c r="M963" s="202">
        <v>193500</v>
      </c>
      <c r="N963" s="204">
        <v>900</v>
      </c>
      <c r="O963" s="198" t="s">
        <v>51</v>
      </c>
      <c r="P963" s="202">
        <v>193500</v>
      </c>
      <c r="Q963" s="198" t="s">
        <v>73</v>
      </c>
      <c r="R963" s="198" t="s">
        <v>53</v>
      </c>
      <c r="S963" s="198" t="s">
        <v>54</v>
      </c>
      <c r="T963" s="198" t="s">
        <v>2048</v>
      </c>
      <c r="U963" s="198" t="s">
        <v>367</v>
      </c>
      <c r="V963" s="198" t="s">
        <v>56</v>
      </c>
      <c r="W963" s="198" t="s">
        <v>356</v>
      </c>
      <c r="X963" s="198" t="s">
        <v>57</v>
      </c>
      <c r="Y963" s="198" t="s">
        <v>58</v>
      </c>
      <c r="Z963" s="201">
        <v>46234</v>
      </c>
      <c r="AA963" s="198" t="s">
        <v>59</v>
      </c>
      <c r="AB963" s="198" t="s">
        <v>60</v>
      </c>
      <c r="AC963" s="198" t="s">
        <v>86</v>
      </c>
      <c r="AD963" s="198" t="s">
        <v>62</v>
      </c>
      <c r="AE963" s="198" t="s">
        <v>632</v>
      </c>
      <c r="AF963" s="198" t="s">
        <v>631</v>
      </c>
      <c r="AG963" s="198" t="s">
        <v>248</v>
      </c>
      <c r="AH963" s="198" t="s">
        <v>134</v>
      </c>
      <c r="AI963" s="198" t="s">
        <v>56</v>
      </c>
      <c r="AJ963" s="198" t="s">
        <v>318</v>
      </c>
      <c r="AK963" s="198" t="s">
        <v>51</v>
      </c>
      <c r="AL963" s="198" t="s">
        <v>67</v>
      </c>
      <c r="AM963" s="198" t="s">
        <v>68</v>
      </c>
      <c r="AN963" s="202">
        <v>193500</v>
      </c>
      <c r="AO963" s="202">
        <v>193500</v>
      </c>
      <c r="AP963" s="202">
        <v>193500</v>
      </c>
      <c r="AQ963" s="198" t="s">
        <v>358</v>
      </c>
      <c r="AR963" s="198" t="s">
        <v>51</v>
      </c>
      <c r="AS963" s="202">
        <v>193500</v>
      </c>
      <c r="AT963" s="202">
        <v>193500</v>
      </c>
      <c r="AU963" s="198" t="s">
        <v>359</v>
      </c>
      <c r="AV963" s="198" t="s">
        <v>62</v>
      </c>
      <c r="AW963" s="198" t="s">
        <v>54</v>
      </c>
    </row>
    <row r="964" spans="3:49" outlineLevel="2" x14ac:dyDescent="0.25">
      <c r="C964" s="201"/>
      <c r="D964" s="198" t="s">
        <v>133</v>
      </c>
      <c r="H964" s="198" t="s">
        <v>133</v>
      </c>
      <c r="I964" s="202">
        <f t="shared" si="15"/>
        <v>401806625.84999961</v>
      </c>
      <c r="J964" s="202">
        <v>97.299999999999898</v>
      </c>
      <c r="L964" s="204">
        <v>1660</v>
      </c>
      <c r="M964" s="202">
        <v>247340</v>
      </c>
      <c r="N964" s="204">
        <v>1660</v>
      </c>
      <c r="O964" s="198" t="s">
        <v>51</v>
      </c>
      <c r="P964" s="202">
        <v>247340</v>
      </c>
      <c r="Q964" s="198" t="s">
        <v>73</v>
      </c>
      <c r="R964" s="198" t="s">
        <v>53</v>
      </c>
      <c r="S964" s="198" t="s">
        <v>54</v>
      </c>
      <c r="T964" s="198" t="s">
        <v>2048</v>
      </c>
      <c r="U964" s="198" t="s">
        <v>367</v>
      </c>
      <c r="V964" s="198" t="s">
        <v>56</v>
      </c>
      <c r="W964" s="198" t="s">
        <v>356</v>
      </c>
      <c r="X964" s="198" t="s">
        <v>57</v>
      </c>
      <c r="Y964" s="198" t="s">
        <v>58</v>
      </c>
      <c r="Z964" s="201">
        <v>46234</v>
      </c>
      <c r="AA964" s="198" t="s">
        <v>59</v>
      </c>
      <c r="AB964" s="198" t="s">
        <v>60</v>
      </c>
      <c r="AC964" s="198" t="s">
        <v>86</v>
      </c>
      <c r="AD964" s="198" t="s">
        <v>62</v>
      </c>
      <c r="AE964" s="198" t="s">
        <v>634</v>
      </c>
      <c r="AF964" s="198" t="s">
        <v>633</v>
      </c>
      <c r="AG964" s="198" t="s">
        <v>248</v>
      </c>
      <c r="AH964" s="198" t="s">
        <v>134</v>
      </c>
      <c r="AI964" s="198" t="s">
        <v>56</v>
      </c>
      <c r="AJ964" s="198" t="s">
        <v>635</v>
      </c>
      <c r="AK964" s="198" t="s">
        <v>51</v>
      </c>
      <c r="AL964" s="198" t="s">
        <v>67</v>
      </c>
      <c r="AM964" s="198" t="s">
        <v>68</v>
      </c>
      <c r="AN964" s="202">
        <v>247340</v>
      </c>
      <c r="AO964" s="202">
        <v>247340</v>
      </c>
      <c r="AP964" s="202">
        <v>247340</v>
      </c>
      <c r="AQ964" s="198" t="s">
        <v>358</v>
      </c>
      <c r="AR964" s="198" t="s">
        <v>51</v>
      </c>
      <c r="AS964" s="202">
        <v>247340</v>
      </c>
      <c r="AT964" s="202">
        <v>247340</v>
      </c>
      <c r="AU964" s="198" t="s">
        <v>359</v>
      </c>
      <c r="AV964" s="198" t="s">
        <v>62</v>
      </c>
      <c r="AW964" s="198" t="s">
        <v>54</v>
      </c>
    </row>
    <row r="965" spans="3:49" outlineLevel="2" x14ac:dyDescent="0.25">
      <c r="C965" s="201"/>
      <c r="D965" s="198" t="s">
        <v>133</v>
      </c>
      <c r="H965" s="198" t="s">
        <v>133</v>
      </c>
      <c r="I965" s="202">
        <f t="shared" si="15"/>
        <v>402219582.29999959</v>
      </c>
      <c r="J965" s="202">
        <v>97.399999999999906</v>
      </c>
      <c r="L965" s="204">
        <v>280</v>
      </c>
      <c r="M965" s="202">
        <v>49280</v>
      </c>
      <c r="N965" s="204">
        <v>280</v>
      </c>
      <c r="O965" s="198" t="s">
        <v>51</v>
      </c>
      <c r="P965" s="202">
        <v>49280</v>
      </c>
      <c r="Q965" s="198" t="s">
        <v>73</v>
      </c>
      <c r="R965" s="198" t="s">
        <v>53</v>
      </c>
      <c r="S965" s="198" t="s">
        <v>54</v>
      </c>
      <c r="T965" s="198" t="s">
        <v>2048</v>
      </c>
      <c r="U965" s="198" t="s">
        <v>367</v>
      </c>
      <c r="V965" s="198" t="s">
        <v>56</v>
      </c>
      <c r="W965" s="198" t="s">
        <v>356</v>
      </c>
      <c r="X965" s="198" t="s">
        <v>57</v>
      </c>
      <c r="Y965" s="198" t="s">
        <v>58</v>
      </c>
      <c r="Z965" s="201">
        <v>46234</v>
      </c>
      <c r="AA965" s="198" t="s">
        <v>59</v>
      </c>
      <c r="AB965" s="198" t="s">
        <v>60</v>
      </c>
      <c r="AC965" s="198" t="s">
        <v>86</v>
      </c>
      <c r="AD965" s="198" t="s">
        <v>62</v>
      </c>
      <c r="AE965" s="198" t="s">
        <v>637</v>
      </c>
      <c r="AF965" s="198" t="s">
        <v>636</v>
      </c>
      <c r="AG965" s="198" t="s">
        <v>248</v>
      </c>
      <c r="AH965" s="198" t="s">
        <v>134</v>
      </c>
      <c r="AI965" s="198" t="s">
        <v>56</v>
      </c>
      <c r="AJ965" s="198" t="s">
        <v>318</v>
      </c>
      <c r="AK965" s="198" t="s">
        <v>51</v>
      </c>
      <c r="AL965" s="198" t="s">
        <v>67</v>
      </c>
      <c r="AM965" s="198" t="s">
        <v>68</v>
      </c>
      <c r="AN965" s="202">
        <v>49280</v>
      </c>
      <c r="AO965" s="202">
        <v>49280</v>
      </c>
      <c r="AP965" s="202">
        <v>49280</v>
      </c>
      <c r="AQ965" s="198" t="s">
        <v>358</v>
      </c>
      <c r="AR965" s="198" t="s">
        <v>51</v>
      </c>
      <c r="AS965" s="202">
        <v>49280</v>
      </c>
      <c r="AT965" s="202">
        <v>49280</v>
      </c>
      <c r="AU965" s="198" t="s">
        <v>359</v>
      </c>
      <c r="AV965" s="198" t="s">
        <v>62</v>
      </c>
      <c r="AW965" s="198" t="s">
        <v>54</v>
      </c>
    </row>
    <row r="966" spans="3:49" outlineLevel="2" x14ac:dyDescent="0.25">
      <c r="C966" s="201"/>
      <c r="D966" s="198" t="s">
        <v>133</v>
      </c>
      <c r="H966" s="198" t="s">
        <v>133</v>
      </c>
      <c r="I966" s="202">
        <f t="shared" si="15"/>
        <v>402632538.74999958</v>
      </c>
      <c r="J966" s="202">
        <v>97.499999999999901</v>
      </c>
      <c r="L966" s="204">
        <v>430</v>
      </c>
      <c r="M966" s="202">
        <v>64070</v>
      </c>
      <c r="N966" s="204">
        <v>430</v>
      </c>
      <c r="O966" s="198" t="s">
        <v>51</v>
      </c>
      <c r="P966" s="202">
        <v>64070</v>
      </c>
      <c r="Q966" s="198" t="s">
        <v>73</v>
      </c>
      <c r="R966" s="198" t="s">
        <v>53</v>
      </c>
      <c r="S966" s="198" t="s">
        <v>54</v>
      </c>
      <c r="T966" s="198" t="s">
        <v>2048</v>
      </c>
      <c r="U966" s="198" t="s">
        <v>367</v>
      </c>
      <c r="V966" s="198" t="s">
        <v>56</v>
      </c>
      <c r="W966" s="198" t="s">
        <v>356</v>
      </c>
      <c r="X966" s="198" t="s">
        <v>57</v>
      </c>
      <c r="Y966" s="198" t="s">
        <v>58</v>
      </c>
      <c r="Z966" s="201">
        <v>46234</v>
      </c>
      <c r="AA966" s="198" t="s">
        <v>59</v>
      </c>
      <c r="AB966" s="198" t="s">
        <v>60</v>
      </c>
      <c r="AC966" s="198" t="s">
        <v>86</v>
      </c>
      <c r="AD966" s="198" t="s">
        <v>62</v>
      </c>
      <c r="AE966" s="198" t="s">
        <v>639</v>
      </c>
      <c r="AF966" s="198" t="s">
        <v>638</v>
      </c>
      <c r="AG966" s="198" t="s">
        <v>248</v>
      </c>
      <c r="AH966" s="198" t="s">
        <v>134</v>
      </c>
      <c r="AI966" s="198" t="s">
        <v>56</v>
      </c>
      <c r="AJ966" s="198" t="s">
        <v>318</v>
      </c>
      <c r="AK966" s="198" t="s">
        <v>51</v>
      </c>
      <c r="AL966" s="198" t="s">
        <v>67</v>
      </c>
      <c r="AM966" s="198" t="s">
        <v>68</v>
      </c>
      <c r="AN966" s="202">
        <v>64070</v>
      </c>
      <c r="AO966" s="202">
        <v>64070</v>
      </c>
      <c r="AP966" s="202">
        <v>64070</v>
      </c>
      <c r="AQ966" s="198" t="s">
        <v>358</v>
      </c>
      <c r="AR966" s="198" t="s">
        <v>51</v>
      </c>
      <c r="AS966" s="202">
        <v>64070</v>
      </c>
      <c r="AT966" s="202">
        <v>64070</v>
      </c>
      <c r="AU966" s="198" t="s">
        <v>359</v>
      </c>
      <c r="AV966" s="198" t="s">
        <v>62</v>
      </c>
      <c r="AW966" s="198" t="s">
        <v>54</v>
      </c>
    </row>
    <row r="967" spans="3:49" outlineLevel="2" x14ac:dyDescent="0.25">
      <c r="C967" s="201"/>
      <c r="D967" s="198" t="s">
        <v>133</v>
      </c>
      <c r="H967" s="198" t="s">
        <v>133</v>
      </c>
      <c r="I967" s="202">
        <f t="shared" si="15"/>
        <v>403045495.19999957</v>
      </c>
      <c r="J967" s="202">
        <v>97.599999999999895</v>
      </c>
      <c r="L967" s="204">
        <v>520</v>
      </c>
      <c r="M967" s="202">
        <v>70200</v>
      </c>
      <c r="N967" s="204">
        <v>520</v>
      </c>
      <c r="O967" s="198" t="s">
        <v>51</v>
      </c>
      <c r="P967" s="202">
        <v>70200</v>
      </c>
      <c r="Q967" s="198" t="s">
        <v>73</v>
      </c>
      <c r="R967" s="198" t="s">
        <v>53</v>
      </c>
      <c r="S967" s="198" t="s">
        <v>54</v>
      </c>
      <c r="T967" s="198" t="s">
        <v>2048</v>
      </c>
      <c r="U967" s="198" t="s">
        <v>367</v>
      </c>
      <c r="V967" s="198" t="s">
        <v>56</v>
      </c>
      <c r="W967" s="198" t="s">
        <v>356</v>
      </c>
      <c r="X967" s="198" t="s">
        <v>57</v>
      </c>
      <c r="Y967" s="198" t="s">
        <v>58</v>
      </c>
      <c r="Z967" s="201">
        <v>46234</v>
      </c>
      <c r="AA967" s="198" t="s">
        <v>59</v>
      </c>
      <c r="AB967" s="198" t="s">
        <v>60</v>
      </c>
      <c r="AC967" s="198" t="s">
        <v>86</v>
      </c>
      <c r="AD967" s="198" t="s">
        <v>62</v>
      </c>
      <c r="AE967" s="198" t="s">
        <v>641</v>
      </c>
      <c r="AF967" s="198" t="s">
        <v>640</v>
      </c>
      <c r="AG967" s="198" t="s">
        <v>248</v>
      </c>
      <c r="AH967" s="198" t="s">
        <v>134</v>
      </c>
      <c r="AI967" s="198" t="s">
        <v>56</v>
      </c>
      <c r="AJ967" s="198" t="s">
        <v>318</v>
      </c>
      <c r="AK967" s="198" t="s">
        <v>51</v>
      </c>
      <c r="AL967" s="198" t="s">
        <v>67</v>
      </c>
      <c r="AM967" s="198" t="s">
        <v>68</v>
      </c>
      <c r="AN967" s="202">
        <v>70200</v>
      </c>
      <c r="AO967" s="202">
        <v>70200</v>
      </c>
      <c r="AP967" s="202">
        <v>70200</v>
      </c>
      <c r="AQ967" s="198" t="s">
        <v>358</v>
      </c>
      <c r="AR967" s="198" t="s">
        <v>51</v>
      </c>
      <c r="AS967" s="202">
        <v>70200</v>
      </c>
      <c r="AT967" s="202">
        <v>70200</v>
      </c>
      <c r="AU967" s="198" t="s">
        <v>359</v>
      </c>
      <c r="AV967" s="198" t="s">
        <v>62</v>
      </c>
      <c r="AW967" s="198" t="s">
        <v>54</v>
      </c>
    </row>
    <row r="968" spans="3:49" outlineLevel="2" x14ac:dyDescent="0.25">
      <c r="C968" s="201"/>
      <c r="D968" s="198" t="s">
        <v>133</v>
      </c>
      <c r="H968" s="198" t="s">
        <v>133</v>
      </c>
      <c r="I968" s="202">
        <f t="shared" si="15"/>
        <v>403458451.64999962</v>
      </c>
      <c r="J968" s="202">
        <v>97.699999999999903</v>
      </c>
      <c r="L968" s="204">
        <v>130</v>
      </c>
      <c r="M968" s="202">
        <v>8190</v>
      </c>
      <c r="N968" s="204">
        <v>130</v>
      </c>
      <c r="O968" s="198" t="s">
        <v>51</v>
      </c>
      <c r="P968" s="202">
        <v>8190</v>
      </c>
      <c r="Q968" s="198" t="s">
        <v>73</v>
      </c>
      <c r="R968" s="198" t="s">
        <v>53</v>
      </c>
      <c r="S968" s="198" t="s">
        <v>54</v>
      </c>
      <c r="T968" s="198" t="s">
        <v>2048</v>
      </c>
      <c r="U968" s="198" t="s">
        <v>367</v>
      </c>
      <c r="V968" s="198" t="s">
        <v>56</v>
      </c>
      <c r="W968" s="198" t="s">
        <v>356</v>
      </c>
      <c r="X968" s="198" t="s">
        <v>57</v>
      </c>
      <c r="Y968" s="198" t="s">
        <v>58</v>
      </c>
      <c r="Z968" s="201">
        <v>46234</v>
      </c>
      <c r="AA968" s="198" t="s">
        <v>59</v>
      </c>
      <c r="AB968" s="198" t="s">
        <v>60</v>
      </c>
      <c r="AC968" s="198" t="s">
        <v>86</v>
      </c>
      <c r="AD968" s="198" t="s">
        <v>62</v>
      </c>
      <c r="AE968" s="198" t="s">
        <v>643</v>
      </c>
      <c r="AF968" s="198" t="s">
        <v>642</v>
      </c>
      <c r="AG968" s="198" t="s">
        <v>248</v>
      </c>
      <c r="AH968" s="198" t="s">
        <v>134</v>
      </c>
      <c r="AI968" s="198" t="s">
        <v>56</v>
      </c>
      <c r="AJ968" s="198" t="s">
        <v>74</v>
      </c>
      <c r="AK968" s="198" t="s">
        <v>51</v>
      </c>
      <c r="AL968" s="198" t="s">
        <v>67</v>
      </c>
      <c r="AM968" s="198" t="s">
        <v>68</v>
      </c>
      <c r="AN968" s="202">
        <v>8190</v>
      </c>
      <c r="AO968" s="202">
        <v>8190</v>
      </c>
      <c r="AP968" s="202">
        <v>8190</v>
      </c>
      <c r="AQ968" s="198" t="s">
        <v>358</v>
      </c>
      <c r="AR968" s="198" t="s">
        <v>51</v>
      </c>
      <c r="AS968" s="202">
        <v>8190</v>
      </c>
      <c r="AT968" s="202">
        <v>8190</v>
      </c>
      <c r="AU968" s="198" t="s">
        <v>359</v>
      </c>
      <c r="AV968" s="198" t="s">
        <v>62</v>
      </c>
      <c r="AW968" s="198" t="s">
        <v>54</v>
      </c>
    </row>
    <row r="969" spans="3:49" outlineLevel="2" x14ac:dyDescent="0.25">
      <c r="C969" s="201"/>
      <c r="D969" s="198" t="s">
        <v>133</v>
      </c>
      <c r="H969" s="198" t="s">
        <v>133</v>
      </c>
      <c r="I969" s="202">
        <f t="shared" si="15"/>
        <v>403871408.09999961</v>
      </c>
      <c r="J969" s="202">
        <v>97.799999999999898</v>
      </c>
      <c r="L969" s="204">
        <v>1170</v>
      </c>
      <c r="M969" s="202">
        <v>174330</v>
      </c>
      <c r="N969" s="204">
        <v>1170</v>
      </c>
      <c r="O969" s="198" t="s">
        <v>51</v>
      </c>
      <c r="P969" s="202">
        <v>174330</v>
      </c>
      <c r="Q969" s="198" t="s">
        <v>73</v>
      </c>
      <c r="R969" s="198" t="s">
        <v>53</v>
      </c>
      <c r="S969" s="198" t="s">
        <v>54</v>
      </c>
      <c r="T969" s="198" t="s">
        <v>2048</v>
      </c>
      <c r="U969" s="198" t="s">
        <v>367</v>
      </c>
      <c r="V969" s="198" t="s">
        <v>56</v>
      </c>
      <c r="W969" s="198" t="s">
        <v>356</v>
      </c>
      <c r="X969" s="198" t="s">
        <v>57</v>
      </c>
      <c r="Y969" s="198" t="s">
        <v>58</v>
      </c>
      <c r="Z969" s="201">
        <v>46234</v>
      </c>
      <c r="AA969" s="198" t="s">
        <v>59</v>
      </c>
      <c r="AB969" s="198" t="s">
        <v>60</v>
      </c>
      <c r="AC969" s="198" t="s">
        <v>86</v>
      </c>
      <c r="AD969" s="198" t="s">
        <v>62</v>
      </c>
      <c r="AE969" s="198" t="s">
        <v>645</v>
      </c>
      <c r="AF969" s="198" t="s">
        <v>644</v>
      </c>
      <c r="AG969" s="198" t="s">
        <v>248</v>
      </c>
      <c r="AH969" s="198" t="s">
        <v>134</v>
      </c>
      <c r="AI969" s="198" t="s">
        <v>56</v>
      </c>
      <c r="AJ969" s="198" t="s">
        <v>318</v>
      </c>
      <c r="AK969" s="198" t="s">
        <v>51</v>
      </c>
      <c r="AL969" s="198" t="s">
        <v>67</v>
      </c>
      <c r="AM969" s="198" t="s">
        <v>68</v>
      </c>
      <c r="AN969" s="202">
        <v>174330</v>
      </c>
      <c r="AO969" s="202">
        <v>174330</v>
      </c>
      <c r="AP969" s="202">
        <v>174330</v>
      </c>
      <c r="AQ969" s="198" t="s">
        <v>358</v>
      </c>
      <c r="AR969" s="198" t="s">
        <v>51</v>
      </c>
      <c r="AS969" s="202">
        <v>174330</v>
      </c>
      <c r="AT969" s="202">
        <v>174330</v>
      </c>
      <c r="AU969" s="198" t="s">
        <v>359</v>
      </c>
      <c r="AV969" s="198" t="s">
        <v>62</v>
      </c>
      <c r="AW969" s="198" t="s">
        <v>54</v>
      </c>
    </row>
    <row r="970" spans="3:49" outlineLevel="2" x14ac:dyDescent="0.25">
      <c r="C970" s="201"/>
      <c r="D970" s="198" t="s">
        <v>133</v>
      </c>
      <c r="H970" s="198" t="s">
        <v>133</v>
      </c>
      <c r="I970" s="202">
        <f t="shared" si="15"/>
        <v>404284364.54999959</v>
      </c>
      <c r="J970" s="202">
        <v>97.899999999999906</v>
      </c>
      <c r="L970" s="204">
        <v>3000</v>
      </c>
      <c r="M970" s="202">
        <v>147000</v>
      </c>
      <c r="N970" s="204">
        <v>3000</v>
      </c>
      <c r="O970" s="198" t="s">
        <v>51</v>
      </c>
      <c r="P970" s="202">
        <v>147000</v>
      </c>
      <c r="Q970" s="198" t="s">
        <v>73</v>
      </c>
      <c r="R970" s="198" t="s">
        <v>53</v>
      </c>
      <c r="S970" s="198" t="s">
        <v>54</v>
      </c>
      <c r="T970" s="198" t="s">
        <v>2048</v>
      </c>
      <c r="U970" s="198" t="s">
        <v>367</v>
      </c>
      <c r="V970" s="198" t="s">
        <v>56</v>
      </c>
      <c r="W970" s="198" t="s">
        <v>356</v>
      </c>
      <c r="X970" s="198" t="s">
        <v>57</v>
      </c>
      <c r="Y970" s="198" t="s">
        <v>58</v>
      </c>
      <c r="Z970" s="201">
        <v>46234</v>
      </c>
      <c r="AA970" s="198" t="s">
        <v>59</v>
      </c>
      <c r="AB970" s="198" t="s">
        <v>60</v>
      </c>
      <c r="AC970" s="198" t="s">
        <v>86</v>
      </c>
      <c r="AD970" s="198" t="s">
        <v>62</v>
      </c>
      <c r="AE970" s="198" t="s">
        <v>647</v>
      </c>
      <c r="AF970" s="198" t="s">
        <v>646</v>
      </c>
      <c r="AG970" s="198" t="s">
        <v>248</v>
      </c>
      <c r="AH970" s="198" t="s">
        <v>134</v>
      </c>
      <c r="AI970" s="198" t="s">
        <v>56</v>
      </c>
      <c r="AJ970" s="198" t="s">
        <v>318</v>
      </c>
      <c r="AK970" s="198" t="s">
        <v>51</v>
      </c>
      <c r="AL970" s="198" t="s">
        <v>67</v>
      </c>
      <c r="AM970" s="198" t="s">
        <v>68</v>
      </c>
      <c r="AN970" s="202">
        <v>147000</v>
      </c>
      <c r="AO970" s="202">
        <v>147000</v>
      </c>
      <c r="AP970" s="202">
        <v>147000</v>
      </c>
      <c r="AQ970" s="198" t="s">
        <v>358</v>
      </c>
      <c r="AR970" s="198" t="s">
        <v>51</v>
      </c>
      <c r="AS970" s="202">
        <v>147000</v>
      </c>
      <c r="AT970" s="202">
        <v>147000</v>
      </c>
      <c r="AU970" s="198" t="s">
        <v>359</v>
      </c>
      <c r="AV970" s="198" t="s">
        <v>62</v>
      </c>
      <c r="AW970" s="198" t="s">
        <v>54</v>
      </c>
    </row>
    <row r="971" spans="3:49" outlineLevel="2" x14ac:dyDescent="0.25">
      <c r="C971" s="201"/>
      <c r="D971" s="198" t="s">
        <v>133</v>
      </c>
      <c r="H971" s="198" t="s">
        <v>133</v>
      </c>
      <c r="I971" s="202">
        <f t="shared" si="15"/>
        <v>404697320.99999958</v>
      </c>
      <c r="J971" s="202">
        <v>97.999999999999901</v>
      </c>
      <c r="L971" s="204">
        <v>300</v>
      </c>
      <c r="M971" s="202">
        <v>44700</v>
      </c>
      <c r="N971" s="204">
        <v>300</v>
      </c>
      <c r="O971" s="198" t="s">
        <v>51</v>
      </c>
      <c r="P971" s="202">
        <v>44700</v>
      </c>
      <c r="Q971" s="198" t="s">
        <v>73</v>
      </c>
      <c r="R971" s="198" t="s">
        <v>53</v>
      </c>
      <c r="S971" s="198" t="s">
        <v>54</v>
      </c>
      <c r="T971" s="198" t="s">
        <v>2048</v>
      </c>
      <c r="U971" s="198" t="s">
        <v>367</v>
      </c>
      <c r="V971" s="198" t="s">
        <v>56</v>
      </c>
      <c r="W971" s="198" t="s">
        <v>356</v>
      </c>
      <c r="X971" s="198" t="s">
        <v>57</v>
      </c>
      <c r="Y971" s="198" t="s">
        <v>58</v>
      </c>
      <c r="Z971" s="201">
        <v>46234</v>
      </c>
      <c r="AA971" s="198" t="s">
        <v>59</v>
      </c>
      <c r="AB971" s="198" t="s">
        <v>60</v>
      </c>
      <c r="AC971" s="198" t="s">
        <v>86</v>
      </c>
      <c r="AD971" s="198" t="s">
        <v>62</v>
      </c>
      <c r="AE971" s="198" t="s">
        <v>649</v>
      </c>
      <c r="AF971" s="198" t="s">
        <v>648</v>
      </c>
      <c r="AG971" s="198" t="s">
        <v>248</v>
      </c>
      <c r="AH971" s="198" t="s">
        <v>134</v>
      </c>
      <c r="AI971" s="198" t="s">
        <v>56</v>
      </c>
      <c r="AJ971" s="198" t="s">
        <v>318</v>
      </c>
      <c r="AK971" s="198" t="s">
        <v>51</v>
      </c>
      <c r="AL971" s="198" t="s">
        <v>67</v>
      </c>
      <c r="AM971" s="198" t="s">
        <v>68</v>
      </c>
      <c r="AN971" s="202">
        <v>44700</v>
      </c>
      <c r="AO971" s="202">
        <v>44700</v>
      </c>
      <c r="AP971" s="202">
        <v>44700</v>
      </c>
      <c r="AQ971" s="198" t="s">
        <v>358</v>
      </c>
      <c r="AR971" s="198" t="s">
        <v>51</v>
      </c>
      <c r="AS971" s="202">
        <v>44700</v>
      </c>
      <c r="AT971" s="202">
        <v>44700</v>
      </c>
      <c r="AU971" s="198" t="s">
        <v>359</v>
      </c>
      <c r="AV971" s="198" t="s">
        <v>62</v>
      </c>
      <c r="AW971" s="198" t="s">
        <v>54</v>
      </c>
    </row>
    <row r="972" spans="3:49" outlineLevel="2" x14ac:dyDescent="0.25">
      <c r="C972" s="201"/>
      <c r="D972" s="198" t="s">
        <v>133</v>
      </c>
      <c r="H972" s="198" t="s">
        <v>133</v>
      </c>
      <c r="I972" s="202">
        <f t="shared" si="15"/>
        <v>405110277.44999957</v>
      </c>
      <c r="J972" s="202">
        <v>98.099999999999895</v>
      </c>
      <c r="L972" s="204">
        <v>500</v>
      </c>
      <c r="M972" s="202">
        <v>67500</v>
      </c>
      <c r="N972" s="204">
        <v>500</v>
      </c>
      <c r="O972" s="198" t="s">
        <v>51</v>
      </c>
      <c r="P972" s="202">
        <v>67500</v>
      </c>
      <c r="Q972" s="198" t="s">
        <v>73</v>
      </c>
      <c r="R972" s="198" t="s">
        <v>53</v>
      </c>
      <c r="S972" s="198" t="s">
        <v>54</v>
      </c>
      <c r="T972" s="198" t="s">
        <v>2048</v>
      </c>
      <c r="U972" s="198" t="s">
        <v>367</v>
      </c>
      <c r="V972" s="198" t="s">
        <v>56</v>
      </c>
      <c r="W972" s="198" t="s">
        <v>356</v>
      </c>
      <c r="X972" s="198" t="s">
        <v>57</v>
      </c>
      <c r="Y972" s="198" t="s">
        <v>58</v>
      </c>
      <c r="Z972" s="201">
        <v>46234</v>
      </c>
      <c r="AA972" s="198" t="s">
        <v>59</v>
      </c>
      <c r="AB972" s="198" t="s">
        <v>60</v>
      </c>
      <c r="AC972" s="198" t="s">
        <v>86</v>
      </c>
      <c r="AD972" s="198" t="s">
        <v>62</v>
      </c>
      <c r="AE972" s="198" t="s">
        <v>650</v>
      </c>
      <c r="AF972" s="198" t="s">
        <v>339</v>
      </c>
      <c r="AG972" s="198" t="s">
        <v>248</v>
      </c>
      <c r="AH972" s="198" t="s">
        <v>134</v>
      </c>
      <c r="AI972" s="198" t="s">
        <v>56</v>
      </c>
      <c r="AJ972" s="198" t="s">
        <v>318</v>
      </c>
      <c r="AK972" s="198" t="s">
        <v>51</v>
      </c>
      <c r="AL972" s="198" t="s">
        <v>67</v>
      </c>
      <c r="AM972" s="198" t="s">
        <v>68</v>
      </c>
      <c r="AN972" s="202">
        <v>67500</v>
      </c>
      <c r="AO972" s="202">
        <v>67500</v>
      </c>
      <c r="AP972" s="202">
        <v>67500</v>
      </c>
      <c r="AQ972" s="198" t="s">
        <v>358</v>
      </c>
      <c r="AR972" s="198" t="s">
        <v>51</v>
      </c>
      <c r="AS972" s="202">
        <v>67500</v>
      </c>
      <c r="AT972" s="202">
        <v>67500</v>
      </c>
      <c r="AU972" s="198" t="s">
        <v>359</v>
      </c>
      <c r="AV972" s="198" t="s">
        <v>62</v>
      </c>
      <c r="AW972" s="198" t="s">
        <v>54</v>
      </c>
    </row>
    <row r="973" spans="3:49" outlineLevel="2" x14ac:dyDescent="0.25">
      <c r="C973" s="201"/>
      <c r="D973" s="198" t="s">
        <v>133</v>
      </c>
      <c r="H973" s="198" t="s">
        <v>133</v>
      </c>
      <c r="I973" s="202">
        <f t="shared" si="15"/>
        <v>405523233.89999962</v>
      </c>
      <c r="J973" s="202">
        <v>98.199999999999903</v>
      </c>
      <c r="L973" s="204">
        <v>150</v>
      </c>
      <c r="M973" s="202">
        <v>1800</v>
      </c>
      <c r="N973" s="204">
        <v>150</v>
      </c>
      <c r="O973" s="198" t="s">
        <v>51</v>
      </c>
      <c r="P973" s="202">
        <v>1800</v>
      </c>
      <c r="Q973" s="198" t="s">
        <v>73</v>
      </c>
      <c r="R973" s="198" t="s">
        <v>53</v>
      </c>
      <c r="S973" s="198" t="s">
        <v>54</v>
      </c>
      <c r="T973" s="198" t="s">
        <v>2048</v>
      </c>
      <c r="U973" s="198" t="s">
        <v>367</v>
      </c>
      <c r="V973" s="198" t="s">
        <v>56</v>
      </c>
      <c r="W973" s="198" t="s">
        <v>356</v>
      </c>
      <c r="X973" s="198" t="s">
        <v>57</v>
      </c>
      <c r="Y973" s="198" t="s">
        <v>58</v>
      </c>
      <c r="Z973" s="201">
        <v>46234</v>
      </c>
      <c r="AA973" s="198" t="s">
        <v>59</v>
      </c>
      <c r="AB973" s="198" t="s">
        <v>60</v>
      </c>
      <c r="AC973" s="198" t="s">
        <v>86</v>
      </c>
      <c r="AD973" s="198" t="s">
        <v>62</v>
      </c>
      <c r="AE973" s="198" t="s">
        <v>652</v>
      </c>
      <c r="AF973" s="198" t="s">
        <v>651</v>
      </c>
      <c r="AG973" s="198" t="s">
        <v>248</v>
      </c>
      <c r="AH973" s="198" t="s">
        <v>134</v>
      </c>
      <c r="AI973" s="198" t="s">
        <v>56</v>
      </c>
      <c r="AJ973" s="198" t="s">
        <v>318</v>
      </c>
      <c r="AK973" s="198" t="s">
        <v>51</v>
      </c>
      <c r="AL973" s="198" t="s">
        <v>67</v>
      </c>
      <c r="AM973" s="198" t="s">
        <v>68</v>
      </c>
      <c r="AN973" s="202">
        <v>1800</v>
      </c>
      <c r="AO973" s="202">
        <v>1800</v>
      </c>
      <c r="AP973" s="202">
        <v>1800</v>
      </c>
      <c r="AQ973" s="198" t="s">
        <v>358</v>
      </c>
      <c r="AR973" s="198" t="s">
        <v>51</v>
      </c>
      <c r="AS973" s="202">
        <v>1800</v>
      </c>
      <c r="AT973" s="202">
        <v>1800</v>
      </c>
      <c r="AU973" s="198" t="s">
        <v>359</v>
      </c>
      <c r="AV973" s="198" t="s">
        <v>62</v>
      </c>
      <c r="AW973" s="198" t="s">
        <v>54</v>
      </c>
    </row>
    <row r="974" spans="3:49" outlineLevel="2" x14ac:dyDescent="0.25">
      <c r="C974" s="201"/>
      <c r="D974" s="198" t="s">
        <v>133</v>
      </c>
      <c r="H974" s="198" t="s">
        <v>133</v>
      </c>
      <c r="I974" s="202">
        <f t="shared" si="15"/>
        <v>405936190.34999961</v>
      </c>
      <c r="J974" s="202">
        <v>98.299999999999898</v>
      </c>
      <c r="L974" s="204">
        <v>70</v>
      </c>
      <c r="M974" s="202">
        <v>840</v>
      </c>
      <c r="N974" s="204">
        <v>70</v>
      </c>
      <c r="O974" s="198" t="s">
        <v>51</v>
      </c>
      <c r="P974" s="202">
        <v>840</v>
      </c>
      <c r="Q974" s="198" t="s">
        <v>73</v>
      </c>
      <c r="R974" s="198" t="s">
        <v>53</v>
      </c>
      <c r="S974" s="198" t="s">
        <v>54</v>
      </c>
      <c r="T974" s="198" t="s">
        <v>2048</v>
      </c>
      <c r="U974" s="198" t="s">
        <v>367</v>
      </c>
      <c r="V974" s="198" t="s">
        <v>56</v>
      </c>
      <c r="W974" s="198" t="s">
        <v>356</v>
      </c>
      <c r="X974" s="198" t="s">
        <v>57</v>
      </c>
      <c r="Y974" s="198" t="s">
        <v>58</v>
      </c>
      <c r="Z974" s="201">
        <v>46234</v>
      </c>
      <c r="AA974" s="198" t="s">
        <v>59</v>
      </c>
      <c r="AB974" s="198" t="s">
        <v>60</v>
      </c>
      <c r="AC974" s="198" t="s">
        <v>86</v>
      </c>
      <c r="AD974" s="198" t="s">
        <v>62</v>
      </c>
      <c r="AE974" s="198" t="s">
        <v>654</v>
      </c>
      <c r="AF974" s="198" t="s">
        <v>653</v>
      </c>
      <c r="AG974" s="198" t="s">
        <v>248</v>
      </c>
      <c r="AH974" s="198" t="s">
        <v>134</v>
      </c>
      <c r="AI974" s="198" t="s">
        <v>56</v>
      </c>
      <c r="AJ974" s="198" t="s">
        <v>318</v>
      </c>
      <c r="AK974" s="198" t="s">
        <v>51</v>
      </c>
      <c r="AL974" s="198" t="s">
        <v>67</v>
      </c>
      <c r="AM974" s="198" t="s">
        <v>68</v>
      </c>
      <c r="AN974" s="202">
        <v>840</v>
      </c>
      <c r="AO974" s="202">
        <v>840</v>
      </c>
      <c r="AP974" s="202">
        <v>840</v>
      </c>
      <c r="AQ974" s="198" t="s">
        <v>358</v>
      </c>
      <c r="AR974" s="198" t="s">
        <v>51</v>
      </c>
      <c r="AS974" s="202">
        <v>840</v>
      </c>
      <c r="AT974" s="202">
        <v>840</v>
      </c>
      <c r="AU974" s="198" t="s">
        <v>359</v>
      </c>
      <c r="AV974" s="198" t="s">
        <v>62</v>
      </c>
      <c r="AW974" s="198" t="s">
        <v>54</v>
      </c>
    </row>
    <row r="975" spans="3:49" outlineLevel="2" x14ac:dyDescent="0.25">
      <c r="C975" s="201"/>
      <c r="D975" s="198" t="s">
        <v>202</v>
      </c>
      <c r="H975" s="198" t="s">
        <v>202</v>
      </c>
      <c r="I975" s="202">
        <f t="shared" si="15"/>
        <v>406349146.79999959</v>
      </c>
      <c r="J975" s="202">
        <v>98.399999999999906</v>
      </c>
      <c r="L975" s="204">
        <v>432</v>
      </c>
      <c r="M975" s="202">
        <v>13431744</v>
      </c>
      <c r="N975" s="204">
        <v>432</v>
      </c>
      <c r="O975" s="198" t="s">
        <v>51</v>
      </c>
      <c r="P975" s="202">
        <v>13431744</v>
      </c>
      <c r="Q975" s="198" t="s">
        <v>73</v>
      </c>
      <c r="R975" s="198" t="s">
        <v>53</v>
      </c>
      <c r="S975" s="198" t="s">
        <v>54</v>
      </c>
      <c r="T975" s="198" t="s">
        <v>568</v>
      </c>
      <c r="U975" s="198" t="s">
        <v>1737</v>
      </c>
      <c r="V975" s="198" t="s">
        <v>56</v>
      </c>
      <c r="W975" s="198" t="s">
        <v>356</v>
      </c>
      <c r="X975" s="198" t="s">
        <v>57</v>
      </c>
      <c r="Y975" s="198" t="s">
        <v>58</v>
      </c>
      <c r="Z975" s="201">
        <v>46188</v>
      </c>
      <c r="AA975" s="198" t="s">
        <v>59</v>
      </c>
      <c r="AB975" s="198" t="s">
        <v>60</v>
      </c>
      <c r="AC975" s="198" t="s">
        <v>86</v>
      </c>
      <c r="AD975" s="198" t="s">
        <v>62</v>
      </c>
      <c r="AE975" s="198" t="s">
        <v>569</v>
      </c>
      <c r="AF975" s="198" t="s">
        <v>567</v>
      </c>
      <c r="AG975" s="198" t="s">
        <v>189</v>
      </c>
      <c r="AH975" s="198" t="s">
        <v>65</v>
      </c>
      <c r="AI975" s="198" t="s">
        <v>56</v>
      </c>
      <c r="AJ975" s="198" t="s">
        <v>71</v>
      </c>
      <c r="AK975" s="198" t="s">
        <v>51</v>
      </c>
      <c r="AL975" s="198" t="s">
        <v>67</v>
      </c>
      <c r="AM975" s="198" t="s">
        <v>68</v>
      </c>
      <c r="AN975" s="202">
        <v>13431744</v>
      </c>
      <c r="AO975" s="202">
        <v>13431744</v>
      </c>
      <c r="AP975" s="202">
        <v>13431744</v>
      </c>
      <c r="AQ975" s="198" t="s">
        <v>358</v>
      </c>
      <c r="AR975" s="198" t="s">
        <v>51</v>
      </c>
      <c r="AS975" s="202">
        <v>13431744</v>
      </c>
      <c r="AT975" s="202">
        <v>13431744</v>
      </c>
      <c r="AU975" s="198" t="s">
        <v>359</v>
      </c>
      <c r="AV975" s="198" t="s">
        <v>62</v>
      </c>
      <c r="AW975" s="198" t="s">
        <v>54</v>
      </c>
    </row>
    <row r="976" spans="3:49" outlineLevel="2" x14ac:dyDescent="0.25">
      <c r="C976" s="201"/>
      <c r="D976" s="198" t="s">
        <v>199</v>
      </c>
      <c r="H976" s="198" t="s">
        <v>199</v>
      </c>
      <c r="I976" s="202">
        <f t="shared" si="15"/>
        <v>406762103.24999958</v>
      </c>
      <c r="J976" s="202">
        <v>98.499999999999901</v>
      </c>
      <c r="L976" s="204">
        <v>384</v>
      </c>
      <c r="M976" s="202">
        <v>11939328</v>
      </c>
      <c r="N976" s="204">
        <v>384</v>
      </c>
      <c r="O976" s="198" t="s">
        <v>51</v>
      </c>
      <c r="P976" s="202">
        <v>11939328</v>
      </c>
      <c r="Q976" s="198" t="s">
        <v>73</v>
      </c>
      <c r="R976" s="198" t="s">
        <v>53</v>
      </c>
      <c r="S976" s="198" t="s">
        <v>54</v>
      </c>
      <c r="T976" s="198" t="s">
        <v>568</v>
      </c>
      <c r="U976" s="198" t="s">
        <v>1737</v>
      </c>
      <c r="V976" s="198" t="s">
        <v>56</v>
      </c>
      <c r="W976" s="198" t="s">
        <v>356</v>
      </c>
      <c r="X976" s="198" t="s">
        <v>57</v>
      </c>
      <c r="Y976" s="198" t="s">
        <v>58</v>
      </c>
      <c r="Z976" s="201">
        <v>46188</v>
      </c>
      <c r="AA976" s="198" t="s">
        <v>59</v>
      </c>
      <c r="AB976" s="198" t="s">
        <v>60</v>
      </c>
      <c r="AC976" s="198" t="s">
        <v>86</v>
      </c>
      <c r="AD976" s="198" t="s">
        <v>62</v>
      </c>
      <c r="AE976" s="198" t="s">
        <v>569</v>
      </c>
      <c r="AF976" s="198" t="s">
        <v>567</v>
      </c>
      <c r="AG976" s="198" t="s">
        <v>189</v>
      </c>
      <c r="AH976" s="198" t="s">
        <v>167</v>
      </c>
      <c r="AI976" s="198" t="s">
        <v>56</v>
      </c>
      <c r="AJ976" s="198" t="s">
        <v>71</v>
      </c>
      <c r="AK976" s="198" t="s">
        <v>51</v>
      </c>
      <c r="AL976" s="198" t="s">
        <v>67</v>
      </c>
      <c r="AM976" s="198" t="s">
        <v>68</v>
      </c>
      <c r="AN976" s="202">
        <v>11939328</v>
      </c>
      <c r="AO976" s="202">
        <v>11939328</v>
      </c>
      <c r="AP976" s="202">
        <v>11939328</v>
      </c>
      <c r="AQ976" s="198" t="s">
        <v>358</v>
      </c>
      <c r="AR976" s="198" t="s">
        <v>51</v>
      </c>
      <c r="AS976" s="202">
        <v>11939328</v>
      </c>
      <c r="AT976" s="202">
        <v>11939328</v>
      </c>
      <c r="AU976" s="198" t="s">
        <v>359</v>
      </c>
      <c r="AV976" s="198" t="s">
        <v>62</v>
      </c>
      <c r="AW976" s="198" t="s">
        <v>54</v>
      </c>
    </row>
    <row r="977" spans="3:49" outlineLevel="2" x14ac:dyDescent="0.25">
      <c r="C977" s="201"/>
      <c r="D977" s="198" t="s">
        <v>204</v>
      </c>
      <c r="H977" s="198" t="s">
        <v>204</v>
      </c>
      <c r="I977" s="202">
        <f t="shared" si="15"/>
        <v>407175059.69999957</v>
      </c>
      <c r="J977" s="202">
        <v>98.599999999999895</v>
      </c>
      <c r="L977" s="204">
        <v>240</v>
      </c>
      <c r="M977" s="202">
        <v>8975760</v>
      </c>
      <c r="N977" s="204">
        <v>240</v>
      </c>
      <c r="O977" s="198" t="s">
        <v>51</v>
      </c>
      <c r="P977" s="202">
        <v>8975760</v>
      </c>
      <c r="Q977" s="198" t="s">
        <v>73</v>
      </c>
      <c r="R977" s="198" t="s">
        <v>53</v>
      </c>
      <c r="S977" s="198" t="s">
        <v>54</v>
      </c>
      <c r="T977" s="198" t="s">
        <v>573</v>
      </c>
      <c r="U977" s="198" t="s">
        <v>277</v>
      </c>
      <c r="V977" s="198" t="s">
        <v>56</v>
      </c>
      <c r="W977" s="198" t="s">
        <v>356</v>
      </c>
      <c r="X977" s="198" t="s">
        <v>57</v>
      </c>
      <c r="Y977" s="198" t="s">
        <v>58</v>
      </c>
      <c r="Z977" s="201">
        <v>46218</v>
      </c>
      <c r="AA977" s="198" t="s">
        <v>59</v>
      </c>
      <c r="AB977" s="198" t="s">
        <v>60</v>
      </c>
      <c r="AC977" s="198" t="s">
        <v>86</v>
      </c>
      <c r="AD977" s="198" t="s">
        <v>62</v>
      </c>
      <c r="AE977" s="198" t="s">
        <v>569</v>
      </c>
      <c r="AF977" s="198" t="s">
        <v>567</v>
      </c>
      <c r="AG977" s="198" t="s">
        <v>248</v>
      </c>
      <c r="AH977" s="198" t="s">
        <v>169</v>
      </c>
      <c r="AI977" s="198" t="s">
        <v>56</v>
      </c>
      <c r="AJ977" s="198" t="s">
        <v>71</v>
      </c>
      <c r="AK977" s="198" t="s">
        <v>51</v>
      </c>
      <c r="AL977" s="198" t="s">
        <v>67</v>
      </c>
      <c r="AM977" s="198" t="s">
        <v>68</v>
      </c>
      <c r="AN977" s="202">
        <v>8975760</v>
      </c>
      <c r="AO977" s="202">
        <v>8975760</v>
      </c>
      <c r="AP977" s="202">
        <v>8975760</v>
      </c>
      <c r="AQ977" s="198" t="s">
        <v>358</v>
      </c>
      <c r="AR977" s="198" t="s">
        <v>51</v>
      </c>
      <c r="AS977" s="202">
        <v>8975760</v>
      </c>
      <c r="AT977" s="202">
        <v>8975760</v>
      </c>
      <c r="AU977" s="198" t="s">
        <v>359</v>
      </c>
      <c r="AV977" s="198" t="s">
        <v>62</v>
      </c>
      <c r="AW977" s="198" t="s">
        <v>575</v>
      </c>
    </row>
    <row r="978" spans="3:49" outlineLevel="2" x14ac:dyDescent="0.25">
      <c r="C978" s="201"/>
      <c r="D978" s="198" t="s">
        <v>82</v>
      </c>
      <c r="H978" s="198" t="s">
        <v>82</v>
      </c>
      <c r="I978" s="202">
        <f t="shared" si="15"/>
        <v>407588016.14999962</v>
      </c>
      <c r="J978" s="202">
        <v>98.699999999999903</v>
      </c>
      <c r="L978" s="204">
        <v>54</v>
      </c>
      <c r="M978" s="202">
        <v>1036530</v>
      </c>
      <c r="N978" s="204">
        <v>1</v>
      </c>
      <c r="O978" s="198" t="s">
        <v>51</v>
      </c>
      <c r="P978" s="202">
        <v>19195</v>
      </c>
      <c r="Q978" s="198" t="s">
        <v>73</v>
      </c>
      <c r="R978" s="198" t="s">
        <v>53</v>
      </c>
      <c r="S978" s="198" t="s">
        <v>54</v>
      </c>
      <c r="T978" s="198" t="s">
        <v>573</v>
      </c>
      <c r="U978" s="198" t="s">
        <v>2050</v>
      </c>
      <c r="V978" s="198" t="s">
        <v>56</v>
      </c>
      <c r="W978" s="198" t="s">
        <v>356</v>
      </c>
      <c r="X978" s="198" t="s">
        <v>57</v>
      </c>
      <c r="Y978" s="198" t="s">
        <v>58</v>
      </c>
      <c r="Z978" s="201">
        <v>46218</v>
      </c>
      <c r="AA978" s="198" t="s">
        <v>59</v>
      </c>
      <c r="AB978" s="198" t="s">
        <v>60</v>
      </c>
      <c r="AC978" s="198" t="s">
        <v>86</v>
      </c>
      <c r="AD978" s="198" t="s">
        <v>62</v>
      </c>
      <c r="AE978" s="198" t="s">
        <v>94</v>
      </c>
      <c r="AF978" s="198" t="s">
        <v>92</v>
      </c>
      <c r="AG978" s="198" t="s">
        <v>248</v>
      </c>
      <c r="AH978" s="198" t="s">
        <v>89</v>
      </c>
      <c r="AI978" s="198" t="s">
        <v>56</v>
      </c>
      <c r="AJ978" s="198" t="s">
        <v>74</v>
      </c>
      <c r="AK978" s="198" t="s">
        <v>51</v>
      </c>
      <c r="AL978" s="198" t="s">
        <v>67</v>
      </c>
      <c r="AM978" s="198" t="s">
        <v>68</v>
      </c>
      <c r="AN978" s="202">
        <v>1036530</v>
      </c>
      <c r="AO978" s="202">
        <v>1036530</v>
      </c>
      <c r="AP978" s="202">
        <v>1036530</v>
      </c>
      <c r="AQ978" s="198" t="s">
        <v>358</v>
      </c>
      <c r="AR978" s="198" t="s">
        <v>51</v>
      </c>
      <c r="AS978" s="202">
        <v>19195</v>
      </c>
      <c r="AT978" s="202">
        <v>19195</v>
      </c>
      <c r="AU978" s="198" t="s">
        <v>359</v>
      </c>
      <c r="AV978" s="198" t="s">
        <v>62</v>
      </c>
      <c r="AW978" s="198" t="s">
        <v>575</v>
      </c>
    </row>
    <row r="979" spans="3:49" outlineLevel="2" x14ac:dyDescent="0.25">
      <c r="C979" s="201"/>
      <c r="D979" s="198" t="s">
        <v>215</v>
      </c>
      <c r="H979" s="198" t="s">
        <v>215</v>
      </c>
      <c r="I979" s="202">
        <f t="shared" si="15"/>
        <v>408000972.59999961</v>
      </c>
      <c r="J979" s="202">
        <v>98.799999999999898</v>
      </c>
      <c r="L979" s="204">
        <v>432</v>
      </c>
      <c r="M979" s="202">
        <v>16156368</v>
      </c>
      <c r="N979" s="204">
        <v>432</v>
      </c>
      <c r="O979" s="198" t="s">
        <v>51</v>
      </c>
      <c r="P979" s="202">
        <v>16156368</v>
      </c>
      <c r="Q979" s="198" t="s">
        <v>73</v>
      </c>
      <c r="R979" s="198" t="s">
        <v>53</v>
      </c>
      <c r="S979" s="198" t="s">
        <v>54</v>
      </c>
      <c r="T979" s="198" t="s">
        <v>573</v>
      </c>
      <c r="U979" s="198" t="s">
        <v>277</v>
      </c>
      <c r="V979" s="198" t="s">
        <v>56</v>
      </c>
      <c r="W979" s="198" t="s">
        <v>356</v>
      </c>
      <c r="X979" s="198" t="s">
        <v>57</v>
      </c>
      <c r="Y979" s="198" t="s">
        <v>58</v>
      </c>
      <c r="Z979" s="201">
        <v>46218</v>
      </c>
      <c r="AA979" s="198" t="s">
        <v>59</v>
      </c>
      <c r="AB979" s="198" t="s">
        <v>60</v>
      </c>
      <c r="AC979" s="198" t="s">
        <v>86</v>
      </c>
      <c r="AD979" s="198" t="s">
        <v>62</v>
      </c>
      <c r="AE979" s="198" t="s">
        <v>569</v>
      </c>
      <c r="AF979" s="198" t="s">
        <v>567</v>
      </c>
      <c r="AG979" s="198" t="s">
        <v>248</v>
      </c>
      <c r="AH979" s="198" t="s">
        <v>89</v>
      </c>
      <c r="AI979" s="198" t="s">
        <v>56</v>
      </c>
      <c r="AJ979" s="198" t="s">
        <v>71</v>
      </c>
      <c r="AK979" s="198" t="s">
        <v>51</v>
      </c>
      <c r="AL979" s="198" t="s">
        <v>67</v>
      </c>
      <c r="AM979" s="198" t="s">
        <v>68</v>
      </c>
      <c r="AN979" s="202">
        <v>16156368</v>
      </c>
      <c r="AO979" s="202">
        <v>16156368</v>
      </c>
      <c r="AP979" s="202">
        <v>16156368</v>
      </c>
      <c r="AQ979" s="198" t="s">
        <v>358</v>
      </c>
      <c r="AR979" s="198" t="s">
        <v>51</v>
      </c>
      <c r="AS979" s="202">
        <v>16156368</v>
      </c>
      <c r="AT979" s="202">
        <v>16156368</v>
      </c>
      <c r="AU979" s="198" t="s">
        <v>359</v>
      </c>
      <c r="AV979" s="198" t="s">
        <v>62</v>
      </c>
      <c r="AW979" s="198" t="s">
        <v>575</v>
      </c>
    </row>
    <row r="980" spans="3:49" outlineLevel="2" x14ac:dyDescent="0.25">
      <c r="C980" s="201"/>
      <c r="D980" s="198" t="s">
        <v>221</v>
      </c>
      <c r="H980" s="198" t="s">
        <v>221</v>
      </c>
      <c r="I980" s="202">
        <f t="shared" si="15"/>
        <v>408413929.04999959</v>
      </c>
      <c r="J980" s="202">
        <v>98.899999999999906</v>
      </c>
      <c r="L980" s="204">
        <v>448</v>
      </c>
      <c r="M980" s="202">
        <v>16754752</v>
      </c>
      <c r="N980" s="204">
        <v>448</v>
      </c>
      <c r="O980" s="198" t="s">
        <v>51</v>
      </c>
      <c r="P980" s="202">
        <v>16754752</v>
      </c>
      <c r="Q980" s="198" t="s">
        <v>73</v>
      </c>
      <c r="R980" s="198" t="s">
        <v>53</v>
      </c>
      <c r="S980" s="198" t="s">
        <v>54</v>
      </c>
      <c r="T980" s="198" t="s">
        <v>573</v>
      </c>
      <c r="U980" s="198" t="s">
        <v>277</v>
      </c>
      <c r="V980" s="198" t="s">
        <v>56</v>
      </c>
      <c r="W980" s="198" t="s">
        <v>356</v>
      </c>
      <c r="X980" s="198" t="s">
        <v>57</v>
      </c>
      <c r="Y980" s="198" t="s">
        <v>58</v>
      </c>
      <c r="Z980" s="201">
        <v>46218</v>
      </c>
      <c r="AA980" s="198" t="s">
        <v>59</v>
      </c>
      <c r="AB980" s="198" t="s">
        <v>60</v>
      </c>
      <c r="AC980" s="198" t="s">
        <v>86</v>
      </c>
      <c r="AD980" s="198" t="s">
        <v>62</v>
      </c>
      <c r="AE980" s="198" t="s">
        <v>569</v>
      </c>
      <c r="AF980" s="198" t="s">
        <v>567</v>
      </c>
      <c r="AG980" s="198" t="s">
        <v>248</v>
      </c>
      <c r="AH980" s="198" t="s">
        <v>112</v>
      </c>
      <c r="AI980" s="198" t="s">
        <v>56</v>
      </c>
      <c r="AJ980" s="198" t="s">
        <v>71</v>
      </c>
      <c r="AK980" s="198" t="s">
        <v>51</v>
      </c>
      <c r="AL980" s="198" t="s">
        <v>67</v>
      </c>
      <c r="AM980" s="198" t="s">
        <v>68</v>
      </c>
      <c r="AN980" s="202">
        <v>16754752</v>
      </c>
      <c r="AO980" s="202">
        <v>16754752</v>
      </c>
      <c r="AP980" s="202">
        <v>16754752</v>
      </c>
      <c r="AQ980" s="198" t="s">
        <v>358</v>
      </c>
      <c r="AR980" s="198" t="s">
        <v>51</v>
      </c>
      <c r="AS980" s="202">
        <v>16754752</v>
      </c>
      <c r="AT980" s="202">
        <v>16754752</v>
      </c>
      <c r="AU980" s="198" t="s">
        <v>359</v>
      </c>
      <c r="AV980" s="198" t="s">
        <v>62</v>
      </c>
      <c r="AW980" s="198" t="s">
        <v>575</v>
      </c>
    </row>
    <row r="981" spans="3:49" outlineLevel="2" x14ac:dyDescent="0.25">
      <c r="C981" s="201"/>
      <c r="D981" s="198" t="s">
        <v>212</v>
      </c>
      <c r="H981" s="198" t="s">
        <v>212</v>
      </c>
      <c r="I981" s="202">
        <f t="shared" si="15"/>
        <v>408826885.49999958</v>
      </c>
      <c r="J981" s="202">
        <v>98.999999999999901</v>
      </c>
      <c r="L981" s="204">
        <v>56</v>
      </c>
      <c r="M981" s="202">
        <v>1074920</v>
      </c>
      <c r="N981" s="204">
        <v>45</v>
      </c>
      <c r="O981" s="198" t="s">
        <v>51</v>
      </c>
      <c r="P981" s="202">
        <v>863775</v>
      </c>
      <c r="Q981" s="198" t="s">
        <v>73</v>
      </c>
      <c r="R981" s="198" t="s">
        <v>53</v>
      </c>
      <c r="S981" s="198" t="s">
        <v>54</v>
      </c>
      <c r="T981" s="198" t="s">
        <v>573</v>
      </c>
      <c r="U981" s="198" t="s">
        <v>277</v>
      </c>
      <c r="V981" s="198" t="s">
        <v>56</v>
      </c>
      <c r="W981" s="198" t="s">
        <v>356</v>
      </c>
      <c r="X981" s="198" t="s">
        <v>57</v>
      </c>
      <c r="Y981" s="198" t="s">
        <v>58</v>
      </c>
      <c r="Z981" s="201">
        <v>46218</v>
      </c>
      <c r="AA981" s="198" t="s">
        <v>59</v>
      </c>
      <c r="AB981" s="198" t="s">
        <v>60</v>
      </c>
      <c r="AC981" s="198" t="s">
        <v>86</v>
      </c>
      <c r="AD981" s="198" t="s">
        <v>62</v>
      </c>
      <c r="AE981" s="198" t="s">
        <v>94</v>
      </c>
      <c r="AF981" s="198" t="s">
        <v>92</v>
      </c>
      <c r="AG981" s="198" t="s">
        <v>248</v>
      </c>
      <c r="AH981" s="198" t="s">
        <v>112</v>
      </c>
      <c r="AI981" s="198" t="s">
        <v>56</v>
      </c>
      <c r="AJ981" s="198" t="s">
        <v>74</v>
      </c>
      <c r="AK981" s="198" t="s">
        <v>51</v>
      </c>
      <c r="AL981" s="198" t="s">
        <v>67</v>
      </c>
      <c r="AM981" s="198" t="s">
        <v>68</v>
      </c>
      <c r="AN981" s="202">
        <v>1074920</v>
      </c>
      <c r="AO981" s="202">
        <v>1074920</v>
      </c>
      <c r="AP981" s="202">
        <v>1074920</v>
      </c>
      <c r="AQ981" s="198" t="s">
        <v>358</v>
      </c>
      <c r="AR981" s="198" t="s">
        <v>51</v>
      </c>
      <c r="AS981" s="202">
        <v>863775</v>
      </c>
      <c r="AT981" s="202">
        <v>863775</v>
      </c>
      <c r="AU981" s="198" t="s">
        <v>359</v>
      </c>
      <c r="AV981" s="198" t="s">
        <v>62</v>
      </c>
      <c r="AW981" s="198" t="s">
        <v>575</v>
      </c>
    </row>
    <row r="982" spans="3:49" outlineLevel="2" x14ac:dyDescent="0.25">
      <c r="C982" s="201"/>
      <c r="D982" s="198" t="s">
        <v>181</v>
      </c>
      <c r="H982" s="198" t="s">
        <v>181</v>
      </c>
      <c r="I982" s="202">
        <f t="shared" si="15"/>
        <v>409239841.94999957</v>
      </c>
      <c r="J982" s="202">
        <v>99.099999999999895</v>
      </c>
      <c r="L982" s="204">
        <v>54</v>
      </c>
      <c r="M982" s="202">
        <v>2700000</v>
      </c>
      <c r="N982" s="204">
        <v>54</v>
      </c>
      <c r="O982" s="198" t="s">
        <v>51</v>
      </c>
      <c r="P982" s="202">
        <v>2700000</v>
      </c>
      <c r="Q982" s="198" t="s">
        <v>73</v>
      </c>
      <c r="R982" s="198" t="s">
        <v>53</v>
      </c>
      <c r="S982" s="198" t="s">
        <v>54</v>
      </c>
      <c r="T982" s="198" t="s">
        <v>576</v>
      </c>
      <c r="U982" s="198" t="s">
        <v>1737</v>
      </c>
      <c r="V982" s="198" t="s">
        <v>56</v>
      </c>
      <c r="W982" s="198" t="s">
        <v>356</v>
      </c>
      <c r="X982" s="198" t="s">
        <v>57</v>
      </c>
      <c r="Y982" s="198" t="s">
        <v>58</v>
      </c>
      <c r="Z982" s="201">
        <v>46188</v>
      </c>
      <c r="AA982" s="198" t="s">
        <v>59</v>
      </c>
      <c r="AB982" s="198" t="s">
        <v>60</v>
      </c>
      <c r="AC982" s="198" t="s">
        <v>86</v>
      </c>
      <c r="AD982" s="198" t="s">
        <v>62</v>
      </c>
      <c r="AE982" s="198" t="s">
        <v>569</v>
      </c>
      <c r="AF982" s="198" t="s">
        <v>567</v>
      </c>
      <c r="AG982" s="198" t="s">
        <v>189</v>
      </c>
      <c r="AH982" s="198" t="s">
        <v>65</v>
      </c>
      <c r="AI982" s="198" t="s">
        <v>56</v>
      </c>
      <c r="AJ982" s="198" t="s">
        <v>71</v>
      </c>
      <c r="AK982" s="198" t="s">
        <v>51</v>
      </c>
      <c r="AL982" s="198" t="s">
        <v>67</v>
      </c>
      <c r="AM982" s="198" t="s">
        <v>68</v>
      </c>
      <c r="AN982" s="202">
        <v>2700000</v>
      </c>
      <c r="AO982" s="202">
        <v>2700000</v>
      </c>
      <c r="AP982" s="202">
        <v>2700000</v>
      </c>
      <c r="AQ982" s="198" t="s">
        <v>358</v>
      </c>
      <c r="AR982" s="198" t="s">
        <v>51</v>
      </c>
      <c r="AS982" s="202">
        <v>2700000</v>
      </c>
      <c r="AT982" s="202">
        <v>2700000</v>
      </c>
      <c r="AU982" s="198" t="s">
        <v>359</v>
      </c>
      <c r="AV982" s="198" t="s">
        <v>62</v>
      </c>
      <c r="AW982" s="198" t="s">
        <v>54</v>
      </c>
    </row>
    <row r="983" spans="3:49" outlineLevel="2" x14ac:dyDescent="0.25">
      <c r="C983" s="201"/>
      <c r="D983" s="198" t="s">
        <v>203</v>
      </c>
      <c r="H983" s="198" t="s">
        <v>203</v>
      </c>
      <c r="I983" s="202">
        <f t="shared" si="15"/>
        <v>409652798.39999962</v>
      </c>
      <c r="J983" s="202">
        <v>99.199999999999903</v>
      </c>
      <c r="L983" s="204">
        <v>9</v>
      </c>
      <c r="M983" s="202">
        <v>450000</v>
      </c>
      <c r="N983" s="204">
        <v>9</v>
      </c>
      <c r="O983" s="198" t="s">
        <v>51</v>
      </c>
      <c r="P983" s="202">
        <v>450000</v>
      </c>
      <c r="Q983" s="198" t="s">
        <v>73</v>
      </c>
      <c r="R983" s="198" t="s">
        <v>53</v>
      </c>
      <c r="S983" s="198" t="s">
        <v>54</v>
      </c>
      <c r="T983" s="198" t="s">
        <v>576</v>
      </c>
      <c r="U983" s="198" t="s">
        <v>1737</v>
      </c>
      <c r="V983" s="198" t="s">
        <v>56</v>
      </c>
      <c r="W983" s="198" t="s">
        <v>356</v>
      </c>
      <c r="X983" s="198" t="s">
        <v>57</v>
      </c>
      <c r="Y983" s="198" t="s">
        <v>58</v>
      </c>
      <c r="Z983" s="201">
        <v>46188</v>
      </c>
      <c r="AA983" s="198" t="s">
        <v>59</v>
      </c>
      <c r="AB983" s="198" t="s">
        <v>60</v>
      </c>
      <c r="AC983" s="198" t="s">
        <v>86</v>
      </c>
      <c r="AD983" s="198" t="s">
        <v>62</v>
      </c>
      <c r="AE983" s="198" t="s">
        <v>569</v>
      </c>
      <c r="AF983" s="198" t="s">
        <v>567</v>
      </c>
      <c r="AG983" s="198" t="s">
        <v>189</v>
      </c>
      <c r="AH983" s="198" t="s">
        <v>65</v>
      </c>
      <c r="AI983" s="198" t="s">
        <v>56</v>
      </c>
      <c r="AJ983" s="198" t="s">
        <v>71</v>
      </c>
      <c r="AK983" s="198" t="s">
        <v>51</v>
      </c>
      <c r="AL983" s="198" t="s">
        <v>67</v>
      </c>
      <c r="AM983" s="198" t="s">
        <v>68</v>
      </c>
      <c r="AN983" s="202">
        <v>450000</v>
      </c>
      <c r="AO983" s="202">
        <v>450000</v>
      </c>
      <c r="AP983" s="202">
        <v>450000</v>
      </c>
      <c r="AQ983" s="198" t="s">
        <v>358</v>
      </c>
      <c r="AR983" s="198" t="s">
        <v>51</v>
      </c>
      <c r="AS983" s="202">
        <v>450000</v>
      </c>
      <c r="AT983" s="202">
        <v>450000</v>
      </c>
      <c r="AU983" s="198" t="s">
        <v>359</v>
      </c>
      <c r="AV983" s="198" t="s">
        <v>62</v>
      </c>
      <c r="AW983" s="198" t="s">
        <v>54</v>
      </c>
    </row>
    <row r="984" spans="3:49" outlineLevel="2" x14ac:dyDescent="0.25">
      <c r="C984" s="201"/>
      <c r="D984" s="198" t="s">
        <v>201</v>
      </c>
      <c r="H984" s="198" t="s">
        <v>201</v>
      </c>
      <c r="I984" s="202">
        <f t="shared" si="15"/>
        <v>410065754.84999961</v>
      </c>
      <c r="J984" s="202">
        <v>99.299999999999898</v>
      </c>
      <c r="L984" s="204">
        <v>48</v>
      </c>
      <c r="M984" s="202">
        <v>2400000</v>
      </c>
      <c r="N984" s="204">
        <v>48</v>
      </c>
      <c r="O984" s="198" t="s">
        <v>51</v>
      </c>
      <c r="P984" s="202">
        <v>2400000</v>
      </c>
      <c r="Q984" s="198" t="s">
        <v>73</v>
      </c>
      <c r="R984" s="198" t="s">
        <v>53</v>
      </c>
      <c r="S984" s="198" t="s">
        <v>54</v>
      </c>
      <c r="T984" s="198" t="s">
        <v>576</v>
      </c>
      <c r="U984" s="198" t="s">
        <v>1737</v>
      </c>
      <c r="V984" s="198" t="s">
        <v>56</v>
      </c>
      <c r="W984" s="198" t="s">
        <v>356</v>
      </c>
      <c r="X984" s="198" t="s">
        <v>57</v>
      </c>
      <c r="Y984" s="198" t="s">
        <v>58</v>
      </c>
      <c r="Z984" s="201">
        <v>46188</v>
      </c>
      <c r="AA984" s="198" t="s">
        <v>59</v>
      </c>
      <c r="AB984" s="198" t="s">
        <v>60</v>
      </c>
      <c r="AC984" s="198" t="s">
        <v>86</v>
      </c>
      <c r="AD984" s="198" t="s">
        <v>62</v>
      </c>
      <c r="AE984" s="198" t="s">
        <v>569</v>
      </c>
      <c r="AF984" s="198" t="s">
        <v>567</v>
      </c>
      <c r="AG984" s="198" t="s">
        <v>189</v>
      </c>
      <c r="AH984" s="198" t="s">
        <v>167</v>
      </c>
      <c r="AI984" s="198" t="s">
        <v>56</v>
      </c>
      <c r="AJ984" s="198" t="s">
        <v>71</v>
      </c>
      <c r="AK984" s="198" t="s">
        <v>51</v>
      </c>
      <c r="AL984" s="198" t="s">
        <v>67</v>
      </c>
      <c r="AM984" s="198" t="s">
        <v>68</v>
      </c>
      <c r="AN984" s="202">
        <v>2400000</v>
      </c>
      <c r="AO984" s="202">
        <v>2400000</v>
      </c>
      <c r="AP984" s="202">
        <v>2400000</v>
      </c>
      <c r="AQ984" s="198" t="s">
        <v>358</v>
      </c>
      <c r="AR984" s="198" t="s">
        <v>51</v>
      </c>
      <c r="AS984" s="202">
        <v>2400000</v>
      </c>
      <c r="AT984" s="202">
        <v>2400000</v>
      </c>
      <c r="AU984" s="198" t="s">
        <v>359</v>
      </c>
      <c r="AV984" s="198" t="s">
        <v>62</v>
      </c>
      <c r="AW984" s="198" t="s">
        <v>54</v>
      </c>
    </row>
    <row r="985" spans="3:49" outlineLevel="2" x14ac:dyDescent="0.25">
      <c r="C985" s="201"/>
      <c r="D985" s="198" t="s">
        <v>173</v>
      </c>
      <c r="H985" s="198" t="s">
        <v>173</v>
      </c>
      <c r="I985" s="202">
        <f t="shared" si="15"/>
        <v>410478711.29999959</v>
      </c>
      <c r="J985" s="202">
        <v>99.399999999999906</v>
      </c>
      <c r="L985" s="204">
        <v>8</v>
      </c>
      <c r="M985" s="202">
        <v>400000</v>
      </c>
      <c r="N985" s="204">
        <v>8</v>
      </c>
      <c r="O985" s="198" t="s">
        <v>51</v>
      </c>
      <c r="P985" s="202">
        <v>400000</v>
      </c>
      <c r="Q985" s="198" t="s">
        <v>73</v>
      </c>
      <c r="R985" s="198" t="s">
        <v>53</v>
      </c>
      <c r="S985" s="198" t="s">
        <v>54</v>
      </c>
      <c r="T985" s="198" t="s">
        <v>576</v>
      </c>
      <c r="U985" s="198" t="s">
        <v>1737</v>
      </c>
      <c r="V985" s="198" t="s">
        <v>56</v>
      </c>
      <c r="W985" s="198" t="s">
        <v>356</v>
      </c>
      <c r="X985" s="198" t="s">
        <v>57</v>
      </c>
      <c r="Y985" s="198" t="s">
        <v>58</v>
      </c>
      <c r="Z985" s="201">
        <v>46188</v>
      </c>
      <c r="AA985" s="198" t="s">
        <v>59</v>
      </c>
      <c r="AB985" s="198" t="s">
        <v>60</v>
      </c>
      <c r="AC985" s="198" t="s">
        <v>86</v>
      </c>
      <c r="AD985" s="198" t="s">
        <v>62</v>
      </c>
      <c r="AE985" s="198" t="s">
        <v>569</v>
      </c>
      <c r="AF985" s="198" t="s">
        <v>567</v>
      </c>
      <c r="AG985" s="198" t="s">
        <v>189</v>
      </c>
      <c r="AH985" s="198" t="s">
        <v>167</v>
      </c>
      <c r="AI985" s="198" t="s">
        <v>56</v>
      </c>
      <c r="AJ985" s="198" t="s">
        <v>71</v>
      </c>
      <c r="AK985" s="198" t="s">
        <v>51</v>
      </c>
      <c r="AL985" s="198" t="s">
        <v>67</v>
      </c>
      <c r="AM985" s="198" t="s">
        <v>68</v>
      </c>
      <c r="AN985" s="202">
        <v>400000</v>
      </c>
      <c r="AO985" s="202">
        <v>400000</v>
      </c>
      <c r="AP985" s="202">
        <v>400000</v>
      </c>
      <c r="AQ985" s="198" t="s">
        <v>358</v>
      </c>
      <c r="AR985" s="198" t="s">
        <v>51</v>
      </c>
      <c r="AS985" s="202">
        <v>400000</v>
      </c>
      <c r="AT985" s="202">
        <v>400000</v>
      </c>
      <c r="AU985" s="198" t="s">
        <v>359</v>
      </c>
      <c r="AV985" s="198" t="s">
        <v>62</v>
      </c>
      <c r="AW985" s="198" t="s">
        <v>54</v>
      </c>
    </row>
    <row r="986" spans="3:49" outlineLevel="2" x14ac:dyDescent="0.25">
      <c r="C986" s="201"/>
      <c r="D986" s="198" t="s">
        <v>206</v>
      </c>
      <c r="H986" s="198" t="s">
        <v>206</v>
      </c>
      <c r="I986" s="202">
        <f t="shared" si="15"/>
        <v>410891667.74999958</v>
      </c>
      <c r="J986" s="202">
        <v>99.499999999999901</v>
      </c>
      <c r="L986" s="204">
        <v>30</v>
      </c>
      <c r="M986" s="202">
        <v>1500000</v>
      </c>
      <c r="N986" s="204">
        <v>30</v>
      </c>
      <c r="O986" s="198" t="s">
        <v>51</v>
      </c>
      <c r="P986" s="202">
        <v>1500000</v>
      </c>
      <c r="Q986" s="198" t="s">
        <v>73</v>
      </c>
      <c r="R986" s="198" t="s">
        <v>53</v>
      </c>
      <c r="S986" s="198" t="s">
        <v>54</v>
      </c>
      <c r="T986" s="198" t="s">
        <v>576</v>
      </c>
      <c r="U986" s="198" t="s">
        <v>1737</v>
      </c>
      <c r="V986" s="198" t="s">
        <v>56</v>
      </c>
      <c r="W986" s="198" t="s">
        <v>356</v>
      </c>
      <c r="X986" s="198" t="s">
        <v>57</v>
      </c>
      <c r="Y986" s="198" t="s">
        <v>58</v>
      </c>
      <c r="Z986" s="201">
        <v>46188</v>
      </c>
      <c r="AA986" s="198" t="s">
        <v>59</v>
      </c>
      <c r="AB986" s="198" t="s">
        <v>60</v>
      </c>
      <c r="AC986" s="198" t="s">
        <v>86</v>
      </c>
      <c r="AD986" s="198" t="s">
        <v>62</v>
      </c>
      <c r="AE986" s="198" t="s">
        <v>569</v>
      </c>
      <c r="AF986" s="198" t="s">
        <v>567</v>
      </c>
      <c r="AG986" s="198" t="s">
        <v>189</v>
      </c>
      <c r="AH986" s="198" t="s">
        <v>169</v>
      </c>
      <c r="AI986" s="198" t="s">
        <v>56</v>
      </c>
      <c r="AJ986" s="198" t="s">
        <v>71</v>
      </c>
      <c r="AK986" s="198" t="s">
        <v>51</v>
      </c>
      <c r="AL986" s="198" t="s">
        <v>67</v>
      </c>
      <c r="AM986" s="198" t="s">
        <v>68</v>
      </c>
      <c r="AN986" s="202">
        <v>1500000</v>
      </c>
      <c r="AO986" s="202">
        <v>1500000</v>
      </c>
      <c r="AP986" s="202">
        <v>1500000</v>
      </c>
      <c r="AQ986" s="198" t="s">
        <v>358</v>
      </c>
      <c r="AR986" s="198" t="s">
        <v>51</v>
      </c>
      <c r="AS986" s="202">
        <v>1500000</v>
      </c>
      <c r="AT986" s="202">
        <v>1500000</v>
      </c>
      <c r="AU986" s="198" t="s">
        <v>359</v>
      </c>
      <c r="AV986" s="198" t="s">
        <v>62</v>
      </c>
      <c r="AW986" s="198" t="s">
        <v>54</v>
      </c>
    </row>
    <row r="987" spans="3:49" outlineLevel="2" x14ac:dyDescent="0.25">
      <c r="C987" s="201"/>
      <c r="D987" s="198" t="s">
        <v>207</v>
      </c>
      <c r="H987" s="198" t="s">
        <v>207</v>
      </c>
      <c r="I987" s="202">
        <f t="shared" si="15"/>
        <v>411304624.19999957</v>
      </c>
      <c r="J987" s="202">
        <v>99.599999999999895</v>
      </c>
      <c r="L987" s="204">
        <v>5</v>
      </c>
      <c r="M987" s="202">
        <v>250000</v>
      </c>
      <c r="N987" s="204">
        <v>5</v>
      </c>
      <c r="O987" s="198" t="s">
        <v>51</v>
      </c>
      <c r="P987" s="202">
        <v>250000</v>
      </c>
      <c r="Q987" s="198" t="s">
        <v>73</v>
      </c>
      <c r="R987" s="198" t="s">
        <v>53</v>
      </c>
      <c r="S987" s="198" t="s">
        <v>54</v>
      </c>
      <c r="T987" s="198" t="s">
        <v>576</v>
      </c>
      <c r="U987" s="198" t="s">
        <v>1737</v>
      </c>
      <c r="V987" s="198" t="s">
        <v>56</v>
      </c>
      <c r="W987" s="198" t="s">
        <v>356</v>
      </c>
      <c r="X987" s="198" t="s">
        <v>57</v>
      </c>
      <c r="Y987" s="198" t="s">
        <v>58</v>
      </c>
      <c r="Z987" s="201">
        <v>46188</v>
      </c>
      <c r="AA987" s="198" t="s">
        <v>59</v>
      </c>
      <c r="AB987" s="198" t="s">
        <v>60</v>
      </c>
      <c r="AC987" s="198" t="s">
        <v>86</v>
      </c>
      <c r="AD987" s="198" t="s">
        <v>62</v>
      </c>
      <c r="AE987" s="198" t="s">
        <v>569</v>
      </c>
      <c r="AF987" s="198" t="s">
        <v>567</v>
      </c>
      <c r="AG987" s="198" t="s">
        <v>189</v>
      </c>
      <c r="AH987" s="198" t="s">
        <v>169</v>
      </c>
      <c r="AI987" s="198" t="s">
        <v>56</v>
      </c>
      <c r="AJ987" s="198" t="s">
        <v>71</v>
      </c>
      <c r="AK987" s="198" t="s">
        <v>51</v>
      </c>
      <c r="AL987" s="198" t="s">
        <v>67</v>
      </c>
      <c r="AM987" s="198" t="s">
        <v>68</v>
      </c>
      <c r="AN987" s="202">
        <v>250000</v>
      </c>
      <c r="AO987" s="202">
        <v>250000</v>
      </c>
      <c r="AP987" s="202">
        <v>250000</v>
      </c>
      <c r="AQ987" s="198" t="s">
        <v>358</v>
      </c>
      <c r="AR987" s="198" t="s">
        <v>51</v>
      </c>
      <c r="AS987" s="202">
        <v>250000</v>
      </c>
      <c r="AT987" s="202">
        <v>250000</v>
      </c>
      <c r="AU987" s="198" t="s">
        <v>359</v>
      </c>
      <c r="AV987" s="198" t="s">
        <v>62</v>
      </c>
      <c r="AW987" s="198" t="s">
        <v>54</v>
      </c>
    </row>
    <row r="988" spans="3:49" outlineLevel="2" x14ac:dyDescent="0.25">
      <c r="C988" s="201"/>
      <c r="D988" s="198" t="s">
        <v>216</v>
      </c>
      <c r="H988" s="198" t="s">
        <v>216</v>
      </c>
      <c r="I988" s="202">
        <f t="shared" si="15"/>
        <v>411717580.64999962</v>
      </c>
      <c r="J988" s="202">
        <v>99.699999999999903</v>
      </c>
      <c r="L988" s="204">
        <v>54</v>
      </c>
      <c r="M988" s="202">
        <v>2700000</v>
      </c>
      <c r="N988" s="204">
        <v>54</v>
      </c>
      <c r="O988" s="198" t="s">
        <v>51</v>
      </c>
      <c r="P988" s="202">
        <v>2700000</v>
      </c>
      <c r="Q988" s="198" t="s">
        <v>73</v>
      </c>
      <c r="R988" s="198" t="s">
        <v>53</v>
      </c>
      <c r="S988" s="198" t="s">
        <v>54</v>
      </c>
      <c r="T988" s="198" t="s">
        <v>576</v>
      </c>
      <c r="U988" s="198" t="s">
        <v>1737</v>
      </c>
      <c r="V988" s="198" t="s">
        <v>56</v>
      </c>
      <c r="W988" s="198" t="s">
        <v>356</v>
      </c>
      <c r="X988" s="198" t="s">
        <v>57</v>
      </c>
      <c r="Y988" s="198" t="s">
        <v>58</v>
      </c>
      <c r="Z988" s="201">
        <v>46188</v>
      </c>
      <c r="AA988" s="198" t="s">
        <v>59</v>
      </c>
      <c r="AB988" s="198" t="s">
        <v>60</v>
      </c>
      <c r="AC988" s="198" t="s">
        <v>86</v>
      </c>
      <c r="AD988" s="198" t="s">
        <v>62</v>
      </c>
      <c r="AE988" s="198" t="s">
        <v>569</v>
      </c>
      <c r="AF988" s="198" t="s">
        <v>567</v>
      </c>
      <c r="AG988" s="198" t="s">
        <v>189</v>
      </c>
      <c r="AH988" s="198" t="s">
        <v>89</v>
      </c>
      <c r="AI988" s="198" t="s">
        <v>56</v>
      </c>
      <c r="AJ988" s="198" t="s">
        <v>71</v>
      </c>
      <c r="AK988" s="198" t="s">
        <v>51</v>
      </c>
      <c r="AL988" s="198" t="s">
        <v>67</v>
      </c>
      <c r="AM988" s="198" t="s">
        <v>68</v>
      </c>
      <c r="AN988" s="202">
        <v>2700000</v>
      </c>
      <c r="AO988" s="202">
        <v>2700000</v>
      </c>
      <c r="AP988" s="202">
        <v>2700000</v>
      </c>
      <c r="AQ988" s="198" t="s">
        <v>358</v>
      </c>
      <c r="AR988" s="198" t="s">
        <v>51</v>
      </c>
      <c r="AS988" s="202">
        <v>2700000</v>
      </c>
      <c r="AT988" s="202">
        <v>2700000</v>
      </c>
      <c r="AU988" s="198" t="s">
        <v>359</v>
      </c>
      <c r="AV988" s="198" t="s">
        <v>62</v>
      </c>
      <c r="AW988" s="198" t="s">
        <v>54</v>
      </c>
    </row>
    <row r="989" spans="3:49" outlineLevel="2" x14ac:dyDescent="0.25">
      <c r="C989" s="201"/>
      <c r="D989" s="198" t="s">
        <v>217</v>
      </c>
      <c r="H989" s="198" t="s">
        <v>217</v>
      </c>
      <c r="I989" s="202">
        <f t="shared" si="15"/>
        <v>412130537.09999961</v>
      </c>
      <c r="J989" s="202">
        <v>99.799999999999898</v>
      </c>
      <c r="L989" s="204">
        <v>9</v>
      </c>
      <c r="M989" s="202">
        <v>450000</v>
      </c>
      <c r="N989" s="204">
        <v>9</v>
      </c>
      <c r="O989" s="198" t="s">
        <v>51</v>
      </c>
      <c r="P989" s="202">
        <v>450000</v>
      </c>
      <c r="Q989" s="198" t="s">
        <v>73</v>
      </c>
      <c r="R989" s="198" t="s">
        <v>53</v>
      </c>
      <c r="S989" s="198" t="s">
        <v>54</v>
      </c>
      <c r="T989" s="198" t="s">
        <v>576</v>
      </c>
      <c r="U989" s="198" t="s">
        <v>1737</v>
      </c>
      <c r="V989" s="198" t="s">
        <v>56</v>
      </c>
      <c r="W989" s="198" t="s">
        <v>356</v>
      </c>
      <c r="X989" s="198" t="s">
        <v>57</v>
      </c>
      <c r="Y989" s="198" t="s">
        <v>58</v>
      </c>
      <c r="Z989" s="201">
        <v>46188</v>
      </c>
      <c r="AA989" s="198" t="s">
        <v>59</v>
      </c>
      <c r="AB989" s="198" t="s">
        <v>60</v>
      </c>
      <c r="AC989" s="198" t="s">
        <v>86</v>
      </c>
      <c r="AD989" s="198" t="s">
        <v>62</v>
      </c>
      <c r="AE989" s="198" t="s">
        <v>569</v>
      </c>
      <c r="AF989" s="198" t="s">
        <v>567</v>
      </c>
      <c r="AG989" s="198" t="s">
        <v>189</v>
      </c>
      <c r="AH989" s="198" t="s">
        <v>89</v>
      </c>
      <c r="AI989" s="198" t="s">
        <v>56</v>
      </c>
      <c r="AJ989" s="198" t="s">
        <v>71</v>
      </c>
      <c r="AK989" s="198" t="s">
        <v>51</v>
      </c>
      <c r="AL989" s="198" t="s">
        <v>67</v>
      </c>
      <c r="AM989" s="198" t="s">
        <v>68</v>
      </c>
      <c r="AN989" s="202">
        <v>450000</v>
      </c>
      <c r="AO989" s="202">
        <v>450000</v>
      </c>
      <c r="AP989" s="202">
        <v>450000</v>
      </c>
      <c r="AQ989" s="198" t="s">
        <v>358</v>
      </c>
      <c r="AR989" s="198" t="s">
        <v>51</v>
      </c>
      <c r="AS989" s="202">
        <v>450000</v>
      </c>
      <c r="AT989" s="202">
        <v>450000</v>
      </c>
      <c r="AU989" s="198" t="s">
        <v>359</v>
      </c>
      <c r="AV989" s="198" t="s">
        <v>62</v>
      </c>
      <c r="AW989" s="198" t="s">
        <v>54</v>
      </c>
    </row>
    <row r="990" spans="3:49" outlineLevel="2" x14ac:dyDescent="0.25">
      <c r="C990" s="201"/>
      <c r="D990" s="198" t="s">
        <v>222</v>
      </c>
      <c r="H990" s="198" t="s">
        <v>222</v>
      </c>
      <c r="I990" s="202">
        <f t="shared" si="15"/>
        <v>412543493.54999959</v>
      </c>
      <c r="J990" s="202">
        <v>99.899999999999906</v>
      </c>
      <c r="L990" s="204">
        <v>56</v>
      </c>
      <c r="M990" s="202">
        <v>2800000</v>
      </c>
      <c r="N990" s="204">
        <v>56</v>
      </c>
      <c r="O990" s="198" t="s">
        <v>51</v>
      </c>
      <c r="P990" s="202">
        <v>2800000</v>
      </c>
      <c r="Q990" s="198" t="s">
        <v>73</v>
      </c>
      <c r="R990" s="198" t="s">
        <v>53</v>
      </c>
      <c r="S990" s="198" t="s">
        <v>54</v>
      </c>
      <c r="T990" s="198" t="s">
        <v>576</v>
      </c>
      <c r="U990" s="198" t="s">
        <v>1737</v>
      </c>
      <c r="V990" s="198" t="s">
        <v>56</v>
      </c>
      <c r="W990" s="198" t="s">
        <v>356</v>
      </c>
      <c r="X990" s="198" t="s">
        <v>57</v>
      </c>
      <c r="Y990" s="198" t="s">
        <v>58</v>
      </c>
      <c r="Z990" s="201">
        <v>46188</v>
      </c>
      <c r="AA990" s="198" t="s">
        <v>59</v>
      </c>
      <c r="AB990" s="198" t="s">
        <v>60</v>
      </c>
      <c r="AC990" s="198" t="s">
        <v>86</v>
      </c>
      <c r="AD990" s="198" t="s">
        <v>62</v>
      </c>
      <c r="AE990" s="198" t="s">
        <v>569</v>
      </c>
      <c r="AF990" s="198" t="s">
        <v>567</v>
      </c>
      <c r="AG990" s="198" t="s">
        <v>189</v>
      </c>
      <c r="AH990" s="198" t="s">
        <v>112</v>
      </c>
      <c r="AI990" s="198" t="s">
        <v>56</v>
      </c>
      <c r="AJ990" s="198" t="s">
        <v>71</v>
      </c>
      <c r="AK990" s="198" t="s">
        <v>51</v>
      </c>
      <c r="AL990" s="198" t="s">
        <v>67</v>
      </c>
      <c r="AM990" s="198" t="s">
        <v>68</v>
      </c>
      <c r="AN990" s="202">
        <v>2800000</v>
      </c>
      <c r="AO990" s="202">
        <v>2800000</v>
      </c>
      <c r="AP990" s="202">
        <v>2800000</v>
      </c>
      <c r="AQ990" s="198" t="s">
        <v>358</v>
      </c>
      <c r="AR990" s="198" t="s">
        <v>51</v>
      </c>
      <c r="AS990" s="202">
        <v>2800000</v>
      </c>
      <c r="AT990" s="202">
        <v>2800000</v>
      </c>
      <c r="AU990" s="198" t="s">
        <v>359</v>
      </c>
      <c r="AV990" s="198" t="s">
        <v>62</v>
      </c>
      <c r="AW990" s="198" t="s">
        <v>54</v>
      </c>
    </row>
    <row r="991" spans="3:49" outlineLevel="2" x14ac:dyDescent="0.25">
      <c r="C991" s="201"/>
      <c r="D991" s="198" t="s">
        <v>223</v>
      </c>
      <c r="H991" s="198" t="s">
        <v>223</v>
      </c>
      <c r="I991" s="202">
        <f t="shared" si="15"/>
        <v>412956449.99999958</v>
      </c>
      <c r="J991" s="202">
        <v>99.999999999999901</v>
      </c>
      <c r="L991" s="204">
        <v>10</v>
      </c>
      <c r="M991" s="202">
        <v>500000</v>
      </c>
      <c r="N991" s="204">
        <v>10</v>
      </c>
      <c r="O991" s="198" t="s">
        <v>51</v>
      </c>
      <c r="P991" s="202">
        <v>500000</v>
      </c>
      <c r="Q991" s="198" t="s">
        <v>73</v>
      </c>
      <c r="R991" s="198" t="s">
        <v>53</v>
      </c>
      <c r="S991" s="198" t="s">
        <v>54</v>
      </c>
      <c r="T991" s="198" t="s">
        <v>576</v>
      </c>
      <c r="U991" s="198" t="s">
        <v>1737</v>
      </c>
      <c r="V991" s="198" t="s">
        <v>56</v>
      </c>
      <c r="W991" s="198" t="s">
        <v>356</v>
      </c>
      <c r="X991" s="198" t="s">
        <v>57</v>
      </c>
      <c r="Y991" s="198" t="s">
        <v>58</v>
      </c>
      <c r="Z991" s="201">
        <v>46188</v>
      </c>
      <c r="AA991" s="198" t="s">
        <v>59</v>
      </c>
      <c r="AB991" s="198" t="s">
        <v>60</v>
      </c>
      <c r="AC991" s="198" t="s">
        <v>86</v>
      </c>
      <c r="AD991" s="198" t="s">
        <v>62</v>
      </c>
      <c r="AE991" s="198" t="s">
        <v>569</v>
      </c>
      <c r="AF991" s="198" t="s">
        <v>567</v>
      </c>
      <c r="AG991" s="198" t="s">
        <v>189</v>
      </c>
      <c r="AH991" s="198" t="s">
        <v>112</v>
      </c>
      <c r="AI991" s="198" t="s">
        <v>56</v>
      </c>
      <c r="AJ991" s="198" t="s">
        <v>71</v>
      </c>
      <c r="AK991" s="198" t="s">
        <v>51</v>
      </c>
      <c r="AL991" s="198" t="s">
        <v>67</v>
      </c>
      <c r="AM991" s="198" t="s">
        <v>68</v>
      </c>
      <c r="AN991" s="202">
        <v>500000</v>
      </c>
      <c r="AO991" s="202">
        <v>500000</v>
      </c>
      <c r="AP991" s="202">
        <v>500000</v>
      </c>
      <c r="AQ991" s="198" t="s">
        <v>358</v>
      </c>
      <c r="AR991" s="198" t="s">
        <v>51</v>
      </c>
      <c r="AS991" s="202">
        <v>500000</v>
      </c>
      <c r="AT991" s="202">
        <v>500000</v>
      </c>
      <c r="AU991" s="198" t="s">
        <v>359</v>
      </c>
      <c r="AV991" s="198" t="s">
        <v>62</v>
      </c>
      <c r="AW991" s="198" t="s">
        <v>54</v>
      </c>
    </row>
    <row r="992" spans="3:49" outlineLevel="2" x14ac:dyDescent="0.25">
      <c r="C992" s="201"/>
      <c r="D992" s="198" t="s">
        <v>111</v>
      </c>
      <c r="H992" s="198" t="s">
        <v>111</v>
      </c>
      <c r="I992" s="202">
        <f t="shared" si="15"/>
        <v>413369406.44999999</v>
      </c>
      <c r="J992" s="202">
        <v>100.1</v>
      </c>
      <c r="L992" s="204">
        <v>16</v>
      </c>
      <c r="M992" s="202">
        <v>16</v>
      </c>
      <c r="N992" s="204">
        <v>16</v>
      </c>
      <c r="O992" s="198" t="s">
        <v>51</v>
      </c>
      <c r="P992" s="202">
        <v>16</v>
      </c>
      <c r="Q992" s="198" t="s">
        <v>52</v>
      </c>
      <c r="R992" s="198" t="s">
        <v>53</v>
      </c>
      <c r="S992" s="198" t="s">
        <v>54</v>
      </c>
      <c r="T992" s="198" t="s">
        <v>667</v>
      </c>
      <c r="U992" s="198" t="s">
        <v>2080</v>
      </c>
      <c r="V992" s="198" t="s">
        <v>56</v>
      </c>
      <c r="W992" s="198" t="s">
        <v>356</v>
      </c>
      <c r="X992" s="198" t="s">
        <v>57</v>
      </c>
      <c r="Y992" s="198" t="s">
        <v>58</v>
      </c>
      <c r="Z992" s="201">
        <v>46233</v>
      </c>
      <c r="AA992" s="198" t="s">
        <v>59</v>
      </c>
      <c r="AB992" s="198" t="s">
        <v>60</v>
      </c>
      <c r="AC992" s="198" t="s">
        <v>86</v>
      </c>
      <c r="AD992" s="198" t="s">
        <v>62</v>
      </c>
      <c r="AE992" s="198" t="s">
        <v>1775</v>
      </c>
      <c r="AF992" s="198" t="s">
        <v>1774</v>
      </c>
      <c r="AG992" s="198" t="s">
        <v>248</v>
      </c>
      <c r="AH992" s="198" t="s">
        <v>112</v>
      </c>
      <c r="AI992" s="198" t="s">
        <v>56</v>
      </c>
      <c r="AJ992" s="198" t="s">
        <v>74</v>
      </c>
      <c r="AK992" s="198" t="s">
        <v>51</v>
      </c>
      <c r="AL992" s="198" t="s">
        <v>67</v>
      </c>
      <c r="AM992" s="198" t="s">
        <v>68</v>
      </c>
      <c r="AN992" s="202">
        <v>16</v>
      </c>
      <c r="AO992" s="202">
        <v>16</v>
      </c>
      <c r="AP992" s="202">
        <v>16</v>
      </c>
      <c r="AQ992" s="198" t="s">
        <v>358</v>
      </c>
      <c r="AR992" s="198" t="s">
        <v>51</v>
      </c>
      <c r="AS992" s="202">
        <v>16</v>
      </c>
      <c r="AT992" s="202">
        <v>16</v>
      </c>
      <c r="AU992" s="198" t="s">
        <v>359</v>
      </c>
      <c r="AV992" s="198" t="s">
        <v>62</v>
      </c>
      <c r="AW992" s="198" t="s">
        <v>54</v>
      </c>
    </row>
    <row r="993" spans="3:49" outlineLevel="2" x14ac:dyDescent="0.25">
      <c r="C993" s="201"/>
      <c r="D993" s="198" t="s">
        <v>668</v>
      </c>
      <c r="H993" s="198" t="s">
        <v>668</v>
      </c>
      <c r="I993" s="202">
        <f t="shared" si="15"/>
        <v>413782362.90000004</v>
      </c>
      <c r="J993" s="202">
        <v>100.2</v>
      </c>
      <c r="L993" s="204">
        <v>1</v>
      </c>
      <c r="M993" s="202">
        <v>101372</v>
      </c>
      <c r="N993" s="204">
        <v>1</v>
      </c>
      <c r="O993" s="198" t="s">
        <v>51</v>
      </c>
      <c r="P993" s="202">
        <v>101372</v>
      </c>
      <c r="Q993" s="198" t="s">
        <v>52</v>
      </c>
      <c r="R993" s="198" t="s">
        <v>53</v>
      </c>
      <c r="S993" s="198" t="s">
        <v>54</v>
      </c>
      <c r="T993" s="198" t="s">
        <v>667</v>
      </c>
      <c r="U993" s="198" t="s">
        <v>367</v>
      </c>
      <c r="V993" s="198" t="s">
        <v>56</v>
      </c>
      <c r="W993" s="198" t="s">
        <v>356</v>
      </c>
      <c r="X993" s="198" t="s">
        <v>57</v>
      </c>
      <c r="Y993" s="198" t="s">
        <v>58</v>
      </c>
      <c r="Z993" s="201">
        <v>46233</v>
      </c>
      <c r="AA993" s="198" t="s">
        <v>59</v>
      </c>
      <c r="AB993" s="198" t="s">
        <v>60</v>
      </c>
      <c r="AC993" s="198" t="s">
        <v>86</v>
      </c>
      <c r="AD993" s="198" t="s">
        <v>62</v>
      </c>
      <c r="AE993" s="198" t="s">
        <v>1775</v>
      </c>
      <c r="AF993" s="198" t="s">
        <v>1774</v>
      </c>
      <c r="AG993" s="198" t="s">
        <v>248</v>
      </c>
      <c r="AH993" s="198" t="s">
        <v>112</v>
      </c>
      <c r="AI993" s="198" t="s">
        <v>56</v>
      </c>
      <c r="AJ993" s="198" t="s">
        <v>74</v>
      </c>
      <c r="AK993" s="198" t="s">
        <v>51</v>
      </c>
      <c r="AL993" s="198" t="s">
        <v>67</v>
      </c>
      <c r="AM993" s="198" t="s">
        <v>68</v>
      </c>
      <c r="AN993" s="202">
        <v>101372</v>
      </c>
      <c r="AO993" s="202">
        <v>101372</v>
      </c>
      <c r="AP993" s="202">
        <v>101372</v>
      </c>
      <c r="AQ993" s="198" t="s">
        <v>358</v>
      </c>
      <c r="AR993" s="198" t="s">
        <v>51</v>
      </c>
      <c r="AS993" s="202">
        <v>101372</v>
      </c>
      <c r="AT993" s="202">
        <v>101372</v>
      </c>
      <c r="AU993" s="198" t="s">
        <v>359</v>
      </c>
      <c r="AV993" s="198" t="s">
        <v>62</v>
      </c>
      <c r="AW993" s="198" t="s">
        <v>54</v>
      </c>
    </row>
    <row r="994" spans="3:49" outlineLevel="2" x14ac:dyDescent="0.25">
      <c r="C994" s="201"/>
      <c r="D994" s="198" t="s">
        <v>668</v>
      </c>
      <c r="H994" s="198" t="s">
        <v>668</v>
      </c>
      <c r="I994" s="202">
        <f t="shared" si="15"/>
        <v>414195319.34999996</v>
      </c>
      <c r="J994" s="202">
        <v>100.3</v>
      </c>
      <c r="L994" s="203">
        <v>19.18</v>
      </c>
      <c r="M994" s="202">
        <v>1976134.58</v>
      </c>
      <c r="N994" s="203">
        <v>19.18</v>
      </c>
      <c r="O994" s="198" t="s">
        <v>51</v>
      </c>
      <c r="P994" s="202">
        <v>1976134.58</v>
      </c>
      <c r="Q994" s="198" t="s">
        <v>52</v>
      </c>
      <c r="R994" s="198" t="s">
        <v>53</v>
      </c>
      <c r="S994" s="198" t="s">
        <v>54</v>
      </c>
      <c r="T994" s="198" t="s">
        <v>667</v>
      </c>
      <c r="U994" s="198" t="s">
        <v>367</v>
      </c>
      <c r="V994" s="198" t="s">
        <v>56</v>
      </c>
      <c r="W994" s="198" t="s">
        <v>356</v>
      </c>
      <c r="X994" s="198" t="s">
        <v>57</v>
      </c>
      <c r="Y994" s="198" t="s">
        <v>58</v>
      </c>
      <c r="Z994" s="201">
        <v>46233</v>
      </c>
      <c r="AA994" s="198" t="s">
        <v>59</v>
      </c>
      <c r="AB994" s="198" t="s">
        <v>60</v>
      </c>
      <c r="AC994" s="198" t="s">
        <v>86</v>
      </c>
      <c r="AD994" s="198" t="s">
        <v>62</v>
      </c>
      <c r="AE994" s="198" t="s">
        <v>102</v>
      </c>
      <c r="AF994" s="198" t="s">
        <v>101</v>
      </c>
      <c r="AG994" s="198" t="s">
        <v>248</v>
      </c>
      <c r="AH994" s="198" t="s">
        <v>112</v>
      </c>
      <c r="AI994" s="198" t="s">
        <v>56</v>
      </c>
      <c r="AJ994" s="198" t="s">
        <v>66</v>
      </c>
      <c r="AK994" s="198" t="s">
        <v>51</v>
      </c>
      <c r="AL994" s="198" t="s">
        <v>67</v>
      </c>
      <c r="AM994" s="198" t="s">
        <v>68</v>
      </c>
      <c r="AN994" s="202">
        <v>1976134.58</v>
      </c>
      <c r="AO994" s="202">
        <v>1976134.58</v>
      </c>
      <c r="AP994" s="202">
        <v>1976134.58</v>
      </c>
      <c r="AQ994" s="198" t="s">
        <v>358</v>
      </c>
      <c r="AR994" s="198" t="s">
        <v>51</v>
      </c>
      <c r="AS994" s="202">
        <v>1976134.58</v>
      </c>
      <c r="AT994" s="202">
        <v>1976134.58</v>
      </c>
      <c r="AU994" s="198" t="s">
        <v>359</v>
      </c>
      <c r="AV994" s="198" t="s">
        <v>62</v>
      </c>
      <c r="AW994" s="198" t="s">
        <v>54</v>
      </c>
    </row>
    <row r="995" spans="3:49" outlineLevel="2" x14ac:dyDescent="0.25">
      <c r="C995" s="201"/>
      <c r="D995" s="198" t="s">
        <v>668</v>
      </c>
      <c r="H995" s="198" t="s">
        <v>668</v>
      </c>
      <c r="I995" s="202">
        <f t="shared" si="15"/>
        <v>414608275.80000001</v>
      </c>
      <c r="J995" s="202">
        <v>100.4</v>
      </c>
      <c r="L995" s="203">
        <v>0.5</v>
      </c>
      <c r="M995" s="202">
        <v>82680</v>
      </c>
      <c r="N995" s="203">
        <v>0.14499999999999999</v>
      </c>
      <c r="O995" s="198" t="s">
        <v>51</v>
      </c>
      <c r="P995" s="202">
        <v>23977.200000000001</v>
      </c>
      <c r="Q995" s="198" t="s">
        <v>52</v>
      </c>
      <c r="R995" s="198" t="s">
        <v>53</v>
      </c>
      <c r="S995" s="198" t="s">
        <v>54</v>
      </c>
      <c r="T995" s="198" t="s">
        <v>667</v>
      </c>
      <c r="U995" s="198" t="s">
        <v>367</v>
      </c>
      <c r="V995" s="198" t="s">
        <v>56</v>
      </c>
      <c r="W995" s="198" t="s">
        <v>356</v>
      </c>
      <c r="X995" s="198" t="s">
        <v>57</v>
      </c>
      <c r="Y995" s="198" t="s">
        <v>58</v>
      </c>
      <c r="Z995" s="201">
        <v>46233</v>
      </c>
      <c r="AA995" s="198" t="s">
        <v>59</v>
      </c>
      <c r="AB995" s="198" t="s">
        <v>60</v>
      </c>
      <c r="AC995" s="198" t="s">
        <v>86</v>
      </c>
      <c r="AD995" s="198" t="s">
        <v>62</v>
      </c>
      <c r="AE995" s="198" t="s">
        <v>1771</v>
      </c>
      <c r="AF995" s="198" t="s">
        <v>1770</v>
      </c>
      <c r="AG995" s="198" t="s">
        <v>248</v>
      </c>
      <c r="AH995" s="198" t="s">
        <v>112</v>
      </c>
      <c r="AI995" s="198" t="s">
        <v>56</v>
      </c>
      <c r="AJ995" s="198" t="s">
        <v>103</v>
      </c>
      <c r="AK995" s="198" t="s">
        <v>51</v>
      </c>
      <c r="AL995" s="198" t="s">
        <v>67</v>
      </c>
      <c r="AM995" s="198" t="s">
        <v>68</v>
      </c>
      <c r="AN995" s="202">
        <v>82680</v>
      </c>
      <c r="AO995" s="202">
        <v>82680</v>
      </c>
      <c r="AP995" s="202">
        <v>82680</v>
      </c>
      <c r="AQ995" s="198" t="s">
        <v>358</v>
      </c>
      <c r="AR995" s="198" t="s">
        <v>51</v>
      </c>
      <c r="AS995" s="202">
        <v>23977.200000000001</v>
      </c>
      <c r="AT995" s="202">
        <v>23977.200000000001</v>
      </c>
      <c r="AU995" s="198" t="s">
        <v>359</v>
      </c>
      <c r="AV995" s="198" t="s">
        <v>62</v>
      </c>
      <c r="AW995" s="198" t="s">
        <v>54</v>
      </c>
    </row>
    <row r="996" spans="3:49" outlineLevel="2" x14ac:dyDescent="0.25">
      <c r="C996" s="201"/>
      <c r="D996" s="198" t="s">
        <v>668</v>
      </c>
      <c r="H996" s="198" t="s">
        <v>668</v>
      </c>
      <c r="I996" s="202">
        <f t="shared" si="15"/>
        <v>415021232.25</v>
      </c>
      <c r="J996" s="202">
        <v>100.5</v>
      </c>
      <c r="L996" s="203">
        <v>0.68</v>
      </c>
      <c r="M996" s="202">
        <v>126044.8</v>
      </c>
      <c r="N996" s="203">
        <v>0.314</v>
      </c>
      <c r="O996" s="198" t="s">
        <v>51</v>
      </c>
      <c r="P996" s="202">
        <v>58203.040000000001</v>
      </c>
      <c r="Q996" s="198" t="s">
        <v>52</v>
      </c>
      <c r="R996" s="198" t="s">
        <v>53</v>
      </c>
      <c r="S996" s="198" t="s">
        <v>54</v>
      </c>
      <c r="T996" s="198" t="s">
        <v>667</v>
      </c>
      <c r="U996" s="198" t="s">
        <v>367</v>
      </c>
      <c r="V996" s="198" t="s">
        <v>56</v>
      </c>
      <c r="W996" s="198" t="s">
        <v>356</v>
      </c>
      <c r="X996" s="198" t="s">
        <v>57</v>
      </c>
      <c r="Y996" s="198" t="s">
        <v>58</v>
      </c>
      <c r="Z996" s="201">
        <v>46233</v>
      </c>
      <c r="AA996" s="198" t="s">
        <v>59</v>
      </c>
      <c r="AB996" s="198" t="s">
        <v>60</v>
      </c>
      <c r="AC996" s="198" t="s">
        <v>86</v>
      </c>
      <c r="AD996" s="198" t="s">
        <v>62</v>
      </c>
      <c r="AE996" s="198" t="s">
        <v>105</v>
      </c>
      <c r="AF996" s="198" t="s">
        <v>104</v>
      </c>
      <c r="AG996" s="198" t="s">
        <v>248</v>
      </c>
      <c r="AH996" s="198" t="s">
        <v>112</v>
      </c>
      <c r="AI996" s="198" t="s">
        <v>56</v>
      </c>
      <c r="AJ996" s="198" t="s">
        <v>103</v>
      </c>
      <c r="AK996" s="198" t="s">
        <v>51</v>
      </c>
      <c r="AL996" s="198" t="s">
        <v>67</v>
      </c>
      <c r="AM996" s="198" t="s">
        <v>68</v>
      </c>
      <c r="AN996" s="202">
        <v>126044.8</v>
      </c>
      <c r="AO996" s="202">
        <v>126044.8</v>
      </c>
      <c r="AP996" s="202">
        <v>126044.8</v>
      </c>
      <c r="AQ996" s="198" t="s">
        <v>358</v>
      </c>
      <c r="AR996" s="198" t="s">
        <v>51</v>
      </c>
      <c r="AS996" s="202">
        <v>58203.040000000001</v>
      </c>
      <c r="AT996" s="202">
        <v>58203.040000000001</v>
      </c>
      <c r="AU996" s="198" t="s">
        <v>359</v>
      </c>
      <c r="AV996" s="198" t="s">
        <v>62</v>
      </c>
      <c r="AW996" s="198" t="s">
        <v>54</v>
      </c>
    </row>
    <row r="997" spans="3:49" outlineLevel="2" x14ac:dyDescent="0.25">
      <c r="C997" s="201"/>
      <c r="D997" s="198" t="s">
        <v>668</v>
      </c>
      <c r="H997" s="198" t="s">
        <v>668</v>
      </c>
      <c r="I997" s="202">
        <f t="shared" si="15"/>
        <v>415434188.69999999</v>
      </c>
      <c r="J997" s="202">
        <v>100.6</v>
      </c>
      <c r="L997" s="204">
        <v>840</v>
      </c>
      <c r="M997" s="202">
        <v>588000</v>
      </c>
      <c r="N997" s="204">
        <v>840</v>
      </c>
      <c r="O997" s="198" t="s">
        <v>51</v>
      </c>
      <c r="P997" s="202">
        <v>588000</v>
      </c>
      <c r="Q997" s="198" t="s">
        <v>70</v>
      </c>
      <c r="R997" s="198" t="s">
        <v>53</v>
      </c>
      <c r="S997" s="198" t="s">
        <v>54</v>
      </c>
      <c r="T997" s="198" t="s">
        <v>667</v>
      </c>
      <c r="U997" s="198" t="s">
        <v>367</v>
      </c>
      <c r="V997" s="198" t="s">
        <v>56</v>
      </c>
      <c r="W997" s="198" t="s">
        <v>356</v>
      </c>
      <c r="X997" s="198" t="s">
        <v>57</v>
      </c>
      <c r="Y997" s="198" t="s">
        <v>58</v>
      </c>
      <c r="Z997" s="201">
        <v>46233</v>
      </c>
      <c r="AA997" s="198" t="s">
        <v>59</v>
      </c>
      <c r="AB997" s="198" t="s">
        <v>60</v>
      </c>
      <c r="AC997" s="198" t="s">
        <v>86</v>
      </c>
      <c r="AD997" s="198" t="s">
        <v>62</v>
      </c>
      <c r="AE997" s="198" t="s">
        <v>2026</v>
      </c>
      <c r="AF997" s="198" t="s">
        <v>2025</v>
      </c>
      <c r="AG997" s="198" t="s">
        <v>248</v>
      </c>
      <c r="AH997" s="198" t="s">
        <v>112</v>
      </c>
      <c r="AI997" s="198" t="s">
        <v>56</v>
      </c>
      <c r="AJ997" s="198" t="s">
        <v>106</v>
      </c>
      <c r="AK997" s="198" t="s">
        <v>51</v>
      </c>
      <c r="AL997" s="198" t="s">
        <v>67</v>
      </c>
      <c r="AM997" s="198" t="s">
        <v>68</v>
      </c>
      <c r="AN997" s="202">
        <v>588000</v>
      </c>
      <c r="AO997" s="202">
        <v>588000</v>
      </c>
      <c r="AP997" s="202">
        <v>588000</v>
      </c>
      <c r="AQ997" s="198" t="s">
        <v>358</v>
      </c>
      <c r="AR997" s="198" t="s">
        <v>51</v>
      </c>
      <c r="AS997" s="202">
        <v>588000</v>
      </c>
      <c r="AT997" s="202">
        <v>588000</v>
      </c>
      <c r="AU997" s="198" t="s">
        <v>359</v>
      </c>
      <c r="AV997" s="198" t="s">
        <v>62</v>
      </c>
      <c r="AW997" s="198" t="s">
        <v>54</v>
      </c>
    </row>
    <row r="998" spans="3:49" outlineLevel="2" x14ac:dyDescent="0.25">
      <c r="C998" s="201"/>
      <c r="D998" s="198" t="s">
        <v>668</v>
      </c>
      <c r="H998" s="198" t="s">
        <v>668</v>
      </c>
      <c r="I998" s="202">
        <f t="shared" si="15"/>
        <v>415847145.15000004</v>
      </c>
      <c r="J998" s="202">
        <v>100.7</v>
      </c>
      <c r="L998" s="203">
        <v>3.5</v>
      </c>
      <c r="M998" s="202">
        <v>441000</v>
      </c>
      <c r="N998" s="203">
        <v>3.5</v>
      </c>
      <c r="O998" s="198" t="s">
        <v>51</v>
      </c>
      <c r="P998" s="202">
        <v>441000</v>
      </c>
      <c r="Q998" s="198" t="s">
        <v>52</v>
      </c>
      <c r="R998" s="198" t="s">
        <v>53</v>
      </c>
      <c r="S998" s="198" t="s">
        <v>54</v>
      </c>
      <c r="T998" s="198" t="s">
        <v>667</v>
      </c>
      <c r="U998" s="198" t="s">
        <v>367</v>
      </c>
      <c r="V998" s="198" t="s">
        <v>56</v>
      </c>
      <c r="W998" s="198" t="s">
        <v>356</v>
      </c>
      <c r="X998" s="198" t="s">
        <v>57</v>
      </c>
      <c r="Y998" s="198" t="s">
        <v>58</v>
      </c>
      <c r="Z998" s="201">
        <v>46233</v>
      </c>
      <c r="AA998" s="198" t="s">
        <v>59</v>
      </c>
      <c r="AB998" s="198" t="s">
        <v>60</v>
      </c>
      <c r="AC998" s="198" t="s">
        <v>86</v>
      </c>
      <c r="AD998" s="198" t="s">
        <v>62</v>
      </c>
      <c r="AE998" s="198" t="s">
        <v>108</v>
      </c>
      <c r="AF998" s="198" t="s">
        <v>107</v>
      </c>
      <c r="AG998" s="198" t="s">
        <v>248</v>
      </c>
      <c r="AH998" s="198" t="s">
        <v>112</v>
      </c>
      <c r="AI998" s="198" t="s">
        <v>56</v>
      </c>
      <c r="AJ998" s="198" t="s">
        <v>74</v>
      </c>
      <c r="AK998" s="198" t="s">
        <v>51</v>
      </c>
      <c r="AL998" s="198" t="s">
        <v>67</v>
      </c>
      <c r="AM998" s="198" t="s">
        <v>68</v>
      </c>
      <c r="AN998" s="202">
        <v>441000</v>
      </c>
      <c r="AO998" s="202">
        <v>441000</v>
      </c>
      <c r="AP998" s="202">
        <v>441000</v>
      </c>
      <c r="AQ998" s="198" t="s">
        <v>358</v>
      </c>
      <c r="AR998" s="198" t="s">
        <v>51</v>
      </c>
      <c r="AS998" s="202">
        <v>441000</v>
      </c>
      <c r="AT998" s="202">
        <v>441000</v>
      </c>
      <c r="AU998" s="198" t="s">
        <v>359</v>
      </c>
      <c r="AV998" s="198" t="s">
        <v>62</v>
      </c>
      <c r="AW998" s="198" t="s">
        <v>54</v>
      </c>
    </row>
    <row r="999" spans="3:49" outlineLevel="2" x14ac:dyDescent="0.25">
      <c r="C999" s="201"/>
      <c r="D999" s="198" t="s">
        <v>669</v>
      </c>
      <c r="H999" s="198" t="s">
        <v>669</v>
      </c>
      <c r="I999" s="202">
        <f t="shared" si="15"/>
        <v>416260101.59999996</v>
      </c>
      <c r="J999" s="202">
        <v>100.8</v>
      </c>
      <c r="L999" s="203">
        <v>2.3340000000000001</v>
      </c>
      <c r="M999" s="202">
        <v>230601.53</v>
      </c>
      <c r="N999" s="203">
        <v>2.3340000000000001</v>
      </c>
      <c r="O999" s="198" t="s">
        <v>51</v>
      </c>
      <c r="P999" s="202">
        <v>230601.53</v>
      </c>
      <c r="Q999" s="198" t="s">
        <v>52</v>
      </c>
      <c r="R999" s="198" t="s">
        <v>53</v>
      </c>
      <c r="S999" s="198" t="s">
        <v>54</v>
      </c>
      <c r="T999" s="198" t="s">
        <v>667</v>
      </c>
      <c r="U999" s="198" t="s">
        <v>367</v>
      </c>
      <c r="V999" s="198" t="s">
        <v>56</v>
      </c>
      <c r="W999" s="198" t="s">
        <v>356</v>
      </c>
      <c r="X999" s="198" t="s">
        <v>57</v>
      </c>
      <c r="Y999" s="198" t="s">
        <v>58</v>
      </c>
      <c r="Z999" s="201">
        <v>46233</v>
      </c>
      <c r="AA999" s="198" t="s">
        <v>59</v>
      </c>
      <c r="AB999" s="198" t="s">
        <v>60</v>
      </c>
      <c r="AC999" s="198" t="s">
        <v>86</v>
      </c>
      <c r="AD999" s="198" t="s">
        <v>62</v>
      </c>
      <c r="AE999" s="198" t="s">
        <v>100</v>
      </c>
      <c r="AF999" s="198" t="s">
        <v>99</v>
      </c>
      <c r="AG999" s="198" t="s">
        <v>248</v>
      </c>
      <c r="AH999" s="198" t="s">
        <v>112</v>
      </c>
      <c r="AI999" s="198" t="s">
        <v>56</v>
      </c>
      <c r="AJ999" s="198" t="s">
        <v>74</v>
      </c>
      <c r="AK999" s="198" t="s">
        <v>51</v>
      </c>
      <c r="AL999" s="198" t="s">
        <v>67</v>
      </c>
      <c r="AM999" s="198" t="s">
        <v>68</v>
      </c>
      <c r="AN999" s="202">
        <v>230601.53</v>
      </c>
      <c r="AO999" s="202">
        <v>230601.53</v>
      </c>
      <c r="AP999" s="202">
        <v>230601.53</v>
      </c>
      <c r="AQ999" s="198" t="s">
        <v>358</v>
      </c>
      <c r="AR999" s="198" t="s">
        <v>51</v>
      </c>
      <c r="AS999" s="202">
        <v>230601.53</v>
      </c>
      <c r="AT999" s="202">
        <v>230601.53</v>
      </c>
      <c r="AU999" s="198" t="s">
        <v>359</v>
      </c>
      <c r="AV999" s="198" t="s">
        <v>62</v>
      </c>
      <c r="AW999" s="198" t="s">
        <v>54</v>
      </c>
    </row>
    <row r="1000" spans="3:49" outlineLevel="2" x14ac:dyDescent="0.25">
      <c r="C1000" s="201"/>
      <c r="D1000" s="198" t="s">
        <v>669</v>
      </c>
      <c r="H1000" s="198" t="s">
        <v>669</v>
      </c>
      <c r="I1000" s="202">
        <f t="shared" si="15"/>
        <v>416673058.05000001</v>
      </c>
      <c r="J1000" s="202">
        <v>100.9</v>
      </c>
      <c r="L1000" s="203">
        <v>0.24</v>
      </c>
      <c r="M1000" s="202">
        <v>44486.400000000001</v>
      </c>
      <c r="N1000" s="203">
        <v>0.24</v>
      </c>
      <c r="O1000" s="198" t="s">
        <v>51</v>
      </c>
      <c r="P1000" s="202">
        <v>44486.400000000001</v>
      </c>
      <c r="Q1000" s="198" t="s">
        <v>52</v>
      </c>
      <c r="R1000" s="198" t="s">
        <v>53</v>
      </c>
      <c r="S1000" s="198" t="s">
        <v>54</v>
      </c>
      <c r="T1000" s="198" t="s">
        <v>667</v>
      </c>
      <c r="U1000" s="198" t="s">
        <v>367</v>
      </c>
      <c r="V1000" s="198" t="s">
        <v>56</v>
      </c>
      <c r="W1000" s="198" t="s">
        <v>356</v>
      </c>
      <c r="X1000" s="198" t="s">
        <v>57</v>
      </c>
      <c r="Y1000" s="198" t="s">
        <v>58</v>
      </c>
      <c r="Z1000" s="201">
        <v>46233</v>
      </c>
      <c r="AA1000" s="198" t="s">
        <v>59</v>
      </c>
      <c r="AB1000" s="198" t="s">
        <v>60</v>
      </c>
      <c r="AC1000" s="198" t="s">
        <v>86</v>
      </c>
      <c r="AD1000" s="198" t="s">
        <v>62</v>
      </c>
      <c r="AE1000" s="198" t="s">
        <v>105</v>
      </c>
      <c r="AF1000" s="198" t="s">
        <v>104</v>
      </c>
      <c r="AG1000" s="198" t="s">
        <v>248</v>
      </c>
      <c r="AH1000" s="198" t="s">
        <v>112</v>
      </c>
      <c r="AI1000" s="198" t="s">
        <v>56</v>
      </c>
      <c r="AJ1000" s="198" t="s">
        <v>103</v>
      </c>
      <c r="AK1000" s="198" t="s">
        <v>51</v>
      </c>
      <c r="AL1000" s="198" t="s">
        <v>67</v>
      </c>
      <c r="AM1000" s="198" t="s">
        <v>68</v>
      </c>
      <c r="AN1000" s="202">
        <v>44486.400000000001</v>
      </c>
      <c r="AO1000" s="202">
        <v>44486.400000000001</v>
      </c>
      <c r="AP1000" s="202">
        <v>44486.400000000001</v>
      </c>
      <c r="AQ1000" s="198" t="s">
        <v>358</v>
      </c>
      <c r="AR1000" s="198" t="s">
        <v>51</v>
      </c>
      <c r="AS1000" s="202">
        <v>44486.400000000001</v>
      </c>
      <c r="AT1000" s="202">
        <v>44486.400000000001</v>
      </c>
      <c r="AU1000" s="198" t="s">
        <v>359</v>
      </c>
      <c r="AV1000" s="198" t="s">
        <v>62</v>
      </c>
      <c r="AW1000" s="198" t="s">
        <v>54</v>
      </c>
    </row>
    <row r="1001" spans="3:49" outlineLevel="2" x14ac:dyDescent="0.25">
      <c r="C1001" s="201"/>
      <c r="D1001" s="198" t="s">
        <v>669</v>
      </c>
      <c r="H1001" s="198" t="s">
        <v>669</v>
      </c>
      <c r="I1001" s="202">
        <f t="shared" si="15"/>
        <v>417086014.5</v>
      </c>
      <c r="J1001" s="202">
        <v>101</v>
      </c>
      <c r="L1001" s="203">
        <v>448.46</v>
      </c>
      <c r="M1001" s="202">
        <v>313922</v>
      </c>
      <c r="N1001" s="203">
        <v>448.46</v>
      </c>
      <c r="O1001" s="198" t="s">
        <v>51</v>
      </c>
      <c r="P1001" s="202">
        <v>313922</v>
      </c>
      <c r="Q1001" s="198" t="s">
        <v>70</v>
      </c>
      <c r="R1001" s="198" t="s">
        <v>53</v>
      </c>
      <c r="S1001" s="198" t="s">
        <v>54</v>
      </c>
      <c r="T1001" s="198" t="s">
        <v>667</v>
      </c>
      <c r="U1001" s="198" t="s">
        <v>367</v>
      </c>
      <c r="V1001" s="198" t="s">
        <v>56</v>
      </c>
      <c r="W1001" s="198" t="s">
        <v>356</v>
      </c>
      <c r="X1001" s="198" t="s">
        <v>57</v>
      </c>
      <c r="Y1001" s="198" t="s">
        <v>58</v>
      </c>
      <c r="Z1001" s="201">
        <v>46233</v>
      </c>
      <c r="AA1001" s="198" t="s">
        <v>59</v>
      </c>
      <c r="AB1001" s="198" t="s">
        <v>60</v>
      </c>
      <c r="AC1001" s="198" t="s">
        <v>86</v>
      </c>
      <c r="AD1001" s="198" t="s">
        <v>62</v>
      </c>
      <c r="AE1001" s="198" t="s">
        <v>2026</v>
      </c>
      <c r="AF1001" s="198" t="s">
        <v>2025</v>
      </c>
      <c r="AG1001" s="198" t="s">
        <v>248</v>
      </c>
      <c r="AH1001" s="198" t="s">
        <v>112</v>
      </c>
      <c r="AI1001" s="198" t="s">
        <v>56</v>
      </c>
      <c r="AJ1001" s="198" t="s">
        <v>106</v>
      </c>
      <c r="AK1001" s="198" t="s">
        <v>51</v>
      </c>
      <c r="AL1001" s="198" t="s">
        <v>67</v>
      </c>
      <c r="AM1001" s="198" t="s">
        <v>68</v>
      </c>
      <c r="AN1001" s="202">
        <v>313922</v>
      </c>
      <c r="AO1001" s="202">
        <v>313922</v>
      </c>
      <c r="AP1001" s="202">
        <v>313922</v>
      </c>
      <c r="AQ1001" s="198" t="s">
        <v>358</v>
      </c>
      <c r="AR1001" s="198" t="s">
        <v>51</v>
      </c>
      <c r="AS1001" s="202">
        <v>313922</v>
      </c>
      <c r="AT1001" s="202">
        <v>313922</v>
      </c>
      <c r="AU1001" s="198" t="s">
        <v>359</v>
      </c>
      <c r="AV1001" s="198" t="s">
        <v>62</v>
      </c>
      <c r="AW1001" s="198" t="s">
        <v>54</v>
      </c>
    </row>
    <row r="1002" spans="3:49" outlineLevel="2" x14ac:dyDescent="0.25">
      <c r="C1002" s="201"/>
      <c r="D1002" s="198" t="s">
        <v>669</v>
      </c>
      <c r="H1002" s="198" t="s">
        <v>669</v>
      </c>
      <c r="I1002" s="202">
        <f t="shared" si="15"/>
        <v>417498970.94999999</v>
      </c>
      <c r="J1002" s="202">
        <v>101.1</v>
      </c>
      <c r="L1002" s="203">
        <v>0.73599999999999999</v>
      </c>
      <c r="M1002" s="202">
        <v>92736</v>
      </c>
      <c r="N1002" s="203">
        <v>0.73599999999999999</v>
      </c>
      <c r="O1002" s="198" t="s">
        <v>51</v>
      </c>
      <c r="P1002" s="202">
        <v>92736</v>
      </c>
      <c r="Q1002" s="198" t="s">
        <v>52</v>
      </c>
      <c r="R1002" s="198" t="s">
        <v>53</v>
      </c>
      <c r="S1002" s="198" t="s">
        <v>54</v>
      </c>
      <c r="T1002" s="198" t="s">
        <v>667</v>
      </c>
      <c r="U1002" s="198" t="s">
        <v>367</v>
      </c>
      <c r="V1002" s="198" t="s">
        <v>56</v>
      </c>
      <c r="W1002" s="198" t="s">
        <v>356</v>
      </c>
      <c r="X1002" s="198" t="s">
        <v>57</v>
      </c>
      <c r="Y1002" s="198" t="s">
        <v>58</v>
      </c>
      <c r="Z1002" s="201">
        <v>46233</v>
      </c>
      <c r="AA1002" s="198" t="s">
        <v>59</v>
      </c>
      <c r="AB1002" s="198" t="s">
        <v>60</v>
      </c>
      <c r="AC1002" s="198" t="s">
        <v>86</v>
      </c>
      <c r="AD1002" s="198" t="s">
        <v>62</v>
      </c>
      <c r="AE1002" s="198" t="s">
        <v>108</v>
      </c>
      <c r="AF1002" s="198" t="s">
        <v>107</v>
      </c>
      <c r="AG1002" s="198" t="s">
        <v>248</v>
      </c>
      <c r="AH1002" s="198" t="s">
        <v>112</v>
      </c>
      <c r="AI1002" s="198" t="s">
        <v>56</v>
      </c>
      <c r="AJ1002" s="198" t="s">
        <v>74</v>
      </c>
      <c r="AK1002" s="198" t="s">
        <v>51</v>
      </c>
      <c r="AL1002" s="198" t="s">
        <v>67</v>
      </c>
      <c r="AM1002" s="198" t="s">
        <v>68</v>
      </c>
      <c r="AN1002" s="202">
        <v>92736</v>
      </c>
      <c r="AO1002" s="202">
        <v>92736</v>
      </c>
      <c r="AP1002" s="202">
        <v>92736</v>
      </c>
      <c r="AQ1002" s="198" t="s">
        <v>358</v>
      </c>
      <c r="AR1002" s="198" t="s">
        <v>51</v>
      </c>
      <c r="AS1002" s="202">
        <v>92736</v>
      </c>
      <c r="AT1002" s="202">
        <v>92736</v>
      </c>
      <c r="AU1002" s="198" t="s">
        <v>359</v>
      </c>
      <c r="AV1002" s="198" t="s">
        <v>62</v>
      </c>
      <c r="AW1002" s="198" t="s">
        <v>54</v>
      </c>
    </row>
    <row r="1003" spans="3:49" outlineLevel="2" x14ac:dyDescent="0.25">
      <c r="C1003" s="201"/>
      <c r="D1003" s="198" t="s">
        <v>671</v>
      </c>
      <c r="H1003" s="198" t="s">
        <v>671</v>
      </c>
      <c r="I1003" s="202">
        <f t="shared" si="15"/>
        <v>417911927.40000004</v>
      </c>
      <c r="J1003" s="202">
        <v>101.2</v>
      </c>
      <c r="L1003" s="203">
        <v>0.4</v>
      </c>
      <c r="M1003" s="202">
        <v>40548.800000000003</v>
      </c>
      <c r="N1003" s="203">
        <v>0.4</v>
      </c>
      <c r="O1003" s="198" t="s">
        <v>51</v>
      </c>
      <c r="P1003" s="202">
        <v>40548.800000000003</v>
      </c>
      <c r="Q1003" s="198" t="s">
        <v>52</v>
      </c>
      <c r="R1003" s="198" t="s">
        <v>53</v>
      </c>
      <c r="S1003" s="198" t="s">
        <v>54</v>
      </c>
      <c r="T1003" s="198" t="s">
        <v>667</v>
      </c>
      <c r="U1003" s="198" t="s">
        <v>367</v>
      </c>
      <c r="V1003" s="198" t="s">
        <v>56</v>
      </c>
      <c r="W1003" s="198" t="s">
        <v>356</v>
      </c>
      <c r="X1003" s="198" t="s">
        <v>57</v>
      </c>
      <c r="Y1003" s="198" t="s">
        <v>58</v>
      </c>
      <c r="Z1003" s="201">
        <v>46233</v>
      </c>
      <c r="AA1003" s="198" t="s">
        <v>59</v>
      </c>
      <c r="AB1003" s="198" t="s">
        <v>60</v>
      </c>
      <c r="AC1003" s="198" t="s">
        <v>86</v>
      </c>
      <c r="AD1003" s="198" t="s">
        <v>62</v>
      </c>
      <c r="AE1003" s="198" t="s">
        <v>1775</v>
      </c>
      <c r="AF1003" s="198" t="s">
        <v>1774</v>
      </c>
      <c r="AG1003" s="198" t="s">
        <v>248</v>
      </c>
      <c r="AH1003" s="198" t="s">
        <v>95</v>
      </c>
      <c r="AI1003" s="198" t="s">
        <v>56</v>
      </c>
      <c r="AJ1003" s="198" t="s">
        <v>74</v>
      </c>
      <c r="AK1003" s="198" t="s">
        <v>51</v>
      </c>
      <c r="AL1003" s="198" t="s">
        <v>67</v>
      </c>
      <c r="AM1003" s="198" t="s">
        <v>68</v>
      </c>
      <c r="AN1003" s="202">
        <v>40548.800000000003</v>
      </c>
      <c r="AO1003" s="202">
        <v>40548.800000000003</v>
      </c>
      <c r="AP1003" s="202">
        <v>40548.800000000003</v>
      </c>
      <c r="AQ1003" s="198" t="s">
        <v>358</v>
      </c>
      <c r="AR1003" s="198" t="s">
        <v>51</v>
      </c>
      <c r="AS1003" s="202">
        <v>40548.800000000003</v>
      </c>
      <c r="AT1003" s="202">
        <v>40548.800000000003</v>
      </c>
      <c r="AU1003" s="198" t="s">
        <v>359</v>
      </c>
      <c r="AV1003" s="198" t="s">
        <v>62</v>
      </c>
      <c r="AW1003" s="198" t="s">
        <v>54</v>
      </c>
    </row>
    <row r="1004" spans="3:49" outlineLevel="2" x14ac:dyDescent="0.25">
      <c r="C1004" s="201"/>
      <c r="D1004" s="198" t="s">
        <v>671</v>
      </c>
      <c r="H1004" s="198" t="s">
        <v>671</v>
      </c>
      <c r="I1004" s="202">
        <f t="shared" si="15"/>
        <v>418324883.84999996</v>
      </c>
      <c r="J1004" s="202">
        <v>101.3</v>
      </c>
      <c r="L1004" s="203">
        <v>7.6719999999999997</v>
      </c>
      <c r="M1004" s="202">
        <v>790453.83</v>
      </c>
      <c r="N1004" s="203">
        <v>7.6719999999999997</v>
      </c>
      <c r="O1004" s="198" t="s">
        <v>51</v>
      </c>
      <c r="P1004" s="202">
        <v>790453.83</v>
      </c>
      <c r="Q1004" s="198" t="s">
        <v>52</v>
      </c>
      <c r="R1004" s="198" t="s">
        <v>53</v>
      </c>
      <c r="S1004" s="198" t="s">
        <v>54</v>
      </c>
      <c r="T1004" s="198" t="s">
        <v>667</v>
      </c>
      <c r="U1004" s="198" t="s">
        <v>367</v>
      </c>
      <c r="V1004" s="198" t="s">
        <v>56</v>
      </c>
      <c r="W1004" s="198" t="s">
        <v>356</v>
      </c>
      <c r="X1004" s="198" t="s">
        <v>57</v>
      </c>
      <c r="Y1004" s="198" t="s">
        <v>58</v>
      </c>
      <c r="Z1004" s="201">
        <v>46233</v>
      </c>
      <c r="AA1004" s="198" t="s">
        <v>59</v>
      </c>
      <c r="AB1004" s="198" t="s">
        <v>60</v>
      </c>
      <c r="AC1004" s="198" t="s">
        <v>86</v>
      </c>
      <c r="AD1004" s="198" t="s">
        <v>62</v>
      </c>
      <c r="AE1004" s="198" t="s">
        <v>102</v>
      </c>
      <c r="AF1004" s="198" t="s">
        <v>101</v>
      </c>
      <c r="AG1004" s="198" t="s">
        <v>248</v>
      </c>
      <c r="AH1004" s="198" t="s">
        <v>95</v>
      </c>
      <c r="AI1004" s="198" t="s">
        <v>56</v>
      </c>
      <c r="AJ1004" s="198" t="s">
        <v>66</v>
      </c>
      <c r="AK1004" s="198" t="s">
        <v>51</v>
      </c>
      <c r="AL1004" s="198" t="s">
        <v>67</v>
      </c>
      <c r="AM1004" s="198" t="s">
        <v>68</v>
      </c>
      <c r="AN1004" s="202">
        <v>790453.83</v>
      </c>
      <c r="AO1004" s="202">
        <v>790453.83</v>
      </c>
      <c r="AP1004" s="202">
        <v>790453.83</v>
      </c>
      <c r="AQ1004" s="198" t="s">
        <v>358</v>
      </c>
      <c r="AR1004" s="198" t="s">
        <v>51</v>
      </c>
      <c r="AS1004" s="202">
        <v>790453.83</v>
      </c>
      <c r="AT1004" s="202">
        <v>790453.83</v>
      </c>
      <c r="AU1004" s="198" t="s">
        <v>359</v>
      </c>
      <c r="AV1004" s="198" t="s">
        <v>62</v>
      </c>
      <c r="AW1004" s="198" t="s">
        <v>54</v>
      </c>
    </row>
    <row r="1005" spans="3:49" outlineLevel="2" x14ac:dyDescent="0.25">
      <c r="C1005" s="201"/>
      <c r="D1005" s="198" t="s">
        <v>671</v>
      </c>
      <c r="H1005" s="198" t="s">
        <v>671</v>
      </c>
      <c r="I1005" s="202">
        <f t="shared" si="15"/>
        <v>418737840.30000001</v>
      </c>
      <c r="J1005" s="202">
        <v>101.4</v>
      </c>
      <c r="L1005" s="203">
        <v>0.27200000000000002</v>
      </c>
      <c r="M1005" s="202">
        <v>50417.919999999998</v>
      </c>
      <c r="N1005" s="203">
        <v>0.27200000000000002</v>
      </c>
      <c r="O1005" s="198" t="s">
        <v>51</v>
      </c>
      <c r="P1005" s="202">
        <v>50417.919999999998</v>
      </c>
      <c r="Q1005" s="198" t="s">
        <v>52</v>
      </c>
      <c r="R1005" s="198" t="s">
        <v>53</v>
      </c>
      <c r="S1005" s="198" t="s">
        <v>54</v>
      </c>
      <c r="T1005" s="198" t="s">
        <v>667</v>
      </c>
      <c r="U1005" s="198" t="s">
        <v>367</v>
      </c>
      <c r="V1005" s="198" t="s">
        <v>56</v>
      </c>
      <c r="W1005" s="198" t="s">
        <v>356</v>
      </c>
      <c r="X1005" s="198" t="s">
        <v>57</v>
      </c>
      <c r="Y1005" s="198" t="s">
        <v>58</v>
      </c>
      <c r="Z1005" s="201">
        <v>46233</v>
      </c>
      <c r="AA1005" s="198" t="s">
        <v>59</v>
      </c>
      <c r="AB1005" s="198" t="s">
        <v>60</v>
      </c>
      <c r="AC1005" s="198" t="s">
        <v>86</v>
      </c>
      <c r="AD1005" s="198" t="s">
        <v>62</v>
      </c>
      <c r="AE1005" s="198" t="s">
        <v>105</v>
      </c>
      <c r="AF1005" s="198" t="s">
        <v>104</v>
      </c>
      <c r="AG1005" s="198" t="s">
        <v>248</v>
      </c>
      <c r="AH1005" s="198" t="s">
        <v>95</v>
      </c>
      <c r="AI1005" s="198" t="s">
        <v>56</v>
      </c>
      <c r="AJ1005" s="198" t="s">
        <v>103</v>
      </c>
      <c r="AK1005" s="198" t="s">
        <v>51</v>
      </c>
      <c r="AL1005" s="198" t="s">
        <v>67</v>
      </c>
      <c r="AM1005" s="198" t="s">
        <v>68</v>
      </c>
      <c r="AN1005" s="202">
        <v>50417.919999999998</v>
      </c>
      <c r="AO1005" s="202">
        <v>50417.919999999998</v>
      </c>
      <c r="AP1005" s="202">
        <v>50417.919999999998</v>
      </c>
      <c r="AQ1005" s="198" t="s">
        <v>358</v>
      </c>
      <c r="AR1005" s="198" t="s">
        <v>51</v>
      </c>
      <c r="AS1005" s="202">
        <v>50417.919999999998</v>
      </c>
      <c r="AT1005" s="202">
        <v>50417.919999999998</v>
      </c>
      <c r="AU1005" s="198" t="s">
        <v>359</v>
      </c>
      <c r="AV1005" s="198" t="s">
        <v>62</v>
      </c>
      <c r="AW1005" s="198" t="s">
        <v>54</v>
      </c>
    </row>
    <row r="1006" spans="3:49" outlineLevel="2" x14ac:dyDescent="0.25">
      <c r="C1006" s="201"/>
      <c r="D1006" s="198" t="s">
        <v>671</v>
      </c>
      <c r="H1006" s="198" t="s">
        <v>671</v>
      </c>
      <c r="I1006" s="202">
        <f t="shared" si="15"/>
        <v>419150796.75</v>
      </c>
      <c r="J1006" s="202">
        <v>101.5</v>
      </c>
      <c r="L1006" s="204">
        <v>336</v>
      </c>
      <c r="M1006" s="202">
        <v>235200</v>
      </c>
      <c r="N1006" s="204">
        <v>336</v>
      </c>
      <c r="O1006" s="198" t="s">
        <v>51</v>
      </c>
      <c r="P1006" s="202">
        <v>235200</v>
      </c>
      <c r="Q1006" s="198" t="s">
        <v>70</v>
      </c>
      <c r="R1006" s="198" t="s">
        <v>53</v>
      </c>
      <c r="S1006" s="198" t="s">
        <v>54</v>
      </c>
      <c r="T1006" s="198" t="s">
        <v>667</v>
      </c>
      <c r="U1006" s="198" t="s">
        <v>367</v>
      </c>
      <c r="V1006" s="198" t="s">
        <v>56</v>
      </c>
      <c r="W1006" s="198" t="s">
        <v>356</v>
      </c>
      <c r="X1006" s="198" t="s">
        <v>57</v>
      </c>
      <c r="Y1006" s="198" t="s">
        <v>58</v>
      </c>
      <c r="Z1006" s="201">
        <v>46233</v>
      </c>
      <c r="AA1006" s="198" t="s">
        <v>59</v>
      </c>
      <c r="AB1006" s="198" t="s">
        <v>60</v>
      </c>
      <c r="AC1006" s="198" t="s">
        <v>86</v>
      </c>
      <c r="AD1006" s="198" t="s">
        <v>62</v>
      </c>
      <c r="AE1006" s="198" t="s">
        <v>2026</v>
      </c>
      <c r="AF1006" s="198" t="s">
        <v>2025</v>
      </c>
      <c r="AG1006" s="198" t="s">
        <v>248</v>
      </c>
      <c r="AH1006" s="198" t="s">
        <v>95</v>
      </c>
      <c r="AI1006" s="198" t="s">
        <v>56</v>
      </c>
      <c r="AJ1006" s="198" t="s">
        <v>106</v>
      </c>
      <c r="AK1006" s="198" t="s">
        <v>51</v>
      </c>
      <c r="AL1006" s="198" t="s">
        <v>67</v>
      </c>
      <c r="AM1006" s="198" t="s">
        <v>68</v>
      </c>
      <c r="AN1006" s="202">
        <v>235200</v>
      </c>
      <c r="AO1006" s="202">
        <v>235200</v>
      </c>
      <c r="AP1006" s="202">
        <v>235200</v>
      </c>
      <c r="AQ1006" s="198" t="s">
        <v>358</v>
      </c>
      <c r="AR1006" s="198" t="s">
        <v>51</v>
      </c>
      <c r="AS1006" s="202">
        <v>235200</v>
      </c>
      <c r="AT1006" s="202">
        <v>235200</v>
      </c>
      <c r="AU1006" s="198" t="s">
        <v>359</v>
      </c>
      <c r="AV1006" s="198" t="s">
        <v>62</v>
      </c>
      <c r="AW1006" s="198" t="s">
        <v>54</v>
      </c>
    </row>
    <row r="1007" spans="3:49" outlineLevel="2" x14ac:dyDescent="0.25">
      <c r="C1007" s="201"/>
      <c r="D1007" s="198" t="s">
        <v>671</v>
      </c>
      <c r="H1007" s="198" t="s">
        <v>671</v>
      </c>
      <c r="I1007" s="202">
        <f t="shared" si="15"/>
        <v>419563753.19999999</v>
      </c>
      <c r="J1007" s="202">
        <v>101.6</v>
      </c>
      <c r="L1007" s="203">
        <v>1.4</v>
      </c>
      <c r="M1007" s="202">
        <v>176400</v>
      </c>
      <c r="N1007" s="203">
        <v>1.4</v>
      </c>
      <c r="O1007" s="198" t="s">
        <v>51</v>
      </c>
      <c r="P1007" s="202">
        <v>176400</v>
      </c>
      <c r="Q1007" s="198" t="s">
        <v>52</v>
      </c>
      <c r="R1007" s="198" t="s">
        <v>53</v>
      </c>
      <c r="S1007" s="198" t="s">
        <v>54</v>
      </c>
      <c r="T1007" s="198" t="s">
        <v>667</v>
      </c>
      <c r="U1007" s="198" t="s">
        <v>367</v>
      </c>
      <c r="V1007" s="198" t="s">
        <v>56</v>
      </c>
      <c r="W1007" s="198" t="s">
        <v>356</v>
      </c>
      <c r="X1007" s="198" t="s">
        <v>57</v>
      </c>
      <c r="Y1007" s="198" t="s">
        <v>58</v>
      </c>
      <c r="Z1007" s="201">
        <v>46233</v>
      </c>
      <c r="AA1007" s="198" t="s">
        <v>59</v>
      </c>
      <c r="AB1007" s="198" t="s">
        <v>60</v>
      </c>
      <c r="AC1007" s="198" t="s">
        <v>86</v>
      </c>
      <c r="AD1007" s="198" t="s">
        <v>62</v>
      </c>
      <c r="AE1007" s="198" t="s">
        <v>108</v>
      </c>
      <c r="AF1007" s="198" t="s">
        <v>107</v>
      </c>
      <c r="AG1007" s="198" t="s">
        <v>248</v>
      </c>
      <c r="AH1007" s="198" t="s">
        <v>95</v>
      </c>
      <c r="AI1007" s="198" t="s">
        <v>56</v>
      </c>
      <c r="AJ1007" s="198" t="s">
        <v>74</v>
      </c>
      <c r="AK1007" s="198" t="s">
        <v>51</v>
      </c>
      <c r="AL1007" s="198" t="s">
        <v>67</v>
      </c>
      <c r="AM1007" s="198" t="s">
        <v>68</v>
      </c>
      <c r="AN1007" s="202">
        <v>176400</v>
      </c>
      <c r="AO1007" s="202">
        <v>176400</v>
      </c>
      <c r="AP1007" s="202">
        <v>176400</v>
      </c>
      <c r="AQ1007" s="198" t="s">
        <v>358</v>
      </c>
      <c r="AR1007" s="198" t="s">
        <v>51</v>
      </c>
      <c r="AS1007" s="202">
        <v>176400</v>
      </c>
      <c r="AT1007" s="202">
        <v>176400</v>
      </c>
      <c r="AU1007" s="198" t="s">
        <v>359</v>
      </c>
      <c r="AV1007" s="198" t="s">
        <v>62</v>
      </c>
      <c r="AW1007" s="198" t="s">
        <v>54</v>
      </c>
    </row>
    <row r="1008" spans="3:49" outlineLevel="2" x14ac:dyDescent="0.25">
      <c r="C1008" s="201"/>
      <c r="D1008" s="198" t="s">
        <v>672</v>
      </c>
      <c r="H1008" s="198" t="s">
        <v>672</v>
      </c>
      <c r="I1008" s="202">
        <f t="shared" si="15"/>
        <v>419976709.65000004</v>
      </c>
      <c r="J1008" s="202">
        <v>101.7</v>
      </c>
      <c r="L1008" s="203">
        <v>4.83</v>
      </c>
      <c r="M1008" s="202">
        <v>489626.76</v>
      </c>
      <c r="N1008" s="203">
        <v>4.83</v>
      </c>
      <c r="O1008" s="198" t="s">
        <v>51</v>
      </c>
      <c r="P1008" s="202">
        <v>489626.76</v>
      </c>
      <c r="Q1008" s="198" t="s">
        <v>52</v>
      </c>
      <c r="R1008" s="198" t="s">
        <v>53</v>
      </c>
      <c r="S1008" s="198" t="s">
        <v>54</v>
      </c>
      <c r="T1008" s="198" t="s">
        <v>667</v>
      </c>
      <c r="U1008" s="198" t="s">
        <v>367</v>
      </c>
      <c r="V1008" s="198" t="s">
        <v>56</v>
      </c>
      <c r="W1008" s="198" t="s">
        <v>356</v>
      </c>
      <c r="X1008" s="198" t="s">
        <v>57</v>
      </c>
      <c r="Y1008" s="198" t="s">
        <v>58</v>
      </c>
      <c r="Z1008" s="201">
        <v>46233</v>
      </c>
      <c r="AA1008" s="198" t="s">
        <v>59</v>
      </c>
      <c r="AB1008" s="198" t="s">
        <v>60</v>
      </c>
      <c r="AC1008" s="198" t="s">
        <v>86</v>
      </c>
      <c r="AD1008" s="198" t="s">
        <v>62</v>
      </c>
      <c r="AE1008" s="198" t="s">
        <v>1775</v>
      </c>
      <c r="AF1008" s="198" t="s">
        <v>1774</v>
      </c>
      <c r="AG1008" s="198" t="s">
        <v>248</v>
      </c>
      <c r="AH1008" s="198" t="s">
        <v>95</v>
      </c>
      <c r="AI1008" s="198" t="s">
        <v>56</v>
      </c>
      <c r="AJ1008" s="198" t="s">
        <v>74</v>
      </c>
      <c r="AK1008" s="198" t="s">
        <v>51</v>
      </c>
      <c r="AL1008" s="198" t="s">
        <v>67</v>
      </c>
      <c r="AM1008" s="198" t="s">
        <v>68</v>
      </c>
      <c r="AN1008" s="202">
        <v>489626.76</v>
      </c>
      <c r="AO1008" s="202">
        <v>489626.76</v>
      </c>
      <c r="AP1008" s="202">
        <v>489626.76</v>
      </c>
      <c r="AQ1008" s="198" t="s">
        <v>358</v>
      </c>
      <c r="AR1008" s="198" t="s">
        <v>51</v>
      </c>
      <c r="AS1008" s="202">
        <v>489626.76</v>
      </c>
      <c r="AT1008" s="202">
        <v>489626.76</v>
      </c>
      <c r="AU1008" s="198" t="s">
        <v>359</v>
      </c>
      <c r="AV1008" s="198" t="s">
        <v>62</v>
      </c>
      <c r="AW1008" s="198" t="s">
        <v>54</v>
      </c>
    </row>
    <row r="1009" spans="3:49" outlineLevel="2" x14ac:dyDescent="0.25">
      <c r="C1009" s="201"/>
      <c r="D1009" s="198" t="s">
        <v>672</v>
      </c>
      <c r="H1009" s="198" t="s">
        <v>672</v>
      </c>
      <c r="I1009" s="202">
        <f t="shared" si="15"/>
        <v>420389666.09999996</v>
      </c>
      <c r="J1009" s="202">
        <v>101.8</v>
      </c>
      <c r="L1009" s="203">
        <v>26.484999999999999</v>
      </c>
      <c r="M1009" s="202">
        <v>2616744.4900000002</v>
      </c>
      <c r="N1009" s="203">
        <v>26.484999999999999</v>
      </c>
      <c r="O1009" s="198" t="s">
        <v>51</v>
      </c>
      <c r="P1009" s="202">
        <v>2616744.4900000002</v>
      </c>
      <c r="Q1009" s="198" t="s">
        <v>52</v>
      </c>
      <c r="R1009" s="198" t="s">
        <v>53</v>
      </c>
      <c r="S1009" s="198" t="s">
        <v>54</v>
      </c>
      <c r="T1009" s="198" t="s">
        <v>667</v>
      </c>
      <c r="U1009" s="198" t="s">
        <v>367</v>
      </c>
      <c r="V1009" s="198" t="s">
        <v>56</v>
      </c>
      <c r="W1009" s="198" t="s">
        <v>356</v>
      </c>
      <c r="X1009" s="198" t="s">
        <v>57</v>
      </c>
      <c r="Y1009" s="198" t="s">
        <v>58</v>
      </c>
      <c r="Z1009" s="201">
        <v>46233</v>
      </c>
      <c r="AA1009" s="198" t="s">
        <v>59</v>
      </c>
      <c r="AB1009" s="198" t="s">
        <v>60</v>
      </c>
      <c r="AC1009" s="198" t="s">
        <v>86</v>
      </c>
      <c r="AD1009" s="198" t="s">
        <v>62</v>
      </c>
      <c r="AE1009" s="198" t="s">
        <v>100</v>
      </c>
      <c r="AF1009" s="198" t="s">
        <v>99</v>
      </c>
      <c r="AG1009" s="198" t="s">
        <v>248</v>
      </c>
      <c r="AH1009" s="198" t="s">
        <v>95</v>
      </c>
      <c r="AI1009" s="198" t="s">
        <v>56</v>
      </c>
      <c r="AJ1009" s="198" t="s">
        <v>74</v>
      </c>
      <c r="AK1009" s="198" t="s">
        <v>51</v>
      </c>
      <c r="AL1009" s="198" t="s">
        <v>67</v>
      </c>
      <c r="AM1009" s="198" t="s">
        <v>68</v>
      </c>
      <c r="AN1009" s="202">
        <v>2616744.4900000002</v>
      </c>
      <c r="AO1009" s="202">
        <v>2616744.4900000002</v>
      </c>
      <c r="AP1009" s="202">
        <v>2616744.4900000002</v>
      </c>
      <c r="AQ1009" s="198" t="s">
        <v>358</v>
      </c>
      <c r="AR1009" s="198" t="s">
        <v>51</v>
      </c>
      <c r="AS1009" s="202">
        <v>2616744.4900000002</v>
      </c>
      <c r="AT1009" s="202">
        <v>2616744.4900000002</v>
      </c>
      <c r="AU1009" s="198" t="s">
        <v>359</v>
      </c>
      <c r="AV1009" s="198" t="s">
        <v>62</v>
      </c>
      <c r="AW1009" s="198" t="s">
        <v>54</v>
      </c>
    </row>
    <row r="1010" spans="3:49" outlineLevel="2" x14ac:dyDescent="0.25">
      <c r="C1010" s="201"/>
      <c r="D1010" s="198" t="s">
        <v>672</v>
      </c>
      <c r="H1010" s="198" t="s">
        <v>672</v>
      </c>
      <c r="I1010" s="202">
        <f t="shared" si="15"/>
        <v>420802622.55000001</v>
      </c>
      <c r="J1010" s="202">
        <v>101.9</v>
      </c>
      <c r="L1010" s="203">
        <v>71.161000000000001</v>
      </c>
      <c r="M1010" s="202">
        <v>7331788.9900000002</v>
      </c>
      <c r="N1010" s="203">
        <v>71.161000000000001</v>
      </c>
      <c r="O1010" s="198" t="s">
        <v>51</v>
      </c>
      <c r="P1010" s="202">
        <v>7331788.9900000002</v>
      </c>
      <c r="Q1010" s="198" t="s">
        <v>52</v>
      </c>
      <c r="R1010" s="198" t="s">
        <v>53</v>
      </c>
      <c r="S1010" s="198" t="s">
        <v>54</v>
      </c>
      <c r="T1010" s="198" t="s">
        <v>667</v>
      </c>
      <c r="U1010" s="198" t="s">
        <v>367</v>
      </c>
      <c r="V1010" s="198" t="s">
        <v>56</v>
      </c>
      <c r="W1010" s="198" t="s">
        <v>356</v>
      </c>
      <c r="X1010" s="198" t="s">
        <v>57</v>
      </c>
      <c r="Y1010" s="198" t="s">
        <v>58</v>
      </c>
      <c r="Z1010" s="201">
        <v>46233</v>
      </c>
      <c r="AA1010" s="198" t="s">
        <v>59</v>
      </c>
      <c r="AB1010" s="198" t="s">
        <v>60</v>
      </c>
      <c r="AC1010" s="198" t="s">
        <v>86</v>
      </c>
      <c r="AD1010" s="198" t="s">
        <v>62</v>
      </c>
      <c r="AE1010" s="198" t="s">
        <v>102</v>
      </c>
      <c r="AF1010" s="198" t="s">
        <v>101</v>
      </c>
      <c r="AG1010" s="198" t="s">
        <v>248</v>
      </c>
      <c r="AH1010" s="198" t="s">
        <v>95</v>
      </c>
      <c r="AI1010" s="198" t="s">
        <v>56</v>
      </c>
      <c r="AJ1010" s="198" t="s">
        <v>66</v>
      </c>
      <c r="AK1010" s="198" t="s">
        <v>51</v>
      </c>
      <c r="AL1010" s="198" t="s">
        <v>67</v>
      </c>
      <c r="AM1010" s="198" t="s">
        <v>68</v>
      </c>
      <c r="AN1010" s="202">
        <v>7331788.9900000002</v>
      </c>
      <c r="AO1010" s="202">
        <v>7331788.9900000002</v>
      </c>
      <c r="AP1010" s="202">
        <v>7331788.9900000002</v>
      </c>
      <c r="AQ1010" s="198" t="s">
        <v>358</v>
      </c>
      <c r="AR1010" s="198" t="s">
        <v>51</v>
      </c>
      <c r="AS1010" s="202">
        <v>7331788.9900000002</v>
      </c>
      <c r="AT1010" s="202">
        <v>7331788.9900000002</v>
      </c>
      <c r="AU1010" s="198" t="s">
        <v>359</v>
      </c>
      <c r="AV1010" s="198" t="s">
        <v>62</v>
      </c>
      <c r="AW1010" s="198" t="s">
        <v>54</v>
      </c>
    </row>
    <row r="1011" spans="3:49" outlineLevel="2" x14ac:dyDescent="0.25">
      <c r="C1011" s="201"/>
      <c r="D1011" s="198" t="s">
        <v>672</v>
      </c>
      <c r="H1011" s="198" t="s">
        <v>672</v>
      </c>
      <c r="I1011" s="202">
        <f t="shared" si="15"/>
        <v>421215579</v>
      </c>
      <c r="J1011" s="202">
        <v>102</v>
      </c>
      <c r="L1011" s="203">
        <v>2.31</v>
      </c>
      <c r="M1011" s="202">
        <v>428181.6</v>
      </c>
      <c r="N1011" s="203">
        <v>2.31</v>
      </c>
      <c r="O1011" s="198" t="s">
        <v>51</v>
      </c>
      <c r="P1011" s="202">
        <v>428181.6</v>
      </c>
      <c r="Q1011" s="198" t="s">
        <v>52</v>
      </c>
      <c r="R1011" s="198" t="s">
        <v>53</v>
      </c>
      <c r="S1011" s="198" t="s">
        <v>54</v>
      </c>
      <c r="T1011" s="198" t="s">
        <v>667</v>
      </c>
      <c r="U1011" s="198" t="s">
        <v>367</v>
      </c>
      <c r="V1011" s="198" t="s">
        <v>56</v>
      </c>
      <c r="W1011" s="198" t="s">
        <v>356</v>
      </c>
      <c r="X1011" s="198" t="s">
        <v>57</v>
      </c>
      <c r="Y1011" s="198" t="s">
        <v>58</v>
      </c>
      <c r="Z1011" s="201">
        <v>46233</v>
      </c>
      <c r="AA1011" s="198" t="s">
        <v>59</v>
      </c>
      <c r="AB1011" s="198" t="s">
        <v>60</v>
      </c>
      <c r="AC1011" s="198" t="s">
        <v>86</v>
      </c>
      <c r="AD1011" s="198" t="s">
        <v>62</v>
      </c>
      <c r="AE1011" s="198" t="s">
        <v>105</v>
      </c>
      <c r="AF1011" s="198" t="s">
        <v>104</v>
      </c>
      <c r="AG1011" s="198" t="s">
        <v>248</v>
      </c>
      <c r="AH1011" s="198" t="s">
        <v>95</v>
      </c>
      <c r="AI1011" s="198" t="s">
        <v>56</v>
      </c>
      <c r="AJ1011" s="198" t="s">
        <v>103</v>
      </c>
      <c r="AK1011" s="198" t="s">
        <v>51</v>
      </c>
      <c r="AL1011" s="198" t="s">
        <v>67</v>
      </c>
      <c r="AM1011" s="198" t="s">
        <v>68</v>
      </c>
      <c r="AN1011" s="202">
        <v>428181.6</v>
      </c>
      <c r="AO1011" s="202">
        <v>428181.6</v>
      </c>
      <c r="AP1011" s="202">
        <v>428181.6</v>
      </c>
      <c r="AQ1011" s="198" t="s">
        <v>358</v>
      </c>
      <c r="AR1011" s="198" t="s">
        <v>51</v>
      </c>
      <c r="AS1011" s="202">
        <v>428181.6</v>
      </c>
      <c r="AT1011" s="202">
        <v>428181.6</v>
      </c>
      <c r="AU1011" s="198" t="s">
        <v>359</v>
      </c>
      <c r="AV1011" s="198" t="s">
        <v>62</v>
      </c>
      <c r="AW1011" s="198" t="s">
        <v>54</v>
      </c>
    </row>
    <row r="1012" spans="3:49" outlineLevel="2" x14ac:dyDescent="0.25">
      <c r="C1012" s="201"/>
      <c r="D1012" s="198" t="s">
        <v>672</v>
      </c>
      <c r="H1012" s="198" t="s">
        <v>672</v>
      </c>
      <c r="I1012" s="202">
        <f t="shared" si="15"/>
        <v>421628535.44999999</v>
      </c>
      <c r="J1012" s="202">
        <v>102.1</v>
      </c>
      <c r="L1012" s="203">
        <v>4799.97</v>
      </c>
      <c r="M1012" s="202">
        <v>3359979</v>
      </c>
      <c r="N1012" s="203">
        <v>4799.97</v>
      </c>
      <c r="O1012" s="198" t="s">
        <v>51</v>
      </c>
      <c r="P1012" s="202">
        <v>3359979</v>
      </c>
      <c r="Q1012" s="198" t="s">
        <v>70</v>
      </c>
      <c r="R1012" s="198" t="s">
        <v>53</v>
      </c>
      <c r="S1012" s="198" t="s">
        <v>54</v>
      </c>
      <c r="T1012" s="198" t="s">
        <v>667</v>
      </c>
      <c r="U1012" s="198" t="s">
        <v>367</v>
      </c>
      <c r="V1012" s="198" t="s">
        <v>56</v>
      </c>
      <c r="W1012" s="198" t="s">
        <v>356</v>
      </c>
      <c r="X1012" s="198" t="s">
        <v>57</v>
      </c>
      <c r="Y1012" s="198" t="s">
        <v>58</v>
      </c>
      <c r="Z1012" s="201">
        <v>46233</v>
      </c>
      <c r="AA1012" s="198" t="s">
        <v>59</v>
      </c>
      <c r="AB1012" s="198" t="s">
        <v>60</v>
      </c>
      <c r="AC1012" s="198" t="s">
        <v>86</v>
      </c>
      <c r="AD1012" s="198" t="s">
        <v>62</v>
      </c>
      <c r="AE1012" s="198" t="s">
        <v>2026</v>
      </c>
      <c r="AF1012" s="198" t="s">
        <v>2025</v>
      </c>
      <c r="AG1012" s="198" t="s">
        <v>248</v>
      </c>
      <c r="AH1012" s="198" t="s">
        <v>95</v>
      </c>
      <c r="AI1012" s="198" t="s">
        <v>56</v>
      </c>
      <c r="AJ1012" s="198" t="s">
        <v>106</v>
      </c>
      <c r="AK1012" s="198" t="s">
        <v>51</v>
      </c>
      <c r="AL1012" s="198" t="s">
        <v>67</v>
      </c>
      <c r="AM1012" s="198" t="s">
        <v>68</v>
      </c>
      <c r="AN1012" s="202">
        <v>3359979</v>
      </c>
      <c r="AO1012" s="202">
        <v>3359979</v>
      </c>
      <c r="AP1012" s="202">
        <v>3359979</v>
      </c>
      <c r="AQ1012" s="198" t="s">
        <v>358</v>
      </c>
      <c r="AR1012" s="198" t="s">
        <v>51</v>
      </c>
      <c r="AS1012" s="202">
        <v>3359979</v>
      </c>
      <c r="AT1012" s="202">
        <v>3359979</v>
      </c>
      <c r="AU1012" s="198" t="s">
        <v>359</v>
      </c>
      <c r="AV1012" s="198" t="s">
        <v>62</v>
      </c>
      <c r="AW1012" s="198" t="s">
        <v>54</v>
      </c>
    </row>
    <row r="1013" spans="3:49" outlineLevel="2" x14ac:dyDescent="0.25">
      <c r="C1013" s="201"/>
      <c r="D1013" s="198" t="s">
        <v>672</v>
      </c>
      <c r="H1013" s="198" t="s">
        <v>672</v>
      </c>
      <c r="I1013" s="202">
        <f t="shared" si="15"/>
        <v>422041491.90000004</v>
      </c>
      <c r="J1013" s="202">
        <v>102.2</v>
      </c>
      <c r="L1013" s="203">
        <v>9.14</v>
      </c>
      <c r="M1013" s="202">
        <v>1151640</v>
      </c>
      <c r="N1013" s="203">
        <v>9.14</v>
      </c>
      <c r="O1013" s="198" t="s">
        <v>51</v>
      </c>
      <c r="P1013" s="202">
        <v>1151640</v>
      </c>
      <c r="Q1013" s="198" t="s">
        <v>52</v>
      </c>
      <c r="R1013" s="198" t="s">
        <v>53</v>
      </c>
      <c r="S1013" s="198" t="s">
        <v>54</v>
      </c>
      <c r="T1013" s="198" t="s">
        <v>667</v>
      </c>
      <c r="U1013" s="198" t="s">
        <v>367</v>
      </c>
      <c r="V1013" s="198" t="s">
        <v>56</v>
      </c>
      <c r="W1013" s="198" t="s">
        <v>356</v>
      </c>
      <c r="X1013" s="198" t="s">
        <v>57</v>
      </c>
      <c r="Y1013" s="198" t="s">
        <v>58</v>
      </c>
      <c r="Z1013" s="201">
        <v>46233</v>
      </c>
      <c r="AA1013" s="198" t="s">
        <v>59</v>
      </c>
      <c r="AB1013" s="198" t="s">
        <v>60</v>
      </c>
      <c r="AC1013" s="198" t="s">
        <v>86</v>
      </c>
      <c r="AD1013" s="198" t="s">
        <v>62</v>
      </c>
      <c r="AE1013" s="198" t="s">
        <v>108</v>
      </c>
      <c r="AF1013" s="198" t="s">
        <v>107</v>
      </c>
      <c r="AG1013" s="198" t="s">
        <v>248</v>
      </c>
      <c r="AH1013" s="198" t="s">
        <v>95</v>
      </c>
      <c r="AI1013" s="198" t="s">
        <v>56</v>
      </c>
      <c r="AJ1013" s="198" t="s">
        <v>74</v>
      </c>
      <c r="AK1013" s="198" t="s">
        <v>51</v>
      </c>
      <c r="AL1013" s="198" t="s">
        <v>67</v>
      </c>
      <c r="AM1013" s="198" t="s">
        <v>68</v>
      </c>
      <c r="AN1013" s="202">
        <v>1151640</v>
      </c>
      <c r="AO1013" s="202">
        <v>1151640</v>
      </c>
      <c r="AP1013" s="202">
        <v>1151640</v>
      </c>
      <c r="AQ1013" s="198" t="s">
        <v>358</v>
      </c>
      <c r="AR1013" s="198" t="s">
        <v>51</v>
      </c>
      <c r="AS1013" s="202">
        <v>1151640</v>
      </c>
      <c r="AT1013" s="202">
        <v>1151640</v>
      </c>
      <c r="AU1013" s="198" t="s">
        <v>359</v>
      </c>
      <c r="AV1013" s="198" t="s">
        <v>62</v>
      </c>
      <c r="AW1013" s="198" t="s">
        <v>54</v>
      </c>
    </row>
    <row r="1014" spans="3:49" outlineLevel="2" x14ac:dyDescent="0.25">
      <c r="C1014" s="201"/>
      <c r="D1014" s="198" t="s">
        <v>48</v>
      </c>
      <c r="H1014" s="198" t="s">
        <v>48</v>
      </c>
      <c r="I1014" s="202">
        <f t="shared" si="15"/>
        <v>422454448.34999996</v>
      </c>
      <c r="J1014" s="202">
        <v>102.3</v>
      </c>
      <c r="L1014" s="203">
        <v>17.262</v>
      </c>
      <c r="M1014" s="202">
        <v>1778521.12</v>
      </c>
      <c r="N1014" s="203">
        <v>8.4619999999999997</v>
      </c>
      <c r="O1014" s="198" t="s">
        <v>51</v>
      </c>
      <c r="P1014" s="202">
        <v>871848.32</v>
      </c>
      <c r="Q1014" s="198" t="s">
        <v>52</v>
      </c>
      <c r="R1014" s="198" t="s">
        <v>53</v>
      </c>
      <c r="S1014" s="198" t="s">
        <v>54</v>
      </c>
      <c r="T1014" s="198" t="s">
        <v>667</v>
      </c>
      <c r="U1014" s="198" t="s">
        <v>367</v>
      </c>
      <c r="V1014" s="198" t="s">
        <v>56</v>
      </c>
      <c r="W1014" s="198" t="s">
        <v>356</v>
      </c>
      <c r="X1014" s="198" t="s">
        <v>57</v>
      </c>
      <c r="Y1014" s="198" t="s">
        <v>58</v>
      </c>
      <c r="Z1014" s="201">
        <v>46233</v>
      </c>
      <c r="AA1014" s="198" t="s">
        <v>59</v>
      </c>
      <c r="AB1014" s="198" t="s">
        <v>60</v>
      </c>
      <c r="AC1014" s="198" t="s">
        <v>86</v>
      </c>
      <c r="AD1014" s="198" t="s">
        <v>62</v>
      </c>
      <c r="AE1014" s="198" t="s">
        <v>102</v>
      </c>
      <c r="AF1014" s="198" t="s">
        <v>101</v>
      </c>
      <c r="AG1014" s="198" t="s">
        <v>248</v>
      </c>
      <c r="AH1014" s="198" t="s">
        <v>65</v>
      </c>
      <c r="AI1014" s="198" t="s">
        <v>56</v>
      </c>
      <c r="AJ1014" s="198" t="s">
        <v>66</v>
      </c>
      <c r="AK1014" s="198" t="s">
        <v>51</v>
      </c>
      <c r="AL1014" s="198" t="s">
        <v>67</v>
      </c>
      <c r="AM1014" s="198" t="s">
        <v>68</v>
      </c>
      <c r="AN1014" s="202">
        <v>1778521.12</v>
      </c>
      <c r="AO1014" s="202">
        <v>1778521.12</v>
      </c>
      <c r="AP1014" s="202">
        <v>1778521.12</v>
      </c>
      <c r="AQ1014" s="198" t="s">
        <v>358</v>
      </c>
      <c r="AR1014" s="198" t="s">
        <v>51</v>
      </c>
      <c r="AS1014" s="202">
        <v>871848.32</v>
      </c>
      <c r="AT1014" s="202">
        <v>871848.32</v>
      </c>
      <c r="AU1014" s="198" t="s">
        <v>359</v>
      </c>
      <c r="AV1014" s="198" t="s">
        <v>62</v>
      </c>
      <c r="AW1014" s="198" t="s">
        <v>54</v>
      </c>
    </row>
    <row r="1015" spans="3:49" outlineLevel="2" x14ac:dyDescent="0.25">
      <c r="C1015" s="201"/>
      <c r="D1015" s="198" t="s">
        <v>48</v>
      </c>
      <c r="H1015" s="198" t="s">
        <v>48</v>
      </c>
      <c r="I1015" s="202">
        <f t="shared" si="15"/>
        <v>422867404.80000001</v>
      </c>
      <c r="J1015" s="202">
        <v>102.4</v>
      </c>
      <c r="L1015" s="203">
        <v>0.45</v>
      </c>
      <c r="M1015" s="202">
        <v>74412</v>
      </c>
      <c r="N1015" s="203">
        <v>0.11700000000000001</v>
      </c>
      <c r="O1015" s="198" t="s">
        <v>51</v>
      </c>
      <c r="P1015" s="202">
        <v>19347.12</v>
      </c>
      <c r="Q1015" s="198" t="s">
        <v>52</v>
      </c>
      <c r="R1015" s="198" t="s">
        <v>53</v>
      </c>
      <c r="S1015" s="198" t="s">
        <v>54</v>
      </c>
      <c r="T1015" s="198" t="s">
        <v>667</v>
      </c>
      <c r="U1015" s="198" t="s">
        <v>367</v>
      </c>
      <c r="V1015" s="198" t="s">
        <v>56</v>
      </c>
      <c r="W1015" s="198" t="s">
        <v>356</v>
      </c>
      <c r="X1015" s="198" t="s">
        <v>57</v>
      </c>
      <c r="Y1015" s="198" t="s">
        <v>58</v>
      </c>
      <c r="Z1015" s="201">
        <v>46233</v>
      </c>
      <c r="AA1015" s="198" t="s">
        <v>59</v>
      </c>
      <c r="AB1015" s="198" t="s">
        <v>60</v>
      </c>
      <c r="AC1015" s="198" t="s">
        <v>86</v>
      </c>
      <c r="AD1015" s="198" t="s">
        <v>62</v>
      </c>
      <c r="AE1015" s="198" t="s">
        <v>516</v>
      </c>
      <c r="AF1015" s="198" t="s">
        <v>515</v>
      </c>
      <c r="AG1015" s="198" t="s">
        <v>248</v>
      </c>
      <c r="AH1015" s="198" t="s">
        <v>65</v>
      </c>
      <c r="AI1015" s="198" t="s">
        <v>56</v>
      </c>
      <c r="AJ1015" s="198" t="s">
        <v>103</v>
      </c>
      <c r="AK1015" s="198" t="s">
        <v>51</v>
      </c>
      <c r="AL1015" s="198" t="s">
        <v>67</v>
      </c>
      <c r="AM1015" s="198" t="s">
        <v>68</v>
      </c>
      <c r="AN1015" s="202">
        <v>74412</v>
      </c>
      <c r="AO1015" s="202">
        <v>74412</v>
      </c>
      <c r="AP1015" s="202">
        <v>74412</v>
      </c>
      <c r="AQ1015" s="198" t="s">
        <v>358</v>
      </c>
      <c r="AR1015" s="198" t="s">
        <v>51</v>
      </c>
      <c r="AS1015" s="202">
        <v>19347.12</v>
      </c>
      <c r="AT1015" s="202">
        <v>19347.12</v>
      </c>
      <c r="AU1015" s="198" t="s">
        <v>359</v>
      </c>
      <c r="AV1015" s="198" t="s">
        <v>62</v>
      </c>
      <c r="AW1015" s="198" t="s">
        <v>54</v>
      </c>
    </row>
    <row r="1016" spans="3:49" outlineLevel="2" x14ac:dyDescent="0.25">
      <c r="C1016" s="201"/>
      <c r="D1016" s="198" t="s">
        <v>48</v>
      </c>
      <c r="H1016" s="198" t="s">
        <v>48</v>
      </c>
      <c r="I1016" s="202">
        <f t="shared" si="15"/>
        <v>423280361.25</v>
      </c>
      <c r="J1016" s="202">
        <v>102.5</v>
      </c>
      <c r="L1016" s="203">
        <v>3.15</v>
      </c>
      <c r="M1016" s="202">
        <v>396900</v>
      </c>
      <c r="N1016" s="203">
        <v>3.15</v>
      </c>
      <c r="O1016" s="198" t="s">
        <v>51</v>
      </c>
      <c r="P1016" s="202">
        <v>396900</v>
      </c>
      <c r="Q1016" s="198" t="s">
        <v>52</v>
      </c>
      <c r="R1016" s="198" t="s">
        <v>53</v>
      </c>
      <c r="S1016" s="198" t="s">
        <v>54</v>
      </c>
      <c r="T1016" s="198" t="s">
        <v>667</v>
      </c>
      <c r="U1016" s="198" t="s">
        <v>367</v>
      </c>
      <c r="V1016" s="198" t="s">
        <v>56</v>
      </c>
      <c r="W1016" s="198" t="s">
        <v>356</v>
      </c>
      <c r="X1016" s="198" t="s">
        <v>57</v>
      </c>
      <c r="Y1016" s="198" t="s">
        <v>58</v>
      </c>
      <c r="Z1016" s="201">
        <v>46233</v>
      </c>
      <c r="AA1016" s="198" t="s">
        <v>59</v>
      </c>
      <c r="AB1016" s="198" t="s">
        <v>60</v>
      </c>
      <c r="AC1016" s="198" t="s">
        <v>86</v>
      </c>
      <c r="AD1016" s="198" t="s">
        <v>62</v>
      </c>
      <c r="AE1016" s="198" t="s">
        <v>108</v>
      </c>
      <c r="AF1016" s="198" t="s">
        <v>107</v>
      </c>
      <c r="AG1016" s="198" t="s">
        <v>248</v>
      </c>
      <c r="AH1016" s="198" t="s">
        <v>65</v>
      </c>
      <c r="AI1016" s="198" t="s">
        <v>56</v>
      </c>
      <c r="AJ1016" s="198" t="s">
        <v>74</v>
      </c>
      <c r="AK1016" s="198" t="s">
        <v>51</v>
      </c>
      <c r="AL1016" s="198" t="s">
        <v>67</v>
      </c>
      <c r="AM1016" s="198" t="s">
        <v>68</v>
      </c>
      <c r="AN1016" s="202">
        <v>396900</v>
      </c>
      <c r="AO1016" s="202">
        <v>396900</v>
      </c>
      <c r="AP1016" s="202">
        <v>396900</v>
      </c>
      <c r="AQ1016" s="198" t="s">
        <v>358</v>
      </c>
      <c r="AR1016" s="198" t="s">
        <v>51</v>
      </c>
      <c r="AS1016" s="202">
        <v>396900</v>
      </c>
      <c r="AT1016" s="202">
        <v>396900</v>
      </c>
      <c r="AU1016" s="198" t="s">
        <v>359</v>
      </c>
      <c r="AV1016" s="198" t="s">
        <v>62</v>
      </c>
      <c r="AW1016" s="198" t="s">
        <v>54</v>
      </c>
    </row>
    <row r="1017" spans="3:49" outlineLevel="2" x14ac:dyDescent="0.25">
      <c r="C1017" s="201"/>
      <c r="D1017" s="198" t="s">
        <v>48</v>
      </c>
      <c r="H1017" s="198" t="s">
        <v>48</v>
      </c>
      <c r="I1017" s="202">
        <f t="shared" si="15"/>
        <v>423693317.69999999</v>
      </c>
      <c r="J1017" s="202">
        <v>102.6</v>
      </c>
      <c r="L1017" s="204">
        <v>756</v>
      </c>
      <c r="M1017" s="202">
        <v>529200</v>
      </c>
      <c r="N1017" s="204">
        <v>756</v>
      </c>
      <c r="O1017" s="198" t="s">
        <v>51</v>
      </c>
      <c r="P1017" s="202">
        <v>529200</v>
      </c>
      <c r="Q1017" s="198" t="s">
        <v>70</v>
      </c>
      <c r="R1017" s="198" t="s">
        <v>53</v>
      </c>
      <c r="S1017" s="198" t="s">
        <v>54</v>
      </c>
      <c r="T1017" s="198" t="s">
        <v>667</v>
      </c>
      <c r="U1017" s="198" t="s">
        <v>367</v>
      </c>
      <c r="V1017" s="198" t="s">
        <v>56</v>
      </c>
      <c r="W1017" s="198" t="s">
        <v>356</v>
      </c>
      <c r="X1017" s="198" t="s">
        <v>57</v>
      </c>
      <c r="Y1017" s="198" t="s">
        <v>58</v>
      </c>
      <c r="Z1017" s="201">
        <v>46233</v>
      </c>
      <c r="AA1017" s="198" t="s">
        <v>59</v>
      </c>
      <c r="AB1017" s="198" t="s">
        <v>60</v>
      </c>
      <c r="AC1017" s="198" t="s">
        <v>86</v>
      </c>
      <c r="AD1017" s="198" t="s">
        <v>62</v>
      </c>
      <c r="AE1017" s="198" t="s">
        <v>518</v>
      </c>
      <c r="AF1017" s="198" t="s">
        <v>517</v>
      </c>
      <c r="AG1017" s="198" t="s">
        <v>248</v>
      </c>
      <c r="AH1017" s="198" t="s">
        <v>65</v>
      </c>
      <c r="AI1017" s="198" t="s">
        <v>56</v>
      </c>
      <c r="AJ1017" s="198" t="s">
        <v>106</v>
      </c>
      <c r="AK1017" s="198" t="s">
        <v>51</v>
      </c>
      <c r="AL1017" s="198" t="s">
        <v>67</v>
      </c>
      <c r="AM1017" s="198" t="s">
        <v>68</v>
      </c>
      <c r="AN1017" s="202">
        <v>529200</v>
      </c>
      <c r="AO1017" s="202">
        <v>529200</v>
      </c>
      <c r="AP1017" s="202">
        <v>529200</v>
      </c>
      <c r="AQ1017" s="198" t="s">
        <v>358</v>
      </c>
      <c r="AR1017" s="198" t="s">
        <v>51</v>
      </c>
      <c r="AS1017" s="202">
        <v>529200</v>
      </c>
      <c r="AT1017" s="202">
        <v>529200</v>
      </c>
      <c r="AU1017" s="198" t="s">
        <v>359</v>
      </c>
      <c r="AV1017" s="198" t="s">
        <v>62</v>
      </c>
      <c r="AW1017" s="198" t="s">
        <v>54</v>
      </c>
    </row>
    <row r="1018" spans="3:49" outlineLevel="2" x14ac:dyDescent="0.25">
      <c r="C1018" s="201"/>
      <c r="D1018" s="198" t="s">
        <v>77</v>
      </c>
      <c r="H1018" s="198" t="s">
        <v>77</v>
      </c>
      <c r="I1018" s="202">
        <f t="shared" si="15"/>
        <v>424106274.15000004</v>
      </c>
      <c r="J1018" s="202">
        <v>102.7</v>
      </c>
      <c r="L1018" s="203">
        <v>1.9950000000000001</v>
      </c>
      <c r="M1018" s="202">
        <v>329893.2</v>
      </c>
      <c r="N1018" s="203">
        <v>1.9950000000000001</v>
      </c>
      <c r="O1018" s="198" t="s">
        <v>51</v>
      </c>
      <c r="P1018" s="202">
        <v>329893.2</v>
      </c>
      <c r="Q1018" s="198" t="s">
        <v>52</v>
      </c>
      <c r="R1018" s="198" t="s">
        <v>53</v>
      </c>
      <c r="S1018" s="198" t="s">
        <v>54</v>
      </c>
      <c r="T1018" s="198" t="s">
        <v>667</v>
      </c>
      <c r="U1018" s="198" t="s">
        <v>367</v>
      </c>
      <c r="V1018" s="198" t="s">
        <v>56</v>
      </c>
      <c r="W1018" s="198" t="s">
        <v>356</v>
      </c>
      <c r="X1018" s="198" t="s">
        <v>57</v>
      </c>
      <c r="Y1018" s="198" t="s">
        <v>58</v>
      </c>
      <c r="Z1018" s="201">
        <v>46233</v>
      </c>
      <c r="AA1018" s="198" t="s">
        <v>59</v>
      </c>
      <c r="AB1018" s="198" t="s">
        <v>60</v>
      </c>
      <c r="AC1018" s="198" t="s">
        <v>86</v>
      </c>
      <c r="AD1018" s="198" t="s">
        <v>62</v>
      </c>
      <c r="AE1018" s="198" t="s">
        <v>516</v>
      </c>
      <c r="AF1018" s="198" t="s">
        <v>515</v>
      </c>
      <c r="AG1018" s="198" t="s">
        <v>248</v>
      </c>
      <c r="AH1018" s="198" t="s">
        <v>65</v>
      </c>
      <c r="AI1018" s="198" t="s">
        <v>56</v>
      </c>
      <c r="AJ1018" s="198" t="s">
        <v>103</v>
      </c>
      <c r="AK1018" s="198" t="s">
        <v>51</v>
      </c>
      <c r="AL1018" s="198" t="s">
        <v>67</v>
      </c>
      <c r="AM1018" s="198" t="s">
        <v>68</v>
      </c>
      <c r="AN1018" s="202">
        <v>329893.2</v>
      </c>
      <c r="AO1018" s="202">
        <v>329893.2</v>
      </c>
      <c r="AP1018" s="202">
        <v>329893.2</v>
      </c>
      <c r="AQ1018" s="198" t="s">
        <v>358</v>
      </c>
      <c r="AR1018" s="198" t="s">
        <v>51</v>
      </c>
      <c r="AS1018" s="202">
        <v>329893.2</v>
      </c>
      <c r="AT1018" s="202">
        <v>329893.2</v>
      </c>
      <c r="AU1018" s="198" t="s">
        <v>359</v>
      </c>
      <c r="AV1018" s="198" t="s">
        <v>62</v>
      </c>
      <c r="AW1018" s="198" t="s">
        <v>54</v>
      </c>
    </row>
    <row r="1019" spans="3:49" outlineLevel="2" x14ac:dyDescent="0.25">
      <c r="C1019" s="201"/>
      <c r="D1019" s="198" t="s">
        <v>77</v>
      </c>
      <c r="H1019" s="198" t="s">
        <v>77</v>
      </c>
      <c r="I1019" s="202">
        <f t="shared" si="15"/>
        <v>424519230.59999996</v>
      </c>
      <c r="J1019" s="202">
        <v>102.8</v>
      </c>
      <c r="L1019" s="203">
        <v>5.0060000000000002</v>
      </c>
      <c r="M1019" s="202">
        <v>927912.16</v>
      </c>
      <c r="N1019" s="203">
        <v>0.83899999999999997</v>
      </c>
      <c r="O1019" s="198" t="s">
        <v>51</v>
      </c>
      <c r="P1019" s="202">
        <v>155517.04</v>
      </c>
      <c r="Q1019" s="198" t="s">
        <v>52</v>
      </c>
      <c r="R1019" s="198" t="s">
        <v>53</v>
      </c>
      <c r="S1019" s="198" t="s">
        <v>54</v>
      </c>
      <c r="T1019" s="198" t="s">
        <v>667</v>
      </c>
      <c r="U1019" s="198" t="s">
        <v>367</v>
      </c>
      <c r="V1019" s="198" t="s">
        <v>56</v>
      </c>
      <c r="W1019" s="198" t="s">
        <v>356</v>
      </c>
      <c r="X1019" s="198" t="s">
        <v>57</v>
      </c>
      <c r="Y1019" s="198" t="s">
        <v>58</v>
      </c>
      <c r="Z1019" s="201">
        <v>46233</v>
      </c>
      <c r="AA1019" s="198" t="s">
        <v>59</v>
      </c>
      <c r="AB1019" s="198" t="s">
        <v>60</v>
      </c>
      <c r="AC1019" s="198" t="s">
        <v>86</v>
      </c>
      <c r="AD1019" s="198" t="s">
        <v>62</v>
      </c>
      <c r="AE1019" s="198" t="s">
        <v>105</v>
      </c>
      <c r="AF1019" s="198" t="s">
        <v>104</v>
      </c>
      <c r="AG1019" s="198" t="s">
        <v>248</v>
      </c>
      <c r="AH1019" s="198" t="s">
        <v>65</v>
      </c>
      <c r="AI1019" s="198" t="s">
        <v>56</v>
      </c>
      <c r="AJ1019" s="198" t="s">
        <v>103</v>
      </c>
      <c r="AK1019" s="198" t="s">
        <v>51</v>
      </c>
      <c r="AL1019" s="198" t="s">
        <v>67</v>
      </c>
      <c r="AM1019" s="198" t="s">
        <v>68</v>
      </c>
      <c r="AN1019" s="202">
        <v>927912.16</v>
      </c>
      <c r="AO1019" s="202">
        <v>927912.16</v>
      </c>
      <c r="AP1019" s="202">
        <v>927912.16</v>
      </c>
      <c r="AQ1019" s="198" t="s">
        <v>358</v>
      </c>
      <c r="AR1019" s="198" t="s">
        <v>51</v>
      </c>
      <c r="AS1019" s="202">
        <v>155517.04</v>
      </c>
      <c r="AT1019" s="202">
        <v>155517.04</v>
      </c>
      <c r="AU1019" s="198" t="s">
        <v>359</v>
      </c>
      <c r="AV1019" s="198" t="s">
        <v>62</v>
      </c>
      <c r="AW1019" s="198" t="s">
        <v>54</v>
      </c>
    </row>
    <row r="1020" spans="3:49" outlineLevel="2" x14ac:dyDescent="0.25">
      <c r="C1020" s="201"/>
      <c r="D1020" s="198" t="s">
        <v>77</v>
      </c>
      <c r="H1020" s="198" t="s">
        <v>77</v>
      </c>
      <c r="I1020" s="202">
        <f t="shared" si="15"/>
        <v>424932187.05000001</v>
      </c>
      <c r="J1020" s="202">
        <v>102.9</v>
      </c>
      <c r="L1020" s="203">
        <v>12108.42</v>
      </c>
      <c r="M1020" s="202">
        <v>8475894</v>
      </c>
      <c r="N1020" s="203">
        <v>12108.42</v>
      </c>
      <c r="O1020" s="198" t="s">
        <v>51</v>
      </c>
      <c r="P1020" s="202">
        <v>8475894</v>
      </c>
      <c r="Q1020" s="198" t="s">
        <v>70</v>
      </c>
      <c r="R1020" s="198" t="s">
        <v>53</v>
      </c>
      <c r="S1020" s="198" t="s">
        <v>54</v>
      </c>
      <c r="T1020" s="198" t="s">
        <v>667</v>
      </c>
      <c r="U1020" s="198" t="s">
        <v>367</v>
      </c>
      <c r="V1020" s="198" t="s">
        <v>56</v>
      </c>
      <c r="W1020" s="198" t="s">
        <v>356</v>
      </c>
      <c r="X1020" s="198" t="s">
        <v>57</v>
      </c>
      <c r="Y1020" s="198" t="s">
        <v>58</v>
      </c>
      <c r="Z1020" s="201">
        <v>46233</v>
      </c>
      <c r="AA1020" s="198" t="s">
        <v>59</v>
      </c>
      <c r="AB1020" s="198" t="s">
        <v>60</v>
      </c>
      <c r="AC1020" s="198" t="s">
        <v>86</v>
      </c>
      <c r="AD1020" s="198" t="s">
        <v>62</v>
      </c>
      <c r="AE1020" s="198" t="s">
        <v>518</v>
      </c>
      <c r="AF1020" s="198" t="s">
        <v>517</v>
      </c>
      <c r="AG1020" s="198" t="s">
        <v>248</v>
      </c>
      <c r="AH1020" s="198" t="s">
        <v>65</v>
      </c>
      <c r="AI1020" s="198" t="s">
        <v>56</v>
      </c>
      <c r="AJ1020" s="198" t="s">
        <v>106</v>
      </c>
      <c r="AK1020" s="198" t="s">
        <v>51</v>
      </c>
      <c r="AL1020" s="198" t="s">
        <v>67</v>
      </c>
      <c r="AM1020" s="198" t="s">
        <v>68</v>
      </c>
      <c r="AN1020" s="202">
        <v>8475894</v>
      </c>
      <c r="AO1020" s="202">
        <v>8475894</v>
      </c>
      <c r="AP1020" s="202">
        <v>8475894</v>
      </c>
      <c r="AQ1020" s="198" t="s">
        <v>358</v>
      </c>
      <c r="AR1020" s="198" t="s">
        <v>51</v>
      </c>
      <c r="AS1020" s="202">
        <v>8475894</v>
      </c>
      <c r="AT1020" s="202">
        <v>8475894</v>
      </c>
      <c r="AU1020" s="198" t="s">
        <v>359</v>
      </c>
      <c r="AV1020" s="198" t="s">
        <v>62</v>
      </c>
      <c r="AW1020" s="198" t="s">
        <v>54</v>
      </c>
    </row>
    <row r="1021" spans="3:49" outlineLevel="2" x14ac:dyDescent="0.25">
      <c r="C1021" s="201"/>
      <c r="D1021" s="198" t="s">
        <v>77</v>
      </c>
      <c r="H1021" s="198" t="s">
        <v>77</v>
      </c>
      <c r="I1021" s="202">
        <f t="shared" si="15"/>
        <v>425345143.5</v>
      </c>
      <c r="J1021" s="202">
        <v>103</v>
      </c>
      <c r="L1021" s="203">
        <v>19.872</v>
      </c>
      <c r="M1021" s="202">
        <v>2503872</v>
      </c>
      <c r="N1021" s="203">
        <v>19.872</v>
      </c>
      <c r="O1021" s="198" t="s">
        <v>51</v>
      </c>
      <c r="P1021" s="202">
        <v>2503872</v>
      </c>
      <c r="Q1021" s="198" t="s">
        <v>52</v>
      </c>
      <c r="R1021" s="198" t="s">
        <v>53</v>
      </c>
      <c r="S1021" s="198" t="s">
        <v>54</v>
      </c>
      <c r="T1021" s="198" t="s">
        <v>667</v>
      </c>
      <c r="U1021" s="198" t="s">
        <v>367</v>
      </c>
      <c r="V1021" s="198" t="s">
        <v>56</v>
      </c>
      <c r="W1021" s="198" t="s">
        <v>356</v>
      </c>
      <c r="X1021" s="198" t="s">
        <v>57</v>
      </c>
      <c r="Y1021" s="198" t="s">
        <v>58</v>
      </c>
      <c r="Z1021" s="201">
        <v>46233</v>
      </c>
      <c r="AA1021" s="198" t="s">
        <v>59</v>
      </c>
      <c r="AB1021" s="198" t="s">
        <v>60</v>
      </c>
      <c r="AC1021" s="198" t="s">
        <v>86</v>
      </c>
      <c r="AD1021" s="198" t="s">
        <v>62</v>
      </c>
      <c r="AE1021" s="198" t="s">
        <v>108</v>
      </c>
      <c r="AF1021" s="198" t="s">
        <v>107</v>
      </c>
      <c r="AG1021" s="198" t="s">
        <v>248</v>
      </c>
      <c r="AH1021" s="198" t="s">
        <v>65</v>
      </c>
      <c r="AI1021" s="198" t="s">
        <v>56</v>
      </c>
      <c r="AJ1021" s="198" t="s">
        <v>74</v>
      </c>
      <c r="AK1021" s="198" t="s">
        <v>51</v>
      </c>
      <c r="AL1021" s="198" t="s">
        <v>67</v>
      </c>
      <c r="AM1021" s="198" t="s">
        <v>68</v>
      </c>
      <c r="AN1021" s="202">
        <v>2503872</v>
      </c>
      <c r="AO1021" s="202">
        <v>2503872</v>
      </c>
      <c r="AP1021" s="202">
        <v>2503872</v>
      </c>
      <c r="AQ1021" s="198" t="s">
        <v>358</v>
      </c>
      <c r="AR1021" s="198" t="s">
        <v>51</v>
      </c>
      <c r="AS1021" s="202">
        <v>2503872</v>
      </c>
      <c r="AT1021" s="202">
        <v>2503872</v>
      </c>
      <c r="AU1021" s="198" t="s">
        <v>359</v>
      </c>
      <c r="AV1021" s="198" t="s">
        <v>62</v>
      </c>
      <c r="AW1021" s="198" t="s">
        <v>54</v>
      </c>
    </row>
    <row r="1022" spans="3:49" outlineLevel="2" x14ac:dyDescent="0.25">
      <c r="C1022" s="201"/>
      <c r="D1022" s="198" t="s">
        <v>668</v>
      </c>
      <c r="H1022" s="198" t="s">
        <v>668</v>
      </c>
      <c r="I1022" s="202">
        <f t="shared" si="15"/>
        <v>425758099.94999999</v>
      </c>
      <c r="J1022" s="202">
        <v>103.1</v>
      </c>
      <c r="L1022" s="203">
        <v>4.62</v>
      </c>
      <c r="M1022" s="202">
        <v>468338.64</v>
      </c>
      <c r="N1022" s="203">
        <v>4.62</v>
      </c>
      <c r="O1022" s="198" t="s">
        <v>51</v>
      </c>
      <c r="P1022" s="202">
        <v>468338.64</v>
      </c>
      <c r="Q1022" s="198" t="s">
        <v>52</v>
      </c>
      <c r="R1022" s="198" t="s">
        <v>53</v>
      </c>
      <c r="S1022" s="198" t="s">
        <v>54</v>
      </c>
      <c r="T1022" s="198" t="s">
        <v>667</v>
      </c>
      <c r="U1022" s="198" t="s">
        <v>367</v>
      </c>
      <c r="V1022" s="198" t="s">
        <v>56</v>
      </c>
      <c r="W1022" s="198" t="s">
        <v>356</v>
      </c>
      <c r="X1022" s="198" t="s">
        <v>57</v>
      </c>
      <c r="Y1022" s="198" t="s">
        <v>58</v>
      </c>
      <c r="Z1022" s="201">
        <v>46233</v>
      </c>
      <c r="AA1022" s="198" t="s">
        <v>59</v>
      </c>
      <c r="AB1022" s="198" t="s">
        <v>60</v>
      </c>
      <c r="AC1022" s="198" t="s">
        <v>86</v>
      </c>
      <c r="AD1022" s="198" t="s">
        <v>62</v>
      </c>
      <c r="AE1022" s="198" t="s">
        <v>1775</v>
      </c>
      <c r="AF1022" s="198" t="s">
        <v>1774</v>
      </c>
      <c r="AG1022" s="198" t="s">
        <v>248</v>
      </c>
      <c r="AH1022" s="198" t="s">
        <v>112</v>
      </c>
      <c r="AI1022" s="198" t="s">
        <v>56</v>
      </c>
      <c r="AJ1022" s="198" t="s">
        <v>74</v>
      </c>
      <c r="AK1022" s="198" t="s">
        <v>51</v>
      </c>
      <c r="AL1022" s="198" t="s">
        <v>67</v>
      </c>
      <c r="AM1022" s="198" t="s">
        <v>68</v>
      </c>
      <c r="AN1022" s="202">
        <v>468338.64</v>
      </c>
      <c r="AO1022" s="202">
        <v>468338.64</v>
      </c>
      <c r="AP1022" s="202">
        <v>468338.64</v>
      </c>
      <c r="AQ1022" s="198" t="s">
        <v>358</v>
      </c>
      <c r="AR1022" s="198" t="s">
        <v>51</v>
      </c>
      <c r="AS1022" s="202">
        <v>468338.64</v>
      </c>
      <c r="AT1022" s="202">
        <v>468338.64</v>
      </c>
      <c r="AU1022" s="198" t="s">
        <v>359</v>
      </c>
      <c r="AV1022" s="198" t="s">
        <v>62</v>
      </c>
      <c r="AW1022" s="198" t="s">
        <v>54</v>
      </c>
    </row>
    <row r="1023" spans="3:49" outlineLevel="2" x14ac:dyDescent="0.25">
      <c r="C1023" s="201"/>
      <c r="D1023" s="198" t="s">
        <v>668</v>
      </c>
      <c r="H1023" s="198" t="s">
        <v>668</v>
      </c>
      <c r="I1023" s="202">
        <f t="shared" si="15"/>
        <v>426171056.40000004</v>
      </c>
      <c r="J1023" s="202">
        <v>103.2</v>
      </c>
      <c r="L1023" s="203">
        <v>10.616</v>
      </c>
      <c r="M1023" s="202">
        <v>1048871.42</v>
      </c>
      <c r="N1023" s="203">
        <v>10.616</v>
      </c>
      <c r="O1023" s="198" t="s">
        <v>51</v>
      </c>
      <c r="P1023" s="202">
        <v>1048871.42</v>
      </c>
      <c r="Q1023" s="198" t="s">
        <v>52</v>
      </c>
      <c r="R1023" s="198" t="s">
        <v>53</v>
      </c>
      <c r="S1023" s="198" t="s">
        <v>54</v>
      </c>
      <c r="T1023" s="198" t="s">
        <v>667</v>
      </c>
      <c r="U1023" s="198" t="s">
        <v>367</v>
      </c>
      <c r="V1023" s="198" t="s">
        <v>56</v>
      </c>
      <c r="W1023" s="198" t="s">
        <v>356</v>
      </c>
      <c r="X1023" s="198" t="s">
        <v>57</v>
      </c>
      <c r="Y1023" s="198" t="s">
        <v>58</v>
      </c>
      <c r="Z1023" s="201">
        <v>46233</v>
      </c>
      <c r="AA1023" s="198" t="s">
        <v>59</v>
      </c>
      <c r="AB1023" s="198" t="s">
        <v>60</v>
      </c>
      <c r="AC1023" s="198" t="s">
        <v>86</v>
      </c>
      <c r="AD1023" s="198" t="s">
        <v>62</v>
      </c>
      <c r="AE1023" s="198" t="s">
        <v>100</v>
      </c>
      <c r="AF1023" s="198" t="s">
        <v>99</v>
      </c>
      <c r="AG1023" s="198" t="s">
        <v>248</v>
      </c>
      <c r="AH1023" s="198" t="s">
        <v>112</v>
      </c>
      <c r="AI1023" s="198" t="s">
        <v>56</v>
      </c>
      <c r="AJ1023" s="198" t="s">
        <v>74</v>
      </c>
      <c r="AK1023" s="198" t="s">
        <v>51</v>
      </c>
      <c r="AL1023" s="198" t="s">
        <v>67</v>
      </c>
      <c r="AM1023" s="198" t="s">
        <v>68</v>
      </c>
      <c r="AN1023" s="202">
        <v>1048871.42</v>
      </c>
      <c r="AO1023" s="202">
        <v>1048871.42</v>
      </c>
      <c r="AP1023" s="202">
        <v>1048871.42</v>
      </c>
      <c r="AQ1023" s="198" t="s">
        <v>358</v>
      </c>
      <c r="AR1023" s="198" t="s">
        <v>51</v>
      </c>
      <c r="AS1023" s="202">
        <v>1048871.42</v>
      </c>
      <c r="AT1023" s="202">
        <v>1048871.42</v>
      </c>
      <c r="AU1023" s="198" t="s">
        <v>359</v>
      </c>
      <c r="AV1023" s="198" t="s">
        <v>62</v>
      </c>
      <c r="AW1023" s="198" t="s">
        <v>54</v>
      </c>
    </row>
    <row r="1024" spans="3:49" outlineLevel="2" x14ac:dyDescent="0.25">
      <c r="C1024" s="201"/>
      <c r="D1024" s="198" t="s">
        <v>668</v>
      </c>
      <c r="H1024" s="198" t="s">
        <v>668</v>
      </c>
      <c r="I1024" s="202">
        <f t="shared" si="15"/>
        <v>426584012.84999996</v>
      </c>
      <c r="J1024" s="202">
        <v>103.3</v>
      </c>
      <c r="L1024" s="203">
        <v>1163.2</v>
      </c>
      <c r="M1024" s="202">
        <v>814240</v>
      </c>
      <c r="N1024" s="203">
        <v>1163.2</v>
      </c>
      <c r="O1024" s="198" t="s">
        <v>51</v>
      </c>
      <c r="P1024" s="202">
        <v>814240</v>
      </c>
      <c r="Q1024" s="198" t="s">
        <v>70</v>
      </c>
      <c r="R1024" s="198" t="s">
        <v>53</v>
      </c>
      <c r="S1024" s="198" t="s">
        <v>54</v>
      </c>
      <c r="T1024" s="198" t="s">
        <v>667</v>
      </c>
      <c r="U1024" s="198" t="s">
        <v>367</v>
      </c>
      <c r="V1024" s="198" t="s">
        <v>56</v>
      </c>
      <c r="W1024" s="198" t="s">
        <v>356</v>
      </c>
      <c r="X1024" s="198" t="s">
        <v>57</v>
      </c>
      <c r="Y1024" s="198" t="s">
        <v>58</v>
      </c>
      <c r="Z1024" s="201">
        <v>46233</v>
      </c>
      <c r="AA1024" s="198" t="s">
        <v>59</v>
      </c>
      <c r="AB1024" s="198" t="s">
        <v>60</v>
      </c>
      <c r="AC1024" s="198" t="s">
        <v>86</v>
      </c>
      <c r="AD1024" s="198" t="s">
        <v>62</v>
      </c>
      <c r="AE1024" s="198" t="s">
        <v>2026</v>
      </c>
      <c r="AF1024" s="198" t="s">
        <v>2025</v>
      </c>
      <c r="AG1024" s="198" t="s">
        <v>248</v>
      </c>
      <c r="AH1024" s="198" t="s">
        <v>112</v>
      </c>
      <c r="AI1024" s="198" t="s">
        <v>56</v>
      </c>
      <c r="AJ1024" s="198" t="s">
        <v>106</v>
      </c>
      <c r="AK1024" s="198" t="s">
        <v>51</v>
      </c>
      <c r="AL1024" s="198" t="s">
        <v>67</v>
      </c>
      <c r="AM1024" s="198" t="s">
        <v>68</v>
      </c>
      <c r="AN1024" s="202">
        <v>814240</v>
      </c>
      <c r="AO1024" s="202">
        <v>814240</v>
      </c>
      <c r="AP1024" s="202">
        <v>814240</v>
      </c>
      <c r="AQ1024" s="198" t="s">
        <v>358</v>
      </c>
      <c r="AR1024" s="198" t="s">
        <v>51</v>
      </c>
      <c r="AS1024" s="202">
        <v>814240</v>
      </c>
      <c r="AT1024" s="202">
        <v>814240</v>
      </c>
      <c r="AU1024" s="198" t="s">
        <v>359</v>
      </c>
      <c r="AV1024" s="198" t="s">
        <v>62</v>
      </c>
      <c r="AW1024" s="198" t="s">
        <v>54</v>
      </c>
    </row>
    <row r="1025" spans="3:49" outlineLevel="2" x14ac:dyDescent="0.25">
      <c r="C1025" s="201"/>
      <c r="D1025" s="198" t="s">
        <v>671</v>
      </c>
      <c r="H1025" s="198" t="s">
        <v>671</v>
      </c>
      <c r="I1025" s="202">
        <f t="shared" si="15"/>
        <v>426996969.30000001</v>
      </c>
      <c r="J1025" s="202">
        <v>103.4</v>
      </c>
      <c r="L1025" s="203">
        <v>1.8480000000000001</v>
      </c>
      <c r="M1025" s="202">
        <v>187335.46</v>
      </c>
      <c r="N1025" s="203">
        <v>1.8480000000000001</v>
      </c>
      <c r="O1025" s="198" t="s">
        <v>51</v>
      </c>
      <c r="P1025" s="202">
        <v>187335.46</v>
      </c>
      <c r="Q1025" s="198" t="s">
        <v>52</v>
      </c>
      <c r="R1025" s="198" t="s">
        <v>53</v>
      </c>
      <c r="S1025" s="198" t="s">
        <v>54</v>
      </c>
      <c r="T1025" s="198" t="s">
        <v>667</v>
      </c>
      <c r="U1025" s="198" t="s">
        <v>367</v>
      </c>
      <c r="V1025" s="198" t="s">
        <v>56</v>
      </c>
      <c r="W1025" s="198" t="s">
        <v>356</v>
      </c>
      <c r="X1025" s="198" t="s">
        <v>57</v>
      </c>
      <c r="Y1025" s="198" t="s">
        <v>58</v>
      </c>
      <c r="Z1025" s="201">
        <v>46233</v>
      </c>
      <c r="AA1025" s="198" t="s">
        <v>59</v>
      </c>
      <c r="AB1025" s="198" t="s">
        <v>60</v>
      </c>
      <c r="AC1025" s="198" t="s">
        <v>86</v>
      </c>
      <c r="AD1025" s="198" t="s">
        <v>62</v>
      </c>
      <c r="AE1025" s="198" t="s">
        <v>1775</v>
      </c>
      <c r="AF1025" s="198" t="s">
        <v>1774</v>
      </c>
      <c r="AG1025" s="198" t="s">
        <v>248</v>
      </c>
      <c r="AH1025" s="198" t="s">
        <v>95</v>
      </c>
      <c r="AI1025" s="198" t="s">
        <v>56</v>
      </c>
      <c r="AJ1025" s="198" t="s">
        <v>74</v>
      </c>
      <c r="AK1025" s="198" t="s">
        <v>51</v>
      </c>
      <c r="AL1025" s="198" t="s">
        <v>67</v>
      </c>
      <c r="AM1025" s="198" t="s">
        <v>68</v>
      </c>
      <c r="AN1025" s="202">
        <v>187335.46</v>
      </c>
      <c r="AO1025" s="202">
        <v>187335.46</v>
      </c>
      <c r="AP1025" s="202">
        <v>187335.46</v>
      </c>
      <c r="AQ1025" s="198" t="s">
        <v>358</v>
      </c>
      <c r="AR1025" s="198" t="s">
        <v>51</v>
      </c>
      <c r="AS1025" s="202">
        <v>187335.46</v>
      </c>
      <c r="AT1025" s="202">
        <v>187335.46</v>
      </c>
      <c r="AU1025" s="198" t="s">
        <v>359</v>
      </c>
      <c r="AV1025" s="198" t="s">
        <v>62</v>
      </c>
      <c r="AW1025" s="198" t="s">
        <v>54</v>
      </c>
    </row>
    <row r="1026" spans="3:49" outlineLevel="2" x14ac:dyDescent="0.25">
      <c r="C1026" s="201"/>
      <c r="D1026" s="198" t="s">
        <v>671</v>
      </c>
      <c r="H1026" s="198" t="s">
        <v>671</v>
      </c>
      <c r="I1026" s="202">
        <f t="shared" si="15"/>
        <v>427409925.75</v>
      </c>
      <c r="J1026" s="202">
        <v>103.5</v>
      </c>
      <c r="L1026" s="203">
        <v>4.2460000000000004</v>
      </c>
      <c r="M1026" s="202">
        <v>419509.05</v>
      </c>
      <c r="N1026" s="203">
        <v>4.2460000000000004</v>
      </c>
      <c r="O1026" s="198" t="s">
        <v>51</v>
      </c>
      <c r="P1026" s="202">
        <v>419509.05</v>
      </c>
      <c r="Q1026" s="198" t="s">
        <v>52</v>
      </c>
      <c r="R1026" s="198" t="s">
        <v>53</v>
      </c>
      <c r="S1026" s="198" t="s">
        <v>54</v>
      </c>
      <c r="T1026" s="198" t="s">
        <v>667</v>
      </c>
      <c r="U1026" s="198" t="s">
        <v>367</v>
      </c>
      <c r="V1026" s="198" t="s">
        <v>56</v>
      </c>
      <c r="W1026" s="198" t="s">
        <v>356</v>
      </c>
      <c r="X1026" s="198" t="s">
        <v>57</v>
      </c>
      <c r="Y1026" s="198" t="s">
        <v>58</v>
      </c>
      <c r="Z1026" s="201">
        <v>46233</v>
      </c>
      <c r="AA1026" s="198" t="s">
        <v>59</v>
      </c>
      <c r="AB1026" s="198" t="s">
        <v>60</v>
      </c>
      <c r="AC1026" s="198" t="s">
        <v>86</v>
      </c>
      <c r="AD1026" s="198" t="s">
        <v>62</v>
      </c>
      <c r="AE1026" s="198" t="s">
        <v>100</v>
      </c>
      <c r="AF1026" s="198" t="s">
        <v>99</v>
      </c>
      <c r="AG1026" s="198" t="s">
        <v>248</v>
      </c>
      <c r="AH1026" s="198" t="s">
        <v>95</v>
      </c>
      <c r="AI1026" s="198" t="s">
        <v>56</v>
      </c>
      <c r="AJ1026" s="198" t="s">
        <v>74</v>
      </c>
      <c r="AK1026" s="198" t="s">
        <v>51</v>
      </c>
      <c r="AL1026" s="198" t="s">
        <v>67</v>
      </c>
      <c r="AM1026" s="198" t="s">
        <v>68</v>
      </c>
      <c r="AN1026" s="202">
        <v>419509.05</v>
      </c>
      <c r="AO1026" s="202">
        <v>419509.05</v>
      </c>
      <c r="AP1026" s="202">
        <v>419509.05</v>
      </c>
      <c r="AQ1026" s="198" t="s">
        <v>358</v>
      </c>
      <c r="AR1026" s="198" t="s">
        <v>51</v>
      </c>
      <c r="AS1026" s="202">
        <v>419509.05</v>
      </c>
      <c r="AT1026" s="202">
        <v>419509.05</v>
      </c>
      <c r="AU1026" s="198" t="s">
        <v>359</v>
      </c>
      <c r="AV1026" s="198" t="s">
        <v>62</v>
      </c>
      <c r="AW1026" s="198" t="s">
        <v>54</v>
      </c>
    </row>
    <row r="1027" spans="3:49" outlineLevel="2" x14ac:dyDescent="0.25">
      <c r="C1027" s="201"/>
      <c r="D1027" s="198" t="s">
        <v>671</v>
      </c>
      <c r="H1027" s="198" t="s">
        <v>671</v>
      </c>
      <c r="I1027" s="202">
        <f t="shared" ref="I1027:I1090" si="16">J1027*4129564.5</f>
        <v>427822882.19999999</v>
      </c>
      <c r="J1027" s="202">
        <v>103.6</v>
      </c>
      <c r="L1027" s="203">
        <v>465.28</v>
      </c>
      <c r="M1027" s="202">
        <v>325696</v>
      </c>
      <c r="N1027" s="203">
        <v>465.28</v>
      </c>
      <c r="O1027" s="198" t="s">
        <v>51</v>
      </c>
      <c r="P1027" s="202">
        <v>325696</v>
      </c>
      <c r="Q1027" s="198" t="s">
        <v>70</v>
      </c>
      <c r="R1027" s="198" t="s">
        <v>53</v>
      </c>
      <c r="S1027" s="198" t="s">
        <v>54</v>
      </c>
      <c r="T1027" s="198" t="s">
        <v>667</v>
      </c>
      <c r="U1027" s="198" t="s">
        <v>367</v>
      </c>
      <c r="V1027" s="198" t="s">
        <v>56</v>
      </c>
      <c r="W1027" s="198" t="s">
        <v>356</v>
      </c>
      <c r="X1027" s="198" t="s">
        <v>57</v>
      </c>
      <c r="Y1027" s="198" t="s">
        <v>58</v>
      </c>
      <c r="Z1027" s="201">
        <v>46233</v>
      </c>
      <c r="AA1027" s="198" t="s">
        <v>59</v>
      </c>
      <c r="AB1027" s="198" t="s">
        <v>60</v>
      </c>
      <c r="AC1027" s="198" t="s">
        <v>86</v>
      </c>
      <c r="AD1027" s="198" t="s">
        <v>62</v>
      </c>
      <c r="AE1027" s="198" t="s">
        <v>2026</v>
      </c>
      <c r="AF1027" s="198" t="s">
        <v>2025</v>
      </c>
      <c r="AG1027" s="198" t="s">
        <v>248</v>
      </c>
      <c r="AH1027" s="198" t="s">
        <v>95</v>
      </c>
      <c r="AI1027" s="198" t="s">
        <v>56</v>
      </c>
      <c r="AJ1027" s="198" t="s">
        <v>106</v>
      </c>
      <c r="AK1027" s="198" t="s">
        <v>51</v>
      </c>
      <c r="AL1027" s="198" t="s">
        <v>67</v>
      </c>
      <c r="AM1027" s="198" t="s">
        <v>68</v>
      </c>
      <c r="AN1027" s="202">
        <v>325696</v>
      </c>
      <c r="AO1027" s="202">
        <v>325696</v>
      </c>
      <c r="AP1027" s="202">
        <v>325696</v>
      </c>
      <c r="AQ1027" s="198" t="s">
        <v>358</v>
      </c>
      <c r="AR1027" s="198" t="s">
        <v>51</v>
      </c>
      <c r="AS1027" s="202">
        <v>325696</v>
      </c>
      <c r="AT1027" s="202">
        <v>325696</v>
      </c>
      <c r="AU1027" s="198" t="s">
        <v>359</v>
      </c>
      <c r="AV1027" s="198" t="s">
        <v>62</v>
      </c>
      <c r="AW1027" s="198" t="s">
        <v>54</v>
      </c>
    </row>
    <row r="1028" spans="3:49" outlineLevel="2" x14ac:dyDescent="0.25">
      <c r="C1028" s="201"/>
      <c r="D1028" s="198" t="s">
        <v>672</v>
      </c>
      <c r="H1028" s="198" t="s">
        <v>672</v>
      </c>
      <c r="I1028" s="202">
        <f t="shared" si="16"/>
        <v>428235838.65000004</v>
      </c>
      <c r="J1028" s="202">
        <v>103.7</v>
      </c>
      <c r="L1028" s="203">
        <v>19.635000000000002</v>
      </c>
      <c r="M1028" s="202">
        <v>1990439.22</v>
      </c>
      <c r="N1028" s="203">
        <v>19.635000000000002</v>
      </c>
      <c r="O1028" s="198" t="s">
        <v>51</v>
      </c>
      <c r="P1028" s="202">
        <v>1990439.22</v>
      </c>
      <c r="Q1028" s="198" t="s">
        <v>52</v>
      </c>
      <c r="R1028" s="198" t="s">
        <v>53</v>
      </c>
      <c r="S1028" s="198" t="s">
        <v>54</v>
      </c>
      <c r="T1028" s="198" t="s">
        <v>667</v>
      </c>
      <c r="U1028" s="198" t="s">
        <v>367</v>
      </c>
      <c r="V1028" s="198" t="s">
        <v>56</v>
      </c>
      <c r="W1028" s="198" t="s">
        <v>356</v>
      </c>
      <c r="X1028" s="198" t="s">
        <v>57</v>
      </c>
      <c r="Y1028" s="198" t="s">
        <v>58</v>
      </c>
      <c r="Z1028" s="201">
        <v>46233</v>
      </c>
      <c r="AA1028" s="198" t="s">
        <v>59</v>
      </c>
      <c r="AB1028" s="198" t="s">
        <v>60</v>
      </c>
      <c r="AC1028" s="198" t="s">
        <v>86</v>
      </c>
      <c r="AD1028" s="198" t="s">
        <v>62</v>
      </c>
      <c r="AE1028" s="198" t="s">
        <v>1775</v>
      </c>
      <c r="AF1028" s="198" t="s">
        <v>1774</v>
      </c>
      <c r="AG1028" s="198" t="s">
        <v>248</v>
      </c>
      <c r="AH1028" s="198" t="s">
        <v>95</v>
      </c>
      <c r="AI1028" s="198" t="s">
        <v>56</v>
      </c>
      <c r="AJ1028" s="198" t="s">
        <v>74</v>
      </c>
      <c r="AK1028" s="198" t="s">
        <v>51</v>
      </c>
      <c r="AL1028" s="198" t="s">
        <v>67</v>
      </c>
      <c r="AM1028" s="198" t="s">
        <v>68</v>
      </c>
      <c r="AN1028" s="202">
        <v>1990439.22</v>
      </c>
      <c r="AO1028" s="202">
        <v>1990439.22</v>
      </c>
      <c r="AP1028" s="202">
        <v>1990439.22</v>
      </c>
      <c r="AQ1028" s="198" t="s">
        <v>358</v>
      </c>
      <c r="AR1028" s="198" t="s">
        <v>51</v>
      </c>
      <c r="AS1028" s="202">
        <v>1990439.22</v>
      </c>
      <c r="AT1028" s="202">
        <v>1990439.22</v>
      </c>
      <c r="AU1028" s="198" t="s">
        <v>359</v>
      </c>
      <c r="AV1028" s="198" t="s">
        <v>62</v>
      </c>
      <c r="AW1028" s="198" t="s">
        <v>54</v>
      </c>
    </row>
    <row r="1029" spans="3:49" outlineLevel="2" x14ac:dyDescent="0.25">
      <c r="C1029" s="201"/>
      <c r="D1029" s="198" t="s">
        <v>672</v>
      </c>
      <c r="H1029" s="198" t="s">
        <v>672</v>
      </c>
      <c r="I1029" s="202">
        <f t="shared" si="16"/>
        <v>428648795.09999996</v>
      </c>
      <c r="J1029" s="202">
        <v>103.8</v>
      </c>
      <c r="L1029" s="203">
        <v>1092.6300000000001</v>
      </c>
      <c r="M1029" s="202">
        <v>764841</v>
      </c>
      <c r="N1029" s="203">
        <v>1092.6300000000001</v>
      </c>
      <c r="O1029" s="198" t="s">
        <v>51</v>
      </c>
      <c r="P1029" s="202">
        <v>764841</v>
      </c>
      <c r="Q1029" s="198" t="s">
        <v>70</v>
      </c>
      <c r="R1029" s="198" t="s">
        <v>53</v>
      </c>
      <c r="S1029" s="198" t="s">
        <v>54</v>
      </c>
      <c r="T1029" s="198" t="s">
        <v>667</v>
      </c>
      <c r="U1029" s="198" t="s">
        <v>367</v>
      </c>
      <c r="V1029" s="198" t="s">
        <v>56</v>
      </c>
      <c r="W1029" s="198" t="s">
        <v>356</v>
      </c>
      <c r="X1029" s="198" t="s">
        <v>57</v>
      </c>
      <c r="Y1029" s="198" t="s">
        <v>58</v>
      </c>
      <c r="Z1029" s="201">
        <v>46233</v>
      </c>
      <c r="AA1029" s="198" t="s">
        <v>59</v>
      </c>
      <c r="AB1029" s="198" t="s">
        <v>60</v>
      </c>
      <c r="AC1029" s="198" t="s">
        <v>86</v>
      </c>
      <c r="AD1029" s="198" t="s">
        <v>62</v>
      </c>
      <c r="AE1029" s="198" t="s">
        <v>2026</v>
      </c>
      <c r="AF1029" s="198" t="s">
        <v>2025</v>
      </c>
      <c r="AG1029" s="198" t="s">
        <v>248</v>
      </c>
      <c r="AH1029" s="198" t="s">
        <v>95</v>
      </c>
      <c r="AI1029" s="198" t="s">
        <v>56</v>
      </c>
      <c r="AJ1029" s="198" t="s">
        <v>106</v>
      </c>
      <c r="AK1029" s="198" t="s">
        <v>51</v>
      </c>
      <c r="AL1029" s="198" t="s">
        <v>67</v>
      </c>
      <c r="AM1029" s="198" t="s">
        <v>68</v>
      </c>
      <c r="AN1029" s="202">
        <v>764841</v>
      </c>
      <c r="AO1029" s="202">
        <v>764841</v>
      </c>
      <c r="AP1029" s="202">
        <v>764841</v>
      </c>
      <c r="AQ1029" s="198" t="s">
        <v>358</v>
      </c>
      <c r="AR1029" s="198" t="s">
        <v>51</v>
      </c>
      <c r="AS1029" s="202">
        <v>764841</v>
      </c>
      <c r="AT1029" s="202">
        <v>764841</v>
      </c>
      <c r="AU1029" s="198" t="s">
        <v>359</v>
      </c>
      <c r="AV1029" s="198" t="s">
        <v>62</v>
      </c>
      <c r="AW1029" s="198" t="s">
        <v>54</v>
      </c>
    </row>
    <row r="1030" spans="3:49" outlineLevel="2" x14ac:dyDescent="0.25">
      <c r="C1030" s="201"/>
      <c r="D1030" s="198" t="s">
        <v>48</v>
      </c>
      <c r="H1030" s="198" t="s">
        <v>48</v>
      </c>
      <c r="I1030" s="202">
        <f t="shared" si="16"/>
        <v>429061751.55000001</v>
      </c>
      <c r="J1030" s="202">
        <v>103.9</v>
      </c>
      <c r="L1030" s="203">
        <v>4.1580000000000004</v>
      </c>
      <c r="M1030" s="202">
        <v>421504.78</v>
      </c>
      <c r="N1030" s="203">
        <v>2.2930000000000001</v>
      </c>
      <c r="O1030" s="198" t="s">
        <v>51</v>
      </c>
      <c r="P1030" s="202">
        <v>232446</v>
      </c>
      <c r="Q1030" s="198" t="s">
        <v>52</v>
      </c>
      <c r="R1030" s="198" t="s">
        <v>53</v>
      </c>
      <c r="S1030" s="198" t="s">
        <v>54</v>
      </c>
      <c r="T1030" s="198" t="s">
        <v>667</v>
      </c>
      <c r="U1030" s="198" t="s">
        <v>367</v>
      </c>
      <c r="V1030" s="198" t="s">
        <v>56</v>
      </c>
      <c r="W1030" s="198" t="s">
        <v>356</v>
      </c>
      <c r="X1030" s="198" t="s">
        <v>57</v>
      </c>
      <c r="Y1030" s="198" t="s">
        <v>58</v>
      </c>
      <c r="Z1030" s="201">
        <v>46233</v>
      </c>
      <c r="AA1030" s="198" t="s">
        <v>59</v>
      </c>
      <c r="AB1030" s="198" t="s">
        <v>60</v>
      </c>
      <c r="AC1030" s="198" t="s">
        <v>86</v>
      </c>
      <c r="AD1030" s="198" t="s">
        <v>62</v>
      </c>
      <c r="AE1030" s="198" t="s">
        <v>81</v>
      </c>
      <c r="AF1030" s="198" t="s">
        <v>79</v>
      </c>
      <c r="AG1030" s="198" t="s">
        <v>248</v>
      </c>
      <c r="AH1030" s="198" t="s">
        <v>65</v>
      </c>
      <c r="AI1030" s="198" t="s">
        <v>56</v>
      </c>
      <c r="AJ1030" s="198" t="s">
        <v>66</v>
      </c>
      <c r="AK1030" s="198" t="s">
        <v>51</v>
      </c>
      <c r="AL1030" s="198" t="s">
        <v>67</v>
      </c>
      <c r="AM1030" s="198" t="s">
        <v>68</v>
      </c>
      <c r="AN1030" s="202">
        <v>421504.78</v>
      </c>
      <c r="AO1030" s="202">
        <v>421504.78</v>
      </c>
      <c r="AP1030" s="202">
        <v>421504.78</v>
      </c>
      <c r="AQ1030" s="198" t="s">
        <v>358</v>
      </c>
      <c r="AR1030" s="198" t="s">
        <v>51</v>
      </c>
      <c r="AS1030" s="202">
        <v>232446</v>
      </c>
      <c r="AT1030" s="202">
        <v>232446</v>
      </c>
      <c r="AU1030" s="198" t="s">
        <v>359</v>
      </c>
      <c r="AV1030" s="198" t="s">
        <v>62</v>
      </c>
      <c r="AW1030" s="198" t="s">
        <v>54</v>
      </c>
    </row>
    <row r="1031" spans="3:49" outlineLevel="2" x14ac:dyDescent="0.25">
      <c r="C1031" s="201"/>
      <c r="D1031" s="198" t="s">
        <v>48</v>
      </c>
      <c r="H1031" s="198" t="s">
        <v>48</v>
      </c>
      <c r="I1031" s="202">
        <f t="shared" si="16"/>
        <v>429474708</v>
      </c>
      <c r="J1031" s="202">
        <v>104</v>
      </c>
      <c r="L1031" s="203">
        <v>9.5540000000000003</v>
      </c>
      <c r="M1031" s="202">
        <v>943944.75</v>
      </c>
      <c r="N1031" s="203">
        <v>9.5540000000000003</v>
      </c>
      <c r="O1031" s="198" t="s">
        <v>51</v>
      </c>
      <c r="P1031" s="202">
        <v>943944.75</v>
      </c>
      <c r="Q1031" s="198" t="s">
        <v>52</v>
      </c>
      <c r="R1031" s="198" t="s">
        <v>53</v>
      </c>
      <c r="S1031" s="198" t="s">
        <v>54</v>
      </c>
      <c r="T1031" s="198" t="s">
        <v>667</v>
      </c>
      <c r="U1031" s="198" t="s">
        <v>367</v>
      </c>
      <c r="V1031" s="198" t="s">
        <v>56</v>
      </c>
      <c r="W1031" s="198" t="s">
        <v>356</v>
      </c>
      <c r="X1031" s="198" t="s">
        <v>57</v>
      </c>
      <c r="Y1031" s="198" t="s">
        <v>58</v>
      </c>
      <c r="Z1031" s="201">
        <v>46233</v>
      </c>
      <c r="AA1031" s="198" t="s">
        <v>59</v>
      </c>
      <c r="AB1031" s="198" t="s">
        <v>60</v>
      </c>
      <c r="AC1031" s="198" t="s">
        <v>86</v>
      </c>
      <c r="AD1031" s="198" t="s">
        <v>62</v>
      </c>
      <c r="AE1031" s="198" t="s">
        <v>100</v>
      </c>
      <c r="AF1031" s="198" t="s">
        <v>99</v>
      </c>
      <c r="AG1031" s="198" t="s">
        <v>248</v>
      </c>
      <c r="AH1031" s="198" t="s">
        <v>65</v>
      </c>
      <c r="AI1031" s="198" t="s">
        <v>56</v>
      </c>
      <c r="AJ1031" s="198" t="s">
        <v>74</v>
      </c>
      <c r="AK1031" s="198" t="s">
        <v>51</v>
      </c>
      <c r="AL1031" s="198" t="s">
        <v>67</v>
      </c>
      <c r="AM1031" s="198" t="s">
        <v>68</v>
      </c>
      <c r="AN1031" s="202">
        <v>943944.75</v>
      </c>
      <c r="AO1031" s="202">
        <v>943944.75</v>
      </c>
      <c r="AP1031" s="202">
        <v>943944.75</v>
      </c>
      <c r="AQ1031" s="198" t="s">
        <v>358</v>
      </c>
      <c r="AR1031" s="198" t="s">
        <v>51</v>
      </c>
      <c r="AS1031" s="202">
        <v>943944.75</v>
      </c>
      <c r="AT1031" s="202">
        <v>943944.75</v>
      </c>
      <c r="AU1031" s="198" t="s">
        <v>359</v>
      </c>
      <c r="AV1031" s="198" t="s">
        <v>62</v>
      </c>
      <c r="AW1031" s="198" t="s">
        <v>54</v>
      </c>
    </row>
    <row r="1032" spans="3:49" outlineLevel="2" x14ac:dyDescent="0.25">
      <c r="C1032" s="201"/>
      <c r="D1032" s="198" t="s">
        <v>48</v>
      </c>
      <c r="H1032" s="198" t="s">
        <v>48</v>
      </c>
      <c r="I1032" s="202">
        <f t="shared" si="16"/>
        <v>429887664.44999999</v>
      </c>
      <c r="J1032" s="202">
        <v>104.1</v>
      </c>
      <c r="L1032" s="203">
        <v>1046.8800000000001</v>
      </c>
      <c r="M1032" s="202">
        <v>732816</v>
      </c>
      <c r="N1032" s="203">
        <v>1046.8800000000001</v>
      </c>
      <c r="O1032" s="198" t="s">
        <v>51</v>
      </c>
      <c r="P1032" s="202">
        <v>732816</v>
      </c>
      <c r="Q1032" s="198" t="s">
        <v>70</v>
      </c>
      <c r="R1032" s="198" t="s">
        <v>53</v>
      </c>
      <c r="S1032" s="198" t="s">
        <v>54</v>
      </c>
      <c r="T1032" s="198" t="s">
        <v>667</v>
      </c>
      <c r="U1032" s="198" t="s">
        <v>367</v>
      </c>
      <c r="V1032" s="198" t="s">
        <v>56</v>
      </c>
      <c r="W1032" s="198" t="s">
        <v>356</v>
      </c>
      <c r="X1032" s="198" t="s">
        <v>57</v>
      </c>
      <c r="Y1032" s="198" t="s">
        <v>58</v>
      </c>
      <c r="Z1032" s="201">
        <v>46233</v>
      </c>
      <c r="AA1032" s="198" t="s">
        <v>59</v>
      </c>
      <c r="AB1032" s="198" t="s">
        <v>60</v>
      </c>
      <c r="AC1032" s="198" t="s">
        <v>86</v>
      </c>
      <c r="AD1032" s="198" t="s">
        <v>62</v>
      </c>
      <c r="AE1032" s="198" t="s">
        <v>518</v>
      </c>
      <c r="AF1032" s="198" t="s">
        <v>517</v>
      </c>
      <c r="AG1032" s="198" t="s">
        <v>248</v>
      </c>
      <c r="AH1032" s="198" t="s">
        <v>65</v>
      </c>
      <c r="AI1032" s="198" t="s">
        <v>56</v>
      </c>
      <c r="AJ1032" s="198" t="s">
        <v>106</v>
      </c>
      <c r="AK1032" s="198" t="s">
        <v>51</v>
      </c>
      <c r="AL1032" s="198" t="s">
        <v>67</v>
      </c>
      <c r="AM1032" s="198" t="s">
        <v>68</v>
      </c>
      <c r="AN1032" s="202">
        <v>732816</v>
      </c>
      <c r="AO1032" s="202">
        <v>732816</v>
      </c>
      <c r="AP1032" s="202">
        <v>732816</v>
      </c>
      <c r="AQ1032" s="198" t="s">
        <v>358</v>
      </c>
      <c r="AR1032" s="198" t="s">
        <v>51</v>
      </c>
      <c r="AS1032" s="202">
        <v>732816</v>
      </c>
      <c r="AT1032" s="202">
        <v>732816</v>
      </c>
      <c r="AU1032" s="198" t="s">
        <v>359</v>
      </c>
      <c r="AV1032" s="198" t="s">
        <v>62</v>
      </c>
      <c r="AW1032" s="198" t="s">
        <v>54</v>
      </c>
    </row>
    <row r="1033" spans="3:49" outlineLevel="2" x14ac:dyDescent="0.25">
      <c r="C1033" s="201"/>
      <c r="D1033" s="198" t="s">
        <v>77</v>
      </c>
      <c r="H1033" s="198" t="s">
        <v>77</v>
      </c>
      <c r="I1033" s="202">
        <f t="shared" si="16"/>
        <v>430300620.90000004</v>
      </c>
      <c r="J1033" s="202">
        <v>104.2</v>
      </c>
      <c r="L1033" s="203">
        <v>45.683999999999997</v>
      </c>
      <c r="M1033" s="202">
        <v>4631078.45</v>
      </c>
      <c r="N1033" s="203">
        <v>5.8239999999999998</v>
      </c>
      <c r="O1033" s="198" t="s">
        <v>51</v>
      </c>
      <c r="P1033" s="202">
        <v>590390.53</v>
      </c>
      <c r="Q1033" s="198" t="s">
        <v>52</v>
      </c>
      <c r="R1033" s="198" t="s">
        <v>53</v>
      </c>
      <c r="S1033" s="198" t="s">
        <v>54</v>
      </c>
      <c r="T1033" s="198" t="s">
        <v>667</v>
      </c>
      <c r="U1033" s="198" t="s">
        <v>367</v>
      </c>
      <c r="V1033" s="198" t="s">
        <v>56</v>
      </c>
      <c r="W1033" s="198" t="s">
        <v>356</v>
      </c>
      <c r="X1033" s="198" t="s">
        <v>57</v>
      </c>
      <c r="Y1033" s="198" t="s">
        <v>58</v>
      </c>
      <c r="Z1033" s="201">
        <v>46233</v>
      </c>
      <c r="AA1033" s="198" t="s">
        <v>59</v>
      </c>
      <c r="AB1033" s="198" t="s">
        <v>60</v>
      </c>
      <c r="AC1033" s="198" t="s">
        <v>86</v>
      </c>
      <c r="AD1033" s="198" t="s">
        <v>62</v>
      </c>
      <c r="AE1033" s="198" t="s">
        <v>81</v>
      </c>
      <c r="AF1033" s="198" t="s">
        <v>79</v>
      </c>
      <c r="AG1033" s="198" t="s">
        <v>248</v>
      </c>
      <c r="AH1033" s="198" t="s">
        <v>65</v>
      </c>
      <c r="AI1033" s="198" t="s">
        <v>56</v>
      </c>
      <c r="AJ1033" s="198" t="s">
        <v>66</v>
      </c>
      <c r="AK1033" s="198" t="s">
        <v>51</v>
      </c>
      <c r="AL1033" s="198" t="s">
        <v>67</v>
      </c>
      <c r="AM1033" s="198" t="s">
        <v>68</v>
      </c>
      <c r="AN1033" s="202">
        <v>4631078.45</v>
      </c>
      <c r="AO1033" s="202">
        <v>4631078.45</v>
      </c>
      <c r="AP1033" s="202">
        <v>4631078.45</v>
      </c>
      <c r="AQ1033" s="198" t="s">
        <v>358</v>
      </c>
      <c r="AR1033" s="198" t="s">
        <v>51</v>
      </c>
      <c r="AS1033" s="202">
        <v>590390.53</v>
      </c>
      <c r="AT1033" s="202">
        <v>590390.53</v>
      </c>
      <c r="AU1033" s="198" t="s">
        <v>359</v>
      </c>
      <c r="AV1033" s="198" t="s">
        <v>62</v>
      </c>
      <c r="AW1033" s="198" t="s">
        <v>54</v>
      </c>
    </row>
    <row r="1034" spans="3:49" outlineLevel="2" x14ac:dyDescent="0.25">
      <c r="C1034" s="201"/>
      <c r="D1034" s="198" t="s">
        <v>77</v>
      </c>
      <c r="H1034" s="198" t="s">
        <v>77</v>
      </c>
      <c r="I1034" s="202">
        <f t="shared" si="16"/>
        <v>430713577.34999996</v>
      </c>
      <c r="J1034" s="202">
        <v>104.3</v>
      </c>
      <c r="L1034" s="203">
        <v>1.474</v>
      </c>
      <c r="M1034" s="202">
        <v>273220.64</v>
      </c>
      <c r="N1034" s="203">
        <v>1.474</v>
      </c>
      <c r="O1034" s="198" t="s">
        <v>51</v>
      </c>
      <c r="P1034" s="202">
        <v>273220.64</v>
      </c>
      <c r="Q1034" s="198" t="s">
        <v>52</v>
      </c>
      <c r="R1034" s="198" t="s">
        <v>53</v>
      </c>
      <c r="S1034" s="198" t="s">
        <v>54</v>
      </c>
      <c r="T1034" s="198" t="s">
        <v>667</v>
      </c>
      <c r="U1034" s="198" t="s">
        <v>367</v>
      </c>
      <c r="V1034" s="198" t="s">
        <v>56</v>
      </c>
      <c r="W1034" s="198" t="s">
        <v>356</v>
      </c>
      <c r="X1034" s="198" t="s">
        <v>57</v>
      </c>
      <c r="Y1034" s="198" t="s">
        <v>58</v>
      </c>
      <c r="Z1034" s="201">
        <v>46233</v>
      </c>
      <c r="AA1034" s="198" t="s">
        <v>59</v>
      </c>
      <c r="AB1034" s="198" t="s">
        <v>60</v>
      </c>
      <c r="AC1034" s="198" t="s">
        <v>86</v>
      </c>
      <c r="AD1034" s="198" t="s">
        <v>62</v>
      </c>
      <c r="AE1034" s="198" t="s">
        <v>105</v>
      </c>
      <c r="AF1034" s="198" t="s">
        <v>104</v>
      </c>
      <c r="AG1034" s="198" t="s">
        <v>248</v>
      </c>
      <c r="AH1034" s="198" t="s">
        <v>65</v>
      </c>
      <c r="AI1034" s="198" t="s">
        <v>56</v>
      </c>
      <c r="AJ1034" s="198" t="s">
        <v>103</v>
      </c>
      <c r="AK1034" s="198" t="s">
        <v>51</v>
      </c>
      <c r="AL1034" s="198" t="s">
        <v>67</v>
      </c>
      <c r="AM1034" s="198" t="s">
        <v>68</v>
      </c>
      <c r="AN1034" s="202">
        <v>273220.64</v>
      </c>
      <c r="AO1034" s="202">
        <v>273220.64</v>
      </c>
      <c r="AP1034" s="202">
        <v>273220.64</v>
      </c>
      <c r="AQ1034" s="198" t="s">
        <v>358</v>
      </c>
      <c r="AR1034" s="198" t="s">
        <v>51</v>
      </c>
      <c r="AS1034" s="202">
        <v>273220.64</v>
      </c>
      <c r="AT1034" s="202">
        <v>273220.64</v>
      </c>
      <c r="AU1034" s="198" t="s">
        <v>359</v>
      </c>
      <c r="AV1034" s="198" t="s">
        <v>62</v>
      </c>
      <c r="AW1034" s="198" t="s">
        <v>54</v>
      </c>
    </row>
    <row r="1035" spans="3:49" outlineLevel="2" x14ac:dyDescent="0.25">
      <c r="C1035" s="201"/>
      <c r="D1035" s="198" t="s">
        <v>184</v>
      </c>
      <c r="H1035" s="198" t="s">
        <v>184</v>
      </c>
      <c r="I1035" s="202">
        <f t="shared" si="16"/>
        <v>431126533.80000001</v>
      </c>
      <c r="J1035" s="202">
        <v>104.4</v>
      </c>
      <c r="L1035" s="203">
        <v>0.5</v>
      </c>
      <c r="M1035" s="202">
        <v>50686</v>
      </c>
      <c r="N1035" s="203">
        <v>0.5</v>
      </c>
      <c r="O1035" s="198" t="s">
        <v>51</v>
      </c>
      <c r="P1035" s="202">
        <v>50686</v>
      </c>
      <c r="Q1035" s="198" t="s">
        <v>52</v>
      </c>
      <c r="R1035" s="198" t="s">
        <v>53</v>
      </c>
      <c r="S1035" s="198" t="s">
        <v>54</v>
      </c>
      <c r="T1035" s="198" t="s">
        <v>667</v>
      </c>
      <c r="U1035" s="198" t="s">
        <v>367</v>
      </c>
      <c r="V1035" s="198" t="s">
        <v>56</v>
      </c>
      <c r="W1035" s="198" t="s">
        <v>356</v>
      </c>
      <c r="X1035" s="198" t="s">
        <v>57</v>
      </c>
      <c r="Y1035" s="198" t="s">
        <v>58</v>
      </c>
      <c r="Z1035" s="201">
        <v>46233</v>
      </c>
      <c r="AA1035" s="198" t="s">
        <v>59</v>
      </c>
      <c r="AB1035" s="198" t="s">
        <v>60</v>
      </c>
      <c r="AC1035" s="198" t="s">
        <v>86</v>
      </c>
      <c r="AD1035" s="198" t="s">
        <v>62</v>
      </c>
      <c r="AE1035" s="198" t="s">
        <v>81</v>
      </c>
      <c r="AF1035" s="198" t="s">
        <v>79</v>
      </c>
      <c r="AG1035" s="198" t="s">
        <v>248</v>
      </c>
      <c r="AH1035" s="198" t="s">
        <v>169</v>
      </c>
      <c r="AI1035" s="198" t="s">
        <v>56</v>
      </c>
      <c r="AJ1035" s="198" t="s">
        <v>66</v>
      </c>
      <c r="AK1035" s="198" t="s">
        <v>51</v>
      </c>
      <c r="AL1035" s="198" t="s">
        <v>67</v>
      </c>
      <c r="AM1035" s="198" t="s">
        <v>68</v>
      </c>
      <c r="AN1035" s="202">
        <v>50686</v>
      </c>
      <c r="AO1035" s="202">
        <v>50686</v>
      </c>
      <c r="AP1035" s="202">
        <v>50686</v>
      </c>
      <c r="AQ1035" s="198" t="s">
        <v>358</v>
      </c>
      <c r="AR1035" s="198" t="s">
        <v>51</v>
      </c>
      <c r="AS1035" s="202">
        <v>50686</v>
      </c>
      <c r="AT1035" s="202">
        <v>50686</v>
      </c>
      <c r="AU1035" s="198" t="s">
        <v>359</v>
      </c>
      <c r="AV1035" s="198" t="s">
        <v>62</v>
      </c>
      <c r="AW1035" s="198" t="s">
        <v>54</v>
      </c>
    </row>
    <row r="1036" spans="3:49" outlineLevel="2" x14ac:dyDescent="0.25">
      <c r="C1036" s="201"/>
      <c r="D1036" s="198" t="s">
        <v>184</v>
      </c>
      <c r="H1036" s="198" t="s">
        <v>184</v>
      </c>
      <c r="I1036" s="202">
        <f t="shared" si="16"/>
        <v>431539490.25</v>
      </c>
      <c r="J1036" s="202">
        <v>104.5</v>
      </c>
      <c r="L1036" s="203">
        <v>9.59</v>
      </c>
      <c r="M1036" s="202">
        <v>988067.29</v>
      </c>
      <c r="N1036" s="203">
        <v>9.59</v>
      </c>
      <c r="O1036" s="198" t="s">
        <v>51</v>
      </c>
      <c r="P1036" s="202">
        <v>988067.29</v>
      </c>
      <c r="Q1036" s="198" t="s">
        <v>52</v>
      </c>
      <c r="R1036" s="198" t="s">
        <v>53</v>
      </c>
      <c r="S1036" s="198" t="s">
        <v>54</v>
      </c>
      <c r="T1036" s="198" t="s">
        <v>667</v>
      </c>
      <c r="U1036" s="198" t="s">
        <v>367</v>
      </c>
      <c r="V1036" s="198" t="s">
        <v>56</v>
      </c>
      <c r="W1036" s="198" t="s">
        <v>356</v>
      </c>
      <c r="X1036" s="198" t="s">
        <v>57</v>
      </c>
      <c r="Y1036" s="198" t="s">
        <v>58</v>
      </c>
      <c r="Z1036" s="201">
        <v>46233</v>
      </c>
      <c r="AA1036" s="198" t="s">
        <v>59</v>
      </c>
      <c r="AB1036" s="198" t="s">
        <v>60</v>
      </c>
      <c r="AC1036" s="198" t="s">
        <v>86</v>
      </c>
      <c r="AD1036" s="198" t="s">
        <v>62</v>
      </c>
      <c r="AE1036" s="198" t="s">
        <v>102</v>
      </c>
      <c r="AF1036" s="198" t="s">
        <v>101</v>
      </c>
      <c r="AG1036" s="198" t="s">
        <v>248</v>
      </c>
      <c r="AH1036" s="198" t="s">
        <v>169</v>
      </c>
      <c r="AI1036" s="198" t="s">
        <v>56</v>
      </c>
      <c r="AJ1036" s="198" t="s">
        <v>66</v>
      </c>
      <c r="AK1036" s="198" t="s">
        <v>51</v>
      </c>
      <c r="AL1036" s="198" t="s">
        <v>67</v>
      </c>
      <c r="AM1036" s="198" t="s">
        <v>68</v>
      </c>
      <c r="AN1036" s="202">
        <v>988067.29</v>
      </c>
      <c r="AO1036" s="202">
        <v>988067.29</v>
      </c>
      <c r="AP1036" s="202">
        <v>988067.29</v>
      </c>
      <c r="AQ1036" s="198" t="s">
        <v>358</v>
      </c>
      <c r="AR1036" s="198" t="s">
        <v>51</v>
      </c>
      <c r="AS1036" s="202">
        <v>988067.29</v>
      </c>
      <c r="AT1036" s="202">
        <v>988067.29</v>
      </c>
      <c r="AU1036" s="198" t="s">
        <v>359</v>
      </c>
      <c r="AV1036" s="198" t="s">
        <v>62</v>
      </c>
      <c r="AW1036" s="198" t="s">
        <v>54</v>
      </c>
    </row>
    <row r="1037" spans="3:49" outlineLevel="2" x14ac:dyDescent="0.25">
      <c r="C1037" s="201"/>
      <c r="D1037" s="198" t="s">
        <v>184</v>
      </c>
      <c r="H1037" s="198" t="s">
        <v>184</v>
      </c>
      <c r="I1037" s="202">
        <f t="shared" si="16"/>
        <v>431952446.69999999</v>
      </c>
      <c r="J1037" s="202">
        <v>104.6</v>
      </c>
      <c r="L1037" s="203">
        <v>0.34</v>
      </c>
      <c r="M1037" s="202">
        <v>63022.400000000001</v>
      </c>
      <c r="N1037" s="203">
        <v>0.34</v>
      </c>
      <c r="O1037" s="198" t="s">
        <v>51</v>
      </c>
      <c r="P1037" s="202">
        <v>63022.400000000001</v>
      </c>
      <c r="Q1037" s="198" t="s">
        <v>52</v>
      </c>
      <c r="R1037" s="198" t="s">
        <v>53</v>
      </c>
      <c r="S1037" s="198" t="s">
        <v>54</v>
      </c>
      <c r="T1037" s="198" t="s">
        <v>667</v>
      </c>
      <c r="U1037" s="198" t="s">
        <v>367</v>
      </c>
      <c r="V1037" s="198" t="s">
        <v>56</v>
      </c>
      <c r="W1037" s="198" t="s">
        <v>356</v>
      </c>
      <c r="X1037" s="198" t="s">
        <v>57</v>
      </c>
      <c r="Y1037" s="198" t="s">
        <v>58</v>
      </c>
      <c r="Z1037" s="201">
        <v>46233</v>
      </c>
      <c r="AA1037" s="198" t="s">
        <v>59</v>
      </c>
      <c r="AB1037" s="198" t="s">
        <v>60</v>
      </c>
      <c r="AC1037" s="198" t="s">
        <v>86</v>
      </c>
      <c r="AD1037" s="198" t="s">
        <v>62</v>
      </c>
      <c r="AE1037" s="198" t="s">
        <v>105</v>
      </c>
      <c r="AF1037" s="198" t="s">
        <v>104</v>
      </c>
      <c r="AG1037" s="198" t="s">
        <v>248</v>
      </c>
      <c r="AH1037" s="198" t="s">
        <v>169</v>
      </c>
      <c r="AI1037" s="198" t="s">
        <v>56</v>
      </c>
      <c r="AJ1037" s="198" t="s">
        <v>103</v>
      </c>
      <c r="AK1037" s="198" t="s">
        <v>51</v>
      </c>
      <c r="AL1037" s="198" t="s">
        <v>67</v>
      </c>
      <c r="AM1037" s="198" t="s">
        <v>68</v>
      </c>
      <c r="AN1037" s="202">
        <v>63022.400000000001</v>
      </c>
      <c r="AO1037" s="202">
        <v>63022.400000000001</v>
      </c>
      <c r="AP1037" s="202">
        <v>63022.400000000001</v>
      </c>
      <c r="AQ1037" s="198" t="s">
        <v>358</v>
      </c>
      <c r="AR1037" s="198" t="s">
        <v>51</v>
      </c>
      <c r="AS1037" s="202">
        <v>63022.400000000001</v>
      </c>
      <c r="AT1037" s="202">
        <v>63022.400000000001</v>
      </c>
      <c r="AU1037" s="198" t="s">
        <v>359</v>
      </c>
      <c r="AV1037" s="198" t="s">
        <v>62</v>
      </c>
      <c r="AW1037" s="198" t="s">
        <v>54</v>
      </c>
    </row>
    <row r="1038" spans="3:49" outlineLevel="2" x14ac:dyDescent="0.25">
      <c r="C1038" s="201"/>
      <c r="D1038" s="198" t="s">
        <v>184</v>
      </c>
      <c r="H1038" s="198" t="s">
        <v>184</v>
      </c>
      <c r="I1038" s="202">
        <f t="shared" si="16"/>
        <v>432365403.15000004</v>
      </c>
      <c r="J1038" s="202">
        <v>104.7</v>
      </c>
      <c r="L1038" s="204">
        <v>420</v>
      </c>
      <c r="M1038" s="202">
        <v>294000</v>
      </c>
      <c r="N1038" s="204">
        <v>420</v>
      </c>
      <c r="O1038" s="198" t="s">
        <v>51</v>
      </c>
      <c r="P1038" s="202">
        <v>294000</v>
      </c>
      <c r="Q1038" s="198" t="s">
        <v>70</v>
      </c>
      <c r="R1038" s="198" t="s">
        <v>53</v>
      </c>
      <c r="S1038" s="198" t="s">
        <v>54</v>
      </c>
      <c r="T1038" s="198" t="s">
        <v>667</v>
      </c>
      <c r="U1038" s="198" t="s">
        <v>367</v>
      </c>
      <c r="V1038" s="198" t="s">
        <v>56</v>
      </c>
      <c r="W1038" s="198" t="s">
        <v>356</v>
      </c>
      <c r="X1038" s="198" t="s">
        <v>57</v>
      </c>
      <c r="Y1038" s="198" t="s">
        <v>58</v>
      </c>
      <c r="Z1038" s="201">
        <v>46233</v>
      </c>
      <c r="AA1038" s="198" t="s">
        <v>59</v>
      </c>
      <c r="AB1038" s="198" t="s">
        <v>60</v>
      </c>
      <c r="AC1038" s="198" t="s">
        <v>86</v>
      </c>
      <c r="AD1038" s="198" t="s">
        <v>62</v>
      </c>
      <c r="AE1038" s="198" t="s">
        <v>518</v>
      </c>
      <c r="AF1038" s="198" t="s">
        <v>517</v>
      </c>
      <c r="AG1038" s="198" t="s">
        <v>248</v>
      </c>
      <c r="AH1038" s="198" t="s">
        <v>169</v>
      </c>
      <c r="AI1038" s="198" t="s">
        <v>56</v>
      </c>
      <c r="AJ1038" s="198" t="s">
        <v>106</v>
      </c>
      <c r="AK1038" s="198" t="s">
        <v>51</v>
      </c>
      <c r="AL1038" s="198" t="s">
        <v>67</v>
      </c>
      <c r="AM1038" s="198" t="s">
        <v>68</v>
      </c>
      <c r="AN1038" s="202">
        <v>294000</v>
      </c>
      <c r="AO1038" s="202">
        <v>294000</v>
      </c>
      <c r="AP1038" s="202">
        <v>294000</v>
      </c>
      <c r="AQ1038" s="198" t="s">
        <v>358</v>
      </c>
      <c r="AR1038" s="198" t="s">
        <v>51</v>
      </c>
      <c r="AS1038" s="202">
        <v>294000</v>
      </c>
      <c r="AT1038" s="202">
        <v>294000</v>
      </c>
      <c r="AU1038" s="198" t="s">
        <v>359</v>
      </c>
      <c r="AV1038" s="198" t="s">
        <v>62</v>
      </c>
      <c r="AW1038" s="198" t="s">
        <v>54</v>
      </c>
    </row>
    <row r="1039" spans="3:49" outlineLevel="2" x14ac:dyDescent="0.25">
      <c r="C1039" s="201"/>
      <c r="D1039" s="198" t="s">
        <v>184</v>
      </c>
      <c r="H1039" s="198" t="s">
        <v>184</v>
      </c>
      <c r="I1039" s="202">
        <f t="shared" si="16"/>
        <v>432778359.59999996</v>
      </c>
      <c r="J1039" s="202">
        <v>104.8</v>
      </c>
      <c r="L1039" s="203">
        <v>1.75</v>
      </c>
      <c r="M1039" s="202">
        <v>220500</v>
      </c>
      <c r="N1039" s="203">
        <v>1.75</v>
      </c>
      <c r="O1039" s="198" t="s">
        <v>51</v>
      </c>
      <c r="P1039" s="202">
        <v>220500</v>
      </c>
      <c r="Q1039" s="198" t="s">
        <v>52</v>
      </c>
      <c r="R1039" s="198" t="s">
        <v>53</v>
      </c>
      <c r="S1039" s="198" t="s">
        <v>54</v>
      </c>
      <c r="T1039" s="198" t="s">
        <v>667</v>
      </c>
      <c r="U1039" s="198" t="s">
        <v>367</v>
      </c>
      <c r="V1039" s="198" t="s">
        <v>56</v>
      </c>
      <c r="W1039" s="198" t="s">
        <v>356</v>
      </c>
      <c r="X1039" s="198" t="s">
        <v>57</v>
      </c>
      <c r="Y1039" s="198" t="s">
        <v>58</v>
      </c>
      <c r="Z1039" s="201">
        <v>46233</v>
      </c>
      <c r="AA1039" s="198" t="s">
        <v>59</v>
      </c>
      <c r="AB1039" s="198" t="s">
        <v>60</v>
      </c>
      <c r="AC1039" s="198" t="s">
        <v>86</v>
      </c>
      <c r="AD1039" s="198" t="s">
        <v>62</v>
      </c>
      <c r="AE1039" s="198" t="s">
        <v>108</v>
      </c>
      <c r="AF1039" s="198" t="s">
        <v>107</v>
      </c>
      <c r="AG1039" s="198" t="s">
        <v>248</v>
      </c>
      <c r="AH1039" s="198" t="s">
        <v>169</v>
      </c>
      <c r="AI1039" s="198" t="s">
        <v>56</v>
      </c>
      <c r="AJ1039" s="198" t="s">
        <v>74</v>
      </c>
      <c r="AK1039" s="198" t="s">
        <v>51</v>
      </c>
      <c r="AL1039" s="198" t="s">
        <v>67</v>
      </c>
      <c r="AM1039" s="198" t="s">
        <v>68</v>
      </c>
      <c r="AN1039" s="202">
        <v>220500</v>
      </c>
      <c r="AO1039" s="202">
        <v>220500</v>
      </c>
      <c r="AP1039" s="202">
        <v>220500</v>
      </c>
      <c r="AQ1039" s="198" t="s">
        <v>358</v>
      </c>
      <c r="AR1039" s="198" t="s">
        <v>51</v>
      </c>
      <c r="AS1039" s="202">
        <v>220500</v>
      </c>
      <c r="AT1039" s="202">
        <v>220500</v>
      </c>
      <c r="AU1039" s="198" t="s">
        <v>359</v>
      </c>
      <c r="AV1039" s="198" t="s">
        <v>62</v>
      </c>
      <c r="AW1039" s="198" t="s">
        <v>54</v>
      </c>
    </row>
    <row r="1040" spans="3:49" outlineLevel="2" x14ac:dyDescent="0.25">
      <c r="C1040" s="201"/>
      <c r="D1040" s="198" t="s">
        <v>177</v>
      </c>
      <c r="H1040" s="198" t="s">
        <v>177</v>
      </c>
      <c r="I1040" s="202">
        <f t="shared" si="16"/>
        <v>433191316.05000001</v>
      </c>
      <c r="J1040" s="202">
        <v>104.9</v>
      </c>
      <c r="L1040" s="203">
        <v>15.343999999999999</v>
      </c>
      <c r="M1040" s="202">
        <v>1580907.66</v>
      </c>
      <c r="N1040" s="203">
        <v>11.14</v>
      </c>
      <c r="O1040" s="198" t="s">
        <v>51</v>
      </c>
      <c r="P1040" s="202">
        <v>1147765.3400000001</v>
      </c>
      <c r="Q1040" s="198" t="s">
        <v>52</v>
      </c>
      <c r="R1040" s="198" t="s">
        <v>53</v>
      </c>
      <c r="S1040" s="198" t="s">
        <v>54</v>
      </c>
      <c r="T1040" s="198" t="s">
        <v>667</v>
      </c>
      <c r="U1040" s="198" t="s">
        <v>364</v>
      </c>
      <c r="V1040" s="198" t="s">
        <v>56</v>
      </c>
      <c r="W1040" s="198" t="s">
        <v>356</v>
      </c>
      <c r="X1040" s="198" t="s">
        <v>57</v>
      </c>
      <c r="Y1040" s="198" t="s">
        <v>58</v>
      </c>
      <c r="Z1040" s="201">
        <v>46233</v>
      </c>
      <c r="AA1040" s="198" t="s">
        <v>59</v>
      </c>
      <c r="AB1040" s="198" t="s">
        <v>60</v>
      </c>
      <c r="AC1040" s="198" t="s">
        <v>86</v>
      </c>
      <c r="AD1040" s="198" t="s">
        <v>62</v>
      </c>
      <c r="AE1040" s="198" t="s">
        <v>102</v>
      </c>
      <c r="AF1040" s="198" t="s">
        <v>101</v>
      </c>
      <c r="AG1040" s="198" t="s">
        <v>248</v>
      </c>
      <c r="AH1040" s="198" t="s">
        <v>167</v>
      </c>
      <c r="AI1040" s="198" t="s">
        <v>56</v>
      </c>
      <c r="AJ1040" s="198" t="s">
        <v>66</v>
      </c>
      <c r="AK1040" s="198" t="s">
        <v>51</v>
      </c>
      <c r="AL1040" s="198" t="s">
        <v>67</v>
      </c>
      <c r="AM1040" s="198" t="s">
        <v>68</v>
      </c>
      <c r="AN1040" s="202">
        <v>1580907.66</v>
      </c>
      <c r="AO1040" s="202">
        <v>1580907.66</v>
      </c>
      <c r="AP1040" s="202">
        <v>1580907.66</v>
      </c>
      <c r="AQ1040" s="198" t="s">
        <v>358</v>
      </c>
      <c r="AR1040" s="198" t="s">
        <v>51</v>
      </c>
      <c r="AS1040" s="202">
        <v>1147765.3400000001</v>
      </c>
      <c r="AT1040" s="202">
        <v>1147765.3400000001</v>
      </c>
      <c r="AU1040" s="198" t="s">
        <v>359</v>
      </c>
      <c r="AV1040" s="198" t="s">
        <v>62</v>
      </c>
      <c r="AW1040" s="198" t="s">
        <v>54</v>
      </c>
    </row>
    <row r="1041" spans="3:49" outlineLevel="2" x14ac:dyDescent="0.25">
      <c r="C1041" s="201"/>
      <c r="D1041" s="198" t="s">
        <v>177</v>
      </c>
      <c r="H1041" s="198" t="s">
        <v>177</v>
      </c>
      <c r="I1041" s="202">
        <f t="shared" si="16"/>
        <v>433604272.5</v>
      </c>
      <c r="J1041" s="202">
        <v>105</v>
      </c>
      <c r="L1041" s="203">
        <v>0.54400000000000004</v>
      </c>
      <c r="M1041" s="202">
        <v>100835.84</v>
      </c>
      <c r="N1041" s="203">
        <v>0.54400000000000004</v>
      </c>
      <c r="O1041" s="198" t="s">
        <v>51</v>
      </c>
      <c r="P1041" s="202">
        <v>100835.84</v>
      </c>
      <c r="Q1041" s="198" t="s">
        <v>52</v>
      </c>
      <c r="R1041" s="198" t="s">
        <v>53</v>
      </c>
      <c r="S1041" s="198" t="s">
        <v>54</v>
      </c>
      <c r="T1041" s="198" t="s">
        <v>667</v>
      </c>
      <c r="U1041" s="198" t="s">
        <v>367</v>
      </c>
      <c r="V1041" s="198" t="s">
        <v>56</v>
      </c>
      <c r="W1041" s="198" t="s">
        <v>356</v>
      </c>
      <c r="X1041" s="198" t="s">
        <v>57</v>
      </c>
      <c r="Y1041" s="198" t="s">
        <v>58</v>
      </c>
      <c r="Z1041" s="201">
        <v>46233</v>
      </c>
      <c r="AA1041" s="198" t="s">
        <v>59</v>
      </c>
      <c r="AB1041" s="198" t="s">
        <v>60</v>
      </c>
      <c r="AC1041" s="198" t="s">
        <v>86</v>
      </c>
      <c r="AD1041" s="198" t="s">
        <v>62</v>
      </c>
      <c r="AE1041" s="198" t="s">
        <v>105</v>
      </c>
      <c r="AF1041" s="198" t="s">
        <v>104</v>
      </c>
      <c r="AG1041" s="198" t="s">
        <v>248</v>
      </c>
      <c r="AH1041" s="198" t="s">
        <v>167</v>
      </c>
      <c r="AI1041" s="198" t="s">
        <v>56</v>
      </c>
      <c r="AJ1041" s="198" t="s">
        <v>103</v>
      </c>
      <c r="AK1041" s="198" t="s">
        <v>51</v>
      </c>
      <c r="AL1041" s="198" t="s">
        <v>67</v>
      </c>
      <c r="AM1041" s="198" t="s">
        <v>68</v>
      </c>
      <c r="AN1041" s="202">
        <v>100835.84</v>
      </c>
      <c r="AO1041" s="202">
        <v>100835.84</v>
      </c>
      <c r="AP1041" s="202">
        <v>100835.84</v>
      </c>
      <c r="AQ1041" s="198" t="s">
        <v>358</v>
      </c>
      <c r="AR1041" s="198" t="s">
        <v>51</v>
      </c>
      <c r="AS1041" s="202">
        <v>100835.84</v>
      </c>
      <c r="AT1041" s="202">
        <v>100835.84</v>
      </c>
      <c r="AU1041" s="198" t="s">
        <v>359</v>
      </c>
      <c r="AV1041" s="198" t="s">
        <v>62</v>
      </c>
      <c r="AW1041" s="198" t="s">
        <v>54</v>
      </c>
    </row>
    <row r="1042" spans="3:49" outlineLevel="2" x14ac:dyDescent="0.25">
      <c r="C1042" s="201"/>
      <c r="D1042" s="198" t="s">
        <v>177</v>
      </c>
      <c r="H1042" s="198" t="s">
        <v>177</v>
      </c>
      <c r="I1042" s="202">
        <f t="shared" si="16"/>
        <v>434017228.94999999</v>
      </c>
      <c r="J1042" s="202">
        <v>105.1</v>
      </c>
      <c r="L1042" s="204">
        <v>672</v>
      </c>
      <c r="M1042" s="202">
        <v>470400</v>
      </c>
      <c r="N1042" s="204">
        <v>672</v>
      </c>
      <c r="O1042" s="198" t="s">
        <v>51</v>
      </c>
      <c r="P1042" s="202">
        <v>470400</v>
      </c>
      <c r="Q1042" s="198" t="s">
        <v>70</v>
      </c>
      <c r="R1042" s="198" t="s">
        <v>53</v>
      </c>
      <c r="S1042" s="198" t="s">
        <v>54</v>
      </c>
      <c r="T1042" s="198" t="s">
        <v>667</v>
      </c>
      <c r="U1042" s="198" t="s">
        <v>367</v>
      </c>
      <c r="V1042" s="198" t="s">
        <v>56</v>
      </c>
      <c r="W1042" s="198" t="s">
        <v>356</v>
      </c>
      <c r="X1042" s="198" t="s">
        <v>57</v>
      </c>
      <c r="Y1042" s="198" t="s">
        <v>58</v>
      </c>
      <c r="Z1042" s="201">
        <v>46233</v>
      </c>
      <c r="AA1042" s="198" t="s">
        <v>59</v>
      </c>
      <c r="AB1042" s="198" t="s">
        <v>60</v>
      </c>
      <c r="AC1042" s="198" t="s">
        <v>86</v>
      </c>
      <c r="AD1042" s="198" t="s">
        <v>62</v>
      </c>
      <c r="AE1042" s="198" t="s">
        <v>518</v>
      </c>
      <c r="AF1042" s="198" t="s">
        <v>517</v>
      </c>
      <c r="AG1042" s="198" t="s">
        <v>248</v>
      </c>
      <c r="AH1042" s="198" t="s">
        <v>167</v>
      </c>
      <c r="AI1042" s="198" t="s">
        <v>56</v>
      </c>
      <c r="AJ1042" s="198" t="s">
        <v>106</v>
      </c>
      <c r="AK1042" s="198" t="s">
        <v>51</v>
      </c>
      <c r="AL1042" s="198" t="s">
        <v>67</v>
      </c>
      <c r="AM1042" s="198" t="s">
        <v>68</v>
      </c>
      <c r="AN1042" s="202">
        <v>470400</v>
      </c>
      <c r="AO1042" s="202">
        <v>470400</v>
      </c>
      <c r="AP1042" s="202">
        <v>470400</v>
      </c>
      <c r="AQ1042" s="198" t="s">
        <v>358</v>
      </c>
      <c r="AR1042" s="198" t="s">
        <v>51</v>
      </c>
      <c r="AS1042" s="202">
        <v>470400</v>
      </c>
      <c r="AT1042" s="202">
        <v>470400</v>
      </c>
      <c r="AU1042" s="198" t="s">
        <v>359</v>
      </c>
      <c r="AV1042" s="198" t="s">
        <v>62</v>
      </c>
      <c r="AW1042" s="198" t="s">
        <v>54</v>
      </c>
    </row>
    <row r="1043" spans="3:49" outlineLevel="2" x14ac:dyDescent="0.25">
      <c r="C1043" s="201"/>
      <c r="D1043" s="198" t="s">
        <v>177</v>
      </c>
      <c r="H1043" s="198" t="s">
        <v>177</v>
      </c>
      <c r="I1043" s="202">
        <f t="shared" si="16"/>
        <v>434430185.40000004</v>
      </c>
      <c r="J1043" s="202">
        <v>105.2</v>
      </c>
      <c r="L1043" s="203">
        <v>2.8</v>
      </c>
      <c r="M1043" s="202">
        <v>352800</v>
      </c>
      <c r="N1043" s="203">
        <v>2.8</v>
      </c>
      <c r="O1043" s="198" t="s">
        <v>51</v>
      </c>
      <c r="P1043" s="202">
        <v>352800</v>
      </c>
      <c r="Q1043" s="198" t="s">
        <v>52</v>
      </c>
      <c r="R1043" s="198" t="s">
        <v>53</v>
      </c>
      <c r="S1043" s="198" t="s">
        <v>54</v>
      </c>
      <c r="T1043" s="198" t="s">
        <v>667</v>
      </c>
      <c r="U1043" s="198" t="s">
        <v>367</v>
      </c>
      <c r="V1043" s="198" t="s">
        <v>56</v>
      </c>
      <c r="W1043" s="198" t="s">
        <v>356</v>
      </c>
      <c r="X1043" s="198" t="s">
        <v>57</v>
      </c>
      <c r="Y1043" s="198" t="s">
        <v>58</v>
      </c>
      <c r="Z1043" s="201">
        <v>46233</v>
      </c>
      <c r="AA1043" s="198" t="s">
        <v>59</v>
      </c>
      <c r="AB1043" s="198" t="s">
        <v>60</v>
      </c>
      <c r="AC1043" s="198" t="s">
        <v>86</v>
      </c>
      <c r="AD1043" s="198" t="s">
        <v>62</v>
      </c>
      <c r="AE1043" s="198" t="s">
        <v>108</v>
      </c>
      <c r="AF1043" s="198" t="s">
        <v>107</v>
      </c>
      <c r="AG1043" s="198" t="s">
        <v>248</v>
      </c>
      <c r="AH1043" s="198" t="s">
        <v>167</v>
      </c>
      <c r="AI1043" s="198" t="s">
        <v>56</v>
      </c>
      <c r="AJ1043" s="198" t="s">
        <v>74</v>
      </c>
      <c r="AK1043" s="198" t="s">
        <v>51</v>
      </c>
      <c r="AL1043" s="198" t="s">
        <v>67</v>
      </c>
      <c r="AM1043" s="198" t="s">
        <v>68</v>
      </c>
      <c r="AN1043" s="202">
        <v>352800</v>
      </c>
      <c r="AO1043" s="202">
        <v>352800</v>
      </c>
      <c r="AP1043" s="202">
        <v>352800</v>
      </c>
      <c r="AQ1043" s="198" t="s">
        <v>358</v>
      </c>
      <c r="AR1043" s="198" t="s">
        <v>51</v>
      </c>
      <c r="AS1043" s="202">
        <v>352800</v>
      </c>
      <c r="AT1043" s="202">
        <v>352800</v>
      </c>
      <c r="AU1043" s="198" t="s">
        <v>359</v>
      </c>
      <c r="AV1043" s="198" t="s">
        <v>62</v>
      </c>
      <c r="AW1043" s="198" t="s">
        <v>54</v>
      </c>
    </row>
    <row r="1044" spans="3:49" outlineLevel="2" x14ac:dyDescent="0.25">
      <c r="C1044" s="201"/>
      <c r="D1044" s="198" t="s">
        <v>109</v>
      </c>
      <c r="H1044" s="198" t="s">
        <v>109</v>
      </c>
      <c r="I1044" s="202">
        <f t="shared" si="16"/>
        <v>434843141.84999996</v>
      </c>
      <c r="J1044" s="202">
        <v>105.3</v>
      </c>
      <c r="L1044" s="203">
        <v>0.9</v>
      </c>
      <c r="M1044" s="202">
        <v>91234.8</v>
      </c>
      <c r="N1044" s="203">
        <v>0.9</v>
      </c>
      <c r="O1044" s="198" t="s">
        <v>51</v>
      </c>
      <c r="P1044" s="202">
        <v>91234.8</v>
      </c>
      <c r="Q1044" s="198" t="s">
        <v>52</v>
      </c>
      <c r="R1044" s="198" t="s">
        <v>53</v>
      </c>
      <c r="S1044" s="198" t="s">
        <v>54</v>
      </c>
      <c r="T1044" s="198" t="s">
        <v>667</v>
      </c>
      <c r="U1044" s="198" t="s">
        <v>367</v>
      </c>
      <c r="V1044" s="198" t="s">
        <v>56</v>
      </c>
      <c r="W1044" s="198" t="s">
        <v>356</v>
      </c>
      <c r="X1044" s="198" t="s">
        <v>57</v>
      </c>
      <c r="Y1044" s="198" t="s">
        <v>58</v>
      </c>
      <c r="Z1044" s="201">
        <v>46233</v>
      </c>
      <c r="AA1044" s="198" t="s">
        <v>59</v>
      </c>
      <c r="AB1044" s="198" t="s">
        <v>60</v>
      </c>
      <c r="AC1044" s="198" t="s">
        <v>86</v>
      </c>
      <c r="AD1044" s="198" t="s">
        <v>62</v>
      </c>
      <c r="AE1044" s="198" t="s">
        <v>1775</v>
      </c>
      <c r="AF1044" s="198" t="s">
        <v>1774</v>
      </c>
      <c r="AG1044" s="198" t="s">
        <v>248</v>
      </c>
      <c r="AH1044" s="198" t="s">
        <v>89</v>
      </c>
      <c r="AI1044" s="198" t="s">
        <v>56</v>
      </c>
      <c r="AJ1044" s="198" t="s">
        <v>74</v>
      </c>
      <c r="AK1044" s="198" t="s">
        <v>51</v>
      </c>
      <c r="AL1044" s="198" t="s">
        <v>67</v>
      </c>
      <c r="AM1044" s="198" t="s">
        <v>68</v>
      </c>
      <c r="AN1044" s="202">
        <v>91234.8</v>
      </c>
      <c r="AO1044" s="202">
        <v>91234.8</v>
      </c>
      <c r="AP1044" s="202">
        <v>91234.8</v>
      </c>
      <c r="AQ1044" s="198" t="s">
        <v>358</v>
      </c>
      <c r="AR1044" s="198" t="s">
        <v>51</v>
      </c>
      <c r="AS1044" s="202">
        <v>91234.8</v>
      </c>
      <c r="AT1044" s="202">
        <v>91234.8</v>
      </c>
      <c r="AU1044" s="198" t="s">
        <v>359</v>
      </c>
      <c r="AV1044" s="198" t="s">
        <v>62</v>
      </c>
      <c r="AW1044" s="198" t="s">
        <v>54</v>
      </c>
    </row>
    <row r="1045" spans="3:49" outlineLevel="2" x14ac:dyDescent="0.25">
      <c r="C1045" s="201"/>
      <c r="D1045" s="198" t="s">
        <v>109</v>
      </c>
      <c r="H1045" s="198" t="s">
        <v>109</v>
      </c>
      <c r="I1045" s="202">
        <f t="shared" si="16"/>
        <v>435256098.30000001</v>
      </c>
      <c r="J1045" s="202">
        <v>105.4</v>
      </c>
      <c r="L1045" s="203">
        <v>17.262</v>
      </c>
      <c r="M1045" s="202">
        <v>1778521.12</v>
      </c>
      <c r="N1045" s="203">
        <v>17.262</v>
      </c>
      <c r="O1045" s="198" t="s">
        <v>51</v>
      </c>
      <c r="P1045" s="202">
        <v>1778521.12</v>
      </c>
      <c r="Q1045" s="198" t="s">
        <v>52</v>
      </c>
      <c r="R1045" s="198" t="s">
        <v>53</v>
      </c>
      <c r="S1045" s="198" t="s">
        <v>54</v>
      </c>
      <c r="T1045" s="198" t="s">
        <v>667</v>
      </c>
      <c r="U1045" s="198" t="s">
        <v>367</v>
      </c>
      <c r="V1045" s="198" t="s">
        <v>56</v>
      </c>
      <c r="W1045" s="198" t="s">
        <v>356</v>
      </c>
      <c r="X1045" s="198" t="s">
        <v>57</v>
      </c>
      <c r="Y1045" s="198" t="s">
        <v>58</v>
      </c>
      <c r="Z1045" s="201">
        <v>46233</v>
      </c>
      <c r="AA1045" s="198" t="s">
        <v>59</v>
      </c>
      <c r="AB1045" s="198" t="s">
        <v>60</v>
      </c>
      <c r="AC1045" s="198" t="s">
        <v>86</v>
      </c>
      <c r="AD1045" s="198" t="s">
        <v>62</v>
      </c>
      <c r="AE1045" s="198" t="s">
        <v>102</v>
      </c>
      <c r="AF1045" s="198" t="s">
        <v>101</v>
      </c>
      <c r="AG1045" s="198" t="s">
        <v>248</v>
      </c>
      <c r="AH1045" s="198" t="s">
        <v>89</v>
      </c>
      <c r="AI1045" s="198" t="s">
        <v>56</v>
      </c>
      <c r="AJ1045" s="198" t="s">
        <v>66</v>
      </c>
      <c r="AK1045" s="198" t="s">
        <v>51</v>
      </c>
      <c r="AL1045" s="198" t="s">
        <v>67</v>
      </c>
      <c r="AM1045" s="198" t="s">
        <v>68</v>
      </c>
      <c r="AN1045" s="202">
        <v>1778521.12</v>
      </c>
      <c r="AO1045" s="202">
        <v>1778521.12</v>
      </c>
      <c r="AP1045" s="202">
        <v>1778521.12</v>
      </c>
      <c r="AQ1045" s="198" t="s">
        <v>358</v>
      </c>
      <c r="AR1045" s="198" t="s">
        <v>51</v>
      </c>
      <c r="AS1045" s="202">
        <v>1778521.12</v>
      </c>
      <c r="AT1045" s="202">
        <v>1778521.12</v>
      </c>
      <c r="AU1045" s="198" t="s">
        <v>359</v>
      </c>
      <c r="AV1045" s="198" t="s">
        <v>62</v>
      </c>
      <c r="AW1045" s="198" t="s">
        <v>54</v>
      </c>
    </row>
    <row r="1046" spans="3:49" outlineLevel="2" x14ac:dyDescent="0.25">
      <c r="C1046" s="201"/>
      <c r="D1046" s="198" t="s">
        <v>109</v>
      </c>
      <c r="H1046" s="198" t="s">
        <v>109</v>
      </c>
      <c r="I1046" s="202">
        <f t="shared" si="16"/>
        <v>435669054.75</v>
      </c>
      <c r="J1046" s="202">
        <v>105.5</v>
      </c>
      <c r="L1046" s="203">
        <v>0.61199999999999999</v>
      </c>
      <c r="M1046" s="202">
        <v>113440.32000000001</v>
      </c>
      <c r="N1046" s="203">
        <v>0.61199999999999999</v>
      </c>
      <c r="O1046" s="198" t="s">
        <v>51</v>
      </c>
      <c r="P1046" s="202">
        <v>113440.32000000001</v>
      </c>
      <c r="Q1046" s="198" t="s">
        <v>52</v>
      </c>
      <c r="R1046" s="198" t="s">
        <v>53</v>
      </c>
      <c r="S1046" s="198" t="s">
        <v>54</v>
      </c>
      <c r="T1046" s="198" t="s">
        <v>667</v>
      </c>
      <c r="U1046" s="198" t="s">
        <v>367</v>
      </c>
      <c r="V1046" s="198" t="s">
        <v>56</v>
      </c>
      <c r="W1046" s="198" t="s">
        <v>356</v>
      </c>
      <c r="X1046" s="198" t="s">
        <v>57</v>
      </c>
      <c r="Y1046" s="198" t="s">
        <v>58</v>
      </c>
      <c r="Z1046" s="201">
        <v>46233</v>
      </c>
      <c r="AA1046" s="198" t="s">
        <v>59</v>
      </c>
      <c r="AB1046" s="198" t="s">
        <v>60</v>
      </c>
      <c r="AC1046" s="198" t="s">
        <v>86</v>
      </c>
      <c r="AD1046" s="198" t="s">
        <v>62</v>
      </c>
      <c r="AE1046" s="198" t="s">
        <v>105</v>
      </c>
      <c r="AF1046" s="198" t="s">
        <v>104</v>
      </c>
      <c r="AG1046" s="198" t="s">
        <v>248</v>
      </c>
      <c r="AH1046" s="198" t="s">
        <v>89</v>
      </c>
      <c r="AI1046" s="198" t="s">
        <v>56</v>
      </c>
      <c r="AJ1046" s="198" t="s">
        <v>103</v>
      </c>
      <c r="AK1046" s="198" t="s">
        <v>51</v>
      </c>
      <c r="AL1046" s="198" t="s">
        <v>67</v>
      </c>
      <c r="AM1046" s="198" t="s">
        <v>68</v>
      </c>
      <c r="AN1046" s="202">
        <v>113440.32000000001</v>
      </c>
      <c r="AO1046" s="202">
        <v>113440.32000000001</v>
      </c>
      <c r="AP1046" s="202">
        <v>113440.32000000001</v>
      </c>
      <c r="AQ1046" s="198" t="s">
        <v>358</v>
      </c>
      <c r="AR1046" s="198" t="s">
        <v>51</v>
      </c>
      <c r="AS1046" s="202">
        <v>113440.32000000001</v>
      </c>
      <c r="AT1046" s="202">
        <v>113440.32000000001</v>
      </c>
      <c r="AU1046" s="198" t="s">
        <v>359</v>
      </c>
      <c r="AV1046" s="198" t="s">
        <v>62</v>
      </c>
      <c r="AW1046" s="198" t="s">
        <v>54</v>
      </c>
    </row>
    <row r="1047" spans="3:49" outlineLevel="2" x14ac:dyDescent="0.25">
      <c r="C1047" s="201"/>
      <c r="D1047" s="198" t="s">
        <v>109</v>
      </c>
      <c r="H1047" s="198" t="s">
        <v>109</v>
      </c>
      <c r="I1047" s="202">
        <f t="shared" si="16"/>
        <v>436082011.19999999</v>
      </c>
      <c r="J1047" s="202">
        <v>105.6</v>
      </c>
      <c r="L1047" s="204">
        <v>756</v>
      </c>
      <c r="M1047" s="202">
        <v>529200</v>
      </c>
      <c r="N1047" s="204">
        <v>756</v>
      </c>
      <c r="O1047" s="198" t="s">
        <v>51</v>
      </c>
      <c r="P1047" s="202">
        <v>529200</v>
      </c>
      <c r="Q1047" s="198" t="s">
        <v>70</v>
      </c>
      <c r="R1047" s="198" t="s">
        <v>53</v>
      </c>
      <c r="S1047" s="198" t="s">
        <v>54</v>
      </c>
      <c r="T1047" s="198" t="s">
        <v>667</v>
      </c>
      <c r="U1047" s="198" t="s">
        <v>367</v>
      </c>
      <c r="V1047" s="198" t="s">
        <v>56</v>
      </c>
      <c r="W1047" s="198" t="s">
        <v>356</v>
      </c>
      <c r="X1047" s="198" t="s">
        <v>57</v>
      </c>
      <c r="Y1047" s="198" t="s">
        <v>58</v>
      </c>
      <c r="Z1047" s="201">
        <v>46233</v>
      </c>
      <c r="AA1047" s="198" t="s">
        <v>59</v>
      </c>
      <c r="AB1047" s="198" t="s">
        <v>60</v>
      </c>
      <c r="AC1047" s="198" t="s">
        <v>86</v>
      </c>
      <c r="AD1047" s="198" t="s">
        <v>62</v>
      </c>
      <c r="AE1047" s="198" t="s">
        <v>2026</v>
      </c>
      <c r="AF1047" s="198" t="s">
        <v>2025</v>
      </c>
      <c r="AG1047" s="198" t="s">
        <v>248</v>
      </c>
      <c r="AH1047" s="198" t="s">
        <v>89</v>
      </c>
      <c r="AI1047" s="198" t="s">
        <v>56</v>
      </c>
      <c r="AJ1047" s="198" t="s">
        <v>106</v>
      </c>
      <c r="AK1047" s="198" t="s">
        <v>51</v>
      </c>
      <c r="AL1047" s="198" t="s">
        <v>67</v>
      </c>
      <c r="AM1047" s="198" t="s">
        <v>68</v>
      </c>
      <c r="AN1047" s="202">
        <v>529200</v>
      </c>
      <c r="AO1047" s="202">
        <v>529200</v>
      </c>
      <c r="AP1047" s="202">
        <v>529200</v>
      </c>
      <c r="AQ1047" s="198" t="s">
        <v>358</v>
      </c>
      <c r="AR1047" s="198" t="s">
        <v>51</v>
      </c>
      <c r="AS1047" s="202">
        <v>529200</v>
      </c>
      <c r="AT1047" s="202">
        <v>529200</v>
      </c>
      <c r="AU1047" s="198" t="s">
        <v>359</v>
      </c>
      <c r="AV1047" s="198" t="s">
        <v>62</v>
      </c>
      <c r="AW1047" s="198" t="s">
        <v>54</v>
      </c>
    </row>
    <row r="1048" spans="3:49" outlineLevel="2" x14ac:dyDescent="0.25">
      <c r="C1048" s="201"/>
      <c r="D1048" s="198" t="s">
        <v>109</v>
      </c>
      <c r="H1048" s="198" t="s">
        <v>109</v>
      </c>
      <c r="I1048" s="202">
        <f t="shared" si="16"/>
        <v>436494967.65000004</v>
      </c>
      <c r="J1048" s="202">
        <v>105.7</v>
      </c>
      <c r="L1048" s="203">
        <v>3.15</v>
      </c>
      <c r="M1048" s="202">
        <v>396900</v>
      </c>
      <c r="N1048" s="203">
        <v>3.15</v>
      </c>
      <c r="O1048" s="198" t="s">
        <v>51</v>
      </c>
      <c r="P1048" s="202">
        <v>396900</v>
      </c>
      <c r="Q1048" s="198" t="s">
        <v>52</v>
      </c>
      <c r="R1048" s="198" t="s">
        <v>53</v>
      </c>
      <c r="S1048" s="198" t="s">
        <v>54</v>
      </c>
      <c r="T1048" s="198" t="s">
        <v>667</v>
      </c>
      <c r="U1048" s="198" t="s">
        <v>367</v>
      </c>
      <c r="V1048" s="198" t="s">
        <v>56</v>
      </c>
      <c r="W1048" s="198" t="s">
        <v>356</v>
      </c>
      <c r="X1048" s="198" t="s">
        <v>57</v>
      </c>
      <c r="Y1048" s="198" t="s">
        <v>58</v>
      </c>
      <c r="Z1048" s="201">
        <v>46233</v>
      </c>
      <c r="AA1048" s="198" t="s">
        <v>59</v>
      </c>
      <c r="AB1048" s="198" t="s">
        <v>60</v>
      </c>
      <c r="AC1048" s="198" t="s">
        <v>86</v>
      </c>
      <c r="AD1048" s="198" t="s">
        <v>62</v>
      </c>
      <c r="AE1048" s="198" t="s">
        <v>108</v>
      </c>
      <c r="AF1048" s="198" t="s">
        <v>107</v>
      </c>
      <c r="AG1048" s="198" t="s">
        <v>248</v>
      </c>
      <c r="AH1048" s="198" t="s">
        <v>89</v>
      </c>
      <c r="AI1048" s="198" t="s">
        <v>56</v>
      </c>
      <c r="AJ1048" s="198" t="s">
        <v>74</v>
      </c>
      <c r="AK1048" s="198" t="s">
        <v>51</v>
      </c>
      <c r="AL1048" s="198" t="s">
        <v>67</v>
      </c>
      <c r="AM1048" s="198" t="s">
        <v>68</v>
      </c>
      <c r="AN1048" s="202">
        <v>396900</v>
      </c>
      <c r="AO1048" s="202">
        <v>396900</v>
      </c>
      <c r="AP1048" s="202">
        <v>396900</v>
      </c>
      <c r="AQ1048" s="198" t="s">
        <v>358</v>
      </c>
      <c r="AR1048" s="198" t="s">
        <v>51</v>
      </c>
      <c r="AS1048" s="202">
        <v>396900</v>
      </c>
      <c r="AT1048" s="202">
        <v>396900</v>
      </c>
      <c r="AU1048" s="198" t="s">
        <v>359</v>
      </c>
      <c r="AV1048" s="198" t="s">
        <v>62</v>
      </c>
      <c r="AW1048" s="198" t="s">
        <v>54</v>
      </c>
    </row>
    <row r="1049" spans="3:49" outlineLevel="2" x14ac:dyDescent="0.25">
      <c r="C1049" s="201"/>
      <c r="D1049" s="198" t="s">
        <v>184</v>
      </c>
      <c r="H1049" s="198" t="s">
        <v>184</v>
      </c>
      <c r="I1049" s="202">
        <f t="shared" si="16"/>
        <v>436907924.09999996</v>
      </c>
      <c r="J1049" s="202">
        <v>105.8</v>
      </c>
      <c r="L1049" s="203">
        <v>2.31</v>
      </c>
      <c r="M1049" s="202">
        <v>234169.32</v>
      </c>
      <c r="N1049" s="203">
        <v>2.31</v>
      </c>
      <c r="O1049" s="198" t="s">
        <v>51</v>
      </c>
      <c r="P1049" s="202">
        <v>234169.32</v>
      </c>
      <c r="Q1049" s="198" t="s">
        <v>52</v>
      </c>
      <c r="R1049" s="198" t="s">
        <v>53</v>
      </c>
      <c r="S1049" s="198" t="s">
        <v>54</v>
      </c>
      <c r="T1049" s="198" t="s">
        <v>667</v>
      </c>
      <c r="U1049" s="198" t="s">
        <v>367</v>
      </c>
      <c r="V1049" s="198" t="s">
        <v>56</v>
      </c>
      <c r="W1049" s="198" t="s">
        <v>356</v>
      </c>
      <c r="X1049" s="198" t="s">
        <v>57</v>
      </c>
      <c r="Y1049" s="198" t="s">
        <v>58</v>
      </c>
      <c r="Z1049" s="201">
        <v>46233</v>
      </c>
      <c r="AA1049" s="198" t="s">
        <v>59</v>
      </c>
      <c r="AB1049" s="198" t="s">
        <v>60</v>
      </c>
      <c r="AC1049" s="198" t="s">
        <v>86</v>
      </c>
      <c r="AD1049" s="198" t="s">
        <v>62</v>
      </c>
      <c r="AE1049" s="198" t="s">
        <v>81</v>
      </c>
      <c r="AF1049" s="198" t="s">
        <v>79</v>
      </c>
      <c r="AG1049" s="198" t="s">
        <v>248</v>
      </c>
      <c r="AH1049" s="198" t="s">
        <v>169</v>
      </c>
      <c r="AI1049" s="198" t="s">
        <v>56</v>
      </c>
      <c r="AJ1049" s="198" t="s">
        <v>66</v>
      </c>
      <c r="AK1049" s="198" t="s">
        <v>51</v>
      </c>
      <c r="AL1049" s="198" t="s">
        <v>67</v>
      </c>
      <c r="AM1049" s="198" t="s">
        <v>68</v>
      </c>
      <c r="AN1049" s="202">
        <v>234169.32</v>
      </c>
      <c r="AO1049" s="202">
        <v>234169.32</v>
      </c>
      <c r="AP1049" s="202">
        <v>234169.32</v>
      </c>
      <c r="AQ1049" s="198" t="s">
        <v>358</v>
      </c>
      <c r="AR1049" s="198" t="s">
        <v>51</v>
      </c>
      <c r="AS1049" s="202">
        <v>234169.32</v>
      </c>
      <c r="AT1049" s="202">
        <v>234169.32</v>
      </c>
      <c r="AU1049" s="198" t="s">
        <v>359</v>
      </c>
      <c r="AV1049" s="198" t="s">
        <v>62</v>
      </c>
      <c r="AW1049" s="198" t="s">
        <v>54</v>
      </c>
    </row>
    <row r="1050" spans="3:49" outlineLevel="2" x14ac:dyDescent="0.25">
      <c r="C1050" s="201"/>
      <c r="D1050" s="198" t="s">
        <v>184</v>
      </c>
      <c r="H1050" s="198" t="s">
        <v>184</v>
      </c>
      <c r="I1050" s="202">
        <f t="shared" si="16"/>
        <v>437320880.55000001</v>
      </c>
      <c r="J1050" s="202">
        <v>105.9</v>
      </c>
      <c r="L1050" s="203">
        <v>581.6</v>
      </c>
      <c r="M1050" s="202">
        <v>407120</v>
      </c>
      <c r="N1050" s="203">
        <v>581.6</v>
      </c>
      <c r="O1050" s="198" t="s">
        <v>51</v>
      </c>
      <c r="P1050" s="202">
        <v>407120</v>
      </c>
      <c r="Q1050" s="198" t="s">
        <v>70</v>
      </c>
      <c r="R1050" s="198" t="s">
        <v>53</v>
      </c>
      <c r="S1050" s="198" t="s">
        <v>54</v>
      </c>
      <c r="T1050" s="198" t="s">
        <v>667</v>
      </c>
      <c r="U1050" s="198" t="s">
        <v>367</v>
      </c>
      <c r="V1050" s="198" t="s">
        <v>56</v>
      </c>
      <c r="W1050" s="198" t="s">
        <v>356</v>
      </c>
      <c r="X1050" s="198" t="s">
        <v>57</v>
      </c>
      <c r="Y1050" s="198" t="s">
        <v>58</v>
      </c>
      <c r="Z1050" s="201">
        <v>46233</v>
      </c>
      <c r="AA1050" s="198" t="s">
        <v>59</v>
      </c>
      <c r="AB1050" s="198" t="s">
        <v>60</v>
      </c>
      <c r="AC1050" s="198" t="s">
        <v>86</v>
      </c>
      <c r="AD1050" s="198" t="s">
        <v>62</v>
      </c>
      <c r="AE1050" s="198" t="s">
        <v>518</v>
      </c>
      <c r="AF1050" s="198" t="s">
        <v>517</v>
      </c>
      <c r="AG1050" s="198" t="s">
        <v>248</v>
      </c>
      <c r="AH1050" s="198" t="s">
        <v>169</v>
      </c>
      <c r="AI1050" s="198" t="s">
        <v>56</v>
      </c>
      <c r="AJ1050" s="198" t="s">
        <v>106</v>
      </c>
      <c r="AK1050" s="198" t="s">
        <v>51</v>
      </c>
      <c r="AL1050" s="198" t="s">
        <v>67</v>
      </c>
      <c r="AM1050" s="198" t="s">
        <v>68</v>
      </c>
      <c r="AN1050" s="202">
        <v>407120</v>
      </c>
      <c r="AO1050" s="202">
        <v>407120</v>
      </c>
      <c r="AP1050" s="202">
        <v>407120</v>
      </c>
      <c r="AQ1050" s="198" t="s">
        <v>358</v>
      </c>
      <c r="AR1050" s="198" t="s">
        <v>51</v>
      </c>
      <c r="AS1050" s="202">
        <v>407120</v>
      </c>
      <c r="AT1050" s="202">
        <v>407120</v>
      </c>
      <c r="AU1050" s="198" t="s">
        <v>359</v>
      </c>
      <c r="AV1050" s="198" t="s">
        <v>62</v>
      </c>
      <c r="AW1050" s="198" t="s">
        <v>54</v>
      </c>
    </row>
    <row r="1051" spans="3:49" outlineLevel="2" x14ac:dyDescent="0.25">
      <c r="C1051" s="201"/>
      <c r="D1051" s="198" t="s">
        <v>184</v>
      </c>
      <c r="H1051" s="198" t="s">
        <v>184</v>
      </c>
      <c r="I1051" s="202">
        <f t="shared" si="16"/>
        <v>437733837</v>
      </c>
      <c r="J1051" s="202">
        <v>106</v>
      </c>
      <c r="L1051" s="203">
        <v>5.3079999999999998</v>
      </c>
      <c r="M1051" s="202">
        <v>524435.71</v>
      </c>
      <c r="N1051" s="203">
        <v>5.3079999999999998</v>
      </c>
      <c r="O1051" s="198" t="s">
        <v>51</v>
      </c>
      <c r="P1051" s="202">
        <v>524435.71</v>
      </c>
      <c r="Q1051" s="198" t="s">
        <v>52</v>
      </c>
      <c r="R1051" s="198" t="s">
        <v>53</v>
      </c>
      <c r="S1051" s="198" t="s">
        <v>54</v>
      </c>
      <c r="T1051" s="198" t="s">
        <v>667</v>
      </c>
      <c r="U1051" s="198" t="s">
        <v>367</v>
      </c>
      <c r="V1051" s="198" t="s">
        <v>56</v>
      </c>
      <c r="W1051" s="198" t="s">
        <v>356</v>
      </c>
      <c r="X1051" s="198" t="s">
        <v>57</v>
      </c>
      <c r="Y1051" s="198" t="s">
        <v>58</v>
      </c>
      <c r="Z1051" s="201">
        <v>46233</v>
      </c>
      <c r="AA1051" s="198" t="s">
        <v>59</v>
      </c>
      <c r="AB1051" s="198" t="s">
        <v>60</v>
      </c>
      <c r="AC1051" s="198" t="s">
        <v>86</v>
      </c>
      <c r="AD1051" s="198" t="s">
        <v>62</v>
      </c>
      <c r="AE1051" s="198" t="s">
        <v>100</v>
      </c>
      <c r="AF1051" s="198" t="s">
        <v>99</v>
      </c>
      <c r="AG1051" s="198" t="s">
        <v>248</v>
      </c>
      <c r="AH1051" s="198" t="s">
        <v>169</v>
      </c>
      <c r="AI1051" s="198" t="s">
        <v>56</v>
      </c>
      <c r="AJ1051" s="198" t="s">
        <v>74</v>
      </c>
      <c r="AK1051" s="198" t="s">
        <v>51</v>
      </c>
      <c r="AL1051" s="198" t="s">
        <v>67</v>
      </c>
      <c r="AM1051" s="198" t="s">
        <v>68</v>
      </c>
      <c r="AN1051" s="202">
        <v>524435.71</v>
      </c>
      <c r="AO1051" s="202">
        <v>524435.71</v>
      </c>
      <c r="AP1051" s="202">
        <v>524435.71</v>
      </c>
      <c r="AQ1051" s="198" t="s">
        <v>358</v>
      </c>
      <c r="AR1051" s="198" t="s">
        <v>51</v>
      </c>
      <c r="AS1051" s="202">
        <v>524435.71</v>
      </c>
      <c r="AT1051" s="202">
        <v>524435.71</v>
      </c>
      <c r="AU1051" s="198" t="s">
        <v>359</v>
      </c>
      <c r="AV1051" s="198" t="s">
        <v>62</v>
      </c>
      <c r="AW1051" s="198" t="s">
        <v>54</v>
      </c>
    </row>
    <row r="1052" spans="3:49" outlineLevel="2" x14ac:dyDescent="0.25">
      <c r="C1052" s="201"/>
      <c r="D1052" s="198" t="s">
        <v>177</v>
      </c>
      <c r="H1052" s="198" t="s">
        <v>177</v>
      </c>
      <c r="I1052" s="202">
        <f t="shared" si="16"/>
        <v>438146793.44999999</v>
      </c>
      <c r="J1052" s="202">
        <v>106.1</v>
      </c>
      <c r="L1052" s="203">
        <v>3.6960000000000002</v>
      </c>
      <c r="M1052" s="202">
        <v>374670.91</v>
      </c>
      <c r="N1052" s="203">
        <v>3.6960000000000002</v>
      </c>
      <c r="O1052" s="198" t="s">
        <v>51</v>
      </c>
      <c r="P1052" s="202">
        <v>374670.91</v>
      </c>
      <c r="Q1052" s="198" t="s">
        <v>52</v>
      </c>
      <c r="R1052" s="198" t="s">
        <v>53</v>
      </c>
      <c r="S1052" s="198" t="s">
        <v>54</v>
      </c>
      <c r="T1052" s="198" t="s">
        <v>667</v>
      </c>
      <c r="U1052" s="198" t="s">
        <v>367</v>
      </c>
      <c r="V1052" s="198" t="s">
        <v>56</v>
      </c>
      <c r="W1052" s="198" t="s">
        <v>356</v>
      </c>
      <c r="X1052" s="198" t="s">
        <v>57</v>
      </c>
      <c r="Y1052" s="198" t="s">
        <v>58</v>
      </c>
      <c r="Z1052" s="201">
        <v>46233</v>
      </c>
      <c r="AA1052" s="198" t="s">
        <v>59</v>
      </c>
      <c r="AB1052" s="198" t="s">
        <v>60</v>
      </c>
      <c r="AC1052" s="198" t="s">
        <v>86</v>
      </c>
      <c r="AD1052" s="198" t="s">
        <v>62</v>
      </c>
      <c r="AE1052" s="198" t="s">
        <v>81</v>
      </c>
      <c r="AF1052" s="198" t="s">
        <v>79</v>
      </c>
      <c r="AG1052" s="198" t="s">
        <v>248</v>
      </c>
      <c r="AH1052" s="198" t="s">
        <v>167</v>
      </c>
      <c r="AI1052" s="198" t="s">
        <v>56</v>
      </c>
      <c r="AJ1052" s="198" t="s">
        <v>66</v>
      </c>
      <c r="AK1052" s="198" t="s">
        <v>51</v>
      </c>
      <c r="AL1052" s="198" t="s">
        <v>67</v>
      </c>
      <c r="AM1052" s="198" t="s">
        <v>68</v>
      </c>
      <c r="AN1052" s="202">
        <v>374670.91</v>
      </c>
      <c r="AO1052" s="202">
        <v>374670.91</v>
      </c>
      <c r="AP1052" s="202">
        <v>374670.91</v>
      </c>
      <c r="AQ1052" s="198" t="s">
        <v>358</v>
      </c>
      <c r="AR1052" s="198" t="s">
        <v>51</v>
      </c>
      <c r="AS1052" s="202">
        <v>374670.91</v>
      </c>
      <c r="AT1052" s="202">
        <v>374670.91</v>
      </c>
      <c r="AU1052" s="198" t="s">
        <v>359</v>
      </c>
      <c r="AV1052" s="198" t="s">
        <v>62</v>
      </c>
      <c r="AW1052" s="198" t="s">
        <v>54</v>
      </c>
    </row>
    <row r="1053" spans="3:49" outlineLevel="2" x14ac:dyDescent="0.25">
      <c r="C1053" s="201"/>
      <c r="D1053" s="198" t="s">
        <v>177</v>
      </c>
      <c r="H1053" s="198" t="s">
        <v>177</v>
      </c>
      <c r="I1053" s="202">
        <f t="shared" si="16"/>
        <v>438559749.90000004</v>
      </c>
      <c r="J1053" s="202">
        <v>106.2</v>
      </c>
      <c r="L1053" s="203">
        <v>930.56</v>
      </c>
      <c r="M1053" s="202">
        <v>651392</v>
      </c>
      <c r="N1053" s="203">
        <v>930.56</v>
      </c>
      <c r="O1053" s="198" t="s">
        <v>51</v>
      </c>
      <c r="P1053" s="202">
        <v>651392</v>
      </c>
      <c r="Q1053" s="198" t="s">
        <v>70</v>
      </c>
      <c r="R1053" s="198" t="s">
        <v>53</v>
      </c>
      <c r="S1053" s="198" t="s">
        <v>54</v>
      </c>
      <c r="T1053" s="198" t="s">
        <v>667</v>
      </c>
      <c r="U1053" s="198" t="s">
        <v>367</v>
      </c>
      <c r="V1053" s="198" t="s">
        <v>56</v>
      </c>
      <c r="W1053" s="198" t="s">
        <v>356</v>
      </c>
      <c r="X1053" s="198" t="s">
        <v>57</v>
      </c>
      <c r="Y1053" s="198" t="s">
        <v>58</v>
      </c>
      <c r="Z1053" s="201">
        <v>46233</v>
      </c>
      <c r="AA1053" s="198" t="s">
        <v>59</v>
      </c>
      <c r="AB1053" s="198" t="s">
        <v>60</v>
      </c>
      <c r="AC1053" s="198" t="s">
        <v>86</v>
      </c>
      <c r="AD1053" s="198" t="s">
        <v>62</v>
      </c>
      <c r="AE1053" s="198" t="s">
        <v>518</v>
      </c>
      <c r="AF1053" s="198" t="s">
        <v>517</v>
      </c>
      <c r="AG1053" s="198" t="s">
        <v>248</v>
      </c>
      <c r="AH1053" s="198" t="s">
        <v>167</v>
      </c>
      <c r="AI1053" s="198" t="s">
        <v>56</v>
      </c>
      <c r="AJ1053" s="198" t="s">
        <v>106</v>
      </c>
      <c r="AK1053" s="198" t="s">
        <v>51</v>
      </c>
      <c r="AL1053" s="198" t="s">
        <v>67</v>
      </c>
      <c r="AM1053" s="198" t="s">
        <v>68</v>
      </c>
      <c r="AN1053" s="202">
        <v>651392</v>
      </c>
      <c r="AO1053" s="202">
        <v>651392</v>
      </c>
      <c r="AP1053" s="202">
        <v>651392</v>
      </c>
      <c r="AQ1053" s="198" t="s">
        <v>358</v>
      </c>
      <c r="AR1053" s="198" t="s">
        <v>51</v>
      </c>
      <c r="AS1053" s="202">
        <v>651392</v>
      </c>
      <c r="AT1053" s="202">
        <v>651392</v>
      </c>
      <c r="AU1053" s="198" t="s">
        <v>359</v>
      </c>
      <c r="AV1053" s="198" t="s">
        <v>62</v>
      </c>
      <c r="AW1053" s="198" t="s">
        <v>54</v>
      </c>
    </row>
    <row r="1054" spans="3:49" outlineLevel="2" x14ac:dyDescent="0.25">
      <c r="C1054" s="201"/>
      <c r="D1054" s="198" t="s">
        <v>177</v>
      </c>
      <c r="H1054" s="198" t="s">
        <v>177</v>
      </c>
      <c r="I1054" s="202">
        <f t="shared" si="16"/>
        <v>438972706.34999996</v>
      </c>
      <c r="J1054" s="202">
        <v>106.3</v>
      </c>
      <c r="L1054" s="203">
        <v>8.4930000000000003</v>
      </c>
      <c r="M1054" s="202">
        <v>839116.89</v>
      </c>
      <c r="N1054" s="203">
        <v>8.4930000000000003</v>
      </c>
      <c r="O1054" s="198" t="s">
        <v>51</v>
      </c>
      <c r="P1054" s="202">
        <v>839116.89</v>
      </c>
      <c r="Q1054" s="198" t="s">
        <v>52</v>
      </c>
      <c r="R1054" s="198" t="s">
        <v>53</v>
      </c>
      <c r="S1054" s="198" t="s">
        <v>54</v>
      </c>
      <c r="T1054" s="198" t="s">
        <v>667</v>
      </c>
      <c r="U1054" s="198" t="s">
        <v>367</v>
      </c>
      <c r="V1054" s="198" t="s">
        <v>56</v>
      </c>
      <c r="W1054" s="198" t="s">
        <v>356</v>
      </c>
      <c r="X1054" s="198" t="s">
        <v>57</v>
      </c>
      <c r="Y1054" s="198" t="s">
        <v>58</v>
      </c>
      <c r="Z1054" s="201">
        <v>46233</v>
      </c>
      <c r="AA1054" s="198" t="s">
        <v>59</v>
      </c>
      <c r="AB1054" s="198" t="s">
        <v>60</v>
      </c>
      <c r="AC1054" s="198" t="s">
        <v>86</v>
      </c>
      <c r="AD1054" s="198" t="s">
        <v>62</v>
      </c>
      <c r="AE1054" s="198" t="s">
        <v>100</v>
      </c>
      <c r="AF1054" s="198" t="s">
        <v>99</v>
      </c>
      <c r="AG1054" s="198" t="s">
        <v>248</v>
      </c>
      <c r="AH1054" s="198" t="s">
        <v>167</v>
      </c>
      <c r="AI1054" s="198" t="s">
        <v>56</v>
      </c>
      <c r="AJ1054" s="198" t="s">
        <v>74</v>
      </c>
      <c r="AK1054" s="198" t="s">
        <v>51</v>
      </c>
      <c r="AL1054" s="198" t="s">
        <v>67</v>
      </c>
      <c r="AM1054" s="198" t="s">
        <v>68</v>
      </c>
      <c r="AN1054" s="202">
        <v>839116.89</v>
      </c>
      <c r="AO1054" s="202">
        <v>839116.89</v>
      </c>
      <c r="AP1054" s="202">
        <v>839116.89</v>
      </c>
      <c r="AQ1054" s="198" t="s">
        <v>358</v>
      </c>
      <c r="AR1054" s="198" t="s">
        <v>51</v>
      </c>
      <c r="AS1054" s="202">
        <v>839116.89</v>
      </c>
      <c r="AT1054" s="202">
        <v>839116.89</v>
      </c>
      <c r="AU1054" s="198" t="s">
        <v>359</v>
      </c>
      <c r="AV1054" s="198" t="s">
        <v>62</v>
      </c>
      <c r="AW1054" s="198" t="s">
        <v>54</v>
      </c>
    </row>
    <row r="1055" spans="3:49" outlineLevel="2" x14ac:dyDescent="0.25">
      <c r="C1055" s="201"/>
      <c r="D1055" s="198" t="s">
        <v>109</v>
      </c>
      <c r="H1055" s="198" t="s">
        <v>109</v>
      </c>
      <c r="I1055" s="202">
        <f t="shared" si="16"/>
        <v>439385662.80000001</v>
      </c>
      <c r="J1055" s="202">
        <v>106.4</v>
      </c>
      <c r="L1055" s="203">
        <v>4.1580000000000004</v>
      </c>
      <c r="M1055" s="202">
        <v>421504.78</v>
      </c>
      <c r="N1055" s="203">
        <v>4.1580000000000004</v>
      </c>
      <c r="O1055" s="198" t="s">
        <v>51</v>
      </c>
      <c r="P1055" s="202">
        <v>421504.78</v>
      </c>
      <c r="Q1055" s="198" t="s">
        <v>52</v>
      </c>
      <c r="R1055" s="198" t="s">
        <v>53</v>
      </c>
      <c r="S1055" s="198" t="s">
        <v>54</v>
      </c>
      <c r="T1055" s="198" t="s">
        <v>667</v>
      </c>
      <c r="U1055" s="198" t="s">
        <v>367</v>
      </c>
      <c r="V1055" s="198" t="s">
        <v>56</v>
      </c>
      <c r="W1055" s="198" t="s">
        <v>356</v>
      </c>
      <c r="X1055" s="198" t="s">
        <v>57</v>
      </c>
      <c r="Y1055" s="198" t="s">
        <v>58</v>
      </c>
      <c r="Z1055" s="201">
        <v>46233</v>
      </c>
      <c r="AA1055" s="198" t="s">
        <v>59</v>
      </c>
      <c r="AB1055" s="198" t="s">
        <v>60</v>
      </c>
      <c r="AC1055" s="198" t="s">
        <v>86</v>
      </c>
      <c r="AD1055" s="198" t="s">
        <v>62</v>
      </c>
      <c r="AE1055" s="198" t="s">
        <v>1775</v>
      </c>
      <c r="AF1055" s="198" t="s">
        <v>1774</v>
      </c>
      <c r="AG1055" s="198" t="s">
        <v>248</v>
      </c>
      <c r="AH1055" s="198" t="s">
        <v>89</v>
      </c>
      <c r="AI1055" s="198" t="s">
        <v>56</v>
      </c>
      <c r="AJ1055" s="198" t="s">
        <v>74</v>
      </c>
      <c r="AK1055" s="198" t="s">
        <v>51</v>
      </c>
      <c r="AL1055" s="198" t="s">
        <v>67</v>
      </c>
      <c r="AM1055" s="198" t="s">
        <v>68</v>
      </c>
      <c r="AN1055" s="202">
        <v>421504.78</v>
      </c>
      <c r="AO1055" s="202">
        <v>421504.78</v>
      </c>
      <c r="AP1055" s="202">
        <v>421504.78</v>
      </c>
      <c r="AQ1055" s="198" t="s">
        <v>358</v>
      </c>
      <c r="AR1055" s="198" t="s">
        <v>51</v>
      </c>
      <c r="AS1055" s="202">
        <v>421504.78</v>
      </c>
      <c r="AT1055" s="202">
        <v>421504.78</v>
      </c>
      <c r="AU1055" s="198" t="s">
        <v>359</v>
      </c>
      <c r="AV1055" s="198" t="s">
        <v>62</v>
      </c>
      <c r="AW1055" s="198" t="s">
        <v>54</v>
      </c>
    </row>
    <row r="1056" spans="3:49" outlineLevel="2" x14ac:dyDescent="0.25">
      <c r="C1056" s="201"/>
      <c r="D1056" s="198" t="s">
        <v>109</v>
      </c>
      <c r="H1056" s="198" t="s">
        <v>109</v>
      </c>
      <c r="I1056" s="202">
        <f t="shared" si="16"/>
        <v>439798619.25</v>
      </c>
      <c r="J1056" s="202">
        <v>106.5</v>
      </c>
      <c r="L1056" s="203">
        <v>1046.8800000000001</v>
      </c>
      <c r="M1056" s="202">
        <v>732816</v>
      </c>
      <c r="N1056" s="203">
        <v>1046.8800000000001</v>
      </c>
      <c r="O1056" s="198" t="s">
        <v>51</v>
      </c>
      <c r="P1056" s="202">
        <v>732816</v>
      </c>
      <c r="Q1056" s="198" t="s">
        <v>70</v>
      </c>
      <c r="R1056" s="198" t="s">
        <v>53</v>
      </c>
      <c r="S1056" s="198" t="s">
        <v>54</v>
      </c>
      <c r="T1056" s="198" t="s">
        <v>667</v>
      </c>
      <c r="U1056" s="198" t="s">
        <v>367</v>
      </c>
      <c r="V1056" s="198" t="s">
        <v>56</v>
      </c>
      <c r="W1056" s="198" t="s">
        <v>356</v>
      </c>
      <c r="X1056" s="198" t="s">
        <v>57</v>
      </c>
      <c r="Y1056" s="198" t="s">
        <v>58</v>
      </c>
      <c r="Z1056" s="201">
        <v>46233</v>
      </c>
      <c r="AA1056" s="198" t="s">
        <v>59</v>
      </c>
      <c r="AB1056" s="198" t="s">
        <v>60</v>
      </c>
      <c r="AC1056" s="198" t="s">
        <v>86</v>
      </c>
      <c r="AD1056" s="198" t="s">
        <v>62</v>
      </c>
      <c r="AE1056" s="198" t="s">
        <v>2026</v>
      </c>
      <c r="AF1056" s="198" t="s">
        <v>2025</v>
      </c>
      <c r="AG1056" s="198" t="s">
        <v>248</v>
      </c>
      <c r="AH1056" s="198" t="s">
        <v>89</v>
      </c>
      <c r="AI1056" s="198" t="s">
        <v>56</v>
      </c>
      <c r="AJ1056" s="198" t="s">
        <v>106</v>
      </c>
      <c r="AK1056" s="198" t="s">
        <v>51</v>
      </c>
      <c r="AL1056" s="198" t="s">
        <v>67</v>
      </c>
      <c r="AM1056" s="198" t="s">
        <v>68</v>
      </c>
      <c r="AN1056" s="202">
        <v>732816</v>
      </c>
      <c r="AO1056" s="202">
        <v>732816</v>
      </c>
      <c r="AP1056" s="202">
        <v>732816</v>
      </c>
      <c r="AQ1056" s="198" t="s">
        <v>358</v>
      </c>
      <c r="AR1056" s="198" t="s">
        <v>51</v>
      </c>
      <c r="AS1056" s="202">
        <v>732816</v>
      </c>
      <c r="AT1056" s="202">
        <v>732816</v>
      </c>
      <c r="AU1056" s="198" t="s">
        <v>359</v>
      </c>
      <c r="AV1056" s="198" t="s">
        <v>62</v>
      </c>
      <c r="AW1056" s="198" t="s">
        <v>54</v>
      </c>
    </row>
    <row r="1057" spans="3:49" outlineLevel="2" x14ac:dyDescent="0.25">
      <c r="C1057" s="201"/>
      <c r="D1057" s="198" t="s">
        <v>109</v>
      </c>
      <c r="H1057" s="198" t="s">
        <v>109</v>
      </c>
      <c r="I1057" s="202">
        <f t="shared" si="16"/>
        <v>440211575.69999999</v>
      </c>
      <c r="J1057" s="202">
        <v>106.6</v>
      </c>
      <c r="L1057" s="203">
        <v>9.5540000000000003</v>
      </c>
      <c r="M1057" s="202">
        <v>943944.75</v>
      </c>
      <c r="N1057" s="203">
        <v>9.5540000000000003</v>
      </c>
      <c r="O1057" s="198" t="s">
        <v>51</v>
      </c>
      <c r="P1057" s="202">
        <v>943944.75</v>
      </c>
      <c r="Q1057" s="198" t="s">
        <v>52</v>
      </c>
      <c r="R1057" s="198" t="s">
        <v>53</v>
      </c>
      <c r="S1057" s="198" t="s">
        <v>54</v>
      </c>
      <c r="T1057" s="198" t="s">
        <v>667</v>
      </c>
      <c r="U1057" s="198" t="s">
        <v>367</v>
      </c>
      <c r="V1057" s="198" t="s">
        <v>56</v>
      </c>
      <c r="W1057" s="198" t="s">
        <v>356</v>
      </c>
      <c r="X1057" s="198" t="s">
        <v>57</v>
      </c>
      <c r="Y1057" s="198" t="s">
        <v>58</v>
      </c>
      <c r="Z1057" s="201">
        <v>46233</v>
      </c>
      <c r="AA1057" s="198" t="s">
        <v>59</v>
      </c>
      <c r="AB1057" s="198" t="s">
        <v>60</v>
      </c>
      <c r="AC1057" s="198" t="s">
        <v>86</v>
      </c>
      <c r="AD1057" s="198" t="s">
        <v>62</v>
      </c>
      <c r="AE1057" s="198" t="s">
        <v>100</v>
      </c>
      <c r="AF1057" s="198" t="s">
        <v>99</v>
      </c>
      <c r="AG1057" s="198" t="s">
        <v>248</v>
      </c>
      <c r="AH1057" s="198" t="s">
        <v>89</v>
      </c>
      <c r="AI1057" s="198" t="s">
        <v>56</v>
      </c>
      <c r="AJ1057" s="198" t="s">
        <v>74</v>
      </c>
      <c r="AK1057" s="198" t="s">
        <v>51</v>
      </c>
      <c r="AL1057" s="198" t="s">
        <v>67</v>
      </c>
      <c r="AM1057" s="198" t="s">
        <v>68</v>
      </c>
      <c r="AN1057" s="202">
        <v>943944.75</v>
      </c>
      <c r="AO1057" s="202">
        <v>943944.75</v>
      </c>
      <c r="AP1057" s="202">
        <v>943944.75</v>
      </c>
      <c r="AQ1057" s="198" t="s">
        <v>358</v>
      </c>
      <c r="AR1057" s="198" t="s">
        <v>51</v>
      </c>
      <c r="AS1057" s="202">
        <v>943944.75</v>
      </c>
      <c r="AT1057" s="202">
        <v>943944.75</v>
      </c>
      <c r="AU1057" s="198" t="s">
        <v>359</v>
      </c>
      <c r="AV1057" s="198" t="s">
        <v>62</v>
      </c>
      <c r="AW1057" s="198" t="s">
        <v>54</v>
      </c>
    </row>
    <row r="1058" spans="3:49" outlineLevel="2" x14ac:dyDescent="0.25">
      <c r="C1058" s="201"/>
      <c r="D1058" s="198" t="s">
        <v>110</v>
      </c>
      <c r="H1058" s="198" t="s">
        <v>110</v>
      </c>
      <c r="I1058" s="202">
        <f t="shared" si="16"/>
        <v>440624532.15000004</v>
      </c>
      <c r="J1058" s="202">
        <v>106.7</v>
      </c>
      <c r="L1058" s="203">
        <v>20.018000000000001</v>
      </c>
      <c r="M1058" s="202">
        <v>2029264.7</v>
      </c>
      <c r="N1058" s="203">
        <v>20.018000000000001</v>
      </c>
      <c r="O1058" s="198" t="s">
        <v>51</v>
      </c>
      <c r="P1058" s="202">
        <v>2029264.7</v>
      </c>
      <c r="Q1058" s="198" t="s">
        <v>52</v>
      </c>
      <c r="R1058" s="198" t="s">
        <v>53</v>
      </c>
      <c r="S1058" s="198" t="s">
        <v>54</v>
      </c>
      <c r="T1058" s="198" t="s">
        <v>667</v>
      </c>
      <c r="U1058" s="198" t="s">
        <v>367</v>
      </c>
      <c r="V1058" s="198" t="s">
        <v>56</v>
      </c>
      <c r="W1058" s="198" t="s">
        <v>356</v>
      </c>
      <c r="X1058" s="198" t="s">
        <v>57</v>
      </c>
      <c r="Y1058" s="198" t="s">
        <v>58</v>
      </c>
      <c r="Z1058" s="201">
        <v>46233</v>
      </c>
      <c r="AA1058" s="198" t="s">
        <v>59</v>
      </c>
      <c r="AB1058" s="198" t="s">
        <v>60</v>
      </c>
      <c r="AC1058" s="198" t="s">
        <v>86</v>
      </c>
      <c r="AD1058" s="198" t="s">
        <v>62</v>
      </c>
      <c r="AE1058" s="198" t="s">
        <v>1775</v>
      </c>
      <c r="AF1058" s="198" t="s">
        <v>1774</v>
      </c>
      <c r="AG1058" s="198" t="s">
        <v>248</v>
      </c>
      <c r="AH1058" s="198" t="s">
        <v>89</v>
      </c>
      <c r="AI1058" s="198" t="s">
        <v>56</v>
      </c>
      <c r="AJ1058" s="198" t="s">
        <v>74</v>
      </c>
      <c r="AK1058" s="198" t="s">
        <v>51</v>
      </c>
      <c r="AL1058" s="198" t="s">
        <v>67</v>
      </c>
      <c r="AM1058" s="198" t="s">
        <v>68</v>
      </c>
      <c r="AN1058" s="202">
        <v>2029264.7</v>
      </c>
      <c r="AO1058" s="202">
        <v>2029264.7</v>
      </c>
      <c r="AP1058" s="202">
        <v>2029264.7</v>
      </c>
      <c r="AQ1058" s="198" t="s">
        <v>358</v>
      </c>
      <c r="AR1058" s="198" t="s">
        <v>51</v>
      </c>
      <c r="AS1058" s="202">
        <v>2029264.7</v>
      </c>
      <c r="AT1058" s="202">
        <v>2029264.7</v>
      </c>
      <c r="AU1058" s="198" t="s">
        <v>359</v>
      </c>
      <c r="AV1058" s="198" t="s">
        <v>62</v>
      </c>
      <c r="AW1058" s="198" t="s">
        <v>54</v>
      </c>
    </row>
    <row r="1059" spans="3:49" outlineLevel="2" x14ac:dyDescent="0.25">
      <c r="C1059" s="201"/>
      <c r="D1059" s="198" t="s">
        <v>110</v>
      </c>
      <c r="H1059" s="198" t="s">
        <v>110</v>
      </c>
      <c r="I1059" s="202">
        <f t="shared" si="16"/>
        <v>441037488.59999996</v>
      </c>
      <c r="J1059" s="202">
        <v>106.8</v>
      </c>
      <c r="L1059" s="203">
        <v>63.018000000000001</v>
      </c>
      <c r="M1059" s="202">
        <v>6226241.4199999999</v>
      </c>
      <c r="N1059" s="203">
        <v>63.018000000000001</v>
      </c>
      <c r="O1059" s="198" t="s">
        <v>51</v>
      </c>
      <c r="P1059" s="202">
        <v>6226241.4199999999</v>
      </c>
      <c r="Q1059" s="198" t="s">
        <v>52</v>
      </c>
      <c r="R1059" s="198" t="s">
        <v>53</v>
      </c>
      <c r="S1059" s="198" t="s">
        <v>54</v>
      </c>
      <c r="T1059" s="198" t="s">
        <v>667</v>
      </c>
      <c r="U1059" s="198" t="s">
        <v>367</v>
      </c>
      <c r="V1059" s="198" t="s">
        <v>56</v>
      </c>
      <c r="W1059" s="198" t="s">
        <v>356</v>
      </c>
      <c r="X1059" s="198" t="s">
        <v>57</v>
      </c>
      <c r="Y1059" s="198" t="s">
        <v>58</v>
      </c>
      <c r="Z1059" s="201">
        <v>46233</v>
      </c>
      <c r="AA1059" s="198" t="s">
        <v>59</v>
      </c>
      <c r="AB1059" s="198" t="s">
        <v>60</v>
      </c>
      <c r="AC1059" s="198" t="s">
        <v>86</v>
      </c>
      <c r="AD1059" s="198" t="s">
        <v>62</v>
      </c>
      <c r="AE1059" s="198" t="s">
        <v>100</v>
      </c>
      <c r="AF1059" s="198" t="s">
        <v>99</v>
      </c>
      <c r="AG1059" s="198" t="s">
        <v>248</v>
      </c>
      <c r="AH1059" s="198" t="s">
        <v>89</v>
      </c>
      <c r="AI1059" s="198" t="s">
        <v>56</v>
      </c>
      <c r="AJ1059" s="198" t="s">
        <v>74</v>
      </c>
      <c r="AK1059" s="198" t="s">
        <v>51</v>
      </c>
      <c r="AL1059" s="198" t="s">
        <v>67</v>
      </c>
      <c r="AM1059" s="198" t="s">
        <v>68</v>
      </c>
      <c r="AN1059" s="202">
        <v>6226241.4199999999</v>
      </c>
      <c r="AO1059" s="202">
        <v>6226241.4199999999</v>
      </c>
      <c r="AP1059" s="202">
        <v>6226241.4199999999</v>
      </c>
      <c r="AQ1059" s="198" t="s">
        <v>358</v>
      </c>
      <c r="AR1059" s="198" t="s">
        <v>51</v>
      </c>
      <c r="AS1059" s="202">
        <v>6226241.4199999999</v>
      </c>
      <c r="AT1059" s="202">
        <v>6226241.4199999999</v>
      </c>
      <c r="AU1059" s="198" t="s">
        <v>359</v>
      </c>
      <c r="AV1059" s="198" t="s">
        <v>62</v>
      </c>
      <c r="AW1059" s="198" t="s">
        <v>54</v>
      </c>
    </row>
    <row r="1060" spans="3:49" outlineLevel="2" x14ac:dyDescent="0.25">
      <c r="C1060" s="201"/>
      <c r="D1060" s="198" t="s">
        <v>110</v>
      </c>
      <c r="H1060" s="198" t="s">
        <v>110</v>
      </c>
      <c r="I1060" s="202">
        <f t="shared" si="16"/>
        <v>441450445.05000001</v>
      </c>
      <c r="J1060" s="202">
        <v>106.9</v>
      </c>
      <c r="L1060" s="203">
        <v>47.088000000000001</v>
      </c>
      <c r="M1060" s="202">
        <v>4851523.7300000004</v>
      </c>
      <c r="N1060" s="203">
        <v>47.088000000000001</v>
      </c>
      <c r="O1060" s="198" t="s">
        <v>51</v>
      </c>
      <c r="P1060" s="202">
        <v>4851523.7300000004</v>
      </c>
      <c r="Q1060" s="198" t="s">
        <v>52</v>
      </c>
      <c r="R1060" s="198" t="s">
        <v>53</v>
      </c>
      <c r="S1060" s="198" t="s">
        <v>54</v>
      </c>
      <c r="T1060" s="198" t="s">
        <v>667</v>
      </c>
      <c r="U1060" s="198" t="s">
        <v>367</v>
      </c>
      <c r="V1060" s="198" t="s">
        <v>56</v>
      </c>
      <c r="W1060" s="198" t="s">
        <v>356</v>
      </c>
      <c r="X1060" s="198" t="s">
        <v>57</v>
      </c>
      <c r="Y1060" s="198" t="s">
        <v>58</v>
      </c>
      <c r="Z1060" s="201">
        <v>46233</v>
      </c>
      <c r="AA1060" s="198" t="s">
        <v>59</v>
      </c>
      <c r="AB1060" s="198" t="s">
        <v>60</v>
      </c>
      <c r="AC1060" s="198" t="s">
        <v>86</v>
      </c>
      <c r="AD1060" s="198" t="s">
        <v>62</v>
      </c>
      <c r="AE1060" s="198" t="s">
        <v>102</v>
      </c>
      <c r="AF1060" s="198" t="s">
        <v>101</v>
      </c>
      <c r="AG1060" s="198" t="s">
        <v>248</v>
      </c>
      <c r="AH1060" s="198" t="s">
        <v>89</v>
      </c>
      <c r="AI1060" s="198" t="s">
        <v>56</v>
      </c>
      <c r="AJ1060" s="198" t="s">
        <v>66</v>
      </c>
      <c r="AK1060" s="198" t="s">
        <v>51</v>
      </c>
      <c r="AL1060" s="198" t="s">
        <v>67</v>
      </c>
      <c r="AM1060" s="198" t="s">
        <v>68</v>
      </c>
      <c r="AN1060" s="202">
        <v>4851523.7300000004</v>
      </c>
      <c r="AO1060" s="202">
        <v>4851523.7300000004</v>
      </c>
      <c r="AP1060" s="202">
        <v>4851523.7300000004</v>
      </c>
      <c r="AQ1060" s="198" t="s">
        <v>358</v>
      </c>
      <c r="AR1060" s="198" t="s">
        <v>51</v>
      </c>
      <c r="AS1060" s="202">
        <v>4851523.7300000004</v>
      </c>
      <c r="AT1060" s="202">
        <v>4851523.7300000004</v>
      </c>
      <c r="AU1060" s="198" t="s">
        <v>359</v>
      </c>
      <c r="AV1060" s="198" t="s">
        <v>62</v>
      </c>
      <c r="AW1060" s="198" t="s">
        <v>54</v>
      </c>
    </row>
    <row r="1061" spans="3:49" outlineLevel="2" x14ac:dyDescent="0.25">
      <c r="C1061" s="201"/>
      <c r="D1061" s="198" t="s">
        <v>110</v>
      </c>
      <c r="H1061" s="198" t="s">
        <v>110</v>
      </c>
      <c r="I1061" s="202">
        <f t="shared" si="16"/>
        <v>441863401.5</v>
      </c>
      <c r="J1061" s="202">
        <v>107</v>
      </c>
      <c r="L1061" s="203">
        <v>0.215</v>
      </c>
      <c r="M1061" s="202">
        <v>35552.400000000001</v>
      </c>
      <c r="N1061" s="203">
        <v>0.215</v>
      </c>
      <c r="O1061" s="198" t="s">
        <v>51</v>
      </c>
      <c r="P1061" s="202">
        <v>35552.400000000001</v>
      </c>
      <c r="Q1061" s="198" t="s">
        <v>52</v>
      </c>
      <c r="R1061" s="198" t="s">
        <v>53</v>
      </c>
      <c r="S1061" s="198" t="s">
        <v>54</v>
      </c>
      <c r="T1061" s="198" t="s">
        <v>667</v>
      </c>
      <c r="U1061" s="198" t="s">
        <v>367</v>
      </c>
      <c r="V1061" s="198" t="s">
        <v>56</v>
      </c>
      <c r="W1061" s="198" t="s">
        <v>356</v>
      </c>
      <c r="X1061" s="198" t="s">
        <v>57</v>
      </c>
      <c r="Y1061" s="198" t="s">
        <v>58</v>
      </c>
      <c r="Z1061" s="201">
        <v>46233</v>
      </c>
      <c r="AA1061" s="198" t="s">
        <v>59</v>
      </c>
      <c r="AB1061" s="198" t="s">
        <v>60</v>
      </c>
      <c r="AC1061" s="198" t="s">
        <v>86</v>
      </c>
      <c r="AD1061" s="198" t="s">
        <v>62</v>
      </c>
      <c r="AE1061" s="198" t="s">
        <v>1771</v>
      </c>
      <c r="AF1061" s="198" t="s">
        <v>1770</v>
      </c>
      <c r="AG1061" s="198" t="s">
        <v>248</v>
      </c>
      <c r="AH1061" s="198" t="s">
        <v>89</v>
      </c>
      <c r="AI1061" s="198" t="s">
        <v>56</v>
      </c>
      <c r="AJ1061" s="198" t="s">
        <v>103</v>
      </c>
      <c r="AK1061" s="198" t="s">
        <v>51</v>
      </c>
      <c r="AL1061" s="198" t="s">
        <v>67</v>
      </c>
      <c r="AM1061" s="198" t="s">
        <v>68</v>
      </c>
      <c r="AN1061" s="202">
        <v>35552.400000000001</v>
      </c>
      <c r="AO1061" s="202">
        <v>35552.400000000001</v>
      </c>
      <c r="AP1061" s="202">
        <v>35552.400000000001</v>
      </c>
      <c r="AQ1061" s="198" t="s">
        <v>358</v>
      </c>
      <c r="AR1061" s="198" t="s">
        <v>51</v>
      </c>
      <c r="AS1061" s="202">
        <v>35552.400000000001</v>
      </c>
      <c r="AT1061" s="202">
        <v>35552.400000000001</v>
      </c>
      <c r="AU1061" s="198" t="s">
        <v>359</v>
      </c>
      <c r="AV1061" s="198" t="s">
        <v>62</v>
      </c>
      <c r="AW1061" s="198" t="s">
        <v>54</v>
      </c>
    </row>
    <row r="1062" spans="3:49" outlineLevel="2" x14ac:dyDescent="0.25">
      <c r="C1062" s="201"/>
      <c r="D1062" s="198" t="s">
        <v>110</v>
      </c>
      <c r="H1062" s="198" t="s">
        <v>110</v>
      </c>
      <c r="I1062" s="202">
        <f t="shared" si="16"/>
        <v>442276357.94999999</v>
      </c>
      <c r="J1062" s="202">
        <v>107.1</v>
      </c>
      <c r="L1062" s="203">
        <v>6.48</v>
      </c>
      <c r="M1062" s="202">
        <v>1201132.8</v>
      </c>
      <c r="N1062" s="203">
        <v>6.48</v>
      </c>
      <c r="O1062" s="198" t="s">
        <v>51</v>
      </c>
      <c r="P1062" s="202">
        <v>1201132.8</v>
      </c>
      <c r="Q1062" s="198" t="s">
        <v>52</v>
      </c>
      <c r="R1062" s="198" t="s">
        <v>53</v>
      </c>
      <c r="S1062" s="198" t="s">
        <v>54</v>
      </c>
      <c r="T1062" s="198" t="s">
        <v>667</v>
      </c>
      <c r="U1062" s="198" t="s">
        <v>367</v>
      </c>
      <c r="V1062" s="198" t="s">
        <v>56</v>
      </c>
      <c r="W1062" s="198" t="s">
        <v>356</v>
      </c>
      <c r="X1062" s="198" t="s">
        <v>57</v>
      </c>
      <c r="Y1062" s="198" t="s">
        <v>58</v>
      </c>
      <c r="Z1062" s="201">
        <v>46233</v>
      </c>
      <c r="AA1062" s="198" t="s">
        <v>59</v>
      </c>
      <c r="AB1062" s="198" t="s">
        <v>60</v>
      </c>
      <c r="AC1062" s="198" t="s">
        <v>86</v>
      </c>
      <c r="AD1062" s="198" t="s">
        <v>62</v>
      </c>
      <c r="AE1062" s="198" t="s">
        <v>105</v>
      </c>
      <c r="AF1062" s="198" t="s">
        <v>104</v>
      </c>
      <c r="AG1062" s="198" t="s">
        <v>248</v>
      </c>
      <c r="AH1062" s="198" t="s">
        <v>89</v>
      </c>
      <c r="AI1062" s="198" t="s">
        <v>56</v>
      </c>
      <c r="AJ1062" s="198" t="s">
        <v>103</v>
      </c>
      <c r="AK1062" s="198" t="s">
        <v>51</v>
      </c>
      <c r="AL1062" s="198" t="s">
        <v>67</v>
      </c>
      <c r="AM1062" s="198" t="s">
        <v>68</v>
      </c>
      <c r="AN1062" s="202">
        <v>1201132.8</v>
      </c>
      <c r="AO1062" s="202">
        <v>1201132.8</v>
      </c>
      <c r="AP1062" s="202">
        <v>1201132.8</v>
      </c>
      <c r="AQ1062" s="198" t="s">
        <v>358</v>
      </c>
      <c r="AR1062" s="198" t="s">
        <v>51</v>
      </c>
      <c r="AS1062" s="202">
        <v>1201132.8</v>
      </c>
      <c r="AT1062" s="202">
        <v>1201132.8</v>
      </c>
      <c r="AU1062" s="198" t="s">
        <v>359</v>
      </c>
      <c r="AV1062" s="198" t="s">
        <v>62</v>
      </c>
      <c r="AW1062" s="198" t="s">
        <v>54</v>
      </c>
    </row>
    <row r="1063" spans="3:49" outlineLevel="2" x14ac:dyDescent="0.25">
      <c r="C1063" s="201"/>
      <c r="D1063" s="198" t="s">
        <v>110</v>
      </c>
      <c r="H1063" s="198" t="s">
        <v>110</v>
      </c>
      <c r="I1063" s="202">
        <f t="shared" si="16"/>
        <v>442689314.40000004</v>
      </c>
      <c r="J1063" s="202">
        <v>107.2</v>
      </c>
      <c r="L1063" s="203">
        <v>12108.42</v>
      </c>
      <c r="M1063" s="202">
        <v>8475894</v>
      </c>
      <c r="N1063" s="203">
        <v>12108.42</v>
      </c>
      <c r="O1063" s="198" t="s">
        <v>51</v>
      </c>
      <c r="P1063" s="202">
        <v>8475894</v>
      </c>
      <c r="Q1063" s="198" t="s">
        <v>70</v>
      </c>
      <c r="R1063" s="198" t="s">
        <v>53</v>
      </c>
      <c r="S1063" s="198" t="s">
        <v>54</v>
      </c>
      <c r="T1063" s="198" t="s">
        <v>667</v>
      </c>
      <c r="U1063" s="198" t="s">
        <v>367</v>
      </c>
      <c r="V1063" s="198" t="s">
        <v>56</v>
      </c>
      <c r="W1063" s="198" t="s">
        <v>356</v>
      </c>
      <c r="X1063" s="198" t="s">
        <v>57</v>
      </c>
      <c r="Y1063" s="198" t="s">
        <v>58</v>
      </c>
      <c r="Z1063" s="201">
        <v>46233</v>
      </c>
      <c r="AA1063" s="198" t="s">
        <v>59</v>
      </c>
      <c r="AB1063" s="198" t="s">
        <v>60</v>
      </c>
      <c r="AC1063" s="198" t="s">
        <v>86</v>
      </c>
      <c r="AD1063" s="198" t="s">
        <v>62</v>
      </c>
      <c r="AE1063" s="198" t="s">
        <v>2026</v>
      </c>
      <c r="AF1063" s="198" t="s">
        <v>2025</v>
      </c>
      <c r="AG1063" s="198" t="s">
        <v>248</v>
      </c>
      <c r="AH1063" s="198" t="s">
        <v>89</v>
      </c>
      <c r="AI1063" s="198" t="s">
        <v>56</v>
      </c>
      <c r="AJ1063" s="198" t="s">
        <v>106</v>
      </c>
      <c r="AK1063" s="198" t="s">
        <v>51</v>
      </c>
      <c r="AL1063" s="198" t="s">
        <v>67</v>
      </c>
      <c r="AM1063" s="198" t="s">
        <v>68</v>
      </c>
      <c r="AN1063" s="202">
        <v>8475894</v>
      </c>
      <c r="AO1063" s="202">
        <v>8475894</v>
      </c>
      <c r="AP1063" s="202">
        <v>8475894</v>
      </c>
      <c r="AQ1063" s="198" t="s">
        <v>358</v>
      </c>
      <c r="AR1063" s="198" t="s">
        <v>51</v>
      </c>
      <c r="AS1063" s="202">
        <v>8475894</v>
      </c>
      <c r="AT1063" s="202">
        <v>8475894</v>
      </c>
      <c r="AU1063" s="198" t="s">
        <v>359</v>
      </c>
      <c r="AV1063" s="198" t="s">
        <v>62</v>
      </c>
      <c r="AW1063" s="198" t="s">
        <v>54</v>
      </c>
    </row>
    <row r="1064" spans="3:49" outlineLevel="2" x14ac:dyDescent="0.25">
      <c r="C1064" s="201"/>
      <c r="D1064" s="198" t="s">
        <v>110</v>
      </c>
      <c r="H1064" s="198" t="s">
        <v>110</v>
      </c>
      <c r="I1064" s="202">
        <f t="shared" si="16"/>
        <v>443102270.84999996</v>
      </c>
      <c r="J1064" s="202">
        <v>107.3</v>
      </c>
      <c r="L1064" s="203">
        <v>19.872</v>
      </c>
      <c r="M1064" s="202">
        <v>2503872</v>
      </c>
      <c r="N1064" s="203">
        <v>19.872</v>
      </c>
      <c r="O1064" s="198" t="s">
        <v>51</v>
      </c>
      <c r="P1064" s="202">
        <v>2503872</v>
      </c>
      <c r="Q1064" s="198" t="s">
        <v>52</v>
      </c>
      <c r="R1064" s="198" t="s">
        <v>53</v>
      </c>
      <c r="S1064" s="198" t="s">
        <v>54</v>
      </c>
      <c r="T1064" s="198" t="s">
        <v>667</v>
      </c>
      <c r="U1064" s="198" t="s">
        <v>367</v>
      </c>
      <c r="V1064" s="198" t="s">
        <v>56</v>
      </c>
      <c r="W1064" s="198" t="s">
        <v>356</v>
      </c>
      <c r="X1064" s="198" t="s">
        <v>57</v>
      </c>
      <c r="Y1064" s="198" t="s">
        <v>58</v>
      </c>
      <c r="Z1064" s="201">
        <v>46233</v>
      </c>
      <c r="AA1064" s="198" t="s">
        <v>59</v>
      </c>
      <c r="AB1064" s="198" t="s">
        <v>60</v>
      </c>
      <c r="AC1064" s="198" t="s">
        <v>86</v>
      </c>
      <c r="AD1064" s="198" t="s">
        <v>62</v>
      </c>
      <c r="AE1064" s="198" t="s">
        <v>108</v>
      </c>
      <c r="AF1064" s="198" t="s">
        <v>107</v>
      </c>
      <c r="AG1064" s="198" t="s">
        <v>248</v>
      </c>
      <c r="AH1064" s="198" t="s">
        <v>89</v>
      </c>
      <c r="AI1064" s="198" t="s">
        <v>56</v>
      </c>
      <c r="AJ1064" s="198" t="s">
        <v>74</v>
      </c>
      <c r="AK1064" s="198" t="s">
        <v>51</v>
      </c>
      <c r="AL1064" s="198" t="s">
        <v>67</v>
      </c>
      <c r="AM1064" s="198" t="s">
        <v>68</v>
      </c>
      <c r="AN1064" s="202">
        <v>2503872</v>
      </c>
      <c r="AO1064" s="202">
        <v>2503872</v>
      </c>
      <c r="AP1064" s="202">
        <v>2503872</v>
      </c>
      <c r="AQ1064" s="198" t="s">
        <v>358</v>
      </c>
      <c r="AR1064" s="198" t="s">
        <v>51</v>
      </c>
      <c r="AS1064" s="202">
        <v>2503872</v>
      </c>
      <c r="AT1064" s="202">
        <v>2503872</v>
      </c>
      <c r="AU1064" s="198" t="s">
        <v>359</v>
      </c>
      <c r="AV1064" s="198" t="s">
        <v>62</v>
      </c>
      <c r="AW1064" s="198" t="s">
        <v>54</v>
      </c>
    </row>
    <row r="1065" spans="3:49" outlineLevel="2" x14ac:dyDescent="0.25">
      <c r="C1065" s="201"/>
      <c r="D1065" s="198" t="s">
        <v>136</v>
      </c>
      <c r="H1065" s="198" t="s">
        <v>136</v>
      </c>
      <c r="I1065" s="202">
        <f t="shared" si="16"/>
        <v>443515227.30000001</v>
      </c>
      <c r="J1065" s="202">
        <v>107.4</v>
      </c>
      <c r="L1065" s="204">
        <v>2835</v>
      </c>
      <c r="M1065" s="202">
        <v>93555</v>
      </c>
      <c r="N1065" s="204">
        <v>2835</v>
      </c>
      <c r="O1065" s="198" t="s">
        <v>51</v>
      </c>
      <c r="P1065" s="202">
        <v>93555</v>
      </c>
      <c r="Q1065" s="198" t="s">
        <v>342</v>
      </c>
      <c r="R1065" s="198" t="s">
        <v>53</v>
      </c>
      <c r="S1065" s="198" t="s">
        <v>54</v>
      </c>
      <c r="T1065" s="198" t="s">
        <v>585</v>
      </c>
      <c r="U1065" s="198" t="s">
        <v>367</v>
      </c>
      <c r="V1065" s="198" t="s">
        <v>56</v>
      </c>
      <c r="W1065" s="198" t="s">
        <v>356</v>
      </c>
      <c r="X1065" s="198" t="s">
        <v>57</v>
      </c>
      <c r="Y1065" s="198" t="s">
        <v>58</v>
      </c>
      <c r="Z1065" s="201">
        <v>46234</v>
      </c>
      <c r="AA1065" s="198" t="s">
        <v>59</v>
      </c>
      <c r="AB1065" s="198" t="s">
        <v>60</v>
      </c>
      <c r="AC1065" s="198" t="s">
        <v>86</v>
      </c>
      <c r="AD1065" s="198" t="s">
        <v>62</v>
      </c>
      <c r="AE1065" s="198" t="s">
        <v>589</v>
      </c>
      <c r="AF1065" s="198" t="s">
        <v>588</v>
      </c>
      <c r="AG1065" s="198" t="s">
        <v>248</v>
      </c>
      <c r="AH1065" s="198" t="s">
        <v>137</v>
      </c>
      <c r="AI1065" s="198" t="s">
        <v>56</v>
      </c>
      <c r="AJ1065" s="198" t="s">
        <v>74</v>
      </c>
      <c r="AK1065" s="198" t="s">
        <v>51</v>
      </c>
      <c r="AL1065" s="198" t="s">
        <v>67</v>
      </c>
      <c r="AM1065" s="198" t="s">
        <v>68</v>
      </c>
      <c r="AN1065" s="202">
        <v>93555</v>
      </c>
      <c r="AO1065" s="202">
        <v>93555</v>
      </c>
      <c r="AP1065" s="202">
        <v>93555</v>
      </c>
      <c r="AQ1065" s="198" t="s">
        <v>358</v>
      </c>
      <c r="AR1065" s="198" t="s">
        <v>51</v>
      </c>
      <c r="AS1065" s="202">
        <v>93555</v>
      </c>
      <c r="AT1065" s="202">
        <v>93555</v>
      </c>
      <c r="AU1065" s="198" t="s">
        <v>359</v>
      </c>
      <c r="AV1065" s="198" t="s">
        <v>62</v>
      </c>
      <c r="AW1065" s="198" t="s">
        <v>587</v>
      </c>
    </row>
    <row r="1066" spans="3:49" outlineLevel="2" x14ac:dyDescent="0.25">
      <c r="C1066" s="201"/>
      <c r="D1066" s="198" t="s">
        <v>136</v>
      </c>
      <c r="H1066" s="198" t="s">
        <v>136</v>
      </c>
      <c r="I1066" s="202">
        <f t="shared" si="16"/>
        <v>443928183.75</v>
      </c>
      <c r="J1066" s="202">
        <v>107.5</v>
      </c>
      <c r="L1066" s="204">
        <v>215954</v>
      </c>
      <c r="M1066" s="202">
        <v>15980596</v>
      </c>
      <c r="N1066" s="204">
        <v>215954</v>
      </c>
      <c r="O1066" s="198" t="s">
        <v>51</v>
      </c>
      <c r="P1066" s="202">
        <v>15980596</v>
      </c>
      <c r="Q1066" s="198" t="s">
        <v>73</v>
      </c>
      <c r="R1066" s="198" t="s">
        <v>53</v>
      </c>
      <c r="S1066" s="198" t="s">
        <v>54</v>
      </c>
      <c r="T1066" s="198" t="s">
        <v>585</v>
      </c>
      <c r="U1066" s="198" t="s">
        <v>367</v>
      </c>
      <c r="V1066" s="198" t="s">
        <v>56</v>
      </c>
      <c r="W1066" s="198" t="s">
        <v>356</v>
      </c>
      <c r="X1066" s="198" t="s">
        <v>57</v>
      </c>
      <c r="Y1066" s="198" t="s">
        <v>58</v>
      </c>
      <c r="Z1066" s="201">
        <v>46234</v>
      </c>
      <c r="AA1066" s="198" t="s">
        <v>59</v>
      </c>
      <c r="AB1066" s="198" t="s">
        <v>60</v>
      </c>
      <c r="AC1066" s="198" t="s">
        <v>86</v>
      </c>
      <c r="AD1066" s="198" t="s">
        <v>62</v>
      </c>
      <c r="AE1066" s="198" t="s">
        <v>125</v>
      </c>
      <c r="AF1066" s="198" t="s">
        <v>124</v>
      </c>
      <c r="AG1066" s="198" t="s">
        <v>248</v>
      </c>
      <c r="AH1066" s="198" t="s">
        <v>137</v>
      </c>
      <c r="AI1066" s="198" t="s">
        <v>56</v>
      </c>
      <c r="AJ1066" s="198" t="s">
        <v>127</v>
      </c>
      <c r="AK1066" s="198" t="s">
        <v>51</v>
      </c>
      <c r="AL1066" s="198" t="s">
        <v>67</v>
      </c>
      <c r="AM1066" s="198" t="s">
        <v>68</v>
      </c>
      <c r="AN1066" s="202">
        <v>15980596</v>
      </c>
      <c r="AO1066" s="202">
        <v>15980596</v>
      </c>
      <c r="AP1066" s="202">
        <v>15980596</v>
      </c>
      <c r="AQ1066" s="198" t="s">
        <v>358</v>
      </c>
      <c r="AR1066" s="198" t="s">
        <v>51</v>
      </c>
      <c r="AS1066" s="202">
        <v>15980596</v>
      </c>
      <c r="AT1066" s="202">
        <v>15980596</v>
      </c>
      <c r="AU1066" s="198" t="s">
        <v>359</v>
      </c>
      <c r="AV1066" s="198" t="s">
        <v>62</v>
      </c>
      <c r="AW1066" s="198" t="s">
        <v>587</v>
      </c>
    </row>
    <row r="1067" spans="3:49" outlineLevel="2" x14ac:dyDescent="0.25">
      <c r="C1067" s="201"/>
      <c r="D1067" s="198" t="s">
        <v>136</v>
      </c>
      <c r="H1067" s="198" t="s">
        <v>136</v>
      </c>
      <c r="I1067" s="202">
        <f t="shared" si="16"/>
        <v>444341140.19999999</v>
      </c>
      <c r="J1067" s="202">
        <v>107.6</v>
      </c>
      <c r="L1067" s="204">
        <v>414</v>
      </c>
      <c r="M1067" s="202">
        <v>9428436</v>
      </c>
      <c r="N1067" s="204">
        <v>275</v>
      </c>
      <c r="O1067" s="198" t="s">
        <v>51</v>
      </c>
      <c r="P1067" s="202">
        <v>6262849.5199999996</v>
      </c>
      <c r="Q1067" s="198" t="s">
        <v>73</v>
      </c>
      <c r="R1067" s="198" t="s">
        <v>53</v>
      </c>
      <c r="S1067" s="198" t="s">
        <v>54</v>
      </c>
      <c r="T1067" s="198" t="s">
        <v>585</v>
      </c>
      <c r="U1067" s="198" t="s">
        <v>2077</v>
      </c>
      <c r="V1067" s="198" t="s">
        <v>56</v>
      </c>
      <c r="W1067" s="198" t="s">
        <v>356</v>
      </c>
      <c r="X1067" s="198" t="s">
        <v>57</v>
      </c>
      <c r="Y1067" s="198" t="s">
        <v>58</v>
      </c>
      <c r="Z1067" s="201">
        <v>46234</v>
      </c>
      <c r="AA1067" s="198" t="s">
        <v>59</v>
      </c>
      <c r="AB1067" s="198" t="s">
        <v>60</v>
      </c>
      <c r="AC1067" s="198" t="s">
        <v>86</v>
      </c>
      <c r="AD1067" s="198" t="s">
        <v>62</v>
      </c>
      <c r="AE1067" s="198" t="s">
        <v>658</v>
      </c>
      <c r="AF1067" s="198" t="s">
        <v>657</v>
      </c>
      <c r="AG1067" s="198" t="s">
        <v>248</v>
      </c>
      <c r="AH1067" s="198" t="s">
        <v>137</v>
      </c>
      <c r="AI1067" s="198" t="s">
        <v>56</v>
      </c>
      <c r="AJ1067" s="198" t="s">
        <v>127</v>
      </c>
      <c r="AK1067" s="198" t="s">
        <v>51</v>
      </c>
      <c r="AL1067" s="198" t="s">
        <v>67</v>
      </c>
      <c r="AM1067" s="198" t="s">
        <v>68</v>
      </c>
      <c r="AN1067" s="202">
        <v>9428436</v>
      </c>
      <c r="AO1067" s="202">
        <v>9428436</v>
      </c>
      <c r="AP1067" s="202">
        <v>9428436</v>
      </c>
      <c r="AQ1067" s="198" t="s">
        <v>358</v>
      </c>
      <c r="AR1067" s="198" t="s">
        <v>51</v>
      </c>
      <c r="AS1067" s="202">
        <v>6262849.5199999996</v>
      </c>
      <c r="AT1067" s="202">
        <v>6262849.5199999996</v>
      </c>
      <c r="AU1067" s="198" t="s">
        <v>359</v>
      </c>
      <c r="AV1067" s="198" t="s">
        <v>62</v>
      </c>
      <c r="AW1067" s="198" t="s">
        <v>587</v>
      </c>
    </row>
    <row r="1068" spans="3:49" outlineLevel="2" x14ac:dyDescent="0.25">
      <c r="C1068" s="201"/>
      <c r="D1068" s="198" t="s">
        <v>136</v>
      </c>
      <c r="H1068" s="198" t="s">
        <v>136</v>
      </c>
      <c r="I1068" s="202">
        <f t="shared" si="16"/>
        <v>444754096.65000004</v>
      </c>
      <c r="J1068" s="202">
        <v>107.7</v>
      </c>
      <c r="L1068" s="204">
        <v>22</v>
      </c>
      <c r="M1068" s="202">
        <v>2252965</v>
      </c>
      <c r="N1068" s="204">
        <v>22</v>
      </c>
      <c r="O1068" s="198" t="s">
        <v>51</v>
      </c>
      <c r="P1068" s="202">
        <v>2252965</v>
      </c>
      <c r="Q1068" s="198" t="s">
        <v>52</v>
      </c>
      <c r="R1068" s="198" t="s">
        <v>53</v>
      </c>
      <c r="S1068" s="198" t="s">
        <v>54</v>
      </c>
      <c r="T1068" s="198" t="s">
        <v>585</v>
      </c>
      <c r="U1068" s="198" t="s">
        <v>367</v>
      </c>
      <c r="V1068" s="198" t="s">
        <v>56</v>
      </c>
      <c r="W1068" s="198" t="s">
        <v>356</v>
      </c>
      <c r="X1068" s="198" t="s">
        <v>57</v>
      </c>
      <c r="Y1068" s="198" t="s">
        <v>58</v>
      </c>
      <c r="Z1068" s="201">
        <v>46234</v>
      </c>
      <c r="AA1068" s="198" t="s">
        <v>59</v>
      </c>
      <c r="AB1068" s="198" t="s">
        <v>60</v>
      </c>
      <c r="AC1068" s="198" t="s">
        <v>86</v>
      </c>
      <c r="AD1068" s="198" t="s">
        <v>62</v>
      </c>
      <c r="AE1068" s="198" t="s">
        <v>102</v>
      </c>
      <c r="AF1068" s="198" t="s">
        <v>101</v>
      </c>
      <c r="AG1068" s="198" t="s">
        <v>248</v>
      </c>
      <c r="AH1068" s="198" t="s">
        <v>137</v>
      </c>
      <c r="AI1068" s="198" t="s">
        <v>56</v>
      </c>
      <c r="AJ1068" s="198" t="s">
        <v>66</v>
      </c>
      <c r="AK1068" s="198" t="s">
        <v>51</v>
      </c>
      <c r="AL1068" s="198" t="s">
        <v>67</v>
      </c>
      <c r="AM1068" s="198" t="s">
        <v>68</v>
      </c>
      <c r="AN1068" s="202">
        <v>2252965</v>
      </c>
      <c r="AO1068" s="202">
        <v>2252965</v>
      </c>
      <c r="AP1068" s="202">
        <v>2252965</v>
      </c>
      <c r="AQ1068" s="198" t="s">
        <v>358</v>
      </c>
      <c r="AR1068" s="198" t="s">
        <v>51</v>
      </c>
      <c r="AS1068" s="202">
        <v>2252965</v>
      </c>
      <c r="AT1068" s="202">
        <v>2252965</v>
      </c>
      <c r="AU1068" s="198" t="s">
        <v>359</v>
      </c>
      <c r="AV1068" s="198" t="s">
        <v>62</v>
      </c>
      <c r="AW1068" s="198" t="s">
        <v>587</v>
      </c>
    </row>
    <row r="1069" spans="3:49" outlineLevel="2" x14ac:dyDescent="0.25">
      <c r="C1069" s="201"/>
      <c r="D1069" s="198" t="s">
        <v>136</v>
      </c>
      <c r="H1069" s="198" t="s">
        <v>136</v>
      </c>
      <c r="I1069" s="202">
        <f t="shared" si="16"/>
        <v>445167053.09999996</v>
      </c>
      <c r="J1069" s="202">
        <v>107.8</v>
      </c>
      <c r="L1069" s="204">
        <v>21773</v>
      </c>
      <c r="M1069" s="202">
        <v>13760536</v>
      </c>
      <c r="N1069" s="204">
        <v>21773</v>
      </c>
      <c r="O1069" s="198" t="s">
        <v>51</v>
      </c>
      <c r="P1069" s="202">
        <v>13760536</v>
      </c>
      <c r="Q1069" s="198" t="s">
        <v>73</v>
      </c>
      <c r="R1069" s="198" t="s">
        <v>53</v>
      </c>
      <c r="S1069" s="198" t="s">
        <v>54</v>
      </c>
      <c r="T1069" s="198" t="s">
        <v>585</v>
      </c>
      <c r="U1069" s="198" t="s">
        <v>367</v>
      </c>
      <c r="V1069" s="198" t="s">
        <v>56</v>
      </c>
      <c r="W1069" s="198" t="s">
        <v>356</v>
      </c>
      <c r="X1069" s="198" t="s">
        <v>57</v>
      </c>
      <c r="Y1069" s="198" t="s">
        <v>58</v>
      </c>
      <c r="Z1069" s="201">
        <v>46234</v>
      </c>
      <c r="AA1069" s="198" t="s">
        <v>59</v>
      </c>
      <c r="AB1069" s="198" t="s">
        <v>60</v>
      </c>
      <c r="AC1069" s="198" t="s">
        <v>86</v>
      </c>
      <c r="AD1069" s="198" t="s">
        <v>62</v>
      </c>
      <c r="AE1069" s="198" t="s">
        <v>612</v>
      </c>
      <c r="AF1069" s="198" t="s">
        <v>611</v>
      </c>
      <c r="AG1069" s="198" t="s">
        <v>248</v>
      </c>
      <c r="AH1069" s="198" t="s">
        <v>137</v>
      </c>
      <c r="AI1069" s="198" t="s">
        <v>56</v>
      </c>
      <c r="AJ1069" s="198" t="s">
        <v>318</v>
      </c>
      <c r="AK1069" s="198" t="s">
        <v>51</v>
      </c>
      <c r="AL1069" s="198" t="s">
        <v>67</v>
      </c>
      <c r="AM1069" s="198" t="s">
        <v>68</v>
      </c>
      <c r="AN1069" s="202">
        <v>13760536</v>
      </c>
      <c r="AO1069" s="202">
        <v>13760536</v>
      </c>
      <c r="AP1069" s="202">
        <v>13760536</v>
      </c>
      <c r="AQ1069" s="198" t="s">
        <v>358</v>
      </c>
      <c r="AR1069" s="198" t="s">
        <v>51</v>
      </c>
      <c r="AS1069" s="202">
        <v>13760536</v>
      </c>
      <c r="AT1069" s="202">
        <v>13760536</v>
      </c>
      <c r="AU1069" s="198" t="s">
        <v>359</v>
      </c>
      <c r="AV1069" s="198" t="s">
        <v>62</v>
      </c>
      <c r="AW1069" s="198" t="s">
        <v>587</v>
      </c>
    </row>
    <row r="1070" spans="3:49" outlineLevel="2" x14ac:dyDescent="0.25">
      <c r="C1070" s="201"/>
      <c r="D1070" s="198" t="s">
        <v>136</v>
      </c>
      <c r="H1070" s="198" t="s">
        <v>136</v>
      </c>
      <c r="I1070" s="202">
        <f t="shared" si="16"/>
        <v>445580009.55000001</v>
      </c>
      <c r="J1070" s="202">
        <v>107.9</v>
      </c>
      <c r="L1070" s="204">
        <v>21773</v>
      </c>
      <c r="M1070" s="202">
        <v>14000039</v>
      </c>
      <c r="N1070" s="204">
        <v>21773</v>
      </c>
      <c r="O1070" s="198" t="s">
        <v>51</v>
      </c>
      <c r="P1070" s="202">
        <v>14000039</v>
      </c>
      <c r="Q1070" s="198" t="s">
        <v>73</v>
      </c>
      <c r="R1070" s="198" t="s">
        <v>53</v>
      </c>
      <c r="S1070" s="198" t="s">
        <v>54</v>
      </c>
      <c r="T1070" s="198" t="s">
        <v>585</v>
      </c>
      <c r="U1070" s="198" t="s">
        <v>367</v>
      </c>
      <c r="V1070" s="198" t="s">
        <v>56</v>
      </c>
      <c r="W1070" s="198" t="s">
        <v>356</v>
      </c>
      <c r="X1070" s="198" t="s">
        <v>57</v>
      </c>
      <c r="Y1070" s="198" t="s">
        <v>58</v>
      </c>
      <c r="Z1070" s="201">
        <v>46234</v>
      </c>
      <c r="AA1070" s="198" t="s">
        <v>59</v>
      </c>
      <c r="AB1070" s="198" t="s">
        <v>60</v>
      </c>
      <c r="AC1070" s="198" t="s">
        <v>86</v>
      </c>
      <c r="AD1070" s="198" t="s">
        <v>62</v>
      </c>
      <c r="AE1070" s="198" t="s">
        <v>614</v>
      </c>
      <c r="AF1070" s="198" t="s">
        <v>613</v>
      </c>
      <c r="AG1070" s="198" t="s">
        <v>248</v>
      </c>
      <c r="AH1070" s="198" t="s">
        <v>137</v>
      </c>
      <c r="AI1070" s="198" t="s">
        <v>56</v>
      </c>
      <c r="AJ1070" s="198" t="s">
        <v>318</v>
      </c>
      <c r="AK1070" s="198" t="s">
        <v>51</v>
      </c>
      <c r="AL1070" s="198" t="s">
        <v>67</v>
      </c>
      <c r="AM1070" s="198" t="s">
        <v>68</v>
      </c>
      <c r="AN1070" s="202">
        <v>14000039</v>
      </c>
      <c r="AO1070" s="202">
        <v>14000039</v>
      </c>
      <c r="AP1070" s="202">
        <v>14000039</v>
      </c>
      <c r="AQ1070" s="198" t="s">
        <v>358</v>
      </c>
      <c r="AR1070" s="198" t="s">
        <v>51</v>
      </c>
      <c r="AS1070" s="202">
        <v>14000039</v>
      </c>
      <c r="AT1070" s="202">
        <v>14000039</v>
      </c>
      <c r="AU1070" s="198" t="s">
        <v>359</v>
      </c>
      <c r="AV1070" s="198" t="s">
        <v>62</v>
      </c>
      <c r="AW1070" s="198" t="s">
        <v>587</v>
      </c>
    </row>
    <row r="1071" spans="3:49" outlineLevel="2" x14ac:dyDescent="0.25">
      <c r="C1071" s="201"/>
      <c r="D1071" s="198" t="s">
        <v>136</v>
      </c>
      <c r="H1071" s="198" t="s">
        <v>136</v>
      </c>
      <c r="I1071" s="202">
        <f t="shared" si="16"/>
        <v>445992966</v>
      </c>
      <c r="J1071" s="202">
        <v>108</v>
      </c>
      <c r="L1071" s="204">
        <v>908</v>
      </c>
      <c r="M1071" s="202">
        <v>1234880</v>
      </c>
      <c r="N1071" s="204">
        <v>908</v>
      </c>
      <c r="O1071" s="198" t="s">
        <v>51</v>
      </c>
      <c r="P1071" s="202">
        <v>1234880</v>
      </c>
      <c r="Q1071" s="198" t="s">
        <v>73</v>
      </c>
      <c r="R1071" s="198" t="s">
        <v>53</v>
      </c>
      <c r="S1071" s="198" t="s">
        <v>54</v>
      </c>
      <c r="T1071" s="198" t="s">
        <v>585</v>
      </c>
      <c r="U1071" s="198" t="s">
        <v>367</v>
      </c>
      <c r="V1071" s="198" t="s">
        <v>56</v>
      </c>
      <c r="W1071" s="198" t="s">
        <v>356</v>
      </c>
      <c r="X1071" s="198" t="s">
        <v>57</v>
      </c>
      <c r="Y1071" s="198" t="s">
        <v>58</v>
      </c>
      <c r="Z1071" s="201">
        <v>46234</v>
      </c>
      <c r="AA1071" s="198" t="s">
        <v>59</v>
      </c>
      <c r="AB1071" s="198" t="s">
        <v>60</v>
      </c>
      <c r="AC1071" s="198" t="s">
        <v>86</v>
      </c>
      <c r="AD1071" s="198" t="s">
        <v>62</v>
      </c>
      <c r="AE1071" s="198" t="s">
        <v>616</v>
      </c>
      <c r="AF1071" s="198" t="s">
        <v>615</v>
      </c>
      <c r="AG1071" s="198" t="s">
        <v>248</v>
      </c>
      <c r="AH1071" s="198" t="s">
        <v>137</v>
      </c>
      <c r="AI1071" s="198" t="s">
        <v>56</v>
      </c>
      <c r="AJ1071" s="198" t="s">
        <v>318</v>
      </c>
      <c r="AK1071" s="198" t="s">
        <v>51</v>
      </c>
      <c r="AL1071" s="198" t="s">
        <v>67</v>
      </c>
      <c r="AM1071" s="198" t="s">
        <v>68</v>
      </c>
      <c r="AN1071" s="202">
        <v>1234880</v>
      </c>
      <c r="AO1071" s="202">
        <v>1234880</v>
      </c>
      <c r="AP1071" s="202">
        <v>1234880</v>
      </c>
      <c r="AQ1071" s="198" t="s">
        <v>358</v>
      </c>
      <c r="AR1071" s="198" t="s">
        <v>51</v>
      </c>
      <c r="AS1071" s="202">
        <v>1234880</v>
      </c>
      <c r="AT1071" s="202">
        <v>1234880</v>
      </c>
      <c r="AU1071" s="198" t="s">
        <v>359</v>
      </c>
      <c r="AV1071" s="198" t="s">
        <v>62</v>
      </c>
      <c r="AW1071" s="198" t="s">
        <v>587</v>
      </c>
    </row>
    <row r="1072" spans="3:49" outlineLevel="2" x14ac:dyDescent="0.25">
      <c r="C1072" s="201"/>
      <c r="D1072" s="198" t="s">
        <v>136</v>
      </c>
      <c r="H1072" s="198" t="s">
        <v>136</v>
      </c>
      <c r="I1072" s="202">
        <f t="shared" si="16"/>
        <v>446405922.44999999</v>
      </c>
      <c r="J1072" s="202">
        <v>108.1</v>
      </c>
      <c r="L1072" s="204">
        <v>2722</v>
      </c>
      <c r="M1072" s="202">
        <v>1464436</v>
      </c>
      <c r="N1072" s="204">
        <v>2722</v>
      </c>
      <c r="O1072" s="198" t="s">
        <v>51</v>
      </c>
      <c r="P1072" s="202">
        <v>1464436</v>
      </c>
      <c r="Q1072" s="198" t="s">
        <v>73</v>
      </c>
      <c r="R1072" s="198" t="s">
        <v>53</v>
      </c>
      <c r="S1072" s="198" t="s">
        <v>54</v>
      </c>
      <c r="T1072" s="198" t="s">
        <v>585</v>
      </c>
      <c r="U1072" s="198" t="s">
        <v>367</v>
      </c>
      <c r="V1072" s="198" t="s">
        <v>56</v>
      </c>
      <c r="W1072" s="198" t="s">
        <v>356</v>
      </c>
      <c r="X1072" s="198" t="s">
        <v>57</v>
      </c>
      <c r="Y1072" s="198" t="s">
        <v>58</v>
      </c>
      <c r="Z1072" s="201">
        <v>46234</v>
      </c>
      <c r="AA1072" s="198" t="s">
        <v>59</v>
      </c>
      <c r="AB1072" s="198" t="s">
        <v>60</v>
      </c>
      <c r="AC1072" s="198" t="s">
        <v>86</v>
      </c>
      <c r="AD1072" s="198" t="s">
        <v>62</v>
      </c>
      <c r="AE1072" s="198" t="s">
        <v>614</v>
      </c>
      <c r="AF1072" s="198" t="s">
        <v>613</v>
      </c>
      <c r="AG1072" s="198" t="s">
        <v>248</v>
      </c>
      <c r="AH1072" s="198" t="s">
        <v>137</v>
      </c>
      <c r="AI1072" s="198" t="s">
        <v>56</v>
      </c>
      <c r="AJ1072" s="198" t="s">
        <v>318</v>
      </c>
      <c r="AK1072" s="198" t="s">
        <v>51</v>
      </c>
      <c r="AL1072" s="198" t="s">
        <v>67</v>
      </c>
      <c r="AM1072" s="198" t="s">
        <v>68</v>
      </c>
      <c r="AN1072" s="202">
        <v>1464436</v>
      </c>
      <c r="AO1072" s="202">
        <v>1464436</v>
      </c>
      <c r="AP1072" s="202">
        <v>1464436</v>
      </c>
      <c r="AQ1072" s="198" t="s">
        <v>358</v>
      </c>
      <c r="AR1072" s="198" t="s">
        <v>51</v>
      </c>
      <c r="AS1072" s="202">
        <v>1464436</v>
      </c>
      <c r="AT1072" s="202">
        <v>1464436</v>
      </c>
      <c r="AU1072" s="198" t="s">
        <v>359</v>
      </c>
      <c r="AV1072" s="198" t="s">
        <v>62</v>
      </c>
      <c r="AW1072" s="198" t="s">
        <v>587</v>
      </c>
    </row>
    <row r="1073" spans="3:49" outlineLevel="2" x14ac:dyDescent="0.25">
      <c r="C1073" s="201"/>
      <c r="D1073" s="198" t="s">
        <v>136</v>
      </c>
      <c r="H1073" s="198" t="s">
        <v>136</v>
      </c>
      <c r="I1073" s="202">
        <f t="shared" si="16"/>
        <v>446818878.90000004</v>
      </c>
      <c r="J1073" s="202">
        <v>108.2</v>
      </c>
      <c r="L1073" s="204">
        <v>907</v>
      </c>
      <c r="M1073" s="202">
        <v>299310</v>
      </c>
      <c r="N1073" s="204">
        <v>907</v>
      </c>
      <c r="O1073" s="198" t="s">
        <v>51</v>
      </c>
      <c r="P1073" s="202">
        <v>299310</v>
      </c>
      <c r="Q1073" s="198" t="s">
        <v>73</v>
      </c>
      <c r="R1073" s="198" t="s">
        <v>53</v>
      </c>
      <c r="S1073" s="198" t="s">
        <v>54</v>
      </c>
      <c r="T1073" s="198" t="s">
        <v>585</v>
      </c>
      <c r="U1073" s="198" t="s">
        <v>367</v>
      </c>
      <c r="V1073" s="198" t="s">
        <v>56</v>
      </c>
      <c r="W1073" s="198" t="s">
        <v>356</v>
      </c>
      <c r="X1073" s="198" t="s">
        <v>57</v>
      </c>
      <c r="Y1073" s="198" t="s">
        <v>58</v>
      </c>
      <c r="Z1073" s="201">
        <v>46234</v>
      </c>
      <c r="AA1073" s="198" t="s">
        <v>59</v>
      </c>
      <c r="AB1073" s="198" t="s">
        <v>60</v>
      </c>
      <c r="AC1073" s="198" t="s">
        <v>86</v>
      </c>
      <c r="AD1073" s="198" t="s">
        <v>62</v>
      </c>
      <c r="AE1073" s="198" t="s">
        <v>614</v>
      </c>
      <c r="AF1073" s="198" t="s">
        <v>613</v>
      </c>
      <c r="AG1073" s="198" t="s">
        <v>248</v>
      </c>
      <c r="AH1073" s="198" t="s">
        <v>137</v>
      </c>
      <c r="AI1073" s="198" t="s">
        <v>56</v>
      </c>
      <c r="AJ1073" s="198" t="s">
        <v>318</v>
      </c>
      <c r="AK1073" s="198" t="s">
        <v>51</v>
      </c>
      <c r="AL1073" s="198" t="s">
        <v>67</v>
      </c>
      <c r="AM1073" s="198" t="s">
        <v>68</v>
      </c>
      <c r="AN1073" s="202">
        <v>299310</v>
      </c>
      <c r="AO1073" s="202">
        <v>299310</v>
      </c>
      <c r="AP1073" s="202">
        <v>299310</v>
      </c>
      <c r="AQ1073" s="198" t="s">
        <v>358</v>
      </c>
      <c r="AR1073" s="198" t="s">
        <v>51</v>
      </c>
      <c r="AS1073" s="202">
        <v>299310</v>
      </c>
      <c r="AT1073" s="202">
        <v>299310</v>
      </c>
      <c r="AU1073" s="198" t="s">
        <v>359</v>
      </c>
      <c r="AV1073" s="198" t="s">
        <v>62</v>
      </c>
      <c r="AW1073" s="198" t="s">
        <v>587</v>
      </c>
    </row>
    <row r="1074" spans="3:49" outlineLevel="2" x14ac:dyDescent="0.25">
      <c r="C1074" s="201"/>
      <c r="D1074" s="198" t="s">
        <v>136</v>
      </c>
      <c r="H1074" s="198" t="s">
        <v>136</v>
      </c>
      <c r="I1074" s="202">
        <f t="shared" si="16"/>
        <v>447231835.34999996</v>
      </c>
      <c r="J1074" s="202">
        <v>108.3</v>
      </c>
      <c r="L1074" s="204">
        <v>908</v>
      </c>
      <c r="M1074" s="202">
        <v>335960</v>
      </c>
      <c r="N1074" s="204">
        <v>908</v>
      </c>
      <c r="O1074" s="198" t="s">
        <v>51</v>
      </c>
      <c r="P1074" s="202">
        <v>335960</v>
      </c>
      <c r="Q1074" s="198" t="s">
        <v>73</v>
      </c>
      <c r="R1074" s="198" t="s">
        <v>53</v>
      </c>
      <c r="S1074" s="198" t="s">
        <v>54</v>
      </c>
      <c r="T1074" s="198" t="s">
        <v>585</v>
      </c>
      <c r="U1074" s="198" t="s">
        <v>367</v>
      </c>
      <c r="V1074" s="198" t="s">
        <v>56</v>
      </c>
      <c r="W1074" s="198" t="s">
        <v>356</v>
      </c>
      <c r="X1074" s="198" t="s">
        <v>57</v>
      </c>
      <c r="Y1074" s="198" t="s">
        <v>58</v>
      </c>
      <c r="Z1074" s="201">
        <v>46234</v>
      </c>
      <c r="AA1074" s="198" t="s">
        <v>59</v>
      </c>
      <c r="AB1074" s="198" t="s">
        <v>60</v>
      </c>
      <c r="AC1074" s="198" t="s">
        <v>86</v>
      </c>
      <c r="AD1074" s="198" t="s">
        <v>62</v>
      </c>
      <c r="AE1074" s="198" t="s">
        <v>618</v>
      </c>
      <c r="AF1074" s="198" t="s">
        <v>617</v>
      </c>
      <c r="AG1074" s="198" t="s">
        <v>248</v>
      </c>
      <c r="AH1074" s="198" t="s">
        <v>137</v>
      </c>
      <c r="AI1074" s="198" t="s">
        <v>56</v>
      </c>
      <c r="AJ1074" s="198" t="s">
        <v>318</v>
      </c>
      <c r="AK1074" s="198" t="s">
        <v>51</v>
      </c>
      <c r="AL1074" s="198" t="s">
        <v>67</v>
      </c>
      <c r="AM1074" s="198" t="s">
        <v>68</v>
      </c>
      <c r="AN1074" s="202">
        <v>335960</v>
      </c>
      <c r="AO1074" s="202">
        <v>335960</v>
      </c>
      <c r="AP1074" s="202">
        <v>335960</v>
      </c>
      <c r="AQ1074" s="198" t="s">
        <v>358</v>
      </c>
      <c r="AR1074" s="198" t="s">
        <v>51</v>
      </c>
      <c r="AS1074" s="202">
        <v>335960</v>
      </c>
      <c r="AT1074" s="202">
        <v>335960</v>
      </c>
      <c r="AU1074" s="198" t="s">
        <v>359</v>
      </c>
      <c r="AV1074" s="198" t="s">
        <v>62</v>
      </c>
      <c r="AW1074" s="198" t="s">
        <v>587</v>
      </c>
    </row>
    <row r="1075" spans="3:49" outlineLevel="2" x14ac:dyDescent="0.25">
      <c r="C1075" s="201"/>
      <c r="D1075" s="198" t="s">
        <v>136</v>
      </c>
      <c r="H1075" s="198" t="s">
        <v>136</v>
      </c>
      <c r="I1075" s="202">
        <f t="shared" si="16"/>
        <v>447644791.80000001</v>
      </c>
      <c r="J1075" s="202">
        <v>108.4</v>
      </c>
      <c r="L1075" s="204">
        <v>2722</v>
      </c>
      <c r="M1075" s="202">
        <v>571620</v>
      </c>
      <c r="N1075" s="204">
        <v>2722</v>
      </c>
      <c r="O1075" s="198" t="s">
        <v>51</v>
      </c>
      <c r="P1075" s="202">
        <v>571620</v>
      </c>
      <c r="Q1075" s="198" t="s">
        <v>73</v>
      </c>
      <c r="R1075" s="198" t="s">
        <v>53</v>
      </c>
      <c r="S1075" s="198" t="s">
        <v>54</v>
      </c>
      <c r="T1075" s="198" t="s">
        <v>585</v>
      </c>
      <c r="U1075" s="198" t="s">
        <v>367</v>
      </c>
      <c r="V1075" s="198" t="s">
        <v>56</v>
      </c>
      <c r="W1075" s="198" t="s">
        <v>356</v>
      </c>
      <c r="X1075" s="198" t="s">
        <v>57</v>
      </c>
      <c r="Y1075" s="198" t="s">
        <v>58</v>
      </c>
      <c r="Z1075" s="201">
        <v>46234</v>
      </c>
      <c r="AA1075" s="198" t="s">
        <v>59</v>
      </c>
      <c r="AB1075" s="198" t="s">
        <v>60</v>
      </c>
      <c r="AC1075" s="198" t="s">
        <v>86</v>
      </c>
      <c r="AD1075" s="198" t="s">
        <v>62</v>
      </c>
      <c r="AE1075" s="198" t="s">
        <v>656</v>
      </c>
      <c r="AF1075" s="198" t="s">
        <v>655</v>
      </c>
      <c r="AG1075" s="198" t="s">
        <v>248</v>
      </c>
      <c r="AH1075" s="198" t="s">
        <v>137</v>
      </c>
      <c r="AI1075" s="198" t="s">
        <v>56</v>
      </c>
      <c r="AJ1075" s="198" t="s">
        <v>318</v>
      </c>
      <c r="AK1075" s="198" t="s">
        <v>51</v>
      </c>
      <c r="AL1075" s="198" t="s">
        <v>67</v>
      </c>
      <c r="AM1075" s="198" t="s">
        <v>68</v>
      </c>
      <c r="AN1075" s="202">
        <v>571620</v>
      </c>
      <c r="AO1075" s="202">
        <v>571620</v>
      </c>
      <c r="AP1075" s="202">
        <v>571620</v>
      </c>
      <c r="AQ1075" s="198" t="s">
        <v>358</v>
      </c>
      <c r="AR1075" s="198" t="s">
        <v>51</v>
      </c>
      <c r="AS1075" s="202">
        <v>571620</v>
      </c>
      <c r="AT1075" s="202">
        <v>571620</v>
      </c>
      <c r="AU1075" s="198" t="s">
        <v>359</v>
      </c>
      <c r="AV1075" s="198" t="s">
        <v>62</v>
      </c>
      <c r="AW1075" s="198" t="s">
        <v>587</v>
      </c>
    </row>
    <row r="1076" spans="3:49" outlineLevel="2" x14ac:dyDescent="0.25">
      <c r="C1076" s="201"/>
      <c r="D1076" s="198" t="s">
        <v>136</v>
      </c>
      <c r="H1076" s="198" t="s">
        <v>136</v>
      </c>
      <c r="I1076" s="202">
        <f t="shared" si="16"/>
        <v>448057748.25</v>
      </c>
      <c r="J1076" s="202">
        <v>108.5</v>
      </c>
      <c r="L1076" s="204">
        <v>907</v>
      </c>
      <c r="M1076" s="202">
        <v>132422</v>
      </c>
      <c r="N1076" s="204">
        <v>907</v>
      </c>
      <c r="O1076" s="198" t="s">
        <v>51</v>
      </c>
      <c r="P1076" s="202">
        <v>132422</v>
      </c>
      <c r="Q1076" s="198" t="s">
        <v>73</v>
      </c>
      <c r="R1076" s="198" t="s">
        <v>53</v>
      </c>
      <c r="S1076" s="198" t="s">
        <v>54</v>
      </c>
      <c r="T1076" s="198" t="s">
        <v>585</v>
      </c>
      <c r="U1076" s="198" t="s">
        <v>367</v>
      </c>
      <c r="V1076" s="198" t="s">
        <v>56</v>
      </c>
      <c r="W1076" s="198" t="s">
        <v>356</v>
      </c>
      <c r="X1076" s="198" t="s">
        <v>57</v>
      </c>
      <c r="Y1076" s="198" t="s">
        <v>58</v>
      </c>
      <c r="Z1076" s="201">
        <v>46234</v>
      </c>
      <c r="AA1076" s="198" t="s">
        <v>59</v>
      </c>
      <c r="AB1076" s="198" t="s">
        <v>60</v>
      </c>
      <c r="AC1076" s="198" t="s">
        <v>86</v>
      </c>
      <c r="AD1076" s="198" t="s">
        <v>62</v>
      </c>
      <c r="AE1076" s="198" t="s">
        <v>656</v>
      </c>
      <c r="AF1076" s="198" t="s">
        <v>655</v>
      </c>
      <c r="AG1076" s="198" t="s">
        <v>248</v>
      </c>
      <c r="AH1076" s="198" t="s">
        <v>137</v>
      </c>
      <c r="AI1076" s="198" t="s">
        <v>56</v>
      </c>
      <c r="AJ1076" s="198" t="s">
        <v>318</v>
      </c>
      <c r="AK1076" s="198" t="s">
        <v>51</v>
      </c>
      <c r="AL1076" s="198" t="s">
        <v>67</v>
      </c>
      <c r="AM1076" s="198" t="s">
        <v>68</v>
      </c>
      <c r="AN1076" s="202">
        <v>132422</v>
      </c>
      <c r="AO1076" s="202">
        <v>132422</v>
      </c>
      <c r="AP1076" s="202">
        <v>132422</v>
      </c>
      <c r="AQ1076" s="198" t="s">
        <v>358</v>
      </c>
      <c r="AR1076" s="198" t="s">
        <v>51</v>
      </c>
      <c r="AS1076" s="202">
        <v>132422</v>
      </c>
      <c r="AT1076" s="202">
        <v>132422</v>
      </c>
      <c r="AU1076" s="198" t="s">
        <v>359</v>
      </c>
      <c r="AV1076" s="198" t="s">
        <v>62</v>
      </c>
      <c r="AW1076" s="198" t="s">
        <v>587</v>
      </c>
    </row>
    <row r="1077" spans="3:49" outlineLevel="2" x14ac:dyDescent="0.25">
      <c r="C1077" s="201"/>
      <c r="D1077" s="198" t="s">
        <v>136</v>
      </c>
      <c r="H1077" s="198" t="s">
        <v>136</v>
      </c>
      <c r="I1077" s="202">
        <f t="shared" si="16"/>
        <v>448470704.69999999</v>
      </c>
      <c r="J1077" s="202">
        <v>108.6</v>
      </c>
      <c r="L1077" s="204">
        <v>397</v>
      </c>
      <c r="M1077" s="202">
        <v>264402</v>
      </c>
      <c r="N1077" s="204">
        <v>397</v>
      </c>
      <c r="O1077" s="198" t="s">
        <v>51</v>
      </c>
      <c r="P1077" s="202">
        <v>264402</v>
      </c>
      <c r="Q1077" s="198" t="s">
        <v>73</v>
      </c>
      <c r="R1077" s="198" t="s">
        <v>53</v>
      </c>
      <c r="S1077" s="198" t="s">
        <v>54</v>
      </c>
      <c r="T1077" s="198" t="s">
        <v>585</v>
      </c>
      <c r="U1077" s="198" t="s">
        <v>367</v>
      </c>
      <c r="V1077" s="198" t="s">
        <v>56</v>
      </c>
      <c r="W1077" s="198" t="s">
        <v>356</v>
      </c>
      <c r="X1077" s="198" t="s">
        <v>57</v>
      </c>
      <c r="Y1077" s="198" t="s">
        <v>58</v>
      </c>
      <c r="Z1077" s="201">
        <v>46234</v>
      </c>
      <c r="AA1077" s="198" t="s">
        <v>59</v>
      </c>
      <c r="AB1077" s="198" t="s">
        <v>60</v>
      </c>
      <c r="AC1077" s="198" t="s">
        <v>86</v>
      </c>
      <c r="AD1077" s="198" t="s">
        <v>62</v>
      </c>
      <c r="AE1077" s="198" t="s">
        <v>620</v>
      </c>
      <c r="AF1077" s="198" t="s">
        <v>619</v>
      </c>
      <c r="AG1077" s="198" t="s">
        <v>248</v>
      </c>
      <c r="AH1077" s="198" t="s">
        <v>137</v>
      </c>
      <c r="AI1077" s="198" t="s">
        <v>56</v>
      </c>
      <c r="AJ1077" s="198" t="s">
        <v>318</v>
      </c>
      <c r="AK1077" s="198" t="s">
        <v>51</v>
      </c>
      <c r="AL1077" s="198" t="s">
        <v>67</v>
      </c>
      <c r="AM1077" s="198" t="s">
        <v>68</v>
      </c>
      <c r="AN1077" s="202">
        <v>264402</v>
      </c>
      <c r="AO1077" s="202">
        <v>264402</v>
      </c>
      <c r="AP1077" s="202">
        <v>264402</v>
      </c>
      <c r="AQ1077" s="198" t="s">
        <v>358</v>
      </c>
      <c r="AR1077" s="198" t="s">
        <v>51</v>
      </c>
      <c r="AS1077" s="202">
        <v>264402</v>
      </c>
      <c r="AT1077" s="202">
        <v>264402</v>
      </c>
      <c r="AU1077" s="198" t="s">
        <v>359</v>
      </c>
      <c r="AV1077" s="198" t="s">
        <v>62</v>
      </c>
      <c r="AW1077" s="198" t="s">
        <v>587</v>
      </c>
    </row>
    <row r="1078" spans="3:49" outlineLevel="2" x14ac:dyDescent="0.25">
      <c r="C1078" s="201"/>
      <c r="D1078" s="198" t="s">
        <v>136</v>
      </c>
      <c r="H1078" s="198" t="s">
        <v>136</v>
      </c>
      <c r="I1078" s="202">
        <f t="shared" si="16"/>
        <v>448883661.15000004</v>
      </c>
      <c r="J1078" s="202">
        <v>108.7</v>
      </c>
      <c r="L1078" s="204">
        <v>648</v>
      </c>
      <c r="M1078" s="202">
        <v>220968</v>
      </c>
      <c r="N1078" s="204">
        <v>648</v>
      </c>
      <c r="O1078" s="198" t="s">
        <v>51</v>
      </c>
      <c r="P1078" s="202">
        <v>220968</v>
      </c>
      <c r="Q1078" s="198" t="s">
        <v>73</v>
      </c>
      <c r="R1078" s="198" t="s">
        <v>53</v>
      </c>
      <c r="S1078" s="198" t="s">
        <v>54</v>
      </c>
      <c r="T1078" s="198" t="s">
        <v>585</v>
      </c>
      <c r="U1078" s="198" t="s">
        <v>367</v>
      </c>
      <c r="V1078" s="198" t="s">
        <v>56</v>
      </c>
      <c r="W1078" s="198" t="s">
        <v>356</v>
      </c>
      <c r="X1078" s="198" t="s">
        <v>57</v>
      </c>
      <c r="Y1078" s="198" t="s">
        <v>58</v>
      </c>
      <c r="Z1078" s="201">
        <v>46234</v>
      </c>
      <c r="AA1078" s="198" t="s">
        <v>59</v>
      </c>
      <c r="AB1078" s="198" t="s">
        <v>60</v>
      </c>
      <c r="AC1078" s="198" t="s">
        <v>86</v>
      </c>
      <c r="AD1078" s="198" t="s">
        <v>62</v>
      </c>
      <c r="AE1078" s="198" t="s">
        <v>622</v>
      </c>
      <c r="AF1078" s="198" t="s">
        <v>621</v>
      </c>
      <c r="AG1078" s="198" t="s">
        <v>248</v>
      </c>
      <c r="AH1078" s="198" t="s">
        <v>137</v>
      </c>
      <c r="AI1078" s="198" t="s">
        <v>56</v>
      </c>
      <c r="AJ1078" s="198" t="s">
        <v>318</v>
      </c>
      <c r="AK1078" s="198" t="s">
        <v>51</v>
      </c>
      <c r="AL1078" s="198" t="s">
        <v>67</v>
      </c>
      <c r="AM1078" s="198" t="s">
        <v>68</v>
      </c>
      <c r="AN1078" s="202">
        <v>220968</v>
      </c>
      <c r="AO1078" s="202">
        <v>220968</v>
      </c>
      <c r="AP1078" s="202">
        <v>220968</v>
      </c>
      <c r="AQ1078" s="198" t="s">
        <v>358</v>
      </c>
      <c r="AR1078" s="198" t="s">
        <v>51</v>
      </c>
      <c r="AS1078" s="202">
        <v>220968</v>
      </c>
      <c r="AT1078" s="202">
        <v>220968</v>
      </c>
      <c r="AU1078" s="198" t="s">
        <v>359</v>
      </c>
      <c r="AV1078" s="198" t="s">
        <v>62</v>
      </c>
      <c r="AW1078" s="198" t="s">
        <v>587</v>
      </c>
    </row>
    <row r="1079" spans="3:49" outlineLevel="2" x14ac:dyDescent="0.25">
      <c r="C1079" s="201"/>
      <c r="D1079" s="198" t="s">
        <v>136</v>
      </c>
      <c r="H1079" s="198" t="s">
        <v>136</v>
      </c>
      <c r="I1079" s="202">
        <f t="shared" si="16"/>
        <v>449296617.59999996</v>
      </c>
      <c r="J1079" s="202">
        <v>108.8</v>
      </c>
      <c r="L1079" s="204">
        <v>540</v>
      </c>
      <c r="M1079" s="202">
        <v>253260</v>
      </c>
      <c r="N1079" s="204">
        <v>540</v>
      </c>
      <c r="O1079" s="198" t="s">
        <v>51</v>
      </c>
      <c r="P1079" s="202">
        <v>253260</v>
      </c>
      <c r="Q1079" s="198" t="s">
        <v>73</v>
      </c>
      <c r="R1079" s="198" t="s">
        <v>53</v>
      </c>
      <c r="S1079" s="198" t="s">
        <v>54</v>
      </c>
      <c r="T1079" s="198" t="s">
        <v>585</v>
      </c>
      <c r="U1079" s="198" t="s">
        <v>367</v>
      </c>
      <c r="V1079" s="198" t="s">
        <v>56</v>
      </c>
      <c r="W1079" s="198" t="s">
        <v>356</v>
      </c>
      <c r="X1079" s="198" t="s">
        <v>57</v>
      </c>
      <c r="Y1079" s="198" t="s">
        <v>58</v>
      </c>
      <c r="Z1079" s="201">
        <v>46234</v>
      </c>
      <c r="AA1079" s="198" t="s">
        <v>59</v>
      </c>
      <c r="AB1079" s="198" t="s">
        <v>60</v>
      </c>
      <c r="AC1079" s="198" t="s">
        <v>86</v>
      </c>
      <c r="AD1079" s="198" t="s">
        <v>62</v>
      </c>
      <c r="AE1079" s="198" t="s">
        <v>624</v>
      </c>
      <c r="AF1079" s="198" t="s">
        <v>623</v>
      </c>
      <c r="AG1079" s="198" t="s">
        <v>248</v>
      </c>
      <c r="AH1079" s="198" t="s">
        <v>137</v>
      </c>
      <c r="AI1079" s="198" t="s">
        <v>56</v>
      </c>
      <c r="AJ1079" s="198" t="s">
        <v>318</v>
      </c>
      <c r="AK1079" s="198" t="s">
        <v>51</v>
      </c>
      <c r="AL1079" s="198" t="s">
        <v>67</v>
      </c>
      <c r="AM1079" s="198" t="s">
        <v>68</v>
      </c>
      <c r="AN1079" s="202">
        <v>253260</v>
      </c>
      <c r="AO1079" s="202">
        <v>253260</v>
      </c>
      <c r="AP1079" s="202">
        <v>253260</v>
      </c>
      <c r="AQ1079" s="198" t="s">
        <v>358</v>
      </c>
      <c r="AR1079" s="198" t="s">
        <v>51</v>
      </c>
      <c r="AS1079" s="202">
        <v>253260</v>
      </c>
      <c r="AT1079" s="202">
        <v>253260</v>
      </c>
      <c r="AU1079" s="198" t="s">
        <v>359</v>
      </c>
      <c r="AV1079" s="198" t="s">
        <v>62</v>
      </c>
      <c r="AW1079" s="198" t="s">
        <v>587</v>
      </c>
    </row>
    <row r="1080" spans="3:49" outlineLevel="2" x14ac:dyDescent="0.25">
      <c r="C1080" s="201"/>
      <c r="D1080" s="198" t="s">
        <v>136</v>
      </c>
      <c r="H1080" s="198" t="s">
        <v>136</v>
      </c>
      <c r="I1080" s="202">
        <f t="shared" si="16"/>
        <v>449709574.05000001</v>
      </c>
      <c r="J1080" s="202">
        <v>108.9</v>
      </c>
      <c r="L1080" s="204">
        <v>216</v>
      </c>
      <c r="M1080" s="202">
        <v>134784</v>
      </c>
      <c r="N1080" s="204">
        <v>216</v>
      </c>
      <c r="O1080" s="198" t="s">
        <v>51</v>
      </c>
      <c r="P1080" s="202">
        <v>134784</v>
      </c>
      <c r="Q1080" s="198" t="s">
        <v>73</v>
      </c>
      <c r="R1080" s="198" t="s">
        <v>53</v>
      </c>
      <c r="S1080" s="198" t="s">
        <v>54</v>
      </c>
      <c r="T1080" s="198" t="s">
        <v>585</v>
      </c>
      <c r="U1080" s="198" t="s">
        <v>367</v>
      </c>
      <c r="V1080" s="198" t="s">
        <v>56</v>
      </c>
      <c r="W1080" s="198" t="s">
        <v>356</v>
      </c>
      <c r="X1080" s="198" t="s">
        <v>57</v>
      </c>
      <c r="Y1080" s="198" t="s">
        <v>58</v>
      </c>
      <c r="Z1080" s="201">
        <v>46234</v>
      </c>
      <c r="AA1080" s="198" t="s">
        <v>59</v>
      </c>
      <c r="AB1080" s="198" t="s">
        <v>60</v>
      </c>
      <c r="AC1080" s="198" t="s">
        <v>86</v>
      </c>
      <c r="AD1080" s="198" t="s">
        <v>62</v>
      </c>
      <c r="AE1080" s="198" t="s">
        <v>626</v>
      </c>
      <c r="AF1080" s="198" t="s">
        <v>625</v>
      </c>
      <c r="AG1080" s="198" t="s">
        <v>248</v>
      </c>
      <c r="AH1080" s="198" t="s">
        <v>137</v>
      </c>
      <c r="AI1080" s="198" t="s">
        <v>56</v>
      </c>
      <c r="AJ1080" s="198" t="s">
        <v>406</v>
      </c>
      <c r="AK1080" s="198" t="s">
        <v>51</v>
      </c>
      <c r="AL1080" s="198" t="s">
        <v>67</v>
      </c>
      <c r="AM1080" s="198" t="s">
        <v>68</v>
      </c>
      <c r="AN1080" s="202">
        <v>134784</v>
      </c>
      <c r="AO1080" s="202">
        <v>134784</v>
      </c>
      <c r="AP1080" s="202">
        <v>134784</v>
      </c>
      <c r="AQ1080" s="198" t="s">
        <v>358</v>
      </c>
      <c r="AR1080" s="198" t="s">
        <v>51</v>
      </c>
      <c r="AS1080" s="202">
        <v>134784</v>
      </c>
      <c r="AT1080" s="202">
        <v>134784</v>
      </c>
      <c r="AU1080" s="198" t="s">
        <v>359</v>
      </c>
      <c r="AV1080" s="198" t="s">
        <v>62</v>
      </c>
      <c r="AW1080" s="198" t="s">
        <v>587</v>
      </c>
    </row>
    <row r="1081" spans="3:49" outlineLevel="2" x14ac:dyDescent="0.25">
      <c r="C1081" s="201"/>
      <c r="D1081" s="198" t="s">
        <v>136</v>
      </c>
      <c r="H1081" s="198" t="s">
        <v>136</v>
      </c>
      <c r="I1081" s="202">
        <f t="shared" si="16"/>
        <v>450122530.5</v>
      </c>
      <c r="J1081" s="202">
        <v>109</v>
      </c>
      <c r="L1081" s="204">
        <v>1080</v>
      </c>
      <c r="M1081" s="202">
        <v>521640</v>
      </c>
      <c r="N1081" s="204">
        <v>1080</v>
      </c>
      <c r="O1081" s="198" t="s">
        <v>51</v>
      </c>
      <c r="P1081" s="202">
        <v>521640</v>
      </c>
      <c r="Q1081" s="198" t="s">
        <v>73</v>
      </c>
      <c r="R1081" s="198" t="s">
        <v>53</v>
      </c>
      <c r="S1081" s="198" t="s">
        <v>54</v>
      </c>
      <c r="T1081" s="198" t="s">
        <v>585</v>
      </c>
      <c r="U1081" s="198" t="s">
        <v>367</v>
      </c>
      <c r="V1081" s="198" t="s">
        <v>56</v>
      </c>
      <c r="W1081" s="198" t="s">
        <v>356</v>
      </c>
      <c r="X1081" s="198" t="s">
        <v>57</v>
      </c>
      <c r="Y1081" s="198" t="s">
        <v>58</v>
      </c>
      <c r="Z1081" s="201">
        <v>46234</v>
      </c>
      <c r="AA1081" s="198" t="s">
        <v>59</v>
      </c>
      <c r="AB1081" s="198" t="s">
        <v>60</v>
      </c>
      <c r="AC1081" s="198" t="s">
        <v>86</v>
      </c>
      <c r="AD1081" s="198" t="s">
        <v>62</v>
      </c>
      <c r="AE1081" s="198" t="s">
        <v>628</v>
      </c>
      <c r="AF1081" s="198" t="s">
        <v>627</v>
      </c>
      <c r="AG1081" s="198" t="s">
        <v>248</v>
      </c>
      <c r="AH1081" s="198" t="s">
        <v>137</v>
      </c>
      <c r="AI1081" s="198" t="s">
        <v>56</v>
      </c>
      <c r="AJ1081" s="198" t="s">
        <v>406</v>
      </c>
      <c r="AK1081" s="198" t="s">
        <v>51</v>
      </c>
      <c r="AL1081" s="198" t="s">
        <v>67</v>
      </c>
      <c r="AM1081" s="198" t="s">
        <v>68</v>
      </c>
      <c r="AN1081" s="202">
        <v>521640</v>
      </c>
      <c r="AO1081" s="202">
        <v>521640</v>
      </c>
      <c r="AP1081" s="202">
        <v>521640</v>
      </c>
      <c r="AQ1081" s="198" t="s">
        <v>358</v>
      </c>
      <c r="AR1081" s="198" t="s">
        <v>51</v>
      </c>
      <c r="AS1081" s="202">
        <v>521640</v>
      </c>
      <c r="AT1081" s="202">
        <v>521640</v>
      </c>
      <c r="AU1081" s="198" t="s">
        <v>359</v>
      </c>
      <c r="AV1081" s="198" t="s">
        <v>62</v>
      </c>
      <c r="AW1081" s="198" t="s">
        <v>587</v>
      </c>
    </row>
    <row r="1082" spans="3:49" outlineLevel="2" x14ac:dyDescent="0.25">
      <c r="C1082" s="201"/>
      <c r="D1082" s="198" t="s">
        <v>136</v>
      </c>
      <c r="H1082" s="198" t="s">
        <v>136</v>
      </c>
      <c r="I1082" s="202">
        <f t="shared" si="16"/>
        <v>450535486.94999999</v>
      </c>
      <c r="J1082" s="202">
        <v>109.1</v>
      </c>
      <c r="L1082" s="204">
        <v>227</v>
      </c>
      <c r="M1082" s="202">
        <v>34731</v>
      </c>
      <c r="N1082" s="204">
        <v>227</v>
      </c>
      <c r="O1082" s="198" t="s">
        <v>51</v>
      </c>
      <c r="P1082" s="202">
        <v>34731</v>
      </c>
      <c r="Q1082" s="198" t="s">
        <v>73</v>
      </c>
      <c r="R1082" s="198" t="s">
        <v>53</v>
      </c>
      <c r="S1082" s="198" t="s">
        <v>54</v>
      </c>
      <c r="T1082" s="198" t="s">
        <v>585</v>
      </c>
      <c r="U1082" s="198" t="s">
        <v>367</v>
      </c>
      <c r="V1082" s="198" t="s">
        <v>56</v>
      </c>
      <c r="W1082" s="198" t="s">
        <v>356</v>
      </c>
      <c r="X1082" s="198" t="s">
        <v>57</v>
      </c>
      <c r="Y1082" s="198" t="s">
        <v>58</v>
      </c>
      <c r="Z1082" s="201">
        <v>46234</v>
      </c>
      <c r="AA1082" s="198" t="s">
        <v>59</v>
      </c>
      <c r="AB1082" s="198" t="s">
        <v>60</v>
      </c>
      <c r="AC1082" s="198" t="s">
        <v>86</v>
      </c>
      <c r="AD1082" s="198" t="s">
        <v>62</v>
      </c>
      <c r="AE1082" s="198" t="s">
        <v>630</v>
      </c>
      <c r="AF1082" s="198" t="s">
        <v>629</v>
      </c>
      <c r="AG1082" s="198" t="s">
        <v>248</v>
      </c>
      <c r="AH1082" s="198" t="s">
        <v>137</v>
      </c>
      <c r="AI1082" s="198" t="s">
        <v>56</v>
      </c>
      <c r="AJ1082" s="198" t="s">
        <v>318</v>
      </c>
      <c r="AK1082" s="198" t="s">
        <v>51</v>
      </c>
      <c r="AL1082" s="198" t="s">
        <v>67</v>
      </c>
      <c r="AM1082" s="198" t="s">
        <v>68</v>
      </c>
      <c r="AN1082" s="202">
        <v>34731</v>
      </c>
      <c r="AO1082" s="202">
        <v>34731</v>
      </c>
      <c r="AP1082" s="202">
        <v>34731</v>
      </c>
      <c r="AQ1082" s="198" t="s">
        <v>358</v>
      </c>
      <c r="AR1082" s="198" t="s">
        <v>51</v>
      </c>
      <c r="AS1082" s="202">
        <v>34731</v>
      </c>
      <c r="AT1082" s="202">
        <v>34731</v>
      </c>
      <c r="AU1082" s="198" t="s">
        <v>359</v>
      </c>
      <c r="AV1082" s="198" t="s">
        <v>62</v>
      </c>
      <c r="AW1082" s="198" t="s">
        <v>587</v>
      </c>
    </row>
    <row r="1083" spans="3:49" outlineLevel="2" x14ac:dyDescent="0.25">
      <c r="C1083" s="201"/>
      <c r="D1083" s="198" t="s">
        <v>136</v>
      </c>
      <c r="H1083" s="198" t="s">
        <v>136</v>
      </c>
      <c r="I1083" s="202">
        <f t="shared" si="16"/>
        <v>450948443.40000004</v>
      </c>
      <c r="J1083" s="202">
        <v>109.2</v>
      </c>
      <c r="L1083" s="204">
        <v>900</v>
      </c>
      <c r="M1083" s="202">
        <v>193500</v>
      </c>
      <c r="N1083" s="204">
        <v>900</v>
      </c>
      <c r="O1083" s="198" t="s">
        <v>51</v>
      </c>
      <c r="P1083" s="202">
        <v>193500</v>
      </c>
      <c r="Q1083" s="198" t="s">
        <v>73</v>
      </c>
      <c r="R1083" s="198" t="s">
        <v>53</v>
      </c>
      <c r="S1083" s="198" t="s">
        <v>54</v>
      </c>
      <c r="T1083" s="198" t="s">
        <v>585</v>
      </c>
      <c r="U1083" s="198" t="s">
        <v>367</v>
      </c>
      <c r="V1083" s="198" t="s">
        <v>56</v>
      </c>
      <c r="W1083" s="198" t="s">
        <v>356</v>
      </c>
      <c r="X1083" s="198" t="s">
        <v>57</v>
      </c>
      <c r="Y1083" s="198" t="s">
        <v>58</v>
      </c>
      <c r="Z1083" s="201">
        <v>46234</v>
      </c>
      <c r="AA1083" s="198" t="s">
        <v>59</v>
      </c>
      <c r="AB1083" s="198" t="s">
        <v>60</v>
      </c>
      <c r="AC1083" s="198" t="s">
        <v>86</v>
      </c>
      <c r="AD1083" s="198" t="s">
        <v>62</v>
      </c>
      <c r="AE1083" s="198" t="s">
        <v>632</v>
      </c>
      <c r="AF1083" s="198" t="s">
        <v>631</v>
      </c>
      <c r="AG1083" s="198" t="s">
        <v>248</v>
      </c>
      <c r="AH1083" s="198" t="s">
        <v>137</v>
      </c>
      <c r="AI1083" s="198" t="s">
        <v>56</v>
      </c>
      <c r="AJ1083" s="198" t="s">
        <v>318</v>
      </c>
      <c r="AK1083" s="198" t="s">
        <v>51</v>
      </c>
      <c r="AL1083" s="198" t="s">
        <v>67</v>
      </c>
      <c r="AM1083" s="198" t="s">
        <v>68</v>
      </c>
      <c r="AN1083" s="202">
        <v>193500</v>
      </c>
      <c r="AO1083" s="202">
        <v>193500</v>
      </c>
      <c r="AP1083" s="202">
        <v>193500</v>
      </c>
      <c r="AQ1083" s="198" t="s">
        <v>358</v>
      </c>
      <c r="AR1083" s="198" t="s">
        <v>51</v>
      </c>
      <c r="AS1083" s="202">
        <v>193500</v>
      </c>
      <c r="AT1083" s="202">
        <v>193500</v>
      </c>
      <c r="AU1083" s="198" t="s">
        <v>359</v>
      </c>
      <c r="AV1083" s="198" t="s">
        <v>62</v>
      </c>
      <c r="AW1083" s="198" t="s">
        <v>587</v>
      </c>
    </row>
    <row r="1084" spans="3:49" outlineLevel="2" x14ac:dyDescent="0.25">
      <c r="C1084" s="201"/>
      <c r="D1084" s="198" t="s">
        <v>136</v>
      </c>
      <c r="H1084" s="198" t="s">
        <v>136</v>
      </c>
      <c r="I1084" s="202">
        <f t="shared" si="16"/>
        <v>451361399.84999996</v>
      </c>
      <c r="J1084" s="202">
        <v>109.3</v>
      </c>
      <c r="L1084" s="204">
        <v>1620</v>
      </c>
      <c r="M1084" s="202">
        <v>241380</v>
      </c>
      <c r="N1084" s="204">
        <v>1620</v>
      </c>
      <c r="O1084" s="198" t="s">
        <v>51</v>
      </c>
      <c r="P1084" s="202">
        <v>241380</v>
      </c>
      <c r="Q1084" s="198" t="s">
        <v>73</v>
      </c>
      <c r="R1084" s="198" t="s">
        <v>53</v>
      </c>
      <c r="S1084" s="198" t="s">
        <v>54</v>
      </c>
      <c r="T1084" s="198" t="s">
        <v>585</v>
      </c>
      <c r="U1084" s="198" t="s">
        <v>367</v>
      </c>
      <c r="V1084" s="198" t="s">
        <v>56</v>
      </c>
      <c r="W1084" s="198" t="s">
        <v>356</v>
      </c>
      <c r="X1084" s="198" t="s">
        <v>57</v>
      </c>
      <c r="Y1084" s="198" t="s">
        <v>58</v>
      </c>
      <c r="Z1084" s="201">
        <v>46234</v>
      </c>
      <c r="AA1084" s="198" t="s">
        <v>59</v>
      </c>
      <c r="AB1084" s="198" t="s">
        <v>60</v>
      </c>
      <c r="AC1084" s="198" t="s">
        <v>86</v>
      </c>
      <c r="AD1084" s="198" t="s">
        <v>62</v>
      </c>
      <c r="AE1084" s="198" t="s">
        <v>634</v>
      </c>
      <c r="AF1084" s="198" t="s">
        <v>633</v>
      </c>
      <c r="AG1084" s="198" t="s">
        <v>248</v>
      </c>
      <c r="AH1084" s="198" t="s">
        <v>137</v>
      </c>
      <c r="AI1084" s="198" t="s">
        <v>56</v>
      </c>
      <c r="AJ1084" s="198" t="s">
        <v>635</v>
      </c>
      <c r="AK1084" s="198" t="s">
        <v>51</v>
      </c>
      <c r="AL1084" s="198" t="s">
        <v>67</v>
      </c>
      <c r="AM1084" s="198" t="s">
        <v>68</v>
      </c>
      <c r="AN1084" s="202">
        <v>241380</v>
      </c>
      <c r="AO1084" s="202">
        <v>241380</v>
      </c>
      <c r="AP1084" s="202">
        <v>241380</v>
      </c>
      <c r="AQ1084" s="198" t="s">
        <v>358</v>
      </c>
      <c r="AR1084" s="198" t="s">
        <v>51</v>
      </c>
      <c r="AS1084" s="202">
        <v>241380</v>
      </c>
      <c r="AT1084" s="202">
        <v>241380</v>
      </c>
      <c r="AU1084" s="198" t="s">
        <v>359</v>
      </c>
      <c r="AV1084" s="198" t="s">
        <v>62</v>
      </c>
      <c r="AW1084" s="198" t="s">
        <v>587</v>
      </c>
    </row>
    <row r="1085" spans="3:49" outlineLevel="2" x14ac:dyDescent="0.25">
      <c r="C1085" s="201"/>
      <c r="D1085" s="198" t="s">
        <v>136</v>
      </c>
      <c r="H1085" s="198" t="s">
        <v>136</v>
      </c>
      <c r="I1085" s="202">
        <f t="shared" si="16"/>
        <v>451774356.30000001</v>
      </c>
      <c r="J1085" s="202">
        <v>109.4</v>
      </c>
      <c r="L1085" s="204">
        <v>280</v>
      </c>
      <c r="M1085" s="202">
        <v>49280</v>
      </c>
      <c r="N1085" s="204">
        <v>280</v>
      </c>
      <c r="O1085" s="198" t="s">
        <v>51</v>
      </c>
      <c r="P1085" s="202">
        <v>49280</v>
      </c>
      <c r="Q1085" s="198" t="s">
        <v>73</v>
      </c>
      <c r="R1085" s="198" t="s">
        <v>53</v>
      </c>
      <c r="S1085" s="198" t="s">
        <v>54</v>
      </c>
      <c r="T1085" s="198" t="s">
        <v>585</v>
      </c>
      <c r="U1085" s="198" t="s">
        <v>367</v>
      </c>
      <c r="V1085" s="198" t="s">
        <v>56</v>
      </c>
      <c r="W1085" s="198" t="s">
        <v>356</v>
      </c>
      <c r="X1085" s="198" t="s">
        <v>57</v>
      </c>
      <c r="Y1085" s="198" t="s">
        <v>58</v>
      </c>
      <c r="Z1085" s="201">
        <v>46234</v>
      </c>
      <c r="AA1085" s="198" t="s">
        <v>59</v>
      </c>
      <c r="AB1085" s="198" t="s">
        <v>60</v>
      </c>
      <c r="AC1085" s="198" t="s">
        <v>86</v>
      </c>
      <c r="AD1085" s="198" t="s">
        <v>62</v>
      </c>
      <c r="AE1085" s="198" t="s">
        <v>637</v>
      </c>
      <c r="AF1085" s="198" t="s">
        <v>636</v>
      </c>
      <c r="AG1085" s="198" t="s">
        <v>248</v>
      </c>
      <c r="AH1085" s="198" t="s">
        <v>137</v>
      </c>
      <c r="AI1085" s="198" t="s">
        <v>56</v>
      </c>
      <c r="AJ1085" s="198" t="s">
        <v>318</v>
      </c>
      <c r="AK1085" s="198" t="s">
        <v>51</v>
      </c>
      <c r="AL1085" s="198" t="s">
        <v>67</v>
      </c>
      <c r="AM1085" s="198" t="s">
        <v>68</v>
      </c>
      <c r="AN1085" s="202">
        <v>49280</v>
      </c>
      <c r="AO1085" s="202">
        <v>49280</v>
      </c>
      <c r="AP1085" s="202">
        <v>49280</v>
      </c>
      <c r="AQ1085" s="198" t="s">
        <v>358</v>
      </c>
      <c r="AR1085" s="198" t="s">
        <v>51</v>
      </c>
      <c r="AS1085" s="202">
        <v>49280</v>
      </c>
      <c r="AT1085" s="202">
        <v>49280</v>
      </c>
      <c r="AU1085" s="198" t="s">
        <v>359</v>
      </c>
      <c r="AV1085" s="198" t="s">
        <v>62</v>
      </c>
      <c r="AW1085" s="198" t="s">
        <v>587</v>
      </c>
    </row>
    <row r="1086" spans="3:49" outlineLevel="2" x14ac:dyDescent="0.25">
      <c r="C1086" s="201"/>
      <c r="D1086" s="198" t="s">
        <v>136</v>
      </c>
      <c r="H1086" s="198" t="s">
        <v>136</v>
      </c>
      <c r="I1086" s="202">
        <f t="shared" si="16"/>
        <v>452187312.75</v>
      </c>
      <c r="J1086" s="202">
        <v>109.5</v>
      </c>
      <c r="L1086" s="204">
        <v>425</v>
      </c>
      <c r="M1086" s="202">
        <v>63325</v>
      </c>
      <c r="N1086" s="204">
        <v>425</v>
      </c>
      <c r="O1086" s="198" t="s">
        <v>51</v>
      </c>
      <c r="P1086" s="202">
        <v>63325</v>
      </c>
      <c r="Q1086" s="198" t="s">
        <v>73</v>
      </c>
      <c r="R1086" s="198" t="s">
        <v>53</v>
      </c>
      <c r="S1086" s="198" t="s">
        <v>54</v>
      </c>
      <c r="T1086" s="198" t="s">
        <v>585</v>
      </c>
      <c r="U1086" s="198" t="s">
        <v>367</v>
      </c>
      <c r="V1086" s="198" t="s">
        <v>56</v>
      </c>
      <c r="W1086" s="198" t="s">
        <v>356</v>
      </c>
      <c r="X1086" s="198" t="s">
        <v>57</v>
      </c>
      <c r="Y1086" s="198" t="s">
        <v>58</v>
      </c>
      <c r="Z1086" s="201">
        <v>46234</v>
      </c>
      <c r="AA1086" s="198" t="s">
        <v>59</v>
      </c>
      <c r="AB1086" s="198" t="s">
        <v>60</v>
      </c>
      <c r="AC1086" s="198" t="s">
        <v>86</v>
      </c>
      <c r="AD1086" s="198" t="s">
        <v>62</v>
      </c>
      <c r="AE1086" s="198" t="s">
        <v>639</v>
      </c>
      <c r="AF1086" s="198" t="s">
        <v>638</v>
      </c>
      <c r="AG1086" s="198" t="s">
        <v>248</v>
      </c>
      <c r="AH1086" s="198" t="s">
        <v>137</v>
      </c>
      <c r="AI1086" s="198" t="s">
        <v>56</v>
      </c>
      <c r="AJ1086" s="198" t="s">
        <v>318</v>
      </c>
      <c r="AK1086" s="198" t="s">
        <v>51</v>
      </c>
      <c r="AL1086" s="198" t="s">
        <v>67</v>
      </c>
      <c r="AM1086" s="198" t="s">
        <v>68</v>
      </c>
      <c r="AN1086" s="202">
        <v>63325</v>
      </c>
      <c r="AO1086" s="202">
        <v>63325</v>
      </c>
      <c r="AP1086" s="202">
        <v>63325</v>
      </c>
      <c r="AQ1086" s="198" t="s">
        <v>358</v>
      </c>
      <c r="AR1086" s="198" t="s">
        <v>51</v>
      </c>
      <c r="AS1086" s="202">
        <v>63325</v>
      </c>
      <c r="AT1086" s="202">
        <v>63325</v>
      </c>
      <c r="AU1086" s="198" t="s">
        <v>359</v>
      </c>
      <c r="AV1086" s="198" t="s">
        <v>62</v>
      </c>
      <c r="AW1086" s="198" t="s">
        <v>587</v>
      </c>
    </row>
    <row r="1087" spans="3:49" outlineLevel="2" x14ac:dyDescent="0.25">
      <c r="C1087" s="201"/>
      <c r="D1087" s="198" t="s">
        <v>136</v>
      </c>
      <c r="H1087" s="198" t="s">
        <v>136</v>
      </c>
      <c r="I1087" s="202">
        <f t="shared" si="16"/>
        <v>452600269.19999999</v>
      </c>
      <c r="J1087" s="202">
        <v>109.6</v>
      </c>
      <c r="L1087" s="204">
        <v>520</v>
      </c>
      <c r="M1087" s="202">
        <v>70200</v>
      </c>
      <c r="N1087" s="204">
        <v>520</v>
      </c>
      <c r="O1087" s="198" t="s">
        <v>51</v>
      </c>
      <c r="P1087" s="202">
        <v>70200</v>
      </c>
      <c r="Q1087" s="198" t="s">
        <v>73</v>
      </c>
      <c r="R1087" s="198" t="s">
        <v>53</v>
      </c>
      <c r="S1087" s="198" t="s">
        <v>54</v>
      </c>
      <c r="T1087" s="198" t="s">
        <v>585</v>
      </c>
      <c r="U1087" s="198" t="s">
        <v>367</v>
      </c>
      <c r="V1087" s="198" t="s">
        <v>56</v>
      </c>
      <c r="W1087" s="198" t="s">
        <v>356</v>
      </c>
      <c r="X1087" s="198" t="s">
        <v>57</v>
      </c>
      <c r="Y1087" s="198" t="s">
        <v>58</v>
      </c>
      <c r="Z1087" s="201">
        <v>46234</v>
      </c>
      <c r="AA1087" s="198" t="s">
        <v>59</v>
      </c>
      <c r="AB1087" s="198" t="s">
        <v>60</v>
      </c>
      <c r="AC1087" s="198" t="s">
        <v>86</v>
      </c>
      <c r="AD1087" s="198" t="s">
        <v>62</v>
      </c>
      <c r="AE1087" s="198" t="s">
        <v>641</v>
      </c>
      <c r="AF1087" s="198" t="s">
        <v>640</v>
      </c>
      <c r="AG1087" s="198" t="s">
        <v>248</v>
      </c>
      <c r="AH1087" s="198" t="s">
        <v>137</v>
      </c>
      <c r="AI1087" s="198" t="s">
        <v>56</v>
      </c>
      <c r="AJ1087" s="198" t="s">
        <v>318</v>
      </c>
      <c r="AK1087" s="198" t="s">
        <v>51</v>
      </c>
      <c r="AL1087" s="198" t="s">
        <v>67</v>
      </c>
      <c r="AM1087" s="198" t="s">
        <v>68</v>
      </c>
      <c r="AN1087" s="202">
        <v>70200</v>
      </c>
      <c r="AO1087" s="202">
        <v>70200</v>
      </c>
      <c r="AP1087" s="202">
        <v>70200</v>
      </c>
      <c r="AQ1087" s="198" t="s">
        <v>358</v>
      </c>
      <c r="AR1087" s="198" t="s">
        <v>51</v>
      </c>
      <c r="AS1087" s="202">
        <v>70200</v>
      </c>
      <c r="AT1087" s="202">
        <v>70200</v>
      </c>
      <c r="AU1087" s="198" t="s">
        <v>359</v>
      </c>
      <c r="AV1087" s="198" t="s">
        <v>62</v>
      </c>
      <c r="AW1087" s="198" t="s">
        <v>587</v>
      </c>
    </row>
    <row r="1088" spans="3:49" outlineLevel="2" x14ac:dyDescent="0.25">
      <c r="C1088" s="201"/>
      <c r="D1088" s="198" t="s">
        <v>136</v>
      </c>
      <c r="H1088" s="198" t="s">
        <v>136</v>
      </c>
      <c r="I1088" s="202">
        <f t="shared" si="16"/>
        <v>453013225.65000004</v>
      </c>
      <c r="J1088" s="202">
        <v>109.7</v>
      </c>
      <c r="L1088" s="204">
        <v>150</v>
      </c>
      <c r="M1088" s="202">
        <v>9450</v>
      </c>
      <c r="N1088" s="204">
        <v>150</v>
      </c>
      <c r="O1088" s="198" t="s">
        <v>51</v>
      </c>
      <c r="P1088" s="202">
        <v>9450</v>
      </c>
      <c r="Q1088" s="198" t="s">
        <v>73</v>
      </c>
      <c r="R1088" s="198" t="s">
        <v>53</v>
      </c>
      <c r="S1088" s="198" t="s">
        <v>54</v>
      </c>
      <c r="T1088" s="198" t="s">
        <v>585</v>
      </c>
      <c r="U1088" s="198" t="s">
        <v>367</v>
      </c>
      <c r="V1088" s="198" t="s">
        <v>56</v>
      </c>
      <c r="W1088" s="198" t="s">
        <v>356</v>
      </c>
      <c r="X1088" s="198" t="s">
        <v>57</v>
      </c>
      <c r="Y1088" s="198" t="s">
        <v>58</v>
      </c>
      <c r="Z1088" s="201">
        <v>46234</v>
      </c>
      <c r="AA1088" s="198" t="s">
        <v>59</v>
      </c>
      <c r="AB1088" s="198" t="s">
        <v>60</v>
      </c>
      <c r="AC1088" s="198" t="s">
        <v>86</v>
      </c>
      <c r="AD1088" s="198" t="s">
        <v>62</v>
      </c>
      <c r="AE1088" s="198" t="s">
        <v>643</v>
      </c>
      <c r="AF1088" s="198" t="s">
        <v>642</v>
      </c>
      <c r="AG1088" s="198" t="s">
        <v>248</v>
      </c>
      <c r="AH1088" s="198" t="s">
        <v>137</v>
      </c>
      <c r="AI1088" s="198" t="s">
        <v>56</v>
      </c>
      <c r="AJ1088" s="198" t="s">
        <v>74</v>
      </c>
      <c r="AK1088" s="198" t="s">
        <v>51</v>
      </c>
      <c r="AL1088" s="198" t="s">
        <v>67</v>
      </c>
      <c r="AM1088" s="198" t="s">
        <v>68</v>
      </c>
      <c r="AN1088" s="202">
        <v>9450</v>
      </c>
      <c r="AO1088" s="202">
        <v>9450</v>
      </c>
      <c r="AP1088" s="202">
        <v>9450</v>
      </c>
      <c r="AQ1088" s="198" t="s">
        <v>358</v>
      </c>
      <c r="AR1088" s="198" t="s">
        <v>51</v>
      </c>
      <c r="AS1088" s="202">
        <v>9450</v>
      </c>
      <c r="AT1088" s="202">
        <v>9450</v>
      </c>
      <c r="AU1088" s="198" t="s">
        <v>359</v>
      </c>
      <c r="AV1088" s="198" t="s">
        <v>62</v>
      </c>
      <c r="AW1088" s="198" t="s">
        <v>587</v>
      </c>
    </row>
    <row r="1089" spans="3:49" outlineLevel="2" x14ac:dyDescent="0.25">
      <c r="C1089" s="201"/>
      <c r="D1089" s="198" t="s">
        <v>136</v>
      </c>
      <c r="H1089" s="198" t="s">
        <v>136</v>
      </c>
      <c r="I1089" s="202">
        <f t="shared" si="16"/>
        <v>453426182.09999996</v>
      </c>
      <c r="J1089" s="202">
        <v>109.8</v>
      </c>
      <c r="L1089" s="204">
        <v>908</v>
      </c>
      <c r="M1089" s="202">
        <v>135292</v>
      </c>
      <c r="N1089" s="204">
        <v>908</v>
      </c>
      <c r="O1089" s="198" t="s">
        <v>51</v>
      </c>
      <c r="P1089" s="202">
        <v>135292</v>
      </c>
      <c r="Q1089" s="198" t="s">
        <v>73</v>
      </c>
      <c r="R1089" s="198" t="s">
        <v>53</v>
      </c>
      <c r="S1089" s="198" t="s">
        <v>54</v>
      </c>
      <c r="T1089" s="198" t="s">
        <v>585</v>
      </c>
      <c r="U1089" s="198" t="s">
        <v>367</v>
      </c>
      <c r="V1089" s="198" t="s">
        <v>56</v>
      </c>
      <c r="W1089" s="198" t="s">
        <v>356</v>
      </c>
      <c r="X1089" s="198" t="s">
        <v>57</v>
      </c>
      <c r="Y1089" s="198" t="s">
        <v>58</v>
      </c>
      <c r="Z1089" s="201">
        <v>46234</v>
      </c>
      <c r="AA1089" s="198" t="s">
        <v>59</v>
      </c>
      <c r="AB1089" s="198" t="s">
        <v>60</v>
      </c>
      <c r="AC1089" s="198" t="s">
        <v>86</v>
      </c>
      <c r="AD1089" s="198" t="s">
        <v>62</v>
      </c>
      <c r="AE1089" s="198" t="s">
        <v>645</v>
      </c>
      <c r="AF1089" s="198" t="s">
        <v>644</v>
      </c>
      <c r="AG1089" s="198" t="s">
        <v>248</v>
      </c>
      <c r="AH1089" s="198" t="s">
        <v>137</v>
      </c>
      <c r="AI1089" s="198" t="s">
        <v>56</v>
      </c>
      <c r="AJ1089" s="198" t="s">
        <v>318</v>
      </c>
      <c r="AK1089" s="198" t="s">
        <v>51</v>
      </c>
      <c r="AL1089" s="198" t="s">
        <v>67</v>
      </c>
      <c r="AM1089" s="198" t="s">
        <v>68</v>
      </c>
      <c r="AN1089" s="202">
        <v>135292</v>
      </c>
      <c r="AO1089" s="202">
        <v>135292</v>
      </c>
      <c r="AP1089" s="202">
        <v>135292</v>
      </c>
      <c r="AQ1089" s="198" t="s">
        <v>358</v>
      </c>
      <c r="AR1089" s="198" t="s">
        <v>51</v>
      </c>
      <c r="AS1089" s="202">
        <v>135292</v>
      </c>
      <c r="AT1089" s="202">
        <v>135292</v>
      </c>
      <c r="AU1089" s="198" t="s">
        <v>359</v>
      </c>
      <c r="AV1089" s="198" t="s">
        <v>62</v>
      </c>
      <c r="AW1089" s="198" t="s">
        <v>587</v>
      </c>
    </row>
    <row r="1090" spans="3:49" outlineLevel="2" x14ac:dyDescent="0.25">
      <c r="C1090" s="201"/>
      <c r="D1090" s="198" t="s">
        <v>136</v>
      </c>
      <c r="H1090" s="198" t="s">
        <v>136</v>
      </c>
      <c r="I1090" s="202">
        <f t="shared" si="16"/>
        <v>453839138.55000001</v>
      </c>
      <c r="J1090" s="202">
        <v>109.9</v>
      </c>
      <c r="L1090" s="204">
        <v>2720</v>
      </c>
      <c r="M1090" s="202">
        <v>133280</v>
      </c>
      <c r="N1090" s="204">
        <v>2720</v>
      </c>
      <c r="O1090" s="198" t="s">
        <v>51</v>
      </c>
      <c r="P1090" s="202">
        <v>133280</v>
      </c>
      <c r="Q1090" s="198" t="s">
        <v>73</v>
      </c>
      <c r="R1090" s="198" t="s">
        <v>53</v>
      </c>
      <c r="S1090" s="198" t="s">
        <v>54</v>
      </c>
      <c r="T1090" s="198" t="s">
        <v>585</v>
      </c>
      <c r="U1090" s="198" t="s">
        <v>367</v>
      </c>
      <c r="V1090" s="198" t="s">
        <v>56</v>
      </c>
      <c r="W1090" s="198" t="s">
        <v>356</v>
      </c>
      <c r="X1090" s="198" t="s">
        <v>57</v>
      </c>
      <c r="Y1090" s="198" t="s">
        <v>58</v>
      </c>
      <c r="Z1090" s="201">
        <v>46234</v>
      </c>
      <c r="AA1090" s="198" t="s">
        <v>59</v>
      </c>
      <c r="AB1090" s="198" t="s">
        <v>60</v>
      </c>
      <c r="AC1090" s="198" t="s">
        <v>86</v>
      </c>
      <c r="AD1090" s="198" t="s">
        <v>62</v>
      </c>
      <c r="AE1090" s="198" t="s">
        <v>647</v>
      </c>
      <c r="AF1090" s="198" t="s">
        <v>646</v>
      </c>
      <c r="AG1090" s="198" t="s">
        <v>248</v>
      </c>
      <c r="AH1090" s="198" t="s">
        <v>137</v>
      </c>
      <c r="AI1090" s="198" t="s">
        <v>56</v>
      </c>
      <c r="AJ1090" s="198" t="s">
        <v>318</v>
      </c>
      <c r="AK1090" s="198" t="s">
        <v>51</v>
      </c>
      <c r="AL1090" s="198" t="s">
        <v>67</v>
      </c>
      <c r="AM1090" s="198" t="s">
        <v>68</v>
      </c>
      <c r="AN1090" s="202">
        <v>133280</v>
      </c>
      <c r="AO1090" s="202">
        <v>133280</v>
      </c>
      <c r="AP1090" s="202">
        <v>133280</v>
      </c>
      <c r="AQ1090" s="198" t="s">
        <v>358</v>
      </c>
      <c r="AR1090" s="198" t="s">
        <v>51</v>
      </c>
      <c r="AS1090" s="202">
        <v>133280</v>
      </c>
      <c r="AT1090" s="202">
        <v>133280</v>
      </c>
      <c r="AU1090" s="198" t="s">
        <v>359</v>
      </c>
      <c r="AV1090" s="198" t="s">
        <v>62</v>
      </c>
      <c r="AW1090" s="198" t="s">
        <v>587</v>
      </c>
    </row>
    <row r="1091" spans="3:49" outlineLevel="2" x14ac:dyDescent="0.25">
      <c r="C1091" s="201"/>
      <c r="D1091" s="198" t="s">
        <v>136</v>
      </c>
      <c r="H1091" s="198" t="s">
        <v>136</v>
      </c>
      <c r="I1091" s="202">
        <f t="shared" ref="I1091:I1154" si="17">J1091*4129564.5</f>
        <v>454252095</v>
      </c>
      <c r="J1091" s="202">
        <v>110</v>
      </c>
      <c r="L1091" s="204">
        <v>300</v>
      </c>
      <c r="M1091" s="202">
        <v>44700</v>
      </c>
      <c r="N1091" s="204">
        <v>300</v>
      </c>
      <c r="O1091" s="198" t="s">
        <v>51</v>
      </c>
      <c r="P1091" s="202">
        <v>44700</v>
      </c>
      <c r="Q1091" s="198" t="s">
        <v>73</v>
      </c>
      <c r="R1091" s="198" t="s">
        <v>53</v>
      </c>
      <c r="S1091" s="198" t="s">
        <v>54</v>
      </c>
      <c r="T1091" s="198" t="s">
        <v>585</v>
      </c>
      <c r="U1091" s="198" t="s">
        <v>367</v>
      </c>
      <c r="V1091" s="198" t="s">
        <v>56</v>
      </c>
      <c r="W1091" s="198" t="s">
        <v>356</v>
      </c>
      <c r="X1091" s="198" t="s">
        <v>57</v>
      </c>
      <c r="Y1091" s="198" t="s">
        <v>58</v>
      </c>
      <c r="Z1091" s="201">
        <v>46234</v>
      </c>
      <c r="AA1091" s="198" t="s">
        <v>59</v>
      </c>
      <c r="AB1091" s="198" t="s">
        <v>60</v>
      </c>
      <c r="AC1091" s="198" t="s">
        <v>86</v>
      </c>
      <c r="AD1091" s="198" t="s">
        <v>62</v>
      </c>
      <c r="AE1091" s="198" t="s">
        <v>649</v>
      </c>
      <c r="AF1091" s="198" t="s">
        <v>648</v>
      </c>
      <c r="AG1091" s="198" t="s">
        <v>248</v>
      </c>
      <c r="AH1091" s="198" t="s">
        <v>137</v>
      </c>
      <c r="AI1091" s="198" t="s">
        <v>56</v>
      </c>
      <c r="AJ1091" s="198" t="s">
        <v>318</v>
      </c>
      <c r="AK1091" s="198" t="s">
        <v>51</v>
      </c>
      <c r="AL1091" s="198" t="s">
        <v>67</v>
      </c>
      <c r="AM1091" s="198" t="s">
        <v>68</v>
      </c>
      <c r="AN1091" s="202">
        <v>44700</v>
      </c>
      <c r="AO1091" s="202">
        <v>44700</v>
      </c>
      <c r="AP1091" s="202">
        <v>44700</v>
      </c>
      <c r="AQ1091" s="198" t="s">
        <v>358</v>
      </c>
      <c r="AR1091" s="198" t="s">
        <v>51</v>
      </c>
      <c r="AS1091" s="202">
        <v>44700</v>
      </c>
      <c r="AT1091" s="202">
        <v>44700</v>
      </c>
      <c r="AU1091" s="198" t="s">
        <v>359</v>
      </c>
      <c r="AV1091" s="198" t="s">
        <v>62</v>
      </c>
      <c r="AW1091" s="198" t="s">
        <v>587</v>
      </c>
    </row>
    <row r="1092" spans="3:49" outlineLevel="2" x14ac:dyDescent="0.25">
      <c r="C1092" s="201"/>
      <c r="D1092" s="198" t="s">
        <v>136</v>
      </c>
      <c r="H1092" s="198" t="s">
        <v>136</v>
      </c>
      <c r="I1092" s="202">
        <f t="shared" si="17"/>
        <v>454665051.44999999</v>
      </c>
      <c r="J1092" s="202">
        <v>110.1</v>
      </c>
      <c r="L1092" s="204">
        <v>650</v>
      </c>
      <c r="M1092" s="202">
        <v>87750</v>
      </c>
      <c r="N1092" s="204">
        <v>650</v>
      </c>
      <c r="O1092" s="198" t="s">
        <v>51</v>
      </c>
      <c r="P1092" s="202">
        <v>87750</v>
      </c>
      <c r="Q1092" s="198" t="s">
        <v>73</v>
      </c>
      <c r="R1092" s="198" t="s">
        <v>53</v>
      </c>
      <c r="S1092" s="198" t="s">
        <v>54</v>
      </c>
      <c r="T1092" s="198" t="s">
        <v>585</v>
      </c>
      <c r="U1092" s="198" t="s">
        <v>367</v>
      </c>
      <c r="V1092" s="198" t="s">
        <v>56</v>
      </c>
      <c r="W1092" s="198" t="s">
        <v>356</v>
      </c>
      <c r="X1092" s="198" t="s">
        <v>57</v>
      </c>
      <c r="Y1092" s="198" t="s">
        <v>58</v>
      </c>
      <c r="Z1092" s="201">
        <v>46234</v>
      </c>
      <c r="AA1092" s="198" t="s">
        <v>59</v>
      </c>
      <c r="AB1092" s="198" t="s">
        <v>60</v>
      </c>
      <c r="AC1092" s="198" t="s">
        <v>86</v>
      </c>
      <c r="AD1092" s="198" t="s">
        <v>62</v>
      </c>
      <c r="AE1092" s="198" t="s">
        <v>650</v>
      </c>
      <c r="AF1092" s="198" t="s">
        <v>339</v>
      </c>
      <c r="AG1092" s="198" t="s">
        <v>248</v>
      </c>
      <c r="AH1092" s="198" t="s">
        <v>137</v>
      </c>
      <c r="AI1092" s="198" t="s">
        <v>56</v>
      </c>
      <c r="AJ1092" s="198" t="s">
        <v>318</v>
      </c>
      <c r="AK1092" s="198" t="s">
        <v>51</v>
      </c>
      <c r="AL1092" s="198" t="s">
        <v>67</v>
      </c>
      <c r="AM1092" s="198" t="s">
        <v>68</v>
      </c>
      <c r="AN1092" s="202">
        <v>87750</v>
      </c>
      <c r="AO1092" s="202">
        <v>87750</v>
      </c>
      <c r="AP1092" s="202">
        <v>87750</v>
      </c>
      <c r="AQ1092" s="198" t="s">
        <v>358</v>
      </c>
      <c r="AR1092" s="198" t="s">
        <v>51</v>
      </c>
      <c r="AS1092" s="202">
        <v>87750</v>
      </c>
      <c r="AT1092" s="202">
        <v>87750</v>
      </c>
      <c r="AU1092" s="198" t="s">
        <v>359</v>
      </c>
      <c r="AV1092" s="198" t="s">
        <v>62</v>
      </c>
      <c r="AW1092" s="198" t="s">
        <v>587</v>
      </c>
    </row>
    <row r="1093" spans="3:49" outlineLevel="2" x14ac:dyDescent="0.25">
      <c r="C1093" s="201"/>
      <c r="D1093" s="198" t="s">
        <v>136</v>
      </c>
      <c r="H1093" s="198" t="s">
        <v>136</v>
      </c>
      <c r="I1093" s="202">
        <f t="shared" si="17"/>
        <v>455078007.90000004</v>
      </c>
      <c r="J1093" s="202">
        <v>110.2</v>
      </c>
      <c r="L1093" s="204">
        <v>200</v>
      </c>
      <c r="M1093" s="202">
        <v>2400</v>
      </c>
      <c r="N1093" s="204">
        <v>200</v>
      </c>
      <c r="O1093" s="198" t="s">
        <v>51</v>
      </c>
      <c r="P1093" s="202">
        <v>2400</v>
      </c>
      <c r="Q1093" s="198" t="s">
        <v>73</v>
      </c>
      <c r="R1093" s="198" t="s">
        <v>53</v>
      </c>
      <c r="S1093" s="198" t="s">
        <v>54</v>
      </c>
      <c r="T1093" s="198" t="s">
        <v>585</v>
      </c>
      <c r="U1093" s="198" t="s">
        <v>367</v>
      </c>
      <c r="V1093" s="198" t="s">
        <v>56</v>
      </c>
      <c r="W1093" s="198" t="s">
        <v>356</v>
      </c>
      <c r="X1093" s="198" t="s">
        <v>57</v>
      </c>
      <c r="Y1093" s="198" t="s">
        <v>58</v>
      </c>
      <c r="Z1093" s="201">
        <v>46234</v>
      </c>
      <c r="AA1093" s="198" t="s">
        <v>59</v>
      </c>
      <c r="AB1093" s="198" t="s">
        <v>60</v>
      </c>
      <c r="AC1093" s="198" t="s">
        <v>86</v>
      </c>
      <c r="AD1093" s="198" t="s">
        <v>62</v>
      </c>
      <c r="AE1093" s="198" t="s">
        <v>652</v>
      </c>
      <c r="AF1093" s="198" t="s">
        <v>651</v>
      </c>
      <c r="AG1093" s="198" t="s">
        <v>248</v>
      </c>
      <c r="AH1093" s="198" t="s">
        <v>137</v>
      </c>
      <c r="AI1093" s="198" t="s">
        <v>56</v>
      </c>
      <c r="AJ1093" s="198" t="s">
        <v>318</v>
      </c>
      <c r="AK1093" s="198" t="s">
        <v>51</v>
      </c>
      <c r="AL1093" s="198" t="s">
        <v>67</v>
      </c>
      <c r="AM1093" s="198" t="s">
        <v>68</v>
      </c>
      <c r="AN1093" s="202">
        <v>2400</v>
      </c>
      <c r="AO1093" s="202">
        <v>2400</v>
      </c>
      <c r="AP1093" s="202">
        <v>2400</v>
      </c>
      <c r="AQ1093" s="198" t="s">
        <v>358</v>
      </c>
      <c r="AR1093" s="198" t="s">
        <v>51</v>
      </c>
      <c r="AS1093" s="202">
        <v>2400</v>
      </c>
      <c r="AT1093" s="202">
        <v>2400</v>
      </c>
      <c r="AU1093" s="198" t="s">
        <v>359</v>
      </c>
      <c r="AV1093" s="198" t="s">
        <v>62</v>
      </c>
      <c r="AW1093" s="198" t="s">
        <v>587</v>
      </c>
    </row>
    <row r="1094" spans="3:49" outlineLevel="2" x14ac:dyDescent="0.25">
      <c r="C1094" s="201"/>
      <c r="D1094" s="198" t="s">
        <v>136</v>
      </c>
      <c r="H1094" s="198" t="s">
        <v>136</v>
      </c>
      <c r="I1094" s="202">
        <f t="shared" si="17"/>
        <v>455490964.34999996</v>
      </c>
      <c r="J1094" s="202">
        <v>110.3</v>
      </c>
      <c r="L1094" s="204">
        <v>70</v>
      </c>
      <c r="M1094" s="202">
        <v>840</v>
      </c>
      <c r="N1094" s="204">
        <v>70</v>
      </c>
      <c r="O1094" s="198" t="s">
        <v>51</v>
      </c>
      <c r="P1094" s="202">
        <v>840</v>
      </c>
      <c r="Q1094" s="198" t="s">
        <v>73</v>
      </c>
      <c r="R1094" s="198" t="s">
        <v>53</v>
      </c>
      <c r="S1094" s="198" t="s">
        <v>54</v>
      </c>
      <c r="T1094" s="198" t="s">
        <v>585</v>
      </c>
      <c r="U1094" s="198" t="s">
        <v>367</v>
      </c>
      <c r="V1094" s="198" t="s">
        <v>56</v>
      </c>
      <c r="W1094" s="198" t="s">
        <v>356</v>
      </c>
      <c r="X1094" s="198" t="s">
        <v>57</v>
      </c>
      <c r="Y1094" s="198" t="s">
        <v>58</v>
      </c>
      <c r="Z1094" s="201">
        <v>46234</v>
      </c>
      <c r="AA1094" s="198" t="s">
        <v>59</v>
      </c>
      <c r="AB1094" s="198" t="s">
        <v>60</v>
      </c>
      <c r="AC1094" s="198" t="s">
        <v>86</v>
      </c>
      <c r="AD1094" s="198" t="s">
        <v>62</v>
      </c>
      <c r="AE1094" s="198" t="s">
        <v>654</v>
      </c>
      <c r="AF1094" s="198" t="s">
        <v>653</v>
      </c>
      <c r="AG1094" s="198" t="s">
        <v>248</v>
      </c>
      <c r="AH1094" s="198" t="s">
        <v>137</v>
      </c>
      <c r="AI1094" s="198" t="s">
        <v>56</v>
      </c>
      <c r="AJ1094" s="198" t="s">
        <v>318</v>
      </c>
      <c r="AK1094" s="198" t="s">
        <v>51</v>
      </c>
      <c r="AL1094" s="198" t="s">
        <v>67</v>
      </c>
      <c r="AM1094" s="198" t="s">
        <v>68</v>
      </c>
      <c r="AN1094" s="202">
        <v>840</v>
      </c>
      <c r="AO1094" s="202">
        <v>840</v>
      </c>
      <c r="AP1094" s="202">
        <v>840</v>
      </c>
      <c r="AQ1094" s="198" t="s">
        <v>358</v>
      </c>
      <c r="AR1094" s="198" t="s">
        <v>51</v>
      </c>
      <c r="AS1094" s="202">
        <v>840</v>
      </c>
      <c r="AT1094" s="202">
        <v>840</v>
      </c>
      <c r="AU1094" s="198" t="s">
        <v>359</v>
      </c>
      <c r="AV1094" s="198" t="s">
        <v>62</v>
      </c>
      <c r="AW1094" s="198" t="s">
        <v>587</v>
      </c>
    </row>
    <row r="1095" spans="3:49" outlineLevel="2" x14ac:dyDescent="0.25">
      <c r="C1095" s="201"/>
      <c r="D1095" s="198" t="s">
        <v>135</v>
      </c>
      <c r="H1095" s="198" t="s">
        <v>135</v>
      </c>
      <c r="I1095" s="202">
        <f t="shared" si="17"/>
        <v>455903920.80000001</v>
      </c>
      <c r="J1095" s="202">
        <v>110.4</v>
      </c>
      <c r="L1095" s="204">
        <v>1200</v>
      </c>
      <c r="M1095" s="202">
        <v>48684</v>
      </c>
      <c r="N1095" s="204">
        <v>1200</v>
      </c>
      <c r="O1095" s="198" t="s">
        <v>51</v>
      </c>
      <c r="P1095" s="202">
        <v>48684</v>
      </c>
      <c r="Q1095" s="198" t="s">
        <v>75</v>
      </c>
      <c r="R1095" s="198" t="s">
        <v>53</v>
      </c>
      <c r="S1095" s="198" t="s">
        <v>54</v>
      </c>
      <c r="T1095" s="198" t="s">
        <v>673</v>
      </c>
      <c r="U1095" s="198" t="s">
        <v>367</v>
      </c>
      <c r="V1095" s="198" t="s">
        <v>56</v>
      </c>
      <c r="W1095" s="198" t="s">
        <v>356</v>
      </c>
      <c r="X1095" s="198" t="s">
        <v>57</v>
      </c>
      <c r="Y1095" s="198" t="s">
        <v>58</v>
      </c>
      <c r="Z1095" s="201">
        <v>46234</v>
      </c>
      <c r="AA1095" s="198" t="s">
        <v>59</v>
      </c>
      <c r="AB1095" s="198" t="s">
        <v>60</v>
      </c>
      <c r="AC1095" s="198" t="s">
        <v>86</v>
      </c>
      <c r="AD1095" s="198" t="s">
        <v>62</v>
      </c>
      <c r="AE1095" s="198" t="s">
        <v>598</v>
      </c>
      <c r="AF1095" s="198" t="s">
        <v>597</v>
      </c>
      <c r="AG1095" s="198" t="s">
        <v>248</v>
      </c>
      <c r="AH1095" s="198" t="s">
        <v>117</v>
      </c>
      <c r="AI1095" s="198" t="s">
        <v>56</v>
      </c>
      <c r="AJ1095" s="198" t="s">
        <v>318</v>
      </c>
      <c r="AK1095" s="198" t="s">
        <v>51</v>
      </c>
      <c r="AL1095" s="198" t="s">
        <v>67</v>
      </c>
      <c r="AM1095" s="198" t="s">
        <v>68</v>
      </c>
      <c r="AN1095" s="202">
        <v>48684</v>
      </c>
      <c r="AO1095" s="202">
        <v>48684</v>
      </c>
      <c r="AP1095" s="202">
        <v>48684</v>
      </c>
      <c r="AQ1095" s="198" t="s">
        <v>358</v>
      </c>
      <c r="AR1095" s="198" t="s">
        <v>51</v>
      </c>
      <c r="AS1095" s="202">
        <v>48684</v>
      </c>
      <c r="AT1095" s="202">
        <v>48684</v>
      </c>
      <c r="AU1095" s="198" t="s">
        <v>359</v>
      </c>
      <c r="AV1095" s="198" t="s">
        <v>62</v>
      </c>
      <c r="AW1095" s="198" t="s">
        <v>54</v>
      </c>
    </row>
    <row r="1096" spans="3:49" outlineLevel="2" x14ac:dyDescent="0.25">
      <c r="C1096" s="201"/>
      <c r="D1096" s="198" t="s">
        <v>135</v>
      </c>
      <c r="H1096" s="198" t="s">
        <v>135</v>
      </c>
      <c r="I1096" s="202">
        <f t="shared" si="17"/>
        <v>456316877.25</v>
      </c>
      <c r="J1096" s="202">
        <v>110.5</v>
      </c>
      <c r="L1096" s="204">
        <v>2080</v>
      </c>
      <c r="M1096" s="202">
        <v>32718.400000000001</v>
      </c>
      <c r="N1096" s="204">
        <v>2080</v>
      </c>
      <c r="O1096" s="198" t="s">
        <v>51</v>
      </c>
      <c r="P1096" s="202">
        <v>32718.400000000001</v>
      </c>
      <c r="Q1096" s="198" t="s">
        <v>75</v>
      </c>
      <c r="R1096" s="198" t="s">
        <v>53</v>
      </c>
      <c r="S1096" s="198" t="s">
        <v>54</v>
      </c>
      <c r="T1096" s="198" t="s">
        <v>673</v>
      </c>
      <c r="U1096" s="198" t="s">
        <v>367</v>
      </c>
      <c r="V1096" s="198" t="s">
        <v>56</v>
      </c>
      <c r="W1096" s="198" t="s">
        <v>356</v>
      </c>
      <c r="X1096" s="198" t="s">
        <v>57</v>
      </c>
      <c r="Y1096" s="198" t="s">
        <v>58</v>
      </c>
      <c r="Z1096" s="201">
        <v>46234</v>
      </c>
      <c r="AA1096" s="198" t="s">
        <v>59</v>
      </c>
      <c r="AB1096" s="198" t="s">
        <v>60</v>
      </c>
      <c r="AC1096" s="198" t="s">
        <v>86</v>
      </c>
      <c r="AD1096" s="198" t="s">
        <v>62</v>
      </c>
      <c r="AE1096" s="198" t="s">
        <v>602</v>
      </c>
      <c r="AF1096" s="198" t="s">
        <v>601</v>
      </c>
      <c r="AG1096" s="198" t="s">
        <v>248</v>
      </c>
      <c r="AH1096" s="198" t="s">
        <v>117</v>
      </c>
      <c r="AI1096" s="198" t="s">
        <v>56</v>
      </c>
      <c r="AJ1096" s="198" t="s">
        <v>318</v>
      </c>
      <c r="AK1096" s="198" t="s">
        <v>51</v>
      </c>
      <c r="AL1096" s="198" t="s">
        <v>67</v>
      </c>
      <c r="AM1096" s="198" t="s">
        <v>68</v>
      </c>
      <c r="AN1096" s="202">
        <v>32718.400000000001</v>
      </c>
      <c r="AO1096" s="202">
        <v>32718.400000000001</v>
      </c>
      <c r="AP1096" s="202">
        <v>32718.400000000001</v>
      </c>
      <c r="AQ1096" s="198" t="s">
        <v>358</v>
      </c>
      <c r="AR1096" s="198" t="s">
        <v>51</v>
      </c>
      <c r="AS1096" s="202">
        <v>32718.400000000001</v>
      </c>
      <c r="AT1096" s="202">
        <v>32718.400000000001</v>
      </c>
      <c r="AU1096" s="198" t="s">
        <v>359</v>
      </c>
      <c r="AV1096" s="198" t="s">
        <v>62</v>
      </c>
      <c r="AW1096" s="198" t="s">
        <v>54</v>
      </c>
    </row>
    <row r="1097" spans="3:49" outlineLevel="2" x14ac:dyDescent="0.25">
      <c r="C1097" s="201"/>
      <c r="D1097" s="198" t="s">
        <v>135</v>
      </c>
      <c r="H1097" s="198" t="s">
        <v>135</v>
      </c>
      <c r="I1097" s="202">
        <f t="shared" si="17"/>
        <v>456729833.69999999</v>
      </c>
      <c r="J1097" s="202">
        <v>110.6</v>
      </c>
      <c r="L1097" s="204">
        <v>95980</v>
      </c>
      <c r="M1097" s="202">
        <v>7102520</v>
      </c>
      <c r="N1097" s="204">
        <v>95980</v>
      </c>
      <c r="O1097" s="198" t="s">
        <v>51</v>
      </c>
      <c r="P1097" s="202">
        <v>7102520</v>
      </c>
      <c r="Q1097" s="198" t="s">
        <v>73</v>
      </c>
      <c r="R1097" s="198" t="s">
        <v>53</v>
      </c>
      <c r="S1097" s="198" t="s">
        <v>54</v>
      </c>
      <c r="T1097" s="198" t="s">
        <v>673</v>
      </c>
      <c r="U1097" s="198" t="s">
        <v>367</v>
      </c>
      <c r="V1097" s="198" t="s">
        <v>56</v>
      </c>
      <c r="W1097" s="198" t="s">
        <v>356</v>
      </c>
      <c r="X1097" s="198" t="s">
        <v>57</v>
      </c>
      <c r="Y1097" s="198" t="s">
        <v>58</v>
      </c>
      <c r="Z1097" s="201">
        <v>46234</v>
      </c>
      <c r="AA1097" s="198" t="s">
        <v>59</v>
      </c>
      <c r="AB1097" s="198" t="s">
        <v>60</v>
      </c>
      <c r="AC1097" s="198" t="s">
        <v>86</v>
      </c>
      <c r="AD1097" s="198" t="s">
        <v>62</v>
      </c>
      <c r="AE1097" s="198" t="s">
        <v>125</v>
      </c>
      <c r="AF1097" s="198" t="s">
        <v>124</v>
      </c>
      <c r="AG1097" s="198" t="s">
        <v>248</v>
      </c>
      <c r="AH1097" s="198" t="s">
        <v>117</v>
      </c>
      <c r="AI1097" s="198" t="s">
        <v>56</v>
      </c>
      <c r="AJ1097" s="198" t="s">
        <v>127</v>
      </c>
      <c r="AK1097" s="198" t="s">
        <v>51</v>
      </c>
      <c r="AL1097" s="198" t="s">
        <v>67</v>
      </c>
      <c r="AM1097" s="198" t="s">
        <v>68</v>
      </c>
      <c r="AN1097" s="202">
        <v>7102520</v>
      </c>
      <c r="AO1097" s="202">
        <v>7102520</v>
      </c>
      <c r="AP1097" s="202">
        <v>7102520</v>
      </c>
      <c r="AQ1097" s="198" t="s">
        <v>358</v>
      </c>
      <c r="AR1097" s="198" t="s">
        <v>51</v>
      </c>
      <c r="AS1097" s="202">
        <v>7102520</v>
      </c>
      <c r="AT1097" s="202">
        <v>7102520</v>
      </c>
      <c r="AU1097" s="198" t="s">
        <v>359</v>
      </c>
      <c r="AV1097" s="198" t="s">
        <v>62</v>
      </c>
      <c r="AW1097" s="198" t="s">
        <v>54</v>
      </c>
    </row>
    <row r="1098" spans="3:49" outlineLevel="2" x14ac:dyDescent="0.25">
      <c r="C1098" s="201"/>
      <c r="D1098" s="198" t="s">
        <v>135</v>
      </c>
      <c r="H1098" s="198" t="s">
        <v>135</v>
      </c>
      <c r="I1098" s="202">
        <f t="shared" si="17"/>
        <v>457142790.15000004</v>
      </c>
      <c r="J1098" s="202">
        <v>110.7</v>
      </c>
      <c r="L1098" s="204">
        <v>59</v>
      </c>
      <c r="M1098" s="202">
        <v>352702</v>
      </c>
      <c r="N1098" s="204">
        <v>59</v>
      </c>
      <c r="O1098" s="198" t="s">
        <v>51</v>
      </c>
      <c r="P1098" s="202">
        <v>352702</v>
      </c>
      <c r="Q1098" s="198" t="s">
        <v>73</v>
      </c>
      <c r="R1098" s="198" t="s">
        <v>53</v>
      </c>
      <c r="S1098" s="198" t="s">
        <v>54</v>
      </c>
      <c r="T1098" s="198" t="s">
        <v>673</v>
      </c>
      <c r="U1098" s="198" t="s">
        <v>367</v>
      </c>
      <c r="V1098" s="198" t="s">
        <v>56</v>
      </c>
      <c r="W1098" s="198" t="s">
        <v>356</v>
      </c>
      <c r="X1098" s="198" t="s">
        <v>57</v>
      </c>
      <c r="Y1098" s="198" t="s">
        <v>58</v>
      </c>
      <c r="Z1098" s="201">
        <v>46234</v>
      </c>
      <c r="AA1098" s="198" t="s">
        <v>59</v>
      </c>
      <c r="AB1098" s="198" t="s">
        <v>60</v>
      </c>
      <c r="AC1098" s="198" t="s">
        <v>86</v>
      </c>
      <c r="AD1098" s="198" t="s">
        <v>62</v>
      </c>
      <c r="AE1098" s="198" t="s">
        <v>664</v>
      </c>
      <c r="AF1098" s="198" t="s">
        <v>663</v>
      </c>
      <c r="AG1098" s="198" t="s">
        <v>248</v>
      </c>
      <c r="AH1098" s="198" t="s">
        <v>117</v>
      </c>
      <c r="AI1098" s="198" t="s">
        <v>56</v>
      </c>
      <c r="AJ1098" s="198" t="s">
        <v>318</v>
      </c>
      <c r="AK1098" s="198" t="s">
        <v>51</v>
      </c>
      <c r="AL1098" s="198" t="s">
        <v>67</v>
      </c>
      <c r="AM1098" s="198" t="s">
        <v>68</v>
      </c>
      <c r="AN1098" s="202">
        <v>352702</v>
      </c>
      <c r="AO1098" s="202">
        <v>352702</v>
      </c>
      <c r="AP1098" s="202">
        <v>352702</v>
      </c>
      <c r="AQ1098" s="198" t="s">
        <v>358</v>
      </c>
      <c r="AR1098" s="198" t="s">
        <v>51</v>
      </c>
      <c r="AS1098" s="202">
        <v>352702</v>
      </c>
      <c r="AT1098" s="202">
        <v>352702</v>
      </c>
      <c r="AU1098" s="198" t="s">
        <v>359</v>
      </c>
      <c r="AV1098" s="198" t="s">
        <v>62</v>
      </c>
      <c r="AW1098" s="198" t="s">
        <v>54</v>
      </c>
    </row>
    <row r="1099" spans="3:49" outlineLevel="2" x14ac:dyDescent="0.25">
      <c r="C1099" s="201"/>
      <c r="D1099" s="198" t="s">
        <v>135</v>
      </c>
      <c r="H1099" s="198" t="s">
        <v>135</v>
      </c>
      <c r="I1099" s="202">
        <f t="shared" si="17"/>
        <v>457555746.59999996</v>
      </c>
      <c r="J1099" s="202">
        <v>110.8</v>
      </c>
      <c r="L1099" s="204">
        <v>8</v>
      </c>
      <c r="M1099" s="202">
        <v>360000</v>
      </c>
      <c r="N1099" s="204">
        <v>8</v>
      </c>
      <c r="O1099" s="198" t="s">
        <v>51</v>
      </c>
      <c r="P1099" s="202">
        <v>360000</v>
      </c>
      <c r="Q1099" s="198" t="s">
        <v>73</v>
      </c>
      <c r="R1099" s="198" t="s">
        <v>53</v>
      </c>
      <c r="S1099" s="198" t="s">
        <v>54</v>
      </c>
      <c r="T1099" s="198" t="s">
        <v>673</v>
      </c>
      <c r="U1099" s="198" t="s">
        <v>367</v>
      </c>
      <c r="V1099" s="198" t="s">
        <v>56</v>
      </c>
      <c r="W1099" s="198" t="s">
        <v>356</v>
      </c>
      <c r="X1099" s="198" t="s">
        <v>57</v>
      </c>
      <c r="Y1099" s="198" t="s">
        <v>58</v>
      </c>
      <c r="Z1099" s="201">
        <v>46234</v>
      </c>
      <c r="AA1099" s="198" t="s">
        <v>59</v>
      </c>
      <c r="AB1099" s="198" t="s">
        <v>60</v>
      </c>
      <c r="AC1099" s="198" t="s">
        <v>86</v>
      </c>
      <c r="AD1099" s="198" t="s">
        <v>62</v>
      </c>
      <c r="AE1099" s="198" t="s">
        <v>593</v>
      </c>
      <c r="AF1099" s="198" t="s">
        <v>592</v>
      </c>
      <c r="AG1099" s="198" t="s">
        <v>248</v>
      </c>
      <c r="AH1099" s="198" t="s">
        <v>117</v>
      </c>
      <c r="AI1099" s="198" t="s">
        <v>56</v>
      </c>
      <c r="AJ1099" s="198" t="s">
        <v>333</v>
      </c>
      <c r="AK1099" s="198" t="s">
        <v>51</v>
      </c>
      <c r="AL1099" s="198" t="s">
        <v>67</v>
      </c>
      <c r="AM1099" s="198" t="s">
        <v>68</v>
      </c>
      <c r="AN1099" s="202">
        <v>360000</v>
      </c>
      <c r="AO1099" s="202">
        <v>360000</v>
      </c>
      <c r="AP1099" s="202">
        <v>360000</v>
      </c>
      <c r="AQ1099" s="198" t="s">
        <v>358</v>
      </c>
      <c r="AR1099" s="198" t="s">
        <v>51</v>
      </c>
      <c r="AS1099" s="202">
        <v>360000</v>
      </c>
      <c r="AT1099" s="202">
        <v>360000</v>
      </c>
      <c r="AU1099" s="198" t="s">
        <v>359</v>
      </c>
      <c r="AV1099" s="198" t="s">
        <v>62</v>
      </c>
      <c r="AW1099" s="198" t="s">
        <v>54</v>
      </c>
    </row>
    <row r="1100" spans="3:49" outlineLevel="2" x14ac:dyDescent="0.25">
      <c r="C1100" s="201"/>
      <c r="D1100" s="198" t="s">
        <v>135</v>
      </c>
      <c r="H1100" s="198" t="s">
        <v>135</v>
      </c>
      <c r="I1100" s="202">
        <f t="shared" si="17"/>
        <v>457968703.05000001</v>
      </c>
      <c r="J1100" s="202">
        <v>110.9</v>
      </c>
      <c r="L1100" s="204">
        <v>420</v>
      </c>
      <c r="M1100" s="202">
        <v>365820</v>
      </c>
      <c r="N1100" s="204">
        <v>420</v>
      </c>
      <c r="O1100" s="198" t="s">
        <v>51</v>
      </c>
      <c r="P1100" s="202">
        <v>365820</v>
      </c>
      <c r="Q1100" s="198" t="s">
        <v>75</v>
      </c>
      <c r="R1100" s="198" t="s">
        <v>53</v>
      </c>
      <c r="S1100" s="198" t="s">
        <v>54</v>
      </c>
      <c r="T1100" s="198" t="s">
        <v>673</v>
      </c>
      <c r="U1100" s="198" t="s">
        <v>367</v>
      </c>
      <c r="V1100" s="198" t="s">
        <v>56</v>
      </c>
      <c r="W1100" s="198" t="s">
        <v>356</v>
      </c>
      <c r="X1100" s="198" t="s">
        <v>57</v>
      </c>
      <c r="Y1100" s="198" t="s">
        <v>58</v>
      </c>
      <c r="Z1100" s="201">
        <v>46234</v>
      </c>
      <c r="AA1100" s="198" t="s">
        <v>59</v>
      </c>
      <c r="AB1100" s="198" t="s">
        <v>60</v>
      </c>
      <c r="AC1100" s="198" t="s">
        <v>86</v>
      </c>
      <c r="AD1100" s="198" t="s">
        <v>62</v>
      </c>
      <c r="AE1100" s="198" t="s">
        <v>586</v>
      </c>
      <c r="AF1100" s="198" t="s">
        <v>584</v>
      </c>
      <c r="AG1100" s="198" t="s">
        <v>248</v>
      </c>
      <c r="AH1100" s="198" t="s">
        <v>117</v>
      </c>
      <c r="AI1100" s="198" t="s">
        <v>56</v>
      </c>
      <c r="AJ1100" s="198" t="s">
        <v>318</v>
      </c>
      <c r="AK1100" s="198" t="s">
        <v>51</v>
      </c>
      <c r="AL1100" s="198" t="s">
        <v>67</v>
      </c>
      <c r="AM1100" s="198" t="s">
        <v>68</v>
      </c>
      <c r="AN1100" s="202">
        <v>365820</v>
      </c>
      <c r="AO1100" s="202">
        <v>365820</v>
      </c>
      <c r="AP1100" s="202">
        <v>365820</v>
      </c>
      <c r="AQ1100" s="198" t="s">
        <v>358</v>
      </c>
      <c r="AR1100" s="198" t="s">
        <v>51</v>
      </c>
      <c r="AS1100" s="202">
        <v>365820</v>
      </c>
      <c r="AT1100" s="202">
        <v>365820</v>
      </c>
      <c r="AU1100" s="198" t="s">
        <v>359</v>
      </c>
      <c r="AV1100" s="198" t="s">
        <v>62</v>
      </c>
      <c r="AW1100" s="198" t="s">
        <v>54</v>
      </c>
    </row>
    <row r="1101" spans="3:49" outlineLevel="2" x14ac:dyDescent="0.25">
      <c r="C1101" s="201"/>
      <c r="D1101" s="198" t="s">
        <v>135</v>
      </c>
      <c r="H1101" s="198" t="s">
        <v>135</v>
      </c>
      <c r="I1101" s="202">
        <f t="shared" si="17"/>
        <v>458381659.5</v>
      </c>
      <c r="J1101" s="202">
        <v>111</v>
      </c>
      <c r="L1101" s="204">
        <v>1200</v>
      </c>
      <c r="M1101" s="202">
        <v>30576</v>
      </c>
      <c r="N1101" s="204">
        <v>1200</v>
      </c>
      <c r="O1101" s="198" t="s">
        <v>51</v>
      </c>
      <c r="P1101" s="202">
        <v>30576</v>
      </c>
      <c r="Q1101" s="198" t="s">
        <v>75</v>
      </c>
      <c r="R1101" s="198" t="s">
        <v>53</v>
      </c>
      <c r="S1101" s="198" t="s">
        <v>54</v>
      </c>
      <c r="T1101" s="198" t="s">
        <v>673</v>
      </c>
      <c r="U1101" s="198" t="s">
        <v>367</v>
      </c>
      <c r="V1101" s="198" t="s">
        <v>56</v>
      </c>
      <c r="W1101" s="198" t="s">
        <v>356</v>
      </c>
      <c r="X1101" s="198" t="s">
        <v>57</v>
      </c>
      <c r="Y1101" s="198" t="s">
        <v>58</v>
      </c>
      <c r="Z1101" s="201">
        <v>46234</v>
      </c>
      <c r="AA1101" s="198" t="s">
        <v>59</v>
      </c>
      <c r="AB1101" s="198" t="s">
        <v>60</v>
      </c>
      <c r="AC1101" s="198" t="s">
        <v>86</v>
      </c>
      <c r="AD1101" s="198" t="s">
        <v>62</v>
      </c>
      <c r="AE1101" s="198" t="s">
        <v>600</v>
      </c>
      <c r="AF1101" s="198" t="s">
        <v>599</v>
      </c>
      <c r="AG1101" s="198" t="s">
        <v>248</v>
      </c>
      <c r="AH1101" s="198" t="s">
        <v>117</v>
      </c>
      <c r="AI1101" s="198" t="s">
        <v>56</v>
      </c>
      <c r="AJ1101" s="198" t="s">
        <v>325</v>
      </c>
      <c r="AK1101" s="198" t="s">
        <v>51</v>
      </c>
      <c r="AL1101" s="198" t="s">
        <v>67</v>
      </c>
      <c r="AM1101" s="198" t="s">
        <v>68</v>
      </c>
      <c r="AN1101" s="202">
        <v>30576</v>
      </c>
      <c r="AO1101" s="202">
        <v>30576</v>
      </c>
      <c r="AP1101" s="202">
        <v>30576</v>
      </c>
      <c r="AQ1101" s="198" t="s">
        <v>358</v>
      </c>
      <c r="AR1101" s="198" t="s">
        <v>51</v>
      </c>
      <c r="AS1101" s="202">
        <v>30576</v>
      </c>
      <c r="AT1101" s="202">
        <v>30576</v>
      </c>
      <c r="AU1101" s="198" t="s">
        <v>359</v>
      </c>
      <c r="AV1101" s="198" t="s">
        <v>62</v>
      </c>
      <c r="AW1101" s="198" t="s">
        <v>54</v>
      </c>
    </row>
    <row r="1102" spans="3:49" outlineLevel="2" x14ac:dyDescent="0.25">
      <c r="C1102" s="201"/>
      <c r="D1102" s="198" t="s">
        <v>135</v>
      </c>
      <c r="H1102" s="198" t="s">
        <v>135</v>
      </c>
      <c r="I1102" s="202">
        <f t="shared" si="17"/>
        <v>458794615.94999999</v>
      </c>
      <c r="J1102" s="202">
        <v>111.1</v>
      </c>
      <c r="L1102" s="204">
        <v>1800</v>
      </c>
      <c r="M1102" s="202">
        <v>108000</v>
      </c>
      <c r="N1102" s="204">
        <v>1800</v>
      </c>
      <c r="O1102" s="198" t="s">
        <v>51</v>
      </c>
      <c r="P1102" s="202">
        <v>108000</v>
      </c>
      <c r="Q1102" s="198" t="s">
        <v>75</v>
      </c>
      <c r="R1102" s="198" t="s">
        <v>53</v>
      </c>
      <c r="S1102" s="198" t="s">
        <v>54</v>
      </c>
      <c r="T1102" s="198" t="s">
        <v>673</v>
      </c>
      <c r="U1102" s="198" t="s">
        <v>367</v>
      </c>
      <c r="V1102" s="198" t="s">
        <v>56</v>
      </c>
      <c r="W1102" s="198" t="s">
        <v>356</v>
      </c>
      <c r="X1102" s="198" t="s">
        <v>57</v>
      </c>
      <c r="Y1102" s="198" t="s">
        <v>58</v>
      </c>
      <c r="Z1102" s="201">
        <v>46234</v>
      </c>
      <c r="AA1102" s="198" t="s">
        <v>59</v>
      </c>
      <c r="AB1102" s="198" t="s">
        <v>60</v>
      </c>
      <c r="AC1102" s="198" t="s">
        <v>86</v>
      </c>
      <c r="AD1102" s="198" t="s">
        <v>62</v>
      </c>
      <c r="AE1102" s="198" t="s">
        <v>604</v>
      </c>
      <c r="AF1102" s="198" t="s">
        <v>603</v>
      </c>
      <c r="AG1102" s="198" t="s">
        <v>248</v>
      </c>
      <c r="AH1102" s="198" t="s">
        <v>117</v>
      </c>
      <c r="AI1102" s="198" t="s">
        <v>56</v>
      </c>
      <c r="AJ1102" s="198" t="s">
        <v>325</v>
      </c>
      <c r="AK1102" s="198" t="s">
        <v>51</v>
      </c>
      <c r="AL1102" s="198" t="s">
        <v>67</v>
      </c>
      <c r="AM1102" s="198" t="s">
        <v>68</v>
      </c>
      <c r="AN1102" s="202">
        <v>108000</v>
      </c>
      <c r="AO1102" s="202">
        <v>108000</v>
      </c>
      <c r="AP1102" s="202">
        <v>108000</v>
      </c>
      <c r="AQ1102" s="198" t="s">
        <v>358</v>
      </c>
      <c r="AR1102" s="198" t="s">
        <v>51</v>
      </c>
      <c r="AS1102" s="202">
        <v>108000</v>
      </c>
      <c r="AT1102" s="202">
        <v>108000</v>
      </c>
      <c r="AU1102" s="198" t="s">
        <v>359</v>
      </c>
      <c r="AV1102" s="198" t="s">
        <v>62</v>
      </c>
      <c r="AW1102" s="198" t="s">
        <v>54</v>
      </c>
    </row>
    <row r="1103" spans="3:49" outlineLevel="2" x14ac:dyDescent="0.25">
      <c r="C1103" s="201"/>
      <c r="D1103" s="198" t="s">
        <v>135</v>
      </c>
      <c r="H1103" s="198" t="s">
        <v>135</v>
      </c>
      <c r="I1103" s="202">
        <f t="shared" si="17"/>
        <v>459207572.40000004</v>
      </c>
      <c r="J1103" s="202">
        <v>111.2</v>
      </c>
      <c r="L1103" s="204">
        <v>3000</v>
      </c>
      <c r="M1103" s="202">
        <v>180930</v>
      </c>
      <c r="N1103" s="204">
        <v>3000</v>
      </c>
      <c r="O1103" s="198" t="s">
        <v>51</v>
      </c>
      <c r="P1103" s="202">
        <v>180930</v>
      </c>
      <c r="Q1103" s="198" t="s">
        <v>75</v>
      </c>
      <c r="R1103" s="198" t="s">
        <v>53</v>
      </c>
      <c r="S1103" s="198" t="s">
        <v>54</v>
      </c>
      <c r="T1103" s="198" t="s">
        <v>673</v>
      </c>
      <c r="U1103" s="198" t="s">
        <v>367</v>
      </c>
      <c r="V1103" s="198" t="s">
        <v>56</v>
      </c>
      <c r="W1103" s="198" t="s">
        <v>356</v>
      </c>
      <c r="X1103" s="198" t="s">
        <v>57</v>
      </c>
      <c r="Y1103" s="198" t="s">
        <v>58</v>
      </c>
      <c r="Z1103" s="201">
        <v>46234</v>
      </c>
      <c r="AA1103" s="198" t="s">
        <v>59</v>
      </c>
      <c r="AB1103" s="198" t="s">
        <v>60</v>
      </c>
      <c r="AC1103" s="198" t="s">
        <v>86</v>
      </c>
      <c r="AD1103" s="198" t="s">
        <v>62</v>
      </c>
      <c r="AE1103" s="198" t="s">
        <v>591</v>
      </c>
      <c r="AF1103" s="198" t="s">
        <v>590</v>
      </c>
      <c r="AG1103" s="198" t="s">
        <v>248</v>
      </c>
      <c r="AH1103" s="198" t="s">
        <v>117</v>
      </c>
      <c r="AI1103" s="198" t="s">
        <v>56</v>
      </c>
      <c r="AJ1103" s="198" t="s">
        <v>76</v>
      </c>
      <c r="AK1103" s="198" t="s">
        <v>51</v>
      </c>
      <c r="AL1103" s="198" t="s">
        <v>67</v>
      </c>
      <c r="AM1103" s="198" t="s">
        <v>68</v>
      </c>
      <c r="AN1103" s="202">
        <v>180930</v>
      </c>
      <c r="AO1103" s="202">
        <v>180930</v>
      </c>
      <c r="AP1103" s="202">
        <v>180930</v>
      </c>
      <c r="AQ1103" s="198" t="s">
        <v>358</v>
      </c>
      <c r="AR1103" s="198" t="s">
        <v>51</v>
      </c>
      <c r="AS1103" s="202">
        <v>180930</v>
      </c>
      <c r="AT1103" s="202">
        <v>180930</v>
      </c>
      <c r="AU1103" s="198" t="s">
        <v>359</v>
      </c>
      <c r="AV1103" s="198" t="s">
        <v>62</v>
      </c>
      <c r="AW1103" s="198" t="s">
        <v>54</v>
      </c>
    </row>
    <row r="1104" spans="3:49" outlineLevel="2" x14ac:dyDescent="0.25">
      <c r="C1104" s="201"/>
      <c r="D1104" s="198" t="s">
        <v>135</v>
      </c>
      <c r="H1104" s="198" t="s">
        <v>135</v>
      </c>
      <c r="I1104" s="202">
        <f t="shared" si="17"/>
        <v>459620528.84999996</v>
      </c>
      <c r="J1104" s="202">
        <v>111.3</v>
      </c>
      <c r="L1104" s="204">
        <v>8</v>
      </c>
      <c r="M1104" s="202">
        <v>819260</v>
      </c>
      <c r="N1104" s="204">
        <v>8</v>
      </c>
      <c r="O1104" s="198" t="s">
        <v>51</v>
      </c>
      <c r="P1104" s="202">
        <v>819260</v>
      </c>
      <c r="Q1104" s="198" t="s">
        <v>52</v>
      </c>
      <c r="R1104" s="198" t="s">
        <v>53</v>
      </c>
      <c r="S1104" s="198" t="s">
        <v>54</v>
      </c>
      <c r="T1104" s="198" t="s">
        <v>673</v>
      </c>
      <c r="U1104" s="198" t="s">
        <v>367</v>
      </c>
      <c r="V1104" s="198" t="s">
        <v>56</v>
      </c>
      <c r="W1104" s="198" t="s">
        <v>356</v>
      </c>
      <c r="X1104" s="198" t="s">
        <v>57</v>
      </c>
      <c r="Y1104" s="198" t="s">
        <v>58</v>
      </c>
      <c r="Z1104" s="201">
        <v>46234</v>
      </c>
      <c r="AA1104" s="198" t="s">
        <v>59</v>
      </c>
      <c r="AB1104" s="198" t="s">
        <v>60</v>
      </c>
      <c r="AC1104" s="198" t="s">
        <v>86</v>
      </c>
      <c r="AD1104" s="198" t="s">
        <v>62</v>
      </c>
      <c r="AE1104" s="198" t="s">
        <v>102</v>
      </c>
      <c r="AF1104" s="198" t="s">
        <v>101</v>
      </c>
      <c r="AG1104" s="198" t="s">
        <v>248</v>
      </c>
      <c r="AH1104" s="198" t="s">
        <v>117</v>
      </c>
      <c r="AI1104" s="198" t="s">
        <v>56</v>
      </c>
      <c r="AJ1104" s="198" t="s">
        <v>66</v>
      </c>
      <c r="AK1104" s="198" t="s">
        <v>51</v>
      </c>
      <c r="AL1104" s="198" t="s">
        <v>67</v>
      </c>
      <c r="AM1104" s="198" t="s">
        <v>68</v>
      </c>
      <c r="AN1104" s="202">
        <v>819260</v>
      </c>
      <c r="AO1104" s="202">
        <v>819260</v>
      </c>
      <c r="AP1104" s="202">
        <v>819260</v>
      </c>
      <c r="AQ1104" s="198" t="s">
        <v>358</v>
      </c>
      <c r="AR1104" s="198" t="s">
        <v>51</v>
      </c>
      <c r="AS1104" s="202">
        <v>819260</v>
      </c>
      <c r="AT1104" s="202">
        <v>819260</v>
      </c>
      <c r="AU1104" s="198" t="s">
        <v>359</v>
      </c>
      <c r="AV1104" s="198" t="s">
        <v>62</v>
      </c>
      <c r="AW1104" s="198" t="s">
        <v>54</v>
      </c>
    </row>
    <row r="1105" spans="3:49" outlineLevel="2" x14ac:dyDescent="0.25">
      <c r="C1105" s="201"/>
      <c r="D1105" s="198" t="s">
        <v>135</v>
      </c>
      <c r="H1105" s="198" t="s">
        <v>135</v>
      </c>
      <c r="I1105" s="202">
        <f t="shared" si="17"/>
        <v>460033485.30000001</v>
      </c>
      <c r="J1105" s="202">
        <v>111.4</v>
      </c>
      <c r="L1105" s="204">
        <v>8468</v>
      </c>
      <c r="M1105" s="202">
        <v>5351776</v>
      </c>
      <c r="N1105" s="204">
        <v>8468</v>
      </c>
      <c r="O1105" s="198" t="s">
        <v>51</v>
      </c>
      <c r="P1105" s="202">
        <v>5351776</v>
      </c>
      <c r="Q1105" s="198" t="s">
        <v>73</v>
      </c>
      <c r="R1105" s="198" t="s">
        <v>53</v>
      </c>
      <c r="S1105" s="198" t="s">
        <v>54</v>
      </c>
      <c r="T1105" s="198" t="s">
        <v>673</v>
      </c>
      <c r="U1105" s="198" t="s">
        <v>367</v>
      </c>
      <c r="V1105" s="198" t="s">
        <v>56</v>
      </c>
      <c r="W1105" s="198" t="s">
        <v>356</v>
      </c>
      <c r="X1105" s="198" t="s">
        <v>57</v>
      </c>
      <c r="Y1105" s="198" t="s">
        <v>58</v>
      </c>
      <c r="Z1105" s="201">
        <v>46234</v>
      </c>
      <c r="AA1105" s="198" t="s">
        <v>59</v>
      </c>
      <c r="AB1105" s="198" t="s">
        <v>60</v>
      </c>
      <c r="AC1105" s="198" t="s">
        <v>86</v>
      </c>
      <c r="AD1105" s="198" t="s">
        <v>62</v>
      </c>
      <c r="AE1105" s="198" t="s">
        <v>612</v>
      </c>
      <c r="AF1105" s="198" t="s">
        <v>611</v>
      </c>
      <c r="AG1105" s="198" t="s">
        <v>248</v>
      </c>
      <c r="AH1105" s="198" t="s">
        <v>117</v>
      </c>
      <c r="AI1105" s="198" t="s">
        <v>56</v>
      </c>
      <c r="AJ1105" s="198" t="s">
        <v>318</v>
      </c>
      <c r="AK1105" s="198" t="s">
        <v>51</v>
      </c>
      <c r="AL1105" s="198" t="s">
        <v>67</v>
      </c>
      <c r="AM1105" s="198" t="s">
        <v>68</v>
      </c>
      <c r="AN1105" s="202">
        <v>5351776</v>
      </c>
      <c r="AO1105" s="202">
        <v>5351776</v>
      </c>
      <c r="AP1105" s="202">
        <v>5351776</v>
      </c>
      <c r="AQ1105" s="198" t="s">
        <v>358</v>
      </c>
      <c r="AR1105" s="198" t="s">
        <v>51</v>
      </c>
      <c r="AS1105" s="202">
        <v>5351776</v>
      </c>
      <c r="AT1105" s="202">
        <v>5351776</v>
      </c>
      <c r="AU1105" s="198" t="s">
        <v>359</v>
      </c>
      <c r="AV1105" s="198" t="s">
        <v>62</v>
      </c>
      <c r="AW1105" s="198" t="s">
        <v>54</v>
      </c>
    </row>
    <row r="1106" spans="3:49" outlineLevel="2" x14ac:dyDescent="0.25">
      <c r="C1106" s="201"/>
      <c r="D1106" s="198" t="s">
        <v>135</v>
      </c>
      <c r="H1106" s="198" t="s">
        <v>135</v>
      </c>
      <c r="I1106" s="202">
        <f t="shared" si="17"/>
        <v>460446441.75</v>
      </c>
      <c r="J1106" s="202">
        <v>111.5</v>
      </c>
      <c r="L1106" s="204">
        <v>8468</v>
      </c>
      <c r="M1106" s="202">
        <v>5444924</v>
      </c>
      <c r="N1106" s="204">
        <v>8468</v>
      </c>
      <c r="O1106" s="198" t="s">
        <v>51</v>
      </c>
      <c r="P1106" s="202">
        <v>5444924</v>
      </c>
      <c r="Q1106" s="198" t="s">
        <v>73</v>
      </c>
      <c r="R1106" s="198" t="s">
        <v>53</v>
      </c>
      <c r="S1106" s="198" t="s">
        <v>54</v>
      </c>
      <c r="T1106" s="198" t="s">
        <v>673</v>
      </c>
      <c r="U1106" s="198" t="s">
        <v>367</v>
      </c>
      <c r="V1106" s="198" t="s">
        <v>56</v>
      </c>
      <c r="W1106" s="198" t="s">
        <v>356</v>
      </c>
      <c r="X1106" s="198" t="s">
        <v>57</v>
      </c>
      <c r="Y1106" s="198" t="s">
        <v>58</v>
      </c>
      <c r="Z1106" s="201">
        <v>46234</v>
      </c>
      <c r="AA1106" s="198" t="s">
        <v>59</v>
      </c>
      <c r="AB1106" s="198" t="s">
        <v>60</v>
      </c>
      <c r="AC1106" s="198" t="s">
        <v>86</v>
      </c>
      <c r="AD1106" s="198" t="s">
        <v>62</v>
      </c>
      <c r="AE1106" s="198" t="s">
        <v>614</v>
      </c>
      <c r="AF1106" s="198" t="s">
        <v>613</v>
      </c>
      <c r="AG1106" s="198" t="s">
        <v>248</v>
      </c>
      <c r="AH1106" s="198" t="s">
        <v>117</v>
      </c>
      <c r="AI1106" s="198" t="s">
        <v>56</v>
      </c>
      <c r="AJ1106" s="198" t="s">
        <v>318</v>
      </c>
      <c r="AK1106" s="198" t="s">
        <v>51</v>
      </c>
      <c r="AL1106" s="198" t="s">
        <v>67</v>
      </c>
      <c r="AM1106" s="198" t="s">
        <v>68</v>
      </c>
      <c r="AN1106" s="202">
        <v>5444924</v>
      </c>
      <c r="AO1106" s="202">
        <v>5444924</v>
      </c>
      <c r="AP1106" s="202">
        <v>5444924</v>
      </c>
      <c r="AQ1106" s="198" t="s">
        <v>358</v>
      </c>
      <c r="AR1106" s="198" t="s">
        <v>51</v>
      </c>
      <c r="AS1106" s="202">
        <v>5444924</v>
      </c>
      <c r="AT1106" s="202">
        <v>5444924</v>
      </c>
      <c r="AU1106" s="198" t="s">
        <v>359</v>
      </c>
      <c r="AV1106" s="198" t="s">
        <v>62</v>
      </c>
      <c r="AW1106" s="198" t="s">
        <v>54</v>
      </c>
    </row>
    <row r="1107" spans="3:49" outlineLevel="2" x14ac:dyDescent="0.25">
      <c r="C1107" s="201"/>
      <c r="D1107" s="198" t="s">
        <v>135</v>
      </c>
      <c r="H1107" s="198" t="s">
        <v>135</v>
      </c>
      <c r="I1107" s="202">
        <f t="shared" si="17"/>
        <v>460859398.19999999</v>
      </c>
      <c r="J1107" s="202">
        <v>111.6</v>
      </c>
      <c r="L1107" s="204">
        <v>353</v>
      </c>
      <c r="M1107" s="202">
        <v>480080</v>
      </c>
      <c r="N1107" s="204">
        <v>353</v>
      </c>
      <c r="O1107" s="198" t="s">
        <v>51</v>
      </c>
      <c r="P1107" s="202">
        <v>480080</v>
      </c>
      <c r="Q1107" s="198" t="s">
        <v>73</v>
      </c>
      <c r="R1107" s="198" t="s">
        <v>53</v>
      </c>
      <c r="S1107" s="198" t="s">
        <v>54</v>
      </c>
      <c r="T1107" s="198" t="s">
        <v>673</v>
      </c>
      <c r="U1107" s="198" t="s">
        <v>367</v>
      </c>
      <c r="V1107" s="198" t="s">
        <v>56</v>
      </c>
      <c r="W1107" s="198" t="s">
        <v>356</v>
      </c>
      <c r="X1107" s="198" t="s">
        <v>57</v>
      </c>
      <c r="Y1107" s="198" t="s">
        <v>58</v>
      </c>
      <c r="Z1107" s="201">
        <v>46234</v>
      </c>
      <c r="AA1107" s="198" t="s">
        <v>59</v>
      </c>
      <c r="AB1107" s="198" t="s">
        <v>60</v>
      </c>
      <c r="AC1107" s="198" t="s">
        <v>86</v>
      </c>
      <c r="AD1107" s="198" t="s">
        <v>62</v>
      </c>
      <c r="AE1107" s="198" t="s">
        <v>616</v>
      </c>
      <c r="AF1107" s="198" t="s">
        <v>615</v>
      </c>
      <c r="AG1107" s="198" t="s">
        <v>248</v>
      </c>
      <c r="AH1107" s="198" t="s">
        <v>117</v>
      </c>
      <c r="AI1107" s="198" t="s">
        <v>56</v>
      </c>
      <c r="AJ1107" s="198" t="s">
        <v>318</v>
      </c>
      <c r="AK1107" s="198" t="s">
        <v>51</v>
      </c>
      <c r="AL1107" s="198" t="s">
        <v>67</v>
      </c>
      <c r="AM1107" s="198" t="s">
        <v>68</v>
      </c>
      <c r="AN1107" s="202">
        <v>480080</v>
      </c>
      <c r="AO1107" s="202">
        <v>480080</v>
      </c>
      <c r="AP1107" s="202">
        <v>480080</v>
      </c>
      <c r="AQ1107" s="198" t="s">
        <v>358</v>
      </c>
      <c r="AR1107" s="198" t="s">
        <v>51</v>
      </c>
      <c r="AS1107" s="202">
        <v>480080</v>
      </c>
      <c r="AT1107" s="202">
        <v>480080</v>
      </c>
      <c r="AU1107" s="198" t="s">
        <v>359</v>
      </c>
      <c r="AV1107" s="198" t="s">
        <v>62</v>
      </c>
      <c r="AW1107" s="198" t="s">
        <v>54</v>
      </c>
    </row>
    <row r="1108" spans="3:49" outlineLevel="2" x14ac:dyDescent="0.25">
      <c r="C1108" s="201"/>
      <c r="D1108" s="198" t="s">
        <v>135</v>
      </c>
      <c r="H1108" s="198" t="s">
        <v>135</v>
      </c>
      <c r="I1108" s="202">
        <f t="shared" si="17"/>
        <v>461272354.65000004</v>
      </c>
      <c r="J1108" s="202">
        <v>111.7</v>
      </c>
      <c r="L1108" s="204">
        <v>1059</v>
      </c>
      <c r="M1108" s="202">
        <v>569742</v>
      </c>
      <c r="N1108" s="204">
        <v>1059</v>
      </c>
      <c r="O1108" s="198" t="s">
        <v>51</v>
      </c>
      <c r="P1108" s="202">
        <v>569742</v>
      </c>
      <c r="Q1108" s="198" t="s">
        <v>73</v>
      </c>
      <c r="R1108" s="198" t="s">
        <v>53</v>
      </c>
      <c r="S1108" s="198" t="s">
        <v>54</v>
      </c>
      <c r="T1108" s="198" t="s">
        <v>673</v>
      </c>
      <c r="U1108" s="198" t="s">
        <v>367</v>
      </c>
      <c r="V1108" s="198" t="s">
        <v>56</v>
      </c>
      <c r="W1108" s="198" t="s">
        <v>356</v>
      </c>
      <c r="X1108" s="198" t="s">
        <v>57</v>
      </c>
      <c r="Y1108" s="198" t="s">
        <v>58</v>
      </c>
      <c r="Z1108" s="201">
        <v>46234</v>
      </c>
      <c r="AA1108" s="198" t="s">
        <v>59</v>
      </c>
      <c r="AB1108" s="198" t="s">
        <v>60</v>
      </c>
      <c r="AC1108" s="198" t="s">
        <v>86</v>
      </c>
      <c r="AD1108" s="198" t="s">
        <v>62</v>
      </c>
      <c r="AE1108" s="198" t="s">
        <v>614</v>
      </c>
      <c r="AF1108" s="198" t="s">
        <v>613</v>
      </c>
      <c r="AG1108" s="198" t="s">
        <v>248</v>
      </c>
      <c r="AH1108" s="198" t="s">
        <v>117</v>
      </c>
      <c r="AI1108" s="198" t="s">
        <v>56</v>
      </c>
      <c r="AJ1108" s="198" t="s">
        <v>318</v>
      </c>
      <c r="AK1108" s="198" t="s">
        <v>51</v>
      </c>
      <c r="AL1108" s="198" t="s">
        <v>67</v>
      </c>
      <c r="AM1108" s="198" t="s">
        <v>68</v>
      </c>
      <c r="AN1108" s="202">
        <v>569742</v>
      </c>
      <c r="AO1108" s="202">
        <v>569742</v>
      </c>
      <c r="AP1108" s="202">
        <v>569742</v>
      </c>
      <c r="AQ1108" s="198" t="s">
        <v>358</v>
      </c>
      <c r="AR1108" s="198" t="s">
        <v>51</v>
      </c>
      <c r="AS1108" s="202">
        <v>569742</v>
      </c>
      <c r="AT1108" s="202">
        <v>569742</v>
      </c>
      <c r="AU1108" s="198" t="s">
        <v>359</v>
      </c>
      <c r="AV1108" s="198" t="s">
        <v>62</v>
      </c>
      <c r="AW1108" s="198" t="s">
        <v>54</v>
      </c>
    </row>
    <row r="1109" spans="3:49" outlineLevel="2" x14ac:dyDescent="0.25">
      <c r="C1109" s="201"/>
      <c r="D1109" s="198" t="s">
        <v>135</v>
      </c>
      <c r="H1109" s="198" t="s">
        <v>135</v>
      </c>
      <c r="I1109" s="202">
        <f t="shared" si="17"/>
        <v>461685311.09999996</v>
      </c>
      <c r="J1109" s="202">
        <v>111.8</v>
      </c>
      <c r="L1109" s="204">
        <v>353</v>
      </c>
      <c r="M1109" s="202">
        <v>116490</v>
      </c>
      <c r="N1109" s="204">
        <v>353</v>
      </c>
      <c r="O1109" s="198" t="s">
        <v>51</v>
      </c>
      <c r="P1109" s="202">
        <v>116490</v>
      </c>
      <c r="Q1109" s="198" t="s">
        <v>73</v>
      </c>
      <c r="R1109" s="198" t="s">
        <v>53</v>
      </c>
      <c r="S1109" s="198" t="s">
        <v>54</v>
      </c>
      <c r="T1109" s="198" t="s">
        <v>673</v>
      </c>
      <c r="U1109" s="198" t="s">
        <v>367</v>
      </c>
      <c r="V1109" s="198" t="s">
        <v>56</v>
      </c>
      <c r="W1109" s="198" t="s">
        <v>356</v>
      </c>
      <c r="X1109" s="198" t="s">
        <v>57</v>
      </c>
      <c r="Y1109" s="198" t="s">
        <v>58</v>
      </c>
      <c r="Z1109" s="201">
        <v>46234</v>
      </c>
      <c r="AA1109" s="198" t="s">
        <v>59</v>
      </c>
      <c r="AB1109" s="198" t="s">
        <v>60</v>
      </c>
      <c r="AC1109" s="198" t="s">
        <v>86</v>
      </c>
      <c r="AD1109" s="198" t="s">
        <v>62</v>
      </c>
      <c r="AE1109" s="198" t="s">
        <v>614</v>
      </c>
      <c r="AF1109" s="198" t="s">
        <v>613</v>
      </c>
      <c r="AG1109" s="198" t="s">
        <v>248</v>
      </c>
      <c r="AH1109" s="198" t="s">
        <v>117</v>
      </c>
      <c r="AI1109" s="198" t="s">
        <v>56</v>
      </c>
      <c r="AJ1109" s="198" t="s">
        <v>318</v>
      </c>
      <c r="AK1109" s="198" t="s">
        <v>51</v>
      </c>
      <c r="AL1109" s="198" t="s">
        <v>67</v>
      </c>
      <c r="AM1109" s="198" t="s">
        <v>68</v>
      </c>
      <c r="AN1109" s="202">
        <v>116490</v>
      </c>
      <c r="AO1109" s="202">
        <v>116490</v>
      </c>
      <c r="AP1109" s="202">
        <v>116490</v>
      </c>
      <c r="AQ1109" s="198" t="s">
        <v>358</v>
      </c>
      <c r="AR1109" s="198" t="s">
        <v>51</v>
      </c>
      <c r="AS1109" s="202">
        <v>116490</v>
      </c>
      <c r="AT1109" s="202">
        <v>116490</v>
      </c>
      <c r="AU1109" s="198" t="s">
        <v>359</v>
      </c>
      <c r="AV1109" s="198" t="s">
        <v>62</v>
      </c>
      <c r="AW1109" s="198" t="s">
        <v>54</v>
      </c>
    </row>
    <row r="1110" spans="3:49" outlineLevel="2" x14ac:dyDescent="0.25">
      <c r="C1110" s="201"/>
      <c r="D1110" s="198" t="s">
        <v>135</v>
      </c>
      <c r="H1110" s="198" t="s">
        <v>135</v>
      </c>
      <c r="I1110" s="202">
        <f t="shared" si="17"/>
        <v>462098267.55000001</v>
      </c>
      <c r="J1110" s="202">
        <v>111.9</v>
      </c>
      <c r="L1110" s="204">
        <v>353</v>
      </c>
      <c r="M1110" s="202">
        <v>130610</v>
      </c>
      <c r="N1110" s="204">
        <v>353</v>
      </c>
      <c r="O1110" s="198" t="s">
        <v>51</v>
      </c>
      <c r="P1110" s="202">
        <v>130610</v>
      </c>
      <c r="Q1110" s="198" t="s">
        <v>73</v>
      </c>
      <c r="R1110" s="198" t="s">
        <v>53</v>
      </c>
      <c r="S1110" s="198" t="s">
        <v>54</v>
      </c>
      <c r="T1110" s="198" t="s">
        <v>673</v>
      </c>
      <c r="U1110" s="198" t="s">
        <v>367</v>
      </c>
      <c r="V1110" s="198" t="s">
        <v>56</v>
      </c>
      <c r="W1110" s="198" t="s">
        <v>356</v>
      </c>
      <c r="X1110" s="198" t="s">
        <v>57</v>
      </c>
      <c r="Y1110" s="198" t="s">
        <v>58</v>
      </c>
      <c r="Z1110" s="201">
        <v>46234</v>
      </c>
      <c r="AA1110" s="198" t="s">
        <v>59</v>
      </c>
      <c r="AB1110" s="198" t="s">
        <v>60</v>
      </c>
      <c r="AC1110" s="198" t="s">
        <v>86</v>
      </c>
      <c r="AD1110" s="198" t="s">
        <v>62</v>
      </c>
      <c r="AE1110" s="198" t="s">
        <v>618</v>
      </c>
      <c r="AF1110" s="198" t="s">
        <v>617</v>
      </c>
      <c r="AG1110" s="198" t="s">
        <v>248</v>
      </c>
      <c r="AH1110" s="198" t="s">
        <v>117</v>
      </c>
      <c r="AI1110" s="198" t="s">
        <v>56</v>
      </c>
      <c r="AJ1110" s="198" t="s">
        <v>318</v>
      </c>
      <c r="AK1110" s="198" t="s">
        <v>51</v>
      </c>
      <c r="AL1110" s="198" t="s">
        <v>67</v>
      </c>
      <c r="AM1110" s="198" t="s">
        <v>68</v>
      </c>
      <c r="AN1110" s="202">
        <v>130610</v>
      </c>
      <c r="AO1110" s="202">
        <v>130610</v>
      </c>
      <c r="AP1110" s="202">
        <v>130610</v>
      </c>
      <c r="AQ1110" s="198" t="s">
        <v>358</v>
      </c>
      <c r="AR1110" s="198" t="s">
        <v>51</v>
      </c>
      <c r="AS1110" s="202">
        <v>130610</v>
      </c>
      <c r="AT1110" s="202">
        <v>130610</v>
      </c>
      <c r="AU1110" s="198" t="s">
        <v>359</v>
      </c>
      <c r="AV1110" s="198" t="s">
        <v>62</v>
      </c>
      <c r="AW1110" s="198" t="s">
        <v>54</v>
      </c>
    </row>
    <row r="1111" spans="3:49" outlineLevel="2" x14ac:dyDescent="0.25">
      <c r="C1111" s="201"/>
      <c r="D1111" s="198" t="s">
        <v>135</v>
      </c>
      <c r="H1111" s="198" t="s">
        <v>135</v>
      </c>
      <c r="I1111" s="202">
        <f t="shared" si="17"/>
        <v>462511224</v>
      </c>
      <c r="J1111" s="202">
        <v>112</v>
      </c>
      <c r="L1111" s="204">
        <v>1059</v>
      </c>
      <c r="M1111" s="202">
        <v>222390</v>
      </c>
      <c r="N1111" s="204">
        <v>1059</v>
      </c>
      <c r="O1111" s="198" t="s">
        <v>51</v>
      </c>
      <c r="P1111" s="202">
        <v>222390</v>
      </c>
      <c r="Q1111" s="198" t="s">
        <v>73</v>
      </c>
      <c r="R1111" s="198" t="s">
        <v>53</v>
      </c>
      <c r="S1111" s="198" t="s">
        <v>54</v>
      </c>
      <c r="T1111" s="198" t="s">
        <v>673</v>
      </c>
      <c r="U1111" s="198" t="s">
        <v>367</v>
      </c>
      <c r="V1111" s="198" t="s">
        <v>56</v>
      </c>
      <c r="W1111" s="198" t="s">
        <v>356</v>
      </c>
      <c r="X1111" s="198" t="s">
        <v>57</v>
      </c>
      <c r="Y1111" s="198" t="s">
        <v>58</v>
      </c>
      <c r="Z1111" s="201">
        <v>46234</v>
      </c>
      <c r="AA1111" s="198" t="s">
        <v>59</v>
      </c>
      <c r="AB1111" s="198" t="s">
        <v>60</v>
      </c>
      <c r="AC1111" s="198" t="s">
        <v>86</v>
      </c>
      <c r="AD1111" s="198" t="s">
        <v>62</v>
      </c>
      <c r="AE1111" s="198" t="s">
        <v>656</v>
      </c>
      <c r="AF1111" s="198" t="s">
        <v>655</v>
      </c>
      <c r="AG1111" s="198" t="s">
        <v>248</v>
      </c>
      <c r="AH1111" s="198" t="s">
        <v>117</v>
      </c>
      <c r="AI1111" s="198" t="s">
        <v>56</v>
      </c>
      <c r="AJ1111" s="198" t="s">
        <v>318</v>
      </c>
      <c r="AK1111" s="198" t="s">
        <v>51</v>
      </c>
      <c r="AL1111" s="198" t="s">
        <v>67</v>
      </c>
      <c r="AM1111" s="198" t="s">
        <v>68</v>
      </c>
      <c r="AN1111" s="202">
        <v>222390</v>
      </c>
      <c r="AO1111" s="202">
        <v>222390</v>
      </c>
      <c r="AP1111" s="202">
        <v>222390</v>
      </c>
      <c r="AQ1111" s="198" t="s">
        <v>358</v>
      </c>
      <c r="AR1111" s="198" t="s">
        <v>51</v>
      </c>
      <c r="AS1111" s="202">
        <v>222390</v>
      </c>
      <c r="AT1111" s="202">
        <v>222390</v>
      </c>
      <c r="AU1111" s="198" t="s">
        <v>359</v>
      </c>
      <c r="AV1111" s="198" t="s">
        <v>62</v>
      </c>
      <c r="AW1111" s="198" t="s">
        <v>54</v>
      </c>
    </row>
    <row r="1112" spans="3:49" outlineLevel="2" x14ac:dyDescent="0.25">
      <c r="C1112" s="201"/>
      <c r="D1112" s="198" t="s">
        <v>135</v>
      </c>
      <c r="H1112" s="198" t="s">
        <v>135</v>
      </c>
      <c r="I1112" s="202">
        <f t="shared" si="17"/>
        <v>462924180.44999999</v>
      </c>
      <c r="J1112" s="202">
        <v>112.1</v>
      </c>
      <c r="L1112" s="204">
        <v>353</v>
      </c>
      <c r="M1112" s="202">
        <v>51538</v>
      </c>
      <c r="N1112" s="204">
        <v>353</v>
      </c>
      <c r="O1112" s="198" t="s">
        <v>51</v>
      </c>
      <c r="P1112" s="202">
        <v>51538</v>
      </c>
      <c r="Q1112" s="198" t="s">
        <v>73</v>
      </c>
      <c r="R1112" s="198" t="s">
        <v>53</v>
      </c>
      <c r="S1112" s="198" t="s">
        <v>54</v>
      </c>
      <c r="T1112" s="198" t="s">
        <v>673</v>
      </c>
      <c r="U1112" s="198" t="s">
        <v>367</v>
      </c>
      <c r="V1112" s="198" t="s">
        <v>56</v>
      </c>
      <c r="W1112" s="198" t="s">
        <v>356</v>
      </c>
      <c r="X1112" s="198" t="s">
        <v>57</v>
      </c>
      <c r="Y1112" s="198" t="s">
        <v>58</v>
      </c>
      <c r="Z1112" s="201">
        <v>46234</v>
      </c>
      <c r="AA1112" s="198" t="s">
        <v>59</v>
      </c>
      <c r="AB1112" s="198" t="s">
        <v>60</v>
      </c>
      <c r="AC1112" s="198" t="s">
        <v>86</v>
      </c>
      <c r="AD1112" s="198" t="s">
        <v>62</v>
      </c>
      <c r="AE1112" s="198" t="s">
        <v>656</v>
      </c>
      <c r="AF1112" s="198" t="s">
        <v>655</v>
      </c>
      <c r="AG1112" s="198" t="s">
        <v>248</v>
      </c>
      <c r="AH1112" s="198" t="s">
        <v>117</v>
      </c>
      <c r="AI1112" s="198" t="s">
        <v>56</v>
      </c>
      <c r="AJ1112" s="198" t="s">
        <v>318</v>
      </c>
      <c r="AK1112" s="198" t="s">
        <v>51</v>
      </c>
      <c r="AL1112" s="198" t="s">
        <v>67</v>
      </c>
      <c r="AM1112" s="198" t="s">
        <v>68</v>
      </c>
      <c r="AN1112" s="202">
        <v>51538</v>
      </c>
      <c r="AO1112" s="202">
        <v>51538</v>
      </c>
      <c r="AP1112" s="202">
        <v>51538</v>
      </c>
      <c r="AQ1112" s="198" t="s">
        <v>358</v>
      </c>
      <c r="AR1112" s="198" t="s">
        <v>51</v>
      </c>
      <c r="AS1112" s="202">
        <v>51538</v>
      </c>
      <c r="AT1112" s="202">
        <v>51538</v>
      </c>
      <c r="AU1112" s="198" t="s">
        <v>359</v>
      </c>
      <c r="AV1112" s="198" t="s">
        <v>62</v>
      </c>
      <c r="AW1112" s="198" t="s">
        <v>54</v>
      </c>
    </row>
    <row r="1113" spans="3:49" outlineLevel="2" x14ac:dyDescent="0.25">
      <c r="C1113" s="201"/>
      <c r="D1113" s="198" t="s">
        <v>135</v>
      </c>
      <c r="H1113" s="198" t="s">
        <v>135</v>
      </c>
      <c r="I1113" s="202">
        <f t="shared" si="17"/>
        <v>463337136.90000004</v>
      </c>
      <c r="J1113" s="202">
        <v>112.2</v>
      </c>
      <c r="L1113" s="204">
        <v>158</v>
      </c>
      <c r="M1113" s="202">
        <v>105228</v>
      </c>
      <c r="N1113" s="204">
        <v>158</v>
      </c>
      <c r="O1113" s="198" t="s">
        <v>51</v>
      </c>
      <c r="P1113" s="202">
        <v>105228</v>
      </c>
      <c r="Q1113" s="198" t="s">
        <v>73</v>
      </c>
      <c r="R1113" s="198" t="s">
        <v>53</v>
      </c>
      <c r="S1113" s="198" t="s">
        <v>54</v>
      </c>
      <c r="T1113" s="198" t="s">
        <v>673</v>
      </c>
      <c r="U1113" s="198" t="s">
        <v>367</v>
      </c>
      <c r="V1113" s="198" t="s">
        <v>56</v>
      </c>
      <c r="W1113" s="198" t="s">
        <v>356</v>
      </c>
      <c r="X1113" s="198" t="s">
        <v>57</v>
      </c>
      <c r="Y1113" s="198" t="s">
        <v>58</v>
      </c>
      <c r="Z1113" s="201">
        <v>46234</v>
      </c>
      <c r="AA1113" s="198" t="s">
        <v>59</v>
      </c>
      <c r="AB1113" s="198" t="s">
        <v>60</v>
      </c>
      <c r="AC1113" s="198" t="s">
        <v>86</v>
      </c>
      <c r="AD1113" s="198" t="s">
        <v>62</v>
      </c>
      <c r="AE1113" s="198" t="s">
        <v>620</v>
      </c>
      <c r="AF1113" s="198" t="s">
        <v>619</v>
      </c>
      <c r="AG1113" s="198" t="s">
        <v>248</v>
      </c>
      <c r="AH1113" s="198" t="s">
        <v>117</v>
      </c>
      <c r="AI1113" s="198" t="s">
        <v>56</v>
      </c>
      <c r="AJ1113" s="198" t="s">
        <v>318</v>
      </c>
      <c r="AK1113" s="198" t="s">
        <v>51</v>
      </c>
      <c r="AL1113" s="198" t="s">
        <v>67</v>
      </c>
      <c r="AM1113" s="198" t="s">
        <v>68</v>
      </c>
      <c r="AN1113" s="202">
        <v>105228</v>
      </c>
      <c r="AO1113" s="202">
        <v>105228</v>
      </c>
      <c r="AP1113" s="202">
        <v>105228</v>
      </c>
      <c r="AQ1113" s="198" t="s">
        <v>358</v>
      </c>
      <c r="AR1113" s="198" t="s">
        <v>51</v>
      </c>
      <c r="AS1113" s="202">
        <v>105228</v>
      </c>
      <c r="AT1113" s="202">
        <v>105228</v>
      </c>
      <c r="AU1113" s="198" t="s">
        <v>359</v>
      </c>
      <c r="AV1113" s="198" t="s">
        <v>62</v>
      </c>
      <c r="AW1113" s="198" t="s">
        <v>54</v>
      </c>
    </row>
    <row r="1114" spans="3:49" outlineLevel="2" x14ac:dyDescent="0.25">
      <c r="C1114" s="201"/>
      <c r="D1114" s="198" t="s">
        <v>135</v>
      </c>
      <c r="H1114" s="198" t="s">
        <v>135</v>
      </c>
      <c r="I1114" s="202">
        <f t="shared" si="17"/>
        <v>463750093.34999996</v>
      </c>
      <c r="J1114" s="202">
        <v>112.3</v>
      </c>
      <c r="L1114" s="204">
        <v>252</v>
      </c>
      <c r="M1114" s="202">
        <v>85932</v>
      </c>
      <c r="N1114" s="204">
        <v>252</v>
      </c>
      <c r="O1114" s="198" t="s">
        <v>51</v>
      </c>
      <c r="P1114" s="202">
        <v>85932</v>
      </c>
      <c r="Q1114" s="198" t="s">
        <v>73</v>
      </c>
      <c r="R1114" s="198" t="s">
        <v>53</v>
      </c>
      <c r="S1114" s="198" t="s">
        <v>54</v>
      </c>
      <c r="T1114" s="198" t="s">
        <v>673</v>
      </c>
      <c r="U1114" s="198" t="s">
        <v>367</v>
      </c>
      <c r="V1114" s="198" t="s">
        <v>56</v>
      </c>
      <c r="W1114" s="198" t="s">
        <v>356</v>
      </c>
      <c r="X1114" s="198" t="s">
        <v>57</v>
      </c>
      <c r="Y1114" s="198" t="s">
        <v>58</v>
      </c>
      <c r="Z1114" s="201">
        <v>46234</v>
      </c>
      <c r="AA1114" s="198" t="s">
        <v>59</v>
      </c>
      <c r="AB1114" s="198" t="s">
        <v>60</v>
      </c>
      <c r="AC1114" s="198" t="s">
        <v>86</v>
      </c>
      <c r="AD1114" s="198" t="s">
        <v>62</v>
      </c>
      <c r="AE1114" s="198" t="s">
        <v>622</v>
      </c>
      <c r="AF1114" s="198" t="s">
        <v>621</v>
      </c>
      <c r="AG1114" s="198" t="s">
        <v>248</v>
      </c>
      <c r="AH1114" s="198" t="s">
        <v>117</v>
      </c>
      <c r="AI1114" s="198" t="s">
        <v>56</v>
      </c>
      <c r="AJ1114" s="198" t="s">
        <v>318</v>
      </c>
      <c r="AK1114" s="198" t="s">
        <v>51</v>
      </c>
      <c r="AL1114" s="198" t="s">
        <v>67</v>
      </c>
      <c r="AM1114" s="198" t="s">
        <v>68</v>
      </c>
      <c r="AN1114" s="202">
        <v>85932</v>
      </c>
      <c r="AO1114" s="202">
        <v>85932</v>
      </c>
      <c r="AP1114" s="202">
        <v>85932</v>
      </c>
      <c r="AQ1114" s="198" t="s">
        <v>358</v>
      </c>
      <c r="AR1114" s="198" t="s">
        <v>51</v>
      </c>
      <c r="AS1114" s="202">
        <v>85932</v>
      </c>
      <c r="AT1114" s="202">
        <v>85932</v>
      </c>
      <c r="AU1114" s="198" t="s">
        <v>359</v>
      </c>
      <c r="AV1114" s="198" t="s">
        <v>62</v>
      </c>
      <c r="AW1114" s="198" t="s">
        <v>54</v>
      </c>
    </row>
    <row r="1115" spans="3:49" outlineLevel="2" x14ac:dyDescent="0.25">
      <c r="C1115" s="201"/>
      <c r="D1115" s="198" t="s">
        <v>135</v>
      </c>
      <c r="H1115" s="198" t="s">
        <v>135</v>
      </c>
      <c r="I1115" s="202">
        <f t="shared" si="17"/>
        <v>464163049.80000001</v>
      </c>
      <c r="J1115" s="202">
        <v>112.4</v>
      </c>
      <c r="L1115" s="204">
        <v>210</v>
      </c>
      <c r="M1115" s="202">
        <v>98490</v>
      </c>
      <c r="N1115" s="204">
        <v>210</v>
      </c>
      <c r="O1115" s="198" t="s">
        <v>51</v>
      </c>
      <c r="P1115" s="202">
        <v>98490</v>
      </c>
      <c r="Q1115" s="198" t="s">
        <v>73</v>
      </c>
      <c r="R1115" s="198" t="s">
        <v>53</v>
      </c>
      <c r="S1115" s="198" t="s">
        <v>54</v>
      </c>
      <c r="T1115" s="198" t="s">
        <v>673</v>
      </c>
      <c r="U1115" s="198" t="s">
        <v>367</v>
      </c>
      <c r="V1115" s="198" t="s">
        <v>56</v>
      </c>
      <c r="W1115" s="198" t="s">
        <v>356</v>
      </c>
      <c r="X1115" s="198" t="s">
        <v>57</v>
      </c>
      <c r="Y1115" s="198" t="s">
        <v>58</v>
      </c>
      <c r="Z1115" s="201">
        <v>46234</v>
      </c>
      <c r="AA1115" s="198" t="s">
        <v>59</v>
      </c>
      <c r="AB1115" s="198" t="s">
        <v>60</v>
      </c>
      <c r="AC1115" s="198" t="s">
        <v>86</v>
      </c>
      <c r="AD1115" s="198" t="s">
        <v>62</v>
      </c>
      <c r="AE1115" s="198" t="s">
        <v>624</v>
      </c>
      <c r="AF1115" s="198" t="s">
        <v>623</v>
      </c>
      <c r="AG1115" s="198" t="s">
        <v>248</v>
      </c>
      <c r="AH1115" s="198" t="s">
        <v>117</v>
      </c>
      <c r="AI1115" s="198" t="s">
        <v>56</v>
      </c>
      <c r="AJ1115" s="198" t="s">
        <v>318</v>
      </c>
      <c r="AK1115" s="198" t="s">
        <v>51</v>
      </c>
      <c r="AL1115" s="198" t="s">
        <v>67</v>
      </c>
      <c r="AM1115" s="198" t="s">
        <v>68</v>
      </c>
      <c r="AN1115" s="202">
        <v>98490</v>
      </c>
      <c r="AO1115" s="202">
        <v>98490</v>
      </c>
      <c r="AP1115" s="202">
        <v>98490</v>
      </c>
      <c r="AQ1115" s="198" t="s">
        <v>358</v>
      </c>
      <c r="AR1115" s="198" t="s">
        <v>51</v>
      </c>
      <c r="AS1115" s="202">
        <v>98490</v>
      </c>
      <c r="AT1115" s="202">
        <v>98490</v>
      </c>
      <c r="AU1115" s="198" t="s">
        <v>359</v>
      </c>
      <c r="AV1115" s="198" t="s">
        <v>62</v>
      </c>
      <c r="AW1115" s="198" t="s">
        <v>54</v>
      </c>
    </row>
    <row r="1116" spans="3:49" outlineLevel="2" x14ac:dyDescent="0.25">
      <c r="C1116" s="201"/>
      <c r="D1116" s="198" t="s">
        <v>135</v>
      </c>
      <c r="H1116" s="198" t="s">
        <v>135</v>
      </c>
      <c r="I1116" s="202">
        <f t="shared" si="17"/>
        <v>464576006.25</v>
      </c>
      <c r="J1116" s="202">
        <v>112.5</v>
      </c>
      <c r="L1116" s="204">
        <v>84</v>
      </c>
      <c r="M1116" s="202">
        <v>52416</v>
      </c>
      <c r="N1116" s="204">
        <v>84</v>
      </c>
      <c r="O1116" s="198" t="s">
        <v>51</v>
      </c>
      <c r="P1116" s="202">
        <v>52416</v>
      </c>
      <c r="Q1116" s="198" t="s">
        <v>73</v>
      </c>
      <c r="R1116" s="198" t="s">
        <v>53</v>
      </c>
      <c r="S1116" s="198" t="s">
        <v>54</v>
      </c>
      <c r="T1116" s="198" t="s">
        <v>673</v>
      </c>
      <c r="U1116" s="198" t="s">
        <v>367</v>
      </c>
      <c r="V1116" s="198" t="s">
        <v>56</v>
      </c>
      <c r="W1116" s="198" t="s">
        <v>356</v>
      </c>
      <c r="X1116" s="198" t="s">
        <v>57</v>
      </c>
      <c r="Y1116" s="198" t="s">
        <v>58</v>
      </c>
      <c r="Z1116" s="201">
        <v>46234</v>
      </c>
      <c r="AA1116" s="198" t="s">
        <v>59</v>
      </c>
      <c r="AB1116" s="198" t="s">
        <v>60</v>
      </c>
      <c r="AC1116" s="198" t="s">
        <v>86</v>
      </c>
      <c r="AD1116" s="198" t="s">
        <v>62</v>
      </c>
      <c r="AE1116" s="198" t="s">
        <v>626</v>
      </c>
      <c r="AF1116" s="198" t="s">
        <v>625</v>
      </c>
      <c r="AG1116" s="198" t="s">
        <v>248</v>
      </c>
      <c r="AH1116" s="198" t="s">
        <v>117</v>
      </c>
      <c r="AI1116" s="198" t="s">
        <v>56</v>
      </c>
      <c r="AJ1116" s="198" t="s">
        <v>406</v>
      </c>
      <c r="AK1116" s="198" t="s">
        <v>51</v>
      </c>
      <c r="AL1116" s="198" t="s">
        <v>67</v>
      </c>
      <c r="AM1116" s="198" t="s">
        <v>68</v>
      </c>
      <c r="AN1116" s="202">
        <v>52416</v>
      </c>
      <c r="AO1116" s="202">
        <v>52416</v>
      </c>
      <c r="AP1116" s="202">
        <v>52416</v>
      </c>
      <c r="AQ1116" s="198" t="s">
        <v>358</v>
      </c>
      <c r="AR1116" s="198" t="s">
        <v>51</v>
      </c>
      <c r="AS1116" s="202">
        <v>52416</v>
      </c>
      <c r="AT1116" s="202">
        <v>52416</v>
      </c>
      <c r="AU1116" s="198" t="s">
        <v>359</v>
      </c>
      <c r="AV1116" s="198" t="s">
        <v>62</v>
      </c>
      <c r="AW1116" s="198" t="s">
        <v>54</v>
      </c>
    </row>
    <row r="1117" spans="3:49" outlineLevel="2" x14ac:dyDescent="0.25">
      <c r="C1117" s="201"/>
      <c r="D1117" s="198" t="s">
        <v>135</v>
      </c>
      <c r="H1117" s="198" t="s">
        <v>135</v>
      </c>
      <c r="I1117" s="202">
        <f t="shared" si="17"/>
        <v>464988962.69999999</v>
      </c>
      <c r="J1117" s="202">
        <v>112.6</v>
      </c>
      <c r="L1117" s="204">
        <v>420</v>
      </c>
      <c r="M1117" s="202">
        <v>202860</v>
      </c>
      <c r="N1117" s="204">
        <v>420</v>
      </c>
      <c r="O1117" s="198" t="s">
        <v>51</v>
      </c>
      <c r="P1117" s="202">
        <v>202860</v>
      </c>
      <c r="Q1117" s="198" t="s">
        <v>73</v>
      </c>
      <c r="R1117" s="198" t="s">
        <v>53</v>
      </c>
      <c r="S1117" s="198" t="s">
        <v>54</v>
      </c>
      <c r="T1117" s="198" t="s">
        <v>673</v>
      </c>
      <c r="U1117" s="198" t="s">
        <v>367</v>
      </c>
      <c r="V1117" s="198" t="s">
        <v>56</v>
      </c>
      <c r="W1117" s="198" t="s">
        <v>356</v>
      </c>
      <c r="X1117" s="198" t="s">
        <v>57</v>
      </c>
      <c r="Y1117" s="198" t="s">
        <v>58</v>
      </c>
      <c r="Z1117" s="201">
        <v>46234</v>
      </c>
      <c r="AA1117" s="198" t="s">
        <v>59</v>
      </c>
      <c r="AB1117" s="198" t="s">
        <v>60</v>
      </c>
      <c r="AC1117" s="198" t="s">
        <v>86</v>
      </c>
      <c r="AD1117" s="198" t="s">
        <v>62</v>
      </c>
      <c r="AE1117" s="198" t="s">
        <v>628</v>
      </c>
      <c r="AF1117" s="198" t="s">
        <v>627</v>
      </c>
      <c r="AG1117" s="198" t="s">
        <v>248</v>
      </c>
      <c r="AH1117" s="198" t="s">
        <v>117</v>
      </c>
      <c r="AI1117" s="198" t="s">
        <v>56</v>
      </c>
      <c r="AJ1117" s="198" t="s">
        <v>406</v>
      </c>
      <c r="AK1117" s="198" t="s">
        <v>51</v>
      </c>
      <c r="AL1117" s="198" t="s">
        <v>67</v>
      </c>
      <c r="AM1117" s="198" t="s">
        <v>68</v>
      </c>
      <c r="AN1117" s="202">
        <v>202860</v>
      </c>
      <c r="AO1117" s="202">
        <v>202860</v>
      </c>
      <c r="AP1117" s="202">
        <v>202860</v>
      </c>
      <c r="AQ1117" s="198" t="s">
        <v>358</v>
      </c>
      <c r="AR1117" s="198" t="s">
        <v>51</v>
      </c>
      <c r="AS1117" s="202">
        <v>202860</v>
      </c>
      <c r="AT1117" s="202">
        <v>202860</v>
      </c>
      <c r="AU1117" s="198" t="s">
        <v>359</v>
      </c>
      <c r="AV1117" s="198" t="s">
        <v>62</v>
      </c>
      <c r="AW1117" s="198" t="s">
        <v>54</v>
      </c>
    </row>
    <row r="1118" spans="3:49" outlineLevel="2" x14ac:dyDescent="0.25">
      <c r="C1118" s="201"/>
      <c r="D1118" s="198" t="s">
        <v>135</v>
      </c>
      <c r="H1118" s="198" t="s">
        <v>135</v>
      </c>
      <c r="I1118" s="202">
        <f t="shared" si="17"/>
        <v>465401919.15000004</v>
      </c>
      <c r="J1118" s="202">
        <v>112.7</v>
      </c>
      <c r="L1118" s="204">
        <v>89</v>
      </c>
      <c r="M1118" s="202">
        <v>13617</v>
      </c>
      <c r="N1118" s="204">
        <v>89</v>
      </c>
      <c r="O1118" s="198" t="s">
        <v>51</v>
      </c>
      <c r="P1118" s="202">
        <v>13617</v>
      </c>
      <c r="Q1118" s="198" t="s">
        <v>73</v>
      </c>
      <c r="R1118" s="198" t="s">
        <v>53</v>
      </c>
      <c r="S1118" s="198" t="s">
        <v>54</v>
      </c>
      <c r="T1118" s="198" t="s">
        <v>673</v>
      </c>
      <c r="U1118" s="198" t="s">
        <v>367</v>
      </c>
      <c r="V1118" s="198" t="s">
        <v>56</v>
      </c>
      <c r="W1118" s="198" t="s">
        <v>356</v>
      </c>
      <c r="X1118" s="198" t="s">
        <v>57</v>
      </c>
      <c r="Y1118" s="198" t="s">
        <v>58</v>
      </c>
      <c r="Z1118" s="201">
        <v>46234</v>
      </c>
      <c r="AA1118" s="198" t="s">
        <v>59</v>
      </c>
      <c r="AB1118" s="198" t="s">
        <v>60</v>
      </c>
      <c r="AC1118" s="198" t="s">
        <v>86</v>
      </c>
      <c r="AD1118" s="198" t="s">
        <v>62</v>
      </c>
      <c r="AE1118" s="198" t="s">
        <v>630</v>
      </c>
      <c r="AF1118" s="198" t="s">
        <v>629</v>
      </c>
      <c r="AG1118" s="198" t="s">
        <v>248</v>
      </c>
      <c r="AH1118" s="198" t="s">
        <v>117</v>
      </c>
      <c r="AI1118" s="198" t="s">
        <v>56</v>
      </c>
      <c r="AJ1118" s="198" t="s">
        <v>318</v>
      </c>
      <c r="AK1118" s="198" t="s">
        <v>51</v>
      </c>
      <c r="AL1118" s="198" t="s">
        <v>67</v>
      </c>
      <c r="AM1118" s="198" t="s">
        <v>68</v>
      </c>
      <c r="AN1118" s="202">
        <v>13617</v>
      </c>
      <c r="AO1118" s="202">
        <v>13617</v>
      </c>
      <c r="AP1118" s="202">
        <v>13617</v>
      </c>
      <c r="AQ1118" s="198" t="s">
        <v>358</v>
      </c>
      <c r="AR1118" s="198" t="s">
        <v>51</v>
      </c>
      <c r="AS1118" s="202">
        <v>13617</v>
      </c>
      <c r="AT1118" s="202">
        <v>13617</v>
      </c>
      <c r="AU1118" s="198" t="s">
        <v>359</v>
      </c>
      <c r="AV1118" s="198" t="s">
        <v>62</v>
      </c>
      <c r="AW1118" s="198" t="s">
        <v>54</v>
      </c>
    </row>
    <row r="1119" spans="3:49" outlineLevel="2" x14ac:dyDescent="0.25">
      <c r="C1119" s="201"/>
      <c r="D1119" s="198" t="s">
        <v>135</v>
      </c>
      <c r="H1119" s="198" t="s">
        <v>135</v>
      </c>
      <c r="I1119" s="202">
        <f t="shared" si="17"/>
        <v>465814875.59999996</v>
      </c>
      <c r="J1119" s="202">
        <v>112.8</v>
      </c>
      <c r="L1119" s="204">
        <v>310</v>
      </c>
      <c r="M1119" s="202">
        <v>66650</v>
      </c>
      <c r="N1119" s="204">
        <v>310</v>
      </c>
      <c r="O1119" s="198" t="s">
        <v>51</v>
      </c>
      <c r="P1119" s="202">
        <v>66650</v>
      </c>
      <c r="Q1119" s="198" t="s">
        <v>73</v>
      </c>
      <c r="R1119" s="198" t="s">
        <v>53</v>
      </c>
      <c r="S1119" s="198" t="s">
        <v>54</v>
      </c>
      <c r="T1119" s="198" t="s">
        <v>673</v>
      </c>
      <c r="U1119" s="198" t="s">
        <v>367</v>
      </c>
      <c r="V1119" s="198" t="s">
        <v>56</v>
      </c>
      <c r="W1119" s="198" t="s">
        <v>356</v>
      </c>
      <c r="X1119" s="198" t="s">
        <v>57</v>
      </c>
      <c r="Y1119" s="198" t="s">
        <v>58</v>
      </c>
      <c r="Z1119" s="201">
        <v>46234</v>
      </c>
      <c r="AA1119" s="198" t="s">
        <v>59</v>
      </c>
      <c r="AB1119" s="198" t="s">
        <v>60</v>
      </c>
      <c r="AC1119" s="198" t="s">
        <v>86</v>
      </c>
      <c r="AD1119" s="198" t="s">
        <v>62</v>
      </c>
      <c r="AE1119" s="198" t="s">
        <v>632</v>
      </c>
      <c r="AF1119" s="198" t="s">
        <v>631</v>
      </c>
      <c r="AG1119" s="198" t="s">
        <v>248</v>
      </c>
      <c r="AH1119" s="198" t="s">
        <v>117</v>
      </c>
      <c r="AI1119" s="198" t="s">
        <v>56</v>
      </c>
      <c r="AJ1119" s="198" t="s">
        <v>318</v>
      </c>
      <c r="AK1119" s="198" t="s">
        <v>51</v>
      </c>
      <c r="AL1119" s="198" t="s">
        <v>67</v>
      </c>
      <c r="AM1119" s="198" t="s">
        <v>68</v>
      </c>
      <c r="AN1119" s="202">
        <v>66650</v>
      </c>
      <c r="AO1119" s="202">
        <v>66650</v>
      </c>
      <c r="AP1119" s="202">
        <v>66650</v>
      </c>
      <c r="AQ1119" s="198" t="s">
        <v>358</v>
      </c>
      <c r="AR1119" s="198" t="s">
        <v>51</v>
      </c>
      <c r="AS1119" s="202">
        <v>66650</v>
      </c>
      <c r="AT1119" s="202">
        <v>66650</v>
      </c>
      <c r="AU1119" s="198" t="s">
        <v>359</v>
      </c>
      <c r="AV1119" s="198" t="s">
        <v>62</v>
      </c>
      <c r="AW1119" s="198" t="s">
        <v>54</v>
      </c>
    </row>
    <row r="1120" spans="3:49" outlineLevel="2" x14ac:dyDescent="0.25">
      <c r="C1120" s="201"/>
      <c r="D1120" s="198" t="s">
        <v>135</v>
      </c>
      <c r="H1120" s="198" t="s">
        <v>135</v>
      </c>
      <c r="I1120" s="202">
        <f t="shared" si="17"/>
        <v>466227832.05000001</v>
      </c>
      <c r="J1120" s="202">
        <v>112.9</v>
      </c>
      <c r="L1120" s="204">
        <v>700</v>
      </c>
      <c r="M1120" s="202">
        <v>104300</v>
      </c>
      <c r="N1120" s="204">
        <v>700</v>
      </c>
      <c r="O1120" s="198" t="s">
        <v>51</v>
      </c>
      <c r="P1120" s="202">
        <v>104300</v>
      </c>
      <c r="Q1120" s="198" t="s">
        <v>73</v>
      </c>
      <c r="R1120" s="198" t="s">
        <v>53</v>
      </c>
      <c r="S1120" s="198" t="s">
        <v>54</v>
      </c>
      <c r="T1120" s="198" t="s">
        <v>673</v>
      </c>
      <c r="U1120" s="198" t="s">
        <v>367</v>
      </c>
      <c r="V1120" s="198" t="s">
        <v>56</v>
      </c>
      <c r="W1120" s="198" t="s">
        <v>356</v>
      </c>
      <c r="X1120" s="198" t="s">
        <v>57</v>
      </c>
      <c r="Y1120" s="198" t="s">
        <v>58</v>
      </c>
      <c r="Z1120" s="201">
        <v>46234</v>
      </c>
      <c r="AA1120" s="198" t="s">
        <v>59</v>
      </c>
      <c r="AB1120" s="198" t="s">
        <v>60</v>
      </c>
      <c r="AC1120" s="198" t="s">
        <v>86</v>
      </c>
      <c r="AD1120" s="198" t="s">
        <v>62</v>
      </c>
      <c r="AE1120" s="198" t="s">
        <v>634</v>
      </c>
      <c r="AF1120" s="198" t="s">
        <v>633</v>
      </c>
      <c r="AG1120" s="198" t="s">
        <v>248</v>
      </c>
      <c r="AH1120" s="198" t="s">
        <v>117</v>
      </c>
      <c r="AI1120" s="198" t="s">
        <v>56</v>
      </c>
      <c r="AJ1120" s="198" t="s">
        <v>635</v>
      </c>
      <c r="AK1120" s="198" t="s">
        <v>51</v>
      </c>
      <c r="AL1120" s="198" t="s">
        <v>67</v>
      </c>
      <c r="AM1120" s="198" t="s">
        <v>68</v>
      </c>
      <c r="AN1120" s="202">
        <v>104300</v>
      </c>
      <c r="AO1120" s="202">
        <v>104300</v>
      </c>
      <c r="AP1120" s="202">
        <v>104300</v>
      </c>
      <c r="AQ1120" s="198" t="s">
        <v>358</v>
      </c>
      <c r="AR1120" s="198" t="s">
        <v>51</v>
      </c>
      <c r="AS1120" s="202">
        <v>104300</v>
      </c>
      <c r="AT1120" s="202">
        <v>104300</v>
      </c>
      <c r="AU1120" s="198" t="s">
        <v>359</v>
      </c>
      <c r="AV1120" s="198" t="s">
        <v>62</v>
      </c>
      <c r="AW1120" s="198" t="s">
        <v>54</v>
      </c>
    </row>
    <row r="1121" spans="3:49" outlineLevel="2" x14ac:dyDescent="0.25">
      <c r="C1121" s="201"/>
      <c r="D1121" s="198" t="s">
        <v>135</v>
      </c>
      <c r="H1121" s="198" t="s">
        <v>135</v>
      </c>
      <c r="I1121" s="202">
        <f t="shared" si="17"/>
        <v>466640788.5</v>
      </c>
      <c r="J1121" s="202">
        <v>113</v>
      </c>
      <c r="L1121" s="204">
        <v>120</v>
      </c>
      <c r="M1121" s="202">
        <v>21120</v>
      </c>
      <c r="N1121" s="204">
        <v>120</v>
      </c>
      <c r="O1121" s="198" t="s">
        <v>51</v>
      </c>
      <c r="P1121" s="202">
        <v>21120</v>
      </c>
      <c r="Q1121" s="198" t="s">
        <v>73</v>
      </c>
      <c r="R1121" s="198" t="s">
        <v>53</v>
      </c>
      <c r="S1121" s="198" t="s">
        <v>54</v>
      </c>
      <c r="T1121" s="198" t="s">
        <v>673</v>
      </c>
      <c r="U1121" s="198" t="s">
        <v>367</v>
      </c>
      <c r="V1121" s="198" t="s">
        <v>56</v>
      </c>
      <c r="W1121" s="198" t="s">
        <v>356</v>
      </c>
      <c r="X1121" s="198" t="s">
        <v>57</v>
      </c>
      <c r="Y1121" s="198" t="s">
        <v>58</v>
      </c>
      <c r="Z1121" s="201">
        <v>46234</v>
      </c>
      <c r="AA1121" s="198" t="s">
        <v>59</v>
      </c>
      <c r="AB1121" s="198" t="s">
        <v>60</v>
      </c>
      <c r="AC1121" s="198" t="s">
        <v>86</v>
      </c>
      <c r="AD1121" s="198" t="s">
        <v>62</v>
      </c>
      <c r="AE1121" s="198" t="s">
        <v>637</v>
      </c>
      <c r="AF1121" s="198" t="s">
        <v>636</v>
      </c>
      <c r="AG1121" s="198" t="s">
        <v>248</v>
      </c>
      <c r="AH1121" s="198" t="s">
        <v>117</v>
      </c>
      <c r="AI1121" s="198" t="s">
        <v>56</v>
      </c>
      <c r="AJ1121" s="198" t="s">
        <v>318</v>
      </c>
      <c r="AK1121" s="198" t="s">
        <v>51</v>
      </c>
      <c r="AL1121" s="198" t="s">
        <v>67</v>
      </c>
      <c r="AM1121" s="198" t="s">
        <v>68</v>
      </c>
      <c r="AN1121" s="202">
        <v>21120</v>
      </c>
      <c r="AO1121" s="202">
        <v>21120</v>
      </c>
      <c r="AP1121" s="202">
        <v>21120</v>
      </c>
      <c r="AQ1121" s="198" t="s">
        <v>358</v>
      </c>
      <c r="AR1121" s="198" t="s">
        <v>51</v>
      </c>
      <c r="AS1121" s="202">
        <v>21120</v>
      </c>
      <c r="AT1121" s="202">
        <v>21120</v>
      </c>
      <c r="AU1121" s="198" t="s">
        <v>359</v>
      </c>
      <c r="AV1121" s="198" t="s">
        <v>62</v>
      </c>
      <c r="AW1121" s="198" t="s">
        <v>54</v>
      </c>
    </row>
    <row r="1122" spans="3:49" outlineLevel="2" x14ac:dyDescent="0.25">
      <c r="C1122" s="201"/>
      <c r="D1122" s="198" t="s">
        <v>135</v>
      </c>
      <c r="H1122" s="198" t="s">
        <v>135</v>
      </c>
      <c r="I1122" s="202">
        <f t="shared" si="17"/>
        <v>467053744.94999999</v>
      </c>
      <c r="J1122" s="202">
        <v>113.1</v>
      </c>
      <c r="L1122" s="204">
        <v>200</v>
      </c>
      <c r="M1122" s="202">
        <v>29800</v>
      </c>
      <c r="N1122" s="204">
        <v>200</v>
      </c>
      <c r="O1122" s="198" t="s">
        <v>51</v>
      </c>
      <c r="P1122" s="202">
        <v>29800</v>
      </c>
      <c r="Q1122" s="198" t="s">
        <v>73</v>
      </c>
      <c r="R1122" s="198" t="s">
        <v>53</v>
      </c>
      <c r="S1122" s="198" t="s">
        <v>54</v>
      </c>
      <c r="T1122" s="198" t="s">
        <v>673</v>
      </c>
      <c r="U1122" s="198" t="s">
        <v>367</v>
      </c>
      <c r="V1122" s="198" t="s">
        <v>56</v>
      </c>
      <c r="W1122" s="198" t="s">
        <v>356</v>
      </c>
      <c r="X1122" s="198" t="s">
        <v>57</v>
      </c>
      <c r="Y1122" s="198" t="s">
        <v>58</v>
      </c>
      <c r="Z1122" s="201">
        <v>46234</v>
      </c>
      <c r="AA1122" s="198" t="s">
        <v>59</v>
      </c>
      <c r="AB1122" s="198" t="s">
        <v>60</v>
      </c>
      <c r="AC1122" s="198" t="s">
        <v>86</v>
      </c>
      <c r="AD1122" s="198" t="s">
        <v>62</v>
      </c>
      <c r="AE1122" s="198" t="s">
        <v>639</v>
      </c>
      <c r="AF1122" s="198" t="s">
        <v>638</v>
      </c>
      <c r="AG1122" s="198" t="s">
        <v>248</v>
      </c>
      <c r="AH1122" s="198" t="s">
        <v>117</v>
      </c>
      <c r="AI1122" s="198" t="s">
        <v>56</v>
      </c>
      <c r="AJ1122" s="198" t="s">
        <v>318</v>
      </c>
      <c r="AK1122" s="198" t="s">
        <v>51</v>
      </c>
      <c r="AL1122" s="198" t="s">
        <v>67</v>
      </c>
      <c r="AM1122" s="198" t="s">
        <v>68</v>
      </c>
      <c r="AN1122" s="202">
        <v>29800</v>
      </c>
      <c r="AO1122" s="202">
        <v>29800</v>
      </c>
      <c r="AP1122" s="202">
        <v>29800</v>
      </c>
      <c r="AQ1122" s="198" t="s">
        <v>358</v>
      </c>
      <c r="AR1122" s="198" t="s">
        <v>51</v>
      </c>
      <c r="AS1122" s="202">
        <v>29800</v>
      </c>
      <c r="AT1122" s="202">
        <v>29800</v>
      </c>
      <c r="AU1122" s="198" t="s">
        <v>359</v>
      </c>
      <c r="AV1122" s="198" t="s">
        <v>62</v>
      </c>
      <c r="AW1122" s="198" t="s">
        <v>54</v>
      </c>
    </row>
    <row r="1123" spans="3:49" outlineLevel="2" x14ac:dyDescent="0.25">
      <c r="C1123" s="201"/>
      <c r="D1123" s="198" t="s">
        <v>135</v>
      </c>
      <c r="H1123" s="198" t="s">
        <v>135</v>
      </c>
      <c r="I1123" s="202">
        <f t="shared" si="17"/>
        <v>467466701.40000004</v>
      </c>
      <c r="J1123" s="202">
        <v>113.2</v>
      </c>
      <c r="L1123" s="204">
        <v>220</v>
      </c>
      <c r="M1123" s="202">
        <v>29700</v>
      </c>
      <c r="N1123" s="204">
        <v>220</v>
      </c>
      <c r="O1123" s="198" t="s">
        <v>51</v>
      </c>
      <c r="P1123" s="202">
        <v>29700</v>
      </c>
      <c r="Q1123" s="198" t="s">
        <v>73</v>
      </c>
      <c r="R1123" s="198" t="s">
        <v>53</v>
      </c>
      <c r="S1123" s="198" t="s">
        <v>54</v>
      </c>
      <c r="T1123" s="198" t="s">
        <v>673</v>
      </c>
      <c r="U1123" s="198" t="s">
        <v>367</v>
      </c>
      <c r="V1123" s="198" t="s">
        <v>56</v>
      </c>
      <c r="W1123" s="198" t="s">
        <v>356</v>
      </c>
      <c r="X1123" s="198" t="s">
        <v>57</v>
      </c>
      <c r="Y1123" s="198" t="s">
        <v>58</v>
      </c>
      <c r="Z1123" s="201">
        <v>46234</v>
      </c>
      <c r="AA1123" s="198" t="s">
        <v>59</v>
      </c>
      <c r="AB1123" s="198" t="s">
        <v>60</v>
      </c>
      <c r="AC1123" s="198" t="s">
        <v>86</v>
      </c>
      <c r="AD1123" s="198" t="s">
        <v>62</v>
      </c>
      <c r="AE1123" s="198" t="s">
        <v>641</v>
      </c>
      <c r="AF1123" s="198" t="s">
        <v>640</v>
      </c>
      <c r="AG1123" s="198" t="s">
        <v>248</v>
      </c>
      <c r="AH1123" s="198" t="s">
        <v>117</v>
      </c>
      <c r="AI1123" s="198" t="s">
        <v>56</v>
      </c>
      <c r="AJ1123" s="198" t="s">
        <v>318</v>
      </c>
      <c r="AK1123" s="198" t="s">
        <v>51</v>
      </c>
      <c r="AL1123" s="198" t="s">
        <v>67</v>
      </c>
      <c r="AM1123" s="198" t="s">
        <v>68</v>
      </c>
      <c r="AN1123" s="202">
        <v>29700</v>
      </c>
      <c r="AO1123" s="202">
        <v>29700</v>
      </c>
      <c r="AP1123" s="202">
        <v>29700</v>
      </c>
      <c r="AQ1123" s="198" t="s">
        <v>358</v>
      </c>
      <c r="AR1123" s="198" t="s">
        <v>51</v>
      </c>
      <c r="AS1123" s="202">
        <v>29700</v>
      </c>
      <c r="AT1123" s="202">
        <v>29700</v>
      </c>
      <c r="AU1123" s="198" t="s">
        <v>359</v>
      </c>
      <c r="AV1123" s="198" t="s">
        <v>62</v>
      </c>
      <c r="AW1123" s="198" t="s">
        <v>54</v>
      </c>
    </row>
    <row r="1124" spans="3:49" outlineLevel="2" x14ac:dyDescent="0.25">
      <c r="C1124" s="201"/>
      <c r="D1124" s="198" t="s">
        <v>135</v>
      </c>
      <c r="H1124" s="198" t="s">
        <v>135</v>
      </c>
      <c r="I1124" s="202">
        <f t="shared" si="17"/>
        <v>467879657.84999996</v>
      </c>
      <c r="J1124" s="202">
        <v>113.3</v>
      </c>
      <c r="L1124" s="204">
        <v>120</v>
      </c>
      <c r="M1124" s="202">
        <v>7560</v>
      </c>
      <c r="N1124" s="204">
        <v>120</v>
      </c>
      <c r="O1124" s="198" t="s">
        <v>51</v>
      </c>
      <c r="P1124" s="202">
        <v>7560</v>
      </c>
      <c r="Q1124" s="198" t="s">
        <v>73</v>
      </c>
      <c r="R1124" s="198" t="s">
        <v>53</v>
      </c>
      <c r="S1124" s="198" t="s">
        <v>54</v>
      </c>
      <c r="T1124" s="198" t="s">
        <v>673</v>
      </c>
      <c r="U1124" s="198" t="s">
        <v>367</v>
      </c>
      <c r="V1124" s="198" t="s">
        <v>56</v>
      </c>
      <c r="W1124" s="198" t="s">
        <v>356</v>
      </c>
      <c r="X1124" s="198" t="s">
        <v>57</v>
      </c>
      <c r="Y1124" s="198" t="s">
        <v>58</v>
      </c>
      <c r="Z1124" s="201">
        <v>46234</v>
      </c>
      <c r="AA1124" s="198" t="s">
        <v>59</v>
      </c>
      <c r="AB1124" s="198" t="s">
        <v>60</v>
      </c>
      <c r="AC1124" s="198" t="s">
        <v>86</v>
      </c>
      <c r="AD1124" s="198" t="s">
        <v>62</v>
      </c>
      <c r="AE1124" s="198" t="s">
        <v>643</v>
      </c>
      <c r="AF1124" s="198" t="s">
        <v>642</v>
      </c>
      <c r="AG1124" s="198" t="s">
        <v>248</v>
      </c>
      <c r="AH1124" s="198" t="s">
        <v>117</v>
      </c>
      <c r="AI1124" s="198" t="s">
        <v>56</v>
      </c>
      <c r="AJ1124" s="198" t="s">
        <v>74</v>
      </c>
      <c r="AK1124" s="198" t="s">
        <v>51</v>
      </c>
      <c r="AL1124" s="198" t="s">
        <v>67</v>
      </c>
      <c r="AM1124" s="198" t="s">
        <v>68</v>
      </c>
      <c r="AN1124" s="202">
        <v>7560</v>
      </c>
      <c r="AO1124" s="202">
        <v>7560</v>
      </c>
      <c r="AP1124" s="202">
        <v>7560</v>
      </c>
      <c r="AQ1124" s="198" t="s">
        <v>358</v>
      </c>
      <c r="AR1124" s="198" t="s">
        <v>51</v>
      </c>
      <c r="AS1124" s="202">
        <v>7560</v>
      </c>
      <c r="AT1124" s="202">
        <v>7560</v>
      </c>
      <c r="AU1124" s="198" t="s">
        <v>359</v>
      </c>
      <c r="AV1124" s="198" t="s">
        <v>62</v>
      </c>
      <c r="AW1124" s="198" t="s">
        <v>54</v>
      </c>
    </row>
    <row r="1125" spans="3:49" outlineLevel="2" x14ac:dyDescent="0.25">
      <c r="C1125" s="201"/>
      <c r="D1125" s="198" t="s">
        <v>135</v>
      </c>
      <c r="H1125" s="198" t="s">
        <v>135</v>
      </c>
      <c r="I1125" s="202">
        <f t="shared" si="17"/>
        <v>468292614.30000001</v>
      </c>
      <c r="J1125" s="202">
        <v>113.4</v>
      </c>
      <c r="L1125" s="204">
        <v>410</v>
      </c>
      <c r="M1125" s="202">
        <v>61090</v>
      </c>
      <c r="N1125" s="204">
        <v>410</v>
      </c>
      <c r="O1125" s="198" t="s">
        <v>51</v>
      </c>
      <c r="P1125" s="202">
        <v>61090</v>
      </c>
      <c r="Q1125" s="198" t="s">
        <v>73</v>
      </c>
      <c r="R1125" s="198" t="s">
        <v>53</v>
      </c>
      <c r="S1125" s="198" t="s">
        <v>54</v>
      </c>
      <c r="T1125" s="198" t="s">
        <v>673</v>
      </c>
      <c r="U1125" s="198" t="s">
        <v>367</v>
      </c>
      <c r="V1125" s="198" t="s">
        <v>56</v>
      </c>
      <c r="W1125" s="198" t="s">
        <v>356</v>
      </c>
      <c r="X1125" s="198" t="s">
        <v>57</v>
      </c>
      <c r="Y1125" s="198" t="s">
        <v>58</v>
      </c>
      <c r="Z1125" s="201">
        <v>46234</v>
      </c>
      <c r="AA1125" s="198" t="s">
        <v>59</v>
      </c>
      <c r="AB1125" s="198" t="s">
        <v>60</v>
      </c>
      <c r="AC1125" s="198" t="s">
        <v>86</v>
      </c>
      <c r="AD1125" s="198" t="s">
        <v>62</v>
      </c>
      <c r="AE1125" s="198" t="s">
        <v>645</v>
      </c>
      <c r="AF1125" s="198" t="s">
        <v>644</v>
      </c>
      <c r="AG1125" s="198" t="s">
        <v>248</v>
      </c>
      <c r="AH1125" s="198" t="s">
        <v>117</v>
      </c>
      <c r="AI1125" s="198" t="s">
        <v>56</v>
      </c>
      <c r="AJ1125" s="198" t="s">
        <v>318</v>
      </c>
      <c r="AK1125" s="198" t="s">
        <v>51</v>
      </c>
      <c r="AL1125" s="198" t="s">
        <v>67</v>
      </c>
      <c r="AM1125" s="198" t="s">
        <v>68</v>
      </c>
      <c r="AN1125" s="202">
        <v>61090</v>
      </c>
      <c r="AO1125" s="202">
        <v>61090</v>
      </c>
      <c r="AP1125" s="202">
        <v>61090</v>
      </c>
      <c r="AQ1125" s="198" t="s">
        <v>358</v>
      </c>
      <c r="AR1125" s="198" t="s">
        <v>51</v>
      </c>
      <c r="AS1125" s="202">
        <v>61090</v>
      </c>
      <c r="AT1125" s="202">
        <v>61090</v>
      </c>
      <c r="AU1125" s="198" t="s">
        <v>359</v>
      </c>
      <c r="AV1125" s="198" t="s">
        <v>62</v>
      </c>
      <c r="AW1125" s="198" t="s">
        <v>54</v>
      </c>
    </row>
    <row r="1126" spans="3:49" outlineLevel="2" x14ac:dyDescent="0.25">
      <c r="C1126" s="201"/>
      <c r="D1126" s="198" t="s">
        <v>135</v>
      </c>
      <c r="H1126" s="198" t="s">
        <v>135</v>
      </c>
      <c r="I1126" s="202">
        <f t="shared" si="17"/>
        <v>468705570.75</v>
      </c>
      <c r="J1126" s="202">
        <v>113.5</v>
      </c>
      <c r="L1126" s="204">
        <v>1100</v>
      </c>
      <c r="M1126" s="202">
        <v>53900</v>
      </c>
      <c r="N1126" s="204">
        <v>1100</v>
      </c>
      <c r="O1126" s="198" t="s">
        <v>51</v>
      </c>
      <c r="P1126" s="202">
        <v>53900</v>
      </c>
      <c r="Q1126" s="198" t="s">
        <v>73</v>
      </c>
      <c r="R1126" s="198" t="s">
        <v>53</v>
      </c>
      <c r="S1126" s="198" t="s">
        <v>54</v>
      </c>
      <c r="T1126" s="198" t="s">
        <v>673</v>
      </c>
      <c r="U1126" s="198" t="s">
        <v>367</v>
      </c>
      <c r="V1126" s="198" t="s">
        <v>56</v>
      </c>
      <c r="W1126" s="198" t="s">
        <v>356</v>
      </c>
      <c r="X1126" s="198" t="s">
        <v>57</v>
      </c>
      <c r="Y1126" s="198" t="s">
        <v>58</v>
      </c>
      <c r="Z1126" s="201">
        <v>46234</v>
      </c>
      <c r="AA1126" s="198" t="s">
        <v>59</v>
      </c>
      <c r="AB1126" s="198" t="s">
        <v>60</v>
      </c>
      <c r="AC1126" s="198" t="s">
        <v>86</v>
      </c>
      <c r="AD1126" s="198" t="s">
        <v>62</v>
      </c>
      <c r="AE1126" s="198" t="s">
        <v>647</v>
      </c>
      <c r="AF1126" s="198" t="s">
        <v>646</v>
      </c>
      <c r="AG1126" s="198" t="s">
        <v>248</v>
      </c>
      <c r="AH1126" s="198" t="s">
        <v>117</v>
      </c>
      <c r="AI1126" s="198" t="s">
        <v>56</v>
      </c>
      <c r="AJ1126" s="198" t="s">
        <v>318</v>
      </c>
      <c r="AK1126" s="198" t="s">
        <v>51</v>
      </c>
      <c r="AL1126" s="198" t="s">
        <v>67</v>
      </c>
      <c r="AM1126" s="198" t="s">
        <v>68</v>
      </c>
      <c r="AN1126" s="202">
        <v>53900</v>
      </c>
      <c r="AO1126" s="202">
        <v>53900</v>
      </c>
      <c r="AP1126" s="202">
        <v>53900</v>
      </c>
      <c r="AQ1126" s="198" t="s">
        <v>358</v>
      </c>
      <c r="AR1126" s="198" t="s">
        <v>51</v>
      </c>
      <c r="AS1126" s="202">
        <v>53900</v>
      </c>
      <c r="AT1126" s="202">
        <v>53900</v>
      </c>
      <c r="AU1126" s="198" t="s">
        <v>359</v>
      </c>
      <c r="AV1126" s="198" t="s">
        <v>62</v>
      </c>
      <c r="AW1126" s="198" t="s">
        <v>54</v>
      </c>
    </row>
    <row r="1127" spans="3:49" outlineLevel="2" x14ac:dyDescent="0.25">
      <c r="C1127" s="201"/>
      <c r="D1127" s="198" t="s">
        <v>135</v>
      </c>
      <c r="H1127" s="198" t="s">
        <v>135</v>
      </c>
      <c r="I1127" s="202">
        <f t="shared" si="17"/>
        <v>469118527.19999999</v>
      </c>
      <c r="J1127" s="202">
        <v>113.6</v>
      </c>
      <c r="L1127" s="204">
        <v>200</v>
      </c>
      <c r="M1127" s="202">
        <v>29800</v>
      </c>
      <c r="N1127" s="204">
        <v>200</v>
      </c>
      <c r="O1127" s="198" t="s">
        <v>51</v>
      </c>
      <c r="P1127" s="202">
        <v>29800</v>
      </c>
      <c r="Q1127" s="198" t="s">
        <v>73</v>
      </c>
      <c r="R1127" s="198" t="s">
        <v>53</v>
      </c>
      <c r="S1127" s="198" t="s">
        <v>54</v>
      </c>
      <c r="T1127" s="198" t="s">
        <v>673</v>
      </c>
      <c r="U1127" s="198" t="s">
        <v>367</v>
      </c>
      <c r="V1127" s="198" t="s">
        <v>56</v>
      </c>
      <c r="W1127" s="198" t="s">
        <v>356</v>
      </c>
      <c r="X1127" s="198" t="s">
        <v>57</v>
      </c>
      <c r="Y1127" s="198" t="s">
        <v>58</v>
      </c>
      <c r="Z1127" s="201">
        <v>46234</v>
      </c>
      <c r="AA1127" s="198" t="s">
        <v>59</v>
      </c>
      <c r="AB1127" s="198" t="s">
        <v>60</v>
      </c>
      <c r="AC1127" s="198" t="s">
        <v>86</v>
      </c>
      <c r="AD1127" s="198" t="s">
        <v>62</v>
      </c>
      <c r="AE1127" s="198" t="s">
        <v>649</v>
      </c>
      <c r="AF1127" s="198" t="s">
        <v>648</v>
      </c>
      <c r="AG1127" s="198" t="s">
        <v>248</v>
      </c>
      <c r="AH1127" s="198" t="s">
        <v>117</v>
      </c>
      <c r="AI1127" s="198" t="s">
        <v>56</v>
      </c>
      <c r="AJ1127" s="198" t="s">
        <v>318</v>
      </c>
      <c r="AK1127" s="198" t="s">
        <v>51</v>
      </c>
      <c r="AL1127" s="198" t="s">
        <v>67</v>
      </c>
      <c r="AM1127" s="198" t="s">
        <v>68</v>
      </c>
      <c r="AN1127" s="202">
        <v>29800</v>
      </c>
      <c r="AO1127" s="202">
        <v>29800</v>
      </c>
      <c r="AP1127" s="202">
        <v>29800</v>
      </c>
      <c r="AQ1127" s="198" t="s">
        <v>358</v>
      </c>
      <c r="AR1127" s="198" t="s">
        <v>51</v>
      </c>
      <c r="AS1127" s="202">
        <v>29800</v>
      </c>
      <c r="AT1127" s="202">
        <v>29800</v>
      </c>
      <c r="AU1127" s="198" t="s">
        <v>359</v>
      </c>
      <c r="AV1127" s="198" t="s">
        <v>62</v>
      </c>
      <c r="AW1127" s="198" t="s">
        <v>54</v>
      </c>
    </row>
    <row r="1128" spans="3:49" outlineLevel="2" x14ac:dyDescent="0.25">
      <c r="C1128" s="201"/>
      <c r="D1128" s="198" t="s">
        <v>135</v>
      </c>
      <c r="H1128" s="198" t="s">
        <v>135</v>
      </c>
      <c r="I1128" s="202">
        <f t="shared" si="17"/>
        <v>469531483.65000004</v>
      </c>
      <c r="J1128" s="202">
        <v>113.7</v>
      </c>
      <c r="L1128" s="204">
        <v>230</v>
      </c>
      <c r="M1128" s="202">
        <v>31050</v>
      </c>
      <c r="N1128" s="204">
        <v>230</v>
      </c>
      <c r="O1128" s="198" t="s">
        <v>51</v>
      </c>
      <c r="P1128" s="202">
        <v>31050</v>
      </c>
      <c r="Q1128" s="198" t="s">
        <v>73</v>
      </c>
      <c r="R1128" s="198" t="s">
        <v>53</v>
      </c>
      <c r="S1128" s="198" t="s">
        <v>54</v>
      </c>
      <c r="T1128" s="198" t="s">
        <v>673</v>
      </c>
      <c r="U1128" s="198" t="s">
        <v>367</v>
      </c>
      <c r="V1128" s="198" t="s">
        <v>56</v>
      </c>
      <c r="W1128" s="198" t="s">
        <v>356</v>
      </c>
      <c r="X1128" s="198" t="s">
        <v>57</v>
      </c>
      <c r="Y1128" s="198" t="s">
        <v>58</v>
      </c>
      <c r="Z1128" s="201">
        <v>46234</v>
      </c>
      <c r="AA1128" s="198" t="s">
        <v>59</v>
      </c>
      <c r="AB1128" s="198" t="s">
        <v>60</v>
      </c>
      <c r="AC1128" s="198" t="s">
        <v>86</v>
      </c>
      <c r="AD1128" s="198" t="s">
        <v>62</v>
      </c>
      <c r="AE1128" s="198" t="s">
        <v>650</v>
      </c>
      <c r="AF1128" s="198" t="s">
        <v>339</v>
      </c>
      <c r="AG1128" s="198" t="s">
        <v>248</v>
      </c>
      <c r="AH1128" s="198" t="s">
        <v>117</v>
      </c>
      <c r="AI1128" s="198" t="s">
        <v>56</v>
      </c>
      <c r="AJ1128" s="198" t="s">
        <v>318</v>
      </c>
      <c r="AK1128" s="198" t="s">
        <v>51</v>
      </c>
      <c r="AL1128" s="198" t="s">
        <v>67</v>
      </c>
      <c r="AM1128" s="198" t="s">
        <v>68</v>
      </c>
      <c r="AN1128" s="202">
        <v>31050</v>
      </c>
      <c r="AO1128" s="202">
        <v>31050</v>
      </c>
      <c r="AP1128" s="202">
        <v>31050</v>
      </c>
      <c r="AQ1128" s="198" t="s">
        <v>358</v>
      </c>
      <c r="AR1128" s="198" t="s">
        <v>51</v>
      </c>
      <c r="AS1128" s="202">
        <v>31050</v>
      </c>
      <c r="AT1128" s="202">
        <v>31050</v>
      </c>
      <c r="AU1128" s="198" t="s">
        <v>359</v>
      </c>
      <c r="AV1128" s="198" t="s">
        <v>62</v>
      </c>
      <c r="AW1128" s="198" t="s">
        <v>54</v>
      </c>
    </row>
    <row r="1129" spans="3:49" outlineLevel="2" x14ac:dyDescent="0.25">
      <c r="C1129" s="201"/>
      <c r="D1129" s="198" t="s">
        <v>135</v>
      </c>
      <c r="H1129" s="198" t="s">
        <v>135</v>
      </c>
      <c r="I1129" s="202">
        <f t="shared" si="17"/>
        <v>469944440.09999996</v>
      </c>
      <c r="J1129" s="202">
        <v>113.8</v>
      </c>
      <c r="L1129" s="204">
        <v>150</v>
      </c>
      <c r="M1129" s="202">
        <v>1800</v>
      </c>
      <c r="N1129" s="204">
        <v>150</v>
      </c>
      <c r="O1129" s="198" t="s">
        <v>51</v>
      </c>
      <c r="P1129" s="202">
        <v>1800</v>
      </c>
      <c r="Q1129" s="198" t="s">
        <v>73</v>
      </c>
      <c r="R1129" s="198" t="s">
        <v>53</v>
      </c>
      <c r="S1129" s="198" t="s">
        <v>54</v>
      </c>
      <c r="T1129" s="198" t="s">
        <v>673</v>
      </c>
      <c r="U1129" s="198" t="s">
        <v>367</v>
      </c>
      <c r="V1129" s="198" t="s">
        <v>56</v>
      </c>
      <c r="W1129" s="198" t="s">
        <v>356</v>
      </c>
      <c r="X1129" s="198" t="s">
        <v>57</v>
      </c>
      <c r="Y1129" s="198" t="s">
        <v>58</v>
      </c>
      <c r="Z1129" s="201">
        <v>46234</v>
      </c>
      <c r="AA1129" s="198" t="s">
        <v>59</v>
      </c>
      <c r="AB1129" s="198" t="s">
        <v>60</v>
      </c>
      <c r="AC1129" s="198" t="s">
        <v>86</v>
      </c>
      <c r="AD1129" s="198" t="s">
        <v>62</v>
      </c>
      <c r="AE1129" s="198" t="s">
        <v>652</v>
      </c>
      <c r="AF1129" s="198" t="s">
        <v>651</v>
      </c>
      <c r="AG1129" s="198" t="s">
        <v>248</v>
      </c>
      <c r="AH1129" s="198" t="s">
        <v>117</v>
      </c>
      <c r="AI1129" s="198" t="s">
        <v>56</v>
      </c>
      <c r="AJ1129" s="198" t="s">
        <v>318</v>
      </c>
      <c r="AK1129" s="198" t="s">
        <v>51</v>
      </c>
      <c r="AL1129" s="198" t="s">
        <v>67</v>
      </c>
      <c r="AM1129" s="198" t="s">
        <v>68</v>
      </c>
      <c r="AN1129" s="202">
        <v>1800</v>
      </c>
      <c r="AO1129" s="202">
        <v>1800</v>
      </c>
      <c r="AP1129" s="202">
        <v>1800</v>
      </c>
      <c r="AQ1129" s="198" t="s">
        <v>358</v>
      </c>
      <c r="AR1129" s="198" t="s">
        <v>51</v>
      </c>
      <c r="AS1129" s="202">
        <v>1800</v>
      </c>
      <c r="AT1129" s="202">
        <v>1800</v>
      </c>
      <c r="AU1129" s="198" t="s">
        <v>359</v>
      </c>
      <c r="AV1129" s="198" t="s">
        <v>62</v>
      </c>
      <c r="AW1129" s="198" t="s">
        <v>54</v>
      </c>
    </row>
    <row r="1130" spans="3:49" outlineLevel="2" x14ac:dyDescent="0.25">
      <c r="C1130" s="201"/>
      <c r="D1130" s="198" t="s">
        <v>135</v>
      </c>
      <c r="H1130" s="198" t="s">
        <v>135</v>
      </c>
      <c r="I1130" s="202">
        <f t="shared" si="17"/>
        <v>470357396.55000001</v>
      </c>
      <c r="J1130" s="202">
        <v>113.9</v>
      </c>
      <c r="L1130" s="204">
        <v>70</v>
      </c>
      <c r="M1130" s="202">
        <v>840</v>
      </c>
      <c r="N1130" s="204">
        <v>70</v>
      </c>
      <c r="O1130" s="198" t="s">
        <v>51</v>
      </c>
      <c r="P1130" s="202">
        <v>840</v>
      </c>
      <c r="Q1130" s="198" t="s">
        <v>73</v>
      </c>
      <c r="R1130" s="198" t="s">
        <v>53</v>
      </c>
      <c r="S1130" s="198" t="s">
        <v>54</v>
      </c>
      <c r="T1130" s="198" t="s">
        <v>673</v>
      </c>
      <c r="U1130" s="198" t="s">
        <v>367</v>
      </c>
      <c r="V1130" s="198" t="s">
        <v>56</v>
      </c>
      <c r="W1130" s="198" t="s">
        <v>356</v>
      </c>
      <c r="X1130" s="198" t="s">
        <v>57</v>
      </c>
      <c r="Y1130" s="198" t="s">
        <v>58</v>
      </c>
      <c r="Z1130" s="201">
        <v>46234</v>
      </c>
      <c r="AA1130" s="198" t="s">
        <v>59</v>
      </c>
      <c r="AB1130" s="198" t="s">
        <v>60</v>
      </c>
      <c r="AC1130" s="198" t="s">
        <v>86</v>
      </c>
      <c r="AD1130" s="198" t="s">
        <v>62</v>
      </c>
      <c r="AE1130" s="198" t="s">
        <v>654</v>
      </c>
      <c r="AF1130" s="198" t="s">
        <v>653</v>
      </c>
      <c r="AG1130" s="198" t="s">
        <v>248</v>
      </c>
      <c r="AH1130" s="198" t="s">
        <v>117</v>
      </c>
      <c r="AI1130" s="198" t="s">
        <v>56</v>
      </c>
      <c r="AJ1130" s="198" t="s">
        <v>318</v>
      </c>
      <c r="AK1130" s="198" t="s">
        <v>51</v>
      </c>
      <c r="AL1130" s="198" t="s">
        <v>67</v>
      </c>
      <c r="AM1130" s="198" t="s">
        <v>68</v>
      </c>
      <c r="AN1130" s="202">
        <v>840</v>
      </c>
      <c r="AO1130" s="202">
        <v>840</v>
      </c>
      <c r="AP1130" s="202">
        <v>840</v>
      </c>
      <c r="AQ1130" s="198" t="s">
        <v>358</v>
      </c>
      <c r="AR1130" s="198" t="s">
        <v>51</v>
      </c>
      <c r="AS1130" s="202">
        <v>840</v>
      </c>
      <c r="AT1130" s="202">
        <v>840</v>
      </c>
      <c r="AU1130" s="198" t="s">
        <v>359</v>
      </c>
      <c r="AV1130" s="198" t="s">
        <v>62</v>
      </c>
      <c r="AW1130" s="198" t="s">
        <v>54</v>
      </c>
    </row>
    <row r="1131" spans="3:49" outlineLevel="2" x14ac:dyDescent="0.25">
      <c r="C1131" s="201"/>
      <c r="D1131" s="198" t="s">
        <v>122</v>
      </c>
      <c r="H1131" s="198" t="s">
        <v>122</v>
      </c>
      <c r="I1131" s="202">
        <f t="shared" si="17"/>
        <v>470770353</v>
      </c>
      <c r="J1131" s="202">
        <v>114</v>
      </c>
      <c r="L1131" s="204">
        <v>6</v>
      </c>
      <c r="M1131" s="202">
        <v>2921940</v>
      </c>
      <c r="N1131" s="204">
        <v>0</v>
      </c>
      <c r="O1131" s="198" t="s">
        <v>51</v>
      </c>
      <c r="P1131" s="202">
        <v>0.2</v>
      </c>
      <c r="Q1131" s="198" t="s">
        <v>73</v>
      </c>
      <c r="R1131" s="198" t="s">
        <v>53</v>
      </c>
      <c r="S1131" s="198" t="s">
        <v>54</v>
      </c>
      <c r="T1131" s="198" t="s">
        <v>673</v>
      </c>
      <c r="U1131" s="198" t="s">
        <v>367</v>
      </c>
      <c r="V1131" s="198" t="s">
        <v>56</v>
      </c>
      <c r="W1131" s="198" t="s">
        <v>356</v>
      </c>
      <c r="X1131" s="198" t="s">
        <v>57</v>
      </c>
      <c r="Y1131" s="198" t="s">
        <v>58</v>
      </c>
      <c r="Z1131" s="201">
        <v>46203</v>
      </c>
      <c r="AA1131" s="198" t="s">
        <v>59</v>
      </c>
      <c r="AB1131" s="198" t="s">
        <v>60</v>
      </c>
      <c r="AC1131" s="198" t="s">
        <v>86</v>
      </c>
      <c r="AD1131" s="198" t="s">
        <v>62</v>
      </c>
      <c r="AE1131" s="198" t="s">
        <v>675</v>
      </c>
      <c r="AF1131" s="198" t="s">
        <v>674</v>
      </c>
      <c r="AG1131" s="198" t="s">
        <v>189</v>
      </c>
      <c r="AH1131" s="198" t="s">
        <v>126</v>
      </c>
      <c r="AI1131" s="198" t="s">
        <v>56</v>
      </c>
      <c r="AJ1131" s="198" t="s">
        <v>127</v>
      </c>
      <c r="AK1131" s="198" t="s">
        <v>51</v>
      </c>
      <c r="AL1131" s="198" t="s">
        <v>67</v>
      </c>
      <c r="AM1131" s="198" t="s">
        <v>68</v>
      </c>
      <c r="AN1131" s="202">
        <v>2921940</v>
      </c>
      <c r="AO1131" s="202">
        <v>2921940</v>
      </c>
      <c r="AP1131" s="202">
        <v>2921940</v>
      </c>
      <c r="AQ1131" s="198" t="s">
        <v>358</v>
      </c>
      <c r="AR1131" s="198" t="s">
        <v>51</v>
      </c>
      <c r="AS1131" s="202">
        <v>0.2</v>
      </c>
      <c r="AT1131" s="202">
        <v>0.2</v>
      </c>
      <c r="AU1131" s="198" t="s">
        <v>359</v>
      </c>
      <c r="AV1131" s="198" t="s">
        <v>62</v>
      </c>
      <c r="AW1131" s="198" t="s">
        <v>54</v>
      </c>
    </row>
    <row r="1132" spans="3:49" outlineLevel="2" x14ac:dyDescent="0.25">
      <c r="C1132" s="201"/>
      <c r="D1132" s="198" t="s">
        <v>122</v>
      </c>
      <c r="H1132" s="198" t="s">
        <v>122</v>
      </c>
      <c r="I1132" s="202">
        <f t="shared" si="17"/>
        <v>471183309.44999999</v>
      </c>
      <c r="J1132" s="202">
        <v>114.1</v>
      </c>
      <c r="L1132" s="204">
        <v>15</v>
      </c>
      <c r="M1132" s="202">
        <v>22262.400000000001</v>
      </c>
      <c r="N1132" s="204">
        <v>15</v>
      </c>
      <c r="O1132" s="198" t="s">
        <v>51</v>
      </c>
      <c r="P1132" s="202">
        <v>22262.400000000001</v>
      </c>
      <c r="Q1132" s="198" t="s">
        <v>75</v>
      </c>
      <c r="R1132" s="198" t="s">
        <v>53</v>
      </c>
      <c r="S1132" s="198" t="s">
        <v>54</v>
      </c>
      <c r="T1132" s="198" t="s">
        <v>673</v>
      </c>
      <c r="U1132" s="198" t="s">
        <v>367</v>
      </c>
      <c r="V1132" s="198" t="s">
        <v>56</v>
      </c>
      <c r="W1132" s="198" t="s">
        <v>356</v>
      </c>
      <c r="X1132" s="198" t="s">
        <v>57</v>
      </c>
      <c r="Y1132" s="198" t="s">
        <v>58</v>
      </c>
      <c r="Z1132" s="201">
        <v>46203</v>
      </c>
      <c r="AA1132" s="198" t="s">
        <v>59</v>
      </c>
      <c r="AB1132" s="198" t="s">
        <v>60</v>
      </c>
      <c r="AC1132" s="198" t="s">
        <v>86</v>
      </c>
      <c r="AD1132" s="198" t="s">
        <v>62</v>
      </c>
      <c r="AE1132" s="198" t="s">
        <v>677</v>
      </c>
      <c r="AF1132" s="198" t="s">
        <v>676</v>
      </c>
      <c r="AG1132" s="198" t="s">
        <v>189</v>
      </c>
      <c r="AH1132" s="198" t="s">
        <v>126</v>
      </c>
      <c r="AI1132" s="198" t="s">
        <v>56</v>
      </c>
      <c r="AJ1132" s="198" t="s">
        <v>76</v>
      </c>
      <c r="AK1132" s="198" t="s">
        <v>51</v>
      </c>
      <c r="AL1132" s="198" t="s">
        <v>67</v>
      </c>
      <c r="AM1132" s="198" t="s">
        <v>68</v>
      </c>
      <c r="AN1132" s="202">
        <v>22262.400000000001</v>
      </c>
      <c r="AO1132" s="202">
        <v>22262.400000000001</v>
      </c>
      <c r="AP1132" s="202">
        <v>22262.400000000001</v>
      </c>
      <c r="AQ1132" s="198" t="s">
        <v>358</v>
      </c>
      <c r="AR1132" s="198" t="s">
        <v>51</v>
      </c>
      <c r="AS1132" s="202">
        <v>22262.400000000001</v>
      </c>
      <c r="AT1132" s="202">
        <v>22262.400000000001</v>
      </c>
      <c r="AU1132" s="198" t="s">
        <v>359</v>
      </c>
      <c r="AV1132" s="198" t="s">
        <v>62</v>
      </c>
      <c r="AW1132" s="198" t="s">
        <v>54</v>
      </c>
    </row>
    <row r="1133" spans="3:49" outlineLevel="2" x14ac:dyDescent="0.25">
      <c r="C1133" s="201"/>
      <c r="D1133" s="198" t="s">
        <v>135</v>
      </c>
      <c r="H1133" s="198" t="s">
        <v>135</v>
      </c>
      <c r="I1133" s="202">
        <f t="shared" si="17"/>
        <v>471596265.90000004</v>
      </c>
      <c r="J1133" s="202">
        <v>114.2</v>
      </c>
      <c r="L1133" s="204">
        <v>15</v>
      </c>
      <c r="M1133" s="202">
        <v>22262.400000000001</v>
      </c>
      <c r="N1133" s="204">
        <v>15</v>
      </c>
      <c r="O1133" s="198" t="s">
        <v>51</v>
      </c>
      <c r="P1133" s="202">
        <v>22262.400000000001</v>
      </c>
      <c r="Q1133" s="198" t="s">
        <v>75</v>
      </c>
      <c r="R1133" s="198" t="s">
        <v>53</v>
      </c>
      <c r="S1133" s="198" t="s">
        <v>54</v>
      </c>
      <c r="T1133" s="198" t="s">
        <v>673</v>
      </c>
      <c r="U1133" s="198" t="s">
        <v>367</v>
      </c>
      <c r="V1133" s="198" t="s">
        <v>56</v>
      </c>
      <c r="W1133" s="198" t="s">
        <v>356</v>
      </c>
      <c r="X1133" s="198" t="s">
        <v>57</v>
      </c>
      <c r="Y1133" s="198" t="s">
        <v>58</v>
      </c>
      <c r="Z1133" s="201">
        <v>46203</v>
      </c>
      <c r="AA1133" s="198" t="s">
        <v>59</v>
      </c>
      <c r="AB1133" s="198" t="s">
        <v>60</v>
      </c>
      <c r="AC1133" s="198" t="s">
        <v>86</v>
      </c>
      <c r="AD1133" s="198" t="s">
        <v>62</v>
      </c>
      <c r="AE1133" s="198" t="s">
        <v>677</v>
      </c>
      <c r="AF1133" s="198" t="s">
        <v>676</v>
      </c>
      <c r="AG1133" s="198" t="s">
        <v>189</v>
      </c>
      <c r="AH1133" s="198" t="s">
        <v>117</v>
      </c>
      <c r="AI1133" s="198" t="s">
        <v>56</v>
      </c>
      <c r="AJ1133" s="198" t="s">
        <v>76</v>
      </c>
      <c r="AK1133" s="198" t="s">
        <v>51</v>
      </c>
      <c r="AL1133" s="198" t="s">
        <v>67</v>
      </c>
      <c r="AM1133" s="198" t="s">
        <v>68</v>
      </c>
      <c r="AN1133" s="202">
        <v>22262.400000000001</v>
      </c>
      <c r="AO1133" s="202">
        <v>22262.400000000001</v>
      </c>
      <c r="AP1133" s="202">
        <v>22262.400000000001</v>
      </c>
      <c r="AQ1133" s="198" t="s">
        <v>358</v>
      </c>
      <c r="AR1133" s="198" t="s">
        <v>51</v>
      </c>
      <c r="AS1133" s="202">
        <v>22262.400000000001</v>
      </c>
      <c r="AT1133" s="202">
        <v>22262.400000000001</v>
      </c>
      <c r="AU1133" s="198" t="s">
        <v>359</v>
      </c>
      <c r="AV1133" s="198" t="s">
        <v>62</v>
      </c>
      <c r="AW1133" s="198" t="s">
        <v>54</v>
      </c>
    </row>
    <row r="1134" spans="3:49" outlineLevel="2" x14ac:dyDescent="0.25">
      <c r="C1134" s="201"/>
      <c r="D1134" s="198" t="s">
        <v>136</v>
      </c>
      <c r="H1134" s="198" t="s">
        <v>136</v>
      </c>
      <c r="I1134" s="202">
        <f t="shared" si="17"/>
        <v>472009222.34999996</v>
      </c>
      <c r="J1134" s="202">
        <v>114.3</v>
      </c>
      <c r="L1134" s="204">
        <v>7</v>
      </c>
      <c r="M1134" s="202">
        <v>3408930</v>
      </c>
      <c r="N1134" s="204">
        <v>0</v>
      </c>
      <c r="O1134" s="198" t="s">
        <v>51</v>
      </c>
      <c r="P1134" s="202">
        <v>0.4</v>
      </c>
      <c r="Q1134" s="198" t="s">
        <v>73</v>
      </c>
      <c r="R1134" s="198" t="s">
        <v>53</v>
      </c>
      <c r="S1134" s="198" t="s">
        <v>54</v>
      </c>
      <c r="T1134" s="198" t="s">
        <v>673</v>
      </c>
      <c r="U1134" s="198" t="s">
        <v>367</v>
      </c>
      <c r="V1134" s="198" t="s">
        <v>56</v>
      </c>
      <c r="W1134" s="198" t="s">
        <v>356</v>
      </c>
      <c r="X1134" s="198" t="s">
        <v>57</v>
      </c>
      <c r="Y1134" s="198" t="s">
        <v>58</v>
      </c>
      <c r="Z1134" s="201">
        <v>46203</v>
      </c>
      <c r="AA1134" s="198" t="s">
        <v>59</v>
      </c>
      <c r="AB1134" s="198" t="s">
        <v>60</v>
      </c>
      <c r="AC1134" s="198" t="s">
        <v>86</v>
      </c>
      <c r="AD1134" s="198" t="s">
        <v>62</v>
      </c>
      <c r="AE1134" s="198" t="s">
        <v>675</v>
      </c>
      <c r="AF1134" s="198" t="s">
        <v>674</v>
      </c>
      <c r="AG1134" s="198" t="s">
        <v>189</v>
      </c>
      <c r="AH1134" s="198" t="s">
        <v>137</v>
      </c>
      <c r="AI1134" s="198" t="s">
        <v>56</v>
      </c>
      <c r="AJ1134" s="198" t="s">
        <v>127</v>
      </c>
      <c r="AK1134" s="198" t="s">
        <v>51</v>
      </c>
      <c r="AL1134" s="198" t="s">
        <v>67</v>
      </c>
      <c r="AM1134" s="198" t="s">
        <v>68</v>
      </c>
      <c r="AN1134" s="202">
        <v>3408930</v>
      </c>
      <c r="AO1134" s="202">
        <v>3408930</v>
      </c>
      <c r="AP1134" s="202">
        <v>3408930</v>
      </c>
      <c r="AQ1134" s="198" t="s">
        <v>358</v>
      </c>
      <c r="AR1134" s="198" t="s">
        <v>51</v>
      </c>
      <c r="AS1134" s="202">
        <v>0.4</v>
      </c>
      <c r="AT1134" s="202">
        <v>0.4</v>
      </c>
      <c r="AU1134" s="198" t="s">
        <v>359</v>
      </c>
      <c r="AV1134" s="198" t="s">
        <v>62</v>
      </c>
      <c r="AW1134" s="198" t="s">
        <v>54</v>
      </c>
    </row>
    <row r="1135" spans="3:49" outlineLevel="2" x14ac:dyDescent="0.25">
      <c r="C1135" s="201"/>
      <c r="D1135" s="198" t="s">
        <v>136</v>
      </c>
      <c r="H1135" s="198" t="s">
        <v>136</v>
      </c>
      <c r="I1135" s="202">
        <f t="shared" si="17"/>
        <v>472422178.80000001</v>
      </c>
      <c r="J1135" s="202">
        <v>114.4</v>
      </c>
      <c r="L1135" s="204">
        <v>15</v>
      </c>
      <c r="M1135" s="202">
        <v>22262.400000000001</v>
      </c>
      <c r="N1135" s="204">
        <v>15</v>
      </c>
      <c r="O1135" s="198" t="s">
        <v>51</v>
      </c>
      <c r="P1135" s="202">
        <v>22262.400000000001</v>
      </c>
      <c r="Q1135" s="198" t="s">
        <v>75</v>
      </c>
      <c r="R1135" s="198" t="s">
        <v>53</v>
      </c>
      <c r="S1135" s="198" t="s">
        <v>54</v>
      </c>
      <c r="T1135" s="198" t="s">
        <v>673</v>
      </c>
      <c r="U1135" s="198" t="s">
        <v>367</v>
      </c>
      <c r="V1135" s="198" t="s">
        <v>56</v>
      </c>
      <c r="W1135" s="198" t="s">
        <v>356</v>
      </c>
      <c r="X1135" s="198" t="s">
        <v>57</v>
      </c>
      <c r="Y1135" s="198" t="s">
        <v>58</v>
      </c>
      <c r="Z1135" s="201">
        <v>46203</v>
      </c>
      <c r="AA1135" s="198" t="s">
        <v>59</v>
      </c>
      <c r="AB1135" s="198" t="s">
        <v>60</v>
      </c>
      <c r="AC1135" s="198" t="s">
        <v>86</v>
      </c>
      <c r="AD1135" s="198" t="s">
        <v>62</v>
      </c>
      <c r="AE1135" s="198" t="s">
        <v>677</v>
      </c>
      <c r="AF1135" s="198" t="s">
        <v>676</v>
      </c>
      <c r="AG1135" s="198" t="s">
        <v>189</v>
      </c>
      <c r="AH1135" s="198" t="s">
        <v>137</v>
      </c>
      <c r="AI1135" s="198" t="s">
        <v>56</v>
      </c>
      <c r="AJ1135" s="198" t="s">
        <v>76</v>
      </c>
      <c r="AK1135" s="198" t="s">
        <v>51</v>
      </c>
      <c r="AL1135" s="198" t="s">
        <v>67</v>
      </c>
      <c r="AM1135" s="198" t="s">
        <v>68</v>
      </c>
      <c r="AN1135" s="202">
        <v>22262.400000000001</v>
      </c>
      <c r="AO1135" s="202">
        <v>22262.400000000001</v>
      </c>
      <c r="AP1135" s="202">
        <v>22262.400000000001</v>
      </c>
      <c r="AQ1135" s="198" t="s">
        <v>358</v>
      </c>
      <c r="AR1135" s="198" t="s">
        <v>51</v>
      </c>
      <c r="AS1135" s="202">
        <v>22262.400000000001</v>
      </c>
      <c r="AT1135" s="202">
        <v>22262.400000000001</v>
      </c>
      <c r="AU1135" s="198" t="s">
        <v>359</v>
      </c>
      <c r="AV1135" s="198" t="s">
        <v>62</v>
      </c>
      <c r="AW1135" s="198" t="s">
        <v>54</v>
      </c>
    </row>
    <row r="1136" spans="3:49" outlineLevel="2" x14ac:dyDescent="0.25">
      <c r="C1136" s="201"/>
      <c r="D1136" s="198" t="s">
        <v>129</v>
      </c>
      <c r="H1136" s="198" t="s">
        <v>129</v>
      </c>
      <c r="I1136" s="202">
        <f t="shared" si="17"/>
        <v>472835135.25</v>
      </c>
      <c r="J1136" s="202">
        <v>114.5</v>
      </c>
      <c r="L1136" s="204">
        <v>7</v>
      </c>
      <c r="M1136" s="202">
        <v>3408930</v>
      </c>
      <c r="N1136" s="204">
        <v>0</v>
      </c>
      <c r="O1136" s="198" t="s">
        <v>51</v>
      </c>
      <c r="P1136" s="202">
        <v>0.4</v>
      </c>
      <c r="Q1136" s="198" t="s">
        <v>73</v>
      </c>
      <c r="R1136" s="198" t="s">
        <v>53</v>
      </c>
      <c r="S1136" s="198" t="s">
        <v>54</v>
      </c>
      <c r="T1136" s="198" t="s">
        <v>673</v>
      </c>
      <c r="U1136" s="198" t="s">
        <v>367</v>
      </c>
      <c r="V1136" s="198" t="s">
        <v>56</v>
      </c>
      <c r="W1136" s="198" t="s">
        <v>356</v>
      </c>
      <c r="X1136" s="198" t="s">
        <v>57</v>
      </c>
      <c r="Y1136" s="198" t="s">
        <v>58</v>
      </c>
      <c r="Z1136" s="201">
        <v>46203</v>
      </c>
      <c r="AA1136" s="198" t="s">
        <v>59</v>
      </c>
      <c r="AB1136" s="198" t="s">
        <v>60</v>
      </c>
      <c r="AC1136" s="198" t="s">
        <v>86</v>
      </c>
      <c r="AD1136" s="198" t="s">
        <v>62</v>
      </c>
      <c r="AE1136" s="198" t="s">
        <v>675</v>
      </c>
      <c r="AF1136" s="198" t="s">
        <v>674</v>
      </c>
      <c r="AG1136" s="198" t="s">
        <v>189</v>
      </c>
      <c r="AH1136" s="198" t="s">
        <v>130</v>
      </c>
      <c r="AI1136" s="198" t="s">
        <v>56</v>
      </c>
      <c r="AJ1136" s="198" t="s">
        <v>127</v>
      </c>
      <c r="AK1136" s="198" t="s">
        <v>51</v>
      </c>
      <c r="AL1136" s="198" t="s">
        <v>67</v>
      </c>
      <c r="AM1136" s="198" t="s">
        <v>68</v>
      </c>
      <c r="AN1136" s="202">
        <v>3408930</v>
      </c>
      <c r="AO1136" s="202">
        <v>3408930</v>
      </c>
      <c r="AP1136" s="202">
        <v>3408930</v>
      </c>
      <c r="AQ1136" s="198" t="s">
        <v>358</v>
      </c>
      <c r="AR1136" s="198" t="s">
        <v>51</v>
      </c>
      <c r="AS1136" s="202">
        <v>0.4</v>
      </c>
      <c r="AT1136" s="202">
        <v>0.4</v>
      </c>
      <c r="AU1136" s="198" t="s">
        <v>359</v>
      </c>
      <c r="AV1136" s="198" t="s">
        <v>62</v>
      </c>
      <c r="AW1136" s="198" t="s">
        <v>54</v>
      </c>
    </row>
    <row r="1137" spans="3:49" outlineLevel="2" x14ac:dyDescent="0.25">
      <c r="C1137" s="201"/>
      <c r="D1137" s="198" t="s">
        <v>129</v>
      </c>
      <c r="H1137" s="198" t="s">
        <v>129</v>
      </c>
      <c r="I1137" s="202">
        <f t="shared" si="17"/>
        <v>473248091.69999999</v>
      </c>
      <c r="J1137" s="202">
        <v>114.6</v>
      </c>
      <c r="L1137" s="204">
        <v>15</v>
      </c>
      <c r="M1137" s="202">
        <v>22262.400000000001</v>
      </c>
      <c r="N1137" s="204">
        <v>15</v>
      </c>
      <c r="O1137" s="198" t="s">
        <v>51</v>
      </c>
      <c r="P1137" s="202">
        <v>22262.400000000001</v>
      </c>
      <c r="Q1137" s="198" t="s">
        <v>75</v>
      </c>
      <c r="R1137" s="198" t="s">
        <v>53</v>
      </c>
      <c r="S1137" s="198" t="s">
        <v>54</v>
      </c>
      <c r="T1137" s="198" t="s">
        <v>673</v>
      </c>
      <c r="U1137" s="198" t="s">
        <v>367</v>
      </c>
      <c r="V1137" s="198" t="s">
        <v>56</v>
      </c>
      <c r="W1137" s="198" t="s">
        <v>356</v>
      </c>
      <c r="X1137" s="198" t="s">
        <v>57</v>
      </c>
      <c r="Y1137" s="198" t="s">
        <v>58</v>
      </c>
      <c r="Z1137" s="201">
        <v>46203</v>
      </c>
      <c r="AA1137" s="198" t="s">
        <v>59</v>
      </c>
      <c r="AB1137" s="198" t="s">
        <v>60</v>
      </c>
      <c r="AC1137" s="198" t="s">
        <v>86</v>
      </c>
      <c r="AD1137" s="198" t="s">
        <v>62</v>
      </c>
      <c r="AE1137" s="198" t="s">
        <v>677</v>
      </c>
      <c r="AF1137" s="198" t="s">
        <v>676</v>
      </c>
      <c r="AG1137" s="198" t="s">
        <v>189</v>
      </c>
      <c r="AH1137" s="198" t="s">
        <v>130</v>
      </c>
      <c r="AI1137" s="198" t="s">
        <v>56</v>
      </c>
      <c r="AJ1137" s="198" t="s">
        <v>76</v>
      </c>
      <c r="AK1137" s="198" t="s">
        <v>51</v>
      </c>
      <c r="AL1137" s="198" t="s">
        <v>67</v>
      </c>
      <c r="AM1137" s="198" t="s">
        <v>68</v>
      </c>
      <c r="AN1137" s="202">
        <v>22262.400000000001</v>
      </c>
      <c r="AO1137" s="202">
        <v>22262.400000000001</v>
      </c>
      <c r="AP1137" s="202">
        <v>22262.400000000001</v>
      </c>
      <c r="AQ1137" s="198" t="s">
        <v>358</v>
      </c>
      <c r="AR1137" s="198" t="s">
        <v>51</v>
      </c>
      <c r="AS1137" s="202">
        <v>22262.400000000001</v>
      </c>
      <c r="AT1137" s="202">
        <v>22262.400000000001</v>
      </c>
      <c r="AU1137" s="198" t="s">
        <v>359</v>
      </c>
      <c r="AV1137" s="198" t="s">
        <v>62</v>
      </c>
      <c r="AW1137" s="198" t="s">
        <v>54</v>
      </c>
    </row>
    <row r="1138" spans="3:49" outlineLevel="2" x14ac:dyDescent="0.25">
      <c r="C1138" s="201"/>
      <c r="D1138" s="198" t="s">
        <v>131</v>
      </c>
      <c r="H1138" s="198" t="s">
        <v>131</v>
      </c>
      <c r="I1138" s="202">
        <f t="shared" si="17"/>
        <v>473661048.15000004</v>
      </c>
      <c r="J1138" s="202">
        <v>114.7</v>
      </c>
      <c r="L1138" s="204">
        <v>7</v>
      </c>
      <c r="M1138" s="202">
        <v>3408930</v>
      </c>
      <c r="N1138" s="204">
        <v>0</v>
      </c>
      <c r="O1138" s="198" t="s">
        <v>51</v>
      </c>
      <c r="P1138" s="202">
        <v>0.4</v>
      </c>
      <c r="Q1138" s="198" t="s">
        <v>73</v>
      </c>
      <c r="R1138" s="198" t="s">
        <v>53</v>
      </c>
      <c r="S1138" s="198" t="s">
        <v>54</v>
      </c>
      <c r="T1138" s="198" t="s">
        <v>673</v>
      </c>
      <c r="U1138" s="198" t="s">
        <v>367</v>
      </c>
      <c r="V1138" s="198" t="s">
        <v>56</v>
      </c>
      <c r="W1138" s="198" t="s">
        <v>356</v>
      </c>
      <c r="X1138" s="198" t="s">
        <v>57</v>
      </c>
      <c r="Y1138" s="198" t="s">
        <v>58</v>
      </c>
      <c r="Z1138" s="201">
        <v>46203</v>
      </c>
      <c r="AA1138" s="198" t="s">
        <v>59</v>
      </c>
      <c r="AB1138" s="198" t="s">
        <v>60</v>
      </c>
      <c r="AC1138" s="198" t="s">
        <v>86</v>
      </c>
      <c r="AD1138" s="198" t="s">
        <v>62</v>
      </c>
      <c r="AE1138" s="198" t="s">
        <v>675</v>
      </c>
      <c r="AF1138" s="198" t="s">
        <v>674</v>
      </c>
      <c r="AG1138" s="198" t="s">
        <v>189</v>
      </c>
      <c r="AH1138" s="198" t="s">
        <v>132</v>
      </c>
      <c r="AI1138" s="198" t="s">
        <v>56</v>
      </c>
      <c r="AJ1138" s="198" t="s">
        <v>127</v>
      </c>
      <c r="AK1138" s="198" t="s">
        <v>51</v>
      </c>
      <c r="AL1138" s="198" t="s">
        <v>67</v>
      </c>
      <c r="AM1138" s="198" t="s">
        <v>68</v>
      </c>
      <c r="AN1138" s="202">
        <v>3408930</v>
      </c>
      <c r="AO1138" s="202">
        <v>3408930</v>
      </c>
      <c r="AP1138" s="202">
        <v>3408930</v>
      </c>
      <c r="AQ1138" s="198" t="s">
        <v>358</v>
      </c>
      <c r="AR1138" s="198" t="s">
        <v>51</v>
      </c>
      <c r="AS1138" s="202">
        <v>0.4</v>
      </c>
      <c r="AT1138" s="202">
        <v>0.4</v>
      </c>
      <c r="AU1138" s="198" t="s">
        <v>359</v>
      </c>
      <c r="AV1138" s="198" t="s">
        <v>62</v>
      </c>
      <c r="AW1138" s="198" t="s">
        <v>54</v>
      </c>
    </row>
    <row r="1139" spans="3:49" outlineLevel="2" x14ac:dyDescent="0.25">
      <c r="C1139" s="201"/>
      <c r="D1139" s="198" t="s">
        <v>131</v>
      </c>
      <c r="H1139" s="198" t="s">
        <v>131</v>
      </c>
      <c r="I1139" s="202">
        <f t="shared" si="17"/>
        <v>474074004.59999996</v>
      </c>
      <c r="J1139" s="202">
        <v>114.8</v>
      </c>
      <c r="L1139" s="204">
        <v>15</v>
      </c>
      <c r="M1139" s="202">
        <v>22262.400000000001</v>
      </c>
      <c r="N1139" s="204">
        <v>15</v>
      </c>
      <c r="O1139" s="198" t="s">
        <v>51</v>
      </c>
      <c r="P1139" s="202">
        <v>22262.400000000001</v>
      </c>
      <c r="Q1139" s="198" t="s">
        <v>75</v>
      </c>
      <c r="R1139" s="198" t="s">
        <v>53</v>
      </c>
      <c r="S1139" s="198" t="s">
        <v>54</v>
      </c>
      <c r="T1139" s="198" t="s">
        <v>673</v>
      </c>
      <c r="U1139" s="198" t="s">
        <v>367</v>
      </c>
      <c r="V1139" s="198" t="s">
        <v>56</v>
      </c>
      <c r="W1139" s="198" t="s">
        <v>356</v>
      </c>
      <c r="X1139" s="198" t="s">
        <v>57</v>
      </c>
      <c r="Y1139" s="198" t="s">
        <v>58</v>
      </c>
      <c r="Z1139" s="201">
        <v>46203</v>
      </c>
      <c r="AA1139" s="198" t="s">
        <v>59</v>
      </c>
      <c r="AB1139" s="198" t="s">
        <v>60</v>
      </c>
      <c r="AC1139" s="198" t="s">
        <v>86</v>
      </c>
      <c r="AD1139" s="198" t="s">
        <v>62</v>
      </c>
      <c r="AE1139" s="198" t="s">
        <v>677</v>
      </c>
      <c r="AF1139" s="198" t="s">
        <v>676</v>
      </c>
      <c r="AG1139" s="198" t="s">
        <v>189</v>
      </c>
      <c r="AH1139" s="198" t="s">
        <v>132</v>
      </c>
      <c r="AI1139" s="198" t="s">
        <v>56</v>
      </c>
      <c r="AJ1139" s="198" t="s">
        <v>76</v>
      </c>
      <c r="AK1139" s="198" t="s">
        <v>51</v>
      </c>
      <c r="AL1139" s="198" t="s">
        <v>67</v>
      </c>
      <c r="AM1139" s="198" t="s">
        <v>68</v>
      </c>
      <c r="AN1139" s="202">
        <v>22262.400000000001</v>
      </c>
      <c r="AO1139" s="202">
        <v>22262.400000000001</v>
      </c>
      <c r="AP1139" s="202">
        <v>22262.400000000001</v>
      </c>
      <c r="AQ1139" s="198" t="s">
        <v>358</v>
      </c>
      <c r="AR1139" s="198" t="s">
        <v>51</v>
      </c>
      <c r="AS1139" s="202">
        <v>22262.400000000001</v>
      </c>
      <c r="AT1139" s="202">
        <v>22262.400000000001</v>
      </c>
      <c r="AU1139" s="198" t="s">
        <v>359</v>
      </c>
      <c r="AV1139" s="198" t="s">
        <v>62</v>
      </c>
      <c r="AW1139" s="198" t="s">
        <v>54</v>
      </c>
    </row>
    <row r="1140" spans="3:49" outlineLevel="2" x14ac:dyDescent="0.25">
      <c r="C1140" s="201"/>
      <c r="D1140" s="198" t="s">
        <v>133</v>
      </c>
      <c r="H1140" s="198" t="s">
        <v>133</v>
      </c>
      <c r="I1140" s="202">
        <f t="shared" si="17"/>
        <v>474486961.05000001</v>
      </c>
      <c r="J1140" s="202">
        <v>114.9</v>
      </c>
      <c r="L1140" s="204">
        <v>15</v>
      </c>
      <c r="M1140" s="202">
        <v>22260</v>
      </c>
      <c r="N1140" s="204">
        <v>15</v>
      </c>
      <c r="O1140" s="198" t="s">
        <v>51</v>
      </c>
      <c r="P1140" s="202">
        <v>22260</v>
      </c>
      <c r="Q1140" s="198" t="s">
        <v>75</v>
      </c>
      <c r="R1140" s="198" t="s">
        <v>53</v>
      </c>
      <c r="S1140" s="198" t="s">
        <v>54</v>
      </c>
      <c r="T1140" s="198" t="s">
        <v>673</v>
      </c>
      <c r="U1140" s="198" t="s">
        <v>367</v>
      </c>
      <c r="V1140" s="198" t="s">
        <v>56</v>
      </c>
      <c r="W1140" s="198" t="s">
        <v>356</v>
      </c>
      <c r="X1140" s="198" t="s">
        <v>57</v>
      </c>
      <c r="Y1140" s="198" t="s">
        <v>58</v>
      </c>
      <c r="Z1140" s="201">
        <v>46203</v>
      </c>
      <c r="AA1140" s="198" t="s">
        <v>59</v>
      </c>
      <c r="AB1140" s="198" t="s">
        <v>60</v>
      </c>
      <c r="AC1140" s="198" t="s">
        <v>86</v>
      </c>
      <c r="AD1140" s="198" t="s">
        <v>62</v>
      </c>
      <c r="AE1140" s="198" t="s">
        <v>677</v>
      </c>
      <c r="AF1140" s="198" t="s">
        <v>676</v>
      </c>
      <c r="AG1140" s="198" t="s">
        <v>189</v>
      </c>
      <c r="AH1140" s="198" t="s">
        <v>134</v>
      </c>
      <c r="AI1140" s="198" t="s">
        <v>56</v>
      </c>
      <c r="AJ1140" s="198" t="s">
        <v>76</v>
      </c>
      <c r="AK1140" s="198" t="s">
        <v>51</v>
      </c>
      <c r="AL1140" s="198" t="s">
        <v>67</v>
      </c>
      <c r="AM1140" s="198" t="s">
        <v>68</v>
      </c>
      <c r="AN1140" s="202">
        <v>22260</v>
      </c>
      <c r="AO1140" s="202">
        <v>22260</v>
      </c>
      <c r="AP1140" s="202">
        <v>22260</v>
      </c>
      <c r="AQ1140" s="198" t="s">
        <v>358</v>
      </c>
      <c r="AR1140" s="198" t="s">
        <v>51</v>
      </c>
      <c r="AS1140" s="202">
        <v>22260</v>
      </c>
      <c r="AT1140" s="202">
        <v>22260</v>
      </c>
      <c r="AU1140" s="198" t="s">
        <v>359</v>
      </c>
      <c r="AV1140" s="198" t="s">
        <v>62</v>
      </c>
      <c r="AW1140" s="198" t="s">
        <v>54</v>
      </c>
    </row>
    <row r="1141" spans="3:49" outlineLevel="2" x14ac:dyDescent="0.25">
      <c r="C1141" s="201"/>
      <c r="D1141" s="198" t="s">
        <v>197</v>
      </c>
      <c r="H1141" s="198" t="s">
        <v>197</v>
      </c>
      <c r="I1141" s="202">
        <f t="shared" si="17"/>
        <v>474899917.5</v>
      </c>
      <c r="J1141" s="202">
        <v>115</v>
      </c>
      <c r="L1141" s="203">
        <v>203.583</v>
      </c>
      <c r="M1141" s="202">
        <v>18302.11</v>
      </c>
      <c r="N1141" s="203">
        <v>0.58299999999999996</v>
      </c>
      <c r="O1141" s="198" t="s">
        <v>51</v>
      </c>
      <c r="P1141" s="202">
        <v>52.41</v>
      </c>
      <c r="Q1141" s="198" t="s">
        <v>141</v>
      </c>
      <c r="R1141" s="198" t="s">
        <v>53</v>
      </c>
      <c r="S1141" s="198" t="s">
        <v>54</v>
      </c>
      <c r="T1141" s="198" t="s">
        <v>678</v>
      </c>
      <c r="U1141" s="198" t="s">
        <v>364</v>
      </c>
      <c r="V1141" s="198" t="s">
        <v>56</v>
      </c>
      <c r="W1141" s="198" t="s">
        <v>356</v>
      </c>
      <c r="X1141" s="198" t="s">
        <v>57</v>
      </c>
      <c r="Y1141" s="198" t="s">
        <v>58</v>
      </c>
      <c r="Z1141" s="201">
        <v>46142</v>
      </c>
      <c r="AA1141" s="198" t="s">
        <v>59</v>
      </c>
      <c r="AB1141" s="198" t="s">
        <v>60</v>
      </c>
      <c r="AC1141" s="198" t="s">
        <v>86</v>
      </c>
      <c r="AD1141" s="198" t="s">
        <v>62</v>
      </c>
      <c r="AE1141" s="198" t="s">
        <v>142</v>
      </c>
      <c r="AF1141" s="198" t="s">
        <v>140</v>
      </c>
      <c r="AG1141" s="198" t="s">
        <v>56</v>
      </c>
      <c r="AH1141" s="198" t="s">
        <v>156</v>
      </c>
      <c r="AI1141" s="198" t="s">
        <v>56</v>
      </c>
      <c r="AJ1141" s="198" t="s">
        <v>144</v>
      </c>
      <c r="AK1141" s="198" t="s">
        <v>51</v>
      </c>
      <c r="AL1141" s="198" t="s">
        <v>67</v>
      </c>
      <c r="AM1141" s="198" t="s">
        <v>68</v>
      </c>
      <c r="AN1141" s="202">
        <v>18302.11</v>
      </c>
      <c r="AO1141" s="202">
        <v>18302.11</v>
      </c>
      <c r="AP1141" s="202">
        <v>18302.11</v>
      </c>
      <c r="AQ1141" s="198" t="s">
        <v>358</v>
      </c>
      <c r="AR1141" s="198" t="s">
        <v>51</v>
      </c>
      <c r="AS1141" s="202">
        <v>52.41</v>
      </c>
      <c r="AT1141" s="202">
        <v>52.41</v>
      </c>
      <c r="AU1141" s="198" t="s">
        <v>359</v>
      </c>
      <c r="AV1141" s="198" t="s">
        <v>62</v>
      </c>
      <c r="AW1141" s="198" t="s">
        <v>54</v>
      </c>
    </row>
    <row r="1142" spans="3:49" outlineLevel="2" x14ac:dyDescent="0.25">
      <c r="C1142" s="201"/>
      <c r="D1142" s="198" t="s">
        <v>138</v>
      </c>
      <c r="H1142" s="198" t="s">
        <v>138</v>
      </c>
      <c r="I1142" s="202">
        <f t="shared" si="17"/>
        <v>475312873.94999999</v>
      </c>
      <c r="J1142" s="202">
        <v>115.1</v>
      </c>
      <c r="L1142" s="203">
        <v>267.41899999999998</v>
      </c>
      <c r="M1142" s="202">
        <v>24040.97</v>
      </c>
      <c r="N1142" s="203">
        <v>0.41899999999999998</v>
      </c>
      <c r="O1142" s="198" t="s">
        <v>51</v>
      </c>
      <c r="P1142" s="202">
        <v>37.67</v>
      </c>
      <c r="Q1142" s="198" t="s">
        <v>141</v>
      </c>
      <c r="R1142" s="198" t="s">
        <v>53</v>
      </c>
      <c r="S1142" s="198" t="s">
        <v>54</v>
      </c>
      <c r="T1142" s="198" t="s">
        <v>678</v>
      </c>
      <c r="U1142" s="198" t="s">
        <v>364</v>
      </c>
      <c r="V1142" s="198" t="s">
        <v>56</v>
      </c>
      <c r="W1142" s="198" t="s">
        <v>356</v>
      </c>
      <c r="X1142" s="198" t="s">
        <v>57</v>
      </c>
      <c r="Y1142" s="198" t="s">
        <v>58</v>
      </c>
      <c r="Z1142" s="201">
        <v>46142</v>
      </c>
      <c r="AA1142" s="198" t="s">
        <v>59</v>
      </c>
      <c r="AB1142" s="198" t="s">
        <v>60</v>
      </c>
      <c r="AC1142" s="198" t="s">
        <v>86</v>
      </c>
      <c r="AD1142" s="198" t="s">
        <v>62</v>
      </c>
      <c r="AE1142" s="198" t="s">
        <v>142</v>
      </c>
      <c r="AF1142" s="198" t="s">
        <v>140</v>
      </c>
      <c r="AG1142" s="198" t="s">
        <v>56</v>
      </c>
      <c r="AH1142" s="198" t="s">
        <v>143</v>
      </c>
      <c r="AI1142" s="198" t="s">
        <v>56</v>
      </c>
      <c r="AJ1142" s="198" t="s">
        <v>144</v>
      </c>
      <c r="AK1142" s="198" t="s">
        <v>51</v>
      </c>
      <c r="AL1142" s="198" t="s">
        <v>67</v>
      </c>
      <c r="AM1142" s="198" t="s">
        <v>68</v>
      </c>
      <c r="AN1142" s="202">
        <v>24040.97</v>
      </c>
      <c r="AO1142" s="202">
        <v>24040.97</v>
      </c>
      <c r="AP1142" s="202">
        <v>24040.97</v>
      </c>
      <c r="AQ1142" s="198" t="s">
        <v>358</v>
      </c>
      <c r="AR1142" s="198" t="s">
        <v>51</v>
      </c>
      <c r="AS1142" s="202">
        <v>37.67</v>
      </c>
      <c r="AT1142" s="202">
        <v>37.67</v>
      </c>
      <c r="AU1142" s="198" t="s">
        <v>359</v>
      </c>
      <c r="AV1142" s="198" t="s">
        <v>62</v>
      </c>
      <c r="AW1142" s="198" t="s">
        <v>54</v>
      </c>
    </row>
    <row r="1143" spans="3:49" outlineLevel="2" x14ac:dyDescent="0.25">
      <c r="C1143" s="201"/>
      <c r="D1143" s="198" t="s">
        <v>188</v>
      </c>
      <c r="H1143" s="198" t="s">
        <v>188</v>
      </c>
      <c r="I1143" s="202">
        <f t="shared" si="17"/>
        <v>475725830.40000004</v>
      </c>
      <c r="J1143" s="202">
        <v>115.2</v>
      </c>
      <c r="L1143" s="204">
        <v>9</v>
      </c>
      <c r="M1143" s="202">
        <v>13500000</v>
      </c>
      <c r="N1143" s="204">
        <v>9</v>
      </c>
      <c r="O1143" s="198" t="s">
        <v>51</v>
      </c>
      <c r="P1143" s="202">
        <v>13500000</v>
      </c>
      <c r="Q1143" s="198" t="s">
        <v>342</v>
      </c>
      <c r="R1143" s="198" t="s">
        <v>53</v>
      </c>
      <c r="S1143" s="198" t="s">
        <v>54</v>
      </c>
      <c r="T1143" s="198" t="s">
        <v>1744</v>
      </c>
      <c r="U1143" s="198" t="s">
        <v>367</v>
      </c>
      <c r="V1143" s="198" t="s">
        <v>56</v>
      </c>
      <c r="W1143" s="198" t="s">
        <v>356</v>
      </c>
      <c r="X1143" s="198" t="s">
        <v>57</v>
      </c>
      <c r="Y1143" s="198" t="s">
        <v>58</v>
      </c>
      <c r="Z1143" s="201">
        <v>46207</v>
      </c>
      <c r="AA1143" s="198" t="s">
        <v>59</v>
      </c>
      <c r="AB1143" s="198" t="s">
        <v>60</v>
      </c>
      <c r="AC1143" s="198" t="s">
        <v>86</v>
      </c>
      <c r="AD1143" s="198" t="s">
        <v>62</v>
      </c>
      <c r="AE1143" s="198" t="s">
        <v>1745</v>
      </c>
      <c r="AF1143" s="198" t="s">
        <v>1743</v>
      </c>
      <c r="AG1143" s="198" t="s">
        <v>248</v>
      </c>
      <c r="AH1143" s="198" t="s">
        <v>65</v>
      </c>
      <c r="AI1143" s="198" t="s">
        <v>56</v>
      </c>
      <c r="AJ1143" s="198" t="s">
        <v>74</v>
      </c>
      <c r="AK1143" s="198" t="s">
        <v>51</v>
      </c>
      <c r="AL1143" s="198" t="s">
        <v>67</v>
      </c>
      <c r="AM1143" s="198" t="s">
        <v>68</v>
      </c>
      <c r="AN1143" s="202">
        <v>13500000</v>
      </c>
      <c r="AO1143" s="202">
        <v>13500000</v>
      </c>
      <c r="AP1143" s="202">
        <v>13500000</v>
      </c>
      <c r="AQ1143" s="198" t="s">
        <v>358</v>
      </c>
      <c r="AR1143" s="198" t="s">
        <v>51</v>
      </c>
      <c r="AS1143" s="202">
        <v>13500000</v>
      </c>
      <c r="AT1143" s="202">
        <v>13500000</v>
      </c>
      <c r="AU1143" s="198" t="s">
        <v>359</v>
      </c>
      <c r="AV1143" s="198" t="s">
        <v>62</v>
      </c>
      <c r="AW1143" s="198" t="s">
        <v>54</v>
      </c>
    </row>
    <row r="1144" spans="3:49" outlineLevel="2" x14ac:dyDescent="0.25">
      <c r="C1144" s="201"/>
      <c r="D1144" s="198" t="s">
        <v>176</v>
      </c>
      <c r="H1144" s="198" t="s">
        <v>176</v>
      </c>
      <c r="I1144" s="202">
        <f t="shared" si="17"/>
        <v>476138786.84999996</v>
      </c>
      <c r="J1144" s="202">
        <v>115.3</v>
      </c>
      <c r="L1144" s="204">
        <v>8</v>
      </c>
      <c r="M1144" s="202">
        <v>12000000</v>
      </c>
      <c r="N1144" s="204">
        <v>8</v>
      </c>
      <c r="O1144" s="198" t="s">
        <v>51</v>
      </c>
      <c r="P1144" s="202">
        <v>12000000</v>
      </c>
      <c r="Q1144" s="198" t="s">
        <v>342</v>
      </c>
      <c r="R1144" s="198" t="s">
        <v>53</v>
      </c>
      <c r="S1144" s="198" t="s">
        <v>54</v>
      </c>
      <c r="T1144" s="198" t="s">
        <v>1747</v>
      </c>
      <c r="U1144" s="198" t="s">
        <v>80</v>
      </c>
      <c r="V1144" s="198" t="s">
        <v>56</v>
      </c>
      <c r="W1144" s="198" t="s">
        <v>356</v>
      </c>
      <c r="X1144" s="198" t="s">
        <v>57</v>
      </c>
      <c r="Y1144" s="198" t="s">
        <v>58</v>
      </c>
      <c r="Z1144" s="201">
        <v>46207</v>
      </c>
      <c r="AA1144" s="198" t="s">
        <v>59</v>
      </c>
      <c r="AB1144" s="198" t="s">
        <v>60</v>
      </c>
      <c r="AC1144" s="198" t="s">
        <v>86</v>
      </c>
      <c r="AD1144" s="198" t="s">
        <v>62</v>
      </c>
      <c r="AE1144" s="198" t="s">
        <v>1748</v>
      </c>
      <c r="AF1144" s="198" t="s">
        <v>1746</v>
      </c>
      <c r="AG1144" s="198" t="s">
        <v>248</v>
      </c>
      <c r="AH1144" s="198" t="s">
        <v>167</v>
      </c>
      <c r="AI1144" s="198" t="s">
        <v>56</v>
      </c>
      <c r="AJ1144" s="198" t="s">
        <v>1749</v>
      </c>
      <c r="AK1144" s="198" t="s">
        <v>51</v>
      </c>
      <c r="AL1144" s="198" t="s">
        <v>67</v>
      </c>
      <c r="AM1144" s="198" t="s">
        <v>68</v>
      </c>
      <c r="AN1144" s="202">
        <v>12000000</v>
      </c>
      <c r="AO1144" s="202">
        <v>12000000</v>
      </c>
      <c r="AP1144" s="202">
        <v>12000000</v>
      </c>
      <c r="AQ1144" s="198" t="s">
        <v>358</v>
      </c>
      <c r="AR1144" s="198" t="s">
        <v>51</v>
      </c>
      <c r="AS1144" s="202">
        <v>12000000</v>
      </c>
      <c r="AT1144" s="202">
        <v>12000000</v>
      </c>
      <c r="AU1144" s="198" t="s">
        <v>359</v>
      </c>
      <c r="AV1144" s="198" t="s">
        <v>62</v>
      </c>
      <c r="AW1144" s="198" t="s">
        <v>54</v>
      </c>
    </row>
    <row r="1145" spans="3:49" outlineLevel="2" x14ac:dyDescent="0.25">
      <c r="C1145" s="201"/>
      <c r="D1145" s="198" t="s">
        <v>670</v>
      </c>
      <c r="H1145" s="198" t="s">
        <v>670</v>
      </c>
      <c r="I1145" s="202">
        <f t="shared" si="17"/>
        <v>476551743.30000001</v>
      </c>
      <c r="J1145" s="202">
        <v>115.4</v>
      </c>
      <c r="L1145" s="204">
        <v>4</v>
      </c>
      <c r="M1145" s="202">
        <v>6000000</v>
      </c>
      <c r="N1145" s="204">
        <v>4</v>
      </c>
      <c r="O1145" s="198" t="s">
        <v>51</v>
      </c>
      <c r="P1145" s="202">
        <v>6000000</v>
      </c>
      <c r="Q1145" s="198" t="s">
        <v>342</v>
      </c>
      <c r="R1145" s="198" t="s">
        <v>53</v>
      </c>
      <c r="S1145" s="198" t="s">
        <v>54</v>
      </c>
      <c r="T1145" s="198" t="s">
        <v>1744</v>
      </c>
      <c r="U1145" s="198" t="s">
        <v>80</v>
      </c>
      <c r="V1145" s="198" t="s">
        <v>56</v>
      </c>
      <c r="W1145" s="198" t="s">
        <v>356</v>
      </c>
      <c r="X1145" s="198" t="s">
        <v>57</v>
      </c>
      <c r="Y1145" s="198" t="s">
        <v>58</v>
      </c>
      <c r="Z1145" s="201">
        <v>46207</v>
      </c>
      <c r="AA1145" s="198" t="s">
        <v>59</v>
      </c>
      <c r="AB1145" s="198" t="s">
        <v>60</v>
      </c>
      <c r="AC1145" s="198" t="s">
        <v>86</v>
      </c>
      <c r="AD1145" s="198" t="s">
        <v>62</v>
      </c>
      <c r="AE1145" s="198" t="s">
        <v>1745</v>
      </c>
      <c r="AF1145" s="198" t="s">
        <v>1743</v>
      </c>
      <c r="AG1145" s="198" t="s">
        <v>248</v>
      </c>
      <c r="AH1145" s="198" t="s">
        <v>95</v>
      </c>
      <c r="AI1145" s="198" t="s">
        <v>56</v>
      </c>
      <c r="AJ1145" s="198" t="s">
        <v>74</v>
      </c>
      <c r="AK1145" s="198" t="s">
        <v>51</v>
      </c>
      <c r="AL1145" s="198" t="s">
        <v>67</v>
      </c>
      <c r="AM1145" s="198" t="s">
        <v>68</v>
      </c>
      <c r="AN1145" s="202">
        <v>6000000</v>
      </c>
      <c r="AO1145" s="202">
        <v>6000000</v>
      </c>
      <c r="AP1145" s="202">
        <v>6000000</v>
      </c>
      <c r="AQ1145" s="198" t="s">
        <v>358</v>
      </c>
      <c r="AR1145" s="198" t="s">
        <v>51</v>
      </c>
      <c r="AS1145" s="202">
        <v>6000000</v>
      </c>
      <c r="AT1145" s="202">
        <v>6000000</v>
      </c>
      <c r="AU1145" s="198" t="s">
        <v>359</v>
      </c>
      <c r="AV1145" s="198" t="s">
        <v>62</v>
      </c>
      <c r="AW1145" s="198" t="s">
        <v>54</v>
      </c>
    </row>
    <row r="1146" spans="3:49" outlineLevel="2" x14ac:dyDescent="0.25">
      <c r="C1146" s="201"/>
      <c r="D1146" s="198" t="s">
        <v>111</v>
      </c>
      <c r="H1146" s="198" t="s">
        <v>111</v>
      </c>
      <c r="I1146" s="202">
        <f t="shared" si="17"/>
        <v>476964699.75</v>
      </c>
      <c r="J1146" s="202">
        <v>115.5</v>
      </c>
      <c r="L1146" s="204">
        <v>10</v>
      </c>
      <c r="M1146" s="202">
        <v>15000000</v>
      </c>
      <c r="N1146" s="204">
        <v>10</v>
      </c>
      <c r="O1146" s="198" t="s">
        <v>51</v>
      </c>
      <c r="P1146" s="202">
        <v>15000000</v>
      </c>
      <c r="Q1146" s="198" t="s">
        <v>342</v>
      </c>
      <c r="R1146" s="198" t="s">
        <v>53</v>
      </c>
      <c r="S1146" s="198" t="s">
        <v>54</v>
      </c>
      <c r="T1146" s="198" t="s">
        <v>1747</v>
      </c>
      <c r="U1146" s="198" t="s">
        <v>80</v>
      </c>
      <c r="V1146" s="198" t="s">
        <v>56</v>
      </c>
      <c r="W1146" s="198" t="s">
        <v>356</v>
      </c>
      <c r="X1146" s="198" t="s">
        <v>57</v>
      </c>
      <c r="Y1146" s="198" t="s">
        <v>58</v>
      </c>
      <c r="Z1146" s="201">
        <v>46207</v>
      </c>
      <c r="AA1146" s="198" t="s">
        <v>59</v>
      </c>
      <c r="AB1146" s="198" t="s">
        <v>60</v>
      </c>
      <c r="AC1146" s="198" t="s">
        <v>86</v>
      </c>
      <c r="AD1146" s="198" t="s">
        <v>62</v>
      </c>
      <c r="AE1146" s="198" t="s">
        <v>1748</v>
      </c>
      <c r="AF1146" s="198" t="s">
        <v>1746</v>
      </c>
      <c r="AG1146" s="198" t="s">
        <v>248</v>
      </c>
      <c r="AH1146" s="198" t="s">
        <v>112</v>
      </c>
      <c r="AI1146" s="198" t="s">
        <v>56</v>
      </c>
      <c r="AJ1146" s="198" t="s">
        <v>1749</v>
      </c>
      <c r="AK1146" s="198" t="s">
        <v>51</v>
      </c>
      <c r="AL1146" s="198" t="s">
        <v>67</v>
      </c>
      <c r="AM1146" s="198" t="s">
        <v>68</v>
      </c>
      <c r="AN1146" s="202">
        <v>15000000</v>
      </c>
      <c r="AO1146" s="202">
        <v>15000000</v>
      </c>
      <c r="AP1146" s="202">
        <v>15000000</v>
      </c>
      <c r="AQ1146" s="198" t="s">
        <v>358</v>
      </c>
      <c r="AR1146" s="198" t="s">
        <v>51</v>
      </c>
      <c r="AS1146" s="202">
        <v>15000000</v>
      </c>
      <c r="AT1146" s="202">
        <v>15000000</v>
      </c>
      <c r="AU1146" s="198" t="s">
        <v>359</v>
      </c>
      <c r="AV1146" s="198" t="s">
        <v>62</v>
      </c>
      <c r="AW1146" s="198" t="s">
        <v>54</v>
      </c>
    </row>
    <row r="1147" spans="3:49" outlineLevel="2" x14ac:dyDescent="0.25">
      <c r="C1147" s="201"/>
      <c r="D1147" s="198" t="s">
        <v>96</v>
      </c>
      <c r="H1147" s="198" t="s">
        <v>96</v>
      </c>
      <c r="I1147" s="202">
        <f t="shared" si="17"/>
        <v>477377656.19999999</v>
      </c>
      <c r="J1147" s="202">
        <v>115.6</v>
      </c>
      <c r="L1147" s="204">
        <v>9</v>
      </c>
      <c r="M1147" s="202">
        <v>13500000</v>
      </c>
      <c r="N1147" s="204">
        <v>9</v>
      </c>
      <c r="O1147" s="198" t="s">
        <v>51</v>
      </c>
      <c r="P1147" s="202">
        <v>13500000</v>
      </c>
      <c r="Q1147" s="198" t="s">
        <v>342</v>
      </c>
      <c r="R1147" s="198" t="s">
        <v>53</v>
      </c>
      <c r="S1147" s="198" t="s">
        <v>54</v>
      </c>
      <c r="T1147" s="198" t="s">
        <v>1744</v>
      </c>
      <c r="U1147" s="198" t="s">
        <v>80</v>
      </c>
      <c r="V1147" s="198" t="s">
        <v>56</v>
      </c>
      <c r="W1147" s="198" t="s">
        <v>356</v>
      </c>
      <c r="X1147" s="198" t="s">
        <v>57</v>
      </c>
      <c r="Y1147" s="198" t="s">
        <v>58</v>
      </c>
      <c r="Z1147" s="201">
        <v>46208</v>
      </c>
      <c r="AA1147" s="198" t="s">
        <v>59</v>
      </c>
      <c r="AB1147" s="198" t="s">
        <v>60</v>
      </c>
      <c r="AC1147" s="198" t="s">
        <v>86</v>
      </c>
      <c r="AD1147" s="198" t="s">
        <v>62</v>
      </c>
      <c r="AE1147" s="198" t="s">
        <v>1745</v>
      </c>
      <c r="AF1147" s="198" t="s">
        <v>1743</v>
      </c>
      <c r="AG1147" s="198" t="s">
        <v>248</v>
      </c>
      <c r="AH1147" s="198" t="s">
        <v>89</v>
      </c>
      <c r="AI1147" s="198" t="s">
        <v>56</v>
      </c>
      <c r="AJ1147" s="198" t="s">
        <v>74</v>
      </c>
      <c r="AK1147" s="198" t="s">
        <v>51</v>
      </c>
      <c r="AL1147" s="198" t="s">
        <v>67</v>
      </c>
      <c r="AM1147" s="198" t="s">
        <v>68</v>
      </c>
      <c r="AN1147" s="202">
        <v>13500000</v>
      </c>
      <c r="AO1147" s="202">
        <v>13500000</v>
      </c>
      <c r="AP1147" s="202">
        <v>13500000</v>
      </c>
      <c r="AQ1147" s="198" t="s">
        <v>358</v>
      </c>
      <c r="AR1147" s="198" t="s">
        <v>51</v>
      </c>
      <c r="AS1147" s="202">
        <v>13500000</v>
      </c>
      <c r="AT1147" s="202">
        <v>13500000</v>
      </c>
      <c r="AU1147" s="198" t="s">
        <v>359</v>
      </c>
      <c r="AV1147" s="198" t="s">
        <v>62</v>
      </c>
      <c r="AW1147" s="198" t="s">
        <v>54</v>
      </c>
    </row>
    <row r="1148" spans="3:49" outlineLevel="2" x14ac:dyDescent="0.25">
      <c r="C1148" s="201"/>
      <c r="D1148" s="198" t="s">
        <v>183</v>
      </c>
      <c r="H1148" s="198" t="s">
        <v>183</v>
      </c>
      <c r="I1148" s="202">
        <f t="shared" si="17"/>
        <v>477790612.65000004</v>
      </c>
      <c r="J1148" s="202">
        <v>115.7</v>
      </c>
      <c r="L1148" s="204">
        <v>5</v>
      </c>
      <c r="M1148" s="202">
        <v>7500000</v>
      </c>
      <c r="N1148" s="204">
        <v>5</v>
      </c>
      <c r="O1148" s="198" t="s">
        <v>51</v>
      </c>
      <c r="P1148" s="202">
        <v>7500000</v>
      </c>
      <c r="Q1148" s="198" t="s">
        <v>342</v>
      </c>
      <c r="R1148" s="198" t="s">
        <v>53</v>
      </c>
      <c r="S1148" s="198" t="s">
        <v>54</v>
      </c>
      <c r="T1148" s="198" t="s">
        <v>1747</v>
      </c>
      <c r="U1148" s="198" t="s">
        <v>367</v>
      </c>
      <c r="V1148" s="198" t="s">
        <v>56</v>
      </c>
      <c r="W1148" s="198" t="s">
        <v>356</v>
      </c>
      <c r="X1148" s="198" t="s">
        <v>57</v>
      </c>
      <c r="Y1148" s="198" t="s">
        <v>58</v>
      </c>
      <c r="Z1148" s="201">
        <v>46207</v>
      </c>
      <c r="AA1148" s="198" t="s">
        <v>59</v>
      </c>
      <c r="AB1148" s="198" t="s">
        <v>60</v>
      </c>
      <c r="AC1148" s="198" t="s">
        <v>86</v>
      </c>
      <c r="AD1148" s="198" t="s">
        <v>62</v>
      </c>
      <c r="AE1148" s="198" t="s">
        <v>1748</v>
      </c>
      <c r="AF1148" s="198" t="s">
        <v>1746</v>
      </c>
      <c r="AG1148" s="198" t="s">
        <v>248</v>
      </c>
      <c r="AH1148" s="198" t="s">
        <v>169</v>
      </c>
      <c r="AI1148" s="198" t="s">
        <v>56</v>
      </c>
      <c r="AJ1148" s="198" t="s">
        <v>1749</v>
      </c>
      <c r="AK1148" s="198" t="s">
        <v>51</v>
      </c>
      <c r="AL1148" s="198" t="s">
        <v>67</v>
      </c>
      <c r="AM1148" s="198" t="s">
        <v>68</v>
      </c>
      <c r="AN1148" s="202">
        <v>7500000</v>
      </c>
      <c r="AO1148" s="202">
        <v>7500000</v>
      </c>
      <c r="AP1148" s="202">
        <v>7500000</v>
      </c>
      <c r="AQ1148" s="198" t="s">
        <v>358</v>
      </c>
      <c r="AR1148" s="198" t="s">
        <v>51</v>
      </c>
      <c r="AS1148" s="202">
        <v>7500000</v>
      </c>
      <c r="AT1148" s="202">
        <v>7500000</v>
      </c>
      <c r="AU1148" s="198" t="s">
        <v>359</v>
      </c>
      <c r="AV1148" s="198" t="s">
        <v>62</v>
      </c>
      <c r="AW1148" s="198" t="s">
        <v>54</v>
      </c>
    </row>
    <row r="1149" spans="3:49" outlineLevel="2" x14ac:dyDescent="0.25">
      <c r="C1149" s="201"/>
      <c r="D1149" s="198" t="s">
        <v>150</v>
      </c>
      <c r="H1149" s="198" t="s">
        <v>150</v>
      </c>
      <c r="I1149" s="202">
        <f t="shared" si="17"/>
        <v>478203569.09999996</v>
      </c>
      <c r="J1149" s="202">
        <v>115.8</v>
      </c>
      <c r="L1149" s="204">
        <v>125</v>
      </c>
      <c r="M1149" s="202">
        <v>563750</v>
      </c>
      <c r="N1149" s="204">
        <v>75</v>
      </c>
      <c r="O1149" s="198" t="s">
        <v>51</v>
      </c>
      <c r="P1149" s="202">
        <v>338250</v>
      </c>
      <c r="Q1149" s="198" t="s">
        <v>73</v>
      </c>
      <c r="R1149" s="198" t="s">
        <v>53</v>
      </c>
      <c r="S1149" s="198" t="s">
        <v>54</v>
      </c>
      <c r="T1149" s="198" t="s">
        <v>1750</v>
      </c>
      <c r="U1149" s="198" t="s">
        <v>364</v>
      </c>
      <c r="V1149" s="198" t="s">
        <v>56</v>
      </c>
      <c r="W1149" s="198" t="s">
        <v>356</v>
      </c>
      <c r="X1149" s="198" t="s">
        <v>57</v>
      </c>
      <c r="Y1149" s="198" t="s">
        <v>58</v>
      </c>
      <c r="Z1149" s="201">
        <v>46203</v>
      </c>
      <c r="AA1149" s="198" t="s">
        <v>59</v>
      </c>
      <c r="AB1149" s="198" t="s">
        <v>60</v>
      </c>
      <c r="AC1149" s="198" t="s">
        <v>86</v>
      </c>
      <c r="AD1149" s="198" t="s">
        <v>62</v>
      </c>
      <c r="AE1149" s="198" t="s">
        <v>152</v>
      </c>
      <c r="AF1149" s="198" t="s">
        <v>151</v>
      </c>
      <c r="AG1149" s="198" t="s">
        <v>189</v>
      </c>
      <c r="AH1149" s="198" t="s">
        <v>153</v>
      </c>
      <c r="AI1149" s="198" t="s">
        <v>56</v>
      </c>
      <c r="AJ1149" s="198" t="s">
        <v>154</v>
      </c>
      <c r="AK1149" s="198" t="s">
        <v>51</v>
      </c>
      <c r="AL1149" s="198" t="s">
        <v>67</v>
      </c>
      <c r="AM1149" s="198" t="s">
        <v>68</v>
      </c>
      <c r="AN1149" s="202">
        <v>563750</v>
      </c>
      <c r="AO1149" s="202">
        <v>563750</v>
      </c>
      <c r="AP1149" s="202">
        <v>563750</v>
      </c>
      <c r="AQ1149" s="198" t="s">
        <v>358</v>
      </c>
      <c r="AR1149" s="198" t="s">
        <v>51</v>
      </c>
      <c r="AS1149" s="202">
        <v>338250</v>
      </c>
      <c r="AT1149" s="202">
        <v>338250</v>
      </c>
      <c r="AU1149" s="198" t="s">
        <v>359</v>
      </c>
      <c r="AV1149" s="198" t="s">
        <v>62</v>
      </c>
      <c r="AW1149" s="198" t="s">
        <v>54</v>
      </c>
    </row>
    <row r="1150" spans="3:49" outlineLevel="2" x14ac:dyDescent="0.25">
      <c r="C1150" s="201"/>
      <c r="D1150" s="198" t="s">
        <v>528</v>
      </c>
      <c r="H1150" s="198" t="s">
        <v>528</v>
      </c>
      <c r="I1150" s="202">
        <f t="shared" si="17"/>
        <v>478616525.55000001</v>
      </c>
      <c r="J1150" s="202">
        <v>115.9</v>
      </c>
      <c r="L1150" s="204">
        <v>22500</v>
      </c>
      <c r="M1150" s="202">
        <v>1587375</v>
      </c>
      <c r="N1150" s="204">
        <v>22500</v>
      </c>
      <c r="O1150" s="198" t="s">
        <v>51</v>
      </c>
      <c r="P1150" s="202">
        <v>1587375</v>
      </c>
      <c r="Q1150" s="198" t="s">
        <v>75</v>
      </c>
      <c r="R1150" s="198" t="s">
        <v>53</v>
      </c>
      <c r="S1150" s="198" t="s">
        <v>54</v>
      </c>
      <c r="T1150" s="198" t="s">
        <v>2051</v>
      </c>
      <c r="U1150" s="198" t="s">
        <v>367</v>
      </c>
      <c r="V1150" s="198" t="s">
        <v>56</v>
      </c>
      <c r="W1150" s="198" t="s">
        <v>356</v>
      </c>
      <c r="X1150" s="198" t="s">
        <v>57</v>
      </c>
      <c r="Y1150" s="198" t="s">
        <v>58</v>
      </c>
      <c r="Z1150" s="201">
        <v>46180</v>
      </c>
      <c r="AA1150" s="198" t="s">
        <v>59</v>
      </c>
      <c r="AB1150" s="198" t="s">
        <v>60</v>
      </c>
      <c r="AC1150" s="198" t="s">
        <v>86</v>
      </c>
      <c r="AD1150" s="198" t="s">
        <v>62</v>
      </c>
      <c r="AE1150" s="198" t="s">
        <v>530</v>
      </c>
      <c r="AF1150" s="198" t="s">
        <v>529</v>
      </c>
      <c r="AG1150" s="198" t="s">
        <v>189</v>
      </c>
      <c r="AH1150" s="198" t="s">
        <v>134</v>
      </c>
      <c r="AI1150" s="198" t="s">
        <v>56</v>
      </c>
      <c r="AJ1150" s="198" t="s">
        <v>477</v>
      </c>
      <c r="AK1150" s="198" t="s">
        <v>51</v>
      </c>
      <c r="AL1150" s="198" t="s">
        <v>67</v>
      </c>
      <c r="AM1150" s="198" t="s">
        <v>68</v>
      </c>
      <c r="AN1150" s="202">
        <v>1587375</v>
      </c>
      <c r="AO1150" s="202">
        <v>1587375</v>
      </c>
      <c r="AP1150" s="202">
        <v>1587375</v>
      </c>
      <c r="AQ1150" s="198" t="s">
        <v>358</v>
      </c>
      <c r="AR1150" s="198" t="s">
        <v>51</v>
      </c>
      <c r="AS1150" s="202">
        <v>1587375</v>
      </c>
      <c r="AT1150" s="202">
        <v>1587375</v>
      </c>
      <c r="AU1150" s="198" t="s">
        <v>359</v>
      </c>
      <c r="AV1150" s="198" t="s">
        <v>62</v>
      </c>
      <c r="AW1150" s="198" t="s">
        <v>54</v>
      </c>
    </row>
    <row r="1151" spans="3:49" outlineLevel="2" x14ac:dyDescent="0.25">
      <c r="C1151" s="201"/>
      <c r="D1151" s="198" t="s">
        <v>532</v>
      </c>
      <c r="H1151" s="198" t="s">
        <v>532</v>
      </c>
      <c r="I1151" s="202">
        <f t="shared" si="17"/>
        <v>479029482</v>
      </c>
      <c r="J1151" s="202">
        <v>116</v>
      </c>
      <c r="L1151" s="204">
        <v>23000</v>
      </c>
      <c r="M1151" s="202">
        <v>1622650</v>
      </c>
      <c r="N1151" s="204">
        <v>23000</v>
      </c>
      <c r="O1151" s="198" t="s">
        <v>51</v>
      </c>
      <c r="P1151" s="202">
        <v>1622650</v>
      </c>
      <c r="Q1151" s="198" t="s">
        <v>75</v>
      </c>
      <c r="R1151" s="198" t="s">
        <v>53</v>
      </c>
      <c r="S1151" s="198" t="s">
        <v>54</v>
      </c>
      <c r="T1151" s="198" t="s">
        <v>2051</v>
      </c>
      <c r="U1151" s="198" t="s">
        <v>556</v>
      </c>
      <c r="V1151" s="198" t="s">
        <v>56</v>
      </c>
      <c r="W1151" s="198" t="s">
        <v>356</v>
      </c>
      <c r="X1151" s="198" t="s">
        <v>57</v>
      </c>
      <c r="Y1151" s="198" t="s">
        <v>58</v>
      </c>
      <c r="Z1151" s="201">
        <v>46180</v>
      </c>
      <c r="AA1151" s="198" t="s">
        <v>59</v>
      </c>
      <c r="AB1151" s="198" t="s">
        <v>60</v>
      </c>
      <c r="AC1151" s="198" t="s">
        <v>86</v>
      </c>
      <c r="AD1151" s="198" t="s">
        <v>62</v>
      </c>
      <c r="AE1151" s="198" t="s">
        <v>530</v>
      </c>
      <c r="AF1151" s="198" t="s">
        <v>529</v>
      </c>
      <c r="AG1151" s="198" t="s">
        <v>189</v>
      </c>
      <c r="AH1151" s="198" t="s">
        <v>137</v>
      </c>
      <c r="AI1151" s="198" t="s">
        <v>56</v>
      </c>
      <c r="AJ1151" s="198" t="s">
        <v>477</v>
      </c>
      <c r="AK1151" s="198" t="s">
        <v>51</v>
      </c>
      <c r="AL1151" s="198" t="s">
        <v>67</v>
      </c>
      <c r="AM1151" s="198" t="s">
        <v>68</v>
      </c>
      <c r="AN1151" s="202">
        <v>1622650</v>
      </c>
      <c r="AO1151" s="202">
        <v>1622650</v>
      </c>
      <c r="AP1151" s="202">
        <v>1622650</v>
      </c>
      <c r="AQ1151" s="198" t="s">
        <v>358</v>
      </c>
      <c r="AR1151" s="198" t="s">
        <v>51</v>
      </c>
      <c r="AS1151" s="202">
        <v>1622650</v>
      </c>
      <c r="AT1151" s="202">
        <v>1622650</v>
      </c>
      <c r="AU1151" s="198" t="s">
        <v>359</v>
      </c>
      <c r="AV1151" s="198" t="s">
        <v>62</v>
      </c>
      <c r="AW1151" s="198" t="s">
        <v>54</v>
      </c>
    </row>
    <row r="1152" spans="3:49" outlineLevel="2" x14ac:dyDescent="0.25">
      <c r="C1152" s="201"/>
      <c r="D1152" s="198" t="s">
        <v>114</v>
      </c>
      <c r="H1152" s="198" t="s">
        <v>114</v>
      </c>
      <c r="I1152" s="202">
        <f t="shared" si="17"/>
        <v>479442438.44999999</v>
      </c>
      <c r="J1152" s="202">
        <v>116.1</v>
      </c>
      <c r="L1152" s="204">
        <v>10</v>
      </c>
      <c r="M1152" s="202">
        <v>162449239.94</v>
      </c>
      <c r="N1152" s="204">
        <v>10</v>
      </c>
      <c r="O1152" s="198" t="s">
        <v>51</v>
      </c>
      <c r="P1152" s="202">
        <v>162449239.94</v>
      </c>
      <c r="Q1152" s="198" t="s">
        <v>73</v>
      </c>
      <c r="R1152" s="198" t="s">
        <v>53</v>
      </c>
      <c r="S1152" s="198" t="s">
        <v>54</v>
      </c>
      <c r="T1152" s="198" t="s">
        <v>431</v>
      </c>
      <c r="U1152" s="198" t="s">
        <v>80</v>
      </c>
      <c r="V1152" s="198" t="s">
        <v>56</v>
      </c>
      <c r="W1152" s="198" t="s">
        <v>356</v>
      </c>
      <c r="X1152" s="198" t="s">
        <v>57</v>
      </c>
      <c r="Y1152" s="198" t="s">
        <v>58</v>
      </c>
      <c r="Z1152" s="201">
        <v>46265</v>
      </c>
      <c r="AA1152" s="198" t="s">
        <v>59</v>
      </c>
      <c r="AB1152" s="198" t="s">
        <v>60</v>
      </c>
      <c r="AC1152" s="198" t="s">
        <v>86</v>
      </c>
      <c r="AD1152" s="198" t="s">
        <v>62</v>
      </c>
      <c r="AE1152" s="198" t="s">
        <v>116</v>
      </c>
      <c r="AF1152" s="198" t="s">
        <v>115</v>
      </c>
      <c r="AG1152" s="198" t="s">
        <v>564</v>
      </c>
      <c r="AH1152" s="198" t="s">
        <v>117</v>
      </c>
      <c r="AI1152" s="198" t="s">
        <v>56</v>
      </c>
      <c r="AJ1152" s="198" t="s">
        <v>118</v>
      </c>
      <c r="AK1152" s="198" t="s">
        <v>51</v>
      </c>
      <c r="AL1152" s="198" t="s">
        <v>67</v>
      </c>
      <c r="AM1152" s="198" t="s">
        <v>68</v>
      </c>
      <c r="AN1152" s="202">
        <v>162449239.94</v>
      </c>
      <c r="AO1152" s="202">
        <v>162449239.94</v>
      </c>
      <c r="AP1152" s="202">
        <v>162449239.94</v>
      </c>
      <c r="AQ1152" s="198" t="s">
        <v>358</v>
      </c>
      <c r="AR1152" s="198" t="s">
        <v>51</v>
      </c>
      <c r="AS1152" s="202">
        <v>162449239.94</v>
      </c>
      <c r="AT1152" s="202">
        <v>162449239.94</v>
      </c>
      <c r="AU1152" s="198" t="s">
        <v>359</v>
      </c>
      <c r="AV1152" s="198" t="s">
        <v>62</v>
      </c>
      <c r="AW1152" s="198" t="s">
        <v>54</v>
      </c>
    </row>
    <row r="1153" spans="3:49" outlineLevel="2" x14ac:dyDescent="0.25">
      <c r="C1153" s="201"/>
      <c r="D1153" s="198" t="s">
        <v>114</v>
      </c>
      <c r="H1153" s="198" t="s">
        <v>114</v>
      </c>
      <c r="I1153" s="202">
        <f t="shared" si="17"/>
        <v>479855394.90000004</v>
      </c>
      <c r="J1153" s="202">
        <v>116.2</v>
      </c>
      <c r="L1153" s="204">
        <v>10</v>
      </c>
      <c r="M1153" s="202">
        <v>6810760.0599999996</v>
      </c>
      <c r="N1153" s="204">
        <v>10</v>
      </c>
      <c r="O1153" s="198" t="s">
        <v>51</v>
      </c>
      <c r="P1153" s="202">
        <v>6810760.0599999996</v>
      </c>
      <c r="Q1153" s="198" t="s">
        <v>73</v>
      </c>
      <c r="R1153" s="198" t="s">
        <v>53</v>
      </c>
      <c r="S1153" s="198" t="s">
        <v>54</v>
      </c>
      <c r="T1153" s="198" t="s">
        <v>431</v>
      </c>
      <c r="U1153" s="198" t="s">
        <v>80</v>
      </c>
      <c r="V1153" s="198" t="s">
        <v>56</v>
      </c>
      <c r="W1153" s="198" t="s">
        <v>356</v>
      </c>
      <c r="X1153" s="198" t="s">
        <v>57</v>
      </c>
      <c r="Y1153" s="198" t="s">
        <v>58</v>
      </c>
      <c r="Z1153" s="201">
        <v>46265</v>
      </c>
      <c r="AA1153" s="198" t="s">
        <v>59</v>
      </c>
      <c r="AB1153" s="198" t="s">
        <v>60</v>
      </c>
      <c r="AC1153" s="198" t="s">
        <v>86</v>
      </c>
      <c r="AD1153" s="198" t="s">
        <v>62</v>
      </c>
      <c r="AE1153" s="198" t="s">
        <v>120</v>
      </c>
      <c r="AF1153" s="198" t="s">
        <v>119</v>
      </c>
      <c r="AG1153" s="198" t="s">
        <v>564</v>
      </c>
      <c r="AH1153" s="198" t="s">
        <v>117</v>
      </c>
      <c r="AI1153" s="198" t="s">
        <v>56</v>
      </c>
      <c r="AJ1153" s="198" t="s">
        <v>121</v>
      </c>
      <c r="AK1153" s="198" t="s">
        <v>51</v>
      </c>
      <c r="AL1153" s="198" t="s">
        <v>67</v>
      </c>
      <c r="AM1153" s="198" t="s">
        <v>68</v>
      </c>
      <c r="AN1153" s="202">
        <v>6810760.0599999996</v>
      </c>
      <c r="AO1153" s="202">
        <v>6810760.0599999996</v>
      </c>
      <c r="AP1153" s="202">
        <v>6810760.0599999996</v>
      </c>
      <c r="AQ1153" s="198" t="s">
        <v>358</v>
      </c>
      <c r="AR1153" s="198" t="s">
        <v>51</v>
      </c>
      <c r="AS1153" s="202">
        <v>6810760.0599999996</v>
      </c>
      <c r="AT1153" s="202">
        <v>6810760.0599999996</v>
      </c>
      <c r="AU1153" s="198" t="s">
        <v>359</v>
      </c>
      <c r="AV1153" s="198" t="s">
        <v>62</v>
      </c>
      <c r="AW1153" s="198" t="s">
        <v>54</v>
      </c>
    </row>
    <row r="1154" spans="3:49" outlineLevel="2" x14ac:dyDescent="0.25">
      <c r="C1154" s="201"/>
      <c r="D1154" s="198" t="s">
        <v>283</v>
      </c>
      <c r="H1154" s="198" t="s">
        <v>283</v>
      </c>
      <c r="I1154" s="202">
        <f t="shared" si="17"/>
        <v>480268351.34999996</v>
      </c>
      <c r="J1154" s="202">
        <v>116.3</v>
      </c>
      <c r="L1154" s="204">
        <v>125</v>
      </c>
      <c r="M1154" s="202">
        <v>563750</v>
      </c>
      <c r="N1154" s="204">
        <v>125</v>
      </c>
      <c r="O1154" s="198" t="s">
        <v>51</v>
      </c>
      <c r="P1154" s="202">
        <v>563750</v>
      </c>
      <c r="Q1154" s="198" t="s">
        <v>73</v>
      </c>
      <c r="R1154" s="198" t="s">
        <v>53</v>
      </c>
      <c r="S1154" s="198" t="s">
        <v>54</v>
      </c>
      <c r="T1154" s="198" t="s">
        <v>1750</v>
      </c>
      <c r="U1154" s="198" t="s">
        <v>367</v>
      </c>
      <c r="V1154" s="198" t="s">
        <v>56</v>
      </c>
      <c r="W1154" s="198" t="s">
        <v>356</v>
      </c>
      <c r="X1154" s="198" t="s">
        <v>57</v>
      </c>
      <c r="Y1154" s="198" t="s">
        <v>58</v>
      </c>
      <c r="Z1154" s="201">
        <v>46203</v>
      </c>
      <c r="AA1154" s="198" t="s">
        <v>59</v>
      </c>
      <c r="AB1154" s="198" t="s">
        <v>60</v>
      </c>
      <c r="AC1154" s="198" t="s">
        <v>86</v>
      </c>
      <c r="AD1154" s="198" t="s">
        <v>62</v>
      </c>
      <c r="AE1154" s="198" t="s">
        <v>152</v>
      </c>
      <c r="AF1154" s="198" t="s">
        <v>151</v>
      </c>
      <c r="AG1154" s="198" t="s">
        <v>189</v>
      </c>
      <c r="AH1154" s="198" t="s">
        <v>193</v>
      </c>
      <c r="AI1154" s="198" t="s">
        <v>56</v>
      </c>
      <c r="AJ1154" s="198" t="s">
        <v>154</v>
      </c>
      <c r="AK1154" s="198" t="s">
        <v>51</v>
      </c>
      <c r="AL1154" s="198" t="s">
        <v>67</v>
      </c>
      <c r="AM1154" s="198" t="s">
        <v>68</v>
      </c>
      <c r="AN1154" s="202">
        <v>563750</v>
      </c>
      <c r="AO1154" s="202">
        <v>563750</v>
      </c>
      <c r="AP1154" s="202">
        <v>563750</v>
      </c>
      <c r="AQ1154" s="198" t="s">
        <v>358</v>
      </c>
      <c r="AR1154" s="198" t="s">
        <v>51</v>
      </c>
      <c r="AS1154" s="202">
        <v>563750</v>
      </c>
      <c r="AT1154" s="202">
        <v>563750</v>
      </c>
      <c r="AU1154" s="198" t="s">
        <v>359</v>
      </c>
      <c r="AV1154" s="198" t="s">
        <v>62</v>
      </c>
      <c r="AW1154" s="198" t="s">
        <v>54</v>
      </c>
    </row>
    <row r="1155" spans="3:49" outlineLevel="2" x14ac:dyDescent="0.25">
      <c r="C1155" s="201"/>
      <c r="D1155" s="198" t="s">
        <v>212</v>
      </c>
      <c r="H1155" s="198" t="s">
        <v>212</v>
      </c>
      <c r="I1155" s="202">
        <f t="shared" ref="I1155:I1218" si="18">J1155*4129564.5</f>
        <v>480681307.80000001</v>
      </c>
      <c r="J1155" s="202">
        <v>116.4</v>
      </c>
      <c r="L1155" s="204">
        <v>36</v>
      </c>
      <c r="M1155" s="202">
        <v>27711728.280000001</v>
      </c>
      <c r="N1155" s="204">
        <v>14</v>
      </c>
      <c r="O1155" s="198" t="s">
        <v>51</v>
      </c>
      <c r="P1155" s="202">
        <v>10776783.220000001</v>
      </c>
      <c r="Q1155" s="198" t="s">
        <v>73</v>
      </c>
      <c r="R1155" s="198" t="s">
        <v>53</v>
      </c>
      <c r="S1155" s="198" t="s">
        <v>54</v>
      </c>
      <c r="T1155" s="198" t="s">
        <v>573</v>
      </c>
      <c r="U1155" s="198" t="s">
        <v>2078</v>
      </c>
      <c r="V1155" s="198" t="s">
        <v>56</v>
      </c>
      <c r="W1155" s="198" t="s">
        <v>356</v>
      </c>
      <c r="X1155" s="198" t="s">
        <v>57</v>
      </c>
      <c r="Y1155" s="198" t="s">
        <v>58</v>
      </c>
      <c r="Z1155" s="201">
        <v>46218</v>
      </c>
      <c r="AA1155" s="198" t="s">
        <v>59</v>
      </c>
      <c r="AB1155" s="198" t="s">
        <v>60</v>
      </c>
      <c r="AC1155" s="198" t="s">
        <v>86</v>
      </c>
      <c r="AD1155" s="198" t="s">
        <v>62</v>
      </c>
      <c r="AE1155" s="198" t="s">
        <v>94</v>
      </c>
      <c r="AF1155" s="198" t="s">
        <v>92</v>
      </c>
      <c r="AG1155" s="198" t="s">
        <v>248</v>
      </c>
      <c r="AH1155" s="198" t="s">
        <v>112</v>
      </c>
      <c r="AI1155" s="198" t="s">
        <v>56</v>
      </c>
      <c r="AJ1155" s="198" t="s">
        <v>74</v>
      </c>
      <c r="AK1155" s="198" t="s">
        <v>51</v>
      </c>
      <c r="AL1155" s="198" t="s">
        <v>67</v>
      </c>
      <c r="AM1155" s="198" t="s">
        <v>68</v>
      </c>
      <c r="AN1155" s="202">
        <v>27711728.280000001</v>
      </c>
      <c r="AO1155" s="202">
        <v>27711728.280000001</v>
      </c>
      <c r="AP1155" s="202">
        <v>27711728.280000001</v>
      </c>
      <c r="AQ1155" s="198" t="s">
        <v>358</v>
      </c>
      <c r="AR1155" s="198" t="s">
        <v>51</v>
      </c>
      <c r="AS1155" s="202">
        <v>10776783.220000001</v>
      </c>
      <c r="AT1155" s="202">
        <v>10776783.220000001</v>
      </c>
      <c r="AU1155" s="198" t="s">
        <v>359</v>
      </c>
      <c r="AV1155" s="198" t="s">
        <v>62</v>
      </c>
      <c r="AW1155" s="198" t="s">
        <v>575</v>
      </c>
    </row>
    <row r="1156" spans="3:49" outlineLevel="2" x14ac:dyDescent="0.25">
      <c r="C1156" s="201"/>
      <c r="D1156" s="198" t="s">
        <v>1892</v>
      </c>
      <c r="H1156" s="198" t="s">
        <v>1892</v>
      </c>
      <c r="I1156" s="202">
        <f t="shared" si="18"/>
        <v>481094264.25</v>
      </c>
      <c r="J1156" s="202">
        <v>116.5</v>
      </c>
      <c r="L1156" s="204">
        <v>1</v>
      </c>
      <c r="M1156" s="202">
        <v>129790625</v>
      </c>
      <c r="N1156" s="203">
        <v>0.5</v>
      </c>
      <c r="O1156" s="198" t="s">
        <v>51</v>
      </c>
      <c r="P1156" s="202">
        <v>64895312.5</v>
      </c>
      <c r="Q1156" s="198" t="s">
        <v>342</v>
      </c>
      <c r="R1156" s="198" t="s">
        <v>53</v>
      </c>
      <c r="S1156" s="198" t="s">
        <v>54</v>
      </c>
      <c r="T1156" s="198" t="s">
        <v>801</v>
      </c>
      <c r="U1156" s="198" t="s">
        <v>681</v>
      </c>
      <c r="V1156" s="198" t="s">
        <v>56</v>
      </c>
      <c r="W1156" s="198" t="s">
        <v>356</v>
      </c>
      <c r="X1156" s="198" t="s">
        <v>57</v>
      </c>
      <c r="Y1156" s="198" t="s">
        <v>58</v>
      </c>
      <c r="Z1156" s="201">
        <v>46477</v>
      </c>
      <c r="AA1156" s="198" t="s">
        <v>59</v>
      </c>
      <c r="AB1156" s="198" t="s">
        <v>60</v>
      </c>
      <c r="AC1156" s="198" t="s">
        <v>86</v>
      </c>
      <c r="AD1156" s="198" t="s">
        <v>62</v>
      </c>
      <c r="AE1156" s="198" t="s">
        <v>357</v>
      </c>
      <c r="AF1156" s="198" t="s">
        <v>354</v>
      </c>
      <c r="AG1156" s="198" t="s">
        <v>166</v>
      </c>
      <c r="AH1156" s="198" t="s">
        <v>143</v>
      </c>
      <c r="AI1156" s="198" t="s">
        <v>56</v>
      </c>
      <c r="AJ1156" s="198" t="s">
        <v>74</v>
      </c>
      <c r="AK1156" s="198" t="s">
        <v>51</v>
      </c>
      <c r="AL1156" s="198" t="s">
        <v>67</v>
      </c>
      <c r="AM1156" s="198" t="s">
        <v>68</v>
      </c>
      <c r="AN1156" s="202">
        <v>129790625</v>
      </c>
      <c r="AO1156" s="202">
        <v>129790625</v>
      </c>
      <c r="AP1156" s="202">
        <v>129790625</v>
      </c>
      <c r="AQ1156" s="198" t="s">
        <v>358</v>
      </c>
      <c r="AR1156" s="198" t="s">
        <v>51</v>
      </c>
      <c r="AS1156" s="202">
        <v>64895312.5</v>
      </c>
      <c r="AT1156" s="202">
        <v>64895312.5</v>
      </c>
      <c r="AU1156" s="198" t="s">
        <v>359</v>
      </c>
      <c r="AV1156" s="198" t="s">
        <v>62</v>
      </c>
      <c r="AW1156" s="198" t="s">
        <v>113</v>
      </c>
    </row>
    <row r="1157" spans="3:49" outlineLevel="2" x14ac:dyDescent="0.25">
      <c r="C1157" s="201"/>
      <c r="D1157" s="198" t="s">
        <v>1894</v>
      </c>
      <c r="H1157" s="198" t="s">
        <v>1894</v>
      </c>
      <c r="I1157" s="202">
        <f t="shared" si="18"/>
        <v>481507220.69999999</v>
      </c>
      <c r="J1157" s="202">
        <v>116.6</v>
      </c>
      <c r="L1157" s="204">
        <v>547000</v>
      </c>
      <c r="M1157" s="202">
        <v>269780400</v>
      </c>
      <c r="N1157" s="204">
        <v>290063</v>
      </c>
      <c r="O1157" s="198" t="s">
        <v>51</v>
      </c>
      <c r="P1157" s="202">
        <v>143059071.59999999</v>
      </c>
      <c r="Q1157" s="198" t="s">
        <v>75</v>
      </c>
      <c r="R1157" s="198" t="s">
        <v>53</v>
      </c>
      <c r="S1157" s="198" t="s">
        <v>54</v>
      </c>
      <c r="T1157" s="198" t="s">
        <v>801</v>
      </c>
      <c r="U1157" s="198" t="s">
        <v>681</v>
      </c>
      <c r="V1157" s="198" t="s">
        <v>56</v>
      </c>
      <c r="W1157" s="198" t="s">
        <v>356</v>
      </c>
      <c r="X1157" s="198" t="s">
        <v>57</v>
      </c>
      <c r="Y1157" s="198" t="s">
        <v>58</v>
      </c>
      <c r="Z1157" s="201">
        <v>46477</v>
      </c>
      <c r="AA1157" s="198" t="s">
        <v>59</v>
      </c>
      <c r="AB1157" s="198" t="s">
        <v>60</v>
      </c>
      <c r="AC1157" s="198" t="s">
        <v>86</v>
      </c>
      <c r="AD1157" s="198" t="s">
        <v>62</v>
      </c>
      <c r="AE1157" s="198" t="s">
        <v>579</v>
      </c>
      <c r="AF1157" s="198" t="s">
        <v>578</v>
      </c>
      <c r="AG1157" s="198" t="s">
        <v>166</v>
      </c>
      <c r="AH1157" s="198" t="s">
        <v>143</v>
      </c>
      <c r="AI1157" s="198" t="s">
        <v>56</v>
      </c>
      <c r="AJ1157" s="198" t="s">
        <v>318</v>
      </c>
      <c r="AK1157" s="198" t="s">
        <v>51</v>
      </c>
      <c r="AL1157" s="198" t="s">
        <v>67</v>
      </c>
      <c r="AM1157" s="198" t="s">
        <v>68</v>
      </c>
      <c r="AN1157" s="202">
        <v>269780400</v>
      </c>
      <c r="AO1157" s="202">
        <v>269780400</v>
      </c>
      <c r="AP1157" s="202">
        <v>269780400</v>
      </c>
      <c r="AQ1157" s="198" t="s">
        <v>358</v>
      </c>
      <c r="AR1157" s="198" t="s">
        <v>51</v>
      </c>
      <c r="AS1157" s="202">
        <v>143059071.59999999</v>
      </c>
      <c r="AT1157" s="202">
        <v>143059071.59999999</v>
      </c>
      <c r="AU1157" s="198" t="s">
        <v>359</v>
      </c>
      <c r="AV1157" s="198" t="s">
        <v>62</v>
      </c>
      <c r="AW1157" s="198" t="s">
        <v>113</v>
      </c>
    </row>
    <row r="1158" spans="3:49" outlineLevel="2" x14ac:dyDescent="0.25">
      <c r="C1158" s="201"/>
      <c r="D1158" s="198" t="s">
        <v>1896</v>
      </c>
      <c r="H1158" s="198" t="s">
        <v>1896</v>
      </c>
      <c r="I1158" s="202">
        <f t="shared" si="18"/>
        <v>481920177.15000004</v>
      </c>
      <c r="J1158" s="202">
        <v>116.7</v>
      </c>
      <c r="L1158" s="204">
        <v>73500</v>
      </c>
      <c r="M1158" s="202">
        <v>180951120</v>
      </c>
      <c r="N1158" s="204">
        <v>2186</v>
      </c>
      <c r="O1158" s="198" t="s">
        <v>51</v>
      </c>
      <c r="P1158" s="202">
        <v>5381757.1200000001</v>
      </c>
      <c r="Q1158" s="198" t="s">
        <v>75</v>
      </c>
      <c r="R1158" s="198" t="s">
        <v>53</v>
      </c>
      <c r="S1158" s="198" t="s">
        <v>54</v>
      </c>
      <c r="T1158" s="198" t="s">
        <v>801</v>
      </c>
      <c r="U1158" s="198" t="s">
        <v>2081</v>
      </c>
      <c r="V1158" s="198" t="s">
        <v>56</v>
      </c>
      <c r="W1158" s="198" t="s">
        <v>356</v>
      </c>
      <c r="X1158" s="198" t="s">
        <v>57</v>
      </c>
      <c r="Y1158" s="198" t="s">
        <v>58</v>
      </c>
      <c r="Z1158" s="201">
        <v>46477</v>
      </c>
      <c r="AA1158" s="198" t="s">
        <v>59</v>
      </c>
      <c r="AB1158" s="198" t="s">
        <v>60</v>
      </c>
      <c r="AC1158" s="198" t="s">
        <v>86</v>
      </c>
      <c r="AD1158" s="198" t="s">
        <v>62</v>
      </c>
      <c r="AE1158" s="198" t="s">
        <v>438</v>
      </c>
      <c r="AF1158" s="198" t="s">
        <v>436</v>
      </c>
      <c r="AG1158" s="198" t="s">
        <v>166</v>
      </c>
      <c r="AH1158" s="198" t="s">
        <v>143</v>
      </c>
      <c r="AI1158" s="198" t="s">
        <v>56</v>
      </c>
      <c r="AJ1158" s="198" t="s">
        <v>325</v>
      </c>
      <c r="AK1158" s="198" t="s">
        <v>51</v>
      </c>
      <c r="AL1158" s="198" t="s">
        <v>67</v>
      </c>
      <c r="AM1158" s="198" t="s">
        <v>68</v>
      </c>
      <c r="AN1158" s="202">
        <v>180951120</v>
      </c>
      <c r="AO1158" s="202">
        <v>180951120</v>
      </c>
      <c r="AP1158" s="202">
        <v>180951120</v>
      </c>
      <c r="AQ1158" s="198" t="s">
        <v>358</v>
      </c>
      <c r="AR1158" s="198" t="s">
        <v>51</v>
      </c>
      <c r="AS1158" s="202">
        <v>5381757.1200000001</v>
      </c>
      <c r="AT1158" s="202">
        <v>5381757.1200000001</v>
      </c>
      <c r="AU1158" s="198" t="s">
        <v>359</v>
      </c>
      <c r="AV1158" s="198" t="s">
        <v>62</v>
      </c>
      <c r="AW1158" s="198" t="s">
        <v>113</v>
      </c>
    </row>
    <row r="1159" spans="3:49" outlineLevel="2" x14ac:dyDescent="0.25">
      <c r="C1159" s="201"/>
      <c r="D1159" s="198" t="s">
        <v>1898</v>
      </c>
      <c r="H1159" s="198" t="s">
        <v>1898</v>
      </c>
      <c r="I1159" s="202">
        <f t="shared" si="18"/>
        <v>482333133.59999996</v>
      </c>
      <c r="J1159" s="202">
        <v>116.8</v>
      </c>
      <c r="L1159" s="204">
        <v>1</v>
      </c>
      <c r="M1159" s="202">
        <v>450000000</v>
      </c>
      <c r="N1159" s="204">
        <v>1</v>
      </c>
      <c r="O1159" s="198" t="s">
        <v>51</v>
      </c>
      <c r="P1159" s="202">
        <v>450000000</v>
      </c>
      <c r="Q1159" s="198" t="s">
        <v>335</v>
      </c>
      <c r="R1159" s="198" t="s">
        <v>53</v>
      </c>
      <c r="S1159" s="198" t="s">
        <v>54</v>
      </c>
      <c r="T1159" s="198" t="s">
        <v>801</v>
      </c>
      <c r="U1159" s="198" t="s">
        <v>277</v>
      </c>
      <c r="V1159" s="198" t="s">
        <v>56</v>
      </c>
      <c r="W1159" s="198" t="s">
        <v>356</v>
      </c>
      <c r="X1159" s="198" t="s">
        <v>57</v>
      </c>
      <c r="Y1159" s="198" t="s">
        <v>58</v>
      </c>
      <c r="Z1159" s="201">
        <v>46477</v>
      </c>
      <c r="AA1159" s="198" t="s">
        <v>59</v>
      </c>
      <c r="AB1159" s="198" t="s">
        <v>60</v>
      </c>
      <c r="AC1159" s="198" t="s">
        <v>86</v>
      </c>
      <c r="AD1159" s="198" t="s">
        <v>62</v>
      </c>
      <c r="AE1159" s="198" t="s">
        <v>2068</v>
      </c>
      <c r="AF1159" s="198" t="s">
        <v>2067</v>
      </c>
      <c r="AG1159" s="198" t="s">
        <v>166</v>
      </c>
      <c r="AH1159" s="198" t="s">
        <v>143</v>
      </c>
      <c r="AI1159" s="198" t="s">
        <v>56</v>
      </c>
      <c r="AJ1159" s="198" t="s">
        <v>66</v>
      </c>
      <c r="AK1159" s="198" t="s">
        <v>51</v>
      </c>
      <c r="AL1159" s="198" t="s">
        <v>67</v>
      </c>
      <c r="AM1159" s="198" t="s">
        <v>68</v>
      </c>
      <c r="AN1159" s="202">
        <v>450000000</v>
      </c>
      <c r="AO1159" s="202">
        <v>450000000</v>
      </c>
      <c r="AP1159" s="202">
        <v>450000000</v>
      </c>
      <c r="AQ1159" s="198" t="s">
        <v>358</v>
      </c>
      <c r="AR1159" s="198" t="s">
        <v>51</v>
      </c>
      <c r="AS1159" s="202">
        <v>450000000</v>
      </c>
      <c r="AT1159" s="202">
        <v>450000000</v>
      </c>
      <c r="AU1159" s="198" t="s">
        <v>359</v>
      </c>
      <c r="AV1159" s="198" t="s">
        <v>62</v>
      </c>
      <c r="AW1159" s="198" t="s">
        <v>113</v>
      </c>
    </row>
    <row r="1160" spans="3:49" outlineLevel="2" x14ac:dyDescent="0.25">
      <c r="C1160" s="201"/>
      <c r="D1160" s="198" t="s">
        <v>1898</v>
      </c>
      <c r="H1160" s="198" t="s">
        <v>1898</v>
      </c>
      <c r="I1160" s="202">
        <f t="shared" si="18"/>
        <v>482746090.05000001</v>
      </c>
      <c r="J1160" s="202">
        <v>116.9</v>
      </c>
      <c r="L1160" s="204">
        <v>1</v>
      </c>
      <c r="M1160" s="202">
        <v>450000000</v>
      </c>
      <c r="N1160" s="204">
        <v>1</v>
      </c>
      <c r="O1160" s="198" t="s">
        <v>51</v>
      </c>
      <c r="P1160" s="202">
        <v>450000000</v>
      </c>
      <c r="Q1160" s="198" t="s">
        <v>335</v>
      </c>
      <c r="R1160" s="198" t="s">
        <v>53</v>
      </c>
      <c r="S1160" s="198" t="s">
        <v>54</v>
      </c>
      <c r="T1160" s="198" t="s">
        <v>801</v>
      </c>
      <c r="U1160" s="198" t="s">
        <v>277</v>
      </c>
      <c r="V1160" s="198" t="s">
        <v>56</v>
      </c>
      <c r="W1160" s="198" t="s">
        <v>356</v>
      </c>
      <c r="X1160" s="198" t="s">
        <v>57</v>
      </c>
      <c r="Y1160" s="198" t="s">
        <v>58</v>
      </c>
      <c r="Z1160" s="201">
        <v>46477</v>
      </c>
      <c r="AA1160" s="198" t="s">
        <v>59</v>
      </c>
      <c r="AB1160" s="198" t="s">
        <v>60</v>
      </c>
      <c r="AC1160" s="198" t="s">
        <v>86</v>
      </c>
      <c r="AD1160" s="198" t="s">
        <v>62</v>
      </c>
      <c r="AE1160" s="198" t="s">
        <v>2068</v>
      </c>
      <c r="AF1160" s="198" t="s">
        <v>2067</v>
      </c>
      <c r="AG1160" s="198" t="s">
        <v>166</v>
      </c>
      <c r="AH1160" s="198" t="s">
        <v>143</v>
      </c>
      <c r="AI1160" s="198" t="s">
        <v>56</v>
      </c>
      <c r="AJ1160" s="198" t="s">
        <v>66</v>
      </c>
      <c r="AK1160" s="198" t="s">
        <v>51</v>
      </c>
      <c r="AL1160" s="198" t="s">
        <v>67</v>
      </c>
      <c r="AM1160" s="198" t="s">
        <v>68</v>
      </c>
      <c r="AN1160" s="202">
        <v>450000000</v>
      </c>
      <c r="AO1160" s="202">
        <v>450000000</v>
      </c>
      <c r="AP1160" s="202">
        <v>450000000</v>
      </c>
      <c r="AQ1160" s="198" t="s">
        <v>358</v>
      </c>
      <c r="AR1160" s="198" t="s">
        <v>51</v>
      </c>
      <c r="AS1160" s="202">
        <v>450000000</v>
      </c>
      <c r="AT1160" s="202">
        <v>450000000</v>
      </c>
      <c r="AU1160" s="198" t="s">
        <v>359</v>
      </c>
      <c r="AV1160" s="198" t="s">
        <v>62</v>
      </c>
      <c r="AW1160" s="198" t="s">
        <v>113</v>
      </c>
    </row>
    <row r="1161" spans="3:49" outlineLevel="2" x14ac:dyDescent="0.25">
      <c r="C1161" s="201"/>
      <c r="D1161" s="198" t="s">
        <v>1898</v>
      </c>
      <c r="H1161" s="198" t="s">
        <v>1898</v>
      </c>
      <c r="I1161" s="202">
        <f t="shared" si="18"/>
        <v>483159046.5</v>
      </c>
      <c r="J1161" s="202">
        <v>117</v>
      </c>
      <c r="L1161" s="204">
        <v>1</v>
      </c>
      <c r="M1161" s="202">
        <v>450000000</v>
      </c>
      <c r="N1161" s="204">
        <v>1</v>
      </c>
      <c r="O1161" s="198" t="s">
        <v>51</v>
      </c>
      <c r="P1161" s="202">
        <v>450000000</v>
      </c>
      <c r="Q1161" s="198" t="s">
        <v>335</v>
      </c>
      <c r="R1161" s="198" t="s">
        <v>53</v>
      </c>
      <c r="S1161" s="198" t="s">
        <v>54</v>
      </c>
      <c r="T1161" s="198" t="s">
        <v>801</v>
      </c>
      <c r="U1161" s="198" t="s">
        <v>277</v>
      </c>
      <c r="V1161" s="198" t="s">
        <v>56</v>
      </c>
      <c r="W1161" s="198" t="s">
        <v>356</v>
      </c>
      <c r="X1161" s="198" t="s">
        <v>57</v>
      </c>
      <c r="Y1161" s="198" t="s">
        <v>58</v>
      </c>
      <c r="Z1161" s="201">
        <v>46477</v>
      </c>
      <c r="AA1161" s="198" t="s">
        <v>59</v>
      </c>
      <c r="AB1161" s="198" t="s">
        <v>60</v>
      </c>
      <c r="AC1161" s="198" t="s">
        <v>86</v>
      </c>
      <c r="AD1161" s="198" t="s">
        <v>62</v>
      </c>
      <c r="AE1161" s="198" t="s">
        <v>2068</v>
      </c>
      <c r="AF1161" s="198" t="s">
        <v>2067</v>
      </c>
      <c r="AG1161" s="198" t="s">
        <v>166</v>
      </c>
      <c r="AH1161" s="198" t="s">
        <v>143</v>
      </c>
      <c r="AI1161" s="198" t="s">
        <v>56</v>
      </c>
      <c r="AJ1161" s="198" t="s">
        <v>66</v>
      </c>
      <c r="AK1161" s="198" t="s">
        <v>51</v>
      </c>
      <c r="AL1161" s="198" t="s">
        <v>67</v>
      </c>
      <c r="AM1161" s="198" t="s">
        <v>68</v>
      </c>
      <c r="AN1161" s="202">
        <v>450000000</v>
      </c>
      <c r="AO1161" s="202">
        <v>450000000</v>
      </c>
      <c r="AP1161" s="202">
        <v>450000000</v>
      </c>
      <c r="AQ1161" s="198" t="s">
        <v>358</v>
      </c>
      <c r="AR1161" s="198" t="s">
        <v>51</v>
      </c>
      <c r="AS1161" s="202">
        <v>450000000</v>
      </c>
      <c r="AT1161" s="202">
        <v>450000000</v>
      </c>
      <c r="AU1161" s="198" t="s">
        <v>359</v>
      </c>
      <c r="AV1161" s="198" t="s">
        <v>62</v>
      </c>
      <c r="AW1161" s="198" t="s">
        <v>113</v>
      </c>
    </row>
    <row r="1162" spans="3:49" outlineLevel="2" x14ac:dyDescent="0.25">
      <c r="C1162" s="201"/>
      <c r="D1162" s="198" t="s">
        <v>1898</v>
      </c>
      <c r="H1162" s="198" t="s">
        <v>1898</v>
      </c>
      <c r="I1162" s="202">
        <f t="shared" si="18"/>
        <v>483572002.94999999</v>
      </c>
      <c r="J1162" s="202">
        <v>117.1</v>
      </c>
      <c r="L1162" s="204">
        <v>1</v>
      </c>
      <c r="M1162" s="202">
        <v>450000000</v>
      </c>
      <c r="N1162" s="204">
        <v>1</v>
      </c>
      <c r="O1162" s="198" t="s">
        <v>51</v>
      </c>
      <c r="P1162" s="202">
        <v>450000000</v>
      </c>
      <c r="Q1162" s="198" t="s">
        <v>335</v>
      </c>
      <c r="R1162" s="198" t="s">
        <v>53</v>
      </c>
      <c r="S1162" s="198" t="s">
        <v>54</v>
      </c>
      <c r="T1162" s="198" t="s">
        <v>801</v>
      </c>
      <c r="U1162" s="198" t="s">
        <v>277</v>
      </c>
      <c r="V1162" s="198" t="s">
        <v>56</v>
      </c>
      <c r="W1162" s="198" t="s">
        <v>356</v>
      </c>
      <c r="X1162" s="198" t="s">
        <v>57</v>
      </c>
      <c r="Y1162" s="198" t="s">
        <v>58</v>
      </c>
      <c r="Z1162" s="201">
        <v>46477</v>
      </c>
      <c r="AA1162" s="198" t="s">
        <v>59</v>
      </c>
      <c r="AB1162" s="198" t="s">
        <v>60</v>
      </c>
      <c r="AC1162" s="198" t="s">
        <v>86</v>
      </c>
      <c r="AD1162" s="198" t="s">
        <v>62</v>
      </c>
      <c r="AE1162" s="198" t="s">
        <v>2068</v>
      </c>
      <c r="AF1162" s="198" t="s">
        <v>2067</v>
      </c>
      <c r="AG1162" s="198" t="s">
        <v>166</v>
      </c>
      <c r="AH1162" s="198" t="s">
        <v>143</v>
      </c>
      <c r="AI1162" s="198" t="s">
        <v>56</v>
      </c>
      <c r="AJ1162" s="198" t="s">
        <v>66</v>
      </c>
      <c r="AK1162" s="198" t="s">
        <v>51</v>
      </c>
      <c r="AL1162" s="198" t="s">
        <v>67</v>
      </c>
      <c r="AM1162" s="198" t="s">
        <v>68</v>
      </c>
      <c r="AN1162" s="202">
        <v>450000000</v>
      </c>
      <c r="AO1162" s="202">
        <v>450000000</v>
      </c>
      <c r="AP1162" s="202">
        <v>450000000</v>
      </c>
      <c r="AQ1162" s="198" t="s">
        <v>358</v>
      </c>
      <c r="AR1162" s="198" t="s">
        <v>51</v>
      </c>
      <c r="AS1162" s="202">
        <v>450000000</v>
      </c>
      <c r="AT1162" s="202">
        <v>450000000</v>
      </c>
      <c r="AU1162" s="198" t="s">
        <v>359</v>
      </c>
      <c r="AV1162" s="198" t="s">
        <v>62</v>
      </c>
      <c r="AW1162" s="198" t="s">
        <v>113</v>
      </c>
    </row>
    <row r="1163" spans="3:49" outlineLevel="2" x14ac:dyDescent="0.25">
      <c r="C1163" s="201"/>
      <c r="D1163" s="198" t="s">
        <v>1898</v>
      </c>
      <c r="H1163" s="198" t="s">
        <v>1898</v>
      </c>
      <c r="I1163" s="202">
        <f t="shared" si="18"/>
        <v>483984959.40000004</v>
      </c>
      <c r="J1163" s="202">
        <v>117.2</v>
      </c>
      <c r="L1163" s="204">
        <v>1</v>
      </c>
      <c r="M1163" s="202">
        <v>450000000.01999998</v>
      </c>
      <c r="N1163" s="204">
        <v>1</v>
      </c>
      <c r="O1163" s="198" t="s">
        <v>51</v>
      </c>
      <c r="P1163" s="202">
        <v>450000000.01999998</v>
      </c>
      <c r="Q1163" s="198" t="s">
        <v>335</v>
      </c>
      <c r="R1163" s="198" t="s">
        <v>53</v>
      </c>
      <c r="S1163" s="198" t="s">
        <v>54</v>
      </c>
      <c r="T1163" s="198" t="s">
        <v>801</v>
      </c>
      <c r="U1163" s="198" t="s">
        <v>277</v>
      </c>
      <c r="V1163" s="198" t="s">
        <v>56</v>
      </c>
      <c r="W1163" s="198" t="s">
        <v>356</v>
      </c>
      <c r="X1163" s="198" t="s">
        <v>57</v>
      </c>
      <c r="Y1163" s="198" t="s">
        <v>58</v>
      </c>
      <c r="Z1163" s="201">
        <v>46477</v>
      </c>
      <c r="AA1163" s="198" t="s">
        <v>59</v>
      </c>
      <c r="AB1163" s="198" t="s">
        <v>60</v>
      </c>
      <c r="AC1163" s="198" t="s">
        <v>86</v>
      </c>
      <c r="AD1163" s="198" t="s">
        <v>62</v>
      </c>
      <c r="AE1163" s="198" t="s">
        <v>2068</v>
      </c>
      <c r="AF1163" s="198" t="s">
        <v>2067</v>
      </c>
      <c r="AG1163" s="198" t="s">
        <v>166</v>
      </c>
      <c r="AH1163" s="198" t="s">
        <v>143</v>
      </c>
      <c r="AI1163" s="198" t="s">
        <v>56</v>
      </c>
      <c r="AJ1163" s="198" t="s">
        <v>66</v>
      </c>
      <c r="AK1163" s="198" t="s">
        <v>51</v>
      </c>
      <c r="AL1163" s="198" t="s">
        <v>67</v>
      </c>
      <c r="AM1163" s="198" t="s">
        <v>68</v>
      </c>
      <c r="AN1163" s="202">
        <v>450000000.01999998</v>
      </c>
      <c r="AO1163" s="202">
        <v>450000000.01999998</v>
      </c>
      <c r="AP1163" s="202">
        <v>450000000.01999998</v>
      </c>
      <c r="AQ1163" s="198" t="s">
        <v>358</v>
      </c>
      <c r="AR1163" s="198" t="s">
        <v>51</v>
      </c>
      <c r="AS1163" s="202">
        <v>450000000.01999998</v>
      </c>
      <c r="AT1163" s="202">
        <v>450000000.01999998</v>
      </c>
      <c r="AU1163" s="198" t="s">
        <v>359</v>
      </c>
      <c r="AV1163" s="198" t="s">
        <v>62</v>
      </c>
      <c r="AW1163" s="198" t="s">
        <v>113</v>
      </c>
    </row>
    <row r="1164" spans="3:49" outlineLevel="2" x14ac:dyDescent="0.25">
      <c r="C1164" s="201"/>
      <c r="D1164" s="198" t="s">
        <v>1898</v>
      </c>
      <c r="H1164" s="198" t="s">
        <v>1898</v>
      </c>
      <c r="I1164" s="202">
        <f t="shared" si="18"/>
        <v>484397915.84999996</v>
      </c>
      <c r="J1164" s="202">
        <v>117.3</v>
      </c>
      <c r="L1164" s="204">
        <v>1</v>
      </c>
      <c r="M1164" s="202">
        <v>450000000.01999998</v>
      </c>
      <c r="N1164" s="204">
        <v>1</v>
      </c>
      <c r="O1164" s="198" t="s">
        <v>51</v>
      </c>
      <c r="P1164" s="202">
        <v>450000000.01999998</v>
      </c>
      <c r="Q1164" s="198" t="s">
        <v>335</v>
      </c>
      <c r="R1164" s="198" t="s">
        <v>53</v>
      </c>
      <c r="S1164" s="198" t="s">
        <v>54</v>
      </c>
      <c r="T1164" s="198" t="s">
        <v>801</v>
      </c>
      <c r="U1164" s="198" t="s">
        <v>277</v>
      </c>
      <c r="V1164" s="198" t="s">
        <v>56</v>
      </c>
      <c r="W1164" s="198" t="s">
        <v>356</v>
      </c>
      <c r="X1164" s="198" t="s">
        <v>57</v>
      </c>
      <c r="Y1164" s="198" t="s">
        <v>58</v>
      </c>
      <c r="Z1164" s="201">
        <v>46477</v>
      </c>
      <c r="AA1164" s="198" t="s">
        <v>59</v>
      </c>
      <c r="AB1164" s="198" t="s">
        <v>60</v>
      </c>
      <c r="AC1164" s="198" t="s">
        <v>86</v>
      </c>
      <c r="AD1164" s="198" t="s">
        <v>62</v>
      </c>
      <c r="AE1164" s="198" t="s">
        <v>2068</v>
      </c>
      <c r="AF1164" s="198" t="s">
        <v>2067</v>
      </c>
      <c r="AG1164" s="198" t="s">
        <v>166</v>
      </c>
      <c r="AH1164" s="198" t="s">
        <v>143</v>
      </c>
      <c r="AI1164" s="198" t="s">
        <v>56</v>
      </c>
      <c r="AJ1164" s="198" t="s">
        <v>66</v>
      </c>
      <c r="AK1164" s="198" t="s">
        <v>51</v>
      </c>
      <c r="AL1164" s="198" t="s">
        <v>67</v>
      </c>
      <c r="AM1164" s="198" t="s">
        <v>68</v>
      </c>
      <c r="AN1164" s="202">
        <v>450000000.01999998</v>
      </c>
      <c r="AO1164" s="202">
        <v>450000000.01999998</v>
      </c>
      <c r="AP1164" s="202">
        <v>450000000.01999998</v>
      </c>
      <c r="AQ1164" s="198" t="s">
        <v>358</v>
      </c>
      <c r="AR1164" s="198" t="s">
        <v>51</v>
      </c>
      <c r="AS1164" s="202">
        <v>450000000.01999998</v>
      </c>
      <c r="AT1164" s="202">
        <v>450000000.01999998</v>
      </c>
      <c r="AU1164" s="198" t="s">
        <v>359</v>
      </c>
      <c r="AV1164" s="198" t="s">
        <v>62</v>
      </c>
      <c r="AW1164" s="198" t="s">
        <v>113</v>
      </c>
    </row>
    <row r="1165" spans="3:49" outlineLevel="2" x14ac:dyDescent="0.25">
      <c r="C1165" s="201"/>
      <c r="D1165" s="198" t="s">
        <v>1898</v>
      </c>
      <c r="H1165" s="198" t="s">
        <v>1898</v>
      </c>
      <c r="I1165" s="202">
        <f t="shared" si="18"/>
        <v>484810872.30000001</v>
      </c>
      <c r="J1165" s="202">
        <v>117.4</v>
      </c>
      <c r="L1165" s="204">
        <v>1</v>
      </c>
      <c r="M1165" s="202">
        <v>450000000.01999998</v>
      </c>
      <c r="N1165" s="204">
        <v>1</v>
      </c>
      <c r="O1165" s="198" t="s">
        <v>51</v>
      </c>
      <c r="P1165" s="202">
        <v>450000000.01999998</v>
      </c>
      <c r="Q1165" s="198" t="s">
        <v>335</v>
      </c>
      <c r="R1165" s="198" t="s">
        <v>53</v>
      </c>
      <c r="S1165" s="198" t="s">
        <v>54</v>
      </c>
      <c r="T1165" s="198" t="s">
        <v>801</v>
      </c>
      <c r="U1165" s="198" t="s">
        <v>277</v>
      </c>
      <c r="V1165" s="198" t="s">
        <v>56</v>
      </c>
      <c r="W1165" s="198" t="s">
        <v>356</v>
      </c>
      <c r="X1165" s="198" t="s">
        <v>57</v>
      </c>
      <c r="Y1165" s="198" t="s">
        <v>58</v>
      </c>
      <c r="Z1165" s="201">
        <v>46477</v>
      </c>
      <c r="AA1165" s="198" t="s">
        <v>59</v>
      </c>
      <c r="AB1165" s="198" t="s">
        <v>60</v>
      </c>
      <c r="AC1165" s="198" t="s">
        <v>86</v>
      </c>
      <c r="AD1165" s="198" t="s">
        <v>62</v>
      </c>
      <c r="AE1165" s="198" t="s">
        <v>2068</v>
      </c>
      <c r="AF1165" s="198" t="s">
        <v>2067</v>
      </c>
      <c r="AG1165" s="198" t="s">
        <v>166</v>
      </c>
      <c r="AH1165" s="198" t="s">
        <v>143</v>
      </c>
      <c r="AI1165" s="198" t="s">
        <v>56</v>
      </c>
      <c r="AJ1165" s="198" t="s">
        <v>66</v>
      </c>
      <c r="AK1165" s="198" t="s">
        <v>51</v>
      </c>
      <c r="AL1165" s="198" t="s">
        <v>67</v>
      </c>
      <c r="AM1165" s="198" t="s">
        <v>68</v>
      </c>
      <c r="AN1165" s="202">
        <v>450000000.01999998</v>
      </c>
      <c r="AO1165" s="202">
        <v>450000000.01999998</v>
      </c>
      <c r="AP1165" s="202">
        <v>450000000.01999998</v>
      </c>
      <c r="AQ1165" s="198" t="s">
        <v>358</v>
      </c>
      <c r="AR1165" s="198" t="s">
        <v>51</v>
      </c>
      <c r="AS1165" s="202">
        <v>450000000.01999998</v>
      </c>
      <c r="AT1165" s="202">
        <v>450000000.01999998</v>
      </c>
      <c r="AU1165" s="198" t="s">
        <v>359</v>
      </c>
      <c r="AV1165" s="198" t="s">
        <v>62</v>
      </c>
      <c r="AW1165" s="198" t="s">
        <v>113</v>
      </c>
    </row>
    <row r="1166" spans="3:49" outlineLevel="2" x14ac:dyDescent="0.25">
      <c r="C1166" s="201"/>
      <c r="D1166" s="198" t="s">
        <v>1898</v>
      </c>
      <c r="H1166" s="198" t="s">
        <v>1898</v>
      </c>
      <c r="I1166" s="202">
        <f t="shared" si="18"/>
        <v>485223828.75</v>
      </c>
      <c r="J1166" s="202">
        <v>117.5</v>
      </c>
      <c r="L1166" s="204">
        <v>1</v>
      </c>
      <c r="M1166" s="202">
        <v>450000000.01999998</v>
      </c>
      <c r="N1166" s="204">
        <v>1</v>
      </c>
      <c r="O1166" s="198" t="s">
        <v>51</v>
      </c>
      <c r="P1166" s="202">
        <v>450000000.01999998</v>
      </c>
      <c r="Q1166" s="198" t="s">
        <v>335</v>
      </c>
      <c r="R1166" s="198" t="s">
        <v>53</v>
      </c>
      <c r="S1166" s="198" t="s">
        <v>54</v>
      </c>
      <c r="T1166" s="198" t="s">
        <v>801</v>
      </c>
      <c r="U1166" s="198" t="s">
        <v>277</v>
      </c>
      <c r="V1166" s="198" t="s">
        <v>56</v>
      </c>
      <c r="W1166" s="198" t="s">
        <v>356</v>
      </c>
      <c r="X1166" s="198" t="s">
        <v>57</v>
      </c>
      <c r="Y1166" s="198" t="s">
        <v>58</v>
      </c>
      <c r="Z1166" s="201">
        <v>46477</v>
      </c>
      <c r="AA1166" s="198" t="s">
        <v>59</v>
      </c>
      <c r="AB1166" s="198" t="s">
        <v>60</v>
      </c>
      <c r="AC1166" s="198" t="s">
        <v>86</v>
      </c>
      <c r="AD1166" s="198" t="s">
        <v>62</v>
      </c>
      <c r="AE1166" s="198" t="s">
        <v>2068</v>
      </c>
      <c r="AF1166" s="198" t="s">
        <v>2067</v>
      </c>
      <c r="AG1166" s="198" t="s">
        <v>166</v>
      </c>
      <c r="AH1166" s="198" t="s">
        <v>143</v>
      </c>
      <c r="AI1166" s="198" t="s">
        <v>56</v>
      </c>
      <c r="AJ1166" s="198" t="s">
        <v>66</v>
      </c>
      <c r="AK1166" s="198" t="s">
        <v>51</v>
      </c>
      <c r="AL1166" s="198" t="s">
        <v>67</v>
      </c>
      <c r="AM1166" s="198" t="s">
        <v>68</v>
      </c>
      <c r="AN1166" s="202">
        <v>450000000.01999998</v>
      </c>
      <c r="AO1166" s="202">
        <v>450000000.01999998</v>
      </c>
      <c r="AP1166" s="202">
        <v>450000000.01999998</v>
      </c>
      <c r="AQ1166" s="198" t="s">
        <v>358</v>
      </c>
      <c r="AR1166" s="198" t="s">
        <v>51</v>
      </c>
      <c r="AS1166" s="202">
        <v>450000000.01999998</v>
      </c>
      <c r="AT1166" s="202">
        <v>450000000.01999998</v>
      </c>
      <c r="AU1166" s="198" t="s">
        <v>359</v>
      </c>
      <c r="AV1166" s="198" t="s">
        <v>62</v>
      </c>
      <c r="AW1166" s="198" t="s">
        <v>113</v>
      </c>
    </row>
    <row r="1167" spans="3:49" outlineLevel="2" x14ac:dyDescent="0.25">
      <c r="C1167" s="201"/>
      <c r="D1167" s="198" t="s">
        <v>1522</v>
      </c>
      <c r="H1167" s="198" t="s">
        <v>1522</v>
      </c>
      <c r="I1167" s="202">
        <f t="shared" si="18"/>
        <v>485636785.19999999</v>
      </c>
      <c r="J1167" s="202">
        <v>117.6</v>
      </c>
      <c r="L1167" s="204">
        <v>48</v>
      </c>
      <c r="M1167" s="202">
        <v>803197400.15999997</v>
      </c>
      <c r="N1167" s="204">
        <v>7</v>
      </c>
      <c r="O1167" s="198" t="s">
        <v>51</v>
      </c>
      <c r="P1167" s="202">
        <v>117132954.19</v>
      </c>
      <c r="Q1167" s="198" t="s">
        <v>73</v>
      </c>
      <c r="R1167" s="198" t="s">
        <v>53</v>
      </c>
      <c r="S1167" s="198" t="s">
        <v>54</v>
      </c>
      <c r="T1167" s="198" t="s">
        <v>801</v>
      </c>
      <c r="U1167" s="198" t="s">
        <v>2058</v>
      </c>
      <c r="V1167" s="198" t="s">
        <v>56</v>
      </c>
      <c r="W1167" s="198" t="s">
        <v>356</v>
      </c>
      <c r="X1167" s="198" t="s">
        <v>57</v>
      </c>
      <c r="Y1167" s="198" t="s">
        <v>58</v>
      </c>
      <c r="Z1167" s="201">
        <v>46477</v>
      </c>
      <c r="AA1167" s="198" t="s">
        <v>59</v>
      </c>
      <c r="AB1167" s="198" t="s">
        <v>60</v>
      </c>
      <c r="AC1167" s="198" t="s">
        <v>86</v>
      </c>
      <c r="AD1167" s="198" t="s">
        <v>62</v>
      </c>
      <c r="AE1167" s="198" t="s">
        <v>116</v>
      </c>
      <c r="AF1167" s="198" t="s">
        <v>115</v>
      </c>
      <c r="AG1167" s="198" t="s">
        <v>166</v>
      </c>
      <c r="AH1167" s="198" t="s">
        <v>193</v>
      </c>
      <c r="AI1167" s="198" t="s">
        <v>56</v>
      </c>
      <c r="AJ1167" s="198" t="s">
        <v>118</v>
      </c>
      <c r="AK1167" s="198" t="s">
        <v>51</v>
      </c>
      <c r="AL1167" s="198" t="s">
        <v>67</v>
      </c>
      <c r="AM1167" s="198" t="s">
        <v>68</v>
      </c>
      <c r="AN1167" s="202">
        <v>803197400.15999997</v>
      </c>
      <c r="AO1167" s="202">
        <v>803197400.15999997</v>
      </c>
      <c r="AP1167" s="202">
        <v>803197400.15999997</v>
      </c>
      <c r="AQ1167" s="198" t="s">
        <v>358</v>
      </c>
      <c r="AR1167" s="198" t="s">
        <v>51</v>
      </c>
      <c r="AS1167" s="202">
        <v>117132954.19</v>
      </c>
      <c r="AT1167" s="202">
        <v>117132954.19</v>
      </c>
      <c r="AU1167" s="198" t="s">
        <v>359</v>
      </c>
      <c r="AV1167" s="198" t="s">
        <v>62</v>
      </c>
      <c r="AW1167" s="198" t="s">
        <v>113</v>
      </c>
    </row>
    <row r="1168" spans="3:49" outlineLevel="2" x14ac:dyDescent="0.25">
      <c r="C1168" s="201"/>
      <c r="D1168" s="198" t="s">
        <v>1522</v>
      </c>
      <c r="H1168" s="198" t="s">
        <v>1522</v>
      </c>
      <c r="I1168" s="202">
        <f t="shared" si="18"/>
        <v>486049741.65000004</v>
      </c>
      <c r="J1168" s="202">
        <v>117.7</v>
      </c>
      <c r="L1168" s="204">
        <v>48</v>
      </c>
      <c r="M1168" s="202">
        <v>38226973.439999998</v>
      </c>
      <c r="N1168" s="204">
        <v>8</v>
      </c>
      <c r="O1168" s="198" t="s">
        <v>51</v>
      </c>
      <c r="P1168" s="202">
        <v>6371162.2199999997</v>
      </c>
      <c r="Q1168" s="198" t="s">
        <v>73</v>
      </c>
      <c r="R1168" s="198" t="s">
        <v>53</v>
      </c>
      <c r="S1168" s="198" t="s">
        <v>54</v>
      </c>
      <c r="T1168" s="198" t="s">
        <v>801</v>
      </c>
      <c r="U1168" s="198" t="s">
        <v>2058</v>
      </c>
      <c r="V1168" s="198" t="s">
        <v>56</v>
      </c>
      <c r="W1168" s="198" t="s">
        <v>356</v>
      </c>
      <c r="X1168" s="198" t="s">
        <v>57</v>
      </c>
      <c r="Y1168" s="198" t="s">
        <v>58</v>
      </c>
      <c r="Z1168" s="201">
        <v>46477</v>
      </c>
      <c r="AA1168" s="198" t="s">
        <v>59</v>
      </c>
      <c r="AB1168" s="198" t="s">
        <v>60</v>
      </c>
      <c r="AC1168" s="198" t="s">
        <v>86</v>
      </c>
      <c r="AD1168" s="198" t="s">
        <v>62</v>
      </c>
      <c r="AE1168" s="198" t="s">
        <v>120</v>
      </c>
      <c r="AF1168" s="198" t="s">
        <v>119</v>
      </c>
      <c r="AG1168" s="198" t="s">
        <v>166</v>
      </c>
      <c r="AH1168" s="198" t="s">
        <v>193</v>
      </c>
      <c r="AI1168" s="198" t="s">
        <v>56</v>
      </c>
      <c r="AJ1168" s="198" t="s">
        <v>121</v>
      </c>
      <c r="AK1168" s="198" t="s">
        <v>51</v>
      </c>
      <c r="AL1168" s="198" t="s">
        <v>67</v>
      </c>
      <c r="AM1168" s="198" t="s">
        <v>68</v>
      </c>
      <c r="AN1168" s="202">
        <v>38226973.439999998</v>
      </c>
      <c r="AO1168" s="202">
        <v>38226973.439999998</v>
      </c>
      <c r="AP1168" s="202">
        <v>38226973.439999998</v>
      </c>
      <c r="AQ1168" s="198" t="s">
        <v>358</v>
      </c>
      <c r="AR1168" s="198" t="s">
        <v>51</v>
      </c>
      <c r="AS1168" s="202">
        <v>6371162.2199999997</v>
      </c>
      <c r="AT1168" s="202">
        <v>6371162.2199999997</v>
      </c>
      <c r="AU1168" s="198" t="s">
        <v>359</v>
      </c>
      <c r="AV1168" s="198" t="s">
        <v>62</v>
      </c>
      <c r="AW1168" s="198" t="s">
        <v>113</v>
      </c>
    </row>
    <row r="1169" spans="3:49" outlineLevel="2" x14ac:dyDescent="0.25">
      <c r="C1169" s="201"/>
      <c r="D1169" s="198" t="s">
        <v>1520</v>
      </c>
      <c r="H1169" s="198" t="s">
        <v>1520</v>
      </c>
      <c r="I1169" s="202">
        <f t="shared" si="18"/>
        <v>486462698.09999996</v>
      </c>
      <c r="J1169" s="202">
        <v>117.8</v>
      </c>
      <c r="L1169" s="204">
        <v>1</v>
      </c>
      <c r="M1169" s="202">
        <v>113177425</v>
      </c>
      <c r="N1169" s="204">
        <v>1</v>
      </c>
      <c r="O1169" s="198" t="s">
        <v>51</v>
      </c>
      <c r="P1169" s="202">
        <v>113177425</v>
      </c>
      <c r="Q1169" s="198" t="s">
        <v>342</v>
      </c>
      <c r="R1169" s="198" t="s">
        <v>53</v>
      </c>
      <c r="S1169" s="198" t="s">
        <v>54</v>
      </c>
      <c r="T1169" s="198" t="s">
        <v>801</v>
      </c>
      <c r="U1169" s="198" t="s">
        <v>80</v>
      </c>
      <c r="V1169" s="198" t="s">
        <v>56</v>
      </c>
      <c r="W1169" s="198" t="s">
        <v>356</v>
      </c>
      <c r="X1169" s="198" t="s">
        <v>57</v>
      </c>
      <c r="Y1169" s="198" t="s">
        <v>58</v>
      </c>
      <c r="Z1169" s="201">
        <v>46477</v>
      </c>
      <c r="AA1169" s="198" t="s">
        <v>59</v>
      </c>
      <c r="AB1169" s="198" t="s">
        <v>60</v>
      </c>
      <c r="AC1169" s="198" t="s">
        <v>86</v>
      </c>
      <c r="AD1169" s="198" t="s">
        <v>62</v>
      </c>
      <c r="AE1169" s="198" t="s">
        <v>357</v>
      </c>
      <c r="AF1169" s="198" t="s">
        <v>354</v>
      </c>
      <c r="AG1169" s="198" t="s">
        <v>166</v>
      </c>
      <c r="AH1169" s="198" t="s">
        <v>193</v>
      </c>
      <c r="AI1169" s="198" t="s">
        <v>56</v>
      </c>
      <c r="AJ1169" s="198" t="s">
        <v>74</v>
      </c>
      <c r="AK1169" s="198" t="s">
        <v>51</v>
      </c>
      <c r="AL1169" s="198" t="s">
        <v>67</v>
      </c>
      <c r="AM1169" s="198" t="s">
        <v>68</v>
      </c>
      <c r="AN1169" s="202">
        <v>113177425</v>
      </c>
      <c r="AO1169" s="202">
        <v>113177425</v>
      </c>
      <c r="AP1169" s="202">
        <v>113177425</v>
      </c>
      <c r="AQ1169" s="198" t="s">
        <v>358</v>
      </c>
      <c r="AR1169" s="198" t="s">
        <v>51</v>
      </c>
      <c r="AS1169" s="202">
        <v>113177425</v>
      </c>
      <c r="AT1169" s="202">
        <v>113177425</v>
      </c>
      <c r="AU1169" s="198" t="s">
        <v>359</v>
      </c>
      <c r="AV1169" s="198" t="s">
        <v>62</v>
      </c>
      <c r="AW1169" s="198" t="s">
        <v>113</v>
      </c>
    </row>
    <row r="1170" spans="3:49" outlineLevel="2" x14ac:dyDescent="0.25">
      <c r="C1170" s="201"/>
      <c r="D1170" s="198" t="s">
        <v>2019</v>
      </c>
      <c r="H1170" s="198" t="s">
        <v>2019</v>
      </c>
      <c r="I1170" s="202">
        <f t="shared" si="18"/>
        <v>486875654.55000001</v>
      </c>
      <c r="J1170" s="202">
        <v>117.9</v>
      </c>
      <c r="L1170" s="204">
        <v>16</v>
      </c>
      <c r="M1170" s="202">
        <v>128455737.76000001</v>
      </c>
      <c r="N1170" s="204">
        <v>16</v>
      </c>
      <c r="O1170" s="198" t="s">
        <v>51</v>
      </c>
      <c r="P1170" s="202">
        <v>128455737.76000001</v>
      </c>
      <c r="Q1170" s="198" t="s">
        <v>73</v>
      </c>
      <c r="R1170" s="198" t="s">
        <v>53</v>
      </c>
      <c r="S1170" s="198" t="s">
        <v>54</v>
      </c>
      <c r="T1170" s="198" t="s">
        <v>801</v>
      </c>
      <c r="U1170" s="198" t="s">
        <v>80</v>
      </c>
      <c r="V1170" s="198" t="s">
        <v>56</v>
      </c>
      <c r="W1170" s="198" t="s">
        <v>356</v>
      </c>
      <c r="X1170" s="198" t="s">
        <v>57</v>
      </c>
      <c r="Y1170" s="198" t="s">
        <v>58</v>
      </c>
      <c r="Z1170" s="201">
        <v>46477</v>
      </c>
      <c r="AA1170" s="198" t="s">
        <v>59</v>
      </c>
      <c r="AB1170" s="198" t="s">
        <v>60</v>
      </c>
      <c r="AC1170" s="198" t="s">
        <v>86</v>
      </c>
      <c r="AD1170" s="198" t="s">
        <v>62</v>
      </c>
      <c r="AE1170" s="198" t="s">
        <v>444</v>
      </c>
      <c r="AF1170" s="198" t="s">
        <v>442</v>
      </c>
      <c r="AG1170" s="198" t="s">
        <v>166</v>
      </c>
      <c r="AH1170" s="198" t="s">
        <v>193</v>
      </c>
      <c r="AI1170" s="198" t="s">
        <v>56</v>
      </c>
      <c r="AJ1170" s="198" t="s">
        <v>128</v>
      </c>
      <c r="AK1170" s="198" t="s">
        <v>51</v>
      </c>
      <c r="AL1170" s="198" t="s">
        <v>67</v>
      </c>
      <c r="AM1170" s="198" t="s">
        <v>68</v>
      </c>
      <c r="AN1170" s="202">
        <v>128455737.76000001</v>
      </c>
      <c r="AO1170" s="202">
        <v>128455737.76000001</v>
      </c>
      <c r="AP1170" s="202">
        <v>128455737.76000001</v>
      </c>
      <c r="AQ1170" s="198" t="s">
        <v>358</v>
      </c>
      <c r="AR1170" s="198" t="s">
        <v>51</v>
      </c>
      <c r="AS1170" s="202">
        <v>128455737.76000001</v>
      </c>
      <c r="AT1170" s="202">
        <v>128455737.76000001</v>
      </c>
      <c r="AU1170" s="198" t="s">
        <v>359</v>
      </c>
      <c r="AV1170" s="198" t="s">
        <v>62</v>
      </c>
      <c r="AW1170" s="198" t="s">
        <v>113</v>
      </c>
    </row>
    <row r="1171" spans="3:49" outlineLevel="2" x14ac:dyDescent="0.25">
      <c r="C1171" s="201"/>
      <c r="D1171" s="198" t="s">
        <v>2069</v>
      </c>
      <c r="H1171" s="198" t="s">
        <v>2069</v>
      </c>
      <c r="I1171" s="202">
        <f t="shared" si="18"/>
        <v>487288611</v>
      </c>
      <c r="J1171" s="202">
        <v>118</v>
      </c>
      <c r="L1171" s="204">
        <v>1</v>
      </c>
      <c r="M1171" s="202">
        <v>446763502.5</v>
      </c>
      <c r="N1171" s="204">
        <v>1</v>
      </c>
      <c r="O1171" s="198" t="s">
        <v>51</v>
      </c>
      <c r="P1171" s="202">
        <v>446763502.5</v>
      </c>
      <c r="Q1171" s="198" t="s">
        <v>335</v>
      </c>
      <c r="R1171" s="198" t="s">
        <v>53</v>
      </c>
      <c r="S1171" s="198" t="s">
        <v>54</v>
      </c>
      <c r="T1171" s="198" t="s">
        <v>801</v>
      </c>
      <c r="U1171" s="198" t="s">
        <v>80</v>
      </c>
      <c r="V1171" s="198" t="s">
        <v>56</v>
      </c>
      <c r="W1171" s="198" t="s">
        <v>356</v>
      </c>
      <c r="X1171" s="198" t="s">
        <v>57</v>
      </c>
      <c r="Y1171" s="198" t="s">
        <v>58</v>
      </c>
      <c r="Z1171" s="201">
        <v>46477</v>
      </c>
      <c r="AA1171" s="198" t="s">
        <v>59</v>
      </c>
      <c r="AB1171" s="198" t="s">
        <v>60</v>
      </c>
      <c r="AC1171" s="198" t="s">
        <v>86</v>
      </c>
      <c r="AD1171" s="198" t="s">
        <v>62</v>
      </c>
      <c r="AE1171" s="198" t="s">
        <v>2068</v>
      </c>
      <c r="AF1171" s="198" t="s">
        <v>2067</v>
      </c>
      <c r="AG1171" s="198" t="s">
        <v>166</v>
      </c>
      <c r="AH1171" s="198" t="s">
        <v>193</v>
      </c>
      <c r="AI1171" s="198" t="s">
        <v>56</v>
      </c>
      <c r="AJ1171" s="198" t="s">
        <v>66</v>
      </c>
      <c r="AK1171" s="198" t="s">
        <v>51</v>
      </c>
      <c r="AL1171" s="198" t="s">
        <v>67</v>
      </c>
      <c r="AM1171" s="198" t="s">
        <v>68</v>
      </c>
      <c r="AN1171" s="202">
        <v>446763502.5</v>
      </c>
      <c r="AO1171" s="202">
        <v>446763502.5</v>
      </c>
      <c r="AP1171" s="202">
        <v>446763502.5</v>
      </c>
      <c r="AQ1171" s="198" t="s">
        <v>358</v>
      </c>
      <c r="AR1171" s="198" t="s">
        <v>51</v>
      </c>
      <c r="AS1171" s="202">
        <v>446763502.5</v>
      </c>
      <c r="AT1171" s="202">
        <v>446763502.5</v>
      </c>
      <c r="AU1171" s="198" t="s">
        <v>359</v>
      </c>
      <c r="AV1171" s="198" t="s">
        <v>62</v>
      </c>
      <c r="AW1171" s="198" t="s">
        <v>113</v>
      </c>
    </row>
    <row r="1172" spans="3:49" outlineLevel="2" x14ac:dyDescent="0.25">
      <c r="C1172" s="201"/>
      <c r="D1172" s="198" t="s">
        <v>2069</v>
      </c>
      <c r="H1172" s="198" t="s">
        <v>2069</v>
      </c>
      <c r="I1172" s="202">
        <f t="shared" si="18"/>
        <v>487701567.44999999</v>
      </c>
      <c r="J1172" s="202">
        <v>118.1</v>
      </c>
      <c r="L1172" s="204">
        <v>1</v>
      </c>
      <c r="M1172" s="202">
        <v>450000000</v>
      </c>
      <c r="N1172" s="204">
        <v>1</v>
      </c>
      <c r="O1172" s="198" t="s">
        <v>51</v>
      </c>
      <c r="P1172" s="202">
        <v>450000000</v>
      </c>
      <c r="Q1172" s="198" t="s">
        <v>335</v>
      </c>
      <c r="R1172" s="198" t="s">
        <v>53</v>
      </c>
      <c r="S1172" s="198" t="s">
        <v>54</v>
      </c>
      <c r="T1172" s="198" t="s">
        <v>801</v>
      </c>
      <c r="U1172" s="198" t="s">
        <v>80</v>
      </c>
      <c r="V1172" s="198" t="s">
        <v>56</v>
      </c>
      <c r="W1172" s="198" t="s">
        <v>356</v>
      </c>
      <c r="X1172" s="198" t="s">
        <v>57</v>
      </c>
      <c r="Y1172" s="198" t="s">
        <v>58</v>
      </c>
      <c r="Z1172" s="201">
        <v>46477</v>
      </c>
      <c r="AA1172" s="198" t="s">
        <v>59</v>
      </c>
      <c r="AB1172" s="198" t="s">
        <v>60</v>
      </c>
      <c r="AC1172" s="198" t="s">
        <v>86</v>
      </c>
      <c r="AD1172" s="198" t="s">
        <v>62</v>
      </c>
      <c r="AE1172" s="198" t="s">
        <v>2068</v>
      </c>
      <c r="AF1172" s="198" t="s">
        <v>2067</v>
      </c>
      <c r="AG1172" s="198" t="s">
        <v>166</v>
      </c>
      <c r="AH1172" s="198" t="s">
        <v>193</v>
      </c>
      <c r="AI1172" s="198" t="s">
        <v>56</v>
      </c>
      <c r="AJ1172" s="198" t="s">
        <v>66</v>
      </c>
      <c r="AK1172" s="198" t="s">
        <v>51</v>
      </c>
      <c r="AL1172" s="198" t="s">
        <v>67</v>
      </c>
      <c r="AM1172" s="198" t="s">
        <v>68</v>
      </c>
      <c r="AN1172" s="202">
        <v>450000000</v>
      </c>
      <c r="AO1172" s="202">
        <v>450000000</v>
      </c>
      <c r="AP1172" s="202">
        <v>450000000</v>
      </c>
      <c r="AQ1172" s="198" t="s">
        <v>358</v>
      </c>
      <c r="AR1172" s="198" t="s">
        <v>51</v>
      </c>
      <c r="AS1172" s="202">
        <v>450000000</v>
      </c>
      <c r="AT1172" s="202">
        <v>450000000</v>
      </c>
      <c r="AU1172" s="198" t="s">
        <v>359</v>
      </c>
      <c r="AV1172" s="198" t="s">
        <v>62</v>
      </c>
      <c r="AW1172" s="198" t="s">
        <v>113</v>
      </c>
    </row>
    <row r="1173" spans="3:49" outlineLevel="2" x14ac:dyDescent="0.25">
      <c r="C1173" s="201"/>
      <c r="D1173" s="198" t="s">
        <v>2069</v>
      </c>
      <c r="H1173" s="198" t="s">
        <v>2069</v>
      </c>
      <c r="I1173" s="202">
        <f t="shared" si="18"/>
        <v>488114523.90000004</v>
      </c>
      <c r="J1173" s="202">
        <v>118.2</v>
      </c>
      <c r="L1173" s="204">
        <v>1</v>
      </c>
      <c r="M1173" s="202">
        <v>450000000</v>
      </c>
      <c r="N1173" s="204">
        <v>1</v>
      </c>
      <c r="O1173" s="198" t="s">
        <v>51</v>
      </c>
      <c r="P1173" s="202">
        <v>450000000</v>
      </c>
      <c r="Q1173" s="198" t="s">
        <v>335</v>
      </c>
      <c r="R1173" s="198" t="s">
        <v>53</v>
      </c>
      <c r="S1173" s="198" t="s">
        <v>54</v>
      </c>
      <c r="T1173" s="198" t="s">
        <v>801</v>
      </c>
      <c r="U1173" s="198" t="s">
        <v>80</v>
      </c>
      <c r="V1173" s="198" t="s">
        <v>56</v>
      </c>
      <c r="W1173" s="198" t="s">
        <v>356</v>
      </c>
      <c r="X1173" s="198" t="s">
        <v>57</v>
      </c>
      <c r="Y1173" s="198" t="s">
        <v>58</v>
      </c>
      <c r="Z1173" s="201">
        <v>46477</v>
      </c>
      <c r="AA1173" s="198" t="s">
        <v>59</v>
      </c>
      <c r="AB1173" s="198" t="s">
        <v>60</v>
      </c>
      <c r="AC1173" s="198" t="s">
        <v>86</v>
      </c>
      <c r="AD1173" s="198" t="s">
        <v>62</v>
      </c>
      <c r="AE1173" s="198" t="s">
        <v>2068</v>
      </c>
      <c r="AF1173" s="198" t="s">
        <v>2067</v>
      </c>
      <c r="AG1173" s="198" t="s">
        <v>166</v>
      </c>
      <c r="AH1173" s="198" t="s">
        <v>193</v>
      </c>
      <c r="AI1173" s="198" t="s">
        <v>56</v>
      </c>
      <c r="AJ1173" s="198" t="s">
        <v>66</v>
      </c>
      <c r="AK1173" s="198" t="s">
        <v>51</v>
      </c>
      <c r="AL1173" s="198" t="s">
        <v>67</v>
      </c>
      <c r="AM1173" s="198" t="s">
        <v>68</v>
      </c>
      <c r="AN1173" s="202">
        <v>450000000</v>
      </c>
      <c r="AO1173" s="202">
        <v>450000000</v>
      </c>
      <c r="AP1173" s="202">
        <v>450000000</v>
      </c>
      <c r="AQ1173" s="198" t="s">
        <v>358</v>
      </c>
      <c r="AR1173" s="198" t="s">
        <v>51</v>
      </c>
      <c r="AS1173" s="202">
        <v>450000000</v>
      </c>
      <c r="AT1173" s="202">
        <v>450000000</v>
      </c>
      <c r="AU1173" s="198" t="s">
        <v>359</v>
      </c>
      <c r="AV1173" s="198" t="s">
        <v>62</v>
      </c>
      <c r="AW1173" s="198" t="s">
        <v>113</v>
      </c>
    </row>
    <row r="1174" spans="3:49" outlineLevel="2" x14ac:dyDescent="0.25">
      <c r="C1174" s="201"/>
      <c r="D1174" s="198" t="s">
        <v>2069</v>
      </c>
      <c r="H1174" s="198" t="s">
        <v>2069</v>
      </c>
      <c r="I1174" s="202">
        <f t="shared" si="18"/>
        <v>488527480.34999996</v>
      </c>
      <c r="J1174" s="202">
        <v>118.3</v>
      </c>
      <c r="L1174" s="204">
        <v>1</v>
      </c>
      <c r="M1174" s="202">
        <v>450000000</v>
      </c>
      <c r="N1174" s="204">
        <v>1</v>
      </c>
      <c r="O1174" s="198" t="s">
        <v>51</v>
      </c>
      <c r="P1174" s="202">
        <v>450000000</v>
      </c>
      <c r="Q1174" s="198" t="s">
        <v>335</v>
      </c>
      <c r="R1174" s="198" t="s">
        <v>53</v>
      </c>
      <c r="S1174" s="198" t="s">
        <v>54</v>
      </c>
      <c r="T1174" s="198" t="s">
        <v>801</v>
      </c>
      <c r="U1174" s="198" t="s">
        <v>80</v>
      </c>
      <c r="V1174" s="198" t="s">
        <v>56</v>
      </c>
      <c r="W1174" s="198" t="s">
        <v>356</v>
      </c>
      <c r="X1174" s="198" t="s">
        <v>57</v>
      </c>
      <c r="Y1174" s="198" t="s">
        <v>58</v>
      </c>
      <c r="Z1174" s="201">
        <v>46477</v>
      </c>
      <c r="AA1174" s="198" t="s">
        <v>59</v>
      </c>
      <c r="AB1174" s="198" t="s">
        <v>60</v>
      </c>
      <c r="AC1174" s="198" t="s">
        <v>86</v>
      </c>
      <c r="AD1174" s="198" t="s">
        <v>62</v>
      </c>
      <c r="AE1174" s="198" t="s">
        <v>2068</v>
      </c>
      <c r="AF1174" s="198" t="s">
        <v>2067</v>
      </c>
      <c r="AG1174" s="198" t="s">
        <v>166</v>
      </c>
      <c r="AH1174" s="198" t="s">
        <v>193</v>
      </c>
      <c r="AI1174" s="198" t="s">
        <v>56</v>
      </c>
      <c r="AJ1174" s="198" t="s">
        <v>66</v>
      </c>
      <c r="AK1174" s="198" t="s">
        <v>51</v>
      </c>
      <c r="AL1174" s="198" t="s">
        <v>67</v>
      </c>
      <c r="AM1174" s="198" t="s">
        <v>68</v>
      </c>
      <c r="AN1174" s="202">
        <v>450000000</v>
      </c>
      <c r="AO1174" s="202">
        <v>450000000</v>
      </c>
      <c r="AP1174" s="202">
        <v>450000000</v>
      </c>
      <c r="AQ1174" s="198" t="s">
        <v>358</v>
      </c>
      <c r="AR1174" s="198" t="s">
        <v>51</v>
      </c>
      <c r="AS1174" s="202">
        <v>450000000</v>
      </c>
      <c r="AT1174" s="202">
        <v>450000000</v>
      </c>
      <c r="AU1174" s="198" t="s">
        <v>359</v>
      </c>
      <c r="AV1174" s="198" t="s">
        <v>62</v>
      </c>
      <c r="AW1174" s="198" t="s">
        <v>113</v>
      </c>
    </row>
    <row r="1175" spans="3:49" outlineLevel="2" x14ac:dyDescent="0.25">
      <c r="C1175" s="201"/>
      <c r="D1175" s="198" t="s">
        <v>2069</v>
      </c>
      <c r="H1175" s="198" t="s">
        <v>2069</v>
      </c>
      <c r="I1175" s="202">
        <f t="shared" si="18"/>
        <v>488940436.80000001</v>
      </c>
      <c r="J1175" s="202">
        <v>118.4</v>
      </c>
      <c r="L1175" s="204">
        <v>1</v>
      </c>
      <c r="M1175" s="202">
        <v>450000000</v>
      </c>
      <c r="N1175" s="204">
        <v>1</v>
      </c>
      <c r="O1175" s="198" t="s">
        <v>51</v>
      </c>
      <c r="P1175" s="202">
        <v>450000000</v>
      </c>
      <c r="Q1175" s="198" t="s">
        <v>335</v>
      </c>
      <c r="R1175" s="198" t="s">
        <v>53</v>
      </c>
      <c r="S1175" s="198" t="s">
        <v>54</v>
      </c>
      <c r="T1175" s="198" t="s">
        <v>801</v>
      </c>
      <c r="U1175" s="198" t="s">
        <v>80</v>
      </c>
      <c r="V1175" s="198" t="s">
        <v>56</v>
      </c>
      <c r="W1175" s="198" t="s">
        <v>356</v>
      </c>
      <c r="X1175" s="198" t="s">
        <v>57</v>
      </c>
      <c r="Y1175" s="198" t="s">
        <v>58</v>
      </c>
      <c r="Z1175" s="201">
        <v>46477</v>
      </c>
      <c r="AA1175" s="198" t="s">
        <v>59</v>
      </c>
      <c r="AB1175" s="198" t="s">
        <v>60</v>
      </c>
      <c r="AC1175" s="198" t="s">
        <v>86</v>
      </c>
      <c r="AD1175" s="198" t="s">
        <v>62</v>
      </c>
      <c r="AE1175" s="198" t="s">
        <v>2068</v>
      </c>
      <c r="AF1175" s="198" t="s">
        <v>2067</v>
      </c>
      <c r="AG1175" s="198" t="s">
        <v>166</v>
      </c>
      <c r="AH1175" s="198" t="s">
        <v>193</v>
      </c>
      <c r="AI1175" s="198" t="s">
        <v>56</v>
      </c>
      <c r="AJ1175" s="198" t="s">
        <v>66</v>
      </c>
      <c r="AK1175" s="198" t="s">
        <v>51</v>
      </c>
      <c r="AL1175" s="198" t="s">
        <v>67</v>
      </c>
      <c r="AM1175" s="198" t="s">
        <v>68</v>
      </c>
      <c r="AN1175" s="202">
        <v>450000000</v>
      </c>
      <c r="AO1175" s="202">
        <v>450000000</v>
      </c>
      <c r="AP1175" s="202">
        <v>450000000</v>
      </c>
      <c r="AQ1175" s="198" t="s">
        <v>358</v>
      </c>
      <c r="AR1175" s="198" t="s">
        <v>51</v>
      </c>
      <c r="AS1175" s="202">
        <v>450000000</v>
      </c>
      <c r="AT1175" s="202">
        <v>450000000</v>
      </c>
      <c r="AU1175" s="198" t="s">
        <v>359</v>
      </c>
      <c r="AV1175" s="198" t="s">
        <v>62</v>
      </c>
      <c r="AW1175" s="198" t="s">
        <v>113</v>
      </c>
    </row>
    <row r="1176" spans="3:49" outlineLevel="2" x14ac:dyDescent="0.25">
      <c r="C1176" s="201"/>
      <c r="D1176" s="198" t="s">
        <v>2069</v>
      </c>
      <c r="H1176" s="198" t="s">
        <v>2069</v>
      </c>
      <c r="I1176" s="202">
        <f t="shared" si="18"/>
        <v>489353393.25</v>
      </c>
      <c r="J1176" s="202">
        <v>118.5</v>
      </c>
      <c r="L1176" s="204">
        <v>1</v>
      </c>
      <c r="M1176" s="202">
        <v>450000000</v>
      </c>
      <c r="N1176" s="204">
        <v>1</v>
      </c>
      <c r="O1176" s="198" t="s">
        <v>51</v>
      </c>
      <c r="P1176" s="202">
        <v>450000000</v>
      </c>
      <c r="Q1176" s="198" t="s">
        <v>335</v>
      </c>
      <c r="R1176" s="198" t="s">
        <v>53</v>
      </c>
      <c r="S1176" s="198" t="s">
        <v>54</v>
      </c>
      <c r="T1176" s="198" t="s">
        <v>801</v>
      </c>
      <c r="U1176" s="198" t="s">
        <v>80</v>
      </c>
      <c r="V1176" s="198" t="s">
        <v>56</v>
      </c>
      <c r="W1176" s="198" t="s">
        <v>356</v>
      </c>
      <c r="X1176" s="198" t="s">
        <v>57</v>
      </c>
      <c r="Y1176" s="198" t="s">
        <v>58</v>
      </c>
      <c r="Z1176" s="201">
        <v>46477</v>
      </c>
      <c r="AA1176" s="198" t="s">
        <v>59</v>
      </c>
      <c r="AB1176" s="198" t="s">
        <v>60</v>
      </c>
      <c r="AC1176" s="198" t="s">
        <v>86</v>
      </c>
      <c r="AD1176" s="198" t="s">
        <v>62</v>
      </c>
      <c r="AE1176" s="198" t="s">
        <v>2068</v>
      </c>
      <c r="AF1176" s="198" t="s">
        <v>2067</v>
      </c>
      <c r="AG1176" s="198" t="s">
        <v>166</v>
      </c>
      <c r="AH1176" s="198" t="s">
        <v>193</v>
      </c>
      <c r="AI1176" s="198" t="s">
        <v>56</v>
      </c>
      <c r="AJ1176" s="198" t="s">
        <v>66</v>
      </c>
      <c r="AK1176" s="198" t="s">
        <v>51</v>
      </c>
      <c r="AL1176" s="198" t="s">
        <v>67</v>
      </c>
      <c r="AM1176" s="198" t="s">
        <v>68</v>
      </c>
      <c r="AN1176" s="202">
        <v>450000000</v>
      </c>
      <c r="AO1176" s="202">
        <v>450000000</v>
      </c>
      <c r="AP1176" s="202">
        <v>450000000</v>
      </c>
      <c r="AQ1176" s="198" t="s">
        <v>358</v>
      </c>
      <c r="AR1176" s="198" t="s">
        <v>51</v>
      </c>
      <c r="AS1176" s="202">
        <v>450000000</v>
      </c>
      <c r="AT1176" s="202">
        <v>450000000</v>
      </c>
      <c r="AU1176" s="198" t="s">
        <v>359</v>
      </c>
      <c r="AV1176" s="198" t="s">
        <v>62</v>
      </c>
      <c r="AW1176" s="198" t="s">
        <v>113</v>
      </c>
    </row>
    <row r="1177" spans="3:49" outlineLevel="2" x14ac:dyDescent="0.25">
      <c r="C1177" s="201"/>
      <c r="D1177" s="198" t="s">
        <v>2069</v>
      </c>
      <c r="H1177" s="198" t="s">
        <v>2069</v>
      </c>
      <c r="I1177" s="202">
        <f t="shared" si="18"/>
        <v>489766349.69999999</v>
      </c>
      <c r="J1177" s="202">
        <v>118.6</v>
      </c>
      <c r="L1177" s="204">
        <v>1</v>
      </c>
      <c r="M1177" s="202">
        <v>450000000</v>
      </c>
      <c r="N1177" s="204">
        <v>1</v>
      </c>
      <c r="O1177" s="198" t="s">
        <v>51</v>
      </c>
      <c r="P1177" s="202">
        <v>450000000</v>
      </c>
      <c r="Q1177" s="198" t="s">
        <v>335</v>
      </c>
      <c r="R1177" s="198" t="s">
        <v>53</v>
      </c>
      <c r="S1177" s="198" t="s">
        <v>54</v>
      </c>
      <c r="T1177" s="198" t="s">
        <v>801</v>
      </c>
      <c r="U1177" s="198" t="s">
        <v>80</v>
      </c>
      <c r="V1177" s="198" t="s">
        <v>56</v>
      </c>
      <c r="W1177" s="198" t="s">
        <v>356</v>
      </c>
      <c r="X1177" s="198" t="s">
        <v>57</v>
      </c>
      <c r="Y1177" s="198" t="s">
        <v>58</v>
      </c>
      <c r="Z1177" s="201">
        <v>46477</v>
      </c>
      <c r="AA1177" s="198" t="s">
        <v>59</v>
      </c>
      <c r="AB1177" s="198" t="s">
        <v>60</v>
      </c>
      <c r="AC1177" s="198" t="s">
        <v>86</v>
      </c>
      <c r="AD1177" s="198" t="s">
        <v>62</v>
      </c>
      <c r="AE1177" s="198" t="s">
        <v>2068</v>
      </c>
      <c r="AF1177" s="198" t="s">
        <v>2067</v>
      </c>
      <c r="AG1177" s="198" t="s">
        <v>166</v>
      </c>
      <c r="AH1177" s="198" t="s">
        <v>193</v>
      </c>
      <c r="AI1177" s="198" t="s">
        <v>56</v>
      </c>
      <c r="AJ1177" s="198" t="s">
        <v>66</v>
      </c>
      <c r="AK1177" s="198" t="s">
        <v>51</v>
      </c>
      <c r="AL1177" s="198" t="s">
        <v>67</v>
      </c>
      <c r="AM1177" s="198" t="s">
        <v>68</v>
      </c>
      <c r="AN1177" s="202">
        <v>450000000</v>
      </c>
      <c r="AO1177" s="202">
        <v>450000000</v>
      </c>
      <c r="AP1177" s="202">
        <v>450000000</v>
      </c>
      <c r="AQ1177" s="198" t="s">
        <v>358</v>
      </c>
      <c r="AR1177" s="198" t="s">
        <v>51</v>
      </c>
      <c r="AS1177" s="202">
        <v>450000000</v>
      </c>
      <c r="AT1177" s="202">
        <v>450000000</v>
      </c>
      <c r="AU1177" s="198" t="s">
        <v>359</v>
      </c>
      <c r="AV1177" s="198" t="s">
        <v>62</v>
      </c>
      <c r="AW1177" s="198" t="s">
        <v>113</v>
      </c>
    </row>
    <row r="1178" spans="3:49" outlineLevel="2" x14ac:dyDescent="0.25">
      <c r="C1178" s="201"/>
      <c r="D1178" s="198" t="s">
        <v>2069</v>
      </c>
      <c r="H1178" s="198" t="s">
        <v>2069</v>
      </c>
      <c r="I1178" s="202">
        <f t="shared" si="18"/>
        <v>490179306.15000004</v>
      </c>
      <c r="J1178" s="202">
        <v>118.7</v>
      </c>
      <c r="L1178" s="204">
        <v>1</v>
      </c>
      <c r="M1178" s="202">
        <v>450000000</v>
      </c>
      <c r="N1178" s="204">
        <v>1</v>
      </c>
      <c r="O1178" s="198" t="s">
        <v>51</v>
      </c>
      <c r="P1178" s="202">
        <v>450000000</v>
      </c>
      <c r="Q1178" s="198" t="s">
        <v>335</v>
      </c>
      <c r="R1178" s="198" t="s">
        <v>53</v>
      </c>
      <c r="S1178" s="198" t="s">
        <v>54</v>
      </c>
      <c r="T1178" s="198" t="s">
        <v>801</v>
      </c>
      <c r="U1178" s="198" t="s">
        <v>80</v>
      </c>
      <c r="V1178" s="198" t="s">
        <v>56</v>
      </c>
      <c r="W1178" s="198" t="s">
        <v>356</v>
      </c>
      <c r="X1178" s="198" t="s">
        <v>57</v>
      </c>
      <c r="Y1178" s="198" t="s">
        <v>58</v>
      </c>
      <c r="Z1178" s="201">
        <v>46477</v>
      </c>
      <c r="AA1178" s="198" t="s">
        <v>59</v>
      </c>
      <c r="AB1178" s="198" t="s">
        <v>60</v>
      </c>
      <c r="AC1178" s="198" t="s">
        <v>86</v>
      </c>
      <c r="AD1178" s="198" t="s">
        <v>62</v>
      </c>
      <c r="AE1178" s="198" t="s">
        <v>2068</v>
      </c>
      <c r="AF1178" s="198" t="s">
        <v>2067</v>
      </c>
      <c r="AG1178" s="198" t="s">
        <v>166</v>
      </c>
      <c r="AH1178" s="198" t="s">
        <v>193</v>
      </c>
      <c r="AI1178" s="198" t="s">
        <v>56</v>
      </c>
      <c r="AJ1178" s="198" t="s">
        <v>66</v>
      </c>
      <c r="AK1178" s="198" t="s">
        <v>51</v>
      </c>
      <c r="AL1178" s="198" t="s">
        <v>67</v>
      </c>
      <c r="AM1178" s="198" t="s">
        <v>68</v>
      </c>
      <c r="AN1178" s="202">
        <v>450000000</v>
      </c>
      <c r="AO1178" s="202">
        <v>450000000</v>
      </c>
      <c r="AP1178" s="202">
        <v>450000000</v>
      </c>
      <c r="AQ1178" s="198" t="s">
        <v>358</v>
      </c>
      <c r="AR1178" s="198" t="s">
        <v>51</v>
      </c>
      <c r="AS1178" s="202">
        <v>450000000</v>
      </c>
      <c r="AT1178" s="202">
        <v>450000000</v>
      </c>
      <c r="AU1178" s="198" t="s">
        <v>359</v>
      </c>
      <c r="AV1178" s="198" t="s">
        <v>62</v>
      </c>
      <c r="AW1178" s="198" t="s">
        <v>113</v>
      </c>
    </row>
    <row r="1179" spans="3:49" outlineLevel="2" x14ac:dyDescent="0.25">
      <c r="C1179" s="201"/>
      <c r="D1179" s="198" t="s">
        <v>2021</v>
      </c>
      <c r="H1179" s="198" t="s">
        <v>2021</v>
      </c>
      <c r="I1179" s="202">
        <f t="shared" si="18"/>
        <v>490592262.59999996</v>
      </c>
      <c r="J1179" s="202">
        <v>118.8</v>
      </c>
      <c r="L1179" s="204">
        <v>6568</v>
      </c>
      <c r="M1179" s="202">
        <v>3239337.6</v>
      </c>
      <c r="N1179" s="204">
        <v>6568</v>
      </c>
      <c r="O1179" s="198" t="s">
        <v>51</v>
      </c>
      <c r="P1179" s="202">
        <v>3239337.6</v>
      </c>
      <c r="Q1179" s="198" t="s">
        <v>75</v>
      </c>
      <c r="R1179" s="198" t="s">
        <v>53</v>
      </c>
      <c r="S1179" s="198" t="s">
        <v>54</v>
      </c>
      <c r="T1179" s="198" t="s">
        <v>801</v>
      </c>
      <c r="U1179" s="198" t="s">
        <v>80</v>
      </c>
      <c r="V1179" s="198" t="s">
        <v>56</v>
      </c>
      <c r="W1179" s="198" t="s">
        <v>356</v>
      </c>
      <c r="X1179" s="198" t="s">
        <v>57</v>
      </c>
      <c r="Y1179" s="198" t="s">
        <v>58</v>
      </c>
      <c r="Z1179" s="201">
        <v>46232</v>
      </c>
      <c r="AA1179" s="198" t="s">
        <v>59</v>
      </c>
      <c r="AB1179" s="198" t="s">
        <v>60</v>
      </c>
      <c r="AC1179" s="198" t="s">
        <v>86</v>
      </c>
      <c r="AD1179" s="198" t="s">
        <v>62</v>
      </c>
      <c r="AE1179" s="198" t="s">
        <v>579</v>
      </c>
      <c r="AF1179" s="198" t="s">
        <v>578</v>
      </c>
      <c r="AG1179" s="198" t="s">
        <v>248</v>
      </c>
      <c r="AH1179" s="198" t="s">
        <v>193</v>
      </c>
      <c r="AI1179" s="198" t="s">
        <v>56</v>
      </c>
      <c r="AJ1179" s="198" t="s">
        <v>318</v>
      </c>
      <c r="AK1179" s="198" t="s">
        <v>51</v>
      </c>
      <c r="AL1179" s="198" t="s">
        <v>67</v>
      </c>
      <c r="AM1179" s="198" t="s">
        <v>68</v>
      </c>
      <c r="AN1179" s="202">
        <v>3239337.6</v>
      </c>
      <c r="AO1179" s="202">
        <v>3239337.6</v>
      </c>
      <c r="AP1179" s="202">
        <v>3239337.6</v>
      </c>
      <c r="AQ1179" s="198" t="s">
        <v>358</v>
      </c>
      <c r="AR1179" s="198" t="s">
        <v>51</v>
      </c>
      <c r="AS1179" s="202">
        <v>3239337.6</v>
      </c>
      <c r="AT1179" s="202">
        <v>3239337.6</v>
      </c>
      <c r="AU1179" s="198" t="s">
        <v>359</v>
      </c>
      <c r="AV1179" s="198" t="s">
        <v>62</v>
      </c>
      <c r="AW1179" s="198" t="s">
        <v>113</v>
      </c>
    </row>
    <row r="1180" spans="3:49" outlineLevel="2" x14ac:dyDescent="0.25">
      <c r="C1180" s="201"/>
      <c r="D1180" s="198" t="s">
        <v>1514</v>
      </c>
      <c r="H1180" s="198" t="s">
        <v>1514</v>
      </c>
      <c r="I1180" s="202">
        <f t="shared" si="18"/>
        <v>491005219.05000001</v>
      </c>
      <c r="J1180" s="202">
        <v>118.9</v>
      </c>
      <c r="L1180" s="204">
        <v>20</v>
      </c>
      <c r="M1180" s="202">
        <v>830841242.60000002</v>
      </c>
      <c r="N1180" s="204">
        <v>20</v>
      </c>
      <c r="O1180" s="198" t="s">
        <v>51</v>
      </c>
      <c r="P1180" s="202">
        <v>830841242.60000002</v>
      </c>
      <c r="Q1180" s="198" t="s">
        <v>73</v>
      </c>
      <c r="R1180" s="198" t="s">
        <v>53</v>
      </c>
      <c r="S1180" s="198" t="s">
        <v>54</v>
      </c>
      <c r="T1180" s="198" t="s">
        <v>801</v>
      </c>
      <c r="U1180" s="198" t="s">
        <v>80</v>
      </c>
      <c r="V1180" s="198" t="s">
        <v>56</v>
      </c>
      <c r="W1180" s="198" t="s">
        <v>356</v>
      </c>
      <c r="X1180" s="198" t="s">
        <v>57</v>
      </c>
      <c r="Y1180" s="198" t="s">
        <v>58</v>
      </c>
      <c r="Z1180" s="201">
        <v>46477</v>
      </c>
      <c r="AA1180" s="198" t="s">
        <v>59</v>
      </c>
      <c r="AB1180" s="198" t="s">
        <v>60</v>
      </c>
      <c r="AC1180" s="198" t="s">
        <v>86</v>
      </c>
      <c r="AD1180" s="198" t="s">
        <v>62</v>
      </c>
      <c r="AE1180" s="198" t="s">
        <v>706</v>
      </c>
      <c r="AF1180" s="198" t="s">
        <v>705</v>
      </c>
      <c r="AG1180" s="198" t="s">
        <v>166</v>
      </c>
      <c r="AH1180" s="198" t="s">
        <v>193</v>
      </c>
      <c r="AI1180" s="198" t="s">
        <v>56</v>
      </c>
      <c r="AJ1180" s="198" t="s">
        <v>74</v>
      </c>
      <c r="AK1180" s="198" t="s">
        <v>51</v>
      </c>
      <c r="AL1180" s="198" t="s">
        <v>67</v>
      </c>
      <c r="AM1180" s="198" t="s">
        <v>68</v>
      </c>
      <c r="AN1180" s="202">
        <v>830841242.60000002</v>
      </c>
      <c r="AO1180" s="202">
        <v>830841242.60000002</v>
      </c>
      <c r="AP1180" s="202">
        <v>830841242.60000002</v>
      </c>
      <c r="AQ1180" s="198" t="s">
        <v>358</v>
      </c>
      <c r="AR1180" s="198" t="s">
        <v>51</v>
      </c>
      <c r="AS1180" s="202">
        <v>830841242.60000002</v>
      </c>
      <c r="AT1180" s="202">
        <v>830841242.60000002</v>
      </c>
      <c r="AU1180" s="198" t="s">
        <v>359</v>
      </c>
      <c r="AV1180" s="198" t="s">
        <v>62</v>
      </c>
      <c r="AW1180" s="198" t="s">
        <v>113</v>
      </c>
    </row>
    <row r="1181" spans="3:49" outlineLevel="2" x14ac:dyDescent="0.25">
      <c r="C1181" s="201"/>
      <c r="D1181" s="198" t="s">
        <v>1517</v>
      </c>
      <c r="H1181" s="198" t="s">
        <v>1517</v>
      </c>
      <c r="I1181" s="202">
        <f t="shared" si="18"/>
        <v>491418175.5</v>
      </c>
      <c r="J1181" s="202">
        <v>119</v>
      </c>
      <c r="L1181" s="204">
        <v>284</v>
      </c>
      <c r="M1181" s="202">
        <v>828204915.15999997</v>
      </c>
      <c r="N1181" s="204">
        <v>284</v>
      </c>
      <c r="O1181" s="198" t="s">
        <v>51</v>
      </c>
      <c r="P1181" s="202">
        <v>828204915.15999997</v>
      </c>
      <c r="Q1181" s="198" t="s">
        <v>73</v>
      </c>
      <c r="R1181" s="198" t="s">
        <v>53</v>
      </c>
      <c r="S1181" s="198" t="s">
        <v>54</v>
      </c>
      <c r="T1181" s="198" t="s">
        <v>801</v>
      </c>
      <c r="U1181" s="198" t="s">
        <v>80</v>
      </c>
      <c r="V1181" s="198" t="s">
        <v>56</v>
      </c>
      <c r="W1181" s="198" t="s">
        <v>356</v>
      </c>
      <c r="X1181" s="198" t="s">
        <v>57</v>
      </c>
      <c r="Y1181" s="198" t="s">
        <v>58</v>
      </c>
      <c r="Z1181" s="201">
        <v>46477</v>
      </c>
      <c r="AA1181" s="198" t="s">
        <v>59</v>
      </c>
      <c r="AB1181" s="198" t="s">
        <v>60</v>
      </c>
      <c r="AC1181" s="198" t="s">
        <v>86</v>
      </c>
      <c r="AD1181" s="198" t="s">
        <v>62</v>
      </c>
      <c r="AE1181" s="198" t="s">
        <v>695</v>
      </c>
      <c r="AF1181" s="198" t="s">
        <v>692</v>
      </c>
      <c r="AG1181" s="198" t="s">
        <v>166</v>
      </c>
      <c r="AH1181" s="198" t="s">
        <v>193</v>
      </c>
      <c r="AI1181" s="198" t="s">
        <v>56</v>
      </c>
      <c r="AJ1181" s="198" t="s">
        <v>74</v>
      </c>
      <c r="AK1181" s="198" t="s">
        <v>51</v>
      </c>
      <c r="AL1181" s="198" t="s">
        <v>67</v>
      </c>
      <c r="AM1181" s="198" t="s">
        <v>68</v>
      </c>
      <c r="AN1181" s="202">
        <v>828204915.15999997</v>
      </c>
      <c r="AO1181" s="202">
        <v>828204915.15999997</v>
      </c>
      <c r="AP1181" s="202">
        <v>828204915.15999997</v>
      </c>
      <c r="AQ1181" s="198" t="s">
        <v>358</v>
      </c>
      <c r="AR1181" s="198" t="s">
        <v>51</v>
      </c>
      <c r="AS1181" s="202">
        <v>828204915.15999997</v>
      </c>
      <c r="AT1181" s="202">
        <v>828204915.15999997</v>
      </c>
      <c r="AU1181" s="198" t="s">
        <v>359</v>
      </c>
      <c r="AV1181" s="198" t="s">
        <v>62</v>
      </c>
      <c r="AW1181" s="198" t="s">
        <v>113</v>
      </c>
    </row>
    <row r="1182" spans="3:49" outlineLevel="2" x14ac:dyDescent="0.25">
      <c r="C1182" s="201"/>
      <c r="D1182" s="198" t="s">
        <v>1514</v>
      </c>
      <c r="H1182" s="198" t="s">
        <v>1514</v>
      </c>
      <c r="I1182" s="202">
        <f t="shared" si="18"/>
        <v>491831131.94999999</v>
      </c>
      <c r="J1182" s="202">
        <v>119.1</v>
      </c>
      <c r="L1182" s="204">
        <v>20</v>
      </c>
      <c r="M1182" s="202">
        <v>830841242.60000002</v>
      </c>
      <c r="N1182" s="204">
        <v>20</v>
      </c>
      <c r="O1182" s="198" t="s">
        <v>51</v>
      </c>
      <c r="P1182" s="202">
        <v>830841242.60000002</v>
      </c>
      <c r="Q1182" s="198" t="s">
        <v>73</v>
      </c>
      <c r="R1182" s="198" t="s">
        <v>53</v>
      </c>
      <c r="S1182" s="198" t="s">
        <v>54</v>
      </c>
      <c r="T1182" s="198" t="s">
        <v>801</v>
      </c>
      <c r="U1182" s="198" t="s">
        <v>80</v>
      </c>
      <c r="V1182" s="198" t="s">
        <v>56</v>
      </c>
      <c r="W1182" s="198" t="s">
        <v>356</v>
      </c>
      <c r="X1182" s="198" t="s">
        <v>57</v>
      </c>
      <c r="Y1182" s="198" t="s">
        <v>58</v>
      </c>
      <c r="Z1182" s="201">
        <v>46477</v>
      </c>
      <c r="AA1182" s="198" t="s">
        <v>59</v>
      </c>
      <c r="AB1182" s="198" t="s">
        <v>60</v>
      </c>
      <c r="AC1182" s="198" t="s">
        <v>86</v>
      </c>
      <c r="AD1182" s="198" t="s">
        <v>62</v>
      </c>
      <c r="AE1182" s="198" t="s">
        <v>706</v>
      </c>
      <c r="AF1182" s="198" t="s">
        <v>705</v>
      </c>
      <c r="AG1182" s="198" t="s">
        <v>166</v>
      </c>
      <c r="AH1182" s="198" t="s">
        <v>193</v>
      </c>
      <c r="AI1182" s="198" t="s">
        <v>56</v>
      </c>
      <c r="AJ1182" s="198" t="s">
        <v>74</v>
      </c>
      <c r="AK1182" s="198" t="s">
        <v>51</v>
      </c>
      <c r="AL1182" s="198" t="s">
        <v>67</v>
      </c>
      <c r="AM1182" s="198" t="s">
        <v>68</v>
      </c>
      <c r="AN1182" s="202">
        <v>830841242.60000002</v>
      </c>
      <c r="AO1182" s="202">
        <v>830841242.60000002</v>
      </c>
      <c r="AP1182" s="202">
        <v>830841242.60000002</v>
      </c>
      <c r="AQ1182" s="198" t="s">
        <v>358</v>
      </c>
      <c r="AR1182" s="198" t="s">
        <v>51</v>
      </c>
      <c r="AS1182" s="202">
        <v>830841242.60000002</v>
      </c>
      <c r="AT1182" s="202">
        <v>830841242.60000002</v>
      </c>
      <c r="AU1182" s="198" t="s">
        <v>359</v>
      </c>
      <c r="AV1182" s="198" t="s">
        <v>62</v>
      </c>
      <c r="AW1182" s="198" t="s">
        <v>113</v>
      </c>
    </row>
    <row r="1183" spans="3:49" outlineLevel="2" x14ac:dyDescent="0.25">
      <c r="C1183" s="201"/>
      <c r="D1183" s="198" t="s">
        <v>1514</v>
      </c>
      <c r="H1183" s="198" t="s">
        <v>1514</v>
      </c>
      <c r="I1183" s="202">
        <f t="shared" si="18"/>
        <v>492244088.40000004</v>
      </c>
      <c r="J1183" s="202">
        <v>119.2</v>
      </c>
      <c r="L1183" s="204">
        <v>20</v>
      </c>
      <c r="M1183" s="202">
        <v>830841242.60000002</v>
      </c>
      <c r="N1183" s="204">
        <v>20</v>
      </c>
      <c r="O1183" s="198" t="s">
        <v>51</v>
      </c>
      <c r="P1183" s="202">
        <v>830841242.60000002</v>
      </c>
      <c r="Q1183" s="198" t="s">
        <v>73</v>
      </c>
      <c r="R1183" s="198" t="s">
        <v>53</v>
      </c>
      <c r="S1183" s="198" t="s">
        <v>54</v>
      </c>
      <c r="T1183" s="198" t="s">
        <v>801</v>
      </c>
      <c r="U1183" s="198" t="s">
        <v>80</v>
      </c>
      <c r="V1183" s="198" t="s">
        <v>56</v>
      </c>
      <c r="W1183" s="198" t="s">
        <v>356</v>
      </c>
      <c r="X1183" s="198" t="s">
        <v>57</v>
      </c>
      <c r="Y1183" s="198" t="s">
        <v>58</v>
      </c>
      <c r="Z1183" s="201">
        <v>46477</v>
      </c>
      <c r="AA1183" s="198" t="s">
        <v>59</v>
      </c>
      <c r="AB1183" s="198" t="s">
        <v>60</v>
      </c>
      <c r="AC1183" s="198" t="s">
        <v>86</v>
      </c>
      <c r="AD1183" s="198" t="s">
        <v>62</v>
      </c>
      <c r="AE1183" s="198" t="s">
        <v>706</v>
      </c>
      <c r="AF1183" s="198" t="s">
        <v>705</v>
      </c>
      <c r="AG1183" s="198" t="s">
        <v>166</v>
      </c>
      <c r="AH1183" s="198" t="s">
        <v>193</v>
      </c>
      <c r="AI1183" s="198" t="s">
        <v>56</v>
      </c>
      <c r="AJ1183" s="198" t="s">
        <v>74</v>
      </c>
      <c r="AK1183" s="198" t="s">
        <v>51</v>
      </c>
      <c r="AL1183" s="198" t="s">
        <v>67</v>
      </c>
      <c r="AM1183" s="198" t="s">
        <v>68</v>
      </c>
      <c r="AN1183" s="202">
        <v>830841242.60000002</v>
      </c>
      <c r="AO1183" s="202">
        <v>830841242.60000002</v>
      </c>
      <c r="AP1183" s="202">
        <v>830841242.60000002</v>
      </c>
      <c r="AQ1183" s="198" t="s">
        <v>358</v>
      </c>
      <c r="AR1183" s="198" t="s">
        <v>51</v>
      </c>
      <c r="AS1183" s="202">
        <v>830841242.60000002</v>
      </c>
      <c r="AT1183" s="202">
        <v>830841242.60000002</v>
      </c>
      <c r="AU1183" s="198" t="s">
        <v>359</v>
      </c>
      <c r="AV1183" s="198" t="s">
        <v>62</v>
      </c>
      <c r="AW1183" s="198" t="s">
        <v>113</v>
      </c>
    </row>
    <row r="1184" spans="3:49" outlineLevel="2" x14ac:dyDescent="0.25">
      <c r="C1184" s="201"/>
      <c r="D1184" s="198" t="s">
        <v>1514</v>
      </c>
      <c r="H1184" s="198" t="s">
        <v>1514</v>
      </c>
      <c r="I1184" s="202">
        <f t="shared" si="18"/>
        <v>492657044.84999996</v>
      </c>
      <c r="J1184" s="202">
        <v>119.3</v>
      </c>
      <c r="L1184" s="204">
        <v>20</v>
      </c>
      <c r="M1184" s="202">
        <v>830841242.60000002</v>
      </c>
      <c r="N1184" s="204">
        <v>20</v>
      </c>
      <c r="O1184" s="198" t="s">
        <v>51</v>
      </c>
      <c r="P1184" s="202">
        <v>830841242.60000002</v>
      </c>
      <c r="Q1184" s="198" t="s">
        <v>73</v>
      </c>
      <c r="R1184" s="198" t="s">
        <v>53</v>
      </c>
      <c r="S1184" s="198" t="s">
        <v>54</v>
      </c>
      <c r="T1184" s="198" t="s">
        <v>801</v>
      </c>
      <c r="U1184" s="198" t="s">
        <v>80</v>
      </c>
      <c r="V1184" s="198" t="s">
        <v>56</v>
      </c>
      <c r="W1184" s="198" t="s">
        <v>356</v>
      </c>
      <c r="X1184" s="198" t="s">
        <v>57</v>
      </c>
      <c r="Y1184" s="198" t="s">
        <v>58</v>
      </c>
      <c r="Z1184" s="201">
        <v>46477</v>
      </c>
      <c r="AA1184" s="198" t="s">
        <v>59</v>
      </c>
      <c r="AB1184" s="198" t="s">
        <v>60</v>
      </c>
      <c r="AC1184" s="198" t="s">
        <v>86</v>
      </c>
      <c r="AD1184" s="198" t="s">
        <v>62</v>
      </c>
      <c r="AE1184" s="198" t="s">
        <v>706</v>
      </c>
      <c r="AF1184" s="198" t="s">
        <v>705</v>
      </c>
      <c r="AG1184" s="198" t="s">
        <v>166</v>
      </c>
      <c r="AH1184" s="198" t="s">
        <v>193</v>
      </c>
      <c r="AI1184" s="198" t="s">
        <v>56</v>
      </c>
      <c r="AJ1184" s="198" t="s">
        <v>74</v>
      </c>
      <c r="AK1184" s="198" t="s">
        <v>51</v>
      </c>
      <c r="AL1184" s="198" t="s">
        <v>67</v>
      </c>
      <c r="AM1184" s="198" t="s">
        <v>68</v>
      </c>
      <c r="AN1184" s="202">
        <v>830841242.60000002</v>
      </c>
      <c r="AO1184" s="202">
        <v>830841242.60000002</v>
      </c>
      <c r="AP1184" s="202">
        <v>830841242.60000002</v>
      </c>
      <c r="AQ1184" s="198" t="s">
        <v>358</v>
      </c>
      <c r="AR1184" s="198" t="s">
        <v>51</v>
      </c>
      <c r="AS1184" s="202">
        <v>830841242.60000002</v>
      </c>
      <c r="AT1184" s="202">
        <v>830841242.60000002</v>
      </c>
      <c r="AU1184" s="198" t="s">
        <v>359</v>
      </c>
      <c r="AV1184" s="198" t="s">
        <v>62</v>
      </c>
      <c r="AW1184" s="198" t="s">
        <v>113</v>
      </c>
    </row>
    <row r="1185" spans="3:49" outlineLevel="2" x14ac:dyDescent="0.25">
      <c r="C1185" s="201"/>
      <c r="D1185" s="198" t="s">
        <v>1514</v>
      </c>
      <c r="H1185" s="198" t="s">
        <v>1514</v>
      </c>
      <c r="I1185" s="202">
        <f t="shared" si="18"/>
        <v>493070001.30000001</v>
      </c>
      <c r="J1185" s="202">
        <v>119.4</v>
      </c>
      <c r="L1185" s="204">
        <v>20</v>
      </c>
      <c r="M1185" s="202">
        <v>830841242.60000002</v>
      </c>
      <c r="N1185" s="204">
        <v>20</v>
      </c>
      <c r="O1185" s="198" t="s">
        <v>51</v>
      </c>
      <c r="P1185" s="202">
        <v>830841242.60000002</v>
      </c>
      <c r="Q1185" s="198" t="s">
        <v>73</v>
      </c>
      <c r="R1185" s="198" t="s">
        <v>53</v>
      </c>
      <c r="S1185" s="198" t="s">
        <v>54</v>
      </c>
      <c r="T1185" s="198" t="s">
        <v>801</v>
      </c>
      <c r="U1185" s="198" t="s">
        <v>80</v>
      </c>
      <c r="V1185" s="198" t="s">
        <v>56</v>
      </c>
      <c r="W1185" s="198" t="s">
        <v>356</v>
      </c>
      <c r="X1185" s="198" t="s">
        <v>57</v>
      </c>
      <c r="Y1185" s="198" t="s">
        <v>58</v>
      </c>
      <c r="Z1185" s="201">
        <v>46477</v>
      </c>
      <c r="AA1185" s="198" t="s">
        <v>59</v>
      </c>
      <c r="AB1185" s="198" t="s">
        <v>60</v>
      </c>
      <c r="AC1185" s="198" t="s">
        <v>86</v>
      </c>
      <c r="AD1185" s="198" t="s">
        <v>62</v>
      </c>
      <c r="AE1185" s="198" t="s">
        <v>706</v>
      </c>
      <c r="AF1185" s="198" t="s">
        <v>705</v>
      </c>
      <c r="AG1185" s="198" t="s">
        <v>166</v>
      </c>
      <c r="AH1185" s="198" t="s">
        <v>193</v>
      </c>
      <c r="AI1185" s="198" t="s">
        <v>56</v>
      </c>
      <c r="AJ1185" s="198" t="s">
        <v>74</v>
      </c>
      <c r="AK1185" s="198" t="s">
        <v>51</v>
      </c>
      <c r="AL1185" s="198" t="s">
        <v>67</v>
      </c>
      <c r="AM1185" s="198" t="s">
        <v>68</v>
      </c>
      <c r="AN1185" s="202">
        <v>830841242.60000002</v>
      </c>
      <c r="AO1185" s="202">
        <v>830841242.60000002</v>
      </c>
      <c r="AP1185" s="202">
        <v>830841242.60000002</v>
      </c>
      <c r="AQ1185" s="198" t="s">
        <v>358</v>
      </c>
      <c r="AR1185" s="198" t="s">
        <v>51</v>
      </c>
      <c r="AS1185" s="202">
        <v>830841242.60000002</v>
      </c>
      <c r="AT1185" s="202">
        <v>830841242.60000002</v>
      </c>
      <c r="AU1185" s="198" t="s">
        <v>359</v>
      </c>
      <c r="AV1185" s="198" t="s">
        <v>62</v>
      </c>
      <c r="AW1185" s="198" t="s">
        <v>113</v>
      </c>
    </row>
    <row r="1186" spans="3:49" outlineLevel="2" x14ac:dyDescent="0.25">
      <c r="C1186" s="201"/>
      <c r="D1186" s="198" t="s">
        <v>1514</v>
      </c>
      <c r="H1186" s="198" t="s">
        <v>1514</v>
      </c>
      <c r="I1186" s="202">
        <f t="shared" si="18"/>
        <v>493482957.75</v>
      </c>
      <c r="J1186" s="202">
        <v>119.5</v>
      </c>
      <c r="L1186" s="204">
        <v>20</v>
      </c>
      <c r="M1186" s="202">
        <v>830841242.60000002</v>
      </c>
      <c r="N1186" s="204">
        <v>20</v>
      </c>
      <c r="O1186" s="198" t="s">
        <v>51</v>
      </c>
      <c r="P1186" s="202">
        <v>830841242.60000002</v>
      </c>
      <c r="Q1186" s="198" t="s">
        <v>73</v>
      </c>
      <c r="R1186" s="198" t="s">
        <v>53</v>
      </c>
      <c r="S1186" s="198" t="s">
        <v>54</v>
      </c>
      <c r="T1186" s="198" t="s">
        <v>801</v>
      </c>
      <c r="U1186" s="198" t="s">
        <v>80</v>
      </c>
      <c r="V1186" s="198" t="s">
        <v>56</v>
      </c>
      <c r="W1186" s="198" t="s">
        <v>356</v>
      </c>
      <c r="X1186" s="198" t="s">
        <v>57</v>
      </c>
      <c r="Y1186" s="198" t="s">
        <v>58</v>
      </c>
      <c r="Z1186" s="201">
        <v>46477</v>
      </c>
      <c r="AA1186" s="198" t="s">
        <v>59</v>
      </c>
      <c r="AB1186" s="198" t="s">
        <v>60</v>
      </c>
      <c r="AC1186" s="198" t="s">
        <v>86</v>
      </c>
      <c r="AD1186" s="198" t="s">
        <v>62</v>
      </c>
      <c r="AE1186" s="198" t="s">
        <v>706</v>
      </c>
      <c r="AF1186" s="198" t="s">
        <v>705</v>
      </c>
      <c r="AG1186" s="198" t="s">
        <v>166</v>
      </c>
      <c r="AH1186" s="198" t="s">
        <v>193</v>
      </c>
      <c r="AI1186" s="198" t="s">
        <v>56</v>
      </c>
      <c r="AJ1186" s="198" t="s">
        <v>74</v>
      </c>
      <c r="AK1186" s="198" t="s">
        <v>51</v>
      </c>
      <c r="AL1186" s="198" t="s">
        <v>67</v>
      </c>
      <c r="AM1186" s="198" t="s">
        <v>68</v>
      </c>
      <c r="AN1186" s="202">
        <v>830841242.60000002</v>
      </c>
      <c r="AO1186" s="202">
        <v>830841242.60000002</v>
      </c>
      <c r="AP1186" s="202">
        <v>830841242.60000002</v>
      </c>
      <c r="AQ1186" s="198" t="s">
        <v>358</v>
      </c>
      <c r="AR1186" s="198" t="s">
        <v>51</v>
      </c>
      <c r="AS1186" s="202">
        <v>830841242.60000002</v>
      </c>
      <c r="AT1186" s="202">
        <v>830841242.60000002</v>
      </c>
      <c r="AU1186" s="198" t="s">
        <v>359</v>
      </c>
      <c r="AV1186" s="198" t="s">
        <v>62</v>
      </c>
      <c r="AW1186" s="198" t="s">
        <v>113</v>
      </c>
    </row>
    <row r="1187" spans="3:49" outlineLevel="2" x14ac:dyDescent="0.25">
      <c r="C1187" s="201"/>
      <c r="D1187" s="198" t="s">
        <v>1514</v>
      </c>
      <c r="H1187" s="198" t="s">
        <v>1514</v>
      </c>
      <c r="I1187" s="202">
        <f t="shared" si="18"/>
        <v>493895914.19999999</v>
      </c>
      <c r="J1187" s="202">
        <v>119.6</v>
      </c>
      <c r="L1187" s="204">
        <v>20</v>
      </c>
      <c r="M1187" s="202">
        <v>830841242.60000002</v>
      </c>
      <c r="N1187" s="204">
        <v>20</v>
      </c>
      <c r="O1187" s="198" t="s">
        <v>51</v>
      </c>
      <c r="P1187" s="202">
        <v>830841242.60000002</v>
      </c>
      <c r="Q1187" s="198" t="s">
        <v>73</v>
      </c>
      <c r="R1187" s="198" t="s">
        <v>53</v>
      </c>
      <c r="S1187" s="198" t="s">
        <v>54</v>
      </c>
      <c r="T1187" s="198" t="s">
        <v>801</v>
      </c>
      <c r="U1187" s="198" t="s">
        <v>80</v>
      </c>
      <c r="V1187" s="198" t="s">
        <v>56</v>
      </c>
      <c r="W1187" s="198" t="s">
        <v>356</v>
      </c>
      <c r="X1187" s="198" t="s">
        <v>57</v>
      </c>
      <c r="Y1187" s="198" t="s">
        <v>58</v>
      </c>
      <c r="Z1187" s="201">
        <v>46477</v>
      </c>
      <c r="AA1187" s="198" t="s">
        <v>59</v>
      </c>
      <c r="AB1187" s="198" t="s">
        <v>60</v>
      </c>
      <c r="AC1187" s="198" t="s">
        <v>86</v>
      </c>
      <c r="AD1187" s="198" t="s">
        <v>62</v>
      </c>
      <c r="AE1187" s="198" t="s">
        <v>706</v>
      </c>
      <c r="AF1187" s="198" t="s">
        <v>705</v>
      </c>
      <c r="AG1187" s="198" t="s">
        <v>166</v>
      </c>
      <c r="AH1187" s="198" t="s">
        <v>193</v>
      </c>
      <c r="AI1187" s="198" t="s">
        <v>56</v>
      </c>
      <c r="AJ1187" s="198" t="s">
        <v>74</v>
      </c>
      <c r="AK1187" s="198" t="s">
        <v>51</v>
      </c>
      <c r="AL1187" s="198" t="s">
        <v>67</v>
      </c>
      <c r="AM1187" s="198" t="s">
        <v>68</v>
      </c>
      <c r="AN1187" s="202">
        <v>830841242.60000002</v>
      </c>
      <c r="AO1187" s="202">
        <v>830841242.60000002</v>
      </c>
      <c r="AP1187" s="202">
        <v>830841242.60000002</v>
      </c>
      <c r="AQ1187" s="198" t="s">
        <v>358</v>
      </c>
      <c r="AR1187" s="198" t="s">
        <v>51</v>
      </c>
      <c r="AS1187" s="202">
        <v>830841242.60000002</v>
      </c>
      <c r="AT1187" s="202">
        <v>830841242.60000002</v>
      </c>
      <c r="AU1187" s="198" t="s">
        <v>359</v>
      </c>
      <c r="AV1187" s="198" t="s">
        <v>62</v>
      </c>
      <c r="AW1187" s="198" t="s">
        <v>113</v>
      </c>
    </row>
    <row r="1188" spans="3:49" outlineLevel="2" x14ac:dyDescent="0.25">
      <c r="C1188" s="201"/>
      <c r="D1188" s="198" t="s">
        <v>1514</v>
      </c>
      <c r="H1188" s="198" t="s">
        <v>1514</v>
      </c>
      <c r="I1188" s="202">
        <f t="shared" si="18"/>
        <v>494308870.65000004</v>
      </c>
      <c r="J1188" s="202">
        <v>119.7</v>
      </c>
      <c r="L1188" s="204">
        <v>20</v>
      </c>
      <c r="M1188" s="202">
        <v>830841242.60000002</v>
      </c>
      <c r="N1188" s="204">
        <v>20</v>
      </c>
      <c r="O1188" s="198" t="s">
        <v>51</v>
      </c>
      <c r="P1188" s="202">
        <v>830841242.60000002</v>
      </c>
      <c r="Q1188" s="198" t="s">
        <v>73</v>
      </c>
      <c r="R1188" s="198" t="s">
        <v>53</v>
      </c>
      <c r="S1188" s="198" t="s">
        <v>54</v>
      </c>
      <c r="T1188" s="198" t="s">
        <v>801</v>
      </c>
      <c r="U1188" s="198" t="s">
        <v>80</v>
      </c>
      <c r="V1188" s="198" t="s">
        <v>56</v>
      </c>
      <c r="W1188" s="198" t="s">
        <v>356</v>
      </c>
      <c r="X1188" s="198" t="s">
        <v>57</v>
      </c>
      <c r="Y1188" s="198" t="s">
        <v>58</v>
      </c>
      <c r="Z1188" s="201">
        <v>46477</v>
      </c>
      <c r="AA1188" s="198" t="s">
        <v>59</v>
      </c>
      <c r="AB1188" s="198" t="s">
        <v>60</v>
      </c>
      <c r="AC1188" s="198" t="s">
        <v>86</v>
      </c>
      <c r="AD1188" s="198" t="s">
        <v>62</v>
      </c>
      <c r="AE1188" s="198" t="s">
        <v>706</v>
      </c>
      <c r="AF1188" s="198" t="s">
        <v>705</v>
      </c>
      <c r="AG1188" s="198" t="s">
        <v>166</v>
      </c>
      <c r="AH1188" s="198" t="s">
        <v>193</v>
      </c>
      <c r="AI1188" s="198" t="s">
        <v>56</v>
      </c>
      <c r="AJ1188" s="198" t="s">
        <v>74</v>
      </c>
      <c r="AK1188" s="198" t="s">
        <v>51</v>
      </c>
      <c r="AL1188" s="198" t="s">
        <v>67</v>
      </c>
      <c r="AM1188" s="198" t="s">
        <v>68</v>
      </c>
      <c r="AN1188" s="202">
        <v>830841242.60000002</v>
      </c>
      <c r="AO1188" s="202">
        <v>830841242.60000002</v>
      </c>
      <c r="AP1188" s="202">
        <v>830841242.60000002</v>
      </c>
      <c r="AQ1188" s="198" t="s">
        <v>358</v>
      </c>
      <c r="AR1188" s="198" t="s">
        <v>51</v>
      </c>
      <c r="AS1188" s="202">
        <v>830841242.60000002</v>
      </c>
      <c r="AT1188" s="202">
        <v>830841242.60000002</v>
      </c>
      <c r="AU1188" s="198" t="s">
        <v>359</v>
      </c>
      <c r="AV1188" s="198" t="s">
        <v>62</v>
      </c>
      <c r="AW1188" s="198" t="s">
        <v>113</v>
      </c>
    </row>
    <row r="1189" spans="3:49" outlineLevel="2" x14ac:dyDescent="0.25">
      <c r="C1189" s="201"/>
      <c r="D1189" s="198" t="s">
        <v>1514</v>
      </c>
      <c r="H1189" s="198" t="s">
        <v>1514</v>
      </c>
      <c r="I1189" s="202">
        <f t="shared" si="18"/>
        <v>494721827.09999996</v>
      </c>
      <c r="J1189" s="202">
        <v>119.8</v>
      </c>
      <c r="L1189" s="204">
        <v>20</v>
      </c>
      <c r="M1189" s="202">
        <v>830841242.60000002</v>
      </c>
      <c r="N1189" s="204">
        <v>20</v>
      </c>
      <c r="O1189" s="198" t="s">
        <v>51</v>
      </c>
      <c r="P1189" s="202">
        <v>830841242.60000002</v>
      </c>
      <c r="Q1189" s="198" t="s">
        <v>73</v>
      </c>
      <c r="R1189" s="198" t="s">
        <v>53</v>
      </c>
      <c r="S1189" s="198" t="s">
        <v>54</v>
      </c>
      <c r="T1189" s="198" t="s">
        <v>801</v>
      </c>
      <c r="U1189" s="198" t="s">
        <v>80</v>
      </c>
      <c r="V1189" s="198" t="s">
        <v>56</v>
      </c>
      <c r="W1189" s="198" t="s">
        <v>356</v>
      </c>
      <c r="X1189" s="198" t="s">
        <v>57</v>
      </c>
      <c r="Y1189" s="198" t="s">
        <v>58</v>
      </c>
      <c r="Z1189" s="201">
        <v>46477</v>
      </c>
      <c r="AA1189" s="198" t="s">
        <v>59</v>
      </c>
      <c r="AB1189" s="198" t="s">
        <v>60</v>
      </c>
      <c r="AC1189" s="198" t="s">
        <v>86</v>
      </c>
      <c r="AD1189" s="198" t="s">
        <v>62</v>
      </c>
      <c r="AE1189" s="198" t="s">
        <v>706</v>
      </c>
      <c r="AF1189" s="198" t="s">
        <v>705</v>
      </c>
      <c r="AG1189" s="198" t="s">
        <v>166</v>
      </c>
      <c r="AH1189" s="198" t="s">
        <v>193</v>
      </c>
      <c r="AI1189" s="198" t="s">
        <v>56</v>
      </c>
      <c r="AJ1189" s="198" t="s">
        <v>74</v>
      </c>
      <c r="AK1189" s="198" t="s">
        <v>51</v>
      </c>
      <c r="AL1189" s="198" t="s">
        <v>67</v>
      </c>
      <c r="AM1189" s="198" t="s">
        <v>68</v>
      </c>
      <c r="AN1189" s="202">
        <v>830841242.60000002</v>
      </c>
      <c r="AO1189" s="202">
        <v>830841242.60000002</v>
      </c>
      <c r="AP1189" s="202">
        <v>830841242.60000002</v>
      </c>
      <c r="AQ1189" s="198" t="s">
        <v>358</v>
      </c>
      <c r="AR1189" s="198" t="s">
        <v>51</v>
      </c>
      <c r="AS1189" s="202">
        <v>830841242.60000002</v>
      </c>
      <c r="AT1189" s="202">
        <v>830841242.60000002</v>
      </c>
      <c r="AU1189" s="198" t="s">
        <v>359</v>
      </c>
      <c r="AV1189" s="198" t="s">
        <v>62</v>
      </c>
      <c r="AW1189" s="198" t="s">
        <v>113</v>
      </c>
    </row>
    <row r="1190" spans="3:49" outlineLevel="2" x14ac:dyDescent="0.25">
      <c r="C1190" s="201"/>
      <c r="D1190" s="198" t="s">
        <v>1514</v>
      </c>
      <c r="H1190" s="198" t="s">
        <v>1514</v>
      </c>
      <c r="I1190" s="202">
        <f t="shared" si="18"/>
        <v>495134783.55000001</v>
      </c>
      <c r="J1190" s="202">
        <v>119.9</v>
      </c>
      <c r="L1190" s="204">
        <v>20</v>
      </c>
      <c r="M1190" s="202">
        <v>830841242.60000002</v>
      </c>
      <c r="N1190" s="204">
        <v>20</v>
      </c>
      <c r="O1190" s="198" t="s">
        <v>51</v>
      </c>
      <c r="P1190" s="202">
        <v>830841242.60000002</v>
      </c>
      <c r="Q1190" s="198" t="s">
        <v>73</v>
      </c>
      <c r="R1190" s="198" t="s">
        <v>53</v>
      </c>
      <c r="S1190" s="198" t="s">
        <v>54</v>
      </c>
      <c r="T1190" s="198" t="s">
        <v>801</v>
      </c>
      <c r="U1190" s="198" t="s">
        <v>80</v>
      </c>
      <c r="V1190" s="198" t="s">
        <v>56</v>
      </c>
      <c r="W1190" s="198" t="s">
        <v>356</v>
      </c>
      <c r="X1190" s="198" t="s">
        <v>57</v>
      </c>
      <c r="Y1190" s="198" t="s">
        <v>58</v>
      </c>
      <c r="Z1190" s="201">
        <v>46477</v>
      </c>
      <c r="AA1190" s="198" t="s">
        <v>59</v>
      </c>
      <c r="AB1190" s="198" t="s">
        <v>60</v>
      </c>
      <c r="AC1190" s="198" t="s">
        <v>86</v>
      </c>
      <c r="AD1190" s="198" t="s">
        <v>62</v>
      </c>
      <c r="AE1190" s="198" t="s">
        <v>706</v>
      </c>
      <c r="AF1190" s="198" t="s">
        <v>705</v>
      </c>
      <c r="AG1190" s="198" t="s">
        <v>166</v>
      </c>
      <c r="AH1190" s="198" t="s">
        <v>193</v>
      </c>
      <c r="AI1190" s="198" t="s">
        <v>56</v>
      </c>
      <c r="AJ1190" s="198" t="s">
        <v>74</v>
      </c>
      <c r="AK1190" s="198" t="s">
        <v>51</v>
      </c>
      <c r="AL1190" s="198" t="s">
        <v>67</v>
      </c>
      <c r="AM1190" s="198" t="s">
        <v>68</v>
      </c>
      <c r="AN1190" s="202">
        <v>830841242.60000002</v>
      </c>
      <c r="AO1190" s="202">
        <v>830841242.60000002</v>
      </c>
      <c r="AP1190" s="202">
        <v>830841242.60000002</v>
      </c>
      <c r="AQ1190" s="198" t="s">
        <v>358</v>
      </c>
      <c r="AR1190" s="198" t="s">
        <v>51</v>
      </c>
      <c r="AS1190" s="202">
        <v>830841242.60000002</v>
      </c>
      <c r="AT1190" s="202">
        <v>830841242.60000002</v>
      </c>
      <c r="AU1190" s="198" t="s">
        <v>359</v>
      </c>
      <c r="AV1190" s="198" t="s">
        <v>62</v>
      </c>
      <c r="AW1190" s="198" t="s">
        <v>113</v>
      </c>
    </row>
    <row r="1191" spans="3:49" outlineLevel="2" x14ac:dyDescent="0.25">
      <c r="C1191" s="201"/>
      <c r="D1191" s="198" t="s">
        <v>1514</v>
      </c>
      <c r="H1191" s="198" t="s">
        <v>1514</v>
      </c>
      <c r="I1191" s="202">
        <f t="shared" si="18"/>
        <v>495547740</v>
      </c>
      <c r="J1191" s="202">
        <v>120</v>
      </c>
      <c r="L1191" s="204">
        <v>20</v>
      </c>
      <c r="M1191" s="202">
        <v>830841242.60000002</v>
      </c>
      <c r="N1191" s="204">
        <v>20</v>
      </c>
      <c r="O1191" s="198" t="s">
        <v>51</v>
      </c>
      <c r="P1191" s="202">
        <v>830841242.60000002</v>
      </c>
      <c r="Q1191" s="198" t="s">
        <v>73</v>
      </c>
      <c r="R1191" s="198" t="s">
        <v>53</v>
      </c>
      <c r="S1191" s="198" t="s">
        <v>54</v>
      </c>
      <c r="T1191" s="198" t="s">
        <v>801</v>
      </c>
      <c r="U1191" s="198" t="s">
        <v>80</v>
      </c>
      <c r="V1191" s="198" t="s">
        <v>56</v>
      </c>
      <c r="W1191" s="198" t="s">
        <v>356</v>
      </c>
      <c r="X1191" s="198" t="s">
        <v>57</v>
      </c>
      <c r="Y1191" s="198" t="s">
        <v>58</v>
      </c>
      <c r="Z1191" s="201">
        <v>46477</v>
      </c>
      <c r="AA1191" s="198" t="s">
        <v>59</v>
      </c>
      <c r="AB1191" s="198" t="s">
        <v>60</v>
      </c>
      <c r="AC1191" s="198" t="s">
        <v>86</v>
      </c>
      <c r="AD1191" s="198" t="s">
        <v>62</v>
      </c>
      <c r="AE1191" s="198" t="s">
        <v>706</v>
      </c>
      <c r="AF1191" s="198" t="s">
        <v>705</v>
      </c>
      <c r="AG1191" s="198" t="s">
        <v>166</v>
      </c>
      <c r="AH1191" s="198" t="s">
        <v>193</v>
      </c>
      <c r="AI1191" s="198" t="s">
        <v>56</v>
      </c>
      <c r="AJ1191" s="198" t="s">
        <v>74</v>
      </c>
      <c r="AK1191" s="198" t="s">
        <v>51</v>
      </c>
      <c r="AL1191" s="198" t="s">
        <v>67</v>
      </c>
      <c r="AM1191" s="198" t="s">
        <v>68</v>
      </c>
      <c r="AN1191" s="202">
        <v>830841242.60000002</v>
      </c>
      <c r="AO1191" s="202">
        <v>830841242.60000002</v>
      </c>
      <c r="AP1191" s="202">
        <v>830841242.60000002</v>
      </c>
      <c r="AQ1191" s="198" t="s">
        <v>358</v>
      </c>
      <c r="AR1191" s="198" t="s">
        <v>51</v>
      </c>
      <c r="AS1191" s="202">
        <v>830841242.60000002</v>
      </c>
      <c r="AT1191" s="202">
        <v>830841242.60000002</v>
      </c>
      <c r="AU1191" s="198" t="s">
        <v>359</v>
      </c>
      <c r="AV1191" s="198" t="s">
        <v>62</v>
      </c>
      <c r="AW1191" s="198" t="s">
        <v>113</v>
      </c>
    </row>
    <row r="1192" spans="3:49" outlineLevel="2" x14ac:dyDescent="0.25">
      <c r="C1192" s="201"/>
      <c r="D1192" s="198" t="s">
        <v>1514</v>
      </c>
      <c r="H1192" s="198" t="s">
        <v>1514</v>
      </c>
      <c r="I1192" s="202">
        <f t="shared" si="18"/>
        <v>495960696.44999999</v>
      </c>
      <c r="J1192" s="202">
        <v>120.1</v>
      </c>
      <c r="L1192" s="204">
        <v>20</v>
      </c>
      <c r="M1192" s="202">
        <v>830841242.60000002</v>
      </c>
      <c r="N1192" s="204">
        <v>20</v>
      </c>
      <c r="O1192" s="198" t="s">
        <v>51</v>
      </c>
      <c r="P1192" s="202">
        <v>830841242.60000002</v>
      </c>
      <c r="Q1192" s="198" t="s">
        <v>73</v>
      </c>
      <c r="R1192" s="198" t="s">
        <v>53</v>
      </c>
      <c r="S1192" s="198" t="s">
        <v>54</v>
      </c>
      <c r="T1192" s="198" t="s">
        <v>801</v>
      </c>
      <c r="U1192" s="198" t="s">
        <v>80</v>
      </c>
      <c r="V1192" s="198" t="s">
        <v>56</v>
      </c>
      <c r="W1192" s="198" t="s">
        <v>356</v>
      </c>
      <c r="X1192" s="198" t="s">
        <v>57</v>
      </c>
      <c r="Y1192" s="198" t="s">
        <v>58</v>
      </c>
      <c r="Z1192" s="201">
        <v>46477</v>
      </c>
      <c r="AA1192" s="198" t="s">
        <v>59</v>
      </c>
      <c r="AB1192" s="198" t="s">
        <v>60</v>
      </c>
      <c r="AC1192" s="198" t="s">
        <v>86</v>
      </c>
      <c r="AD1192" s="198" t="s">
        <v>62</v>
      </c>
      <c r="AE1192" s="198" t="s">
        <v>706</v>
      </c>
      <c r="AF1192" s="198" t="s">
        <v>705</v>
      </c>
      <c r="AG1192" s="198" t="s">
        <v>166</v>
      </c>
      <c r="AH1192" s="198" t="s">
        <v>193</v>
      </c>
      <c r="AI1192" s="198" t="s">
        <v>56</v>
      </c>
      <c r="AJ1192" s="198" t="s">
        <v>74</v>
      </c>
      <c r="AK1192" s="198" t="s">
        <v>51</v>
      </c>
      <c r="AL1192" s="198" t="s">
        <v>67</v>
      </c>
      <c r="AM1192" s="198" t="s">
        <v>68</v>
      </c>
      <c r="AN1192" s="202">
        <v>830841242.60000002</v>
      </c>
      <c r="AO1192" s="202">
        <v>830841242.60000002</v>
      </c>
      <c r="AP1192" s="202">
        <v>830841242.60000002</v>
      </c>
      <c r="AQ1192" s="198" t="s">
        <v>358</v>
      </c>
      <c r="AR1192" s="198" t="s">
        <v>51</v>
      </c>
      <c r="AS1192" s="202">
        <v>830841242.60000002</v>
      </c>
      <c r="AT1192" s="202">
        <v>830841242.60000002</v>
      </c>
      <c r="AU1192" s="198" t="s">
        <v>359</v>
      </c>
      <c r="AV1192" s="198" t="s">
        <v>62</v>
      </c>
      <c r="AW1192" s="198" t="s">
        <v>113</v>
      </c>
    </row>
    <row r="1193" spans="3:49" outlineLevel="2" x14ac:dyDescent="0.25">
      <c r="C1193" s="201"/>
      <c r="D1193" s="198" t="s">
        <v>1514</v>
      </c>
      <c r="H1193" s="198" t="s">
        <v>1514</v>
      </c>
      <c r="I1193" s="202">
        <f t="shared" si="18"/>
        <v>496373652.90000004</v>
      </c>
      <c r="J1193" s="202">
        <v>120.2</v>
      </c>
      <c r="L1193" s="204">
        <v>20</v>
      </c>
      <c r="M1193" s="202">
        <v>830841242.60000002</v>
      </c>
      <c r="N1193" s="204">
        <v>20</v>
      </c>
      <c r="O1193" s="198" t="s">
        <v>51</v>
      </c>
      <c r="P1193" s="202">
        <v>830841242.60000002</v>
      </c>
      <c r="Q1193" s="198" t="s">
        <v>73</v>
      </c>
      <c r="R1193" s="198" t="s">
        <v>53</v>
      </c>
      <c r="S1193" s="198" t="s">
        <v>54</v>
      </c>
      <c r="T1193" s="198" t="s">
        <v>801</v>
      </c>
      <c r="U1193" s="198" t="s">
        <v>80</v>
      </c>
      <c r="V1193" s="198" t="s">
        <v>56</v>
      </c>
      <c r="W1193" s="198" t="s">
        <v>356</v>
      </c>
      <c r="X1193" s="198" t="s">
        <v>57</v>
      </c>
      <c r="Y1193" s="198" t="s">
        <v>58</v>
      </c>
      <c r="Z1193" s="201">
        <v>46477</v>
      </c>
      <c r="AA1193" s="198" t="s">
        <v>59</v>
      </c>
      <c r="AB1193" s="198" t="s">
        <v>60</v>
      </c>
      <c r="AC1193" s="198" t="s">
        <v>86</v>
      </c>
      <c r="AD1193" s="198" t="s">
        <v>62</v>
      </c>
      <c r="AE1193" s="198" t="s">
        <v>706</v>
      </c>
      <c r="AF1193" s="198" t="s">
        <v>705</v>
      </c>
      <c r="AG1193" s="198" t="s">
        <v>166</v>
      </c>
      <c r="AH1193" s="198" t="s">
        <v>193</v>
      </c>
      <c r="AI1193" s="198" t="s">
        <v>56</v>
      </c>
      <c r="AJ1193" s="198" t="s">
        <v>74</v>
      </c>
      <c r="AK1193" s="198" t="s">
        <v>51</v>
      </c>
      <c r="AL1193" s="198" t="s">
        <v>67</v>
      </c>
      <c r="AM1193" s="198" t="s">
        <v>68</v>
      </c>
      <c r="AN1193" s="202">
        <v>830841242.60000002</v>
      </c>
      <c r="AO1193" s="202">
        <v>830841242.60000002</v>
      </c>
      <c r="AP1193" s="202">
        <v>830841242.60000002</v>
      </c>
      <c r="AQ1193" s="198" t="s">
        <v>358</v>
      </c>
      <c r="AR1193" s="198" t="s">
        <v>51</v>
      </c>
      <c r="AS1193" s="202">
        <v>830841242.60000002</v>
      </c>
      <c r="AT1193" s="202">
        <v>830841242.60000002</v>
      </c>
      <c r="AU1193" s="198" t="s">
        <v>359</v>
      </c>
      <c r="AV1193" s="198" t="s">
        <v>62</v>
      </c>
      <c r="AW1193" s="198" t="s">
        <v>113</v>
      </c>
    </row>
    <row r="1194" spans="3:49" outlineLevel="2" x14ac:dyDescent="0.25">
      <c r="C1194" s="201"/>
      <c r="D1194" s="198" t="s">
        <v>1514</v>
      </c>
      <c r="H1194" s="198" t="s">
        <v>1514</v>
      </c>
      <c r="I1194" s="202">
        <f t="shared" si="18"/>
        <v>496786609.34999996</v>
      </c>
      <c r="J1194" s="202">
        <v>120.3</v>
      </c>
      <c r="L1194" s="204">
        <v>20</v>
      </c>
      <c r="M1194" s="202">
        <v>830841242.60000002</v>
      </c>
      <c r="N1194" s="204">
        <v>20</v>
      </c>
      <c r="O1194" s="198" t="s">
        <v>51</v>
      </c>
      <c r="P1194" s="202">
        <v>830841242.60000002</v>
      </c>
      <c r="Q1194" s="198" t="s">
        <v>73</v>
      </c>
      <c r="R1194" s="198" t="s">
        <v>53</v>
      </c>
      <c r="S1194" s="198" t="s">
        <v>54</v>
      </c>
      <c r="T1194" s="198" t="s">
        <v>801</v>
      </c>
      <c r="U1194" s="198" t="s">
        <v>80</v>
      </c>
      <c r="V1194" s="198" t="s">
        <v>56</v>
      </c>
      <c r="W1194" s="198" t="s">
        <v>356</v>
      </c>
      <c r="X1194" s="198" t="s">
        <v>57</v>
      </c>
      <c r="Y1194" s="198" t="s">
        <v>58</v>
      </c>
      <c r="Z1194" s="201">
        <v>46477</v>
      </c>
      <c r="AA1194" s="198" t="s">
        <v>59</v>
      </c>
      <c r="AB1194" s="198" t="s">
        <v>60</v>
      </c>
      <c r="AC1194" s="198" t="s">
        <v>86</v>
      </c>
      <c r="AD1194" s="198" t="s">
        <v>62</v>
      </c>
      <c r="AE1194" s="198" t="s">
        <v>706</v>
      </c>
      <c r="AF1194" s="198" t="s">
        <v>705</v>
      </c>
      <c r="AG1194" s="198" t="s">
        <v>166</v>
      </c>
      <c r="AH1194" s="198" t="s">
        <v>193</v>
      </c>
      <c r="AI1194" s="198" t="s">
        <v>56</v>
      </c>
      <c r="AJ1194" s="198" t="s">
        <v>74</v>
      </c>
      <c r="AK1194" s="198" t="s">
        <v>51</v>
      </c>
      <c r="AL1194" s="198" t="s">
        <v>67</v>
      </c>
      <c r="AM1194" s="198" t="s">
        <v>68</v>
      </c>
      <c r="AN1194" s="202">
        <v>830841242.60000002</v>
      </c>
      <c r="AO1194" s="202">
        <v>830841242.60000002</v>
      </c>
      <c r="AP1194" s="202">
        <v>830841242.60000002</v>
      </c>
      <c r="AQ1194" s="198" t="s">
        <v>358</v>
      </c>
      <c r="AR1194" s="198" t="s">
        <v>51</v>
      </c>
      <c r="AS1194" s="202">
        <v>830841242.60000002</v>
      </c>
      <c r="AT1194" s="202">
        <v>830841242.60000002</v>
      </c>
      <c r="AU1194" s="198" t="s">
        <v>359</v>
      </c>
      <c r="AV1194" s="198" t="s">
        <v>62</v>
      </c>
      <c r="AW1194" s="198" t="s">
        <v>113</v>
      </c>
    </row>
    <row r="1195" spans="3:49" outlineLevel="2" x14ac:dyDescent="0.25">
      <c r="C1195" s="201"/>
      <c r="D1195" s="198" t="s">
        <v>1514</v>
      </c>
      <c r="H1195" s="198" t="s">
        <v>1514</v>
      </c>
      <c r="I1195" s="202">
        <f t="shared" si="18"/>
        <v>497199565.80000001</v>
      </c>
      <c r="J1195" s="202">
        <v>120.4</v>
      </c>
      <c r="L1195" s="204">
        <v>20</v>
      </c>
      <c r="M1195" s="202">
        <v>830841242.60000002</v>
      </c>
      <c r="N1195" s="204">
        <v>20</v>
      </c>
      <c r="O1195" s="198" t="s">
        <v>51</v>
      </c>
      <c r="P1195" s="202">
        <v>830841242.60000002</v>
      </c>
      <c r="Q1195" s="198" t="s">
        <v>73</v>
      </c>
      <c r="R1195" s="198" t="s">
        <v>53</v>
      </c>
      <c r="S1195" s="198" t="s">
        <v>54</v>
      </c>
      <c r="T1195" s="198" t="s">
        <v>801</v>
      </c>
      <c r="U1195" s="198" t="s">
        <v>80</v>
      </c>
      <c r="V1195" s="198" t="s">
        <v>56</v>
      </c>
      <c r="W1195" s="198" t="s">
        <v>356</v>
      </c>
      <c r="X1195" s="198" t="s">
        <v>57</v>
      </c>
      <c r="Y1195" s="198" t="s">
        <v>58</v>
      </c>
      <c r="Z1195" s="201">
        <v>46477</v>
      </c>
      <c r="AA1195" s="198" t="s">
        <v>59</v>
      </c>
      <c r="AB1195" s="198" t="s">
        <v>60</v>
      </c>
      <c r="AC1195" s="198" t="s">
        <v>86</v>
      </c>
      <c r="AD1195" s="198" t="s">
        <v>62</v>
      </c>
      <c r="AE1195" s="198" t="s">
        <v>706</v>
      </c>
      <c r="AF1195" s="198" t="s">
        <v>705</v>
      </c>
      <c r="AG1195" s="198" t="s">
        <v>166</v>
      </c>
      <c r="AH1195" s="198" t="s">
        <v>193</v>
      </c>
      <c r="AI1195" s="198" t="s">
        <v>56</v>
      </c>
      <c r="AJ1195" s="198" t="s">
        <v>74</v>
      </c>
      <c r="AK1195" s="198" t="s">
        <v>51</v>
      </c>
      <c r="AL1195" s="198" t="s">
        <v>67</v>
      </c>
      <c r="AM1195" s="198" t="s">
        <v>68</v>
      </c>
      <c r="AN1195" s="202">
        <v>830841242.60000002</v>
      </c>
      <c r="AO1195" s="202">
        <v>830841242.60000002</v>
      </c>
      <c r="AP1195" s="202">
        <v>830841242.60000002</v>
      </c>
      <c r="AQ1195" s="198" t="s">
        <v>358</v>
      </c>
      <c r="AR1195" s="198" t="s">
        <v>51</v>
      </c>
      <c r="AS1195" s="202">
        <v>830841242.60000002</v>
      </c>
      <c r="AT1195" s="202">
        <v>830841242.60000002</v>
      </c>
      <c r="AU1195" s="198" t="s">
        <v>359</v>
      </c>
      <c r="AV1195" s="198" t="s">
        <v>62</v>
      </c>
      <c r="AW1195" s="198" t="s">
        <v>113</v>
      </c>
    </row>
    <row r="1196" spans="3:49" outlineLevel="2" x14ac:dyDescent="0.25">
      <c r="C1196" s="201"/>
      <c r="D1196" s="198" t="s">
        <v>1514</v>
      </c>
      <c r="H1196" s="198" t="s">
        <v>1514</v>
      </c>
      <c r="I1196" s="202">
        <f t="shared" si="18"/>
        <v>497612522.25</v>
      </c>
      <c r="J1196" s="202">
        <v>120.5</v>
      </c>
      <c r="L1196" s="204">
        <v>20</v>
      </c>
      <c r="M1196" s="202">
        <v>830841242.60000002</v>
      </c>
      <c r="N1196" s="204">
        <v>20</v>
      </c>
      <c r="O1196" s="198" t="s">
        <v>51</v>
      </c>
      <c r="P1196" s="202">
        <v>830841242.60000002</v>
      </c>
      <c r="Q1196" s="198" t="s">
        <v>73</v>
      </c>
      <c r="R1196" s="198" t="s">
        <v>53</v>
      </c>
      <c r="S1196" s="198" t="s">
        <v>54</v>
      </c>
      <c r="T1196" s="198" t="s">
        <v>801</v>
      </c>
      <c r="U1196" s="198" t="s">
        <v>80</v>
      </c>
      <c r="V1196" s="198" t="s">
        <v>56</v>
      </c>
      <c r="W1196" s="198" t="s">
        <v>356</v>
      </c>
      <c r="X1196" s="198" t="s">
        <v>57</v>
      </c>
      <c r="Y1196" s="198" t="s">
        <v>58</v>
      </c>
      <c r="Z1196" s="201">
        <v>46477</v>
      </c>
      <c r="AA1196" s="198" t="s">
        <v>59</v>
      </c>
      <c r="AB1196" s="198" t="s">
        <v>60</v>
      </c>
      <c r="AC1196" s="198" t="s">
        <v>86</v>
      </c>
      <c r="AD1196" s="198" t="s">
        <v>62</v>
      </c>
      <c r="AE1196" s="198" t="s">
        <v>706</v>
      </c>
      <c r="AF1196" s="198" t="s">
        <v>705</v>
      </c>
      <c r="AG1196" s="198" t="s">
        <v>166</v>
      </c>
      <c r="AH1196" s="198" t="s">
        <v>193</v>
      </c>
      <c r="AI1196" s="198" t="s">
        <v>56</v>
      </c>
      <c r="AJ1196" s="198" t="s">
        <v>74</v>
      </c>
      <c r="AK1196" s="198" t="s">
        <v>51</v>
      </c>
      <c r="AL1196" s="198" t="s">
        <v>67</v>
      </c>
      <c r="AM1196" s="198" t="s">
        <v>68</v>
      </c>
      <c r="AN1196" s="202">
        <v>830841242.60000002</v>
      </c>
      <c r="AO1196" s="202">
        <v>830841242.60000002</v>
      </c>
      <c r="AP1196" s="202">
        <v>830841242.60000002</v>
      </c>
      <c r="AQ1196" s="198" t="s">
        <v>358</v>
      </c>
      <c r="AR1196" s="198" t="s">
        <v>51</v>
      </c>
      <c r="AS1196" s="202">
        <v>830841242.60000002</v>
      </c>
      <c r="AT1196" s="202">
        <v>830841242.60000002</v>
      </c>
      <c r="AU1196" s="198" t="s">
        <v>359</v>
      </c>
      <c r="AV1196" s="198" t="s">
        <v>62</v>
      </c>
      <c r="AW1196" s="198" t="s">
        <v>113</v>
      </c>
    </row>
    <row r="1197" spans="3:49" outlineLevel="2" x14ac:dyDescent="0.25">
      <c r="C1197" s="201"/>
      <c r="D1197" s="198" t="s">
        <v>1514</v>
      </c>
      <c r="H1197" s="198" t="s">
        <v>1514</v>
      </c>
      <c r="I1197" s="202">
        <f t="shared" si="18"/>
        <v>498025478.69999999</v>
      </c>
      <c r="J1197" s="202">
        <v>120.6</v>
      </c>
      <c r="L1197" s="204">
        <v>20</v>
      </c>
      <c r="M1197" s="202">
        <v>830841242.60000002</v>
      </c>
      <c r="N1197" s="204">
        <v>20</v>
      </c>
      <c r="O1197" s="198" t="s">
        <v>51</v>
      </c>
      <c r="P1197" s="202">
        <v>830841242.60000002</v>
      </c>
      <c r="Q1197" s="198" t="s">
        <v>73</v>
      </c>
      <c r="R1197" s="198" t="s">
        <v>53</v>
      </c>
      <c r="S1197" s="198" t="s">
        <v>54</v>
      </c>
      <c r="T1197" s="198" t="s">
        <v>801</v>
      </c>
      <c r="U1197" s="198" t="s">
        <v>80</v>
      </c>
      <c r="V1197" s="198" t="s">
        <v>56</v>
      </c>
      <c r="W1197" s="198" t="s">
        <v>356</v>
      </c>
      <c r="X1197" s="198" t="s">
        <v>57</v>
      </c>
      <c r="Y1197" s="198" t="s">
        <v>58</v>
      </c>
      <c r="Z1197" s="201">
        <v>46477</v>
      </c>
      <c r="AA1197" s="198" t="s">
        <v>59</v>
      </c>
      <c r="AB1197" s="198" t="s">
        <v>60</v>
      </c>
      <c r="AC1197" s="198" t="s">
        <v>86</v>
      </c>
      <c r="AD1197" s="198" t="s">
        <v>62</v>
      </c>
      <c r="AE1197" s="198" t="s">
        <v>706</v>
      </c>
      <c r="AF1197" s="198" t="s">
        <v>705</v>
      </c>
      <c r="AG1197" s="198" t="s">
        <v>166</v>
      </c>
      <c r="AH1197" s="198" t="s">
        <v>193</v>
      </c>
      <c r="AI1197" s="198" t="s">
        <v>56</v>
      </c>
      <c r="AJ1197" s="198" t="s">
        <v>74</v>
      </c>
      <c r="AK1197" s="198" t="s">
        <v>51</v>
      </c>
      <c r="AL1197" s="198" t="s">
        <v>67</v>
      </c>
      <c r="AM1197" s="198" t="s">
        <v>68</v>
      </c>
      <c r="AN1197" s="202">
        <v>830841242.60000002</v>
      </c>
      <c r="AO1197" s="202">
        <v>830841242.60000002</v>
      </c>
      <c r="AP1197" s="202">
        <v>830841242.60000002</v>
      </c>
      <c r="AQ1197" s="198" t="s">
        <v>358</v>
      </c>
      <c r="AR1197" s="198" t="s">
        <v>51</v>
      </c>
      <c r="AS1197" s="202">
        <v>830841242.60000002</v>
      </c>
      <c r="AT1197" s="202">
        <v>830841242.60000002</v>
      </c>
      <c r="AU1197" s="198" t="s">
        <v>359</v>
      </c>
      <c r="AV1197" s="198" t="s">
        <v>62</v>
      </c>
      <c r="AW1197" s="198" t="s">
        <v>113</v>
      </c>
    </row>
    <row r="1198" spans="3:49" outlineLevel="2" x14ac:dyDescent="0.25">
      <c r="C1198" s="201"/>
      <c r="D1198" s="198" t="s">
        <v>1514</v>
      </c>
      <c r="H1198" s="198" t="s">
        <v>1514</v>
      </c>
      <c r="I1198" s="202">
        <f t="shared" si="18"/>
        <v>498438435.15000004</v>
      </c>
      <c r="J1198" s="202">
        <v>120.7</v>
      </c>
      <c r="L1198" s="204">
        <v>20</v>
      </c>
      <c r="M1198" s="202">
        <v>830841242.60000002</v>
      </c>
      <c r="N1198" s="204">
        <v>20</v>
      </c>
      <c r="O1198" s="198" t="s">
        <v>51</v>
      </c>
      <c r="P1198" s="202">
        <v>830841242.60000002</v>
      </c>
      <c r="Q1198" s="198" t="s">
        <v>73</v>
      </c>
      <c r="R1198" s="198" t="s">
        <v>53</v>
      </c>
      <c r="S1198" s="198" t="s">
        <v>54</v>
      </c>
      <c r="T1198" s="198" t="s">
        <v>801</v>
      </c>
      <c r="U1198" s="198" t="s">
        <v>80</v>
      </c>
      <c r="V1198" s="198" t="s">
        <v>56</v>
      </c>
      <c r="W1198" s="198" t="s">
        <v>356</v>
      </c>
      <c r="X1198" s="198" t="s">
        <v>57</v>
      </c>
      <c r="Y1198" s="198" t="s">
        <v>58</v>
      </c>
      <c r="Z1198" s="201">
        <v>46477</v>
      </c>
      <c r="AA1198" s="198" t="s">
        <v>59</v>
      </c>
      <c r="AB1198" s="198" t="s">
        <v>60</v>
      </c>
      <c r="AC1198" s="198" t="s">
        <v>86</v>
      </c>
      <c r="AD1198" s="198" t="s">
        <v>62</v>
      </c>
      <c r="AE1198" s="198" t="s">
        <v>706</v>
      </c>
      <c r="AF1198" s="198" t="s">
        <v>705</v>
      </c>
      <c r="AG1198" s="198" t="s">
        <v>166</v>
      </c>
      <c r="AH1198" s="198" t="s">
        <v>193</v>
      </c>
      <c r="AI1198" s="198" t="s">
        <v>56</v>
      </c>
      <c r="AJ1198" s="198" t="s">
        <v>74</v>
      </c>
      <c r="AK1198" s="198" t="s">
        <v>51</v>
      </c>
      <c r="AL1198" s="198" t="s">
        <v>67</v>
      </c>
      <c r="AM1198" s="198" t="s">
        <v>68</v>
      </c>
      <c r="AN1198" s="202">
        <v>830841242.60000002</v>
      </c>
      <c r="AO1198" s="202">
        <v>830841242.60000002</v>
      </c>
      <c r="AP1198" s="202">
        <v>830841242.60000002</v>
      </c>
      <c r="AQ1198" s="198" t="s">
        <v>358</v>
      </c>
      <c r="AR1198" s="198" t="s">
        <v>51</v>
      </c>
      <c r="AS1198" s="202">
        <v>830841242.60000002</v>
      </c>
      <c r="AT1198" s="202">
        <v>830841242.60000002</v>
      </c>
      <c r="AU1198" s="198" t="s">
        <v>359</v>
      </c>
      <c r="AV1198" s="198" t="s">
        <v>62</v>
      </c>
      <c r="AW1198" s="198" t="s">
        <v>113</v>
      </c>
    </row>
    <row r="1199" spans="3:49" outlineLevel="2" x14ac:dyDescent="0.25">
      <c r="C1199" s="201"/>
      <c r="D1199" s="198" t="s">
        <v>1514</v>
      </c>
      <c r="H1199" s="198" t="s">
        <v>1514</v>
      </c>
      <c r="I1199" s="202">
        <f t="shared" si="18"/>
        <v>498851391.59999996</v>
      </c>
      <c r="J1199" s="202">
        <v>120.8</v>
      </c>
      <c r="L1199" s="204">
        <v>20</v>
      </c>
      <c r="M1199" s="202">
        <v>830841242.60000002</v>
      </c>
      <c r="N1199" s="204">
        <v>20</v>
      </c>
      <c r="O1199" s="198" t="s">
        <v>51</v>
      </c>
      <c r="P1199" s="202">
        <v>830841242.60000002</v>
      </c>
      <c r="Q1199" s="198" t="s">
        <v>73</v>
      </c>
      <c r="R1199" s="198" t="s">
        <v>53</v>
      </c>
      <c r="S1199" s="198" t="s">
        <v>54</v>
      </c>
      <c r="T1199" s="198" t="s">
        <v>801</v>
      </c>
      <c r="U1199" s="198" t="s">
        <v>80</v>
      </c>
      <c r="V1199" s="198" t="s">
        <v>56</v>
      </c>
      <c r="W1199" s="198" t="s">
        <v>356</v>
      </c>
      <c r="X1199" s="198" t="s">
        <v>57</v>
      </c>
      <c r="Y1199" s="198" t="s">
        <v>58</v>
      </c>
      <c r="Z1199" s="201">
        <v>46477</v>
      </c>
      <c r="AA1199" s="198" t="s">
        <v>59</v>
      </c>
      <c r="AB1199" s="198" t="s">
        <v>60</v>
      </c>
      <c r="AC1199" s="198" t="s">
        <v>86</v>
      </c>
      <c r="AD1199" s="198" t="s">
        <v>62</v>
      </c>
      <c r="AE1199" s="198" t="s">
        <v>706</v>
      </c>
      <c r="AF1199" s="198" t="s">
        <v>705</v>
      </c>
      <c r="AG1199" s="198" t="s">
        <v>166</v>
      </c>
      <c r="AH1199" s="198" t="s">
        <v>193</v>
      </c>
      <c r="AI1199" s="198" t="s">
        <v>56</v>
      </c>
      <c r="AJ1199" s="198" t="s">
        <v>74</v>
      </c>
      <c r="AK1199" s="198" t="s">
        <v>51</v>
      </c>
      <c r="AL1199" s="198" t="s">
        <v>67</v>
      </c>
      <c r="AM1199" s="198" t="s">
        <v>68</v>
      </c>
      <c r="AN1199" s="202">
        <v>830841242.60000002</v>
      </c>
      <c r="AO1199" s="202">
        <v>830841242.60000002</v>
      </c>
      <c r="AP1199" s="202">
        <v>830841242.60000002</v>
      </c>
      <c r="AQ1199" s="198" t="s">
        <v>358</v>
      </c>
      <c r="AR1199" s="198" t="s">
        <v>51</v>
      </c>
      <c r="AS1199" s="202">
        <v>830841242.60000002</v>
      </c>
      <c r="AT1199" s="202">
        <v>830841242.60000002</v>
      </c>
      <c r="AU1199" s="198" t="s">
        <v>359</v>
      </c>
      <c r="AV1199" s="198" t="s">
        <v>62</v>
      </c>
      <c r="AW1199" s="198" t="s">
        <v>113</v>
      </c>
    </row>
    <row r="1200" spans="3:49" outlineLevel="2" x14ac:dyDescent="0.25">
      <c r="C1200" s="201"/>
      <c r="D1200" s="198" t="s">
        <v>1514</v>
      </c>
      <c r="H1200" s="198" t="s">
        <v>1514</v>
      </c>
      <c r="I1200" s="202">
        <f t="shared" si="18"/>
        <v>499264348.05000001</v>
      </c>
      <c r="J1200" s="202">
        <v>120.9</v>
      </c>
      <c r="L1200" s="204">
        <v>4</v>
      </c>
      <c r="M1200" s="202">
        <v>166168248.52000001</v>
      </c>
      <c r="N1200" s="204">
        <v>4</v>
      </c>
      <c r="O1200" s="198" t="s">
        <v>51</v>
      </c>
      <c r="P1200" s="202">
        <v>166168248.52000001</v>
      </c>
      <c r="Q1200" s="198" t="s">
        <v>73</v>
      </c>
      <c r="R1200" s="198" t="s">
        <v>53</v>
      </c>
      <c r="S1200" s="198" t="s">
        <v>54</v>
      </c>
      <c r="T1200" s="198" t="s">
        <v>801</v>
      </c>
      <c r="U1200" s="198" t="s">
        <v>80</v>
      </c>
      <c r="V1200" s="198" t="s">
        <v>56</v>
      </c>
      <c r="W1200" s="198" t="s">
        <v>356</v>
      </c>
      <c r="X1200" s="198" t="s">
        <v>57</v>
      </c>
      <c r="Y1200" s="198" t="s">
        <v>58</v>
      </c>
      <c r="Z1200" s="201">
        <v>46477</v>
      </c>
      <c r="AA1200" s="198" t="s">
        <v>59</v>
      </c>
      <c r="AB1200" s="198" t="s">
        <v>60</v>
      </c>
      <c r="AC1200" s="198" t="s">
        <v>86</v>
      </c>
      <c r="AD1200" s="198" t="s">
        <v>62</v>
      </c>
      <c r="AE1200" s="198" t="s">
        <v>706</v>
      </c>
      <c r="AF1200" s="198" t="s">
        <v>705</v>
      </c>
      <c r="AG1200" s="198" t="s">
        <v>166</v>
      </c>
      <c r="AH1200" s="198" t="s">
        <v>193</v>
      </c>
      <c r="AI1200" s="198" t="s">
        <v>56</v>
      </c>
      <c r="AJ1200" s="198" t="s">
        <v>74</v>
      </c>
      <c r="AK1200" s="198" t="s">
        <v>51</v>
      </c>
      <c r="AL1200" s="198" t="s">
        <v>67</v>
      </c>
      <c r="AM1200" s="198" t="s">
        <v>68</v>
      </c>
      <c r="AN1200" s="202">
        <v>166168248.52000001</v>
      </c>
      <c r="AO1200" s="202">
        <v>166168248.52000001</v>
      </c>
      <c r="AP1200" s="202">
        <v>166168248.52000001</v>
      </c>
      <c r="AQ1200" s="198" t="s">
        <v>358</v>
      </c>
      <c r="AR1200" s="198" t="s">
        <v>51</v>
      </c>
      <c r="AS1200" s="202">
        <v>166168248.52000001</v>
      </c>
      <c r="AT1200" s="202">
        <v>166168248.52000001</v>
      </c>
      <c r="AU1200" s="198" t="s">
        <v>359</v>
      </c>
      <c r="AV1200" s="198" t="s">
        <v>62</v>
      </c>
      <c r="AW1200" s="198" t="s">
        <v>113</v>
      </c>
    </row>
    <row r="1201" spans="3:49" outlineLevel="2" x14ac:dyDescent="0.25">
      <c r="C1201" s="201"/>
      <c r="D1201" s="198" t="s">
        <v>1517</v>
      </c>
      <c r="H1201" s="198" t="s">
        <v>1517</v>
      </c>
      <c r="I1201" s="202">
        <f t="shared" si="18"/>
        <v>499677304.5</v>
      </c>
      <c r="J1201" s="202">
        <v>121</v>
      </c>
      <c r="L1201" s="204">
        <v>100</v>
      </c>
      <c r="M1201" s="202">
        <v>291621449</v>
      </c>
      <c r="N1201" s="204">
        <v>100</v>
      </c>
      <c r="O1201" s="198" t="s">
        <v>51</v>
      </c>
      <c r="P1201" s="202">
        <v>291621449</v>
      </c>
      <c r="Q1201" s="198" t="s">
        <v>73</v>
      </c>
      <c r="R1201" s="198" t="s">
        <v>53</v>
      </c>
      <c r="S1201" s="198" t="s">
        <v>54</v>
      </c>
      <c r="T1201" s="198" t="s">
        <v>801</v>
      </c>
      <c r="U1201" s="198" t="s">
        <v>80</v>
      </c>
      <c r="V1201" s="198" t="s">
        <v>56</v>
      </c>
      <c r="W1201" s="198" t="s">
        <v>356</v>
      </c>
      <c r="X1201" s="198" t="s">
        <v>57</v>
      </c>
      <c r="Y1201" s="198" t="s">
        <v>58</v>
      </c>
      <c r="Z1201" s="201">
        <v>46477</v>
      </c>
      <c r="AA1201" s="198" t="s">
        <v>59</v>
      </c>
      <c r="AB1201" s="198" t="s">
        <v>60</v>
      </c>
      <c r="AC1201" s="198" t="s">
        <v>86</v>
      </c>
      <c r="AD1201" s="198" t="s">
        <v>62</v>
      </c>
      <c r="AE1201" s="198" t="s">
        <v>695</v>
      </c>
      <c r="AF1201" s="198" t="s">
        <v>692</v>
      </c>
      <c r="AG1201" s="198" t="s">
        <v>166</v>
      </c>
      <c r="AH1201" s="198" t="s">
        <v>193</v>
      </c>
      <c r="AI1201" s="198" t="s">
        <v>56</v>
      </c>
      <c r="AJ1201" s="198" t="s">
        <v>74</v>
      </c>
      <c r="AK1201" s="198" t="s">
        <v>51</v>
      </c>
      <c r="AL1201" s="198" t="s">
        <v>67</v>
      </c>
      <c r="AM1201" s="198" t="s">
        <v>68</v>
      </c>
      <c r="AN1201" s="202">
        <v>291621449</v>
      </c>
      <c r="AO1201" s="202">
        <v>291621449</v>
      </c>
      <c r="AP1201" s="202">
        <v>291621449</v>
      </c>
      <c r="AQ1201" s="198" t="s">
        <v>358</v>
      </c>
      <c r="AR1201" s="198" t="s">
        <v>51</v>
      </c>
      <c r="AS1201" s="202">
        <v>291621449</v>
      </c>
      <c r="AT1201" s="202">
        <v>291621449</v>
      </c>
      <c r="AU1201" s="198" t="s">
        <v>359</v>
      </c>
      <c r="AV1201" s="198" t="s">
        <v>62</v>
      </c>
      <c r="AW1201" s="198" t="s">
        <v>113</v>
      </c>
    </row>
    <row r="1202" spans="3:49" outlineLevel="2" x14ac:dyDescent="0.25">
      <c r="C1202" s="201"/>
      <c r="D1202" s="198" t="s">
        <v>1276</v>
      </c>
      <c r="H1202" s="198" t="s">
        <v>1276</v>
      </c>
      <c r="I1202" s="202">
        <f t="shared" si="18"/>
        <v>500090260.94999999</v>
      </c>
      <c r="J1202" s="202">
        <v>121.1</v>
      </c>
      <c r="L1202" s="204">
        <v>270</v>
      </c>
      <c r="M1202" s="202">
        <v>784109349</v>
      </c>
      <c r="N1202" s="204">
        <v>270</v>
      </c>
      <c r="O1202" s="198" t="s">
        <v>51</v>
      </c>
      <c r="P1202" s="202">
        <v>784109349</v>
      </c>
      <c r="Q1202" s="198" t="s">
        <v>73</v>
      </c>
      <c r="R1202" s="198" t="s">
        <v>53</v>
      </c>
      <c r="S1202" s="198" t="s">
        <v>54</v>
      </c>
      <c r="T1202" s="198" t="s">
        <v>801</v>
      </c>
      <c r="U1202" s="198" t="s">
        <v>80</v>
      </c>
      <c r="V1202" s="198" t="s">
        <v>56</v>
      </c>
      <c r="W1202" s="198" t="s">
        <v>356</v>
      </c>
      <c r="X1202" s="198" t="s">
        <v>57</v>
      </c>
      <c r="Y1202" s="198" t="s">
        <v>58</v>
      </c>
      <c r="Z1202" s="201">
        <v>46477</v>
      </c>
      <c r="AA1202" s="198" t="s">
        <v>59</v>
      </c>
      <c r="AB1202" s="198" t="s">
        <v>60</v>
      </c>
      <c r="AC1202" s="198" t="s">
        <v>86</v>
      </c>
      <c r="AD1202" s="198" t="s">
        <v>62</v>
      </c>
      <c r="AE1202" s="198" t="s">
        <v>695</v>
      </c>
      <c r="AF1202" s="198" t="s">
        <v>692</v>
      </c>
      <c r="AG1202" s="198" t="s">
        <v>166</v>
      </c>
      <c r="AH1202" s="198" t="s">
        <v>143</v>
      </c>
      <c r="AI1202" s="198" t="s">
        <v>56</v>
      </c>
      <c r="AJ1202" s="198" t="s">
        <v>74</v>
      </c>
      <c r="AK1202" s="198" t="s">
        <v>51</v>
      </c>
      <c r="AL1202" s="198" t="s">
        <v>67</v>
      </c>
      <c r="AM1202" s="198" t="s">
        <v>68</v>
      </c>
      <c r="AN1202" s="202">
        <v>784109349</v>
      </c>
      <c r="AO1202" s="202">
        <v>784109349</v>
      </c>
      <c r="AP1202" s="202">
        <v>784109349</v>
      </c>
      <c r="AQ1202" s="198" t="s">
        <v>358</v>
      </c>
      <c r="AR1202" s="198" t="s">
        <v>51</v>
      </c>
      <c r="AS1202" s="202">
        <v>784109349</v>
      </c>
      <c r="AT1202" s="202">
        <v>784109349</v>
      </c>
      <c r="AU1202" s="198" t="s">
        <v>359</v>
      </c>
      <c r="AV1202" s="198" t="s">
        <v>62</v>
      </c>
      <c r="AW1202" s="198" t="s">
        <v>113</v>
      </c>
    </row>
    <row r="1203" spans="3:49" outlineLevel="2" x14ac:dyDescent="0.25">
      <c r="C1203" s="201"/>
      <c r="D1203" s="198" t="s">
        <v>1260</v>
      </c>
      <c r="H1203" s="198" t="s">
        <v>1260</v>
      </c>
      <c r="I1203" s="202">
        <f t="shared" si="18"/>
        <v>500503217.40000004</v>
      </c>
      <c r="J1203" s="202">
        <v>121.2</v>
      </c>
      <c r="L1203" s="204">
        <v>20</v>
      </c>
      <c r="M1203" s="202">
        <v>830841242.60000002</v>
      </c>
      <c r="N1203" s="204">
        <v>10</v>
      </c>
      <c r="O1203" s="198" t="s">
        <v>51</v>
      </c>
      <c r="P1203" s="202">
        <v>415420621.30000001</v>
      </c>
      <c r="Q1203" s="198" t="s">
        <v>73</v>
      </c>
      <c r="R1203" s="198" t="s">
        <v>53</v>
      </c>
      <c r="S1203" s="198" t="s">
        <v>54</v>
      </c>
      <c r="T1203" s="198" t="s">
        <v>801</v>
      </c>
      <c r="U1203" s="198" t="s">
        <v>681</v>
      </c>
      <c r="V1203" s="198" t="s">
        <v>56</v>
      </c>
      <c r="W1203" s="198" t="s">
        <v>356</v>
      </c>
      <c r="X1203" s="198" t="s">
        <v>57</v>
      </c>
      <c r="Y1203" s="198" t="s">
        <v>58</v>
      </c>
      <c r="Z1203" s="201">
        <v>46477</v>
      </c>
      <c r="AA1203" s="198" t="s">
        <v>59</v>
      </c>
      <c r="AB1203" s="198" t="s">
        <v>60</v>
      </c>
      <c r="AC1203" s="198" t="s">
        <v>86</v>
      </c>
      <c r="AD1203" s="198" t="s">
        <v>62</v>
      </c>
      <c r="AE1203" s="198" t="s">
        <v>706</v>
      </c>
      <c r="AF1203" s="198" t="s">
        <v>705</v>
      </c>
      <c r="AG1203" s="198" t="s">
        <v>166</v>
      </c>
      <c r="AH1203" s="198" t="s">
        <v>143</v>
      </c>
      <c r="AI1203" s="198" t="s">
        <v>56</v>
      </c>
      <c r="AJ1203" s="198" t="s">
        <v>74</v>
      </c>
      <c r="AK1203" s="198" t="s">
        <v>51</v>
      </c>
      <c r="AL1203" s="198" t="s">
        <v>67</v>
      </c>
      <c r="AM1203" s="198" t="s">
        <v>68</v>
      </c>
      <c r="AN1203" s="202">
        <v>830841242.60000002</v>
      </c>
      <c r="AO1203" s="202">
        <v>830841242.60000002</v>
      </c>
      <c r="AP1203" s="202">
        <v>830841242.60000002</v>
      </c>
      <c r="AQ1203" s="198" t="s">
        <v>358</v>
      </c>
      <c r="AR1203" s="198" t="s">
        <v>51</v>
      </c>
      <c r="AS1203" s="202">
        <v>415420621.30000001</v>
      </c>
      <c r="AT1203" s="202">
        <v>415420621.30000001</v>
      </c>
      <c r="AU1203" s="198" t="s">
        <v>359</v>
      </c>
      <c r="AV1203" s="198" t="s">
        <v>62</v>
      </c>
      <c r="AW1203" s="198" t="s">
        <v>113</v>
      </c>
    </row>
    <row r="1204" spans="3:49" outlineLevel="2" x14ac:dyDescent="0.25">
      <c r="C1204" s="201"/>
      <c r="D1204" s="198" t="s">
        <v>1260</v>
      </c>
      <c r="H1204" s="198" t="s">
        <v>1260</v>
      </c>
      <c r="I1204" s="202">
        <f t="shared" si="18"/>
        <v>500916173.84999996</v>
      </c>
      <c r="J1204" s="202">
        <v>121.3</v>
      </c>
      <c r="L1204" s="204">
        <v>20</v>
      </c>
      <c r="M1204" s="202">
        <v>830841242.60000002</v>
      </c>
      <c r="N1204" s="204">
        <v>20</v>
      </c>
      <c r="O1204" s="198" t="s">
        <v>51</v>
      </c>
      <c r="P1204" s="202">
        <v>830841242.60000002</v>
      </c>
      <c r="Q1204" s="198" t="s">
        <v>73</v>
      </c>
      <c r="R1204" s="198" t="s">
        <v>53</v>
      </c>
      <c r="S1204" s="198" t="s">
        <v>54</v>
      </c>
      <c r="T1204" s="198" t="s">
        <v>801</v>
      </c>
      <c r="U1204" s="198" t="s">
        <v>80</v>
      </c>
      <c r="V1204" s="198" t="s">
        <v>56</v>
      </c>
      <c r="W1204" s="198" t="s">
        <v>356</v>
      </c>
      <c r="X1204" s="198" t="s">
        <v>57</v>
      </c>
      <c r="Y1204" s="198" t="s">
        <v>58</v>
      </c>
      <c r="Z1204" s="201">
        <v>46477</v>
      </c>
      <c r="AA1204" s="198" t="s">
        <v>59</v>
      </c>
      <c r="AB1204" s="198" t="s">
        <v>60</v>
      </c>
      <c r="AC1204" s="198" t="s">
        <v>86</v>
      </c>
      <c r="AD1204" s="198" t="s">
        <v>62</v>
      </c>
      <c r="AE1204" s="198" t="s">
        <v>706</v>
      </c>
      <c r="AF1204" s="198" t="s">
        <v>705</v>
      </c>
      <c r="AG1204" s="198" t="s">
        <v>166</v>
      </c>
      <c r="AH1204" s="198" t="s">
        <v>143</v>
      </c>
      <c r="AI1204" s="198" t="s">
        <v>56</v>
      </c>
      <c r="AJ1204" s="198" t="s">
        <v>74</v>
      </c>
      <c r="AK1204" s="198" t="s">
        <v>51</v>
      </c>
      <c r="AL1204" s="198" t="s">
        <v>67</v>
      </c>
      <c r="AM1204" s="198" t="s">
        <v>68</v>
      </c>
      <c r="AN1204" s="202">
        <v>830841242.60000002</v>
      </c>
      <c r="AO1204" s="202">
        <v>830841242.60000002</v>
      </c>
      <c r="AP1204" s="202">
        <v>830841242.60000002</v>
      </c>
      <c r="AQ1204" s="198" t="s">
        <v>358</v>
      </c>
      <c r="AR1204" s="198" t="s">
        <v>51</v>
      </c>
      <c r="AS1204" s="202">
        <v>830841242.60000002</v>
      </c>
      <c r="AT1204" s="202">
        <v>830841242.60000002</v>
      </c>
      <c r="AU1204" s="198" t="s">
        <v>359</v>
      </c>
      <c r="AV1204" s="198" t="s">
        <v>62</v>
      </c>
      <c r="AW1204" s="198" t="s">
        <v>113</v>
      </c>
    </row>
    <row r="1205" spans="3:49" outlineLevel="2" x14ac:dyDescent="0.25">
      <c r="C1205" s="201"/>
      <c r="D1205" s="198" t="s">
        <v>1260</v>
      </c>
      <c r="H1205" s="198" t="s">
        <v>1260</v>
      </c>
      <c r="I1205" s="202">
        <f t="shared" si="18"/>
        <v>501329130.30000001</v>
      </c>
      <c r="J1205" s="202">
        <v>121.4</v>
      </c>
      <c r="L1205" s="204">
        <v>20</v>
      </c>
      <c r="M1205" s="202">
        <v>830841242.60000002</v>
      </c>
      <c r="N1205" s="204">
        <v>20</v>
      </c>
      <c r="O1205" s="198" t="s">
        <v>51</v>
      </c>
      <c r="P1205" s="202">
        <v>830841242.60000002</v>
      </c>
      <c r="Q1205" s="198" t="s">
        <v>73</v>
      </c>
      <c r="R1205" s="198" t="s">
        <v>53</v>
      </c>
      <c r="S1205" s="198" t="s">
        <v>54</v>
      </c>
      <c r="T1205" s="198" t="s">
        <v>801</v>
      </c>
      <c r="U1205" s="198" t="s">
        <v>80</v>
      </c>
      <c r="V1205" s="198" t="s">
        <v>56</v>
      </c>
      <c r="W1205" s="198" t="s">
        <v>356</v>
      </c>
      <c r="X1205" s="198" t="s">
        <v>57</v>
      </c>
      <c r="Y1205" s="198" t="s">
        <v>58</v>
      </c>
      <c r="Z1205" s="201">
        <v>46477</v>
      </c>
      <c r="AA1205" s="198" t="s">
        <v>59</v>
      </c>
      <c r="AB1205" s="198" t="s">
        <v>60</v>
      </c>
      <c r="AC1205" s="198" t="s">
        <v>86</v>
      </c>
      <c r="AD1205" s="198" t="s">
        <v>62</v>
      </c>
      <c r="AE1205" s="198" t="s">
        <v>706</v>
      </c>
      <c r="AF1205" s="198" t="s">
        <v>705</v>
      </c>
      <c r="AG1205" s="198" t="s">
        <v>166</v>
      </c>
      <c r="AH1205" s="198" t="s">
        <v>143</v>
      </c>
      <c r="AI1205" s="198" t="s">
        <v>56</v>
      </c>
      <c r="AJ1205" s="198" t="s">
        <v>74</v>
      </c>
      <c r="AK1205" s="198" t="s">
        <v>51</v>
      </c>
      <c r="AL1205" s="198" t="s">
        <v>67</v>
      </c>
      <c r="AM1205" s="198" t="s">
        <v>68</v>
      </c>
      <c r="AN1205" s="202">
        <v>830841242.60000002</v>
      </c>
      <c r="AO1205" s="202">
        <v>830841242.60000002</v>
      </c>
      <c r="AP1205" s="202">
        <v>830841242.60000002</v>
      </c>
      <c r="AQ1205" s="198" t="s">
        <v>358</v>
      </c>
      <c r="AR1205" s="198" t="s">
        <v>51</v>
      </c>
      <c r="AS1205" s="202">
        <v>830841242.60000002</v>
      </c>
      <c r="AT1205" s="202">
        <v>830841242.60000002</v>
      </c>
      <c r="AU1205" s="198" t="s">
        <v>359</v>
      </c>
      <c r="AV1205" s="198" t="s">
        <v>62</v>
      </c>
      <c r="AW1205" s="198" t="s">
        <v>113</v>
      </c>
    </row>
    <row r="1206" spans="3:49" outlineLevel="2" x14ac:dyDescent="0.25">
      <c r="C1206" s="201"/>
      <c r="D1206" s="198" t="s">
        <v>1260</v>
      </c>
      <c r="H1206" s="198" t="s">
        <v>1260</v>
      </c>
      <c r="I1206" s="202">
        <f t="shared" si="18"/>
        <v>501742086.75</v>
      </c>
      <c r="J1206" s="202">
        <v>121.5</v>
      </c>
      <c r="L1206" s="204">
        <v>20</v>
      </c>
      <c r="M1206" s="202">
        <v>830841242.60000002</v>
      </c>
      <c r="N1206" s="204">
        <v>20</v>
      </c>
      <c r="O1206" s="198" t="s">
        <v>51</v>
      </c>
      <c r="P1206" s="202">
        <v>830841242.60000002</v>
      </c>
      <c r="Q1206" s="198" t="s">
        <v>73</v>
      </c>
      <c r="R1206" s="198" t="s">
        <v>53</v>
      </c>
      <c r="S1206" s="198" t="s">
        <v>54</v>
      </c>
      <c r="T1206" s="198" t="s">
        <v>801</v>
      </c>
      <c r="U1206" s="198" t="s">
        <v>80</v>
      </c>
      <c r="V1206" s="198" t="s">
        <v>56</v>
      </c>
      <c r="W1206" s="198" t="s">
        <v>356</v>
      </c>
      <c r="X1206" s="198" t="s">
        <v>57</v>
      </c>
      <c r="Y1206" s="198" t="s">
        <v>58</v>
      </c>
      <c r="Z1206" s="201">
        <v>46477</v>
      </c>
      <c r="AA1206" s="198" t="s">
        <v>59</v>
      </c>
      <c r="AB1206" s="198" t="s">
        <v>60</v>
      </c>
      <c r="AC1206" s="198" t="s">
        <v>86</v>
      </c>
      <c r="AD1206" s="198" t="s">
        <v>62</v>
      </c>
      <c r="AE1206" s="198" t="s">
        <v>706</v>
      </c>
      <c r="AF1206" s="198" t="s">
        <v>705</v>
      </c>
      <c r="AG1206" s="198" t="s">
        <v>166</v>
      </c>
      <c r="AH1206" s="198" t="s">
        <v>143</v>
      </c>
      <c r="AI1206" s="198" t="s">
        <v>56</v>
      </c>
      <c r="AJ1206" s="198" t="s">
        <v>74</v>
      </c>
      <c r="AK1206" s="198" t="s">
        <v>51</v>
      </c>
      <c r="AL1206" s="198" t="s">
        <v>67</v>
      </c>
      <c r="AM1206" s="198" t="s">
        <v>68</v>
      </c>
      <c r="AN1206" s="202">
        <v>830841242.60000002</v>
      </c>
      <c r="AO1206" s="202">
        <v>830841242.60000002</v>
      </c>
      <c r="AP1206" s="202">
        <v>830841242.60000002</v>
      </c>
      <c r="AQ1206" s="198" t="s">
        <v>358</v>
      </c>
      <c r="AR1206" s="198" t="s">
        <v>51</v>
      </c>
      <c r="AS1206" s="202">
        <v>830841242.60000002</v>
      </c>
      <c r="AT1206" s="202">
        <v>830841242.60000002</v>
      </c>
      <c r="AU1206" s="198" t="s">
        <v>359</v>
      </c>
      <c r="AV1206" s="198" t="s">
        <v>62</v>
      </c>
      <c r="AW1206" s="198" t="s">
        <v>113</v>
      </c>
    </row>
    <row r="1207" spans="3:49" outlineLevel="2" x14ac:dyDescent="0.25">
      <c r="C1207" s="201"/>
      <c r="D1207" s="198" t="s">
        <v>1260</v>
      </c>
      <c r="H1207" s="198" t="s">
        <v>1260</v>
      </c>
      <c r="I1207" s="202">
        <f t="shared" si="18"/>
        <v>502155043.19999999</v>
      </c>
      <c r="J1207" s="202">
        <v>121.6</v>
      </c>
      <c r="L1207" s="204">
        <v>20</v>
      </c>
      <c r="M1207" s="202">
        <v>830841242.60000002</v>
      </c>
      <c r="N1207" s="204">
        <v>20</v>
      </c>
      <c r="O1207" s="198" t="s">
        <v>51</v>
      </c>
      <c r="P1207" s="202">
        <v>830841242.60000002</v>
      </c>
      <c r="Q1207" s="198" t="s">
        <v>73</v>
      </c>
      <c r="R1207" s="198" t="s">
        <v>53</v>
      </c>
      <c r="S1207" s="198" t="s">
        <v>54</v>
      </c>
      <c r="T1207" s="198" t="s">
        <v>801</v>
      </c>
      <c r="U1207" s="198" t="s">
        <v>80</v>
      </c>
      <c r="V1207" s="198" t="s">
        <v>56</v>
      </c>
      <c r="W1207" s="198" t="s">
        <v>356</v>
      </c>
      <c r="X1207" s="198" t="s">
        <v>57</v>
      </c>
      <c r="Y1207" s="198" t="s">
        <v>58</v>
      </c>
      <c r="Z1207" s="201">
        <v>46477</v>
      </c>
      <c r="AA1207" s="198" t="s">
        <v>59</v>
      </c>
      <c r="AB1207" s="198" t="s">
        <v>60</v>
      </c>
      <c r="AC1207" s="198" t="s">
        <v>86</v>
      </c>
      <c r="AD1207" s="198" t="s">
        <v>62</v>
      </c>
      <c r="AE1207" s="198" t="s">
        <v>706</v>
      </c>
      <c r="AF1207" s="198" t="s">
        <v>705</v>
      </c>
      <c r="AG1207" s="198" t="s">
        <v>166</v>
      </c>
      <c r="AH1207" s="198" t="s">
        <v>143</v>
      </c>
      <c r="AI1207" s="198" t="s">
        <v>56</v>
      </c>
      <c r="AJ1207" s="198" t="s">
        <v>74</v>
      </c>
      <c r="AK1207" s="198" t="s">
        <v>51</v>
      </c>
      <c r="AL1207" s="198" t="s">
        <v>67</v>
      </c>
      <c r="AM1207" s="198" t="s">
        <v>68</v>
      </c>
      <c r="AN1207" s="202">
        <v>830841242.60000002</v>
      </c>
      <c r="AO1207" s="202">
        <v>830841242.60000002</v>
      </c>
      <c r="AP1207" s="202">
        <v>830841242.60000002</v>
      </c>
      <c r="AQ1207" s="198" t="s">
        <v>358</v>
      </c>
      <c r="AR1207" s="198" t="s">
        <v>51</v>
      </c>
      <c r="AS1207" s="202">
        <v>830841242.60000002</v>
      </c>
      <c r="AT1207" s="202">
        <v>830841242.60000002</v>
      </c>
      <c r="AU1207" s="198" t="s">
        <v>359</v>
      </c>
      <c r="AV1207" s="198" t="s">
        <v>62</v>
      </c>
      <c r="AW1207" s="198" t="s">
        <v>113</v>
      </c>
    </row>
    <row r="1208" spans="3:49" outlineLevel="2" x14ac:dyDescent="0.25">
      <c r="C1208" s="201"/>
      <c r="D1208" s="198" t="s">
        <v>1260</v>
      </c>
      <c r="H1208" s="198" t="s">
        <v>1260</v>
      </c>
      <c r="I1208" s="202">
        <f t="shared" si="18"/>
        <v>502567999.65000004</v>
      </c>
      <c r="J1208" s="202">
        <v>121.7</v>
      </c>
      <c r="L1208" s="204">
        <v>20</v>
      </c>
      <c r="M1208" s="202">
        <v>830841242.60000002</v>
      </c>
      <c r="N1208" s="204">
        <v>20</v>
      </c>
      <c r="O1208" s="198" t="s">
        <v>51</v>
      </c>
      <c r="P1208" s="202">
        <v>830841242.60000002</v>
      </c>
      <c r="Q1208" s="198" t="s">
        <v>73</v>
      </c>
      <c r="R1208" s="198" t="s">
        <v>53</v>
      </c>
      <c r="S1208" s="198" t="s">
        <v>54</v>
      </c>
      <c r="T1208" s="198" t="s">
        <v>801</v>
      </c>
      <c r="U1208" s="198" t="s">
        <v>80</v>
      </c>
      <c r="V1208" s="198" t="s">
        <v>56</v>
      </c>
      <c r="W1208" s="198" t="s">
        <v>356</v>
      </c>
      <c r="X1208" s="198" t="s">
        <v>57</v>
      </c>
      <c r="Y1208" s="198" t="s">
        <v>58</v>
      </c>
      <c r="Z1208" s="201">
        <v>46477</v>
      </c>
      <c r="AA1208" s="198" t="s">
        <v>59</v>
      </c>
      <c r="AB1208" s="198" t="s">
        <v>60</v>
      </c>
      <c r="AC1208" s="198" t="s">
        <v>86</v>
      </c>
      <c r="AD1208" s="198" t="s">
        <v>62</v>
      </c>
      <c r="AE1208" s="198" t="s">
        <v>706</v>
      </c>
      <c r="AF1208" s="198" t="s">
        <v>705</v>
      </c>
      <c r="AG1208" s="198" t="s">
        <v>166</v>
      </c>
      <c r="AH1208" s="198" t="s">
        <v>143</v>
      </c>
      <c r="AI1208" s="198" t="s">
        <v>56</v>
      </c>
      <c r="AJ1208" s="198" t="s">
        <v>74</v>
      </c>
      <c r="AK1208" s="198" t="s">
        <v>51</v>
      </c>
      <c r="AL1208" s="198" t="s">
        <v>67</v>
      </c>
      <c r="AM1208" s="198" t="s">
        <v>68</v>
      </c>
      <c r="AN1208" s="202">
        <v>830841242.60000002</v>
      </c>
      <c r="AO1208" s="202">
        <v>830841242.60000002</v>
      </c>
      <c r="AP1208" s="202">
        <v>830841242.60000002</v>
      </c>
      <c r="AQ1208" s="198" t="s">
        <v>358</v>
      </c>
      <c r="AR1208" s="198" t="s">
        <v>51</v>
      </c>
      <c r="AS1208" s="202">
        <v>830841242.60000002</v>
      </c>
      <c r="AT1208" s="202">
        <v>830841242.60000002</v>
      </c>
      <c r="AU1208" s="198" t="s">
        <v>359</v>
      </c>
      <c r="AV1208" s="198" t="s">
        <v>62</v>
      </c>
      <c r="AW1208" s="198" t="s">
        <v>113</v>
      </c>
    </row>
    <row r="1209" spans="3:49" outlineLevel="2" x14ac:dyDescent="0.25">
      <c r="C1209" s="201"/>
      <c r="D1209" s="198" t="s">
        <v>1260</v>
      </c>
      <c r="H1209" s="198" t="s">
        <v>1260</v>
      </c>
      <c r="I1209" s="202">
        <f t="shared" si="18"/>
        <v>502980956.09999996</v>
      </c>
      <c r="J1209" s="202">
        <v>121.8</v>
      </c>
      <c r="L1209" s="204">
        <v>20</v>
      </c>
      <c r="M1209" s="202">
        <v>830841242.60000002</v>
      </c>
      <c r="N1209" s="204">
        <v>20</v>
      </c>
      <c r="O1209" s="198" t="s">
        <v>51</v>
      </c>
      <c r="P1209" s="202">
        <v>830841242.60000002</v>
      </c>
      <c r="Q1209" s="198" t="s">
        <v>73</v>
      </c>
      <c r="R1209" s="198" t="s">
        <v>53</v>
      </c>
      <c r="S1209" s="198" t="s">
        <v>54</v>
      </c>
      <c r="T1209" s="198" t="s">
        <v>801</v>
      </c>
      <c r="U1209" s="198" t="s">
        <v>80</v>
      </c>
      <c r="V1209" s="198" t="s">
        <v>56</v>
      </c>
      <c r="W1209" s="198" t="s">
        <v>356</v>
      </c>
      <c r="X1209" s="198" t="s">
        <v>57</v>
      </c>
      <c r="Y1209" s="198" t="s">
        <v>58</v>
      </c>
      <c r="Z1209" s="201">
        <v>46477</v>
      </c>
      <c r="AA1209" s="198" t="s">
        <v>59</v>
      </c>
      <c r="AB1209" s="198" t="s">
        <v>60</v>
      </c>
      <c r="AC1209" s="198" t="s">
        <v>86</v>
      </c>
      <c r="AD1209" s="198" t="s">
        <v>62</v>
      </c>
      <c r="AE1209" s="198" t="s">
        <v>706</v>
      </c>
      <c r="AF1209" s="198" t="s">
        <v>705</v>
      </c>
      <c r="AG1209" s="198" t="s">
        <v>166</v>
      </c>
      <c r="AH1209" s="198" t="s">
        <v>143</v>
      </c>
      <c r="AI1209" s="198" t="s">
        <v>56</v>
      </c>
      <c r="AJ1209" s="198" t="s">
        <v>74</v>
      </c>
      <c r="AK1209" s="198" t="s">
        <v>51</v>
      </c>
      <c r="AL1209" s="198" t="s">
        <v>67</v>
      </c>
      <c r="AM1209" s="198" t="s">
        <v>68</v>
      </c>
      <c r="AN1209" s="202">
        <v>830841242.60000002</v>
      </c>
      <c r="AO1209" s="202">
        <v>830841242.60000002</v>
      </c>
      <c r="AP1209" s="202">
        <v>830841242.60000002</v>
      </c>
      <c r="AQ1209" s="198" t="s">
        <v>358</v>
      </c>
      <c r="AR1209" s="198" t="s">
        <v>51</v>
      </c>
      <c r="AS1209" s="202">
        <v>830841242.60000002</v>
      </c>
      <c r="AT1209" s="202">
        <v>830841242.60000002</v>
      </c>
      <c r="AU1209" s="198" t="s">
        <v>359</v>
      </c>
      <c r="AV1209" s="198" t="s">
        <v>62</v>
      </c>
      <c r="AW1209" s="198" t="s">
        <v>113</v>
      </c>
    </row>
    <row r="1210" spans="3:49" outlineLevel="2" x14ac:dyDescent="0.25">
      <c r="C1210" s="201"/>
      <c r="D1210" s="198" t="s">
        <v>1260</v>
      </c>
      <c r="H1210" s="198" t="s">
        <v>1260</v>
      </c>
      <c r="I1210" s="202">
        <f t="shared" si="18"/>
        <v>503393912.55000001</v>
      </c>
      <c r="J1210" s="202">
        <v>121.9</v>
      </c>
      <c r="L1210" s="204">
        <v>20</v>
      </c>
      <c r="M1210" s="202">
        <v>830841242.60000002</v>
      </c>
      <c r="N1210" s="204">
        <v>20</v>
      </c>
      <c r="O1210" s="198" t="s">
        <v>51</v>
      </c>
      <c r="P1210" s="202">
        <v>830841242.60000002</v>
      </c>
      <c r="Q1210" s="198" t="s">
        <v>73</v>
      </c>
      <c r="R1210" s="198" t="s">
        <v>53</v>
      </c>
      <c r="S1210" s="198" t="s">
        <v>54</v>
      </c>
      <c r="T1210" s="198" t="s">
        <v>801</v>
      </c>
      <c r="U1210" s="198" t="s">
        <v>80</v>
      </c>
      <c r="V1210" s="198" t="s">
        <v>56</v>
      </c>
      <c r="W1210" s="198" t="s">
        <v>356</v>
      </c>
      <c r="X1210" s="198" t="s">
        <v>57</v>
      </c>
      <c r="Y1210" s="198" t="s">
        <v>58</v>
      </c>
      <c r="Z1210" s="201">
        <v>46477</v>
      </c>
      <c r="AA1210" s="198" t="s">
        <v>59</v>
      </c>
      <c r="AB1210" s="198" t="s">
        <v>60</v>
      </c>
      <c r="AC1210" s="198" t="s">
        <v>86</v>
      </c>
      <c r="AD1210" s="198" t="s">
        <v>62</v>
      </c>
      <c r="AE1210" s="198" t="s">
        <v>706</v>
      </c>
      <c r="AF1210" s="198" t="s">
        <v>705</v>
      </c>
      <c r="AG1210" s="198" t="s">
        <v>166</v>
      </c>
      <c r="AH1210" s="198" t="s">
        <v>143</v>
      </c>
      <c r="AI1210" s="198" t="s">
        <v>56</v>
      </c>
      <c r="AJ1210" s="198" t="s">
        <v>74</v>
      </c>
      <c r="AK1210" s="198" t="s">
        <v>51</v>
      </c>
      <c r="AL1210" s="198" t="s">
        <v>67</v>
      </c>
      <c r="AM1210" s="198" t="s">
        <v>68</v>
      </c>
      <c r="AN1210" s="202">
        <v>830841242.60000002</v>
      </c>
      <c r="AO1210" s="202">
        <v>830841242.60000002</v>
      </c>
      <c r="AP1210" s="202">
        <v>830841242.60000002</v>
      </c>
      <c r="AQ1210" s="198" t="s">
        <v>358</v>
      </c>
      <c r="AR1210" s="198" t="s">
        <v>51</v>
      </c>
      <c r="AS1210" s="202">
        <v>830841242.60000002</v>
      </c>
      <c r="AT1210" s="202">
        <v>830841242.60000002</v>
      </c>
      <c r="AU1210" s="198" t="s">
        <v>359</v>
      </c>
      <c r="AV1210" s="198" t="s">
        <v>62</v>
      </c>
      <c r="AW1210" s="198" t="s">
        <v>113</v>
      </c>
    </row>
    <row r="1211" spans="3:49" outlineLevel="2" x14ac:dyDescent="0.25">
      <c r="C1211" s="201"/>
      <c r="D1211" s="198" t="s">
        <v>1260</v>
      </c>
      <c r="H1211" s="198" t="s">
        <v>1260</v>
      </c>
      <c r="I1211" s="202">
        <f t="shared" si="18"/>
        <v>503806869</v>
      </c>
      <c r="J1211" s="202">
        <v>122</v>
      </c>
      <c r="L1211" s="204">
        <v>20</v>
      </c>
      <c r="M1211" s="202">
        <v>830841242.60000002</v>
      </c>
      <c r="N1211" s="204">
        <v>20</v>
      </c>
      <c r="O1211" s="198" t="s">
        <v>51</v>
      </c>
      <c r="P1211" s="202">
        <v>830841242.60000002</v>
      </c>
      <c r="Q1211" s="198" t="s">
        <v>73</v>
      </c>
      <c r="R1211" s="198" t="s">
        <v>53</v>
      </c>
      <c r="S1211" s="198" t="s">
        <v>54</v>
      </c>
      <c r="T1211" s="198" t="s">
        <v>801</v>
      </c>
      <c r="U1211" s="198" t="s">
        <v>80</v>
      </c>
      <c r="V1211" s="198" t="s">
        <v>56</v>
      </c>
      <c r="W1211" s="198" t="s">
        <v>356</v>
      </c>
      <c r="X1211" s="198" t="s">
        <v>57</v>
      </c>
      <c r="Y1211" s="198" t="s">
        <v>58</v>
      </c>
      <c r="Z1211" s="201">
        <v>46477</v>
      </c>
      <c r="AA1211" s="198" t="s">
        <v>59</v>
      </c>
      <c r="AB1211" s="198" t="s">
        <v>60</v>
      </c>
      <c r="AC1211" s="198" t="s">
        <v>86</v>
      </c>
      <c r="AD1211" s="198" t="s">
        <v>62</v>
      </c>
      <c r="AE1211" s="198" t="s">
        <v>706</v>
      </c>
      <c r="AF1211" s="198" t="s">
        <v>705</v>
      </c>
      <c r="AG1211" s="198" t="s">
        <v>166</v>
      </c>
      <c r="AH1211" s="198" t="s">
        <v>143</v>
      </c>
      <c r="AI1211" s="198" t="s">
        <v>56</v>
      </c>
      <c r="AJ1211" s="198" t="s">
        <v>74</v>
      </c>
      <c r="AK1211" s="198" t="s">
        <v>51</v>
      </c>
      <c r="AL1211" s="198" t="s">
        <v>67</v>
      </c>
      <c r="AM1211" s="198" t="s">
        <v>68</v>
      </c>
      <c r="AN1211" s="202">
        <v>830841242.60000002</v>
      </c>
      <c r="AO1211" s="202">
        <v>830841242.60000002</v>
      </c>
      <c r="AP1211" s="202">
        <v>830841242.60000002</v>
      </c>
      <c r="AQ1211" s="198" t="s">
        <v>358</v>
      </c>
      <c r="AR1211" s="198" t="s">
        <v>51</v>
      </c>
      <c r="AS1211" s="202">
        <v>830841242.60000002</v>
      </c>
      <c r="AT1211" s="202">
        <v>830841242.60000002</v>
      </c>
      <c r="AU1211" s="198" t="s">
        <v>359</v>
      </c>
      <c r="AV1211" s="198" t="s">
        <v>62</v>
      </c>
      <c r="AW1211" s="198" t="s">
        <v>113</v>
      </c>
    </row>
    <row r="1212" spans="3:49" outlineLevel="2" x14ac:dyDescent="0.25">
      <c r="C1212" s="201"/>
      <c r="D1212" s="198" t="s">
        <v>1260</v>
      </c>
      <c r="H1212" s="198" t="s">
        <v>1260</v>
      </c>
      <c r="I1212" s="202">
        <f t="shared" si="18"/>
        <v>504219825.44999999</v>
      </c>
      <c r="J1212" s="202">
        <v>122.1</v>
      </c>
      <c r="L1212" s="204">
        <v>20</v>
      </c>
      <c r="M1212" s="202">
        <v>830841242.60000002</v>
      </c>
      <c r="N1212" s="204">
        <v>20</v>
      </c>
      <c r="O1212" s="198" t="s">
        <v>51</v>
      </c>
      <c r="P1212" s="202">
        <v>830841242.60000002</v>
      </c>
      <c r="Q1212" s="198" t="s">
        <v>73</v>
      </c>
      <c r="R1212" s="198" t="s">
        <v>53</v>
      </c>
      <c r="S1212" s="198" t="s">
        <v>54</v>
      </c>
      <c r="T1212" s="198" t="s">
        <v>801</v>
      </c>
      <c r="U1212" s="198" t="s">
        <v>80</v>
      </c>
      <c r="V1212" s="198" t="s">
        <v>56</v>
      </c>
      <c r="W1212" s="198" t="s">
        <v>356</v>
      </c>
      <c r="X1212" s="198" t="s">
        <v>57</v>
      </c>
      <c r="Y1212" s="198" t="s">
        <v>58</v>
      </c>
      <c r="Z1212" s="201">
        <v>46477</v>
      </c>
      <c r="AA1212" s="198" t="s">
        <v>59</v>
      </c>
      <c r="AB1212" s="198" t="s">
        <v>60</v>
      </c>
      <c r="AC1212" s="198" t="s">
        <v>86</v>
      </c>
      <c r="AD1212" s="198" t="s">
        <v>62</v>
      </c>
      <c r="AE1212" s="198" t="s">
        <v>706</v>
      </c>
      <c r="AF1212" s="198" t="s">
        <v>705</v>
      </c>
      <c r="AG1212" s="198" t="s">
        <v>166</v>
      </c>
      <c r="AH1212" s="198" t="s">
        <v>143</v>
      </c>
      <c r="AI1212" s="198" t="s">
        <v>56</v>
      </c>
      <c r="AJ1212" s="198" t="s">
        <v>74</v>
      </c>
      <c r="AK1212" s="198" t="s">
        <v>51</v>
      </c>
      <c r="AL1212" s="198" t="s">
        <v>67</v>
      </c>
      <c r="AM1212" s="198" t="s">
        <v>68</v>
      </c>
      <c r="AN1212" s="202">
        <v>830841242.60000002</v>
      </c>
      <c r="AO1212" s="202">
        <v>830841242.60000002</v>
      </c>
      <c r="AP1212" s="202">
        <v>830841242.60000002</v>
      </c>
      <c r="AQ1212" s="198" t="s">
        <v>358</v>
      </c>
      <c r="AR1212" s="198" t="s">
        <v>51</v>
      </c>
      <c r="AS1212" s="202">
        <v>830841242.60000002</v>
      </c>
      <c r="AT1212" s="202">
        <v>830841242.60000002</v>
      </c>
      <c r="AU1212" s="198" t="s">
        <v>359</v>
      </c>
      <c r="AV1212" s="198" t="s">
        <v>62</v>
      </c>
      <c r="AW1212" s="198" t="s">
        <v>113</v>
      </c>
    </row>
    <row r="1213" spans="3:49" outlineLevel="2" x14ac:dyDescent="0.25">
      <c r="C1213" s="201"/>
      <c r="D1213" s="198" t="s">
        <v>1260</v>
      </c>
      <c r="H1213" s="198" t="s">
        <v>1260</v>
      </c>
      <c r="I1213" s="202">
        <f t="shared" si="18"/>
        <v>504632781.90000004</v>
      </c>
      <c r="J1213" s="202">
        <v>122.2</v>
      </c>
      <c r="L1213" s="204">
        <v>20</v>
      </c>
      <c r="M1213" s="202">
        <v>830841242.60000002</v>
      </c>
      <c r="N1213" s="204">
        <v>20</v>
      </c>
      <c r="O1213" s="198" t="s">
        <v>51</v>
      </c>
      <c r="P1213" s="202">
        <v>830841242.60000002</v>
      </c>
      <c r="Q1213" s="198" t="s">
        <v>73</v>
      </c>
      <c r="R1213" s="198" t="s">
        <v>53</v>
      </c>
      <c r="S1213" s="198" t="s">
        <v>54</v>
      </c>
      <c r="T1213" s="198" t="s">
        <v>801</v>
      </c>
      <c r="U1213" s="198" t="s">
        <v>80</v>
      </c>
      <c r="V1213" s="198" t="s">
        <v>56</v>
      </c>
      <c r="W1213" s="198" t="s">
        <v>356</v>
      </c>
      <c r="X1213" s="198" t="s">
        <v>57</v>
      </c>
      <c r="Y1213" s="198" t="s">
        <v>58</v>
      </c>
      <c r="Z1213" s="201">
        <v>46477</v>
      </c>
      <c r="AA1213" s="198" t="s">
        <v>59</v>
      </c>
      <c r="AB1213" s="198" t="s">
        <v>60</v>
      </c>
      <c r="AC1213" s="198" t="s">
        <v>86</v>
      </c>
      <c r="AD1213" s="198" t="s">
        <v>62</v>
      </c>
      <c r="AE1213" s="198" t="s">
        <v>706</v>
      </c>
      <c r="AF1213" s="198" t="s">
        <v>705</v>
      </c>
      <c r="AG1213" s="198" t="s">
        <v>166</v>
      </c>
      <c r="AH1213" s="198" t="s">
        <v>143</v>
      </c>
      <c r="AI1213" s="198" t="s">
        <v>56</v>
      </c>
      <c r="AJ1213" s="198" t="s">
        <v>74</v>
      </c>
      <c r="AK1213" s="198" t="s">
        <v>51</v>
      </c>
      <c r="AL1213" s="198" t="s">
        <v>67</v>
      </c>
      <c r="AM1213" s="198" t="s">
        <v>68</v>
      </c>
      <c r="AN1213" s="202">
        <v>830841242.60000002</v>
      </c>
      <c r="AO1213" s="202">
        <v>830841242.60000002</v>
      </c>
      <c r="AP1213" s="202">
        <v>830841242.60000002</v>
      </c>
      <c r="AQ1213" s="198" t="s">
        <v>358</v>
      </c>
      <c r="AR1213" s="198" t="s">
        <v>51</v>
      </c>
      <c r="AS1213" s="202">
        <v>830841242.60000002</v>
      </c>
      <c r="AT1213" s="202">
        <v>830841242.60000002</v>
      </c>
      <c r="AU1213" s="198" t="s">
        <v>359</v>
      </c>
      <c r="AV1213" s="198" t="s">
        <v>62</v>
      </c>
      <c r="AW1213" s="198" t="s">
        <v>113</v>
      </c>
    </row>
    <row r="1214" spans="3:49" outlineLevel="2" x14ac:dyDescent="0.25">
      <c r="C1214" s="201"/>
      <c r="D1214" s="198" t="s">
        <v>1260</v>
      </c>
      <c r="H1214" s="198" t="s">
        <v>1260</v>
      </c>
      <c r="I1214" s="202">
        <f t="shared" si="18"/>
        <v>505045738.34999996</v>
      </c>
      <c r="J1214" s="202">
        <v>122.3</v>
      </c>
      <c r="L1214" s="204">
        <v>20</v>
      </c>
      <c r="M1214" s="202">
        <v>830841242.60000002</v>
      </c>
      <c r="N1214" s="204">
        <v>20</v>
      </c>
      <c r="O1214" s="198" t="s">
        <v>51</v>
      </c>
      <c r="P1214" s="202">
        <v>830841242.60000002</v>
      </c>
      <c r="Q1214" s="198" t="s">
        <v>73</v>
      </c>
      <c r="R1214" s="198" t="s">
        <v>53</v>
      </c>
      <c r="S1214" s="198" t="s">
        <v>54</v>
      </c>
      <c r="T1214" s="198" t="s">
        <v>801</v>
      </c>
      <c r="U1214" s="198" t="s">
        <v>80</v>
      </c>
      <c r="V1214" s="198" t="s">
        <v>56</v>
      </c>
      <c r="W1214" s="198" t="s">
        <v>356</v>
      </c>
      <c r="X1214" s="198" t="s">
        <v>57</v>
      </c>
      <c r="Y1214" s="198" t="s">
        <v>58</v>
      </c>
      <c r="Z1214" s="201">
        <v>46477</v>
      </c>
      <c r="AA1214" s="198" t="s">
        <v>59</v>
      </c>
      <c r="AB1214" s="198" t="s">
        <v>60</v>
      </c>
      <c r="AC1214" s="198" t="s">
        <v>86</v>
      </c>
      <c r="AD1214" s="198" t="s">
        <v>62</v>
      </c>
      <c r="AE1214" s="198" t="s">
        <v>706</v>
      </c>
      <c r="AF1214" s="198" t="s">
        <v>705</v>
      </c>
      <c r="AG1214" s="198" t="s">
        <v>166</v>
      </c>
      <c r="AH1214" s="198" t="s">
        <v>143</v>
      </c>
      <c r="AI1214" s="198" t="s">
        <v>56</v>
      </c>
      <c r="AJ1214" s="198" t="s">
        <v>74</v>
      </c>
      <c r="AK1214" s="198" t="s">
        <v>51</v>
      </c>
      <c r="AL1214" s="198" t="s">
        <v>67</v>
      </c>
      <c r="AM1214" s="198" t="s">
        <v>68</v>
      </c>
      <c r="AN1214" s="202">
        <v>830841242.60000002</v>
      </c>
      <c r="AO1214" s="202">
        <v>830841242.60000002</v>
      </c>
      <c r="AP1214" s="202">
        <v>830841242.60000002</v>
      </c>
      <c r="AQ1214" s="198" t="s">
        <v>358</v>
      </c>
      <c r="AR1214" s="198" t="s">
        <v>51</v>
      </c>
      <c r="AS1214" s="202">
        <v>830841242.60000002</v>
      </c>
      <c r="AT1214" s="202">
        <v>830841242.60000002</v>
      </c>
      <c r="AU1214" s="198" t="s">
        <v>359</v>
      </c>
      <c r="AV1214" s="198" t="s">
        <v>62</v>
      </c>
      <c r="AW1214" s="198" t="s">
        <v>113</v>
      </c>
    </row>
    <row r="1215" spans="3:49" outlineLevel="2" x14ac:dyDescent="0.25">
      <c r="C1215" s="201"/>
      <c r="D1215" s="198" t="s">
        <v>1260</v>
      </c>
      <c r="H1215" s="198" t="s">
        <v>1260</v>
      </c>
      <c r="I1215" s="202">
        <f t="shared" si="18"/>
        <v>505458694.80000001</v>
      </c>
      <c r="J1215" s="202">
        <v>122.4</v>
      </c>
      <c r="L1215" s="204">
        <v>20</v>
      </c>
      <c r="M1215" s="202">
        <v>830841242.60000002</v>
      </c>
      <c r="N1215" s="204">
        <v>20</v>
      </c>
      <c r="O1215" s="198" t="s">
        <v>51</v>
      </c>
      <c r="P1215" s="202">
        <v>830841242.60000002</v>
      </c>
      <c r="Q1215" s="198" t="s">
        <v>73</v>
      </c>
      <c r="R1215" s="198" t="s">
        <v>53</v>
      </c>
      <c r="S1215" s="198" t="s">
        <v>54</v>
      </c>
      <c r="T1215" s="198" t="s">
        <v>801</v>
      </c>
      <c r="U1215" s="198" t="s">
        <v>80</v>
      </c>
      <c r="V1215" s="198" t="s">
        <v>56</v>
      </c>
      <c r="W1215" s="198" t="s">
        <v>356</v>
      </c>
      <c r="X1215" s="198" t="s">
        <v>57</v>
      </c>
      <c r="Y1215" s="198" t="s">
        <v>58</v>
      </c>
      <c r="Z1215" s="201">
        <v>46477</v>
      </c>
      <c r="AA1215" s="198" t="s">
        <v>59</v>
      </c>
      <c r="AB1215" s="198" t="s">
        <v>60</v>
      </c>
      <c r="AC1215" s="198" t="s">
        <v>86</v>
      </c>
      <c r="AD1215" s="198" t="s">
        <v>62</v>
      </c>
      <c r="AE1215" s="198" t="s">
        <v>706</v>
      </c>
      <c r="AF1215" s="198" t="s">
        <v>705</v>
      </c>
      <c r="AG1215" s="198" t="s">
        <v>166</v>
      </c>
      <c r="AH1215" s="198" t="s">
        <v>143</v>
      </c>
      <c r="AI1215" s="198" t="s">
        <v>56</v>
      </c>
      <c r="AJ1215" s="198" t="s">
        <v>74</v>
      </c>
      <c r="AK1215" s="198" t="s">
        <v>51</v>
      </c>
      <c r="AL1215" s="198" t="s">
        <v>67</v>
      </c>
      <c r="AM1215" s="198" t="s">
        <v>68</v>
      </c>
      <c r="AN1215" s="202">
        <v>830841242.60000002</v>
      </c>
      <c r="AO1215" s="202">
        <v>830841242.60000002</v>
      </c>
      <c r="AP1215" s="202">
        <v>830841242.60000002</v>
      </c>
      <c r="AQ1215" s="198" t="s">
        <v>358</v>
      </c>
      <c r="AR1215" s="198" t="s">
        <v>51</v>
      </c>
      <c r="AS1215" s="202">
        <v>830841242.60000002</v>
      </c>
      <c r="AT1215" s="202">
        <v>830841242.60000002</v>
      </c>
      <c r="AU1215" s="198" t="s">
        <v>359</v>
      </c>
      <c r="AV1215" s="198" t="s">
        <v>62</v>
      </c>
      <c r="AW1215" s="198" t="s">
        <v>113</v>
      </c>
    </row>
    <row r="1216" spans="3:49" outlineLevel="2" x14ac:dyDescent="0.25">
      <c r="C1216" s="201"/>
      <c r="D1216" s="198" t="s">
        <v>1260</v>
      </c>
      <c r="H1216" s="198" t="s">
        <v>1260</v>
      </c>
      <c r="I1216" s="202">
        <f t="shared" si="18"/>
        <v>505871651.25</v>
      </c>
      <c r="J1216" s="202">
        <v>122.5</v>
      </c>
      <c r="L1216" s="204">
        <v>20</v>
      </c>
      <c r="M1216" s="202">
        <v>830841242.60000002</v>
      </c>
      <c r="N1216" s="204">
        <v>20</v>
      </c>
      <c r="O1216" s="198" t="s">
        <v>51</v>
      </c>
      <c r="P1216" s="202">
        <v>830841242.60000002</v>
      </c>
      <c r="Q1216" s="198" t="s">
        <v>73</v>
      </c>
      <c r="R1216" s="198" t="s">
        <v>53</v>
      </c>
      <c r="S1216" s="198" t="s">
        <v>54</v>
      </c>
      <c r="T1216" s="198" t="s">
        <v>801</v>
      </c>
      <c r="U1216" s="198" t="s">
        <v>80</v>
      </c>
      <c r="V1216" s="198" t="s">
        <v>56</v>
      </c>
      <c r="W1216" s="198" t="s">
        <v>356</v>
      </c>
      <c r="X1216" s="198" t="s">
        <v>57</v>
      </c>
      <c r="Y1216" s="198" t="s">
        <v>58</v>
      </c>
      <c r="Z1216" s="201">
        <v>46477</v>
      </c>
      <c r="AA1216" s="198" t="s">
        <v>59</v>
      </c>
      <c r="AB1216" s="198" t="s">
        <v>60</v>
      </c>
      <c r="AC1216" s="198" t="s">
        <v>86</v>
      </c>
      <c r="AD1216" s="198" t="s">
        <v>62</v>
      </c>
      <c r="AE1216" s="198" t="s">
        <v>706</v>
      </c>
      <c r="AF1216" s="198" t="s">
        <v>705</v>
      </c>
      <c r="AG1216" s="198" t="s">
        <v>166</v>
      </c>
      <c r="AH1216" s="198" t="s">
        <v>143</v>
      </c>
      <c r="AI1216" s="198" t="s">
        <v>56</v>
      </c>
      <c r="AJ1216" s="198" t="s">
        <v>74</v>
      </c>
      <c r="AK1216" s="198" t="s">
        <v>51</v>
      </c>
      <c r="AL1216" s="198" t="s">
        <v>67</v>
      </c>
      <c r="AM1216" s="198" t="s">
        <v>68</v>
      </c>
      <c r="AN1216" s="202">
        <v>830841242.60000002</v>
      </c>
      <c r="AO1216" s="202">
        <v>830841242.60000002</v>
      </c>
      <c r="AP1216" s="202">
        <v>830841242.60000002</v>
      </c>
      <c r="AQ1216" s="198" t="s">
        <v>358</v>
      </c>
      <c r="AR1216" s="198" t="s">
        <v>51</v>
      </c>
      <c r="AS1216" s="202">
        <v>830841242.60000002</v>
      </c>
      <c r="AT1216" s="202">
        <v>830841242.60000002</v>
      </c>
      <c r="AU1216" s="198" t="s">
        <v>359</v>
      </c>
      <c r="AV1216" s="198" t="s">
        <v>62</v>
      </c>
      <c r="AW1216" s="198" t="s">
        <v>113</v>
      </c>
    </row>
    <row r="1217" spans="3:49" outlineLevel="2" x14ac:dyDescent="0.25">
      <c r="C1217" s="201"/>
      <c r="D1217" s="198" t="s">
        <v>1260</v>
      </c>
      <c r="H1217" s="198" t="s">
        <v>1260</v>
      </c>
      <c r="I1217" s="202">
        <f t="shared" si="18"/>
        <v>506284607.69999999</v>
      </c>
      <c r="J1217" s="202">
        <v>122.6</v>
      </c>
      <c r="L1217" s="204">
        <v>20</v>
      </c>
      <c r="M1217" s="202">
        <v>830841242.60000002</v>
      </c>
      <c r="N1217" s="204">
        <v>20</v>
      </c>
      <c r="O1217" s="198" t="s">
        <v>51</v>
      </c>
      <c r="P1217" s="202">
        <v>830841242.60000002</v>
      </c>
      <c r="Q1217" s="198" t="s">
        <v>73</v>
      </c>
      <c r="R1217" s="198" t="s">
        <v>53</v>
      </c>
      <c r="S1217" s="198" t="s">
        <v>54</v>
      </c>
      <c r="T1217" s="198" t="s">
        <v>801</v>
      </c>
      <c r="U1217" s="198" t="s">
        <v>80</v>
      </c>
      <c r="V1217" s="198" t="s">
        <v>56</v>
      </c>
      <c r="W1217" s="198" t="s">
        <v>356</v>
      </c>
      <c r="X1217" s="198" t="s">
        <v>57</v>
      </c>
      <c r="Y1217" s="198" t="s">
        <v>58</v>
      </c>
      <c r="Z1217" s="201">
        <v>46477</v>
      </c>
      <c r="AA1217" s="198" t="s">
        <v>59</v>
      </c>
      <c r="AB1217" s="198" t="s">
        <v>60</v>
      </c>
      <c r="AC1217" s="198" t="s">
        <v>86</v>
      </c>
      <c r="AD1217" s="198" t="s">
        <v>62</v>
      </c>
      <c r="AE1217" s="198" t="s">
        <v>706</v>
      </c>
      <c r="AF1217" s="198" t="s">
        <v>705</v>
      </c>
      <c r="AG1217" s="198" t="s">
        <v>166</v>
      </c>
      <c r="AH1217" s="198" t="s">
        <v>143</v>
      </c>
      <c r="AI1217" s="198" t="s">
        <v>56</v>
      </c>
      <c r="AJ1217" s="198" t="s">
        <v>74</v>
      </c>
      <c r="AK1217" s="198" t="s">
        <v>51</v>
      </c>
      <c r="AL1217" s="198" t="s">
        <v>67</v>
      </c>
      <c r="AM1217" s="198" t="s">
        <v>68</v>
      </c>
      <c r="AN1217" s="202">
        <v>830841242.60000002</v>
      </c>
      <c r="AO1217" s="202">
        <v>830841242.60000002</v>
      </c>
      <c r="AP1217" s="202">
        <v>830841242.60000002</v>
      </c>
      <c r="AQ1217" s="198" t="s">
        <v>358</v>
      </c>
      <c r="AR1217" s="198" t="s">
        <v>51</v>
      </c>
      <c r="AS1217" s="202">
        <v>830841242.60000002</v>
      </c>
      <c r="AT1217" s="202">
        <v>830841242.60000002</v>
      </c>
      <c r="AU1217" s="198" t="s">
        <v>359</v>
      </c>
      <c r="AV1217" s="198" t="s">
        <v>62</v>
      </c>
      <c r="AW1217" s="198" t="s">
        <v>113</v>
      </c>
    </row>
    <row r="1218" spans="3:49" outlineLevel="2" x14ac:dyDescent="0.25">
      <c r="C1218" s="201"/>
      <c r="D1218" s="198" t="s">
        <v>1260</v>
      </c>
      <c r="H1218" s="198" t="s">
        <v>1260</v>
      </c>
      <c r="I1218" s="202">
        <f t="shared" si="18"/>
        <v>506697564.15000004</v>
      </c>
      <c r="J1218" s="202">
        <v>122.7</v>
      </c>
      <c r="L1218" s="204">
        <v>20</v>
      </c>
      <c r="M1218" s="202">
        <v>830841242.60000002</v>
      </c>
      <c r="N1218" s="204">
        <v>20</v>
      </c>
      <c r="O1218" s="198" t="s">
        <v>51</v>
      </c>
      <c r="P1218" s="202">
        <v>830841242.60000002</v>
      </c>
      <c r="Q1218" s="198" t="s">
        <v>73</v>
      </c>
      <c r="R1218" s="198" t="s">
        <v>53</v>
      </c>
      <c r="S1218" s="198" t="s">
        <v>54</v>
      </c>
      <c r="T1218" s="198" t="s">
        <v>801</v>
      </c>
      <c r="U1218" s="198" t="s">
        <v>80</v>
      </c>
      <c r="V1218" s="198" t="s">
        <v>56</v>
      </c>
      <c r="W1218" s="198" t="s">
        <v>356</v>
      </c>
      <c r="X1218" s="198" t="s">
        <v>57</v>
      </c>
      <c r="Y1218" s="198" t="s">
        <v>58</v>
      </c>
      <c r="Z1218" s="201">
        <v>46477</v>
      </c>
      <c r="AA1218" s="198" t="s">
        <v>59</v>
      </c>
      <c r="AB1218" s="198" t="s">
        <v>60</v>
      </c>
      <c r="AC1218" s="198" t="s">
        <v>86</v>
      </c>
      <c r="AD1218" s="198" t="s">
        <v>62</v>
      </c>
      <c r="AE1218" s="198" t="s">
        <v>706</v>
      </c>
      <c r="AF1218" s="198" t="s">
        <v>705</v>
      </c>
      <c r="AG1218" s="198" t="s">
        <v>166</v>
      </c>
      <c r="AH1218" s="198" t="s">
        <v>143</v>
      </c>
      <c r="AI1218" s="198" t="s">
        <v>56</v>
      </c>
      <c r="AJ1218" s="198" t="s">
        <v>74</v>
      </c>
      <c r="AK1218" s="198" t="s">
        <v>51</v>
      </c>
      <c r="AL1218" s="198" t="s">
        <v>67</v>
      </c>
      <c r="AM1218" s="198" t="s">
        <v>68</v>
      </c>
      <c r="AN1218" s="202">
        <v>830841242.60000002</v>
      </c>
      <c r="AO1218" s="202">
        <v>830841242.60000002</v>
      </c>
      <c r="AP1218" s="202">
        <v>830841242.60000002</v>
      </c>
      <c r="AQ1218" s="198" t="s">
        <v>358</v>
      </c>
      <c r="AR1218" s="198" t="s">
        <v>51</v>
      </c>
      <c r="AS1218" s="202">
        <v>830841242.60000002</v>
      </c>
      <c r="AT1218" s="202">
        <v>830841242.60000002</v>
      </c>
      <c r="AU1218" s="198" t="s">
        <v>359</v>
      </c>
      <c r="AV1218" s="198" t="s">
        <v>62</v>
      </c>
      <c r="AW1218" s="198" t="s">
        <v>113</v>
      </c>
    </row>
    <row r="1219" spans="3:49" outlineLevel="2" x14ac:dyDescent="0.25">
      <c r="C1219" s="201"/>
      <c r="D1219" s="198" t="s">
        <v>1260</v>
      </c>
      <c r="H1219" s="198" t="s">
        <v>1260</v>
      </c>
      <c r="I1219" s="202">
        <f t="shared" ref="I1219:I1282" si="19">J1219*4129564.5</f>
        <v>507110520.59999996</v>
      </c>
      <c r="J1219" s="202">
        <v>122.8</v>
      </c>
      <c r="L1219" s="204">
        <v>20</v>
      </c>
      <c r="M1219" s="202">
        <v>830841242.60000002</v>
      </c>
      <c r="N1219" s="204">
        <v>20</v>
      </c>
      <c r="O1219" s="198" t="s">
        <v>51</v>
      </c>
      <c r="P1219" s="202">
        <v>830841242.60000002</v>
      </c>
      <c r="Q1219" s="198" t="s">
        <v>73</v>
      </c>
      <c r="R1219" s="198" t="s">
        <v>53</v>
      </c>
      <c r="S1219" s="198" t="s">
        <v>54</v>
      </c>
      <c r="T1219" s="198" t="s">
        <v>801</v>
      </c>
      <c r="U1219" s="198" t="s">
        <v>80</v>
      </c>
      <c r="V1219" s="198" t="s">
        <v>56</v>
      </c>
      <c r="W1219" s="198" t="s">
        <v>356</v>
      </c>
      <c r="X1219" s="198" t="s">
        <v>57</v>
      </c>
      <c r="Y1219" s="198" t="s">
        <v>58</v>
      </c>
      <c r="Z1219" s="201">
        <v>46477</v>
      </c>
      <c r="AA1219" s="198" t="s">
        <v>59</v>
      </c>
      <c r="AB1219" s="198" t="s">
        <v>60</v>
      </c>
      <c r="AC1219" s="198" t="s">
        <v>86</v>
      </c>
      <c r="AD1219" s="198" t="s">
        <v>62</v>
      </c>
      <c r="AE1219" s="198" t="s">
        <v>706</v>
      </c>
      <c r="AF1219" s="198" t="s">
        <v>705</v>
      </c>
      <c r="AG1219" s="198" t="s">
        <v>166</v>
      </c>
      <c r="AH1219" s="198" t="s">
        <v>143</v>
      </c>
      <c r="AI1219" s="198" t="s">
        <v>56</v>
      </c>
      <c r="AJ1219" s="198" t="s">
        <v>74</v>
      </c>
      <c r="AK1219" s="198" t="s">
        <v>51</v>
      </c>
      <c r="AL1219" s="198" t="s">
        <v>67</v>
      </c>
      <c r="AM1219" s="198" t="s">
        <v>68</v>
      </c>
      <c r="AN1219" s="202">
        <v>830841242.60000002</v>
      </c>
      <c r="AO1219" s="202">
        <v>830841242.60000002</v>
      </c>
      <c r="AP1219" s="202">
        <v>830841242.60000002</v>
      </c>
      <c r="AQ1219" s="198" t="s">
        <v>358</v>
      </c>
      <c r="AR1219" s="198" t="s">
        <v>51</v>
      </c>
      <c r="AS1219" s="202">
        <v>830841242.60000002</v>
      </c>
      <c r="AT1219" s="202">
        <v>830841242.60000002</v>
      </c>
      <c r="AU1219" s="198" t="s">
        <v>359</v>
      </c>
      <c r="AV1219" s="198" t="s">
        <v>62</v>
      </c>
      <c r="AW1219" s="198" t="s">
        <v>113</v>
      </c>
    </row>
    <row r="1220" spans="3:49" outlineLevel="2" x14ac:dyDescent="0.25">
      <c r="C1220" s="201"/>
      <c r="D1220" s="198" t="s">
        <v>1260</v>
      </c>
      <c r="H1220" s="198" t="s">
        <v>1260</v>
      </c>
      <c r="I1220" s="202">
        <f t="shared" si="19"/>
        <v>507523477.05000001</v>
      </c>
      <c r="J1220" s="202">
        <v>122.9</v>
      </c>
      <c r="L1220" s="204">
        <v>20</v>
      </c>
      <c r="M1220" s="202">
        <v>830841242.60000002</v>
      </c>
      <c r="N1220" s="204">
        <v>20</v>
      </c>
      <c r="O1220" s="198" t="s">
        <v>51</v>
      </c>
      <c r="P1220" s="202">
        <v>830841242.60000002</v>
      </c>
      <c r="Q1220" s="198" t="s">
        <v>73</v>
      </c>
      <c r="R1220" s="198" t="s">
        <v>53</v>
      </c>
      <c r="S1220" s="198" t="s">
        <v>54</v>
      </c>
      <c r="T1220" s="198" t="s">
        <v>801</v>
      </c>
      <c r="U1220" s="198" t="s">
        <v>80</v>
      </c>
      <c r="V1220" s="198" t="s">
        <v>56</v>
      </c>
      <c r="W1220" s="198" t="s">
        <v>356</v>
      </c>
      <c r="X1220" s="198" t="s">
        <v>57</v>
      </c>
      <c r="Y1220" s="198" t="s">
        <v>58</v>
      </c>
      <c r="Z1220" s="201">
        <v>46477</v>
      </c>
      <c r="AA1220" s="198" t="s">
        <v>59</v>
      </c>
      <c r="AB1220" s="198" t="s">
        <v>60</v>
      </c>
      <c r="AC1220" s="198" t="s">
        <v>86</v>
      </c>
      <c r="AD1220" s="198" t="s">
        <v>62</v>
      </c>
      <c r="AE1220" s="198" t="s">
        <v>706</v>
      </c>
      <c r="AF1220" s="198" t="s">
        <v>705</v>
      </c>
      <c r="AG1220" s="198" t="s">
        <v>166</v>
      </c>
      <c r="AH1220" s="198" t="s">
        <v>143</v>
      </c>
      <c r="AI1220" s="198" t="s">
        <v>56</v>
      </c>
      <c r="AJ1220" s="198" t="s">
        <v>74</v>
      </c>
      <c r="AK1220" s="198" t="s">
        <v>51</v>
      </c>
      <c r="AL1220" s="198" t="s">
        <v>67</v>
      </c>
      <c r="AM1220" s="198" t="s">
        <v>68</v>
      </c>
      <c r="AN1220" s="202">
        <v>830841242.60000002</v>
      </c>
      <c r="AO1220" s="202">
        <v>830841242.60000002</v>
      </c>
      <c r="AP1220" s="202">
        <v>830841242.60000002</v>
      </c>
      <c r="AQ1220" s="198" t="s">
        <v>358</v>
      </c>
      <c r="AR1220" s="198" t="s">
        <v>51</v>
      </c>
      <c r="AS1220" s="202">
        <v>830841242.60000002</v>
      </c>
      <c r="AT1220" s="202">
        <v>830841242.60000002</v>
      </c>
      <c r="AU1220" s="198" t="s">
        <v>359</v>
      </c>
      <c r="AV1220" s="198" t="s">
        <v>62</v>
      </c>
      <c r="AW1220" s="198" t="s">
        <v>113</v>
      </c>
    </row>
    <row r="1221" spans="3:49" outlineLevel="2" x14ac:dyDescent="0.25">
      <c r="C1221" s="201"/>
      <c r="D1221" s="198" t="s">
        <v>1260</v>
      </c>
      <c r="H1221" s="198" t="s">
        <v>1260</v>
      </c>
      <c r="I1221" s="202">
        <f t="shared" si="19"/>
        <v>507936433.5</v>
      </c>
      <c r="J1221" s="202">
        <v>123</v>
      </c>
      <c r="L1221" s="204">
        <v>20</v>
      </c>
      <c r="M1221" s="202">
        <v>830841242.60000002</v>
      </c>
      <c r="N1221" s="204">
        <v>20</v>
      </c>
      <c r="O1221" s="198" t="s">
        <v>51</v>
      </c>
      <c r="P1221" s="202">
        <v>830841242.60000002</v>
      </c>
      <c r="Q1221" s="198" t="s">
        <v>73</v>
      </c>
      <c r="R1221" s="198" t="s">
        <v>53</v>
      </c>
      <c r="S1221" s="198" t="s">
        <v>54</v>
      </c>
      <c r="T1221" s="198" t="s">
        <v>801</v>
      </c>
      <c r="U1221" s="198" t="s">
        <v>80</v>
      </c>
      <c r="V1221" s="198" t="s">
        <v>56</v>
      </c>
      <c r="W1221" s="198" t="s">
        <v>356</v>
      </c>
      <c r="X1221" s="198" t="s">
        <v>57</v>
      </c>
      <c r="Y1221" s="198" t="s">
        <v>58</v>
      </c>
      <c r="Z1221" s="201">
        <v>46477</v>
      </c>
      <c r="AA1221" s="198" t="s">
        <v>59</v>
      </c>
      <c r="AB1221" s="198" t="s">
        <v>60</v>
      </c>
      <c r="AC1221" s="198" t="s">
        <v>86</v>
      </c>
      <c r="AD1221" s="198" t="s">
        <v>62</v>
      </c>
      <c r="AE1221" s="198" t="s">
        <v>706</v>
      </c>
      <c r="AF1221" s="198" t="s">
        <v>705</v>
      </c>
      <c r="AG1221" s="198" t="s">
        <v>166</v>
      </c>
      <c r="AH1221" s="198" t="s">
        <v>143</v>
      </c>
      <c r="AI1221" s="198" t="s">
        <v>56</v>
      </c>
      <c r="AJ1221" s="198" t="s">
        <v>74</v>
      </c>
      <c r="AK1221" s="198" t="s">
        <v>51</v>
      </c>
      <c r="AL1221" s="198" t="s">
        <v>67</v>
      </c>
      <c r="AM1221" s="198" t="s">
        <v>68</v>
      </c>
      <c r="AN1221" s="202">
        <v>830841242.60000002</v>
      </c>
      <c r="AO1221" s="202">
        <v>830841242.60000002</v>
      </c>
      <c r="AP1221" s="202">
        <v>830841242.60000002</v>
      </c>
      <c r="AQ1221" s="198" t="s">
        <v>358</v>
      </c>
      <c r="AR1221" s="198" t="s">
        <v>51</v>
      </c>
      <c r="AS1221" s="202">
        <v>830841242.60000002</v>
      </c>
      <c r="AT1221" s="202">
        <v>830841242.60000002</v>
      </c>
      <c r="AU1221" s="198" t="s">
        <v>359</v>
      </c>
      <c r="AV1221" s="198" t="s">
        <v>62</v>
      </c>
      <c r="AW1221" s="198" t="s">
        <v>113</v>
      </c>
    </row>
    <row r="1222" spans="3:49" outlineLevel="2" x14ac:dyDescent="0.25">
      <c r="C1222" s="201"/>
      <c r="D1222" s="198" t="s">
        <v>1260</v>
      </c>
      <c r="H1222" s="198" t="s">
        <v>1260</v>
      </c>
      <c r="I1222" s="202">
        <f t="shared" si="19"/>
        <v>508349389.94999999</v>
      </c>
      <c r="J1222" s="202">
        <v>123.1</v>
      </c>
      <c r="L1222" s="204">
        <v>20</v>
      </c>
      <c r="M1222" s="202">
        <v>830841242.60000002</v>
      </c>
      <c r="N1222" s="204">
        <v>20</v>
      </c>
      <c r="O1222" s="198" t="s">
        <v>51</v>
      </c>
      <c r="P1222" s="202">
        <v>830841242.60000002</v>
      </c>
      <c r="Q1222" s="198" t="s">
        <v>73</v>
      </c>
      <c r="R1222" s="198" t="s">
        <v>53</v>
      </c>
      <c r="S1222" s="198" t="s">
        <v>54</v>
      </c>
      <c r="T1222" s="198" t="s">
        <v>801</v>
      </c>
      <c r="U1222" s="198" t="s">
        <v>80</v>
      </c>
      <c r="V1222" s="198" t="s">
        <v>56</v>
      </c>
      <c r="W1222" s="198" t="s">
        <v>356</v>
      </c>
      <c r="X1222" s="198" t="s">
        <v>57</v>
      </c>
      <c r="Y1222" s="198" t="s">
        <v>58</v>
      </c>
      <c r="Z1222" s="201">
        <v>46477</v>
      </c>
      <c r="AA1222" s="198" t="s">
        <v>59</v>
      </c>
      <c r="AB1222" s="198" t="s">
        <v>60</v>
      </c>
      <c r="AC1222" s="198" t="s">
        <v>86</v>
      </c>
      <c r="AD1222" s="198" t="s">
        <v>62</v>
      </c>
      <c r="AE1222" s="198" t="s">
        <v>706</v>
      </c>
      <c r="AF1222" s="198" t="s">
        <v>705</v>
      </c>
      <c r="AG1222" s="198" t="s">
        <v>166</v>
      </c>
      <c r="AH1222" s="198" t="s">
        <v>143</v>
      </c>
      <c r="AI1222" s="198" t="s">
        <v>56</v>
      </c>
      <c r="AJ1222" s="198" t="s">
        <v>74</v>
      </c>
      <c r="AK1222" s="198" t="s">
        <v>51</v>
      </c>
      <c r="AL1222" s="198" t="s">
        <v>67</v>
      </c>
      <c r="AM1222" s="198" t="s">
        <v>68</v>
      </c>
      <c r="AN1222" s="202">
        <v>830841242.60000002</v>
      </c>
      <c r="AO1222" s="202">
        <v>830841242.60000002</v>
      </c>
      <c r="AP1222" s="202">
        <v>830841242.60000002</v>
      </c>
      <c r="AQ1222" s="198" t="s">
        <v>358</v>
      </c>
      <c r="AR1222" s="198" t="s">
        <v>51</v>
      </c>
      <c r="AS1222" s="202">
        <v>830841242.60000002</v>
      </c>
      <c r="AT1222" s="202">
        <v>830841242.60000002</v>
      </c>
      <c r="AU1222" s="198" t="s">
        <v>359</v>
      </c>
      <c r="AV1222" s="198" t="s">
        <v>62</v>
      </c>
      <c r="AW1222" s="198" t="s">
        <v>113</v>
      </c>
    </row>
    <row r="1223" spans="3:49" outlineLevel="2" x14ac:dyDescent="0.25">
      <c r="C1223" s="201"/>
      <c r="D1223" s="198" t="s">
        <v>1260</v>
      </c>
      <c r="H1223" s="198" t="s">
        <v>1260</v>
      </c>
      <c r="I1223" s="202">
        <f t="shared" si="19"/>
        <v>508762346.40000004</v>
      </c>
      <c r="J1223" s="202">
        <v>123.2</v>
      </c>
      <c r="L1223" s="204">
        <v>12</v>
      </c>
      <c r="M1223" s="202">
        <v>498504745.56</v>
      </c>
      <c r="N1223" s="204">
        <v>12</v>
      </c>
      <c r="O1223" s="198" t="s">
        <v>51</v>
      </c>
      <c r="P1223" s="202">
        <v>498504745.56</v>
      </c>
      <c r="Q1223" s="198" t="s">
        <v>73</v>
      </c>
      <c r="R1223" s="198" t="s">
        <v>53</v>
      </c>
      <c r="S1223" s="198" t="s">
        <v>54</v>
      </c>
      <c r="T1223" s="198" t="s">
        <v>801</v>
      </c>
      <c r="U1223" s="198" t="s">
        <v>80</v>
      </c>
      <c r="V1223" s="198" t="s">
        <v>56</v>
      </c>
      <c r="W1223" s="198" t="s">
        <v>356</v>
      </c>
      <c r="X1223" s="198" t="s">
        <v>57</v>
      </c>
      <c r="Y1223" s="198" t="s">
        <v>58</v>
      </c>
      <c r="Z1223" s="201">
        <v>46477</v>
      </c>
      <c r="AA1223" s="198" t="s">
        <v>59</v>
      </c>
      <c r="AB1223" s="198" t="s">
        <v>60</v>
      </c>
      <c r="AC1223" s="198" t="s">
        <v>86</v>
      </c>
      <c r="AD1223" s="198" t="s">
        <v>62</v>
      </c>
      <c r="AE1223" s="198" t="s">
        <v>706</v>
      </c>
      <c r="AF1223" s="198" t="s">
        <v>705</v>
      </c>
      <c r="AG1223" s="198" t="s">
        <v>166</v>
      </c>
      <c r="AH1223" s="198" t="s">
        <v>143</v>
      </c>
      <c r="AI1223" s="198" t="s">
        <v>56</v>
      </c>
      <c r="AJ1223" s="198" t="s">
        <v>74</v>
      </c>
      <c r="AK1223" s="198" t="s">
        <v>51</v>
      </c>
      <c r="AL1223" s="198" t="s">
        <v>67</v>
      </c>
      <c r="AM1223" s="198" t="s">
        <v>68</v>
      </c>
      <c r="AN1223" s="202">
        <v>498504745.56</v>
      </c>
      <c r="AO1223" s="202">
        <v>498504745.56</v>
      </c>
      <c r="AP1223" s="202">
        <v>498504745.56</v>
      </c>
      <c r="AQ1223" s="198" t="s">
        <v>358</v>
      </c>
      <c r="AR1223" s="198" t="s">
        <v>51</v>
      </c>
      <c r="AS1223" s="202">
        <v>498504745.56</v>
      </c>
      <c r="AT1223" s="202">
        <v>498504745.56</v>
      </c>
      <c r="AU1223" s="198" t="s">
        <v>359</v>
      </c>
      <c r="AV1223" s="198" t="s">
        <v>62</v>
      </c>
      <c r="AW1223" s="198" t="s">
        <v>113</v>
      </c>
    </row>
    <row r="1224" spans="3:49" outlineLevel="2" x14ac:dyDescent="0.25">
      <c r="C1224" s="201"/>
      <c r="D1224" s="198" t="s">
        <v>1276</v>
      </c>
      <c r="H1224" s="198" t="s">
        <v>1276</v>
      </c>
      <c r="I1224" s="202">
        <f t="shared" si="19"/>
        <v>509175302.84999996</v>
      </c>
      <c r="J1224" s="202">
        <v>123.3</v>
      </c>
      <c r="L1224" s="204">
        <v>162</v>
      </c>
      <c r="M1224" s="202">
        <v>470465609.39999998</v>
      </c>
      <c r="N1224" s="204">
        <v>162</v>
      </c>
      <c r="O1224" s="198" t="s">
        <v>51</v>
      </c>
      <c r="P1224" s="202">
        <v>470465609.39999998</v>
      </c>
      <c r="Q1224" s="198" t="s">
        <v>73</v>
      </c>
      <c r="R1224" s="198" t="s">
        <v>53</v>
      </c>
      <c r="S1224" s="198" t="s">
        <v>54</v>
      </c>
      <c r="T1224" s="198" t="s">
        <v>801</v>
      </c>
      <c r="U1224" s="198" t="s">
        <v>80</v>
      </c>
      <c r="V1224" s="198" t="s">
        <v>56</v>
      </c>
      <c r="W1224" s="198" t="s">
        <v>356</v>
      </c>
      <c r="X1224" s="198" t="s">
        <v>57</v>
      </c>
      <c r="Y1224" s="198" t="s">
        <v>58</v>
      </c>
      <c r="Z1224" s="201">
        <v>46477</v>
      </c>
      <c r="AA1224" s="198" t="s">
        <v>59</v>
      </c>
      <c r="AB1224" s="198" t="s">
        <v>60</v>
      </c>
      <c r="AC1224" s="198" t="s">
        <v>86</v>
      </c>
      <c r="AD1224" s="198" t="s">
        <v>62</v>
      </c>
      <c r="AE1224" s="198" t="s">
        <v>695</v>
      </c>
      <c r="AF1224" s="198" t="s">
        <v>692</v>
      </c>
      <c r="AG1224" s="198" t="s">
        <v>166</v>
      </c>
      <c r="AH1224" s="198" t="s">
        <v>143</v>
      </c>
      <c r="AI1224" s="198" t="s">
        <v>56</v>
      </c>
      <c r="AJ1224" s="198" t="s">
        <v>74</v>
      </c>
      <c r="AK1224" s="198" t="s">
        <v>51</v>
      </c>
      <c r="AL1224" s="198" t="s">
        <v>67</v>
      </c>
      <c r="AM1224" s="198" t="s">
        <v>68</v>
      </c>
      <c r="AN1224" s="202">
        <v>470465609.39999998</v>
      </c>
      <c r="AO1224" s="202">
        <v>470465609.39999998</v>
      </c>
      <c r="AP1224" s="202">
        <v>470465609.39999998</v>
      </c>
      <c r="AQ1224" s="198" t="s">
        <v>358</v>
      </c>
      <c r="AR1224" s="198" t="s">
        <v>51</v>
      </c>
      <c r="AS1224" s="202">
        <v>470465609.39999998</v>
      </c>
      <c r="AT1224" s="202">
        <v>470465609.39999998</v>
      </c>
      <c r="AU1224" s="198" t="s">
        <v>359</v>
      </c>
      <c r="AV1224" s="198" t="s">
        <v>62</v>
      </c>
      <c r="AW1224" s="198" t="s">
        <v>113</v>
      </c>
    </row>
    <row r="1225" spans="3:49" outlineLevel="2" x14ac:dyDescent="0.25">
      <c r="C1225" s="201"/>
      <c r="D1225" s="198" t="s">
        <v>566</v>
      </c>
      <c r="H1225" s="198" t="s">
        <v>566</v>
      </c>
      <c r="I1225" s="202">
        <f t="shared" si="19"/>
        <v>509588259.30000001</v>
      </c>
      <c r="J1225" s="202">
        <v>123.4</v>
      </c>
      <c r="L1225" s="204">
        <v>200000</v>
      </c>
      <c r="M1225" s="202">
        <v>97400000</v>
      </c>
      <c r="N1225" s="204">
        <v>200000</v>
      </c>
      <c r="O1225" s="198" t="s">
        <v>51</v>
      </c>
      <c r="P1225" s="202">
        <v>97400000</v>
      </c>
      <c r="Q1225" s="198" t="s">
        <v>75</v>
      </c>
      <c r="R1225" s="198" t="s">
        <v>53</v>
      </c>
      <c r="S1225" s="198" t="s">
        <v>54</v>
      </c>
      <c r="T1225" s="198" t="s">
        <v>842</v>
      </c>
      <c r="U1225" s="198" t="s">
        <v>80</v>
      </c>
      <c r="V1225" s="198" t="s">
        <v>56</v>
      </c>
      <c r="W1225" s="198" t="s">
        <v>356</v>
      </c>
      <c r="X1225" s="198" t="s">
        <v>57</v>
      </c>
      <c r="Y1225" s="198" t="s">
        <v>58</v>
      </c>
      <c r="Z1225" s="201">
        <v>46223</v>
      </c>
      <c r="AA1225" s="198" t="s">
        <v>59</v>
      </c>
      <c r="AB1225" s="198" t="s">
        <v>60</v>
      </c>
      <c r="AC1225" s="198" t="s">
        <v>86</v>
      </c>
      <c r="AD1225" s="198" t="s">
        <v>62</v>
      </c>
      <c r="AE1225" s="198" t="s">
        <v>579</v>
      </c>
      <c r="AF1225" s="198" t="s">
        <v>578</v>
      </c>
      <c r="AG1225" s="198" t="s">
        <v>248</v>
      </c>
      <c r="AH1225" s="198" t="s">
        <v>117</v>
      </c>
      <c r="AI1225" s="198" t="s">
        <v>56</v>
      </c>
      <c r="AJ1225" s="198" t="s">
        <v>318</v>
      </c>
      <c r="AK1225" s="198" t="s">
        <v>51</v>
      </c>
      <c r="AL1225" s="198" t="s">
        <v>67</v>
      </c>
      <c r="AM1225" s="198" t="s">
        <v>68</v>
      </c>
      <c r="AN1225" s="202">
        <v>97400000</v>
      </c>
      <c r="AO1225" s="202">
        <v>97400000</v>
      </c>
      <c r="AP1225" s="202">
        <v>97400000</v>
      </c>
      <c r="AQ1225" s="198" t="s">
        <v>358</v>
      </c>
      <c r="AR1225" s="198" t="s">
        <v>51</v>
      </c>
      <c r="AS1225" s="202">
        <v>97400000</v>
      </c>
      <c r="AT1225" s="202">
        <v>97400000</v>
      </c>
      <c r="AU1225" s="198" t="s">
        <v>359</v>
      </c>
      <c r="AV1225" s="198" t="s">
        <v>62</v>
      </c>
      <c r="AW1225" s="198" t="s">
        <v>54</v>
      </c>
    </row>
    <row r="1226" spans="3:49" outlineLevel="2" x14ac:dyDescent="0.25">
      <c r="C1226" s="201"/>
      <c r="D1226" s="198" t="s">
        <v>679</v>
      </c>
      <c r="H1226" s="198" t="s">
        <v>679</v>
      </c>
      <c r="I1226" s="202">
        <f t="shared" si="19"/>
        <v>510001215.75</v>
      </c>
      <c r="J1226" s="202">
        <v>123.5</v>
      </c>
      <c r="L1226" s="204">
        <v>1</v>
      </c>
      <c r="M1226" s="202">
        <v>399000</v>
      </c>
      <c r="N1226" s="204">
        <v>0</v>
      </c>
      <c r="O1226" s="198" t="s">
        <v>51</v>
      </c>
      <c r="P1226" s="202">
        <v>273000</v>
      </c>
      <c r="Q1226" s="198" t="s">
        <v>159</v>
      </c>
      <c r="R1226" s="198" t="s">
        <v>160</v>
      </c>
      <c r="S1226" s="198" t="s">
        <v>54</v>
      </c>
      <c r="T1226" s="198" t="s">
        <v>680</v>
      </c>
      <c r="U1226" s="198" t="s">
        <v>2058</v>
      </c>
      <c r="V1226" s="198" t="s">
        <v>56</v>
      </c>
      <c r="W1226" s="198" t="s">
        <v>356</v>
      </c>
      <c r="X1226" s="198" t="s">
        <v>161</v>
      </c>
      <c r="Y1226" s="198" t="s">
        <v>162</v>
      </c>
      <c r="Z1226" s="201">
        <v>46112</v>
      </c>
      <c r="AA1226" s="198" t="s">
        <v>59</v>
      </c>
      <c r="AB1226" s="198" t="s">
        <v>60</v>
      </c>
      <c r="AC1226" s="198" t="s">
        <v>61</v>
      </c>
      <c r="AD1226" s="198" t="s">
        <v>62</v>
      </c>
      <c r="AE1226" s="198" t="s">
        <v>54</v>
      </c>
      <c r="AF1226" s="198" t="s">
        <v>54</v>
      </c>
      <c r="AG1226" s="198" t="s">
        <v>166</v>
      </c>
      <c r="AH1226" s="198" t="s">
        <v>156</v>
      </c>
      <c r="AI1226" s="198" t="s">
        <v>56</v>
      </c>
      <c r="AJ1226" s="198" t="s">
        <v>163</v>
      </c>
      <c r="AK1226" s="198" t="s">
        <v>51</v>
      </c>
      <c r="AL1226" s="198" t="s">
        <v>67</v>
      </c>
      <c r="AM1226" s="198" t="s">
        <v>68</v>
      </c>
      <c r="AN1226" s="202">
        <v>399000</v>
      </c>
      <c r="AO1226" s="202">
        <v>399000</v>
      </c>
      <c r="AP1226" s="202">
        <v>399000</v>
      </c>
      <c r="AQ1226" s="198" t="s">
        <v>358</v>
      </c>
      <c r="AR1226" s="198" t="s">
        <v>51</v>
      </c>
      <c r="AS1226" s="202">
        <v>273000</v>
      </c>
      <c r="AT1226" s="202">
        <v>273000</v>
      </c>
      <c r="AU1226" s="198" t="s">
        <v>359</v>
      </c>
      <c r="AV1226" s="198" t="s">
        <v>62</v>
      </c>
      <c r="AW1226" s="198" t="s">
        <v>54</v>
      </c>
    </row>
    <row r="1227" spans="3:49" outlineLevel="2" x14ac:dyDescent="0.25">
      <c r="C1227" s="201"/>
      <c r="D1227" s="198" t="s">
        <v>682</v>
      </c>
      <c r="H1227" s="198" t="s">
        <v>682</v>
      </c>
      <c r="I1227" s="202">
        <f t="shared" si="19"/>
        <v>510414172.19999999</v>
      </c>
      <c r="J1227" s="202">
        <v>123.6</v>
      </c>
      <c r="L1227" s="204">
        <v>1</v>
      </c>
      <c r="M1227" s="202">
        <v>399000</v>
      </c>
      <c r="N1227" s="204">
        <v>0</v>
      </c>
      <c r="O1227" s="198" t="s">
        <v>51</v>
      </c>
      <c r="P1227" s="202">
        <v>289500</v>
      </c>
      <c r="Q1227" s="198" t="s">
        <v>159</v>
      </c>
      <c r="R1227" s="198" t="s">
        <v>160</v>
      </c>
      <c r="S1227" s="198" t="s">
        <v>54</v>
      </c>
      <c r="T1227" s="198" t="s">
        <v>680</v>
      </c>
      <c r="U1227" s="198" t="s">
        <v>2058</v>
      </c>
      <c r="V1227" s="198" t="s">
        <v>56</v>
      </c>
      <c r="W1227" s="198" t="s">
        <v>356</v>
      </c>
      <c r="X1227" s="198" t="s">
        <v>161</v>
      </c>
      <c r="Y1227" s="198" t="s">
        <v>162</v>
      </c>
      <c r="Z1227" s="201">
        <v>46112</v>
      </c>
      <c r="AA1227" s="198" t="s">
        <v>59</v>
      </c>
      <c r="AB1227" s="198" t="s">
        <v>60</v>
      </c>
      <c r="AC1227" s="198" t="s">
        <v>61</v>
      </c>
      <c r="AD1227" s="198" t="s">
        <v>62</v>
      </c>
      <c r="AE1227" s="198" t="s">
        <v>54</v>
      </c>
      <c r="AF1227" s="198" t="s">
        <v>54</v>
      </c>
      <c r="AG1227" s="198" t="s">
        <v>166</v>
      </c>
      <c r="AH1227" s="198" t="s">
        <v>143</v>
      </c>
      <c r="AI1227" s="198" t="s">
        <v>56</v>
      </c>
      <c r="AJ1227" s="198" t="s">
        <v>163</v>
      </c>
      <c r="AK1227" s="198" t="s">
        <v>51</v>
      </c>
      <c r="AL1227" s="198" t="s">
        <v>67</v>
      </c>
      <c r="AM1227" s="198" t="s">
        <v>68</v>
      </c>
      <c r="AN1227" s="202">
        <v>399000</v>
      </c>
      <c r="AO1227" s="202">
        <v>399000</v>
      </c>
      <c r="AP1227" s="202">
        <v>399000</v>
      </c>
      <c r="AQ1227" s="198" t="s">
        <v>358</v>
      </c>
      <c r="AR1227" s="198" t="s">
        <v>51</v>
      </c>
      <c r="AS1227" s="202">
        <v>289500</v>
      </c>
      <c r="AT1227" s="202">
        <v>289500</v>
      </c>
      <c r="AU1227" s="198" t="s">
        <v>359</v>
      </c>
      <c r="AV1227" s="198" t="s">
        <v>62</v>
      </c>
      <c r="AW1227" s="198" t="s">
        <v>54</v>
      </c>
    </row>
    <row r="1228" spans="3:49" outlineLevel="2" x14ac:dyDescent="0.25">
      <c r="C1228" s="201"/>
      <c r="D1228" s="198" t="s">
        <v>683</v>
      </c>
      <c r="H1228" s="198" t="s">
        <v>683</v>
      </c>
      <c r="I1228" s="202">
        <f t="shared" si="19"/>
        <v>510827128.65000004</v>
      </c>
      <c r="J1228" s="202">
        <v>123.7</v>
      </c>
      <c r="L1228" s="204">
        <v>1</v>
      </c>
      <c r="M1228" s="202">
        <v>627000</v>
      </c>
      <c r="N1228" s="204">
        <v>0</v>
      </c>
      <c r="O1228" s="198" t="s">
        <v>51</v>
      </c>
      <c r="P1228" s="202">
        <v>542442</v>
      </c>
      <c r="Q1228" s="198" t="s">
        <v>159</v>
      </c>
      <c r="R1228" s="198" t="s">
        <v>160</v>
      </c>
      <c r="S1228" s="198" t="s">
        <v>54</v>
      </c>
      <c r="T1228" s="198" t="s">
        <v>680</v>
      </c>
      <c r="U1228" s="198" t="s">
        <v>2058</v>
      </c>
      <c r="V1228" s="198" t="s">
        <v>56</v>
      </c>
      <c r="W1228" s="198" t="s">
        <v>356</v>
      </c>
      <c r="X1228" s="198" t="s">
        <v>161</v>
      </c>
      <c r="Y1228" s="198" t="s">
        <v>162</v>
      </c>
      <c r="Z1228" s="201">
        <v>46112</v>
      </c>
      <c r="AA1228" s="198" t="s">
        <v>59</v>
      </c>
      <c r="AB1228" s="198" t="s">
        <v>60</v>
      </c>
      <c r="AC1228" s="198" t="s">
        <v>61</v>
      </c>
      <c r="AD1228" s="198" t="s">
        <v>62</v>
      </c>
      <c r="AE1228" s="198" t="s">
        <v>54</v>
      </c>
      <c r="AF1228" s="198" t="s">
        <v>54</v>
      </c>
      <c r="AG1228" s="198" t="s">
        <v>166</v>
      </c>
      <c r="AH1228" s="198" t="s">
        <v>274</v>
      </c>
      <c r="AI1228" s="198" t="s">
        <v>56</v>
      </c>
      <c r="AJ1228" s="198" t="s">
        <v>163</v>
      </c>
      <c r="AK1228" s="198" t="s">
        <v>51</v>
      </c>
      <c r="AL1228" s="198" t="s">
        <v>67</v>
      </c>
      <c r="AM1228" s="198" t="s">
        <v>68</v>
      </c>
      <c r="AN1228" s="202">
        <v>627000</v>
      </c>
      <c r="AO1228" s="202">
        <v>627000</v>
      </c>
      <c r="AP1228" s="202">
        <v>627000</v>
      </c>
      <c r="AQ1228" s="198" t="s">
        <v>358</v>
      </c>
      <c r="AR1228" s="198" t="s">
        <v>51</v>
      </c>
      <c r="AS1228" s="202">
        <v>542442</v>
      </c>
      <c r="AT1228" s="202">
        <v>542442</v>
      </c>
      <c r="AU1228" s="198" t="s">
        <v>359</v>
      </c>
      <c r="AV1228" s="198" t="s">
        <v>62</v>
      </c>
      <c r="AW1228" s="198" t="s">
        <v>54</v>
      </c>
    </row>
    <row r="1229" spans="3:49" outlineLevel="2" x14ac:dyDescent="0.25">
      <c r="C1229" s="201"/>
      <c r="D1229" s="198" t="s">
        <v>684</v>
      </c>
      <c r="H1229" s="198" t="s">
        <v>684</v>
      </c>
      <c r="I1229" s="202">
        <f t="shared" si="19"/>
        <v>511240085.09999996</v>
      </c>
      <c r="J1229" s="202">
        <v>123.8</v>
      </c>
      <c r="L1229" s="204">
        <v>1</v>
      </c>
      <c r="M1229" s="202">
        <v>627000</v>
      </c>
      <c r="N1229" s="204">
        <v>0</v>
      </c>
      <c r="O1229" s="198" t="s">
        <v>51</v>
      </c>
      <c r="P1229" s="202">
        <v>622500</v>
      </c>
      <c r="Q1229" s="198" t="s">
        <v>159</v>
      </c>
      <c r="R1229" s="198" t="s">
        <v>160</v>
      </c>
      <c r="S1229" s="198" t="s">
        <v>54</v>
      </c>
      <c r="T1229" s="198" t="s">
        <v>680</v>
      </c>
      <c r="U1229" s="198" t="s">
        <v>55</v>
      </c>
      <c r="V1229" s="198" t="s">
        <v>56</v>
      </c>
      <c r="W1229" s="198" t="s">
        <v>356</v>
      </c>
      <c r="X1229" s="198" t="s">
        <v>161</v>
      </c>
      <c r="Y1229" s="198" t="s">
        <v>162</v>
      </c>
      <c r="Z1229" s="201">
        <v>46112</v>
      </c>
      <c r="AA1229" s="198" t="s">
        <v>59</v>
      </c>
      <c r="AB1229" s="198" t="s">
        <v>60</v>
      </c>
      <c r="AC1229" s="198" t="s">
        <v>61</v>
      </c>
      <c r="AD1229" s="198" t="s">
        <v>62</v>
      </c>
      <c r="AE1229" s="198" t="s">
        <v>54</v>
      </c>
      <c r="AF1229" s="198" t="s">
        <v>54</v>
      </c>
      <c r="AG1229" s="198" t="s">
        <v>166</v>
      </c>
      <c r="AH1229" s="198" t="s">
        <v>148</v>
      </c>
      <c r="AI1229" s="198" t="s">
        <v>56</v>
      </c>
      <c r="AJ1229" s="198" t="s">
        <v>163</v>
      </c>
      <c r="AK1229" s="198" t="s">
        <v>51</v>
      </c>
      <c r="AL1229" s="198" t="s">
        <v>67</v>
      </c>
      <c r="AM1229" s="198" t="s">
        <v>68</v>
      </c>
      <c r="AN1229" s="202">
        <v>627000</v>
      </c>
      <c r="AO1229" s="202">
        <v>627000</v>
      </c>
      <c r="AP1229" s="202">
        <v>627000</v>
      </c>
      <c r="AQ1229" s="198" t="s">
        <v>358</v>
      </c>
      <c r="AR1229" s="198" t="s">
        <v>51</v>
      </c>
      <c r="AS1229" s="202">
        <v>622500</v>
      </c>
      <c r="AT1229" s="202">
        <v>622500</v>
      </c>
      <c r="AU1229" s="198" t="s">
        <v>359</v>
      </c>
      <c r="AV1229" s="198" t="s">
        <v>62</v>
      </c>
      <c r="AW1229" s="198" t="s">
        <v>54</v>
      </c>
    </row>
    <row r="1230" spans="3:49" outlineLevel="2" x14ac:dyDescent="0.25">
      <c r="C1230" s="201"/>
      <c r="D1230" s="198" t="s">
        <v>685</v>
      </c>
      <c r="H1230" s="198" t="s">
        <v>685</v>
      </c>
      <c r="I1230" s="202">
        <f t="shared" si="19"/>
        <v>511653041.55000001</v>
      </c>
      <c r="J1230" s="202">
        <v>123.9</v>
      </c>
      <c r="L1230" s="204">
        <v>1</v>
      </c>
      <c r="M1230" s="202">
        <v>399000</v>
      </c>
      <c r="N1230" s="204">
        <v>0</v>
      </c>
      <c r="O1230" s="198" t="s">
        <v>51</v>
      </c>
      <c r="P1230" s="202">
        <v>228000</v>
      </c>
      <c r="Q1230" s="198" t="s">
        <v>159</v>
      </c>
      <c r="R1230" s="198" t="s">
        <v>160</v>
      </c>
      <c r="S1230" s="198" t="s">
        <v>54</v>
      </c>
      <c r="T1230" s="198" t="s">
        <v>680</v>
      </c>
      <c r="U1230" s="198" t="s">
        <v>2077</v>
      </c>
      <c r="V1230" s="198" t="s">
        <v>56</v>
      </c>
      <c r="W1230" s="198" t="s">
        <v>356</v>
      </c>
      <c r="X1230" s="198" t="s">
        <v>161</v>
      </c>
      <c r="Y1230" s="198" t="s">
        <v>162</v>
      </c>
      <c r="Z1230" s="201">
        <v>46112</v>
      </c>
      <c r="AA1230" s="198" t="s">
        <v>59</v>
      </c>
      <c r="AB1230" s="198" t="s">
        <v>60</v>
      </c>
      <c r="AC1230" s="198" t="s">
        <v>61</v>
      </c>
      <c r="AD1230" s="198" t="s">
        <v>62</v>
      </c>
      <c r="AE1230" s="198" t="s">
        <v>54</v>
      </c>
      <c r="AF1230" s="198" t="s">
        <v>54</v>
      </c>
      <c r="AG1230" s="198" t="s">
        <v>166</v>
      </c>
      <c r="AH1230" s="198" t="s">
        <v>153</v>
      </c>
      <c r="AI1230" s="198" t="s">
        <v>56</v>
      </c>
      <c r="AJ1230" s="198" t="s">
        <v>163</v>
      </c>
      <c r="AK1230" s="198" t="s">
        <v>51</v>
      </c>
      <c r="AL1230" s="198" t="s">
        <v>67</v>
      </c>
      <c r="AM1230" s="198" t="s">
        <v>68</v>
      </c>
      <c r="AN1230" s="202">
        <v>399000</v>
      </c>
      <c r="AO1230" s="202">
        <v>399000</v>
      </c>
      <c r="AP1230" s="202">
        <v>399000</v>
      </c>
      <c r="AQ1230" s="198" t="s">
        <v>358</v>
      </c>
      <c r="AR1230" s="198" t="s">
        <v>51</v>
      </c>
      <c r="AS1230" s="202">
        <v>228000</v>
      </c>
      <c r="AT1230" s="202">
        <v>228000</v>
      </c>
      <c r="AU1230" s="198" t="s">
        <v>359</v>
      </c>
      <c r="AV1230" s="198" t="s">
        <v>62</v>
      </c>
      <c r="AW1230" s="198" t="s">
        <v>54</v>
      </c>
    </row>
    <row r="1231" spans="3:49" outlineLevel="2" x14ac:dyDescent="0.25">
      <c r="C1231" s="201"/>
      <c r="D1231" s="198" t="s">
        <v>686</v>
      </c>
      <c r="H1231" s="198" t="s">
        <v>686</v>
      </c>
      <c r="I1231" s="202">
        <f t="shared" si="19"/>
        <v>512065998</v>
      </c>
      <c r="J1231" s="202">
        <v>124</v>
      </c>
      <c r="L1231" s="204">
        <v>1</v>
      </c>
      <c r="M1231" s="202">
        <v>399000</v>
      </c>
      <c r="N1231" s="204">
        <v>0</v>
      </c>
      <c r="O1231" s="198" t="s">
        <v>51</v>
      </c>
      <c r="P1231" s="202">
        <v>318000</v>
      </c>
      <c r="Q1231" s="198" t="s">
        <v>159</v>
      </c>
      <c r="R1231" s="198" t="s">
        <v>160</v>
      </c>
      <c r="S1231" s="198" t="s">
        <v>54</v>
      </c>
      <c r="T1231" s="198" t="s">
        <v>680</v>
      </c>
      <c r="U1231" s="198" t="s">
        <v>55</v>
      </c>
      <c r="V1231" s="198" t="s">
        <v>147</v>
      </c>
      <c r="W1231" s="198" t="s">
        <v>356</v>
      </c>
      <c r="X1231" s="198" t="s">
        <v>161</v>
      </c>
      <c r="Y1231" s="198" t="s">
        <v>162</v>
      </c>
      <c r="Z1231" s="201">
        <v>46112</v>
      </c>
      <c r="AA1231" s="198" t="s">
        <v>59</v>
      </c>
      <c r="AB1231" s="198" t="s">
        <v>60</v>
      </c>
      <c r="AC1231" s="198" t="s">
        <v>61</v>
      </c>
      <c r="AD1231" s="198" t="s">
        <v>62</v>
      </c>
      <c r="AE1231" s="198" t="s">
        <v>54</v>
      </c>
      <c r="AF1231" s="198" t="s">
        <v>54</v>
      </c>
      <c r="AG1231" s="198" t="s">
        <v>166</v>
      </c>
      <c r="AH1231" s="198" t="s">
        <v>193</v>
      </c>
      <c r="AI1231" s="198" t="s">
        <v>56</v>
      </c>
      <c r="AJ1231" s="198" t="s">
        <v>163</v>
      </c>
      <c r="AK1231" s="198" t="s">
        <v>51</v>
      </c>
      <c r="AL1231" s="198" t="s">
        <v>67</v>
      </c>
      <c r="AM1231" s="198" t="s">
        <v>68</v>
      </c>
      <c r="AN1231" s="202">
        <v>399000</v>
      </c>
      <c r="AO1231" s="202">
        <v>399000</v>
      </c>
      <c r="AP1231" s="202">
        <v>399000</v>
      </c>
      <c r="AQ1231" s="198" t="s">
        <v>358</v>
      </c>
      <c r="AR1231" s="198" t="s">
        <v>51</v>
      </c>
      <c r="AS1231" s="202">
        <v>318000</v>
      </c>
      <c r="AT1231" s="202">
        <v>318000</v>
      </c>
      <c r="AU1231" s="198" t="s">
        <v>359</v>
      </c>
      <c r="AV1231" s="198" t="s">
        <v>62</v>
      </c>
      <c r="AW1231" s="198" t="s">
        <v>54</v>
      </c>
    </row>
    <row r="1232" spans="3:49" outlineLevel="2" x14ac:dyDescent="0.25">
      <c r="C1232" s="201"/>
      <c r="D1232" s="198" t="s">
        <v>433</v>
      </c>
      <c r="H1232" s="198" t="s">
        <v>433</v>
      </c>
      <c r="I1232" s="202">
        <f t="shared" si="19"/>
        <v>512478954.44999999</v>
      </c>
      <c r="J1232" s="202">
        <v>124.1</v>
      </c>
      <c r="L1232" s="204">
        <v>1</v>
      </c>
      <c r="M1232" s="202">
        <v>7499344</v>
      </c>
      <c r="N1232" s="204">
        <v>1</v>
      </c>
      <c r="O1232" s="198" t="s">
        <v>51</v>
      </c>
      <c r="P1232" s="202">
        <v>7499344</v>
      </c>
      <c r="Q1232" s="198" t="s">
        <v>335</v>
      </c>
      <c r="R1232" s="198" t="s">
        <v>53</v>
      </c>
      <c r="S1232" s="198" t="s">
        <v>54</v>
      </c>
      <c r="T1232" s="198" t="s">
        <v>434</v>
      </c>
      <c r="U1232" s="198" t="s">
        <v>367</v>
      </c>
      <c r="V1232" s="198" t="s">
        <v>56</v>
      </c>
      <c r="W1232" s="198" t="s">
        <v>356</v>
      </c>
      <c r="X1232" s="198" t="s">
        <v>57</v>
      </c>
      <c r="Y1232" s="198" t="s">
        <v>58</v>
      </c>
      <c r="Z1232" s="201">
        <v>46203</v>
      </c>
      <c r="AA1232" s="198" t="s">
        <v>59</v>
      </c>
      <c r="AB1232" s="198" t="s">
        <v>60</v>
      </c>
      <c r="AC1232" s="198" t="s">
        <v>86</v>
      </c>
      <c r="AD1232" s="198" t="s">
        <v>62</v>
      </c>
      <c r="AE1232" s="198" t="s">
        <v>688</v>
      </c>
      <c r="AF1232" s="198" t="s">
        <v>687</v>
      </c>
      <c r="AG1232" s="198" t="s">
        <v>189</v>
      </c>
      <c r="AH1232" s="198" t="s">
        <v>132</v>
      </c>
      <c r="AI1232" s="198" t="s">
        <v>56</v>
      </c>
      <c r="AJ1232" s="198" t="s">
        <v>689</v>
      </c>
      <c r="AK1232" s="198" t="s">
        <v>51</v>
      </c>
      <c r="AL1232" s="198" t="s">
        <v>67</v>
      </c>
      <c r="AM1232" s="198" t="s">
        <v>68</v>
      </c>
      <c r="AN1232" s="202">
        <v>7499344</v>
      </c>
      <c r="AO1232" s="202">
        <v>7499344</v>
      </c>
      <c r="AP1232" s="202">
        <v>7499344</v>
      </c>
      <c r="AQ1232" s="198" t="s">
        <v>358</v>
      </c>
      <c r="AR1232" s="198" t="s">
        <v>51</v>
      </c>
      <c r="AS1232" s="202">
        <v>7499344</v>
      </c>
      <c r="AT1232" s="202">
        <v>7499344</v>
      </c>
      <c r="AU1232" s="198" t="s">
        <v>359</v>
      </c>
      <c r="AV1232" s="198" t="s">
        <v>62</v>
      </c>
      <c r="AW1232" s="198" t="s">
        <v>54</v>
      </c>
    </row>
    <row r="1233" spans="3:49" outlineLevel="2" x14ac:dyDescent="0.25">
      <c r="C1233" s="201"/>
      <c r="D1233" s="198" t="s">
        <v>290</v>
      </c>
      <c r="H1233" s="198" t="s">
        <v>290</v>
      </c>
      <c r="I1233" s="202">
        <f t="shared" si="19"/>
        <v>512891910.90000004</v>
      </c>
      <c r="J1233" s="202">
        <v>124.2</v>
      </c>
      <c r="L1233" s="204">
        <v>9</v>
      </c>
      <c r="M1233" s="202">
        <v>2690127</v>
      </c>
      <c r="N1233" s="204">
        <v>9</v>
      </c>
      <c r="O1233" s="198" t="s">
        <v>51</v>
      </c>
      <c r="P1233" s="202">
        <v>2690127</v>
      </c>
      <c r="Q1233" s="198" t="s">
        <v>73</v>
      </c>
      <c r="R1233" s="198" t="s">
        <v>53</v>
      </c>
      <c r="S1233" s="198" t="s">
        <v>54</v>
      </c>
      <c r="T1233" s="198" t="s">
        <v>1751</v>
      </c>
      <c r="U1233" s="198" t="s">
        <v>1737</v>
      </c>
      <c r="V1233" s="198" t="s">
        <v>56</v>
      </c>
      <c r="W1233" s="198" t="s">
        <v>356</v>
      </c>
      <c r="X1233" s="198" t="s">
        <v>57</v>
      </c>
      <c r="Y1233" s="198" t="s">
        <v>58</v>
      </c>
      <c r="Z1233" s="201">
        <v>46247</v>
      </c>
      <c r="AA1233" s="198" t="s">
        <v>59</v>
      </c>
      <c r="AB1233" s="198" t="s">
        <v>60</v>
      </c>
      <c r="AC1233" s="198" t="s">
        <v>86</v>
      </c>
      <c r="AD1233" s="198" t="s">
        <v>62</v>
      </c>
      <c r="AE1233" s="198" t="s">
        <v>293</v>
      </c>
      <c r="AF1233" s="198" t="s">
        <v>292</v>
      </c>
      <c r="AG1233" s="198" t="s">
        <v>564</v>
      </c>
      <c r="AH1233" s="198" t="s">
        <v>65</v>
      </c>
      <c r="AI1233" s="198" t="s">
        <v>56</v>
      </c>
      <c r="AJ1233" s="198" t="s">
        <v>294</v>
      </c>
      <c r="AK1233" s="198" t="s">
        <v>51</v>
      </c>
      <c r="AL1233" s="198" t="s">
        <v>67</v>
      </c>
      <c r="AM1233" s="198" t="s">
        <v>68</v>
      </c>
      <c r="AN1233" s="202">
        <v>2690127</v>
      </c>
      <c r="AO1233" s="202">
        <v>2690127</v>
      </c>
      <c r="AP1233" s="202">
        <v>2690127</v>
      </c>
      <c r="AQ1233" s="198" t="s">
        <v>358</v>
      </c>
      <c r="AR1233" s="198" t="s">
        <v>51</v>
      </c>
      <c r="AS1233" s="202">
        <v>2690127</v>
      </c>
      <c r="AT1233" s="202">
        <v>2690127</v>
      </c>
      <c r="AU1233" s="198" t="s">
        <v>359</v>
      </c>
      <c r="AV1233" s="198" t="s">
        <v>62</v>
      </c>
      <c r="AW1233" s="198" t="s">
        <v>54</v>
      </c>
    </row>
    <row r="1234" spans="3:49" outlineLevel="2" x14ac:dyDescent="0.25">
      <c r="C1234" s="201"/>
      <c r="D1234" s="198" t="s">
        <v>290</v>
      </c>
      <c r="H1234" s="198" t="s">
        <v>290</v>
      </c>
      <c r="I1234" s="202">
        <f t="shared" si="19"/>
        <v>513304867.34999996</v>
      </c>
      <c r="J1234" s="202">
        <v>124.3</v>
      </c>
      <c r="L1234" s="204">
        <v>1</v>
      </c>
      <c r="M1234" s="202">
        <v>155000</v>
      </c>
      <c r="N1234" s="204">
        <v>1</v>
      </c>
      <c r="O1234" s="198" t="s">
        <v>51</v>
      </c>
      <c r="P1234" s="202">
        <v>155000</v>
      </c>
      <c r="Q1234" s="198" t="s">
        <v>73</v>
      </c>
      <c r="R1234" s="198" t="s">
        <v>53</v>
      </c>
      <c r="S1234" s="198" t="s">
        <v>54</v>
      </c>
      <c r="T1234" s="198" t="s">
        <v>1751</v>
      </c>
      <c r="U1234" s="198" t="s">
        <v>1737</v>
      </c>
      <c r="V1234" s="198" t="s">
        <v>56</v>
      </c>
      <c r="W1234" s="198" t="s">
        <v>356</v>
      </c>
      <c r="X1234" s="198" t="s">
        <v>57</v>
      </c>
      <c r="Y1234" s="198" t="s">
        <v>58</v>
      </c>
      <c r="Z1234" s="201">
        <v>46247</v>
      </c>
      <c r="AA1234" s="198" t="s">
        <v>59</v>
      </c>
      <c r="AB1234" s="198" t="s">
        <v>60</v>
      </c>
      <c r="AC1234" s="198" t="s">
        <v>86</v>
      </c>
      <c r="AD1234" s="198" t="s">
        <v>62</v>
      </c>
      <c r="AE1234" s="198" t="s">
        <v>296</v>
      </c>
      <c r="AF1234" s="198" t="s">
        <v>295</v>
      </c>
      <c r="AG1234" s="198" t="s">
        <v>564</v>
      </c>
      <c r="AH1234" s="198" t="s">
        <v>65</v>
      </c>
      <c r="AI1234" s="198" t="s">
        <v>56</v>
      </c>
      <c r="AJ1234" s="198" t="s">
        <v>128</v>
      </c>
      <c r="AK1234" s="198" t="s">
        <v>51</v>
      </c>
      <c r="AL1234" s="198" t="s">
        <v>67</v>
      </c>
      <c r="AM1234" s="198" t="s">
        <v>68</v>
      </c>
      <c r="AN1234" s="202">
        <v>155000</v>
      </c>
      <c r="AO1234" s="202">
        <v>155000</v>
      </c>
      <c r="AP1234" s="202">
        <v>155000</v>
      </c>
      <c r="AQ1234" s="198" t="s">
        <v>358</v>
      </c>
      <c r="AR1234" s="198" t="s">
        <v>51</v>
      </c>
      <c r="AS1234" s="202">
        <v>155000</v>
      </c>
      <c r="AT1234" s="202">
        <v>155000</v>
      </c>
      <c r="AU1234" s="198" t="s">
        <v>359</v>
      </c>
      <c r="AV1234" s="198" t="s">
        <v>62</v>
      </c>
      <c r="AW1234" s="198" t="s">
        <v>54</v>
      </c>
    </row>
    <row r="1235" spans="3:49" outlineLevel="2" x14ac:dyDescent="0.25">
      <c r="C1235" s="201"/>
      <c r="D1235" s="198" t="s">
        <v>290</v>
      </c>
      <c r="H1235" s="198" t="s">
        <v>290</v>
      </c>
      <c r="I1235" s="202">
        <f t="shared" si="19"/>
        <v>513717823.80000001</v>
      </c>
      <c r="J1235" s="202">
        <v>124.4</v>
      </c>
      <c r="L1235" s="204">
        <v>18</v>
      </c>
      <c r="M1235" s="202">
        <v>46818</v>
      </c>
      <c r="N1235" s="204">
        <v>18</v>
      </c>
      <c r="O1235" s="198" t="s">
        <v>51</v>
      </c>
      <c r="P1235" s="202">
        <v>46818</v>
      </c>
      <c r="Q1235" s="198" t="s">
        <v>73</v>
      </c>
      <c r="R1235" s="198" t="s">
        <v>53</v>
      </c>
      <c r="S1235" s="198" t="s">
        <v>54</v>
      </c>
      <c r="T1235" s="198" t="s">
        <v>1751</v>
      </c>
      <c r="U1235" s="198" t="s">
        <v>1737</v>
      </c>
      <c r="V1235" s="198" t="s">
        <v>56</v>
      </c>
      <c r="W1235" s="198" t="s">
        <v>356</v>
      </c>
      <c r="X1235" s="198" t="s">
        <v>57</v>
      </c>
      <c r="Y1235" s="198" t="s">
        <v>58</v>
      </c>
      <c r="Z1235" s="201">
        <v>46247</v>
      </c>
      <c r="AA1235" s="198" t="s">
        <v>59</v>
      </c>
      <c r="AB1235" s="198" t="s">
        <v>60</v>
      </c>
      <c r="AC1235" s="198" t="s">
        <v>86</v>
      </c>
      <c r="AD1235" s="198" t="s">
        <v>62</v>
      </c>
      <c r="AE1235" s="198" t="s">
        <v>298</v>
      </c>
      <c r="AF1235" s="198" t="s">
        <v>297</v>
      </c>
      <c r="AG1235" s="198" t="s">
        <v>564</v>
      </c>
      <c r="AH1235" s="198" t="s">
        <v>65</v>
      </c>
      <c r="AI1235" s="198" t="s">
        <v>56</v>
      </c>
      <c r="AJ1235" s="198" t="s">
        <v>299</v>
      </c>
      <c r="AK1235" s="198" t="s">
        <v>51</v>
      </c>
      <c r="AL1235" s="198" t="s">
        <v>67</v>
      </c>
      <c r="AM1235" s="198" t="s">
        <v>68</v>
      </c>
      <c r="AN1235" s="202">
        <v>46818</v>
      </c>
      <c r="AO1235" s="202">
        <v>46818</v>
      </c>
      <c r="AP1235" s="202">
        <v>46818</v>
      </c>
      <c r="AQ1235" s="198" t="s">
        <v>358</v>
      </c>
      <c r="AR1235" s="198" t="s">
        <v>51</v>
      </c>
      <c r="AS1235" s="202">
        <v>46818</v>
      </c>
      <c r="AT1235" s="202">
        <v>46818</v>
      </c>
      <c r="AU1235" s="198" t="s">
        <v>359</v>
      </c>
      <c r="AV1235" s="198" t="s">
        <v>62</v>
      </c>
      <c r="AW1235" s="198" t="s">
        <v>54</v>
      </c>
    </row>
    <row r="1236" spans="3:49" outlineLevel="2" x14ac:dyDescent="0.25">
      <c r="C1236" s="201"/>
      <c r="D1236" s="198" t="s">
        <v>290</v>
      </c>
      <c r="H1236" s="198" t="s">
        <v>290</v>
      </c>
      <c r="I1236" s="202">
        <f t="shared" si="19"/>
        <v>514130780.25</v>
      </c>
      <c r="J1236" s="202">
        <v>124.5</v>
      </c>
      <c r="L1236" s="204">
        <v>9</v>
      </c>
      <c r="M1236" s="202">
        <v>26100</v>
      </c>
      <c r="N1236" s="204">
        <v>9</v>
      </c>
      <c r="O1236" s="198" t="s">
        <v>51</v>
      </c>
      <c r="P1236" s="202">
        <v>26100</v>
      </c>
      <c r="Q1236" s="198" t="s">
        <v>73</v>
      </c>
      <c r="R1236" s="198" t="s">
        <v>53</v>
      </c>
      <c r="S1236" s="198" t="s">
        <v>54</v>
      </c>
      <c r="T1236" s="198" t="s">
        <v>1751</v>
      </c>
      <c r="U1236" s="198" t="s">
        <v>1737</v>
      </c>
      <c r="V1236" s="198" t="s">
        <v>56</v>
      </c>
      <c r="W1236" s="198" t="s">
        <v>356</v>
      </c>
      <c r="X1236" s="198" t="s">
        <v>57</v>
      </c>
      <c r="Y1236" s="198" t="s">
        <v>58</v>
      </c>
      <c r="Z1236" s="201">
        <v>46247</v>
      </c>
      <c r="AA1236" s="198" t="s">
        <v>59</v>
      </c>
      <c r="AB1236" s="198" t="s">
        <v>60</v>
      </c>
      <c r="AC1236" s="198" t="s">
        <v>86</v>
      </c>
      <c r="AD1236" s="198" t="s">
        <v>62</v>
      </c>
      <c r="AE1236" s="198" t="s">
        <v>301</v>
      </c>
      <c r="AF1236" s="198" t="s">
        <v>300</v>
      </c>
      <c r="AG1236" s="198" t="s">
        <v>564</v>
      </c>
      <c r="AH1236" s="198" t="s">
        <v>65</v>
      </c>
      <c r="AI1236" s="198" t="s">
        <v>56</v>
      </c>
      <c r="AJ1236" s="198" t="s">
        <v>121</v>
      </c>
      <c r="AK1236" s="198" t="s">
        <v>51</v>
      </c>
      <c r="AL1236" s="198" t="s">
        <v>67</v>
      </c>
      <c r="AM1236" s="198" t="s">
        <v>68</v>
      </c>
      <c r="AN1236" s="202">
        <v>26100</v>
      </c>
      <c r="AO1236" s="202">
        <v>26100</v>
      </c>
      <c r="AP1236" s="202">
        <v>26100</v>
      </c>
      <c r="AQ1236" s="198" t="s">
        <v>358</v>
      </c>
      <c r="AR1236" s="198" t="s">
        <v>51</v>
      </c>
      <c r="AS1236" s="202">
        <v>26100</v>
      </c>
      <c r="AT1236" s="202">
        <v>26100</v>
      </c>
      <c r="AU1236" s="198" t="s">
        <v>359</v>
      </c>
      <c r="AV1236" s="198" t="s">
        <v>62</v>
      </c>
      <c r="AW1236" s="198" t="s">
        <v>54</v>
      </c>
    </row>
    <row r="1237" spans="3:49" outlineLevel="2" x14ac:dyDescent="0.25">
      <c r="C1237" s="201"/>
      <c r="D1237" s="198" t="s">
        <v>290</v>
      </c>
      <c r="H1237" s="198" t="s">
        <v>290</v>
      </c>
      <c r="I1237" s="202">
        <f t="shared" si="19"/>
        <v>514543736.69999999</v>
      </c>
      <c r="J1237" s="202">
        <v>124.6</v>
      </c>
      <c r="L1237" s="204">
        <v>81</v>
      </c>
      <c r="M1237" s="202">
        <v>477900</v>
      </c>
      <c r="N1237" s="204">
        <v>81</v>
      </c>
      <c r="O1237" s="198" t="s">
        <v>51</v>
      </c>
      <c r="P1237" s="202">
        <v>477900</v>
      </c>
      <c r="Q1237" s="198" t="s">
        <v>73</v>
      </c>
      <c r="R1237" s="198" t="s">
        <v>53</v>
      </c>
      <c r="S1237" s="198" t="s">
        <v>54</v>
      </c>
      <c r="T1237" s="198" t="s">
        <v>1751</v>
      </c>
      <c r="U1237" s="198" t="s">
        <v>1737</v>
      </c>
      <c r="V1237" s="198" t="s">
        <v>56</v>
      </c>
      <c r="W1237" s="198" t="s">
        <v>356</v>
      </c>
      <c r="X1237" s="198" t="s">
        <v>57</v>
      </c>
      <c r="Y1237" s="198" t="s">
        <v>58</v>
      </c>
      <c r="Z1237" s="201">
        <v>46247</v>
      </c>
      <c r="AA1237" s="198" t="s">
        <v>59</v>
      </c>
      <c r="AB1237" s="198" t="s">
        <v>60</v>
      </c>
      <c r="AC1237" s="198" t="s">
        <v>86</v>
      </c>
      <c r="AD1237" s="198" t="s">
        <v>62</v>
      </c>
      <c r="AE1237" s="198" t="s">
        <v>303</v>
      </c>
      <c r="AF1237" s="198" t="s">
        <v>302</v>
      </c>
      <c r="AG1237" s="198" t="s">
        <v>564</v>
      </c>
      <c r="AH1237" s="198" t="s">
        <v>65</v>
      </c>
      <c r="AI1237" s="198" t="s">
        <v>56</v>
      </c>
      <c r="AJ1237" s="198" t="s">
        <v>72</v>
      </c>
      <c r="AK1237" s="198" t="s">
        <v>51</v>
      </c>
      <c r="AL1237" s="198" t="s">
        <v>67</v>
      </c>
      <c r="AM1237" s="198" t="s">
        <v>68</v>
      </c>
      <c r="AN1237" s="202">
        <v>477900</v>
      </c>
      <c r="AO1237" s="202">
        <v>477900</v>
      </c>
      <c r="AP1237" s="202">
        <v>477900</v>
      </c>
      <c r="AQ1237" s="198" t="s">
        <v>358</v>
      </c>
      <c r="AR1237" s="198" t="s">
        <v>51</v>
      </c>
      <c r="AS1237" s="202">
        <v>477900</v>
      </c>
      <c r="AT1237" s="202">
        <v>477900</v>
      </c>
      <c r="AU1237" s="198" t="s">
        <v>359</v>
      </c>
      <c r="AV1237" s="198" t="s">
        <v>62</v>
      </c>
      <c r="AW1237" s="198" t="s">
        <v>54</v>
      </c>
    </row>
    <row r="1238" spans="3:49" outlineLevel="2" x14ac:dyDescent="0.25">
      <c r="C1238" s="201"/>
      <c r="D1238" s="198" t="s">
        <v>290</v>
      </c>
      <c r="H1238" s="198" t="s">
        <v>290</v>
      </c>
      <c r="I1238" s="202">
        <f t="shared" si="19"/>
        <v>514956693.15000004</v>
      </c>
      <c r="J1238" s="202">
        <v>124.7</v>
      </c>
      <c r="L1238" s="204">
        <v>513</v>
      </c>
      <c r="M1238" s="202">
        <v>949050</v>
      </c>
      <c r="N1238" s="204">
        <v>513</v>
      </c>
      <c r="O1238" s="198" t="s">
        <v>51</v>
      </c>
      <c r="P1238" s="202">
        <v>949050</v>
      </c>
      <c r="Q1238" s="198" t="s">
        <v>73</v>
      </c>
      <c r="R1238" s="198" t="s">
        <v>53</v>
      </c>
      <c r="S1238" s="198" t="s">
        <v>54</v>
      </c>
      <c r="T1238" s="198" t="s">
        <v>1751</v>
      </c>
      <c r="U1238" s="198" t="s">
        <v>1737</v>
      </c>
      <c r="V1238" s="198" t="s">
        <v>56</v>
      </c>
      <c r="W1238" s="198" t="s">
        <v>356</v>
      </c>
      <c r="X1238" s="198" t="s">
        <v>57</v>
      </c>
      <c r="Y1238" s="198" t="s">
        <v>58</v>
      </c>
      <c r="Z1238" s="201">
        <v>46247</v>
      </c>
      <c r="AA1238" s="198" t="s">
        <v>59</v>
      </c>
      <c r="AB1238" s="198" t="s">
        <v>60</v>
      </c>
      <c r="AC1238" s="198" t="s">
        <v>86</v>
      </c>
      <c r="AD1238" s="198" t="s">
        <v>62</v>
      </c>
      <c r="AE1238" s="198" t="s">
        <v>305</v>
      </c>
      <c r="AF1238" s="198" t="s">
        <v>304</v>
      </c>
      <c r="AG1238" s="198" t="s">
        <v>564</v>
      </c>
      <c r="AH1238" s="198" t="s">
        <v>65</v>
      </c>
      <c r="AI1238" s="198" t="s">
        <v>56</v>
      </c>
      <c r="AJ1238" s="198" t="s">
        <v>306</v>
      </c>
      <c r="AK1238" s="198" t="s">
        <v>51</v>
      </c>
      <c r="AL1238" s="198" t="s">
        <v>67</v>
      </c>
      <c r="AM1238" s="198" t="s">
        <v>68</v>
      </c>
      <c r="AN1238" s="202">
        <v>949050</v>
      </c>
      <c r="AO1238" s="202">
        <v>949050</v>
      </c>
      <c r="AP1238" s="202">
        <v>949050</v>
      </c>
      <c r="AQ1238" s="198" t="s">
        <v>358</v>
      </c>
      <c r="AR1238" s="198" t="s">
        <v>51</v>
      </c>
      <c r="AS1238" s="202">
        <v>949050</v>
      </c>
      <c r="AT1238" s="202">
        <v>949050</v>
      </c>
      <c r="AU1238" s="198" t="s">
        <v>359</v>
      </c>
      <c r="AV1238" s="198" t="s">
        <v>62</v>
      </c>
      <c r="AW1238" s="198" t="s">
        <v>54</v>
      </c>
    </row>
    <row r="1239" spans="3:49" outlineLevel="2" x14ac:dyDescent="0.25">
      <c r="C1239" s="201"/>
      <c r="D1239" s="198" t="s">
        <v>290</v>
      </c>
      <c r="H1239" s="198" t="s">
        <v>290</v>
      </c>
      <c r="I1239" s="202">
        <f t="shared" si="19"/>
        <v>515369649.59999996</v>
      </c>
      <c r="J1239" s="202">
        <v>124.8</v>
      </c>
      <c r="L1239" s="204">
        <v>30</v>
      </c>
      <c r="M1239" s="202">
        <v>57000</v>
      </c>
      <c r="N1239" s="204">
        <v>30</v>
      </c>
      <c r="O1239" s="198" t="s">
        <v>51</v>
      </c>
      <c r="P1239" s="202">
        <v>57000</v>
      </c>
      <c r="Q1239" s="198" t="s">
        <v>73</v>
      </c>
      <c r="R1239" s="198" t="s">
        <v>53</v>
      </c>
      <c r="S1239" s="198" t="s">
        <v>54</v>
      </c>
      <c r="T1239" s="198" t="s">
        <v>1751</v>
      </c>
      <c r="U1239" s="198" t="s">
        <v>1737</v>
      </c>
      <c r="V1239" s="198" t="s">
        <v>56</v>
      </c>
      <c r="W1239" s="198" t="s">
        <v>356</v>
      </c>
      <c r="X1239" s="198" t="s">
        <v>57</v>
      </c>
      <c r="Y1239" s="198" t="s">
        <v>58</v>
      </c>
      <c r="Z1239" s="201">
        <v>46247</v>
      </c>
      <c r="AA1239" s="198" t="s">
        <v>59</v>
      </c>
      <c r="AB1239" s="198" t="s">
        <v>60</v>
      </c>
      <c r="AC1239" s="198" t="s">
        <v>86</v>
      </c>
      <c r="AD1239" s="198" t="s">
        <v>62</v>
      </c>
      <c r="AE1239" s="198" t="s">
        <v>308</v>
      </c>
      <c r="AF1239" s="198" t="s">
        <v>307</v>
      </c>
      <c r="AG1239" s="198" t="s">
        <v>564</v>
      </c>
      <c r="AH1239" s="198" t="s">
        <v>65</v>
      </c>
      <c r="AI1239" s="198" t="s">
        <v>56</v>
      </c>
      <c r="AJ1239" s="198" t="s">
        <v>306</v>
      </c>
      <c r="AK1239" s="198" t="s">
        <v>51</v>
      </c>
      <c r="AL1239" s="198" t="s">
        <v>67</v>
      </c>
      <c r="AM1239" s="198" t="s">
        <v>68</v>
      </c>
      <c r="AN1239" s="202">
        <v>57000</v>
      </c>
      <c r="AO1239" s="202">
        <v>57000</v>
      </c>
      <c r="AP1239" s="202">
        <v>57000</v>
      </c>
      <c r="AQ1239" s="198" t="s">
        <v>358</v>
      </c>
      <c r="AR1239" s="198" t="s">
        <v>51</v>
      </c>
      <c r="AS1239" s="202">
        <v>57000</v>
      </c>
      <c r="AT1239" s="202">
        <v>57000</v>
      </c>
      <c r="AU1239" s="198" t="s">
        <v>359</v>
      </c>
      <c r="AV1239" s="198" t="s">
        <v>62</v>
      </c>
      <c r="AW1239" s="198" t="s">
        <v>54</v>
      </c>
    </row>
    <row r="1240" spans="3:49" outlineLevel="2" x14ac:dyDescent="0.25">
      <c r="C1240" s="201"/>
      <c r="D1240" s="198" t="s">
        <v>290</v>
      </c>
      <c r="H1240" s="198" t="s">
        <v>290</v>
      </c>
      <c r="I1240" s="202">
        <f t="shared" si="19"/>
        <v>515782606.05000001</v>
      </c>
      <c r="J1240" s="202">
        <v>124.9</v>
      </c>
      <c r="L1240" s="204">
        <v>72</v>
      </c>
      <c r="M1240" s="202">
        <v>135576</v>
      </c>
      <c r="N1240" s="204">
        <v>72</v>
      </c>
      <c r="O1240" s="198" t="s">
        <v>51</v>
      </c>
      <c r="P1240" s="202">
        <v>135576</v>
      </c>
      <c r="Q1240" s="198" t="s">
        <v>73</v>
      </c>
      <c r="R1240" s="198" t="s">
        <v>53</v>
      </c>
      <c r="S1240" s="198" t="s">
        <v>54</v>
      </c>
      <c r="T1240" s="198" t="s">
        <v>1751</v>
      </c>
      <c r="U1240" s="198" t="s">
        <v>1737</v>
      </c>
      <c r="V1240" s="198" t="s">
        <v>56</v>
      </c>
      <c r="W1240" s="198" t="s">
        <v>356</v>
      </c>
      <c r="X1240" s="198" t="s">
        <v>57</v>
      </c>
      <c r="Y1240" s="198" t="s">
        <v>58</v>
      </c>
      <c r="Z1240" s="201">
        <v>46247</v>
      </c>
      <c r="AA1240" s="198" t="s">
        <v>59</v>
      </c>
      <c r="AB1240" s="198" t="s">
        <v>60</v>
      </c>
      <c r="AC1240" s="198" t="s">
        <v>86</v>
      </c>
      <c r="AD1240" s="198" t="s">
        <v>62</v>
      </c>
      <c r="AE1240" s="198" t="s">
        <v>310</v>
      </c>
      <c r="AF1240" s="198" t="s">
        <v>309</v>
      </c>
      <c r="AG1240" s="198" t="s">
        <v>564</v>
      </c>
      <c r="AH1240" s="198" t="s">
        <v>65</v>
      </c>
      <c r="AI1240" s="198" t="s">
        <v>56</v>
      </c>
      <c r="AJ1240" s="198" t="s">
        <v>311</v>
      </c>
      <c r="AK1240" s="198" t="s">
        <v>51</v>
      </c>
      <c r="AL1240" s="198" t="s">
        <v>67</v>
      </c>
      <c r="AM1240" s="198" t="s">
        <v>68</v>
      </c>
      <c r="AN1240" s="202">
        <v>135576</v>
      </c>
      <c r="AO1240" s="202">
        <v>135576</v>
      </c>
      <c r="AP1240" s="202">
        <v>135576</v>
      </c>
      <c r="AQ1240" s="198" t="s">
        <v>358</v>
      </c>
      <c r="AR1240" s="198" t="s">
        <v>51</v>
      </c>
      <c r="AS1240" s="202">
        <v>135576</v>
      </c>
      <c r="AT1240" s="202">
        <v>135576</v>
      </c>
      <c r="AU1240" s="198" t="s">
        <v>359</v>
      </c>
      <c r="AV1240" s="198" t="s">
        <v>62</v>
      </c>
      <c r="AW1240" s="198" t="s">
        <v>54</v>
      </c>
    </row>
    <row r="1241" spans="3:49" outlineLevel="2" x14ac:dyDescent="0.25">
      <c r="C1241" s="201"/>
      <c r="D1241" s="198" t="s">
        <v>290</v>
      </c>
      <c r="H1241" s="198" t="s">
        <v>290</v>
      </c>
      <c r="I1241" s="202">
        <f t="shared" si="19"/>
        <v>516195562.5</v>
      </c>
      <c r="J1241" s="202">
        <v>125</v>
      </c>
      <c r="L1241" s="204">
        <v>9</v>
      </c>
      <c r="M1241" s="202">
        <v>54000</v>
      </c>
      <c r="N1241" s="204">
        <v>9</v>
      </c>
      <c r="O1241" s="198" t="s">
        <v>51</v>
      </c>
      <c r="P1241" s="202">
        <v>54000</v>
      </c>
      <c r="Q1241" s="198" t="s">
        <v>73</v>
      </c>
      <c r="R1241" s="198" t="s">
        <v>53</v>
      </c>
      <c r="S1241" s="198" t="s">
        <v>54</v>
      </c>
      <c r="T1241" s="198" t="s">
        <v>1751</v>
      </c>
      <c r="U1241" s="198" t="s">
        <v>1737</v>
      </c>
      <c r="V1241" s="198" t="s">
        <v>56</v>
      </c>
      <c r="W1241" s="198" t="s">
        <v>356</v>
      </c>
      <c r="X1241" s="198" t="s">
        <v>57</v>
      </c>
      <c r="Y1241" s="198" t="s">
        <v>58</v>
      </c>
      <c r="Z1241" s="201">
        <v>46247</v>
      </c>
      <c r="AA1241" s="198" t="s">
        <v>59</v>
      </c>
      <c r="AB1241" s="198" t="s">
        <v>60</v>
      </c>
      <c r="AC1241" s="198" t="s">
        <v>86</v>
      </c>
      <c r="AD1241" s="198" t="s">
        <v>62</v>
      </c>
      <c r="AE1241" s="198" t="s">
        <v>313</v>
      </c>
      <c r="AF1241" s="198" t="s">
        <v>312</v>
      </c>
      <c r="AG1241" s="198" t="s">
        <v>564</v>
      </c>
      <c r="AH1241" s="198" t="s">
        <v>65</v>
      </c>
      <c r="AI1241" s="198" t="s">
        <v>56</v>
      </c>
      <c r="AJ1241" s="198" t="s">
        <v>121</v>
      </c>
      <c r="AK1241" s="198" t="s">
        <v>51</v>
      </c>
      <c r="AL1241" s="198" t="s">
        <v>67</v>
      </c>
      <c r="AM1241" s="198" t="s">
        <v>68</v>
      </c>
      <c r="AN1241" s="202">
        <v>54000</v>
      </c>
      <c r="AO1241" s="202">
        <v>54000</v>
      </c>
      <c r="AP1241" s="202">
        <v>54000</v>
      </c>
      <c r="AQ1241" s="198" t="s">
        <v>358</v>
      </c>
      <c r="AR1241" s="198" t="s">
        <v>51</v>
      </c>
      <c r="AS1241" s="202">
        <v>54000</v>
      </c>
      <c r="AT1241" s="202">
        <v>54000</v>
      </c>
      <c r="AU1241" s="198" t="s">
        <v>359</v>
      </c>
      <c r="AV1241" s="198" t="s">
        <v>62</v>
      </c>
      <c r="AW1241" s="198" t="s">
        <v>54</v>
      </c>
    </row>
    <row r="1242" spans="3:49" outlineLevel="2" x14ac:dyDescent="0.25">
      <c r="C1242" s="201"/>
      <c r="D1242" s="198" t="s">
        <v>290</v>
      </c>
      <c r="H1242" s="198" t="s">
        <v>290</v>
      </c>
      <c r="I1242" s="202">
        <f t="shared" si="19"/>
        <v>516608518.94999999</v>
      </c>
      <c r="J1242" s="202">
        <v>125.1</v>
      </c>
      <c r="L1242" s="204">
        <v>90</v>
      </c>
      <c r="M1242" s="202">
        <v>1062000</v>
      </c>
      <c r="N1242" s="204">
        <v>90</v>
      </c>
      <c r="O1242" s="198" t="s">
        <v>51</v>
      </c>
      <c r="P1242" s="202">
        <v>1062000</v>
      </c>
      <c r="Q1242" s="198" t="s">
        <v>73</v>
      </c>
      <c r="R1242" s="198" t="s">
        <v>53</v>
      </c>
      <c r="S1242" s="198" t="s">
        <v>54</v>
      </c>
      <c r="T1242" s="198" t="s">
        <v>1751</v>
      </c>
      <c r="U1242" s="198" t="s">
        <v>1737</v>
      </c>
      <c r="V1242" s="198" t="s">
        <v>56</v>
      </c>
      <c r="W1242" s="198" t="s">
        <v>356</v>
      </c>
      <c r="X1242" s="198" t="s">
        <v>57</v>
      </c>
      <c r="Y1242" s="198" t="s">
        <v>58</v>
      </c>
      <c r="Z1242" s="201">
        <v>46247</v>
      </c>
      <c r="AA1242" s="198" t="s">
        <v>59</v>
      </c>
      <c r="AB1242" s="198" t="s">
        <v>60</v>
      </c>
      <c r="AC1242" s="198" t="s">
        <v>86</v>
      </c>
      <c r="AD1242" s="198" t="s">
        <v>62</v>
      </c>
      <c r="AE1242" s="198" t="s">
        <v>315</v>
      </c>
      <c r="AF1242" s="198" t="s">
        <v>314</v>
      </c>
      <c r="AG1242" s="198" t="s">
        <v>564</v>
      </c>
      <c r="AH1242" s="198" t="s">
        <v>65</v>
      </c>
      <c r="AI1242" s="198" t="s">
        <v>56</v>
      </c>
      <c r="AJ1242" s="198" t="s">
        <v>121</v>
      </c>
      <c r="AK1242" s="198" t="s">
        <v>51</v>
      </c>
      <c r="AL1242" s="198" t="s">
        <v>67</v>
      </c>
      <c r="AM1242" s="198" t="s">
        <v>68</v>
      </c>
      <c r="AN1242" s="202">
        <v>1062000</v>
      </c>
      <c r="AO1242" s="202">
        <v>1062000</v>
      </c>
      <c r="AP1242" s="202">
        <v>1062000</v>
      </c>
      <c r="AQ1242" s="198" t="s">
        <v>358</v>
      </c>
      <c r="AR1242" s="198" t="s">
        <v>51</v>
      </c>
      <c r="AS1242" s="202">
        <v>1062000</v>
      </c>
      <c r="AT1242" s="202">
        <v>1062000</v>
      </c>
      <c r="AU1242" s="198" t="s">
        <v>359</v>
      </c>
      <c r="AV1242" s="198" t="s">
        <v>62</v>
      </c>
      <c r="AW1242" s="198" t="s">
        <v>54</v>
      </c>
    </row>
    <row r="1243" spans="3:49" outlineLevel="2" x14ac:dyDescent="0.25">
      <c r="C1243" s="201"/>
      <c r="D1243" s="198" t="s">
        <v>290</v>
      </c>
      <c r="H1243" s="198" t="s">
        <v>290</v>
      </c>
      <c r="I1243" s="202">
        <f t="shared" si="19"/>
        <v>517021475.40000004</v>
      </c>
      <c r="J1243" s="202">
        <v>125.2</v>
      </c>
      <c r="L1243" s="204">
        <v>7000</v>
      </c>
      <c r="M1243" s="202">
        <v>840000</v>
      </c>
      <c r="N1243" s="204">
        <v>7000</v>
      </c>
      <c r="O1243" s="198" t="s">
        <v>51</v>
      </c>
      <c r="P1243" s="202">
        <v>840000</v>
      </c>
      <c r="Q1243" s="198" t="s">
        <v>75</v>
      </c>
      <c r="R1243" s="198" t="s">
        <v>53</v>
      </c>
      <c r="S1243" s="198" t="s">
        <v>54</v>
      </c>
      <c r="T1243" s="198" t="s">
        <v>1751</v>
      </c>
      <c r="U1243" s="198" t="s">
        <v>1737</v>
      </c>
      <c r="V1243" s="198" t="s">
        <v>56</v>
      </c>
      <c r="W1243" s="198" t="s">
        <v>356</v>
      </c>
      <c r="X1243" s="198" t="s">
        <v>57</v>
      </c>
      <c r="Y1243" s="198" t="s">
        <v>58</v>
      </c>
      <c r="Z1243" s="201">
        <v>46247</v>
      </c>
      <c r="AA1243" s="198" t="s">
        <v>59</v>
      </c>
      <c r="AB1243" s="198" t="s">
        <v>60</v>
      </c>
      <c r="AC1243" s="198" t="s">
        <v>86</v>
      </c>
      <c r="AD1243" s="198" t="s">
        <v>62</v>
      </c>
      <c r="AE1243" s="198" t="s">
        <v>320</v>
      </c>
      <c r="AF1243" s="198" t="s">
        <v>319</v>
      </c>
      <c r="AG1243" s="198" t="s">
        <v>564</v>
      </c>
      <c r="AH1243" s="198" t="s">
        <v>65</v>
      </c>
      <c r="AI1243" s="198" t="s">
        <v>56</v>
      </c>
      <c r="AJ1243" s="198" t="s">
        <v>318</v>
      </c>
      <c r="AK1243" s="198" t="s">
        <v>51</v>
      </c>
      <c r="AL1243" s="198" t="s">
        <v>67</v>
      </c>
      <c r="AM1243" s="198" t="s">
        <v>68</v>
      </c>
      <c r="AN1243" s="202">
        <v>840000</v>
      </c>
      <c r="AO1243" s="202">
        <v>840000</v>
      </c>
      <c r="AP1243" s="202">
        <v>840000</v>
      </c>
      <c r="AQ1243" s="198" t="s">
        <v>358</v>
      </c>
      <c r="AR1243" s="198" t="s">
        <v>51</v>
      </c>
      <c r="AS1243" s="202">
        <v>840000</v>
      </c>
      <c r="AT1243" s="202">
        <v>840000</v>
      </c>
      <c r="AU1243" s="198" t="s">
        <v>359</v>
      </c>
      <c r="AV1243" s="198" t="s">
        <v>62</v>
      </c>
      <c r="AW1243" s="198" t="s">
        <v>54</v>
      </c>
    </row>
    <row r="1244" spans="3:49" outlineLevel="2" x14ac:dyDescent="0.25">
      <c r="C1244" s="201"/>
      <c r="D1244" s="198" t="s">
        <v>290</v>
      </c>
      <c r="H1244" s="198" t="s">
        <v>290</v>
      </c>
      <c r="I1244" s="202">
        <f t="shared" si="19"/>
        <v>517434431.84999996</v>
      </c>
      <c r="J1244" s="202">
        <v>125.3</v>
      </c>
      <c r="L1244" s="204">
        <v>150</v>
      </c>
      <c r="M1244" s="202">
        <v>36000</v>
      </c>
      <c r="N1244" s="204">
        <v>150</v>
      </c>
      <c r="O1244" s="198" t="s">
        <v>51</v>
      </c>
      <c r="P1244" s="202">
        <v>36000</v>
      </c>
      <c r="Q1244" s="198" t="s">
        <v>75</v>
      </c>
      <c r="R1244" s="198" t="s">
        <v>53</v>
      </c>
      <c r="S1244" s="198" t="s">
        <v>54</v>
      </c>
      <c r="T1244" s="198" t="s">
        <v>1751</v>
      </c>
      <c r="U1244" s="198" t="s">
        <v>1737</v>
      </c>
      <c r="V1244" s="198" t="s">
        <v>56</v>
      </c>
      <c r="W1244" s="198" t="s">
        <v>356</v>
      </c>
      <c r="X1244" s="198" t="s">
        <v>57</v>
      </c>
      <c r="Y1244" s="198" t="s">
        <v>58</v>
      </c>
      <c r="Z1244" s="201">
        <v>46247</v>
      </c>
      <c r="AA1244" s="198" t="s">
        <v>59</v>
      </c>
      <c r="AB1244" s="198" t="s">
        <v>60</v>
      </c>
      <c r="AC1244" s="198" t="s">
        <v>86</v>
      </c>
      <c r="AD1244" s="198" t="s">
        <v>62</v>
      </c>
      <c r="AE1244" s="198" t="s">
        <v>322</v>
      </c>
      <c r="AF1244" s="198" t="s">
        <v>321</v>
      </c>
      <c r="AG1244" s="198" t="s">
        <v>564</v>
      </c>
      <c r="AH1244" s="198" t="s">
        <v>65</v>
      </c>
      <c r="AI1244" s="198" t="s">
        <v>56</v>
      </c>
      <c r="AJ1244" s="198" t="s">
        <v>318</v>
      </c>
      <c r="AK1244" s="198" t="s">
        <v>51</v>
      </c>
      <c r="AL1244" s="198" t="s">
        <v>67</v>
      </c>
      <c r="AM1244" s="198" t="s">
        <v>68</v>
      </c>
      <c r="AN1244" s="202">
        <v>36000</v>
      </c>
      <c r="AO1244" s="202">
        <v>36000</v>
      </c>
      <c r="AP1244" s="202">
        <v>36000</v>
      </c>
      <c r="AQ1244" s="198" t="s">
        <v>358</v>
      </c>
      <c r="AR1244" s="198" t="s">
        <v>51</v>
      </c>
      <c r="AS1244" s="202">
        <v>36000</v>
      </c>
      <c r="AT1244" s="202">
        <v>36000</v>
      </c>
      <c r="AU1244" s="198" t="s">
        <v>359</v>
      </c>
      <c r="AV1244" s="198" t="s">
        <v>62</v>
      </c>
      <c r="AW1244" s="198" t="s">
        <v>54</v>
      </c>
    </row>
    <row r="1245" spans="3:49" outlineLevel="2" x14ac:dyDescent="0.25">
      <c r="C1245" s="201"/>
      <c r="D1245" s="198" t="s">
        <v>290</v>
      </c>
      <c r="H1245" s="198" t="s">
        <v>290</v>
      </c>
      <c r="I1245" s="202">
        <f t="shared" si="19"/>
        <v>517847388.30000001</v>
      </c>
      <c r="J1245" s="202">
        <v>125.4</v>
      </c>
      <c r="L1245" s="204">
        <v>200</v>
      </c>
      <c r="M1245" s="202">
        <v>24000</v>
      </c>
      <c r="N1245" s="204">
        <v>200</v>
      </c>
      <c r="O1245" s="198" t="s">
        <v>51</v>
      </c>
      <c r="P1245" s="202">
        <v>24000</v>
      </c>
      <c r="Q1245" s="198" t="s">
        <v>75</v>
      </c>
      <c r="R1245" s="198" t="s">
        <v>53</v>
      </c>
      <c r="S1245" s="198" t="s">
        <v>54</v>
      </c>
      <c r="T1245" s="198" t="s">
        <v>1751</v>
      </c>
      <c r="U1245" s="198" t="s">
        <v>1737</v>
      </c>
      <c r="V1245" s="198" t="s">
        <v>56</v>
      </c>
      <c r="W1245" s="198" t="s">
        <v>356</v>
      </c>
      <c r="X1245" s="198" t="s">
        <v>57</v>
      </c>
      <c r="Y1245" s="198" t="s">
        <v>58</v>
      </c>
      <c r="Z1245" s="201">
        <v>46247</v>
      </c>
      <c r="AA1245" s="198" t="s">
        <v>59</v>
      </c>
      <c r="AB1245" s="198" t="s">
        <v>60</v>
      </c>
      <c r="AC1245" s="198" t="s">
        <v>86</v>
      </c>
      <c r="AD1245" s="198" t="s">
        <v>62</v>
      </c>
      <c r="AE1245" s="198" t="s">
        <v>324</v>
      </c>
      <c r="AF1245" s="198" t="s">
        <v>323</v>
      </c>
      <c r="AG1245" s="198" t="s">
        <v>564</v>
      </c>
      <c r="AH1245" s="198" t="s">
        <v>65</v>
      </c>
      <c r="AI1245" s="198" t="s">
        <v>56</v>
      </c>
      <c r="AJ1245" s="198" t="s">
        <v>325</v>
      </c>
      <c r="AK1245" s="198" t="s">
        <v>51</v>
      </c>
      <c r="AL1245" s="198" t="s">
        <v>67</v>
      </c>
      <c r="AM1245" s="198" t="s">
        <v>68</v>
      </c>
      <c r="AN1245" s="202">
        <v>24000</v>
      </c>
      <c r="AO1245" s="202">
        <v>24000</v>
      </c>
      <c r="AP1245" s="202">
        <v>24000</v>
      </c>
      <c r="AQ1245" s="198" t="s">
        <v>358</v>
      </c>
      <c r="AR1245" s="198" t="s">
        <v>51</v>
      </c>
      <c r="AS1245" s="202">
        <v>24000</v>
      </c>
      <c r="AT1245" s="202">
        <v>24000</v>
      </c>
      <c r="AU1245" s="198" t="s">
        <v>359</v>
      </c>
      <c r="AV1245" s="198" t="s">
        <v>62</v>
      </c>
      <c r="AW1245" s="198" t="s">
        <v>54</v>
      </c>
    </row>
    <row r="1246" spans="3:49" outlineLevel="2" x14ac:dyDescent="0.25">
      <c r="C1246" s="201"/>
      <c r="D1246" s="198" t="s">
        <v>290</v>
      </c>
      <c r="H1246" s="198" t="s">
        <v>290</v>
      </c>
      <c r="I1246" s="202">
        <f t="shared" si="19"/>
        <v>518260344.75</v>
      </c>
      <c r="J1246" s="202">
        <v>125.5</v>
      </c>
      <c r="L1246" s="204">
        <v>100</v>
      </c>
      <c r="M1246" s="202">
        <v>10000</v>
      </c>
      <c r="N1246" s="204">
        <v>100</v>
      </c>
      <c r="O1246" s="198" t="s">
        <v>51</v>
      </c>
      <c r="P1246" s="202">
        <v>10000</v>
      </c>
      <c r="Q1246" s="198" t="s">
        <v>75</v>
      </c>
      <c r="R1246" s="198" t="s">
        <v>53</v>
      </c>
      <c r="S1246" s="198" t="s">
        <v>54</v>
      </c>
      <c r="T1246" s="198" t="s">
        <v>1751</v>
      </c>
      <c r="U1246" s="198" t="s">
        <v>1737</v>
      </c>
      <c r="V1246" s="198" t="s">
        <v>56</v>
      </c>
      <c r="W1246" s="198" t="s">
        <v>356</v>
      </c>
      <c r="X1246" s="198" t="s">
        <v>57</v>
      </c>
      <c r="Y1246" s="198" t="s">
        <v>58</v>
      </c>
      <c r="Z1246" s="201">
        <v>46247</v>
      </c>
      <c r="AA1246" s="198" t="s">
        <v>59</v>
      </c>
      <c r="AB1246" s="198" t="s">
        <v>60</v>
      </c>
      <c r="AC1246" s="198" t="s">
        <v>86</v>
      </c>
      <c r="AD1246" s="198" t="s">
        <v>62</v>
      </c>
      <c r="AE1246" s="198" t="s">
        <v>327</v>
      </c>
      <c r="AF1246" s="198" t="s">
        <v>326</v>
      </c>
      <c r="AG1246" s="198" t="s">
        <v>564</v>
      </c>
      <c r="AH1246" s="198" t="s">
        <v>65</v>
      </c>
      <c r="AI1246" s="198" t="s">
        <v>56</v>
      </c>
      <c r="AJ1246" s="198" t="s">
        <v>328</v>
      </c>
      <c r="AK1246" s="198" t="s">
        <v>51</v>
      </c>
      <c r="AL1246" s="198" t="s">
        <v>67</v>
      </c>
      <c r="AM1246" s="198" t="s">
        <v>68</v>
      </c>
      <c r="AN1246" s="202">
        <v>10000</v>
      </c>
      <c r="AO1246" s="202">
        <v>10000</v>
      </c>
      <c r="AP1246" s="202">
        <v>10000</v>
      </c>
      <c r="AQ1246" s="198" t="s">
        <v>358</v>
      </c>
      <c r="AR1246" s="198" t="s">
        <v>51</v>
      </c>
      <c r="AS1246" s="202">
        <v>10000</v>
      </c>
      <c r="AT1246" s="202">
        <v>10000</v>
      </c>
      <c r="AU1246" s="198" t="s">
        <v>359</v>
      </c>
      <c r="AV1246" s="198" t="s">
        <v>62</v>
      </c>
      <c r="AW1246" s="198" t="s">
        <v>54</v>
      </c>
    </row>
    <row r="1247" spans="3:49" outlineLevel="2" x14ac:dyDescent="0.25">
      <c r="C1247" s="201"/>
      <c r="D1247" s="198" t="s">
        <v>290</v>
      </c>
      <c r="H1247" s="198" t="s">
        <v>290</v>
      </c>
      <c r="I1247" s="202">
        <f t="shared" si="19"/>
        <v>518673301.19999999</v>
      </c>
      <c r="J1247" s="202">
        <v>125.6</v>
      </c>
      <c r="L1247" s="204">
        <v>250</v>
      </c>
      <c r="M1247" s="202">
        <v>75000</v>
      </c>
      <c r="N1247" s="204">
        <v>250</v>
      </c>
      <c r="O1247" s="198" t="s">
        <v>51</v>
      </c>
      <c r="P1247" s="202">
        <v>75000</v>
      </c>
      <c r="Q1247" s="198" t="s">
        <v>75</v>
      </c>
      <c r="R1247" s="198" t="s">
        <v>53</v>
      </c>
      <c r="S1247" s="198" t="s">
        <v>54</v>
      </c>
      <c r="T1247" s="198" t="s">
        <v>1751</v>
      </c>
      <c r="U1247" s="198" t="s">
        <v>1737</v>
      </c>
      <c r="V1247" s="198" t="s">
        <v>56</v>
      </c>
      <c r="W1247" s="198" t="s">
        <v>356</v>
      </c>
      <c r="X1247" s="198" t="s">
        <v>57</v>
      </c>
      <c r="Y1247" s="198" t="s">
        <v>58</v>
      </c>
      <c r="Z1247" s="201">
        <v>46247</v>
      </c>
      <c r="AA1247" s="198" t="s">
        <v>59</v>
      </c>
      <c r="AB1247" s="198" t="s">
        <v>60</v>
      </c>
      <c r="AC1247" s="198" t="s">
        <v>86</v>
      </c>
      <c r="AD1247" s="198" t="s">
        <v>62</v>
      </c>
      <c r="AE1247" s="198" t="s">
        <v>330</v>
      </c>
      <c r="AF1247" s="198" t="s">
        <v>329</v>
      </c>
      <c r="AG1247" s="198" t="s">
        <v>564</v>
      </c>
      <c r="AH1247" s="198" t="s">
        <v>65</v>
      </c>
      <c r="AI1247" s="198" t="s">
        <v>56</v>
      </c>
      <c r="AJ1247" s="198" t="s">
        <v>76</v>
      </c>
      <c r="AK1247" s="198" t="s">
        <v>51</v>
      </c>
      <c r="AL1247" s="198" t="s">
        <v>67</v>
      </c>
      <c r="AM1247" s="198" t="s">
        <v>68</v>
      </c>
      <c r="AN1247" s="202">
        <v>75000</v>
      </c>
      <c r="AO1247" s="202">
        <v>75000</v>
      </c>
      <c r="AP1247" s="202">
        <v>75000</v>
      </c>
      <c r="AQ1247" s="198" t="s">
        <v>358</v>
      </c>
      <c r="AR1247" s="198" t="s">
        <v>51</v>
      </c>
      <c r="AS1247" s="202">
        <v>75000</v>
      </c>
      <c r="AT1247" s="202">
        <v>75000</v>
      </c>
      <c r="AU1247" s="198" t="s">
        <v>359</v>
      </c>
      <c r="AV1247" s="198" t="s">
        <v>62</v>
      </c>
      <c r="AW1247" s="198" t="s">
        <v>54</v>
      </c>
    </row>
    <row r="1248" spans="3:49" outlineLevel="2" x14ac:dyDescent="0.25">
      <c r="C1248" s="201"/>
      <c r="D1248" s="198" t="s">
        <v>290</v>
      </c>
      <c r="H1248" s="198" t="s">
        <v>290</v>
      </c>
      <c r="I1248" s="202">
        <f t="shared" si="19"/>
        <v>519086257.65000004</v>
      </c>
      <c r="J1248" s="202">
        <v>125.7</v>
      </c>
      <c r="L1248" s="204">
        <v>300</v>
      </c>
      <c r="M1248" s="202">
        <v>897000</v>
      </c>
      <c r="N1248" s="204">
        <v>300</v>
      </c>
      <c r="O1248" s="198" t="s">
        <v>51</v>
      </c>
      <c r="P1248" s="202">
        <v>897000</v>
      </c>
      <c r="Q1248" s="198" t="s">
        <v>75</v>
      </c>
      <c r="R1248" s="198" t="s">
        <v>53</v>
      </c>
      <c r="S1248" s="198" t="s">
        <v>54</v>
      </c>
      <c r="T1248" s="198" t="s">
        <v>1751</v>
      </c>
      <c r="U1248" s="198" t="s">
        <v>1737</v>
      </c>
      <c r="V1248" s="198" t="s">
        <v>56</v>
      </c>
      <c r="W1248" s="198" t="s">
        <v>356</v>
      </c>
      <c r="X1248" s="198" t="s">
        <v>57</v>
      </c>
      <c r="Y1248" s="198" t="s">
        <v>58</v>
      </c>
      <c r="Z1248" s="201">
        <v>46247</v>
      </c>
      <c r="AA1248" s="198" t="s">
        <v>59</v>
      </c>
      <c r="AB1248" s="198" t="s">
        <v>60</v>
      </c>
      <c r="AC1248" s="198" t="s">
        <v>86</v>
      </c>
      <c r="AD1248" s="198" t="s">
        <v>62</v>
      </c>
      <c r="AE1248" s="198" t="s">
        <v>332</v>
      </c>
      <c r="AF1248" s="198" t="s">
        <v>331</v>
      </c>
      <c r="AG1248" s="198" t="s">
        <v>564</v>
      </c>
      <c r="AH1248" s="198" t="s">
        <v>65</v>
      </c>
      <c r="AI1248" s="198" t="s">
        <v>56</v>
      </c>
      <c r="AJ1248" s="198" t="s">
        <v>333</v>
      </c>
      <c r="AK1248" s="198" t="s">
        <v>51</v>
      </c>
      <c r="AL1248" s="198" t="s">
        <v>67</v>
      </c>
      <c r="AM1248" s="198" t="s">
        <v>68</v>
      </c>
      <c r="AN1248" s="202">
        <v>897000</v>
      </c>
      <c r="AO1248" s="202">
        <v>897000</v>
      </c>
      <c r="AP1248" s="202">
        <v>897000</v>
      </c>
      <c r="AQ1248" s="198" t="s">
        <v>358</v>
      </c>
      <c r="AR1248" s="198" t="s">
        <v>51</v>
      </c>
      <c r="AS1248" s="202">
        <v>897000</v>
      </c>
      <c r="AT1248" s="202">
        <v>897000</v>
      </c>
      <c r="AU1248" s="198" t="s">
        <v>359</v>
      </c>
      <c r="AV1248" s="198" t="s">
        <v>62</v>
      </c>
      <c r="AW1248" s="198" t="s">
        <v>54</v>
      </c>
    </row>
    <row r="1249" spans="3:49" outlineLevel="2" x14ac:dyDescent="0.25">
      <c r="C1249" s="201"/>
      <c r="D1249" s="198" t="s">
        <v>290</v>
      </c>
      <c r="H1249" s="198" t="s">
        <v>290</v>
      </c>
      <c r="I1249" s="202">
        <f t="shared" si="19"/>
        <v>519499214.09999996</v>
      </c>
      <c r="J1249" s="202">
        <v>125.8</v>
      </c>
      <c r="L1249" s="204">
        <v>1</v>
      </c>
      <c r="M1249" s="202">
        <v>50000</v>
      </c>
      <c r="N1249" s="204">
        <v>1</v>
      </c>
      <c r="O1249" s="198" t="s">
        <v>51</v>
      </c>
      <c r="P1249" s="202">
        <v>50000</v>
      </c>
      <c r="Q1249" s="198" t="s">
        <v>335</v>
      </c>
      <c r="R1249" s="198" t="s">
        <v>53</v>
      </c>
      <c r="S1249" s="198" t="s">
        <v>54</v>
      </c>
      <c r="T1249" s="198" t="s">
        <v>1751</v>
      </c>
      <c r="U1249" s="198" t="s">
        <v>1737</v>
      </c>
      <c r="V1249" s="198" t="s">
        <v>56</v>
      </c>
      <c r="W1249" s="198" t="s">
        <v>356</v>
      </c>
      <c r="X1249" s="198" t="s">
        <v>57</v>
      </c>
      <c r="Y1249" s="198" t="s">
        <v>58</v>
      </c>
      <c r="Z1249" s="201">
        <v>46247</v>
      </c>
      <c r="AA1249" s="198" t="s">
        <v>59</v>
      </c>
      <c r="AB1249" s="198" t="s">
        <v>60</v>
      </c>
      <c r="AC1249" s="198" t="s">
        <v>86</v>
      </c>
      <c r="AD1249" s="198" t="s">
        <v>62</v>
      </c>
      <c r="AE1249" s="198" t="s">
        <v>336</v>
      </c>
      <c r="AF1249" s="198" t="s">
        <v>334</v>
      </c>
      <c r="AG1249" s="198" t="s">
        <v>564</v>
      </c>
      <c r="AH1249" s="198" t="s">
        <v>65</v>
      </c>
      <c r="AI1249" s="198" t="s">
        <v>56</v>
      </c>
      <c r="AJ1249" s="198" t="s">
        <v>325</v>
      </c>
      <c r="AK1249" s="198" t="s">
        <v>51</v>
      </c>
      <c r="AL1249" s="198" t="s">
        <v>67</v>
      </c>
      <c r="AM1249" s="198" t="s">
        <v>68</v>
      </c>
      <c r="AN1249" s="202">
        <v>50000</v>
      </c>
      <c r="AO1249" s="202">
        <v>50000</v>
      </c>
      <c r="AP1249" s="202">
        <v>50000</v>
      </c>
      <c r="AQ1249" s="198" t="s">
        <v>358</v>
      </c>
      <c r="AR1249" s="198" t="s">
        <v>51</v>
      </c>
      <c r="AS1249" s="202">
        <v>50000</v>
      </c>
      <c r="AT1249" s="202">
        <v>50000</v>
      </c>
      <c r="AU1249" s="198" t="s">
        <v>359</v>
      </c>
      <c r="AV1249" s="198" t="s">
        <v>62</v>
      </c>
      <c r="AW1249" s="198" t="s">
        <v>54</v>
      </c>
    </row>
    <row r="1250" spans="3:49" outlineLevel="2" x14ac:dyDescent="0.25">
      <c r="C1250" s="201"/>
      <c r="D1250" s="198" t="s">
        <v>290</v>
      </c>
      <c r="H1250" s="198" t="s">
        <v>290</v>
      </c>
      <c r="I1250" s="202">
        <f t="shared" si="19"/>
        <v>519912170.55000001</v>
      </c>
      <c r="J1250" s="202">
        <v>125.9</v>
      </c>
      <c r="L1250" s="204">
        <v>1</v>
      </c>
      <c r="M1250" s="202">
        <v>125154</v>
      </c>
      <c r="N1250" s="204">
        <v>1</v>
      </c>
      <c r="O1250" s="198" t="s">
        <v>51</v>
      </c>
      <c r="P1250" s="202">
        <v>125154</v>
      </c>
      <c r="Q1250" s="198" t="s">
        <v>335</v>
      </c>
      <c r="R1250" s="198" t="s">
        <v>53</v>
      </c>
      <c r="S1250" s="198" t="s">
        <v>54</v>
      </c>
      <c r="T1250" s="198" t="s">
        <v>1751</v>
      </c>
      <c r="U1250" s="198" t="s">
        <v>1737</v>
      </c>
      <c r="V1250" s="198" t="s">
        <v>56</v>
      </c>
      <c r="W1250" s="198" t="s">
        <v>356</v>
      </c>
      <c r="X1250" s="198" t="s">
        <v>57</v>
      </c>
      <c r="Y1250" s="198" t="s">
        <v>58</v>
      </c>
      <c r="Z1250" s="201">
        <v>46247</v>
      </c>
      <c r="AA1250" s="198" t="s">
        <v>59</v>
      </c>
      <c r="AB1250" s="198" t="s">
        <v>60</v>
      </c>
      <c r="AC1250" s="198" t="s">
        <v>86</v>
      </c>
      <c r="AD1250" s="198" t="s">
        <v>62</v>
      </c>
      <c r="AE1250" s="198" t="s">
        <v>338</v>
      </c>
      <c r="AF1250" s="198" t="s">
        <v>337</v>
      </c>
      <c r="AG1250" s="198" t="s">
        <v>564</v>
      </c>
      <c r="AH1250" s="198" t="s">
        <v>65</v>
      </c>
      <c r="AI1250" s="198" t="s">
        <v>56</v>
      </c>
      <c r="AJ1250" s="198" t="s">
        <v>74</v>
      </c>
      <c r="AK1250" s="198" t="s">
        <v>51</v>
      </c>
      <c r="AL1250" s="198" t="s">
        <v>67</v>
      </c>
      <c r="AM1250" s="198" t="s">
        <v>68</v>
      </c>
      <c r="AN1250" s="202">
        <v>125154</v>
      </c>
      <c r="AO1250" s="202">
        <v>125154</v>
      </c>
      <c r="AP1250" s="202">
        <v>125154</v>
      </c>
      <c r="AQ1250" s="198" t="s">
        <v>358</v>
      </c>
      <c r="AR1250" s="198" t="s">
        <v>51</v>
      </c>
      <c r="AS1250" s="202">
        <v>125154</v>
      </c>
      <c r="AT1250" s="202">
        <v>125154</v>
      </c>
      <c r="AU1250" s="198" t="s">
        <v>359</v>
      </c>
      <c r="AV1250" s="198" t="s">
        <v>62</v>
      </c>
      <c r="AW1250" s="198" t="s">
        <v>54</v>
      </c>
    </row>
    <row r="1251" spans="3:49" outlineLevel="2" x14ac:dyDescent="0.25">
      <c r="C1251" s="201"/>
      <c r="D1251" s="198" t="s">
        <v>290</v>
      </c>
      <c r="H1251" s="198" t="s">
        <v>290</v>
      </c>
      <c r="I1251" s="202">
        <f t="shared" si="19"/>
        <v>520325127</v>
      </c>
      <c r="J1251" s="202">
        <v>126</v>
      </c>
      <c r="L1251" s="204">
        <v>1</v>
      </c>
      <c r="M1251" s="202">
        <v>35000</v>
      </c>
      <c r="N1251" s="204">
        <v>1</v>
      </c>
      <c r="O1251" s="198" t="s">
        <v>51</v>
      </c>
      <c r="P1251" s="202">
        <v>35000</v>
      </c>
      <c r="Q1251" s="198" t="s">
        <v>335</v>
      </c>
      <c r="R1251" s="198" t="s">
        <v>53</v>
      </c>
      <c r="S1251" s="198" t="s">
        <v>54</v>
      </c>
      <c r="T1251" s="198" t="s">
        <v>1751</v>
      </c>
      <c r="U1251" s="198" t="s">
        <v>1737</v>
      </c>
      <c r="V1251" s="198" t="s">
        <v>56</v>
      </c>
      <c r="W1251" s="198" t="s">
        <v>356</v>
      </c>
      <c r="X1251" s="198" t="s">
        <v>57</v>
      </c>
      <c r="Y1251" s="198" t="s">
        <v>58</v>
      </c>
      <c r="Z1251" s="201">
        <v>46247</v>
      </c>
      <c r="AA1251" s="198" t="s">
        <v>59</v>
      </c>
      <c r="AB1251" s="198" t="s">
        <v>60</v>
      </c>
      <c r="AC1251" s="198" t="s">
        <v>86</v>
      </c>
      <c r="AD1251" s="198" t="s">
        <v>62</v>
      </c>
      <c r="AE1251" s="198" t="s">
        <v>340</v>
      </c>
      <c r="AF1251" s="198" t="s">
        <v>339</v>
      </c>
      <c r="AG1251" s="198" t="s">
        <v>564</v>
      </c>
      <c r="AH1251" s="198" t="s">
        <v>65</v>
      </c>
      <c r="AI1251" s="198" t="s">
        <v>56</v>
      </c>
      <c r="AJ1251" s="198" t="s">
        <v>318</v>
      </c>
      <c r="AK1251" s="198" t="s">
        <v>51</v>
      </c>
      <c r="AL1251" s="198" t="s">
        <v>67</v>
      </c>
      <c r="AM1251" s="198" t="s">
        <v>68</v>
      </c>
      <c r="AN1251" s="202">
        <v>35000</v>
      </c>
      <c r="AO1251" s="202">
        <v>35000</v>
      </c>
      <c r="AP1251" s="202">
        <v>35000</v>
      </c>
      <c r="AQ1251" s="198" t="s">
        <v>358</v>
      </c>
      <c r="AR1251" s="198" t="s">
        <v>51</v>
      </c>
      <c r="AS1251" s="202">
        <v>35000</v>
      </c>
      <c r="AT1251" s="202">
        <v>35000</v>
      </c>
      <c r="AU1251" s="198" t="s">
        <v>359</v>
      </c>
      <c r="AV1251" s="198" t="s">
        <v>62</v>
      </c>
      <c r="AW1251" s="198" t="s">
        <v>54</v>
      </c>
    </row>
    <row r="1252" spans="3:49" outlineLevel="2" x14ac:dyDescent="0.25">
      <c r="C1252" s="201"/>
      <c r="D1252" s="198" t="s">
        <v>290</v>
      </c>
      <c r="H1252" s="198" t="s">
        <v>290</v>
      </c>
      <c r="I1252" s="202">
        <f t="shared" si="19"/>
        <v>520738083.44999999</v>
      </c>
      <c r="J1252" s="202">
        <v>126.1</v>
      </c>
      <c r="L1252" s="204">
        <v>1</v>
      </c>
      <c r="M1252" s="202">
        <v>35000</v>
      </c>
      <c r="N1252" s="204">
        <v>1</v>
      </c>
      <c r="O1252" s="198" t="s">
        <v>51</v>
      </c>
      <c r="P1252" s="202">
        <v>35000</v>
      </c>
      <c r="Q1252" s="198" t="s">
        <v>342</v>
      </c>
      <c r="R1252" s="198" t="s">
        <v>53</v>
      </c>
      <c r="S1252" s="198" t="s">
        <v>54</v>
      </c>
      <c r="T1252" s="198" t="s">
        <v>1751</v>
      </c>
      <c r="U1252" s="198" t="s">
        <v>1737</v>
      </c>
      <c r="V1252" s="198" t="s">
        <v>56</v>
      </c>
      <c r="W1252" s="198" t="s">
        <v>356</v>
      </c>
      <c r="X1252" s="198" t="s">
        <v>57</v>
      </c>
      <c r="Y1252" s="198" t="s">
        <v>58</v>
      </c>
      <c r="Z1252" s="201">
        <v>46247</v>
      </c>
      <c r="AA1252" s="198" t="s">
        <v>59</v>
      </c>
      <c r="AB1252" s="198" t="s">
        <v>60</v>
      </c>
      <c r="AC1252" s="198" t="s">
        <v>86</v>
      </c>
      <c r="AD1252" s="198" t="s">
        <v>62</v>
      </c>
      <c r="AE1252" s="198" t="s">
        <v>343</v>
      </c>
      <c r="AF1252" s="198" t="s">
        <v>341</v>
      </c>
      <c r="AG1252" s="198" t="s">
        <v>564</v>
      </c>
      <c r="AH1252" s="198" t="s">
        <v>65</v>
      </c>
      <c r="AI1252" s="198" t="s">
        <v>56</v>
      </c>
      <c r="AJ1252" s="198" t="s">
        <v>344</v>
      </c>
      <c r="AK1252" s="198" t="s">
        <v>51</v>
      </c>
      <c r="AL1252" s="198" t="s">
        <v>67</v>
      </c>
      <c r="AM1252" s="198" t="s">
        <v>68</v>
      </c>
      <c r="AN1252" s="202">
        <v>35000</v>
      </c>
      <c r="AO1252" s="202">
        <v>35000</v>
      </c>
      <c r="AP1252" s="202">
        <v>35000</v>
      </c>
      <c r="AQ1252" s="198" t="s">
        <v>358</v>
      </c>
      <c r="AR1252" s="198" t="s">
        <v>51</v>
      </c>
      <c r="AS1252" s="202">
        <v>35000</v>
      </c>
      <c r="AT1252" s="202">
        <v>35000</v>
      </c>
      <c r="AU1252" s="198" t="s">
        <v>359</v>
      </c>
      <c r="AV1252" s="198" t="s">
        <v>62</v>
      </c>
      <c r="AW1252" s="198" t="s">
        <v>54</v>
      </c>
    </row>
    <row r="1253" spans="3:49" outlineLevel="2" x14ac:dyDescent="0.25">
      <c r="C1253" s="201"/>
      <c r="D1253" s="198" t="s">
        <v>290</v>
      </c>
      <c r="H1253" s="198" t="s">
        <v>290</v>
      </c>
      <c r="I1253" s="202">
        <f t="shared" si="19"/>
        <v>521151039.90000004</v>
      </c>
      <c r="J1253" s="202">
        <v>126.2</v>
      </c>
      <c r="L1253" s="204">
        <v>1</v>
      </c>
      <c r="M1253" s="202">
        <v>1070000</v>
      </c>
      <c r="N1253" s="204">
        <v>1</v>
      </c>
      <c r="O1253" s="198" t="s">
        <v>51</v>
      </c>
      <c r="P1253" s="202">
        <v>1070000</v>
      </c>
      <c r="Q1253" s="198" t="s">
        <v>342</v>
      </c>
      <c r="R1253" s="198" t="s">
        <v>53</v>
      </c>
      <c r="S1253" s="198" t="s">
        <v>54</v>
      </c>
      <c r="T1253" s="198" t="s">
        <v>1751</v>
      </c>
      <c r="U1253" s="198" t="s">
        <v>1737</v>
      </c>
      <c r="V1253" s="198" t="s">
        <v>56</v>
      </c>
      <c r="W1253" s="198" t="s">
        <v>356</v>
      </c>
      <c r="X1253" s="198" t="s">
        <v>57</v>
      </c>
      <c r="Y1253" s="198" t="s">
        <v>58</v>
      </c>
      <c r="Z1253" s="201">
        <v>46247</v>
      </c>
      <c r="AA1253" s="198" t="s">
        <v>59</v>
      </c>
      <c r="AB1253" s="198" t="s">
        <v>60</v>
      </c>
      <c r="AC1253" s="198" t="s">
        <v>86</v>
      </c>
      <c r="AD1253" s="198" t="s">
        <v>62</v>
      </c>
      <c r="AE1253" s="198" t="s">
        <v>346</v>
      </c>
      <c r="AF1253" s="198" t="s">
        <v>345</v>
      </c>
      <c r="AG1253" s="198" t="s">
        <v>564</v>
      </c>
      <c r="AH1253" s="198" t="s">
        <v>65</v>
      </c>
      <c r="AI1253" s="198" t="s">
        <v>56</v>
      </c>
      <c r="AJ1253" s="198" t="s">
        <v>121</v>
      </c>
      <c r="AK1253" s="198" t="s">
        <v>51</v>
      </c>
      <c r="AL1253" s="198" t="s">
        <v>67</v>
      </c>
      <c r="AM1253" s="198" t="s">
        <v>68</v>
      </c>
      <c r="AN1253" s="202">
        <v>1070000</v>
      </c>
      <c r="AO1253" s="202">
        <v>1070000</v>
      </c>
      <c r="AP1253" s="202">
        <v>1070000</v>
      </c>
      <c r="AQ1253" s="198" t="s">
        <v>358</v>
      </c>
      <c r="AR1253" s="198" t="s">
        <v>51</v>
      </c>
      <c r="AS1253" s="202">
        <v>1070000</v>
      </c>
      <c r="AT1253" s="202">
        <v>1070000</v>
      </c>
      <c r="AU1253" s="198" t="s">
        <v>359</v>
      </c>
      <c r="AV1253" s="198" t="s">
        <v>62</v>
      </c>
      <c r="AW1253" s="198" t="s">
        <v>54</v>
      </c>
    </row>
    <row r="1254" spans="3:49" outlineLevel="2" x14ac:dyDescent="0.25">
      <c r="C1254" s="201"/>
      <c r="D1254" s="198" t="s">
        <v>290</v>
      </c>
      <c r="H1254" s="198" t="s">
        <v>290</v>
      </c>
      <c r="I1254" s="202">
        <f t="shared" si="19"/>
        <v>521563996.34999996</v>
      </c>
      <c r="J1254" s="202">
        <v>126.3</v>
      </c>
      <c r="L1254" s="204">
        <v>1</v>
      </c>
      <c r="M1254" s="202">
        <v>2084718</v>
      </c>
      <c r="N1254" s="204">
        <v>1</v>
      </c>
      <c r="O1254" s="198" t="s">
        <v>51</v>
      </c>
      <c r="P1254" s="202">
        <v>2084718</v>
      </c>
      <c r="Q1254" s="198" t="s">
        <v>159</v>
      </c>
      <c r="R1254" s="198" t="s">
        <v>160</v>
      </c>
      <c r="S1254" s="198" t="s">
        <v>54</v>
      </c>
      <c r="T1254" s="198" t="s">
        <v>1751</v>
      </c>
      <c r="U1254" s="198" t="s">
        <v>1737</v>
      </c>
      <c r="V1254" s="198" t="s">
        <v>56</v>
      </c>
      <c r="W1254" s="198" t="s">
        <v>356</v>
      </c>
      <c r="X1254" s="198" t="s">
        <v>161</v>
      </c>
      <c r="Y1254" s="198" t="s">
        <v>162</v>
      </c>
      <c r="Z1254" s="201">
        <v>46247</v>
      </c>
      <c r="AA1254" s="198" t="s">
        <v>59</v>
      </c>
      <c r="AB1254" s="198" t="s">
        <v>60</v>
      </c>
      <c r="AC1254" s="198" t="s">
        <v>86</v>
      </c>
      <c r="AD1254" s="198" t="s">
        <v>62</v>
      </c>
      <c r="AE1254" s="198" t="s">
        <v>54</v>
      </c>
      <c r="AF1254" s="198" t="s">
        <v>54</v>
      </c>
      <c r="AG1254" s="198" t="s">
        <v>564</v>
      </c>
      <c r="AH1254" s="198" t="s">
        <v>65</v>
      </c>
      <c r="AI1254" s="198" t="s">
        <v>56</v>
      </c>
      <c r="AJ1254" s="198" t="s">
        <v>163</v>
      </c>
      <c r="AK1254" s="198" t="s">
        <v>51</v>
      </c>
      <c r="AL1254" s="198" t="s">
        <v>67</v>
      </c>
      <c r="AM1254" s="198" t="s">
        <v>68</v>
      </c>
      <c r="AN1254" s="202">
        <v>2084718</v>
      </c>
      <c r="AO1254" s="202">
        <v>2084718</v>
      </c>
      <c r="AP1254" s="202">
        <v>2084718</v>
      </c>
      <c r="AQ1254" s="198" t="s">
        <v>358</v>
      </c>
      <c r="AR1254" s="198" t="s">
        <v>51</v>
      </c>
      <c r="AS1254" s="202">
        <v>2084718</v>
      </c>
      <c r="AT1254" s="202">
        <v>2084718</v>
      </c>
      <c r="AU1254" s="198" t="s">
        <v>359</v>
      </c>
      <c r="AV1254" s="198" t="s">
        <v>62</v>
      </c>
      <c r="AW1254" s="198" t="s">
        <v>54</v>
      </c>
    </row>
    <row r="1255" spans="3:49" outlineLevel="2" x14ac:dyDescent="0.25">
      <c r="C1255" s="201"/>
      <c r="D1255" s="198" t="s">
        <v>347</v>
      </c>
      <c r="H1255" s="198" t="s">
        <v>347</v>
      </c>
      <c r="I1255" s="202">
        <f t="shared" si="19"/>
        <v>521976952.80000001</v>
      </c>
      <c r="J1255" s="202">
        <v>126.4</v>
      </c>
      <c r="L1255" s="204">
        <v>5</v>
      </c>
      <c r="M1255" s="202">
        <v>1494515</v>
      </c>
      <c r="N1255" s="204">
        <v>5</v>
      </c>
      <c r="O1255" s="198" t="s">
        <v>51</v>
      </c>
      <c r="P1255" s="202">
        <v>1494515</v>
      </c>
      <c r="Q1255" s="198" t="s">
        <v>73</v>
      </c>
      <c r="R1255" s="198" t="s">
        <v>53</v>
      </c>
      <c r="S1255" s="198" t="s">
        <v>54</v>
      </c>
      <c r="T1255" s="198" t="s">
        <v>1751</v>
      </c>
      <c r="U1255" s="198" t="s">
        <v>277</v>
      </c>
      <c r="V1255" s="198" t="s">
        <v>56</v>
      </c>
      <c r="W1255" s="198" t="s">
        <v>356</v>
      </c>
      <c r="X1255" s="198" t="s">
        <v>57</v>
      </c>
      <c r="Y1255" s="198" t="s">
        <v>58</v>
      </c>
      <c r="Z1255" s="201">
        <v>46223</v>
      </c>
      <c r="AA1255" s="198" t="s">
        <v>59</v>
      </c>
      <c r="AB1255" s="198" t="s">
        <v>60</v>
      </c>
      <c r="AC1255" s="198" t="s">
        <v>86</v>
      </c>
      <c r="AD1255" s="198" t="s">
        <v>62</v>
      </c>
      <c r="AE1255" s="198" t="s">
        <v>293</v>
      </c>
      <c r="AF1255" s="198" t="s">
        <v>292</v>
      </c>
      <c r="AG1255" s="198" t="s">
        <v>248</v>
      </c>
      <c r="AH1255" s="198" t="s">
        <v>169</v>
      </c>
      <c r="AI1255" s="198" t="s">
        <v>56</v>
      </c>
      <c r="AJ1255" s="198" t="s">
        <v>294</v>
      </c>
      <c r="AK1255" s="198" t="s">
        <v>51</v>
      </c>
      <c r="AL1255" s="198" t="s">
        <v>67</v>
      </c>
      <c r="AM1255" s="198" t="s">
        <v>68</v>
      </c>
      <c r="AN1255" s="202">
        <v>1494515</v>
      </c>
      <c r="AO1255" s="202">
        <v>1494515</v>
      </c>
      <c r="AP1255" s="202">
        <v>1494515</v>
      </c>
      <c r="AQ1255" s="198" t="s">
        <v>358</v>
      </c>
      <c r="AR1255" s="198" t="s">
        <v>51</v>
      </c>
      <c r="AS1255" s="202">
        <v>1494515</v>
      </c>
      <c r="AT1255" s="202">
        <v>1494515</v>
      </c>
      <c r="AU1255" s="198" t="s">
        <v>359</v>
      </c>
      <c r="AV1255" s="198" t="s">
        <v>62</v>
      </c>
      <c r="AW1255" s="198" t="s">
        <v>54</v>
      </c>
    </row>
    <row r="1256" spans="3:49" outlineLevel="2" x14ac:dyDescent="0.25">
      <c r="C1256" s="201"/>
      <c r="D1256" s="198" t="s">
        <v>347</v>
      </c>
      <c r="H1256" s="198" t="s">
        <v>347</v>
      </c>
      <c r="I1256" s="202">
        <f t="shared" si="19"/>
        <v>522389909.25</v>
      </c>
      <c r="J1256" s="202">
        <v>126.5</v>
      </c>
      <c r="L1256" s="204">
        <v>1</v>
      </c>
      <c r="M1256" s="202">
        <v>155000</v>
      </c>
      <c r="N1256" s="204">
        <v>1</v>
      </c>
      <c r="O1256" s="198" t="s">
        <v>51</v>
      </c>
      <c r="P1256" s="202">
        <v>155000</v>
      </c>
      <c r="Q1256" s="198" t="s">
        <v>73</v>
      </c>
      <c r="R1256" s="198" t="s">
        <v>53</v>
      </c>
      <c r="S1256" s="198" t="s">
        <v>54</v>
      </c>
      <c r="T1256" s="198" t="s">
        <v>1751</v>
      </c>
      <c r="U1256" s="198" t="s">
        <v>277</v>
      </c>
      <c r="V1256" s="198" t="s">
        <v>56</v>
      </c>
      <c r="W1256" s="198" t="s">
        <v>356</v>
      </c>
      <c r="X1256" s="198" t="s">
        <v>57</v>
      </c>
      <c r="Y1256" s="198" t="s">
        <v>58</v>
      </c>
      <c r="Z1256" s="201">
        <v>46223</v>
      </c>
      <c r="AA1256" s="198" t="s">
        <v>59</v>
      </c>
      <c r="AB1256" s="198" t="s">
        <v>60</v>
      </c>
      <c r="AC1256" s="198" t="s">
        <v>86</v>
      </c>
      <c r="AD1256" s="198" t="s">
        <v>62</v>
      </c>
      <c r="AE1256" s="198" t="s">
        <v>296</v>
      </c>
      <c r="AF1256" s="198" t="s">
        <v>295</v>
      </c>
      <c r="AG1256" s="198" t="s">
        <v>248</v>
      </c>
      <c r="AH1256" s="198" t="s">
        <v>169</v>
      </c>
      <c r="AI1256" s="198" t="s">
        <v>56</v>
      </c>
      <c r="AJ1256" s="198" t="s">
        <v>128</v>
      </c>
      <c r="AK1256" s="198" t="s">
        <v>51</v>
      </c>
      <c r="AL1256" s="198" t="s">
        <v>67</v>
      </c>
      <c r="AM1256" s="198" t="s">
        <v>68</v>
      </c>
      <c r="AN1256" s="202">
        <v>155000</v>
      </c>
      <c r="AO1256" s="202">
        <v>155000</v>
      </c>
      <c r="AP1256" s="202">
        <v>155000</v>
      </c>
      <c r="AQ1256" s="198" t="s">
        <v>358</v>
      </c>
      <c r="AR1256" s="198" t="s">
        <v>51</v>
      </c>
      <c r="AS1256" s="202">
        <v>155000</v>
      </c>
      <c r="AT1256" s="202">
        <v>155000</v>
      </c>
      <c r="AU1256" s="198" t="s">
        <v>359</v>
      </c>
      <c r="AV1256" s="198" t="s">
        <v>62</v>
      </c>
      <c r="AW1256" s="198" t="s">
        <v>54</v>
      </c>
    </row>
    <row r="1257" spans="3:49" outlineLevel="2" x14ac:dyDescent="0.25">
      <c r="C1257" s="201"/>
      <c r="D1257" s="198" t="s">
        <v>347</v>
      </c>
      <c r="H1257" s="198" t="s">
        <v>347</v>
      </c>
      <c r="I1257" s="202">
        <f t="shared" si="19"/>
        <v>522802865.69999999</v>
      </c>
      <c r="J1257" s="202">
        <v>126.6</v>
      </c>
      <c r="L1257" s="204">
        <v>10</v>
      </c>
      <c r="M1257" s="202">
        <v>26010</v>
      </c>
      <c r="N1257" s="204">
        <v>10</v>
      </c>
      <c r="O1257" s="198" t="s">
        <v>51</v>
      </c>
      <c r="P1257" s="202">
        <v>26010</v>
      </c>
      <c r="Q1257" s="198" t="s">
        <v>73</v>
      </c>
      <c r="R1257" s="198" t="s">
        <v>53</v>
      </c>
      <c r="S1257" s="198" t="s">
        <v>54</v>
      </c>
      <c r="T1257" s="198" t="s">
        <v>1751</v>
      </c>
      <c r="U1257" s="198" t="s">
        <v>277</v>
      </c>
      <c r="V1257" s="198" t="s">
        <v>56</v>
      </c>
      <c r="W1257" s="198" t="s">
        <v>356</v>
      </c>
      <c r="X1257" s="198" t="s">
        <v>57</v>
      </c>
      <c r="Y1257" s="198" t="s">
        <v>58</v>
      </c>
      <c r="Z1257" s="201">
        <v>46223</v>
      </c>
      <c r="AA1257" s="198" t="s">
        <v>59</v>
      </c>
      <c r="AB1257" s="198" t="s">
        <v>60</v>
      </c>
      <c r="AC1257" s="198" t="s">
        <v>86</v>
      </c>
      <c r="AD1257" s="198" t="s">
        <v>62</v>
      </c>
      <c r="AE1257" s="198" t="s">
        <v>298</v>
      </c>
      <c r="AF1257" s="198" t="s">
        <v>297</v>
      </c>
      <c r="AG1257" s="198" t="s">
        <v>248</v>
      </c>
      <c r="AH1257" s="198" t="s">
        <v>169</v>
      </c>
      <c r="AI1257" s="198" t="s">
        <v>56</v>
      </c>
      <c r="AJ1257" s="198" t="s">
        <v>299</v>
      </c>
      <c r="AK1257" s="198" t="s">
        <v>51</v>
      </c>
      <c r="AL1257" s="198" t="s">
        <v>67</v>
      </c>
      <c r="AM1257" s="198" t="s">
        <v>68</v>
      </c>
      <c r="AN1257" s="202">
        <v>26010</v>
      </c>
      <c r="AO1257" s="202">
        <v>26010</v>
      </c>
      <c r="AP1257" s="202">
        <v>26010</v>
      </c>
      <c r="AQ1257" s="198" t="s">
        <v>358</v>
      </c>
      <c r="AR1257" s="198" t="s">
        <v>51</v>
      </c>
      <c r="AS1257" s="202">
        <v>26010</v>
      </c>
      <c r="AT1257" s="202">
        <v>26010</v>
      </c>
      <c r="AU1257" s="198" t="s">
        <v>359</v>
      </c>
      <c r="AV1257" s="198" t="s">
        <v>62</v>
      </c>
      <c r="AW1257" s="198" t="s">
        <v>54</v>
      </c>
    </row>
    <row r="1258" spans="3:49" outlineLevel="2" x14ac:dyDescent="0.25">
      <c r="C1258" s="201"/>
      <c r="D1258" s="198" t="s">
        <v>347</v>
      </c>
      <c r="H1258" s="198" t="s">
        <v>347</v>
      </c>
      <c r="I1258" s="202">
        <f t="shared" si="19"/>
        <v>523215822.15000004</v>
      </c>
      <c r="J1258" s="202">
        <v>126.7</v>
      </c>
      <c r="L1258" s="204">
        <v>5</v>
      </c>
      <c r="M1258" s="202">
        <v>14500</v>
      </c>
      <c r="N1258" s="204">
        <v>5</v>
      </c>
      <c r="O1258" s="198" t="s">
        <v>51</v>
      </c>
      <c r="P1258" s="202">
        <v>14500</v>
      </c>
      <c r="Q1258" s="198" t="s">
        <v>73</v>
      </c>
      <c r="R1258" s="198" t="s">
        <v>53</v>
      </c>
      <c r="S1258" s="198" t="s">
        <v>54</v>
      </c>
      <c r="T1258" s="198" t="s">
        <v>1751</v>
      </c>
      <c r="U1258" s="198" t="s">
        <v>277</v>
      </c>
      <c r="V1258" s="198" t="s">
        <v>56</v>
      </c>
      <c r="W1258" s="198" t="s">
        <v>356</v>
      </c>
      <c r="X1258" s="198" t="s">
        <v>57</v>
      </c>
      <c r="Y1258" s="198" t="s">
        <v>58</v>
      </c>
      <c r="Z1258" s="201">
        <v>46223</v>
      </c>
      <c r="AA1258" s="198" t="s">
        <v>59</v>
      </c>
      <c r="AB1258" s="198" t="s">
        <v>60</v>
      </c>
      <c r="AC1258" s="198" t="s">
        <v>86</v>
      </c>
      <c r="AD1258" s="198" t="s">
        <v>62</v>
      </c>
      <c r="AE1258" s="198" t="s">
        <v>301</v>
      </c>
      <c r="AF1258" s="198" t="s">
        <v>300</v>
      </c>
      <c r="AG1258" s="198" t="s">
        <v>248</v>
      </c>
      <c r="AH1258" s="198" t="s">
        <v>169</v>
      </c>
      <c r="AI1258" s="198" t="s">
        <v>56</v>
      </c>
      <c r="AJ1258" s="198" t="s">
        <v>121</v>
      </c>
      <c r="AK1258" s="198" t="s">
        <v>51</v>
      </c>
      <c r="AL1258" s="198" t="s">
        <v>67</v>
      </c>
      <c r="AM1258" s="198" t="s">
        <v>68</v>
      </c>
      <c r="AN1258" s="202">
        <v>14500</v>
      </c>
      <c r="AO1258" s="202">
        <v>14500</v>
      </c>
      <c r="AP1258" s="202">
        <v>14500</v>
      </c>
      <c r="AQ1258" s="198" t="s">
        <v>358</v>
      </c>
      <c r="AR1258" s="198" t="s">
        <v>51</v>
      </c>
      <c r="AS1258" s="202">
        <v>14500</v>
      </c>
      <c r="AT1258" s="202">
        <v>14500</v>
      </c>
      <c r="AU1258" s="198" t="s">
        <v>359</v>
      </c>
      <c r="AV1258" s="198" t="s">
        <v>62</v>
      </c>
      <c r="AW1258" s="198" t="s">
        <v>54</v>
      </c>
    </row>
    <row r="1259" spans="3:49" outlineLevel="2" x14ac:dyDescent="0.25">
      <c r="C1259" s="201"/>
      <c r="D1259" s="198" t="s">
        <v>347</v>
      </c>
      <c r="H1259" s="198" t="s">
        <v>347</v>
      </c>
      <c r="I1259" s="202">
        <f t="shared" si="19"/>
        <v>523628778.59999996</v>
      </c>
      <c r="J1259" s="202">
        <v>126.8</v>
      </c>
      <c r="L1259" s="204">
        <v>45</v>
      </c>
      <c r="M1259" s="202">
        <v>265500</v>
      </c>
      <c r="N1259" s="204">
        <v>45</v>
      </c>
      <c r="O1259" s="198" t="s">
        <v>51</v>
      </c>
      <c r="P1259" s="202">
        <v>265500</v>
      </c>
      <c r="Q1259" s="198" t="s">
        <v>73</v>
      </c>
      <c r="R1259" s="198" t="s">
        <v>53</v>
      </c>
      <c r="S1259" s="198" t="s">
        <v>54</v>
      </c>
      <c r="T1259" s="198" t="s">
        <v>1751</v>
      </c>
      <c r="U1259" s="198" t="s">
        <v>277</v>
      </c>
      <c r="V1259" s="198" t="s">
        <v>56</v>
      </c>
      <c r="W1259" s="198" t="s">
        <v>356</v>
      </c>
      <c r="X1259" s="198" t="s">
        <v>57</v>
      </c>
      <c r="Y1259" s="198" t="s">
        <v>58</v>
      </c>
      <c r="Z1259" s="201">
        <v>46223</v>
      </c>
      <c r="AA1259" s="198" t="s">
        <v>59</v>
      </c>
      <c r="AB1259" s="198" t="s">
        <v>60</v>
      </c>
      <c r="AC1259" s="198" t="s">
        <v>86</v>
      </c>
      <c r="AD1259" s="198" t="s">
        <v>62</v>
      </c>
      <c r="AE1259" s="198" t="s">
        <v>303</v>
      </c>
      <c r="AF1259" s="198" t="s">
        <v>302</v>
      </c>
      <c r="AG1259" s="198" t="s">
        <v>248</v>
      </c>
      <c r="AH1259" s="198" t="s">
        <v>169</v>
      </c>
      <c r="AI1259" s="198" t="s">
        <v>56</v>
      </c>
      <c r="AJ1259" s="198" t="s">
        <v>72</v>
      </c>
      <c r="AK1259" s="198" t="s">
        <v>51</v>
      </c>
      <c r="AL1259" s="198" t="s">
        <v>67</v>
      </c>
      <c r="AM1259" s="198" t="s">
        <v>68</v>
      </c>
      <c r="AN1259" s="202">
        <v>265500</v>
      </c>
      <c r="AO1259" s="202">
        <v>265500</v>
      </c>
      <c r="AP1259" s="202">
        <v>265500</v>
      </c>
      <c r="AQ1259" s="198" t="s">
        <v>358</v>
      </c>
      <c r="AR1259" s="198" t="s">
        <v>51</v>
      </c>
      <c r="AS1259" s="202">
        <v>265500</v>
      </c>
      <c r="AT1259" s="202">
        <v>265500</v>
      </c>
      <c r="AU1259" s="198" t="s">
        <v>359</v>
      </c>
      <c r="AV1259" s="198" t="s">
        <v>62</v>
      </c>
      <c r="AW1259" s="198" t="s">
        <v>54</v>
      </c>
    </row>
    <row r="1260" spans="3:49" outlineLevel="2" x14ac:dyDescent="0.25">
      <c r="C1260" s="201"/>
      <c r="D1260" s="198" t="s">
        <v>347</v>
      </c>
      <c r="H1260" s="198" t="s">
        <v>347</v>
      </c>
      <c r="I1260" s="202">
        <f t="shared" si="19"/>
        <v>524041735.05000001</v>
      </c>
      <c r="J1260" s="202">
        <v>126.9</v>
      </c>
      <c r="L1260" s="204">
        <v>285</v>
      </c>
      <c r="M1260" s="202">
        <v>527250</v>
      </c>
      <c r="N1260" s="204">
        <v>285</v>
      </c>
      <c r="O1260" s="198" t="s">
        <v>51</v>
      </c>
      <c r="P1260" s="202">
        <v>527250</v>
      </c>
      <c r="Q1260" s="198" t="s">
        <v>73</v>
      </c>
      <c r="R1260" s="198" t="s">
        <v>53</v>
      </c>
      <c r="S1260" s="198" t="s">
        <v>54</v>
      </c>
      <c r="T1260" s="198" t="s">
        <v>1751</v>
      </c>
      <c r="U1260" s="198" t="s">
        <v>277</v>
      </c>
      <c r="V1260" s="198" t="s">
        <v>56</v>
      </c>
      <c r="W1260" s="198" t="s">
        <v>356</v>
      </c>
      <c r="X1260" s="198" t="s">
        <v>57</v>
      </c>
      <c r="Y1260" s="198" t="s">
        <v>58</v>
      </c>
      <c r="Z1260" s="201">
        <v>46223</v>
      </c>
      <c r="AA1260" s="198" t="s">
        <v>59</v>
      </c>
      <c r="AB1260" s="198" t="s">
        <v>60</v>
      </c>
      <c r="AC1260" s="198" t="s">
        <v>86</v>
      </c>
      <c r="AD1260" s="198" t="s">
        <v>62</v>
      </c>
      <c r="AE1260" s="198" t="s">
        <v>305</v>
      </c>
      <c r="AF1260" s="198" t="s">
        <v>304</v>
      </c>
      <c r="AG1260" s="198" t="s">
        <v>248</v>
      </c>
      <c r="AH1260" s="198" t="s">
        <v>169</v>
      </c>
      <c r="AI1260" s="198" t="s">
        <v>56</v>
      </c>
      <c r="AJ1260" s="198" t="s">
        <v>306</v>
      </c>
      <c r="AK1260" s="198" t="s">
        <v>51</v>
      </c>
      <c r="AL1260" s="198" t="s">
        <v>67</v>
      </c>
      <c r="AM1260" s="198" t="s">
        <v>68</v>
      </c>
      <c r="AN1260" s="202">
        <v>527250</v>
      </c>
      <c r="AO1260" s="202">
        <v>527250</v>
      </c>
      <c r="AP1260" s="202">
        <v>527250</v>
      </c>
      <c r="AQ1260" s="198" t="s">
        <v>358</v>
      </c>
      <c r="AR1260" s="198" t="s">
        <v>51</v>
      </c>
      <c r="AS1260" s="202">
        <v>527250</v>
      </c>
      <c r="AT1260" s="202">
        <v>527250</v>
      </c>
      <c r="AU1260" s="198" t="s">
        <v>359</v>
      </c>
      <c r="AV1260" s="198" t="s">
        <v>62</v>
      </c>
      <c r="AW1260" s="198" t="s">
        <v>54</v>
      </c>
    </row>
    <row r="1261" spans="3:49" outlineLevel="2" x14ac:dyDescent="0.25">
      <c r="C1261" s="201"/>
      <c r="D1261" s="198" t="s">
        <v>347</v>
      </c>
      <c r="H1261" s="198" t="s">
        <v>347</v>
      </c>
      <c r="I1261" s="202">
        <f t="shared" si="19"/>
        <v>524454691.5</v>
      </c>
      <c r="J1261" s="202">
        <v>127</v>
      </c>
      <c r="L1261" s="204">
        <v>20</v>
      </c>
      <c r="M1261" s="202">
        <v>38000</v>
      </c>
      <c r="N1261" s="204">
        <v>20</v>
      </c>
      <c r="O1261" s="198" t="s">
        <v>51</v>
      </c>
      <c r="P1261" s="202">
        <v>38000</v>
      </c>
      <c r="Q1261" s="198" t="s">
        <v>73</v>
      </c>
      <c r="R1261" s="198" t="s">
        <v>53</v>
      </c>
      <c r="S1261" s="198" t="s">
        <v>54</v>
      </c>
      <c r="T1261" s="198" t="s">
        <v>1751</v>
      </c>
      <c r="U1261" s="198" t="s">
        <v>277</v>
      </c>
      <c r="V1261" s="198" t="s">
        <v>56</v>
      </c>
      <c r="W1261" s="198" t="s">
        <v>356</v>
      </c>
      <c r="X1261" s="198" t="s">
        <v>57</v>
      </c>
      <c r="Y1261" s="198" t="s">
        <v>58</v>
      </c>
      <c r="Z1261" s="201">
        <v>46223</v>
      </c>
      <c r="AA1261" s="198" t="s">
        <v>59</v>
      </c>
      <c r="AB1261" s="198" t="s">
        <v>60</v>
      </c>
      <c r="AC1261" s="198" t="s">
        <v>86</v>
      </c>
      <c r="AD1261" s="198" t="s">
        <v>62</v>
      </c>
      <c r="AE1261" s="198" t="s">
        <v>308</v>
      </c>
      <c r="AF1261" s="198" t="s">
        <v>307</v>
      </c>
      <c r="AG1261" s="198" t="s">
        <v>248</v>
      </c>
      <c r="AH1261" s="198" t="s">
        <v>169</v>
      </c>
      <c r="AI1261" s="198" t="s">
        <v>56</v>
      </c>
      <c r="AJ1261" s="198" t="s">
        <v>306</v>
      </c>
      <c r="AK1261" s="198" t="s">
        <v>51</v>
      </c>
      <c r="AL1261" s="198" t="s">
        <v>67</v>
      </c>
      <c r="AM1261" s="198" t="s">
        <v>68</v>
      </c>
      <c r="AN1261" s="202">
        <v>38000</v>
      </c>
      <c r="AO1261" s="202">
        <v>38000</v>
      </c>
      <c r="AP1261" s="202">
        <v>38000</v>
      </c>
      <c r="AQ1261" s="198" t="s">
        <v>358</v>
      </c>
      <c r="AR1261" s="198" t="s">
        <v>51</v>
      </c>
      <c r="AS1261" s="202">
        <v>38000</v>
      </c>
      <c r="AT1261" s="202">
        <v>38000</v>
      </c>
      <c r="AU1261" s="198" t="s">
        <v>359</v>
      </c>
      <c r="AV1261" s="198" t="s">
        <v>62</v>
      </c>
      <c r="AW1261" s="198" t="s">
        <v>54</v>
      </c>
    </row>
    <row r="1262" spans="3:49" outlineLevel="2" x14ac:dyDescent="0.25">
      <c r="C1262" s="201"/>
      <c r="D1262" s="198" t="s">
        <v>347</v>
      </c>
      <c r="H1262" s="198" t="s">
        <v>347</v>
      </c>
      <c r="I1262" s="202">
        <f t="shared" si="19"/>
        <v>524867647.94999999</v>
      </c>
      <c r="J1262" s="202">
        <v>127.1</v>
      </c>
      <c r="L1262" s="204">
        <v>40</v>
      </c>
      <c r="M1262" s="202">
        <v>75320</v>
      </c>
      <c r="N1262" s="204">
        <v>40</v>
      </c>
      <c r="O1262" s="198" t="s">
        <v>51</v>
      </c>
      <c r="P1262" s="202">
        <v>75320</v>
      </c>
      <c r="Q1262" s="198" t="s">
        <v>73</v>
      </c>
      <c r="R1262" s="198" t="s">
        <v>53</v>
      </c>
      <c r="S1262" s="198" t="s">
        <v>54</v>
      </c>
      <c r="T1262" s="198" t="s">
        <v>1751</v>
      </c>
      <c r="U1262" s="198" t="s">
        <v>277</v>
      </c>
      <c r="V1262" s="198" t="s">
        <v>56</v>
      </c>
      <c r="W1262" s="198" t="s">
        <v>356</v>
      </c>
      <c r="X1262" s="198" t="s">
        <v>57</v>
      </c>
      <c r="Y1262" s="198" t="s">
        <v>58</v>
      </c>
      <c r="Z1262" s="201">
        <v>46223</v>
      </c>
      <c r="AA1262" s="198" t="s">
        <v>59</v>
      </c>
      <c r="AB1262" s="198" t="s">
        <v>60</v>
      </c>
      <c r="AC1262" s="198" t="s">
        <v>86</v>
      </c>
      <c r="AD1262" s="198" t="s">
        <v>62</v>
      </c>
      <c r="AE1262" s="198" t="s">
        <v>310</v>
      </c>
      <c r="AF1262" s="198" t="s">
        <v>309</v>
      </c>
      <c r="AG1262" s="198" t="s">
        <v>248</v>
      </c>
      <c r="AH1262" s="198" t="s">
        <v>169</v>
      </c>
      <c r="AI1262" s="198" t="s">
        <v>56</v>
      </c>
      <c r="AJ1262" s="198" t="s">
        <v>311</v>
      </c>
      <c r="AK1262" s="198" t="s">
        <v>51</v>
      </c>
      <c r="AL1262" s="198" t="s">
        <v>67</v>
      </c>
      <c r="AM1262" s="198" t="s">
        <v>68</v>
      </c>
      <c r="AN1262" s="202">
        <v>75320</v>
      </c>
      <c r="AO1262" s="202">
        <v>75320</v>
      </c>
      <c r="AP1262" s="202">
        <v>75320</v>
      </c>
      <c r="AQ1262" s="198" t="s">
        <v>358</v>
      </c>
      <c r="AR1262" s="198" t="s">
        <v>51</v>
      </c>
      <c r="AS1262" s="202">
        <v>75320</v>
      </c>
      <c r="AT1262" s="202">
        <v>75320</v>
      </c>
      <c r="AU1262" s="198" t="s">
        <v>359</v>
      </c>
      <c r="AV1262" s="198" t="s">
        <v>62</v>
      </c>
      <c r="AW1262" s="198" t="s">
        <v>54</v>
      </c>
    </row>
    <row r="1263" spans="3:49" outlineLevel="2" x14ac:dyDescent="0.25">
      <c r="C1263" s="201"/>
      <c r="D1263" s="198" t="s">
        <v>347</v>
      </c>
      <c r="H1263" s="198" t="s">
        <v>347</v>
      </c>
      <c r="I1263" s="202">
        <f t="shared" si="19"/>
        <v>525280604.40000004</v>
      </c>
      <c r="J1263" s="202">
        <v>127.2</v>
      </c>
      <c r="L1263" s="204">
        <v>5</v>
      </c>
      <c r="M1263" s="202">
        <v>30000</v>
      </c>
      <c r="N1263" s="204">
        <v>5</v>
      </c>
      <c r="O1263" s="198" t="s">
        <v>51</v>
      </c>
      <c r="P1263" s="202">
        <v>30000</v>
      </c>
      <c r="Q1263" s="198" t="s">
        <v>73</v>
      </c>
      <c r="R1263" s="198" t="s">
        <v>53</v>
      </c>
      <c r="S1263" s="198" t="s">
        <v>54</v>
      </c>
      <c r="T1263" s="198" t="s">
        <v>1751</v>
      </c>
      <c r="U1263" s="198" t="s">
        <v>277</v>
      </c>
      <c r="V1263" s="198" t="s">
        <v>56</v>
      </c>
      <c r="W1263" s="198" t="s">
        <v>356</v>
      </c>
      <c r="X1263" s="198" t="s">
        <v>57</v>
      </c>
      <c r="Y1263" s="198" t="s">
        <v>58</v>
      </c>
      <c r="Z1263" s="201">
        <v>46223</v>
      </c>
      <c r="AA1263" s="198" t="s">
        <v>59</v>
      </c>
      <c r="AB1263" s="198" t="s">
        <v>60</v>
      </c>
      <c r="AC1263" s="198" t="s">
        <v>86</v>
      </c>
      <c r="AD1263" s="198" t="s">
        <v>62</v>
      </c>
      <c r="AE1263" s="198" t="s">
        <v>313</v>
      </c>
      <c r="AF1263" s="198" t="s">
        <v>312</v>
      </c>
      <c r="AG1263" s="198" t="s">
        <v>248</v>
      </c>
      <c r="AH1263" s="198" t="s">
        <v>169</v>
      </c>
      <c r="AI1263" s="198" t="s">
        <v>56</v>
      </c>
      <c r="AJ1263" s="198" t="s">
        <v>121</v>
      </c>
      <c r="AK1263" s="198" t="s">
        <v>51</v>
      </c>
      <c r="AL1263" s="198" t="s">
        <v>67</v>
      </c>
      <c r="AM1263" s="198" t="s">
        <v>68</v>
      </c>
      <c r="AN1263" s="202">
        <v>30000</v>
      </c>
      <c r="AO1263" s="202">
        <v>30000</v>
      </c>
      <c r="AP1263" s="202">
        <v>30000</v>
      </c>
      <c r="AQ1263" s="198" t="s">
        <v>358</v>
      </c>
      <c r="AR1263" s="198" t="s">
        <v>51</v>
      </c>
      <c r="AS1263" s="202">
        <v>30000</v>
      </c>
      <c r="AT1263" s="202">
        <v>30000</v>
      </c>
      <c r="AU1263" s="198" t="s">
        <v>359</v>
      </c>
      <c r="AV1263" s="198" t="s">
        <v>62</v>
      </c>
      <c r="AW1263" s="198" t="s">
        <v>54</v>
      </c>
    </row>
    <row r="1264" spans="3:49" outlineLevel="2" x14ac:dyDescent="0.25">
      <c r="C1264" s="201"/>
      <c r="D1264" s="198" t="s">
        <v>347</v>
      </c>
      <c r="H1264" s="198" t="s">
        <v>347</v>
      </c>
      <c r="I1264" s="202">
        <f t="shared" si="19"/>
        <v>525693560.84999996</v>
      </c>
      <c r="J1264" s="202">
        <v>127.3</v>
      </c>
      <c r="L1264" s="204">
        <v>50</v>
      </c>
      <c r="M1264" s="202">
        <v>590000</v>
      </c>
      <c r="N1264" s="204">
        <v>50</v>
      </c>
      <c r="O1264" s="198" t="s">
        <v>51</v>
      </c>
      <c r="P1264" s="202">
        <v>590000</v>
      </c>
      <c r="Q1264" s="198" t="s">
        <v>73</v>
      </c>
      <c r="R1264" s="198" t="s">
        <v>53</v>
      </c>
      <c r="S1264" s="198" t="s">
        <v>54</v>
      </c>
      <c r="T1264" s="198" t="s">
        <v>1751</v>
      </c>
      <c r="U1264" s="198" t="s">
        <v>277</v>
      </c>
      <c r="V1264" s="198" t="s">
        <v>56</v>
      </c>
      <c r="W1264" s="198" t="s">
        <v>356</v>
      </c>
      <c r="X1264" s="198" t="s">
        <v>57</v>
      </c>
      <c r="Y1264" s="198" t="s">
        <v>58</v>
      </c>
      <c r="Z1264" s="201">
        <v>46223</v>
      </c>
      <c r="AA1264" s="198" t="s">
        <v>59</v>
      </c>
      <c r="AB1264" s="198" t="s">
        <v>60</v>
      </c>
      <c r="AC1264" s="198" t="s">
        <v>86</v>
      </c>
      <c r="AD1264" s="198" t="s">
        <v>62</v>
      </c>
      <c r="AE1264" s="198" t="s">
        <v>315</v>
      </c>
      <c r="AF1264" s="198" t="s">
        <v>314</v>
      </c>
      <c r="AG1264" s="198" t="s">
        <v>248</v>
      </c>
      <c r="AH1264" s="198" t="s">
        <v>169</v>
      </c>
      <c r="AI1264" s="198" t="s">
        <v>56</v>
      </c>
      <c r="AJ1264" s="198" t="s">
        <v>121</v>
      </c>
      <c r="AK1264" s="198" t="s">
        <v>51</v>
      </c>
      <c r="AL1264" s="198" t="s">
        <v>67</v>
      </c>
      <c r="AM1264" s="198" t="s">
        <v>68</v>
      </c>
      <c r="AN1264" s="202">
        <v>590000</v>
      </c>
      <c r="AO1264" s="202">
        <v>590000</v>
      </c>
      <c r="AP1264" s="202">
        <v>590000</v>
      </c>
      <c r="AQ1264" s="198" t="s">
        <v>358</v>
      </c>
      <c r="AR1264" s="198" t="s">
        <v>51</v>
      </c>
      <c r="AS1264" s="202">
        <v>590000</v>
      </c>
      <c r="AT1264" s="202">
        <v>590000</v>
      </c>
      <c r="AU1264" s="198" t="s">
        <v>359</v>
      </c>
      <c r="AV1264" s="198" t="s">
        <v>62</v>
      </c>
      <c r="AW1264" s="198" t="s">
        <v>54</v>
      </c>
    </row>
    <row r="1265" spans="3:49" outlineLevel="2" x14ac:dyDescent="0.25">
      <c r="C1265" s="201"/>
      <c r="D1265" s="198" t="s">
        <v>347</v>
      </c>
      <c r="H1265" s="198" t="s">
        <v>347</v>
      </c>
      <c r="I1265" s="202">
        <f t="shared" si="19"/>
        <v>526106517.30000001</v>
      </c>
      <c r="J1265" s="202">
        <v>127.4</v>
      </c>
      <c r="L1265" s="204">
        <v>3000</v>
      </c>
      <c r="M1265" s="202">
        <v>360000</v>
      </c>
      <c r="N1265" s="204">
        <v>3000</v>
      </c>
      <c r="O1265" s="198" t="s">
        <v>51</v>
      </c>
      <c r="P1265" s="202">
        <v>360000</v>
      </c>
      <c r="Q1265" s="198" t="s">
        <v>75</v>
      </c>
      <c r="R1265" s="198" t="s">
        <v>53</v>
      </c>
      <c r="S1265" s="198" t="s">
        <v>54</v>
      </c>
      <c r="T1265" s="198" t="s">
        <v>1751</v>
      </c>
      <c r="U1265" s="198" t="s">
        <v>277</v>
      </c>
      <c r="V1265" s="198" t="s">
        <v>56</v>
      </c>
      <c r="W1265" s="198" t="s">
        <v>356</v>
      </c>
      <c r="X1265" s="198" t="s">
        <v>57</v>
      </c>
      <c r="Y1265" s="198" t="s">
        <v>58</v>
      </c>
      <c r="Z1265" s="201">
        <v>46223</v>
      </c>
      <c r="AA1265" s="198" t="s">
        <v>59</v>
      </c>
      <c r="AB1265" s="198" t="s">
        <v>60</v>
      </c>
      <c r="AC1265" s="198" t="s">
        <v>86</v>
      </c>
      <c r="AD1265" s="198" t="s">
        <v>62</v>
      </c>
      <c r="AE1265" s="198" t="s">
        <v>320</v>
      </c>
      <c r="AF1265" s="198" t="s">
        <v>319</v>
      </c>
      <c r="AG1265" s="198" t="s">
        <v>248</v>
      </c>
      <c r="AH1265" s="198" t="s">
        <v>169</v>
      </c>
      <c r="AI1265" s="198" t="s">
        <v>56</v>
      </c>
      <c r="AJ1265" s="198" t="s">
        <v>318</v>
      </c>
      <c r="AK1265" s="198" t="s">
        <v>51</v>
      </c>
      <c r="AL1265" s="198" t="s">
        <v>67</v>
      </c>
      <c r="AM1265" s="198" t="s">
        <v>68</v>
      </c>
      <c r="AN1265" s="202">
        <v>360000</v>
      </c>
      <c r="AO1265" s="202">
        <v>360000</v>
      </c>
      <c r="AP1265" s="202">
        <v>360000</v>
      </c>
      <c r="AQ1265" s="198" t="s">
        <v>358</v>
      </c>
      <c r="AR1265" s="198" t="s">
        <v>51</v>
      </c>
      <c r="AS1265" s="202">
        <v>360000</v>
      </c>
      <c r="AT1265" s="202">
        <v>360000</v>
      </c>
      <c r="AU1265" s="198" t="s">
        <v>359</v>
      </c>
      <c r="AV1265" s="198" t="s">
        <v>62</v>
      </c>
      <c r="AW1265" s="198" t="s">
        <v>54</v>
      </c>
    </row>
    <row r="1266" spans="3:49" outlineLevel="2" x14ac:dyDescent="0.25">
      <c r="C1266" s="201"/>
      <c r="D1266" s="198" t="s">
        <v>347</v>
      </c>
      <c r="H1266" s="198" t="s">
        <v>347</v>
      </c>
      <c r="I1266" s="202">
        <f t="shared" si="19"/>
        <v>526519473.75</v>
      </c>
      <c r="J1266" s="202">
        <v>127.5</v>
      </c>
      <c r="L1266" s="204">
        <v>85</v>
      </c>
      <c r="M1266" s="202">
        <v>20400</v>
      </c>
      <c r="N1266" s="204">
        <v>85</v>
      </c>
      <c r="O1266" s="198" t="s">
        <v>51</v>
      </c>
      <c r="P1266" s="202">
        <v>20400</v>
      </c>
      <c r="Q1266" s="198" t="s">
        <v>75</v>
      </c>
      <c r="R1266" s="198" t="s">
        <v>53</v>
      </c>
      <c r="S1266" s="198" t="s">
        <v>54</v>
      </c>
      <c r="T1266" s="198" t="s">
        <v>1751</v>
      </c>
      <c r="U1266" s="198" t="s">
        <v>277</v>
      </c>
      <c r="V1266" s="198" t="s">
        <v>56</v>
      </c>
      <c r="W1266" s="198" t="s">
        <v>356</v>
      </c>
      <c r="X1266" s="198" t="s">
        <v>57</v>
      </c>
      <c r="Y1266" s="198" t="s">
        <v>58</v>
      </c>
      <c r="Z1266" s="201">
        <v>46223</v>
      </c>
      <c r="AA1266" s="198" t="s">
        <v>59</v>
      </c>
      <c r="AB1266" s="198" t="s">
        <v>60</v>
      </c>
      <c r="AC1266" s="198" t="s">
        <v>86</v>
      </c>
      <c r="AD1266" s="198" t="s">
        <v>62</v>
      </c>
      <c r="AE1266" s="198" t="s">
        <v>322</v>
      </c>
      <c r="AF1266" s="198" t="s">
        <v>321</v>
      </c>
      <c r="AG1266" s="198" t="s">
        <v>248</v>
      </c>
      <c r="AH1266" s="198" t="s">
        <v>169</v>
      </c>
      <c r="AI1266" s="198" t="s">
        <v>56</v>
      </c>
      <c r="AJ1266" s="198" t="s">
        <v>318</v>
      </c>
      <c r="AK1266" s="198" t="s">
        <v>51</v>
      </c>
      <c r="AL1266" s="198" t="s">
        <v>67</v>
      </c>
      <c r="AM1266" s="198" t="s">
        <v>68</v>
      </c>
      <c r="AN1266" s="202">
        <v>20400</v>
      </c>
      <c r="AO1266" s="202">
        <v>20400</v>
      </c>
      <c r="AP1266" s="202">
        <v>20400</v>
      </c>
      <c r="AQ1266" s="198" t="s">
        <v>358</v>
      </c>
      <c r="AR1266" s="198" t="s">
        <v>51</v>
      </c>
      <c r="AS1266" s="202">
        <v>20400</v>
      </c>
      <c r="AT1266" s="202">
        <v>20400</v>
      </c>
      <c r="AU1266" s="198" t="s">
        <v>359</v>
      </c>
      <c r="AV1266" s="198" t="s">
        <v>62</v>
      </c>
      <c r="AW1266" s="198" t="s">
        <v>54</v>
      </c>
    </row>
    <row r="1267" spans="3:49" outlineLevel="2" x14ac:dyDescent="0.25">
      <c r="C1267" s="201"/>
      <c r="D1267" s="198" t="s">
        <v>347</v>
      </c>
      <c r="H1267" s="198" t="s">
        <v>347</v>
      </c>
      <c r="I1267" s="202">
        <f t="shared" si="19"/>
        <v>526932430.19999999</v>
      </c>
      <c r="J1267" s="202">
        <v>127.6</v>
      </c>
      <c r="L1267" s="204">
        <v>110</v>
      </c>
      <c r="M1267" s="202">
        <v>13200</v>
      </c>
      <c r="N1267" s="204">
        <v>110</v>
      </c>
      <c r="O1267" s="198" t="s">
        <v>51</v>
      </c>
      <c r="P1267" s="202">
        <v>13200</v>
      </c>
      <c r="Q1267" s="198" t="s">
        <v>75</v>
      </c>
      <c r="R1267" s="198" t="s">
        <v>53</v>
      </c>
      <c r="S1267" s="198" t="s">
        <v>54</v>
      </c>
      <c r="T1267" s="198" t="s">
        <v>1751</v>
      </c>
      <c r="U1267" s="198" t="s">
        <v>277</v>
      </c>
      <c r="V1267" s="198" t="s">
        <v>56</v>
      </c>
      <c r="W1267" s="198" t="s">
        <v>356</v>
      </c>
      <c r="X1267" s="198" t="s">
        <v>57</v>
      </c>
      <c r="Y1267" s="198" t="s">
        <v>58</v>
      </c>
      <c r="Z1267" s="201">
        <v>46223</v>
      </c>
      <c r="AA1267" s="198" t="s">
        <v>59</v>
      </c>
      <c r="AB1267" s="198" t="s">
        <v>60</v>
      </c>
      <c r="AC1267" s="198" t="s">
        <v>86</v>
      </c>
      <c r="AD1267" s="198" t="s">
        <v>62</v>
      </c>
      <c r="AE1267" s="198" t="s">
        <v>324</v>
      </c>
      <c r="AF1267" s="198" t="s">
        <v>323</v>
      </c>
      <c r="AG1267" s="198" t="s">
        <v>248</v>
      </c>
      <c r="AH1267" s="198" t="s">
        <v>169</v>
      </c>
      <c r="AI1267" s="198" t="s">
        <v>56</v>
      </c>
      <c r="AJ1267" s="198" t="s">
        <v>325</v>
      </c>
      <c r="AK1267" s="198" t="s">
        <v>51</v>
      </c>
      <c r="AL1267" s="198" t="s">
        <v>67</v>
      </c>
      <c r="AM1267" s="198" t="s">
        <v>68</v>
      </c>
      <c r="AN1267" s="202">
        <v>13200</v>
      </c>
      <c r="AO1267" s="202">
        <v>13200</v>
      </c>
      <c r="AP1267" s="202">
        <v>13200</v>
      </c>
      <c r="AQ1267" s="198" t="s">
        <v>358</v>
      </c>
      <c r="AR1267" s="198" t="s">
        <v>51</v>
      </c>
      <c r="AS1267" s="202">
        <v>13200</v>
      </c>
      <c r="AT1267" s="202">
        <v>13200</v>
      </c>
      <c r="AU1267" s="198" t="s">
        <v>359</v>
      </c>
      <c r="AV1267" s="198" t="s">
        <v>62</v>
      </c>
      <c r="AW1267" s="198" t="s">
        <v>54</v>
      </c>
    </row>
    <row r="1268" spans="3:49" outlineLevel="2" x14ac:dyDescent="0.25">
      <c r="C1268" s="201"/>
      <c r="D1268" s="198" t="s">
        <v>347</v>
      </c>
      <c r="H1268" s="198" t="s">
        <v>347</v>
      </c>
      <c r="I1268" s="202">
        <f t="shared" si="19"/>
        <v>527345386.65000004</v>
      </c>
      <c r="J1268" s="202">
        <v>127.7</v>
      </c>
      <c r="L1268" s="204">
        <v>60</v>
      </c>
      <c r="M1268" s="202">
        <v>6000</v>
      </c>
      <c r="N1268" s="204">
        <v>60</v>
      </c>
      <c r="O1268" s="198" t="s">
        <v>51</v>
      </c>
      <c r="P1268" s="202">
        <v>6000</v>
      </c>
      <c r="Q1268" s="198" t="s">
        <v>75</v>
      </c>
      <c r="R1268" s="198" t="s">
        <v>53</v>
      </c>
      <c r="S1268" s="198" t="s">
        <v>54</v>
      </c>
      <c r="T1268" s="198" t="s">
        <v>1751</v>
      </c>
      <c r="U1268" s="198" t="s">
        <v>277</v>
      </c>
      <c r="V1268" s="198" t="s">
        <v>56</v>
      </c>
      <c r="W1268" s="198" t="s">
        <v>356</v>
      </c>
      <c r="X1268" s="198" t="s">
        <v>57</v>
      </c>
      <c r="Y1268" s="198" t="s">
        <v>58</v>
      </c>
      <c r="Z1268" s="201">
        <v>46223</v>
      </c>
      <c r="AA1268" s="198" t="s">
        <v>59</v>
      </c>
      <c r="AB1268" s="198" t="s">
        <v>60</v>
      </c>
      <c r="AC1268" s="198" t="s">
        <v>86</v>
      </c>
      <c r="AD1268" s="198" t="s">
        <v>62</v>
      </c>
      <c r="AE1268" s="198" t="s">
        <v>327</v>
      </c>
      <c r="AF1268" s="198" t="s">
        <v>326</v>
      </c>
      <c r="AG1268" s="198" t="s">
        <v>248</v>
      </c>
      <c r="AH1268" s="198" t="s">
        <v>169</v>
      </c>
      <c r="AI1268" s="198" t="s">
        <v>56</v>
      </c>
      <c r="AJ1268" s="198" t="s">
        <v>328</v>
      </c>
      <c r="AK1268" s="198" t="s">
        <v>51</v>
      </c>
      <c r="AL1268" s="198" t="s">
        <v>67</v>
      </c>
      <c r="AM1268" s="198" t="s">
        <v>68</v>
      </c>
      <c r="AN1268" s="202">
        <v>6000</v>
      </c>
      <c r="AO1268" s="202">
        <v>6000</v>
      </c>
      <c r="AP1268" s="202">
        <v>6000</v>
      </c>
      <c r="AQ1268" s="198" t="s">
        <v>358</v>
      </c>
      <c r="AR1268" s="198" t="s">
        <v>51</v>
      </c>
      <c r="AS1268" s="202">
        <v>6000</v>
      </c>
      <c r="AT1268" s="202">
        <v>6000</v>
      </c>
      <c r="AU1268" s="198" t="s">
        <v>359</v>
      </c>
      <c r="AV1268" s="198" t="s">
        <v>62</v>
      </c>
      <c r="AW1268" s="198" t="s">
        <v>54</v>
      </c>
    </row>
    <row r="1269" spans="3:49" outlineLevel="2" x14ac:dyDescent="0.25">
      <c r="C1269" s="201"/>
      <c r="D1269" s="198" t="s">
        <v>347</v>
      </c>
      <c r="H1269" s="198" t="s">
        <v>347</v>
      </c>
      <c r="I1269" s="202">
        <f t="shared" si="19"/>
        <v>527758343.09999996</v>
      </c>
      <c r="J1269" s="202">
        <v>127.8</v>
      </c>
      <c r="L1269" s="204">
        <v>150</v>
      </c>
      <c r="M1269" s="202">
        <v>45000</v>
      </c>
      <c r="N1269" s="204">
        <v>150</v>
      </c>
      <c r="O1269" s="198" t="s">
        <v>51</v>
      </c>
      <c r="P1269" s="202">
        <v>45000</v>
      </c>
      <c r="Q1269" s="198" t="s">
        <v>75</v>
      </c>
      <c r="R1269" s="198" t="s">
        <v>53</v>
      </c>
      <c r="S1269" s="198" t="s">
        <v>54</v>
      </c>
      <c r="T1269" s="198" t="s">
        <v>1751</v>
      </c>
      <c r="U1269" s="198" t="s">
        <v>277</v>
      </c>
      <c r="V1269" s="198" t="s">
        <v>56</v>
      </c>
      <c r="W1269" s="198" t="s">
        <v>356</v>
      </c>
      <c r="X1269" s="198" t="s">
        <v>57</v>
      </c>
      <c r="Y1269" s="198" t="s">
        <v>58</v>
      </c>
      <c r="Z1269" s="201">
        <v>46223</v>
      </c>
      <c r="AA1269" s="198" t="s">
        <v>59</v>
      </c>
      <c r="AB1269" s="198" t="s">
        <v>60</v>
      </c>
      <c r="AC1269" s="198" t="s">
        <v>86</v>
      </c>
      <c r="AD1269" s="198" t="s">
        <v>62</v>
      </c>
      <c r="AE1269" s="198" t="s">
        <v>330</v>
      </c>
      <c r="AF1269" s="198" t="s">
        <v>329</v>
      </c>
      <c r="AG1269" s="198" t="s">
        <v>248</v>
      </c>
      <c r="AH1269" s="198" t="s">
        <v>169</v>
      </c>
      <c r="AI1269" s="198" t="s">
        <v>56</v>
      </c>
      <c r="AJ1269" s="198" t="s">
        <v>76</v>
      </c>
      <c r="AK1269" s="198" t="s">
        <v>51</v>
      </c>
      <c r="AL1269" s="198" t="s">
        <v>67</v>
      </c>
      <c r="AM1269" s="198" t="s">
        <v>68</v>
      </c>
      <c r="AN1269" s="202">
        <v>45000</v>
      </c>
      <c r="AO1269" s="202">
        <v>45000</v>
      </c>
      <c r="AP1269" s="202">
        <v>45000</v>
      </c>
      <c r="AQ1269" s="198" t="s">
        <v>358</v>
      </c>
      <c r="AR1269" s="198" t="s">
        <v>51</v>
      </c>
      <c r="AS1269" s="202">
        <v>45000</v>
      </c>
      <c r="AT1269" s="202">
        <v>45000</v>
      </c>
      <c r="AU1269" s="198" t="s">
        <v>359</v>
      </c>
      <c r="AV1269" s="198" t="s">
        <v>62</v>
      </c>
      <c r="AW1269" s="198" t="s">
        <v>54</v>
      </c>
    </row>
    <row r="1270" spans="3:49" outlineLevel="2" x14ac:dyDescent="0.25">
      <c r="C1270" s="201"/>
      <c r="D1270" s="198" t="s">
        <v>347</v>
      </c>
      <c r="H1270" s="198" t="s">
        <v>347</v>
      </c>
      <c r="I1270" s="202">
        <f t="shared" si="19"/>
        <v>528171299.55000001</v>
      </c>
      <c r="J1270" s="202">
        <v>127.9</v>
      </c>
      <c r="L1270" s="204">
        <v>200</v>
      </c>
      <c r="M1270" s="202">
        <v>598000</v>
      </c>
      <c r="N1270" s="204">
        <v>200</v>
      </c>
      <c r="O1270" s="198" t="s">
        <v>51</v>
      </c>
      <c r="P1270" s="202">
        <v>598000</v>
      </c>
      <c r="Q1270" s="198" t="s">
        <v>75</v>
      </c>
      <c r="R1270" s="198" t="s">
        <v>53</v>
      </c>
      <c r="S1270" s="198" t="s">
        <v>54</v>
      </c>
      <c r="T1270" s="198" t="s">
        <v>1751</v>
      </c>
      <c r="U1270" s="198" t="s">
        <v>277</v>
      </c>
      <c r="V1270" s="198" t="s">
        <v>56</v>
      </c>
      <c r="W1270" s="198" t="s">
        <v>356</v>
      </c>
      <c r="X1270" s="198" t="s">
        <v>57</v>
      </c>
      <c r="Y1270" s="198" t="s">
        <v>58</v>
      </c>
      <c r="Z1270" s="201">
        <v>46223</v>
      </c>
      <c r="AA1270" s="198" t="s">
        <v>59</v>
      </c>
      <c r="AB1270" s="198" t="s">
        <v>60</v>
      </c>
      <c r="AC1270" s="198" t="s">
        <v>86</v>
      </c>
      <c r="AD1270" s="198" t="s">
        <v>62</v>
      </c>
      <c r="AE1270" s="198" t="s">
        <v>332</v>
      </c>
      <c r="AF1270" s="198" t="s">
        <v>331</v>
      </c>
      <c r="AG1270" s="198" t="s">
        <v>248</v>
      </c>
      <c r="AH1270" s="198" t="s">
        <v>169</v>
      </c>
      <c r="AI1270" s="198" t="s">
        <v>56</v>
      </c>
      <c r="AJ1270" s="198" t="s">
        <v>333</v>
      </c>
      <c r="AK1270" s="198" t="s">
        <v>51</v>
      </c>
      <c r="AL1270" s="198" t="s">
        <v>67</v>
      </c>
      <c r="AM1270" s="198" t="s">
        <v>68</v>
      </c>
      <c r="AN1270" s="202">
        <v>598000</v>
      </c>
      <c r="AO1270" s="202">
        <v>598000</v>
      </c>
      <c r="AP1270" s="202">
        <v>598000</v>
      </c>
      <c r="AQ1270" s="198" t="s">
        <v>358</v>
      </c>
      <c r="AR1270" s="198" t="s">
        <v>51</v>
      </c>
      <c r="AS1270" s="202">
        <v>598000</v>
      </c>
      <c r="AT1270" s="202">
        <v>598000</v>
      </c>
      <c r="AU1270" s="198" t="s">
        <v>359</v>
      </c>
      <c r="AV1270" s="198" t="s">
        <v>62</v>
      </c>
      <c r="AW1270" s="198" t="s">
        <v>54</v>
      </c>
    </row>
    <row r="1271" spans="3:49" outlineLevel="2" x14ac:dyDescent="0.25">
      <c r="C1271" s="201"/>
      <c r="D1271" s="198" t="s">
        <v>347</v>
      </c>
      <c r="H1271" s="198" t="s">
        <v>347</v>
      </c>
      <c r="I1271" s="202">
        <f t="shared" si="19"/>
        <v>528584256</v>
      </c>
      <c r="J1271" s="202">
        <v>128</v>
      </c>
      <c r="L1271" s="204">
        <v>1</v>
      </c>
      <c r="M1271" s="202">
        <v>50000</v>
      </c>
      <c r="N1271" s="204">
        <v>1</v>
      </c>
      <c r="O1271" s="198" t="s">
        <v>51</v>
      </c>
      <c r="P1271" s="202">
        <v>50000</v>
      </c>
      <c r="Q1271" s="198" t="s">
        <v>335</v>
      </c>
      <c r="R1271" s="198" t="s">
        <v>53</v>
      </c>
      <c r="S1271" s="198" t="s">
        <v>54</v>
      </c>
      <c r="T1271" s="198" t="s">
        <v>1751</v>
      </c>
      <c r="U1271" s="198" t="s">
        <v>277</v>
      </c>
      <c r="V1271" s="198" t="s">
        <v>56</v>
      </c>
      <c r="W1271" s="198" t="s">
        <v>356</v>
      </c>
      <c r="X1271" s="198" t="s">
        <v>57</v>
      </c>
      <c r="Y1271" s="198" t="s">
        <v>58</v>
      </c>
      <c r="Z1271" s="201">
        <v>46223</v>
      </c>
      <c r="AA1271" s="198" t="s">
        <v>59</v>
      </c>
      <c r="AB1271" s="198" t="s">
        <v>60</v>
      </c>
      <c r="AC1271" s="198" t="s">
        <v>86</v>
      </c>
      <c r="AD1271" s="198" t="s">
        <v>62</v>
      </c>
      <c r="AE1271" s="198" t="s">
        <v>336</v>
      </c>
      <c r="AF1271" s="198" t="s">
        <v>334</v>
      </c>
      <c r="AG1271" s="198" t="s">
        <v>248</v>
      </c>
      <c r="AH1271" s="198" t="s">
        <v>169</v>
      </c>
      <c r="AI1271" s="198" t="s">
        <v>56</v>
      </c>
      <c r="AJ1271" s="198" t="s">
        <v>325</v>
      </c>
      <c r="AK1271" s="198" t="s">
        <v>51</v>
      </c>
      <c r="AL1271" s="198" t="s">
        <v>67</v>
      </c>
      <c r="AM1271" s="198" t="s">
        <v>68</v>
      </c>
      <c r="AN1271" s="202">
        <v>50000</v>
      </c>
      <c r="AO1271" s="202">
        <v>50000</v>
      </c>
      <c r="AP1271" s="202">
        <v>50000</v>
      </c>
      <c r="AQ1271" s="198" t="s">
        <v>358</v>
      </c>
      <c r="AR1271" s="198" t="s">
        <v>51</v>
      </c>
      <c r="AS1271" s="202">
        <v>50000</v>
      </c>
      <c r="AT1271" s="202">
        <v>50000</v>
      </c>
      <c r="AU1271" s="198" t="s">
        <v>359</v>
      </c>
      <c r="AV1271" s="198" t="s">
        <v>62</v>
      </c>
      <c r="AW1271" s="198" t="s">
        <v>54</v>
      </c>
    </row>
    <row r="1272" spans="3:49" outlineLevel="2" x14ac:dyDescent="0.25">
      <c r="C1272" s="201"/>
      <c r="D1272" s="198" t="s">
        <v>347</v>
      </c>
      <c r="H1272" s="198" t="s">
        <v>347</v>
      </c>
      <c r="I1272" s="202">
        <f t="shared" si="19"/>
        <v>528997212.44999999</v>
      </c>
      <c r="J1272" s="202">
        <v>128.1</v>
      </c>
      <c r="L1272" s="204">
        <v>1</v>
      </c>
      <c r="M1272" s="202">
        <v>125154</v>
      </c>
      <c r="N1272" s="204">
        <v>1</v>
      </c>
      <c r="O1272" s="198" t="s">
        <v>51</v>
      </c>
      <c r="P1272" s="202">
        <v>125154</v>
      </c>
      <c r="Q1272" s="198" t="s">
        <v>335</v>
      </c>
      <c r="R1272" s="198" t="s">
        <v>53</v>
      </c>
      <c r="S1272" s="198" t="s">
        <v>54</v>
      </c>
      <c r="T1272" s="198" t="s">
        <v>1751</v>
      </c>
      <c r="U1272" s="198" t="s">
        <v>277</v>
      </c>
      <c r="V1272" s="198" t="s">
        <v>56</v>
      </c>
      <c r="W1272" s="198" t="s">
        <v>356</v>
      </c>
      <c r="X1272" s="198" t="s">
        <v>57</v>
      </c>
      <c r="Y1272" s="198" t="s">
        <v>58</v>
      </c>
      <c r="Z1272" s="201">
        <v>46223</v>
      </c>
      <c r="AA1272" s="198" t="s">
        <v>59</v>
      </c>
      <c r="AB1272" s="198" t="s">
        <v>60</v>
      </c>
      <c r="AC1272" s="198" t="s">
        <v>86</v>
      </c>
      <c r="AD1272" s="198" t="s">
        <v>62</v>
      </c>
      <c r="AE1272" s="198" t="s">
        <v>338</v>
      </c>
      <c r="AF1272" s="198" t="s">
        <v>337</v>
      </c>
      <c r="AG1272" s="198" t="s">
        <v>248</v>
      </c>
      <c r="AH1272" s="198" t="s">
        <v>169</v>
      </c>
      <c r="AI1272" s="198" t="s">
        <v>56</v>
      </c>
      <c r="AJ1272" s="198" t="s">
        <v>74</v>
      </c>
      <c r="AK1272" s="198" t="s">
        <v>51</v>
      </c>
      <c r="AL1272" s="198" t="s">
        <v>67</v>
      </c>
      <c r="AM1272" s="198" t="s">
        <v>68</v>
      </c>
      <c r="AN1272" s="202">
        <v>125154</v>
      </c>
      <c r="AO1272" s="202">
        <v>125154</v>
      </c>
      <c r="AP1272" s="202">
        <v>125154</v>
      </c>
      <c r="AQ1272" s="198" t="s">
        <v>358</v>
      </c>
      <c r="AR1272" s="198" t="s">
        <v>51</v>
      </c>
      <c r="AS1272" s="202">
        <v>125154</v>
      </c>
      <c r="AT1272" s="202">
        <v>125154</v>
      </c>
      <c r="AU1272" s="198" t="s">
        <v>359</v>
      </c>
      <c r="AV1272" s="198" t="s">
        <v>62</v>
      </c>
      <c r="AW1272" s="198" t="s">
        <v>54</v>
      </c>
    </row>
    <row r="1273" spans="3:49" outlineLevel="2" x14ac:dyDescent="0.25">
      <c r="C1273" s="201"/>
      <c r="D1273" s="198" t="s">
        <v>347</v>
      </c>
      <c r="H1273" s="198" t="s">
        <v>347</v>
      </c>
      <c r="I1273" s="202">
        <f t="shared" si="19"/>
        <v>529410168.89999998</v>
      </c>
      <c r="J1273" s="202">
        <v>128.19999999999999</v>
      </c>
      <c r="L1273" s="204">
        <v>1</v>
      </c>
      <c r="M1273" s="202">
        <v>35000</v>
      </c>
      <c r="N1273" s="204">
        <v>1</v>
      </c>
      <c r="O1273" s="198" t="s">
        <v>51</v>
      </c>
      <c r="P1273" s="202">
        <v>35000</v>
      </c>
      <c r="Q1273" s="198" t="s">
        <v>335</v>
      </c>
      <c r="R1273" s="198" t="s">
        <v>53</v>
      </c>
      <c r="S1273" s="198" t="s">
        <v>54</v>
      </c>
      <c r="T1273" s="198" t="s">
        <v>1751</v>
      </c>
      <c r="U1273" s="198" t="s">
        <v>277</v>
      </c>
      <c r="V1273" s="198" t="s">
        <v>56</v>
      </c>
      <c r="W1273" s="198" t="s">
        <v>356</v>
      </c>
      <c r="X1273" s="198" t="s">
        <v>57</v>
      </c>
      <c r="Y1273" s="198" t="s">
        <v>58</v>
      </c>
      <c r="Z1273" s="201">
        <v>46223</v>
      </c>
      <c r="AA1273" s="198" t="s">
        <v>59</v>
      </c>
      <c r="AB1273" s="198" t="s">
        <v>60</v>
      </c>
      <c r="AC1273" s="198" t="s">
        <v>86</v>
      </c>
      <c r="AD1273" s="198" t="s">
        <v>62</v>
      </c>
      <c r="AE1273" s="198" t="s">
        <v>340</v>
      </c>
      <c r="AF1273" s="198" t="s">
        <v>339</v>
      </c>
      <c r="AG1273" s="198" t="s">
        <v>248</v>
      </c>
      <c r="AH1273" s="198" t="s">
        <v>169</v>
      </c>
      <c r="AI1273" s="198" t="s">
        <v>56</v>
      </c>
      <c r="AJ1273" s="198" t="s">
        <v>318</v>
      </c>
      <c r="AK1273" s="198" t="s">
        <v>51</v>
      </c>
      <c r="AL1273" s="198" t="s">
        <v>67</v>
      </c>
      <c r="AM1273" s="198" t="s">
        <v>68</v>
      </c>
      <c r="AN1273" s="202">
        <v>35000</v>
      </c>
      <c r="AO1273" s="202">
        <v>35000</v>
      </c>
      <c r="AP1273" s="202">
        <v>35000</v>
      </c>
      <c r="AQ1273" s="198" t="s">
        <v>358</v>
      </c>
      <c r="AR1273" s="198" t="s">
        <v>51</v>
      </c>
      <c r="AS1273" s="202">
        <v>35000</v>
      </c>
      <c r="AT1273" s="202">
        <v>35000</v>
      </c>
      <c r="AU1273" s="198" t="s">
        <v>359</v>
      </c>
      <c r="AV1273" s="198" t="s">
        <v>62</v>
      </c>
      <c r="AW1273" s="198" t="s">
        <v>54</v>
      </c>
    </row>
    <row r="1274" spans="3:49" outlineLevel="2" x14ac:dyDescent="0.25">
      <c r="C1274" s="201"/>
      <c r="D1274" s="198" t="s">
        <v>347</v>
      </c>
      <c r="H1274" s="198" t="s">
        <v>347</v>
      </c>
      <c r="I1274" s="202">
        <f t="shared" si="19"/>
        <v>529823125.35000002</v>
      </c>
      <c r="J1274" s="202">
        <v>128.30000000000001</v>
      </c>
      <c r="L1274" s="204">
        <v>1</v>
      </c>
      <c r="M1274" s="202">
        <v>35000</v>
      </c>
      <c r="N1274" s="204">
        <v>1</v>
      </c>
      <c r="O1274" s="198" t="s">
        <v>51</v>
      </c>
      <c r="P1274" s="202">
        <v>35000</v>
      </c>
      <c r="Q1274" s="198" t="s">
        <v>342</v>
      </c>
      <c r="R1274" s="198" t="s">
        <v>53</v>
      </c>
      <c r="S1274" s="198" t="s">
        <v>54</v>
      </c>
      <c r="T1274" s="198" t="s">
        <v>1751</v>
      </c>
      <c r="U1274" s="198" t="s">
        <v>277</v>
      </c>
      <c r="V1274" s="198" t="s">
        <v>56</v>
      </c>
      <c r="W1274" s="198" t="s">
        <v>356</v>
      </c>
      <c r="X1274" s="198" t="s">
        <v>57</v>
      </c>
      <c r="Y1274" s="198" t="s">
        <v>58</v>
      </c>
      <c r="Z1274" s="201">
        <v>46223</v>
      </c>
      <c r="AA1274" s="198" t="s">
        <v>59</v>
      </c>
      <c r="AB1274" s="198" t="s">
        <v>60</v>
      </c>
      <c r="AC1274" s="198" t="s">
        <v>86</v>
      </c>
      <c r="AD1274" s="198" t="s">
        <v>62</v>
      </c>
      <c r="AE1274" s="198" t="s">
        <v>343</v>
      </c>
      <c r="AF1274" s="198" t="s">
        <v>341</v>
      </c>
      <c r="AG1274" s="198" t="s">
        <v>248</v>
      </c>
      <c r="AH1274" s="198" t="s">
        <v>169</v>
      </c>
      <c r="AI1274" s="198" t="s">
        <v>56</v>
      </c>
      <c r="AJ1274" s="198" t="s">
        <v>344</v>
      </c>
      <c r="AK1274" s="198" t="s">
        <v>51</v>
      </c>
      <c r="AL1274" s="198" t="s">
        <v>67</v>
      </c>
      <c r="AM1274" s="198" t="s">
        <v>68</v>
      </c>
      <c r="AN1274" s="202">
        <v>35000</v>
      </c>
      <c r="AO1274" s="202">
        <v>35000</v>
      </c>
      <c r="AP1274" s="202">
        <v>35000</v>
      </c>
      <c r="AQ1274" s="198" t="s">
        <v>358</v>
      </c>
      <c r="AR1274" s="198" t="s">
        <v>51</v>
      </c>
      <c r="AS1274" s="202">
        <v>35000</v>
      </c>
      <c r="AT1274" s="202">
        <v>35000</v>
      </c>
      <c r="AU1274" s="198" t="s">
        <v>359</v>
      </c>
      <c r="AV1274" s="198" t="s">
        <v>62</v>
      </c>
      <c r="AW1274" s="198" t="s">
        <v>54</v>
      </c>
    </row>
    <row r="1275" spans="3:49" outlineLevel="2" x14ac:dyDescent="0.25">
      <c r="C1275" s="201"/>
      <c r="D1275" s="198" t="s">
        <v>347</v>
      </c>
      <c r="H1275" s="198" t="s">
        <v>347</v>
      </c>
      <c r="I1275" s="202">
        <f t="shared" si="19"/>
        <v>530236081.80000001</v>
      </c>
      <c r="J1275" s="202">
        <v>128.4</v>
      </c>
      <c r="L1275" s="204">
        <v>1</v>
      </c>
      <c r="M1275" s="202">
        <v>1070000</v>
      </c>
      <c r="N1275" s="204">
        <v>1</v>
      </c>
      <c r="O1275" s="198" t="s">
        <v>51</v>
      </c>
      <c r="P1275" s="202">
        <v>1070000</v>
      </c>
      <c r="Q1275" s="198" t="s">
        <v>342</v>
      </c>
      <c r="R1275" s="198" t="s">
        <v>53</v>
      </c>
      <c r="S1275" s="198" t="s">
        <v>54</v>
      </c>
      <c r="T1275" s="198" t="s">
        <v>1751</v>
      </c>
      <c r="U1275" s="198" t="s">
        <v>277</v>
      </c>
      <c r="V1275" s="198" t="s">
        <v>56</v>
      </c>
      <c r="W1275" s="198" t="s">
        <v>356</v>
      </c>
      <c r="X1275" s="198" t="s">
        <v>57</v>
      </c>
      <c r="Y1275" s="198" t="s">
        <v>58</v>
      </c>
      <c r="Z1275" s="201">
        <v>46223</v>
      </c>
      <c r="AA1275" s="198" t="s">
        <v>59</v>
      </c>
      <c r="AB1275" s="198" t="s">
        <v>60</v>
      </c>
      <c r="AC1275" s="198" t="s">
        <v>86</v>
      </c>
      <c r="AD1275" s="198" t="s">
        <v>62</v>
      </c>
      <c r="AE1275" s="198" t="s">
        <v>346</v>
      </c>
      <c r="AF1275" s="198" t="s">
        <v>345</v>
      </c>
      <c r="AG1275" s="198" t="s">
        <v>248</v>
      </c>
      <c r="AH1275" s="198" t="s">
        <v>169</v>
      </c>
      <c r="AI1275" s="198" t="s">
        <v>56</v>
      </c>
      <c r="AJ1275" s="198" t="s">
        <v>121</v>
      </c>
      <c r="AK1275" s="198" t="s">
        <v>51</v>
      </c>
      <c r="AL1275" s="198" t="s">
        <v>67</v>
      </c>
      <c r="AM1275" s="198" t="s">
        <v>68</v>
      </c>
      <c r="AN1275" s="202">
        <v>1070000</v>
      </c>
      <c r="AO1275" s="202">
        <v>1070000</v>
      </c>
      <c r="AP1275" s="202">
        <v>1070000</v>
      </c>
      <c r="AQ1275" s="198" t="s">
        <v>358</v>
      </c>
      <c r="AR1275" s="198" t="s">
        <v>51</v>
      </c>
      <c r="AS1275" s="202">
        <v>1070000</v>
      </c>
      <c r="AT1275" s="202">
        <v>1070000</v>
      </c>
      <c r="AU1275" s="198" t="s">
        <v>359</v>
      </c>
      <c r="AV1275" s="198" t="s">
        <v>62</v>
      </c>
      <c r="AW1275" s="198" t="s">
        <v>54</v>
      </c>
    </row>
    <row r="1276" spans="3:49" outlineLevel="2" x14ac:dyDescent="0.25">
      <c r="C1276" s="201"/>
      <c r="D1276" s="198" t="s">
        <v>347</v>
      </c>
      <c r="H1276" s="198" t="s">
        <v>347</v>
      </c>
      <c r="I1276" s="202">
        <f t="shared" si="19"/>
        <v>530649038.25</v>
      </c>
      <c r="J1276" s="202">
        <v>128.5</v>
      </c>
      <c r="L1276" s="204">
        <v>1</v>
      </c>
      <c r="M1276" s="202">
        <v>1098343</v>
      </c>
      <c r="N1276" s="204">
        <v>1</v>
      </c>
      <c r="O1276" s="198" t="s">
        <v>51</v>
      </c>
      <c r="P1276" s="202">
        <v>1098343</v>
      </c>
      <c r="Q1276" s="198" t="s">
        <v>159</v>
      </c>
      <c r="R1276" s="198" t="s">
        <v>160</v>
      </c>
      <c r="S1276" s="198" t="s">
        <v>54</v>
      </c>
      <c r="T1276" s="198" t="s">
        <v>1751</v>
      </c>
      <c r="U1276" s="198" t="s">
        <v>277</v>
      </c>
      <c r="V1276" s="198" t="s">
        <v>56</v>
      </c>
      <c r="W1276" s="198" t="s">
        <v>356</v>
      </c>
      <c r="X1276" s="198" t="s">
        <v>161</v>
      </c>
      <c r="Y1276" s="198" t="s">
        <v>162</v>
      </c>
      <c r="Z1276" s="201">
        <v>46223</v>
      </c>
      <c r="AA1276" s="198" t="s">
        <v>59</v>
      </c>
      <c r="AB1276" s="198" t="s">
        <v>60</v>
      </c>
      <c r="AC1276" s="198" t="s">
        <v>86</v>
      </c>
      <c r="AD1276" s="198" t="s">
        <v>62</v>
      </c>
      <c r="AE1276" s="198" t="s">
        <v>54</v>
      </c>
      <c r="AF1276" s="198" t="s">
        <v>54</v>
      </c>
      <c r="AG1276" s="198" t="s">
        <v>248</v>
      </c>
      <c r="AH1276" s="198" t="s">
        <v>169</v>
      </c>
      <c r="AI1276" s="198" t="s">
        <v>56</v>
      </c>
      <c r="AJ1276" s="198" t="s">
        <v>163</v>
      </c>
      <c r="AK1276" s="198" t="s">
        <v>51</v>
      </c>
      <c r="AL1276" s="198" t="s">
        <v>67</v>
      </c>
      <c r="AM1276" s="198" t="s">
        <v>68</v>
      </c>
      <c r="AN1276" s="202">
        <v>1098343</v>
      </c>
      <c r="AO1276" s="202">
        <v>1098343</v>
      </c>
      <c r="AP1276" s="202">
        <v>1098343</v>
      </c>
      <c r="AQ1276" s="198" t="s">
        <v>358</v>
      </c>
      <c r="AR1276" s="198" t="s">
        <v>51</v>
      </c>
      <c r="AS1276" s="202">
        <v>1098343</v>
      </c>
      <c r="AT1276" s="202">
        <v>1098343</v>
      </c>
      <c r="AU1276" s="198" t="s">
        <v>359</v>
      </c>
      <c r="AV1276" s="198" t="s">
        <v>62</v>
      </c>
      <c r="AW1276" s="198" t="s">
        <v>54</v>
      </c>
    </row>
    <row r="1277" spans="3:49" outlineLevel="2" x14ac:dyDescent="0.25">
      <c r="C1277" s="201"/>
      <c r="D1277" s="198" t="s">
        <v>348</v>
      </c>
      <c r="H1277" s="198" t="s">
        <v>348</v>
      </c>
      <c r="I1277" s="202">
        <f t="shared" si="19"/>
        <v>531061994.69999999</v>
      </c>
      <c r="J1277" s="202">
        <v>128.6</v>
      </c>
      <c r="L1277" s="204">
        <v>9</v>
      </c>
      <c r="M1277" s="202">
        <v>2690127</v>
      </c>
      <c r="N1277" s="204">
        <v>9</v>
      </c>
      <c r="O1277" s="198" t="s">
        <v>51</v>
      </c>
      <c r="P1277" s="202">
        <v>2690127</v>
      </c>
      <c r="Q1277" s="198" t="s">
        <v>73</v>
      </c>
      <c r="R1277" s="198" t="s">
        <v>53</v>
      </c>
      <c r="S1277" s="198" t="s">
        <v>54</v>
      </c>
      <c r="T1277" s="198" t="s">
        <v>1751</v>
      </c>
      <c r="U1277" s="198" t="s">
        <v>277</v>
      </c>
      <c r="V1277" s="198" t="s">
        <v>56</v>
      </c>
      <c r="W1277" s="198" t="s">
        <v>356</v>
      </c>
      <c r="X1277" s="198" t="s">
        <v>57</v>
      </c>
      <c r="Y1277" s="198" t="s">
        <v>58</v>
      </c>
      <c r="Z1277" s="201">
        <v>46247</v>
      </c>
      <c r="AA1277" s="198" t="s">
        <v>59</v>
      </c>
      <c r="AB1277" s="198" t="s">
        <v>60</v>
      </c>
      <c r="AC1277" s="198" t="s">
        <v>86</v>
      </c>
      <c r="AD1277" s="198" t="s">
        <v>62</v>
      </c>
      <c r="AE1277" s="198" t="s">
        <v>293</v>
      </c>
      <c r="AF1277" s="198" t="s">
        <v>292</v>
      </c>
      <c r="AG1277" s="198" t="s">
        <v>564</v>
      </c>
      <c r="AH1277" s="198" t="s">
        <v>89</v>
      </c>
      <c r="AI1277" s="198" t="s">
        <v>56</v>
      </c>
      <c r="AJ1277" s="198" t="s">
        <v>294</v>
      </c>
      <c r="AK1277" s="198" t="s">
        <v>51</v>
      </c>
      <c r="AL1277" s="198" t="s">
        <v>67</v>
      </c>
      <c r="AM1277" s="198" t="s">
        <v>68</v>
      </c>
      <c r="AN1277" s="202">
        <v>2690127</v>
      </c>
      <c r="AO1277" s="202">
        <v>2690127</v>
      </c>
      <c r="AP1277" s="202">
        <v>2690127</v>
      </c>
      <c r="AQ1277" s="198" t="s">
        <v>358</v>
      </c>
      <c r="AR1277" s="198" t="s">
        <v>51</v>
      </c>
      <c r="AS1277" s="202">
        <v>2690127</v>
      </c>
      <c r="AT1277" s="202">
        <v>2690127</v>
      </c>
      <c r="AU1277" s="198" t="s">
        <v>359</v>
      </c>
      <c r="AV1277" s="198" t="s">
        <v>62</v>
      </c>
      <c r="AW1277" s="198" t="s">
        <v>54</v>
      </c>
    </row>
    <row r="1278" spans="3:49" outlineLevel="2" x14ac:dyDescent="0.25">
      <c r="C1278" s="201"/>
      <c r="D1278" s="198" t="s">
        <v>348</v>
      </c>
      <c r="H1278" s="198" t="s">
        <v>348</v>
      </c>
      <c r="I1278" s="202">
        <f t="shared" si="19"/>
        <v>531474951.14999998</v>
      </c>
      <c r="J1278" s="202">
        <v>128.69999999999999</v>
      </c>
      <c r="L1278" s="204">
        <v>1</v>
      </c>
      <c r="M1278" s="202">
        <v>155000</v>
      </c>
      <c r="N1278" s="204">
        <v>1</v>
      </c>
      <c r="O1278" s="198" t="s">
        <v>51</v>
      </c>
      <c r="P1278" s="202">
        <v>155000</v>
      </c>
      <c r="Q1278" s="198" t="s">
        <v>73</v>
      </c>
      <c r="R1278" s="198" t="s">
        <v>53</v>
      </c>
      <c r="S1278" s="198" t="s">
        <v>54</v>
      </c>
      <c r="T1278" s="198" t="s">
        <v>1751</v>
      </c>
      <c r="U1278" s="198" t="s">
        <v>277</v>
      </c>
      <c r="V1278" s="198" t="s">
        <v>56</v>
      </c>
      <c r="W1278" s="198" t="s">
        <v>356</v>
      </c>
      <c r="X1278" s="198" t="s">
        <v>57</v>
      </c>
      <c r="Y1278" s="198" t="s">
        <v>58</v>
      </c>
      <c r="Z1278" s="201">
        <v>46247</v>
      </c>
      <c r="AA1278" s="198" t="s">
        <v>59</v>
      </c>
      <c r="AB1278" s="198" t="s">
        <v>60</v>
      </c>
      <c r="AC1278" s="198" t="s">
        <v>86</v>
      </c>
      <c r="AD1278" s="198" t="s">
        <v>62</v>
      </c>
      <c r="AE1278" s="198" t="s">
        <v>296</v>
      </c>
      <c r="AF1278" s="198" t="s">
        <v>295</v>
      </c>
      <c r="AG1278" s="198" t="s">
        <v>564</v>
      </c>
      <c r="AH1278" s="198" t="s">
        <v>89</v>
      </c>
      <c r="AI1278" s="198" t="s">
        <v>56</v>
      </c>
      <c r="AJ1278" s="198" t="s">
        <v>128</v>
      </c>
      <c r="AK1278" s="198" t="s">
        <v>51</v>
      </c>
      <c r="AL1278" s="198" t="s">
        <v>67</v>
      </c>
      <c r="AM1278" s="198" t="s">
        <v>68</v>
      </c>
      <c r="AN1278" s="202">
        <v>155000</v>
      </c>
      <c r="AO1278" s="202">
        <v>155000</v>
      </c>
      <c r="AP1278" s="202">
        <v>155000</v>
      </c>
      <c r="AQ1278" s="198" t="s">
        <v>358</v>
      </c>
      <c r="AR1278" s="198" t="s">
        <v>51</v>
      </c>
      <c r="AS1278" s="202">
        <v>155000</v>
      </c>
      <c r="AT1278" s="202">
        <v>155000</v>
      </c>
      <c r="AU1278" s="198" t="s">
        <v>359</v>
      </c>
      <c r="AV1278" s="198" t="s">
        <v>62</v>
      </c>
      <c r="AW1278" s="198" t="s">
        <v>54</v>
      </c>
    </row>
    <row r="1279" spans="3:49" outlineLevel="2" x14ac:dyDescent="0.25">
      <c r="C1279" s="201"/>
      <c r="D1279" s="198" t="s">
        <v>348</v>
      </c>
      <c r="H1279" s="198" t="s">
        <v>348</v>
      </c>
      <c r="I1279" s="202">
        <f t="shared" si="19"/>
        <v>531887907.60000002</v>
      </c>
      <c r="J1279" s="202">
        <v>128.80000000000001</v>
      </c>
      <c r="L1279" s="204">
        <v>18</v>
      </c>
      <c r="M1279" s="202">
        <v>46818</v>
      </c>
      <c r="N1279" s="204">
        <v>18</v>
      </c>
      <c r="O1279" s="198" t="s">
        <v>51</v>
      </c>
      <c r="P1279" s="202">
        <v>46818</v>
      </c>
      <c r="Q1279" s="198" t="s">
        <v>73</v>
      </c>
      <c r="R1279" s="198" t="s">
        <v>53</v>
      </c>
      <c r="S1279" s="198" t="s">
        <v>54</v>
      </c>
      <c r="T1279" s="198" t="s">
        <v>1751</v>
      </c>
      <c r="U1279" s="198" t="s">
        <v>277</v>
      </c>
      <c r="V1279" s="198" t="s">
        <v>56</v>
      </c>
      <c r="W1279" s="198" t="s">
        <v>356</v>
      </c>
      <c r="X1279" s="198" t="s">
        <v>57</v>
      </c>
      <c r="Y1279" s="198" t="s">
        <v>58</v>
      </c>
      <c r="Z1279" s="201">
        <v>46247</v>
      </c>
      <c r="AA1279" s="198" t="s">
        <v>59</v>
      </c>
      <c r="AB1279" s="198" t="s">
        <v>60</v>
      </c>
      <c r="AC1279" s="198" t="s">
        <v>86</v>
      </c>
      <c r="AD1279" s="198" t="s">
        <v>62</v>
      </c>
      <c r="AE1279" s="198" t="s">
        <v>298</v>
      </c>
      <c r="AF1279" s="198" t="s">
        <v>297</v>
      </c>
      <c r="AG1279" s="198" t="s">
        <v>564</v>
      </c>
      <c r="AH1279" s="198" t="s">
        <v>89</v>
      </c>
      <c r="AI1279" s="198" t="s">
        <v>56</v>
      </c>
      <c r="AJ1279" s="198" t="s">
        <v>299</v>
      </c>
      <c r="AK1279" s="198" t="s">
        <v>51</v>
      </c>
      <c r="AL1279" s="198" t="s">
        <v>67</v>
      </c>
      <c r="AM1279" s="198" t="s">
        <v>68</v>
      </c>
      <c r="AN1279" s="202">
        <v>46818</v>
      </c>
      <c r="AO1279" s="202">
        <v>46818</v>
      </c>
      <c r="AP1279" s="202">
        <v>46818</v>
      </c>
      <c r="AQ1279" s="198" t="s">
        <v>358</v>
      </c>
      <c r="AR1279" s="198" t="s">
        <v>51</v>
      </c>
      <c r="AS1279" s="202">
        <v>46818</v>
      </c>
      <c r="AT1279" s="202">
        <v>46818</v>
      </c>
      <c r="AU1279" s="198" t="s">
        <v>359</v>
      </c>
      <c r="AV1279" s="198" t="s">
        <v>62</v>
      </c>
      <c r="AW1279" s="198" t="s">
        <v>54</v>
      </c>
    </row>
    <row r="1280" spans="3:49" outlineLevel="2" x14ac:dyDescent="0.25">
      <c r="C1280" s="201"/>
      <c r="D1280" s="198" t="s">
        <v>348</v>
      </c>
      <c r="H1280" s="198" t="s">
        <v>348</v>
      </c>
      <c r="I1280" s="202">
        <f t="shared" si="19"/>
        <v>532300864.05000001</v>
      </c>
      <c r="J1280" s="202">
        <v>128.9</v>
      </c>
      <c r="L1280" s="204">
        <v>9</v>
      </c>
      <c r="M1280" s="202">
        <v>26100</v>
      </c>
      <c r="N1280" s="204">
        <v>9</v>
      </c>
      <c r="O1280" s="198" t="s">
        <v>51</v>
      </c>
      <c r="P1280" s="202">
        <v>26100</v>
      </c>
      <c r="Q1280" s="198" t="s">
        <v>73</v>
      </c>
      <c r="R1280" s="198" t="s">
        <v>53</v>
      </c>
      <c r="S1280" s="198" t="s">
        <v>54</v>
      </c>
      <c r="T1280" s="198" t="s">
        <v>1751</v>
      </c>
      <c r="U1280" s="198" t="s">
        <v>277</v>
      </c>
      <c r="V1280" s="198" t="s">
        <v>56</v>
      </c>
      <c r="W1280" s="198" t="s">
        <v>356</v>
      </c>
      <c r="X1280" s="198" t="s">
        <v>57</v>
      </c>
      <c r="Y1280" s="198" t="s">
        <v>58</v>
      </c>
      <c r="Z1280" s="201">
        <v>46247</v>
      </c>
      <c r="AA1280" s="198" t="s">
        <v>59</v>
      </c>
      <c r="AB1280" s="198" t="s">
        <v>60</v>
      </c>
      <c r="AC1280" s="198" t="s">
        <v>86</v>
      </c>
      <c r="AD1280" s="198" t="s">
        <v>62</v>
      </c>
      <c r="AE1280" s="198" t="s">
        <v>301</v>
      </c>
      <c r="AF1280" s="198" t="s">
        <v>300</v>
      </c>
      <c r="AG1280" s="198" t="s">
        <v>564</v>
      </c>
      <c r="AH1280" s="198" t="s">
        <v>89</v>
      </c>
      <c r="AI1280" s="198" t="s">
        <v>56</v>
      </c>
      <c r="AJ1280" s="198" t="s">
        <v>121</v>
      </c>
      <c r="AK1280" s="198" t="s">
        <v>51</v>
      </c>
      <c r="AL1280" s="198" t="s">
        <v>67</v>
      </c>
      <c r="AM1280" s="198" t="s">
        <v>68</v>
      </c>
      <c r="AN1280" s="202">
        <v>26100</v>
      </c>
      <c r="AO1280" s="202">
        <v>26100</v>
      </c>
      <c r="AP1280" s="202">
        <v>26100</v>
      </c>
      <c r="AQ1280" s="198" t="s">
        <v>358</v>
      </c>
      <c r="AR1280" s="198" t="s">
        <v>51</v>
      </c>
      <c r="AS1280" s="202">
        <v>26100</v>
      </c>
      <c r="AT1280" s="202">
        <v>26100</v>
      </c>
      <c r="AU1280" s="198" t="s">
        <v>359</v>
      </c>
      <c r="AV1280" s="198" t="s">
        <v>62</v>
      </c>
      <c r="AW1280" s="198" t="s">
        <v>54</v>
      </c>
    </row>
    <row r="1281" spans="3:49" outlineLevel="2" x14ac:dyDescent="0.25">
      <c r="C1281" s="201"/>
      <c r="D1281" s="198" t="s">
        <v>348</v>
      </c>
      <c r="H1281" s="198" t="s">
        <v>348</v>
      </c>
      <c r="I1281" s="202">
        <f t="shared" si="19"/>
        <v>532713820.5</v>
      </c>
      <c r="J1281" s="202">
        <v>129</v>
      </c>
      <c r="L1281" s="204">
        <v>81</v>
      </c>
      <c r="M1281" s="202">
        <v>477900</v>
      </c>
      <c r="N1281" s="204">
        <v>81</v>
      </c>
      <c r="O1281" s="198" t="s">
        <v>51</v>
      </c>
      <c r="P1281" s="202">
        <v>477900</v>
      </c>
      <c r="Q1281" s="198" t="s">
        <v>73</v>
      </c>
      <c r="R1281" s="198" t="s">
        <v>53</v>
      </c>
      <c r="S1281" s="198" t="s">
        <v>54</v>
      </c>
      <c r="T1281" s="198" t="s">
        <v>1751</v>
      </c>
      <c r="U1281" s="198" t="s">
        <v>277</v>
      </c>
      <c r="V1281" s="198" t="s">
        <v>56</v>
      </c>
      <c r="W1281" s="198" t="s">
        <v>356</v>
      </c>
      <c r="X1281" s="198" t="s">
        <v>57</v>
      </c>
      <c r="Y1281" s="198" t="s">
        <v>58</v>
      </c>
      <c r="Z1281" s="201">
        <v>46247</v>
      </c>
      <c r="AA1281" s="198" t="s">
        <v>59</v>
      </c>
      <c r="AB1281" s="198" t="s">
        <v>60</v>
      </c>
      <c r="AC1281" s="198" t="s">
        <v>86</v>
      </c>
      <c r="AD1281" s="198" t="s">
        <v>62</v>
      </c>
      <c r="AE1281" s="198" t="s">
        <v>303</v>
      </c>
      <c r="AF1281" s="198" t="s">
        <v>302</v>
      </c>
      <c r="AG1281" s="198" t="s">
        <v>564</v>
      </c>
      <c r="AH1281" s="198" t="s">
        <v>89</v>
      </c>
      <c r="AI1281" s="198" t="s">
        <v>56</v>
      </c>
      <c r="AJ1281" s="198" t="s">
        <v>72</v>
      </c>
      <c r="AK1281" s="198" t="s">
        <v>51</v>
      </c>
      <c r="AL1281" s="198" t="s">
        <v>67</v>
      </c>
      <c r="AM1281" s="198" t="s">
        <v>68</v>
      </c>
      <c r="AN1281" s="202">
        <v>477900</v>
      </c>
      <c r="AO1281" s="202">
        <v>477900</v>
      </c>
      <c r="AP1281" s="202">
        <v>477900</v>
      </c>
      <c r="AQ1281" s="198" t="s">
        <v>358</v>
      </c>
      <c r="AR1281" s="198" t="s">
        <v>51</v>
      </c>
      <c r="AS1281" s="202">
        <v>477900</v>
      </c>
      <c r="AT1281" s="202">
        <v>477900</v>
      </c>
      <c r="AU1281" s="198" t="s">
        <v>359</v>
      </c>
      <c r="AV1281" s="198" t="s">
        <v>62</v>
      </c>
      <c r="AW1281" s="198" t="s">
        <v>54</v>
      </c>
    </row>
    <row r="1282" spans="3:49" outlineLevel="2" x14ac:dyDescent="0.25">
      <c r="C1282" s="201"/>
      <c r="D1282" s="198" t="s">
        <v>348</v>
      </c>
      <c r="H1282" s="198" t="s">
        <v>348</v>
      </c>
      <c r="I1282" s="202">
        <f t="shared" si="19"/>
        <v>533126776.94999999</v>
      </c>
      <c r="J1282" s="202">
        <v>129.1</v>
      </c>
      <c r="L1282" s="204">
        <v>513</v>
      </c>
      <c r="M1282" s="202">
        <v>949050</v>
      </c>
      <c r="N1282" s="204">
        <v>513</v>
      </c>
      <c r="O1282" s="198" t="s">
        <v>51</v>
      </c>
      <c r="P1282" s="202">
        <v>949050</v>
      </c>
      <c r="Q1282" s="198" t="s">
        <v>73</v>
      </c>
      <c r="R1282" s="198" t="s">
        <v>53</v>
      </c>
      <c r="S1282" s="198" t="s">
        <v>54</v>
      </c>
      <c r="T1282" s="198" t="s">
        <v>1751</v>
      </c>
      <c r="U1282" s="198" t="s">
        <v>277</v>
      </c>
      <c r="V1282" s="198" t="s">
        <v>56</v>
      </c>
      <c r="W1282" s="198" t="s">
        <v>356</v>
      </c>
      <c r="X1282" s="198" t="s">
        <v>57</v>
      </c>
      <c r="Y1282" s="198" t="s">
        <v>58</v>
      </c>
      <c r="Z1282" s="201">
        <v>46247</v>
      </c>
      <c r="AA1282" s="198" t="s">
        <v>59</v>
      </c>
      <c r="AB1282" s="198" t="s">
        <v>60</v>
      </c>
      <c r="AC1282" s="198" t="s">
        <v>86</v>
      </c>
      <c r="AD1282" s="198" t="s">
        <v>62</v>
      </c>
      <c r="AE1282" s="198" t="s">
        <v>305</v>
      </c>
      <c r="AF1282" s="198" t="s">
        <v>304</v>
      </c>
      <c r="AG1282" s="198" t="s">
        <v>564</v>
      </c>
      <c r="AH1282" s="198" t="s">
        <v>89</v>
      </c>
      <c r="AI1282" s="198" t="s">
        <v>56</v>
      </c>
      <c r="AJ1282" s="198" t="s">
        <v>306</v>
      </c>
      <c r="AK1282" s="198" t="s">
        <v>51</v>
      </c>
      <c r="AL1282" s="198" t="s">
        <v>67</v>
      </c>
      <c r="AM1282" s="198" t="s">
        <v>68</v>
      </c>
      <c r="AN1282" s="202">
        <v>949050</v>
      </c>
      <c r="AO1282" s="202">
        <v>949050</v>
      </c>
      <c r="AP1282" s="202">
        <v>949050</v>
      </c>
      <c r="AQ1282" s="198" t="s">
        <v>358</v>
      </c>
      <c r="AR1282" s="198" t="s">
        <v>51</v>
      </c>
      <c r="AS1282" s="202">
        <v>949050</v>
      </c>
      <c r="AT1282" s="202">
        <v>949050</v>
      </c>
      <c r="AU1282" s="198" t="s">
        <v>359</v>
      </c>
      <c r="AV1282" s="198" t="s">
        <v>62</v>
      </c>
      <c r="AW1282" s="198" t="s">
        <v>54</v>
      </c>
    </row>
    <row r="1283" spans="3:49" outlineLevel="2" x14ac:dyDescent="0.25">
      <c r="C1283" s="201"/>
      <c r="D1283" s="198" t="s">
        <v>348</v>
      </c>
      <c r="H1283" s="198" t="s">
        <v>348</v>
      </c>
      <c r="I1283" s="202">
        <f t="shared" ref="I1283:I1346" si="20">J1283*4129564.5</f>
        <v>533539733.39999998</v>
      </c>
      <c r="J1283" s="202">
        <v>129.19999999999999</v>
      </c>
      <c r="L1283" s="204">
        <v>30</v>
      </c>
      <c r="M1283" s="202">
        <v>57000</v>
      </c>
      <c r="N1283" s="204">
        <v>30</v>
      </c>
      <c r="O1283" s="198" t="s">
        <v>51</v>
      </c>
      <c r="P1283" s="202">
        <v>57000</v>
      </c>
      <c r="Q1283" s="198" t="s">
        <v>73</v>
      </c>
      <c r="R1283" s="198" t="s">
        <v>53</v>
      </c>
      <c r="S1283" s="198" t="s">
        <v>54</v>
      </c>
      <c r="T1283" s="198" t="s">
        <v>1751</v>
      </c>
      <c r="U1283" s="198" t="s">
        <v>277</v>
      </c>
      <c r="V1283" s="198" t="s">
        <v>56</v>
      </c>
      <c r="W1283" s="198" t="s">
        <v>356</v>
      </c>
      <c r="X1283" s="198" t="s">
        <v>57</v>
      </c>
      <c r="Y1283" s="198" t="s">
        <v>58</v>
      </c>
      <c r="Z1283" s="201">
        <v>46247</v>
      </c>
      <c r="AA1283" s="198" t="s">
        <v>59</v>
      </c>
      <c r="AB1283" s="198" t="s">
        <v>60</v>
      </c>
      <c r="AC1283" s="198" t="s">
        <v>86</v>
      </c>
      <c r="AD1283" s="198" t="s">
        <v>62</v>
      </c>
      <c r="AE1283" s="198" t="s">
        <v>308</v>
      </c>
      <c r="AF1283" s="198" t="s">
        <v>307</v>
      </c>
      <c r="AG1283" s="198" t="s">
        <v>564</v>
      </c>
      <c r="AH1283" s="198" t="s">
        <v>89</v>
      </c>
      <c r="AI1283" s="198" t="s">
        <v>56</v>
      </c>
      <c r="AJ1283" s="198" t="s">
        <v>306</v>
      </c>
      <c r="AK1283" s="198" t="s">
        <v>51</v>
      </c>
      <c r="AL1283" s="198" t="s">
        <v>67</v>
      </c>
      <c r="AM1283" s="198" t="s">
        <v>68</v>
      </c>
      <c r="AN1283" s="202">
        <v>57000</v>
      </c>
      <c r="AO1283" s="202">
        <v>57000</v>
      </c>
      <c r="AP1283" s="202">
        <v>57000</v>
      </c>
      <c r="AQ1283" s="198" t="s">
        <v>358</v>
      </c>
      <c r="AR1283" s="198" t="s">
        <v>51</v>
      </c>
      <c r="AS1283" s="202">
        <v>57000</v>
      </c>
      <c r="AT1283" s="202">
        <v>57000</v>
      </c>
      <c r="AU1283" s="198" t="s">
        <v>359</v>
      </c>
      <c r="AV1283" s="198" t="s">
        <v>62</v>
      </c>
      <c r="AW1283" s="198" t="s">
        <v>54</v>
      </c>
    </row>
    <row r="1284" spans="3:49" outlineLevel="2" x14ac:dyDescent="0.25">
      <c r="C1284" s="201"/>
      <c r="D1284" s="198" t="s">
        <v>348</v>
      </c>
      <c r="H1284" s="198" t="s">
        <v>348</v>
      </c>
      <c r="I1284" s="202">
        <f t="shared" si="20"/>
        <v>533952689.85000002</v>
      </c>
      <c r="J1284" s="202">
        <v>129.30000000000001</v>
      </c>
      <c r="L1284" s="204">
        <v>72</v>
      </c>
      <c r="M1284" s="202">
        <v>135576</v>
      </c>
      <c r="N1284" s="204">
        <v>72</v>
      </c>
      <c r="O1284" s="198" t="s">
        <v>51</v>
      </c>
      <c r="P1284" s="202">
        <v>135576</v>
      </c>
      <c r="Q1284" s="198" t="s">
        <v>73</v>
      </c>
      <c r="R1284" s="198" t="s">
        <v>53</v>
      </c>
      <c r="S1284" s="198" t="s">
        <v>54</v>
      </c>
      <c r="T1284" s="198" t="s">
        <v>1751</v>
      </c>
      <c r="U1284" s="198" t="s">
        <v>277</v>
      </c>
      <c r="V1284" s="198" t="s">
        <v>56</v>
      </c>
      <c r="W1284" s="198" t="s">
        <v>356</v>
      </c>
      <c r="X1284" s="198" t="s">
        <v>57</v>
      </c>
      <c r="Y1284" s="198" t="s">
        <v>58</v>
      </c>
      <c r="Z1284" s="201">
        <v>46247</v>
      </c>
      <c r="AA1284" s="198" t="s">
        <v>59</v>
      </c>
      <c r="AB1284" s="198" t="s">
        <v>60</v>
      </c>
      <c r="AC1284" s="198" t="s">
        <v>86</v>
      </c>
      <c r="AD1284" s="198" t="s">
        <v>62</v>
      </c>
      <c r="AE1284" s="198" t="s">
        <v>310</v>
      </c>
      <c r="AF1284" s="198" t="s">
        <v>309</v>
      </c>
      <c r="AG1284" s="198" t="s">
        <v>564</v>
      </c>
      <c r="AH1284" s="198" t="s">
        <v>89</v>
      </c>
      <c r="AI1284" s="198" t="s">
        <v>56</v>
      </c>
      <c r="AJ1284" s="198" t="s">
        <v>311</v>
      </c>
      <c r="AK1284" s="198" t="s">
        <v>51</v>
      </c>
      <c r="AL1284" s="198" t="s">
        <v>67</v>
      </c>
      <c r="AM1284" s="198" t="s">
        <v>68</v>
      </c>
      <c r="AN1284" s="202">
        <v>135576</v>
      </c>
      <c r="AO1284" s="202">
        <v>135576</v>
      </c>
      <c r="AP1284" s="202">
        <v>135576</v>
      </c>
      <c r="AQ1284" s="198" t="s">
        <v>358</v>
      </c>
      <c r="AR1284" s="198" t="s">
        <v>51</v>
      </c>
      <c r="AS1284" s="202">
        <v>135576</v>
      </c>
      <c r="AT1284" s="202">
        <v>135576</v>
      </c>
      <c r="AU1284" s="198" t="s">
        <v>359</v>
      </c>
      <c r="AV1284" s="198" t="s">
        <v>62</v>
      </c>
      <c r="AW1284" s="198" t="s">
        <v>54</v>
      </c>
    </row>
    <row r="1285" spans="3:49" outlineLevel="2" x14ac:dyDescent="0.25">
      <c r="C1285" s="201"/>
      <c r="D1285" s="198" t="s">
        <v>348</v>
      </c>
      <c r="H1285" s="198" t="s">
        <v>348</v>
      </c>
      <c r="I1285" s="202">
        <f t="shared" si="20"/>
        <v>534365646.30000001</v>
      </c>
      <c r="J1285" s="202">
        <v>129.4</v>
      </c>
      <c r="L1285" s="204">
        <v>9</v>
      </c>
      <c r="M1285" s="202">
        <v>54000</v>
      </c>
      <c r="N1285" s="204">
        <v>9</v>
      </c>
      <c r="O1285" s="198" t="s">
        <v>51</v>
      </c>
      <c r="P1285" s="202">
        <v>54000</v>
      </c>
      <c r="Q1285" s="198" t="s">
        <v>73</v>
      </c>
      <c r="R1285" s="198" t="s">
        <v>53</v>
      </c>
      <c r="S1285" s="198" t="s">
        <v>54</v>
      </c>
      <c r="T1285" s="198" t="s">
        <v>1751</v>
      </c>
      <c r="U1285" s="198" t="s">
        <v>277</v>
      </c>
      <c r="V1285" s="198" t="s">
        <v>56</v>
      </c>
      <c r="W1285" s="198" t="s">
        <v>356</v>
      </c>
      <c r="X1285" s="198" t="s">
        <v>57</v>
      </c>
      <c r="Y1285" s="198" t="s">
        <v>58</v>
      </c>
      <c r="Z1285" s="201">
        <v>46247</v>
      </c>
      <c r="AA1285" s="198" t="s">
        <v>59</v>
      </c>
      <c r="AB1285" s="198" t="s">
        <v>60</v>
      </c>
      <c r="AC1285" s="198" t="s">
        <v>86</v>
      </c>
      <c r="AD1285" s="198" t="s">
        <v>62</v>
      </c>
      <c r="AE1285" s="198" t="s">
        <v>313</v>
      </c>
      <c r="AF1285" s="198" t="s">
        <v>312</v>
      </c>
      <c r="AG1285" s="198" t="s">
        <v>564</v>
      </c>
      <c r="AH1285" s="198" t="s">
        <v>89</v>
      </c>
      <c r="AI1285" s="198" t="s">
        <v>56</v>
      </c>
      <c r="AJ1285" s="198" t="s">
        <v>121</v>
      </c>
      <c r="AK1285" s="198" t="s">
        <v>51</v>
      </c>
      <c r="AL1285" s="198" t="s">
        <v>67</v>
      </c>
      <c r="AM1285" s="198" t="s">
        <v>68</v>
      </c>
      <c r="AN1285" s="202">
        <v>54000</v>
      </c>
      <c r="AO1285" s="202">
        <v>54000</v>
      </c>
      <c r="AP1285" s="202">
        <v>54000</v>
      </c>
      <c r="AQ1285" s="198" t="s">
        <v>358</v>
      </c>
      <c r="AR1285" s="198" t="s">
        <v>51</v>
      </c>
      <c r="AS1285" s="202">
        <v>54000</v>
      </c>
      <c r="AT1285" s="202">
        <v>54000</v>
      </c>
      <c r="AU1285" s="198" t="s">
        <v>359</v>
      </c>
      <c r="AV1285" s="198" t="s">
        <v>62</v>
      </c>
      <c r="AW1285" s="198" t="s">
        <v>54</v>
      </c>
    </row>
    <row r="1286" spans="3:49" outlineLevel="2" x14ac:dyDescent="0.25">
      <c r="C1286" s="201"/>
      <c r="D1286" s="198" t="s">
        <v>348</v>
      </c>
      <c r="H1286" s="198" t="s">
        <v>348</v>
      </c>
      <c r="I1286" s="202">
        <f t="shared" si="20"/>
        <v>534778602.75</v>
      </c>
      <c r="J1286" s="202">
        <v>129.5</v>
      </c>
      <c r="L1286" s="204">
        <v>90</v>
      </c>
      <c r="M1286" s="202">
        <v>1062000</v>
      </c>
      <c r="N1286" s="204">
        <v>90</v>
      </c>
      <c r="O1286" s="198" t="s">
        <v>51</v>
      </c>
      <c r="P1286" s="202">
        <v>1062000</v>
      </c>
      <c r="Q1286" s="198" t="s">
        <v>73</v>
      </c>
      <c r="R1286" s="198" t="s">
        <v>53</v>
      </c>
      <c r="S1286" s="198" t="s">
        <v>54</v>
      </c>
      <c r="T1286" s="198" t="s">
        <v>1751</v>
      </c>
      <c r="U1286" s="198" t="s">
        <v>277</v>
      </c>
      <c r="V1286" s="198" t="s">
        <v>56</v>
      </c>
      <c r="W1286" s="198" t="s">
        <v>356</v>
      </c>
      <c r="X1286" s="198" t="s">
        <v>57</v>
      </c>
      <c r="Y1286" s="198" t="s">
        <v>58</v>
      </c>
      <c r="Z1286" s="201">
        <v>46247</v>
      </c>
      <c r="AA1286" s="198" t="s">
        <v>59</v>
      </c>
      <c r="AB1286" s="198" t="s">
        <v>60</v>
      </c>
      <c r="AC1286" s="198" t="s">
        <v>86</v>
      </c>
      <c r="AD1286" s="198" t="s">
        <v>62</v>
      </c>
      <c r="AE1286" s="198" t="s">
        <v>315</v>
      </c>
      <c r="AF1286" s="198" t="s">
        <v>314</v>
      </c>
      <c r="AG1286" s="198" t="s">
        <v>564</v>
      </c>
      <c r="AH1286" s="198" t="s">
        <v>89</v>
      </c>
      <c r="AI1286" s="198" t="s">
        <v>56</v>
      </c>
      <c r="AJ1286" s="198" t="s">
        <v>121</v>
      </c>
      <c r="AK1286" s="198" t="s">
        <v>51</v>
      </c>
      <c r="AL1286" s="198" t="s">
        <v>67</v>
      </c>
      <c r="AM1286" s="198" t="s">
        <v>68</v>
      </c>
      <c r="AN1286" s="202">
        <v>1062000</v>
      </c>
      <c r="AO1286" s="202">
        <v>1062000</v>
      </c>
      <c r="AP1286" s="202">
        <v>1062000</v>
      </c>
      <c r="AQ1286" s="198" t="s">
        <v>358</v>
      </c>
      <c r="AR1286" s="198" t="s">
        <v>51</v>
      </c>
      <c r="AS1286" s="202">
        <v>1062000</v>
      </c>
      <c r="AT1286" s="202">
        <v>1062000</v>
      </c>
      <c r="AU1286" s="198" t="s">
        <v>359</v>
      </c>
      <c r="AV1286" s="198" t="s">
        <v>62</v>
      </c>
      <c r="AW1286" s="198" t="s">
        <v>54</v>
      </c>
    </row>
    <row r="1287" spans="3:49" outlineLevel="2" x14ac:dyDescent="0.25">
      <c r="C1287" s="201"/>
      <c r="D1287" s="198" t="s">
        <v>348</v>
      </c>
      <c r="H1287" s="198" t="s">
        <v>348</v>
      </c>
      <c r="I1287" s="202">
        <f t="shared" si="20"/>
        <v>535191559.19999999</v>
      </c>
      <c r="J1287" s="202">
        <v>129.6</v>
      </c>
      <c r="L1287" s="204">
        <v>7000</v>
      </c>
      <c r="M1287" s="202">
        <v>840000</v>
      </c>
      <c r="N1287" s="204">
        <v>7000</v>
      </c>
      <c r="O1287" s="198" t="s">
        <v>51</v>
      </c>
      <c r="P1287" s="202">
        <v>840000</v>
      </c>
      <c r="Q1287" s="198" t="s">
        <v>75</v>
      </c>
      <c r="R1287" s="198" t="s">
        <v>53</v>
      </c>
      <c r="S1287" s="198" t="s">
        <v>54</v>
      </c>
      <c r="T1287" s="198" t="s">
        <v>1751</v>
      </c>
      <c r="U1287" s="198" t="s">
        <v>277</v>
      </c>
      <c r="V1287" s="198" t="s">
        <v>56</v>
      </c>
      <c r="W1287" s="198" t="s">
        <v>356</v>
      </c>
      <c r="X1287" s="198" t="s">
        <v>57</v>
      </c>
      <c r="Y1287" s="198" t="s">
        <v>58</v>
      </c>
      <c r="Z1287" s="201">
        <v>46247</v>
      </c>
      <c r="AA1287" s="198" t="s">
        <v>59</v>
      </c>
      <c r="AB1287" s="198" t="s">
        <v>60</v>
      </c>
      <c r="AC1287" s="198" t="s">
        <v>86</v>
      </c>
      <c r="AD1287" s="198" t="s">
        <v>62</v>
      </c>
      <c r="AE1287" s="198" t="s">
        <v>320</v>
      </c>
      <c r="AF1287" s="198" t="s">
        <v>319</v>
      </c>
      <c r="AG1287" s="198" t="s">
        <v>564</v>
      </c>
      <c r="AH1287" s="198" t="s">
        <v>89</v>
      </c>
      <c r="AI1287" s="198" t="s">
        <v>56</v>
      </c>
      <c r="AJ1287" s="198" t="s">
        <v>318</v>
      </c>
      <c r="AK1287" s="198" t="s">
        <v>51</v>
      </c>
      <c r="AL1287" s="198" t="s">
        <v>67</v>
      </c>
      <c r="AM1287" s="198" t="s">
        <v>68</v>
      </c>
      <c r="AN1287" s="202">
        <v>840000</v>
      </c>
      <c r="AO1287" s="202">
        <v>840000</v>
      </c>
      <c r="AP1287" s="202">
        <v>840000</v>
      </c>
      <c r="AQ1287" s="198" t="s">
        <v>358</v>
      </c>
      <c r="AR1287" s="198" t="s">
        <v>51</v>
      </c>
      <c r="AS1287" s="202">
        <v>840000</v>
      </c>
      <c r="AT1287" s="202">
        <v>840000</v>
      </c>
      <c r="AU1287" s="198" t="s">
        <v>359</v>
      </c>
      <c r="AV1287" s="198" t="s">
        <v>62</v>
      </c>
      <c r="AW1287" s="198" t="s">
        <v>54</v>
      </c>
    </row>
    <row r="1288" spans="3:49" outlineLevel="2" x14ac:dyDescent="0.25">
      <c r="C1288" s="201"/>
      <c r="D1288" s="198" t="s">
        <v>348</v>
      </c>
      <c r="H1288" s="198" t="s">
        <v>348</v>
      </c>
      <c r="I1288" s="202">
        <f t="shared" si="20"/>
        <v>535604515.64999998</v>
      </c>
      <c r="J1288" s="202">
        <v>129.69999999999999</v>
      </c>
      <c r="L1288" s="204">
        <v>150</v>
      </c>
      <c r="M1288" s="202">
        <v>36000</v>
      </c>
      <c r="N1288" s="204">
        <v>150</v>
      </c>
      <c r="O1288" s="198" t="s">
        <v>51</v>
      </c>
      <c r="P1288" s="202">
        <v>36000</v>
      </c>
      <c r="Q1288" s="198" t="s">
        <v>75</v>
      </c>
      <c r="R1288" s="198" t="s">
        <v>53</v>
      </c>
      <c r="S1288" s="198" t="s">
        <v>54</v>
      </c>
      <c r="T1288" s="198" t="s">
        <v>1751</v>
      </c>
      <c r="U1288" s="198" t="s">
        <v>277</v>
      </c>
      <c r="V1288" s="198" t="s">
        <v>56</v>
      </c>
      <c r="W1288" s="198" t="s">
        <v>356</v>
      </c>
      <c r="X1288" s="198" t="s">
        <v>57</v>
      </c>
      <c r="Y1288" s="198" t="s">
        <v>58</v>
      </c>
      <c r="Z1288" s="201">
        <v>46247</v>
      </c>
      <c r="AA1288" s="198" t="s">
        <v>59</v>
      </c>
      <c r="AB1288" s="198" t="s">
        <v>60</v>
      </c>
      <c r="AC1288" s="198" t="s">
        <v>86</v>
      </c>
      <c r="AD1288" s="198" t="s">
        <v>62</v>
      </c>
      <c r="AE1288" s="198" t="s">
        <v>322</v>
      </c>
      <c r="AF1288" s="198" t="s">
        <v>321</v>
      </c>
      <c r="AG1288" s="198" t="s">
        <v>564</v>
      </c>
      <c r="AH1288" s="198" t="s">
        <v>89</v>
      </c>
      <c r="AI1288" s="198" t="s">
        <v>56</v>
      </c>
      <c r="AJ1288" s="198" t="s">
        <v>318</v>
      </c>
      <c r="AK1288" s="198" t="s">
        <v>51</v>
      </c>
      <c r="AL1288" s="198" t="s">
        <v>67</v>
      </c>
      <c r="AM1288" s="198" t="s">
        <v>68</v>
      </c>
      <c r="AN1288" s="202">
        <v>36000</v>
      </c>
      <c r="AO1288" s="202">
        <v>36000</v>
      </c>
      <c r="AP1288" s="202">
        <v>36000</v>
      </c>
      <c r="AQ1288" s="198" t="s">
        <v>358</v>
      </c>
      <c r="AR1288" s="198" t="s">
        <v>51</v>
      </c>
      <c r="AS1288" s="202">
        <v>36000</v>
      </c>
      <c r="AT1288" s="202">
        <v>36000</v>
      </c>
      <c r="AU1288" s="198" t="s">
        <v>359</v>
      </c>
      <c r="AV1288" s="198" t="s">
        <v>62</v>
      </c>
      <c r="AW1288" s="198" t="s">
        <v>54</v>
      </c>
    </row>
    <row r="1289" spans="3:49" outlineLevel="2" x14ac:dyDescent="0.25">
      <c r="C1289" s="201"/>
      <c r="D1289" s="198" t="s">
        <v>348</v>
      </c>
      <c r="H1289" s="198" t="s">
        <v>348</v>
      </c>
      <c r="I1289" s="202">
        <f t="shared" si="20"/>
        <v>536017472.10000002</v>
      </c>
      <c r="J1289" s="202">
        <v>129.80000000000001</v>
      </c>
      <c r="L1289" s="204">
        <v>200</v>
      </c>
      <c r="M1289" s="202">
        <v>24000</v>
      </c>
      <c r="N1289" s="204">
        <v>200</v>
      </c>
      <c r="O1289" s="198" t="s">
        <v>51</v>
      </c>
      <c r="P1289" s="202">
        <v>24000</v>
      </c>
      <c r="Q1289" s="198" t="s">
        <v>75</v>
      </c>
      <c r="R1289" s="198" t="s">
        <v>53</v>
      </c>
      <c r="S1289" s="198" t="s">
        <v>54</v>
      </c>
      <c r="T1289" s="198" t="s">
        <v>1751</v>
      </c>
      <c r="U1289" s="198" t="s">
        <v>277</v>
      </c>
      <c r="V1289" s="198" t="s">
        <v>56</v>
      </c>
      <c r="W1289" s="198" t="s">
        <v>356</v>
      </c>
      <c r="X1289" s="198" t="s">
        <v>57</v>
      </c>
      <c r="Y1289" s="198" t="s">
        <v>58</v>
      </c>
      <c r="Z1289" s="201">
        <v>46247</v>
      </c>
      <c r="AA1289" s="198" t="s">
        <v>59</v>
      </c>
      <c r="AB1289" s="198" t="s">
        <v>60</v>
      </c>
      <c r="AC1289" s="198" t="s">
        <v>86</v>
      </c>
      <c r="AD1289" s="198" t="s">
        <v>62</v>
      </c>
      <c r="AE1289" s="198" t="s">
        <v>324</v>
      </c>
      <c r="AF1289" s="198" t="s">
        <v>323</v>
      </c>
      <c r="AG1289" s="198" t="s">
        <v>564</v>
      </c>
      <c r="AH1289" s="198" t="s">
        <v>89</v>
      </c>
      <c r="AI1289" s="198" t="s">
        <v>56</v>
      </c>
      <c r="AJ1289" s="198" t="s">
        <v>325</v>
      </c>
      <c r="AK1289" s="198" t="s">
        <v>51</v>
      </c>
      <c r="AL1289" s="198" t="s">
        <v>67</v>
      </c>
      <c r="AM1289" s="198" t="s">
        <v>68</v>
      </c>
      <c r="AN1289" s="202">
        <v>24000</v>
      </c>
      <c r="AO1289" s="202">
        <v>24000</v>
      </c>
      <c r="AP1289" s="202">
        <v>24000</v>
      </c>
      <c r="AQ1289" s="198" t="s">
        <v>358</v>
      </c>
      <c r="AR1289" s="198" t="s">
        <v>51</v>
      </c>
      <c r="AS1289" s="202">
        <v>24000</v>
      </c>
      <c r="AT1289" s="202">
        <v>24000</v>
      </c>
      <c r="AU1289" s="198" t="s">
        <v>359</v>
      </c>
      <c r="AV1289" s="198" t="s">
        <v>62</v>
      </c>
      <c r="AW1289" s="198" t="s">
        <v>54</v>
      </c>
    </row>
    <row r="1290" spans="3:49" outlineLevel="2" x14ac:dyDescent="0.25">
      <c r="C1290" s="201"/>
      <c r="D1290" s="198" t="s">
        <v>348</v>
      </c>
      <c r="H1290" s="198" t="s">
        <v>348</v>
      </c>
      <c r="I1290" s="202">
        <f t="shared" si="20"/>
        <v>536430428.55000001</v>
      </c>
      <c r="J1290" s="202">
        <v>129.9</v>
      </c>
      <c r="L1290" s="204">
        <v>100</v>
      </c>
      <c r="M1290" s="202">
        <v>10000</v>
      </c>
      <c r="N1290" s="204">
        <v>100</v>
      </c>
      <c r="O1290" s="198" t="s">
        <v>51</v>
      </c>
      <c r="P1290" s="202">
        <v>10000</v>
      </c>
      <c r="Q1290" s="198" t="s">
        <v>75</v>
      </c>
      <c r="R1290" s="198" t="s">
        <v>53</v>
      </c>
      <c r="S1290" s="198" t="s">
        <v>54</v>
      </c>
      <c r="T1290" s="198" t="s">
        <v>1751</v>
      </c>
      <c r="U1290" s="198" t="s">
        <v>277</v>
      </c>
      <c r="V1290" s="198" t="s">
        <v>56</v>
      </c>
      <c r="W1290" s="198" t="s">
        <v>356</v>
      </c>
      <c r="X1290" s="198" t="s">
        <v>57</v>
      </c>
      <c r="Y1290" s="198" t="s">
        <v>58</v>
      </c>
      <c r="Z1290" s="201">
        <v>46247</v>
      </c>
      <c r="AA1290" s="198" t="s">
        <v>59</v>
      </c>
      <c r="AB1290" s="198" t="s">
        <v>60</v>
      </c>
      <c r="AC1290" s="198" t="s">
        <v>86</v>
      </c>
      <c r="AD1290" s="198" t="s">
        <v>62</v>
      </c>
      <c r="AE1290" s="198" t="s">
        <v>327</v>
      </c>
      <c r="AF1290" s="198" t="s">
        <v>326</v>
      </c>
      <c r="AG1290" s="198" t="s">
        <v>564</v>
      </c>
      <c r="AH1290" s="198" t="s">
        <v>89</v>
      </c>
      <c r="AI1290" s="198" t="s">
        <v>56</v>
      </c>
      <c r="AJ1290" s="198" t="s">
        <v>328</v>
      </c>
      <c r="AK1290" s="198" t="s">
        <v>51</v>
      </c>
      <c r="AL1290" s="198" t="s">
        <v>67</v>
      </c>
      <c r="AM1290" s="198" t="s">
        <v>68</v>
      </c>
      <c r="AN1290" s="202">
        <v>10000</v>
      </c>
      <c r="AO1290" s="202">
        <v>10000</v>
      </c>
      <c r="AP1290" s="202">
        <v>10000</v>
      </c>
      <c r="AQ1290" s="198" t="s">
        <v>358</v>
      </c>
      <c r="AR1290" s="198" t="s">
        <v>51</v>
      </c>
      <c r="AS1290" s="202">
        <v>10000</v>
      </c>
      <c r="AT1290" s="202">
        <v>10000</v>
      </c>
      <c r="AU1290" s="198" t="s">
        <v>359</v>
      </c>
      <c r="AV1290" s="198" t="s">
        <v>62</v>
      </c>
      <c r="AW1290" s="198" t="s">
        <v>54</v>
      </c>
    </row>
    <row r="1291" spans="3:49" outlineLevel="2" x14ac:dyDescent="0.25">
      <c r="C1291" s="201"/>
      <c r="D1291" s="198" t="s">
        <v>348</v>
      </c>
      <c r="H1291" s="198" t="s">
        <v>348</v>
      </c>
      <c r="I1291" s="202">
        <f t="shared" si="20"/>
        <v>536843385</v>
      </c>
      <c r="J1291" s="202">
        <v>130</v>
      </c>
      <c r="L1291" s="204">
        <v>250</v>
      </c>
      <c r="M1291" s="202">
        <v>75000</v>
      </c>
      <c r="N1291" s="204">
        <v>250</v>
      </c>
      <c r="O1291" s="198" t="s">
        <v>51</v>
      </c>
      <c r="P1291" s="202">
        <v>75000</v>
      </c>
      <c r="Q1291" s="198" t="s">
        <v>75</v>
      </c>
      <c r="R1291" s="198" t="s">
        <v>53</v>
      </c>
      <c r="S1291" s="198" t="s">
        <v>54</v>
      </c>
      <c r="T1291" s="198" t="s">
        <v>1751</v>
      </c>
      <c r="U1291" s="198" t="s">
        <v>277</v>
      </c>
      <c r="V1291" s="198" t="s">
        <v>56</v>
      </c>
      <c r="W1291" s="198" t="s">
        <v>356</v>
      </c>
      <c r="X1291" s="198" t="s">
        <v>57</v>
      </c>
      <c r="Y1291" s="198" t="s">
        <v>58</v>
      </c>
      <c r="Z1291" s="201">
        <v>46247</v>
      </c>
      <c r="AA1291" s="198" t="s">
        <v>59</v>
      </c>
      <c r="AB1291" s="198" t="s">
        <v>60</v>
      </c>
      <c r="AC1291" s="198" t="s">
        <v>86</v>
      </c>
      <c r="AD1291" s="198" t="s">
        <v>62</v>
      </c>
      <c r="AE1291" s="198" t="s">
        <v>330</v>
      </c>
      <c r="AF1291" s="198" t="s">
        <v>329</v>
      </c>
      <c r="AG1291" s="198" t="s">
        <v>564</v>
      </c>
      <c r="AH1291" s="198" t="s">
        <v>89</v>
      </c>
      <c r="AI1291" s="198" t="s">
        <v>56</v>
      </c>
      <c r="AJ1291" s="198" t="s">
        <v>76</v>
      </c>
      <c r="AK1291" s="198" t="s">
        <v>51</v>
      </c>
      <c r="AL1291" s="198" t="s">
        <v>67</v>
      </c>
      <c r="AM1291" s="198" t="s">
        <v>68</v>
      </c>
      <c r="AN1291" s="202">
        <v>75000</v>
      </c>
      <c r="AO1291" s="202">
        <v>75000</v>
      </c>
      <c r="AP1291" s="202">
        <v>75000</v>
      </c>
      <c r="AQ1291" s="198" t="s">
        <v>358</v>
      </c>
      <c r="AR1291" s="198" t="s">
        <v>51</v>
      </c>
      <c r="AS1291" s="202">
        <v>75000</v>
      </c>
      <c r="AT1291" s="202">
        <v>75000</v>
      </c>
      <c r="AU1291" s="198" t="s">
        <v>359</v>
      </c>
      <c r="AV1291" s="198" t="s">
        <v>62</v>
      </c>
      <c r="AW1291" s="198" t="s">
        <v>54</v>
      </c>
    </row>
    <row r="1292" spans="3:49" outlineLevel="2" x14ac:dyDescent="0.25">
      <c r="C1292" s="201"/>
      <c r="D1292" s="198" t="s">
        <v>348</v>
      </c>
      <c r="H1292" s="198" t="s">
        <v>348</v>
      </c>
      <c r="I1292" s="202">
        <f t="shared" si="20"/>
        <v>537256341.44999993</v>
      </c>
      <c r="J1292" s="202">
        <v>130.1</v>
      </c>
      <c r="L1292" s="204">
        <v>300</v>
      </c>
      <c r="M1292" s="202">
        <v>897000</v>
      </c>
      <c r="N1292" s="204">
        <v>300</v>
      </c>
      <c r="O1292" s="198" t="s">
        <v>51</v>
      </c>
      <c r="P1292" s="202">
        <v>897000</v>
      </c>
      <c r="Q1292" s="198" t="s">
        <v>75</v>
      </c>
      <c r="R1292" s="198" t="s">
        <v>53</v>
      </c>
      <c r="S1292" s="198" t="s">
        <v>54</v>
      </c>
      <c r="T1292" s="198" t="s">
        <v>1751</v>
      </c>
      <c r="U1292" s="198" t="s">
        <v>277</v>
      </c>
      <c r="V1292" s="198" t="s">
        <v>56</v>
      </c>
      <c r="W1292" s="198" t="s">
        <v>356</v>
      </c>
      <c r="X1292" s="198" t="s">
        <v>57</v>
      </c>
      <c r="Y1292" s="198" t="s">
        <v>58</v>
      </c>
      <c r="Z1292" s="201">
        <v>46247</v>
      </c>
      <c r="AA1292" s="198" t="s">
        <v>59</v>
      </c>
      <c r="AB1292" s="198" t="s">
        <v>60</v>
      </c>
      <c r="AC1292" s="198" t="s">
        <v>86</v>
      </c>
      <c r="AD1292" s="198" t="s">
        <v>62</v>
      </c>
      <c r="AE1292" s="198" t="s">
        <v>332</v>
      </c>
      <c r="AF1292" s="198" t="s">
        <v>331</v>
      </c>
      <c r="AG1292" s="198" t="s">
        <v>564</v>
      </c>
      <c r="AH1292" s="198" t="s">
        <v>89</v>
      </c>
      <c r="AI1292" s="198" t="s">
        <v>56</v>
      </c>
      <c r="AJ1292" s="198" t="s">
        <v>333</v>
      </c>
      <c r="AK1292" s="198" t="s">
        <v>51</v>
      </c>
      <c r="AL1292" s="198" t="s">
        <v>67</v>
      </c>
      <c r="AM1292" s="198" t="s">
        <v>68</v>
      </c>
      <c r="AN1292" s="202">
        <v>897000</v>
      </c>
      <c r="AO1292" s="202">
        <v>897000</v>
      </c>
      <c r="AP1292" s="202">
        <v>897000</v>
      </c>
      <c r="AQ1292" s="198" t="s">
        <v>358</v>
      </c>
      <c r="AR1292" s="198" t="s">
        <v>51</v>
      </c>
      <c r="AS1292" s="202">
        <v>897000</v>
      </c>
      <c r="AT1292" s="202">
        <v>897000</v>
      </c>
      <c r="AU1292" s="198" t="s">
        <v>359</v>
      </c>
      <c r="AV1292" s="198" t="s">
        <v>62</v>
      </c>
      <c r="AW1292" s="198" t="s">
        <v>54</v>
      </c>
    </row>
    <row r="1293" spans="3:49" outlineLevel="2" x14ac:dyDescent="0.25">
      <c r="C1293" s="201"/>
      <c r="D1293" s="198" t="s">
        <v>348</v>
      </c>
      <c r="H1293" s="198" t="s">
        <v>348</v>
      </c>
      <c r="I1293" s="202">
        <f t="shared" si="20"/>
        <v>537669297.89999998</v>
      </c>
      <c r="J1293" s="202">
        <v>130.19999999999999</v>
      </c>
      <c r="L1293" s="204">
        <v>1</v>
      </c>
      <c r="M1293" s="202">
        <v>50000</v>
      </c>
      <c r="N1293" s="204">
        <v>1</v>
      </c>
      <c r="O1293" s="198" t="s">
        <v>51</v>
      </c>
      <c r="P1293" s="202">
        <v>50000</v>
      </c>
      <c r="Q1293" s="198" t="s">
        <v>335</v>
      </c>
      <c r="R1293" s="198" t="s">
        <v>53</v>
      </c>
      <c r="S1293" s="198" t="s">
        <v>54</v>
      </c>
      <c r="T1293" s="198" t="s">
        <v>1751</v>
      </c>
      <c r="U1293" s="198" t="s">
        <v>277</v>
      </c>
      <c r="V1293" s="198" t="s">
        <v>56</v>
      </c>
      <c r="W1293" s="198" t="s">
        <v>356</v>
      </c>
      <c r="X1293" s="198" t="s">
        <v>57</v>
      </c>
      <c r="Y1293" s="198" t="s">
        <v>58</v>
      </c>
      <c r="Z1293" s="201">
        <v>46247</v>
      </c>
      <c r="AA1293" s="198" t="s">
        <v>59</v>
      </c>
      <c r="AB1293" s="198" t="s">
        <v>60</v>
      </c>
      <c r="AC1293" s="198" t="s">
        <v>86</v>
      </c>
      <c r="AD1293" s="198" t="s">
        <v>62</v>
      </c>
      <c r="AE1293" s="198" t="s">
        <v>336</v>
      </c>
      <c r="AF1293" s="198" t="s">
        <v>334</v>
      </c>
      <c r="AG1293" s="198" t="s">
        <v>564</v>
      </c>
      <c r="AH1293" s="198" t="s">
        <v>89</v>
      </c>
      <c r="AI1293" s="198" t="s">
        <v>56</v>
      </c>
      <c r="AJ1293" s="198" t="s">
        <v>325</v>
      </c>
      <c r="AK1293" s="198" t="s">
        <v>51</v>
      </c>
      <c r="AL1293" s="198" t="s">
        <v>67</v>
      </c>
      <c r="AM1293" s="198" t="s">
        <v>68</v>
      </c>
      <c r="AN1293" s="202">
        <v>50000</v>
      </c>
      <c r="AO1293" s="202">
        <v>50000</v>
      </c>
      <c r="AP1293" s="202">
        <v>50000</v>
      </c>
      <c r="AQ1293" s="198" t="s">
        <v>358</v>
      </c>
      <c r="AR1293" s="198" t="s">
        <v>51</v>
      </c>
      <c r="AS1293" s="202">
        <v>50000</v>
      </c>
      <c r="AT1293" s="202">
        <v>50000</v>
      </c>
      <c r="AU1293" s="198" t="s">
        <v>359</v>
      </c>
      <c r="AV1293" s="198" t="s">
        <v>62</v>
      </c>
      <c r="AW1293" s="198" t="s">
        <v>54</v>
      </c>
    </row>
    <row r="1294" spans="3:49" outlineLevel="2" x14ac:dyDescent="0.25">
      <c r="C1294" s="201"/>
      <c r="D1294" s="198" t="s">
        <v>348</v>
      </c>
      <c r="H1294" s="198" t="s">
        <v>348</v>
      </c>
      <c r="I1294" s="202">
        <f t="shared" si="20"/>
        <v>538082254.35000002</v>
      </c>
      <c r="J1294" s="202">
        <v>130.30000000000001</v>
      </c>
      <c r="L1294" s="204">
        <v>1</v>
      </c>
      <c r="M1294" s="202">
        <v>125154</v>
      </c>
      <c r="N1294" s="204">
        <v>1</v>
      </c>
      <c r="O1294" s="198" t="s">
        <v>51</v>
      </c>
      <c r="P1294" s="202">
        <v>125154</v>
      </c>
      <c r="Q1294" s="198" t="s">
        <v>335</v>
      </c>
      <c r="R1294" s="198" t="s">
        <v>53</v>
      </c>
      <c r="S1294" s="198" t="s">
        <v>54</v>
      </c>
      <c r="T1294" s="198" t="s">
        <v>1751</v>
      </c>
      <c r="U1294" s="198" t="s">
        <v>277</v>
      </c>
      <c r="V1294" s="198" t="s">
        <v>56</v>
      </c>
      <c r="W1294" s="198" t="s">
        <v>356</v>
      </c>
      <c r="X1294" s="198" t="s">
        <v>57</v>
      </c>
      <c r="Y1294" s="198" t="s">
        <v>58</v>
      </c>
      <c r="Z1294" s="201">
        <v>46247</v>
      </c>
      <c r="AA1294" s="198" t="s">
        <v>59</v>
      </c>
      <c r="AB1294" s="198" t="s">
        <v>60</v>
      </c>
      <c r="AC1294" s="198" t="s">
        <v>86</v>
      </c>
      <c r="AD1294" s="198" t="s">
        <v>62</v>
      </c>
      <c r="AE1294" s="198" t="s">
        <v>338</v>
      </c>
      <c r="AF1294" s="198" t="s">
        <v>337</v>
      </c>
      <c r="AG1294" s="198" t="s">
        <v>564</v>
      </c>
      <c r="AH1294" s="198" t="s">
        <v>89</v>
      </c>
      <c r="AI1294" s="198" t="s">
        <v>56</v>
      </c>
      <c r="AJ1294" s="198" t="s">
        <v>74</v>
      </c>
      <c r="AK1294" s="198" t="s">
        <v>51</v>
      </c>
      <c r="AL1294" s="198" t="s">
        <v>67</v>
      </c>
      <c r="AM1294" s="198" t="s">
        <v>68</v>
      </c>
      <c r="AN1294" s="202">
        <v>125154</v>
      </c>
      <c r="AO1294" s="202">
        <v>125154</v>
      </c>
      <c r="AP1294" s="202">
        <v>125154</v>
      </c>
      <c r="AQ1294" s="198" t="s">
        <v>358</v>
      </c>
      <c r="AR1294" s="198" t="s">
        <v>51</v>
      </c>
      <c r="AS1294" s="202">
        <v>125154</v>
      </c>
      <c r="AT1294" s="202">
        <v>125154</v>
      </c>
      <c r="AU1294" s="198" t="s">
        <v>359</v>
      </c>
      <c r="AV1294" s="198" t="s">
        <v>62</v>
      </c>
      <c r="AW1294" s="198" t="s">
        <v>54</v>
      </c>
    </row>
    <row r="1295" spans="3:49" outlineLevel="2" x14ac:dyDescent="0.25">
      <c r="C1295" s="201"/>
      <c r="D1295" s="198" t="s">
        <v>348</v>
      </c>
      <c r="H1295" s="198" t="s">
        <v>348</v>
      </c>
      <c r="I1295" s="202">
        <f t="shared" si="20"/>
        <v>538495210.80000007</v>
      </c>
      <c r="J1295" s="202">
        <v>130.4</v>
      </c>
      <c r="L1295" s="204">
        <v>1</v>
      </c>
      <c r="M1295" s="202">
        <v>35000</v>
      </c>
      <c r="N1295" s="204">
        <v>1</v>
      </c>
      <c r="O1295" s="198" t="s">
        <v>51</v>
      </c>
      <c r="P1295" s="202">
        <v>35000</v>
      </c>
      <c r="Q1295" s="198" t="s">
        <v>335</v>
      </c>
      <c r="R1295" s="198" t="s">
        <v>53</v>
      </c>
      <c r="S1295" s="198" t="s">
        <v>54</v>
      </c>
      <c r="T1295" s="198" t="s">
        <v>1751</v>
      </c>
      <c r="U1295" s="198" t="s">
        <v>277</v>
      </c>
      <c r="V1295" s="198" t="s">
        <v>56</v>
      </c>
      <c r="W1295" s="198" t="s">
        <v>356</v>
      </c>
      <c r="X1295" s="198" t="s">
        <v>57</v>
      </c>
      <c r="Y1295" s="198" t="s">
        <v>58</v>
      </c>
      <c r="Z1295" s="201">
        <v>46247</v>
      </c>
      <c r="AA1295" s="198" t="s">
        <v>59</v>
      </c>
      <c r="AB1295" s="198" t="s">
        <v>60</v>
      </c>
      <c r="AC1295" s="198" t="s">
        <v>86</v>
      </c>
      <c r="AD1295" s="198" t="s">
        <v>62</v>
      </c>
      <c r="AE1295" s="198" t="s">
        <v>340</v>
      </c>
      <c r="AF1295" s="198" t="s">
        <v>339</v>
      </c>
      <c r="AG1295" s="198" t="s">
        <v>564</v>
      </c>
      <c r="AH1295" s="198" t="s">
        <v>89</v>
      </c>
      <c r="AI1295" s="198" t="s">
        <v>56</v>
      </c>
      <c r="AJ1295" s="198" t="s">
        <v>318</v>
      </c>
      <c r="AK1295" s="198" t="s">
        <v>51</v>
      </c>
      <c r="AL1295" s="198" t="s">
        <v>67</v>
      </c>
      <c r="AM1295" s="198" t="s">
        <v>68</v>
      </c>
      <c r="AN1295" s="202">
        <v>35000</v>
      </c>
      <c r="AO1295" s="202">
        <v>35000</v>
      </c>
      <c r="AP1295" s="202">
        <v>35000</v>
      </c>
      <c r="AQ1295" s="198" t="s">
        <v>358</v>
      </c>
      <c r="AR1295" s="198" t="s">
        <v>51</v>
      </c>
      <c r="AS1295" s="202">
        <v>35000</v>
      </c>
      <c r="AT1295" s="202">
        <v>35000</v>
      </c>
      <c r="AU1295" s="198" t="s">
        <v>359</v>
      </c>
      <c r="AV1295" s="198" t="s">
        <v>62</v>
      </c>
      <c r="AW1295" s="198" t="s">
        <v>54</v>
      </c>
    </row>
    <row r="1296" spans="3:49" outlineLevel="2" x14ac:dyDescent="0.25">
      <c r="C1296" s="201"/>
      <c r="D1296" s="198" t="s">
        <v>348</v>
      </c>
      <c r="H1296" s="198" t="s">
        <v>348</v>
      </c>
      <c r="I1296" s="202">
        <f t="shared" si="20"/>
        <v>538908167.25</v>
      </c>
      <c r="J1296" s="202">
        <v>130.5</v>
      </c>
      <c r="L1296" s="204">
        <v>1</v>
      </c>
      <c r="M1296" s="202">
        <v>35000</v>
      </c>
      <c r="N1296" s="204">
        <v>1</v>
      </c>
      <c r="O1296" s="198" t="s">
        <v>51</v>
      </c>
      <c r="P1296" s="202">
        <v>35000</v>
      </c>
      <c r="Q1296" s="198" t="s">
        <v>342</v>
      </c>
      <c r="R1296" s="198" t="s">
        <v>53</v>
      </c>
      <c r="S1296" s="198" t="s">
        <v>54</v>
      </c>
      <c r="T1296" s="198" t="s">
        <v>1751</v>
      </c>
      <c r="U1296" s="198" t="s">
        <v>277</v>
      </c>
      <c r="V1296" s="198" t="s">
        <v>56</v>
      </c>
      <c r="W1296" s="198" t="s">
        <v>356</v>
      </c>
      <c r="X1296" s="198" t="s">
        <v>57</v>
      </c>
      <c r="Y1296" s="198" t="s">
        <v>58</v>
      </c>
      <c r="Z1296" s="201">
        <v>46247</v>
      </c>
      <c r="AA1296" s="198" t="s">
        <v>59</v>
      </c>
      <c r="AB1296" s="198" t="s">
        <v>60</v>
      </c>
      <c r="AC1296" s="198" t="s">
        <v>86</v>
      </c>
      <c r="AD1296" s="198" t="s">
        <v>62</v>
      </c>
      <c r="AE1296" s="198" t="s">
        <v>343</v>
      </c>
      <c r="AF1296" s="198" t="s">
        <v>341</v>
      </c>
      <c r="AG1296" s="198" t="s">
        <v>564</v>
      </c>
      <c r="AH1296" s="198" t="s">
        <v>89</v>
      </c>
      <c r="AI1296" s="198" t="s">
        <v>56</v>
      </c>
      <c r="AJ1296" s="198" t="s">
        <v>344</v>
      </c>
      <c r="AK1296" s="198" t="s">
        <v>51</v>
      </c>
      <c r="AL1296" s="198" t="s">
        <v>67</v>
      </c>
      <c r="AM1296" s="198" t="s">
        <v>68</v>
      </c>
      <c r="AN1296" s="202">
        <v>35000</v>
      </c>
      <c r="AO1296" s="202">
        <v>35000</v>
      </c>
      <c r="AP1296" s="202">
        <v>35000</v>
      </c>
      <c r="AQ1296" s="198" t="s">
        <v>358</v>
      </c>
      <c r="AR1296" s="198" t="s">
        <v>51</v>
      </c>
      <c r="AS1296" s="202">
        <v>35000</v>
      </c>
      <c r="AT1296" s="202">
        <v>35000</v>
      </c>
      <c r="AU1296" s="198" t="s">
        <v>359</v>
      </c>
      <c r="AV1296" s="198" t="s">
        <v>62</v>
      </c>
      <c r="AW1296" s="198" t="s">
        <v>54</v>
      </c>
    </row>
    <row r="1297" spans="3:49" outlineLevel="2" x14ac:dyDescent="0.25">
      <c r="C1297" s="201"/>
      <c r="D1297" s="198" t="s">
        <v>348</v>
      </c>
      <c r="H1297" s="198" t="s">
        <v>348</v>
      </c>
      <c r="I1297" s="202">
        <f t="shared" si="20"/>
        <v>539321123.69999993</v>
      </c>
      <c r="J1297" s="202">
        <v>130.6</v>
      </c>
      <c r="L1297" s="204">
        <v>1</v>
      </c>
      <c r="M1297" s="202">
        <v>1070000</v>
      </c>
      <c r="N1297" s="204">
        <v>1</v>
      </c>
      <c r="O1297" s="198" t="s">
        <v>51</v>
      </c>
      <c r="P1297" s="202">
        <v>1070000</v>
      </c>
      <c r="Q1297" s="198" t="s">
        <v>342</v>
      </c>
      <c r="R1297" s="198" t="s">
        <v>53</v>
      </c>
      <c r="S1297" s="198" t="s">
        <v>54</v>
      </c>
      <c r="T1297" s="198" t="s">
        <v>1751</v>
      </c>
      <c r="U1297" s="198" t="s">
        <v>277</v>
      </c>
      <c r="V1297" s="198" t="s">
        <v>56</v>
      </c>
      <c r="W1297" s="198" t="s">
        <v>356</v>
      </c>
      <c r="X1297" s="198" t="s">
        <v>57</v>
      </c>
      <c r="Y1297" s="198" t="s">
        <v>58</v>
      </c>
      <c r="Z1297" s="201">
        <v>46247</v>
      </c>
      <c r="AA1297" s="198" t="s">
        <v>59</v>
      </c>
      <c r="AB1297" s="198" t="s">
        <v>60</v>
      </c>
      <c r="AC1297" s="198" t="s">
        <v>86</v>
      </c>
      <c r="AD1297" s="198" t="s">
        <v>62</v>
      </c>
      <c r="AE1297" s="198" t="s">
        <v>346</v>
      </c>
      <c r="AF1297" s="198" t="s">
        <v>345</v>
      </c>
      <c r="AG1297" s="198" t="s">
        <v>564</v>
      </c>
      <c r="AH1297" s="198" t="s">
        <v>89</v>
      </c>
      <c r="AI1297" s="198" t="s">
        <v>56</v>
      </c>
      <c r="AJ1297" s="198" t="s">
        <v>121</v>
      </c>
      <c r="AK1297" s="198" t="s">
        <v>51</v>
      </c>
      <c r="AL1297" s="198" t="s">
        <v>67</v>
      </c>
      <c r="AM1297" s="198" t="s">
        <v>68</v>
      </c>
      <c r="AN1297" s="202">
        <v>1070000</v>
      </c>
      <c r="AO1297" s="202">
        <v>1070000</v>
      </c>
      <c r="AP1297" s="202">
        <v>1070000</v>
      </c>
      <c r="AQ1297" s="198" t="s">
        <v>358</v>
      </c>
      <c r="AR1297" s="198" t="s">
        <v>51</v>
      </c>
      <c r="AS1297" s="202">
        <v>1070000</v>
      </c>
      <c r="AT1297" s="202">
        <v>1070000</v>
      </c>
      <c r="AU1297" s="198" t="s">
        <v>359</v>
      </c>
      <c r="AV1297" s="198" t="s">
        <v>62</v>
      </c>
      <c r="AW1297" s="198" t="s">
        <v>54</v>
      </c>
    </row>
    <row r="1298" spans="3:49" outlineLevel="2" x14ac:dyDescent="0.25">
      <c r="C1298" s="201"/>
      <c r="D1298" s="198" t="s">
        <v>348</v>
      </c>
      <c r="H1298" s="198" t="s">
        <v>348</v>
      </c>
      <c r="I1298" s="202">
        <f t="shared" si="20"/>
        <v>539734080.14999998</v>
      </c>
      <c r="J1298" s="202">
        <v>130.69999999999999</v>
      </c>
      <c r="L1298" s="204">
        <v>1</v>
      </c>
      <c r="M1298" s="202">
        <v>2100968</v>
      </c>
      <c r="N1298" s="204">
        <v>1</v>
      </c>
      <c r="O1298" s="198" t="s">
        <v>51</v>
      </c>
      <c r="P1298" s="202">
        <v>2100968</v>
      </c>
      <c r="Q1298" s="198" t="s">
        <v>159</v>
      </c>
      <c r="R1298" s="198" t="s">
        <v>160</v>
      </c>
      <c r="S1298" s="198" t="s">
        <v>54</v>
      </c>
      <c r="T1298" s="198" t="s">
        <v>1751</v>
      </c>
      <c r="U1298" s="198" t="s">
        <v>277</v>
      </c>
      <c r="V1298" s="198" t="s">
        <v>56</v>
      </c>
      <c r="W1298" s="198" t="s">
        <v>356</v>
      </c>
      <c r="X1298" s="198" t="s">
        <v>161</v>
      </c>
      <c r="Y1298" s="198" t="s">
        <v>162</v>
      </c>
      <c r="Z1298" s="201">
        <v>46247</v>
      </c>
      <c r="AA1298" s="198" t="s">
        <v>59</v>
      </c>
      <c r="AB1298" s="198" t="s">
        <v>60</v>
      </c>
      <c r="AC1298" s="198" t="s">
        <v>86</v>
      </c>
      <c r="AD1298" s="198" t="s">
        <v>62</v>
      </c>
      <c r="AE1298" s="198" t="s">
        <v>54</v>
      </c>
      <c r="AF1298" s="198" t="s">
        <v>54</v>
      </c>
      <c r="AG1298" s="198" t="s">
        <v>564</v>
      </c>
      <c r="AH1298" s="198" t="s">
        <v>89</v>
      </c>
      <c r="AI1298" s="198" t="s">
        <v>56</v>
      </c>
      <c r="AJ1298" s="198" t="s">
        <v>163</v>
      </c>
      <c r="AK1298" s="198" t="s">
        <v>51</v>
      </c>
      <c r="AL1298" s="198" t="s">
        <v>67</v>
      </c>
      <c r="AM1298" s="198" t="s">
        <v>68</v>
      </c>
      <c r="AN1298" s="202">
        <v>2100968</v>
      </c>
      <c r="AO1298" s="202">
        <v>2100968</v>
      </c>
      <c r="AP1298" s="202">
        <v>2100968</v>
      </c>
      <c r="AQ1298" s="198" t="s">
        <v>358</v>
      </c>
      <c r="AR1298" s="198" t="s">
        <v>51</v>
      </c>
      <c r="AS1298" s="202">
        <v>2100968</v>
      </c>
      <c r="AT1298" s="202">
        <v>2100968</v>
      </c>
      <c r="AU1298" s="198" t="s">
        <v>359</v>
      </c>
      <c r="AV1298" s="198" t="s">
        <v>62</v>
      </c>
      <c r="AW1298" s="198" t="s">
        <v>54</v>
      </c>
    </row>
    <row r="1299" spans="3:49" outlineLevel="2" x14ac:dyDescent="0.25">
      <c r="C1299" s="201"/>
      <c r="D1299" s="198" t="s">
        <v>349</v>
      </c>
      <c r="H1299" s="198" t="s">
        <v>349</v>
      </c>
      <c r="I1299" s="202">
        <f t="shared" si="20"/>
        <v>540147036.60000002</v>
      </c>
      <c r="J1299" s="202">
        <v>130.80000000000001</v>
      </c>
      <c r="L1299" s="204">
        <v>8</v>
      </c>
      <c r="M1299" s="202">
        <v>2391224</v>
      </c>
      <c r="N1299" s="204">
        <v>8</v>
      </c>
      <c r="O1299" s="198" t="s">
        <v>51</v>
      </c>
      <c r="P1299" s="202">
        <v>2391224</v>
      </c>
      <c r="Q1299" s="198" t="s">
        <v>73</v>
      </c>
      <c r="R1299" s="198" t="s">
        <v>53</v>
      </c>
      <c r="S1299" s="198" t="s">
        <v>54</v>
      </c>
      <c r="T1299" s="198" t="s">
        <v>1751</v>
      </c>
      <c r="U1299" s="198" t="s">
        <v>277</v>
      </c>
      <c r="V1299" s="198" t="s">
        <v>56</v>
      </c>
      <c r="W1299" s="198" t="s">
        <v>356</v>
      </c>
      <c r="X1299" s="198" t="s">
        <v>57</v>
      </c>
      <c r="Y1299" s="198" t="s">
        <v>58</v>
      </c>
      <c r="Z1299" s="201">
        <v>46247</v>
      </c>
      <c r="AA1299" s="198" t="s">
        <v>59</v>
      </c>
      <c r="AB1299" s="198" t="s">
        <v>60</v>
      </c>
      <c r="AC1299" s="198" t="s">
        <v>86</v>
      </c>
      <c r="AD1299" s="198" t="s">
        <v>62</v>
      </c>
      <c r="AE1299" s="198" t="s">
        <v>293</v>
      </c>
      <c r="AF1299" s="198" t="s">
        <v>292</v>
      </c>
      <c r="AG1299" s="198" t="s">
        <v>564</v>
      </c>
      <c r="AH1299" s="198" t="s">
        <v>167</v>
      </c>
      <c r="AI1299" s="198" t="s">
        <v>56</v>
      </c>
      <c r="AJ1299" s="198" t="s">
        <v>294</v>
      </c>
      <c r="AK1299" s="198" t="s">
        <v>51</v>
      </c>
      <c r="AL1299" s="198" t="s">
        <v>67</v>
      </c>
      <c r="AM1299" s="198" t="s">
        <v>68</v>
      </c>
      <c r="AN1299" s="202">
        <v>2391224</v>
      </c>
      <c r="AO1299" s="202">
        <v>2391224</v>
      </c>
      <c r="AP1299" s="202">
        <v>2391224</v>
      </c>
      <c r="AQ1299" s="198" t="s">
        <v>358</v>
      </c>
      <c r="AR1299" s="198" t="s">
        <v>51</v>
      </c>
      <c r="AS1299" s="202">
        <v>2391224</v>
      </c>
      <c r="AT1299" s="202">
        <v>2391224</v>
      </c>
      <c r="AU1299" s="198" t="s">
        <v>359</v>
      </c>
      <c r="AV1299" s="198" t="s">
        <v>62</v>
      </c>
      <c r="AW1299" s="198" t="s">
        <v>54</v>
      </c>
    </row>
    <row r="1300" spans="3:49" outlineLevel="2" x14ac:dyDescent="0.25">
      <c r="C1300" s="201"/>
      <c r="D1300" s="198" t="s">
        <v>349</v>
      </c>
      <c r="H1300" s="198" t="s">
        <v>349</v>
      </c>
      <c r="I1300" s="202">
        <f t="shared" si="20"/>
        <v>540559993.05000007</v>
      </c>
      <c r="J1300" s="202">
        <v>130.9</v>
      </c>
      <c r="L1300" s="204">
        <v>1</v>
      </c>
      <c r="M1300" s="202">
        <v>155000</v>
      </c>
      <c r="N1300" s="204">
        <v>1</v>
      </c>
      <c r="O1300" s="198" t="s">
        <v>51</v>
      </c>
      <c r="P1300" s="202">
        <v>155000</v>
      </c>
      <c r="Q1300" s="198" t="s">
        <v>73</v>
      </c>
      <c r="R1300" s="198" t="s">
        <v>53</v>
      </c>
      <c r="S1300" s="198" t="s">
        <v>54</v>
      </c>
      <c r="T1300" s="198" t="s">
        <v>1751</v>
      </c>
      <c r="U1300" s="198" t="s">
        <v>277</v>
      </c>
      <c r="V1300" s="198" t="s">
        <v>56</v>
      </c>
      <c r="W1300" s="198" t="s">
        <v>356</v>
      </c>
      <c r="X1300" s="198" t="s">
        <v>57</v>
      </c>
      <c r="Y1300" s="198" t="s">
        <v>58</v>
      </c>
      <c r="Z1300" s="201">
        <v>46247</v>
      </c>
      <c r="AA1300" s="198" t="s">
        <v>59</v>
      </c>
      <c r="AB1300" s="198" t="s">
        <v>60</v>
      </c>
      <c r="AC1300" s="198" t="s">
        <v>86</v>
      </c>
      <c r="AD1300" s="198" t="s">
        <v>62</v>
      </c>
      <c r="AE1300" s="198" t="s">
        <v>296</v>
      </c>
      <c r="AF1300" s="198" t="s">
        <v>295</v>
      </c>
      <c r="AG1300" s="198" t="s">
        <v>564</v>
      </c>
      <c r="AH1300" s="198" t="s">
        <v>167</v>
      </c>
      <c r="AI1300" s="198" t="s">
        <v>56</v>
      </c>
      <c r="AJ1300" s="198" t="s">
        <v>128</v>
      </c>
      <c r="AK1300" s="198" t="s">
        <v>51</v>
      </c>
      <c r="AL1300" s="198" t="s">
        <v>67</v>
      </c>
      <c r="AM1300" s="198" t="s">
        <v>68</v>
      </c>
      <c r="AN1300" s="202">
        <v>155000</v>
      </c>
      <c r="AO1300" s="202">
        <v>155000</v>
      </c>
      <c r="AP1300" s="202">
        <v>155000</v>
      </c>
      <c r="AQ1300" s="198" t="s">
        <v>358</v>
      </c>
      <c r="AR1300" s="198" t="s">
        <v>51</v>
      </c>
      <c r="AS1300" s="202">
        <v>155000</v>
      </c>
      <c r="AT1300" s="202">
        <v>155000</v>
      </c>
      <c r="AU1300" s="198" t="s">
        <v>359</v>
      </c>
      <c r="AV1300" s="198" t="s">
        <v>62</v>
      </c>
      <c r="AW1300" s="198" t="s">
        <v>54</v>
      </c>
    </row>
    <row r="1301" spans="3:49" outlineLevel="2" x14ac:dyDescent="0.25">
      <c r="C1301" s="201"/>
      <c r="D1301" s="198" t="s">
        <v>349</v>
      </c>
      <c r="H1301" s="198" t="s">
        <v>349</v>
      </c>
      <c r="I1301" s="202">
        <f t="shared" si="20"/>
        <v>540972949.5</v>
      </c>
      <c r="J1301" s="202">
        <v>131</v>
      </c>
      <c r="L1301" s="204">
        <v>16</v>
      </c>
      <c r="M1301" s="202">
        <v>41616</v>
      </c>
      <c r="N1301" s="204">
        <v>16</v>
      </c>
      <c r="O1301" s="198" t="s">
        <v>51</v>
      </c>
      <c r="P1301" s="202">
        <v>41616</v>
      </c>
      <c r="Q1301" s="198" t="s">
        <v>73</v>
      </c>
      <c r="R1301" s="198" t="s">
        <v>53</v>
      </c>
      <c r="S1301" s="198" t="s">
        <v>54</v>
      </c>
      <c r="T1301" s="198" t="s">
        <v>1751</v>
      </c>
      <c r="U1301" s="198" t="s">
        <v>277</v>
      </c>
      <c r="V1301" s="198" t="s">
        <v>56</v>
      </c>
      <c r="W1301" s="198" t="s">
        <v>356</v>
      </c>
      <c r="X1301" s="198" t="s">
        <v>57</v>
      </c>
      <c r="Y1301" s="198" t="s">
        <v>58</v>
      </c>
      <c r="Z1301" s="201">
        <v>46247</v>
      </c>
      <c r="AA1301" s="198" t="s">
        <v>59</v>
      </c>
      <c r="AB1301" s="198" t="s">
        <v>60</v>
      </c>
      <c r="AC1301" s="198" t="s">
        <v>86</v>
      </c>
      <c r="AD1301" s="198" t="s">
        <v>62</v>
      </c>
      <c r="AE1301" s="198" t="s">
        <v>298</v>
      </c>
      <c r="AF1301" s="198" t="s">
        <v>297</v>
      </c>
      <c r="AG1301" s="198" t="s">
        <v>564</v>
      </c>
      <c r="AH1301" s="198" t="s">
        <v>167</v>
      </c>
      <c r="AI1301" s="198" t="s">
        <v>56</v>
      </c>
      <c r="AJ1301" s="198" t="s">
        <v>299</v>
      </c>
      <c r="AK1301" s="198" t="s">
        <v>51</v>
      </c>
      <c r="AL1301" s="198" t="s">
        <v>67</v>
      </c>
      <c r="AM1301" s="198" t="s">
        <v>68</v>
      </c>
      <c r="AN1301" s="202">
        <v>41616</v>
      </c>
      <c r="AO1301" s="202">
        <v>41616</v>
      </c>
      <c r="AP1301" s="202">
        <v>41616</v>
      </c>
      <c r="AQ1301" s="198" t="s">
        <v>358</v>
      </c>
      <c r="AR1301" s="198" t="s">
        <v>51</v>
      </c>
      <c r="AS1301" s="202">
        <v>41616</v>
      </c>
      <c r="AT1301" s="202">
        <v>41616</v>
      </c>
      <c r="AU1301" s="198" t="s">
        <v>359</v>
      </c>
      <c r="AV1301" s="198" t="s">
        <v>62</v>
      </c>
      <c r="AW1301" s="198" t="s">
        <v>54</v>
      </c>
    </row>
    <row r="1302" spans="3:49" outlineLevel="2" x14ac:dyDescent="0.25">
      <c r="C1302" s="201"/>
      <c r="D1302" s="198" t="s">
        <v>349</v>
      </c>
      <c r="H1302" s="198" t="s">
        <v>349</v>
      </c>
      <c r="I1302" s="202">
        <f t="shared" si="20"/>
        <v>541385905.94999993</v>
      </c>
      <c r="J1302" s="202">
        <v>131.1</v>
      </c>
      <c r="L1302" s="204">
        <v>8</v>
      </c>
      <c r="M1302" s="202">
        <v>23200</v>
      </c>
      <c r="N1302" s="204">
        <v>8</v>
      </c>
      <c r="O1302" s="198" t="s">
        <v>51</v>
      </c>
      <c r="P1302" s="202">
        <v>23200</v>
      </c>
      <c r="Q1302" s="198" t="s">
        <v>73</v>
      </c>
      <c r="R1302" s="198" t="s">
        <v>53</v>
      </c>
      <c r="S1302" s="198" t="s">
        <v>54</v>
      </c>
      <c r="T1302" s="198" t="s">
        <v>1751</v>
      </c>
      <c r="U1302" s="198" t="s">
        <v>277</v>
      </c>
      <c r="V1302" s="198" t="s">
        <v>56</v>
      </c>
      <c r="W1302" s="198" t="s">
        <v>356</v>
      </c>
      <c r="X1302" s="198" t="s">
        <v>57</v>
      </c>
      <c r="Y1302" s="198" t="s">
        <v>58</v>
      </c>
      <c r="Z1302" s="201">
        <v>46247</v>
      </c>
      <c r="AA1302" s="198" t="s">
        <v>59</v>
      </c>
      <c r="AB1302" s="198" t="s">
        <v>60</v>
      </c>
      <c r="AC1302" s="198" t="s">
        <v>86</v>
      </c>
      <c r="AD1302" s="198" t="s">
        <v>62</v>
      </c>
      <c r="AE1302" s="198" t="s">
        <v>301</v>
      </c>
      <c r="AF1302" s="198" t="s">
        <v>300</v>
      </c>
      <c r="AG1302" s="198" t="s">
        <v>564</v>
      </c>
      <c r="AH1302" s="198" t="s">
        <v>167</v>
      </c>
      <c r="AI1302" s="198" t="s">
        <v>56</v>
      </c>
      <c r="AJ1302" s="198" t="s">
        <v>121</v>
      </c>
      <c r="AK1302" s="198" t="s">
        <v>51</v>
      </c>
      <c r="AL1302" s="198" t="s">
        <v>67</v>
      </c>
      <c r="AM1302" s="198" t="s">
        <v>68</v>
      </c>
      <c r="AN1302" s="202">
        <v>23200</v>
      </c>
      <c r="AO1302" s="202">
        <v>23200</v>
      </c>
      <c r="AP1302" s="202">
        <v>23200</v>
      </c>
      <c r="AQ1302" s="198" t="s">
        <v>358</v>
      </c>
      <c r="AR1302" s="198" t="s">
        <v>51</v>
      </c>
      <c r="AS1302" s="202">
        <v>23200</v>
      </c>
      <c r="AT1302" s="202">
        <v>23200</v>
      </c>
      <c r="AU1302" s="198" t="s">
        <v>359</v>
      </c>
      <c r="AV1302" s="198" t="s">
        <v>62</v>
      </c>
      <c r="AW1302" s="198" t="s">
        <v>54</v>
      </c>
    </row>
    <row r="1303" spans="3:49" outlineLevel="2" x14ac:dyDescent="0.25">
      <c r="C1303" s="201"/>
      <c r="D1303" s="198" t="s">
        <v>349</v>
      </c>
      <c r="H1303" s="198" t="s">
        <v>349</v>
      </c>
      <c r="I1303" s="202">
        <f t="shared" si="20"/>
        <v>541798862.39999998</v>
      </c>
      <c r="J1303" s="202">
        <v>131.19999999999999</v>
      </c>
      <c r="L1303" s="204">
        <v>72</v>
      </c>
      <c r="M1303" s="202">
        <v>424800</v>
      </c>
      <c r="N1303" s="204">
        <v>72</v>
      </c>
      <c r="O1303" s="198" t="s">
        <v>51</v>
      </c>
      <c r="P1303" s="202">
        <v>424800</v>
      </c>
      <c r="Q1303" s="198" t="s">
        <v>73</v>
      </c>
      <c r="R1303" s="198" t="s">
        <v>53</v>
      </c>
      <c r="S1303" s="198" t="s">
        <v>54</v>
      </c>
      <c r="T1303" s="198" t="s">
        <v>1751</v>
      </c>
      <c r="U1303" s="198" t="s">
        <v>277</v>
      </c>
      <c r="V1303" s="198" t="s">
        <v>56</v>
      </c>
      <c r="W1303" s="198" t="s">
        <v>356</v>
      </c>
      <c r="X1303" s="198" t="s">
        <v>57</v>
      </c>
      <c r="Y1303" s="198" t="s">
        <v>58</v>
      </c>
      <c r="Z1303" s="201">
        <v>46247</v>
      </c>
      <c r="AA1303" s="198" t="s">
        <v>59</v>
      </c>
      <c r="AB1303" s="198" t="s">
        <v>60</v>
      </c>
      <c r="AC1303" s="198" t="s">
        <v>86</v>
      </c>
      <c r="AD1303" s="198" t="s">
        <v>62</v>
      </c>
      <c r="AE1303" s="198" t="s">
        <v>303</v>
      </c>
      <c r="AF1303" s="198" t="s">
        <v>302</v>
      </c>
      <c r="AG1303" s="198" t="s">
        <v>564</v>
      </c>
      <c r="AH1303" s="198" t="s">
        <v>167</v>
      </c>
      <c r="AI1303" s="198" t="s">
        <v>56</v>
      </c>
      <c r="AJ1303" s="198" t="s">
        <v>72</v>
      </c>
      <c r="AK1303" s="198" t="s">
        <v>51</v>
      </c>
      <c r="AL1303" s="198" t="s">
        <v>67</v>
      </c>
      <c r="AM1303" s="198" t="s">
        <v>68</v>
      </c>
      <c r="AN1303" s="202">
        <v>424800</v>
      </c>
      <c r="AO1303" s="202">
        <v>424800</v>
      </c>
      <c r="AP1303" s="202">
        <v>424800</v>
      </c>
      <c r="AQ1303" s="198" t="s">
        <v>358</v>
      </c>
      <c r="AR1303" s="198" t="s">
        <v>51</v>
      </c>
      <c r="AS1303" s="202">
        <v>424800</v>
      </c>
      <c r="AT1303" s="202">
        <v>424800</v>
      </c>
      <c r="AU1303" s="198" t="s">
        <v>359</v>
      </c>
      <c r="AV1303" s="198" t="s">
        <v>62</v>
      </c>
      <c r="AW1303" s="198" t="s">
        <v>54</v>
      </c>
    </row>
    <row r="1304" spans="3:49" outlineLevel="2" x14ac:dyDescent="0.25">
      <c r="C1304" s="201"/>
      <c r="D1304" s="198" t="s">
        <v>349</v>
      </c>
      <c r="H1304" s="198" t="s">
        <v>349</v>
      </c>
      <c r="I1304" s="202">
        <f t="shared" si="20"/>
        <v>542211818.85000002</v>
      </c>
      <c r="J1304" s="202">
        <v>131.30000000000001</v>
      </c>
      <c r="L1304" s="204">
        <v>456</v>
      </c>
      <c r="M1304" s="202">
        <v>843600</v>
      </c>
      <c r="N1304" s="204">
        <v>456</v>
      </c>
      <c r="O1304" s="198" t="s">
        <v>51</v>
      </c>
      <c r="P1304" s="202">
        <v>843600</v>
      </c>
      <c r="Q1304" s="198" t="s">
        <v>73</v>
      </c>
      <c r="R1304" s="198" t="s">
        <v>53</v>
      </c>
      <c r="S1304" s="198" t="s">
        <v>54</v>
      </c>
      <c r="T1304" s="198" t="s">
        <v>1751</v>
      </c>
      <c r="U1304" s="198" t="s">
        <v>277</v>
      </c>
      <c r="V1304" s="198" t="s">
        <v>56</v>
      </c>
      <c r="W1304" s="198" t="s">
        <v>356</v>
      </c>
      <c r="X1304" s="198" t="s">
        <v>57</v>
      </c>
      <c r="Y1304" s="198" t="s">
        <v>58</v>
      </c>
      <c r="Z1304" s="201">
        <v>46247</v>
      </c>
      <c r="AA1304" s="198" t="s">
        <v>59</v>
      </c>
      <c r="AB1304" s="198" t="s">
        <v>60</v>
      </c>
      <c r="AC1304" s="198" t="s">
        <v>86</v>
      </c>
      <c r="AD1304" s="198" t="s">
        <v>62</v>
      </c>
      <c r="AE1304" s="198" t="s">
        <v>305</v>
      </c>
      <c r="AF1304" s="198" t="s">
        <v>304</v>
      </c>
      <c r="AG1304" s="198" t="s">
        <v>564</v>
      </c>
      <c r="AH1304" s="198" t="s">
        <v>167</v>
      </c>
      <c r="AI1304" s="198" t="s">
        <v>56</v>
      </c>
      <c r="AJ1304" s="198" t="s">
        <v>306</v>
      </c>
      <c r="AK1304" s="198" t="s">
        <v>51</v>
      </c>
      <c r="AL1304" s="198" t="s">
        <v>67</v>
      </c>
      <c r="AM1304" s="198" t="s">
        <v>68</v>
      </c>
      <c r="AN1304" s="202">
        <v>843600</v>
      </c>
      <c r="AO1304" s="202">
        <v>843600</v>
      </c>
      <c r="AP1304" s="202">
        <v>843600</v>
      </c>
      <c r="AQ1304" s="198" t="s">
        <v>358</v>
      </c>
      <c r="AR1304" s="198" t="s">
        <v>51</v>
      </c>
      <c r="AS1304" s="202">
        <v>843600</v>
      </c>
      <c r="AT1304" s="202">
        <v>843600</v>
      </c>
      <c r="AU1304" s="198" t="s">
        <v>359</v>
      </c>
      <c r="AV1304" s="198" t="s">
        <v>62</v>
      </c>
      <c r="AW1304" s="198" t="s">
        <v>54</v>
      </c>
    </row>
    <row r="1305" spans="3:49" outlineLevel="2" x14ac:dyDescent="0.25">
      <c r="C1305" s="201"/>
      <c r="D1305" s="198" t="s">
        <v>349</v>
      </c>
      <c r="H1305" s="198" t="s">
        <v>349</v>
      </c>
      <c r="I1305" s="202">
        <f t="shared" si="20"/>
        <v>542624775.30000007</v>
      </c>
      <c r="J1305" s="202">
        <v>131.4</v>
      </c>
      <c r="L1305" s="204">
        <v>30</v>
      </c>
      <c r="M1305" s="202">
        <v>57000</v>
      </c>
      <c r="N1305" s="204">
        <v>30</v>
      </c>
      <c r="O1305" s="198" t="s">
        <v>51</v>
      </c>
      <c r="P1305" s="202">
        <v>57000</v>
      </c>
      <c r="Q1305" s="198" t="s">
        <v>73</v>
      </c>
      <c r="R1305" s="198" t="s">
        <v>53</v>
      </c>
      <c r="S1305" s="198" t="s">
        <v>54</v>
      </c>
      <c r="T1305" s="198" t="s">
        <v>1751</v>
      </c>
      <c r="U1305" s="198" t="s">
        <v>277</v>
      </c>
      <c r="V1305" s="198" t="s">
        <v>56</v>
      </c>
      <c r="W1305" s="198" t="s">
        <v>356</v>
      </c>
      <c r="X1305" s="198" t="s">
        <v>57</v>
      </c>
      <c r="Y1305" s="198" t="s">
        <v>58</v>
      </c>
      <c r="Z1305" s="201">
        <v>46247</v>
      </c>
      <c r="AA1305" s="198" t="s">
        <v>59</v>
      </c>
      <c r="AB1305" s="198" t="s">
        <v>60</v>
      </c>
      <c r="AC1305" s="198" t="s">
        <v>86</v>
      </c>
      <c r="AD1305" s="198" t="s">
        <v>62</v>
      </c>
      <c r="AE1305" s="198" t="s">
        <v>308</v>
      </c>
      <c r="AF1305" s="198" t="s">
        <v>307</v>
      </c>
      <c r="AG1305" s="198" t="s">
        <v>564</v>
      </c>
      <c r="AH1305" s="198" t="s">
        <v>167</v>
      </c>
      <c r="AI1305" s="198" t="s">
        <v>56</v>
      </c>
      <c r="AJ1305" s="198" t="s">
        <v>306</v>
      </c>
      <c r="AK1305" s="198" t="s">
        <v>51</v>
      </c>
      <c r="AL1305" s="198" t="s">
        <v>67</v>
      </c>
      <c r="AM1305" s="198" t="s">
        <v>68</v>
      </c>
      <c r="AN1305" s="202">
        <v>57000</v>
      </c>
      <c r="AO1305" s="202">
        <v>57000</v>
      </c>
      <c r="AP1305" s="202">
        <v>57000</v>
      </c>
      <c r="AQ1305" s="198" t="s">
        <v>358</v>
      </c>
      <c r="AR1305" s="198" t="s">
        <v>51</v>
      </c>
      <c r="AS1305" s="202">
        <v>57000</v>
      </c>
      <c r="AT1305" s="202">
        <v>57000</v>
      </c>
      <c r="AU1305" s="198" t="s">
        <v>359</v>
      </c>
      <c r="AV1305" s="198" t="s">
        <v>62</v>
      </c>
      <c r="AW1305" s="198" t="s">
        <v>54</v>
      </c>
    </row>
    <row r="1306" spans="3:49" outlineLevel="2" x14ac:dyDescent="0.25">
      <c r="C1306" s="201"/>
      <c r="D1306" s="198" t="s">
        <v>349</v>
      </c>
      <c r="H1306" s="198" t="s">
        <v>349</v>
      </c>
      <c r="I1306" s="202">
        <f t="shared" si="20"/>
        <v>543037731.75</v>
      </c>
      <c r="J1306" s="202">
        <v>131.5</v>
      </c>
      <c r="L1306" s="204">
        <v>64</v>
      </c>
      <c r="M1306" s="202">
        <v>120512</v>
      </c>
      <c r="N1306" s="204">
        <v>64</v>
      </c>
      <c r="O1306" s="198" t="s">
        <v>51</v>
      </c>
      <c r="P1306" s="202">
        <v>120512</v>
      </c>
      <c r="Q1306" s="198" t="s">
        <v>73</v>
      </c>
      <c r="R1306" s="198" t="s">
        <v>53</v>
      </c>
      <c r="S1306" s="198" t="s">
        <v>54</v>
      </c>
      <c r="T1306" s="198" t="s">
        <v>1751</v>
      </c>
      <c r="U1306" s="198" t="s">
        <v>277</v>
      </c>
      <c r="V1306" s="198" t="s">
        <v>56</v>
      </c>
      <c r="W1306" s="198" t="s">
        <v>356</v>
      </c>
      <c r="X1306" s="198" t="s">
        <v>57</v>
      </c>
      <c r="Y1306" s="198" t="s">
        <v>58</v>
      </c>
      <c r="Z1306" s="201">
        <v>46247</v>
      </c>
      <c r="AA1306" s="198" t="s">
        <v>59</v>
      </c>
      <c r="AB1306" s="198" t="s">
        <v>60</v>
      </c>
      <c r="AC1306" s="198" t="s">
        <v>86</v>
      </c>
      <c r="AD1306" s="198" t="s">
        <v>62</v>
      </c>
      <c r="AE1306" s="198" t="s">
        <v>310</v>
      </c>
      <c r="AF1306" s="198" t="s">
        <v>309</v>
      </c>
      <c r="AG1306" s="198" t="s">
        <v>564</v>
      </c>
      <c r="AH1306" s="198" t="s">
        <v>167</v>
      </c>
      <c r="AI1306" s="198" t="s">
        <v>56</v>
      </c>
      <c r="AJ1306" s="198" t="s">
        <v>311</v>
      </c>
      <c r="AK1306" s="198" t="s">
        <v>51</v>
      </c>
      <c r="AL1306" s="198" t="s">
        <v>67</v>
      </c>
      <c r="AM1306" s="198" t="s">
        <v>68</v>
      </c>
      <c r="AN1306" s="202">
        <v>120512</v>
      </c>
      <c r="AO1306" s="202">
        <v>120512</v>
      </c>
      <c r="AP1306" s="202">
        <v>120512</v>
      </c>
      <c r="AQ1306" s="198" t="s">
        <v>358</v>
      </c>
      <c r="AR1306" s="198" t="s">
        <v>51</v>
      </c>
      <c r="AS1306" s="202">
        <v>120512</v>
      </c>
      <c r="AT1306" s="202">
        <v>120512</v>
      </c>
      <c r="AU1306" s="198" t="s">
        <v>359</v>
      </c>
      <c r="AV1306" s="198" t="s">
        <v>62</v>
      </c>
      <c r="AW1306" s="198" t="s">
        <v>54</v>
      </c>
    </row>
    <row r="1307" spans="3:49" outlineLevel="2" x14ac:dyDescent="0.25">
      <c r="C1307" s="201"/>
      <c r="D1307" s="198" t="s">
        <v>349</v>
      </c>
      <c r="H1307" s="198" t="s">
        <v>349</v>
      </c>
      <c r="I1307" s="202">
        <f t="shared" si="20"/>
        <v>543450688.19999993</v>
      </c>
      <c r="J1307" s="202">
        <v>131.6</v>
      </c>
      <c r="L1307" s="204">
        <v>8</v>
      </c>
      <c r="M1307" s="202">
        <v>48000</v>
      </c>
      <c r="N1307" s="204">
        <v>8</v>
      </c>
      <c r="O1307" s="198" t="s">
        <v>51</v>
      </c>
      <c r="P1307" s="202">
        <v>48000</v>
      </c>
      <c r="Q1307" s="198" t="s">
        <v>73</v>
      </c>
      <c r="R1307" s="198" t="s">
        <v>53</v>
      </c>
      <c r="S1307" s="198" t="s">
        <v>54</v>
      </c>
      <c r="T1307" s="198" t="s">
        <v>1751</v>
      </c>
      <c r="U1307" s="198" t="s">
        <v>277</v>
      </c>
      <c r="V1307" s="198" t="s">
        <v>56</v>
      </c>
      <c r="W1307" s="198" t="s">
        <v>356</v>
      </c>
      <c r="X1307" s="198" t="s">
        <v>57</v>
      </c>
      <c r="Y1307" s="198" t="s">
        <v>58</v>
      </c>
      <c r="Z1307" s="201">
        <v>46247</v>
      </c>
      <c r="AA1307" s="198" t="s">
        <v>59</v>
      </c>
      <c r="AB1307" s="198" t="s">
        <v>60</v>
      </c>
      <c r="AC1307" s="198" t="s">
        <v>86</v>
      </c>
      <c r="AD1307" s="198" t="s">
        <v>62</v>
      </c>
      <c r="AE1307" s="198" t="s">
        <v>313</v>
      </c>
      <c r="AF1307" s="198" t="s">
        <v>312</v>
      </c>
      <c r="AG1307" s="198" t="s">
        <v>564</v>
      </c>
      <c r="AH1307" s="198" t="s">
        <v>167</v>
      </c>
      <c r="AI1307" s="198" t="s">
        <v>56</v>
      </c>
      <c r="AJ1307" s="198" t="s">
        <v>121</v>
      </c>
      <c r="AK1307" s="198" t="s">
        <v>51</v>
      </c>
      <c r="AL1307" s="198" t="s">
        <v>67</v>
      </c>
      <c r="AM1307" s="198" t="s">
        <v>68</v>
      </c>
      <c r="AN1307" s="202">
        <v>48000</v>
      </c>
      <c r="AO1307" s="202">
        <v>48000</v>
      </c>
      <c r="AP1307" s="202">
        <v>48000</v>
      </c>
      <c r="AQ1307" s="198" t="s">
        <v>358</v>
      </c>
      <c r="AR1307" s="198" t="s">
        <v>51</v>
      </c>
      <c r="AS1307" s="202">
        <v>48000</v>
      </c>
      <c r="AT1307" s="202">
        <v>48000</v>
      </c>
      <c r="AU1307" s="198" t="s">
        <v>359</v>
      </c>
      <c r="AV1307" s="198" t="s">
        <v>62</v>
      </c>
      <c r="AW1307" s="198" t="s">
        <v>54</v>
      </c>
    </row>
    <row r="1308" spans="3:49" outlineLevel="2" x14ac:dyDescent="0.25">
      <c r="C1308" s="201"/>
      <c r="D1308" s="198" t="s">
        <v>349</v>
      </c>
      <c r="H1308" s="198" t="s">
        <v>349</v>
      </c>
      <c r="I1308" s="202">
        <f t="shared" si="20"/>
        <v>543863644.64999998</v>
      </c>
      <c r="J1308" s="202">
        <v>131.69999999999999</v>
      </c>
      <c r="L1308" s="204">
        <v>80</v>
      </c>
      <c r="M1308" s="202">
        <v>944000</v>
      </c>
      <c r="N1308" s="204">
        <v>80</v>
      </c>
      <c r="O1308" s="198" t="s">
        <v>51</v>
      </c>
      <c r="P1308" s="202">
        <v>944000</v>
      </c>
      <c r="Q1308" s="198" t="s">
        <v>73</v>
      </c>
      <c r="R1308" s="198" t="s">
        <v>53</v>
      </c>
      <c r="S1308" s="198" t="s">
        <v>54</v>
      </c>
      <c r="T1308" s="198" t="s">
        <v>1751</v>
      </c>
      <c r="U1308" s="198" t="s">
        <v>277</v>
      </c>
      <c r="V1308" s="198" t="s">
        <v>56</v>
      </c>
      <c r="W1308" s="198" t="s">
        <v>356</v>
      </c>
      <c r="X1308" s="198" t="s">
        <v>57</v>
      </c>
      <c r="Y1308" s="198" t="s">
        <v>58</v>
      </c>
      <c r="Z1308" s="201">
        <v>46247</v>
      </c>
      <c r="AA1308" s="198" t="s">
        <v>59</v>
      </c>
      <c r="AB1308" s="198" t="s">
        <v>60</v>
      </c>
      <c r="AC1308" s="198" t="s">
        <v>86</v>
      </c>
      <c r="AD1308" s="198" t="s">
        <v>62</v>
      </c>
      <c r="AE1308" s="198" t="s">
        <v>315</v>
      </c>
      <c r="AF1308" s="198" t="s">
        <v>314</v>
      </c>
      <c r="AG1308" s="198" t="s">
        <v>564</v>
      </c>
      <c r="AH1308" s="198" t="s">
        <v>167</v>
      </c>
      <c r="AI1308" s="198" t="s">
        <v>56</v>
      </c>
      <c r="AJ1308" s="198" t="s">
        <v>121</v>
      </c>
      <c r="AK1308" s="198" t="s">
        <v>51</v>
      </c>
      <c r="AL1308" s="198" t="s">
        <v>67</v>
      </c>
      <c r="AM1308" s="198" t="s">
        <v>68</v>
      </c>
      <c r="AN1308" s="202">
        <v>944000</v>
      </c>
      <c r="AO1308" s="202">
        <v>944000</v>
      </c>
      <c r="AP1308" s="202">
        <v>944000</v>
      </c>
      <c r="AQ1308" s="198" t="s">
        <v>358</v>
      </c>
      <c r="AR1308" s="198" t="s">
        <v>51</v>
      </c>
      <c r="AS1308" s="202">
        <v>944000</v>
      </c>
      <c r="AT1308" s="202">
        <v>944000</v>
      </c>
      <c r="AU1308" s="198" t="s">
        <v>359</v>
      </c>
      <c r="AV1308" s="198" t="s">
        <v>62</v>
      </c>
      <c r="AW1308" s="198" t="s">
        <v>54</v>
      </c>
    </row>
    <row r="1309" spans="3:49" outlineLevel="2" x14ac:dyDescent="0.25">
      <c r="C1309" s="201"/>
      <c r="D1309" s="198" t="s">
        <v>349</v>
      </c>
      <c r="H1309" s="198" t="s">
        <v>349</v>
      </c>
      <c r="I1309" s="202">
        <f t="shared" si="20"/>
        <v>544276601.10000002</v>
      </c>
      <c r="J1309" s="202">
        <v>131.80000000000001</v>
      </c>
      <c r="L1309" s="204">
        <v>6100</v>
      </c>
      <c r="M1309" s="202">
        <v>732000</v>
      </c>
      <c r="N1309" s="204">
        <v>6100</v>
      </c>
      <c r="O1309" s="198" t="s">
        <v>51</v>
      </c>
      <c r="P1309" s="202">
        <v>732000</v>
      </c>
      <c r="Q1309" s="198" t="s">
        <v>75</v>
      </c>
      <c r="R1309" s="198" t="s">
        <v>53</v>
      </c>
      <c r="S1309" s="198" t="s">
        <v>54</v>
      </c>
      <c r="T1309" s="198" t="s">
        <v>1751</v>
      </c>
      <c r="U1309" s="198" t="s">
        <v>277</v>
      </c>
      <c r="V1309" s="198" t="s">
        <v>56</v>
      </c>
      <c r="W1309" s="198" t="s">
        <v>356</v>
      </c>
      <c r="X1309" s="198" t="s">
        <v>57</v>
      </c>
      <c r="Y1309" s="198" t="s">
        <v>58</v>
      </c>
      <c r="Z1309" s="201">
        <v>46247</v>
      </c>
      <c r="AA1309" s="198" t="s">
        <v>59</v>
      </c>
      <c r="AB1309" s="198" t="s">
        <v>60</v>
      </c>
      <c r="AC1309" s="198" t="s">
        <v>86</v>
      </c>
      <c r="AD1309" s="198" t="s">
        <v>62</v>
      </c>
      <c r="AE1309" s="198" t="s">
        <v>320</v>
      </c>
      <c r="AF1309" s="198" t="s">
        <v>319</v>
      </c>
      <c r="AG1309" s="198" t="s">
        <v>564</v>
      </c>
      <c r="AH1309" s="198" t="s">
        <v>167</v>
      </c>
      <c r="AI1309" s="198" t="s">
        <v>56</v>
      </c>
      <c r="AJ1309" s="198" t="s">
        <v>318</v>
      </c>
      <c r="AK1309" s="198" t="s">
        <v>51</v>
      </c>
      <c r="AL1309" s="198" t="s">
        <v>67</v>
      </c>
      <c r="AM1309" s="198" t="s">
        <v>68</v>
      </c>
      <c r="AN1309" s="202">
        <v>732000</v>
      </c>
      <c r="AO1309" s="202">
        <v>732000</v>
      </c>
      <c r="AP1309" s="202">
        <v>732000</v>
      </c>
      <c r="AQ1309" s="198" t="s">
        <v>358</v>
      </c>
      <c r="AR1309" s="198" t="s">
        <v>51</v>
      </c>
      <c r="AS1309" s="202">
        <v>732000</v>
      </c>
      <c r="AT1309" s="202">
        <v>732000</v>
      </c>
      <c r="AU1309" s="198" t="s">
        <v>359</v>
      </c>
      <c r="AV1309" s="198" t="s">
        <v>62</v>
      </c>
      <c r="AW1309" s="198" t="s">
        <v>54</v>
      </c>
    </row>
    <row r="1310" spans="3:49" outlineLevel="2" x14ac:dyDescent="0.25">
      <c r="C1310" s="201"/>
      <c r="D1310" s="198" t="s">
        <v>349</v>
      </c>
      <c r="H1310" s="198" t="s">
        <v>349</v>
      </c>
      <c r="I1310" s="202">
        <f t="shared" si="20"/>
        <v>544689557.55000007</v>
      </c>
      <c r="J1310" s="202">
        <v>131.9</v>
      </c>
      <c r="L1310" s="204">
        <v>120</v>
      </c>
      <c r="M1310" s="202">
        <v>28800</v>
      </c>
      <c r="N1310" s="204">
        <v>120</v>
      </c>
      <c r="O1310" s="198" t="s">
        <v>51</v>
      </c>
      <c r="P1310" s="202">
        <v>28800</v>
      </c>
      <c r="Q1310" s="198" t="s">
        <v>75</v>
      </c>
      <c r="R1310" s="198" t="s">
        <v>53</v>
      </c>
      <c r="S1310" s="198" t="s">
        <v>54</v>
      </c>
      <c r="T1310" s="198" t="s">
        <v>1751</v>
      </c>
      <c r="U1310" s="198" t="s">
        <v>277</v>
      </c>
      <c r="V1310" s="198" t="s">
        <v>56</v>
      </c>
      <c r="W1310" s="198" t="s">
        <v>356</v>
      </c>
      <c r="X1310" s="198" t="s">
        <v>57</v>
      </c>
      <c r="Y1310" s="198" t="s">
        <v>58</v>
      </c>
      <c r="Z1310" s="201">
        <v>46247</v>
      </c>
      <c r="AA1310" s="198" t="s">
        <v>59</v>
      </c>
      <c r="AB1310" s="198" t="s">
        <v>60</v>
      </c>
      <c r="AC1310" s="198" t="s">
        <v>86</v>
      </c>
      <c r="AD1310" s="198" t="s">
        <v>62</v>
      </c>
      <c r="AE1310" s="198" t="s">
        <v>322</v>
      </c>
      <c r="AF1310" s="198" t="s">
        <v>321</v>
      </c>
      <c r="AG1310" s="198" t="s">
        <v>564</v>
      </c>
      <c r="AH1310" s="198" t="s">
        <v>167</v>
      </c>
      <c r="AI1310" s="198" t="s">
        <v>56</v>
      </c>
      <c r="AJ1310" s="198" t="s">
        <v>318</v>
      </c>
      <c r="AK1310" s="198" t="s">
        <v>51</v>
      </c>
      <c r="AL1310" s="198" t="s">
        <v>67</v>
      </c>
      <c r="AM1310" s="198" t="s">
        <v>68</v>
      </c>
      <c r="AN1310" s="202">
        <v>28800</v>
      </c>
      <c r="AO1310" s="202">
        <v>28800</v>
      </c>
      <c r="AP1310" s="202">
        <v>28800</v>
      </c>
      <c r="AQ1310" s="198" t="s">
        <v>358</v>
      </c>
      <c r="AR1310" s="198" t="s">
        <v>51</v>
      </c>
      <c r="AS1310" s="202">
        <v>28800</v>
      </c>
      <c r="AT1310" s="202">
        <v>28800</v>
      </c>
      <c r="AU1310" s="198" t="s">
        <v>359</v>
      </c>
      <c r="AV1310" s="198" t="s">
        <v>62</v>
      </c>
      <c r="AW1310" s="198" t="s">
        <v>54</v>
      </c>
    </row>
    <row r="1311" spans="3:49" outlineLevel="2" x14ac:dyDescent="0.25">
      <c r="C1311" s="201"/>
      <c r="D1311" s="198" t="s">
        <v>349</v>
      </c>
      <c r="H1311" s="198" t="s">
        <v>349</v>
      </c>
      <c r="I1311" s="202">
        <f t="shared" si="20"/>
        <v>545102514</v>
      </c>
      <c r="J1311" s="202">
        <v>132</v>
      </c>
      <c r="L1311" s="204">
        <v>200</v>
      </c>
      <c r="M1311" s="202">
        <v>24000</v>
      </c>
      <c r="N1311" s="204">
        <v>200</v>
      </c>
      <c r="O1311" s="198" t="s">
        <v>51</v>
      </c>
      <c r="P1311" s="202">
        <v>24000</v>
      </c>
      <c r="Q1311" s="198" t="s">
        <v>75</v>
      </c>
      <c r="R1311" s="198" t="s">
        <v>53</v>
      </c>
      <c r="S1311" s="198" t="s">
        <v>54</v>
      </c>
      <c r="T1311" s="198" t="s">
        <v>1751</v>
      </c>
      <c r="U1311" s="198" t="s">
        <v>277</v>
      </c>
      <c r="V1311" s="198" t="s">
        <v>56</v>
      </c>
      <c r="W1311" s="198" t="s">
        <v>356</v>
      </c>
      <c r="X1311" s="198" t="s">
        <v>57</v>
      </c>
      <c r="Y1311" s="198" t="s">
        <v>58</v>
      </c>
      <c r="Z1311" s="201">
        <v>46247</v>
      </c>
      <c r="AA1311" s="198" t="s">
        <v>59</v>
      </c>
      <c r="AB1311" s="198" t="s">
        <v>60</v>
      </c>
      <c r="AC1311" s="198" t="s">
        <v>86</v>
      </c>
      <c r="AD1311" s="198" t="s">
        <v>62</v>
      </c>
      <c r="AE1311" s="198" t="s">
        <v>324</v>
      </c>
      <c r="AF1311" s="198" t="s">
        <v>323</v>
      </c>
      <c r="AG1311" s="198" t="s">
        <v>564</v>
      </c>
      <c r="AH1311" s="198" t="s">
        <v>167</v>
      </c>
      <c r="AI1311" s="198" t="s">
        <v>56</v>
      </c>
      <c r="AJ1311" s="198" t="s">
        <v>325</v>
      </c>
      <c r="AK1311" s="198" t="s">
        <v>51</v>
      </c>
      <c r="AL1311" s="198" t="s">
        <v>67</v>
      </c>
      <c r="AM1311" s="198" t="s">
        <v>68</v>
      </c>
      <c r="AN1311" s="202">
        <v>24000</v>
      </c>
      <c r="AO1311" s="202">
        <v>24000</v>
      </c>
      <c r="AP1311" s="202">
        <v>24000</v>
      </c>
      <c r="AQ1311" s="198" t="s">
        <v>358</v>
      </c>
      <c r="AR1311" s="198" t="s">
        <v>51</v>
      </c>
      <c r="AS1311" s="202">
        <v>24000</v>
      </c>
      <c r="AT1311" s="202">
        <v>24000</v>
      </c>
      <c r="AU1311" s="198" t="s">
        <v>359</v>
      </c>
      <c r="AV1311" s="198" t="s">
        <v>62</v>
      </c>
      <c r="AW1311" s="198" t="s">
        <v>54</v>
      </c>
    </row>
    <row r="1312" spans="3:49" outlineLevel="2" x14ac:dyDescent="0.25">
      <c r="C1312" s="201"/>
      <c r="D1312" s="198" t="s">
        <v>349</v>
      </c>
      <c r="H1312" s="198" t="s">
        <v>349</v>
      </c>
      <c r="I1312" s="202">
        <f t="shared" si="20"/>
        <v>545515470.44999993</v>
      </c>
      <c r="J1312" s="202">
        <v>132.1</v>
      </c>
      <c r="L1312" s="204">
        <v>100</v>
      </c>
      <c r="M1312" s="202">
        <v>10000</v>
      </c>
      <c r="N1312" s="204">
        <v>100</v>
      </c>
      <c r="O1312" s="198" t="s">
        <v>51</v>
      </c>
      <c r="P1312" s="202">
        <v>10000</v>
      </c>
      <c r="Q1312" s="198" t="s">
        <v>75</v>
      </c>
      <c r="R1312" s="198" t="s">
        <v>53</v>
      </c>
      <c r="S1312" s="198" t="s">
        <v>54</v>
      </c>
      <c r="T1312" s="198" t="s">
        <v>1751</v>
      </c>
      <c r="U1312" s="198" t="s">
        <v>277</v>
      </c>
      <c r="V1312" s="198" t="s">
        <v>56</v>
      </c>
      <c r="W1312" s="198" t="s">
        <v>356</v>
      </c>
      <c r="X1312" s="198" t="s">
        <v>57</v>
      </c>
      <c r="Y1312" s="198" t="s">
        <v>58</v>
      </c>
      <c r="Z1312" s="201">
        <v>46247</v>
      </c>
      <c r="AA1312" s="198" t="s">
        <v>59</v>
      </c>
      <c r="AB1312" s="198" t="s">
        <v>60</v>
      </c>
      <c r="AC1312" s="198" t="s">
        <v>86</v>
      </c>
      <c r="AD1312" s="198" t="s">
        <v>62</v>
      </c>
      <c r="AE1312" s="198" t="s">
        <v>327</v>
      </c>
      <c r="AF1312" s="198" t="s">
        <v>326</v>
      </c>
      <c r="AG1312" s="198" t="s">
        <v>564</v>
      </c>
      <c r="AH1312" s="198" t="s">
        <v>167</v>
      </c>
      <c r="AI1312" s="198" t="s">
        <v>56</v>
      </c>
      <c r="AJ1312" s="198" t="s">
        <v>328</v>
      </c>
      <c r="AK1312" s="198" t="s">
        <v>51</v>
      </c>
      <c r="AL1312" s="198" t="s">
        <v>67</v>
      </c>
      <c r="AM1312" s="198" t="s">
        <v>68</v>
      </c>
      <c r="AN1312" s="202">
        <v>10000</v>
      </c>
      <c r="AO1312" s="202">
        <v>10000</v>
      </c>
      <c r="AP1312" s="202">
        <v>10000</v>
      </c>
      <c r="AQ1312" s="198" t="s">
        <v>358</v>
      </c>
      <c r="AR1312" s="198" t="s">
        <v>51</v>
      </c>
      <c r="AS1312" s="202">
        <v>10000</v>
      </c>
      <c r="AT1312" s="202">
        <v>10000</v>
      </c>
      <c r="AU1312" s="198" t="s">
        <v>359</v>
      </c>
      <c r="AV1312" s="198" t="s">
        <v>62</v>
      </c>
      <c r="AW1312" s="198" t="s">
        <v>54</v>
      </c>
    </row>
    <row r="1313" spans="3:49" outlineLevel="2" x14ac:dyDescent="0.25">
      <c r="C1313" s="201"/>
      <c r="D1313" s="198" t="s">
        <v>349</v>
      </c>
      <c r="H1313" s="198" t="s">
        <v>349</v>
      </c>
      <c r="I1313" s="202">
        <f t="shared" si="20"/>
        <v>545928426.89999998</v>
      </c>
      <c r="J1313" s="202">
        <v>132.19999999999999</v>
      </c>
      <c r="L1313" s="204">
        <v>250</v>
      </c>
      <c r="M1313" s="202">
        <v>75000</v>
      </c>
      <c r="N1313" s="204">
        <v>250</v>
      </c>
      <c r="O1313" s="198" t="s">
        <v>51</v>
      </c>
      <c r="P1313" s="202">
        <v>75000</v>
      </c>
      <c r="Q1313" s="198" t="s">
        <v>75</v>
      </c>
      <c r="R1313" s="198" t="s">
        <v>53</v>
      </c>
      <c r="S1313" s="198" t="s">
        <v>54</v>
      </c>
      <c r="T1313" s="198" t="s">
        <v>1751</v>
      </c>
      <c r="U1313" s="198" t="s">
        <v>277</v>
      </c>
      <c r="V1313" s="198" t="s">
        <v>56</v>
      </c>
      <c r="W1313" s="198" t="s">
        <v>356</v>
      </c>
      <c r="X1313" s="198" t="s">
        <v>57</v>
      </c>
      <c r="Y1313" s="198" t="s">
        <v>58</v>
      </c>
      <c r="Z1313" s="201">
        <v>46247</v>
      </c>
      <c r="AA1313" s="198" t="s">
        <v>59</v>
      </c>
      <c r="AB1313" s="198" t="s">
        <v>60</v>
      </c>
      <c r="AC1313" s="198" t="s">
        <v>86</v>
      </c>
      <c r="AD1313" s="198" t="s">
        <v>62</v>
      </c>
      <c r="AE1313" s="198" t="s">
        <v>330</v>
      </c>
      <c r="AF1313" s="198" t="s">
        <v>329</v>
      </c>
      <c r="AG1313" s="198" t="s">
        <v>564</v>
      </c>
      <c r="AH1313" s="198" t="s">
        <v>167</v>
      </c>
      <c r="AI1313" s="198" t="s">
        <v>56</v>
      </c>
      <c r="AJ1313" s="198" t="s">
        <v>76</v>
      </c>
      <c r="AK1313" s="198" t="s">
        <v>51</v>
      </c>
      <c r="AL1313" s="198" t="s">
        <v>67</v>
      </c>
      <c r="AM1313" s="198" t="s">
        <v>68</v>
      </c>
      <c r="AN1313" s="202">
        <v>75000</v>
      </c>
      <c r="AO1313" s="202">
        <v>75000</v>
      </c>
      <c r="AP1313" s="202">
        <v>75000</v>
      </c>
      <c r="AQ1313" s="198" t="s">
        <v>358</v>
      </c>
      <c r="AR1313" s="198" t="s">
        <v>51</v>
      </c>
      <c r="AS1313" s="202">
        <v>75000</v>
      </c>
      <c r="AT1313" s="202">
        <v>75000</v>
      </c>
      <c r="AU1313" s="198" t="s">
        <v>359</v>
      </c>
      <c r="AV1313" s="198" t="s">
        <v>62</v>
      </c>
      <c r="AW1313" s="198" t="s">
        <v>54</v>
      </c>
    </row>
    <row r="1314" spans="3:49" outlineLevel="2" x14ac:dyDescent="0.25">
      <c r="C1314" s="201"/>
      <c r="D1314" s="198" t="s">
        <v>349</v>
      </c>
      <c r="H1314" s="198" t="s">
        <v>349</v>
      </c>
      <c r="I1314" s="202">
        <f t="shared" si="20"/>
        <v>546341383.35000002</v>
      </c>
      <c r="J1314" s="202">
        <v>132.30000000000001</v>
      </c>
      <c r="L1314" s="204">
        <v>300</v>
      </c>
      <c r="M1314" s="202">
        <v>897000</v>
      </c>
      <c r="N1314" s="204">
        <v>300</v>
      </c>
      <c r="O1314" s="198" t="s">
        <v>51</v>
      </c>
      <c r="P1314" s="202">
        <v>897000</v>
      </c>
      <c r="Q1314" s="198" t="s">
        <v>75</v>
      </c>
      <c r="R1314" s="198" t="s">
        <v>53</v>
      </c>
      <c r="S1314" s="198" t="s">
        <v>54</v>
      </c>
      <c r="T1314" s="198" t="s">
        <v>1751</v>
      </c>
      <c r="U1314" s="198" t="s">
        <v>277</v>
      </c>
      <c r="V1314" s="198" t="s">
        <v>56</v>
      </c>
      <c r="W1314" s="198" t="s">
        <v>356</v>
      </c>
      <c r="X1314" s="198" t="s">
        <v>57</v>
      </c>
      <c r="Y1314" s="198" t="s">
        <v>58</v>
      </c>
      <c r="Z1314" s="201">
        <v>46247</v>
      </c>
      <c r="AA1314" s="198" t="s">
        <v>59</v>
      </c>
      <c r="AB1314" s="198" t="s">
        <v>60</v>
      </c>
      <c r="AC1314" s="198" t="s">
        <v>86</v>
      </c>
      <c r="AD1314" s="198" t="s">
        <v>62</v>
      </c>
      <c r="AE1314" s="198" t="s">
        <v>332</v>
      </c>
      <c r="AF1314" s="198" t="s">
        <v>331</v>
      </c>
      <c r="AG1314" s="198" t="s">
        <v>564</v>
      </c>
      <c r="AH1314" s="198" t="s">
        <v>167</v>
      </c>
      <c r="AI1314" s="198" t="s">
        <v>56</v>
      </c>
      <c r="AJ1314" s="198" t="s">
        <v>333</v>
      </c>
      <c r="AK1314" s="198" t="s">
        <v>51</v>
      </c>
      <c r="AL1314" s="198" t="s">
        <v>67</v>
      </c>
      <c r="AM1314" s="198" t="s">
        <v>68</v>
      </c>
      <c r="AN1314" s="202">
        <v>897000</v>
      </c>
      <c r="AO1314" s="202">
        <v>897000</v>
      </c>
      <c r="AP1314" s="202">
        <v>897000</v>
      </c>
      <c r="AQ1314" s="198" t="s">
        <v>358</v>
      </c>
      <c r="AR1314" s="198" t="s">
        <v>51</v>
      </c>
      <c r="AS1314" s="202">
        <v>897000</v>
      </c>
      <c r="AT1314" s="202">
        <v>897000</v>
      </c>
      <c r="AU1314" s="198" t="s">
        <v>359</v>
      </c>
      <c r="AV1314" s="198" t="s">
        <v>62</v>
      </c>
      <c r="AW1314" s="198" t="s">
        <v>54</v>
      </c>
    </row>
    <row r="1315" spans="3:49" outlineLevel="2" x14ac:dyDescent="0.25">
      <c r="C1315" s="201"/>
      <c r="D1315" s="198" t="s">
        <v>349</v>
      </c>
      <c r="H1315" s="198" t="s">
        <v>349</v>
      </c>
      <c r="I1315" s="202">
        <f t="shared" si="20"/>
        <v>546754339.80000007</v>
      </c>
      <c r="J1315" s="202">
        <v>132.4</v>
      </c>
      <c r="L1315" s="204">
        <v>1</v>
      </c>
      <c r="M1315" s="202">
        <v>50000</v>
      </c>
      <c r="N1315" s="204">
        <v>1</v>
      </c>
      <c r="O1315" s="198" t="s">
        <v>51</v>
      </c>
      <c r="P1315" s="202">
        <v>50000</v>
      </c>
      <c r="Q1315" s="198" t="s">
        <v>335</v>
      </c>
      <c r="R1315" s="198" t="s">
        <v>53</v>
      </c>
      <c r="S1315" s="198" t="s">
        <v>54</v>
      </c>
      <c r="T1315" s="198" t="s">
        <v>1751</v>
      </c>
      <c r="U1315" s="198" t="s">
        <v>277</v>
      </c>
      <c r="V1315" s="198" t="s">
        <v>56</v>
      </c>
      <c r="W1315" s="198" t="s">
        <v>356</v>
      </c>
      <c r="X1315" s="198" t="s">
        <v>57</v>
      </c>
      <c r="Y1315" s="198" t="s">
        <v>58</v>
      </c>
      <c r="Z1315" s="201">
        <v>46247</v>
      </c>
      <c r="AA1315" s="198" t="s">
        <v>59</v>
      </c>
      <c r="AB1315" s="198" t="s">
        <v>60</v>
      </c>
      <c r="AC1315" s="198" t="s">
        <v>86</v>
      </c>
      <c r="AD1315" s="198" t="s">
        <v>62</v>
      </c>
      <c r="AE1315" s="198" t="s">
        <v>336</v>
      </c>
      <c r="AF1315" s="198" t="s">
        <v>334</v>
      </c>
      <c r="AG1315" s="198" t="s">
        <v>564</v>
      </c>
      <c r="AH1315" s="198" t="s">
        <v>167</v>
      </c>
      <c r="AI1315" s="198" t="s">
        <v>56</v>
      </c>
      <c r="AJ1315" s="198" t="s">
        <v>325</v>
      </c>
      <c r="AK1315" s="198" t="s">
        <v>51</v>
      </c>
      <c r="AL1315" s="198" t="s">
        <v>67</v>
      </c>
      <c r="AM1315" s="198" t="s">
        <v>68</v>
      </c>
      <c r="AN1315" s="202">
        <v>50000</v>
      </c>
      <c r="AO1315" s="202">
        <v>50000</v>
      </c>
      <c r="AP1315" s="202">
        <v>50000</v>
      </c>
      <c r="AQ1315" s="198" t="s">
        <v>358</v>
      </c>
      <c r="AR1315" s="198" t="s">
        <v>51</v>
      </c>
      <c r="AS1315" s="202">
        <v>50000</v>
      </c>
      <c r="AT1315" s="202">
        <v>50000</v>
      </c>
      <c r="AU1315" s="198" t="s">
        <v>359</v>
      </c>
      <c r="AV1315" s="198" t="s">
        <v>62</v>
      </c>
      <c r="AW1315" s="198" t="s">
        <v>54</v>
      </c>
    </row>
    <row r="1316" spans="3:49" outlineLevel="2" x14ac:dyDescent="0.25">
      <c r="C1316" s="201"/>
      <c r="D1316" s="198" t="s">
        <v>349</v>
      </c>
      <c r="H1316" s="198" t="s">
        <v>349</v>
      </c>
      <c r="I1316" s="202">
        <f t="shared" si="20"/>
        <v>547167296.25</v>
      </c>
      <c r="J1316" s="202">
        <v>132.5</v>
      </c>
      <c r="L1316" s="204">
        <v>1</v>
      </c>
      <c r="M1316" s="202">
        <v>125154</v>
      </c>
      <c r="N1316" s="204">
        <v>1</v>
      </c>
      <c r="O1316" s="198" t="s">
        <v>51</v>
      </c>
      <c r="P1316" s="202">
        <v>125154</v>
      </c>
      <c r="Q1316" s="198" t="s">
        <v>335</v>
      </c>
      <c r="R1316" s="198" t="s">
        <v>53</v>
      </c>
      <c r="S1316" s="198" t="s">
        <v>54</v>
      </c>
      <c r="T1316" s="198" t="s">
        <v>1751</v>
      </c>
      <c r="U1316" s="198" t="s">
        <v>277</v>
      </c>
      <c r="V1316" s="198" t="s">
        <v>56</v>
      </c>
      <c r="W1316" s="198" t="s">
        <v>356</v>
      </c>
      <c r="X1316" s="198" t="s">
        <v>57</v>
      </c>
      <c r="Y1316" s="198" t="s">
        <v>58</v>
      </c>
      <c r="Z1316" s="201">
        <v>46247</v>
      </c>
      <c r="AA1316" s="198" t="s">
        <v>59</v>
      </c>
      <c r="AB1316" s="198" t="s">
        <v>60</v>
      </c>
      <c r="AC1316" s="198" t="s">
        <v>86</v>
      </c>
      <c r="AD1316" s="198" t="s">
        <v>62</v>
      </c>
      <c r="AE1316" s="198" t="s">
        <v>338</v>
      </c>
      <c r="AF1316" s="198" t="s">
        <v>337</v>
      </c>
      <c r="AG1316" s="198" t="s">
        <v>564</v>
      </c>
      <c r="AH1316" s="198" t="s">
        <v>167</v>
      </c>
      <c r="AI1316" s="198" t="s">
        <v>56</v>
      </c>
      <c r="AJ1316" s="198" t="s">
        <v>74</v>
      </c>
      <c r="AK1316" s="198" t="s">
        <v>51</v>
      </c>
      <c r="AL1316" s="198" t="s">
        <v>67</v>
      </c>
      <c r="AM1316" s="198" t="s">
        <v>68</v>
      </c>
      <c r="AN1316" s="202">
        <v>125154</v>
      </c>
      <c r="AO1316" s="202">
        <v>125154</v>
      </c>
      <c r="AP1316" s="202">
        <v>125154</v>
      </c>
      <c r="AQ1316" s="198" t="s">
        <v>358</v>
      </c>
      <c r="AR1316" s="198" t="s">
        <v>51</v>
      </c>
      <c r="AS1316" s="202">
        <v>125154</v>
      </c>
      <c r="AT1316" s="202">
        <v>125154</v>
      </c>
      <c r="AU1316" s="198" t="s">
        <v>359</v>
      </c>
      <c r="AV1316" s="198" t="s">
        <v>62</v>
      </c>
      <c r="AW1316" s="198" t="s">
        <v>54</v>
      </c>
    </row>
    <row r="1317" spans="3:49" outlineLevel="2" x14ac:dyDescent="0.25">
      <c r="C1317" s="201"/>
      <c r="D1317" s="198" t="s">
        <v>349</v>
      </c>
      <c r="H1317" s="198" t="s">
        <v>349</v>
      </c>
      <c r="I1317" s="202">
        <f t="shared" si="20"/>
        <v>547580252.69999993</v>
      </c>
      <c r="J1317" s="202">
        <v>132.6</v>
      </c>
      <c r="L1317" s="204">
        <v>1</v>
      </c>
      <c r="M1317" s="202">
        <v>35000</v>
      </c>
      <c r="N1317" s="204">
        <v>1</v>
      </c>
      <c r="O1317" s="198" t="s">
        <v>51</v>
      </c>
      <c r="P1317" s="202">
        <v>35000</v>
      </c>
      <c r="Q1317" s="198" t="s">
        <v>335</v>
      </c>
      <c r="R1317" s="198" t="s">
        <v>53</v>
      </c>
      <c r="S1317" s="198" t="s">
        <v>54</v>
      </c>
      <c r="T1317" s="198" t="s">
        <v>1751</v>
      </c>
      <c r="U1317" s="198" t="s">
        <v>277</v>
      </c>
      <c r="V1317" s="198" t="s">
        <v>56</v>
      </c>
      <c r="W1317" s="198" t="s">
        <v>356</v>
      </c>
      <c r="X1317" s="198" t="s">
        <v>57</v>
      </c>
      <c r="Y1317" s="198" t="s">
        <v>58</v>
      </c>
      <c r="Z1317" s="201">
        <v>46247</v>
      </c>
      <c r="AA1317" s="198" t="s">
        <v>59</v>
      </c>
      <c r="AB1317" s="198" t="s">
        <v>60</v>
      </c>
      <c r="AC1317" s="198" t="s">
        <v>86</v>
      </c>
      <c r="AD1317" s="198" t="s">
        <v>62</v>
      </c>
      <c r="AE1317" s="198" t="s">
        <v>340</v>
      </c>
      <c r="AF1317" s="198" t="s">
        <v>339</v>
      </c>
      <c r="AG1317" s="198" t="s">
        <v>564</v>
      </c>
      <c r="AH1317" s="198" t="s">
        <v>167</v>
      </c>
      <c r="AI1317" s="198" t="s">
        <v>56</v>
      </c>
      <c r="AJ1317" s="198" t="s">
        <v>318</v>
      </c>
      <c r="AK1317" s="198" t="s">
        <v>51</v>
      </c>
      <c r="AL1317" s="198" t="s">
        <v>67</v>
      </c>
      <c r="AM1317" s="198" t="s">
        <v>68</v>
      </c>
      <c r="AN1317" s="202">
        <v>35000</v>
      </c>
      <c r="AO1317" s="202">
        <v>35000</v>
      </c>
      <c r="AP1317" s="202">
        <v>35000</v>
      </c>
      <c r="AQ1317" s="198" t="s">
        <v>358</v>
      </c>
      <c r="AR1317" s="198" t="s">
        <v>51</v>
      </c>
      <c r="AS1317" s="202">
        <v>35000</v>
      </c>
      <c r="AT1317" s="202">
        <v>35000</v>
      </c>
      <c r="AU1317" s="198" t="s">
        <v>359</v>
      </c>
      <c r="AV1317" s="198" t="s">
        <v>62</v>
      </c>
      <c r="AW1317" s="198" t="s">
        <v>54</v>
      </c>
    </row>
    <row r="1318" spans="3:49" outlineLevel="2" x14ac:dyDescent="0.25">
      <c r="C1318" s="201"/>
      <c r="D1318" s="198" t="s">
        <v>349</v>
      </c>
      <c r="H1318" s="198" t="s">
        <v>349</v>
      </c>
      <c r="I1318" s="202">
        <f t="shared" si="20"/>
        <v>547993209.14999998</v>
      </c>
      <c r="J1318" s="202">
        <v>132.69999999999999</v>
      </c>
      <c r="L1318" s="204">
        <v>1</v>
      </c>
      <c r="M1318" s="202">
        <v>35000</v>
      </c>
      <c r="N1318" s="204">
        <v>1</v>
      </c>
      <c r="O1318" s="198" t="s">
        <v>51</v>
      </c>
      <c r="P1318" s="202">
        <v>35000</v>
      </c>
      <c r="Q1318" s="198" t="s">
        <v>342</v>
      </c>
      <c r="R1318" s="198" t="s">
        <v>53</v>
      </c>
      <c r="S1318" s="198" t="s">
        <v>54</v>
      </c>
      <c r="T1318" s="198" t="s">
        <v>1751</v>
      </c>
      <c r="U1318" s="198" t="s">
        <v>277</v>
      </c>
      <c r="V1318" s="198" t="s">
        <v>56</v>
      </c>
      <c r="W1318" s="198" t="s">
        <v>356</v>
      </c>
      <c r="X1318" s="198" t="s">
        <v>57</v>
      </c>
      <c r="Y1318" s="198" t="s">
        <v>58</v>
      </c>
      <c r="Z1318" s="201">
        <v>46247</v>
      </c>
      <c r="AA1318" s="198" t="s">
        <v>59</v>
      </c>
      <c r="AB1318" s="198" t="s">
        <v>60</v>
      </c>
      <c r="AC1318" s="198" t="s">
        <v>86</v>
      </c>
      <c r="AD1318" s="198" t="s">
        <v>62</v>
      </c>
      <c r="AE1318" s="198" t="s">
        <v>343</v>
      </c>
      <c r="AF1318" s="198" t="s">
        <v>341</v>
      </c>
      <c r="AG1318" s="198" t="s">
        <v>564</v>
      </c>
      <c r="AH1318" s="198" t="s">
        <v>167</v>
      </c>
      <c r="AI1318" s="198" t="s">
        <v>56</v>
      </c>
      <c r="AJ1318" s="198" t="s">
        <v>344</v>
      </c>
      <c r="AK1318" s="198" t="s">
        <v>51</v>
      </c>
      <c r="AL1318" s="198" t="s">
        <v>67</v>
      </c>
      <c r="AM1318" s="198" t="s">
        <v>68</v>
      </c>
      <c r="AN1318" s="202">
        <v>35000</v>
      </c>
      <c r="AO1318" s="202">
        <v>35000</v>
      </c>
      <c r="AP1318" s="202">
        <v>35000</v>
      </c>
      <c r="AQ1318" s="198" t="s">
        <v>358</v>
      </c>
      <c r="AR1318" s="198" t="s">
        <v>51</v>
      </c>
      <c r="AS1318" s="202">
        <v>35000</v>
      </c>
      <c r="AT1318" s="202">
        <v>35000</v>
      </c>
      <c r="AU1318" s="198" t="s">
        <v>359</v>
      </c>
      <c r="AV1318" s="198" t="s">
        <v>62</v>
      </c>
      <c r="AW1318" s="198" t="s">
        <v>54</v>
      </c>
    </row>
    <row r="1319" spans="3:49" outlineLevel="2" x14ac:dyDescent="0.25">
      <c r="C1319" s="201"/>
      <c r="D1319" s="198" t="s">
        <v>349</v>
      </c>
      <c r="H1319" s="198" t="s">
        <v>349</v>
      </c>
      <c r="I1319" s="202">
        <f t="shared" si="20"/>
        <v>548406165.60000002</v>
      </c>
      <c r="J1319" s="202">
        <v>132.80000000000001</v>
      </c>
      <c r="L1319" s="204">
        <v>1</v>
      </c>
      <c r="M1319" s="202">
        <v>1070000</v>
      </c>
      <c r="N1319" s="204">
        <v>1</v>
      </c>
      <c r="O1319" s="198" t="s">
        <v>51</v>
      </c>
      <c r="P1319" s="202">
        <v>1070000</v>
      </c>
      <c r="Q1319" s="198" t="s">
        <v>342</v>
      </c>
      <c r="R1319" s="198" t="s">
        <v>53</v>
      </c>
      <c r="S1319" s="198" t="s">
        <v>54</v>
      </c>
      <c r="T1319" s="198" t="s">
        <v>1751</v>
      </c>
      <c r="U1319" s="198" t="s">
        <v>277</v>
      </c>
      <c r="V1319" s="198" t="s">
        <v>56</v>
      </c>
      <c r="W1319" s="198" t="s">
        <v>356</v>
      </c>
      <c r="X1319" s="198" t="s">
        <v>57</v>
      </c>
      <c r="Y1319" s="198" t="s">
        <v>58</v>
      </c>
      <c r="Z1319" s="201">
        <v>46247</v>
      </c>
      <c r="AA1319" s="198" t="s">
        <v>59</v>
      </c>
      <c r="AB1319" s="198" t="s">
        <v>60</v>
      </c>
      <c r="AC1319" s="198" t="s">
        <v>86</v>
      </c>
      <c r="AD1319" s="198" t="s">
        <v>62</v>
      </c>
      <c r="AE1319" s="198" t="s">
        <v>346</v>
      </c>
      <c r="AF1319" s="198" t="s">
        <v>345</v>
      </c>
      <c r="AG1319" s="198" t="s">
        <v>564</v>
      </c>
      <c r="AH1319" s="198" t="s">
        <v>167</v>
      </c>
      <c r="AI1319" s="198" t="s">
        <v>56</v>
      </c>
      <c r="AJ1319" s="198" t="s">
        <v>121</v>
      </c>
      <c r="AK1319" s="198" t="s">
        <v>51</v>
      </c>
      <c r="AL1319" s="198" t="s">
        <v>67</v>
      </c>
      <c r="AM1319" s="198" t="s">
        <v>68</v>
      </c>
      <c r="AN1319" s="202">
        <v>1070000</v>
      </c>
      <c r="AO1319" s="202">
        <v>1070000</v>
      </c>
      <c r="AP1319" s="202">
        <v>1070000</v>
      </c>
      <c r="AQ1319" s="198" t="s">
        <v>358</v>
      </c>
      <c r="AR1319" s="198" t="s">
        <v>51</v>
      </c>
      <c r="AS1319" s="202">
        <v>1070000</v>
      </c>
      <c r="AT1319" s="202">
        <v>1070000</v>
      </c>
      <c r="AU1319" s="198" t="s">
        <v>359</v>
      </c>
      <c r="AV1319" s="198" t="s">
        <v>62</v>
      </c>
      <c r="AW1319" s="198" t="s">
        <v>54</v>
      </c>
    </row>
    <row r="1320" spans="3:49" outlineLevel="2" x14ac:dyDescent="0.25">
      <c r="C1320" s="201"/>
      <c r="D1320" s="198" t="s">
        <v>349</v>
      </c>
      <c r="H1320" s="198" t="s">
        <v>349</v>
      </c>
      <c r="I1320" s="202">
        <f t="shared" si="20"/>
        <v>548819122.05000007</v>
      </c>
      <c r="J1320" s="202">
        <v>132.9</v>
      </c>
      <c r="L1320" s="204">
        <v>1</v>
      </c>
      <c r="M1320" s="202">
        <v>1881468</v>
      </c>
      <c r="N1320" s="204">
        <v>1</v>
      </c>
      <c r="O1320" s="198" t="s">
        <v>51</v>
      </c>
      <c r="P1320" s="202">
        <v>1881468</v>
      </c>
      <c r="Q1320" s="198" t="s">
        <v>159</v>
      </c>
      <c r="R1320" s="198" t="s">
        <v>160</v>
      </c>
      <c r="S1320" s="198" t="s">
        <v>54</v>
      </c>
      <c r="T1320" s="198" t="s">
        <v>1751</v>
      </c>
      <c r="U1320" s="198" t="s">
        <v>277</v>
      </c>
      <c r="V1320" s="198" t="s">
        <v>56</v>
      </c>
      <c r="W1320" s="198" t="s">
        <v>356</v>
      </c>
      <c r="X1320" s="198" t="s">
        <v>161</v>
      </c>
      <c r="Y1320" s="198" t="s">
        <v>162</v>
      </c>
      <c r="Z1320" s="201">
        <v>46247</v>
      </c>
      <c r="AA1320" s="198" t="s">
        <v>59</v>
      </c>
      <c r="AB1320" s="198" t="s">
        <v>60</v>
      </c>
      <c r="AC1320" s="198" t="s">
        <v>86</v>
      </c>
      <c r="AD1320" s="198" t="s">
        <v>62</v>
      </c>
      <c r="AE1320" s="198" t="s">
        <v>54</v>
      </c>
      <c r="AF1320" s="198" t="s">
        <v>54</v>
      </c>
      <c r="AG1320" s="198" t="s">
        <v>564</v>
      </c>
      <c r="AH1320" s="198" t="s">
        <v>167</v>
      </c>
      <c r="AI1320" s="198" t="s">
        <v>56</v>
      </c>
      <c r="AJ1320" s="198" t="s">
        <v>163</v>
      </c>
      <c r="AK1320" s="198" t="s">
        <v>51</v>
      </c>
      <c r="AL1320" s="198" t="s">
        <v>67</v>
      </c>
      <c r="AM1320" s="198" t="s">
        <v>68</v>
      </c>
      <c r="AN1320" s="202">
        <v>1881468</v>
      </c>
      <c r="AO1320" s="202">
        <v>1881468</v>
      </c>
      <c r="AP1320" s="202">
        <v>1881468</v>
      </c>
      <c r="AQ1320" s="198" t="s">
        <v>358</v>
      </c>
      <c r="AR1320" s="198" t="s">
        <v>51</v>
      </c>
      <c r="AS1320" s="202">
        <v>1881468</v>
      </c>
      <c r="AT1320" s="202">
        <v>1881468</v>
      </c>
      <c r="AU1320" s="198" t="s">
        <v>359</v>
      </c>
      <c r="AV1320" s="198" t="s">
        <v>62</v>
      </c>
      <c r="AW1320" s="198" t="s">
        <v>54</v>
      </c>
    </row>
    <row r="1321" spans="3:49" outlineLevel="2" x14ac:dyDescent="0.25">
      <c r="C1321" s="201"/>
      <c r="D1321" s="198" t="s">
        <v>350</v>
      </c>
      <c r="H1321" s="198" t="s">
        <v>350</v>
      </c>
      <c r="I1321" s="202">
        <f t="shared" si="20"/>
        <v>549232078.5</v>
      </c>
      <c r="J1321" s="202">
        <v>133</v>
      </c>
      <c r="L1321" s="204">
        <v>4</v>
      </c>
      <c r="M1321" s="202">
        <v>1195612</v>
      </c>
      <c r="N1321" s="204">
        <v>4</v>
      </c>
      <c r="O1321" s="198" t="s">
        <v>51</v>
      </c>
      <c r="P1321" s="202">
        <v>1195612</v>
      </c>
      <c r="Q1321" s="198" t="s">
        <v>73</v>
      </c>
      <c r="R1321" s="198" t="s">
        <v>53</v>
      </c>
      <c r="S1321" s="198" t="s">
        <v>54</v>
      </c>
      <c r="T1321" s="198" t="s">
        <v>1751</v>
      </c>
      <c r="U1321" s="198" t="s">
        <v>277</v>
      </c>
      <c r="V1321" s="198" t="s">
        <v>56</v>
      </c>
      <c r="W1321" s="198" t="s">
        <v>356</v>
      </c>
      <c r="X1321" s="198" t="s">
        <v>57</v>
      </c>
      <c r="Y1321" s="198" t="s">
        <v>58</v>
      </c>
      <c r="Z1321" s="201">
        <v>46247</v>
      </c>
      <c r="AA1321" s="198" t="s">
        <v>59</v>
      </c>
      <c r="AB1321" s="198" t="s">
        <v>60</v>
      </c>
      <c r="AC1321" s="198" t="s">
        <v>86</v>
      </c>
      <c r="AD1321" s="198" t="s">
        <v>62</v>
      </c>
      <c r="AE1321" s="198" t="s">
        <v>293</v>
      </c>
      <c r="AF1321" s="198" t="s">
        <v>292</v>
      </c>
      <c r="AG1321" s="198" t="s">
        <v>564</v>
      </c>
      <c r="AH1321" s="198" t="s">
        <v>95</v>
      </c>
      <c r="AI1321" s="198" t="s">
        <v>56</v>
      </c>
      <c r="AJ1321" s="198" t="s">
        <v>294</v>
      </c>
      <c r="AK1321" s="198" t="s">
        <v>51</v>
      </c>
      <c r="AL1321" s="198" t="s">
        <v>67</v>
      </c>
      <c r="AM1321" s="198" t="s">
        <v>68</v>
      </c>
      <c r="AN1321" s="202">
        <v>1195612</v>
      </c>
      <c r="AO1321" s="202">
        <v>1195612</v>
      </c>
      <c r="AP1321" s="202">
        <v>1195612</v>
      </c>
      <c r="AQ1321" s="198" t="s">
        <v>358</v>
      </c>
      <c r="AR1321" s="198" t="s">
        <v>51</v>
      </c>
      <c r="AS1321" s="202">
        <v>1195612</v>
      </c>
      <c r="AT1321" s="202">
        <v>1195612</v>
      </c>
      <c r="AU1321" s="198" t="s">
        <v>359</v>
      </c>
      <c r="AV1321" s="198" t="s">
        <v>62</v>
      </c>
      <c r="AW1321" s="198" t="s">
        <v>54</v>
      </c>
    </row>
    <row r="1322" spans="3:49" outlineLevel="2" x14ac:dyDescent="0.25">
      <c r="C1322" s="201"/>
      <c r="D1322" s="198" t="s">
        <v>350</v>
      </c>
      <c r="H1322" s="198" t="s">
        <v>350</v>
      </c>
      <c r="I1322" s="202">
        <f t="shared" si="20"/>
        <v>549645034.94999993</v>
      </c>
      <c r="J1322" s="202">
        <v>133.1</v>
      </c>
      <c r="L1322" s="204">
        <v>1</v>
      </c>
      <c r="M1322" s="202">
        <v>155000</v>
      </c>
      <c r="N1322" s="204">
        <v>1</v>
      </c>
      <c r="O1322" s="198" t="s">
        <v>51</v>
      </c>
      <c r="P1322" s="202">
        <v>155000</v>
      </c>
      <c r="Q1322" s="198" t="s">
        <v>73</v>
      </c>
      <c r="R1322" s="198" t="s">
        <v>53</v>
      </c>
      <c r="S1322" s="198" t="s">
        <v>54</v>
      </c>
      <c r="T1322" s="198" t="s">
        <v>1751</v>
      </c>
      <c r="U1322" s="198" t="s">
        <v>277</v>
      </c>
      <c r="V1322" s="198" t="s">
        <v>56</v>
      </c>
      <c r="W1322" s="198" t="s">
        <v>356</v>
      </c>
      <c r="X1322" s="198" t="s">
        <v>57</v>
      </c>
      <c r="Y1322" s="198" t="s">
        <v>58</v>
      </c>
      <c r="Z1322" s="201">
        <v>46247</v>
      </c>
      <c r="AA1322" s="198" t="s">
        <v>59</v>
      </c>
      <c r="AB1322" s="198" t="s">
        <v>60</v>
      </c>
      <c r="AC1322" s="198" t="s">
        <v>86</v>
      </c>
      <c r="AD1322" s="198" t="s">
        <v>62</v>
      </c>
      <c r="AE1322" s="198" t="s">
        <v>296</v>
      </c>
      <c r="AF1322" s="198" t="s">
        <v>295</v>
      </c>
      <c r="AG1322" s="198" t="s">
        <v>564</v>
      </c>
      <c r="AH1322" s="198" t="s">
        <v>95</v>
      </c>
      <c r="AI1322" s="198" t="s">
        <v>56</v>
      </c>
      <c r="AJ1322" s="198" t="s">
        <v>128</v>
      </c>
      <c r="AK1322" s="198" t="s">
        <v>51</v>
      </c>
      <c r="AL1322" s="198" t="s">
        <v>67</v>
      </c>
      <c r="AM1322" s="198" t="s">
        <v>68</v>
      </c>
      <c r="AN1322" s="202">
        <v>155000</v>
      </c>
      <c r="AO1322" s="202">
        <v>155000</v>
      </c>
      <c r="AP1322" s="202">
        <v>155000</v>
      </c>
      <c r="AQ1322" s="198" t="s">
        <v>358</v>
      </c>
      <c r="AR1322" s="198" t="s">
        <v>51</v>
      </c>
      <c r="AS1322" s="202">
        <v>155000</v>
      </c>
      <c r="AT1322" s="202">
        <v>155000</v>
      </c>
      <c r="AU1322" s="198" t="s">
        <v>359</v>
      </c>
      <c r="AV1322" s="198" t="s">
        <v>62</v>
      </c>
      <c r="AW1322" s="198" t="s">
        <v>54</v>
      </c>
    </row>
    <row r="1323" spans="3:49" outlineLevel="2" x14ac:dyDescent="0.25">
      <c r="C1323" s="201"/>
      <c r="D1323" s="198" t="s">
        <v>350</v>
      </c>
      <c r="H1323" s="198" t="s">
        <v>350</v>
      </c>
      <c r="I1323" s="202">
        <f t="shared" si="20"/>
        <v>550057991.39999998</v>
      </c>
      <c r="J1323" s="202">
        <v>133.19999999999999</v>
      </c>
      <c r="L1323" s="204">
        <v>8</v>
      </c>
      <c r="M1323" s="202">
        <v>20808</v>
      </c>
      <c r="N1323" s="204">
        <v>8</v>
      </c>
      <c r="O1323" s="198" t="s">
        <v>51</v>
      </c>
      <c r="P1323" s="202">
        <v>20808</v>
      </c>
      <c r="Q1323" s="198" t="s">
        <v>73</v>
      </c>
      <c r="R1323" s="198" t="s">
        <v>53</v>
      </c>
      <c r="S1323" s="198" t="s">
        <v>54</v>
      </c>
      <c r="T1323" s="198" t="s">
        <v>1751</v>
      </c>
      <c r="U1323" s="198" t="s">
        <v>277</v>
      </c>
      <c r="V1323" s="198" t="s">
        <v>56</v>
      </c>
      <c r="W1323" s="198" t="s">
        <v>356</v>
      </c>
      <c r="X1323" s="198" t="s">
        <v>57</v>
      </c>
      <c r="Y1323" s="198" t="s">
        <v>58</v>
      </c>
      <c r="Z1323" s="201">
        <v>46247</v>
      </c>
      <c r="AA1323" s="198" t="s">
        <v>59</v>
      </c>
      <c r="AB1323" s="198" t="s">
        <v>60</v>
      </c>
      <c r="AC1323" s="198" t="s">
        <v>86</v>
      </c>
      <c r="AD1323" s="198" t="s">
        <v>62</v>
      </c>
      <c r="AE1323" s="198" t="s">
        <v>298</v>
      </c>
      <c r="AF1323" s="198" t="s">
        <v>297</v>
      </c>
      <c r="AG1323" s="198" t="s">
        <v>564</v>
      </c>
      <c r="AH1323" s="198" t="s">
        <v>95</v>
      </c>
      <c r="AI1323" s="198" t="s">
        <v>56</v>
      </c>
      <c r="AJ1323" s="198" t="s">
        <v>299</v>
      </c>
      <c r="AK1323" s="198" t="s">
        <v>51</v>
      </c>
      <c r="AL1323" s="198" t="s">
        <v>67</v>
      </c>
      <c r="AM1323" s="198" t="s">
        <v>68</v>
      </c>
      <c r="AN1323" s="202">
        <v>20808</v>
      </c>
      <c r="AO1323" s="202">
        <v>20808</v>
      </c>
      <c r="AP1323" s="202">
        <v>20808</v>
      </c>
      <c r="AQ1323" s="198" t="s">
        <v>358</v>
      </c>
      <c r="AR1323" s="198" t="s">
        <v>51</v>
      </c>
      <c r="AS1323" s="202">
        <v>20808</v>
      </c>
      <c r="AT1323" s="202">
        <v>20808</v>
      </c>
      <c r="AU1323" s="198" t="s">
        <v>359</v>
      </c>
      <c r="AV1323" s="198" t="s">
        <v>62</v>
      </c>
      <c r="AW1323" s="198" t="s">
        <v>54</v>
      </c>
    </row>
    <row r="1324" spans="3:49" outlineLevel="2" x14ac:dyDescent="0.25">
      <c r="C1324" s="201"/>
      <c r="D1324" s="198" t="s">
        <v>350</v>
      </c>
      <c r="H1324" s="198" t="s">
        <v>350</v>
      </c>
      <c r="I1324" s="202">
        <f t="shared" si="20"/>
        <v>550470947.85000002</v>
      </c>
      <c r="J1324" s="202">
        <v>133.30000000000001</v>
      </c>
      <c r="L1324" s="204">
        <v>4</v>
      </c>
      <c r="M1324" s="202">
        <v>11600</v>
      </c>
      <c r="N1324" s="204">
        <v>4</v>
      </c>
      <c r="O1324" s="198" t="s">
        <v>51</v>
      </c>
      <c r="P1324" s="202">
        <v>11600</v>
      </c>
      <c r="Q1324" s="198" t="s">
        <v>73</v>
      </c>
      <c r="R1324" s="198" t="s">
        <v>53</v>
      </c>
      <c r="S1324" s="198" t="s">
        <v>54</v>
      </c>
      <c r="T1324" s="198" t="s">
        <v>1751</v>
      </c>
      <c r="U1324" s="198" t="s">
        <v>277</v>
      </c>
      <c r="V1324" s="198" t="s">
        <v>56</v>
      </c>
      <c r="W1324" s="198" t="s">
        <v>356</v>
      </c>
      <c r="X1324" s="198" t="s">
        <v>57</v>
      </c>
      <c r="Y1324" s="198" t="s">
        <v>58</v>
      </c>
      <c r="Z1324" s="201">
        <v>46247</v>
      </c>
      <c r="AA1324" s="198" t="s">
        <v>59</v>
      </c>
      <c r="AB1324" s="198" t="s">
        <v>60</v>
      </c>
      <c r="AC1324" s="198" t="s">
        <v>86</v>
      </c>
      <c r="AD1324" s="198" t="s">
        <v>62</v>
      </c>
      <c r="AE1324" s="198" t="s">
        <v>301</v>
      </c>
      <c r="AF1324" s="198" t="s">
        <v>300</v>
      </c>
      <c r="AG1324" s="198" t="s">
        <v>564</v>
      </c>
      <c r="AH1324" s="198" t="s">
        <v>95</v>
      </c>
      <c r="AI1324" s="198" t="s">
        <v>56</v>
      </c>
      <c r="AJ1324" s="198" t="s">
        <v>121</v>
      </c>
      <c r="AK1324" s="198" t="s">
        <v>51</v>
      </c>
      <c r="AL1324" s="198" t="s">
        <v>67</v>
      </c>
      <c r="AM1324" s="198" t="s">
        <v>68</v>
      </c>
      <c r="AN1324" s="202">
        <v>11600</v>
      </c>
      <c r="AO1324" s="202">
        <v>11600</v>
      </c>
      <c r="AP1324" s="202">
        <v>11600</v>
      </c>
      <c r="AQ1324" s="198" t="s">
        <v>358</v>
      </c>
      <c r="AR1324" s="198" t="s">
        <v>51</v>
      </c>
      <c r="AS1324" s="202">
        <v>11600</v>
      </c>
      <c r="AT1324" s="202">
        <v>11600</v>
      </c>
      <c r="AU1324" s="198" t="s">
        <v>359</v>
      </c>
      <c r="AV1324" s="198" t="s">
        <v>62</v>
      </c>
      <c r="AW1324" s="198" t="s">
        <v>54</v>
      </c>
    </row>
    <row r="1325" spans="3:49" outlineLevel="2" x14ac:dyDescent="0.25">
      <c r="C1325" s="201"/>
      <c r="D1325" s="198" t="s">
        <v>350</v>
      </c>
      <c r="H1325" s="198" t="s">
        <v>350</v>
      </c>
      <c r="I1325" s="202">
        <f t="shared" si="20"/>
        <v>550883904.30000007</v>
      </c>
      <c r="J1325" s="202">
        <v>133.4</v>
      </c>
      <c r="L1325" s="204">
        <v>32</v>
      </c>
      <c r="M1325" s="202">
        <v>188800</v>
      </c>
      <c r="N1325" s="204">
        <v>32</v>
      </c>
      <c r="O1325" s="198" t="s">
        <v>51</v>
      </c>
      <c r="P1325" s="202">
        <v>188800</v>
      </c>
      <c r="Q1325" s="198" t="s">
        <v>73</v>
      </c>
      <c r="R1325" s="198" t="s">
        <v>53</v>
      </c>
      <c r="S1325" s="198" t="s">
        <v>54</v>
      </c>
      <c r="T1325" s="198" t="s">
        <v>1751</v>
      </c>
      <c r="U1325" s="198" t="s">
        <v>277</v>
      </c>
      <c r="V1325" s="198" t="s">
        <v>56</v>
      </c>
      <c r="W1325" s="198" t="s">
        <v>356</v>
      </c>
      <c r="X1325" s="198" t="s">
        <v>57</v>
      </c>
      <c r="Y1325" s="198" t="s">
        <v>58</v>
      </c>
      <c r="Z1325" s="201">
        <v>46247</v>
      </c>
      <c r="AA1325" s="198" t="s">
        <v>59</v>
      </c>
      <c r="AB1325" s="198" t="s">
        <v>60</v>
      </c>
      <c r="AC1325" s="198" t="s">
        <v>86</v>
      </c>
      <c r="AD1325" s="198" t="s">
        <v>62</v>
      </c>
      <c r="AE1325" s="198" t="s">
        <v>303</v>
      </c>
      <c r="AF1325" s="198" t="s">
        <v>302</v>
      </c>
      <c r="AG1325" s="198" t="s">
        <v>564</v>
      </c>
      <c r="AH1325" s="198" t="s">
        <v>95</v>
      </c>
      <c r="AI1325" s="198" t="s">
        <v>56</v>
      </c>
      <c r="AJ1325" s="198" t="s">
        <v>72</v>
      </c>
      <c r="AK1325" s="198" t="s">
        <v>51</v>
      </c>
      <c r="AL1325" s="198" t="s">
        <v>67</v>
      </c>
      <c r="AM1325" s="198" t="s">
        <v>68</v>
      </c>
      <c r="AN1325" s="202">
        <v>188800</v>
      </c>
      <c r="AO1325" s="202">
        <v>188800</v>
      </c>
      <c r="AP1325" s="202">
        <v>188800</v>
      </c>
      <c r="AQ1325" s="198" t="s">
        <v>358</v>
      </c>
      <c r="AR1325" s="198" t="s">
        <v>51</v>
      </c>
      <c r="AS1325" s="202">
        <v>188800</v>
      </c>
      <c r="AT1325" s="202">
        <v>188800</v>
      </c>
      <c r="AU1325" s="198" t="s">
        <v>359</v>
      </c>
      <c r="AV1325" s="198" t="s">
        <v>62</v>
      </c>
      <c r="AW1325" s="198" t="s">
        <v>54</v>
      </c>
    </row>
    <row r="1326" spans="3:49" outlineLevel="2" x14ac:dyDescent="0.25">
      <c r="C1326" s="201"/>
      <c r="D1326" s="198" t="s">
        <v>350</v>
      </c>
      <c r="H1326" s="198" t="s">
        <v>350</v>
      </c>
      <c r="I1326" s="202">
        <f t="shared" si="20"/>
        <v>551296860.75</v>
      </c>
      <c r="J1326" s="202">
        <v>133.5</v>
      </c>
      <c r="L1326" s="204">
        <v>200</v>
      </c>
      <c r="M1326" s="202">
        <v>370000</v>
      </c>
      <c r="N1326" s="204">
        <v>200</v>
      </c>
      <c r="O1326" s="198" t="s">
        <v>51</v>
      </c>
      <c r="P1326" s="202">
        <v>370000</v>
      </c>
      <c r="Q1326" s="198" t="s">
        <v>73</v>
      </c>
      <c r="R1326" s="198" t="s">
        <v>53</v>
      </c>
      <c r="S1326" s="198" t="s">
        <v>54</v>
      </c>
      <c r="T1326" s="198" t="s">
        <v>1751</v>
      </c>
      <c r="U1326" s="198" t="s">
        <v>277</v>
      </c>
      <c r="V1326" s="198" t="s">
        <v>56</v>
      </c>
      <c r="W1326" s="198" t="s">
        <v>356</v>
      </c>
      <c r="X1326" s="198" t="s">
        <v>57</v>
      </c>
      <c r="Y1326" s="198" t="s">
        <v>58</v>
      </c>
      <c r="Z1326" s="201">
        <v>46247</v>
      </c>
      <c r="AA1326" s="198" t="s">
        <v>59</v>
      </c>
      <c r="AB1326" s="198" t="s">
        <v>60</v>
      </c>
      <c r="AC1326" s="198" t="s">
        <v>86</v>
      </c>
      <c r="AD1326" s="198" t="s">
        <v>62</v>
      </c>
      <c r="AE1326" s="198" t="s">
        <v>305</v>
      </c>
      <c r="AF1326" s="198" t="s">
        <v>304</v>
      </c>
      <c r="AG1326" s="198" t="s">
        <v>564</v>
      </c>
      <c r="AH1326" s="198" t="s">
        <v>95</v>
      </c>
      <c r="AI1326" s="198" t="s">
        <v>56</v>
      </c>
      <c r="AJ1326" s="198" t="s">
        <v>306</v>
      </c>
      <c r="AK1326" s="198" t="s">
        <v>51</v>
      </c>
      <c r="AL1326" s="198" t="s">
        <v>67</v>
      </c>
      <c r="AM1326" s="198" t="s">
        <v>68</v>
      </c>
      <c r="AN1326" s="202">
        <v>370000</v>
      </c>
      <c r="AO1326" s="202">
        <v>370000</v>
      </c>
      <c r="AP1326" s="202">
        <v>370000</v>
      </c>
      <c r="AQ1326" s="198" t="s">
        <v>358</v>
      </c>
      <c r="AR1326" s="198" t="s">
        <v>51</v>
      </c>
      <c r="AS1326" s="202">
        <v>370000</v>
      </c>
      <c r="AT1326" s="202">
        <v>370000</v>
      </c>
      <c r="AU1326" s="198" t="s">
        <v>359</v>
      </c>
      <c r="AV1326" s="198" t="s">
        <v>62</v>
      </c>
      <c r="AW1326" s="198" t="s">
        <v>54</v>
      </c>
    </row>
    <row r="1327" spans="3:49" outlineLevel="2" x14ac:dyDescent="0.25">
      <c r="C1327" s="201"/>
      <c r="D1327" s="198" t="s">
        <v>350</v>
      </c>
      <c r="H1327" s="198" t="s">
        <v>350</v>
      </c>
      <c r="I1327" s="202">
        <f t="shared" si="20"/>
        <v>551709817.19999993</v>
      </c>
      <c r="J1327" s="202">
        <v>133.6</v>
      </c>
      <c r="L1327" s="204">
        <v>30</v>
      </c>
      <c r="M1327" s="202">
        <v>57000</v>
      </c>
      <c r="N1327" s="204">
        <v>30</v>
      </c>
      <c r="O1327" s="198" t="s">
        <v>51</v>
      </c>
      <c r="P1327" s="202">
        <v>57000</v>
      </c>
      <c r="Q1327" s="198" t="s">
        <v>73</v>
      </c>
      <c r="R1327" s="198" t="s">
        <v>53</v>
      </c>
      <c r="S1327" s="198" t="s">
        <v>54</v>
      </c>
      <c r="T1327" s="198" t="s">
        <v>1751</v>
      </c>
      <c r="U1327" s="198" t="s">
        <v>277</v>
      </c>
      <c r="V1327" s="198" t="s">
        <v>56</v>
      </c>
      <c r="W1327" s="198" t="s">
        <v>356</v>
      </c>
      <c r="X1327" s="198" t="s">
        <v>57</v>
      </c>
      <c r="Y1327" s="198" t="s">
        <v>58</v>
      </c>
      <c r="Z1327" s="201">
        <v>46247</v>
      </c>
      <c r="AA1327" s="198" t="s">
        <v>59</v>
      </c>
      <c r="AB1327" s="198" t="s">
        <v>60</v>
      </c>
      <c r="AC1327" s="198" t="s">
        <v>86</v>
      </c>
      <c r="AD1327" s="198" t="s">
        <v>62</v>
      </c>
      <c r="AE1327" s="198" t="s">
        <v>308</v>
      </c>
      <c r="AF1327" s="198" t="s">
        <v>307</v>
      </c>
      <c r="AG1327" s="198" t="s">
        <v>564</v>
      </c>
      <c r="AH1327" s="198" t="s">
        <v>95</v>
      </c>
      <c r="AI1327" s="198" t="s">
        <v>56</v>
      </c>
      <c r="AJ1327" s="198" t="s">
        <v>306</v>
      </c>
      <c r="AK1327" s="198" t="s">
        <v>51</v>
      </c>
      <c r="AL1327" s="198" t="s">
        <v>67</v>
      </c>
      <c r="AM1327" s="198" t="s">
        <v>68</v>
      </c>
      <c r="AN1327" s="202">
        <v>57000</v>
      </c>
      <c r="AO1327" s="202">
        <v>57000</v>
      </c>
      <c r="AP1327" s="202">
        <v>57000</v>
      </c>
      <c r="AQ1327" s="198" t="s">
        <v>358</v>
      </c>
      <c r="AR1327" s="198" t="s">
        <v>51</v>
      </c>
      <c r="AS1327" s="202">
        <v>57000</v>
      </c>
      <c r="AT1327" s="202">
        <v>57000</v>
      </c>
      <c r="AU1327" s="198" t="s">
        <v>359</v>
      </c>
      <c r="AV1327" s="198" t="s">
        <v>62</v>
      </c>
      <c r="AW1327" s="198" t="s">
        <v>54</v>
      </c>
    </row>
    <row r="1328" spans="3:49" outlineLevel="2" x14ac:dyDescent="0.25">
      <c r="C1328" s="201"/>
      <c r="D1328" s="198" t="s">
        <v>350</v>
      </c>
      <c r="H1328" s="198" t="s">
        <v>350</v>
      </c>
      <c r="I1328" s="202">
        <f t="shared" si="20"/>
        <v>552122773.64999998</v>
      </c>
      <c r="J1328" s="202">
        <v>133.69999999999999</v>
      </c>
      <c r="L1328" s="204">
        <v>28</v>
      </c>
      <c r="M1328" s="202">
        <v>52724</v>
      </c>
      <c r="N1328" s="204">
        <v>28</v>
      </c>
      <c r="O1328" s="198" t="s">
        <v>51</v>
      </c>
      <c r="P1328" s="202">
        <v>52724</v>
      </c>
      <c r="Q1328" s="198" t="s">
        <v>73</v>
      </c>
      <c r="R1328" s="198" t="s">
        <v>53</v>
      </c>
      <c r="S1328" s="198" t="s">
        <v>54</v>
      </c>
      <c r="T1328" s="198" t="s">
        <v>1751</v>
      </c>
      <c r="U1328" s="198" t="s">
        <v>277</v>
      </c>
      <c r="V1328" s="198" t="s">
        <v>56</v>
      </c>
      <c r="W1328" s="198" t="s">
        <v>356</v>
      </c>
      <c r="X1328" s="198" t="s">
        <v>57</v>
      </c>
      <c r="Y1328" s="198" t="s">
        <v>58</v>
      </c>
      <c r="Z1328" s="201">
        <v>46247</v>
      </c>
      <c r="AA1328" s="198" t="s">
        <v>59</v>
      </c>
      <c r="AB1328" s="198" t="s">
        <v>60</v>
      </c>
      <c r="AC1328" s="198" t="s">
        <v>86</v>
      </c>
      <c r="AD1328" s="198" t="s">
        <v>62</v>
      </c>
      <c r="AE1328" s="198" t="s">
        <v>310</v>
      </c>
      <c r="AF1328" s="198" t="s">
        <v>309</v>
      </c>
      <c r="AG1328" s="198" t="s">
        <v>564</v>
      </c>
      <c r="AH1328" s="198" t="s">
        <v>95</v>
      </c>
      <c r="AI1328" s="198" t="s">
        <v>56</v>
      </c>
      <c r="AJ1328" s="198" t="s">
        <v>311</v>
      </c>
      <c r="AK1328" s="198" t="s">
        <v>51</v>
      </c>
      <c r="AL1328" s="198" t="s">
        <v>67</v>
      </c>
      <c r="AM1328" s="198" t="s">
        <v>68</v>
      </c>
      <c r="AN1328" s="202">
        <v>52724</v>
      </c>
      <c r="AO1328" s="202">
        <v>52724</v>
      </c>
      <c r="AP1328" s="202">
        <v>52724</v>
      </c>
      <c r="AQ1328" s="198" t="s">
        <v>358</v>
      </c>
      <c r="AR1328" s="198" t="s">
        <v>51</v>
      </c>
      <c r="AS1328" s="202">
        <v>52724</v>
      </c>
      <c r="AT1328" s="202">
        <v>52724</v>
      </c>
      <c r="AU1328" s="198" t="s">
        <v>359</v>
      </c>
      <c r="AV1328" s="198" t="s">
        <v>62</v>
      </c>
      <c r="AW1328" s="198" t="s">
        <v>54</v>
      </c>
    </row>
    <row r="1329" spans="3:49" outlineLevel="2" x14ac:dyDescent="0.25">
      <c r="C1329" s="201"/>
      <c r="D1329" s="198" t="s">
        <v>350</v>
      </c>
      <c r="H1329" s="198" t="s">
        <v>350</v>
      </c>
      <c r="I1329" s="202">
        <f t="shared" si="20"/>
        <v>552535730.10000002</v>
      </c>
      <c r="J1329" s="202">
        <v>133.80000000000001</v>
      </c>
      <c r="L1329" s="204">
        <v>4</v>
      </c>
      <c r="M1329" s="202">
        <v>24000</v>
      </c>
      <c r="N1329" s="204">
        <v>4</v>
      </c>
      <c r="O1329" s="198" t="s">
        <v>51</v>
      </c>
      <c r="P1329" s="202">
        <v>24000</v>
      </c>
      <c r="Q1329" s="198" t="s">
        <v>73</v>
      </c>
      <c r="R1329" s="198" t="s">
        <v>53</v>
      </c>
      <c r="S1329" s="198" t="s">
        <v>54</v>
      </c>
      <c r="T1329" s="198" t="s">
        <v>1751</v>
      </c>
      <c r="U1329" s="198" t="s">
        <v>277</v>
      </c>
      <c r="V1329" s="198" t="s">
        <v>56</v>
      </c>
      <c r="W1329" s="198" t="s">
        <v>356</v>
      </c>
      <c r="X1329" s="198" t="s">
        <v>57</v>
      </c>
      <c r="Y1329" s="198" t="s">
        <v>58</v>
      </c>
      <c r="Z1329" s="201">
        <v>46247</v>
      </c>
      <c r="AA1329" s="198" t="s">
        <v>59</v>
      </c>
      <c r="AB1329" s="198" t="s">
        <v>60</v>
      </c>
      <c r="AC1329" s="198" t="s">
        <v>86</v>
      </c>
      <c r="AD1329" s="198" t="s">
        <v>62</v>
      </c>
      <c r="AE1329" s="198" t="s">
        <v>313</v>
      </c>
      <c r="AF1329" s="198" t="s">
        <v>312</v>
      </c>
      <c r="AG1329" s="198" t="s">
        <v>564</v>
      </c>
      <c r="AH1329" s="198" t="s">
        <v>95</v>
      </c>
      <c r="AI1329" s="198" t="s">
        <v>56</v>
      </c>
      <c r="AJ1329" s="198" t="s">
        <v>121</v>
      </c>
      <c r="AK1329" s="198" t="s">
        <v>51</v>
      </c>
      <c r="AL1329" s="198" t="s">
        <v>67</v>
      </c>
      <c r="AM1329" s="198" t="s">
        <v>68</v>
      </c>
      <c r="AN1329" s="202">
        <v>24000</v>
      </c>
      <c r="AO1329" s="202">
        <v>24000</v>
      </c>
      <c r="AP1329" s="202">
        <v>24000</v>
      </c>
      <c r="AQ1329" s="198" t="s">
        <v>358</v>
      </c>
      <c r="AR1329" s="198" t="s">
        <v>51</v>
      </c>
      <c r="AS1329" s="202">
        <v>24000</v>
      </c>
      <c r="AT1329" s="202">
        <v>24000</v>
      </c>
      <c r="AU1329" s="198" t="s">
        <v>359</v>
      </c>
      <c r="AV1329" s="198" t="s">
        <v>62</v>
      </c>
      <c r="AW1329" s="198" t="s">
        <v>54</v>
      </c>
    </row>
    <row r="1330" spans="3:49" outlineLevel="2" x14ac:dyDescent="0.25">
      <c r="C1330" s="201"/>
      <c r="D1330" s="198" t="s">
        <v>350</v>
      </c>
      <c r="H1330" s="198" t="s">
        <v>350</v>
      </c>
      <c r="I1330" s="202">
        <f t="shared" si="20"/>
        <v>552948686.55000007</v>
      </c>
      <c r="J1330" s="202">
        <v>133.9</v>
      </c>
      <c r="L1330" s="204">
        <v>32</v>
      </c>
      <c r="M1330" s="202">
        <v>377600</v>
      </c>
      <c r="N1330" s="204">
        <v>32</v>
      </c>
      <c r="O1330" s="198" t="s">
        <v>51</v>
      </c>
      <c r="P1330" s="202">
        <v>377600</v>
      </c>
      <c r="Q1330" s="198" t="s">
        <v>73</v>
      </c>
      <c r="R1330" s="198" t="s">
        <v>53</v>
      </c>
      <c r="S1330" s="198" t="s">
        <v>54</v>
      </c>
      <c r="T1330" s="198" t="s">
        <v>1751</v>
      </c>
      <c r="U1330" s="198" t="s">
        <v>277</v>
      </c>
      <c r="V1330" s="198" t="s">
        <v>56</v>
      </c>
      <c r="W1330" s="198" t="s">
        <v>356</v>
      </c>
      <c r="X1330" s="198" t="s">
        <v>57</v>
      </c>
      <c r="Y1330" s="198" t="s">
        <v>58</v>
      </c>
      <c r="Z1330" s="201">
        <v>46247</v>
      </c>
      <c r="AA1330" s="198" t="s">
        <v>59</v>
      </c>
      <c r="AB1330" s="198" t="s">
        <v>60</v>
      </c>
      <c r="AC1330" s="198" t="s">
        <v>86</v>
      </c>
      <c r="AD1330" s="198" t="s">
        <v>62</v>
      </c>
      <c r="AE1330" s="198" t="s">
        <v>315</v>
      </c>
      <c r="AF1330" s="198" t="s">
        <v>314</v>
      </c>
      <c r="AG1330" s="198" t="s">
        <v>564</v>
      </c>
      <c r="AH1330" s="198" t="s">
        <v>95</v>
      </c>
      <c r="AI1330" s="198" t="s">
        <v>56</v>
      </c>
      <c r="AJ1330" s="198" t="s">
        <v>121</v>
      </c>
      <c r="AK1330" s="198" t="s">
        <v>51</v>
      </c>
      <c r="AL1330" s="198" t="s">
        <v>67</v>
      </c>
      <c r="AM1330" s="198" t="s">
        <v>68</v>
      </c>
      <c r="AN1330" s="202">
        <v>377600</v>
      </c>
      <c r="AO1330" s="202">
        <v>377600</v>
      </c>
      <c r="AP1330" s="202">
        <v>377600</v>
      </c>
      <c r="AQ1330" s="198" t="s">
        <v>358</v>
      </c>
      <c r="AR1330" s="198" t="s">
        <v>51</v>
      </c>
      <c r="AS1330" s="202">
        <v>377600</v>
      </c>
      <c r="AT1330" s="202">
        <v>377600</v>
      </c>
      <c r="AU1330" s="198" t="s">
        <v>359</v>
      </c>
      <c r="AV1330" s="198" t="s">
        <v>62</v>
      </c>
      <c r="AW1330" s="198" t="s">
        <v>54</v>
      </c>
    </row>
    <row r="1331" spans="3:49" outlineLevel="2" x14ac:dyDescent="0.25">
      <c r="C1331" s="201"/>
      <c r="D1331" s="198" t="s">
        <v>350</v>
      </c>
      <c r="H1331" s="198" t="s">
        <v>350</v>
      </c>
      <c r="I1331" s="202">
        <f t="shared" si="20"/>
        <v>553361643</v>
      </c>
      <c r="J1331" s="202">
        <v>134</v>
      </c>
      <c r="L1331" s="204">
        <v>4100</v>
      </c>
      <c r="M1331" s="202">
        <v>451000</v>
      </c>
      <c r="N1331" s="204">
        <v>4100</v>
      </c>
      <c r="O1331" s="198" t="s">
        <v>51</v>
      </c>
      <c r="P1331" s="202">
        <v>451000</v>
      </c>
      <c r="Q1331" s="198" t="s">
        <v>75</v>
      </c>
      <c r="R1331" s="198" t="s">
        <v>53</v>
      </c>
      <c r="S1331" s="198" t="s">
        <v>54</v>
      </c>
      <c r="T1331" s="198" t="s">
        <v>1751</v>
      </c>
      <c r="U1331" s="198" t="s">
        <v>277</v>
      </c>
      <c r="V1331" s="198" t="s">
        <v>56</v>
      </c>
      <c r="W1331" s="198" t="s">
        <v>356</v>
      </c>
      <c r="X1331" s="198" t="s">
        <v>57</v>
      </c>
      <c r="Y1331" s="198" t="s">
        <v>58</v>
      </c>
      <c r="Z1331" s="201">
        <v>46247</v>
      </c>
      <c r="AA1331" s="198" t="s">
        <v>59</v>
      </c>
      <c r="AB1331" s="198" t="s">
        <v>60</v>
      </c>
      <c r="AC1331" s="198" t="s">
        <v>86</v>
      </c>
      <c r="AD1331" s="198" t="s">
        <v>62</v>
      </c>
      <c r="AE1331" s="198" t="s">
        <v>317</v>
      </c>
      <c r="AF1331" s="198" t="s">
        <v>316</v>
      </c>
      <c r="AG1331" s="198" t="s">
        <v>564</v>
      </c>
      <c r="AH1331" s="198" t="s">
        <v>95</v>
      </c>
      <c r="AI1331" s="198" t="s">
        <v>56</v>
      </c>
      <c r="AJ1331" s="198" t="s">
        <v>318</v>
      </c>
      <c r="AK1331" s="198" t="s">
        <v>51</v>
      </c>
      <c r="AL1331" s="198" t="s">
        <v>67</v>
      </c>
      <c r="AM1331" s="198" t="s">
        <v>68</v>
      </c>
      <c r="AN1331" s="202">
        <v>451000</v>
      </c>
      <c r="AO1331" s="202">
        <v>451000</v>
      </c>
      <c r="AP1331" s="202">
        <v>451000</v>
      </c>
      <c r="AQ1331" s="198" t="s">
        <v>358</v>
      </c>
      <c r="AR1331" s="198" t="s">
        <v>51</v>
      </c>
      <c r="AS1331" s="202">
        <v>451000</v>
      </c>
      <c r="AT1331" s="202">
        <v>451000</v>
      </c>
      <c r="AU1331" s="198" t="s">
        <v>359</v>
      </c>
      <c r="AV1331" s="198" t="s">
        <v>62</v>
      </c>
      <c r="AW1331" s="198" t="s">
        <v>54</v>
      </c>
    </row>
    <row r="1332" spans="3:49" outlineLevel="2" x14ac:dyDescent="0.25">
      <c r="C1332" s="201"/>
      <c r="D1332" s="198" t="s">
        <v>350</v>
      </c>
      <c r="H1332" s="198" t="s">
        <v>350</v>
      </c>
      <c r="I1332" s="202">
        <f t="shared" si="20"/>
        <v>553774599.44999993</v>
      </c>
      <c r="J1332" s="202">
        <v>134.1</v>
      </c>
      <c r="L1332" s="204">
        <v>2650</v>
      </c>
      <c r="M1332" s="202">
        <v>318000</v>
      </c>
      <c r="N1332" s="204">
        <v>2650</v>
      </c>
      <c r="O1332" s="198" t="s">
        <v>51</v>
      </c>
      <c r="P1332" s="202">
        <v>318000</v>
      </c>
      <c r="Q1332" s="198" t="s">
        <v>75</v>
      </c>
      <c r="R1332" s="198" t="s">
        <v>53</v>
      </c>
      <c r="S1332" s="198" t="s">
        <v>54</v>
      </c>
      <c r="T1332" s="198" t="s">
        <v>1751</v>
      </c>
      <c r="U1332" s="198" t="s">
        <v>277</v>
      </c>
      <c r="V1332" s="198" t="s">
        <v>56</v>
      </c>
      <c r="W1332" s="198" t="s">
        <v>356</v>
      </c>
      <c r="X1332" s="198" t="s">
        <v>57</v>
      </c>
      <c r="Y1332" s="198" t="s">
        <v>58</v>
      </c>
      <c r="Z1332" s="201">
        <v>46247</v>
      </c>
      <c r="AA1332" s="198" t="s">
        <v>59</v>
      </c>
      <c r="AB1332" s="198" t="s">
        <v>60</v>
      </c>
      <c r="AC1332" s="198" t="s">
        <v>86</v>
      </c>
      <c r="AD1332" s="198" t="s">
        <v>62</v>
      </c>
      <c r="AE1332" s="198" t="s">
        <v>320</v>
      </c>
      <c r="AF1332" s="198" t="s">
        <v>319</v>
      </c>
      <c r="AG1332" s="198" t="s">
        <v>564</v>
      </c>
      <c r="AH1332" s="198" t="s">
        <v>95</v>
      </c>
      <c r="AI1332" s="198" t="s">
        <v>56</v>
      </c>
      <c r="AJ1332" s="198" t="s">
        <v>318</v>
      </c>
      <c r="AK1332" s="198" t="s">
        <v>51</v>
      </c>
      <c r="AL1332" s="198" t="s">
        <v>67</v>
      </c>
      <c r="AM1332" s="198" t="s">
        <v>68</v>
      </c>
      <c r="AN1332" s="202">
        <v>318000</v>
      </c>
      <c r="AO1332" s="202">
        <v>318000</v>
      </c>
      <c r="AP1332" s="202">
        <v>318000</v>
      </c>
      <c r="AQ1332" s="198" t="s">
        <v>358</v>
      </c>
      <c r="AR1332" s="198" t="s">
        <v>51</v>
      </c>
      <c r="AS1332" s="202">
        <v>318000</v>
      </c>
      <c r="AT1332" s="202">
        <v>318000</v>
      </c>
      <c r="AU1332" s="198" t="s">
        <v>359</v>
      </c>
      <c r="AV1332" s="198" t="s">
        <v>62</v>
      </c>
      <c r="AW1332" s="198" t="s">
        <v>54</v>
      </c>
    </row>
    <row r="1333" spans="3:49" outlineLevel="2" x14ac:dyDescent="0.25">
      <c r="C1333" s="201"/>
      <c r="D1333" s="198" t="s">
        <v>350</v>
      </c>
      <c r="H1333" s="198" t="s">
        <v>350</v>
      </c>
      <c r="I1333" s="202">
        <f t="shared" si="20"/>
        <v>554187555.89999998</v>
      </c>
      <c r="J1333" s="202">
        <v>134.19999999999999</v>
      </c>
      <c r="L1333" s="204">
        <v>80</v>
      </c>
      <c r="M1333" s="202">
        <v>19200</v>
      </c>
      <c r="N1333" s="204">
        <v>80</v>
      </c>
      <c r="O1333" s="198" t="s">
        <v>51</v>
      </c>
      <c r="P1333" s="202">
        <v>19200</v>
      </c>
      <c r="Q1333" s="198" t="s">
        <v>75</v>
      </c>
      <c r="R1333" s="198" t="s">
        <v>53</v>
      </c>
      <c r="S1333" s="198" t="s">
        <v>54</v>
      </c>
      <c r="T1333" s="198" t="s">
        <v>1751</v>
      </c>
      <c r="U1333" s="198" t="s">
        <v>277</v>
      </c>
      <c r="V1333" s="198" t="s">
        <v>56</v>
      </c>
      <c r="W1333" s="198" t="s">
        <v>356</v>
      </c>
      <c r="X1333" s="198" t="s">
        <v>57</v>
      </c>
      <c r="Y1333" s="198" t="s">
        <v>58</v>
      </c>
      <c r="Z1333" s="201">
        <v>46247</v>
      </c>
      <c r="AA1333" s="198" t="s">
        <v>59</v>
      </c>
      <c r="AB1333" s="198" t="s">
        <v>60</v>
      </c>
      <c r="AC1333" s="198" t="s">
        <v>86</v>
      </c>
      <c r="AD1333" s="198" t="s">
        <v>62</v>
      </c>
      <c r="AE1333" s="198" t="s">
        <v>322</v>
      </c>
      <c r="AF1333" s="198" t="s">
        <v>321</v>
      </c>
      <c r="AG1333" s="198" t="s">
        <v>564</v>
      </c>
      <c r="AH1333" s="198" t="s">
        <v>95</v>
      </c>
      <c r="AI1333" s="198" t="s">
        <v>56</v>
      </c>
      <c r="AJ1333" s="198" t="s">
        <v>318</v>
      </c>
      <c r="AK1333" s="198" t="s">
        <v>51</v>
      </c>
      <c r="AL1333" s="198" t="s">
        <v>67</v>
      </c>
      <c r="AM1333" s="198" t="s">
        <v>68</v>
      </c>
      <c r="AN1333" s="202">
        <v>19200</v>
      </c>
      <c r="AO1333" s="202">
        <v>19200</v>
      </c>
      <c r="AP1333" s="202">
        <v>19200</v>
      </c>
      <c r="AQ1333" s="198" t="s">
        <v>358</v>
      </c>
      <c r="AR1333" s="198" t="s">
        <v>51</v>
      </c>
      <c r="AS1333" s="202">
        <v>19200</v>
      </c>
      <c r="AT1333" s="202">
        <v>19200</v>
      </c>
      <c r="AU1333" s="198" t="s">
        <v>359</v>
      </c>
      <c r="AV1333" s="198" t="s">
        <v>62</v>
      </c>
      <c r="AW1333" s="198" t="s">
        <v>54</v>
      </c>
    </row>
    <row r="1334" spans="3:49" outlineLevel="2" x14ac:dyDescent="0.25">
      <c r="C1334" s="201"/>
      <c r="D1334" s="198" t="s">
        <v>350</v>
      </c>
      <c r="H1334" s="198" t="s">
        <v>350</v>
      </c>
      <c r="I1334" s="202">
        <f t="shared" si="20"/>
        <v>554600512.35000002</v>
      </c>
      <c r="J1334" s="202">
        <v>134.30000000000001</v>
      </c>
      <c r="L1334" s="204">
        <v>110</v>
      </c>
      <c r="M1334" s="202">
        <v>13200</v>
      </c>
      <c r="N1334" s="204">
        <v>110</v>
      </c>
      <c r="O1334" s="198" t="s">
        <v>51</v>
      </c>
      <c r="P1334" s="202">
        <v>13200</v>
      </c>
      <c r="Q1334" s="198" t="s">
        <v>75</v>
      </c>
      <c r="R1334" s="198" t="s">
        <v>53</v>
      </c>
      <c r="S1334" s="198" t="s">
        <v>54</v>
      </c>
      <c r="T1334" s="198" t="s">
        <v>1751</v>
      </c>
      <c r="U1334" s="198" t="s">
        <v>277</v>
      </c>
      <c r="V1334" s="198" t="s">
        <v>56</v>
      </c>
      <c r="W1334" s="198" t="s">
        <v>356</v>
      </c>
      <c r="X1334" s="198" t="s">
        <v>57</v>
      </c>
      <c r="Y1334" s="198" t="s">
        <v>58</v>
      </c>
      <c r="Z1334" s="201">
        <v>46247</v>
      </c>
      <c r="AA1334" s="198" t="s">
        <v>59</v>
      </c>
      <c r="AB1334" s="198" t="s">
        <v>60</v>
      </c>
      <c r="AC1334" s="198" t="s">
        <v>86</v>
      </c>
      <c r="AD1334" s="198" t="s">
        <v>62</v>
      </c>
      <c r="AE1334" s="198" t="s">
        <v>324</v>
      </c>
      <c r="AF1334" s="198" t="s">
        <v>323</v>
      </c>
      <c r="AG1334" s="198" t="s">
        <v>564</v>
      </c>
      <c r="AH1334" s="198" t="s">
        <v>95</v>
      </c>
      <c r="AI1334" s="198" t="s">
        <v>56</v>
      </c>
      <c r="AJ1334" s="198" t="s">
        <v>325</v>
      </c>
      <c r="AK1334" s="198" t="s">
        <v>51</v>
      </c>
      <c r="AL1334" s="198" t="s">
        <v>67</v>
      </c>
      <c r="AM1334" s="198" t="s">
        <v>68</v>
      </c>
      <c r="AN1334" s="202">
        <v>13200</v>
      </c>
      <c r="AO1334" s="202">
        <v>13200</v>
      </c>
      <c r="AP1334" s="202">
        <v>13200</v>
      </c>
      <c r="AQ1334" s="198" t="s">
        <v>358</v>
      </c>
      <c r="AR1334" s="198" t="s">
        <v>51</v>
      </c>
      <c r="AS1334" s="202">
        <v>13200</v>
      </c>
      <c r="AT1334" s="202">
        <v>13200</v>
      </c>
      <c r="AU1334" s="198" t="s">
        <v>359</v>
      </c>
      <c r="AV1334" s="198" t="s">
        <v>62</v>
      </c>
      <c r="AW1334" s="198" t="s">
        <v>54</v>
      </c>
    </row>
    <row r="1335" spans="3:49" outlineLevel="2" x14ac:dyDescent="0.25">
      <c r="C1335" s="201"/>
      <c r="D1335" s="198" t="s">
        <v>350</v>
      </c>
      <c r="H1335" s="198" t="s">
        <v>350</v>
      </c>
      <c r="I1335" s="202">
        <f t="shared" si="20"/>
        <v>555013468.80000007</v>
      </c>
      <c r="J1335" s="202">
        <v>134.4</v>
      </c>
      <c r="L1335" s="204">
        <v>50</v>
      </c>
      <c r="M1335" s="202">
        <v>5000</v>
      </c>
      <c r="N1335" s="204">
        <v>50</v>
      </c>
      <c r="O1335" s="198" t="s">
        <v>51</v>
      </c>
      <c r="P1335" s="202">
        <v>5000</v>
      </c>
      <c r="Q1335" s="198" t="s">
        <v>75</v>
      </c>
      <c r="R1335" s="198" t="s">
        <v>53</v>
      </c>
      <c r="S1335" s="198" t="s">
        <v>54</v>
      </c>
      <c r="T1335" s="198" t="s">
        <v>1751</v>
      </c>
      <c r="U1335" s="198" t="s">
        <v>277</v>
      </c>
      <c r="V1335" s="198" t="s">
        <v>56</v>
      </c>
      <c r="W1335" s="198" t="s">
        <v>356</v>
      </c>
      <c r="X1335" s="198" t="s">
        <v>57</v>
      </c>
      <c r="Y1335" s="198" t="s">
        <v>58</v>
      </c>
      <c r="Z1335" s="201">
        <v>46247</v>
      </c>
      <c r="AA1335" s="198" t="s">
        <v>59</v>
      </c>
      <c r="AB1335" s="198" t="s">
        <v>60</v>
      </c>
      <c r="AC1335" s="198" t="s">
        <v>86</v>
      </c>
      <c r="AD1335" s="198" t="s">
        <v>62</v>
      </c>
      <c r="AE1335" s="198" t="s">
        <v>327</v>
      </c>
      <c r="AF1335" s="198" t="s">
        <v>326</v>
      </c>
      <c r="AG1335" s="198" t="s">
        <v>564</v>
      </c>
      <c r="AH1335" s="198" t="s">
        <v>95</v>
      </c>
      <c r="AI1335" s="198" t="s">
        <v>56</v>
      </c>
      <c r="AJ1335" s="198" t="s">
        <v>328</v>
      </c>
      <c r="AK1335" s="198" t="s">
        <v>51</v>
      </c>
      <c r="AL1335" s="198" t="s">
        <v>67</v>
      </c>
      <c r="AM1335" s="198" t="s">
        <v>68</v>
      </c>
      <c r="AN1335" s="202">
        <v>5000</v>
      </c>
      <c r="AO1335" s="202">
        <v>5000</v>
      </c>
      <c r="AP1335" s="202">
        <v>5000</v>
      </c>
      <c r="AQ1335" s="198" t="s">
        <v>358</v>
      </c>
      <c r="AR1335" s="198" t="s">
        <v>51</v>
      </c>
      <c r="AS1335" s="202">
        <v>5000</v>
      </c>
      <c r="AT1335" s="202">
        <v>5000</v>
      </c>
      <c r="AU1335" s="198" t="s">
        <v>359</v>
      </c>
      <c r="AV1335" s="198" t="s">
        <v>62</v>
      </c>
      <c r="AW1335" s="198" t="s">
        <v>54</v>
      </c>
    </row>
    <row r="1336" spans="3:49" outlineLevel="2" x14ac:dyDescent="0.25">
      <c r="C1336" s="201"/>
      <c r="D1336" s="198" t="s">
        <v>350</v>
      </c>
      <c r="H1336" s="198" t="s">
        <v>350</v>
      </c>
      <c r="I1336" s="202">
        <f t="shared" si="20"/>
        <v>555426425.25</v>
      </c>
      <c r="J1336" s="202">
        <v>134.5</v>
      </c>
      <c r="L1336" s="204">
        <v>150</v>
      </c>
      <c r="M1336" s="202">
        <v>45000</v>
      </c>
      <c r="N1336" s="204">
        <v>150</v>
      </c>
      <c r="O1336" s="198" t="s">
        <v>51</v>
      </c>
      <c r="P1336" s="202">
        <v>45000</v>
      </c>
      <c r="Q1336" s="198" t="s">
        <v>75</v>
      </c>
      <c r="R1336" s="198" t="s">
        <v>53</v>
      </c>
      <c r="S1336" s="198" t="s">
        <v>54</v>
      </c>
      <c r="T1336" s="198" t="s">
        <v>1751</v>
      </c>
      <c r="U1336" s="198" t="s">
        <v>277</v>
      </c>
      <c r="V1336" s="198" t="s">
        <v>56</v>
      </c>
      <c r="W1336" s="198" t="s">
        <v>356</v>
      </c>
      <c r="X1336" s="198" t="s">
        <v>57</v>
      </c>
      <c r="Y1336" s="198" t="s">
        <v>58</v>
      </c>
      <c r="Z1336" s="201">
        <v>46247</v>
      </c>
      <c r="AA1336" s="198" t="s">
        <v>59</v>
      </c>
      <c r="AB1336" s="198" t="s">
        <v>60</v>
      </c>
      <c r="AC1336" s="198" t="s">
        <v>86</v>
      </c>
      <c r="AD1336" s="198" t="s">
        <v>62</v>
      </c>
      <c r="AE1336" s="198" t="s">
        <v>330</v>
      </c>
      <c r="AF1336" s="198" t="s">
        <v>329</v>
      </c>
      <c r="AG1336" s="198" t="s">
        <v>564</v>
      </c>
      <c r="AH1336" s="198" t="s">
        <v>95</v>
      </c>
      <c r="AI1336" s="198" t="s">
        <v>56</v>
      </c>
      <c r="AJ1336" s="198" t="s">
        <v>76</v>
      </c>
      <c r="AK1336" s="198" t="s">
        <v>51</v>
      </c>
      <c r="AL1336" s="198" t="s">
        <v>67</v>
      </c>
      <c r="AM1336" s="198" t="s">
        <v>68</v>
      </c>
      <c r="AN1336" s="202">
        <v>45000</v>
      </c>
      <c r="AO1336" s="202">
        <v>45000</v>
      </c>
      <c r="AP1336" s="202">
        <v>45000</v>
      </c>
      <c r="AQ1336" s="198" t="s">
        <v>358</v>
      </c>
      <c r="AR1336" s="198" t="s">
        <v>51</v>
      </c>
      <c r="AS1336" s="202">
        <v>45000</v>
      </c>
      <c r="AT1336" s="202">
        <v>45000</v>
      </c>
      <c r="AU1336" s="198" t="s">
        <v>359</v>
      </c>
      <c r="AV1336" s="198" t="s">
        <v>62</v>
      </c>
      <c r="AW1336" s="198" t="s">
        <v>54</v>
      </c>
    </row>
    <row r="1337" spans="3:49" outlineLevel="2" x14ac:dyDescent="0.25">
      <c r="C1337" s="201"/>
      <c r="D1337" s="198" t="s">
        <v>350</v>
      </c>
      <c r="H1337" s="198" t="s">
        <v>350</v>
      </c>
      <c r="I1337" s="202">
        <f t="shared" si="20"/>
        <v>555839381.69999993</v>
      </c>
      <c r="J1337" s="202">
        <v>134.6</v>
      </c>
      <c r="L1337" s="204">
        <v>200</v>
      </c>
      <c r="M1337" s="202">
        <v>598000</v>
      </c>
      <c r="N1337" s="204">
        <v>200</v>
      </c>
      <c r="O1337" s="198" t="s">
        <v>51</v>
      </c>
      <c r="P1337" s="202">
        <v>598000</v>
      </c>
      <c r="Q1337" s="198" t="s">
        <v>75</v>
      </c>
      <c r="R1337" s="198" t="s">
        <v>53</v>
      </c>
      <c r="S1337" s="198" t="s">
        <v>54</v>
      </c>
      <c r="T1337" s="198" t="s">
        <v>1751</v>
      </c>
      <c r="U1337" s="198" t="s">
        <v>277</v>
      </c>
      <c r="V1337" s="198" t="s">
        <v>56</v>
      </c>
      <c r="W1337" s="198" t="s">
        <v>356</v>
      </c>
      <c r="X1337" s="198" t="s">
        <v>57</v>
      </c>
      <c r="Y1337" s="198" t="s">
        <v>58</v>
      </c>
      <c r="Z1337" s="201">
        <v>46247</v>
      </c>
      <c r="AA1337" s="198" t="s">
        <v>59</v>
      </c>
      <c r="AB1337" s="198" t="s">
        <v>60</v>
      </c>
      <c r="AC1337" s="198" t="s">
        <v>86</v>
      </c>
      <c r="AD1337" s="198" t="s">
        <v>62</v>
      </c>
      <c r="AE1337" s="198" t="s">
        <v>332</v>
      </c>
      <c r="AF1337" s="198" t="s">
        <v>331</v>
      </c>
      <c r="AG1337" s="198" t="s">
        <v>564</v>
      </c>
      <c r="AH1337" s="198" t="s">
        <v>95</v>
      </c>
      <c r="AI1337" s="198" t="s">
        <v>56</v>
      </c>
      <c r="AJ1337" s="198" t="s">
        <v>333</v>
      </c>
      <c r="AK1337" s="198" t="s">
        <v>51</v>
      </c>
      <c r="AL1337" s="198" t="s">
        <v>67</v>
      </c>
      <c r="AM1337" s="198" t="s">
        <v>68</v>
      </c>
      <c r="AN1337" s="202">
        <v>598000</v>
      </c>
      <c r="AO1337" s="202">
        <v>598000</v>
      </c>
      <c r="AP1337" s="202">
        <v>598000</v>
      </c>
      <c r="AQ1337" s="198" t="s">
        <v>358</v>
      </c>
      <c r="AR1337" s="198" t="s">
        <v>51</v>
      </c>
      <c r="AS1337" s="202">
        <v>598000</v>
      </c>
      <c r="AT1337" s="202">
        <v>598000</v>
      </c>
      <c r="AU1337" s="198" t="s">
        <v>359</v>
      </c>
      <c r="AV1337" s="198" t="s">
        <v>62</v>
      </c>
      <c r="AW1337" s="198" t="s">
        <v>54</v>
      </c>
    </row>
    <row r="1338" spans="3:49" outlineLevel="2" x14ac:dyDescent="0.25">
      <c r="C1338" s="201"/>
      <c r="D1338" s="198" t="s">
        <v>350</v>
      </c>
      <c r="H1338" s="198" t="s">
        <v>350</v>
      </c>
      <c r="I1338" s="202">
        <f t="shared" si="20"/>
        <v>556252338.14999998</v>
      </c>
      <c r="J1338" s="202">
        <v>134.69999999999999</v>
      </c>
      <c r="L1338" s="204">
        <v>1</v>
      </c>
      <c r="M1338" s="202">
        <v>50000</v>
      </c>
      <c r="N1338" s="204">
        <v>1</v>
      </c>
      <c r="O1338" s="198" t="s">
        <v>51</v>
      </c>
      <c r="P1338" s="202">
        <v>50000</v>
      </c>
      <c r="Q1338" s="198" t="s">
        <v>335</v>
      </c>
      <c r="R1338" s="198" t="s">
        <v>53</v>
      </c>
      <c r="S1338" s="198" t="s">
        <v>54</v>
      </c>
      <c r="T1338" s="198" t="s">
        <v>1751</v>
      </c>
      <c r="U1338" s="198" t="s">
        <v>277</v>
      </c>
      <c r="V1338" s="198" t="s">
        <v>56</v>
      </c>
      <c r="W1338" s="198" t="s">
        <v>356</v>
      </c>
      <c r="X1338" s="198" t="s">
        <v>57</v>
      </c>
      <c r="Y1338" s="198" t="s">
        <v>58</v>
      </c>
      <c r="Z1338" s="201">
        <v>46247</v>
      </c>
      <c r="AA1338" s="198" t="s">
        <v>59</v>
      </c>
      <c r="AB1338" s="198" t="s">
        <v>60</v>
      </c>
      <c r="AC1338" s="198" t="s">
        <v>86</v>
      </c>
      <c r="AD1338" s="198" t="s">
        <v>62</v>
      </c>
      <c r="AE1338" s="198" t="s">
        <v>336</v>
      </c>
      <c r="AF1338" s="198" t="s">
        <v>334</v>
      </c>
      <c r="AG1338" s="198" t="s">
        <v>564</v>
      </c>
      <c r="AH1338" s="198" t="s">
        <v>95</v>
      </c>
      <c r="AI1338" s="198" t="s">
        <v>56</v>
      </c>
      <c r="AJ1338" s="198" t="s">
        <v>325</v>
      </c>
      <c r="AK1338" s="198" t="s">
        <v>51</v>
      </c>
      <c r="AL1338" s="198" t="s">
        <v>67</v>
      </c>
      <c r="AM1338" s="198" t="s">
        <v>68</v>
      </c>
      <c r="AN1338" s="202">
        <v>50000</v>
      </c>
      <c r="AO1338" s="202">
        <v>50000</v>
      </c>
      <c r="AP1338" s="202">
        <v>50000</v>
      </c>
      <c r="AQ1338" s="198" t="s">
        <v>358</v>
      </c>
      <c r="AR1338" s="198" t="s">
        <v>51</v>
      </c>
      <c r="AS1338" s="202">
        <v>50000</v>
      </c>
      <c r="AT1338" s="202">
        <v>50000</v>
      </c>
      <c r="AU1338" s="198" t="s">
        <v>359</v>
      </c>
      <c r="AV1338" s="198" t="s">
        <v>62</v>
      </c>
      <c r="AW1338" s="198" t="s">
        <v>54</v>
      </c>
    </row>
    <row r="1339" spans="3:49" outlineLevel="2" x14ac:dyDescent="0.25">
      <c r="C1339" s="201"/>
      <c r="D1339" s="198" t="s">
        <v>350</v>
      </c>
      <c r="H1339" s="198" t="s">
        <v>350</v>
      </c>
      <c r="I1339" s="202">
        <f t="shared" si="20"/>
        <v>556665294.60000002</v>
      </c>
      <c r="J1339" s="202">
        <v>134.80000000000001</v>
      </c>
      <c r="L1339" s="204">
        <v>1</v>
      </c>
      <c r="M1339" s="202">
        <v>125154</v>
      </c>
      <c r="N1339" s="204">
        <v>1</v>
      </c>
      <c r="O1339" s="198" t="s">
        <v>51</v>
      </c>
      <c r="P1339" s="202">
        <v>125154</v>
      </c>
      <c r="Q1339" s="198" t="s">
        <v>335</v>
      </c>
      <c r="R1339" s="198" t="s">
        <v>53</v>
      </c>
      <c r="S1339" s="198" t="s">
        <v>54</v>
      </c>
      <c r="T1339" s="198" t="s">
        <v>1751</v>
      </c>
      <c r="U1339" s="198" t="s">
        <v>277</v>
      </c>
      <c r="V1339" s="198" t="s">
        <v>56</v>
      </c>
      <c r="W1339" s="198" t="s">
        <v>356</v>
      </c>
      <c r="X1339" s="198" t="s">
        <v>57</v>
      </c>
      <c r="Y1339" s="198" t="s">
        <v>58</v>
      </c>
      <c r="Z1339" s="201">
        <v>46247</v>
      </c>
      <c r="AA1339" s="198" t="s">
        <v>59</v>
      </c>
      <c r="AB1339" s="198" t="s">
        <v>60</v>
      </c>
      <c r="AC1339" s="198" t="s">
        <v>86</v>
      </c>
      <c r="AD1339" s="198" t="s">
        <v>62</v>
      </c>
      <c r="AE1339" s="198" t="s">
        <v>338</v>
      </c>
      <c r="AF1339" s="198" t="s">
        <v>337</v>
      </c>
      <c r="AG1339" s="198" t="s">
        <v>564</v>
      </c>
      <c r="AH1339" s="198" t="s">
        <v>95</v>
      </c>
      <c r="AI1339" s="198" t="s">
        <v>56</v>
      </c>
      <c r="AJ1339" s="198" t="s">
        <v>74</v>
      </c>
      <c r="AK1339" s="198" t="s">
        <v>51</v>
      </c>
      <c r="AL1339" s="198" t="s">
        <v>67</v>
      </c>
      <c r="AM1339" s="198" t="s">
        <v>68</v>
      </c>
      <c r="AN1339" s="202">
        <v>125154</v>
      </c>
      <c r="AO1339" s="202">
        <v>125154</v>
      </c>
      <c r="AP1339" s="202">
        <v>125154</v>
      </c>
      <c r="AQ1339" s="198" t="s">
        <v>358</v>
      </c>
      <c r="AR1339" s="198" t="s">
        <v>51</v>
      </c>
      <c r="AS1339" s="202">
        <v>125154</v>
      </c>
      <c r="AT1339" s="202">
        <v>125154</v>
      </c>
      <c r="AU1339" s="198" t="s">
        <v>359</v>
      </c>
      <c r="AV1339" s="198" t="s">
        <v>62</v>
      </c>
      <c r="AW1339" s="198" t="s">
        <v>54</v>
      </c>
    </row>
    <row r="1340" spans="3:49" outlineLevel="2" x14ac:dyDescent="0.25">
      <c r="C1340" s="201"/>
      <c r="D1340" s="198" t="s">
        <v>350</v>
      </c>
      <c r="H1340" s="198" t="s">
        <v>350</v>
      </c>
      <c r="I1340" s="202">
        <f t="shared" si="20"/>
        <v>557078251.05000007</v>
      </c>
      <c r="J1340" s="202">
        <v>134.9</v>
      </c>
      <c r="L1340" s="204">
        <v>1</v>
      </c>
      <c r="M1340" s="202">
        <v>35000</v>
      </c>
      <c r="N1340" s="204">
        <v>1</v>
      </c>
      <c r="O1340" s="198" t="s">
        <v>51</v>
      </c>
      <c r="P1340" s="202">
        <v>35000</v>
      </c>
      <c r="Q1340" s="198" t="s">
        <v>335</v>
      </c>
      <c r="R1340" s="198" t="s">
        <v>53</v>
      </c>
      <c r="S1340" s="198" t="s">
        <v>54</v>
      </c>
      <c r="T1340" s="198" t="s">
        <v>1751</v>
      </c>
      <c r="U1340" s="198" t="s">
        <v>277</v>
      </c>
      <c r="V1340" s="198" t="s">
        <v>56</v>
      </c>
      <c r="W1340" s="198" t="s">
        <v>356</v>
      </c>
      <c r="X1340" s="198" t="s">
        <v>57</v>
      </c>
      <c r="Y1340" s="198" t="s">
        <v>58</v>
      </c>
      <c r="Z1340" s="201">
        <v>46247</v>
      </c>
      <c r="AA1340" s="198" t="s">
        <v>59</v>
      </c>
      <c r="AB1340" s="198" t="s">
        <v>60</v>
      </c>
      <c r="AC1340" s="198" t="s">
        <v>86</v>
      </c>
      <c r="AD1340" s="198" t="s">
        <v>62</v>
      </c>
      <c r="AE1340" s="198" t="s">
        <v>340</v>
      </c>
      <c r="AF1340" s="198" t="s">
        <v>339</v>
      </c>
      <c r="AG1340" s="198" t="s">
        <v>564</v>
      </c>
      <c r="AH1340" s="198" t="s">
        <v>95</v>
      </c>
      <c r="AI1340" s="198" t="s">
        <v>56</v>
      </c>
      <c r="AJ1340" s="198" t="s">
        <v>318</v>
      </c>
      <c r="AK1340" s="198" t="s">
        <v>51</v>
      </c>
      <c r="AL1340" s="198" t="s">
        <v>67</v>
      </c>
      <c r="AM1340" s="198" t="s">
        <v>68</v>
      </c>
      <c r="AN1340" s="202">
        <v>35000</v>
      </c>
      <c r="AO1340" s="202">
        <v>35000</v>
      </c>
      <c r="AP1340" s="202">
        <v>35000</v>
      </c>
      <c r="AQ1340" s="198" t="s">
        <v>358</v>
      </c>
      <c r="AR1340" s="198" t="s">
        <v>51</v>
      </c>
      <c r="AS1340" s="202">
        <v>35000</v>
      </c>
      <c r="AT1340" s="202">
        <v>35000</v>
      </c>
      <c r="AU1340" s="198" t="s">
        <v>359</v>
      </c>
      <c r="AV1340" s="198" t="s">
        <v>62</v>
      </c>
      <c r="AW1340" s="198" t="s">
        <v>54</v>
      </c>
    </row>
    <row r="1341" spans="3:49" outlineLevel="2" x14ac:dyDescent="0.25">
      <c r="C1341" s="201"/>
      <c r="D1341" s="198" t="s">
        <v>350</v>
      </c>
      <c r="H1341" s="198" t="s">
        <v>350</v>
      </c>
      <c r="I1341" s="202">
        <f t="shared" si="20"/>
        <v>557491207.5</v>
      </c>
      <c r="J1341" s="202">
        <v>135</v>
      </c>
      <c r="L1341" s="204">
        <v>1</v>
      </c>
      <c r="M1341" s="202">
        <v>35000</v>
      </c>
      <c r="N1341" s="204">
        <v>1</v>
      </c>
      <c r="O1341" s="198" t="s">
        <v>51</v>
      </c>
      <c r="P1341" s="202">
        <v>35000</v>
      </c>
      <c r="Q1341" s="198" t="s">
        <v>342</v>
      </c>
      <c r="R1341" s="198" t="s">
        <v>53</v>
      </c>
      <c r="S1341" s="198" t="s">
        <v>54</v>
      </c>
      <c r="T1341" s="198" t="s">
        <v>1751</v>
      </c>
      <c r="U1341" s="198" t="s">
        <v>277</v>
      </c>
      <c r="V1341" s="198" t="s">
        <v>56</v>
      </c>
      <c r="W1341" s="198" t="s">
        <v>356</v>
      </c>
      <c r="X1341" s="198" t="s">
        <v>57</v>
      </c>
      <c r="Y1341" s="198" t="s">
        <v>58</v>
      </c>
      <c r="Z1341" s="201">
        <v>46247</v>
      </c>
      <c r="AA1341" s="198" t="s">
        <v>59</v>
      </c>
      <c r="AB1341" s="198" t="s">
        <v>60</v>
      </c>
      <c r="AC1341" s="198" t="s">
        <v>86</v>
      </c>
      <c r="AD1341" s="198" t="s">
        <v>62</v>
      </c>
      <c r="AE1341" s="198" t="s">
        <v>343</v>
      </c>
      <c r="AF1341" s="198" t="s">
        <v>341</v>
      </c>
      <c r="AG1341" s="198" t="s">
        <v>564</v>
      </c>
      <c r="AH1341" s="198" t="s">
        <v>95</v>
      </c>
      <c r="AI1341" s="198" t="s">
        <v>56</v>
      </c>
      <c r="AJ1341" s="198" t="s">
        <v>344</v>
      </c>
      <c r="AK1341" s="198" t="s">
        <v>51</v>
      </c>
      <c r="AL1341" s="198" t="s">
        <v>67</v>
      </c>
      <c r="AM1341" s="198" t="s">
        <v>68</v>
      </c>
      <c r="AN1341" s="202">
        <v>35000</v>
      </c>
      <c r="AO1341" s="202">
        <v>35000</v>
      </c>
      <c r="AP1341" s="202">
        <v>35000</v>
      </c>
      <c r="AQ1341" s="198" t="s">
        <v>358</v>
      </c>
      <c r="AR1341" s="198" t="s">
        <v>51</v>
      </c>
      <c r="AS1341" s="202">
        <v>35000</v>
      </c>
      <c r="AT1341" s="202">
        <v>35000</v>
      </c>
      <c r="AU1341" s="198" t="s">
        <v>359</v>
      </c>
      <c r="AV1341" s="198" t="s">
        <v>62</v>
      </c>
      <c r="AW1341" s="198" t="s">
        <v>54</v>
      </c>
    </row>
    <row r="1342" spans="3:49" outlineLevel="2" x14ac:dyDescent="0.25">
      <c r="C1342" s="201"/>
      <c r="D1342" s="198" t="s">
        <v>350</v>
      </c>
      <c r="H1342" s="198" t="s">
        <v>350</v>
      </c>
      <c r="I1342" s="202">
        <f t="shared" si="20"/>
        <v>557904163.94999993</v>
      </c>
      <c r="J1342" s="202">
        <v>135.1</v>
      </c>
      <c r="L1342" s="204">
        <v>1</v>
      </c>
      <c r="M1342" s="202">
        <v>1070000</v>
      </c>
      <c r="N1342" s="204">
        <v>1</v>
      </c>
      <c r="O1342" s="198" t="s">
        <v>51</v>
      </c>
      <c r="P1342" s="202">
        <v>1070000</v>
      </c>
      <c r="Q1342" s="198" t="s">
        <v>342</v>
      </c>
      <c r="R1342" s="198" t="s">
        <v>53</v>
      </c>
      <c r="S1342" s="198" t="s">
        <v>54</v>
      </c>
      <c r="T1342" s="198" t="s">
        <v>1751</v>
      </c>
      <c r="U1342" s="198" t="s">
        <v>277</v>
      </c>
      <c r="V1342" s="198" t="s">
        <v>56</v>
      </c>
      <c r="W1342" s="198" t="s">
        <v>356</v>
      </c>
      <c r="X1342" s="198" t="s">
        <v>57</v>
      </c>
      <c r="Y1342" s="198" t="s">
        <v>58</v>
      </c>
      <c r="Z1342" s="201">
        <v>46247</v>
      </c>
      <c r="AA1342" s="198" t="s">
        <v>59</v>
      </c>
      <c r="AB1342" s="198" t="s">
        <v>60</v>
      </c>
      <c r="AC1342" s="198" t="s">
        <v>86</v>
      </c>
      <c r="AD1342" s="198" t="s">
        <v>62</v>
      </c>
      <c r="AE1342" s="198" t="s">
        <v>346</v>
      </c>
      <c r="AF1342" s="198" t="s">
        <v>345</v>
      </c>
      <c r="AG1342" s="198" t="s">
        <v>564</v>
      </c>
      <c r="AH1342" s="198" t="s">
        <v>95</v>
      </c>
      <c r="AI1342" s="198" t="s">
        <v>56</v>
      </c>
      <c r="AJ1342" s="198" t="s">
        <v>121</v>
      </c>
      <c r="AK1342" s="198" t="s">
        <v>51</v>
      </c>
      <c r="AL1342" s="198" t="s">
        <v>67</v>
      </c>
      <c r="AM1342" s="198" t="s">
        <v>68</v>
      </c>
      <c r="AN1342" s="202">
        <v>1070000</v>
      </c>
      <c r="AO1342" s="202">
        <v>1070000</v>
      </c>
      <c r="AP1342" s="202">
        <v>1070000</v>
      </c>
      <c r="AQ1342" s="198" t="s">
        <v>358</v>
      </c>
      <c r="AR1342" s="198" t="s">
        <v>51</v>
      </c>
      <c r="AS1342" s="202">
        <v>1070000</v>
      </c>
      <c r="AT1342" s="202">
        <v>1070000</v>
      </c>
      <c r="AU1342" s="198" t="s">
        <v>359</v>
      </c>
      <c r="AV1342" s="198" t="s">
        <v>62</v>
      </c>
      <c r="AW1342" s="198" t="s">
        <v>54</v>
      </c>
    </row>
    <row r="1343" spans="3:49" outlineLevel="2" x14ac:dyDescent="0.25">
      <c r="C1343" s="201"/>
      <c r="D1343" s="198" t="s">
        <v>350</v>
      </c>
      <c r="H1343" s="198" t="s">
        <v>350</v>
      </c>
      <c r="I1343" s="202">
        <f t="shared" si="20"/>
        <v>558317120.39999998</v>
      </c>
      <c r="J1343" s="202">
        <v>135.19999999999999</v>
      </c>
      <c r="L1343" s="204">
        <v>1</v>
      </c>
      <c r="M1343" s="202">
        <v>950668</v>
      </c>
      <c r="N1343" s="204">
        <v>1</v>
      </c>
      <c r="O1343" s="198" t="s">
        <v>51</v>
      </c>
      <c r="P1343" s="202">
        <v>950668</v>
      </c>
      <c r="Q1343" s="198" t="s">
        <v>159</v>
      </c>
      <c r="R1343" s="198" t="s">
        <v>160</v>
      </c>
      <c r="S1343" s="198" t="s">
        <v>54</v>
      </c>
      <c r="T1343" s="198" t="s">
        <v>1751</v>
      </c>
      <c r="U1343" s="198" t="s">
        <v>277</v>
      </c>
      <c r="V1343" s="198" t="s">
        <v>56</v>
      </c>
      <c r="W1343" s="198" t="s">
        <v>356</v>
      </c>
      <c r="X1343" s="198" t="s">
        <v>161</v>
      </c>
      <c r="Y1343" s="198" t="s">
        <v>162</v>
      </c>
      <c r="Z1343" s="201">
        <v>46247</v>
      </c>
      <c r="AA1343" s="198" t="s">
        <v>59</v>
      </c>
      <c r="AB1343" s="198" t="s">
        <v>60</v>
      </c>
      <c r="AC1343" s="198" t="s">
        <v>86</v>
      </c>
      <c r="AD1343" s="198" t="s">
        <v>62</v>
      </c>
      <c r="AE1343" s="198" t="s">
        <v>54</v>
      </c>
      <c r="AF1343" s="198" t="s">
        <v>54</v>
      </c>
      <c r="AG1343" s="198" t="s">
        <v>564</v>
      </c>
      <c r="AH1343" s="198" t="s">
        <v>95</v>
      </c>
      <c r="AI1343" s="198" t="s">
        <v>56</v>
      </c>
      <c r="AJ1343" s="198" t="s">
        <v>163</v>
      </c>
      <c r="AK1343" s="198" t="s">
        <v>51</v>
      </c>
      <c r="AL1343" s="198" t="s">
        <v>67</v>
      </c>
      <c r="AM1343" s="198" t="s">
        <v>68</v>
      </c>
      <c r="AN1343" s="202">
        <v>950668</v>
      </c>
      <c r="AO1343" s="202">
        <v>950668</v>
      </c>
      <c r="AP1343" s="202">
        <v>950668</v>
      </c>
      <c r="AQ1343" s="198" t="s">
        <v>358</v>
      </c>
      <c r="AR1343" s="198" t="s">
        <v>51</v>
      </c>
      <c r="AS1343" s="202">
        <v>950668</v>
      </c>
      <c r="AT1343" s="202">
        <v>950668</v>
      </c>
      <c r="AU1343" s="198" t="s">
        <v>359</v>
      </c>
      <c r="AV1343" s="198" t="s">
        <v>62</v>
      </c>
      <c r="AW1343" s="198" t="s">
        <v>54</v>
      </c>
    </row>
    <row r="1344" spans="3:49" outlineLevel="2" x14ac:dyDescent="0.25">
      <c r="C1344" s="201"/>
      <c r="D1344" s="198" t="s">
        <v>351</v>
      </c>
      <c r="H1344" s="198" t="s">
        <v>351</v>
      </c>
      <c r="I1344" s="202">
        <f t="shared" si="20"/>
        <v>558730076.85000002</v>
      </c>
      <c r="J1344" s="202">
        <v>135.30000000000001</v>
      </c>
      <c r="L1344" s="204">
        <v>10</v>
      </c>
      <c r="M1344" s="202">
        <v>2989030</v>
      </c>
      <c r="N1344" s="204">
        <v>10</v>
      </c>
      <c r="O1344" s="198" t="s">
        <v>51</v>
      </c>
      <c r="P1344" s="202">
        <v>2989030</v>
      </c>
      <c r="Q1344" s="198" t="s">
        <v>73</v>
      </c>
      <c r="R1344" s="198" t="s">
        <v>53</v>
      </c>
      <c r="S1344" s="198" t="s">
        <v>54</v>
      </c>
      <c r="T1344" s="198" t="s">
        <v>1751</v>
      </c>
      <c r="U1344" s="198" t="s">
        <v>277</v>
      </c>
      <c r="V1344" s="198" t="s">
        <v>56</v>
      </c>
      <c r="W1344" s="198" t="s">
        <v>356</v>
      </c>
      <c r="X1344" s="198" t="s">
        <v>57</v>
      </c>
      <c r="Y1344" s="198" t="s">
        <v>58</v>
      </c>
      <c r="Z1344" s="201">
        <v>46247</v>
      </c>
      <c r="AA1344" s="198" t="s">
        <v>59</v>
      </c>
      <c r="AB1344" s="198" t="s">
        <v>60</v>
      </c>
      <c r="AC1344" s="198" t="s">
        <v>86</v>
      </c>
      <c r="AD1344" s="198" t="s">
        <v>62</v>
      </c>
      <c r="AE1344" s="198" t="s">
        <v>293</v>
      </c>
      <c r="AF1344" s="198" t="s">
        <v>292</v>
      </c>
      <c r="AG1344" s="198" t="s">
        <v>564</v>
      </c>
      <c r="AH1344" s="198" t="s">
        <v>112</v>
      </c>
      <c r="AI1344" s="198" t="s">
        <v>56</v>
      </c>
      <c r="AJ1344" s="198" t="s">
        <v>294</v>
      </c>
      <c r="AK1344" s="198" t="s">
        <v>51</v>
      </c>
      <c r="AL1344" s="198" t="s">
        <v>67</v>
      </c>
      <c r="AM1344" s="198" t="s">
        <v>68</v>
      </c>
      <c r="AN1344" s="202">
        <v>2989030</v>
      </c>
      <c r="AO1344" s="202">
        <v>2989030</v>
      </c>
      <c r="AP1344" s="202">
        <v>2989030</v>
      </c>
      <c r="AQ1344" s="198" t="s">
        <v>358</v>
      </c>
      <c r="AR1344" s="198" t="s">
        <v>51</v>
      </c>
      <c r="AS1344" s="202">
        <v>2989030</v>
      </c>
      <c r="AT1344" s="202">
        <v>2989030</v>
      </c>
      <c r="AU1344" s="198" t="s">
        <v>359</v>
      </c>
      <c r="AV1344" s="198" t="s">
        <v>62</v>
      </c>
      <c r="AW1344" s="198" t="s">
        <v>54</v>
      </c>
    </row>
    <row r="1345" spans="3:49" outlineLevel="2" x14ac:dyDescent="0.25">
      <c r="C1345" s="201"/>
      <c r="D1345" s="198" t="s">
        <v>351</v>
      </c>
      <c r="H1345" s="198" t="s">
        <v>351</v>
      </c>
      <c r="I1345" s="202">
        <f t="shared" si="20"/>
        <v>559143033.30000007</v>
      </c>
      <c r="J1345" s="202">
        <v>135.4</v>
      </c>
      <c r="L1345" s="204">
        <v>1</v>
      </c>
      <c r="M1345" s="202">
        <v>155000</v>
      </c>
      <c r="N1345" s="204">
        <v>1</v>
      </c>
      <c r="O1345" s="198" t="s">
        <v>51</v>
      </c>
      <c r="P1345" s="202">
        <v>155000</v>
      </c>
      <c r="Q1345" s="198" t="s">
        <v>73</v>
      </c>
      <c r="R1345" s="198" t="s">
        <v>53</v>
      </c>
      <c r="S1345" s="198" t="s">
        <v>54</v>
      </c>
      <c r="T1345" s="198" t="s">
        <v>1751</v>
      </c>
      <c r="U1345" s="198" t="s">
        <v>277</v>
      </c>
      <c r="V1345" s="198" t="s">
        <v>56</v>
      </c>
      <c r="W1345" s="198" t="s">
        <v>356</v>
      </c>
      <c r="X1345" s="198" t="s">
        <v>57</v>
      </c>
      <c r="Y1345" s="198" t="s">
        <v>58</v>
      </c>
      <c r="Z1345" s="201">
        <v>46247</v>
      </c>
      <c r="AA1345" s="198" t="s">
        <v>59</v>
      </c>
      <c r="AB1345" s="198" t="s">
        <v>60</v>
      </c>
      <c r="AC1345" s="198" t="s">
        <v>86</v>
      </c>
      <c r="AD1345" s="198" t="s">
        <v>62</v>
      </c>
      <c r="AE1345" s="198" t="s">
        <v>296</v>
      </c>
      <c r="AF1345" s="198" t="s">
        <v>295</v>
      </c>
      <c r="AG1345" s="198" t="s">
        <v>564</v>
      </c>
      <c r="AH1345" s="198" t="s">
        <v>112</v>
      </c>
      <c r="AI1345" s="198" t="s">
        <v>56</v>
      </c>
      <c r="AJ1345" s="198" t="s">
        <v>128</v>
      </c>
      <c r="AK1345" s="198" t="s">
        <v>51</v>
      </c>
      <c r="AL1345" s="198" t="s">
        <v>67</v>
      </c>
      <c r="AM1345" s="198" t="s">
        <v>68</v>
      </c>
      <c r="AN1345" s="202">
        <v>155000</v>
      </c>
      <c r="AO1345" s="202">
        <v>155000</v>
      </c>
      <c r="AP1345" s="202">
        <v>155000</v>
      </c>
      <c r="AQ1345" s="198" t="s">
        <v>358</v>
      </c>
      <c r="AR1345" s="198" t="s">
        <v>51</v>
      </c>
      <c r="AS1345" s="202">
        <v>155000</v>
      </c>
      <c r="AT1345" s="202">
        <v>155000</v>
      </c>
      <c r="AU1345" s="198" t="s">
        <v>359</v>
      </c>
      <c r="AV1345" s="198" t="s">
        <v>62</v>
      </c>
      <c r="AW1345" s="198" t="s">
        <v>54</v>
      </c>
    </row>
    <row r="1346" spans="3:49" outlineLevel="2" x14ac:dyDescent="0.25">
      <c r="C1346" s="201"/>
      <c r="D1346" s="198" t="s">
        <v>351</v>
      </c>
      <c r="H1346" s="198" t="s">
        <v>351</v>
      </c>
      <c r="I1346" s="202">
        <f t="shared" si="20"/>
        <v>559555989.75</v>
      </c>
      <c r="J1346" s="202">
        <v>135.5</v>
      </c>
      <c r="L1346" s="204">
        <v>20</v>
      </c>
      <c r="M1346" s="202">
        <v>52020</v>
      </c>
      <c r="N1346" s="204">
        <v>20</v>
      </c>
      <c r="O1346" s="198" t="s">
        <v>51</v>
      </c>
      <c r="P1346" s="202">
        <v>52020</v>
      </c>
      <c r="Q1346" s="198" t="s">
        <v>73</v>
      </c>
      <c r="R1346" s="198" t="s">
        <v>53</v>
      </c>
      <c r="S1346" s="198" t="s">
        <v>54</v>
      </c>
      <c r="T1346" s="198" t="s">
        <v>1751</v>
      </c>
      <c r="U1346" s="198" t="s">
        <v>277</v>
      </c>
      <c r="V1346" s="198" t="s">
        <v>56</v>
      </c>
      <c r="W1346" s="198" t="s">
        <v>356</v>
      </c>
      <c r="X1346" s="198" t="s">
        <v>57</v>
      </c>
      <c r="Y1346" s="198" t="s">
        <v>58</v>
      </c>
      <c r="Z1346" s="201">
        <v>46247</v>
      </c>
      <c r="AA1346" s="198" t="s">
        <v>59</v>
      </c>
      <c r="AB1346" s="198" t="s">
        <v>60</v>
      </c>
      <c r="AC1346" s="198" t="s">
        <v>86</v>
      </c>
      <c r="AD1346" s="198" t="s">
        <v>62</v>
      </c>
      <c r="AE1346" s="198" t="s">
        <v>298</v>
      </c>
      <c r="AF1346" s="198" t="s">
        <v>297</v>
      </c>
      <c r="AG1346" s="198" t="s">
        <v>564</v>
      </c>
      <c r="AH1346" s="198" t="s">
        <v>112</v>
      </c>
      <c r="AI1346" s="198" t="s">
        <v>56</v>
      </c>
      <c r="AJ1346" s="198" t="s">
        <v>299</v>
      </c>
      <c r="AK1346" s="198" t="s">
        <v>51</v>
      </c>
      <c r="AL1346" s="198" t="s">
        <v>67</v>
      </c>
      <c r="AM1346" s="198" t="s">
        <v>68</v>
      </c>
      <c r="AN1346" s="202">
        <v>52020</v>
      </c>
      <c r="AO1346" s="202">
        <v>52020</v>
      </c>
      <c r="AP1346" s="202">
        <v>52020</v>
      </c>
      <c r="AQ1346" s="198" t="s">
        <v>358</v>
      </c>
      <c r="AR1346" s="198" t="s">
        <v>51</v>
      </c>
      <c r="AS1346" s="202">
        <v>52020</v>
      </c>
      <c r="AT1346" s="202">
        <v>52020</v>
      </c>
      <c r="AU1346" s="198" t="s">
        <v>359</v>
      </c>
      <c r="AV1346" s="198" t="s">
        <v>62</v>
      </c>
      <c r="AW1346" s="198" t="s">
        <v>54</v>
      </c>
    </row>
    <row r="1347" spans="3:49" outlineLevel="2" x14ac:dyDescent="0.25">
      <c r="C1347" s="201"/>
      <c r="D1347" s="198" t="s">
        <v>351</v>
      </c>
      <c r="H1347" s="198" t="s">
        <v>351</v>
      </c>
      <c r="I1347" s="202">
        <f t="shared" ref="I1347:I1410" si="21">J1347*4129564.5</f>
        <v>559968946.19999993</v>
      </c>
      <c r="J1347" s="202">
        <v>135.6</v>
      </c>
      <c r="L1347" s="204">
        <v>10</v>
      </c>
      <c r="M1347" s="202">
        <v>29000</v>
      </c>
      <c r="N1347" s="204">
        <v>10</v>
      </c>
      <c r="O1347" s="198" t="s">
        <v>51</v>
      </c>
      <c r="P1347" s="202">
        <v>29000</v>
      </c>
      <c r="Q1347" s="198" t="s">
        <v>73</v>
      </c>
      <c r="R1347" s="198" t="s">
        <v>53</v>
      </c>
      <c r="S1347" s="198" t="s">
        <v>54</v>
      </c>
      <c r="T1347" s="198" t="s">
        <v>1751</v>
      </c>
      <c r="U1347" s="198" t="s">
        <v>277</v>
      </c>
      <c r="V1347" s="198" t="s">
        <v>56</v>
      </c>
      <c r="W1347" s="198" t="s">
        <v>356</v>
      </c>
      <c r="X1347" s="198" t="s">
        <v>57</v>
      </c>
      <c r="Y1347" s="198" t="s">
        <v>58</v>
      </c>
      <c r="Z1347" s="201">
        <v>46247</v>
      </c>
      <c r="AA1347" s="198" t="s">
        <v>59</v>
      </c>
      <c r="AB1347" s="198" t="s">
        <v>60</v>
      </c>
      <c r="AC1347" s="198" t="s">
        <v>86</v>
      </c>
      <c r="AD1347" s="198" t="s">
        <v>62</v>
      </c>
      <c r="AE1347" s="198" t="s">
        <v>301</v>
      </c>
      <c r="AF1347" s="198" t="s">
        <v>300</v>
      </c>
      <c r="AG1347" s="198" t="s">
        <v>564</v>
      </c>
      <c r="AH1347" s="198" t="s">
        <v>112</v>
      </c>
      <c r="AI1347" s="198" t="s">
        <v>56</v>
      </c>
      <c r="AJ1347" s="198" t="s">
        <v>121</v>
      </c>
      <c r="AK1347" s="198" t="s">
        <v>51</v>
      </c>
      <c r="AL1347" s="198" t="s">
        <v>67</v>
      </c>
      <c r="AM1347" s="198" t="s">
        <v>68</v>
      </c>
      <c r="AN1347" s="202">
        <v>29000</v>
      </c>
      <c r="AO1347" s="202">
        <v>29000</v>
      </c>
      <c r="AP1347" s="202">
        <v>29000</v>
      </c>
      <c r="AQ1347" s="198" t="s">
        <v>358</v>
      </c>
      <c r="AR1347" s="198" t="s">
        <v>51</v>
      </c>
      <c r="AS1347" s="202">
        <v>29000</v>
      </c>
      <c r="AT1347" s="202">
        <v>29000</v>
      </c>
      <c r="AU1347" s="198" t="s">
        <v>359</v>
      </c>
      <c r="AV1347" s="198" t="s">
        <v>62</v>
      </c>
      <c r="AW1347" s="198" t="s">
        <v>54</v>
      </c>
    </row>
    <row r="1348" spans="3:49" outlineLevel="2" x14ac:dyDescent="0.25">
      <c r="C1348" s="201"/>
      <c r="D1348" s="198" t="s">
        <v>351</v>
      </c>
      <c r="H1348" s="198" t="s">
        <v>351</v>
      </c>
      <c r="I1348" s="202">
        <f t="shared" si="21"/>
        <v>560381902.64999998</v>
      </c>
      <c r="J1348" s="202">
        <v>135.69999999999999</v>
      </c>
      <c r="L1348" s="204">
        <v>84</v>
      </c>
      <c r="M1348" s="202">
        <v>495600</v>
      </c>
      <c r="N1348" s="204">
        <v>84</v>
      </c>
      <c r="O1348" s="198" t="s">
        <v>51</v>
      </c>
      <c r="P1348" s="202">
        <v>495600</v>
      </c>
      <c r="Q1348" s="198" t="s">
        <v>73</v>
      </c>
      <c r="R1348" s="198" t="s">
        <v>53</v>
      </c>
      <c r="S1348" s="198" t="s">
        <v>54</v>
      </c>
      <c r="T1348" s="198" t="s">
        <v>1751</v>
      </c>
      <c r="U1348" s="198" t="s">
        <v>277</v>
      </c>
      <c r="V1348" s="198" t="s">
        <v>56</v>
      </c>
      <c r="W1348" s="198" t="s">
        <v>356</v>
      </c>
      <c r="X1348" s="198" t="s">
        <v>57</v>
      </c>
      <c r="Y1348" s="198" t="s">
        <v>58</v>
      </c>
      <c r="Z1348" s="201">
        <v>46247</v>
      </c>
      <c r="AA1348" s="198" t="s">
        <v>59</v>
      </c>
      <c r="AB1348" s="198" t="s">
        <v>60</v>
      </c>
      <c r="AC1348" s="198" t="s">
        <v>86</v>
      </c>
      <c r="AD1348" s="198" t="s">
        <v>62</v>
      </c>
      <c r="AE1348" s="198" t="s">
        <v>303</v>
      </c>
      <c r="AF1348" s="198" t="s">
        <v>302</v>
      </c>
      <c r="AG1348" s="198" t="s">
        <v>564</v>
      </c>
      <c r="AH1348" s="198" t="s">
        <v>112</v>
      </c>
      <c r="AI1348" s="198" t="s">
        <v>56</v>
      </c>
      <c r="AJ1348" s="198" t="s">
        <v>72</v>
      </c>
      <c r="AK1348" s="198" t="s">
        <v>51</v>
      </c>
      <c r="AL1348" s="198" t="s">
        <v>67</v>
      </c>
      <c r="AM1348" s="198" t="s">
        <v>68</v>
      </c>
      <c r="AN1348" s="202">
        <v>495600</v>
      </c>
      <c r="AO1348" s="202">
        <v>495600</v>
      </c>
      <c r="AP1348" s="202">
        <v>495600</v>
      </c>
      <c r="AQ1348" s="198" t="s">
        <v>358</v>
      </c>
      <c r="AR1348" s="198" t="s">
        <v>51</v>
      </c>
      <c r="AS1348" s="202">
        <v>495600</v>
      </c>
      <c r="AT1348" s="202">
        <v>495600</v>
      </c>
      <c r="AU1348" s="198" t="s">
        <v>359</v>
      </c>
      <c r="AV1348" s="198" t="s">
        <v>62</v>
      </c>
      <c r="AW1348" s="198" t="s">
        <v>54</v>
      </c>
    </row>
    <row r="1349" spans="3:49" outlineLevel="2" x14ac:dyDescent="0.25">
      <c r="C1349" s="201"/>
      <c r="D1349" s="198" t="s">
        <v>351</v>
      </c>
      <c r="H1349" s="198" t="s">
        <v>351</v>
      </c>
      <c r="I1349" s="202">
        <f t="shared" si="21"/>
        <v>560794859.10000002</v>
      </c>
      <c r="J1349" s="202">
        <v>135.80000000000001</v>
      </c>
      <c r="L1349" s="204">
        <v>532</v>
      </c>
      <c r="M1349" s="202">
        <v>984200</v>
      </c>
      <c r="N1349" s="204">
        <v>532</v>
      </c>
      <c r="O1349" s="198" t="s">
        <v>51</v>
      </c>
      <c r="P1349" s="202">
        <v>984200</v>
      </c>
      <c r="Q1349" s="198" t="s">
        <v>73</v>
      </c>
      <c r="R1349" s="198" t="s">
        <v>53</v>
      </c>
      <c r="S1349" s="198" t="s">
        <v>54</v>
      </c>
      <c r="T1349" s="198" t="s">
        <v>1751</v>
      </c>
      <c r="U1349" s="198" t="s">
        <v>277</v>
      </c>
      <c r="V1349" s="198" t="s">
        <v>56</v>
      </c>
      <c r="W1349" s="198" t="s">
        <v>356</v>
      </c>
      <c r="X1349" s="198" t="s">
        <v>57</v>
      </c>
      <c r="Y1349" s="198" t="s">
        <v>58</v>
      </c>
      <c r="Z1349" s="201">
        <v>46247</v>
      </c>
      <c r="AA1349" s="198" t="s">
        <v>59</v>
      </c>
      <c r="AB1349" s="198" t="s">
        <v>60</v>
      </c>
      <c r="AC1349" s="198" t="s">
        <v>86</v>
      </c>
      <c r="AD1349" s="198" t="s">
        <v>62</v>
      </c>
      <c r="AE1349" s="198" t="s">
        <v>305</v>
      </c>
      <c r="AF1349" s="198" t="s">
        <v>304</v>
      </c>
      <c r="AG1349" s="198" t="s">
        <v>564</v>
      </c>
      <c r="AH1349" s="198" t="s">
        <v>112</v>
      </c>
      <c r="AI1349" s="198" t="s">
        <v>56</v>
      </c>
      <c r="AJ1349" s="198" t="s">
        <v>306</v>
      </c>
      <c r="AK1349" s="198" t="s">
        <v>51</v>
      </c>
      <c r="AL1349" s="198" t="s">
        <v>67</v>
      </c>
      <c r="AM1349" s="198" t="s">
        <v>68</v>
      </c>
      <c r="AN1349" s="202">
        <v>984200</v>
      </c>
      <c r="AO1349" s="202">
        <v>984200</v>
      </c>
      <c r="AP1349" s="202">
        <v>984200</v>
      </c>
      <c r="AQ1349" s="198" t="s">
        <v>358</v>
      </c>
      <c r="AR1349" s="198" t="s">
        <v>51</v>
      </c>
      <c r="AS1349" s="202">
        <v>984200</v>
      </c>
      <c r="AT1349" s="202">
        <v>984200</v>
      </c>
      <c r="AU1349" s="198" t="s">
        <v>359</v>
      </c>
      <c r="AV1349" s="198" t="s">
        <v>62</v>
      </c>
      <c r="AW1349" s="198" t="s">
        <v>54</v>
      </c>
    </row>
    <row r="1350" spans="3:49" outlineLevel="2" x14ac:dyDescent="0.25">
      <c r="C1350" s="201"/>
      <c r="D1350" s="198" t="s">
        <v>351</v>
      </c>
      <c r="H1350" s="198" t="s">
        <v>351</v>
      </c>
      <c r="I1350" s="202">
        <f t="shared" si="21"/>
        <v>561207815.55000007</v>
      </c>
      <c r="J1350" s="202">
        <v>135.9</v>
      </c>
      <c r="L1350" s="204">
        <v>40</v>
      </c>
      <c r="M1350" s="202">
        <v>76000</v>
      </c>
      <c r="N1350" s="204">
        <v>40</v>
      </c>
      <c r="O1350" s="198" t="s">
        <v>51</v>
      </c>
      <c r="P1350" s="202">
        <v>76000</v>
      </c>
      <c r="Q1350" s="198" t="s">
        <v>73</v>
      </c>
      <c r="R1350" s="198" t="s">
        <v>53</v>
      </c>
      <c r="S1350" s="198" t="s">
        <v>54</v>
      </c>
      <c r="T1350" s="198" t="s">
        <v>1751</v>
      </c>
      <c r="U1350" s="198" t="s">
        <v>277</v>
      </c>
      <c r="V1350" s="198" t="s">
        <v>56</v>
      </c>
      <c r="W1350" s="198" t="s">
        <v>356</v>
      </c>
      <c r="X1350" s="198" t="s">
        <v>57</v>
      </c>
      <c r="Y1350" s="198" t="s">
        <v>58</v>
      </c>
      <c r="Z1350" s="201">
        <v>46247</v>
      </c>
      <c r="AA1350" s="198" t="s">
        <v>59</v>
      </c>
      <c r="AB1350" s="198" t="s">
        <v>60</v>
      </c>
      <c r="AC1350" s="198" t="s">
        <v>86</v>
      </c>
      <c r="AD1350" s="198" t="s">
        <v>62</v>
      </c>
      <c r="AE1350" s="198" t="s">
        <v>308</v>
      </c>
      <c r="AF1350" s="198" t="s">
        <v>307</v>
      </c>
      <c r="AG1350" s="198" t="s">
        <v>564</v>
      </c>
      <c r="AH1350" s="198" t="s">
        <v>112</v>
      </c>
      <c r="AI1350" s="198" t="s">
        <v>56</v>
      </c>
      <c r="AJ1350" s="198" t="s">
        <v>306</v>
      </c>
      <c r="AK1350" s="198" t="s">
        <v>51</v>
      </c>
      <c r="AL1350" s="198" t="s">
        <v>67</v>
      </c>
      <c r="AM1350" s="198" t="s">
        <v>68</v>
      </c>
      <c r="AN1350" s="202">
        <v>76000</v>
      </c>
      <c r="AO1350" s="202">
        <v>76000</v>
      </c>
      <c r="AP1350" s="202">
        <v>76000</v>
      </c>
      <c r="AQ1350" s="198" t="s">
        <v>358</v>
      </c>
      <c r="AR1350" s="198" t="s">
        <v>51</v>
      </c>
      <c r="AS1350" s="202">
        <v>76000</v>
      </c>
      <c r="AT1350" s="202">
        <v>76000</v>
      </c>
      <c r="AU1350" s="198" t="s">
        <v>359</v>
      </c>
      <c r="AV1350" s="198" t="s">
        <v>62</v>
      </c>
      <c r="AW1350" s="198" t="s">
        <v>54</v>
      </c>
    </row>
    <row r="1351" spans="3:49" outlineLevel="2" x14ac:dyDescent="0.25">
      <c r="C1351" s="201"/>
      <c r="D1351" s="198" t="s">
        <v>351</v>
      </c>
      <c r="H1351" s="198" t="s">
        <v>351</v>
      </c>
      <c r="I1351" s="202">
        <f t="shared" si="21"/>
        <v>561620772</v>
      </c>
      <c r="J1351" s="202">
        <v>136</v>
      </c>
      <c r="L1351" s="204">
        <v>75</v>
      </c>
      <c r="M1351" s="202">
        <v>141225</v>
      </c>
      <c r="N1351" s="204">
        <v>75</v>
      </c>
      <c r="O1351" s="198" t="s">
        <v>51</v>
      </c>
      <c r="P1351" s="202">
        <v>141225</v>
      </c>
      <c r="Q1351" s="198" t="s">
        <v>73</v>
      </c>
      <c r="R1351" s="198" t="s">
        <v>53</v>
      </c>
      <c r="S1351" s="198" t="s">
        <v>54</v>
      </c>
      <c r="T1351" s="198" t="s">
        <v>1751</v>
      </c>
      <c r="U1351" s="198" t="s">
        <v>277</v>
      </c>
      <c r="V1351" s="198" t="s">
        <v>56</v>
      </c>
      <c r="W1351" s="198" t="s">
        <v>356</v>
      </c>
      <c r="X1351" s="198" t="s">
        <v>57</v>
      </c>
      <c r="Y1351" s="198" t="s">
        <v>58</v>
      </c>
      <c r="Z1351" s="201">
        <v>46247</v>
      </c>
      <c r="AA1351" s="198" t="s">
        <v>59</v>
      </c>
      <c r="AB1351" s="198" t="s">
        <v>60</v>
      </c>
      <c r="AC1351" s="198" t="s">
        <v>86</v>
      </c>
      <c r="AD1351" s="198" t="s">
        <v>62</v>
      </c>
      <c r="AE1351" s="198" t="s">
        <v>310</v>
      </c>
      <c r="AF1351" s="198" t="s">
        <v>309</v>
      </c>
      <c r="AG1351" s="198" t="s">
        <v>564</v>
      </c>
      <c r="AH1351" s="198" t="s">
        <v>112</v>
      </c>
      <c r="AI1351" s="198" t="s">
        <v>56</v>
      </c>
      <c r="AJ1351" s="198" t="s">
        <v>311</v>
      </c>
      <c r="AK1351" s="198" t="s">
        <v>51</v>
      </c>
      <c r="AL1351" s="198" t="s">
        <v>67</v>
      </c>
      <c r="AM1351" s="198" t="s">
        <v>68</v>
      </c>
      <c r="AN1351" s="202">
        <v>141225</v>
      </c>
      <c r="AO1351" s="202">
        <v>141225</v>
      </c>
      <c r="AP1351" s="202">
        <v>141225</v>
      </c>
      <c r="AQ1351" s="198" t="s">
        <v>358</v>
      </c>
      <c r="AR1351" s="198" t="s">
        <v>51</v>
      </c>
      <c r="AS1351" s="202">
        <v>141225</v>
      </c>
      <c r="AT1351" s="202">
        <v>141225</v>
      </c>
      <c r="AU1351" s="198" t="s">
        <v>359</v>
      </c>
      <c r="AV1351" s="198" t="s">
        <v>62</v>
      </c>
      <c r="AW1351" s="198" t="s">
        <v>54</v>
      </c>
    </row>
    <row r="1352" spans="3:49" outlineLevel="2" x14ac:dyDescent="0.25">
      <c r="C1352" s="201"/>
      <c r="D1352" s="198" t="s">
        <v>351</v>
      </c>
      <c r="H1352" s="198" t="s">
        <v>351</v>
      </c>
      <c r="I1352" s="202">
        <f t="shared" si="21"/>
        <v>562033728.44999993</v>
      </c>
      <c r="J1352" s="202">
        <v>136.1</v>
      </c>
      <c r="L1352" s="204">
        <v>10</v>
      </c>
      <c r="M1352" s="202">
        <v>60000</v>
      </c>
      <c r="N1352" s="204">
        <v>10</v>
      </c>
      <c r="O1352" s="198" t="s">
        <v>51</v>
      </c>
      <c r="P1352" s="202">
        <v>60000</v>
      </c>
      <c r="Q1352" s="198" t="s">
        <v>73</v>
      </c>
      <c r="R1352" s="198" t="s">
        <v>53</v>
      </c>
      <c r="S1352" s="198" t="s">
        <v>54</v>
      </c>
      <c r="T1352" s="198" t="s">
        <v>1751</v>
      </c>
      <c r="U1352" s="198" t="s">
        <v>277</v>
      </c>
      <c r="V1352" s="198" t="s">
        <v>56</v>
      </c>
      <c r="W1352" s="198" t="s">
        <v>356</v>
      </c>
      <c r="X1352" s="198" t="s">
        <v>57</v>
      </c>
      <c r="Y1352" s="198" t="s">
        <v>58</v>
      </c>
      <c r="Z1352" s="201">
        <v>46247</v>
      </c>
      <c r="AA1352" s="198" t="s">
        <v>59</v>
      </c>
      <c r="AB1352" s="198" t="s">
        <v>60</v>
      </c>
      <c r="AC1352" s="198" t="s">
        <v>86</v>
      </c>
      <c r="AD1352" s="198" t="s">
        <v>62</v>
      </c>
      <c r="AE1352" s="198" t="s">
        <v>313</v>
      </c>
      <c r="AF1352" s="198" t="s">
        <v>312</v>
      </c>
      <c r="AG1352" s="198" t="s">
        <v>564</v>
      </c>
      <c r="AH1352" s="198" t="s">
        <v>112</v>
      </c>
      <c r="AI1352" s="198" t="s">
        <v>56</v>
      </c>
      <c r="AJ1352" s="198" t="s">
        <v>121</v>
      </c>
      <c r="AK1352" s="198" t="s">
        <v>51</v>
      </c>
      <c r="AL1352" s="198" t="s">
        <v>67</v>
      </c>
      <c r="AM1352" s="198" t="s">
        <v>68</v>
      </c>
      <c r="AN1352" s="202">
        <v>60000</v>
      </c>
      <c r="AO1352" s="202">
        <v>60000</v>
      </c>
      <c r="AP1352" s="202">
        <v>60000</v>
      </c>
      <c r="AQ1352" s="198" t="s">
        <v>358</v>
      </c>
      <c r="AR1352" s="198" t="s">
        <v>51</v>
      </c>
      <c r="AS1352" s="202">
        <v>60000</v>
      </c>
      <c r="AT1352" s="202">
        <v>60000</v>
      </c>
      <c r="AU1352" s="198" t="s">
        <v>359</v>
      </c>
      <c r="AV1352" s="198" t="s">
        <v>62</v>
      </c>
      <c r="AW1352" s="198" t="s">
        <v>54</v>
      </c>
    </row>
    <row r="1353" spans="3:49" outlineLevel="2" x14ac:dyDescent="0.25">
      <c r="C1353" s="201"/>
      <c r="D1353" s="198" t="s">
        <v>351</v>
      </c>
      <c r="H1353" s="198" t="s">
        <v>351</v>
      </c>
      <c r="I1353" s="202">
        <f t="shared" si="21"/>
        <v>562446684.89999998</v>
      </c>
      <c r="J1353" s="202">
        <v>136.19999999999999</v>
      </c>
      <c r="L1353" s="204">
        <v>94</v>
      </c>
      <c r="M1353" s="202">
        <v>1109200</v>
      </c>
      <c r="N1353" s="204">
        <v>94</v>
      </c>
      <c r="O1353" s="198" t="s">
        <v>51</v>
      </c>
      <c r="P1353" s="202">
        <v>1109200</v>
      </c>
      <c r="Q1353" s="198" t="s">
        <v>73</v>
      </c>
      <c r="R1353" s="198" t="s">
        <v>53</v>
      </c>
      <c r="S1353" s="198" t="s">
        <v>54</v>
      </c>
      <c r="T1353" s="198" t="s">
        <v>1751</v>
      </c>
      <c r="U1353" s="198" t="s">
        <v>277</v>
      </c>
      <c r="V1353" s="198" t="s">
        <v>56</v>
      </c>
      <c r="W1353" s="198" t="s">
        <v>356</v>
      </c>
      <c r="X1353" s="198" t="s">
        <v>57</v>
      </c>
      <c r="Y1353" s="198" t="s">
        <v>58</v>
      </c>
      <c r="Z1353" s="201">
        <v>46247</v>
      </c>
      <c r="AA1353" s="198" t="s">
        <v>59</v>
      </c>
      <c r="AB1353" s="198" t="s">
        <v>60</v>
      </c>
      <c r="AC1353" s="198" t="s">
        <v>86</v>
      </c>
      <c r="AD1353" s="198" t="s">
        <v>62</v>
      </c>
      <c r="AE1353" s="198" t="s">
        <v>315</v>
      </c>
      <c r="AF1353" s="198" t="s">
        <v>314</v>
      </c>
      <c r="AG1353" s="198" t="s">
        <v>564</v>
      </c>
      <c r="AH1353" s="198" t="s">
        <v>112</v>
      </c>
      <c r="AI1353" s="198" t="s">
        <v>56</v>
      </c>
      <c r="AJ1353" s="198" t="s">
        <v>121</v>
      </c>
      <c r="AK1353" s="198" t="s">
        <v>51</v>
      </c>
      <c r="AL1353" s="198" t="s">
        <v>67</v>
      </c>
      <c r="AM1353" s="198" t="s">
        <v>68</v>
      </c>
      <c r="AN1353" s="202">
        <v>1109200</v>
      </c>
      <c r="AO1353" s="202">
        <v>1109200</v>
      </c>
      <c r="AP1353" s="202">
        <v>1109200</v>
      </c>
      <c r="AQ1353" s="198" t="s">
        <v>358</v>
      </c>
      <c r="AR1353" s="198" t="s">
        <v>51</v>
      </c>
      <c r="AS1353" s="202">
        <v>1109200</v>
      </c>
      <c r="AT1353" s="202">
        <v>1109200</v>
      </c>
      <c r="AU1353" s="198" t="s">
        <v>359</v>
      </c>
      <c r="AV1353" s="198" t="s">
        <v>62</v>
      </c>
      <c r="AW1353" s="198" t="s">
        <v>54</v>
      </c>
    </row>
    <row r="1354" spans="3:49" outlineLevel="2" x14ac:dyDescent="0.25">
      <c r="C1354" s="201"/>
      <c r="D1354" s="198" t="s">
        <v>351</v>
      </c>
      <c r="H1354" s="198" t="s">
        <v>351</v>
      </c>
      <c r="I1354" s="202">
        <f t="shared" si="21"/>
        <v>562859641.35000002</v>
      </c>
      <c r="J1354" s="202">
        <v>136.30000000000001</v>
      </c>
      <c r="L1354" s="204">
        <v>8620</v>
      </c>
      <c r="M1354" s="202">
        <v>948200</v>
      </c>
      <c r="N1354" s="204">
        <v>3874</v>
      </c>
      <c r="O1354" s="198" t="s">
        <v>51</v>
      </c>
      <c r="P1354" s="202">
        <v>426140</v>
      </c>
      <c r="Q1354" s="198" t="s">
        <v>75</v>
      </c>
      <c r="R1354" s="198" t="s">
        <v>53</v>
      </c>
      <c r="S1354" s="198" t="s">
        <v>54</v>
      </c>
      <c r="T1354" s="198" t="s">
        <v>1751</v>
      </c>
      <c r="U1354" s="198" t="s">
        <v>364</v>
      </c>
      <c r="V1354" s="198" t="s">
        <v>56</v>
      </c>
      <c r="W1354" s="198" t="s">
        <v>356</v>
      </c>
      <c r="X1354" s="198" t="s">
        <v>57</v>
      </c>
      <c r="Y1354" s="198" t="s">
        <v>58</v>
      </c>
      <c r="Z1354" s="201">
        <v>46247</v>
      </c>
      <c r="AA1354" s="198" t="s">
        <v>59</v>
      </c>
      <c r="AB1354" s="198" t="s">
        <v>60</v>
      </c>
      <c r="AC1354" s="198" t="s">
        <v>86</v>
      </c>
      <c r="AD1354" s="198" t="s">
        <v>62</v>
      </c>
      <c r="AE1354" s="198" t="s">
        <v>317</v>
      </c>
      <c r="AF1354" s="198" t="s">
        <v>316</v>
      </c>
      <c r="AG1354" s="198" t="s">
        <v>564</v>
      </c>
      <c r="AH1354" s="198" t="s">
        <v>112</v>
      </c>
      <c r="AI1354" s="198" t="s">
        <v>56</v>
      </c>
      <c r="AJ1354" s="198" t="s">
        <v>318</v>
      </c>
      <c r="AK1354" s="198" t="s">
        <v>51</v>
      </c>
      <c r="AL1354" s="198" t="s">
        <v>67</v>
      </c>
      <c r="AM1354" s="198" t="s">
        <v>68</v>
      </c>
      <c r="AN1354" s="202">
        <v>948200</v>
      </c>
      <c r="AO1354" s="202">
        <v>948200</v>
      </c>
      <c r="AP1354" s="202">
        <v>948200</v>
      </c>
      <c r="AQ1354" s="198" t="s">
        <v>358</v>
      </c>
      <c r="AR1354" s="198" t="s">
        <v>51</v>
      </c>
      <c r="AS1354" s="202">
        <v>426140</v>
      </c>
      <c r="AT1354" s="202">
        <v>426140</v>
      </c>
      <c r="AU1354" s="198" t="s">
        <v>359</v>
      </c>
      <c r="AV1354" s="198" t="s">
        <v>62</v>
      </c>
      <c r="AW1354" s="198" t="s">
        <v>54</v>
      </c>
    </row>
    <row r="1355" spans="3:49" outlineLevel="2" x14ac:dyDescent="0.25">
      <c r="C1355" s="201"/>
      <c r="D1355" s="198" t="s">
        <v>351</v>
      </c>
      <c r="H1355" s="198" t="s">
        <v>351</v>
      </c>
      <c r="I1355" s="202">
        <f t="shared" si="21"/>
        <v>563272597.80000007</v>
      </c>
      <c r="J1355" s="202">
        <v>136.4</v>
      </c>
      <c r="L1355" s="204">
        <v>5900</v>
      </c>
      <c r="M1355" s="202">
        <v>708000</v>
      </c>
      <c r="N1355" s="204">
        <v>5900</v>
      </c>
      <c r="O1355" s="198" t="s">
        <v>51</v>
      </c>
      <c r="P1355" s="202">
        <v>708000</v>
      </c>
      <c r="Q1355" s="198" t="s">
        <v>75</v>
      </c>
      <c r="R1355" s="198" t="s">
        <v>53</v>
      </c>
      <c r="S1355" s="198" t="s">
        <v>54</v>
      </c>
      <c r="T1355" s="198" t="s">
        <v>1751</v>
      </c>
      <c r="U1355" s="198" t="s">
        <v>277</v>
      </c>
      <c r="V1355" s="198" t="s">
        <v>56</v>
      </c>
      <c r="W1355" s="198" t="s">
        <v>356</v>
      </c>
      <c r="X1355" s="198" t="s">
        <v>57</v>
      </c>
      <c r="Y1355" s="198" t="s">
        <v>58</v>
      </c>
      <c r="Z1355" s="201">
        <v>46247</v>
      </c>
      <c r="AA1355" s="198" t="s">
        <v>59</v>
      </c>
      <c r="AB1355" s="198" t="s">
        <v>60</v>
      </c>
      <c r="AC1355" s="198" t="s">
        <v>86</v>
      </c>
      <c r="AD1355" s="198" t="s">
        <v>62</v>
      </c>
      <c r="AE1355" s="198" t="s">
        <v>320</v>
      </c>
      <c r="AF1355" s="198" t="s">
        <v>319</v>
      </c>
      <c r="AG1355" s="198" t="s">
        <v>564</v>
      </c>
      <c r="AH1355" s="198" t="s">
        <v>112</v>
      </c>
      <c r="AI1355" s="198" t="s">
        <v>56</v>
      </c>
      <c r="AJ1355" s="198" t="s">
        <v>318</v>
      </c>
      <c r="AK1355" s="198" t="s">
        <v>51</v>
      </c>
      <c r="AL1355" s="198" t="s">
        <v>67</v>
      </c>
      <c r="AM1355" s="198" t="s">
        <v>68</v>
      </c>
      <c r="AN1355" s="202">
        <v>708000</v>
      </c>
      <c r="AO1355" s="202">
        <v>708000</v>
      </c>
      <c r="AP1355" s="202">
        <v>708000</v>
      </c>
      <c r="AQ1355" s="198" t="s">
        <v>358</v>
      </c>
      <c r="AR1355" s="198" t="s">
        <v>51</v>
      </c>
      <c r="AS1355" s="202">
        <v>708000</v>
      </c>
      <c r="AT1355" s="202">
        <v>708000</v>
      </c>
      <c r="AU1355" s="198" t="s">
        <v>359</v>
      </c>
      <c r="AV1355" s="198" t="s">
        <v>62</v>
      </c>
      <c r="AW1355" s="198" t="s">
        <v>54</v>
      </c>
    </row>
    <row r="1356" spans="3:49" outlineLevel="2" x14ac:dyDescent="0.25">
      <c r="C1356" s="201"/>
      <c r="D1356" s="198" t="s">
        <v>351</v>
      </c>
      <c r="H1356" s="198" t="s">
        <v>351</v>
      </c>
      <c r="I1356" s="202">
        <f t="shared" si="21"/>
        <v>563685554.25</v>
      </c>
      <c r="J1356" s="202">
        <v>136.5</v>
      </c>
      <c r="L1356" s="204">
        <v>170</v>
      </c>
      <c r="M1356" s="202">
        <v>40800</v>
      </c>
      <c r="N1356" s="204">
        <v>170</v>
      </c>
      <c r="O1356" s="198" t="s">
        <v>51</v>
      </c>
      <c r="P1356" s="202">
        <v>40800</v>
      </c>
      <c r="Q1356" s="198" t="s">
        <v>75</v>
      </c>
      <c r="R1356" s="198" t="s">
        <v>53</v>
      </c>
      <c r="S1356" s="198" t="s">
        <v>54</v>
      </c>
      <c r="T1356" s="198" t="s">
        <v>1751</v>
      </c>
      <c r="U1356" s="198" t="s">
        <v>277</v>
      </c>
      <c r="V1356" s="198" t="s">
        <v>56</v>
      </c>
      <c r="W1356" s="198" t="s">
        <v>356</v>
      </c>
      <c r="X1356" s="198" t="s">
        <v>57</v>
      </c>
      <c r="Y1356" s="198" t="s">
        <v>58</v>
      </c>
      <c r="Z1356" s="201">
        <v>46247</v>
      </c>
      <c r="AA1356" s="198" t="s">
        <v>59</v>
      </c>
      <c r="AB1356" s="198" t="s">
        <v>60</v>
      </c>
      <c r="AC1356" s="198" t="s">
        <v>86</v>
      </c>
      <c r="AD1356" s="198" t="s">
        <v>62</v>
      </c>
      <c r="AE1356" s="198" t="s">
        <v>322</v>
      </c>
      <c r="AF1356" s="198" t="s">
        <v>321</v>
      </c>
      <c r="AG1356" s="198" t="s">
        <v>564</v>
      </c>
      <c r="AH1356" s="198" t="s">
        <v>112</v>
      </c>
      <c r="AI1356" s="198" t="s">
        <v>56</v>
      </c>
      <c r="AJ1356" s="198" t="s">
        <v>318</v>
      </c>
      <c r="AK1356" s="198" t="s">
        <v>51</v>
      </c>
      <c r="AL1356" s="198" t="s">
        <v>67</v>
      </c>
      <c r="AM1356" s="198" t="s">
        <v>68</v>
      </c>
      <c r="AN1356" s="202">
        <v>40800</v>
      </c>
      <c r="AO1356" s="202">
        <v>40800</v>
      </c>
      <c r="AP1356" s="202">
        <v>40800</v>
      </c>
      <c r="AQ1356" s="198" t="s">
        <v>358</v>
      </c>
      <c r="AR1356" s="198" t="s">
        <v>51</v>
      </c>
      <c r="AS1356" s="202">
        <v>40800</v>
      </c>
      <c r="AT1356" s="202">
        <v>40800</v>
      </c>
      <c r="AU1356" s="198" t="s">
        <v>359</v>
      </c>
      <c r="AV1356" s="198" t="s">
        <v>62</v>
      </c>
      <c r="AW1356" s="198" t="s">
        <v>54</v>
      </c>
    </row>
    <row r="1357" spans="3:49" outlineLevel="2" x14ac:dyDescent="0.25">
      <c r="C1357" s="201"/>
      <c r="D1357" s="198" t="s">
        <v>351</v>
      </c>
      <c r="H1357" s="198" t="s">
        <v>351</v>
      </c>
      <c r="I1357" s="202">
        <f t="shared" si="21"/>
        <v>564098510.69999993</v>
      </c>
      <c r="J1357" s="202">
        <v>136.6</v>
      </c>
      <c r="L1357" s="204">
        <v>220</v>
      </c>
      <c r="M1357" s="202">
        <v>26400</v>
      </c>
      <c r="N1357" s="204">
        <v>220</v>
      </c>
      <c r="O1357" s="198" t="s">
        <v>51</v>
      </c>
      <c r="P1357" s="202">
        <v>26400</v>
      </c>
      <c r="Q1357" s="198" t="s">
        <v>75</v>
      </c>
      <c r="R1357" s="198" t="s">
        <v>53</v>
      </c>
      <c r="S1357" s="198" t="s">
        <v>54</v>
      </c>
      <c r="T1357" s="198" t="s">
        <v>1751</v>
      </c>
      <c r="U1357" s="198" t="s">
        <v>277</v>
      </c>
      <c r="V1357" s="198" t="s">
        <v>56</v>
      </c>
      <c r="W1357" s="198" t="s">
        <v>356</v>
      </c>
      <c r="X1357" s="198" t="s">
        <v>57</v>
      </c>
      <c r="Y1357" s="198" t="s">
        <v>58</v>
      </c>
      <c r="Z1357" s="201">
        <v>46247</v>
      </c>
      <c r="AA1357" s="198" t="s">
        <v>59</v>
      </c>
      <c r="AB1357" s="198" t="s">
        <v>60</v>
      </c>
      <c r="AC1357" s="198" t="s">
        <v>86</v>
      </c>
      <c r="AD1357" s="198" t="s">
        <v>62</v>
      </c>
      <c r="AE1357" s="198" t="s">
        <v>324</v>
      </c>
      <c r="AF1357" s="198" t="s">
        <v>323</v>
      </c>
      <c r="AG1357" s="198" t="s">
        <v>564</v>
      </c>
      <c r="AH1357" s="198" t="s">
        <v>112</v>
      </c>
      <c r="AI1357" s="198" t="s">
        <v>56</v>
      </c>
      <c r="AJ1357" s="198" t="s">
        <v>325</v>
      </c>
      <c r="AK1357" s="198" t="s">
        <v>51</v>
      </c>
      <c r="AL1357" s="198" t="s">
        <v>67</v>
      </c>
      <c r="AM1357" s="198" t="s">
        <v>68</v>
      </c>
      <c r="AN1357" s="202">
        <v>26400</v>
      </c>
      <c r="AO1357" s="202">
        <v>26400</v>
      </c>
      <c r="AP1357" s="202">
        <v>26400</v>
      </c>
      <c r="AQ1357" s="198" t="s">
        <v>358</v>
      </c>
      <c r="AR1357" s="198" t="s">
        <v>51</v>
      </c>
      <c r="AS1357" s="202">
        <v>26400</v>
      </c>
      <c r="AT1357" s="202">
        <v>26400</v>
      </c>
      <c r="AU1357" s="198" t="s">
        <v>359</v>
      </c>
      <c r="AV1357" s="198" t="s">
        <v>62</v>
      </c>
      <c r="AW1357" s="198" t="s">
        <v>54</v>
      </c>
    </row>
    <row r="1358" spans="3:49" outlineLevel="2" x14ac:dyDescent="0.25">
      <c r="C1358" s="201"/>
      <c r="D1358" s="198" t="s">
        <v>351</v>
      </c>
      <c r="H1358" s="198" t="s">
        <v>351</v>
      </c>
      <c r="I1358" s="202">
        <f t="shared" si="21"/>
        <v>564511467.14999998</v>
      </c>
      <c r="J1358" s="202">
        <v>136.69999999999999</v>
      </c>
      <c r="L1358" s="204">
        <v>120</v>
      </c>
      <c r="M1358" s="202">
        <v>12000</v>
      </c>
      <c r="N1358" s="204">
        <v>120</v>
      </c>
      <c r="O1358" s="198" t="s">
        <v>51</v>
      </c>
      <c r="P1358" s="202">
        <v>12000</v>
      </c>
      <c r="Q1358" s="198" t="s">
        <v>75</v>
      </c>
      <c r="R1358" s="198" t="s">
        <v>53</v>
      </c>
      <c r="S1358" s="198" t="s">
        <v>54</v>
      </c>
      <c r="T1358" s="198" t="s">
        <v>1751</v>
      </c>
      <c r="U1358" s="198" t="s">
        <v>277</v>
      </c>
      <c r="V1358" s="198" t="s">
        <v>56</v>
      </c>
      <c r="W1358" s="198" t="s">
        <v>356</v>
      </c>
      <c r="X1358" s="198" t="s">
        <v>57</v>
      </c>
      <c r="Y1358" s="198" t="s">
        <v>58</v>
      </c>
      <c r="Z1358" s="201">
        <v>46247</v>
      </c>
      <c r="AA1358" s="198" t="s">
        <v>59</v>
      </c>
      <c r="AB1358" s="198" t="s">
        <v>60</v>
      </c>
      <c r="AC1358" s="198" t="s">
        <v>86</v>
      </c>
      <c r="AD1358" s="198" t="s">
        <v>62</v>
      </c>
      <c r="AE1358" s="198" t="s">
        <v>327</v>
      </c>
      <c r="AF1358" s="198" t="s">
        <v>326</v>
      </c>
      <c r="AG1358" s="198" t="s">
        <v>564</v>
      </c>
      <c r="AH1358" s="198" t="s">
        <v>112</v>
      </c>
      <c r="AI1358" s="198" t="s">
        <v>56</v>
      </c>
      <c r="AJ1358" s="198" t="s">
        <v>328</v>
      </c>
      <c r="AK1358" s="198" t="s">
        <v>51</v>
      </c>
      <c r="AL1358" s="198" t="s">
        <v>67</v>
      </c>
      <c r="AM1358" s="198" t="s">
        <v>68</v>
      </c>
      <c r="AN1358" s="202">
        <v>12000</v>
      </c>
      <c r="AO1358" s="202">
        <v>12000</v>
      </c>
      <c r="AP1358" s="202">
        <v>12000</v>
      </c>
      <c r="AQ1358" s="198" t="s">
        <v>358</v>
      </c>
      <c r="AR1358" s="198" t="s">
        <v>51</v>
      </c>
      <c r="AS1358" s="202">
        <v>12000</v>
      </c>
      <c r="AT1358" s="202">
        <v>12000</v>
      </c>
      <c r="AU1358" s="198" t="s">
        <v>359</v>
      </c>
      <c r="AV1358" s="198" t="s">
        <v>62</v>
      </c>
      <c r="AW1358" s="198" t="s">
        <v>54</v>
      </c>
    </row>
    <row r="1359" spans="3:49" outlineLevel="2" x14ac:dyDescent="0.25">
      <c r="C1359" s="201"/>
      <c r="D1359" s="198" t="s">
        <v>351</v>
      </c>
      <c r="H1359" s="198" t="s">
        <v>351</v>
      </c>
      <c r="I1359" s="202">
        <f t="shared" si="21"/>
        <v>564924423.60000002</v>
      </c>
      <c r="J1359" s="202">
        <v>136.80000000000001</v>
      </c>
      <c r="L1359" s="204">
        <v>280</v>
      </c>
      <c r="M1359" s="202">
        <v>84000</v>
      </c>
      <c r="N1359" s="204">
        <v>280</v>
      </c>
      <c r="O1359" s="198" t="s">
        <v>51</v>
      </c>
      <c r="P1359" s="202">
        <v>84000</v>
      </c>
      <c r="Q1359" s="198" t="s">
        <v>75</v>
      </c>
      <c r="R1359" s="198" t="s">
        <v>53</v>
      </c>
      <c r="S1359" s="198" t="s">
        <v>54</v>
      </c>
      <c r="T1359" s="198" t="s">
        <v>1751</v>
      </c>
      <c r="U1359" s="198" t="s">
        <v>277</v>
      </c>
      <c r="V1359" s="198" t="s">
        <v>56</v>
      </c>
      <c r="W1359" s="198" t="s">
        <v>356</v>
      </c>
      <c r="X1359" s="198" t="s">
        <v>57</v>
      </c>
      <c r="Y1359" s="198" t="s">
        <v>58</v>
      </c>
      <c r="Z1359" s="201">
        <v>46247</v>
      </c>
      <c r="AA1359" s="198" t="s">
        <v>59</v>
      </c>
      <c r="AB1359" s="198" t="s">
        <v>60</v>
      </c>
      <c r="AC1359" s="198" t="s">
        <v>86</v>
      </c>
      <c r="AD1359" s="198" t="s">
        <v>62</v>
      </c>
      <c r="AE1359" s="198" t="s">
        <v>330</v>
      </c>
      <c r="AF1359" s="198" t="s">
        <v>329</v>
      </c>
      <c r="AG1359" s="198" t="s">
        <v>564</v>
      </c>
      <c r="AH1359" s="198" t="s">
        <v>112</v>
      </c>
      <c r="AI1359" s="198" t="s">
        <v>56</v>
      </c>
      <c r="AJ1359" s="198" t="s">
        <v>76</v>
      </c>
      <c r="AK1359" s="198" t="s">
        <v>51</v>
      </c>
      <c r="AL1359" s="198" t="s">
        <v>67</v>
      </c>
      <c r="AM1359" s="198" t="s">
        <v>68</v>
      </c>
      <c r="AN1359" s="202">
        <v>84000</v>
      </c>
      <c r="AO1359" s="202">
        <v>84000</v>
      </c>
      <c r="AP1359" s="202">
        <v>84000</v>
      </c>
      <c r="AQ1359" s="198" t="s">
        <v>358</v>
      </c>
      <c r="AR1359" s="198" t="s">
        <v>51</v>
      </c>
      <c r="AS1359" s="202">
        <v>84000</v>
      </c>
      <c r="AT1359" s="202">
        <v>84000</v>
      </c>
      <c r="AU1359" s="198" t="s">
        <v>359</v>
      </c>
      <c r="AV1359" s="198" t="s">
        <v>62</v>
      </c>
      <c r="AW1359" s="198" t="s">
        <v>54</v>
      </c>
    </row>
    <row r="1360" spans="3:49" outlineLevel="2" x14ac:dyDescent="0.25">
      <c r="C1360" s="201"/>
      <c r="D1360" s="198" t="s">
        <v>351</v>
      </c>
      <c r="H1360" s="198" t="s">
        <v>351</v>
      </c>
      <c r="I1360" s="202">
        <f t="shared" si="21"/>
        <v>565337380.05000007</v>
      </c>
      <c r="J1360" s="202">
        <v>136.9</v>
      </c>
      <c r="L1360" s="204">
        <v>330</v>
      </c>
      <c r="M1360" s="202">
        <v>986700</v>
      </c>
      <c r="N1360" s="204">
        <v>330</v>
      </c>
      <c r="O1360" s="198" t="s">
        <v>51</v>
      </c>
      <c r="P1360" s="202">
        <v>986700</v>
      </c>
      <c r="Q1360" s="198" t="s">
        <v>75</v>
      </c>
      <c r="R1360" s="198" t="s">
        <v>53</v>
      </c>
      <c r="S1360" s="198" t="s">
        <v>54</v>
      </c>
      <c r="T1360" s="198" t="s">
        <v>1751</v>
      </c>
      <c r="U1360" s="198" t="s">
        <v>277</v>
      </c>
      <c r="V1360" s="198" t="s">
        <v>56</v>
      </c>
      <c r="W1360" s="198" t="s">
        <v>356</v>
      </c>
      <c r="X1360" s="198" t="s">
        <v>57</v>
      </c>
      <c r="Y1360" s="198" t="s">
        <v>58</v>
      </c>
      <c r="Z1360" s="201">
        <v>46247</v>
      </c>
      <c r="AA1360" s="198" t="s">
        <v>59</v>
      </c>
      <c r="AB1360" s="198" t="s">
        <v>60</v>
      </c>
      <c r="AC1360" s="198" t="s">
        <v>86</v>
      </c>
      <c r="AD1360" s="198" t="s">
        <v>62</v>
      </c>
      <c r="AE1360" s="198" t="s">
        <v>332</v>
      </c>
      <c r="AF1360" s="198" t="s">
        <v>331</v>
      </c>
      <c r="AG1360" s="198" t="s">
        <v>564</v>
      </c>
      <c r="AH1360" s="198" t="s">
        <v>112</v>
      </c>
      <c r="AI1360" s="198" t="s">
        <v>56</v>
      </c>
      <c r="AJ1360" s="198" t="s">
        <v>333</v>
      </c>
      <c r="AK1360" s="198" t="s">
        <v>51</v>
      </c>
      <c r="AL1360" s="198" t="s">
        <v>67</v>
      </c>
      <c r="AM1360" s="198" t="s">
        <v>68</v>
      </c>
      <c r="AN1360" s="202">
        <v>986700</v>
      </c>
      <c r="AO1360" s="202">
        <v>986700</v>
      </c>
      <c r="AP1360" s="202">
        <v>986700</v>
      </c>
      <c r="AQ1360" s="198" t="s">
        <v>358</v>
      </c>
      <c r="AR1360" s="198" t="s">
        <v>51</v>
      </c>
      <c r="AS1360" s="202">
        <v>986700</v>
      </c>
      <c r="AT1360" s="202">
        <v>986700</v>
      </c>
      <c r="AU1360" s="198" t="s">
        <v>359</v>
      </c>
      <c r="AV1360" s="198" t="s">
        <v>62</v>
      </c>
      <c r="AW1360" s="198" t="s">
        <v>54</v>
      </c>
    </row>
    <row r="1361" spans="3:49" outlineLevel="2" x14ac:dyDescent="0.25">
      <c r="C1361" s="201"/>
      <c r="D1361" s="198" t="s">
        <v>351</v>
      </c>
      <c r="H1361" s="198" t="s">
        <v>351</v>
      </c>
      <c r="I1361" s="202">
        <f t="shared" si="21"/>
        <v>565750336.5</v>
      </c>
      <c r="J1361" s="202">
        <v>137</v>
      </c>
      <c r="L1361" s="204">
        <v>1</v>
      </c>
      <c r="M1361" s="202">
        <v>50000</v>
      </c>
      <c r="N1361" s="204">
        <v>1</v>
      </c>
      <c r="O1361" s="198" t="s">
        <v>51</v>
      </c>
      <c r="P1361" s="202">
        <v>50000</v>
      </c>
      <c r="Q1361" s="198" t="s">
        <v>335</v>
      </c>
      <c r="R1361" s="198" t="s">
        <v>53</v>
      </c>
      <c r="S1361" s="198" t="s">
        <v>54</v>
      </c>
      <c r="T1361" s="198" t="s">
        <v>1751</v>
      </c>
      <c r="U1361" s="198" t="s">
        <v>277</v>
      </c>
      <c r="V1361" s="198" t="s">
        <v>56</v>
      </c>
      <c r="W1361" s="198" t="s">
        <v>356</v>
      </c>
      <c r="X1361" s="198" t="s">
        <v>57</v>
      </c>
      <c r="Y1361" s="198" t="s">
        <v>58</v>
      </c>
      <c r="Z1361" s="201">
        <v>46247</v>
      </c>
      <c r="AA1361" s="198" t="s">
        <v>59</v>
      </c>
      <c r="AB1361" s="198" t="s">
        <v>60</v>
      </c>
      <c r="AC1361" s="198" t="s">
        <v>86</v>
      </c>
      <c r="AD1361" s="198" t="s">
        <v>62</v>
      </c>
      <c r="AE1361" s="198" t="s">
        <v>336</v>
      </c>
      <c r="AF1361" s="198" t="s">
        <v>334</v>
      </c>
      <c r="AG1361" s="198" t="s">
        <v>564</v>
      </c>
      <c r="AH1361" s="198" t="s">
        <v>112</v>
      </c>
      <c r="AI1361" s="198" t="s">
        <v>56</v>
      </c>
      <c r="AJ1361" s="198" t="s">
        <v>325</v>
      </c>
      <c r="AK1361" s="198" t="s">
        <v>51</v>
      </c>
      <c r="AL1361" s="198" t="s">
        <v>67</v>
      </c>
      <c r="AM1361" s="198" t="s">
        <v>68</v>
      </c>
      <c r="AN1361" s="202">
        <v>50000</v>
      </c>
      <c r="AO1361" s="202">
        <v>50000</v>
      </c>
      <c r="AP1361" s="202">
        <v>50000</v>
      </c>
      <c r="AQ1361" s="198" t="s">
        <v>358</v>
      </c>
      <c r="AR1361" s="198" t="s">
        <v>51</v>
      </c>
      <c r="AS1361" s="202">
        <v>50000</v>
      </c>
      <c r="AT1361" s="202">
        <v>50000</v>
      </c>
      <c r="AU1361" s="198" t="s">
        <v>359</v>
      </c>
      <c r="AV1361" s="198" t="s">
        <v>62</v>
      </c>
      <c r="AW1361" s="198" t="s">
        <v>54</v>
      </c>
    </row>
    <row r="1362" spans="3:49" outlineLevel="2" x14ac:dyDescent="0.25">
      <c r="C1362" s="201"/>
      <c r="D1362" s="198" t="s">
        <v>351</v>
      </c>
      <c r="H1362" s="198" t="s">
        <v>351</v>
      </c>
      <c r="I1362" s="202">
        <f t="shared" si="21"/>
        <v>566163292.94999993</v>
      </c>
      <c r="J1362" s="202">
        <v>137.1</v>
      </c>
      <c r="L1362" s="204">
        <v>1</v>
      </c>
      <c r="M1362" s="202">
        <v>125154</v>
      </c>
      <c r="N1362" s="204">
        <v>1</v>
      </c>
      <c r="O1362" s="198" t="s">
        <v>51</v>
      </c>
      <c r="P1362" s="202">
        <v>125154</v>
      </c>
      <c r="Q1362" s="198" t="s">
        <v>335</v>
      </c>
      <c r="R1362" s="198" t="s">
        <v>53</v>
      </c>
      <c r="S1362" s="198" t="s">
        <v>54</v>
      </c>
      <c r="T1362" s="198" t="s">
        <v>1751</v>
      </c>
      <c r="U1362" s="198" t="s">
        <v>277</v>
      </c>
      <c r="V1362" s="198" t="s">
        <v>56</v>
      </c>
      <c r="W1362" s="198" t="s">
        <v>356</v>
      </c>
      <c r="X1362" s="198" t="s">
        <v>57</v>
      </c>
      <c r="Y1362" s="198" t="s">
        <v>58</v>
      </c>
      <c r="Z1362" s="201">
        <v>46247</v>
      </c>
      <c r="AA1362" s="198" t="s">
        <v>59</v>
      </c>
      <c r="AB1362" s="198" t="s">
        <v>60</v>
      </c>
      <c r="AC1362" s="198" t="s">
        <v>86</v>
      </c>
      <c r="AD1362" s="198" t="s">
        <v>62</v>
      </c>
      <c r="AE1362" s="198" t="s">
        <v>338</v>
      </c>
      <c r="AF1362" s="198" t="s">
        <v>337</v>
      </c>
      <c r="AG1362" s="198" t="s">
        <v>564</v>
      </c>
      <c r="AH1362" s="198" t="s">
        <v>112</v>
      </c>
      <c r="AI1362" s="198" t="s">
        <v>56</v>
      </c>
      <c r="AJ1362" s="198" t="s">
        <v>74</v>
      </c>
      <c r="AK1362" s="198" t="s">
        <v>51</v>
      </c>
      <c r="AL1362" s="198" t="s">
        <v>67</v>
      </c>
      <c r="AM1362" s="198" t="s">
        <v>68</v>
      </c>
      <c r="AN1362" s="202">
        <v>125154</v>
      </c>
      <c r="AO1362" s="202">
        <v>125154</v>
      </c>
      <c r="AP1362" s="202">
        <v>125154</v>
      </c>
      <c r="AQ1362" s="198" t="s">
        <v>358</v>
      </c>
      <c r="AR1362" s="198" t="s">
        <v>51</v>
      </c>
      <c r="AS1362" s="202">
        <v>125154</v>
      </c>
      <c r="AT1362" s="202">
        <v>125154</v>
      </c>
      <c r="AU1362" s="198" t="s">
        <v>359</v>
      </c>
      <c r="AV1362" s="198" t="s">
        <v>62</v>
      </c>
      <c r="AW1362" s="198" t="s">
        <v>54</v>
      </c>
    </row>
    <row r="1363" spans="3:49" outlineLevel="2" x14ac:dyDescent="0.25">
      <c r="C1363" s="201"/>
      <c r="D1363" s="198" t="s">
        <v>351</v>
      </c>
      <c r="H1363" s="198" t="s">
        <v>351</v>
      </c>
      <c r="I1363" s="202">
        <f t="shared" si="21"/>
        <v>566576249.39999998</v>
      </c>
      <c r="J1363" s="202">
        <v>137.19999999999999</v>
      </c>
      <c r="L1363" s="204">
        <v>1</v>
      </c>
      <c r="M1363" s="202">
        <v>35000</v>
      </c>
      <c r="N1363" s="204">
        <v>1</v>
      </c>
      <c r="O1363" s="198" t="s">
        <v>51</v>
      </c>
      <c r="P1363" s="202">
        <v>35000</v>
      </c>
      <c r="Q1363" s="198" t="s">
        <v>335</v>
      </c>
      <c r="R1363" s="198" t="s">
        <v>53</v>
      </c>
      <c r="S1363" s="198" t="s">
        <v>54</v>
      </c>
      <c r="T1363" s="198" t="s">
        <v>1751</v>
      </c>
      <c r="U1363" s="198" t="s">
        <v>277</v>
      </c>
      <c r="V1363" s="198" t="s">
        <v>56</v>
      </c>
      <c r="W1363" s="198" t="s">
        <v>356</v>
      </c>
      <c r="X1363" s="198" t="s">
        <v>57</v>
      </c>
      <c r="Y1363" s="198" t="s">
        <v>58</v>
      </c>
      <c r="Z1363" s="201">
        <v>46247</v>
      </c>
      <c r="AA1363" s="198" t="s">
        <v>59</v>
      </c>
      <c r="AB1363" s="198" t="s">
        <v>60</v>
      </c>
      <c r="AC1363" s="198" t="s">
        <v>86</v>
      </c>
      <c r="AD1363" s="198" t="s">
        <v>62</v>
      </c>
      <c r="AE1363" s="198" t="s">
        <v>340</v>
      </c>
      <c r="AF1363" s="198" t="s">
        <v>339</v>
      </c>
      <c r="AG1363" s="198" t="s">
        <v>564</v>
      </c>
      <c r="AH1363" s="198" t="s">
        <v>112</v>
      </c>
      <c r="AI1363" s="198" t="s">
        <v>56</v>
      </c>
      <c r="AJ1363" s="198" t="s">
        <v>318</v>
      </c>
      <c r="AK1363" s="198" t="s">
        <v>51</v>
      </c>
      <c r="AL1363" s="198" t="s">
        <v>67</v>
      </c>
      <c r="AM1363" s="198" t="s">
        <v>68</v>
      </c>
      <c r="AN1363" s="202">
        <v>35000</v>
      </c>
      <c r="AO1363" s="202">
        <v>35000</v>
      </c>
      <c r="AP1363" s="202">
        <v>35000</v>
      </c>
      <c r="AQ1363" s="198" t="s">
        <v>358</v>
      </c>
      <c r="AR1363" s="198" t="s">
        <v>51</v>
      </c>
      <c r="AS1363" s="202">
        <v>35000</v>
      </c>
      <c r="AT1363" s="202">
        <v>35000</v>
      </c>
      <c r="AU1363" s="198" t="s">
        <v>359</v>
      </c>
      <c r="AV1363" s="198" t="s">
        <v>62</v>
      </c>
      <c r="AW1363" s="198" t="s">
        <v>54</v>
      </c>
    </row>
    <row r="1364" spans="3:49" outlineLevel="2" x14ac:dyDescent="0.25">
      <c r="C1364" s="201"/>
      <c r="D1364" s="198" t="s">
        <v>351</v>
      </c>
      <c r="H1364" s="198" t="s">
        <v>351</v>
      </c>
      <c r="I1364" s="202">
        <f t="shared" si="21"/>
        <v>566989205.85000002</v>
      </c>
      <c r="J1364" s="202">
        <v>137.30000000000001</v>
      </c>
      <c r="L1364" s="204">
        <v>1</v>
      </c>
      <c r="M1364" s="202">
        <v>35000</v>
      </c>
      <c r="N1364" s="204">
        <v>1</v>
      </c>
      <c r="O1364" s="198" t="s">
        <v>51</v>
      </c>
      <c r="P1364" s="202">
        <v>35000</v>
      </c>
      <c r="Q1364" s="198" t="s">
        <v>342</v>
      </c>
      <c r="R1364" s="198" t="s">
        <v>53</v>
      </c>
      <c r="S1364" s="198" t="s">
        <v>54</v>
      </c>
      <c r="T1364" s="198" t="s">
        <v>1751</v>
      </c>
      <c r="U1364" s="198" t="s">
        <v>277</v>
      </c>
      <c r="V1364" s="198" t="s">
        <v>56</v>
      </c>
      <c r="W1364" s="198" t="s">
        <v>356</v>
      </c>
      <c r="X1364" s="198" t="s">
        <v>57</v>
      </c>
      <c r="Y1364" s="198" t="s">
        <v>58</v>
      </c>
      <c r="Z1364" s="201">
        <v>46247</v>
      </c>
      <c r="AA1364" s="198" t="s">
        <v>59</v>
      </c>
      <c r="AB1364" s="198" t="s">
        <v>60</v>
      </c>
      <c r="AC1364" s="198" t="s">
        <v>86</v>
      </c>
      <c r="AD1364" s="198" t="s">
        <v>62</v>
      </c>
      <c r="AE1364" s="198" t="s">
        <v>343</v>
      </c>
      <c r="AF1364" s="198" t="s">
        <v>341</v>
      </c>
      <c r="AG1364" s="198" t="s">
        <v>564</v>
      </c>
      <c r="AH1364" s="198" t="s">
        <v>112</v>
      </c>
      <c r="AI1364" s="198" t="s">
        <v>56</v>
      </c>
      <c r="AJ1364" s="198" t="s">
        <v>344</v>
      </c>
      <c r="AK1364" s="198" t="s">
        <v>51</v>
      </c>
      <c r="AL1364" s="198" t="s">
        <v>67</v>
      </c>
      <c r="AM1364" s="198" t="s">
        <v>68</v>
      </c>
      <c r="AN1364" s="202">
        <v>35000</v>
      </c>
      <c r="AO1364" s="202">
        <v>35000</v>
      </c>
      <c r="AP1364" s="202">
        <v>35000</v>
      </c>
      <c r="AQ1364" s="198" t="s">
        <v>358</v>
      </c>
      <c r="AR1364" s="198" t="s">
        <v>51</v>
      </c>
      <c r="AS1364" s="202">
        <v>35000</v>
      </c>
      <c r="AT1364" s="202">
        <v>35000</v>
      </c>
      <c r="AU1364" s="198" t="s">
        <v>359</v>
      </c>
      <c r="AV1364" s="198" t="s">
        <v>62</v>
      </c>
      <c r="AW1364" s="198" t="s">
        <v>54</v>
      </c>
    </row>
    <row r="1365" spans="3:49" outlineLevel="2" x14ac:dyDescent="0.25">
      <c r="C1365" s="201"/>
      <c r="D1365" s="198" t="s">
        <v>351</v>
      </c>
      <c r="H1365" s="198" t="s">
        <v>351</v>
      </c>
      <c r="I1365" s="202">
        <f t="shared" si="21"/>
        <v>567402162.30000007</v>
      </c>
      <c r="J1365" s="202">
        <v>137.4</v>
      </c>
      <c r="L1365" s="204">
        <v>1</v>
      </c>
      <c r="M1365" s="202">
        <v>1070000</v>
      </c>
      <c r="N1365" s="204">
        <v>1</v>
      </c>
      <c r="O1365" s="198" t="s">
        <v>51</v>
      </c>
      <c r="P1365" s="202">
        <v>1070000</v>
      </c>
      <c r="Q1365" s="198" t="s">
        <v>342</v>
      </c>
      <c r="R1365" s="198" t="s">
        <v>53</v>
      </c>
      <c r="S1365" s="198" t="s">
        <v>54</v>
      </c>
      <c r="T1365" s="198" t="s">
        <v>1751</v>
      </c>
      <c r="U1365" s="198" t="s">
        <v>277</v>
      </c>
      <c r="V1365" s="198" t="s">
        <v>56</v>
      </c>
      <c r="W1365" s="198" t="s">
        <v>356</v>
      </c>
      <c r="X1365" s="198" t="s">
        <v>57</v>
      </c>
      <c r="Y1365" s="198" t="s">
        <v>58</v>
      </c>
      <c r="Z1365" s="201">
        <v>46247</v>
      </c>
      <c r="AA1365" s="198" t="s">
        <v>59</v>
      </c>
      <c r="AB1365" s="198" t="s">
        <v>60</v>
      </c>
      <c r="AC1365" s="198" t="s">
        <v>86</v>
      </c>
      <c r="AD1365" s="198" t="s">
        <v>62</v>
      </c>
      <c r="AE1365" s="198" t="s">
        <v>346</v>
      </c>
      <c r="AF1365" s="198" t="s">
        <v>345</v>
      </c>
      <c r="AG1365" s="198" t="s">
        <v>564</v>
      </c>
      <c r="AH1365" s="198" t="s">
        <v>112</v>
      </c>
      <c r="AI1365" s="198" t="s">
        <v>56</v>
      </c>
      <c r="AJ1365" s="198" t="s">
        <v>121</v>
      </c>
      <c r="AK1365" s="198" t="s">
        <v>51</v>
      </c>
      <c r="AL1365" s="198" t="s">
        <v>67</v>
      </c>
      <c r="AM1365" s="198" t="s">
        <v>68</v>
      </c>
      <c r="AN1365" s="202">
        <v>1070000</v>
      </c>
      <c r="AO1365" s="202">
        <v>1070000</v>
      </c>
      <c r="AP1365" s="202">
        <v>1070000</v>
      </c>
      <c r="AQ1365" s="198" t="s">
        <v>358</v>
      </c>
      <c r="AR1365" s="198" t="s">
        <v>51</v>
      </c>
      <c r="AS1365" s="202">
        <v>1070000</v>
      </c>
      <c r="AT1365" s="202">
        <v>1070000</v>
      </c>
      <c r="AU1365" s="198" t="s">
        <v>359</v>
      </c>
      <c r="AV1365" s="198" t="s">
        <v>62</v>
      </c>
      <c r="AW1365" s="198" t="s">
        <v>54</v>
      </c>
    </row>
    <row r="1366" spans="3:49" outlineLevel="2" x14ac:dyDescent="0.25">
      <c r="C1366" s="201"/>
      <c r="D1366" s="198" t="s">
        <v>351</v>
      </c>
      <c r="H1366" s="198" t="s">
        <v>351</v>
      </c>
      <c r="I1366" s="202">
        <f t="shared" si="21"/>
        <v>567815118.75</v>
      </c>
      <c r="J1366" s="202">
        <v>137.5</v>
      </c>
      <c r="L1366" s="204">
        <v>1</v>
      </c>
      <c r="M1366" s="202">
        <v>1989718</v>
      </c>
      <c r="N1366" s="204">
        <v>1</v>
      </c>
      <c r="O1366" s="198" t="s">
        <v>51</v>
      </c>
      <c r="P1366" s="202">
        <v>1989718</v>
      </c>
      <c r="Q1366" s="198" t="s">
        <v>159</v>
      </c>
      <c r="R1366" s="198" t="s">
        <v>160</v>
      </c>
      <c r="S1366" s="198" t="s">
        <v>54</v>
      </c>
      <c r="T1366" s="198" t="s">
        <v>1751</v>
      </c>
      <c r="U1366" s="198" t="s">
        <v>277</v>
      </c>
      <c r="V1366" s="198" t="s">
        <v>56</v>
      </c>
      <c r="W1366" s="198" t="s">
        <v>356</v>
      </c>
      <c r="X1366" s="198" t="s">
        <v>161</v>
      </c>
      <c r="Y1366" s="198" t="s">
        <v>162</v>
      </c>
      <c r="Z1366" s="201">
        <v>46247</v>
      </c>
      <c r="AA1366" s="198" t="s">
        <v>59</v>
      </c>
      <c r="AB1366" s="198" t="s">
        <v>60</v>
      </c>
      <c r="AC1366" s="198" t="s">
        <v>86</v>
      </c>
      <c r="AD1366" s="198" t="s">
        <v>62</v>
      </c>
      <c r="AE1366" s="198" t="s">
        <v>54</v>
      </c>
      <c r="AF1366" s="198" t="s">
        <v>54</v>
      </c>
      <c r="AG1366" s="198" t="s">
        <v>564</v>
      </c>
      <c r="AH1366" s="198" t="s">
        <v>112</v>
      </c>
      <c r="AI1366" s="198" t="s">
        <v>56</v>
      </c>
      <c r="AJ1366" s="198" t="s">
        <v>163</v>
      </c>
      <c r="AK1366" s="198" t="s">
        <v>51</v>
      </c>
      <c r="AL1366" s="198" t="s">
        <v>67</v>
      </c>
      <c r="AM1366" s="198" t="s">
        <v>68</v>
      </c>
      <c r="AN1366" s="202">
        <v>1989718</v>
      </c>
      <c r="AO1366" s="202">
        <v>1989718</v>
      </c>
      <c r="AP1366" s="202">
        <v>1989718</v>
      </c>
      <c r="AQ1366" s="198" t="s">
        <v>358</v>
      </c>
      <c r="AR1366" s="198" t="s">
        <v>51</v>
      </c>
      <c r="AS1366" s="202">
        <v>1989718</v>
      </c>
      <c r="AT1366" s="202">
        <v>1989718</v>
      </c>
      <c r="AU1366" s="198" t="s">
        <v>359</v>
      </c>
      <c r="AV1366" s="198" t="s">
        <v>62</v>
      </c>
      <c r="AW1366" s="198" t="s">
        <v>54</v>
      </c>
    </row>
    <row r="1367" spans="3:49" outlineLevel="2" x14ac:dyDescent="0.25">
      <c r="C1367" s="201"/>
      <c r="D1367" s="198" t="s">
        <v>690</v>
      </c>
      <c r="H1367" s="198" t="s">
        <v>690</v>
      </c>
      <c r="I1367" s="202">
        <f t="shared" si="21"/>
        <v>568228075.19999993</v>
      </c>
      <c r="J1367" s="202">
        <v>137.6</v>
      </c>
      <c r="L1367" s="204">
        <v>240</v>
      </c>
      <c r="M1367" s="202">
        <v>617481502.55999994</v>
      </c>
      <c r="N1367" s="204">
        <v>240</v>
      </c>
      <c r="O1367" s="198" t="s">
        <v>286</v>
      </c>
      <c r="P1367" s="202">
        <v>6832800</v>
      </c>
      <c r="Q1367" s="198" t="s">
        <v>73</v>
      </c>
      <c r="R1367" s="198" t="s">
        <v>53</v>
      </c>
      <c r="S1367" s="198" t="s">
        <v>54</v>
      </c>
      <c r="T1367" s="198" t="s">
        <v>693</v>
      </c>
      <c r="U1367" s="198" t="s">
        <v>277</v>
      </c>
      <c r="V1367" s="198" t="s">
        <v>56</v>
      </c>
      <c r="W1367" s="198" t="s">
        <v>356</v>
      </c>
      <c r="X1367" s="198" t="s">
        <v>57</v>
      </c>
      <c r="Y1367" s="198" t="s">
        <v>58</v>
      </c>
      <c r="Z1367" s="201">
        <v>46265</v>
      </c>
      <c r="AA1367" s="198" t="s">
        <v>59</v>
      </c>
      <c r="AB1367" s="198" t="s">
        <v>694</v>
      </c>
      <c r="AC1367" s="198" t="s">
        <v>86</v>
      </c>
      <c r="AD1367" s="198" t="s">
        <v>62</v>
      </c>
      <c r="AE1367" s="198" t="s">
        <v>695</v>
      </c>
      <c r="AF1367" s="198" t="s">
        <v>692</v>
      </c>
      <c r="AG1367" s="198" t="s">
        <v>564</v>
      </c>
      <c r="AH1367" s="198" t="s">
        <v>126</v>
      </c>
      <c r="AI1367" s="198" t="s">
        <v>56</v>
      </c>
      <c r="AJ1367" s="198" t="s">
        <v>74</v>
      </c>
      <c r="AK1367" s="198" t="s">
        <v>51</v>
      </c>
      <c r="AL1367" s="198" t="s">
        <v>67</v>
      </c>
      <c r="AM1367" s="198" t="s">
        <v>68</v>
      </c>
      <c r="AN1367" s="202">
        <v>617481502.55999994</v>
      </c>
      <c r="AO1367" s="202">
        <v>617481502.55999994</v>
      </c>
      <c r="AP1367" s="202">
        <v>6832800</v>
      </c>
      <c r="AQ1367" s="198" t="s">
        <v>358</v>
      </c>
      <c r="AR1367" s="198" t="s">
        <v>51</v>
      </c>
      <c r="AS1367" s="202">
        <v>617481502.55999994</v>
      </c>
      <c r="AT1367" s="202">
        <v>617481502.55999994</v>
      </c>
      <c r="AU1367" s="198" t="s">
        <v>359</v>
      </c>
      <c r="AV1367" s="198" t="s">
        <v>62</v>
      </c>
      <c r="AW1367" s="198" t="s">
        <v>54</v>
      </c>
    </row>
    <row r="1368" spans="3:49" outlineLevel="2" x14ac:dyDescent="0.25">
      <c r="C1368" s="201"/>
      <c r="D1368" s="198" t="s">
        <v>696</v>
      </c>
      <c r="H1368" s="198" t="s">
        <v>696</v>
      </c>
      <c r="I1368" s="202">
        <f t="shared" si="21"/>
        <v>568641031.64999998</v>
      </c>
      <c r="J1368" s="202">
        <v>137.69999999999999</v>
      </c>
      <c r="L1368" s="204">
        <v>384</v>
      </c>
      <c r="M1368" s="202">
        <v>988168281.98000002</v>
      </c>
      <c r="N1368" s="204">
        <v>384</v>
      </c>
      <c r="O1368" s="198" t="s">
        <v>286</v>
      </c>
      <c r="P1368" s="202">
        <v>10932480</v>
      </c>
      <c r="Q1368" s="198" t="s">
        <v>73</v>
      </c>
      <c r="R1368" s="198" t="s">
        <v>53</v>
      </c>
      <c r="S1368" s="198" t="s">
        <v>54</v>
      </c>
      <c r="T1368" s="198" t="s">
        <v>693</v>
      </c>
      <c r="U1368" s="198" t="s">
        <v>277</v>
      </c>
      <c r="V1368" s="198" t="s">
        <v>56</v>
      </c>
      <c r="W1368" s="198" t="s">
        <v>356</v>
      </c>
      <c r="X1368" s="198" t="s">
        <v>57</v>
      </c>
      <c r="Y1368" s="198" t="s">
        <v>58</v>
      </c>
      <c r="Z1368" s="201">
        <v>46280</v>
      </c>
      <c r="AA1368" s="198" t="s">
        <v>59</v>
      </c>
      <c r="AB1368" s="198" t="s">
        <v>697</v>
      </c>
      <c r="AC1368" s="198" t="s">
        <v>86</v>
      </c>
      <c r="AD1368" s="198" t="s">
        <v>62</v>
      </c>
      <c r="AE1368" s="198" t="s">
        <v>695</v>
      </c>
      <c r="AF1368" s="198" t="s">
        <v>692</v>
      </c>
      <c r="AG1368" s="198" t="s">
        <v>214</v>
      </c>
      <c r="AH1368" s="198" t="s">
        <v>132</v>
      </c>
      <c r="AI1368" s="198" t="s">
        <v>56</v>
      </c>
      <c r="AJ1368" s="198" t="s">
        <v>74</v>
      </c>
      <c r="AK1368" s="198" t="s">
        <v>51</v>
      </c>
      <c r="AL1368" s="198" t="s">
        <v>67</v>
      </c>
      <c r="AM1368" s="198" t="s">
        <v>68</v>
      </c>
      <c r="AN1368" s="202">
        <v>988168281.98000002</v>
      </c>
      <c r="AO1368" s="202">
        <v>988168281.98000002</v>
      </c>
      <c r="AP1368" s="202">
        <v>10932480</v>
      </c>
      <c r="AQ1368" s="198" t="s">
        <v>358</v>
      </c>
      <c r="AR1368" s="198" t="s">
        <v>51</v>
      </c>
      <c r="AS1368" s="202">
        <v>988168281.98000002</v>
      </c>
      <c r="AT1368" s="202">
        <v>988168281.98000002</v>
      </c>
      <c r="AU1368" s="198" t="s">
        <v>359</v>
      </c>
      <c r="AV1368" s="198" t="s">
        <v>62</v>
      </c>
      <c r="AW1368" s="198" t="s">
        <v>54</v>
      </c>
    </row>
    <row r="1369" spans="3:49" outlineLevel="2" x14ac:dyDescent="0.25">
      <c r="C1369" s="201"/>
      <c r="D1369" s="198" t="s">
        <v>698</v>
      </c>
      <c r="H1369" s="198" t="s">
        <v>698</v>
      </c>
      <c r="I1369" s="202">
        <f t="shared" si="21"/>
        <v>569053988.10000002</v>
      </c>
      <c r="J1369" s="202">
        <v>137.80000000000001</v>
      </c>
      <c r="L1369" s="204">
        <v>432</v>
      </c>
      <c r="M1369" s="202">
        <v>1107003587.76</v>
      </c>
      <c r="N1369" s="204">
        <v>144</v>
      </c>
      <c r="O1369" s="198" t="s">
        <v>286</v>
      </c>
      <c r="P1369" s="202">
        <v>3712759.48</v>
      </c>
      <c r="Q1369" s="198" t="s">
        <v>73</v>
      </c>
      <c r="R1369" s="198" t="s">
        <v>53</v>
      </c>
      <c r="S1369" s="198" t="s">
        <v>54</v>
      </c>
      <c r="T1369" s="198" t="s">
        <v>699</v>
      </c>
      <c r="U1369" s="198" t="s">
        <v>2078</v>
      </c>
      <c r="V1369" s="198" t="s">
        <v>56</v>
      </c>
      <c r="W1369" s="198" t="s">
        <v>356</v>
      </c>
      <c r="X1369" s="198" t="s">
        <v>57</v>
      </c>
      <c r="Y1369" s="198" t="s">
        <v>58</v>
      </c>
      <c r="Z1369" s="201">
        <v>46265</v>
      </c>
      <c r="AA1369" s="198" t="s">
        <v>59</v>
      </c>
      <c r="AB1369" s="198" t="s">
        <v>697</v>
      </c>
      <c r="AC1369" s="198" t="s">
        <v>86</v>
      </c>
      <c r="AD1369" s="198" t="s">
        <v>62</v>
      </c>
      <c r="AE1369" s="198" t="s">
        <v>695</v>
      </c>
      <c r="AF1369" s="198" t="s">
        <v>692</v>
      </c>
      <c r="AG1369" s="198" t="s">
        <v>564</v>
      </c>
      <c r="AH1369" s="198" t="s">
        <v>130</v>
      </c>
      <c r="AI1369" s="198" t="s">
        <v>56</v>
      </c>
      <c r="AJ1369" s="198" t="s">
        <v>74</v>
      </c>
      <c r="AK1369" s="198" t="s">
        <v>51</v>
      </c>
      <c r="AL1369" s="198" t="s">
        <v>67</v>
      </c>
      <c r="AM1369" s="198" t="s">
        <v>68</v>
      </c>
      <c r="AN1369" s="202">
        <v>1107003587.76</v>
      </c>
      <c r="AO1369" s="202">
        <v>1107003587.76</v>
      </c>
      <c r="AP1369" s="202">
        <v>12247200</v>
      </c>
      <c r="AQ1369" s="198" t="s">
        <v>358</v>
      </c>
      <c r="AR1369" s="198" t="s">
        <v>51</v>
      </c>
      <c r="AS1369" s="202">
        <v>335590017.83999997</v>
      </c>
      <c r="AT1369" s="202">
        <v>335590017.83999997</v>
      </c>
      <c r="AU1369" s="198" t="s">
        <v>359</v>
      </c>
      <c r="AV1369" s="198" t="s">
        <v>62</v>
      </c>
      <c r="AW1369" s="198" t="s">
        <v>54</v>
      </c>
    </row>
    <row r="1370" spans="3:49" outlineLevel="2" x14ac:dyDescent="0.25">
      <c r="C1370" s="201"/>
      <c r="D1370" s="198" t="s">
        <v>700</v>
      </c>
      <c r="H1370" s="198" t="s">
        <v>700</v>
      </c>
      <c r="I1370" s="202">
        <f t="shared" si="21"/>
        <v>569466944.55000007</v>
      </c>
      <c r="J1370" s="202">
        <v>137.9</v>
      </c>
      <c r="L1370" s="204">
        <v>432</v>
      </c>
      <c r="M1370" s="202">
        <v>1105376220</v>
      </c>
      <c r="N1370" s="204">
        <v>432</v>
      </c>
      <c r="O1370" s="198" t="s">
        <v>286</v>
      </c>
      <c r="P1370" s="202">
        <v>12299040</v>
      </c>
      <c r="Q1370" s="198" t="s">
        <v>73</v>
      </c>
      <c r="R1370" s="198" t="s">
        <v>53</v>
      </c>
      <c r="S1370" s="198" t="s">
        <v>54</v>
      </c>
      <c r="T1370" s="198" t="s">
        <v>693</v>
      </c>
      <c r="U1370" s="198" t="s">
        <v>277</v>
      </c>
      <c r="V1370" s="198" t="s">
        <v>56</v>
      </c>
      <c r="W1370" s="198" t="s">
        <v>356</v>
      </c>
      <c r="X1370" s="198" t="s">
        <v>57</v>
      </c>
      <c r="Y1370" s="198" t="s">
        <v>58</v>
      </c>
      <c r="Z1370" s="201">
        <v>46325</v>
      </c>
      <c r="AA1370" s="198" t="s">
        <v>59</v>
      </c>
      <c r="AB1370" s="198" t="s">
        <v>2052</v>
      </c>
      <c r="AC1370" s="198" t="s">
        <v>86</v>
      </c>
      <c r="AD1370" s="198" t="s">
        <v>62</v>
      </c>
      <c r="AE1370" s="198" t="s">
        <v>695</v>
      </c>
      <c r="AF1370" s="198" t="s">
        <v>692</v>
      </c>
      <c r="AG1370" s="198" t="s">
        <v>235</v>
      </c>
      <c r="AH1370" s="198" t="s">
        <v>137</v>
      </c>
      <c r="AI1370" s="198" t="s">
        <v>56</v>
      </c>
      <c r="AJ1370" s="198" t="s">
        <v>74</v>
      </c>
      <c r="AK1370" s="198" t="s">
        <v>51</v>
      </c>
      <c r="AL1370" s="198" t="s">
        <v>67</v>
      </c>
      <c r="AM1370" s="198" t="s">
        <v>68</v>
      </c>
      <c r="AN1370" s="202">
        <v>1105376220</v>
      </c>
      <c r="AO1370" s="202">
        <v>1105376220</v>
      </c>
      <c r="AP1370" s="202">
        <v>12299040</v>
      </c>
      <c r="AQ1370" s="198" t="s">
        <v>358</v>
      </c>
      <c r="AR1370" s="198" t="s">
        <v>51</v>
      </c>
      <c r="AS1370" s="202">
        <v>1105376220</v>
      </c>
      <c r="AT1370" s="202">
        <v>1105376220</v>
      </c>
      <c r="AU1370" s="198" t="s">
        <v>359</v>
      </c>
      <c r="AV1370" s="198" t="s">
        <v>62</v>
      </c>
      <c r="AW1370" s="198" t="s">
        <v>54</v>
      </c>
    </row>
    <row r="1371" spans="3:49" outlineLevel="2" x14ac:dyDescent="0.25">
      <c r="C1371" s="201"/>
      <c r="D1371" s="198" t="s">
        <v>701</v>
      </c>
      <c r="H1371" s="198" t="s">
        <v>701</v>
      </c>
      <c r="I1371" s="202">
        <f t="shared" si="21"/>
        <v>569879901</v>
      </c>
      <c r="J1371" s="202">
        <v>138</v>
      </c>
      <c r="L1371" s="204">
        <v>168</v>
      </c>
      <c r="M1371" s="202">
        <v>428056650</v>
      </c>
      <c r="N1371" s="204">
        <v>168</v>
      </c>
      <c r="O1371" s="198" t="s">
        <v>286</v>
      </c>
      <c r="P1371" s="202">
        <v>4762800</v>
      </c>
      <c r="Q1371" s="198" t="s">
        <v>73</v>
      </c>
      <c r="R1371" s="198" t="s">
        <v>53</v>
      </c>
      <c r="S1371" s="198" t="s">
        <v>54</v>
      </c>
      <c r="T1371" s="198" t="s">
        <v>2053</v>
      </c>
      <c r="U1371" s="198" t="s">
        <v>80</v>
      </c>
      <c r="V1371" s="198" t="s">
        <v>56</v>
      </c>
      <c r="W1371" s="198" t="s">
        <v>356</v>
      </c>
      <c r="X1371" s="198" t="s">
        <v>57</v>
      </c>
      <c r="Y1371" s="198" t="s">
        <v>58</v>
      </c>
      <c r="Z1371" s="201">
        <v>46295</v>
      </c>
      <c r="AA1371" s="198" t="s">
        <v>59</v>
      </c>
      <c r="AB1371" s="198" t="s">
        <v>2052</v>
      </c>
      <c r="AC1371" s="198" t="s">
        <v>86</v>
      </c>
      <c r="AD1371" s="198" t="s">
        <v>62</v>
      </c>
      <c r="AE1371" s="198" t="s">
        <v>695</v>
      </c>
      <c r="AF1371" s="198" t="s">
        <v>692</v>
      </c>
      <c r="AG1371" s="198" t="s">
        <v>214</v>
      </c>
      <c r="AH1371" s="198" t="s">
        <v>117</v>
      </c>
      <c r="AI1371" s="198" t="s">
        <v>56</v>
      </c>
      <c r="AJ1371" s="198" t="s">
        <v>74</v>
      </c>
      <c r="AK1371" s="198" t="s">
        <v>51</v>
      </c>
      <c r="AL1371" s="198" t="s">
        <v>67</v>
      </c>
      <c r="AM1371" s="198" t="s">
        <v>68</v>
      </c>
      <c r="AN1371" s="202">
        <v>428056650</v>
      </c>
      <c r="AO1371" s="202">
        <v>428056650</v>
      </c>
      <c r="AP1371" s="202">
        <v>4762800</v>
      </c>
      <c r="AQ1371" s="198" t="s">
        <v>358</v>
      </c>
      <c r="AR1371" s="198" t="s">
        <v>51</v>
      </c>
      <c r="AS1371" s="202">
        <v>428056650</v>
      </c>
      <c r="AT1371" s="202">
        <v>428056650</v>
      </c>
      <c r="AU1371" s="198" t="s">
        <v>359</v>
      </c>
      <c r="AV1371" s="198" t="s">
        <v>62</v>
      </c>
      <c r="AW1371" s="198" t="s">
        <v>54</v>
      </c>
    </row>
    <row r="1372" spans="3:49" outlineLevel="2" x14ac:dyDescent="0.25">
      <c r="C1372" s="201"/>
      <c r="D1372" s="198" t="s">
        <v>702</v>
      </c>
      <c r="H1372" s="198" t="s">
        <v>702</v>
      </c>
      <c r="I1372" s="202">
        <f t="shared" si="21"/>
        <v>570292857.44999993</v>
      </c>
      <c r="J1372" s="202">
        <v>138.1</v>
      </c>
      <c r="L1372" s="204">
        <v>448</v>
      </c>
      <c r="M1372" s="202">
        <v>1141484400</v>
      </c>
      <c r="N1372" s="204">
        <v>448</v>
      </c>
      <c r="O1372" s="198" t="s">
        <v>286</v>
      </c>
      <c r="P1372" s="202">
        <v>12700800</v>
      </c>
      <c r="Q1372" s="198" t="s">
        <v>73</v>
      </c>
      <c r="R1372" s="198" t="s">
        <v>53</v>
      </c>
      <c r="S1372" s="198" t="s">
        <v>54</v>
      </c>
      <c r="T1372" s="198" t="s">
        <v>699</v>
      </c>
      <c r="U1372" s="198" t="s">
        <v>80</v>
      </c>
      <c r="V1372" s="198" t="s">
        <v>56</v>
      </c>
      <c r="W1372" s="198" t="s">
        <v>356</v>
      </c>
      <c r="X1372" s="198" t="s">
        <v>57</v>
      </c>
      <c r="Y1372" s="198" t="s">
        <v>58</v>
      </c>
      <c r="Z1372" s="201">
        <v>46259</v>
      </c>
      <c r="AA1372" s="198" t="s">
        <v>59</v>
      </c>
      <c r="AB1372" s="198" t="s">
        <v>2052</v>
      </c>
      <c r="AC1372" s="198" t="s">
        <v>86</v>
      </c>
      <c r="AD1372" s="198" t="s">
        <v>62</v>
      </c>
      <c r="AE1372" s="198" t="s">
        <v>695</v>
      </c>
      <c r="AF1372" s="198" t="s">
        <v>692</v>
      </c>
      <c r="AG1372" s="198" t="s">
        <v>564</v>
      </c>
      <c r="AH1372" s="198" t="s">
        <v>134</v>
      </c>
      <c r="AI1372" s="198" t="s">
        <v>56</v>
      </c>
      <c r="AJ1372" s="198" t="s">
        <v>74</v>
      </c>
      <c r="AK1372" s="198" t="s">
        <v>51</v>
      </c>
      <c r="AL1372" s="198" t="s">
        <v>67</v>
      </c>
      <c r="AM1372" s="198" t="s">
        <v>68</v>
      </c>
      <c r="AN1372" s="202">
        <v>1141484400</v>
      </c>
      <c r="AO1372" s="202">
        <v>1141484400</v>
      </c>
      <c r="AP1372" s="202">
        <v>12700800</v>
      </c>
      <c r="AQ1372" s="198" t="s">
        <v>358</v>
      </c>
      <c r="AR1372" s="198" t="s">
        <v>51</v>
      </c>
      <c r="AS1372" s="202">
        <v>1141484400</v>
      </c>
      <c r="AT1372" s="202">
        <v>1141484400</v>
      </c>
      <c r="AU1372" s="198" t="s">
        <v>359</v>
      </c>
      <c r="AV1372" s="198" t="s">
        <v>62</v>
      </c>
      <c r="AW1372" s="198" t="s">
        <v>54</v>
      </c>
    </row>
    <row r="1373" spans="3:49" outlineLevel="2" x14ac:dyDescent="0.25">
      <c r="C1373" s="201"/>
      <c r="D1373" s="198" t="s">
        <v>703</v>
      </c>
      <c r="H1373" s="198" t="s">
        <v>703</v>
      </c>
      <c r="I1373" s="202">
        <f t="shared" si="21"/>
        <v>570705813.89999998</v>
      </c>
      <c r="J1373" s="202">
        <v>138.19999999999999</v>
      </c>
      <c r="L1373" s="204">
        <v>168</v>
      </c>
      <c r="M1373" s="202">
        <v>5087406545.9300003</v>
      </c>
      <c r="N1373" s="204">
        <v>168</v>
      </c>
      <c r="O1373" s="198" t="s">
        <v>286</v>
      </c>
      <c r="P1373" s="202">
        <v>56448840</v>
      </c>
      <c r="Q1373" s="198" t="s">
        <v>73</v>
      </c>
      <c r="R1373" s="198" t="s">
        <v>53</v>
      </c>
      <c r="S1373" s="198" t="s">
        <v>54</v>
      </c>
      <c r="T1373" s="198" t="s">
        <v>2054</v>
      </c>
      <c r="U1373" s="198" t="s">
        <v>2041</v>
      </c>
      <c r="V1373" s="198" t="s">
        <v>56</v>
      </c>
      <c r="W1373" s="198" t="s">
        <v>356</v>
      </c>
      <c r="X1373" s="198" t="s">
        <v>57</v>
      </c>
      <c r="Y1373" s="198" t="s">
        <v>58</v>
      </c>
      <c r="Z1373" s="201">
        <v>46326</v>
      </c>
      <c r="AA1373" s="198" t="s">
        <v>59</v>
      </c>
      <c r="AB1373" s="198" t="s">
        <v>2055</v>
      </c>
      <c r="AC1373" s="198" t="s">
        <v>86</v>
      </c>
      <c r="AD1373" s="198" t="s">
        <v>62</v>
      </c>
      <c r="AE1373" s="198" t="s">
        <v>706</v>
      </c>
      <c r="AF1373" s="198" t="s">
        <v>705</v>
      </c>
      <c r="AG1373" s="198" t="s">
        <v>235</v>
      </c>
      <c r="AH1373" s="198" t="s">
        <v>117</v>
      </c>
      <c r="AI1373" s="198" t="s">
        <v>56</v>
      </c>
      <c r="AJ1373" s="198" t="s">
        <v>74</v>
      </c>
      <c r="AK1373" s="198" t="s">
        <v>51</v>
      </c>
      <c r="AL1373" s="198" t="s">
        <v>67</v>
      </c>
      <c r="AM1373" s="198" t="s">
        <v>68</v>
      </c>
      <c r="AN1373" s="202">
        <v>5087406545.9300003</v>
      </c>
      <c r="AO1373" s="202">
        <v>5087406545.9300003</v>
      </c>
      <c r="AP1373" s="202">
        <v>56448840</v>
      </c>
      <c r="AQ1373" s="198" t="s">
        <v>358</v>
      </c>
      <c r="AR1373" s="198" t="s">
        <v>51</v>
      </c>
      <c r="AS1373" s="202">
        <v>5087406545.9300003</v>
      </c>
      <c r="AT1373" s="202">
        <v>5087406545.9300003</v>
      </c>
      <c r="AU1373" s="198" t="s">
        <v>359</v>
      </c>
      <c r="AV1373" s="198" t="s">
        <v>62</v>
      </c>
      <c r="AW1373" s="198" t="s">
        <v>54</v>
      </c>
    </row>
    <row r="1374" spans="3:49" outlineLevel="2" x14ac:dyDescent="0.25">
      <c r="C1374" s="201"/>
      <c r="D1374" s="198" t="s">
        <v>707</v>
      </c>
      <c r="H1374" s="198" t="s">
        <v>707</v>
      </c>
      <c r="I1374" s="202">
        <f t="shared" si="21"/>
        <v>571118770.35000002</v>
      </c>
      <c r="J1374" s="202">
        <v>138.30000000000001</v>
      </c>
      <c r="L1374" s="204">
        <v>240</v>
      </c>
      <c r="M1374" s="202">
        <v>7289617722.8400002</v>
      </c>
      <c r="N1374" s="204">
        <v>202</v>
      </c>
      <c r="O1374" s="198" t="s">
        <v>286</v>
      </c>
      <c r="P1374" s="202">
        <v>67287935.390000001</v>
      </c>
      <c r="Q1374" s="198" t="s">
        <v>73</v>
      </c>
      <c r="R1374" s="198" t="s">
        <v>53</v>
      </c>
      <c r="S1374" s="198" t="s">
        <v>54</v>
      </c>
      <c r="T1374" s="198" t="s">
        <v>708</v>
      </c>
      <c r="U1374" s="198" t="s">
        <v>2082</v>
      </c>
      <c r="V1374" s="198" t="s">
        <v>56</v>
      </c>
      <c r="W1374" s="198" t="s">
        <v>356</v>
      </c>
      <c r="X1374" s="198" t="s">
        <v>57</v>
      </c>
      <c r="Y1374" s="198" t="s">
        <v>58</v>
      </c>
      <c r="Z1374" s="201">
        <v>46203</v>
      </c>
      <c r="AA1374" s="198" t="s">
        <v>59</v>
      </c>
      <c r="AB1374" s="198" t="s">
        <v>709</v>
      </c>
      <c r="AC1374" s="198" t="s">
        <v>86</v>
      </c>
      <c r="AD1374" s="198" t="s">
        <v>62</v>
      </c>
      <c r="AE1374" s="198" t="s">
        <v>706</v>
      </c>
      <c r="AF1374" s="198" t="s">
        <v>705</v>
      </c>
      <c r="AG1374" s="198" t="s">
        <v>189</v>
      </c>
      <c r="AH1374" s="198" t="s">
        <v>126</v>
      </c>
      <c r="AI1374" s="198" t="s">
        <v>56</v>
      </c>
      <c r="AJ1374" s="198" t="s">
        <v>74</v>
      </c>
      <c r="AK1374" s="198" t="s">
        <v>51</v>
      </c>
      <c r="AL1374" s="198" t="s">
        <v>67</v>
      </c>
      <c r="AM1374" s="198" t="s">
        <v>68</v>
      </c>
      <c r="AN1374" s="202">
        <v>7289617722.8400002</v>
      </c>
      <c r="AO1374" s="202">
        <v>7289617722.8400002</v>
      </c>
      <c r="AP1374" s="202">
        <v>80641200</v>
      </c>
      <c r="AQ1374" s="198" t="s">
        <v>358</v>
      </c>
      <c r="AR1374" s="198" t="s">
        <v>51</v>
      </c>
      <c r="AS1374" s="202">
        <v>6082540021.4399996</v>
      </c>
      <c r="AT1374" s="202">
        <v>6082540021.4399996</v>
      </c>
      <c r="AU1374" s="198" t="s">
        <v>359</v>
      </c>
      <c r="AV1374" s="198" t="s">
        <v>62</v>
      </c>
      <c r="AW1374" s="198" t="s">
        <v>54</v>
      </c>
    </row>
    <row r="1375" spans="3:49" outlineLevel="2" x14ac:dyDescent="0.25">
      <c r="C1375" s="201"/>
      <c r="D1375" s="198" t="s">
        <v>710</v>
      </c>
      <c r="H1375" s="198" t="s">
        <v>710</v>
      </c>
      <c r="I1375" s="202">
        <f t="shared" si="21"/>
        <v>571531726.80000007</v>
      </c>
      <c r="J1375" s="202">
        <v>138.4</v>
      </c>
      <c r="L1375" s="204">
        <v>432</v>
      </c>
      <c r="M1375" s="202">
        <v>15335086601.610001</v>
      </c>
      <c r="N1375" s="204">
        <v>328</v>
      </c>
      <c r="O1375" s="198" t="s">
        <v>286</v>
      </c>
      <c r="P1375" s="202">
        <v>126851660.43000001</v>
      </c>
      <c r="Q1375" s="198" t="s">
        <v>73</v>
      </c>
      <c r="R1375" s="198" t="s">
        <v>53</v>
      </c>
      <c r="S1375" s="198" t="s">
        <v>54</v>
      </c>
      <c r="T1375" s="198" t="s">
        <v>711</v>
      </c>
      <c r="U1375" s="198" t="s">
        <v>1741</v>
      </c>
      <c r="V1375" s="198" t="s">
        <v>56</v>
      </c>
      <c r="W1375" s="198" t="s">
        <v>356</v>
      </c>
      <c r="X1375" s="198" t="s">
        <v>57</v>
      </c>
      <c r="Y1375" s="198" t="s">
        <v>58</v>
      </c>
      <c r="Z1375" s="201">
        <v>46295</v>
      </c>
      <c r="AA1375" s="198" t="s">
        <v>59</v>
      </c>
      <c r="AB1375" s="198" t="s">
        <v>712</v>
      </c>
      <c r="AC1375" s="198" t="s">
        <v>86</v>
      </c>
      <c r="AD1375" s="198" t="s">
        <v>62</v>
      </c>
      <c r="AE1375" s="198" t="s">
        <v>706</v>
      </c>
      <c r="AF1375" s="198" t="s">
        <v>705</v>
      </c>
      <c r="AG1375" s="198" t="s">
        <v>214</v>
      </c>
      <c r="AH1375" s="198" t="s">
        <v>130</v>
      </c>
      <c r="AI1375" s="198" t="s">
        <v>56</v>
      </c>
      <c r="AJ1375" s="198" t="s">
        <v>74</v>
      </c>
      <c r="AK1375" s="198" t="s">
        <v>51</v>
      </c>
      <c r="AL1375" s="198" t="s">
        <v>67</v>
      </c>
      <c r="AM1375" s="198" t="s">
        <v>68</v>
      </c>
      <c r="AN1375" s="202">
        <v>15335086601.610001</v>
      </c>
      <c r="AO1375" s="202">
        <v>15335086601.610001</v>
      </c>
      <c r="AP1375" s="202">
        <v>169634787.84</v>
      </c>
      <c r="AQ1375" s="198" t="s">
        <v>358</v>
      </c>
      <c r="AR1375" s="198" t="s">
        <v>51</v>
      </c>
      <c r="AS1375" s="202">
        <v>11467466214.129999</v>
      </c>
      <c r="AT1375" s="202">
        <v>11467466214.129999</v>
      </c>
      <c r="AU1375" s="198" t="s">
        <v>359</v>
      </c>
      <c r="AV1375" s="198" t="s">
        <v>62</v>
      </c>
      <c r="AW1375" s="198" t="s">
        <v>54</v>
      </c>
    </row>
    <row r="1376" spans="3:49" outlineLevel="2" x14ac:dyDescent="0.25">
      <c r="C1376" s="201"/>
      <c r="D1376" s="198" t="s">
        <v>713</v>
      </c>
      <c r="H1376" s="198" t="s">
        <v>713</v>
      </c>
      <c r="I1376" s="202">
        <f t="shared" si="21"/>
        <v>571944683.25</v>
      </c>
      <c r="J1376" s="202">
        <v>138.5</v>
      </c>
      <c r="L1376" s="204">
        <v>384</v>
      </c>
      <c r="M1376" s="202">
        <v>13631188090.32</v>
      </c>
      <c r="N1376" s="204">
        <v>194</v>
      </c>
      <c r="O1376" s="198" t="s">
        <v>286</v>
      </c>
      <c r="P1376" s="202">
        <v>72624995.319999993</v>
      </c>
      <c r="Q1376" s="198" t="s">
        <v>73</v>
      </c>
      <c r="R1376" s="198" t="s">
        <v>53</v>
      </c>
      <c r="S1376" s="198" t="s">
        <v>54</v>
      </c>
      <c r="T1376" s="198" t="s">
        <v>711</v>
      </c>
      <c r="U1376" s="198" t="s">
        <v>2082</v>
      </c>
      <c r="V1376" s="198" t="s">
        <v>56</v>
      </c>
      <c r="W1376" s="198" t="s">
        <v>356</v>
      </c>
      <c r="X1376" s="198" t="s">
        <v>57</v>
      </c>
      <c r="Y1376" s="198" t="s">
        <v>58</v>
      </c>
      <c r="Z1376" s="201">
        <v>46295</v>
      </c>
      <c r="AA1376" s="198" t="s">
        <v>59</v>
      </c>
      <c r="AB1376" s="198" t="s">
        <v>712</v>
      </c>
      <c r="AC1376" s="198" t="s">
        <v>86</v>
      </c>
      <c r="AD1376" s="198" t="s">
        <v>62</v>
      </c>
      <c r="AE1376" s="198" t="s">
        <v>706</v>
      </c>
      <c r="AF1376" s="198" t="s">
        <v>705</v>
      </c>
      <c r="AG1376" s="198" t="s">
        <v>214</v>
      </c>
      <c r="AH1376" s="198" t="s">
        <v>132</v>
      </c>
      <c r="AI1376" s="198" t="s">
        <v>56</v>
      </c>
      <c r="AJ1376" s="198" t="s">
        <v>74</v>
      </c>
      <c r="AK1376" s="198" t="s">
        <v>51</v>
      </c>
      <c r="AL1376" s="198" t="s">
        <v>67</v>
      </c>
      <c r="AM1376" s="198" t="s">
        <v>68</v>
      </c>
      <c r="AN1376" s="202">
        <v>13631188090.32</v>
      </c>
      <c r="AO1376" s="202">
        <v>13631188090.32</v>
      </c>
      <c r="AP1376" s="202">
        <v>150786478.08000001</v>
      </c>
      <c r="AQ1376" s="198" t="s">
        <v>358</v>
      </c>
      <c r="AR1376" s="198" t="s">
        <v>51</v>
      </c>
      <c r="AS1376" s="202">
        <v>6565343151.6400003</v>
      </c>
      <c r="AT1376" s="202">
        <v>6565343151.6400003</v>
      </c>
      <c r="AU1376" s="198" t="s">
        <v>359</v>
      </c>
      <c r="AV1376" s="198" t="s">
        <v>62</v>
      </c>
      <c r="AW1376" s="198" t="s">
        <v>54</v>
      </c>
    </row>
    <row r="1377" spans="3:49" outlineLevel="2" x14ac:dyDescent="0.25">
      <c r="C1377" s="201"/>
      <c r="D1377" s="198" t="s">
        <v>714</v>
      </c>
      <c r="H1377" s="198" t="s">
        <v>714</v>
      </c>
      <c r="I1377" s="202">
        <f t="shared" si="21"/>
        <v>572357639.69999993</v>
      </c>
      <c r="J1377" s="202">
        <v>138.6</v>
      </c>
      <c r="L1377" s="204">
        <v>1</v>
      </c>
      <c r="M1377" s="202">
        <v>58867452</v>
      </c>
      <c r="N1377" s="204">
        <v>1</v>
      </c>
      <c r="O1377" s="198" t="s">
        <v>286</v>
      </c>
      <c r="P1377" s="202">
        <v>630000</v>
      </c>
      <c r="Q1377" s="198" t="s">
        <v>159</v>
      </c>
      <c r="R1377" s="198" t="s">
        <v>160</v>
      </c>
      <c r="S1377" s="198" t="s">
        <v>54</v>
      </c>
      <c r="T1377" s="198" t="s">
        <v>711</v>
      </c>
      <c r="U1377" s="198" t="s">
        <v>562</v>
      </c>
      <c r="V1377" s="198" t="s">
        <v>56</v>
      </c>
      <c r="W1377" s="198" t="s">
        <v>356</v>
      </c>
      <c r="X1377" s="198" t="s">
        <v>161</v>
      </c>
      <c r="Y1377" s="198" t="s">
        <v>162</v>
      </c>
      <c r="Z1377" s="201">
        <v>46387</v>
      </c>
      <c r="AA1377" s="198" t="s">
        <v>59</v>
      </c>
      <c r="AB1377" s="198" t="s">
        <v>715</v>
      </c>
      <c r="AC1377" s="198" t="s">
        <v>86</v>
      </c>
      <c r="AD1377" s="198" t="s">
        <v>62</v>
      </c>
      <c r="AE1377" s="198" t="s">
        <v>54</v>
      </c>
      <c r="AF1377" s="198" t="s">
        <v>54</v>
      </c>
      <c r="AG1377" s="198" t="s">
        <v>88</v>
      </c>
      <c r="AH1377" s="198" t="s">
        <v>167</v>
      </c>
      <c r="AI1377" s="198" t="s">
        <v>56</v>
      </c>
      <c r="AJ1377" s="198" t="s">
        <v>163</v>
      </c>
      <c r="AK1377" s="198" t="s">
        <v>51</v>
      </c>
      <c r="AL1377" s="198" t="s">
        <v>67</v>
      </c>
      <c r="AM1377" s="198" t="s">
        <v>68</v>
      </c>
      <c r="AN1377" s="202">
        <v>58867452</v>
      </c>
      <c r="AO1377" s="202">
        <v>58867452</v>
      </c>
      <c r="AP1377" s="202">
        <v>630000</v>
      </c>
      <c r="AQ1377" s="198" t="s">
        <v>358</v>
      </c>
      <c r="AR1377" s="198" t="s">
        <v>51</v>
      </c>
      <c r="AS1377" s="202">
        <v>58867452</v>
      </c>
      <c r="AT1377" s="202">
        <v>58867452</v>
      </c>
      <c r="AU1377" s="198" t="s">
        <v>359</v>
      </c>
      <c r="AV1377" s="198" t="s">
        <v>62</v>
      </c>
      <c r="AW1377" s="198" t="s">
        <v>54</v>
      </c>
    </row>
    <row r="1378" spans="3:49" outlineLevel="2" x14ac:dyDescent="0.25">
      <c r="C1378" s="201"/>
      <c r="D1378" s="198" t="s">
        <v>716</v>
      </c>
      <c r="H1378" s="198" t="s">
        <v>716</v>
      </c>
      <c r="I1378" s="202">
        <f t="shared" si="21"/>
        <v>572770596.14999998</v>
      </c>
      <c r="J1378" s="202">
        <v>138.69999999999999</v>
      </c>
      <c r="L1378" s="204">
        <v>432</v>
      </c>
      <c r="M1378" s="202">
        <v>15828517212.809999</v>
      </c>
      <c r="N1378" s="204">
        <v>432</v>
      </c>
      <c r="O1378" s="198" t="s">
        <v>286</v>
      </c>
      <c r="P1378" s="202">
        <v>168244935.84</v>
      </c>
      <c r="Q1378" s="198" t="s">
        <v>73</v>
      </c>
      <c r="R1378" s="198" t="s">
        <v>53</v>
      </c>
      <c r="S1378" s="198" t="s">
        <v>54</v>
      </c>
      <c r="T1378" s="198" t="s">
        <v>711</v>
      </c>
      <c r="U1378" s="198" t="s">
        <v>277</v>
      </c>
      <c r="V1378" s="198" t="s">
        <v>56</v>
      </c>
      <c r="W1378" s="198" t="s">
        <v>356</v>
      </c>
      <c r="X1378" s="198" t="s">
        <v>57</v>
      </c>
      <c r="Y1378" s="198" t="s">
        <v>58</v>
      </c>
      <c r="Z1378" s="201">
        <v>46387</v>
      </c>
      <c r="AA1378" s="198" t="s">
        <v>59</v>
      </c>
      <c r="AB1378" s="198" t="s">
        <v>2056</v>
      </c>
      <c r="AC1378" s="198" t="s">
        <v>86</v>
      </c>
      <c r="AD1378" s="198" t="s">
        <v>62</v>
      </c>
      <c r="AE1378" s="198" t="s">
        <v>706</v>
      </c>
      <c r="AF1378" s="198" t="s">
        <v>705</v>
      </c>
      <c r="AG1378" s="198" t="s">
        <v>88</v>
      </c>
      <c r="AH1378" s="198" t="s">
        <v>137</v>
      </c>
      <c r="AI1378" s="198" t="s">
        <v>56</v>
      </c>
      <c r="AJ1378" s="198" t="s">
        <v>74</v>
      </c>
      <c r="AK1378" s="198" t="s">
        <v>51</v>
      </c>
      <c r="AL1378" s="198" t="s">
        <v>67</v>
      </c>
      <c r="AM1378" s="198" t="s">
        <v>68</v>
      </c>
      <c r="AN1378" s="202">
        <v>15828517212.809999</v>
      </c>
      <c r="AO1378" s="202">
        <v>15828517212.809999</v>
      </c>
      <c r="AP1378" s="202">
        <v>168244935.84</v>
      </c>
      <c r="AQ1378" s="198" t="s">
        <v>358</v>
      </c>
      <c r="AR1378" s="198" t="s">
        <v>51</v>
      </c>
      <c r="AS1378" s="202">
        <v>15828517212.809999</v>
      </c>
      <c r="AT1378" s="202">
        <v>15828517212.809999</v>
      </c>
      <c r="AU1378" s="198" t="s">
        <v>359</v>
      </c>
      <c r="AV1378" s="198" t="s">
        <v>62</v>
      </c>
      <c r="AW1378" s="198" t="s">
        <v>54</v>
      </c>
    </row>
    <row r="1379" spans="3:49" outlineLevel="2" x14ac:dyDescent="0.25">
      <c r="C1379" s="201"/>
      <c r="D1379" s="198" t="s">
        <v>717</v>
      </c>
      <c r="H1379" s="198" t="s">
        <v>717</v>
      </c>
      <c r="I1379" s="202">
        <f t="shared" si="21"/>
        <v>573183552.60000002</v>
      </c>
      <c r="J1379" s="202">
        <v>138.80000000000001</v>
      </c>
      <c r="L1379" s="204">
        <v>448</v>
      </c>
      <c r="M1379" s="202">
        <v>16452375666.200001</v>
      </c>
      <c r="N1379" s="204">
        <v>448</v>
      </c>
      <c r="O1379" s="198" t="s">
        <v>286</v>
      </c>
      <c r="P1379" s="202">
        <v>174476229.75999999</v>
      </c>
      <c r="Q1379" s="198" t="s">
        <v>73</v>
      </c>
      <c r="R1379" s="198" t="s">
        <v>53</v>
      </c>
      <c r="S1379" s="198" t="s">
        <v>54</v>
      </c>
      <c r="T1379" s="198" t="s">
        <v>711</v>
      </c>
      <c r="U1379" s="198" t="s">
        <v>277</v>
      </c>
      <c r="V1379" s="198" t="s">
        <v>56</v>
      </c>
      <c r="W1379" s="198" t="s">
        <v>356</v>
      </c>
      <c r="X1379" s="198" t="s">
        <v>57</v>
      </c>
      <c r="Y1379" s="198" t="s">
        <v>58</v>
      </c>
      <c r="Z1379" s="201">
        <v>46387</v>
      </c>
      <c r="AA1379" s="198" t="s">
        <v>59</v>
      </c>
      <c r="AB1379" s="198" t="s">
        <v>2057</v>
      </c>
      <c r="AC1379" s="198" t="s">
        <v>86</v>
      </c>
      <c r="AD1379" s="198" t="s">
        <v>62</v>
      </c>
      <c r="AE1379" s="198" t="s">
        <v>706</v>
      </c>
      <c r="AF1379" s="198" t="s">
        <v>705</v>
      </c>
      <c r="AG1379" s="198" t="s">
        <v>88</v>
      </c>
      <c r="AH1379" s="198" t="s">
        <v>134</v>
      </c>
      <c r="AI1379" s="198" t="s">
        <v>56</v>
      </c>
      <c r="AJ1379" s="198" t="s">
        <v>74</v>
      </c>
      <c r="AK1379" s="198" t="s">
        <v>51</v>
      </c>
      <c r="AL1379" s="198" t="s">
        <v>67</v>
      </c>
      <c r="AM1379" s="198" t="s">
        <v>68</v>
      </c>
      <c r="AN1379" s="202">
        <v>16452375666.200001</v>
      </c>
      <c r="AO1379" s="202">
        <v>16452375666.200001</v>
      </c>
      <c r="AP1379" s="202">
        <v>174476229.75999999</v>
      </c>
      <c r="AQ1379" s="198" t="s">
        <v>358</v>
      </c>
      <c r="AR1379" s="198" t="s">
        <v>51</v>
      </c>
      <c r="AS1379" s="202">
        <v>16452375666.200001</v>
      </c>
      <c r="AT1379" s="202">
        <v>16452375666.200001</v>
      </c>
      <c r="AU1379" s="198" t="s">
        <v>359</v>
      </c>
      <c r="AV1379" s="198" t="s">
        <v>62</v>
      </c>
      <c r="AW1379" s="198" t="s">
        <v>54</v>
      </c>
    </row>
    <row r="1380" spans="3:49" outlineLevel="2" x14ac:dyDescent="0.25">
      <c r="C1380" s="201"/>
      <c r="D1380" s="198" t="s">
        <v>202</v>
      </c>
      <c r="H1380" s="198" t="s">
        <v>202</v>
      </c>
      <c r="I1380" s="202">
        <f t="shared" si="21"/>
        <v>573596509.05000007</v>
      </c>
      <c r="J1380" s="202">
        <v>138.9</v>
      </c>
      <c r="L1380" s="204">
        <v>1</v>
      </c>
      <c r="M1380" s="202">
        <v>197303110</v>
      </c>
      <c r="N1380" s="204">
        <v>0</v>
      </c>
      <c r="O1380" s="198" t="s">
        <v>51</v>
      </c>
      <c r="P1380" s="202">
        <v>5380233.0800000001</v>
      </c>
      <c r="Q1380" s="198" t="s">
        <v>159</v>
      </c>
      <c r="R1380" s="198" t="s">
        <v>160</v>
      </c>
      <c r="S1380" s="198" t="s">
        <v>54</v>
      </c>
      <c r="T1380" s="198" t="s">
        <v>718</v>
      </c>
      <c r="U1380" s="198" t="s">
        <v>1752</v>
      </c>
      <c r="V1380" s="198" t="s">
        <v>56</v>
      </c>
      <c r="W1380" s="198" t="s">
        <v>356</v>
      </c>
      <c r="X1380" s="198" t="s">
        <v>161</v>
      </c>
      <c r="Y1380" s="198" t="s">
        <v>162</v>
      </c>
      <c r="Z1380" s="201">
        <v>46248</v>
      </c>
      <c r="AA1380" s="198" t="s">
        <v>59</v>
      </c>
      <c r="AB1380" s="198" t="s">
        <v>60</v>
      </c>
      <c r="AC1380" s="198" t="s">
        <v>86</v>
      </c>
      <c r="AD1380" s="198" t="s">
        <v>62</v>
      </c>
      <c r="AE1380" s="198" t="s">
        <v>54</v>
      </c>
      <c r="AF1380" s="198" t="s">
        <v>54</v>
      </c>
      <c r="AG1380" s="198" t="s">
        <v>564</v>
      </c>
      <c r="AH1380" s="198" t="s">
        <v>65</v>
      </c>
      <c r="AI1380" s="198" t="s">
        <v>56</v>
      </c>
      <c r="AJ1380" s="198" t="s">
        <v>163</v>
      </c>
      <c r="AK1380" s="198" t="s">
        <v>51</v>
      </c>
      <c r="AL1380" s="198" t="s">
        <v>67</v>
      </c>
      <c r="AM1380" s="198" t="s">
        <v>68</v>
      </c>
      <c r="AN1380" s="202">
        <v>197303110</v>
      </c>
      <c r="AO1380" s="202">
        <v>197303110</v>
      </c>
      <c r="AP1380" s="202">
        <v>197303110</v>
      </c>
      <c r="AQ1380" s="198" t="s">
        <v>358</v>
      </c>
      <c r="AR1380" s="198" t="s">
        <v>51</v>
      </c>
      <c r="AS1380" s="202">
        <v>5380233.0800000001</v>
      </c>
      <c r="AT1380" s="202">
        <v>5380233.0800000001</v>
      </c>
      <c r="AU1380" s="198" t="s">
        <v>359</v>
      </c>
      <c r="AV1380" s="198" t="s">
        <v>62</v>
      </c>
      <c r="AW1380" s="198" t="s">
        <v>719</v>
      </c>
    </row>
    <row r="1381" spans="3:49" outlineLevel="2" x14ac:dyDescent="0.25">
      <c r="C1381" s="201"/>
      <c r="D1381" s="198" t="s">
        <v>181</v>
      </c>
      <c r="H1381" s="198" t="s">
        <v>181</v>
      </c>
      <c r="I1381" s="202">
        <f t="shared" si="21"/>
        <v>574009465.5</v>
      </c>
      <c r="J1381" s="202">
        <v>139</v>
      </c>
      <c r="L1381" s="204">
        <v>1</v>
      </c>
      <c r="M1381" s="202">
        <v>65073390</v>
      </c>
      <c r="N1381" s="204">
        <v>0</v>
      </c>
      <c r="O1381" s="198" t="s">
        <v>51</v>
      </c>
      <c r="P1381" s="202">
        <v>28054335.559999999</v>
      </c>
      <c r="Q1381" s="198" t="s">
        <v>159</v>
      </c>
      <c r="R1381" s="198" t="s">
        <v>160</v>
      </c>
      <c r="S1381" s="198" t="s">
        <v>54</v>
      </c>
      <c r="T1381" s="198" t="s">
        <v>718</v>
      </c>
      <c r="U1381" s="198" t="s">
        <v>1752</v>
      </c>
      <c r="V1381" s="198" t="s">
        <v>56</v>
      </c>
      <c r="W1381" s="198" t="s">
        <v>356</v>
      </c>
      <c r="X1381" s="198" t="s">
        <v>161</v>
      </c>
      <c r="Y1381" s="198" t="s">
        <v>162</v>
      </c>
      <c r="Z1381" s="201">
        <v>46248</v>
      </c>
      <c r="AA1381" s="198" t="s">
        <v>59</v>
      </c>
      <c r="AB1381" s="198" t="s">
        <v>60</v>
      </c>
      <c r="AC1381" s="198" t="s">
        <v>86</v>
      </c>
      <c r="AD1381" s="198" t="s">
        <v>62</v>
      </c>
      <c r="AE1381" s="198" t="s">
        <v>54</v>
      </c>
      <c r="AF1381" s="198" t="s">
        <v>54</v>
      </c>
      <c r="AG1381" s="198" t="s">
        <v>564</v>
      </c>
      <c r="AH1381" s="198" t="s">
        <v>65</v>
      </c>
      <c r="AI1381" s="198" t="s">
        <v>56</v>
      </c>
      <c r="AJ1381" s="198" t="s">
        <v>163</v>
      </c>
      <c r="AK1381" s="198" t="s">
        <v>51</v>
      </c>
      <c r="AL1381" s="198" t="s">
        <v>67</v>
      </c>
      <c r="AM1381" s="198" t="s">
        <v>68</v>
      </c>
      <c r="AN1381" s="202">
        <v>65073390</v>
      </c>
      <c r="AO1381" s="202">
        <v>65073390</v>
      </c>
      <c r="AP1381" s="202">
        <v>65073390</v>
      </c>
      <c r="AQ1381" s="198" t="s">
        <v>358</v>
      </c>
      <c r="AR1381" s="198" t="s">
        <v>51</v>
      </c>
      <c r="AS1381" s="202">
        <v>28054335.559999999</v>
      </c>
      <c r="AT1381" s="202">
        <v>28054335.559999999</v>
      </c>
      <c r="AU1381" s="198" t="s">
        <v>359</v>
      </c>
      <c r="AV1381" s="198" t="s">
        <v>62</v>
      </c>
      <c r="AW1381" s="198" t="s">
        <v>719</v>
      </c>
    </row>
    <row r="1382" spans="3:49" outlineLevel="2" x14ac:dyDescent="0.25">
      <c r="C1382" s="201"/>
      <c r="D1382" s="198" t="s">
        <v>203</v>
      </c>
      <c r="H1382" s="198" t="s">
        <v>203</v>
      </c>
      <c r="I1382" s="202">
        <f t="shared" si="21"/>
        <v>574422421.94999993</v>
      </c>
      <c r="J1382" s="202">
        <v>139.1</v>
      </c>
      <c r="L1382" s="204">
        <v>1</v>
      </c>
      <c r="M1382" s="202">
        <v>7388810</v>
      </c>
      <c r="N1382" s="204">
        <v>0</v>
      </c>
      <c r="O1382" s="198" t="s">
        <v>51</v>
      </c>
      <c r="P1382" s="202">
        <v>1177799</v>
      </c>
      <c r="Q1382" s="198" t="s">
        <v>159</v>
      </c>
      <c r="R1382" s="198" t="s">
        <v>160</v>
      </c>
      <c r="S1382" s="198" t="s">
        <v>54</v>
      </c>
      <c r="T1382" s="198" t="s">
        <v>718</v>
      </c>
      <c r="U1382" s="198" t="s">
        <v>1752</v>
      </c>
      <c r="V1382" s="198" t="s">
        <v>56</v>
      </c>
      <c r="W1382" s="198" t="s">
        <v>356</v>
      </c>
      <c r="X1382" s="198" t="s">
        <v>161</v>
      </c>
      <c r="Y1382" s="198" t="s">
        <v>162</v>
      </c>
      <c r="Z1382" s="201">
        <v>46248</v>
      </c>
      <c r="AA1382" s="198" t="s">
        <v>59</v>
      </c>
      <c r="AB1382" s="198" t="s">
        <v>60</v>
      </c>
      <c r="AC1382" s="198" t="s">
        <v>86</v>
      </c>
      <c r="AD1382" s="198" t="s">
        <v>62</v>
      </c>
      <c r="AE1382" s="198" t="s">
        <v>54</v>
      </c>
      <c r="AF1382" s="198" t="s">
        <v>54</v>
      </c>
      <c r="AG1382" s="198" t="s">
        <v>564</v>
      </c>
      <c r="AH1382" s="198" t="s">
        <v>65</v>
      </c>
      <c r="AI1382" s="198" t="s">
        <v>56</v>
      </c>
      <c r="AJ1382" s="198" t="s">
        <v>163</v>
      </c>
      <c r="AK1382" s="198" t="s">
        <v>51</v>
      </c>
      <c r="AL1382" s="198" t="s">
        <v>67</v>
      </c>
      <c r="AM1382" s="198" t="s">
        <v>68</v>
      </c>
      <c r="AN1382" s="202">
        <v>7388810</v>
      </c>
      <c r="AO1382" s="202">
        <v>7388810</v>
      </c>
      <c r="AP1382" s="202">
        <v>7388810</v>
      </c>
      <c r="AQ1382" s="198" t="s">
        <v>358</v>
      </c>
      <c r="AR1382" s="198" t="s">
        <v>51</v>
      </c>
      <c r="AS1382" s="202">
        <v>1177799</v>
      </c>
      <c r="AT1382" s="202">
        <v>1177799</v>
      </c>
      <c r="AU1382" s="198" t="s">
        <v>359</v>
      </c>
      <c r="AV1382" s="198" t="s">
        <v>62</v>
      </c>
      <c r="AW1382" s="198" t="s">
        <v>719</v>
      </c>
    </row>
    <row r="1383" spans="3:49" outlineLevel="2" x14ac:dyDescent="0.25">
      <c r="C1383" s="201"/>
      <c r="D1383" s="198" t="s">
        <v>720</v>
      </c>
      <c r="H1383" s="198" t="s">
        <v>720</v>
      </c>
      <c r="I1383" s="202">
        <f t="shared" si="21"/>
        <v>574835378.39999998</v>
      </c>
      <c r="J1383" s="202">
        <v>139.19999999999999</v>
      </c>
      <c r="L1383" s="204">
        <v>1</v>
      </c>
      <c r="M1383" s="202">
        <v>3460560</v>
      </c>
      <c r="N1383" s="204">
        <v>0</v>
      </c>
      <c r="O1383" s="198" t="s">
        <v>51</v>
      </c>
      <c r="P1383" s="202">
        <v>219528</v>
      </c>
      <c r="Q1383" s="198" t="s">
        <v>159</v>
      </c>
      <c r="R1383" s="198" t="s">
        <v>160</v>
      </c>
      <c r="S1383" s="198" t="s">
        <v>54</v>
      </c>
      <c r="T1383" s="198" t="s">
        <v>718</v>
      </c>
      <c r="U1383" s="198" t="s">
        <v>1752</v>
      </c>
      <c r="V1383" s="198" t="s">
        <v>56</v>
      </c>
      <c r="W1383" s="198" t="s">
        <v>356</v>
      </c>
      <c r="X1383" s="198" t="s">
        <v>161</v>
      </c>
      <c r="Y1383" s="198" t="s">
        <v>162</v>
      </c>
      <c r="Z1383" s="201">
        <v>46248</v>
      </c>
      <c r="AA1383" s="198" t="s">
        <v>59</v>
      </c>
      <c r="AB1383" s="198" t="s">
        <v>60</v>
      </c>
      <c r="AC1383" s="198" t="s">
        <v>86</v>
      </c>
      <c r="AD1383" s="198" t="s">
        <v>62</v>
      </c>
      <c r="AE1383" s="198" t="s">
        <v>54</v>
      </c>
      <c r="AF1383" s="198" t="s">
        <v>54</v>
      </c>
      <c r="AG1383" s="198" t="s">
        <v>564</v>
      </c>
      <c r="AH1383" s="198" t="s">
        <v>65</v>
      </c>
      <c r="AI1383" s="198" t="s">
        <v>56</v>
      </c>
      <c r="AJ1383" s="198" t="s">
        <v>163</v>
      </c>
      <c r="AK1383" s="198" t="s">
        <v>51</v>
      </c>
      <c r="AL1383" s="198" t="s">
        <v>67</v>
      </c>
      <c r="AM1383" s="198" t="s">
        <v>68</v>
      </c>
      <c r="AN1383" s="202">
        <v>3460560</v>
      </c>
      <c r="AO1383" s="202">
        <v>3460560</v>
      </c>
      <c r="AP1383" s="202">
        <v>3460560</v>
      </c>
      <c r="AQ1383" s="198" t="s">
        <v>358</v>
      </c>
      <c r="AR1383" s="198" t="s">
        <v>51</v>
      </c>
      <c r="AS1383" s="202">
        <v>219528</v>
      </c>
      <c r="AT1383" s="202">
        <v>219528</v>
      </c>
      <c r="AU1383" s="198" t="s">
        <v>359</v>
      </c>
      <c r="AV1383" s="198" t="s">
        <v>62</v>
      </c>
      <c r="AW1383" s="198" t="s">
        <v>719</v>
      </c>
    </row>
    <row r="1384" spans="3:49" outlineLevel="2" x14ac:dyDescent="0.25">
      <c r="C1384" s="201"/>
      <c r="D1384" s="198" t="s">
        <v>199</v>
      </c>
      <c r="H1384" s="198" t="s">
        <v>199</v>
      </c>
      <c r="I1384" s="202">
        <f t="shared" si="21"/>
        <v>575248334.85000002</v>
      </c>
      <c r="J1384" s="202">
        <v>139.30000000000001</v>
      </c>
      <c r="L1384" s="204">
        <v>1</v>
      </c>
      <c r="M1384" s="202">
        <v>164865570</v>
      </c>
      <c r="N1384" s="204">
        <v>0</v>
      </c>
      <c r="O1384" s="198" t="s">
        <v>51</v>
      </c>
      <c r="P1384" s="202">
        <v>5973717.04</v>
      </c>
      <c r="Q1384" s="198" t="s">
        <v>159</v>
      </c>
      <c r="R1384" s="198" t="s">
        <v>160</v>
      </c>
      <c r="S1384" s="198" t="s">
        <v>54</v>
      </c>
      <c r="T1384" s="198" t="s">
        <v>718</v>
      </c>
      <c r="U1384" s="198" t="s">
        <v>1752</v>
      </c>
      <c r="V1384" s="198" t="s">
        <v>56</v>
      </c>
      <c r="W1384" s="198" t="s">
        <v>356</v>
      </c>
      <c r="X1384" s="198" t="s">
        <v>161</v>
      </c>
      <c r="Y1384" s="198" t="s">
        <v>162</v>
      </c>
      <c r="Z1384" s="201">
        <v>46248</v>
      </c>
      <c r="AA1384" s="198" t="s">
        <v>59</v>
      </c>
      <c r="AB1384" s="198" t="s">
        <v>60</v>
      </c>
      <c r="AC1384" s="198" t="s">
        <v>86</v>
      </c>
      <c r="AD1384" s="198" t="s">
        <v>62</v>
      </c>
      <c r="AE1384" s="198" t="s">
        <v>54</v>
      </c>
      <c r="AF1384" s="198" t="s">
        <v>54</v>
      </c>
      <c r="AG1384" s="198" t="s">
        <v>564</v>
      </c>
      <c r="AH1384" s="198" t="s">
        <v>167</v>
      </c>
      <c r="AI1384" s="198" t="s">
        <v>56</v>
      </c>
      <c r="AJ1384" s="198" t="s">
        <v>163</v>
      </c>
      <c r="AK1384" s="198" t="s">
        <v>51</v>
      </c>
      <c r="AL1384" s="198" t="s">
        <v>67</v>
      </c>
      <c r="AM1384" s="198" t="s">
        <v>68</v>
      </c>
      <c r="AN1384" s="202">
        <v>164865570</v>
      </c>
      <c r="AO1384" s="202">
        <v>164865570</v>
      </c>
      <c r="AP1384" s="202">
        <v>164865570</v>
      </c>
      <c r="AQ1384" s="198" t="s">
        <v>358</v>
      </c>
      <c r="AR1384" s="198" t="s">
        <v>51</v>
      </c>
      <c r="AS1384" s="202">
        <v>5973717.04</v>
      </c>
      <c r="AT1384" s="202">
        <v>5973717.04</v>
      </c>
      <c r="AU1384" s="198" t="s">
        <v>359</v>
      </c>
      <c r="AV1384" s="198" t="s">
        <v>62</v>
      </c>
      <c r="AW1384" s="198" t="s">
        <v>719</v>
      </c>
    </row>
    <row r="1385" spans="3:49" outlineLevel="2" x14ac:dyDescent="0.25">
      <c r="C1385" s="201"/>
      <c r="D1385" s="198" t="s">
        <v>201</v>
      </c>
      <c r="H1385" s="198" t="s">
        <v>201</v>
      </c>
      <c r="I1385" s="202">
        <f t="shared" si="21"/>
        <v>575661291.30000007</v>
      </c>
      <c r="J1385" s="202">
        <v>139.4</v>
      </c>
      <c r="L1385" s="204">
        <v>1</v>
      </c>
      <c r="M1385" s="202">
        <v>57873945</v>
      </c>
      <c r="N1385" s="204">
        <v>0</v>
      </c>
      <c r="O1385" s="198" t="s">
        <v>51</v>
      </c>
      <c r="P1385" s="202">
        <v>27841183.449999999</v>
      </c>
      <c r="Q1385" s="198" t="s">
        <v>159</v>
      </c>
      <c r="R1385" s="198" t="s">
        <v>160</v>
      </c>
      <c r="S1385" s="198" t="s">
        <v>54</v>
      </c>
      <c r="T1385" s="198" t="s">
        <v>718</v>
      </c>
      <c r="U1385" s="198" t="s">
        <v>1752</v>
      </c>
      <c r="V1385" s="198" t="s">
        <v>56</v>
      </c>
      <c r="W1385" s="198" t="s">
        <v>356</v>
      </c>
      <c r="X1385" s="198" t="s">
        <v>161</v>
      </c>
      <c r="Y1385" s="198" t="s">
        <v>162</v>
      </c>
      <c r="Z1385" s="201">
        <v>46248</v>
      </c>
      <c r="AA1385" s="198" t="s">
        <v>59</v>
      </c>
      <c r="AB1385" s="198" t="s">
        <v>60</v>
      </c>
      <c r="AC1385" s="198" t="s">
        <v>86</v>
      </c>
      <c r="AD1385" s="198" t="s">
        <v>62</v>
      </c>
      <c r="AE1385" s="198" t="s">
        <v>54</v>
      </c>
      <c r="AF1385" s="198" t="s">
        <v>54</v>
      </c>
      <c r="AG1385" s="198" t="s">
        <v>564</v>
      </c>
      <c r="AH1385" s="198" t="s">
        <v>167</v>
      </c>
      <c r="AI1385" s="198" t="s">
        <v>56</v>
      </c>
      <c r="AJ1385" s="198" t="s">
        <v>163</v>
      </c>
      <c r="AK1385" s="198" t="s">
        <v>51</v>
      </c>
      <c r="AL1385" s="198" t="s">
        <v>67</v>
      </c>
      <c r="AM1385" s="198" t="s">
        <v>68</v>
      </c>
      <c r="AN1385" s="202">
        <v>57873945</v>
      </c>
      <c r="AO1385" s="202">
        <v>57873945</v>
      </c>
      <c r="AP1385" s="202">
        <v>57873945</v>
      </c>
      <c r="AQ1385" s="198" t="s">
        <v>358</v>
      </c>
      <c r="AR1385" s="198" t="s">
        <v>51</v>
      </c>
      <c r="AS1385" s="202">
        <v>27841183.449999999</v>
      </c>
      <c r="AT1385" s="202">
        <v>27841183.449999999</v>
      </c>
      <c r="AU1385" s="198" t="s">
        <v>359</v>
      </c>
      <c r="AV1385" s="198" t="s">
        <v>62</v>
      </c>
      <c r="AW1385" s="198" t="s">
        <v>719</v>
      </c>
    </row>
    <row r="1386" spans="3:49" outlineLevel="2" x14ac:dyDescent="0.25">
      <c r="C1386" s="201"/>
      <c r="D1386" s="198" t="s">
        <v>173</v>
      </c>
      <c r="H1386" s="198" t="s">
        <v>173</v>
      </c>
      <c r="I1386" s="202">
        <f t="shared" si="21"/>
        <v>576074247.75</v>
      </c>
      <c r="J1386" s="202">
        <v>139.5</v>
      </c>
      <c r="L1386" s="204">
        <v>1</v>
      </c>
      <c r="M1386" s="202">
        <v>6552750</v>
      </c>
      <c r="N1386" s="204">
        <v>0</v>
      </c>
      <c r="O1386" s="198" t="s">
        <v>51</v>
      </c>
      <c r="P1386" s="202">
        <v>1184705.44</v>
      </c>
      <c r="Q1386" s="198" t="s">
        <v>159</v>
      </c>
      <c r="R1386" s="198" t="s">
        <v>160</v>
      </c>
      <c r="S1386" s="198" t="s">
        <v>54</v>
      </c>
      <c r="T1386" s="198" t="s">
        <v>718</v>
      </c>
      <c r="U1386" s="198" t="s">
        <v>1752</v>
      </c>
      <c r="V1386" s="198" t="s">
        <v>56</v>
      </c>
      <c r="W1386" s="198" t="s">
        <v>356</v>
      </c>
      <c r="X1386" s="198" t="s">
        <v>161</v>
      </c>
      <c r="Y1386" s="198" t="s">
        <v>162</v>
      </c>
      <c r="Z1386" s="201">
        <v>46248</v>
      </c>
      <c r="AA1386" s="198" t="s">
        <v>59</v>
      </c>
      <c r="AB1386" s="198" t="s">
        <v>60</v>
      </c>
      <c r="AC1386" s="198" t="s">
        <v>86</v>
      </c>
      <c r="AD1386" s="198" t="s">
        <v>62</v>
      </c>
      <c r="AE1386" s="198" t="s">
        <v>54</v>
      </c>
      <c r="AF1386" s="198" t="s">
        <v>54</v>
      </c>
      <c r="AG1386" s="198" t="s">
        <v>564</v>
      </c>
      <c r="AH1386" s="198" t="s">
        <v>167</v>
      </c>
      <c r="AI1386" s="198" t="s">
        <v>56</v>
      </c>
      <c r="AJ1386" s="198" t="s">
        <v>163</v>
      </c>
      <c r="AK1386" s="198" t="s">
        <v>51</v>
      </c>
      <c r="AL1386" s="198" t="s">
        <v>67</v>
      </c>
      <c r="AM1386" s="198" t="s">
        <v>68</v>
      </c>
      <c r="AN1386" s="202">
        <v>6552750</v>
      </c>
      <c r="AO1386" s="202">
        <v>6552750</v>
      </c>
      <c r="AP1386" s="202">
        <v>6552750</v>
      </c>
      <c r="AQ1386" s="198" t="s">
        <v>358</v>
      </c>
      <c r="AR1386" s="198" t="s">
        <v>51</v>
      </c>
      <c r="AS1386" s="202">
        <v>1184705.44</v>
      </c>
      <c r="AT1386" s="202">
        <v>1184705.44</v>
      </c>
      <c r="AU1386" s="198" t="s">
        <v>359</v>
      </c>
      <c r="AV1386" s="198" t="s">
        <v>62</v>
      </c>
      <c r="AW1386" s="198" t="s">
        <v>719</v>
      </c>
    </row>
    <row r="1387" spans="3:49" outlineLevel="2" x14ac:dyDescent="0.25">
      <c r="C1387" s="201"/>
      <c r="D1387" s="198" t="s">
        <v>171</v>
      </c>
      <c r="H1387" s="198" t="s">
        <v>171</v>
      </c>
      <c r="I1387" s="202">
        <f t="shared" si="21"/>
        <v>576487204.19999993</v>
      </c>
      <c r="J1387" s="202">
        <v>139.6</v>
      </c>
      <c r="L1387" s="204">
        <v>1</v>
      </c>
      <c r="M1387" s="202">
        <v>3037190</v>
      </c>
      <c r="N1387" s="204">
        <v>0</v>
      </c>
      <c r="O1387" s="198" t="s">
        <v>51</v>
      </c>
      <c r="P1387" s="202">
        <v>170088</v>
      </c>
      <c r="Q1387" s="198" t="s">
        <v>159</v>
      </c>
      <c r="R1387" s="198" t="s">
        <v>160</v>
      </c>
      <c r="S1387" s="198" t="s">
        <v>54</v>
      </c>
      <c r="T1387" s="198" t="s">
        <v>718</v>
      </c>
      <c r="U1387" s="198" t="s">
        <v>1752</v>
      </c>
      <c r="V1387" s="198" t="s">
        <v>56</v>
      </c>
      <c r="W1387" s="198" t="s">
        <v>356</v>
      </c>
      <c r="X1387" s="198" t="s">
        <v>161</v>
      </c>
      <c r="Y1387" s="198" t="s">
        <v>162</v>
      </c>
      <c r="Z1387" s="201">
        <v>46248</v>
      </c>
      <c r="AA1387" s="198" t="s">
        <v>59</v>
      </c>
      <c r="AB1387" s="198" t="s">
        <v>60</v>
      </c>
      <c r="AC1387" s="198" t="s">
        <v>86</v>
      </c>
      <c r="AD1387" s="198" t="s">
        <v>62</v>
      </c>
      <c r="AE1387" s="198" t="s">
        <v>54</v>
      </c>
      <c r="AF1387" s="198" t="s">
        <v>54</v>
      </c>
      <c r="AG1387" s="198" t="s">
        <v>564</v>
      </c>
      <c r="AH1387" s="198" t="s">
        <v>167</v>
      </c>
      <c r="AI1387" s="198" t="s">
        <v>56</v>
      </c>
      <c r="AJ1387" s="198" t="s">
        <v>163</v>
      </c>
      <c r="AK1387" s="198" t="s">
        <v>51</v>
      </c>
      <c r="AL1387" s="198" t="s">
        <v>67</v>
      </c>
      <c r="AM1387" s="198" t="s">
        <v>68</v>
      </c>
      <c r="AN1387" s="202">
        <v>3037190</v>
      </c>
      <c r="AO1387" s="202">
        <v>3037190</v>
      </c>
      <c r="AP1387" s="202">
        <v>3037190</v>
      </c>
      <c r="AQ1387" s="198" t="s">
        <v>358</v>
      </c>
      <c r="AR1387" s="198" t="s">
        <v>51</v>
      </c>
      <c r="AS1387" s="202">
        <v>170088</v>
      </c>
      <c r="AT1387" s="202">
        <v>170088</v>
      </c>
      <c r="AU1387" s="198" t="s">
        <v>359</v>
      </c>
      <c r="AV1387" s="198" t="s">
        <v>62</v>
      </c>
      <c r="AW1387" s="198" t="s">
        <v>719</v>
      </c>
    </row>
    <row r="1388" spans="3:49" outlineLevel="2" x14ac:dyDescent="0.25">
      <c r="C1388" s="201"/>
      <c r="D1388" s="198" t="s">
        <v>721</v>
      </c>
      <c r="H1388" s="198" t="s">
        <v>721</v>
      </c>
      <c r="I1388" s="202">
        <f t="shared" si="21"/>
        <v>576900160.64999998</v>
      </c>
      <c r="J1388" s="202">
        <v>139.69999999999999</v>
      </c>
      <c r="L1388" s="204">
        <v>1</v>
      </c>
      <c r="M1388" s="202">
        <v>5950000</v>
      </c>
      <c r="N1388" s="203">
        <v>0.65</v>
      </c>
      <c r="O1388" s="198" t="s">
        <v>51</v>
      </c>
      <c r="P1388" s="202">
        <v>3867500</v>
      </c>
      <c r="Q1388" s="198" t="s">
        <v>159</v>
      </c>
      <c r="R1388" s="198" t="s">
        <v>160</v>
      </c>
      <c r="S1388" s="198" t="s">
        <v>54</v>
      </c>
      <c r="T1388" s="198" t="s">
        <v>722</v>
      </c>
      <c r="U1388" s="198" t="s">
        <v>364</v>
      </c>
      <c r="V1388" s="198" t="s">
        <v>56</v>
      </c>
      <c r="W1388" s="198" t="s">
        <v>356</v>
      </c>
      <c r="X1388" s="198" t="s">
        <v>161</v>
      </c>
      <c r="Y1388" s="198" t="s">
        <v>162</v>
      </c>
      <c r="Z1388" s="201">
        <v>46112</v>
      </c>
      <c r="AA1388" s="198" t="s">
        <v>59</v>
      </c>
      <c r="AB1388" s="198" t="s">
        <v>60</v>
      </c>
      <c r="AC1388" s="198" t="s">
        <v>61</v>
      </c>
      <c r="AD1388" s="198" t="s">
        <v>62</v>
      </c>
      <c r="AE1388" s="198" t="s">
        <v>54</v>
      </c>
      <c r="AF1388" s="198" t="s">
        <v>54</v>
      </c>
      <c r="AG1388" s="198" t="s">
        <v>166</v>
      </c>
      <c r="AH1388" s="198" t="s">
        <v>274</v>
      </c>
      <c r="AI1388" s="198" t="s">
        <v>56</v>
      </c>
      <c r="AJ1388" s="198" t="s">
        <v>163</v>
      </c>
      <c r="AK1388" s="198" t="s">
        <v>51</v>
      </c>
      <c r="AL1388" s="198" t="s">
        <v>67</v>
      </c>
      <c r="AM1388" s="198" t="s">
        <v>68</v>
      </c>
      <c r="AN1388" s="202">
        <v>5950000</v>
      </c>
      <c r="AO1388" s="202">
        <v>5950000</v>
      </c>
      <c r="AP1388" s="202">
        <v>5950000</v>
      </c>
      <c r="AQ1388" s="198" t="s">
        <v>358</v>
      </c>
      <c r="AR1388" s="198" t="s">
        <v>51</v>
      </c>
      <c r="AS1388" s="202">
        <v>3867500</v>
      </c>
      <c r="AT1388" s="202">
        <v>3867500</v>
      </c>
      <c r="AU1388" s="198" t="s">
        <v>359</v>
      </c>
      <c r="AV1388" s="198" t="s">
        <v>62</v>
      </c>
      <c r="AW1388" s="198" t="s">
        <v>54</v>
      </c>
    </row>
    <row r="1389" spans="3:49" outlineLevel="2" x14ac:dyDescent="0.25">
      <c r="C1389" s="201"/>
      <c r="D1389" s="198" t="s">
        <v>195</v>
      </c>
      <c r="H1389" s="198" t="s">
        <v>195</v>
      </c>
      <c r="I1389" s="202">
        <f t="shared" si="21"/>
        <v>577313117.10000002</v>
      </c>
      <c r="J1389" s="202">
        <v>139.80000000000001</v>
      </c>
      <c r="L1389" s="204">
        <v>1</v>
      </c>
      <c r="M1389" s="202">
        <v>5950000</v>
      </c>
      <c r="N1389" s="203">
        <v>0.85</v>
      </c>
      <c r="O1389" s="198" t="s">
        <v>51</v>
      </c>
      <c r="P1389" s="202">
        <v>5057500</v>
      </c>
      <c r="Q1389" s="198" t="s">
        <v>159</v>
      </c>
      <c r="R1389" s="198" t="s">
        <v>160</v>
      </c>
      <c r="S1389" s="198" t="s">
        <v>54</v>
      </c>
      <c r="T1389" s="198" t="s">
        <v>722</v>
      </c>
      <c r="U1389" s="198" t="s">
        <v>55</v>
      </c>
      <c r="V1389" s="198" t="s">
        <v>56</v>
      </c>
      <c r="W1389" s="198" t="s">
        <v>356</v>
      </c>
      <c r="X1389" s="198" t="s">
        <v>161</v>
      </c>
      <c r="Y1389" s="198" t="s">
        <v>162</v>
      </c>
      <c r="Z1389" s="201">
        <v>46326</v>
      </c>
      <c r="AA1389" s="198" t="s">
        <v>59</v>
      </c>
      <c r="AB1389" s="198" t="s">
        <v>60</v>
      </c>
      <c r="AC1389" s="198" t="s">
        <v>86</v>
      </c>
      <c r="AD1389" s="198" t="s">
        <v>62</v>
      </c>
      <c r="AE1389" s="198" t="s">
        <v>54</v>
      </c>
      <c r="AF1389" s="198" t="s">
        <v>54</v>
      </c>
      <c r="AG1389" s="198" t="s">
        <v>235</v>
      </c>
      <c r="AH1389" s="198" t="s">
        <v>148</v>
      </c>
      <c r="AI1389" s="198" t="s">
        <v>56</v>
      </c>
      <c r="AJ1389" s="198" t="s">
        <v>163</v>
      </c>
      <c r="AK1389" s="198" t="s">
        <v>51</v>
      </c>
      <c r="AL1389" s="198" t="s">
        <v>67</v>
      </c>
      <c r="AM1389" s="198" t="s">
        <v>68</v>
      </c>
      <c r="AN1389" s="202">
        <v>5950000</v>
      </c>
      <c r="AO1389" s="202">
        <v>5950000</v>
      </c>
      <c r="AP1389" s="202">
        <v>5950000</v>
      </c>
      <c r="AQ1389" s="198" t="s">
        <v>358</v>
      </c>
      <c r="AR1389" s="198" t="s">
        <v>51</v>
      </c>
      <c r="AS1389" s="202">
        <v>5057500</v>
      </c>
      <c r="AT1389" s="202">
        <v>5057500</v>
      </c>
      <c r="AU1389" s="198" t="s">
        <v>359</v>
      </c>
      <c r="AV1389" s="198" t="s">
        <v>62</v>
      </c>
      <c r="AW1389" s="198" t="s">
        <v>54</v>
      </c>
    </row>
    <row r="1390" spans="3:49" outlineLevel="2" x14ac:dyDescent="0.25">
      <c r="C1390" s="201"/>
      <c r="D1390" s="198" t="s">
        <v>723</v>
      </c>
      <c r="H1390" s="198" t="s">
        <v>723</v>
      </c>
      <c r="I1390" s="202">
        <f t="shared" si="21"/>
        <v>577726073.55000007</v>
      </c>
      <c r="J1390" s="202">
        <v>139.9</v>
      </c>
      <c r="L1390" s="204">
        <v>1</v>
      </c>
      <c r="M1390" s="202">
        <v>5950000</v>
      </c>
      <c r="N1390" s="203">
        <v>0.35</v>
      </c>
      <c r="O1390" s="198" t="s">
        <v>51</v>
      </c>
      <c r="P1390" s="202">
        <v>2082500</v>
      </c>
      <c r="Q1390" s="198" t="s">
        <v>159</v>
      </c>
      <c r="R1390" s="198" t="s">
        <v>160</v>
      </c>
      <c r="S1390" s="198" t="s">
        <v>54</v>
      </c>
      <c r="T1390" s="198" t="s">
        <v>722</v>
      </c>
      <c r="U1390" s="198" t="s">
        <v>364</v>
      </c>
      <c r="V1390" s="198" t="s">
        <v>56</v>
      </c>
      <c r="W1390" s="198" t="s">
        <v>356</v>
      </c>
      <c r="X1390" s="198" t="s">
        <v>161</v>
      </c>
      <c r="Y1390" s="198" t="s">
        <v>162</v>
      </c>
      <c r="Z1390" s="201">
        <v>46112</v>
      </c>
      <c r="AA1390" s="198" t="s">
        <v>59</v>
      </c>
      <c r="AB1390" s="198" t="s">
        <v>60</v>
      </c>
      <c r="AC1390" s="198" t="s">
        <v>61</v>
      </c>
      <c r="AD1390" s="198" t="s">
        <v>62</v>
      </c>
      <c r="AE1390" s="198" t="s">
        <v>54</v>
      </c>
      <c r="AF1390" s="198" t="s">
        <v>54</v>
      </c>
      <c r="AG1390" s="198" t="s">
        <v>166</v>
      </c>
      <c r="AH1390" s="198" t="s">
        <v>153</v>
      </c>
      <c r="AI1390" s="198" t="s">
        <v>56</v>
      </c>
      <c r="AJ1390" s="198" t="s">
        <v>163</v>
      </c>
      <c r="AK1390" s="198" t="s">
        <v>51</v>
      </c>
      <c r="AL1390" s="198" t="s">
        <v>67</v>
      </c>
      <c r="AM1390" s="198" t="s">
        <v>68</v>
      </c>
      <c r="AN1390" s="202">
        <v>5950000</v>
      </c>
      <c r="AO1390" s="202">
        <v>5950000</v>
      </c>
      <c r="AP1390" s="202">
        <v>5950000</v>
      </c>
      <c r="AQ1390" s="198" t="s">
        <v>358</v>
      </c>
      <c r="AR1390" s="198" t="s">
        <v>51</v>
      </c>
      <c r="AS1390" s="202">
        <v>2082500</v>
      </c>
      <c r="AT1390" s="202">
        <v>2082500</v>
      </c>
      <c r="AU1390" s="198" t="s">
        <v>359</v>
      </c>
      <c r="AV1390" s="198" t="s">
        <v>62</v>
      </c>
      <c r="AW1390" s="198" t="s">
        <v>54</v>
      </c>
    </row>
    <row r="1391" spans="3:49" outlineLevel="2" x14ac:dyDescent="0.25">
      <c r="C1391" s="201"/>
      <c r="D1391" s="198" t="s">
        <v>724</v>
      </c>
      <c r="H1391" s="198" t="s">
        <v>724</v>
      </c>
      <c r="I1391" s="202">
        <f t="shared" si="21"/>
        <v>578139030</v>
      </c>
      <c r="J1391" s="202">
        <v>140</v>
      </c>
      <c r="L1391" s="204">
        <v>1</v>
      </c>
      <c r="M1391" s="202">
        <v>5950000</v>
      </c>
      <c r="N1391" s="203">
        <v>0.35</v>
      </c>
      <c r="O1391" s="198" t="s">
        <v>51</v>
      </c>
      <c r="P1391" s="202">
        <v>2082500</v>
      </c>
      <c r="Q1391" s="198" t="s">
        <v>159</v>
      </c>
      <c r="R1391" s="198" t="s">
        <v>160</v>
      </c>
      <c r="S1391" s="198" t="s">
        <v>54</v>
      </c>
      <c r="T1391" s="198" t="s">
        <v>722</v>
      </c>
      <c r="U1391" s="198" t="s">
        <v>364</v>
      </c>
      <c r="V1391" s="198" t="s">
        <v>56</v>
      </c>
      <c r="W1391" s="198" t="s">
        <v>356</v>
      </c>
      <c r="X1391" s="198" t="s">
        <v>161</v>
      </c>
      <c r="Y1391" s="198" t="s">
        <v>162</v>
      </c>
      <c r="Z1391" s="201">
        <v>46112</v>
      </c>
      <c r="AA1391" s="198" t="s">
        <v>59</v>
      </c>
      <c r="AB1391" s="198" t="s">
        <v>60</v>
      </c>
      <c r="AC1391" s="198" t="s">
        <v>61</v>
      </c>
      <c r="AD1391" s="198" t="s">
        <v>62</v>
      </c>
      <c r="AE1391" s="198" t="s">
        <v>54</v>
      </c>
      <c r="AF1391" s="198" t="s">
        <v>54</v>
      </c>
      <c r="AG1391" s="198" t="s">
        <v>166</v>
      </c>
      <c r="AH1391" s="198" t="s">
        <v>156</v>
      </c>
      <c r="AI1391" s="198" t="s">
        <v>56</v>
      </c>
      <c r="AJ1391" s="198" t="s">
        <v>163</v>
      </c>
      <c r="AK1391" s="198" t="s">
        <v>51</v>
      </c>
      <c r="AL1391" s="198" t="s">
        <v>67</v>
      </c>
      <c r="AM1391" s="198" t="s">
        <v>68</v>
      </c>
      <c r="AN1391" s="202">
        <v>5950000</v>
      </c>
      <c r="AO1391" s="202">
        <v>5950000</v>
      </c>
      <c r="AP1391" s="202">
        <v>5950000</v>
      </c>
      <c r="AQ1391" s="198" t="s">
        <v>358</v>
      </c>
      <c r="AR1391" s="198" t="s">
        <v>51</v>
      </c>
      <c r="AS1391" s="202">
        <v>2082500</v>
      </c>
      <c r="AT1391" s="202">
        <v>2082500</v>
      </c>
      <c r="AU1391" s="198" t="s">
        <v>359</v>
      </c>
      <c r="AV1391" s="198" t="s">
        <v>62</v>
      </c>
      <c r="AW1391" s="198" t="s">
        <v>54</v>
      </c>
    </row>
    <row r="1392" spans="3:49" outlineLevel="2" x14ac:dyDescent="0.25">
      <c r="C1392" s="201"/>
      <c r="D1392" s="198" t="s">
        <v>164</v>
      </c>
      <c r="H1392" s="198" t="s">
        <v>164</v>
      </c>
      <c r="I1392" s="202">
        <f t="shared" si="21"/>
        <v>578551986.44999993</v>
      </c>
      <c r="J1392" s="202">
        <v>140.1</v>
      </c>
      <c r="L1392" s="204">
        <v>1</v>
      </c>
      <c r="M1392" s="202">
        <v>1730124.4</v>
      </c>
      <c r="N1392" s="204">
        <v>0</v>
      </c>
      <c r="O1392" s="198" t="s">
        <v>51</v>
      </c>
      <c r="P1392" s="202">
        <v>1668633.62</v>
      </c>
      <c r="Q1392" s="198" t="s">
        <v>159</v>
      </c>
      <c r="R1392" s="198" t="s">
        <v>160</v>
      </c>
      <c r="S1392" s="198" t="s">
        <v>54</v>
      </c>
      <c r="T1392" s="198" t="s">
        <v>725</v>
      </c>
      <c r="U1392" s="198" t="s">
        <v>277</v>
      </c>
      <c r="V1392" s="198" t="s">
        <v>56</v>
      </c>
      <c r="W1392" s="198" t="s">
        <v>356</v>
      </c>
      <c r="X1392" s="198" t="s">
        <v>161</v>
      </c>
      <c r="Y1392" s="198" t="s">
        <v>162</v>
      </c>
      <c r="Z1392" s="201">
        <v>46248</v>
      </c>
      <c r="AA1392" s="198" t="s">
        <v>59</v>
      </c>
      <c r="AB1392" s="198" t="s">
        <v>60</v>
      </c>
      <c r="AC1392" s="198" t="s">
        <v>86</v>
      </c>
      <c r="AD1392" s="198" t="s">
        <v>62</v>
      </c>
      <c r="AE1392" s="198" t="s">
        <v>54</v>
      </c>
      <c r="AF1392" s="198" t="s">
        <v>54</v>
      </c>
      <c r="AG1392" s="198" t="s">
        <v>564</v>
      </c>
      <c r="AH1392" s="198" t="s">
        <v>167</v>
      </c>
      <c r="AI1392" s="198" t="s">
        <v>56</v>
      </c>
      <c r="AJ1392" s="198" t="s">
        <v>163</v>
      </c>
      <c r="AK1392" s="198" t="s">
        <v>51</v>
      </c>
      <c r="AL1392" s="198" t="s">
        <v>67</v>
      </c>
      <c r="AM1392" s="198" t="s">
        <v>68</v>
      </c>
      <c r="AN1392" s="202">
        <v>1730124.4</v>
      </c>
      <c r="AO1392" s="202">
        <v>1730124.4</v>
      </c>
      <c r="AP1392" s="202">
        <v>1730124.4</v>
      </c>
      <c r="AQ1392" s="198" t="s">
        <v>358</v>
      </c>
      <c r="AR1392" s="198" t="s">
        <v>51</v>
      </c>
      <c r="AS1392" s="202">
        <v>1668633.62</v>
      </c>
      <c r="AT1392" s="202">
        <v>1668633.62</v>
      </c>
      <c r="AU1392" s="198" t="s">
        <v>359</v>
      </c>
      <c r="AV1392" s="198" t="s">
        <v>62</v>
      </c>
      <c r="AW1392" s="198" t="s">
        <v>54</v>
      </c>
    </row>
    <row r="1393" spans="3:49" outlineLevel="2" x14ac:dyDescent="0.25">
      <c r="C1393" s="201"/>
      <c r="D1393" s="198" t="s">
        <v>164</v>
      </c>
      <c r="H1393" s="198" t="s">
        <v>164</v>
      </c>
      <c r="I1393" s="202">
        <f t="shared" si="21"/>
        <v>578964942.89999998</v>
      </c>
      <c r="J1393" s="202">
        <v>140.19999999999999</v>
      </c>
      <c r="L1393" s="204">
        <v>1</v>
      </c>
      <c r="M1393" s="202">
        <v>987134.4</v>
      </c>
      <c r="N1393" s="204">
        <v>1</v>
      </c>
      <c r="O1393" s="198" t="s">
        <v>51</v>
      </c>
      <c r="P1393" s="202">
        <v>987134.4</v>
      </c>
      <c r="Q1393" s="198" t="s">
        <v>159</v>
      </c>
      <c r="R1393" s="198" t="s">
        <v>160</v>
      </c>
      <c r="S1393" s="198" t="s">
        <v>54</v>
      </c>
      <c r="T1393" s="198" t="s">
        <v>725</v>
      </c>
      <c r="U1393" s="198" t="s">
        <v>277</v>
      </c>
      <c r="V1393" s="198" t="s">
        <v>56</v>
      </c>
      <c r="W1393" s="198" t="s">
        <v>356</v>
      </c>
      <c r="X1393" s="198" t="s">
        <v>161</v>
      </c>
      <c r="Y1393" s="198" t="s">
        <v>162</v>
      </c>
      <c r="Z1393" s="201">
        <v>46248</v>
      </c>
      <c r="AA1393" s="198" t="s">
        <v>59</v>
      </c>
      <c r="AB1393" s="198" t="s">
        <v>60</v>
      </c>
      <c r="AC1393" s="198" t="s">
        <v>86</v>
      </c>
      <c r="AD1393" s="198" t="s">
        <v>62</v>
      </c>
      <c r="AE1393" s="198" t="s">
        <v>54</v>
      </c>
      <c r="AF1393" s="198" t="s">
        <v>54</v>
      </c>
      <c r="AG1393" s="198" t="s">
        <v>564</v>
      </c>
      <c r="AH1393" s="198" t="s">
        <v>167</v>
      </c>
      <c r="AI1393" s="198" t="s">
        <v>56</v>
      </c>
      <c r="AJ1393" s="198" t="s">
        <v>163</v>
      </c>
      <c r="AK1393" s="198" t="s">
        <v>51</v>
      </c>
      <c r="AL1393" s="198" t="s">
        <v>67</v>
      </c>
      <c r="AM1393" s="198" t="s">
        <v>68</v>
      </c>
      <c r="AN1393" s="202">
        <v>987134.4</v>
      </c>
      <c r="AO1393" s="202">
        <v>987134.4</v>
      </c>
      <c r="AP1393" s="202">
        <v>987134.4</v>
      </c>
      <c r="AQ1393" s="198" t="s">
        <v>358</v>
      </c>
      <c r="AR1393" s="198" t="s">
        <v>51</v>
      </c>
      <c r="AS1393" s="202">
        <v>987134.4</v>
      </c>
      <c r="AT1393" s="202">
        <v>987134.4</v>
      </c>
      <c r="AU1393" s="198" t="s">
        <v>359</v>
      </c>
      <c r="AV1393" s="198" t="s">
        <v>62</v>
      </c>
      <c r="AW1393" s="198" t="s">
        <v>54</v>
      </c>
    </row>
    <row r="1394" spans="3:49" outlineLevel="2" x14ac:dyDescent="0.25">
      <c r="C1394" s="201"/>
      <c r="D1394" s="198" t="s">
        <v>170</v>
      </c>
      <c r="H1394" s="198" t="s">
        <v>170</v>
      </c>
      <c r="I1394" s="202">
        <f t="shared" si="21"/>
        <v>579377899.35000002</v>
      </c>
      <c r="J1394" s="202">
        <v>140.30000000000001</v>
      </c>
      <c r="L1394" s="204">
        <v>1</v>
      </c>
      <c r="M1394" s="202">
        <v>9482350</v>
      </c>
      <c r="N1394" s="204">
        <v>0</v>
      </c>
      <c r="O1394" s="198" t="s">
        <v>51</v>
      </c>
      <c r="P1394" s="202">
        <v>7434241.5</v>
      </c>
      <c r="Q1394" s="198" t="s">
        <v>159</v>
      </c>
      <c r="R1394" s="198" t="s">
        <v>160</v>
      </c>
      <c r="S1394" s="198" t="s">
        <v>54</v>
      </c>
      <c r="T1394" s="198" t="s">
        <v>725</v>
      </c>
      <c r="U1394" s="198" t="s">
        <v>277</v>
      </c>
      <c r="V1394" s="198" t="s">
        <v>56</v>
      </c>
      <c r="W1394" s="198" t="s">
        <v>356</v>
      </c>
      <c r="X1394" s="198" t="s">
        <v>161</v>
      </c>
      <c r="Y1394" s="198" t="s">
        <v>162</v>
      </c>
      <c r="Z1394" s="201">
        <v>46248</v>
      </c>
      <c r="AA1394" s="198" t="s">
        <v>59</v>
      </c>
      <c r="AB1394" s="198" t="s">
        <v>60</v>
      </c>
      <c r="AC1394" s="198" t="s">
        <v>86</v>
      </c>
      <c r="AD1394" s="198" t="s">
        <v>62</v>
      </c>
      <c r="AE1394" s="198" t="s">
        <v>54</v>
      </c>
      <c r="AF1394" s="198" t="s">
        <v>54</v>
      </c>
      <c r="AG1394" s="198" t="s">
        <v>564</v>
      </c>
      <c r="AH1394" s="198" t="s">
        <v>167</v>
      </c>
      <c r="AI1394" s="198" t="s">
        <v>56</v>
      </c>
      <c r="AJ1394" s="198" t="s">
        <v>163</v>
      </c>
      <c r="AK1394" s="198" t="s">
        <v>51</v>
      </c>
      <c r="AL1394" s="198" t="s">
        <v>67</v>
      </c>
      <c r="AM1394" s="198" t="s">
        <v>68</v>
      </c>
      <c r="AN1394" s="202">
        <v>9482350</v>
      </c>
      <c r="AO1394" s="202">
        <v>9482350</v>
      </c>
      <c r="AP1394" s="202">
        <v>9482350</v>
      </c>
      <c r="AQ1394" s="198" t="s">
        <v>358</v>
      </c>
      <c r="AR1394" s="198" t="s">
        <v>51</v>
      </c>
      <c r="AS1394" s="202">
        <v>7434241.5</v>
      </c>
      <c r="AT1394" s="202">
        <v>7434241.5</v>
      </c>
      <c r="AU1394" s="198" t="s">
        <v>359</v>
      </c>
      <c r="AV1394" s="198" t="s">
        <v>62</v>
      </c>
      <c r="AW1394" s="198" t="s">
        <v>54</v>
      </c>
    </row>
    <row r="1395" spans="3:49" outlineLevel="2" x14ac:dyDescent="0.25">
      <c r="C1395" s="201"/>
      <c r="D1395" s="198" t="s">
        <v>171</v>
      </c>
      <c r="H1395" s="198" t="s">
        <v>171</v>
      </c>
      <c r="I1395" s="202">
        <f t="shared" si="21"/>
        <v>579790855.80000007</v>
      </c>
      <c r="J1395" s="202">
        <v>140.4</v>
      </c>
      <c r="L1395" s="204">
        <v>1</v>
      </c>
      <c r="M1395" s="202">
        <v>4800200</v>
      </c>
      <c r="N1395" s="204">
        <v>0</v>
      </c>
      <c r="O1395" s="198" t="s">
        <v>51</v>
      </c>
      <c r="P1395" s="202">
        <v>3055290.95</v>
      </c>
      <c r="Q1395" s="198" t="s">
        <v>159</v>
      </c>
      <c r="R1395" s="198" t="s">
        <v>160</v>
      </c>
      <c r="S1395" s="198" t="s">
        <v>54</v>
      </c>
      <c r="T1395" s="198" t="s">
        <v>725</v>
      </c>
      <c r="U1395" s="198" t="s">
        <v>277</v>
      </c>
      <c r="V1395" s="198" t="s">
        <v>56</v>
      </c>
      <c r="W1395" s="198" t="s">
        <v>356</v>
      </c>
      <c r="X1395" s="198" t="s">
        <v>161</v>
      </c>
      <c r="Y1395" s="198" t="s">
        <v>162</v>
      </c>
      <c r="Z1395" s="201">
        <v>46248</v>
      </c>
      <c r="AA1395" s="198" t="s">
        <v>59</v>
      </c>
      <c r="AB1395" s="198" t="s">
        <v>60</v>
      </c>
      <c r="AC1395" s="198" t="s">
        <v>86</v>
      </c>
      <c r="AD1395" s="198" t="s">
        <v>62</v>
      </c>
      <c r="AE1395" s="198" t="s">
        <v>54</v>
      </c>
      <c r="AF1395" s="198" t="s">
        <v>54</v>
      </c>
      <c r="AG1395" s="198" t="s">
        <v>564</v>
      </c>
      <c r="AH1395" s="198" t="s">
        <v>167</v>
      </c>
      <c r="AI1395" s="198" t="s">
        <v>56</v>
      </c>
      <c r="AJ1395" s="198" t="s">
        <v>163</v>
      </c>
      <c r="AK1395" s="198" t="s">
        <v>51</v>
      </c>
      <c r="AL1395" s="198" t="s">
        <v>67</v>
      </c>
      <c r="AM1395" s="198" t="s">
        <v>68</v>
      </c>
      <c r="AN1395" s="202">
        <v>4800200</v>
      </c>
      <c r="AO1395" s="202">
        <v>4800200</v>
      </c>
      <c r="AP1395" s="202">
        <v>4800200</v>
      </c>
      <c r="AQ1395" s="198" t="s">
        <v>358</v>
      </c>
      <c r="AR1395" s="198" t="s">
        <v>51</v>
      </c>
      <c r="AS1395" s="202">
        <v>3055290.95</v>
      </c>
      <c r="AT1395" s="202">
        <v>3055290.95</v>
      </c>
      <c r="AU1395" s="198" t="s">
        <v>359</v>
      </c>
      <c r="AV1395" s="198" t="s">
        <v>62</v>
      </c>
      <c r="AW1395" s="198" t="s">
        <v>54</v>
      </c>
    </row>
    <row r="1396" spans="3:49" outlineLevel="2" x14ac:dyDescent="0.25">
      <c r="C1396" s="201"/>
      <c r="D1396" s="198" t="s">
        <v>173</v>
      </c>
      <c r="H1396" s="198" t="s">
        <v>173</v>
      </c>
      <c r="I1396" s="202">
        <f t="shared" si="21"/>
        <v>580203812.25</v>
      </c>
      <c r="J1396" s="202">
        <v>140.5</v>
      </c>
      <c r="L1396" s="204">
        <v>1</v>
      </c>
      <c r="M1396" s="202">
        <v>7259974</v>
      </c>
      <c r="N1396" s="204">
        <v>0</v>
      </c>
      <c r="O1396" s="198" t="s">
        <v>51</v>
      </c>
      <c r="P1396" s="202">
        <v>4275536.17</v>
      </c>
      <c r="Q1396" s="198" t="s">
        <v>159</v>
      </c>
      <c r="R1396" s="198" t="s">
        <v>160</v>
      </c>
      <c r="S1396" s="198" t="s">
        <v>54</v>
      </c>
      <c r="T1396" s="198" t="s">
        <v>725</v>
      </c>
      <c r="U1396" s="198" t="s">
        <v>277</v>
      </c>
      <c r="V1396" s="198" t="s">
        <v>56</v>
      </c>
      <c r="W1396" s="198" t="s">
        <v>356</v>
      </c>
      <c r="X1396" s="198" t="s">
        <v>161</v>
      </c>
      <c r="Y1396" s="198" t="s">
        <v>162</v>
      </c>
      <c r="Z1396" s="201">
        <v>46248</v>
      </c>
      <c r="AA1396" s="198" t="s">
        <v>59</v>
      </c>
      <c r="AB1396" s="198" t="s">
        <v>60</v>
      </c>
      <c r="AC1396" s="198" t="s">
        <v>86</v>
      </c>
      <c r="AD1396" s="198" t="s">
        <v>62</v>
      </c>
      <c r="AE1396" s="198" t="s">
        <v>54</v>
      </c>
      <c r="AF1396" s="198" t="s">
        <v>54</v>
      </c>
      <c r="AG1396" s="198" t="s">
        <v>564</v>
      </c>
      <c r="AH1396" s="198" t="s">
        <v>167</v>
      </c>
      <c r="AI1396" s="198" t="s">
        <v>56</v>
      </c>
      <c r="AJ1396" s="198" t="s">
        <v>163</v>
      </c>
      <c r="AK1396" s="198" t="s">
        <v>51</v>
      </c>
      <c r="AL1396" s="198" t="s">
        <v>67</v>
      </c>
      <c r="AM1396" s="198" t="s">
        <v>68</v>
      </c>
      <c r="AN1396" s="202">
        <v>7259974</v>
      </c>
      <c r="AO1396" s="202">
        <v>7259974</v>
      </c>
      <c r="AP1396" s="202">
        <v>7259974</v>
      </c>
      <c r="AQ1396" s="198" t="s">
        <v>358</v>
      </c>
      <c r="AR1396" s="198" t="s">
        <v>51</v>
      </c>
      <c r="AS1396" s="202">
        <v>4275536.17</v>
      </c>
      <c r="AT1396" s="202">
        <v>4275536.17</v>
      </c>
      <c r="AU1396" s="198" t="s">
        <v>359</v>
      </c>
      <c r="AV1396" s="198" t="s">
        <v>62</v>
      </c>
      <c r="AW1396" s="198" t="s">
        <v>54</v>
      </c>
    </row>
    <row r="1397" spans="3:49" outlineLevel="2" x14ac:dyDescent="0.25">
      <c r="C1397" s="201"/>
      <c r="D1397" s="198" t="s">
        <v>175</v>
      </c>
      <c r="H1397" s="198" t="s">
        <v>175</v>
      </c>
      <c r="I1397" s="202">
        <f t="shared" si="21"/>
        <v>580616768.69999993</v>
      </c>
      <c r="J1397" s="202">
        <v>140.6</v>
      </c>
      <c r="L1397" s="204">
        <v>1</v>
      </c>
      <c r="M1397" s="202">
        <v>11472452.25</v>
      </c>
      <c r="N1397" s="204">
        <v>1</v>
      </c>
      <c r="O1397" s="198" t="s">
        <v>51</v>
      </c>
      <c r="P1397" s="202">
        <v>11472452.25</v>
      </c>
      <c r="Q1397" s="198" t="s">
        <v>159</v>
      </c>
      <c r="R1397" s="198" t="s">
        <v>160</v>
      </c>
      <c r="S1397" s="198" t="s">
        <v>54</v>
      </c>
      <c r="T1397" s="198" t="s">
        <v>725</v>
      </c>
      <c r="U1397" s="198" t="s">
        <v>277</v>
      </c>
      <c r="V1397" s="198" t="s">
        <v>56</v>
      </c>
      <c r="W1397" s="198" t="s">
        <v>356</v>
      </c>
      <c r="X1397" s="198" t="s">
        <v>161</v>
      </c>
      <c r="Y1397" s="198" t="s">
        <v>162</v>
      </c>
      <c r="Z1397" s="201">
        <v>46248</v>
      </c>
      <c r="AA1397" s="198" t="s">
        <v>59</v>
      </c>
      <c r="AB1397" s="198" t="s">
        <v>60</v>
      </c>
      <c r="AC1397" s="198" t="s">
        <v>86</v>
      </c>
      <c r="AD1397" s="198" t="s">
        <v>62</v>
      </c>
      <c r="AE1397" s="198" t="s">
        <v>54</v>
      </c>
      <c r="AF1397" s="198" t="s">
        <v>54</v>
      </c>
      <c r="AG1397" s="198" t="s">
        <v>564</v>
      </c>
      <c r="AH1397" s="198" t="s">
        <v>167</v>
      </c>
      <c r="AI1397" s="198" t="s">
        <v>56</v>
      </c>
      <c r="AJ1397" s="198" t="s">
        <v>163</v>
      </c>
      <c r="AK1397" s="198" t="s">
        <v>51</v>
      </c>
      <c r="AL1397" s="198" t="s">
        <v>67</v>
      </c>
      <c r="AM1397" s="198" t="s">
        <v>68</v>
      </c>
      <c r="AN1397" s="202">
        <v>11472452.25</v>
      </c>
      <c r="AO1397" s="202">
        <v>11472452.25</v>
      </c>
      <c r="AP1397" s="202">
        <v>11472452.25</v>
      </c>
      <c r="AQ1397" s="198" t="s">
        <v>358</v>
      </c>
      <c r="AR1397" s="198" t="s">
        <v>51</v>
      </c>
      <c r="AS1397" s="202">
        <v>11472452.25</v>
      </c>
      <c r="AT1397" s="202">
        <v>11472452.25</v>
      </c>
      <c r="AU1397" s="198" t="s">
        <v>359</v>
      </c>
      <c r="AV1397" s="198" t="s">
        <v>62</v>
      </c>
      <c r="AW1397" s="198" t="s">
        <v>54</v>
      </c>
    </row>
    <row r="1398" spans="3:49" outlineLevel="2" x14ac:dyDescent="0.25">
      <c r="C1398" s="201"/>
      <c r="D1398" s="198" t="s">
        <v>164</v>
      </c>
      <c r="H1398" s="198" t="s">
        <v>164</v>
      </c>
      <c r="I1398" s="202">
        <f t="shared" si="21"/>
        <v>581029725.14999998</v>
      </c>
      <c r="J1398" s="202">
        <v>140.69999999999999</v>
      </c>
      <c r="L1398" s="204">
        <v>1</v>
      </c>
      <c r="M1398" s="202">
        <v>60825883.200000003</v>
      </c>
      <c r="N1398" s="204">
        <v>0</v>
      </c>
      <c r="O1398" s="198" t="s">
        <v>51</v>
      </c>
      <c r="P1398" s="202">
        <v>25793877.219999999</v>
      </c>
      <c r="Q1398" s="198" t="s">
        <v>159</v>
      </c>
      <c r="R1398" s="198" t="s">
        <v>160</v>
      </c>
      <c r="S1398" s="198" t="s">
        <v>54</v>
      </c>
      <c r="T1398" s="198" t="s">
        <v>725</v>
      </c>
      <c r="U1398" s="198" t="s">
        <v>277</v>
      </c>
      <c r="V1398" s="198" t="s">
        <v>56</v>
      </c>
      <c r="W1398" s="198" t="s">
        <v>356</v>
      </c>
      <c r="X1398" s="198" t="s">
        <v>161</v>
      </c>
      <c r="Y1398" s="198" t="s">
        <v>162</v>
      </c>
      <c r="Z1398" s="201">
        <v>46248</v>
      </c>
      <c r="AA1398" s="198" t="s">
        <v>59</v>
      </c>
      <c r="AB1398" s="198" t="s">
        <v>60</v>
      </c>
      <c r="AC1398" s="198" t="s">
        <v>86</v>
      </c>
      <c r="AD1398" s="198" t="s">
        <v>62</v>
      </c>
      <c r="AE1398" s="198" t="s">
        <v>54</v>
      </c>
      <c r="AF1398" s="198" t="s">
        <v>54</v>
      </c>
      <c r="AG1398" s="198" t="s">
        <v>564</v>
      </c>
      <c r="AH1398" s="198" t="s">
        <v>167</v>
      </c>
      <c r="AI1398" s="198" t="s">
        <v>56</v>
      </c>
      <c r="AJ1398" s="198" t="s">
        <v>163</v>
      </c>
      <c r="AK1398" s="198" t="s">
        <v>51</v>
      </c>
      <c r="AL1398" s="198" t="s">
        <v>67</v>
      </c>
      <c r="AM1398" s="198" t="s">
        <v>68</v>
      </c>
      <c r="AN1398" s="202">
        <v>60825883.200000003</v>
      </c>
      <c r="AO1398" s="202">
        <v>60825883.200000003</v>
      </c>
      <c r="AP1398" s="202">
        <v>60825883.200000003</v>
      </c>
      <c r="AQ1398" s="198" t="s">
        <v>358</v>
      </c>
      <c r="AR1398" s="198" t="s">
        <v>51</v>
      </c>
      <c r="AS1398" s="202">
        <v>25793877.219999999</v>
      </c>
      <c r="AT1398" s="202">
        <v>25793877.219999999</v>
      </c>
      <c r="AU1398" s="198" t="s">
        <v>359</v>
      </c>
      <c r="AV1398" s="198" t="s">
        <v>62</v>
      </c>
      <c r="AW1398" s="198" t="s">
        <v>54</v>
      </c>
    </row>
    <row r="1399" spans="3:49" outlineLevel="2" x14ac:dyDescent="0.25">
      <c r="C1399" s="201"/>
      <c r="D1399" s="198" t="s">
        <v>201</v>
      </c>
      <c r="H1399" s="198" t="s">
        <v>201</v>
      </c>
      <c r="I1399" s="202">
        <f t="shared" si="21"/>
        <v>581442681.60000002</v>
      </c>
      <c r="J1399" s="202">
        <v>140.80000000000001</v>
      </c>
      <c r="L1399" s="204">
        <v>1</v>
      </c>
      <c r="M1399" s="202">
        <v>80050447.650000006</v>
      </c>
      <c r="N1399" s="204">
        <v>0</v>
      </c>
      <c r="O1399" s="198" t="s">
        <v>51</v>
      </c>
      <c r="P1399" s="202">
        <v>54193601.68</v>
      </c>
      <c r="Q1399" s="198" t="s">
        <v>159</v>
      </c>
      <c r="R1399" s="198" t="s">
        <v>160</v>
      </c>
      <c r="S1399" s="198" t="s">
        <v>54</v>
      </c>
      <c r="T1399" s="198" t="s">
        <v>725</v>
      </c>
      <c r="U1399" s="198" t="s">
        <v>277</v>
      </c>
      <c r="V1399" s="198" t="s">
        <v>56</v>
      </c>
      <c r="W1399" s="198" t="s">
        <v>356</v>
      </c>
      <c r="X1399" s="198" t="s">
        <v>161</v>
      </c>
      <c r="Y1399" s="198" t="s">
        <v>162</v>
      </c>
      <c r="Z1399" s="201">
        <v>46248</v>
      </c>
      <c r="AA1399" s="198" t="s">
        <v>59</v>
      </c>
      <c r="AB1399" s="198" t="s">
        <v>60</v>
      </c>
      <c r="AC1399" s="198" t="s">
        <v>86</v>
      </c>
      <c r="AD1399" s="198" t="s">
        <v>62</v>
      </c>
      <c r="AE1399" s="198" t="s">
        <v>54</v>
      </c>
      <c r="AF1399" s="198" t="s">
        <v>54</v>
      </c>
      <c r="AG1399" s="198" t="s">
        <v>564</v>
      </c>
      <c r="AH1399" s="198" t="s">
        <v>167</v>
      </c>
      <c r="AI1399" s="198" t="s">
        <v>56</v>
      </c>
      <c r="AJ1399" s="198" t="s">
        <v>163</v>
      </c>
      <c r="AK1399" s="198" t="s">
        <v>51</v>
      </c>
      <c r="AL1399" s="198" t="s">
        <v>67</v>
      </c>
      <c r="AM1399" s="198" t="s">
        <v>68</v>
      </c>
      <c r="AN1399" s="202">
        <v>80050447.650000006</v>
      </c>
      <c r="AO1399" s="202">
        <v>80050447.650000006</v>
      </c>
      <c r="AP1399" s="202">
        <v>80050447.650000006</v>
      </c>
      <c r="AQ1399" s="198" t="s">
        <v>358</v>
      </c>
      <c r="AR1399" s="198" t="s">
        <v>51</v>
      </c>
      <c r="AS1399" s="202">
        <v>54193601.68</v>
      </c>
      <c r="AT1399" s="202">
        <v>54193601.68</v>
      </c>
      <c r="AU1399" s="198" t="s">
        <v>359</v>
      </c>
      <c r="AV1399" s="198" t="s">
        <v>62</v>
      </c>
      <c r="AW1399" s="198" t="s">
        <v>54</v>
      </c>
    </row>
    <row r="1400" spans="3:49" outlineLevel="2" x14ac:dyDescent="0.25">
      <c r="C1400" s="201"/>
      <c r="D1400" s="198" t="s">
        <v>164</v>
      </c>
      <c r="H1400" s="198" t="s">
        <v>164</v>
      </c>
      <c r="I1400" s="202">
        <f t="shared" si="21"/>
        <v>581855638.05000007</v>
      </c>
      <c r="J1400" s="202">
        <v>140.9</v>
      </c>
      <c r="L1400" s="204">
        <v>1</v>
      </c>
      <c r="M1400" s="202">
        <v>234099.1</v>
      </c>
      <c r="N1400" s="204">
        <v>0</v>
      </c>
      <c r="O1400" s="198" t="s">
        <v>51</v>
      </c>
      <c r="P1400" s="202">
        <v>140976.6</v>
      </c>
      <c r="Q1400" s="198" t="s">
        <v>159</v>
      </c>
      <c r="R1400" s="198" t="s">
        <v>160</v>
      </c>
      <c r="S1400" s="198" t="s">
        <v>54</v>
      </c>
      <c r="T1400" s="198" t="s">
        <v>725</v>
      </c>
      <c r="U1400" s="198" t="s">
        <v>277</v>
      </c>
      <c r="V1400" s="198" t="s">
        <v>56</v>
      </c>
      <c r="W1400" s="198" t="s">
        <v>356</v>
      </c>
      <c r="X1400" s="198" t="s">
        <v>161</v>
      </c>
      <c r="Y1400" s="198" t="s">
        <v>162</v>
      </c>
      <c r="Z1400" s="201">
        <v>46248</v>
      </c>
      <c r="AA1400" s="198" t="s">
        <v>59</v>
      </c>
      <c r="AB1400" s="198" t="s">
        <v>60</v>
      </c>
      <c r="AC1400" s="198" t="s">
        <v>86</v>
      </c>
      <c r="AD1400" s="198" t="s">
        <v>62</v>
      </c>
      <c r="AE1400" s="198" t="s">
        <v>54</v>
      </c>
      <c r="AF1400" s="198" t="s">
        <v>54</v>
      </c>
      <c r="AG1400" s="198" t="s">
        <v>564</v>
      </c>
      <c r="AH1400" s="198" t="s">
        <v>167</v>
      </c>
      <c r="AI1400" s="198" t="s">
        <v>56</v>
      </c>
      <c r="AJ1400" s="198" t="s">
        <v>163</v>
      </c>
      <c r="AK1400" s="198" t="s">
        <v>51</v>
      </c>
      <c r="AL1400" s="198" t="s">
        <v>67</v>
      </c>
      <c r="AM1400" s="198" t="s">
        <v>68</v>
      </c>
      <c r="AN1400" s="202">
        <v>234099.1</v>
      </c>
      <c r="AO1400" s="202">
        <v>234099.1</v>
      </c>
      <c r="AP1400" s="202">
        <v>234099.1</v>
      </c>
      <c r="AQ1400" s="198" t="s">
        <v>358</v>
      </c>
      <c r="AR1400" s="198" t="s">
        <v>51</v>
      </c>
      <c r="AS1400" s="202">
        <v>140976.6</v>
      </c>
      <c r="AT1400" s="202">
        <v>140976.6</v>
      </c>
      <c r="AU1400" s="198" t="s">
        <v>359</v>
      </c>
      <c r="AV1400" s="198" t="s">
        <v>62</v>
      </c>
      <c r="AW1400" s="198" t="s">
        <v>54</v>
      </c>
    </row>
    <row r="1401" spans="3:49" outlineLevel="2" x14ac:dyDescent="0.25">
      <c r="C1401" s="201"/>
      <c r="D1401" s="198" t="s">
        <v>170</v>
      </c>
      <c r="H1401" s="198" t="s">
        <v>170</v>
      </c>
      <c r="I1401" s="202">
        <f t="shared" si="21"/>
        <v>582268594.5</v>
      </c>
      <c r="J1401" s="202">
        <v>141</v>
      </c>
      <c r="L1401" s="204">
        <v>1</v>
      </c>
      <c r="M1401" s="202">
        <v>2145966</v>
      </c>
      <c r="N1401" s="204">
        <v>0</v>
      </c>
      <c r="O1401" s="198" t="s">
        <v>51</v>
      </c>
      <c r="P1401" s="202">
        <v>1881171.7</v>
      </c>
      <c r="Q1401" s="198" t="s">
        <v>159</v>
      </c>
      <c r="R1401" s="198" t="s">
        <v>160</v>
      </c>
      <c r="S1401" s="198" t="s">
        <v>54</v>
      </c>
      <c r="T1401" s="198" t="s">
        <v>725</v>
      </c>
      <c r="U1401" s="198" t="s">
        <v>277</v>
      </c>
      <c r="V1401" s="198" t="s">
        <v>56</v>
      </c>
      <c r="W1401" s="198" t="s">
        <v>356</v>
      </c>
      <c r="X1401" s="198" t="s">
        <v>161</v>
      </c>
      <c r="Y1401" s="198" t="s">
        <v>162</v>
      </c>
      <c r="Z1401" s="201">
        <v>46248</v>
      </c>
      <c r="AA1401" s="198" t="s">
        <v>59</v>
      </c>
      <c r="AB1401" s="198" t="s">
        <v>60</v>
      </c>
      <c r="AC1401" s="198" t="s">
        <v>86</v>
      </c>
      <c r="AD1401" s="198" t="s">
        <v>62</v>
      </c>
      <c r="AE1401" s="198" t="s">
        <v>54</v>
      </c>
      <c r="AF1401" s="198" t="s">
        <v>54</v>
      </c>
      <c r="AG1401" s="198" t="s">
        <v>564</v>
      </c>
      <c r="AH1401" s="198" t="s">
        <v>167</v>
      </c>
      <c r="AI1401" s="198" t="s">
        <v>56</v>
      </c>
      <c r="AJ1401" s="198" t="s">
        <v>163</v>
      </c>
      <c r="AK1401" s="198" t="s">
        <v>51</v>
      </c>
      <c r="AL1401" s="198" t="s">
        <v>67</v>
      </c>
      <c r="AM1401" s="198" t="s">
        <v>68</v>
      </c>
      <c r="AN1401" s="202">
        <v>2145966</v>
      </c>
      <c r="AO1401" s="202">
        <v>2145966</v>
      </c>
      <c r="AP1401" s="202">
        <v>2145966</v>
      </c>
      <c r="AQ1401" s="198" t="s">
        <v>358</v>
      </c>
      <c r="AR1401" s="198" t="s">
        <v>51</v>
      </c>
      <c r="AS1401" s="202">
        <v>1881171.7</v>
      </c>
      <c r="AT1401" s="202">
        <v>1881171.7</v>
      </c>
      <c r="AU1401" s="198" t="s">
        <v>359</v>
      </c>
      <c r="AV1401" s="198" t="s">
        <v>62</v>
      </c>
      <c r="AW1401" s="198" t="s">
        <v>54</v>
      </c>
    </row>
    <row r="1402" spans="3:49" outlineLevel="2" x14ac:dyDescent="0.25">
      <c r="C1402" s="201"/>
      <c r="D1402" s="198" t="s">
        <v>171</v>
      </c>
      <c r="H1402" s="198" t="s">
        <v>171</v>
      </c>
      <c r="I1402" s="202">
        <f t="shared" si="21"/>
        <v>582681550.94999993</v>
      </c>
      <c r="J1402" s="202">
        <v>141.1</v>
      </c>
      <c r="L1402" s="204">
        <v>1</v>
      </c>
      <c r="M1402" s="202">
        <v>1422080</v>
      </c>
      <c r="N1402" s="204">
        <v>0</v>
      </c>
      <c r="O1402" s="198" t="s">
        <v>51</v>
      </c>
      <c r="P1402" s="202">
        <v>1006699</v>
      </c>
      <c r="Q1402" s="198" t="s">
        <v>159</v>
      </c>
      <c r="R1402" s="198" t="s">
        <v>160</v>
      </c>
      <c r="S1402" s="198" t="s">
        <v>54</v>
      </c>
      <c r="T1402" s="198" t="s">
        <v>725</v>
      </c>
      <c r="U1402" s="198" t="s">
        <v>277</v>
      </c>
      <c r="V1402" s="198" t="s">
        <v>56</v>
      </c>
      <c r="W1402" s="198" t="s">
        <v>356</v>
      </c>
      <c r="X1402" s="198" t="s">
        <v>161</v>
      </c>
      <c r="Y1402" s="198" t="s">
        <v>162</v>
      </c>
      <c r="Z1402" s="201">
        <v>46248</v>
      </c>
      <c r="AA1402" s="198" t="s">
        <v>59</v>
      </c>
      <c r="AB1402" s="198" t="s">
        <v>60</v>
      </c>
      <c r="AC1402" s="198" t="s">
        <v>86</v>
      </c>
      <c r="AD1402" s="198" t="s">
        <v>62</v>
      </c>
      <c r="AE1402" s="198" t="s">
        <v>54</v>
      </c>
      <c r="AF1402" s="198" t="s">
        <v>54</v>
      </c>
      <c r="AG1402" s="198" t="s">
        <v>564</v>
      </c>
      <c r="AH1402" s="198" t="s">
        <v>167</v>
      </c>
      <c r="AI1402" s="198" t="s">
        <v>56</v>
      </c>
      <c r="AJ1402" s="198" t="s">
        <v>163</v>
      </c>
      <c r="AK1402" s="198" t="s">
        <v>51</v>
      </c>
      <c r="AL1402" s="198" t="s">
        <v>67</v>
      </c>
      <c r="AM1402" s="198" t="s">
        <v>68</v>
      </c>
      <c r="AN1402" s="202">
        <v>1422080</v>
      </c>
      <c r="AO1402" s="202">
        <v>1422080</v>
      </c>
      <c r="AP1402" s="202">
        <v>1422080</v>
      </c>
      <c r="AQ1402" s="198" t="s">
        <v>358</v>
      </c>
      <c r="AR1402" s="198" t="s">
        <v>51</v>
      </c>
      <c r="AS1402" s="202">
        <v>1006699</v>
      </c>
      <c r="AT1402" s="202">
        <v>1006699</v>
      </c>
      <c r="AU1402" s="198" t="s">
        <v>359</v>
      </c>
      <c r="AV1402" s="198" t="s">
        <v>62</v>
      </c>
      <c r="AW1402" s="198" t="s">
        <v>54</v>
      </c>
    </row>
    <row r="1403" spans="3:49" outlineLevel="2" x14ac:dyDescent="0.25">
      <c r="C1403" s="201"/>
      <c r="D1403" s="198" t="s">
        <v>173</v>
      </c>
      <c r="H1403" s="198" t="s">
        <v>173</v>
      </c>
      <c r="I1403" s="202">
        <f t="shared" si="21"/>
        <v>583094507.39999998</v>
      </c>
      <c r="J1403" s="202">
        <v>141.19999999999999</v>
      </c>
      <c r="L1403" s="204">
        <v>1</v>
      </c>
      <c r="M1403" s="202">
        <v>979050</v>
      </c>
      <c r="N1403" s="204">
        <v>0</v>
      </c>
      <c r="O1403" s="198" t="s">
        <v>51</v>
      </c>
      <c r="P1403" s="202">
        <v>607010</v>
      </c>
      <c r="Q1403" s="198" t="s">
        <v>159</v>
      </c>
      <c r="R1403" s="198" t="s">
        <v>160</v>
      </c>
      <c r="S1403" s="198" t="s">
        <v>54</v>
      </c>
      <c r="T1403" s="198" t="s">
        <v>725</v>
      </c>
      <c r="U1403" s="198" t="s">
        <v>277</v>
      </c>
      <c r="V1403" s="198" t="s">
        <v>56</v>
      </c>
      <c r="W1403" s="198" t="s">
        <v>356</v>
      </c>
      <c r="X1403" s="198" t="s">
        <v>161</v>
      </c>
      <c r="Y1403" s="198" t="s">
        <v>162</v>
      </c>
      <c r="Z1403" s="201">
        <v>46248</v>
      </c>
      <c r="AA1403" s="198" t="s">
        <v>59</v>
      </c>
      <c r="AB1403" s="198" t="s">
        <v>60</v>
      </c>
      <c r="AC1403" s="198" t="s">
        <v>86</v>
      </c>
      <c r="AD1403" s="198" t="s">
        <v>62</v>
      </c>
      <c r="AE1403" s="198" t="s">
        <v>54</v>
      </c>
      <c r="AF1403" s="198" t="s">
        <v>54</v>
      </c>
      <c r="AG1403" s="198" t="s">
        <v>564</v>
      </c>
      <c r="AH1403" s="198" t="s">
        <v>167</v>
      </c>
      <c r="AI1403" s="198" t="s">
        <v>56</v>
      </c>
      <c r="AJ1403" s="198" t="s">
        <v>163</v>
      </c>
      <c r="AK1403" s="198" t="s">
        <v>51</v>
      </c>
      <c r="AL1403" s="198" t="s">
        <v>67</v>
      </c>
      <c r="AM1403" s="198" t="s">
        <v>68</v>
      </c>
      <c r="AN1403" s="202">
        <v>979050</v>
      </c>
      <c r="AO1403" s="202">
        <v>979050</v>
      </c>
      <c r="AP1403" s="202">
        <v>979050</v>
      </c>
      <c r="AQ1403" s="198" t="s">
        <v>358</v>
      </c>
      <c r="AR1403" s="198" t="s">
        <v>51</v>
      </c>
      <c r="AS1403" s="202">
        <v>607010</v>
      </c>
      <c r="AT1403" s="202">
        <v>607010</v>
      </c>
      <c r="AU1403" s="198" t="s">
        <v>359</v>
      </c>
      <c r="AV1403" s="198" t="s">
        <v>62</v>
      </c>
      <c r="AW1403" s="198" t="s">
        <v>54</v>
      </c>
    </row>
    <row r="1404" spans="3:49" outlineLevel="2" x14ac:dyDescent="0.25">
      <c r="C1404" s="201"/>
      <c r="D1404" s="198" t="s">
        <v>201</v>
      </c>
      <c r="H1404" s="198" t="s">
        <v>201</v>
      </c>
      <c r="I1404" s="202">
        <f t="shared" si="21"/>
        <v>583507463.85000002</v>
      </c>
      <c r="J1404" s="202">
        <v>141.30000000000001</v>
      </c>
      <c r="L1404" s="204">
        <v>1</v>
      </c>
      <c r="M1404" s="202">
        <v>1537270</v>
      </c>
      <c r="N1404" s="204">
        <v>0</v>
      </c>
      <c r="O1404" s="198" t="s">
        <v>51</v>
      </c>
      <c r="P1404" s="202">
        <v>79870</v>
      </c>
      <c r="Q1404" s="198" t="s">
        <v>159</v>
      </c>
      <c r="R1404" s="198" t="s">
        <v>160</v>
      </c>
      <c r="S1404" s="198" t="s">
        <v>54</v>
      </c>
      <c r="T1404" s="198" t="s">
        <v>725</v>
      </c>
      <c r="U1404" s="198" t="s">
        <v>277</v>
      </c>
      <c r="V1404" s="198" t="s">
        <v>56</v>
      </c>
      <c r="W1404" s="198" t="s">
        <v>356</v>
      </c>
      <c r="X1404" s="198" t="s">
        <v>161</v>
      </c>
      <c r="Y1404" s="198" t="s">
        <v>162</v>
      </c>
      <c r="Z1404" s="201">
        <v>46248</v>
      </c>
      <c r="AA1404" s="198" t="s">
        <v>59</v>
      </c>
      <c r="AB1404" s="198" t="s">
        <v>60</v>
      </c>
      <c r="AC1404" s="198" t="s">
        <v>86</v>
      </c>
      <c r="AD1404" s="198" t="s">
        <v>62</v>
      </c>
      <c r="AE1404" s="198" t="s">
        <v>54</v>
      </c>
      <c r="AF1404" s="198" t="s">
        <v>54</v>
      </c>
      <c r="AG1404" s="198" t="s">
        <v>564</v>
      </c>
      <c r="AH1404" s="198" t="s">
        <v>167</v>
      </c>
      <c r="AI1404" s="198" t="s">
        <v>56</v>
      </c>
      <c r="AJ1404" s="198" t="s">
        <v>163</v>
      </c>
      <c r="AK1404" s="198" t="s">
        <v>51</v>
      </c>
      <c r="AL1404" s="198" t="s">
        <v>67</v>
      </c>
      <c r="AM1404" s="198" t="s">
        <v>68</v>
      </c>
      <c r="AN1404" s="202">
        <v>1537270</v>
      </c>
      <c r="AO1404" s="202">
        <v>1537270</v>
      </c>
      <c r="AP1404" s="202">
        <v>1537270</v>
      </c>
      <c r="AQ1404" s="198" t="s">
        <v>358</v>
      </c>
      <c r="AR1404" s="198" t="s">
        <v>51</v>
      </c>
      <c r="AS1404" s="202">
        <v>79870</v>
      </c>
      <c r="AT1404" s="202">
        <v>79870</v>
      </c>
      <c r="AU1404" s="198" t="s">
        <v>359</v>
      </c>
      <c r="AV1404" s="198" t="s">
        <v>62</v>
      </c>
      <c r="AW1404" s="198" t="s">
        <v>54</v>
      </c>
    </row>
    <row r="1405" spans="3:49" outlineLevel="2" x14ac:dyDescent="0.25">
      <c r="C1405" s="201"/>
      <c r="D1405" s="198" t="s">
        <v>180</v>
      </c>
      <c r="H1405" s="198" t="s">
        <v>180</v>
      </c>
      <c r="I1405" s="202">
        <f t="shared" si="21"/>
        <v>583920420.30000007</v>
      </c>
      <c r="J1405" s="202">
        <v>141.4</v>
      </c>
      <c r="L1405" s="204">
        <v>1</v>
      </c>
      <c r="M1405" s="202">
        <v>68429118.599999994</v>
      </c>
      <c r="N1405" s="204">
        <v>0</v>
      </c>
      <c r="O1405" s="198" t="s">
        <v>51</v>
      </c>
      <c r="P1405" s="202">
        <v>26107658.859999999</v>
      </c>
      <c r="Q1405" s="198" t="s">
        <v>159</v>
      </c>
      <c r="R1405" s="198" t="s">
        <v>160</v>
      </c>
      <c r="S1405" s="198" t="s">
        <v>54</v>
      </c>
      <c r="T1405" s="198" t="s">
        <v>725</v>
      </c>
      <c r="U1405" s="198" t="s">
        <v>277</v>
      </c>
      <c r="V1405" s="198" t="s">
        <v>56</v>
      </c>
      <c r="W1405" s="198" t="s">
        <v>356</v>
      </c>
      <c r="X1405" s="198" t="s">
        <v>161</v>
      </c>
      <c r="Y1405" s="198" t="s">
        <v>162</v>
      </c>
      <c r="Z1405" s="201">
        <v>46248</v>
      </c>
      <c r="AA1405" s="198" t="s">
        <v>59</v>
      </c>
      <c r="AB1405" s="198" t="s">
        <v>60</v>
      </c>
      <c r="AC1405" s="198" t="s">
        <v>86</v>
      </c>
      <c r="AD1405" s="198" t="s">
        <v>62</v>
      </c>
      <c r="AE1405" s="198" t="s">
        <v>54</v>
      </c>
      <c r="AF1405" s="198" t="s">
        <v>54</v>
      </c>
      <c r="AG1405" s="198" t="s">
        <v>564</v>
      </c>
      <c r="AH1405" s="198" t="s">
        <v>65</v>
      </c>
      <c r="AI1405" s="198" t="s">
        <v>56</v>
      </c>
      <c r="AJ1405" s="198" t="s">
        <v>163</v>
      </c>
      <c r="AK1405" s="198" t="s">
        <v>51</v>
      </c>
      <c r="AL1405" s="198" t="s">
        <v>67</v>
      </c>
      <c r="AM1405" s="198" t="s">
        <v>68</v>
      </c>
      <c r="AN1405" s="202">
        <v>68429118.599999994</v>
      </c>
      <c r="AO1405" s="202">
        <v>68429118.599999994</v>
      </c>
      <c r="AP1405" s="202">
        <v>68429118.599999994</v>
      </c>
      <c r="AQ1405" s="198" t="s">
        <v>358</v>
      </c>
      <c r="AR1405" s="198" t="s">
        <v>51</v>
      </c>
      <c r="AS1405" s="202">
        <v>26107658.859999999</v>
      </c>
      <c r="AT1405" s="202">
        <v>26107658.859999999</v>
      </c>
      <c r="AU1405" s="198" t="s">
        <v>359</v>
      </c>
      <c r="AV1405" s="198" t="s">
        <v>62</v>
      </c>
      <c r="AW1405" s="198" t="s">
        <v>54</v>
      </c>
    </row>
    <row r="1406" spans="3:49" outlineLevel="2" x14ac:dyDescent="0.25">
      <c r="C1406" s="201"/>
      <c r="D1406" s="198" t="s">
        <v>180</v>
      </c>
      <c r="H1406" s="198" t="s">
        <v>180</v>
      </c>
      <c r="I1406" s="202">
        <f t="shared" si="21"/>
        <v>584333376.75</v>
      </c>
      <c r="J1406" s="202">
        <v>141.5</v>
      </c>
      <c r="L1406" s="204">
        <v>1</v>
      </c>
      <c r="M1406" s="202">
        <v>1362599.85</v>
      </c>
      <c r="N1406" s="204">
        <v>0</v>
      </c>
      <c r="O1406" s="198" t="s">
        <v>51</v>
      </c>
      <c r="P1406" s="202">
        <v>981212.16000000003</v>
      </c>
      <c r="Q1406" s="198" t="s">
        <v>159</v>
      </c>
      <c r="R1406" s="198" t="s">
        <v>160</v>
      </c>
      <c r="S1406" s="198" t="s">
        <v>54</v>
      </c>
      <c r="T1406" s="198" t="s">
        <v>725</v>
      </c>
      <c r="U1406" s="198" t="s">
        <v>277</v>
      </c>
      <c r="V1406" s="198" t="s">
        <v>56</v>
      </c>
      <c r="W1406" s="198" t="s">
        <v>356</v>
      </c>
      <c r="X1406" s="198" t="s">
        <v>161</v>
      </c>
      <c r="Y1406" s="198" t="s">
        <v>162</v>
      </c>
      <c r="Z1406" s="201">
        <v>46248</v>
      </c>
      <c r="AA1406" s="198" t="s">
        <v>59</v>
      </c>
      <c r="AB1406" s="198" t="s">
        <v>60</v>
      </c>
      <c r="AC1406" s="198" t="s">
        <v>86</v>
      </c>
      <c r="AD1406" s="198" t="s">
        <v>62</v>
      </c>
      <c r="AE1406" s="198" t="s">
        <v>54</v>
      </c>
      <c r="AF1406" s="198" t="s">
        <v>54</v>
      </c>
      <c r="AG1406" s="198" t="s">
        <v>564</v>
      </c>
      <c r="AH1406" s="198" t="s">
        <v>65</v>
      </c>
      <c r="AI1406" s="198" t="s">
        <v>56</v>
      </c>
      <c r="AJ1406" s="198" t="s">
        <v>163</v>
      </c>
      <c r="AK1406" s="198" t="s">
        <v>51</v>
      </c>
      <c r="AL1406" s="198" t="s">
        <v>67</v>
      </c>
      <c r="AM1406" s="198" t="s">
        <v>68</v>
      </c>
      <c r="AN1406" s="202">
        <v>1362599.85</v>
      </c>
      <c r="AO1406" s="202">
        <v>1362599.85</v>
      </c>
      <c r="AP1406" s="202">
        <v>1362599.85</v>
      </c>
      <c r="AQ1406" s="198" t="s">
        <v>358</v>
      </c>
      <c r="AR1406" s="198" t="s">
        <v>51</v>
      </c>
      <c r="AS1406" s="202">
        <v>981212.16000000003</v>
      </c>
      <c r="AT1406" s="202">
        <v>981212.16000000003</v>
      </c>
      <c r="AU1406" s="198" t="s">
        <v>359</v>
      </c>
      <c r="AV1406" s="198" t="s">
        <v>62</v>
      </c>
      <c r="AW1406" s="198" t="s">
        <v>54</v>
      </c>
    </row>
    <row r="1407" spans="3:49" outlineLevel="2" x14ac:dyDescent="0.25">
      <c r="C1407" s="201"/>
      <c r="D1407" s="198" t="s">
        <v>180</v>
      </c>
      <c r="H1407" s="198" t="s">
        <v>180</v>
      </c>
      <c r="I1407" s="202">
        <f t="shared" si="21"/>
        <v>584746333.19999993</v>
      </c>
      <c r="J1407" s="202">
        <v>141.6</v>
      </c>
      <c r="L1407" s="204">
        <v>1</v>
      </c>
      <c r="M1407" s="202">
        <v>1110526.2</v>
      </c>
      <c r="N1407" s="204">
        <v>1</v>
      </c>
      <c r="O1407" s="198" t="s">
        <v>51</v>
      </c>
      <c r="P1407" s="202">
        <v>1110526.2</v>
      </c>
      <c r="Q1407" s="198" t="s">
        <v>159</v>
      </c>
      <c r="R1407" s="198" t="s">
        <v>160</v>
      </c>
      <c r="S1407" s="198" t="s">
        <v>54</v>
      </c>
      <c r="T1407" s="198" t="s">
        <v>725</v>
      </c>
      <c r="U1407" s="198" t="s">
        <v>277</v>
      </c>
      <c r="V1407" s="198" t="s">
        <v>56</v>
      </c>
      <c r="W1407" s="198" t="s">
        <v>356</v>
      </c>
      <c r="X1407" s="198" t="s">
        <v>161</v>
      </c>
      <c r="Y1407" s="198" t="s">
        <v>162</v>
      </c>
      <c r="Z1407" s="201">
        <v>46248</v>
      </c>
      <c r="AA1407" s="198" t="s">
        <v>59</v>
      </c>
      <c r="AB1407" s="198" t="s">
        <v>60</v>
      </c>
      <c r="AC1407" s="198" t="s">
        <v>86</v>
      </c>
      <c r="AD1407" s="198" t="s">
        <v>62</v>
      </c>
      <c r="AE1407" s="198" t="s">
        <v>54</v>
      </c>
      <c r="AF1407" s="198" t="s">
        <v>54</v>
      </c>
      <c r="AG1407" s="198" t="s">
        <v>564</v>
      </c>
      <c r="AH1407" s="198" t="s">
        <v>65</v>
      </c>
      <c r="AI1407" s="198" t="s">
        <v>56</v>
      </c>
      <c r="AJ1407" s="198" t="s">
        <v>163</v>
      </c>
      <c r="AK1407" s="198" t="s">
        <v>51</v>
      </c>
      <c r="AL1407" s="198" t="s">
        <v>67</v>
      </c>
      <c r="AM1407" s="198" t="s">
        <v>68</v>
      </c>
      <c r="AN1407" s="202">
        <v>1110526.2</v>
      </c>
      <c r="AO1407" s="202">
        <v>1110526.2</v>
      </c>
      <c r="AP1407" s="202">
        <v>1110526.2</v>
      </c>
      <c r="AQ1407" s="198" t="s">
        <v>358</v>
      </c>
      <c r="AR1407" s="198" t="s">
        <v>51</v>
      </c>
      <c r="AS1407" s="202">
        <v>1110526.2</v>
      </c>
      <c r="AT1407" s="202">
        <v>1110526.2</v>
      </c>
      <c r="AU1407" s="198" t="s">
        <v>359</v>
      </c>
      <c r="AV1407" s="198" t="s">
        <v>62</v>
      </c>
      <c r="AW1407" s="198" t="s">
        <v>54</v>
      </c>
    </row>
    <row r="1408" spans="3:49" outlineLevel="2" x14ac:dyDescent="0.25">
      <c r="C1408" s="201"/>
      <c r="D1408" s="198" t="s">
        <v>181</v>
      </c>
      <c r="H1408" s="198" t="s">
        <v>181</v>
      </c>
      <c r="I1408" s="202">
        <f t="shared" si="21"/>
        <v>585159289.64999998</v>
      </c>
      <c r="J1408" s="202">
        <v>141.69999999999999</v>
      </c>
      <c r="L1408" s="204">
        <v>1</v>
      </c>
      <c r="M1408" s="202">
        <v>84433003.25</v>
      </c>
      <c r="N1408" s="204">
        <v>0</v>
      </c>
      <c r="O1408" s="198" t="s">
        <v>51</v>
      </c>
      <c r="P1408" s="202">
        <v>51933337.729999997</v>
      </c>
      <c r="Q1408" s="198" t="s">
        <v>159</v>
      </c>
      <c r="R1408" s="198" t="s">
        <v>160</v>
      </c>
      <c r="S1408" s="198" t="s">
        <v>54</v>
      </c>
      <c r="T1408" s="198" t="s">
        <v>725</v>
      </c>
      <c r="U1408" s="198" t="s">
        <v>277</v>
      </c>
      <c r="V1408" s="198" t="s">
        <v>56</v>
      </c>
      <c r="W1408" s="198" t="s">
        <v>356</v>
      </c>
      <c r="X1408" s="198" t="s">
        <v>161</v>
      </c>
      <c r="Y1408" s="198" t="s">
        <v>162</v>
      </c>
      <c r="Z1408" s="201">
        <v>46248</v>
      </c>
      <c r="AA1408" s="198" t="s">
        <v>59</v>
      </c>
      <c r="AB1408" s="198" t="s">
        <v>60</v>
      </c>
      <c r="AC1408" s="198" t="s">
        <v>86</v>
      </c>
      <c r="AD1408" s="198" t="s">
        <v>62</v>
      </c>
      <c r="AE1408" s="198" t="s">
        <v>54</v>
      </c>
      <c r="AF1408" s="198" t="s">
        <v>54</v>
      </c>
      <c r="AG1408" s="198" t="s">
        <v>564</v>
      </c>
      <c r="AH1408" s="198" t="s">
        <v>65</v>
      </c>
      <c r="AI1408" s="198" t="s">
        <v>56</v>
      </c>
      <c r="AJ1408" s="198" t="s">
        <v>163</v>
      </c>
      <c r="AK1408" s="198" t="s">
        <v>51</v>
      </c>
      <c r="AL1408" s="198" t="s">
        <v>67</v>
      </c>
      <c r="AM1408" s="198" t="s">
        <v>68</v>
      </c>
      <c r="AN1408" s="202">
        <v>84433003.25</v>
      </c>
      <c r="AO1408" s="202">
        <v>84433003.25</v>
      </c>
      <c r="AP1408" s="202">
        <v>84433003.25</v>
      </c>
      <c r="AQ1408" s="198" t="s">
        <v>358</v>
      </c>
      <c r="AR1408" s="198" t="s">
        <v>51</v>
      </c>
      <c r="AS1408" s="202">
        <v>51933337.729999997</v>
      </c>
      <c r="AT1408" s="202">
        <v>51933337.729999997</v>
      </c>
      <c r="AU1408" s="198" t="s">
        <v>359</v>
      </c>
      <c r="AV1408" s="198" t="s">
        <v>62</v>
      </c>
      <c r="AW1408" s="198" t="s">
        <v>54</v>
      </c>
    </row>
    <row r="1409" spans="3:49" outlineLevel="2" x14ac:dyDescent="0.25">
      <c r="C1409" s="201"/>
      <c r="D1409" s="198" t="s">
        <v>185</v>
      </c>
      <c r="H1409" s="198" t="s">
        <v>185</v>
      </c>
      <c r="I1409" s="202">
        <f t="shared" si="21"/>
        <v>585572246.10000002</v>
      </c>
      <c r="J1409" s="202">
        <v>141.80000000000001</v>
      </c>
      <c r="L1409" s="204">
        <v>1</v>
      </c>
      <c r="M1409" s="202">
        <v>10670075</v>
      </c>
      <c r="N1409" s="204">
        <v>0</v>
      </c>
      <c r="O1409" s="198" t="s">
        <v>51</v>
      </c>
      <c r="P1409" s="202">
        <v>8068036.7300000004</v>
      </c>
      <c r="Q1409" s="198" t="s">
        <v>159</v>
      </c>
      <c r="R1409" s="198" t="s">
        <v>160</v>
      </c>
      <c r="S1409" s="198" t="s">
        <v>54</v>
      </c>
      <c r="T1409" s="198" t="s">
        <v>725</v>
      </c>
      <c r="U1409" s="198" t="s">
        <v>277</v>
      </c>
      <c r="V1409" s="198" t="s">
        <v>56</v>
      </c>
      <c r="W1409" s="198" t="s">
        <v>356</v>
      </c>
      <c r="X1409" s="198" t="s">
        <v>161</v>
      </c>
      <c r="Y1409" s="198" t="s">
        <v>162</v>
      </c>
      <c r="Z1409" s="201">
        <v>46248</v>
      </c>
      <c r="AA1409" s="198" t="s">
        <v>59</v>
      </c>
      <c r="AB1409" s="198" t="s">
        <v>60</v>
      </c>
      <c r="AC1409" s="198" t="s">
        <v>86</v>
      </c>
      <c r="AD1409" s="198" t="s">
        <v>62</v>
      </c>
      <c r="AE1409" s="198" t="s">
        <v>54</v>
      </c>
      <c r="AF1409" s="198" t="s">
        <v>54</v>
      </c>
      <c r="AG1409" s="198" t="s">
        <v>564</v>
      </c>
      <c r="AH1409" s="198" t="s">
        <v>65</v>
      </c>
      <c r="AI1409" s="198" t="s">
        <v>56</v>
      </c>
      <c r="AJ1409" s="198" t="s">
        <v>163</v>
      </c>
      <c r="AK1409" s="198" t="s">
        <v>51</v>
      </c>
      <c r="AL1409" s="198" t="s">
        <v>67</v>
      </c>
      <c r="AM1409" s="198" t="s">
        <v>68</v>
      </c>
      <c r="AN1409" s="202">
        <v>10670075</v>
      </c>
      <c r="AO1409" s="202">
        <v>10670075</v>
      </c>
      <c r="AP1409" s="202">
        <v>10670075</v>
      </c>
      <c r="AQ1409" s="198" t="s">
        <v>358</v>
      </c>
      <c r="AR1409" s="198" t="s">
        <v>51</v>
      </c>
      <c r="AS1409" s="202">
        <v>8068036.7300000004</v>
      </c>
      <c r="AT1409" s="202">
        <v>8068036.7300000004</v>
      </c>
      <c r="AU1409" s="198" t="s">
        <v>359</v>
      </c>
      <c r="AV1409" s="198" t="s">
        <v>62</v>
      </c>
      <c r="AW1409" s="198" t="s">
        <v>54</v>
      </c>
    </row>
    <row r="1410" spans="3:49" outlineLevel="2" x14ac:dyDescent="0.25">
      <c r="C1410" s="201"/>
      <c r="D1410" s="198" t="s">
        <v>720</v>
      </c>
      <c r="H1410" s="198" t="s">
        <v>720</v>
      </c>
      <c r="I1410" s="202">
        <f t="shared" si="21"/>
        <v>585985202.55000007</v>
      </c>
      <c r="J1410" s="202">
        <v>141.9</v>
      </c>
      <c r="L1410" s="204">
        <v>1</v>
      </c>
      <c r="M1410" s="202">
        <v>5412661.9000000004</v>
      </c>
      <c r="N1410" s="204">
        <v>0</v>
      </c>
      <c r="O1410" s="198" t="s">
        <v>51</v>
      </c>
      <c r="P1410" s="202">
        <v>3245364.15</v>
      </c>
      <c r="Q1410" s="198" t="s">
        <v>159</v>
      </c>
      <c r="R1410" s="198" t="s">
        <v>160</v>
      </c>
      <c r="S1410" s="198" t="s">
        <v>54</v>
      </c>
      <c r="T1410" s="198" t="s">
        <v>725</v>
      </c>
      <c r="U1410" s="198" t="s">
        <v>277</v>
      </c>
      <c r="V1410" s="198" t="s">
        <v>56</v>
      </c>
      <c r="W1410" s="198" t="s">
        <v>356</v>
      </c>
      <c r="X1410" s="198" t="s">
        <v>161</v>
      </c>
      <c r="Y1410" s="198" t="s">
        <v>162</v>
      </c>
      <c r="Z1410" s="201">
        <v>46248</v>
      </c>
      <c r="AA1410" s="198" t="s">
        <v>59</v>
      </c>
      <c r="AB1410" s="198" t="s">
        <v>60</v>
      </c>
      <c r="AC1410" s="198" t="s">
        <v>86</v>
      </c>
      <c r="AD1410" s="198" t="s">
        <v>62</v>
      </c>
      <c r="AE1410" s="198" t="s">
        <v>54</v>
      </c>
      <c r="AF1410" s="198" t="s">
        <v>54</v>
      </c>
      <c r="AG1410" s="198" t="s">
        <v>564</v>
      </c>
      <c r="AH1410" s="198" t="s">
        <v>65</v>
      </c>
      <c r="AI1410" s="198" t="s">
        <v>56</v>
      </c>
      <c r="AJ1410" s="198" t="s">
        <v>163</v>
      </c>
      <c r="AK1410" s="198" t="s">
        <v>51</v>
      </c>
      <c r="AL1410" s="198" t="s">
        <v>67</v>
      </c>
      <c r="AM1410" s="198" t="s">
        <v>68</v>
      </c>
      <c r="AN1410" s="202">
        <v>5412661.9000000004</v>
      </c>
      <c r="AO1410" s="202">
        <v>5412661.9000000004</v>
      </c>
      <c r="AP1410" s="202">
        <v>5412661.9000000004</v>
      </c>
      <c r="AQ1410" s="198" t="s">
        <v>358</v>
      </c>
      <c r="AR1410" s="198" t="s">
        <v>51</v>
      </c>
      <c r="AS1410" s="202">
        <v>3245364.15</v>
      </c>
      <c r="AT1410" s="202">
        <v>3245364.15</v>
      </c>
      <c r="AU1410" s="198" t="s">
        <v>359</v>
      </c>
      <c r="AV1410" s="198" t="s">
        <v>62</v>
      </c>
      <c r="AW1410" s="198" t="s">
        <v>54</v>
      </c>
    </row>
    <row r="1411" spans="3:49" outlineLevel="2" x14ac:dyDescent="0.25">
      <c r="C1411" s="201"/>
      <c r="D1411" s="198" t="s">
        <v>203</v>
      </c>
      <c r="H1411" s="198" t="s">
        <v>203</v>
      </c>
      <c r="I1411" s="202">
        <f t="shared" ref="I1411:I1474" si="22">J1411*4129564.5</f>
        <v>586398159</v>
      </c>
      <c r="J1411" s="202">
        <v>142</v>
      </c>
      <c r="L1411" s="204">
        <v>1</v>
      </c>
      <c r="M1411" s="202">
        <v>7488470.75</v>
      </c>
      <c r="N1411" s="204">
        <v>0</v>
      </c>
      <c r="O1411" s="198" t="s">
        <v>51</v>
      </c>
      <c r="P1411" s="202">
        <v>3470611.55</v>
      </c>
      <c r="Q1411" s="198" t="s">
        <v>159</v>
      </c>
      <c r="R1411" s="198" t="s">
        <v>160</v>
      </c>
      <c r="S1411" s="198" t="s">
        <v>54</v>
      </c>
      <c r="T1411" s="198" t="s">
        <v>725</v>
      </c>
      <c r="U1411" s="198" t="s">
        <v>277</v>
      </c>
      <c r="V1411" s="198" t="s">
        <v>56</v>
      </c>
      <c r="W1411" s="198" t="s">
        <v>356</v>
      </c>
      <c r="X1411" s="198" t="s">
        <v>161</v>
      </c>
      <c r="Y1411" s="198" t="s">
        <v>162</v>
      </c>
      <c r="Z1411" s="201">
        <v>46248</v>
      </c>
      <c r="AA1411" s="198" t="s">
        <v>59</v>
      </c>
      <c r="AB1411" s="198" t="s">
        <v>60</v>
      </c>
      <c r="AC1411" s="198" t="s">
        <v>86</v>
      </c>
      <c r="AD1411" s="198" t="s">
        <v>62</v>
      </c>
      <c r="AE1411" s="198" t="s">
        <v>54</v>
      </c>
      <c r="AF1411" s="198" t="s">
        <v>54</v>
      </c>
      <c r="AG1411" s="198" t="s">
        <v>564</v>
      </c>
      <c r="AH1411" s="198" t="s">
        <v>65</v>
      </c>
      <c r="AI1411" s="198" t="s">
        <v>56</v>
      </c>
      <c r="AJ1411" s="198" t="s">
        <v>163</v>
      </c>
      <c r="AK1411" s="198" t="s">
        <v>51</v>
      </c>
      <c r="AL1411" s="198" t="s">
        <v>67</v>
      </c>
      <c r="AM1411" s="198" t="s">
        <v>68</v>
      </c>
      <c r="AN1411" s="202">
        <v>7488470.75</v>
      </c>
      <c r="AO1411" s="202">
        <v>7488470.75</v>
      </c>
      <c r="AP1411" s="202">
        <v>7488470.75</v>
      </c>
      <c r="AQ1411" s="198" t="s">
        <v>358</v>
      </c>
      <c r="AR1411" s="198" t="s">
        <v>51</v>
      </c>
      <c r="AS1411" s="202">
        <v>3470611.55</v>
      </c>
      <c r="AT1411" s="202">
        <v>3470611.55</v>
      </c>
      <c r="AU1411" s="198" t="s">
        <v>359</v>
      </c>
      <c r="AV1411" s="198" t="s">
        <v>62</v>
      </c>
      <c r="AW1411" s="198" t="s">
        <v>54</v>
      </c>
    </row>
    <row r="1412" spans="3:49" outlineLevel="2" x14ac:dyDescent="0.25">
      <c r="C1412" s="201"/>
      <c r="D1412" s="198" t="s">
        <v>187</v>
      </c>
      <c r="H1412" s="198" t="s">
        <v>187</v>
      </c>
      <c r="I1412" s="202">
        <f t="shared" si="22"/>
        <v>586811115.44999993</v>
      </c>
      <c r="J1412" s="202">
        <v>142.1</v>
      </c>
      <c r="L1412" s="204">
        <v>1</v>
      </c>
      <c r="M1412" s="202">
        <v>11472452.25</v>
      </c>
      <c r="N1412" s="204">
        <v>1</v>
      </c>
      <c r="O1412" s="198" t="s">
        <v>51</v>
      </c>
      <c r="P1412" s="202">
        <v>11472452.25</v>
      </c>
      <c r="Q1412" s="198" t="s">
        <v>159</v>
      </c>
      <c r="R1412" s="198" t="s">
        <v>160</v>
      </c>
      <c r="S1412" s="198" t="s">
        <v>54</v>
      </c>
      <c r="T1412" s="198" t="s">
        <v>725</v>
      </c>
      <c r="U1412" s="198" t="s">
        <v>277</v>
      </c>
      <c r="V1412" s="198" t="s">
        <v>56</v>
      </c>
      <c r="W1412" s="198" t="s">
        <v>356</v>
      </c>
      <c r="X1412" s="198" t="s">
        <v>161</v>
      </c>
      <c r="Y1412" s="198" t="s">
        <v>162</v>
      </c>
      <c r="Z1412" s="201">
        <v>46248</v>
      </c>
      <c r="AA1412" s="198" t="s">
        <v>59</v>
      </c>
      <c r="AB1412" s="198" t="s">
        <v>60</v>
      </c>
      <c r="AC1412" s="198" t="s">
        <v>86</v>
      </c>
      <c r="AD1412" s="198" t="s">
        <v>62</v>
      </c>
      <c r="AE1412" s="198" t="s">
        <v>54</v>
      </c>
      <c r="AF1412" s="198" t="s">
        <v>54</v>
      </c>
      <c r="AG1412" s="198" t="s">
        <v>564</v>
      </c>
      <c r="AH1412" s="198" t="s">
        <v>65</v>
      </c>
      <c r="AI1412" s="198" t="s">
        <v>56</v>
      </c>
      <c r="AJ1412" s="198" t="s">
        <v>163</v>
      </c>
      <c r="AK1412" s="198" t="s">
        <v>51</v>
      </c>
      <c r="AL1412" s="198" t="s">
        <v>67</v>
      </c>
      <c r="AM1412" s="198" t="s">
        <v>68</v>
      </c>
      <c r="AN1412" s="202">
        <v>11472452.25</v>
      </c>
      <c r="AO1412" s="202">
        <v>11472452.25</v>
      </c>
      <c r="AP1412" s="202">
        <v>11472452.25</v>
      </c>
      <c r="AQ1412" s="198" t="s">
        <v>358</v>
      </c>
      <c r="AR1412" s="198" t="s">
        <v>51</v>
      </c>
      <c r="AS1412" s="202">
        <v>11472452.25</v>
      </c>
      <c r="AT1412" s="202">
        <v>11472452.25</v>
      </c>
      <c r="AU1412" s="198" t="s">
        <v>359</v>
      </c>
      <c r="AV1412" s="198" t="s">
        <v>62</v>
      </c>
      <c r="AW1412" s="198" t="s">
        <v>54</v>
      </c>
    </row>
    <row r="1413" spans="3:49" outlineLevel="2" x14ac:dyDescent="0.25">
      <c r="C1413" s="201"/>
      <c r="D1413" s="198" t="s">
        <v>181</v>
      </c>
      <c r="H1413" s="198" t="s">
        <v>181</v>
      </c>
      <c r="I1413" s="202">
        <f t="shared" si="22"/>
        <v>587224071.89999998</v>
      </c>
      <c r="J1413" s="202">
        <v>142.19999999999999</v>
      </c>
      <c r="L1413" s="204">
        <v>1</v>
      </c>
      <c r="M1413" s="202">
        <v>5000000</v>
      </c>
      <c r="N1413" s="204">
        <v>1</v>
      </c>
      <c r="O1413" s="198" t="s">
        <v>51</v>
      </c>
      <c r="P1413" s="202">
        <v>5000000</v>
      </c>
      <c r="Q1413" s="198" t="s">
        <v>159</v>
      </c>
      <c r="R1413" s="198" t="s">
        <v>160</v>
      </c>
      <c r="S1413" s="198" t="s">
        <v>54</v>
      </c>
      <c r="T1413" s="198" t="s">
        <v>725</v>
      </c>
      <c r="U1413" s="198" t="s">
        <v>277</v>
      </c>
      <c r="V1413" s="198" t="s">
        <v>56</v>
      </c>
      <c r="W1413" s="198" t="s">
        <v>356</v>
      </c>
      <c r="X1413" s="198" t="s">
        <v>161</v>
      </c>
      <c r="Y1413" s="198" t="s">
        <v>162</v>
      </c>
      <c r="Z1413" s="201">
        <v>46248</v>
      </c>
      <c r="AA1413" s="198" t="s">
        <v>59</v>
      </c>
      <c r="AB1413" s="198" t="s">
        <v>60</v>
      </c>
      <c r="AC1413" s="198" t="s">
        <v>86</v>
      </c>
      <c r="AD1413" s="198" t="s">
        <v>62</v>
      </c>
      <c r="AE1413" s="198" t="s">
        <v>54</v>
      </c>
      <c r="AF1413" s="198" t="s">
        <v>54</v>
      </c>
      <c r="AG1413" s="198" t="s">
        <v>564</v>
      </c>
      <c r="AH1413" s="198" t="s">
        <v>65</v>
      </c>
      <c r="AI1413" s="198" t="s">
        <v>56</v>
      </c>
      <c r="AJ1413" s="198" t="s">
        <v>163</v>
      </c>
      <c r="AK1413" s="198" t="s">
        <v>51</v>
      </c>
      <c r="AL1413" s="198" t="s">
        <v>67</v>
      </c>
      <c r="AM1413" s="198" t="s">
        <v>68</v>
      </c>
      <c r="AN1413" s="202">
        <v>5000000</v>
      </c>
      <c r="AO1413" s="202">
        <v>5000000</v>
      </c>
      <c r="AP1413" s="202">
        <v>5000000</v>
      </c>
      <c r="AQ1413" s="198" t="s">
        <v>358</v>
      </c>
      <c r="AR1413" s="198" t="s">
        <v>51</v>
      </c>
      <c r="AS1413" s="202">
        <v>5000000</v>
      </c>
      <c r="AT1413" s="202">
        <v>5000000</v>
      </c>
      <c r="AU1413" s="198" t="s">
        <v>359</v>
      </c>
      <c r="AV1413" s="198" t="s">
        <v>62</v>
      </c>
      <c r="AW1413" s="198" t="s">
        <v>54</v>
      </c>
    </row>
    <row r="1414" spans="3:49" outlineLevel="2" x14ac:dyDescent="0.25">
      <c r="C1414" s="201"/>
      <c r="D1414" s="198" t="s">
        <v>180</v>
      </c>
      <c r="H1414" s="198" t="s">
        <v>180</v>
      </c>
      <c r="I1414" s="202">
        <f t="shared" si="22"/>
        <v>587637028.35000002</v>
      </c>
      <c r="J1414" s="202">
        <v>142.30000000000001</v>
      </c>
      <c r="L1414" s="204">
        <v>1</v>
      </c>
      <c r="M1414" s="202">
        <v>2106856.4</v>
      </c>
      <c r="N1414" s="204">
        <v>0</v>
      </c>
      <c r="O1414" s="198" t="s">
        <v>51</v>
      </c>
      <c r="P1414" s="202">
        <v>1061610.8</v>
      </c>
      <c r="Q1414" s="198" t="s">
        <v>159</v>
      </c>
      <c r="R1414" s="198" t="s">
        <v>160</v>
      </c>
      <c r="S1414" s="198" t="s">
        <v>54</v>
      </c>
      <c r="T1414" s="198" t="s">
        <v>725</v>
      </c>
      <c r="U1414" s="198" t="s">
        <v>277</v>
      </c>
      <c r="V1414" s="198" t="s">
        <v>56</v>
      </c>
      <c r="W1414" s="198" t="s">
        <v>356</v>
      </c>
      <c r="X1414" s="198" t="s">
        <v>161</v>
      </c>
      <c r="Y1414" s="198" t="s">
        <v>162</v>
      </c>
      <c r="Z1414" s="201">
        <v>46248</v>
      </c>
      <c r="AA1414" s="198" t="s">
        <v>59</v>
      </c>
      <c r="AB1414" s="198" t="s">
        <v>60</v>
      </c>
      <c r="AC1414" s="198" t="s">
        <v>86</v>
      </c>
      <c r="AD1414" s="198" t="s">
        <v>62</v>
      </c>
      <c r="AE1414" s="198" t="s">
        <v>54</v>
      </c>
      <c r="AF1414" s="198" t="s">
        <v>54</v>
      </c>
      <c r="AG1414" s="198" t="s">
        <v>564</v>
      </c>
      <c r="AH1414" s="198" t="s">
        <v>65</v>
      </c>
      <c r="AI1414" s="198" t="s">
        <v>56</v>
      </c>
      <c r="AJ1414" s="198" t="s">
        <v>163</v>
      </c>
      <c r="AK1414" s="198" t="s">
        <v>51</v>
      </c>
      <c r="AL1414" s="198" t="s">
        <v>67</v>
      </c>
      <c r="AM1414" s="198" t="s">
        <v>68</v>
      </c>
      <c r="AN1414" s="202">
        <v>2106856.4</v>
      </c>
      <c r="AO1414" s="202">
        <v>2106856.4</v>
      </c>
      <c r="AP1414" s="202">
        <v>2106856.4</v>
      </c>
      <c r="AQ1414" s="198" t="s">
        <v>358</v>
      </c>
      <c r="AR1414" s="198" t="s">
        <v>51</v>
      </c>
      <c r="AS1414" s="202">
        <v>1061610.8</v>
      </c>
      <c r="AT1414" s="202">
        <v>1061610.8</v>
      </c>
      <c r="AU1414" s="198" t="s">
        <v>359</v>
      </c>
      <c r="AV1414" s="198" t="s">
        <v>62</v>
      </c>
      <c r="AW1414" s="198" t="s">
        <v>54</v>
      </c>
    </row>
    <row r="1415" spans="3:49" outlineLevel="2" x14ac:dyDescent="0.25">
      <c r="C1415" s="201"/>
      <c r="D1415" s="198" t="s">
        <v>181</v>
      </c>
      <c r="H1415" s="198" t="s">
        <v>181</v>
      </c>
      <c r="I1415" s="202">
        <f t="shared" si="22"/>
        <v>588049984.80000007</v>
      </c>
      <c r="J1415" s="202">
        <v>142.4</v>
      </c>
      <c r="L1415" s="204">
        <v>1</v>
      </c>
      <c r="M1415" s="202">
        <v>1733210</v>
      </c>
      <c r="N1415" s="204">
        <v>0</v>
      </c>
      <c r="O1415" s="198" t="s">
        <v>51</v>
      </c>
      <c r="P1415" s="202">
        <v>89860</v>
      </c>
      <c r="Q1415" s="198" t="s">
        <v>159</v>
      </c>
      <c r="R1415" s="198" t="s">
        <v>160</v>
      </c>
      <c r="S1415" s="198" t="s">
        <v>54</v>
      </c>
      <c r="T1415" s="198" t="s">
        <v>725</v>
      </c>
      <c r="U1415" s="198" t="s">
        <v>277</v>
      </c>
      <c r="V1415" s="198" t="s">
        <v>56</v>
      </c>
      <c r="W1415" s="198" t="s">
        <v>356</v>
      </c>
      <c r="X1415" s="198" t="s">
        <v>161</v>
      </c>
      <c r="Y1415" s="198" t="s">
        <v>162</v>
      </c>
      <c r="Z1415" s="201">
        <v>46248</v>
      </c>
      <c r="AA1415" s="198" t="s">
        <v>59</v>
      </c>
      <c r="AB1415" s="198" t="s">
        <v>60</v>
      </c>
      <c r="AC1415" s="198" t="s">
        <v>86</v>
      </c>
      <c r="AD1415" s="198" t="s">
        <v>62</v>
      </c>
      <c r="AE1415" s="198" t="s">
        <v>54</v>
      </c>
      <c r="AF1415" s="198" t="s">
        <v>54</v>
      </c>
      <c r="AG1415" s="198" t="s">
        <v>564</v>
      </c>
      <c r="AH1415" s="198" t="s">
        <v>65</v>
      </c>
      <c r="AI1415" s="198" t="s">
        <v>56</v>
      </c>
      <c r="AJ1415" s="198" t="s">
        <v>163</v>
      </c>
      <c r="AK1415" s="198" t="s">
        <v>51</v>
      </c>
      <c r="AL1415" s="198" t="s">
        <v>67</v>
      </c>
      <c r="AM1415" s="198" t="s">
        <v>68</v>
      </c>
      <c r="AN1415" s="202">
        <v>1733210</v>
      </c>
      <c r="AO1415" s="202">
        <v>1733210</v>
      </c>
      <c r="AP1415" s="202">
        <v>1733210</v>
      </c>
      <c r="AQ1415" s="198" t="s">
        <v>358</v>
      </c>
      <c r="AR1415" s="198" t="s">
        <v>51</v>
      </c>
      <c r="AS1415" s="202">
        <v>89860</v>
      </c>
      <c r="AT1415" s="202">
        <v>89860</v>
      </c>
      <c r="AU1415" s="198" t="s">
        <v>359</v>
      </c>
      <c r="AV1415" s="198" t="s">
        <v>62</v>
      </c>
      <c r="AW1415" s="198" t="s">
        <v>54</v>
      </c>
    </row>
    <row r="1416" spans="3:49" outlineLevel="2" x14ac:dyDescent="0.25">
      <c r="C1416" s="201"/>
      <c r="D1416" s="198" t="s">
        <v>185</v>
      </c>
      <c r="H1416" s="198" t="s">
        <v>185</v>
      </c>
      <c r="I1416" s="202">
        <f t="shared" si="22"/>
        <v>588462941.25</v>
      </c>
      <c r="J1416" s="202">
        <v>142.5</v>
      </c>
      <c r="L1416" s="204">
        <v>1</v>
      </c>
      <c r="M1416" s="202">
        <v>2419700</v>
      </c>
      <c r="N1416" s="204">
        <v>0</v>
      </c>
      <c r="O1416" s="198" t="s">
        <v>51</v>
      </c>
      <c r="P1416" s="202">
        <v>1868309.45</v>
      </c>
      <c r="Q1416" s="198" t="s">
        <v>159</v>
      </c>
      <c r="R1416" s="198" t="s">
        <v>160</v>
      </c>
      <c r="S1416" s="198" t="s">
        <v>54</v>
      </c>
      <c r="T1416" s="198" t="s">
        <v>725</v>
      </c>
      <c r="U1416" s="198" t="s">
        <v>277</v>
      </c>
      <c r="V1416" s="198" t="s">
        <v>56</v>
      </c>
      <c r="W1416" s="198" t="s">
        <v>356</v>
      </c>
      <c r="X1416" s="198" t="s">
        <v>161</v>
      </c>
      <c r="Y1416" s="198" t="s">
        <v>162</v>
      </c>
      <c r="Z1416" s="201">
        <v>46248</v>
      </c>
      <c r="AA1416" s="198" t="s">
        <v>59</v>
      </c>
      <c r="AB1416" s="198" t="s">
        <v>60</v>
      </c>
      <c r="AC1416" s="198" t="s">
        <v>86</v>
      </c>
      <c r="AD1416" s="198" t="s">
        <v>62</v>
      </c>
      <c r="AE1416" s="198" t="s">
        <v>54</v>
      </c>
      <c r="AF1416" s="198" t="s">
        <v>54</v>
      </c>
      <c r="AG1416" s="198" t="s">
        <v>564</v>
      </c>
      <c r="AH1416" s="198" t="s">
        <v>65</v>
      </c>
      <c r="AI1416" s="198" t="s">
        <v>56</v>
      </c>
      <c r="AJ1416" s="198" t="s">
        <v>163</v>
      </c>
      <c r="AK1416" s="198" t="s">
        <v>51</v>
      </c>
      <c r="AL1416" s="198" t="s">
        <v>67</v>
      </c>
      <c r="AM1416" s="198" t="s">
        <v>68</v>
      </c>
      <c r="AN1416" s="202">
        <v>2419700</v>
      </c>
      <c r="AO1416" s="202">
        <v>2419700</v>
      </c>
      <c r="AP1416" s="202">
        <v>2419700</v>
      </c>
      <c r="AQ1416" s="198" t="s">
        <v>358</v>
      </c>
      <c r="AR1416" s="198" t="s">
        <v>51</v>
      </c>
      <c r="AS1416" s="202">
        <v>1868309.45</v>
      </c>
      <c r="AT1416" s="202">
        <v>1868309.45</v>
      </c>
      <c r="AU1416" s="198" t="s">
        <v>359</v>
      </c>
      <c r="AV1416" s="198" t="s">
        <v>62</v>
      </c>
      <c r="AW1416" s="198" t="s">
        <v>54</v>
      </c>
    </row>
    <row r="1417" spans="3:49" outlineLevel="2" x14ac:dyDescent="0.25">
      <c r="C1417" s="201"/>
      <c r="D1417" s="198" t="s">
        <v>720</v>
      </c>
      <c r="H1417" s="198" t="s">
        <v>720</v>
      </c>
      <c r="I1417" s="202">
        <f t="shared" si="22"/>
        <v>588875897.69999993</v>
      </c>
      <c r="J1417" s="202">
        <v>142.6</v>
      </c>
      <c r="L1417" s="204">
        <v>1</v>
      </c>
      <c r="M1417" s="202">
        <v>1597115.4</v>
      </c>
      <c r="N1417" s="204">
        <v>0</v>
      </c>
      <c r="O1417" s="198" t="s">
        <v>51</v>
      </c>
      <c r="P1417" s="202">
        <v>1057154.3999999999</v>
      </c>
      <c r="Q1417" s="198" t="s">
        <v>159</v>
      </c>
      <c r="R1417" s="198" t="s">
        <v>160</v>
      </c>
      <c r="S1417" s="198" t="s">
        <v>54</v>
      </c>
      <c r="T1417" s="198" t="s">
        <v>725</v>
      </c>
      <c r="U1417" s="198" t="s">
        <v>277</v>
      </c>
      <c r="V1417" s="198" t="s">
        <v>56</v>
      </c>
      <c r="W1417" s="198" t="s">
        <v>356</v>
      </c>
      <c r="X1417" s="198" t="s">
        <v>161</v>
      </c>
      <c r="Y1417" s="198" t="s">
        <v>162</v>
      </c>
      <c r="Z1417" s="201">
        <v>46248</v>
      </c>
      <c r="AA1417" s="198" t="s">
        <v>59</v>
      </c>
      <c r="AB1417" s="198" t="s">
        <v>60</v>
      </c>
      <c r="AC1417" s="198" t="s">
        <v>86</v>
      </c>
      <c r="AD1417" s="198" t="s">
        <v>62</v>
      </c>
      <c r="AE1417" s="198" t="s">
        <v>54</v>
      </c>
      <c r="AF1417" s="198" t="s">
        <v>54</v>
      </c>
      <c r="AG1417" s="198" t="s">
        <v>564</v>
      </c>
      <c r="AH1417" s="198" t="s">
        <v>65</v>
      </c>
      <c r="AI1417" s="198" t="s">
        <v>56</v>
      </c>
      <c r="AJ1417" s="198" t="s">
        <v>163</v>
      </c>
      <c r="AK1417" s="198" t="s">
        <v>51</v>
      </c>
      <c r="AL1417" s="198" t="s">
        <v>67</v>
      </c>
      <c r="AM1417" s="198" t="s">
        <v>68</v>
      </c>
      <c r="AN1417" s="202">
        <v>1597115.4</v>
      </c>
      <c r="AO1417" s="202">
        <v>1597115.4</v>
      </c>
      <c r="AP1417" s="202">
        <v>1597115.4</v>
      </c>
      <c r="AQ1417" s="198" t="s">
        <v>358</v>
      </c>
      <c r="AR1417" s="198" t="s">
        <v>51</v>
      </c>
      <c r="AS1417" s="202">
        <v>1057154.3999999999</v>
      </c>
      <c r="AT1417" s="202">
        <v>1057154.3999999999</v>
      </c>
      <c r="AU1417" s="198" t="s">
        <v>359</v>
      </c>
      <c r="AV1417" s="198" t="s">
        <v>62</v>
      </c>
      <c r="AW1417" s="198" t="s">
        <v>54</v>
      </c>
    </row>
    <row r="1418" spans="3:49" outlineLevel="2" x14ac:dyDescent="0.25">
      <c r="C1418" s="201"/>
      <c r="D1418" s="198" t="s">
        <v>203</v>
      </c>
      <c r="H1418" s="198" t="s">
        <v>203</v>
      </c>
      <c r="I1418" s="202">
        <f t="shared" si="22"/>
        <v>589288854.14999998</v>
      </c>
      <c r="J1418" s="202">
        <v>142.69999999999999</v>
      </c>
      <c r="L1418" s="204">
        <v>1</v>
      </c>
      <c r="M1418" s="202">
        <v>1095294.75</v>
      </c>
      <c r="N1418" s="204">
        <v>0</v>
      </c>
      <c r="O1418" s="198" t="s">
        <v>51</v>
      </c>
      <c r="P1418" s="202">
        <v>676988.75</v>
      </c>
      <c r="Q1418" s="198" t="s">
        <v>159</v>
      </c>
      <c r="R1418" s="198" t="s">
        <v>160</v>
      </c>
      <c r="S1418" s="198" t="s">
        <v>54</v>
      </c>
      <c r="T1418" s="198" t="s">
        <v>725</v>
      </c>
      <c r="U1418" s="198" t="s">
        <v>277</v>
      </c>
      <c r="V1418" s="198" t="s">
        <v>56</v>
      </c>
      <c r="W1418" s="198" t="s">
        <v>356</v>
      </c>
      <c r="X1418" s="198" t="s">
        <v>161</v>
      </c>
      <c r="Y1418" s="198" t="s">
        <v>162</v>
      </c>
      <c r="Z1418" s="201">
        <v>46248</v>
      </c>
      <c r="AA1418" s="198" t="s">
        <v>59</v>
      </c>
      <c r="AB1418" s="198" t="s">
        <v>60</v>
      </c>
      <c r="AC1418" s="198" t="s">
        <v>86</v>
      </c>
      <c r="AD1418" s="198" t="s">
        <v>62</v>
      </c>
      <c r="AE1418" s="198" t="s">
        <v>54</v>
      </c>
      <c r="AF1418" s="198" t="s">
        <v>54</v>
      </c>
      <c r="AG1418" s="198" t="s">
        <v>564</v>
      </c>
      <c r="AH1418" s="198" t="s">
        <v>65</v>
      </c>
      <c r="AI1418" s="198" t="s">
        <v>56</v>
      </c>
      <c r="AJ1418" s="198" t="s">
        <v>163</v>
      </c>
      <c r="AK1418" s="198" t="s">
        <v>51</v>
      </c>
      <c r="AL1418" s="198" t="s">
        <v>67</v>
      </c>
      <c r="AM1418" s="198" t="s">
        <v>68</v>
      </c>
      <c r="AN1418" s="202">
        <v>1095294.75</v>
      </c>
      <c r="AO1418" s="202">
        <v>1095294.75</v>
      </c>
      <c r="AP1418" s="202">
        <v>1095294.75</v>
      </c>
      <c r="AQ1418" s="198" t="s">
        <v>358</v>
      </c>
      <c r="AR1418" s="198" t="s">
        <v>51</v>
      </c>
      <c r="AS1418" s="202">
        <v>676988.75</v>
      </c>
      <c r="AT1418" s="202">
        <v>676988.75</v>
      </c>
      <c r="AU1418" s="198" t="s">
        <v>359</v>
      </c>
      <c r="AV1418" s="198" t="s">
        <v>62</v>
      </c>
      <c r="AW1418" s="198" t="s">
        <v>54</v>
      </c>
    </row>
    <row r="1419" spans="3:49" outlineLevel="2" x14ac:dyDescent="0.25">
      <c r="C1419" s="201"/>
      <c r="D1419" s="198" t="s">
        <v>204</v>
      </c>
      <c r="H1419" s="198" t="s">
        <v>204</v>
      </c>
      <c r="I1419" s="202">
        <f t="shared" si="22"/>
        <v>589701810.60000002</v>
      </c>
      <c r="J1419" s="202">
        <v>142.80000000000001</v>
      </c>
      <c r="L1419" s="204">
        <v>1</v>
      </c>
      <c r="M1419" s="202">
        <v>105784585</v>
      </c>
      <c r="N1419" s="204">
        <v>0</v>
      </c>
      <c r="O1419" s="198" t="s">
        <v>51</v>
      </c>
      <c r="P1419" s="202">
        <v>1112955.3</v>
      </c>
      <c r="Q1419" s="198" t="s">
        <v>159</v>
      </c>
      <c r="R1419" s="198" t="s">
        <v>160</v>
      </c>
      <c r="S1419" s="198" t="s">
        <v>54</v>
      </c>
      <c r="T1419" s="198" t="s">
        <v>718</v>
      </c>
      <c r="U1419" s="198" t="s">
        <v>277</v>
      </c>
      <c r="V1419" s="198" t="s">
        <v>56</v>
      </c>
      <c r="W1419" s="198" t="s">
        <v>356</v>
      </c>
      <c r="X1419" s="198" t="s">
        <v>161</v>
      </c>
      <c r="Y1419" s="198" t="s">
        <v>162</v>
      </c>
      <c r="Z1419" s="201">
        <v>46248</v>
      </c>
      <c r="AA1419" s="198" t="s">
        <v>59</v>
      </c>
      <c r="AB1419" s="198" t="s">
        <v>60</v>
      </c>
      <c r="AC1419" s="198" t="s">
        <v>86</v>
      </c>
      <c r="AD1419" s="198" t="s">
        <v>62</v>
      </c>
      <c r="AE1419" s="198" t="s">
        <v>54</v>
      </c>
      <c r="AF1419" s="198" t="s">
        <v>54</v>
      </c>
      <c r="AG1419" s="198" t="s">
        <v>564</v>
      </c>
      <c r="AH1419" s="198" t="s">
        <v>169</v>
      </c>
      <c r="AI1419" s="198" t="s">
        <v>56</v>
      </c>
      <c r="AJ1419" s="198" t="s">
        <v>163</v>
      </c>
      <c r="AK1419" s="198" t="s">
        <v>51</v>
      </c>
      <c r="AL1419" s="198" t="s">
        <v>67</v>
      </c>
      <c r="AM1419" s="198" t="s">
        <v>68</v>
      </c>
      <c r="AN1419" s="202">
        <v>105784585</v>
      </c>
      <c r="AO1419" s="202">
        <v>105784585</v>
      </c>
      <c r="AP1419" s="202">
        <v>105784585</v>
      </c>
      <c r="AQ1419" s="198" t="s">
        <v>358</v>
      </c>
      <c r="AR1419" s="198" t="s">
        <v>51</v>
      </c>
      <c r="AS1419" s="202">
        <v>1112955.3</v>
      </c>
      <c r="AT1419" s="202">
        <v>1112955.3</v>
      </c>
      <c r="AU1419" s="198" t="s">
        <v>359</v>
      </c>
      <c r="AV1419" s="198" t="s">
        <v>62</v>
      </c>
      <c r="AW1419" s="198" t="s">
        <v>719</v>
      </c>
    </row>
    <row r="1420" spans="3:49" outlineLevel="2" x14ac:dyDescent="0.25">
      <c r="C1420" s="201"/>
      <c r="D1420" s="198" t="s">
        <v>206</v>
      </c>
      <c r="H1420" s="198" t="s">
        <v>206</v>
      </c>
      <c r="I1420" s="202">
        <f t="shared" si="22"/>
        <v>590114767.05000007</v>
      </c>
      <c r="J1420" s="202">
        <v>142.9</v>
      </c>
      <c r="L1420" s="204">
        <v>1</v>
      </c>
      <c r="M1420" s="202">
        <v>49182945</v>
      </c>
      <c r="N1420" s="204">
        <v>0</v>
      </c>
      <c r="O1420" s="198" t="s">
        <v>51</v>
      </c>
      <c r="P1420" s="202">
        <v>27717736.329999998</v>
      </c>
      <c r="Q1420" s="198" t="s">
        <v>159</v>
      </c>
      <c r="R1420" s="198" t="s">
        <v>160</v>
      </c>
      <c r="S1420" s="198" t="s">
        <v>54</v>
      </c>
      <c r="T1420" s="198" t="s">
        <v>718</v>
      </c>
      <c r="U1420" s="198" t="s">
        <v>277</v>
      </c>
      <c r="V1420" s="198" t="s">
        <v>56</v>
      </c>
      <c r="W1420" s="198" t="s">
        <v>356</v>
      </c>
      <c r="X1420" s="198" t="s">
        <v>161</v>
      </c>
      <c r="Y1420" s="198" t="s">
        <v>162</v>
      </c>
      <c r="Z1420" s="201">
        <v>46248</v>
      </c>
      <c r="AA1420" s="198" t="s">
        <v>59</v>
      </c>
      <c r="AB1420" s="198" t="s">
        <v>60</v>
      </c>
      <c r="AC1420" s="198" t="s">
        <v>86</v>
      </c>
      <c r="AD1420" s="198" t="s">
        <v>62</v>
      </c>
      <c r="AE1420" s="198" t="s">
        <v>54</v>
      </c>
      <c r="AF1420" s="198" t="s">
        <v>54</v>
      </c>
      <c r="AG1420" s="198" t="s">
        <v>564</v>
      </c>
      <c r="AH1420" s="198" t="s">
        <v>169</v>
      </c>
      <c r="AI1420" s="198" t="s">
        <v>56</v>
      </c>
      <c r="AJ1420" s="198" t="s">
        <v>163</v>
      </c>
      <c r="AK1420" s="198" t="s">
        <v>51</v>
      </c>
      <c r="AL1420" s="198" t="s">
        <v>67</v>
      </c>
      <c r="AM1420" s="198" t="s">
        <v>68</v>
      </c>
      <c r="AN1420" s="202">
        <v>49182945</v>
      </c>
      <c r="AO1420" s="202">
        <v>49182945</v>
      </c>
      <c r="AP1420" s="202">
        <v>49182945</v>
      </c>
      <c r="AQ1420" s="198" t="s">
        <v>358</v>
      </c>
      <c r="AR1420" s="198" t="s">
        <v>51</v>
      </c>
      <c r="AS1420" s="202">
        <v>27717736.329999998</v>
      </c>
      <c r="AT1420" s="202">
        <v>27717736.329999998</v>
      </c>
      <c r="AU1420" s="198" t="s">
        <v>359</v>
      </c>
      <c r="AV1420" s="198" t="s">
        <v>62</v>
      </c>
      <c r="AW1420" s="198" t="s">
        <v>719</v>
      </c>
    </row>
    <row r="1421" spans="3:49" outlineLevel="2" x14ac:dyDescent="0.25">
      <c r="C1421" s="201"/>
      <c r="D1421" s="198" t="s">
        <v>207</v>
      </c>
      <c r="H1421" s="198" t="s">
        <v>207</v>
      </c>
      <c r="I1421" s="202">
        <f t="shared" si="22"/>
        <v>590527723.5</v>
      </c>
      <c r="J1421" s="202">
        <v>143</v>
      </c>
      <c r="L1421" s="204">
        <v>1</v>
      </c>
      <c r="M1421" s="202">
        <v>4039855</v>
      </c>
      <c r="N1421" s="204">
        <v>0</v>
      </c>
      <c r="O1421" s="198" t="s">
        <v>51</v>
      </c>
      <c r="P1421" s="202">
        <v>709190</v>
      </c>
      <c r="Q1421" s="198" t="s">
        <v>159</v>
      </c>
      <c r="R1421" s="198" t="s">
        <v>160</v>
      </c>
      <c r="S1421" s="198" t="s">
        <v>54</v>
      </c>
      <c r="T1421" s="198" t="s">
        <v>718</v>
      </c>
      <c r="U1421" s="198" t="s">
        <v>277</v>
      </c>
      <c r="V1421" s="198" t="s">
        <v>56</v>
      </c>
      <c r="W1421" s="198" t="s">
        <v>356</v>
      </c>
      <c r="X1421" s="198" t="s">
        <v>161</v>
      </c>
      <c r="Y1421" s="198" t="s">
        <v>162</v>
      </c>
      <c r="Z1421" s="201">
        <v>46248</v>
      </c>
      <c r="AA1421" s="198" t="s">
        <v>59</v>
      </c>
      <c r="AB1421" s="198" t="s">
        <v>60</v>
      </c>
      <c r="AC1421" s="198" t="s">
        <v>86</v>
      </c>
      <c r="AD1421" s="198" t="s">
        <v>62</v>
      </c>
      <c r="AE1421" s="198" t="s">
        <v>54</v>
      </c>
      <c r="AF1421" s="198" t="s">
        <v>54</v>
      </c>
      <c r="AG1421" s="198" t="s">
        <v>564</v>
      </c>
      <c r="AH1421" s="198" t="s">
        <v>169</v>
      </c>
      <c r="AI1421" s="198" t="s">
        <v>56</v>
      </c>
      <c r="AJ1421" s="198" t="s">
        <v>163</v>
      </c>
      <c r="AK1421" s="198" t="s">
        <v>51</v>
      </c>
      <c r="AL1421" s="198" t="s">
        <v>67</v>
      </c>
      <c r="AM1421" s="198" t="s">
        <v>68</v>
      </c>
      <c r="AN1421" s="202">
        <v>4039855</v>
      </c>
      <c r="AO1421" s="202">
        <v>4039855</v>
      </c>
      <c r="AP1421" s="202">
        <v>4039855</v>
      </c>
      <c r="AQ1421" s="198" t="s">
        <v>358</v>
      </c>
      <c r="AR1421" s="198" t="s">
        <v>51</v>
      </c>
      <c r="AS1421" s="202">
        <v>709190</v>
      </c>
      <c r="AT1421" s="202">
        <v>709190</v>
      </c>
      <c r="AU1421" s="198" t="s">
        <v>359</v>
      </c>
      <c r="AV1421" s="198" t="s">
        <v>62</v>
      </c>
      <c r="AW1421" s="198" t="s">
        <v>719</v>
      </c>
    </row>
    <row r="1422" spans="3:49" outlineLevel="2" x14ac:dyDescent="0.25">
      <c r="C1422" s="201"/>
      <c r="D1422" s="198" t="s">
        <v>727</v>
      </c>
      <c r="H1422" s="198" t="s">
        <v>727</v>
      </c>
      <c r="I1422" s="202">
        <f t="shared" si="22"/>
        <v>590940679.94999993</v>
      </c>
      <c r="J1422" s="202">
        <v>143.1</v>
      </c>
      <c r="L1422" s="204">
        <v>1</v>
      </c>
      <c r="M1422" s="202">
        <v>1900670</v>
      </c>
      <c r="N1422" s="204">
        <v>0</v>
      </c>
      <c r="O1422" s="198" t="s">
        <v>51</v>
      </c>
      <c r="P1422" s="202">
        <v>121680</v>
      </c>
      <c r="Q1422" s="198" t="s">
        <v>159</v>
      </c>
      <c r="R1422" s="198" t="s">
        <v>160</v>
      </c>
      <c r="S1422" s="198" t="s">
        <v>54</v>
      </c>
      <c r="T1422" s="198" t="s">
        <v>718</v>
      </c>
      <c r="U1422" s="198" t="s">
        <v>277</v>
      </c>
      <c r="V1422" s="198" t="s">
        <v>56</v>
      </c>
      <c r="W1422" s="198" t="s">
        <v>356</v>
      </c>
      <c r="X1422" s="198" t="s">
        <v>161</v>
      </c>
      <c r="Y1422" s="198" t="s">
        <v>162</v>
      </c>
      <c r="Z1422" s="201">
        <v>46248</v>
      </c>
      <c r="AA1422" s="198" t="s">
        <v>59</v>
      </c>
      <c r="AB1422" s="198" t="s">
        <v>60</v>
      </c>
      <c r="AC1422" s="198" t="s">
        <v>86</v>
      </c>
      <c r="AD1422" s="198" t="s">
        <v>62</v>
      </c>
      <c r="AE1422" s="198" t="s">
        <v>54</v>
      </c>
      <c r="AF1422" s="198" t="s">
        <v>54</v>
      </c>
      <c r="AG1422" s="198" t="s">
        <v>564</v>
      </c>
      <c r="AH1422" s="198" t="s">
        <v>169</v>
      </c>
      <c r="AI1422" s="198" t="s">
        <v>56</v>
      </c>
      <c r="AJ1422" s="198" t="s">
        <v>163</v>
      </c>
      <c r="AK1422" s="198" t="s">
        <v>51</v>
      </c>
      <c r="AL1422" s="198" t="s">
        <v>67</v>
      </c>
      <c r="AM1422" s="198" t="s">
        <v>68</v>
      </c>
      <c r="AN1422" s="202">
        <v>1900670</v>
      </c>
      <c r="AO1422" s="202">
        <v>1900670</v>
      </c>
      <c r="AP1422" s="202">
        <v>1900670</v>
      </c>
      <c r="AQ1422" s="198" t="s">
        <v>358</v>
      </c>
      <c r="AR1422" s="198" t="s">
        <v>51</v>
      </c>
      <c r="AS1422" s="202">
        <v>121680</v>
      </c>
      <c r="AT1422" s="202">
        <v>121680</v>
      </c>
      <c r="AU1422" s="198" t="s">
        <v>359</v>
      </c>
      <c r="AV1422" s="198" t="s">
        <v>62</v>
      </c>
      <c r="AW1422" s="198" t="s">
        <v>719</v>
      </c>
    </row>
    <row r="1423" spans="3:49" outlineLevel="2" x14ac:dyDescent="0.25">
      <c r="C1423" s="201"/>
      <c r="D1423" s="198" t="s">
        <v>205</v>
      </c>
      <c r="H1423" s="198" t="s">
        <v>205</v>
      </c>
      <c r="I1423" s="202">
        <f t="shared" si="22"/>
        <v>591353636.39999998</v>
      </c>
      <c r="J1423" s="202">
        <v>143.19999999999999</v>
      </c>
      <c r="L1423" s="204">
        <v>1</v>
      </c>
      <c r="M1423" s="202">
        <v>6459695.2000000002</v>
      </c>
      <c r="N1423" s="204">
        <v>0</v>
      </c>
      <c r="O1423" s="198" t="s">
        <v>51</v>
      </c>
      <c r="P1423" s="202">
        <v>5590203.7000000002</v>
      </c>
      <c r="Q1423" s="198" t="s">
        <v>159</v>
      </c>
      <c r="R1423" s="198" t="s">
        <v>160</v>
      </c>
      <c r="S1423" s="198" t="s">
        <v>54</v>
      </c>
      <c r="T1423" s="198" t="s">
        <v>728</v>
      </c>
      <c r="U1423" s="198" t="s">
        <v>55</v>
      </c>
      <c r="V1423" s="198" t="s">
        <v>56</v>
      </c>
      <c r="W1423" s="198" t="s">
        <v>356</v>
      </c>
      <c r="X1423" s="198" t="s">
        <v>161</v>
      </c>
      <c r="Y1423" s="198" t="s">
        <v>162</v>
      </c>
      <c r="Z1423" s="201">
        <v>46248</v>
      </c>
      <c r="AA1423" s="198" t="s">
        <v>59</v>
      </c>
      <c r="AB1423" s="198" t="s">
        <v>60</v>
      </c>
      <c r="AC1423" s="198" t="s">
        <v>86</v>
      </c>
      <c r="AD1423" s="198" t="s">
        <v>62</v>
      </c>
      <c r="AE1423" s="198" t="s">
        <v>54</v>
      </c>
      <c r="AF1423" s="198" t="s">
        <v>54</v>
      </c>
      <c r="AG1423" s="198" t="s">
        <v>564</v>
      </c>
      <c r="AH1423" s="198" t="s">
        <v>169</v>
      </c>
      <c r="AI1423" s="198" t="s">
        <v>56</v>
      </c>
      <c r="AJ1423" s="198" t="s">
        <v>163</v>
      </c>
      <c r="AK1423" s="198" t="s">
        <v>51</v>
      </c>
      <c r="AL1423" s="198" t="s">
        <v>67</v>
      </c>
      <c r="AM1423" s="198" t="s">
        <v>68</v>
      </c>
      <c r="AN1423" s="202">
        <v>6459695.2000000002</v>
      </c>
      <c r="AO1423" s="202">
        <v>6459695.2000000002</v>
      </c>
      <c r="AP1423" s="202">
        <v>6459695.2000000002</v>
      </c>
      <c r="AQ1423" s="198" t="s">
        <v>358</v>
      </c>
      <c r="AR1423" s="198" t="s">
        <v>51</v>
      </c>
      <c r="AS1423" s="202">
        <v>5590203.7000000002</v>
      </c>
      <c r="AT1423" s="202">
        <v>5590203.7000000002</v>
      </c>
      <c r="AU1423" s="198" t="s">
        <v>359</v>
      </c>
      <c r="AV1423" s="198" t="s">
        <v>62</v>
      </c>
      <c r="AW1423" s="198" t="s">
        <v>54</v>
      </c>
    </row>
    <row r="1424" spans="3:49" outlineLevel="2" x14ac:dyDescent="0.25">
      <c r="C1424" s="201"/>
      <c r="D1424" s="198" t="s">
        <v>205</v>
      </c>
      <c r="H1424" s="198" t="s">
        <v>205</v>
      </c>
      <c r="I1424" s="202">
        <f t="shared" si="22"/>
        <v>591766592.85000002</v>
      </c>
      <c r="J1424" s="202">
        <v>143.30000000000001</v>
      </c>
      <c r="L1424" s="204">
        <v>1</v>
      </c>
      <c r="M1424" s="202">
        <v>225668.4</v>
      </c>
      <c r="N1424" s="204">
        <v>1</v>
      </c>
      <c r="O1424" s="198" t="s">
        <v>51</v>
      </c>
      <c r="P1424" s="202">
        <v>225668.4</v>
      </c>
      <c r="Q1424" s="198" t="s">
        <v>159</v>
      </c>
      <c r="R1424" s="198" t="s">
        <v>160</v>
      </c>
      <c r="S1424" s="198" t="s">
        <v>54</v>
      </c>
      <c r="T1424" s="198" t="s">
        <v>728</v>
      </c>
      <c r="U1424" s="198" t="s">
        <v>367</v>
      </c>
      <c r="V1424" s="198" t="s">
        <v>56</v>
      </c>
      <c r="W1424" s="198" t="s">
        <v>356</v>
      </c>
      <c r="X1424" s="198" t="s">
        <v>161</v>
      </c>
      <c r="Y1424" s="198" t="s">
        <v>162</v>
      </c>
      <c r="Z1424" s="201">
        <v>46248</v>
      </c>
      <c r="AA1424" s="198" t="s">
        <v>59</v>
      </c>
      <c r="AB1424" s="198" t="s">
        <v>60</v>
      </c>
      <c r="AC1424" s="198" t="s">
        <v>86</v>
      </c>
      <c r="AD1424" s="198" t="s">
        <v>62</v>
      </c>
      <c r="AE1424" s="198" t="s">
        <v>54</v>
      </c>
      <c r="AF1424" s="198" t="s">
        <v>54</v>
      </c>
      <c r="AG1424" s="198" t="s">
        <v>564</v>
      </c>
      <c r="AH1424" s="198" t="s">
        <v>169</v>
      </c>
      <c r="AI1424" s="198" t="s">
        <v>56</v>
      </c>
      <c r="AJ1424" s="198" t="s">
        <v>163</v>
      </c>
      <c r="AK1424" s="198" t="s">
        <v>51</v>
      </c>
      <c r="AL1424" s="198" t="s">
        <v>67</v>
      </c>
      <c r="AM1424" s="198" t="s">
        <v>68</v>
      </c>
      <c r="AN1424" s="202">
        <v>225668.4</v>
      </c>
      <c r="AO1424" s="202">
        <v>225668.4</v>
      </c>
      <c r="AP1424" s="202">
        <v>225668.4</v>
      </c>
      <c r="AQ1424" s="198" t="s">
        <v>358</v>
      </c>
      <c r="AR1424" s="198" t="s">
        <v>51</v>
      </c>
      <c r="AS1424" s="202">
        <v>225668.4</v>
      </c>
      <c r="AT1424" s="202">
        <v>225668.4</v>
      </c>
      <c r="AU1424" s="198" t="s">
        <v>359</v>
      </c>
      <c r="AV1424" s="198" t="s">
        <v>62</v>
      </c>
      <c r="AW1424" s="198" t="s">
        <v>54</v>
      </c>
    </row>
    <row r="1425" spans="3:49" outlineLevel="2" x14ac:dyDescent="0.25">
      <c r="C1425" s="201"/>
      <c r="D1425" s="198" t="s">
        <v>205</v>
      </c>
      <c r="H1425" s="198" t="s">
        <v>205</v>
      </c>
      <c r="I1425" s="202">
        <f t="shared" si="22"/>
        <v>592179549.30000007</v>
      </c>
      <c r="J1425" s="202">
        <v>143.4</v>
      </c>
      <c r="L1425" s="204">
        <v>1</v>
      </c>
      <c r="M1425" s="202">
        <v>123391.8</v>
      </c>
      <c r="N1425" s="204">
        <v>1</v>
      </c>
      <c r="O1425" s="198" t="s">
        <v>51</v>
      </c>
      <c r="P1425" s="202">
        <v>123391.8</v>
      </c>
      <c r="Q1425" s="198" t="s">
        <v>159</v>
      </c>
      <c r="R1425" s="198" t="s">
        <v>160</v>
      </c>
      <c r="S1425" s="198" t="s">
        <v>54</v>
      </c>
      <c r="T1425" s="198" t="s">
        <v>728</v>
      </c>
      <c r="U1425" s="198" t="s">
        <v>367</v>
      </c>
      <c r="V1425" s="198" t="s">
        <v>56</v>
      </c>
      <c r="W1425" s="198" t="s">
        <v>356</v>
      </c>
      <c r="X1425" s="198" t="s">
        <v>161</v>
      </c>
      <c r="Y1425" s="198" t="s">
        <v>162</v>
      </c>
      <c r="Z1425" s="201">
        <v>46248</v>
      </c>
      <c r="AA1425" s="198" t="s">
        <v>59</v>
      </c>
      <c r="AB1425" s="198" t="s">
        <v>60</v>
      </c>
      <c r="AC1425" s="198" t="s">
        <v>86</v>
      </c>
      <c r="AD1425" s="198" t="s">
        <v>62</v>
      </c>
      <c r="AE1425" s="198" t="s">
        <v>54</v>
      </c>
      <c r="AF1425" s="198" t="s">
        <v>54</v>
      </c>
      <c r="AG1425" s="198" t="s">
        <v>564</v>
      </c>
      <c r="AH1425" s="198" t="s">
        <v>169</v>
      </c>
      <c r="AI1425" s="198" t="s">
        <v>56</v>
      </c>
      <c r="AJ1425" s="198" t="s">
        <v>163</v>
      </c>
      <c r="AK1425" s="198" t="s">
        <v>51</v>
      </c>
      <c r="AL1425" s="198" t="s">
        <v>67</v>
      </c>
      <c r="AM1425" s="198" t="s">
        <v>68</v>
      </c>
      <c r="AN1425" s="202">
        <v>123391.8</v>
      </c>
      <c r="AO1425" s="202">
        <v>123391.8</v>
      </c>
      <c r="AP1425" s="202">
        <v>123391.8</v>
      </c>
      <c r="AQ1425" s="198" t="s">
        <v>358</v>
      </c>
      <c r="AR1425" s="198" t="s">
        <v>51</v>
      </c>
      <c r="AS1425" s="202">
        <v>123391.8</v>
      </c>
      <c r="AT1425" s="202">
        <v>123391.8</v>
      </c>
      <c r="AU1425" s="198" t="s">
        <v>359</v>
      </c>
      <c r="AV1425" s="198" t="s">
        <v>62</v>
      </c>
      <c r="AW1425" s="198" t="s">
        <v>54</v>
      </c>
    </row>
    <row r="1426" spans="3:49" outlineLevel="2" x14ac:dyDescent="0.25">
      <c r="C1426" s="201"/>
      <c r="D1426" s="198" t="s">
        <v>206</v>
      </c>
      <c r="H1426" s="198" t="s">
        <v>206</v>
      </c>
      <c r="I1426" s="202">
        <f t="shared" si="22"/>
        <v>592592505.75</v>
      </c>
      <c r="J1426" s="202">
        <v>143.5</v>
      </c>
      <c r="L1426" s="204">
        <v>1</v>
      </c>
      <c r="M1426" s="202">
        <v>11590296.35</v>
      </c>
      <c r="N1426" s="204">
        <v>0</v>
      </c>
      <c r="O1426" s="198" t="s">
        <v>51</v>
      </c>
      <c r="P1426" s="202">
        <v>4668231.99</v>
      </c>
      <c r="Q1426" s="198" t="s">
        <v>159</v>
      </c>
      <c r="R1426" s="198" t="s">
        <v>160</v>
      </c>
      <c r="S1426" s="198" t="s">
        <v>54</v>
      </c>
      <c r="T1426" s="198" t="s">
        <v>728</v>
      </c>
      <c r="U1426" s="198" t="s">
        <v>55</v>
      </c>
      <c r="V1426" s="198" t="s">
        <v>56</v>
      </c>
      <c r="W1426" s="198" t="s">
        <v>356</v>
      </c>
      <c r="X1426" s="198" t="s">
        <v>161</v>
      </c>
      <c r="Y1426" s="198" t="s">
        <v>162</v>
      </c>
      <c r="Z1426" s="201">
        <v>46248</v>
      </c>
      <c r="AA1426" s="198" t="s">
        <v>59</v>
      </c>
      <c r="AB1426" s="198" t="s">
        <v>60</v>
      </c>
      <c r="AC1426" s="198" t="s">
        <v>86</v>
      </c>
      <c r="AD1426" s="198" t="s">
        <v>62</v>
      </c>
      <c r="AE1426" s="198" t="s">
        <v>54</v>
      </c>
      <c r="AF1426" s="198" t="s">
        <v>54</v>
      </c>
      <c r="AG1426" s="198" t="s">
        <v>564</v>
      </c>
      <c r="AH1426" s="198" t="s">
        <v>169</v>
      </c>
      <c r="AI1426" s="198" t="s">
        <v>56</v>
      </c>
      <c r="AJ1426" s="198" t="s">
        <v>163</v>
      </c>
      <c r="AK1426" s="198" t="s">
        <v>51</v>
      </c>
      <c r="AL1426" s="198" t="s">
        <v>67</v>
      </c>
      <c r="AM1426" s="198" t="s">
        <v>68</v>
      </c>
      <c r="AN1426" s="202">
        <v>11590296.35</v>
      </c>
      <c r="AO1426" s="202">
        <v>11590296.35</v>
      </c>
      <c r="AP1426" s="202">
        <v>11590296.35</v>
      </c>
      <c r="AQ1426" s="198" t="s">
        <v>358</v>
      </c>
      <c r="AR1426" s="198" t="s">
        <v>51</v>
      </c>
      <c r="AS1426" s="202">
        <v>4668231.99</v>
      </c>
      <c r="AT1426" s="202">
        <v>4668231.99</v>
      </c>
      <c r="AU1426" s="198" t="s">
        <v>359</v>
      </c>
      <c r="AV1426" s="198" t="s">
        <v>62</v>
      </c>
      <c r="AW1426" s="198" t="s">
        <v>54</v>
      </c>
    </row>
    <row r="1427" spans="3:49" outlineLevel="2" x14ac:dyDescent="0.25">
      <c r="C1427" s="201"/>
      <c r="D1427" s="198" t="s">
        <v>729</v>
      </c>
      <c r="H1427" s="198" t="s">
        <v>729</v>
      </c>
      <c r="I1427" s="202">
        <f t="shared" si="22"/>
        <v>593005462.19999993</v>
      </c>
      <c r="J1427" s="202">
        <v>143.6</v>
      </c>
      <c r="L1427" s="204">
        <v>1</v>
      </c>
      <c r="M1427" s="202">
        <v>1123071.25</v>
      </c>
      <c r="N1427" s="204">
        <v>0</v>
      </c>
      <c r="O1427" s="198" t="s">
        <v>51</v>
      </c>
      <c r="P1427" s="202">
        <v>1065530.05</v>
      </c>
      <c r="Q1427" s="198" t="s">
        <v>159</v>
      </c>
      <c r="R1427" s="198" t="s">
        <v>160</v>
      </c>
      <c r="S1427" s="198" t="s">
        <v>54</v>
      </c>
      <c r="T1427" s="198" t="s">
        <v>728</v>
      </c>
      <c r="U1427" s="198" t="s">
        <v>55</v>
      </c>
      <c r="V1427" s="198" t="s">
        <v>56</v>
      </c>
      <c r="W1427" s="198" t="s">
        <v>356</v>
      </c>
      <c r="X1427" s="198" t="s">
        <v>161</v>
      </c>
      <c r="Y1427" s="198" t="s">
        <v>162</v>
      </c>
      <c r="Z1427" s="201">
        <v>46248</v>
      </c>
      <c r="AA1427" s="198" t="s">
        <v>59</v>
      </c>
      <c r="AB1427" s="198" t="s">
        <v>60</v>
      </c>
      <c r="AC1427" s="198" t="s">
        <v>86</v>
      </c>
      <c r="AD1427" s="198" t="s">
        <v>62</v>
      </c>
      <c r="AE1427" s="198" t="s">
        <v>54</v>
      </c>
      <c r="AF1427" s="198" t="s">
        <v>54</v>
      </c>
      <c r="AG1427" s="198" t="s">
        <v>564</v>
      </c>
      <c r="AH1427" s="198" t="s">
        <v>169</v>
      </c>
      <c r="AI1427" s="198" t="s">
        <v>56</v>
      </c>
      <c r="AJ1427" s="198" t="s">
        <v>163</v>
      </c>
      <c r="AK1427" s="198" t="s">
        <v>51</v>
      </c>
      <c r="AL1427" s="198" t="s">
        <v>67</v>
      </c>
      <c r="AM1427" s="198" t="s">
        <v>68</v>
      </c>
      <c r="AN1427" s="202">
        <v>1123071.25</v>
      </c>
      <c r="AO1427" s="202">
        <v>1123071.25</v>
      </c>
      <c r="AP1427" s="202">
        <v>1123071.25</v>
      </c>
      <c r="AQ1427" s="198" t="s">
        <v>358</v>
      </c>
      <c r="AR1427" s="198" t="s">
        <v>51</v>
      </c>
      <c r="AS1427" s="202">
        <v>1065530.05</v>
      </c>
      <c r="AT1427" s="202">
        <v>1065530.05</v>
      </c>
      <c r="AU1427" s="198" t="s">
        <v>359</v>
      </c>
      <c r="AV1427" s="198" t="s">
        <v>62</v>
      </c>
      <c r="AW1427" s="198" t="s">
        <v>54</v>
      </c>
    </row>
    <row r="1428" spans="3:49" outlineLevel="2" x14ac:dyDescent="0.25">
      <c r="C1428" s="201"/>
      <c r="D1428" s="198" t="s">
        <v>730</v>
      </c>
      <c r="H1428" s="198" t="s">
        <v>730</v>
      </c>
      <c r="I1428" s="202">
        <f t="shared" si="22"/>
        <v>593418418.64999998</v>
      </c>
      <c r="J1428" s="202">
        <v>143.69999999999999</v>
      </c>
      <c r="L1428" s="204">
        <v>1</v>
      </c>
      <c r="M1428" s="202">
        <v>7800925</v>
      </c>
      <c r="N1428" s="204">
        <v>0</v>
      </c>
      <c r="O1428" s="198" t="s">
        <v>51</v>
      </c>
      <c r="P1428" s="202">
        <v>7617397.0999999996</v>
      </c>
      <c r="Q1428" s="198" t="s">
        <v>159</v>
      </c>
      <c r="R1428" s="198" t="s">
        <v>160</v>
      </c>
      <c r="S1428" s="198" t="s">
        <v>54</v>
      </c>
      <c r="T1428" s="198" t="s">
        <v>728</v>
      </c>
      <c r="U1428" s="198" t="s">
        <v>55</v>
      </c>
      <c r="V1428" s="198" t="s">
        <v>56</v>
      </c>
      <c r="W1428" s="198" t="s">
        <v>356</v>
      </c>
      <c r="X1428" s="198" t="s">
        <v>161</v>
      </c>
      <c r="Y1428" s="198" t="s">
        <v>162</v>
      </c>
      <c r="Z1428" s="201">
        <v>46248</v>
      </c>
      <c r="AA1428" s="198" t="s">
        <v>59</v>
      </c>
      <c r="AB1428" s="198" t="s">
        <v>60</v>
      </c>
      <c r="AC1428" s="198" t="s">
        <v>86</v>
      </c>
      <c r="AD1428" s="198" t="s">
        <v>62</v>
      </c>
      <c r="AE1428" s="198" t="s">
        <v>54</v>
      </c>
      <c r="AF1428" s="198" t="s">
        <v>54</v>
      </c>
      <c r="AG1428" s="198" t="s">
        <v>564</v>
      </c>
      <c r="AH1428" s="198" t="s">
        <v>169</v>
      </c>
      <c r="AI1428" s="198" t="s">
        <v>56</v>
      </c>
      <c r="AJ1428" s="198" t="s">
        <v>163</v>
      </c>
      <c r="AK1428" s="198" t="s">
        <v>51</v>
      </c>
      <c r="AL1428" s="198" t="s">
        <v>67</v>
      </c>
      <c r="AM1428" s="198" t="s">
        <v>68</v>
      </c>
      <c r="AN1428" s="202">
        <v>7800925</v>
      </c>
      <c r="AO1428" s="202">
        <v>7800925</v>
      </c>
      <c r="AP1428" s="202">
        <v>7800925</v>
      </c>
      <c r="AQ1428" s="198" t="s">
        <v>358</v>
      </c>
      <c r="AR1428" s="198" t="s">
        <v>51</v>
      </c>
      <c r="AS1428" s="202">
        <v>7617397.0999999996</v>
      </c>
      <c r="AT1428" s="202">
        <v>7617397.0999999996</v>
      </c>
      <c r="AU1428" s="198" t="s">
        <v>359</v>
      </c>
      <c r="AV1428" s="198" t="s">
        <v>62</v>
      </c>
      <c r="AW1428" s="198" t="s">
        <v>54</v>
      </c>
    </row>
    <row r="1429" spans="3:49" outlineLevel="2" x14ac:dyDescent="0.25">
      <c r="C1429" s="201"/>
      <c r="D1429" s="198" t="s">
        <v>727</v>
      </c>
      <c r="H1429" s="198" t="s">
        <v>727</v>
      </c>
      <c r="I1429" s="202">
        <f t="shared" si="22"/>
        <v>593831375.10000002</v>
      </c>
      <c r="J1429" s="202">
        <v>143.80000000000001</v>
      </c>
      <c r="L1429" s="204">
        <v>1</v>
      </c>
      <c r="M1429" s="202">
        <v>620151.55000000005</v>
      </c>
      <c r="N1429" s="204">
        <v>0</v>
      </c>
      <c r="O1429" s="198" t="s">
        <v>51</v>
      </c>
      <c r="P1429" s="202">
        <v>550392.75</v>
      </c>
      <c r="Q1429" s="198" t="s">
        <v>159</v>
      </c>
      <c r="R1429" s="198" t="s">
        <v>160</v>
      </c>
      <c r="S1429" s="198" t="s">
        <v>54</v>
      </c>
      <c r="T1429" s="198" t="s">
        <v>728</v>
      </c>
      <c r="U1429" s="198" t="s">
        <v>55</v>
      </c>
      <c r="V1429" s="198" t="s">
        <v>56</v>
      </c>
      <c r="W1429" s="198" t="s">
        <v>356</v>
      </c>
      <c r="X1429" s="198" t="s">
        <v>161</v>
      </c>
      <c r="Y1429" s="198" t="s">
        <v>162</v>
      </c>
      <c r="Z1429" s="201">
        <v>46248</v>
      </c>
      <c r="AA1429" s="198" t="s">
        <v>59</v>
      </c>
      <c r="AB1429" s="198" t="s">
        <v>60</v>
      </c>
      <c r="AC1429" s="198" t="s">
        <v>86</v>
      </c>
      <c r="AD1429" s="198" t="s">
        <v>62</v>
      </c>
      <c r="AE1429" s="198" t="s">
        <v>54</v>
      </c>
      <c r="AF1429" s="198" t="s">
        <v>54</v>
      </c>
      <c r="AG1429" s="198" t="s">
        <v>564</v>
      </c>
      <c r="AH1429" s="198" t="s">
        <v>169</v>
      </c>
      <c r="AI1429" s="198" t="s">
        <v>56</v>
      </c>
      <c r="AJ1429" s="198" t="s">
        <v>163</v>
      </c>
      <c r="AK1429" s="198" t="s">
        <v>51</v>
      </c>
      <c r="AL1429" s="198" t="s">
        <v>67</v>
      </c>
      <c r="AM1429" s="198" t="s">
        <v>68</v>
      </c>
      <c r="AN1429" s="202">
        <v>620151.55000000005</v>
      </c>
      <c r="AO1429" s="202">
        <v>620151.55000000005</v>
      </c>
      <c r="AP1429" s="202">
        <v>620151.55000000005</v>
      </c>
      <c r="AQ1429" s="198" t="s">
        <v>358</v>
      </c>
      <c r="AR1429" s="198" t="s">
        <v>51</v>
      </c>
      <c r="AS1429" s="202">
        <v>550392.75</v>
      </c>
      <c r="AT1429" s="202">
        <v>550392.75</v>
      </c>
      <c r="AU1429" s="198" t="s">
        <v>359</v>
      </c>
      <c r="AV1429" s="198" t="s">
        <v>62</v>
      </c>
      <c r="AW1429" s="198" t="s">
        <v>54</v>
      </c>
    </row>
    <row r="1430" spans="3:49" outlineLevel="2" x14ac:dyDescent="0.25">
      <c r="C1430" s="201"/>
      <c r="D1430" s="198" t="s">
        <v>207</v>
      </c>
      <c r="H1430" s="198" t="s">
        <v>207</v>
      </c>
      <c r="I1430" s="202">
        <f t="shared" si="22"/>
        <v>594244331.55000007</v>
      </c>
      <c r="J1430" s="202">
        <v>143.9</v>
      </c>
      <c r="L1430" s="204">
        <v>1</v>
      </c>
      <c r="M1430" s="202">
        <v>1350769.35</v>
      </c>
      <c r="N1430" s="204">
        <v>0</v>
      </c>
      <c r="O1430" s="198" t="s">
        <v>51</v>
      </c>
      <c r="P1430" s="202">
        <v>327761.7</v>
      </c>
      <c r="Q1430" s="198" t="s">
        <v>159</v>
      </c>
      <c r="R1430" s="198" t="s">
        <v>160</v>
      </c>
      <c r="S1430" s="198" t="s">
        <v>54</v>
      </c>
      <c r="T1430" s="198" t="s">
        <v>728</v>
      </c>
      <c r="U1430" s="198" t="s">
        <v>367</v>
      </c>
      <c r="V1430" s="198" t="s">
        <v>56</v>
      </c>
      <c r="W1430" s="198" t="s">
        <v>356</v>
      </c>
      <c r="X1430" s="198" t="s">
        <v>161</v>
      </c>
      <c r="Y1430" s="198" t="s">
        <v>162</v>
      </c>
      <c r="Z1430" s="201">
        <v>46248</v>
      </c>
      <c r="AA1430" s="198" t="s">
        <v>59</v>
      </c>
      <c r="AB1430" s="198" t="s">
        <v>60</v>
      </c>
      <c r="AC1430" s="198" t="s">
        <v>86</v>
      </c>
      <c r="AD1430" s="198" t="s">
        <v>62</v>
      </c>
      <c r="AE1430" s="198" t="s">
        <v>54</v>
      </c>
      <c r="AF1430" s="198" t="s">
        <v>54</v>
      </c>
      <c r="AG1430" s="198" t="s">
        <v>564</v>
      </c>
      <c r="AH1430" s="198" t="s">
        <v>169</v>
      </c>
      <c r="AI1430" s="198" t="s">
        <v>56</v>
      </c>
      <c r="AJ1430" s="198" t="s">
        <v>163</v>
      </c>
      <c r="AK1430" s="198" t="s">
        <v>51</v>
      </c>
      <c r="AL1430" s="198" t="s">
        <v>67</v>
      </c>
      <c r="AM1430" s="198" t="s">
        <v>68</v>
      </c>
      <c r="AN1430" s="202">
        <v>1350769.35</v>
      </c>
      <c r="AO1430" s="202">
        <v>1350769.35</v>
      </c>
      <c r="AP1430" s="202">
        <v>1350769.35</v>
      </c>
      <c r="AQ1430" s="198" t="s">
        <v>358</v>
      </c>
      <c r="AR1430" s="198" t="s">
        <v>51</v>
      </c>
      <c r="AS1430" s="202">
        <v>327761.7</v>
      </c>
      <c r="AT1430" s="202">
        <v>327761.7</v>
      </c>
      <c r="AU1430" s="198" t="s">
        <v>359</v>
      </c>
      <c r="AV1430" s="198" t="s">
        <v>62</v>
      </c>
      <c r="AW1430" s="198" t="s">
        <v>54</v>
      </c>
    </row>
    <row r="1431" spans="3:49" outlineLevel="2" x14ac:dyDescent="0.25">
      <c r="C1431" s="201"/>
      <c r="D1431" s="198" t="s">
        <v>204</v>
      </c>
      <c r="H1431" s="198" t="s">
        <v>204</v>
      </c>
      <c r="I1431" s="202">
        <f t="shared" si="22"/>
        <v>594657288</v>
      </c>
      <c r="J1431" s="202">
        <v>144</v>
      </c>
      <c r="L1431" s="204">
        <v>1</v>
      </c>
      <c r="M1431" s="202">
        <v>2040000</v>
      </c>
      <c r="N1431" s="204">
        <v>0</v>
      </c>
      <c r="O1431" s="198" t="s">
        <v>51</v>
      </c>
      <c r="P1431" s="202">
        <v>544000</v>
      </c>
      <c r="Q1431" s="198" t="s">
        <v>159</v>
      </c>
      <c r="R1431" s="198" t="s">
        <v>160</v>
      </c>
      <c r="S1431" s="198" t="s">
        <v>54</v>
      </c>
      <c r="T1431" s="198" t="s">
        <v>728</v>
      </c>
      <c r="U1431" s="198" t="s">
        <v>55</v>
      </c>
      <c r="V1431" s="198" t="s">
        <v>56</v>
      </c>
      <c r="W1431" s="198" t="s">
        <v>356</v>
      </c>
      <c r="X1431" s="198" t="s">
        <v>161</v>
      </c>
      <c r="Y1431" s="198" t="s">
        <v>162</v>
      </c>
      <c r="Z1431" s="201">
        <v>46248</v>
      </c>
      <c r="AA1431" s="198" t="s">
        <v>59</v>
      </c>
      <c r="AB1431" s="198" t="s">
        <v>60</v>
      </c>
      <c r="AC1431" s="198" t="s">
        <v>86</v>
      </c>
      <c r="AD1431" s="198" t="s">
        <v>62</v>
      </c>
      <c r="AE1431" s="198" t="s">
        <v>54</v>
      </c>
      <c r="AF1431" s="198" t="s">
        <v>54</v>
      </c>
      <c r="AG1431" s="198" t="s">
        <v>564</v>
      </c>
      <c r="AH1431" s="198" t="s">
        <v>169</v>
      </c>
      <c r="AI1431" s="198" t="s">
        <v>56</v>
      </c>
      <c r="AJ1431" s="198" t="s">
        <v>163</v>
      </c>
      <c r="AK1431" s="198" t="s">
        <v>51</v>
      </c>
      <c r="AL1431" s="198" t="s">
        <v>67</v>
      </c>
      <c r="AM1431" s="198" t="s">
        <v>68</v>
      </c>
      <c r="AN1431" s="202">
        <v>2040000</v>
      </c>
      <c r="AO1431" s="202">
        <v>2040000</v>
      </c>
      <c r="AP1431" s="202">
        <v>2040000</v>
      </c>
      <c r="AQ1431" s="198" t="s">
        <v>358</v>
      </c>
      <c r="AR1431" s="198" t="s">
        <v>51</v>
      </c>
      <c r="AS1431" s="202">
        <v>544000</v>
      </c>
      <c r="AT1431" s="202">
        <v>544000</v>
      </c>
      <c r="AU1431" s="198" t="s">
        <v>359</v>
      </c>
      <c r="AV1431" s="198" t="s">
        <v>62</v>
      </c>
      <c r="AW1431" s="198" t="s">
        <v>54</v>
      </c>
    </row>
    <row r="1432" spans="3:49" outlineLevel="2" x14ac:dyDescent="0.25">
      <c r="C1432" s="201"/>
      <c r="D1432" s="198" t="s">
        <v>205</v>
      </c>
      <c r="H1432" s="198" t="s">
        <v>205</v>
      </c>
      <c r="I1432" s="202">
        <f t="shared" si="22"/>
        <v>595070244.44999993</v>
      </c>
      <c r="J1432" s="202">
        <v>144.1</v>
      </c>
      <c r="L1432" s="204">
        <v>1</v>
      </c>
      <c r="M1432" s="202">
        <v>513355.5</v>
      </c>
      <c r="N1432" s="204">
        <v>0</v>
      </c>
      <c r="O1432" s="198" t="s">
        <v>51</v>
      </c>
      <c r="P1432" s="202">
        <v>171317.47</v>
      </c>
      <c r="Q1432" s="198" t="s">
        <v>159</v>
      </c>
      <c r="R1432" s="198" t="s">
        <v>160</v>
      </c>
      <c r="S1432" s="198" t="s">
        <v>54</v>
      </c>
      <c r="T1432" s="198" t="s">
        <v>728</v>
      </c>
      <c r="U1432" s="198" t="s">
        <v>55</v>
      </c>
      <c r="V1432" s="198" t="s">
        <v>56</v>
      </c>
      <c r="W1432" s="198" t="s">
        <v>356</v>
      </c>
      <c r="X1432" s="198" t="s">
        <v>161</v>
      </c>
      <c r="Y1432" s="198" t="s">
        <v>162</v>
      </c>
      <c r="Z1432" s="201">
        <v>46248</v>
      </c>
      <c r="AA1432" s="198" t="s">
        <v>59</v>
      </c>
      <c r="AB1432" s="198" t="s">
        <v>60</v>
      </c>
      <c r="AC1432" s="198" t="s">
        <v>86</v>
      </c>
      <c r="AD1432" s="198" t="s">
        <v>62</v>
      </c>
      <c r="AE1432" s="198" t="s">
        <v>54</v>
      </c>
      <c r="AF1432" s="198" t="s">
        <v>54</v>
      </c>
      <c r="AG1432" s="198" t="s">
        <v>564</v>
      </c>
      <c r="AH1432" s="198" t="s">
        <v>169</v>
      </c>
      <c r="AI1432" s="198" t="s">
        <v>56</v>
      </c>
      <c r="AJ1432" s="198" t="s">
        <v>163</v>
      </c>
      <c r="AK1432" s="198" t="s">
        <v>51</v>
      </c>
      <c r="AL1432" s="198" t="s">
        <v>67</v>
      </c>
      <c r="AM1432" s="198" t="s">
        <v>68</v>
      </c>
      <c r="AN1432" s="202">
        <v>513355.5</v>
      </c>
      <c r="AO1432" s="202">
        <v>513355.5</v>
      </c>
      <c r="AP1432" s="202">
        <v>513355.5</v>
      </c>
      <c r="AQ1432" s="198" t="s">
        <v>358</v>
      </c>
      <c r="AR1432" s="198" t="s">
        <v>51</v>
      </c>
      <c r="AS1432" s="202">
        <v>171317.47</v>
      </c>
      <c r="AT1432" s="202">
        <v>171317.47</v>
      </c>
      <c r="AU1432" s="198" t="s">
        <v>359</v>
      </c>
      <c r="AV1432" s="198" t="s">
        <v>62</v>
      </c>
      <c r="AW1432" s="198" t="s">
        <v>54</v>
      </c>
    </row>
    <row r="1433" spans="3:49" outlineLevel="2" x14ac:dyDescent="0.25">
      <c r="C1433" s="201"/>
      <c r="D1433" s="198" t="s">
        <v>205</v>
      </c>
      <c r="H1433" s="198" t="s">
        <v>205</v>
      </c>
      <c r="I1433" s="202">
        <f t="shared" si="22"/>
        <v>595483200.89999998</v>
      </c>
      <c r="J1433" s="202">
        <v>144.19999999999999</v>
      </c>
      <c r="L1433" s="204">
        <v>1</v>
      </c>
      <c r="M1433" s="202">
        <v>549288.1</v>
      </c>
      <c r="N1433" s="204">
        <v>1</v>
      </c>
      <c r="O1433" s="198" t="s">
        <v>51</v>
      </c>
      <c r="P1433" s="202">
        <v>549288.1</v>
      </c>
      <c r="Q1433" s="198" t="s">
        <v>159</v>
      </c>
      <c r="R1433" s="198" t="s">
        <v>160</v>
      </c>
      <c r="S1433" s="198" t="s">
        <v>54</v>
      </c>
      <c r="T1433" s="198" t="s">
        <v>728</v>
      </c>
      <c r="U1433" s="198" t="s">
        <v>367</v>
      </c>
      <c r="V1433" s="198" t="s">
        <v>56</v>
      </c>
      <c r="W1433" s="198" t="s">
        <v>356</v>
      </c>
      <c r="X1433" s="198" t="s">
        <v>161</v>
      </c>
      <c r="Y1433" s="198" t="s">
        <v>162</v>
      </c>
      <c r="Z1433" s="201">
        <v>46248</v>
      </c>
      <c r="AA1433" s="198" t="s">
        <v>59</v>
      </c>
      <c r="AB1433" s="198" t="s">
        <v>60</v>
      </c>
      <c r="AC1433" s="198" t="s">
        <v>86</v>
      </c>
      <c r="AD1433" s="198" t="s">
        <v>62</v>
      </c>
      <c r="AE1433" s="198" t="s">
        <v>54</v>
      </c>
      <c r="AF1433" s="198" t="s">
        <v>54</v>
      </c>
      <c r="AG1433" s="198" t="s">
        <v>564</v>
      </c>
      <c r="AH1433" s="198" t="s">
        <v>169</v>
      </c>
      <c r="AI1433" s="198" t="s">
        <v>56</v>
      </c>
      <c r="AJ1433" s="198" t="s">
        <v>163</v>
      </c>
      <c r="AK1433" s="198" t="s">
        <v>51</v>
      </c>
      <c r="AL1433" s="198" t="s">
        <v>67</v>
      </c>
      <c r="AM1433" s="198" t="s">
        <v>68</v>
      </c>
      <c r="AN1433" s="202">
        <v>549288.1</v>
      </c>
      <c r="AO1433" s="202">
        <v>549288.1</v>
      </c>
      <c r="AP1433" s="202">
        <v>549288.1</v>
      </c>
      <c r="AQ1433" s="198" t="s">
        <v>358</v>
      </c>
      <c r="AR1433" s="198" t="s">
        <v>51</v>
      </c>
      <c r="AS1433" s="202">
        <v>549288.1</v>
      </c>
      <c r="AT1433" s="202">
        <v>549288.1</v>
      </c>
      <c r="AU1433" s="198" t="s">
        <v>359</v>
      </c>
      <c r="AV1433" s="198" t="s">
        <v>62</v>
      </c>
      <c r="AW1433" s="198" t="s">
        <v>54</v>
      </c>
    </row>
    <row r="1434" spans="3:49" outlineLevel="2" x14ac:dyDescent="0.25">
      <c r="C1434" s="201"/>
      <c r="D1434" s="198" t="s">
        <v>206</v>
      </c>
      <c r="H1434" s="198" t="s">
        <v>206</v>
      </c>
      <c r="I1434" s="202">
        <f t="shared" si="22"/>
        <v>595896157.35000002</v>
      </c>
      <c r="J1434" s="202">
        <v>144.30000000000001</v>
      </c>
      <c r="L1434" s="204">
        <v>1</v>
      </c>
      <c r="M1434" s="202">
        <v>493417.7</v>
      </c>
      <c r="N1434" s="204">
        <v>0</v>
      </c>
      <c r="O1434" s="198" t="s">
        <v>51</v>
      </c>
      <c r="P1434" s="202">
        <v>310487.7</v>
      </c>
      <c r="Q1434" s="198" t="s">
        <v>159</v>
      </c>
      <c r="R1434" s="198" t="s">
        <v>160</v>
      </c>
      <c r="S1434" s="198" t="s">
        <v>54</v>
      </c>
      <c r="T1434" s="198" t="s">
        <v>728</v>
      </c>
      <c r="U1434" s="198" t="s">
        <v>55</v>
      </c>
      <c r="V1434" s="198" t="s">
        <v>56</v>
      </c>
      <c r="W1434" s="198" t="s">
        <v>356</v>
      </c>
      <c r="X1434" s="198" t="s">
        <v>161</v>
      </c>
      <c r="Y1434" s="198" t="s">
        <v>162</v>
      </c>
      <c r="Z1434" s="201">
        <v>46248</v>
      </c>
      <c r="AA1434" s="198" t="s">
        <v>59</v>
      </c>
      <c r="AB1434" s="198" t="s">
        <v>60</v>
      </c>
      <c r="AC1434" s="198" t="s">
        <v>86</v>
      </c>
      <c r="AD1434" s="198" t="s">
        <v>62</v>
      </c>
      <c r="AE1434" s="198" t="s">
        <v>54</v>
      </c>
      <c r="AF1434" s="198" t="s">
        <v>54</v>
      </c>
      <c r="AG1434" s="198" t="s">
        <v>564</v>
      </c>
      <c r="AH1434" s="198" t="s">
        <v>169</v>
      </c>
      <c r="AI1434" s="198" t="s">
        <v>56</v>
      </c>
      <c r="AJ1434" s="198" t="s">
        <v>163</v>
      </c>
      <c r="AK1434" s="198" t="s">
        <v>51</v>
      </c>
      <c r="AL1434" s="198" t="s">
        <v>67</v>
      </c>
      <c r="AM1434" s="198" t="s">
        <v>68</v>
      </c>
      <c r="AN1434" s="202">
        <v>493417.7</v>
      </c>
      <c r="AO1434" s="202">
        <v>493417.7</v>
      </c>
      <c r="AP1434" s="202">
        <v>493417.7</v>
      </c>
      <c r="AQ1434" s="198" t="s">
        <v>358</v>
      </c>
      <c r="AR1434" s="198" t="s">
        <v>51</v>
      </c>
      <c r="AS1434" s="202">
        <v>310487.7</v>
      </c>
      <c r="AT1434" s="202">
        <v>310487.7</v>
      </c>
      <c r="AU1434" s="198" t="s">
        <v>359</v>
      </c>
      <c r="AV1434" s="198" t="s">
        <v>62</v>
      </c>
      <c r="AW1434" s="198" t="s">
        <v>54</v>
      </c>
    </row>
    <row r="1435" spans="3:49" outlineLevel="2" x14ac:dyDescent="0.25">
      <c r="C1435" s="201"/>
      <c r="D1435" s="198" t="s">
        <v>729</v>
      </c>
      <c r="H1435" s="198" t="s">
        <v>729</v>
      </c>
      <c r="I1435" s="202">
        <f t="shared" si="22"/>
        <v>596309113.80000007</v>
      </c>
      <c r="J1435" s="202">
        <v>144.4</v>
      </c>
      <c r="L1435" s="204">
        <v>1</v>
      </c>
      <c r="M1435" s="202">
        <v>268760</v>
      </c>
      <c r="N1435" s="204">
        <v>1</v>
      </c>
      <c r="O1435" s="198" t="s">
        <v>51</v>
      </c>
      <c r="P1435" s="202">
        <v>268760</v>
      </c>
      <c r="Q1435" s="198" t="s">
        <v>159</v>
      </c>
      <c r="R1435" s="198" t="s">
        <v>160</v>
      </c>
      <c r="S1435" s="198" t="s">
        <v>54</v>
      </c>
      <c r="T1435" s="198" t="s">
        <v>728</v>
      </c>
      <c r="U1435" s="198" t="s">
        <v>367</v>
      </c>
      <c r="V1435" s="198" t="s">
        <v>56</v>
      </c>
      <c r="W1435" s="198" t="s">
        <v>356</v>
      </c>
      <c r="X1435" s="198" t="s">
        <v>161</v>
      </c>
      <c r="Y1435" s="198" t="s">
        <v>162</v>
      </c>
      <c r="Z1435" s="201">
        <v>46248</v>
      </c>
      <c r="AA1435" s="198" t="s">
        <v>59</v>
      </c>
      <c r="AB1435" s="198" t="s">
        <v>60</v>
      </c>
      <c r="AC1435" s="198" t="s">
        <v>86</v>
      </c>
      <c r="AD1435" s="198" t="s">
        <v>62</v>
      </c>
      <c r="AE1435" s="198" t="s">
        <v>54</v>
      </c>
      <c r="AF1435" s="198" t="s">
        <v>54</v>
      </c>
      <c r="AG1435" s="198" t="s">
        <v>564</v>
      </c>
      <c r="AH1435" s="198" t="s">
        <v>169</v>
      </c>
      <c r="AI1435" s="198" t="s">
        <v>56</v>
      </c>
      <c r="AJ1435" s="198" t="s">
        <v>163</v>
      </c>
      <c r="AK1435" s="198" t="s">
        <v>51</v>
      </c>
      <c r="AL1435" s="198" t="s">
        <v>67</v>
      </c>
      <c r="AM1435" s="198" t="s">
        <v>68</v>
      </c>
      <c r="AN1435" s="202">
        <v>268760</v>
      </c>
      <c r="AO1435" s="202">
        <v>268760</v>
      </c>
      <c r="AP1435" s="202">
        <v>268760</v>
      </c>
      <c r="AQ1435" s="198" t="s">
        <v>358</v>
      </c>
      <c r="AR1435" s="198" t="s">
        <v>51</v>
      </c>
      <c r="AS1435" s="202">
        <v>268760</v>
      </c>
      <c r="AT1435" s="202">
        <v>268760</v>
      </c>
      <c r="AU1435" s="198" t="s">
        <v>359</v>
      </c>
      <c r="AV1435" s="198" t="s">
        <v>62</v>
      </c>
      <c r="AW1435" s="198" t="s">
        <v>54</v>
      </c>
    </row>
    <row r="1436" spans="3:49" outlineLevel="2" x14ac:dyDescent="0.25">
      <c r="C1436" s="201"/>
      <c r="D1436" s="198" t="s">
        <v>727</v>
      </c>
      <c r="H1436" s="198" t="s">
        <v>727</v>
      </c>
      <c r="I1436" s="202">
        <f t="shared" si="22"/>
        <v>596722070.25</v>
      </c>
      <c r="J1436" s="202">
        <v>144.5</v>
      </c>
      <c r="L1436" s="204">
        <v>1</v>
      </c>
      <c r="M1436" s="202">
        <v>177460.28</v>
      </c>
      <c r="N1436" s="204">
        <v>0</v>
      </c>
      <c r="O1436" s="198" t="s">
        <v>51</v>
      </c>
      <c r="P1436" s="202">
        <v>162647.78</v>
      </c>
      <c r="Q1436" s="198" t="s">
        <v>159</v>
      </c>
      <c r="R1436" s="198" t="s">
        <v>160</v>
      </c>
      <c r="S1436" s="198" t="s">
        <v>54</v>
      </c>
      <c r="T1436" s="198" t="s">
        <v>728</v>
      </c>
      <c r="U1436" s="198" t="s">
        <v>55</v>
      </c>
      <c r="V1436" s="198" t="s">
        <v>56</v>
      </c>
      <c r="W1436" s="198" t="s">
        <v>356</v>
      </c>
      <c r="X1436" s="198" t="s">
        <v>161</v>
      </c>
      <c r="Y1436" s="198" t="s">
        <v>162</v>
      </c>
      <c r="Z1436" s="201">
        <v>46248</v>
      </c>
      <c r="AA1436" s="198" t="s">
        <v>59</v>
      </c>
      <c r="AB1436" s="198" t="s">
        <v>60</v>
      </c>
      <c r="AC1436" s="198" t="s">
        <v>86</v>
      </c>
      <c r="AD1436" s="198" t="s">
        <v>62</v>
      </c>
      <c r="AE1436" s="198" t="s">
        <v>54</v>
      </c>
      <c r="AF1436" s="198" t="s">
        <v>54</v>
      </c>
      <c r="AG1436" s="198" t="s">
        <v>564</v>
      </c>
      <c r="AH1436" s="198" t="s">
        <v>169</v>
      </c>
      <c r="AI1436" s="198" t="s">
        <v>56</v>
      </c>
      <c r="AJ1436" s="198" t="s">
        <v>163</v>
      </c>
      <c r="AK1436" s="198" t="s">
        <v>51</v>
      </c>
      <c r="AL1436" s="198" t="s">
        <v>67</v>
      </c>
      <c r="AM1436" s="198" t="s">
        <v>68</v>
      </c>
      <c r="AN1436" s="202">
        <v>177460.28</v>
      </c>
      <c r="AO1436" s="202">
        <v>177460.28</v>
      </c>
      <c r="AP1436" s="202">
        <v>177460.28</v>
      </c>
      <c r="AQ1436" s="198" t="s">
        <v>358</v>
      </c>
      <c r="AR1436" s="198" t="s">
        <v>51</v>
      </c>
      <c r="AS1436" s="202">
        <v>162647.78</v>
      </c>
      <c r="AT1436" s="202">
        <v>162647.78</v>
      </c>
      <c r="AU1436" s="198" t="s">
        <v>359</v>
      </c>
      <c r="AV1436" s="198" t="s">
        <v>62</v>
      </c>
      <c r="AW1436" s="198" t="s">
        <v>54</v>
      </c>
    </row>
    <row r="1437" spans="3:49" outlineLevel="2" x14ac:dyDescent="0.25">
      <c r="C1437" s="201"/>
      <c r="D1437" s="198" t="s">
        <v>207</v>
      </c>
      <c r="H1437" s="198" t="s">
        <v>207</v>
      </c>
      <c r="I1437" s="202">
        <f t="shared" si="22"/>
        <v>597135026.69999993</v>
      </c>
      <c r="J1437" s="202">
        <v>144.6</v>
      </c>
      <c r="L1437" s="204">
        <v>1</v>
      </c>
      <c r="M1437" s="202">
        <v>48438.6</v>
      </c>
      <c r="N1437" s="204">
        <v>0</v>
      </c>
      <c r="O1437" s="198" t="s">
        <v>51</v>
      </c>
      <c r="P1437" s="202">
        <v>1974.6</v>
      </c>
      <c r="Q1437" s="198" t="s">
        <v>159</v>
      </c>
      <c r="R1437" s="198" t="s">
        <v>160</v>
      </c>
      <c r="S1437" s="198" t="s">
        <v>54</v>
      </c>
      <c r="T1437" s="198" t="s">
        <v>728</v>
      </c>
      <c r="U1437" s="198" t="s">
        <v>55</v>
      </c>
      <c r="V1437" s="198" t="s">
        <v>56</v>
      </c>
      <c r="W1437" s="198" t="s">
        <v>356</v>
      </c>
      <c r="X1437" s="198" t="s">
        <v>161</v>
      </c>
      <c r="Y1437" s="198" t="s">
        <v>162</v>
      </c>
      <c r="Z1437" s="201">
        <v>46248</v>
      </c>
      <c r="AA1437" s="198" t="s">
        <v>59</v>
      </c>
      <c r="AB1437" s="198" t="s">
        <v>60</v>
      </c>
      <c r="AC1437" s="198" t="s">
        <v>86</v>
      </c>
      <c r="AD1437" s="198" t="s">
        <v>62</v>
      </c>
      <c r="AE1437" s="198" t="s">
        <v>54</v>
      </c>
      <c r="AF1437" s="198" t="s">
        <v>54</v>
      </c>
      <c r="AG1437" s="198" t="s">
        <v>564</v>
      </c>
      <c r="AH1437" s="198" t="s">
        <v>169</v>
      </c>
      <c r="AI1437" s="198" t="s">
        <v>56</v>
      </c>
      <c r="AJ1437" s="198" t="s">
        <v>163</v>
      </c>
      <c r="AK1437" s="198" t="s">
        <v>51</v>
      </c>
      <c r="AL1437" s="198" t="s">
        <v>67</v>
      </c>
      <c r="AM1437" s="198" t="s">
        <v>68</v>
      </c>
      <c r="AN1437" s="202">
        <v>48438.6</v>
      </c>
      <c r="AO1437" s="202">
        <v>48438.6</v>
      </c>
      <c r="AP1437" s="202">
        <v>48438.6</v>
      </c>
      <c r="AQ1437" s="198" t="s">
        <v>358</v>
      </c>
      <c r="AR1437" s="198" t="s">
        <v>51</v>
      </c>
      <c r="AS1437" s="202">
        <v>1974.6</v>
      </c>
      <c r="AT1437" s="202">
        <v>1974.6</v>
      </c>
      <c r="AU1437" s="198" t="s">
        <v>359</v>
      </c>
      <c r="AV1437" s="198" t="s">
        <v>62</v>
      </c>
      <c r="AW1437" s="198" t="s">
        <v>54</v>
      </c>
    </row>
    <row r="1438" spans="3:49" outlineLevel="2" x14ac:dyDescent="0.25">
      <c r="C1438" s="201"/>
      <c r="D1438" s="198" t="s">
        <v>204</v>
      </c>
      <c r="H1438" s="198" t="s">
        <v>204</v>
      </c>
      <c r="I1438" s="202">
        <f t="shared" si="22"/>
        <v>597547983.14999998</v>
      </c>
      <c r="J1438" s="202">
        <v>144.69999999999999</v>
      </c>
      <c r="L1438" s="204">
        <v>1</v>
      </c>
      <c r="M1438" s="202">
        <v>996900</v>
      </c>
      <c r="N1438" s="204">
        <v>1</v>
      </c>
      <c r="O1438" s="198" t="s">
        <v>51</v>
      </c>
      <c r="P1438" s="202">
        <v>996900</v>
      </c>
      <c r="Q1438" s="198" t="s">
        <v>159</v>
      </c>
      <c r="R1438" s="198" t="s">
        <v>160</v>
      </c>
      <c r="S1438" s="198" t="s">
        <v>54</v>
      </c>
      <c r="T1438" s="198" t="s">
        <v>728</v>
      </c>
      <c r="U1438" s="198" t="s">
        <v>367</v>
      </c>
      <c r="V1438" s="198" t="s">
        <v>56</v>
      </c>
      <c r="W1438" s="198" t="s">
        <v>356</v>
      </c>
      <c r="X1438" s="198" t="s">
        <v>161</v>
      </c>
      <c r="Y1438" s="198" t="s">
        <v>162</v>
      </c>
      <c r="Z1438" s="201">
        <v>46248</v>
      </c>
      <c r="AA1438" s="198" t="s">
        <v>59</v>
      </c>
      <c r="AB1438" s="198" t="s">
        <v>60</v>
      </c>
      <c r="AC1438" s="198" t="s">
        <v>86</v>
      </c>
      <c r="AD1438" s="198" t="s">
        <v>62</v>
      </c>
      <c r="AE1438" s="198" t="s">
        <v>54</v>
      </c>
      <c r="AF1438" s="198" t="s">
        <v>54</v>
      </c>
      <c r="AG1438" s="198" t="s">
        <v>564</v>
      </c>
      <c r="AH1438" s="198" t="s">
        <v>169</v>
      </c>
      <c r="AI1438" s="198" t="s">
        <v>56</v>
      </c>
      <c r="AJ1438" s="198" t="s">
        <v>163</v>
      </c>
      <c r="AK1438" s="198" t="s">
        <v>51</v>
      </c>
      <c r="AL1438" s="198" t="s">
        <v>67</v>
      </c>
      <c r="AM1438" s="198" t="s">
        <v>68</v>
      </c>
      <c r="AN1438" s="202">
        <v>996900</v>
      </c>
      <c r="AO1438" s="202">
        <v>996900</v>
      </c>
      <c r="AP1438" s="202">
        <v>996900</v>
      </c>
      <c r="AQ1438" s="198" t="s">
        <v>358</v>
      </c>
      <c r="AR1438" s="198" t="s">
        <v>51</v>
      </c>
      <c r="AS1438" s="202">
        <v>996900</v>
      </c>
      <c r="AT1438" s="202">
        <v>996900</v>
      </c>
      <c r="AU1438" s="198" t="s">
        <v>359</v>
      </c>
      <c r="AV1438" s="198" t="s">
        <v>62</v>
      </c>
      <c r="AW1438" s="198" t="s">
        <v>54</v>
      </c>
    </row>
    <row r="1439" spans="3:49" outlineLevel="2" x14ac:dyDescent="0.25">
      <c r="C1439" s="201"/>
      <c r="D1439" s="198" t="s">
        <v>179</v>
      </c>
      <c r="H1439" s="198" t="s">
        <v>179</v>
      </c>
      <c r="I1439" s="202">
        <f t="shared" si="22"/>
        <v>597960939.60000002</v>
      </c>
      <c r="J1439" s="202">
        <v>144.80000000000001</v>
      </c>
      <c r="L1439" s="204">
        <v>1</v>
      </c>
      <c r="M1439" s="202">
        <v>5127226</v>
      </c>
      <c r="N1439" s="204">
        <v>1</v>
      </c>
      <c r="O1439" s="198" t="s">
        <v>51</v>
      </c>
      <c r="P1439" s="202">
        <v>5127226</v>
      </c>
      <c r="Q1439" s="198" t="s">
        <v>159</v>
      </c>
      <c r="R1439" s="198" t="s">
        <v>160</v>
      </c>
      <c r="S1439" s="198" t="s">
        <v>54</v>
      </c>
      <c r="T1439" s="198" t="s">
        <v>514</v>
      </c>
      <c r="U1439" s="198" t="s">
        <v>80</v>
      </c>
      <c r="V1439" s="198" t="s">
        <v>56</v>
      </c>
      <c r="W1439" s="198" t="s">
        <v>356</v>
      </c>
      <c r="X1439" s="198" t="s">
        <v>161</v>
      </c>
      <c r="Y1439" s="198" t="s">
        <v>162</v>
      </c>
      <c r="Z1439" s="201">
        <v>46248</v>
      </c>
      <c r="AA1439" s="198" t="s">
        <v>59</v>
      </c>
      <c r="AB1439" s="198" t="s">
        <v>60</v>
      </c>
      <c r="AC1439" s="198" t="s">
        <v>86</v>
      </c>
      <c r="AD1439" s="198" t="s">
        <v>62</v>
      </c>
      <c r="AE1439" s="198" t="s">
        <v>54</v>
      </c>
      <c r="AF1439" s="198" t="s">
        <v>54</v>
      </c>
      <c r="AG1439" s="198" t="s">
        <v>564</v>
      </c>
      <c r="AH1439" s="198" t="s">
        <v>169</v>
      </c>
      <c r="AI1439" s="198" t="s">
        <v>56</v>
      </c>
      <c r="AJ1439" s="198" t="s">
        <v>163</v>
      </c>
      <c r="AK1439" s="198" t="s">
        <v>51</v>
      </c>
      <c r="AL1439" s="198" t="s">
        <v>67</v>
      </c>
      <c r="AM1439" s="198" t="s">
        <v>68</v>
      </c>
      <c r="AN1439" s="202">
        <v>5127226</v>
      </c>
      <c r="AO1439" s="202">
        <v>5127226</v>
      </c>
      <c r="AP1439" s="202">
        <v>5127226</v>
      </c>
      <c r="AQ1439" s="198" t="s">
        <v>358</v>
      </c>
      <c r="AR1439" s="198" t="s">
        <v>51</v>
      </c>
      <c r="AS1439" s="202">
        <v>5127226</v>
      </c>
      <c r="AT1439" s="202">
        <v>5127226</v>
      </c>
      <c r="AU1439" s="198" t="s">
        <v>359</v>
      </c>
      <c r="AV1439" s="198" t="s">
        <v>62</v>
      </c>
      <c r="AW1439" s="198" t="s">
        <v>54</v>
      </c>
    </row>
    <row r="1440" spans="3:49" outlineLevel="2" x14ac:dyDescent="0.25">
      <c r="C1440" s="201"/>
      <c r="D1440" s="198" t="s">
        <v>178</v>
      </c>
      <c r="H1440" s="198" t="s">
        <v>178</v>
      </c>
      <c r="I1440" s="202">
        <f t="shared" si="22"/>
        <v>598373896.05000007</v>
      </c>
      <c r="J1440" s="202">
        <v>144.9</v>
      </c>
      <c r="L1440" s="204">
        <v>1</v>
      </c>
      <c r="M1440" s="202">
        <v>8203500</v>
      </c>
      <c r="N1440" s="204">
        <v>1</v>
      </c>
      <c r="O1440" s="198" t="s">
        <v>51</v>
      </c>
      <c r="P1440" s="202">
        <v>8203500</v>
      </c>
      <c r="Q1440" s="198" t="s">
        <v>159</v>
      </c>
      <c r="R1440" s="198" t="s">
        <v>160</v>
      </c>
      <c r="S1440" s="198" t="s">
        <v>54</v>
      </c>
      <c r="T1440" s="198" t="s">
        <v>514</v>
      </c>
      <c r="U1440" s="198" t="s">
        <v>80</v>
      </c>
      <c r="V1440" s="198" t="s">
        <v>56</v>
      </c>
      <c r="W1440" s="198" t="s">
        <v>356</v>
      </c>
      <c r="X1440" s="198" t="s">
        <v>161</v>
      </c>
      <c r="Y1440" s="198" t="s">
        <v>162</v>
      </c>
      <c r="Z1440" s="201">
        <v>46248</v>
      </c>
      <c r="AA1440" s="198" t="s">
        <v>59</v>
      </c>
      <c r="AB1440" s="198" t="s">
        <v>60</v>
      </c>
      <c r="AC1440" s="198" t="s">
        <v>86</v>
      </c>
      <c r="AD1440" s="198" t="s">
        <v>62</v>
      </c>
      <c r="AE1440" s="198" t="s">
        <v>54</v>
      </c>
      <c r="AF1440" s="198" t="s">
        <v>54</v>
      </c>
      <c r="AG1440" s="198" t="s">
        <v>564</v>
      </c>
      <c r="AH1440" s="198" t="s">
        <v>167</v>
      </c>
      <c r="AI1440" s="198" t="s">
        <v>56</v>
      </c>
      <c r="AJ1440" s="198" t="s">
        <v>163</v>
      </c>
      <c r="AK1440" s="198" t="s">
        <v>51</v>
      </c>
      <c r="AL1440" s="198" t="s">
        <v>67</v>
      </c>
      <c r="AM1440" s="198" t="s">
        <v>68</v>
      </c>
      <c r="AN1440" s="202">
        <v>8203500</v>
      </c>
      <c r="AO1440" s="202">
        <v>8203500</v>
      </c>
      <c r="AP1440" s="202">
        <v>8203500</v>
      </c>
      <c r="AQ1440" s="198" t="s">
        <v>358</v>
      </c>
      <c r="AR1440" s="198" t="s">
        <v>51</v>
      </c>
      <c r="AS1440" s="202">
        <v>8203500</v>
      </c>
      <c r="AT1440" s="202">
        <v>8203500</v>
      </c>
      <c r="AU1440" s="198" t="s">
        <v>359</v>
      </c>
      <c r="AV1440" s="198" t="s">
        <v>62</v>
      </c>
      <c r="AW1440" s="198" t="s">
        <v>54</v>
      </c>
    </row>
    <row r="1441" spans="3:49" outlineLevel="2" x14ac:dyDescent="0.25">
      <c r="C1441" s="201"/>
      <c r="D1441" s="198" t="s">
        <v>669</v>
      </c>
      <c r="H1441" s="198" t="s">
        <v>669</v>
      </c>
      <c r="I1441" s="202">
        <f t="shared" si="22"/>
        <v>598786852.5</v>
      </c>
      <c r="J1441" s="202">
        <v>145</v>
      </c>
      <c r="L1441" s="204">
        <v>1</v>
      </c>
      <c r="M1441" s="202">
        <v>9228976</v>
      </c>
      <c r="N1441" s="204">
        <v>1</v>
      </c>
      <c r="O1441" s="198" t="s">
        <v>51</v>
      </c>
      <c r="P1441" s="202">
        <v>9228976</v>
      </c>
      <c r="Q1441" s="198" t="s">
        <v>159</v>
      </c>
      <c r="R1441" s="198" t="s">
        <v>160</v>
      </c>
      <c r="S1441" s="198" t="s">
        <v>54</v>
      </c>
      <c r="T1441" s="198" t="s">
        <v>514</v>
      </c>
      <c r="U1441" s="198" t="s">
        <v>80</v>
      </c>
      <c r="V1441" s="198" t="s">
        <v>56</v>
      </c>
      <c r="W1441" s="198" t="s">
        <v>356</v>
      </c>
      <c r="X1441" s="198" t="s">
        <v>161</v>
      </c>
      <c r="Y1441" s="198" t="s">
        <v>162</v>
      </c>
      <c r="Z1441" s="201">
        <v>46248</v>
      </c>
      <c r="AA1441" s="198" t="s">
        <v>59</v>
      </c>
      <c r="AB1441" s="198" t="s">
        <v>60</v>
      </c>
      <c r="AC1441" s="198" t="s">
        <v>86</v>
      </c>
      <c r="AD1441" s="198" t="s">
        <v>62</v>
      </c>
      <c r="AE1441" s="198" t="s">
        <v>54</v>
      </c>
      <c r="AF1441" s="198" t="s">
        <v>54</v>
      </c>
      <c r="AG1441" s="198" t="s">
        <v>564</v>
      </c>
      <c r="AH1441" s="198" t="s">
        <v>112</v>
      </c>
      <c r="AI1441" s="198" t="s">
        <v>56</v>
      </c>
      <c r="AJ1441" s="198" t="s">
        <v>163</v>
      </c>
      <c r="AK1441" s="198" t="s">
        <v>51</v>
      </c>
      <c r="AL1441" s="198" t="s">
        <v>67</v>
      </c>
      <c r="AM1441" s="198" t="s">
        <v>68</v>
      </c>
      <c r="AN1441" s="202">
        <v>9228976</v>
      </c>
      <c r="AO1441" s="202">
        <v>9228976</v>
      </c>
      <c r="AP1441" s="202">
        <v>9228976</v>
      </c>
      <c r="AQ1441" s="198" t="s">
        <v>358</v>
      </c>
      <c r="AR1441" s="198" t="s">
        <v>51</v>
      </c>
      <c r="AS1441" s="202">
        <v>9228976</v>
      </c>
      <c r="AT1441" s="202">
        <v>9228976</v>
      </c>
      <c r="AU1441" s="198" t="s">
        <v>359</v>
      </c>
      <c r="AV1441" s="198" t="s">
        <v>62</v>
      </c>
      <c r="AW1441" s="198" t="s">
        <v>54</v>
      </c>
    </row>
    <row r="1442" spans="3:49" outlineLevel="2" x14ac:dyDescent="0.25">
      <c r="C1442" s="201"/>
      <c r="D1442" s="198" t="s">
        <v>82</v>
      </c>
      <c r="H1442" s="198" t="s">
        <v>82</v>
      </c>
      <c r="I1442" s="202">
        <f t="shared" si="22"/>
        <v>599199808.94999993</v>
      </c>
      <c r="J1442" s="202">
        <v>145.1</v>
      </c>
      <c r="L1442" s="204">
        <v>1</v>
      </c>
      <c r="M1442" s="202">
        <v>42785880.350000001</v>
      </c>
      <c r="N1442" s="204">
        <v>0</v>
      </c>
      <c r="O1442" s="198" t="s">
        <v>51</v>
      </c>
      <c r="P1442" s="202">
        <v>27920479.09</v>
      </c>
      <c r="Q1442" s="198" t="s">
        <v>159</v>
      </c>
      <c r="R1442" s="198" t="s">
        <v>160</v>
      </c>
      <c r="S1442" s="198" t="s">
        <v>54</v>
      </c>
      <c r="T1442" s="198" t="s">
        <v>725</v>
      </c>
      <c r="U1442" s="198" t="s">
        <v>277</v>
      </c>
      <c r="V1442" s="198" t="s">
        <v>56</v>
      </c>
      <c r="W1442" s="198" t="s">
        <v>356</v>
      </c>
      <c r="X1442" s="198" t="s">
        <v>161</v>
      </c>
      <c r="Y1442" s="198" t="s">
        <v>162</v>
      </c>
      <c r="Z1442" s="201">
        <v>46248</v>
      </c>
      <c r="AA1442" s="198" t="s">
        <v>59</v>
      </c>
      <c r="AB1442" s="198" t="s">
        <v>60</v>
      </c>
      <c r="AC1442" s="198" t="s">
        <v>86</v>
      </c>
      <c r="AD1442" s="198" t="s">
        <v>62</v>
      </c>
      <c r="AE1442" s="198" t="s">
        <v>54</v>
      </c>
      <c r="AF1442" s="198" t="s">
        <v>54</v>
      </c>
      <c r="AG1442" s="198" t="s">
        <v>564</v>
      </c>
      <c r="AH1442" s="198" t="s">
        <v>89</v>
      </c>
      <c r="AI1442" s="198" t="s">
        <v>56</v>
      </c>
      <c r="AJ1442" s="198" t="s">
        <v>163</v>
      </c>
      <c r="AK1442" s="198" t="s">
        <v>51</v>
      </c>
      <c r="AL1442" s="198" t="s">
        <v>67</v>
      </c>
      <c r="AM1442" s="198" t="s">
        <v>68</v>
      </c>
      <c r="AN1442" s="202">
        <v>42785880.350000001</v>
      </c>
      <c r="AO1442" s="202">
        <v>42785880.350000001</v>
      </c>
      <c r="AP1442" s="202">
        <v>42785880.350000001</v>
      </c>
      <c r="AQ1442" s="198" t="s">
        <v>358</v>
      </c>
      <c r="AR1442" s="198" t="s">
        <v>51</v>
      </c>
      <c r="AS1442" s="202">
        <v>27920479.09</v>
      </c>
      <c r="AT1442" s="202">
        <v>27920479.09</v>
      </c>
      <c r="AU1442" s="198" t="s">
        <v>359</v>
      </c>
      <c r="AV1442" s="198" t="s">
        <v>62</v>
      </c>
      <c r="AW1442" s="198" t="s">
        <v>54</v>
      </c>
    </row>
    <row r="1443" spans="3:49" outlineLevel="2" x14ac:dyDescent="0.25">
      <c r="C1443" s="201"/>
      <c r="D1443" s="198" t="s">
        <v>82</v>
      </c>
      <c r="H1443" s="198" t="s">
        <v>82</v>
      </c>
      <c r="I1443" s="202">
        <f t="shared" si="22"/>
        <v>599612765.39999998</v>
      </c>
      <c r="J1443" s="202">
        <v>145.19999999999999</v>
      </c>
      <c r="L1443" s="204">
        <v>1</v>
      </c>
      <c r="M1443" s="202">
        <v>2106238.4</v>
      </c>
      <c r="N1443" s="204">
        <v>0</v>
      </c>
      <c r="O1443" s="198" t="s">
        <v>51</v>
      </c>
      <c r="P1443" s="202">
        <v>1973129.51</v>
      </c>
      <c r="Q1443" s="198" t="s">
        <v>159</v>
      </c>
      <c r="R1443" s="198" t="s">
        <v>160</v>
      </c>
      <c r="S1443" s="198" t="s">
        <v>54</v>
      </c>
      <c r="T1443" s="198" t="s">
        <v>725</v>
      </c>
      <c r="U1443" s="198" t="s">
        <v>277</v>
      </c>
      <c r="V1443" s="198" t="s">
        <v>56</v>
      </c>
      <c r="W1443" s="198" t="s">
        <v>356</v>
      </c>
      <c r="X1443" s="198" t="s">
        <v>161</v>
      </c>
      <c r="Y1443" s="198" t="s">
        <v>162</v>
      </c>
      <c r="Z1443" s="201">
        <v>46248</v>
      </c>
      <c r="AA1443" s="198" t="s">
        <v>59</v>
      </c>
      <c r="AB1443" s="198" t="s">
        <v>60</v>
      </c>
      <c r="AC1443" s="198" t="s">
        <v>86</v>
      </c>
      <c r="AD1443" s="198" t="s">
        <v>62</v>
      </c>
      <c r="AE1443" s="198" t="s">
        <v>54</v>
      </c>
      <c r="AF1443" s="198" t="s">
        <v>54</v>
      </c>
      <c r="AG1443" s="198" t="s">
        <v>564</v>
      </c>
      <c r="AH1443" s="198" t="s">
        <v>89</v>
      </c>
      <c r="AI1443" s="198" t="s">
        <v>56</v>
      </c>
      <c r="AJ1443" s="198" t="s">
        <v>163</v>
      </c>
      <c r="AK1443" s="198" t="s">
        <v>51</v>
      </c>
      <c r="AL1443" s="198" t="s">
        <v>67</v>
      </c>
      <c r="AM1443" s="198" t="s">
        <v>68</v>
      </c>
      <c r="AN1443" s="202">
        <v>2106238.4</v>
      </c>
      <c r="AO1443" s="202">
        <v>2106238.4</v>
      </c>
      <c r="AP1443" s="202">
        <v>2106238.4</v>
      </c>
      <c r="AQ1443" s="198" t="s">
        <v>358</v>
      </c>
      <c r="AR1443" s="198" t="s">
        <v>51</v>
      </c>
      <c r="AS1443" s="202">
        <v>1973129.51</v>
      </c>
      <c r="AT1443" s="202">
        <v>1973129.51</v>
      </c>
      <c r="AU1443" s="198" t="s">
        <v>359</v>
      </c>
      <c r="AV1443" s="198" t="s">
        <v>62</v>
      </c>
      <c r="AW1443" s="198" t="s">
        <v>54</v>
      </c>
    </row>
    <row r="1444" spans="3:49" outlineLevel="2" x14ac:dyDescent="0.25">
      <c r="C1444" s="201"/>
      <c r="D1444" s="198" t="s">
        <v>82</v>
      </c>
      <c r="H1444" s="198" t="s">
        <v>82</v>
      </c>
      <c r="I1444" s="202">
        <f t="shared" si="22"/>
        <v>600025721.85000002</v>
      </c>
      <c r="J1444" s="202">
        <v>145.30000000000001</v>
      </c>
      <c r="L1444" s="204">
        <v>1</v>
      </c>
      <c r="M1444" s="202">
        <v>1110526.2</v>
      </c>
      <c r="N1444" s="204">
        <v>1</v>
      </c>
      <c r="O1444" s="198" t="s">
        <v>51</v>
      </c>
      <c r="P1444" s="202">
        <v>1110526.2</v>
      </c>
      <c r="Q1444" s="198" t="s">
        <v>159</v>
      </c>
      <c r="R1444" s="198" t="s">
        <v>160</v>
      </c>
      <c r="S1444" s="198" t="s">
        <v>54</v>
      </c>
      <c r="T1444" s="198" t="s">
        <v>725</v>
      </c>
      <c r="U1444" s="198" t="s">
        <v>277</v>
      </c>
      <c r="V1444" s="198" t="s">
        <v>56</v>
      </c>
      <c r="W1444" s="198" t="s">
        <v>356</v>
      </c>
      <c r="X1444" s="198" t="s">
        <v>161</v>
      </c>
      <c r="Y1444" s="198" t="s">
        <v>162</v>
      </c>
      <c r="Z1444" s="201">
        <v>46248</v>
      </c>
      <c r="AA1444" s="198" t="s">
        <v>59</v>
      </c>
      <c r="AB1444" s="198" t="s">
        <v>60</v>
      </c>
      <c r="AC1444" s="198" t="s">
        <v>86</v>
      </c>
      <c r="AD1444" s="198" t="s">
        <v>62</v>
      </c>
      <c r="AE1444" s="198" t="s">
        <v>54</v>
      </c>
      <c r="AF1444" s="198" t="s">
        <v>54</v>
      </c>
      <c r="AG1444" s="198" t="s">
        <v>564</v>
      </c>
      <c r="AH1444" s="198" t="s">
        <v>89</v>
      </c>
      <c r="AI1444" s="198" t="s">
        <v>56</v>
      </c>
      <c r="AJ1444" s="198" t="s">
        <v>163</v>
      </c>
      <c r="AK1444" s="198" t="s">
        <v>51</v>
      </c>
      <c r="AL1444" s="198" t="s">
        <v>67</v>
      </c>
      <c r="AM1444" s="198" t="s">
        <v>68</v>
      </c>
      <c r="AN1444" s="202">
        <v>1110526.2</v>
      </c>
      <c r="AO1444" s="202">
        <v>1110526.2</v>
      </c>
      <c r="AP1444" s="202">
        <v>1110526.2</v>
      </c>
      <c r="AQ1444" s="198" t="s">
        <v>358</v>
      </c>
      <c r="AR1444" s="198" t="s">
        <v>51</v>
      </c>
      <c r="AS1444" s="202">
        <v>1110526.2</v>
      </c>
      <c r="AT1444" s="202">
        <v>1110526.2</v>
      </c>
      <c r="AU1444" s="198" t="s">
        <v>359</v>
      </c>
      <c r="AV1444" s="198" t="s">
        <v>62</v>
      </c>
      <c r="AW1444" s="198" t="s">
        <v>54</v>
      </c>
    </row>
    <row r="1445" spans="3:49" outlineLevel="2" x14ac:dyDescent="0.25">
      <c r="C1445" s="201"/>
      <c r="D1445" s="198" t="s">
        <v>216</v>
      </c>
      <c r="H1445" s="198" t="s">
        <v>216</v>
      </c>
      <c r="I1445" s="202">
        <f t="shared" si="22"/>
        <v>600438678.30000007</v>
      </c>
      <c r="J1445" s="202">
        <v>145.4</v>
      </c>
      <c r="L1445" s="204">
        <v>1</v>
      </c>
      <c r="M1445" s="202">
        <v>94607004.75</v>
      </c>
      <c r="N1445" s="204">
        <v>0</v>
      </c>
      <c r="O1445" s="198" t="s">
        <v>51</v>
      </c>
      <c r="P1445" s="202">
        <v>90379900.799999997</v>
      </c>
      <c r="Q1445" s="198" t="s">
        <v>159</v>
      </c>
      <c r="R1445" s="198" t="s">
        <v>160</v>
      </c>
      <c r="S1445" s="198" t="s">
        <v>54</v>
      </c>
      <c r="T1445" s="198" t="s">
        <v>725</v>
      </c>
      <c r="U1445" s="198" t="s">
        <v>277</v>
      </c>
      <c r="V1445" s="198" t="s">
        <v>56</v>
      </c>
      <c r="W1445" s="198" t="s">
        <v>356</v>
      </c>
      <c r="X1445" s="198" t="s">
        <v>161</v>
      </c>
      <c r="Y1445" s="198" t="s">
        <v>162</v>
      </c>
      <c r="Z1445" s="201">
        <v>46248</v>
      </c>
      <c r="AA1445" s="198" t="s">
        <v>59</v>
      </c>
      <c r="AB1445" s="198" t="s">
        <v>60</v>
      </c>
      <c r="AC1445" s="198" t="s">
        <v>86</v>
      </c>
      <c r="AD1445" s="198" t="s">
        <v>62</v>
      </c>
      <c r="AE1445" s="198" t="s">
        <v>54</v>
      </c>
      <c r="AF1445" s="198" t="s">
        <v>54</v>
      </c>
      <c r="AG1445" s="198" t="s">
        <v>564</v>
      </c>
      <c r="AH1445" s="198" t="s">
        <v>89</v>
      </c>
      <c r="AI1445" s="198" t="s">
        <v>56</v>
      </c>
      <c r="AJ1445" s="198" t="s">
        <v>163</v>
      </c>
      <c r="AK1445" s="198" t="s">
        <v>51</v>
      </c>
      <c r="AL1445" s="198" t="s">
        <v>67</v>
      </c>
      <c r="AM1445" s="198" t="s">
        <v>68</v>
      </c>
      <c r="AN1445" s="202">
        <v>94607004.75</v>
      </c>
      <c r="AO1445" s="202">
        <v>94607004.75</v>
      </c>
      <c r="AP1445" s="202">
        <v>94607004.75</v>
      </c>
      <c r="AQ1445" s="198" t="s">
        <v>358</v>
      </c>
      <c r="AR1445" s="198" t="s">
        <v>51</v>
      </c>
      <c r="AS1445" s="202">
        <v>90379900.799999997</v>
      </c>
      <c r="AT1445" s="202">
        <v>90379900.799999997</v>
      </c>
      <c r="AU1445" s="198" t="s">
        <v>359</v>
      </c>
      <c r="AV1445" s="198" t="s">
        <v>62</v>
      </c>
      <c r="AW1445" s="198" t="s">
        <v>54</v>
      </c>
    </row>
    <row r="1446" spans="3:49" outlineLevel="2" x14ac:dyDescent="0.25">
      <c r="C1446" s="201"/>
      <c r="D1446" s="198" t="s">
        <v>731</v>
      </c>
      <c r="H1446" s="198" t="s">
        <v>731</v>
      </c>
      <c r="I1446" s="202">
        <f t="shared" si="22"/>
        <v>600851634.75</v>
      </c>
      <c r="J1446" s="202">
        <v>145.5</v>
      </c>
      <c r="L1446" s="204">
        <v>1</v>
      </c>
      <c r="M1446" s="202">
        <v>10660700</v>
      </c>
      <c r="N1446" s="204">
        <v>1</v>
      </c>
      <c r="O1446" s="198" t="s">
        <v>51</v>
      </c>
      <c r="P1446" s="202">
        <v>10660700</v>
      </c>
      <c r="Q1446" s="198" t="s">
        <v>159</v>
      </c>
      <c r="R1446" s="198" t="s">
        <v>160</v>
      </c>
      <c r="S1446" s="198" t="s">
        <v>54</v>
      </c>
      <c r="T1446" s="198" t="s">
        <v>725</v>
      </c>
      <c r="U1446" s="198" t="s">
        <v>277</v>
      </c>
      <c r="V1446" s="198" t="s">
        <v>56</v>
      </c>
      <c r="W1446" s="198" t="s">
        <v>356</v>
      </c>
      <c r="X1446" s="198" t="s">
        <v>161</v>
      </c>
      <c r="Y1446" s="198" t="s">
        <v>162</v>
      </c>
      <c r="Z1446" s="201">
        <v>46248</v>
      </c>
      <c r="AA1446" s="198" t="s">
        <v>59</v>
      </c>
      <c r="AB1446" s="198" t="s">
        <v>60</v>
      </c>
      <c r="AC1446" s="198" t="s">
        <v>86</v>
      </c>
      <c r="AD1446" s="198" t="s">
        <v>62</v>
      </c>
      <c r="AE1446" s="198" t="s">
        <v>54</v>
      </c>
      <c r="AF1446" s="198" t="s">
        <v>54</v>
      </c>
      <c r="AG1446" s="198" t="s">
        <v>564</v>
      </c>
      <c r="AH1446" s="198" t="s">
        <v>89</v>
      </c>
      <c r="AI1446" s="198" t="s">
        <v>56</v>
      </c>
      <c r="AJ1446" s="198" t="s">
        <v>163</v>
      </c>
      <c r="AK1446" s="198" t="s">
        <v>51</v>
      </c>
      <c r="AL1446" s="198" t="s">
        <v>67</v>
      </c>
      <c r="AM1446" s="198" t="s">
        <v>68</v>
      </c>
      <c r="AN1446" s="202">
        <v>10660700</v>
      </c>
      <c r="AO1446" s="202">
        <v>10660700</v>
      </c>
      <c r="AP1446" s="202">
        <v>10660700</v>
      </c>
      <c r="AQ1446" s="198" t="s">
        <v>358</v>
      </c>
      <c r="AR1446" s="198" t="s">
        <v>51</v>
      </c>
      <c r="AS1446" s="202">
        <v>10660700</v>
      </c>
      <c r="AT1446" s="202">
        <v>10660700</v>
      </c>
      <c r="AU1446" s="198" t="s">
        <v>359</v>
      </c>
      <c r="AV1446" s="198" t="s">
        <v>62</v>
      </c>
      <c r="AW1446" s="198" t="s">
        <v>54</v>
      </c>
    </row>
    <row r="1447" spans="3:49" outlineLevel="2" x14ac:dyDescent="0.25">
      <c r="C1447" s="201"/>
      <c r="D1447" s="198" t="s">
        <v>230</v>
      </c>
      <c r="H1447" s="198" t="s">
        <v>230</v>
      </c>
      <c r="I1447" s="202">
        <f t="shared" si="22"/>
        <v>601264591.19999993</v>
      </c>
      <c r="J1447" s="202">
        <v>145.6</v>
      </c>
      <c r="L1447" s="204">
        <v>1</v>
      </c>
      <c r="M1447" s="202">
        <v>5561212.5</v>
      </c>
      <c r="N1447" s="204">
        <v>0</v>
      </c>
      <c r="O1447" s="198" t="s">
        <v>51</v>
      </c>
      <c r="P1447" s="202">
        <v>5018358.42</v>
      </c>
      <c r="Q1447" s="198" t="s">
        <v>159</v>
      </c>
      <c r="R1447" s="198" t="s">
        <v>160</v>
      </c>
      <c r="S1447" s="198" t="s">
        <v>54</v>
      </c>
      <c r="T1447" s="198" t="s">
        <v>725</v>
      </c>
      <c r="U1447" s="198" t="s">
        <v>277</v>
      </c>
      <c r="V1447" s="198" t="s">
        <v>56</v>
      </c>
      <c r="W1447" s="198" t="s">
        <v>356</v>
      </c>
      <c r="X1447" s="198" t="s">
        <v>161</v>
      </c>
      <c r="Y1447" s="198" t="s">
        <v>162</v>
      </c>
      <c r="Z1447" s="201">
        <v>46248</v>
      </c>
      <c r="AA1447" s="198" t="s">
        <v>59</v>
      </c>
      <c r="AB1447" s="198" t="s">
        <v>60</v>
      </c>
      <c r="AC1447" s="198" t="s">
        <v>86</v>
      </c>
      <c r="AD1447" s="198" t="s">
        <v>62</v>
      </c>
      <c r="AE1447" s="198" t="s">
        <v>54</v>
      </c>
      <c r="AF1447" s="198" t="s">
        <v>54</v>
      </c>
      <c r="AG1447" s="198" t="s">
        <v>564</v>
      </c>
      <c r="AH1447" s="198" t="s">
        <v>89</v>
      </c>
      <c r="AI1447" s="198" t="s">
        <v>56</v>
      </c>
      <c r="AJ1447" s="198" t="s">
        <v>163</v>
      </c>
      <c r="AK1447" s="198" t="s">
        <v>51</v>
      </c>
      <c r="AL1447" s="198" t="s">
        <v>67</v>
      </c>
      <c r="AM1447" s="198" t="s">
        <v>68</v>
      </c>
      <c r="AN1447" s="202">
        <v>5561212.5</v>
      </c>
      <c r="AO1447" s="202">
        <v>5561212.5</v>
      </c>
      <c r="AP1447" s="202">
        <v>5561212.5</v>
      </c>
      <c r="AQ1447" s="198" t="s">
        <v>358</v>
      </c>
      <c r="AR1447" s="198" t="s">
        <v>51</v>
      </c>
      <c r="AS1447" s="202">
        <v>5018358.42</v>
      </c>
      <c r="AT1447" s="202">
        <v>5018358.42</v>
      </c>
      <c r="AU1447" s="198" t="s">
        <v>359</v>
      </c>
      <c r="AV1447" s="198" t="s">
        <v>62</v>
      </c>
      <c r="AW1447" s="198" t="s">
        <v>54</v>
      </c>
    </row>
    <row r="1448" spans="3:49" outlineLevel="2" x14ac:dyDescent="0.25">
      <c r="C1448" s="201"/>
      <c r="D1448" s="198" t="s">
        <v>217</v>
      </c>
      <c r="H1448" s="198" t="s">
        <v>217</v>
      </c>
      <c r="I1448" s="202">
        <f t="shared" si="22"/>
        <v>601677547.64999998</v>
      </c>
      <c r="J1448" s="202">
        <v>145.69999999999999</v>
      </c>
      <c r="L1448" s="204">
        <v>1</v>
      </c>
      <c r="M1448" s="202">
        <v>8520720.75</v>
      </c>
      <c r="N1448" s="204">
        <v>0</v>
      </c>
      <c r="O1448" s="198" t="s">
        <v>51</v>
      </c>
      <c r="P1448" s="202">
        <v>6413950.4699999997</v>
      </c>
      <c r="Q1448" s="198" t="s">
        <v>159</v>
      </c>
      <c r="R1448" s="198" t="s">
        <v>160</v>
      </c>
      <c r="S1448" s="198" t="s">
        <v>54</v>
      </c>
      <c r="T1448" s="198" t="s">
        <v>725</v>
      </c>
      <c r="U1448" s="198" t="s">
        <v>277</v>
      </c>
      <c r="V1448" s="198" t="s">
        <v>56</v>
      </c>
      <c r="W1448" s="198" t="s">
        <v>356</v>
      </c>
      <c r="X1448" s="198" t="s">
        <v>161</v>
      </c>
      <c r="Y1448" s="198" t="s">
        <v>162</v>
      </c>
      <c r="Z1448" s="201">
        <v>46248</v>
      </c>
      <c r="AA1448" s="198" t="s">
        <v>59</v>
      </c>
      <c r="AB1448" s="198" t="s">
        <v>60</v>
      </c>
      <c r="AC1448" s="198" t="s">
        <v>86</v>
      </c>
      <c r="AD1448" s="198" t="s">
        <v>62</v>
      </c>
      <c r="AE1448" s="198" t="s">
        <v>54</v>
      </c>
      <c r="AF1448" s="198" t="s">
        <v>54</v>
      </c>
      <c r="AG1448" s="198" t="s">
        <v>564</v>
      </c>
      <c r="AH1448" s="198" t="s">
        <v>89</v>
      </c>
      <c r="AI1448" s="198" t="s">
        <v>56</v>
      </c>
      <c r="AJ1448" s="198" t="s">
        <v>163</v>
      </c>
      <c r="AK1448" s="198" t="s">
        <v>51</v>
      </c>
      <c r="AL1448" s="198" t="s">
        <v>67</v>
      </c>
      <c r="AM1448" s="198" t="s">
        <v>68</v>
      </c>
      <c r="AN1448" s="202">
        <v>8520720.75</v>
      </c>
      <c r="AO1448" s="202">
        <v>8520720.75</v>
      </c>
      <c r="AP1448" s="202">
        <v>8520720.75</v>
      </c>
      <c r="AQ1448" s="198" t="s">
        <v>358</v>
      </c>
      <c r="AR1448" s="198" t="s">
        <v>51</v>
      </c>
      <c r="AS1448" s="202">
        <v>6413950.4699999997</v>
      </c>
      <c r="AT1448" s="202">
        <v>6413950.4699999997</v>
      </c>
      <c r="AU1448" s="198" t="s">
        <v>359</v>
      </c>
      <c r="AV1448" s="198" t="s">
        <v>62</v>
      </c>
      <c r="AW1448" s="198" t="s">
        <v>54</v>
      </c>
    </row>
    <row r="1449" spans="3:49" outlineLevel="2" x14ac:dyDescent="0.25">
      <c r="C1449" s="201"/>
      <c r="D1449" s="198" t="s">
        <v>732</v>
      </c>
      <c r="H1449" s="198" t="s">
        <v>732</v>
      </c>
      <c r="I1449" s="202">
        <f t="shared" si="22"/>
        <v>602090504.10000002</v>
      </c>
      <c r="J1449" s="202">
        <v>145.80000000000001</v>
      </c>
      <c r="L1449" s="204">
        <v>1</v>
      </c>
      <c r="M1449" s="202">
        <v>10534106</v>
      </c>
      <c r="N1449" s="204">
        <v>1</v>
      </c>
      <c r="O1449" s="198" t="s">
        <v>51</v>
      </c>
      <c r="P1449" s="202">
        <v>10534106</v>
      </c>
      <c r="Q1449" s="198" t="s">
        <v>159</v>
      </c>
      <c r="R1449" s="198" t="s">
        <v>160</v>
      </c>
      <c r="S1449" s="198" t="s">
        <v>54</v>
      </c>
      <c r="T1449" s="198" t="s">
        <v>725</v>
      </c>
      <c r="U1449" s="198" t="s">
        <v>277</v>
      </c>
      <c r="V1449" s="198" t="s">
        <v>56</v>
      </c>
      <c r="W1449" s="198" t="s">
        <v>356</v>
      </c>
      <c r="X1449" s="198" t="s">
        <v>161</v>
      </c>
      <c r="Y1449" s="198" t="s">
        <v>162</v>
      </c>
      <c r="Z1449" s="201">
        <v>46248</v>
      </c>
      <c r="AA1449" s="198" t="s">
        <v>59</v>
      </c>
      <c r="AB1449" s="198" t="s">
        <v>60</v>
      </c>
      <c r="AC1449" s="198" t="s">
        <v>86</v>
      </c>
      <c r="AD1449" s="198" t="s">
        <v>62</v>
      </c>
      <c r="AE1449" s="198" t="s">
        <v>54</v>
      </c>
      <c r="AF1449" s="198" t="s">
        <v>54</v>
      </c>
      <c r="AG1449" s="198" t="s">
        <v>564</v>
      </c>
      <c r="AH1449" s="198" t="s">
        <v>89</v>
      </c>
      <c r="AI1449" s="198" t="s">
        <v>56</v>
      </c>
      <c r="AJ1449" s="198" t="s">
        <v>163</v>
      </c>
      <c r="AK1449" s="198" t="s">
        <v>51</v>
      </c>
      <c r="AL1449" s="198" t="s">
        <v>67</v>
      </c>
      <c r="AM1449" s="198" t="s">
        <v>68</v>
      </c>
      <c r="AN1449" s="202">
        <v>10534106</v>
      </c>
      <c r="AO1449" s="202">
        <v>10534106</v>
      </c>
      <c r="AP1449" s="202">
        <v>10534106</v>
      </c>
      <c r="AQ1449" s="198" t="s">
        <v>358</v>
      </c>
      <c r="AR1449" s="198" t="s">
        <v>51</v>
      </c>
      <c r="AS1449" s="202">
        <v>10534106</v>
      </c>
      <c r="AT1449" s="202">
        <v>10534106</v>
      </c>
      <c r="AU1449" s="198" t="s">
        <v>359</v>
      </c>
      <c r="AV1449" s="198" t="s">
        <v>62</v>
      </c>
      <c r="AW1449" s="198" t="s">
        <v>54</v>
      </c>
    </row>
    <row r="1450" spans="3:49" outlineLevel="2" x14ac:dyDescent="0.25">
      <c r="C1450" s="201"/>
      <c r="D1450" s="198" t="s">
        <v>82</v>
      </c>
      <c r="H1450" s="198" t="s">
        <v>82</v>
      </c>
      <c r="I1450" s="202">
        <f t="shared" si="22"/>
        <v>602503460.55000007</v>
      </c>
      <c r="J1450" s="202">
        <v>145.9</v>
      </c>
      <c r="L1450" s="204">
        <v>1</v>
      </c>
      <c r="M1450" s="202">
        <v>5000000</v>
      </c>
      <c r="N1450" s="204">
        <v>1</v>
      </c>
      <c r="O1450" s="198" t="s">
        <v>51</v>
      </c>
      <c r="P1450" s="202">
        <v>5000000</v>
      </c>
      <c r="Q1450" s="198" t="s">
        <v>159</v>
      </c>
      <c r="R1450" s="198" t="s">
        <v>160</v>
      </c>
      <c r="S1450" s="198" t="s">
        <v>54</v>
      </c>
      <c r="T1450" s="198" t="s">
        <v>725</v>
      </c>
      <c r="U1450" s="198" t="s">
        <v>277</v>
      </c>
      <c r="V1450" s="198" t="s">
        <v>56</v>
      </c>
      <c r="W1450" s="198" t="s">
        <v>356</v>
      </c>
      <c r="X1450" s="198" t="s">
        <v>161</v>
      </c>
      <c r="Y1450" s="198" t="s">
        <v>162</v>
      </c>
      <c r="Z1450" s="201">
        <v>46248</v>
      </c>
      <c r="AA1450" s="198" t="s">
        <v>59</v>
      </c>
      <c r="AB1450" s="198" t="s">
        <v>60</v>
      </c>
      <c r="AC1450" s="198" t="s">
        <v>86</v>
      </c>
      <c r="AD1450" s="198" t="s">
        <v>62</v>
      </c>
      <c r="AE1450" s="198" t="s">
        <v>54</v>
      </c>
      <c r="AF1450" s="198" t="s">
        <v>54</v>
      </c>
      <c r="AG1450" s="198" t="s">
        <v>564</v>
      </c>
      <c r="AH1450" s="198" t="s">
        <v>89</v>
      </c>
      <c r="AI1450" s="198" t="s">
        <v>56</v>
      </c>
      <c r="AJ1450" s="198" t="s">
        <v>163</v>
      </c>
      <c r="AK1450" s="198" t="s">
        <v>51</v>
      </c>
      <c r="AL1450" s="198" t="s">
        <v>67</v>
      </c>
      <c r="AM1450" s="198" t="s">
        <v>68</v>
      </c>
      <c r="AN1450" s="202">
        <v>5000000</v>
      </c>
      <c r="AO1450" s="202">
        <v>5000000</v>
      </c>
      <c r="AP1450" s="202">
        <v>5000000</v>
      </c>
      <c r="AQ1450" s="198" t="s">
        <v>358</v>
      </c>
      <c r="AR1450" s="198" t="s">
        <v>51</v>
      </c>
      <c r="AS1450" s="202">
        <v>5000000</v>
      </c>
      <c r="AT1450" s="202">
        <v>5000000</v>
      </c>
      <c r="AU1450" s="198" t="s">
        <v>359</v>
      </c>
      <c r="AV1450" s="198" t="s">
        <v>62</v>
      </c>
      <c r="AW1450" s="198" t="s">
        <v>54</v>
      </c>
    </row>
    <row r="1451" spans="3:49" outlineLevel="2" x14ac:dyDescent="0.25">
      <c r="C1451" s="201"/>
      <c r="D1451" s="198" t="s">
        <v>82</v>
      </c>
      <c r="H1451" s="198" t="s">
        <v>82</v>
      </c>
      <c r="I1451" s="202">
        <f t="shared" si="22"/>
        <v>602916417</v>
      </c>
      <c r="J1451" s="202">
        <v>146</v>
      </c>
      <c r="L1451" s="204">
        <v>1</v>
      </c>
      <c r="M1451" s="202">
        <v>17804258.75</v>
      </c>
      <c r="N1451" s="204">
        <v>0</v>
      </c>
      <c r="O1451" s="198" t="s">
        <v>51</v>
      </c>
      <c r="P1451" s="202">
        <v>13357764.42</v>
      </c>
      <c r="Q1451" s="198" t="s">
        <v>159</v>
      </c>
      <c r="R1451" s="198" t="s">
        <v>160</v>
      </c>
      <c r="S1451" s="198" t="s">
        <v>54</v>
      </c>
      <c r="T1451" s="198" t="s">
        <v>725</v>
      </c>
      <c r="U1451" s="198" t="s">
        <v>277</v>
      </c>
      <c r="V1451" s="198" t="s">
        <v>56</v>
      </c>
      <c r="W1451" s="198" t="s">
        <v>356</v>
      </c>
      <c r="X1451" s="198" t="s">
        <v>161</v>
      </c>
      <c r="Y1451" s="198" t="s">
        <v>162</v>
      </c>
      <c r="Z1451" s="201">
        <v>46248</v>
      </c>
      <c r="AA1451" s="198" t="s">
        <v>59</v>
      </c>
      <c r="AB1451" s="198" t="s">
        <v>60</v>
      </c>
      <c r="AC1451" s="198" t="s">
        <v>86</v>
      </c>
      <c r="AD1451" s="198" t="s">
        <v>62</v>
      </c>
      <c r="AE1451" s="198" t="s">
        <v>54</v>
      </c>
      <c r="AF1451" s="198" t="s">
        <v>54</v>
      </c>
      <c r="AG1451" s="198" t="s">
        <v>564</v>
      </c>
      <c r="AH1451" s="198" t="s">
        <v>89</v>
      </c>
      <c r="AI1451" s="198" t="s">
        <v>56</v>
      </c>
      <c r="AJ1451" s="198" t="s">
        <v>163</v>
      </c>
      <c r="AK1451" s="198" t="s">
        <v>51</v>
      </c>
      <c r="AL1451" s="198" t="s">
        <v>67</v>
      </c>
      <c r="AM1451" s="198" t="s">
        <v>68</v>
      </c>
      <c r="AN1451" s="202">
        <v>17804258.75</v>
      </c>
      <c r="AO1451" s="202">
        <v>17804258.75</v>
      </c>
      <c r="AP1451" s="202">
        <v>17804258.75</v>
      </c>
      <c r="AQ1451" s="198" t="s">
        <v>358</v>
      </c>
      <c r="AR1451" s="198" t="s">
        <v>51</v>
      </c>
      <c r="AS1451" s="202">
        <v>13357764.42</v>
      </c>
      <c r="AT1451" s="202">
        <v>13357764.42</v>
      </c>
      <c r="AU1451" s="198" t="s">
        <v>359</v>
      </c>
      <c r="AV1451" s="198" t="s">
        <v>62</v>
      </c>
      <c r="AW1451" s="198" t="s">
        <v>54</v>
      </c>
    </row>
    <row r="1452" spans="3:49" outlineLevel="2" x14ac:dyDescent="0.25">
      <c r="C1452" s="201"/>
      <c r="D1452" s="198" t="s">
        <v>82</v>
      </c>
      <c r="H1452" s="198" t="s">
        <v>82</v>
      </c>
      <c r="I1452" s="202">
        <f t="shared" si="22"/>
        <v>603329373.44999993</v>
      </c>
      <c r="J1452" s="202">
        <v>146.1</v>
      </c>
      <c r="L1452" s="204">
        <v>1</v>
      </c>
      <c r="M1452" s="202">
        <v>267300</v>
      </c>
      <c r="N1452" s="204">
        <v>1</v>
      </c>
      <c r="O1452" s="198" t="s">
        <v>51</v>
      </c>
      <c r="P1452" s="202">
        <v>267300</v>
      </c>
      <c r="Q1452" s="198" t="s">
        <v>159</v>
      </c>
      <c r="R1452" s="198" t="s">
        <v>160</v>
      </c>
      <c r="S1452" s="198" t="s">
        <v>54</v>
      </c>
      <c r="T1452" s="198" t="s">
        <v>725</v>
      </c>
      <c r="U1452" s="198" t="s">
        <v>277</v>
      </c>
      <c r="V1452" s="198" t="s">
        <v>56</v>
      </c>
      <c r="W1452" s="198" t="s">
        <v>356</v>
      </c>
      <c r="X1452" s="198" t="s">
        <v>161</v>
      </c>
      <c r="Y1452" s="198" t="s">
        <v>162</v>
      </c>
      <c r="Z1452" s="201">
        <v>46248</v>
      </c>
      <c r="AA1452" s="198" t="s">
        <v>59</v>
      </c>
      <c r="AB1452" s="198" t="s">
        <v>60</v>
      </c>
      <c r="AC1452" s="198" t="s">
        <v>86</v>
      </c>
      <c r="AD1452" s="198" t="s">
        <v>62</v>
      </c>
      <c r="AE1452" s="198" t="s">
        <v>54</v>
      </c>
      <c r="AF1452" s="198" t="s">
        <v>54</v>
      </c>
      <c r="AG1452" s="198" t="s">
        <v>564</v>
      </c>
      <c r="AH1452" s="198" t="s">
        <v>89</v>
      </c>
      <c r="AI1452" s="198" t="s">
        <v>56</v>
      </c>
      <c r="AJ1452" s="198" t="s">
        <v>163</v>
      </c>
      <c r="AK1452" s="198" t="s">
        <v>51</v>
      </c>
      <c r="AL1452" s="198" t="s">
        <v>67</v>
      </c>
      <c r="AM1452" s="198" t="s">
        <v>68</v>
      </c>
      <c r="AN1452" s="202">
        <v>267300</v>
      </c>
      <c r="AO1452" s="202">
        <v>267300</v>
      </c>
      <c r="AP1452" s="202">
        <v>267300</v>
      </c>
      <c r="AQ1452" s="198" t="s">
        <v>358</v>
      </c>
      <c r="AR1452" s="198" t="s">
        <v>51</v>
      </c>
      <c r="AS1452" s="202">
        <v>267300</v>
      </c>
      <c r="AT1452" s="202">
        <v>267300</v>
      </c>
      <c r="AU1452" s="198" t="s">
        <v>359</v>
      </c>
      <c r="AV1452" s="198" t="s">
        <v>62</v>
      </c>
      <c r="AW1452" s="198" t="s">
        <v>54</v>
      </c>
    </row>
    <row r="1453" spans="3:49" outlineLevel="2" x14ac:dyDescent="0.25">
      <c r="C1453" s="201"/>
      <c r="D1453" s="198" t="s">
        <v>216</v>
      </c>
      <c r="H1453" s="198" t="s">
        <v>216</v>
      </c>
      <c r="I1453" s="202">
        <f t="shared" si="22"/>
        <v>603742329.89999998</v>
      </c>
      <c r="J1453" s="202">
        <v>146.19999999999999</v>
      </c>
      <c r="L1453" s="204">
        <v>1</v>
      </c>
      <c r="M1453" s="202">
        <v>2439127.5</v>
      </c>
      <c r="N1453" s="204">
        <v>0</v>
      </c>
      <c r="O1453" s="198" t="s">
        <v>51</v>
      </c>
      <c r="P1453" s="202">
        <v>1231572.3</v>
      </c>
      <c r="Q1453" s="198" t="s">
        <v>159</v>
      </c>
      <c r="R1453" s="198" t="s">
        <v>160</v>
      </c>
      <c r="S1453" s="198" t="s">
        <v>54</v>
      </c>
      <c r="T1453" s="198" t="s">
        <v>725</v>
      </c>
      <c r="U1453" s="198" t="s">
        <v>277</v>
      </c>
      <c r="V1453" s="198" t="s">
        <v>56</v>
      </c>
      <c r="W1453" s="198" t="s">
        <v>356</v>
      </c>
      <c r="X1453" s="198" t="s">
        <v>161</v>
      </c>
      <c r="Y1453" s="198" t="s">
        <v>162</v>
      </c>
      <c r="Z1453" s="201">
        <v>46248</v>
      </c>
      <c r="AA1453" s="198" t="s">
        <v>59</v>
      </c>
      <c r="AB1453" s="198" t="s">
        <v>60</v>
      </c>
      <c r="AC1453" s="198" t="s">
        <v>86</v>
      </c>
      <c r="AD1453" s="198" t="s">
        <v>62</v>
      </c>
      <c r="AE1453" s="198" t="s">
        <v>54</v>
      </c>
      <c r="AF1453" s="198" t="s">
        <v>54</v>
      </c>
      <c r="AG1453" s="198" t="s">
        <v>564</v>
      </c>
      <c r="AH1453" s="198" t="s">
        <v>89</v>
      </c>
      <c r="AI1453" s="198" t="s">
        <v>56</v>
      </c>
      <c r="AJ1453" s="198" t="s">
        <v>163</v>
      </c>
      <c r="AK1453" s="198" t="s">
        <v>51</v>
      </c>
      <c r="AL1453" s="198" t="s">
        <v>67</v>
      </c>
      <c r="AM1453" s="198" t="s">
        <v>68</v>
      </c>
      <c r="AN1453" s="202">
        <v>2439127.5</v>
      </c>
      <c r="AO1453" s="202">
        <v>2439127.5</v>
      </c>
      <c r="AP1453" s="202">
        <v>2439127.5</v>
      </c>
      <c r="AQ1453" s="198" t="s">
        <v>358</v>
      </c>
      <c r="AR1453" s="198" t="s">
        <v>51</v>
      </c>
      <c r="AS1453" s="202">
        <v>1231572.3</v>
      </c>
      <c r="AT1453" s="202">
        <v>1231572.3</v>
      </c>
      <c r="AU1453" s="198" t="s">
        <v>359</v>
      </c>
      <c r="AV1453" s="198" t="s">
        <v>62</v>
      </c>
      <c r="AW1453" s="198" t="s">
        <v>54</v>
      </c>
    </row>
    <row r="1454" spans="3:49" outlineLevel="2" x14ac:dyDescent="0.25">
      <c r="C1454" s="201"/>
      <c r="D1454" s="198" t="s">
        <v>731</v>
      </c>
      <c r="H1454" s="198" t="s">
        <v>731</v>
      </c>
      <c r="I1454" s="202">
        <f t="shared" si="22"/>
        <v>604155286.35000002</v>
      </c>
      <c r="J1454" s="202">
        <v>146.30000000000001</v>
      </c>
      <c r="L1454" s="204">
        <v>1</v>
      </c>
      <c r="M1454" s="202">
        <v>2419700</v>
      </c>
      <c r="N1454" s="204">
        <v>1</v>
      </c>
      <c r="O1454" s="198" t="s">
        <v>51</v>
      </c>
      <c r="P1454" s="202">
        <v>2419700</v>
      </c>
      <c r="Q1454" s="198" t="s">
        <v>159</v>
      </c>
      <c r="R1454" s="198" t="s">
        <v>160</v>
      </c>
      <c r="S1454" s="198" t="s">
        <v>54</v>
      </c>
      <c r="T1454" s="198" t="s">
        <v>725</v>
      </c>
      <c r="U1454" s="198" t="s">
        <v>277</v>
      </c>
      <c r="V1454" s="198" t="s">
        <v>56</v>
      </c>
      <c r="W1454" s="198" t="s">
        <v>356</v>
      </c>
      <c r="X1454" s="198" t="s">
        <v>161</v>
      </c>
      <c r="Y1454" s="198" t="s">
        <v>162</v>
      </c>
      <c r="Z1454" s="201">
        <v>46248</v>
      </c>
      <c r="AA1454" s="198" t="s">
        <v>59</v>
      </c>
      <c r="AB1454" s="198" t="s">
        <v>60</v>
      </c>
      <c r="AC1454" s="198" t="s">
        <v>86</v>
      </c>
      <c r="AD1454" s="198" t="s">
        <v>62</v>
      </c>
      <c r="AE1454" s="198" t="s">
        <v>54</v>
      </c>
      <c r="AF1454" s="198" t="s">
        <v>54</v>
      </c>
      <c r="AG1454" s="198" t="s">
        <v>564</v>
      </c>
      <c r="AH1454" s="198" t="s">
        <v>89</v>
      </c>
      <c r="AI1454" s="198" t="s">
        <v>56</v>
      </c>
      <c r="AJ1454" s="198" t="s">
        <v>163</v>
      </c>
      <c r="AK1454" s="198" t="s">
        <v>51</v>
      </c>
      <c r="AL1454" s="198" t="s">
        <v>67</v>
      </c>
      <c r="AM1454" s="198" t="s">
        <v>68</v>
      </c>
      <c r="AN1454" s="202">
        <v>2419700</v>
      </c>
      <c r="AO1454" s="202">
        <v>2419700</v>
      </c>
      <c r="AP1454" s="202">
        <v>2419700</v>
      </c>
      <c r="AQ1454" s="198" t="s">
        <v>358</v>
      </c>
      <c r="AR1454" s="198" t="s">
        <v>51</v>
      </c>
      <c r="AS1454" s="202">
        <v>2419700</v>
      </c>
      <c r="AT1454" s="202">
        <v>2419700</v>
      </c>
      <c r="AU1454" s="198" t="s">
        <v>359</v>
      </c>
      <c r="AV1454" s="198" t="s">
        <v>62</v>
      </c>
      <c r="AW1454" s="198" t="s">
        <v>54</v>
      </c>
    </row>
    <row r="1455" spans="3:49" outlineLevel="2" x14ac:dyDescent="0.25">
      <c r="C1455" s="201"/>
      <c r="D1455" s="198" t="s">
        <v>230</v>
      </c>
      <c r="H1455" s="198" t="s">
        <v>230</v>
      </c>
      <c r="I1455" s="202">
        <f t="shared" si="22"/>
        <v>604568242.80000007</v>
      </c>
      <c r="J1455" s="202">
        <v>146.4</v>
      </c>
      <c r="L1455" s="204">
        <v>1</v>
      </c>
      <c r="M1455" s="202">
        <v>1597030.3999999999</v>
      </c>
      <c r="N1455" s="204">
        <v>0</v>
      </c>
      <c r="O1455" s="198" t="s">
        <v>51</v>
      </c>
      <c r="P1455" s="202">
        <v>1304011.3999999999</v>
      </c>
      <c r="Q1455" s="198" t="s">
        <v>159</v>
      </c>
      <c r="R1455" s="198" t="s">
        <v>160</v>
      </c>
      <c r="S1455" s="198" t="s">
        <v>54</v>
      </c>
      <c r="T1455" s="198" t="s">
        <v>725</v>
      </c>
      <c r="U1455" s="198" t="s">
        <v>277</v>
      </c>
      <c r="V1455" s="198" t="s">
        <v>56</v>
      </c>
      <c r="W1455" s="198" t="s">
        <v>356</v>
      </c>
      <c r="X1455" s="198" t="s">
        <v>161</v>
      </c>
      <c r="Y1455" s="198" t="s">
        <v>162</v>
      </c>
      <c r="Z1455" s="201">
        <v>46248</v>
      </c>
      <c r="AA1455" s="198" t="s">
        <v>59</v>
      </c>
      <c r="AB1455" s="198" t="s">
        <v>60</v>
      </c>
      <c r="AC1455" s="198" t="s">
        <v>86</v>
      </c>
      <c r="AD1455" s="198" t="s">
        <v>62</v>
      </c>
      <c r="AE1455" s="198" t="s">
        <v>54</v>
      </c>
      <c r="AF1455" s="198" t="s">
        <v>54</v>
      </c>
      <c r="AG1455" s="198" t="s">
        <v>564</v>
      </c>
      <c r="AH1455" s="198" t="s">
        <v>89</v>
      </c>
      <c r="AI1455" s="198" t="s">
        <v>56</v>
      </c>
      <c r="AJ1455" s="198" t="s">
        <v>163</v>
      </c>
      <c r="AK1455" s="198" t="s">
        <v>51</v>
      </c>
      <c r="AL1455" s="198" t="s">
        <v>67</v>
      </c>
      <c r="AM1455" s="198" t="s">
        <v>68</v>
      </c>
      <c r="AN1455" s="202">
        <v>1597030.3999999999</v>
      </c>
      <c r="AO1455" s="202">
        <v>1597030.3999999999</v>
      </c>
      <c r="AP1455" s="202">
        <v>1597030.3999999999</v>
      </c>
      <c r="AQ1455" s="198" t="s">
        <v>358</v>
      </c>
      <c r="AR1455" s="198" t="s">
        <v>51</v>
      </c>
      <c r="AS1455" s="202">
        <v>1304011.3999999999</v>
      </c>
      <c r="AT1455" s="202">
        <v>1304011.3999999999</v>
      </c>
      <c r="AU1455" s="198" t="s">
        <v>359</v>
      </c>
      <c r="AV1455" s="198" t="s">
        <v>62</v>
      </c>
      <c r="AW1455" s="198" t="s">
        <v>54</v>
      </c>
    </row>
    <row r="1456" spans="3:49" outlineLevel="2" x14ac:dyDescent="0.25">
      <c r="C1456" s="201"/>
      <c r="D1456" s="198" t="s">
        <v>217</v>
      </c>
      <c r="H1456" s="198" t="s">
        <v>217</v>
      </c>
      <c r="I1456" s="202">
        <f t="shared" si="22"/>
        <v>604981199.25</v>
      </c>
      <c r="J1456" s="202">
        <v>146.5</v>
      </c>
      <c r="L1456" s="204">
        <v>1</v>
      </c>
      <c r="M1456" s="202">
        <v>1041401.75</v>
      </c>
      <c r="N1456" s="204">
        <v>0</v>
      </c>
      <c r="O1456" s="198" t="s">
        <v>51</v>
      </c>
      <c r="P1456" s="202">
        <v>811514.95</v>
      </c>
      <c r="Q1456" s="198" t="s">
        <v>159</v>
      </c>
      <c r="R1456" s="198" t="s">
        <v>160</v>
      </c>
      <c r="S1456" s="198" t="s">
        <v>54</v>
      </c>
      <c r="T1456" s="198" t="s">
        <v>725</v>
      </c>
      <c r="U1456" s="198" t="s">
        <v>277</v>
      </c>
      <c r="V1456" s="198" t="s">
        <v>56</v>
      </c>
      <c r="W1456" s="198" t="s">
        <v>356</v>
      </c>
      <c r="X1456" s="198" t="s">
        <v>161</v>
      </c>
      <c r="Y1456" s="198" t="s">
        <v>162</v>
      </c>
      <c r="Z1456" s="201">
        <v>46248</v>
      </c>
      <c r="AA1456" s="198" t="s">
        <v>59</v>
      </c>
      <c r="AB1456" s="198" t="s">
        <v>60</v>
      </c>
      <c r="AC1456" s="198" t="s">
        <v>86</v>
      </c>
      <c r="AD1456" s="198" t="s">
        <v>62</v>
      </c>
      <c r="AE1456" s="198" t="s">
        <v>54</v>
      </c>
      <c r="AF1456" s="198" t="s">
        <v>54</v>
      </c>
      <c r="AG1456" s="198" t="s">
        <v>564</v>
      </c>
      <c r="AH1456" s="198" t="s">
        <v>89</v>
      </c>
      <c r="AI1456" s="198" t="s">
        <v>56</v>
      </c>
      <c r="AJ1456" s="198" t="s">
        <v>163</v>
      </c>
      <c r="AK1456" s="198" t="s">
        <v>51</v>
      </c>
      <c r="AL1456" s="198" t="s">
        <v>67</v>
      </c>
      <c r="AM1456" s="198" t="s">
        <v>68</v>
      </c>
      <c r="AN1456" s="202">
        <v>1041401.75</v>
      </c>
      <c r="AO1456" s="202">
        <v>1041401.75</v>
      </c>
      <c r="AP1456" s="202">
        <v>1041401.75</v>
      </c>
      <c r="AQ1456" s="198" t="s">
        <v>358</v>
      </c>
      <c r="AR1456" s="198" t="s">
        <v>51</v>
      </c>
      <c r="AS1456" s="202">
        <v>811514.95</v>
      </c>
      <c r="AT1456" s="202">
        <v>811514.95</v>
      </c>
      <c r="AU1456" s="198" t="s">
        <v>359</v>
      </c>
      <c r="AV1456" s="198" t="s">
        <v>62</v>
      </c>
      <c r="AW1456" s="198" t="s">
        <v>54</v>
      </c>
    </row>
    <row r="1457" spans="3:49" outlineLevel="2" x14ac:dyDescent="0.25">
      <c r="C1457" s="201"/>
      <c r="D1457" s="198" t="s">
        <v>733</v>
      </c>
      <c r="H1457" s="198" t="s">
        <v>733</v>
      </c>
      <c r="I1457" s="202">
        <f t="shared" si="22"/>
        <v>605394155.69999993</v>
      </c>
      <c r="J1457" s="202">
        <v>146.6</v>
      </c>
      <c r="L1457" s="204">
        <v>1</v>
      </c>
      <c r="M1457" s="202">
        <v>9107636</v>
      </c>
      <c r="N1457" s="204">
        <v>0</v>
      </c>
      <c r="O1457" s="198" t="s">
        <v>51</v>
      </c>
      <c r="P1457" s="202">
        <v>6827254.1399999997</v>
      </c>
      <c r="Q1457" s="198" t="s">
        <v>159</v>
      </c>
      <c r="R1457" s="198" t="s">
        <v>160</v>
      </c>
      <c r="S1457" s="198" t="s">
        <v>54</v>
      </c>
      <c r="T1457" s="198" t="s">
        <v>568</v>
      </c>
      <c r="U1457" s="198" t="s">
        <v>367</v>
      </c>
      <c r="V1457" s="198" t="s">
        <v>56</v>
      </c>
      <c r="W1457" s="198" t="s">
        <v>356</v>
      </c>
      <c r="X1457" s="198" t="s">
        <v>161</v>
      </c>
      <c r="Y1457" s="198" t="s">
        <v>162</v>
      </c>
      <c r="Z1457" s="201">
        <v>46248</v>
      </c>
      <c r="AA1457" s="198" t="s">
        <v>59</v>
      </c>
      <c r="AB1457" s="198" t="s">
        <v>60</v>
      </c>
      <c r="AC1457" s="198" t="s">
        <v>86</v>
      </c>
      <c r="AD1457" s="198" t="s">
        <v>62</v>
      </c>
      <c r="AE1457" s="198" t="s">
        <v>54</v>
      </c>
      <c r="AF1457" s="198" t="s">
        <v>54</v>
      </c>
      <c r="AG1457" s="198" t="s">
        <v>564</v>
      </c>
      <c r="AH1457" s="198" t="s">
        <v>95</v>
      </c>
      <c r="AI1457" s="198" t="s">
        <v>56</v>
      </c>
      <c r="AJ1457" s="198" t="s">
        <v>163</v>
      </c>
      <c r="AK1457" s="198" t="s">
        <v>51</v>
      </c>
      <c r="AL1457" s="198" t="s">
        <v>67</v>
      </c>
      <c r="AM1457" s="198" t="s">
        <v>68</v>
      </c>
      <c r="AN1457" s="202">
        <v>9107636</v>
      </c>
      <c r="AO1457" s="202">
        <v>9107636</v>
      </c>
      <c r="AP1457" s="202">
        <v>9107636</v>
      </c>
      <c r="AQ1457" s="198" t="s">
        <v>358</v>
      </c>
      <c r="AR1457" s="198" t="s">
        <v>51</v>
      </c>
      <c r="AS1457" s="202">
        <v>6827254.1399999997</v>
      </c>
      <c r="AT1457" s="202">
        <v>6827254.1399999997</v>
      </c>
      <c r="AU1457" s="198" t="s">
        <v>359</v>
      </c>
      <c r="AV1457" s="198" t="s">
        <v>62</v>
      </c>
      <c r="AW1457" s="198" t="s">
        <v>54</v>
      </c>
    </row>
    <row r="1458" spans="3:49" outlineLevel="2" x14ac:dyDescent="0.25">
      <c r="C1458" s="201"/>
      <c r="D1458" s="198" t="s">
        <v>220</v>
      </c>
      <c r="H1458" s="198" t="s">
        <v>220</v>
      </c>
      <c r="I1458" s="202">
        <f t="shared" si="22"/>
        <v>605807112.14999998</v>
      </c>
      <c r="J1458" s="202">
        <v>146.69999999999999</v>
      </c>
      <c r="L1458" s="204">
        <v>1</v>
      </c>
      <c r="M1458" s="202">
        <v>3147155</v>
      </c>
      <c r="N1458" s="204">
        <v>0</v>
      </c>
      <c r="O1458" s="198" t="s">
        <v>51</v>
      </c>
      <c r="P1458" s="202">
        <v>2491577</v>
      </c>
      <c r="Q1458" s="198" t="s">
        <v>159</v>
      </c>
      <c r="R1458" s="198" t="s">
        <v>160</v>
      </c>
      <c r="S1458" s="198" t="s">
        <v>54</v>
      </c>
      <c r="T1458" s="198" t="s">
        <v>568</v>
      </c>
      <c r="U1458" s="198" t="s">
        <v>367</v>
      </c>
      <c r="V1458" s="198" t="s">
        <v>56</v>
      </c>
      <c r="W1458" s="198" t="s">
        <v>356</v>
      </c>
      <c r="X1458" s="198" t="s">
        <v>161</v>
      </c>
      <c r="Y1458" s="198" t="s">
        <v>162</v>
      </c>
      <c r="Z1458" s="201">
        <v>46248</v>
      </c>
      <c r="AA1458" s="198" t="s">
        <v>59</v>
      </c>
      <c r="AB1458" s="198" t="s">
        <v>60</v>
      </c>
      <c r="AC1458" s="198" t="s">
        <v>86</v>
      </c>
      <c r="AD1458" s="198" t="s">
        <v>62</v>
      </c>
      <c r="AE1458" s="198" t="s">
        <v>54</v>
      </c>
      <c r="AF1458" s="198" t="s">
        <v>54</v>
      </c>
      <c r="AG1458" s="198" t="s">
        <v>564</v>
      </c>
      <c r="AH1458" s="198" t="s">
        <v>95</v>
      </c>
      <c r="AI1458" s="198" t="s">
        <v>56</v>
      </c>
      <c r="AJ1458" s="198" t="s">
        <v>163</v>
      </c>
      <c r="AK1458" s="198" t="s">
        <v>51</v>
      </c>
      <c r="AL1458" s="198" t="s">
        <v>67</v>
      </c>
      <c r="AM1458" s="198" t="s">
        <v>68</v>
      </c>
      <c r="AN1458" s="202">
        <v>3147155</v>
      </c>
      <c r="AO1458" s="202">
        <v>3147155</v>
      </c>
      <c r="AP1458" s="202">
        <v>3147155</v>
      </c>
      <c r="AQ1458" s="198" t="s">
        <v>358</v>
      </c>
      <c r="AR1458" s="198" t="s">
        <v>51</v>
      </c>
      <c r="AS1458" s="202">
        <v>2491577</v>
      </c>
      <c r="AT1458" s="202">
        <v>2491577</v>
      </c>
      <c r="AU1458" s="198" t="s">
        <v>359</v>
      </c>
      <c r="AV1458" s="198" t="s">
        <v>62</v>
      </c>
      <c r="AW1458" s="198" t="s">
        <v>54</v>
      </c>
    </row>
    <row r="1459" spans="3:49" outlineLevel="2" x14ac:dyDescent="0.25">
      <c r="C1459" s="201"/>
      <c r="D1459" s="198" t="s">
        <v>229</v>
      </c>
      <c r="H1459" s="198" t="s">
        <v>229</v>
      </c>
      <c r="I1459" s="202">
        <f t="shared" si="22"/>
        <v>606220068.60000002</v>
      </c>
      <c r="J1459" s="202">
        <v>146.80000000000001</v>
      </c>
      <c r="L1459" s="204">
        <v>1</v>
      </c>
      <c r="M1459" s="202">
        <v>2798850</v>
      </c>
      <c r="N1459" s="204">
        <v>0</v>
      </c>
      <c r="O1459" s="198" t="s">
        <v>51</v>
      </c>
      <c r="P1459" s="202">
        <v>2418993.6</v>
      </c>
      <c r="Q1459" s="198" t="s">
        <v>159</v>
      </c>
      <c r="R1459" s="198" t="s">
        <v>160</v>
      </c>
      <c r="S1459" s="198" t="s">
        <v>54</v>
      </c>
      <c r="T1459" s="198" t="s">
        <v>568</v>
      </c>
      <c r="U1459" s="198" t="s">
        <v>367</v>
      </c>
      <c r="V1459" s="198" t="s">
        <v>56</v>
      </c>
      <c r="W1459" s="198" t="s">
        <v>356</v>
      </c>
      <c r="X1459" s="198" t="s">
        <v>161</v>
      </c>
      <c r="Y1459" s="198" t="s">
        <v>162</v>
      </c>
      <c r="Z1459" s="201">
        <v>46248</v>
      </c>
      <c r="AA1459" s="198" t="s">
        <v>59</v>
      </c>
      <c r="AB1459" s="198" t="s">
        <v>60</v>
      </c>
      <c r="AC1459" s="198" t="s">
        <v>86</v>
      </c>
      <c r="AD1459" s="198" t="s">
        <v>62</v>
      </c>
      <c r="AE1459" s="198" t="s">
        <v>54</v>
      </c>
      <c r="AF1459" s="198" t="s">
        <v>54</v>
      </c>
      <c r="AG1459" s="198" t="s">
        <v>564</v>
      </c>
      <c r="AH1459" s="198" t="s">
        <v>95</v>
      </c>
      <c r="AI1459" s="198" t="s">
        <v>56</v>
      </c>
      <c r="AJ1459" s="198" t="s">
        <v>163</v>
      </c>
      <c r="AK1459" s="198" t="s">
        <v>51</v>
      </c>
      <c r="AL1459" s="198" t="s">
        <v>67</v>
      </c>
      <c r="AM1459" s="198" t="s">
        <v>68</v>
      </c>
      <c r="AN1459" s="202">
        <v>2798850</v>
      </c>
      <c r="AO1459" s="202">
        <v>2798850</v>
      </c>
      <c r="AP1459" s="202">
        <v>2798850</v>
      </c>
      <c r="AQ1459" s="198" t="s">
        <v>358</v>
      </c>
      <c r="AR1459" s="198" t="s">
        <v>51</v>
      </c>
      <c r="AS1459" s="202">
        <v>2418993.6</v>
      </c>
      <c r="AT1459" s="202">
        <v>2418993.6</v>
      </c>
      <c r="AU1459" s="198" t="s">
        <v>359</v>
      </c>
      <c r="AV1459" s="198" t="s">
        <v>62</v>
      </c>
      <c r="AW1459" s="198" t="s">
        <v>54</v>
      </c>
    </row>
    <row r="1460" spans="3:49" outlineLevel="2" x14ac:dyDescent="0.25">
      <c r="C1460" s="201"/>
      <c r="D1460" s="198" t="s">
        <v>734</v>
      </c>
      <c r="H1460" s="198" t="s">
        <v>734</v>
      </c>
      <c r="I1460" s="202">
        <f t="shared" si="22"/>
        <v>606633025.05000007</v>
      </c>
      <c r="J1460" s="202">
        <v>146.9</v>
      </c>
      <c r="L1460" s="204">
        <v>1</v>
      </c>
      <c r="M1460" s="202">
        <v>5492500</v>
      </c>
      <c r="N1460" s="204">
        <v>0</v>
      </c>
      <c r="O1460" s="198" t="s">
        <v>51</v>
      </c>
      <c r="P1460" s="202">
        <v>5051752</v>
      </c>
      <c r="Q1460" s="198" t="s">
        <v>159</v>
      </c>
      <c r="R1460" s="198" t="s">
        <v>160</v>
      </c>
      <c r="S1460" s="198" t="s">
        <v>54</v>
      </c>
      <c r="T1460" s="198" t="s">
        <v>568</v>
      </c>
      <c r="U1460" s="198" t="s">
        <v>367</v>
      </c>
      <c r="V1460" s="198" t="s">
        <v>56</v>
      </c>
      <c r="W1460" s="198" t="s">
        <v>356</v>
      </c>
      <c r="X1460" s="198" t="s">
        <v>161</v>
      </c>
      <c r="Y1460" s="198" t="s">
        <v>162</v>
      </c>
      <c r="Z1460" s="201">
        <v>46248</v>
      </c>
      <c r="AA1460" s="198" t="s">
        <v>59</v>
      </c>
      <c r="AB1460" s="198" t="s">
        <v>60</v>
      </c>
      <c r="AC1460" s="198" t="s">
        <v>86</v>
      </c>
      <c r="AD1460" s="198" t="s">
        <v>62</v>
      </c>
      <c r="AE1460" s="198" t="s">
        <v>54</v>
      </c>
      <c r="AF1460" s="198" t="s">
        <v>54</v>
      </c>
      <c r="AG1460" s="198" t="s">
        <v>564</v>
      </c>
      <c r="AH1460" s="198" t="s">
        <v>95</v>
      </c>
      <c r="AI1460" s="198" t="s">
        <v>56</v>
      </c>
      <c r="AJ1460" s="198" t="s">
        <v>163</v>
      </c>
      <c r="AK1460" s="198" t="s">
        <v>51</v>
      </c>
      <c r="AL1460" s="198" t="s">
        <v>67</v>
      </c>
      <c r="AM1460" s="198" t="s">
        <v>68</v>
      </c>
      <c r="AN1460" s="202">
        <v>5492500</v>
      </c>
      <c r="AO1460" s="202">
        <v>5492500</v>
      </c>
      <c r="AP1460" s="202">
        <v>5492500</v>
      </c>
      <c r="AQ1460" s="198" t="s">
        <v>358</v>
      </c>
      <c r="AR1460" s="198" t="s">
        <v>51</v>
      </c>
      <c r="AS1460" s="202">
        <v>5051752</v>
      </c>
      <c r="AT1460" s="202">
        <v>5051752</v>
      </c>
      <c r="AU1460" s="198" t="s">
        <v>359</v>
      </c>
      <c r="AV1460" s="198" t="s">
        <v>62</v>
      </c>
      <c r="AW1460" s="198" t="s">
        <v>54</v>
      </c>
    </row>
    <row r="1461" spans="3:49" outlineLevel="2" x14ac:dyDescent="0.25">
      <c r="C1461" s="201"/>
      <c r="D1461" s="198" t="s">
        <v>219</v>
      </c>
      <c r="H1461" s="198" t="s">
        <v>219</v>
      </c>
      <c r="I1461" s="202">
        <f t="shared" si="22"/>
        <v>607045981.5</v>
      </c>
      <c r="J1461" s="202">
        <v>147</v>
      </c>
      <c r="L1461" s="204">
        <v>1</v>
      </c>
      <c r="M1461" s="202">
        <v>36998209.75</v>
      </c>
      <c r="N1461" s="204">
        <v>0</v>
      </c>
      <c r="O1461" s="198" t="s">
        <v>51</v>
      </c>
      <c r="P1461" s="202">
        <v>29733721.75</v>
      </c>
      <c r="Q1461" s="198" t="s">
        <v>159</v>
      </c>
      <c r="R1461" s="198" t="s">
        <v>160</v>
      </c>
      <c r="S1461" s="198" t="s">
        <v>54</v>
      </c>
      <c r="T1461" s="198" t="s">
        <v>568</v>
      </c>
      <c r="U1461" s="198" t="s">
        <v>367</v>
      </c>
      <c r="V1461" s="198" t="s">
        <v>56</v>
      </c>
      <c r="W1461" s="198" t="s">
        <v>356</v>
      </c>
      <c r="X1461" s="198" t="s">
        <v>161</v>
      </c>
      <c r="Y1461" s="198" t="s">
        <v>162</v>
      </c>
      <c r="Z1461" s="201">
        <v>46248</v>
      </c>
      <c r="AA1461" s="198" t="s">
        <v>59</v>
      </c>
      <c r="AB1461" s="198" t="s">
        <v>60</v>
      </c>
      <c r="AC1461" s="198" t="s">
        <v>86</v>
      </c>
      <c r="AD1461" s="198" t="s">
        <v>62</v>
      </c>
      <c r="AE1461" s="198" t="s">
        <v>54</v>
      </c>
      <c r="AF1461" s="198" t="s">
        <v>54</v>
      </c>
      <c r="AG1461" s="198" t="s">
        <v>564</v>
      </c>
      <c r="AH1461" s="198" t="s">
        <v>95</v>
      </c>
      <c r="AI1461" s="198" t="s">
        <v>56</v>
      </c>
      <c r="AJ1461" s="198" t="s">
        <v>163</v>
      </c>
      <c r="AK1461" s="198" t="s">
        <v>51</v>
      </c>
      <c r="AL1461" s="198" t="s">
        <v>67</v>
      </c>
      <c r="AM1461" s="198" t="s">
        <v>68</v>
      </c>
      <c r="AN1461" s="202">
        <v>36998209.75</v>
      </c>
      <c r="AO1461" s="202">
        <v>36998209.75</v>
      </c>
      <c r="AP1461" s="202">
        <v>36998209.75</v>
      </c>
      <c r="AQ1461" s="198" t="s">
        <v>358</v>
      </c>
      <c r="AR1461" s="198" t="s">
        <v>51</v>
      </c>
      <c r="AS1461" s="202">
        <v>29733721.75</v>
      </c>
      <c r="AT1461" s="202">
        <v>29733721.75</v>
      </c>
      <c r="AU1461" s="198" t="s">
        <v>359</v>
      </c>
      <c r="AV1461" s="198" t="s">
        <v>62</v>
      </c>
      <c r="AW1461" s="198" t="s">
        <v>54</v>
      </c>
    </row>
    <row r="1462" spans="3:49" outlineLevel="2" x14ac:dyDescent="0.25">
      <c r="C1462" s="201"/>
      <c r="D1462" s="198" t="s">
        <v>91</v>
      </c>
      <c r="H1462" s="198" t="s">
        <v>91</v>
      </c>
      <c r="I1462" s="202">
        <f t="shared" si="22"/>
        <v>607458937.94999993</v>
      </c>
      <c r="J1462" s="202">
        <v>147.1</v>
      </c>
      <c r="L1462" s="204">
        <v>1</v>
      </c>
      <c r="M1462" s="202">
        <v>410440.8</v>
      </c>
      <c r="N1462" s="204">
        <v>1</v>
      </c>
      <c r="O1462" s="198" t="s">
        <v>51</v>
      </c>
      <c r="P1462" s="202">
        <v>410440.8</v>
      </c>
      <c r="Q1462" s="198" t="s">
        <v>159</v>
      </c>
      <c r="R1462" s="198" t="s">
        <v>160</v>
      </c>
      <c r="S1462" s="198" t="s">
        <v>54</v>
      </c>
      <c r="T1462" s="198" t="s">
        <v>568</v>
      </c>
      <c r="U1462" s="198" t="s">
        <v>367</v>
      </c>
      <c r="V1462" s="198" t="s">
        <v>56</v>
      </c>
      <c r="W1462" s="198" t="s">
        <v>356</v>
      </c>
      <c r="X1462" s="198" t="s">
        <v>161</v>
      </c>
      <c r="Y1462" s="198" t="s">
        <v>162</v>
      </c>
      <c r="Z1462" s="201">
        <v>46248</v>
      </c>
      <c r="AA1462" s="198" t="s">
        <v>59</v>
      </c>
      <c r="AB1462" s="198" t="s">
        <v>60</v>
      </c>
      <c r="AC1462" s="198" t="s">
        <v>86</v>
      </c>
      <c r="AD1462" s="198" t="s">
        <v>62</v>
      </c>
      <c r="AE1462" s="198" t="s">
        <v>54</v>
      </c>
      <c r="AF1462" s="198" t="s">
        <v>54</v>
      </c>
      <c r="AG1462" s="198" t="s">
        <v>564</v>
      </c>
      <c r="AH1462" s="198" t="s">
        <v>95</v>
      </c>
      <c r="AI1462" s="198" t="s">
        <v>56</v>
      </c>
      <c r="AJ1462" s="198" t="s">
        <v>163</v>
      </c>
      <c r="AK1462" s="198" t="s">
        <v>51</v>
      </c>
      <c r="AL1462" s="198" t="s">
        <v>67</v>
      </c>
      <c r="AM1462" s="198" t="s">
        <v>68</v>
      </c>
      <c r="AN1462" s="202">
        <v>410440.8</v>
      </c>
      <c r="AO1462" s="202">
        <v>410440.8</v>
      </c>
      <c r="AP1462" s="202">
        <v>410440.8</v>
      </c>
      <c r="AQ1462" s="198" t="s">
        <v>358</v>
      </c>
      <c r="AR1462" s="198" t="s">
        <v>51</v>
      </c>
      <c r="AS1462" s="202">
        <v>410440.8</v>
      </c>
      <c r="AT1462" s="202">
        <v>410440.8</v>
      </c>
      <c r="AU1462" s="198" t="s">
        <v>359</v>
      </c>
      <c r="AV1462" s="198" t="s">
        <v>62</v>
      </c>
      <c r="AW1462" s="198" t="s">
        <v>54</v>
      </c>
    </row>
    <row r="1463" spans="3:49" outlineLevel="2" x14ac:dyDescent="0.25">
      <c r="C1463" s="201"/>
      <c r="D1463" s="198" t="s">
        <v>91</v>
      </c>
      <c r="H1463" s="198" t="s">
        <v>91</v>
      </c>
      <c r="I1463" s="202">
        <f t="shared" si="22"/>
        <v>607871894.39999998</v>
      </c>
      <c r="J1463" s="202">
        <v>147.19999999999999</v>
      </c>
      <c r="L1463" s="204">
        <v>1</v>
      </c>
      <c r="M1463" s="202">
        <v>822393</v>
      </c>
      <c r="N1463" s="204">
        <v>1</v>
      </c>
      <c r="O1463" s="198" t="s">
        <v>51</v>
      </c>
      <c r="P1463" s="202">
        <v>822393</v>
      </c>
      <c r="Q1463" s="198" t="s">
        <v>159</v>
      </c>
      <c r="R1463" s="198" t="s">
        <v>160</v>
      </c>
      <c r="S1463" s="198" t="s">
        <v>54</v>
      </c>
      <c r="T1463" s="198" t="s">
        <v>568</v>
      </c>
      <c r="U1463" s="198" t="s">
        <v>367</v>
      </c>
      <c r="V1463" s="198" t="s">
        <v>56</v>
      </c>
      <c r="W1463" s="198" t="s">
        <v>356</v>
      </c>
      <c r="X1463" s="198" t="s">
        <v>161</v>
      </c>
      <c r="Y1463" s="198" t="s">
        <v>162</v>
      </c>
      <c r="Z1463" s="201">
        <v>46248</v>
      </c>
      <c r="AA1463" s="198" t="s">
        <v>59</v>
      </c>
      <c r="AB1463" s="198" t="s">
        <v>60</v>
      </c>
      <c r="AC1463" s="198" t="s">
        <v>86</v>
      </c>
      <c r="AD1463" s="198" t="s">
        <v>62</v>
      </c>
      <c r="AE1463" s="198" t="s">
        <v>54</v>
      </c>
      <c r="AF1463" s="198" t="s">
        <v>54</v>
      </c>
      <c r="AG1463" s="198" t="s">
        <v>564</v>
      </c>
      <c r="AH1463" s="198" t="s">
        <v>95</v>
      </c>
      <c r="AI1463" s="198" t="s">
        <v>56</v>
      </c>
      <c r="AJ1463" s="198" t="s">
        <v>163</v>
      </c>
      <c r="AK1463" s="198" t="s">
        <v>51</v>
      </c>
      <c r="AL1463" s="198" t="s">
        <v>67</v>
      </c>
      <c r="AM1463" s="198" t="s">
        <v>68</v>
      </c>
      <c r="AN1463" s="202">
        <v>822393</v>
      </c>
      <c r="AO1463" s="202">
        <v>822393</v>
      </c>
      <c r="AP1463" s="202">
        <v>822393</v>
      </c>
      <c r="AQ1463" s="198" t="s">
        <v>358</v>
      </c>
      <c r="AR1463" s="198" t="s">
        <v>51</v>
      </c>
      <c r="AS1463" s="202">
        <v>822393</v>
      </c>
      <c r="AT1463" s="202">
        <v>822393</v>
      </c>
      <c r="AU1463" s="198" t="s">
        <v>359</v>
      </c>
      <c r="AV1463" s="198" t="s">
        <v>62</v>
      </c>
      <c r="AW1463" s="198" t="s">
        <v>54</v>
      </c>
    </row>
    <row r="1464" spans="3:49" outlineLevel="2" x14ac:dyDescent="0.25">
      <c r="C1464" s="201"/>
      <c r="D1464" s="198" t="s">
        <v>91</v>
      </c>
      <c r="H1464" s="198" t="s">
        <v>91</v>
      </c>
      <c r="I1464" s="202">
        <f t="shared" si="22"/>
        <v>608284850.85000002</v>
      </c>
      <c r="J1464" s="202">
        <v>147.30000000000001</v>
      </c>
      <c r="L1464" s="204">
        <v>1</v>
      </c>
      <c r="M1464" s="202">
        <v>17122018.100000001</v>
      </c>
      <c r="N1464" s="204">
        <v>0</v>
      </c>
      <c r="O1464" s="198" t="s">
        <v>51</v>
      </c>
      <c r="P1464" s="202">
        <v>15939760.1</v>
      </c>
      <c r="Q1464" s="198" t="s">
        <v>159</v>
      </c>
      <c r="R1464" s="198" t="s">
        <v>160</v>
      </c>
      <c r="S1464" s="198" t="s">
        <v>54</v>
      </c>
      <c r="T1464" s="198" t="s">
        <v>568</v>
      </c>
      <c r="U1464" s="198" t="s">
        <v>367</v>
      </c>
      <c r="V1464" s="198" t="s">
        <v>56</v>
      </c>
      <c r="W1464" s="198" t="s">
        <v>356</v>
      </c>
      <c r="X1464" s="198" t="s">
        <v>161</v>
      </c>
      <c r="Y1464" s="198" t="s">
        <v>162</v>
      </c>
      <c r="Z1464" s="201">
        <v>46248</v>
      </c>
      <c r="AA1464" s="198" t="s">
        <v>59</v>
      </c>
      <c r="AB1464" s="198" t="s">
        <v>60</v>
      </c>
      <c r="AC1464" s="198" t="s">
        <v>86</v>
      </c>
      <c r="AD1464" s="198" t="s">
        <v>62</v>
      </c>
      <c r="AE1464" s="198" t="s">
        <v>54</v>
      </c>
      <c r="AF1464" s="198" t="s">
        <v>54</v>
      </c>
      <c r="AG1464" s="198" t="s">
        <v>564</v>
      </c>
      <c r="AH1464" s="198" t="s">
        <v>95</v>
      </c>
      <c r="AI1464" s="198" t="s">
        <v>56</v>
      </c>
      <c r="AJ1464" s="198" t="s">
        <v>163</v>
      </c>
      <c r="AK1464" s="198" t="s">
        <v>51</v>
      </c>
      <c r="AL1464" s="198" t="s">
        <v>67</v>
      </c>
      <c r="AM1464" s="198" t="s">
        <v>68</v>
      </c>
      <c r="AN1464" s="202">
        <v>17122018.100000001</v>
      </c>
      <c r="AO1464" s="202">
        <v>17122018.100000001</v>
      </c>
      <c r="AP1464" s="202">
        <v>17122018.100000001</v>
      </c>
      <c r="AQ1464" s="198" t="s">
        <v>358</v>
      </c>
      <c r="AR1464" s="198" t="s">
        <v>51</v>
      </c>
      <c r="AS1464" s="202">
        <v>15939760.1</v>
      </c>
      <c r="AT1464" s="202">
        <v>15939760.1</v>
      </c>
      <c r="AU1464" s="198" t="s">
        <v>359</v>
      </c>
      <c r="AV1464" s="198" t="s">
        <v>62</v>
      </c>
      <c r="AW1464" s="198" t="s">
        <v>54</v>
      </c>
    </row>
    <row r="1465" spans="3:49" outlineLevel="2" x14ac:dyDescent="0.25">
      <c r="C1465" s="201"/>
      <c r="D1465" s="198" t="s">
        <v>215</v>
      </c>
      <c r="H1465" s="198" t="s">
        <v>215</v>
      </c>
      <c r="I1465" s="202">
        <f t="shared" si="22"/>
        <v>608697807.30000007</v>
      </c>
      <c r="J1465" s="202">
        <v>147.4</v>
      </c>
      <c r="L1465" s="204">
        <v>1</v>
      </c>
      <c r="M1465" s="202">
        <v>189364480</v>
      </c>
      <c r="N1465" s="204">
        <v>0</v>
      </c>
      <c r="O1465" s="198" t="s">
        <v>51</v>
      </c>
      <c r="P1465" s="202">
        <v>4176468.32</v>
      </c>
      <c r="Q1465" s="198" t="s">
        <v>159</v>
      </c>
      <c r="R1465" s="198" t="s">
        <v>160</v>
      </c>
      <c r="S1465" s="198" t="s">
        <v>54</v>
      </c>
      <c r="T1465" s="198" t="s">
        <v>718</v>
      </c>
      <c r="U1465" s="198" t="s">
        <v>277</v>
      </c>
      <c r="V1465" s="198" t="s">
        <v>56</v>
      </c>
      <c r="W1465" s="198" t="s">
        <v>356</v>
      </c>
      <c r="X1465" s="198" t="s">
        <v>161</v>
      </c>
      <c r="Y1465" s="198" t="s">
        <v>162</v>
      </c>
      <c r="Z1465" s="201">
        <v>46248</v>
      </c>
      <c r="AA1465" s="198" t="s">
        <v>59</v>
      </c>
      <c r="AB1465" s="198" t="s">
        <v>60</v>
      </c>
      <c r="AC1465" s="198" t="s">
        <v>86</v>
      </c>
      <c r="AD1465" s="198" t="s">
        <v>62</v>
      </c>
      <c r="AE1465" s="198" t="s">
        <v>54</v>
      </c>
      <c r="AF1465" s="198" t="s">
        <v>54</v>
      </c>
      <c r="AG1465" s="198" t="s">
        <v>564</v>
      </c>
      <c r="AH1465" s="198" t="s">
        <v>89</v>
      </c>
      <c r="AI1465" s="198" t="s">
        <v>56</v>
      </c>
      <c r="AJ1465" s="198" t="s">
        <v>163</v>
      </c>
      <c r="AK1465" s="198" t="s">
        <v>51</v>
      </c>
      <c r="AL1465" s="198" t="s">
        <v>67</v>
      </c>
      <c r="AM1465" s="198" t="s">
        <v>68</v>
      </c>
      <c r="AN1465" s="202">
        <v>189364480</v>
      </c>
      <c r="AO1465" s="202">
        <v>189364480</v>
      </c>
      <c r="AP1465" s="202">
        <v>189364480</v>
      </c>
      <c r="AQ1465" s="198" t="s">
        <v>358</v>
      </c>
      <c r="AR1465" s="198" t="s">
        <v>51</v>
      </c>
      <c r="AS1465" s="202">
        <v>4176468.32</v>
      </c>
      <c r="AT1465" s="202">
        <v>4176468.32</v>
      </c>
      <c r="AU1465" s="198" t="s">
        <v>359</v>
      </c>
      <c r="AV1465" s="198" t="s">
        <v>62</v>
      </c>
      <c r="AW1465" s="198" t="s">
        <v>719</v>
      </c>
    </row>
    <row r="1466" spans="3:49" outlineLevel="2" x14ac:dyDescent="0.25">
      <c r="C1466" s="201"/>
      <c r="D1466" s="198" t="s">
        <v>216</v>
      </c>
      <c r="H1466" s="198" t="s">
        <v>216</v>
      </c>
      <c r="I1466" s="202">
        <f t="shared" si="22"/>
        <v>609110763.75</v>
      </c>
      <c r="J1466" s="202">
        <v>147.5</v>
      </c>
      <c r="L1466" s="204">
        <v>1</v>
      </c>
      <c r="M1466" s="202">
        <v>132279960</v>
      </c>
      <c r="N1466" s="204">
        <v>0</v>
      </c>
      <c r="O1466" s="198" t="s">
        <v>51</v>
      </c>
      <c r="P1466" s="202">
        <v>101616895.72</v>
      </c>
      <c r="Q1466" s="198" t="s">
        <v>159</v>
      </c>
      <c r="R1466" s="198" t="s">
        <v>160</v>
      </c>
      <c r="S1466" s="198" t="s">
        <v>54</v>
      </c>
      <c r="T1466" s="198" t="s">
        <v>718</v>
      </c>
      <c r="U1466" s="198" t="s">
        <v>277</v>
      </c>
      <c r="V1466" s="198" t="s">
        <v>56</v>
      </c>
      <c r="W1466" s="198" t="s">
        <v>356</v>
      </c>
      <c r="X1466" s="198" t="s">
        <v>161</v>
      </c>
      <c r="Y1466" s="198" t="s">
        <v>162</v>
      </c>
      <c r="Z1466" s="201">
        <v>46248</v>
      </c>
      <c r="AA1466" s="198" t="s">
        <v>59</v>
      </c>
      <c r="AB1466" s="198" t="s">
        <v>60</v>
      </c>
      <c r="AC1466" s="198" t="s">
        <v>86</v>
      </c>
      <c r="AD1466" s="198" t="s">
        <v>62</v>
      </c>
      <c r="AE1466" s="198" t="s">
        <v>54</v>
      </c>
      <c r="AF1466" s="198" t="s">
        <v>54</v>
      </c>
      <c r="AG1466" s="198" t="s">
        <v>564</v>
      </c>
      <c r="AH1466" s="198" t="s">
        <v>89</v>
      </c>
      <c r="AI1466" s="198" t="s">
        <v>56</v>
      </c>
      <c r="AJ1466" s="198" t="s">
        <v>163</v>
      </c>
      <c r="AK1466" s="198" t="s">
        <v>51</v>
      </c>
      <c r="AL1466" s="198" t="s">
        <v>67</v>
      </c>
      <c r="AM1466" s="198" t="s">
        <v>68</v>
      </c>
      <c r="AN1466" s="202">
        <v>132279960</v>
      </c>
      <c r="AO1466" s="202">
        <v>132279960</v>
      </c>
      <c r="AP1466" s="202">
        <v>132279960</v>
      </c>
      <c r="AQ1466" s="198" t="s">
        <v>358</v>
      </c>
      <c r="AR1466" s="198" t="s">
        <v>51</v>
      </c>
      <c r="AS1466" s="202">
        <v>101616895.72</v>
      </c>
      <c r="AT1466" s="202">
        <v>101616895.72</v>
      </c>
      <c r="AU1466" s="198" t="s">
        <v>359</v>
      </c>
      <c r="AV1466" s="198" t="s">
        <v>62</v>
      </c>
      <c r="AW1466" s="198" t="s">
        <v>719</v>
      </c>
    </row>
    <row r="1467" spans="3:49" outlineLevel="2" x14ac:dyDescent="0.25">
      <c r="C1467" s="201"/>
      <c r="D1467" s="198" t="s">
        <v>217</v>
      </c>
      <c r="H1467" s="198" t="s">
        <v>217</v>
      </c>
      <c r="I1467" s="202">
        <f t="shared" si="22"/>
        <v>609523720.19999993</v>
      </c>
      <c r="J1467" s="202">
        <v>147.6</v>
      </c>
      <c r="L1467" s="204">
        <v>1</v>
      </c>
      <c r="M1467" s="202">
        <v>7494605</v>
      </c>
      <c r="N1467" s="204">
        <v>0</v>
      </c>
      <c r="O1467" s="198" t="s">
        <v>51</v>
      </c>
      <c r="P1467" s="202">
        <v>1528989.61</v>
      </c>
      <c r="Q1467" s="198" t="s">
        <v>159</v>
      </c>
      <c r="R1467" s="198" t="s">
        <v>160</v>
      </c>
      <c r="S1467" s="198" t="s">
        <v>54</v>
      </c>
      <c r="T1467" s="198" t="s">
        <v>718</v>
      </c>
      <c r="U1467" s="198" t="s">
        <v>277</v>
      </c>
      <c r="V1467" s="198" t="s">
        <v>56</v>
      </c>
      <c r="W1467" s="198" t="s">
        <v>356</v>
      </c>
      <c r="X1467" s="198" t="s">
        <v>161</v>
      </c>
      <c r="Y1467" s="198" t="s">
        <v>162</v>
      </c>
      <c r="Z1467" s="201">
        <v>46248</v>
      </c>
      <c r="AA1467" s="198" t="s">
        <v>59</v>
      </c>
      <c r="AB1467" s="198" t="s">
        <v>60</v>
      </c>
      <c r="AC1467" s="198" t="s">
        <v>86</v>
      </c>
      <c r="AD1467" s="198" t="s">
        <v>62</v>
      </c>
      <c r="AE1467" s="198" t="s">
        <v>54</v>
      </c>
      <c r="AF1467" s="198" t="s">
        <v>54</v>
      </c>
      <c r="AG1467" s="198" t="s">
        <v>564</v>
      </c>
      <c r="AH1467" s="198" t="s">
        <v>89</v>
      </c>
      <c r="AI1467" s="198" t="s">
        <v>56</v>
      </c>
      <c r="AJ1467" s="198" t="s">
        <v>163</v>
      </c>
      <c r="AK1467" s="198" t="s">
        <v>51</v>
      </c>
      <c r="AL1467" s="198" t="s">
        <v>67</v>
      </c>
      <c r="AM1467" s="198" t="s">
        <v>68</v>
      </c>
      <c r="AN1467" s="202">
        <v>7494605</v>
      </c>
      <c r="AO1467" s="202">
        <v>7494605</v>
      </c>
      <c r="AP1467" s="202">
        <v>7494605</v>
      </c>
      <c r="AQ1467" s="198" t="s">
        <v>358</v>
      </c>
      <c r="AR1467" s="198" t="s">
        <v>51</v>
      </c>
      <c r="AS1467" s="202">
        <v>1528989.61</v>
      </c>
      <c r="AT1467" s="202">
        <v>1528989.61</v>
      </c>
      <c r="AU1467" s="198" t="s">
        <v>359</v>
      </c>
      <c r="AV1467" s="198" t="s">
        <v>62</v>
      </c>
      <c r="AW1467" s="198" t="s">
        <v>719</v>
      </c>
    </row>
    <row r="1468" spans="3:49" outlineLevel="2" x14ac:dyDescent="0.25">
      <c r="C1468" s="201"/>
      <c r="D1468" s="198" t="s">
        <v>230</v>
      </c>
      <c r="H1468" s="198" t="s">
        <v>230</v>
      </c>
      <c r="I1468" s="202">
        <f t="shared" si="22"/>
        <v>609936676.64999998</v>
      </c>
      <c r="J1468" s="202">
        <v>147.69999999999999</v>
      </c>
      <c r="L1468" s="204">
        <v>1</v>
      </c>
      <c r="M1468" s="202">
        <v>3579560</v>
      </c>
      <c r="N1468" s="204">
        <v>0</v>
      </c>
      <c r="O1468" s="198" t="s">
        <v>51</v>
      </c>
      <c r="P1468" s="202">
        <v>360224</v>
      </c>
      <c r="Q1468" s="198" t="s">
        <v>159</v>
      </c>
      <c r="R1468" s="198" t="s">
        <v>160</v>
      </c>
      <c r="S1468" s="198" t="s">
        <v>54</v>
      </c>
      <c r="T1468" s="198" t="s">
        <v>718</v>
      </c>
      <c r="U1468" s="198" t="s">
        <v>277</v>
      </c>
      <c r="V1468" s="198" t="s">
        <v>56</v>
      </c>
      <c r="W1468" s="198" t="s">
        <v>356</v>
      </c>
      <c r="X1468" s="198" t="s">
        <v>161</v>
      </c>
      <c r="Y1468" s="198" t="s">
        <v>162</v>
      </c>
      <c r="Z1468" s="201">
        <v>46248</v>
      </c>
      <c r="AA1468" s="198" t="s">
        <v>59</v>
      </c>
      <c r="AB1468" s="198" t="s">
        <v>60</v>
      </c>
      <c r="AC1468" s="198" t="s">
        <v>86</v>
      </c>
      <c r="AD1468" s="198" t="s">
        <v>62</v>
      </c>
      <c r="AE1468" s="198" t="s">
        <v>54</v>
      </c>
      <c r="AF1468" s="198" t="s">
        <v>54</v>
      </c>
      <c r="AG1468" s="198" t="s">
        <v>564</v>
      </c>
      <c r="AH1468" s="198" t="s">
        <v>89</v>
      </c>
      <c r="AI1468" s="198" t="s">
        <v>56</v>
      </c>
      <c r="AJ1468" s="198" t="s">
        <v>163</v>
      </c>
      <c r="AK1468" s="198" t="s">
        <v>51</v>
      </c>
      <c r="AL1468" s="198" t="s">
        <v>67</v>
      </c>
      <c r="AM1468" s="198" t="s">
        <v>68</v>
      </c>
      <c r="AN1468" s="202">
        <v>3579560</v>
      </c>
      <c r="AO1468" s="202">
        <v>3579560</v>
      </c>
      <c r="AP1468" s="202">
        <v>3579560</v>
      </c>
      <c r="AQ1468" s="198" t="s">
        <v>358</v>
      </c>
      <c r="AR1468" s="198" t="s">
        <v>51</v>
      </c>
      <c r="AS1468" s="202">
        <v>360224</v>
      </c>
      <c r="AT1468" s="202">
        <v>360224</v>
      </c>
      <c r="AU1468" s="198" t="s">
        <v>359</v>
      </c>
      <c r="AV1468" s="198" t="s">
        <v>62</v>
      </c>
      <c r="AW1468" s="198" t="s">
        <v>719</v>
      </c>
    </row>
    <row r="1469" spans="3:49" outlineLevel="2" x14ac:dyDescent="0.25">
      <c r="C1469" s="201"/>
      <c r="D1469" s="198" t="s">
        <v>221</v>
      </c>
      <c r="H1469" s="198" t="s">
        <v>221</v>
      </c>
      <c r="I1469" s="202">
        <f t="shared" si="22"/>
        <v>610349633.10000002</v>
      </c>
      <c r="J1469" s="202">
        <v>147.80000000000001</v>
      </c>
      <c r="L1469" s="204">
        <v>1</v>
      </c>
      <c r="M1469" s="202">
        <v>196216985</v>
      </c>
      <c r="N1469" s="204">
        <v>0</v>
      </c>
      <c r="O1469" s="198" t="s">
        <v>51</v>
      </c>
      <c r="P1469" s="202">
        <v>10447938.42</v>
      </c>
      <c r="Q1469" s="198" t="s">
        <v>159</v>
      </c>
      <c r="R1469" s="198" t="s">
        <v>160</v>
      </c>
      <c r="S1469" s="198" t="s">
        <v>54</v>
      </c>
      <c r="T1469" s="198" t="s">
        <v>718</v>
      </c>
      <c r="U1469" s="198" t="s">
        <v>2083</v>
      </c>
      <c r="V1469" s="198" t="s">
        <v>56</v>
      </c>
      <c r="W1469" s="198" t="s">
        <v>356</v>
      </c>
      <c r="X1469" s="198" t="s">
        <v>161</v>
      </c>
      <c r="Y1469" s="198" t="s">
        <v>162</v>
      </c>
      <c r="Z1469" s="201">
        <v>46248</v>
      </c>
      <c r="AA1469" s="198" t="s">
        <v>59</v>
      </c>
      <c r="AB1469" s="198" t="s">
        <v>60</v>
      </c>
      <c r="AC1469" s="198" t="s">
        <v>86</v>
      </c>
      <c r="AD1469" s="198" t="s">
        <v>62</v>
      </c>
      <c r="AE1469" s="198" t="s">
        <v>54</v>
      </c>
      <c r="AF1469" s="198" t="s">
        <v>54</v>
      </c>
      <c r="AG1469" s="198" t="s">
        <v>564</v>
      </c>
      <c r="AH1469" s="198" t="s">
        <v>112</v>
      </c>
      <c r="AI1469" s="198" t="s">
        <v>56</v>
      </c>
      <c r="AJ1469" s="198" t="s">
        <v>163</v>
      </c>
      <c r="AK1469" s="198" t="s">
        <v>51</v>
      </c>
      <c r="AL1469" s="198" t="s">
        <v>67</v>
      </c>
      <c r="AM1469" s="198" t="s">
        <v>68</v>
      </c>
      <c r="AN1469" s="202">
        <v>196216985</v>
      </c>
      <c r="AO1469" s="202">
        <v>196216985</v>
      </c>
      <c r="AP1469" s="202">
        <v>196216985</v>
      </c>
      <c r="AQ1469" s="198" t="s">
        <v>358</v>
      </c>
      <c r="AR1469" s="198" t="s">
        <v>51</v>
      </c>
      <c r="AS1469" s="202">
        <v>10447938.42</v>
      </c>
      <c r="AT1469" s="202">
        <v>10447938.42</v>
      </c>
      <c r="AU1469" s="198" t="s">
        <v>359</v>
      </c>
      <c r="AV1469" s="198" t="s">
        <v>62</v>
      </c>
      <c r="AW1469" s="198" t="s">
        <v>719</v>
      </c>
    </row>
    <row r="1470" spans="3:49" outlineLevel="2" x14ac:dyDescent="0.25">
      <c r="C1470" s="201"/>
      <c r="D1470" s="198" t="s">
        <v>222</v>
      </c>
      <c r="H1470" s="198" t="s">
        <v>222</v>
      </c>
      <c r="I1470" s="202">
        <f t="shared" si="22"/>
        <v>610762589.55000007</v>
      </c>
      <c r="J1470" s="202">
        <v>147.9</v>
      </c>
      <c r="L1470" s="204">
        <v>1</v>
      </c>
      <c r="M1470" s="202">
        <v>149284930</v>
      </c>
      <c r="N1470" s="204">
        <v>0</v>
      </c>
      <c r="O1470" s="198" t="s">
        <v>51</v>
      </c>
      <c r="P1470" s="202">
        <v>117471854.04000001</v>
      </c>
      <c r="Q1470" s="198" t="s">
        <v>159</v>
      </c>
      <c r="R1470" s="198" t="s">
        <v>160</v>
      </c>
      <c r="S1470" s="198" t="s">
        <v>54</v>
      </c>
      <c r="T1470" s="198" t="s">
        <v>718</v>
      </c>
      <c r="U1470" s="198" t="s">
        <v>2083</v>
      </c>
      <c r="V1470" s="198" t="s">
        <v>56</v>
      </c>
      <c r="W1470" s="198" t="s">
        <v>356</v>
      </c>
      <c r="X1470" s="198" t="s">
        <v>161</v>
      </c>
      <c r="Y1470" s="198" t="s">
        <v>162</v>
      </c>
      <c r="Z1470" s="201">
        <v>46248</v>
      </c>
      <c r="AA1470" s="198" t="s">
        <v>59</v>
      </c>
      <c r="AB1470" s="198" t="s">
        <v>60</v>
      </c>
      <c r="AC1470" s="198" t="s">
        <v>86</v>
      </c>
      <c r="AD1470" s="198" t="s">
        <v>62</v>
      </c>
      <c r="AE1470" s="198" t="s">
        <v>54</v>
      </c>
      <c r="AF1470" s="198" t="s">
        <v>54</v>
      </c>
      <c r="AG1470" s="198" t="s">
        <v>564</v>
      </c>
      <c r="AH1470" s="198" t="s">
        <v>112</v>
      </c>
      <c r="AI1470" s="198" t="s">
        <v>56</v>
      </c>
      <c r="AJ1470" s="198" t="s">
        <v>163</v>
      </c>
      <c r="AK1470" s="198" t="s">
        <v>51</v>
      </c>
      <c r="AL1470" s="198" t="s">
        <v>67</v>
      </c>
      <c r="AM1470" s="198" t="s">
        <v>68</v>
      </c>
      <c r="AN1470" s="202">
        <v>149284930</v>
      </c>
      <c r="AO1470" s="202">
        <v>149284930</v>
      </c>
      <c r="AP1470" s="202">
        <v>149284930</v>
      </c>
      <c r="AQ1470" s="198" t="s">
        <v>358</v>
      </c>
      <c r="AR1470" s="198" t="s">
        <v>51</v>
      </c>
      <c r="AS1470" s="202">
        <v>117471854.04000001</v>
      </c>
      <c r="AT1470" s="202">
        <v>117471854.04000001</v>
      </c>
      <c r="AU1470" s="198" t="s">
        <v>359</v>
      </c>
      <c r="AV1470" s="198" t="s">
        <v>62</v>
      </c>
      <c r="AW1470" s="198" t="s">
        <v>719</v>
      </c>
    </row>
    <row r="1471" spans="3:49" outlineLevel="2" x14ac:dyDescent="0.25">
      <c r="C1471" s="201"/>
      <c r="D1471" s="198" t="s">
        <v>223</v>
      </c>
      <c r="H1471" s="198" t="s">
        <v>223</v>
      </c>
      <c r="I1471" s="202">
        <f t="shared" si="22"/>
        <v>611175546</v>
      </c>
      <c r="J1471" s="202">
        <v>148</v>
      </c>
      <c r="L1471" s="204">
        <v>1</v>
      </c>
      <c r="M1471" s="202">
        <v>8305585</v>
      </c>
      <c r="N1471" s="204">
        <v>0</v>
      </c>
      <c r="O1471" s="198" t="s">
        <v>51</v>
      </c>
      <c r="P1471" s="202">
        <v>1687912.8</v>
      </c>
      <c r="Q1471" s="198" t="s">
        <v>159</v>
      </c>
      <c r="R1471" s="198" t="s">
        <v>160</v>
      </c>
      <c r="S1471" s="198" t="s">
        <v>54</v>
      </c>
      <c r="T1471" s="198" t="s">
        <v>718</v>
      </c>
      <c r="U1471" s="198" t="s">
        <v>2083</v>
      </c>
      <c r="V1471" s="198" t="s">
        <v>56</v>
      </c>
      <c r="W1471" s="198" t="s">
        <v>356</v>
      </c>
      <c r="X1471" s="198" t="s">
        <v>161</v>
      </c>
      <c r="Y1471" s="198" t="s">
        <v>162</v>
      </c>
      <c r="Z1471" s="201">
        <v>46248</v>
      </c>
      <c r="AA1471" s="198" t="s">
        <v>59</v>
      </c>
      <c r="AB1471" s="198" t="s">
        <v>60</v>
      </c>
      <c r="AC1471" s="198" t="s">
        <v>86</v>
      </c>
      <c r="AD1471" s="198" t="s">
        <v>62</v>
      </c>
      <c r="AE1471" s="198" t="s">
        <v>54</v>
      </c>
      <c r="AF1471" s="198" t="s">
        <v>54</v>
      </c>
      <c r="AG1471" s="198" t="s">
        <v>564</v>
      </c>
      <c r="AH1471" s="198" t="s">
        <v>112</v>
      </c>
      <c r="AI1471" s="198" t="s">
        <v>56</v>
      </c>
      <c r="AJ1471" s="198" t="s">
        <v>163</v>
      </c>
      <c r="AK1471" s="198" t="s">
        <v>51</v>
      </c>
      <c r="AL1471" s="198" t="s">
        <v>67</v>
      </c>
      <c r="AM1471" s="198" t="s">
        <v>68</v>
      </c>
      <c r="AN1471" s="202">
        <v>8305585</v>
      </c>
      <c r="AO1471" s="202">
        <v>8305585</v>
      </c>
      <c r="AP1471" s="202">
        <v>8305585</v>
      </c>
      <c r="AQ1471" s="198" t="s">
        <v>358</v>
      </c>
      <c r="AR1471" s="198" t="s">
        <v>51</v>
      </c>
      <c r="AS1471" s="202">
        <v>1687912.8</v>
      </c>
      <c r="AT1471" s="202">
        <v>1687912.8</v>
      </c>
      <c r="AU1471" s="198" t="s">
        <v>359</v>
      </c>
      <c r="AV1471" s="198" t="s">
        <v>62</v>
      </c>
      <c r="AW1471" s="198" t="s">
        <v>719</v>
      </c>
    </row>
    <row r="1472" spans="3:49" outlineLevel="2" x14ac:dyDescent="0.25">
      <c r="C1472" s="201"/>
      <c r="D1472" s="198" t="s">
        <v>225</v>
      </c>
      <c r="H1472" s="198" t="s">
        <v>225</v>
      </c>
      <c r="I1472" s="202">
        <f t="shared" si="22"/>
        <v>611588502.44999993</v>
      </c>
      <c r="J1472" s="202">
        <v>148.1</v>
      </c>
      <c r="L1472" s="204">
        <v>1</v>
      </c>
      <c r="M1472" s="202">
        <v>3933135</v>
      </c>
      <c r="N1472" s="204">
        <v>0</v>
      </c>
      <c r="O1472" s="198" t="s">
        <v>51</v>
      </c>
      <c r="P1472" s="202">
        <v>365360</v>
      </c>
      <c r="Q1472" s="198" t="s">
        <v>159</v>
      </c>
      <c r="R1472" s="198" t="s">
        <v>160</v>
      </c>
      <c r="S1472" s="198" t="s">
        <v>54</v>
      </c>
      <c r="T1472" s="198" t="s">
        <v>718</v>
      </c>
      <c r="U1472" s="198" t="s">
        <v>2083</v>
      </c>
      <c r="V1472" s="198" t="s">
        <v>56</v>
      </c>
      <c r="W1472" s="198" t="s">
        <v>356</v>
      </c>
      <c r="X1472" s="198" t="s">
        <v>161</v>
      </c>
      <c r="Y1472" s="198" t="s">
        <v>162</v>
      </c>
      <c r="Z1472" s="201">
        <v>46248</v>
      </c>
      <c r="AA1472" s="198" t="s">
        <v>59</v>
      </c>
      <c r="AB1472" s="198" t="s">
        <v>60</v>
      </c>
      <c r="AC1472" s="198" t="s">
        <v>86</v>
      </c>
      <c r="AD1472" s="198" t="s">
        <v>62</v>
      </c>
      <c r="AE1472" s="198" t="s">
        <v>54</v>
      </c>
      <c r="AF1472" s="198" t="s">
        <v>54</v>
      </c>
      <c r="AG1472" s="198" t="s">
        <v>564</v>
      </c>
      <c r="AH1472" s="198" t="s">
        <v>112</v>
      </c>
      <c r="AI1472" s="198" t="s">
        <v>56</v>
      </c>
      <c r="AJ1472" s="198" t="s">
        <v>163</v>
      </c>
      <c r="AK1472" s="198" t="s">
        <v>51</v>
      </c>
      <c r="AL1472" s="198" t="s">
        <v>67</v>
      </c>
      <c r="AM1472" s="198" t="s">
        <v>68</v>
      </c>
      <c r="AN1472" s="202">
        <v>3933135</v>
      </c>
      <c r="AO1472" s="202">
        <v>3933135</v>
      </c>
      <c r="AP1472" s="202">
        <v>3933135</v>
      </c>
      <c r="AQ1472" s="198" t="s">
        <v>358</v>
      </c>
      <c r="AR1472" s="198" t="s">
        <v>51</v>
      </c>
      <c r="AS1472" s="202">
        <v>365360</v>
      </c>
      <c r="AT1472" s="202">
        <v>365360</v>
      </c>
      <c r="AU1472" s="198" t="s">
        <v>359</v>
      </c>
      <c r="AV1472" s="198" t="s">
        <v>62</v>
      </c>
      <c r="AW1472" s="198" t="s">
        <v>719</v>
      </c>
    </row>
    <row r="1473" spans="3:49" outlineLevel="2" x14ac:dyDescent="0.25">
      <c r="C1473" s="201"/>
      <c r="D1473" s="198" t="s">
        <v>218</v>
      </c>
      <c r="H1473" s="198" t="s">
        <v>218</v>
      </c>
      <c r="I1473" s="202">
        <f t="shared" si="22"/>
        <v>612001458.89999998</v>
      </c>
      <c r="J1473" s="202">
        <v>148.19999999999999</v>
      </c>
      <c r="L1473" s="204">
        <v>1</v>
      </c>
      <c r="M1473" s="202">
        <v>76947790</v>
      </c>
      <c r="N1473" s="204">
        <v>0</v>
      </c>
      <c r="O1473" s="198" t="s">
        <v>51</v>
      </c>
      <c r="P1473" s="202">
        <v>11681499.300000001</v>
      </c>
      <c r="Q1473" s="198" t="s">
        <v>159</v>
      </c>
      <c r="R1473" s="198" t="s">
        <v>160</v>
      </c>
      <c r="S1473" s="198" t="s">
        <v>54</v>
      </c>
      <c r="T1473" s="198" t="s">
        <v>718</v>
      </c>
      <c r="U1473" s="198" t="s">
        <v>55</v>
      </c>
      <c r="V1473" s="198" t="s">
        <v>56</v>
      </c>
      <c r="W1473" s="198" t="s">
        <v>356</v>
      </c>
      <c r="X1473" s="198" t="s">
        <v>161</v>
      </c>
      <c r="Y1473" s="198" t="s">
        <v>162</v>
      </c>
      <c r="Z1473" s="201">
        <v>46248</v>
      </c>
      <c r="AA1473" s="198" t="s">
        <v>59</v>
      </c>
      <c r="AB1473" s="198" t="s">
        <v>60</v>
      </c>
      <c r="AC1473" s="198" t="s">
        <v>86</v>
      </c>
      <c r="AD1473" s="198" t="s">
        <v>62</v>
      </c>
      <c r="AE1473" s="198" t="s">
        <v>54</v>
      </c>
      <c r="AF1473" s="198" t="s">
        <v>54</v>
      </c>
      <c r="AG1473" s="198" t="s">
        <v>564</v>
      </c>
      <c r="AH1473" s="198" t="s">
        <v>95</v>
      </c>
      <c r="AI1473" s="198" t="s">
        <v>56</v>
      </c>
      <c r="AJ1473" s="198" t="s">
        <v>163</v>
      </c>
      <c r="AK1473" s="198" t="s">
        <v>51</v>
      </c>
      <c r="AL1473" s="198" t="s">
        <v>67</v>
      </c>
      <c r="AM1473" s="198" t="s">
        <v>68</v>
      </c>
      <c r="AN1473" s="202">
        <v>76947790</v>
      </c>
      <c r="AO1473" s="202">
        <v>76947790</v>
      </c>
      <c r="AP1473" s="202">
        <v>76947790</v>
      </c>
      <c r="AQ1473" s="198" t="s">
        <v>358</v>
      </c>
      <c r="AR1473" s="198" t="s">
        <v>51</v>
      </c>
      <c r="AS1473" s="202">
        <v>11681499.300000001</v>
      </c>
      <c r="AT1473" s="202">
        <v>11681499.300000001</v>
      </c>
      <c r="AU1473" s="198" t="s">
        <v>359</v>
      </c>
      <c r="AV1473" s="198" t="s">
        <v>62</v>
      </c>
      <c r="AW1473" s="198" t="s">
        <v>719</v>
      </c>
    </row>
    <row r="1474" spans="3:49" outlineLevel="2" x14ac:dyDescent="0.25">
      <c r="C1474" s="201"/>
      <c r="D1474" s="198" t="s">
        <v>219</v>
      </c>
      <c r="H1474" s="198" t="s">
        <v>219</v>
      </c>
      <c r="I1474" s="202">
        <f t="shared" si="22"/>
        <v>612414415.35000002</v>
      </c>
      <c r="J1474" s="202">
        <v>148.30000000000001</v>
      </c>
      <c r="L1474" s="203">
        <v>0.97899999999999998</v>
      </c>
      <c r="M1474" s="202">
        <v>54809400</v>
      </c>
      <c r="N1474" s="204">
        <v>0</v>
      </c>
      <c r="O1474" s="198" t="s">
        <v>51</v>
      </c>
      <c r="P1474" s="202">
        <v>42968651.439999998</v>
      </c>
      <c r="Q1474" s="198" t="s">
        <v>159</v>
      </c>
      <c r="R1474" s="198" t="s">
        <v>160</v>
      </c>
      <c r="S1474" s="198" t="s">
        <v>54</v>
      </c>
      <c r="T1474" s="198" t="s">
        <v>718</v>
      </c>
      <c r="U1474" s="198" t="s">
        <v>55</v>
      </c>
      <c r="V1474" s="198" t="s">
        <v>56</v>
      </c>
      <c r="W1474" s="198" t="s">
        <v>356</v>
      </c>
      <c r="X1474" s="198" t="s">
        <v>161</v>
      </c>
      <c r="Y1474" s="198" t="s">
        <v>162</v>
      </c>
      <c r="Z1474" s="201">
        <v>46248</v>
      </c>
      <c r="AA1474" s="198" t="s">
        <v>59</v>
      </c>
      <c r="AB1474" s="198" t="s">
        <v>60</v>
      </c>
      <c r="AC1474" s="198" t="s">
        <v>86</v>
      </c>
      <c r="AD1474" s="198" t="s">
        <v>62</v>
      </c>
      <c r="AE1474" s="198" t="s">
        <v>54</v>
      </c>
      <c r="AF1474" s="198" t="s">
        <v>54</v>
      </c>
      <c r="AG1474" s="198" t="s">
        <v>564</v>
      </c>
      <c r="AH1474" s="198" t="s">
        <v>95</v>
      </c>
      <c r="AI1474" s="198" t="s">
        <v>56</v>
      </c>
      <c r="AJ1474" s="198" t="s">
        <v>163</v>
      </c>
      <c r="AK1474" s="198" t="s">
        <v>51</v>
      </c>
      <c r="AL1474" s="198" t="s">
        <v>67</v>
      </c>
      <c r="AM1474" s="198" t="s">
        <v>68</v>
      </c>
      <c r="AN1474" s="202">
        <v>54809400</v>
      </c>
      <c r="AO1474" s="202">
        <v>54809400</v>
      </c>
      <c r="AP1474" s="202">
        <v>54809400</v>
      </c>
      <c r="AQ1474" s="198" t="s">
        <v>358</v>
      </c>
      <c r="AR1474" s="198" t="s">
        <v>51</v>
      </c>
      <c r="AS1474" s="202">
        <v>42968651.439999998</v>
      </c>
      <c r="AT1474" s="202">
        <v>42968651.439999998</v>
      </c>
      <c r="AU1474" s="198" t="s">
        <v>359</v>
      </c>
      <c r="AV1474" s="198" t="s">
        <v>62</v>
      </c>
      <c r="AW1474" s="198" t="s">
        <v>719</v>
      </c>
    </row>
    <row r="1475" spans="3:49" outlineLevel="2" x14ac:dyDescent="0.25">
      <c r="C1475" s="201"/>
      <c r="D1475" s="198" t="s">
        <v>219</v>
      </c>
      <c r="H1475" s="198" t="s">
        <v>219</v>
      </c>
      <c r="I1475" s="202">
        <f t="shared" ref="I1475:I1538" si="23">J1475*4129564.5</f>
        <v>612827371.80000007</v>
      </c>
      <c r="J1475" s="202">
        <v>148.4</v>
      </c>
      <c r="L1475" s="203">
        <v>2.1000000000000001E-2</v>
      </c>
      <c r="M1475" s="202">
        <v>1155000</v>
      </c>
      <c r="N1475" s="203">
        <v>2.1000000000000001E-2</v>
      </c>
      <c r="O1475" s="198" t="s">
        <v>51</v>
      </c>
      <c r="P1475" s="202">
        <v>1155000</v>
      </c>
      <c r="Q1475" s="198" t="s">
        <v>159</v>
      </c>
      <c r="R1475" s="198" t="s">
        <v>226</v>
      </c>
      <c r="S1475" s="198" t="s">
        <v>54</v>
      </c>
      <c r="T1475" s="198" t="s">
        <v>718</v>
      </c>
      <c r="U1475" s="198" t="s">
        <v>55</v>
      </c>
      <c r="V1475" s="198" t="s">
        <v>147</v>
      </c>
      <c r="W1475" s="198" t="s">
        <v>356</v>
      </c>
      <c r="X1475" s="198" t="s">
        <v>227</v>
      </c>
      <c r="Y1475" s="198" t="s">
        <v>228</v>
      </c>
      <c r="Z1475" s="201">
        <v>46248</v>
      </c>
      <c r="AA1475" s="198" t="s">
        <v>59</v>
      </c>
      <c r="AB1475" s="198" t="s">
        <v>60</v>
      </c>
      <c r="AC1475" s="198" t="s">
        <v>86</v>
      </c>
      <c r="AD1475" s="198" t="s">
        <v>62</v>
      </c>
      <c r="AE1475" s="198" t="s">
        <v>54</v>
      </c>
      <c r="AF1475" s="198" t="s">
        <v>54</v>
      </c>
      <c r="AG1475" s="198" t="s">
        <v>564</v>
      </c>
      <c r="AH1475" s="198" t="s">
        <v>95</v>
      </c>
      <c r="AI1475" s="198" t="s">
        <v>56</v>
      </c>
      <c r="AJ1475" s="198" t="s">
        <v>163</v>
      </c>
      <c r="AK1475" s="198" t="s">
        <v>51</v>
      </c>
      <c r="AL1475" s="198" t="s">
        <v>67</v>
      </c>
      <c r="AM1475" s="198" t="s">
        <v>68</v>
      </c>
      <c r="AN1475" s="202">
        <v>1155000</v>
      </c>
      <c r="AO1475" s="202">
        <v>1155000</v>
      </c>
      <c r="AP1475" s="202">
        <v>1155000</v>
      </c>
      <c r="AQ1475" s="198" t="s">
        <v>358</v>
      </c>
      <c r="AR1475" s="198" t="s">
        <v>51</v>
      </c>
      <c r="AS1475" s="202">
        <v>1155000</v>
      </c>
      <c r="AT1475" s="202">
        <v>1155000</v>
      </c>
      <c r="AU1475" s="198" t="s">
        <v>359</v>
      </c>
      <c r="AV1475" s="198" t="s">
        <v>62</v>
      </c>
      <c r="AW1475" s="198" t="s">
        <v>719</v>
      </c>
    </row>
    <row r="1476" spans="3:49" outlineLevel="2" x14ac:dyDescent="0.25">
      <c r="C1476" s="201"/>
      <c r="D1476" s="198" t="s">
        <v>220</v>
      </c>
      <c r="H1476" s="198" t="s">
        <v>220</v>
      </c>
      <c r="I1476" s="202">
        <f t="shared" si="23"/>
        <v>613240328.25</v>
      </c>
      <c r="J1476" s="202">
        <v>148.5</v>
      </c>
      <c r="L1476" s="204">
        <v>1</v>
      </c>
      <c r="M1476" s="202">
        <v>3312875</v>
      </c>
      <c r="N1476" s="204">
        <v>0</v>
      </c>
      <c r="O1476" s="198" t="s">
        <v>51</v>
      </c>
      <c r="P1476" s="202">
        <v>687595.72</v>
      </c>
      <c r="Q1476" s="198" t="s">
        <v>159</v>
      </c>
      <c r="R1476" s="198" t="s">
        <v>160</v>
      </c>
      <c r="S1476" s="198" t="s">
        <v>54</v>
      </c>
      <c r="T1476" s="198" t="s">
        <v>718</v>
      </c>
      <c r="U1476" s="198" t="s">
        <v>367</v>
      </c>
      <c r="V1476" s="198" t="s">
        <v>56</v>
      </c>
      <c r="W1476" s="198" t="s">
        <v>356</v>
      </c>
      <c r="X1476" s="198" t="s">
        <v>161</v>
      </c>
      <c r="Y1476" s="198" t="s">
        <v>162</v>
      </c>
      <c r="Z1476" s="201">
        <v>46248</v>
      </c>
      <c r="AA1476" s="198" t="s">
        <v>59</v>
      </c>
      <c r="AB1476" s="198" t="s">
        <v>60</v>
      </c>
      <c r="AC1476" s="198" t="s">
        <v>86</v>
      </c>
      <c r="AD1476" s="198" t="s">
        <v>62</v>
      </c>
      <c r="AE1476" s="198" t="s">
        <v>54</v>
      </c>
      <c r="AF1476" s="198" t="s">
        <v>54</v>
      </c>
      <c r="AG1476" s="198" t="s">
        <v>564</v>
      </c>
      <c r="AH1476" s="198" t="s">
        <v>95</v>
      </c>
      <c r="AI1476" s="198" t="s">
        <v>56</v>
      </c>
      <c r="AJ1476" s="198" t="s">
        <v>163</v>
      </c>
      <c r="AK1476" s="198" t="s">
        <v>51</v>
      </c>
      <c r="AL1476" s="198" t="s">
        <v>67</v>
      </c>
      <c r="AM1476" s="198" t="s">
        <v>68</v>
      </c>
      <c r="AN1476" s="202">
        <v>3312875</v>
      </c>
      <c r="AO1476" s="202">
        <v>3312875</v>
      </c>
      <c r="AP1476" s="202">
        <v>3312875</v>
      </c>
      <c r="AQ1476" s="198" t="s">
        <v>358</v>
      </c>
      <c r="AR1476" s="198" t="s">
        <v>51</v>
      </c>
      <c r="AS1476" s="202">
        <v>687595.72</v>
      </c>
      <c r="AT1476" s="202">
        <v>687595.72</v>
      </c>
      <c r="AU1476" s="198" t="s">
        <v>359</v>
      </c>
      <c r="AV1476" s="198" t="s">
        <v>62</v>
      </c>
      <c r="AW1476" s="198" t="s">
        <v>719</v>
      </c>
    </row>
    <row r="1477" spans="3:49" outlineLevel="2" x14ac:dyDescent="0.25">
      <c r="C1477" s="201"/>
      <c r="D1477" s="198" t="s">
        <v>229</v>
      </c>
      <c r="H1477" s="198" t="s">
        <v>229</v>
      </c>
      <c r="I1477" s="202">
        <f t="shared" si="23"/>
        <v>613653284.69999993</v>
      </c>
      <c r="J1477" s="202">
        <v>148.6</v>
      </c>
      <c r="L1477" s="204">
        <v>1</v>
      </c>
      <c r="M1477" s="202">
        <v>1672095</v>
      </c>
      <c r="N1477" s="204">
        <v>0</v>
      </c>
      <c r="O1477" s="198" t="s">
        <v>51</v>
      </c>
      <c r="P1477" s="202">
        <v>250544</v>
      </c>
      <c r="Q1477" s="198" t="s">
        <v>159</v>
      </c>
      <c r="R1477" s="198" t="s">
        <v>160</v>
      </c>
      <c r="S1477" s="198" t="s">
        <v>54</v>
      </c>
      <c r="T1477" s="198" t="s">
        <v>718</v>
      </c>
      <c r="U1477" s="198" t="s">
        <v>367</v>
      </c>
      <c r="V1477" s="198" t="s">
        <v>56</v>
      </c>
      <c r="W1477" s="198" t="s">
        <v>356</v>
      </c>
      <c r="X1477" s="198" t="s">
        <v>161</v>
      </c>
      <c r="Y1477" s="198" t="s">
        <v>162</v>
      </c>
      <c r="Z1477" s="201">
        <v>46248</v>
      </c>
      <c r="AA1477" s="198" t="s">
        <v>59</v>
      </c>
      <c r="AB1477" s="198" t="s">
        <v>60</v>
      </c>
      <c r="AC1477" s="198" t="s">
        <v>86</v>
      </c>
      <c r="AD1477" s="198" t="s">
        <v>62</v>
      </c>
      <c r="AE1477" s="198" t="s">
        <v>54</v>
      </c>
      <c r="AF1477" s="198" t="s">
        <v>54</v>
      </c>
      <c r="AG1477" s="198" t="s">
        <v>564</v>
      </c>
      <c r="AH1477" s="198" t="s">
        <v>95</v>
      </c>
      <c r="AI1477" s="198" t="s">
        <v>56</v>
      </c>
      <c r="AJ1477" s="198" t="s">
        <v>163</v>
      </c>
      <c r="AK1477" s="198" t="s">
        <v>51</v>
      </c>
      <c r="AL1477" s="198" t="s">
        <v>67</v>
      </c>
      <c r="AM1477" s="198" t="s">
        <v>68</v>
      </c>
      <c r="AN1477" s="202">
        <v>1672095</v>
      </c>
      <c r="AO1477" s="202">
        <v>1672095</v>
      </c>
      <c r="AP1477" s="202">
        <v>1672095</v>
      </c>
      <c r="AQ1477" s="198" t="s">
        <v>358</v>
      </c>
      <c r="AR1477" s="198" t="s">
        <v>51</v>
      </c>
      <c r="AS1477" s="202">
        <v>250544</v>
      </c>
      <c r="AT1477" s="202">
        <v>250544</v>
      </c>
      <c r="AU1477" s="198" t="s">
        <v>359</v>
      </c>
      <c r="AV1477" s="198" t="s">
        <v>62</v>
      </c>
      <c r="AW1477" s="198" t="s">
        <v>719</v>
      </c>
    </row>
    <row r="1478" spans="3:49" outlineLevel="2" x14ac:dyDescent="0.25">
      <c r="C1478" s="201"/>
      <c r="D1478" s="198" t="s">
        <v>735</v>
      </c>
      <c r="H1478" s="198" t="s">
        <v>735</v>
      </c>
      <c r="I1478" s="202">
        <f t="shared" si="23"/>
        <v>614066241.14999998</v>
      </c>
      <c r="J1478" s="202">
        <v>148.69999999999999</v>
      </c>
      <c r="L1478" s="204">
        <v>1</v>
      </c>
      <c r="M1478" s="202">
        <v>5233696</v>
      </c>
      <c r="N1478" s="204">
        <v>1</v>
      </c>
      <c r="O1478" s="198" t="s">
        <v>51</v>
      </c>
      <c r="P1478" s="202">
        <v>5233696</v>
      </c>
      <c r="Q1478" s="198" t="s">
        <v>159</v>
      </c>
      <c r="R1478" s="198" t="s">
        <v>160</v>
      </c>
      <c r="S1478" s="198" t="s">
        <v>54</v>
      </c>
      <c r="T1478" s="198" t="s">
        <v>736</v>
      </c>
      <c r="U1478" s="198" t="s">
        <v>80</v>
      </c>
      <c r="V1478" s="198" t="s">
        <v>56</v>
      </c>
      <c r="W1478" s="198" t="s">
        <v>356</v>
      </c>
      <c r="X1478" s="198" t="s">
        <v>161</v>
      </c>
      <c r="Y1478" s="198" t="s">
        <v>162</v>
      </c>
      <c r="Z1478" s="201">
        <v>46248</v>
      </c>
      <c r="AA1478" s="198" t="s">
        <v>59</v>
      </c>
      <c r="AB1478" s="198" t="s">
        <v>60</v>
      </c>
      <c r="AC1478" s="198" t="s">
        <v>86</v>
      </c>
      <c r="AD1478" s="198" t="s">
        <v>62</v>
      </c>
      <c r="AE1478" s="198" t="s">
        <v>54</v>
      </c>
      <c r="AF1478" s="198" t="s">
        <v>54</v>
      </c>
      <c r="AG1478" s="198" t="s">
        <v>564</v>
      </c>
      <c r="AH1478" s="198" t="s">
        <v>167</v>
      </c>
      <c r="AI1478" s="198" t="s">
        <v>56</v>
      </c>
      <c r="AJ1478" s="198" t="s">
        <v>163</v>
      </c>
      <c r="AK1478" s="198" t="s">
        <v>51</v>
      </c>
      <c r="AL1478" s="198" t="s">
        <v>67</v>
      </c>
      <c r="AM1478" s="198" t="s">
        <v>68</v>
      </c>
      <c r="AN1478" s="202">
        <v>5233696</v>
      </c>
      <c r="AO1478" s="202">
        <v>5233696</v>
      </c>
      <c r="AP1478" s="202">
        <v>5233696</v>
      </c>
      <c r="AQ1478" s="198" t="s">
        <v>358</v>
      </c>
      <c r="AR1478" s="198" t="s">
        <v>51</v>
      </c>
      <c r="AS1478" s="202">
        <v>5233696</v>
      </c>
      <c r="AT1478" s="202">
        <v>5233696</v>
      </c>
      <c r="AU1478" s="198" t="s">
        <v>359</v>
      </c>
      <c r="AV1478" s="198" t="s">
        <v>62</v>
      </c>
      <c r="AW1478" s="198" t="s">
        <v>54</v>
      </c>
    </row>
    <row r="1479" spans="3:49" outlineLevel="2" x14ac:dyDescent="0.25">
      <c r="C1479" s="201"/>
      <c r="D1479" s="198" t="s">
        <v>186</v>
      </c>
      <c r="H1479" s="198" t="s">
        <v>186</v>
      </c>
      <c r="I1479" s="202">
        <f t="shared" si="23"/>
        <v>614479197.60000002</v>
      </c>
      <c r="J1479" s="202">
        <v>148.80000000000001</v>
      </c>
      <c r="L1479" s="204">
        <v>1</v>
      </c>
      <c r="M1479" s="202">
        <v>5874843</v>
      </c>
      <c r="N1479" s="204">
        <v>1</v>
      </c>
      <c r="O1479" s="198" t="s">
        <v>51</v>
      </c>
      <c r="P1479" s="202">
        <v>5874843</v>
      </c>
      <c r="Q1479" s="198" t="s">
        <v>159</v>
      </c>
      <c r="R1479" s="198" t="s">
        <v>160</v>
      </c>
      <c r="S1479" s="198" t="s">
        <v>54</v>
      </c>
      <c r="T1479" s="198" t="s">
        <v>736</v>
      </c>
      <c r="U1479" s="198" t="s">
        <v>80</v>
      </c>
      <c r="V1479" s="198" t="s">
        <v>56</v>
      </c>
      <c r="W1479" s="198" t="s">
        <v>356</v>
      </c>
      <c r="X1479" s="198" t="s">
        <v>161</v>
      </c>
      <c r="Y1479" s="198" t="s">
        <v>162</v>
      </c>
      <c r="Z1479" s="201">
        <v>46248</v>
      </c>
      <c r="AA1479" s="198" t="s">
        <v>59</v>
      </c>
      <c r="AB1479" s="198" t="s">
        <v>60</v>
      </c>
      <c r="AC1479" s="198" t="s">
        <v>86</v>
      </c>
      <c r="AD1479" s="198" t="s">
        <v>62</v>
      </c>
      <c r="AE1479" s="198" t="s">
        <v>54</v>
      </c>
      <c r="AF1479" s="198" t="s">
        <v>54</v>
      </c>
      <c r="AG1479" s="198" t="s">
        <v>564</v>
      </c>
      <c r="AH1479" s="198" t="s">
        <v>65</v>
      </c>
      <c r="AI1479" s="198" t="s">
        <v>56</v>
      </c>
      <c r="AJ1479" s="198" t="s">
        <v>163</v>
      </c>
      <c r="AK1479" s="198" t="s">
        <v>51</v>
      </c>
      <c r="AL1479" s="198" t="s">
        <v>67</v>
      </c>
      <c r="AM1479" s="198" t="s">
        <v>68</v>
      </c>
      <c r="AN1479" s="202">
        <v>5874843</v>
      </c>
      <c r="AO1479" s="202">
        <v>5874843</v>
      </c>
      <c r="AP1479" s="202">
        <v>5874843</v>
      </c>
      <c r="AQ1479" s="198" t="s">
        <v>358</v>
      </c>
      <c r="AR1479" s="198" t="s">
        <v>51</v>
      </c>
      <c r="AS1479" s="202">
        <v>5874843</v>
      </c>
      <c r="AT1479" s="202">
        <v>5874843</v>
      </c>
      <c r="AU1479" s="198" t="s">
        <v>359</v>
      </c>
      <c r="AV1479" s="198" t="s">
        <v>62</v>
      </c>
      <c r="AW1479" s="198" t="s">
        <v>54</v>
      </c>
    </row>
    <row r="1480" spans="3:49" outlineLevel="2" x14ac:dyDescent="0.25">
      <c r="C1480" s="201"/>
      <c r="D1480" s="198" t="s">
        <v>186</v>
      </c>
      <c r="H1480" s="198" t="s">
        <v>186</v>
      </c>
      <c r="I1480" s="202">
        <f t="shared" si="23"/>
        <v>614892154.05000007</v>
      </c>
      <c r="J1480" s="202">
        <v>148.9</v>
      </c>
      <c r="L1480" s="204">
        <v>1</v>
      </c>
      <c r="M1480" s="202">
        <v>45513773</v>
      </c>
      <c r="N1480" s="204">
        <v>1</v>
      </c>
      <c r="O1480" s="198" t="s">
        <v>51</v>
      </c>
      <c r="P1480" s="202">
        <v>45513773</v>
      </c>
      <c r="Q1480" s="198" t="s">
        <v>159</v>
      </c>
      <c r="R1480" s="198" t="s">
        <v>160</v>
      </c>
      <c r="S1480" s="198" t="s">
        <v>54</v>
      </c>
      <c r="T1480" s="198" t="s">
        <v>736</v>
      </c>
      <c r="U1480" s="198" t="s">
        <v>80</v>
      </c>
      <c r="V1480" s="198" t="s">
        <v>56</v>
      </c>
      <c r="W1480" s="198" t="s">
        <v>356</v>
      </c>
      <c r="X1480" s="198" t="s">
        <v>161</v>
      </c>
      <c r="Y1480" s="198" t="s">
        <v>162</v>
      </c>
      <c r="Z1480" s="201">
        <v>46248</v>
      </c>
      <c r="AA1480" s="198" t="s">
        <v>59</v>
      </c>
      <c r="AB1480" s="198" t="s">
        <v>60</v>
      </c>
      <c r="AC1480" s="198" t="s">
        <v>86</v>
      </c>
      <c r="AD1480" s="198" t="s">
        <v>62</v>
      </c>
      <c r="AE1480" s="198" t="s">
        <v>54</v>
      </c>
      <c r="AF1480" s="198" t="s">
        <v>54</v>
      </c>
      <c r="AG1480" s="198" t="s">
        <v>564</v>
      </c>
      <c r="AH1480" s="198" t="s">
        <v>65</v>
      </c>
      <c r="AI1480" s="198" t="s">
        <v>56</v>
      </c>
      <c r="AJ1480" s="198" t="s">
        <v>163</v>
      </c>
      <c r="AK1480" s="198" t="s">
        <v>51</v>
      </c>
      <c r="AL1480" s="198" t="s">
        <v>67</v>
      </c>
      <c r="AM1480" s="198" t="s">
        <v>68</v>
      </c>
      <c r="AN1480" s="202">
        <v>45513773</v>
      </c>
      <c r="AO1480" s="202">
        <v>45513773</v>
      </c>
      <c r="AP1480" s="202">
        <v>45513773</v>
      </c>
      <c r="AQ1480" s="198" t="s">
        <v>358</v>
      </c>
      <c r="AR1480" s="198" t="s">
        <v>51</v>
      </c>
      <c r="AS1480" s="202">
        <v>45513773</v>
      </c>
      <c r="AT1480" s="202">
        <v>45513773</v>
      </c>
      <c r="AU1480" s="198" t="s">
        <v>359</v>
      </c>
      <c r="AV1480" s="198" t="s">
        <v>62</v>
      </c>
      <c r="AW1480" s="198" t="s">
        <v>54</v>
      </c>
    </row>
    <row r="1481" spans="3:49" outlineLevel="2" x14ac:dyDescent="0.25">
      <c r="C1481" s="201"/>
      <c r="D1481" s="198" t="s">
        <v>735</v>
      </c>
      <c r="H1481" s="198" t="s">
        <v>735</v>
      </c>
      <c r="I1481" s="202">
        <f t="shared" si="23"/>
        <v>615305110.5</v>
      </c>
      <c r="J1481" s="202">
        <v>149</v>
      </c>
      <c r="L1481" s="204">
        <v>1</v>
      </c>
      <c r="M1481" s="202">
        <v>40623961</v>
      </c>
      <c r="N1481" s="204">
        <v>1</v>
      </c>
      <c r="O1481" s="198" t="s">
        <v>51</v>
      </c>
      <c r="P1481" s="202">
        <v>40623961</v>
      </c>
      <c r="Q1481" s="198" t="s">
        <v>159</v>
      </c>
      <c r="R1481" s="198" t="s">
        <v>160</v>
      </c>
      <c r="S1481" s="198" t="s">
        <v>54</v>
      </c>
      <c r="T1481" s="198" t="s">
        <v>736</v>
      </c>
      <c r="U1481" s="198" t="s">
        <v>80</v>
      </c>
      <c r="V1481" s="198" t="s">
        <v>56</v>
      </c>
      <c r="W1481" s="198" t="s">
        <v>356</v>
      </c>
      <c r="X1481" s="198" t="s">
        <v>161</v>
      </c>
      <c r="Y1481" s="198" t="s">
        <v>162</v>
      </c>
      <c r="Z1481" s="201">
        <v>46248</v>
      </c>
      <c r="AA1481" s="198" t="s">
        <v>59</v>
      </c>
      <c r="AB1481" s="198" t="s">
        <v>60</v>
      </c>
      <c r="AC1481" s="198" t="s">
        <v>86</v>
      </c>
      <c r="AD1481" s="198" t="s">
        <v>62</v>
      </c>
      <c r="AE1481" s="198" t="s">
        <v>54</v>
      </c>
      <c r="AF1481" s="198" t="s">
        <v>54</v>
      </c>
      <c r="AG1481" s="198" t="s">
        <v>564</v>
      </c>
      <c r="AH1481" s="198" t="s">
        <v>167</v>
      </c>
      <c r="AI1481" s="198" t="s">
        <v>56</v>
      </c>
      <c r="AJ1481" s="198" t="s">
        <v>163</v>
      </c>
      <c r="AK1481" s="198" t="s">
        <v>51</v>
      </c>
      <c r="AL1481" s="198" t="s">
        <v>67</v>
      </c>
      <c r="AM1481" s="198" t="s">
        <v>68</v>
      </c>
      <c r="AN1481" s="202">
        <v>40623961</v>
      </c>
      <c r="AO1481" s="202">
        <v>40623961</v>
      </c>
      <c r="AP1481" s="202">
        <v>40623961</v>
      </c>
      <c r="AQ1481" s="198" t="s">
        <v>358</v>
      </c>
      <c r="AR1481" s="198" t="s">
        <v>51</v>
      </c>
      <c r="AS1481" s="202">
        <v>40623961</v>
      </c>
      <c r="AT1481" s="202">
        <v>40623961</v>
      </c>
      <c r="AU1481" s="198" t="s">
        <v>359</v>
      </c>
      <c r="AV1481" s="198" t="s">
        <v>62</v>
      </c>
      <c r="AW1481" s="198" t="s">
        <v>54</v>
      </c>
    </row>
    <row r="1482" spans="3:49" outlineLevel="2" x14ac:dyDescent="0.25">
      <c r="C1482" s="201"/>
      <c r="D1482" s="198" t="s">
        <v>208</v>
      </c>
      <c r="H1482" s="198" t="s">
        <v>208</v>
      </c>
      <c r="I1482" s="202">
        <f t="shared" si="23"/>
        <v>615718066.94999993</v>
      </c>
      <c r="J1482" s="202">
        <v>149.1</v>
      </c>
      <c r="L1482" s="204">
        <v>1</v>
      </c>
      <c r="M1482" s="202">
        <v>8643030.1999999993</v>
      </c>
      <c r="N1482" s="204">
        <v>1</v>
      </c>
      <c r="O1482" s="198" t="s">
        <v>51</v>
      </c>
      <c r="P1482" s="202">
        <v>8643030.1999999993</v>
      </c>
      <c r="Q1482" s="198" t="s">
        <v>159</v>
      </c>
      <c r="R1482" s="198" t="s">
        <v>160</v>
      </c>
      <c r="S1482" s="198" t="s">
        <v>54</v>
      </c>
      <c r="T1482" s="198" t="s">
        <v>2059</v>
      </c>
      <c r="U1482" s="198" t="s">
        <v>80</v>
      </c>
      <c r="V1482" s="198" t="s">
        <v>56</v>
      </c>
      <c r="W1482" s="198" t="s">
        <v>356</v>
      </c>
      <c r="X1482" s="198" t="s">
        <v>161</v>
      </c>
      <c r="Y1482" s="198" t="s">
        <v>162</v>
      </c>
      <c r="Z1482" s="201">
        <v>46248</v>
      </c>
      <c r="AA1482" s="198" t="s">
        <v>59</v>
      </c>
      <c r="AB1482" s="198" t="s">
        <v>60</v>
      </c>
      <c r="AC1482" s="198" t="s">
        <v>86</v>
      </c>
      <c r="AD1482" s="198" t="s">
        <v>62</v>
      </c>
      <c r="AE1482" s="198" t="s">
        <v>54</v>
      </c>
      <c r="AF1482" s="198" t="s">
        <v>54</v>
      </c>
      <c r="AG1482" s="198" t="s">
        <v>564</v>
      </c>
      <c r="AH1482" s="198" t="s">
        <v>95</v>
      </c>
      <c r="AI1482" s="198" t="s">
        <v>56</v>
      </c>
      <c r="AJ1482" s="198" t="s">
        <v>163</v>
      </c>
      <c r="AK1482" s="198" t="s">
        <v>51</v>
      </c>
      <c r="AL1482" s="198" t="s">
        <v>67</v>
      </c>
      <c r="AM1482" s="198" t="s">
        <v>68</v>
      </c>
      <c r="AN1482" s="202">
        <v>8643030.1999999993</v>
      </c>
      <c r="AO1482" s="202">
        <v>8643030.1999999993</v>
      </c>
      <c r="AP1482" s="202">
        <v>8643030.1999999993</v>
      </c>
      <c r="AQ1482" s="198" t="s">
        <v>358</v>
      </c>
      <c r="AR1482" s="198" t="s">
        <v>51</v>
      </c>
      <c r="AS1482" s="202">
        <v>8643030.1999999993</v>
      </c>
      <c r="AT1482" s="202">
        <v>8643030.1999999993</v>
      </c>
      <c r="AU1482" s="198" t="s">
        <v>359</v>
      </c>
      <c r="AV1482" s="198" t="s">
        <v>62</v>
      </c>
      <c r="AW1482" s="198" t="s">
        <v>54</v>
      </c>
    </row>
    <row r="1483" spans="3:49" outlineLevel="2" x14ac:dyDescent="0.25">
      <c r="C1483" s="201"/>
      <c r="D1483" s="198" t="s">
        <v>208</v>
      </c>
      <c r="H1483" s="198" t="s">
        <v>208</v>
      </c>
      <c r="I1483" s="202">
        <f t="shared" si="23"/>
        <v>616131023.39999998</v>
      </c>
      <c r="J1483" s="202">
        <v>149.19999999999999</v>
      </c>
      <c r="L1483" s="204">
        <v>1</v>
      </c>
      <c r="M1483" s="202">
        <v>14688218.800000001</v>
      </c>
      <c r="N1483" s="204">
        <v>1</v>
      </c>
      <c r="O1483" s="198" t="s">
        <v>51</v>
      </c>
      <c r="P1483" s="202">
        <v>14688218.800000001</v>
      </c>
      <c r="Q1483" s="198" t="s">
        <v>159</v>
      </c>
      <c r="R1483" s="198" t="s">
        <v>160</v>
      </c>
      <c r="S1483" s="198" t="s">
        <v>54</v>
      </c>
      <c r="T1483" s="198" t="s">
        <v>2059</v>
      </c>
      <c r="U1483" s="198" t="s">
        <v>80</v>
      </c>
      <c r="V1483" s="198" t="s">
        <v>56</v>
      </c>
      <c r="W1483" s="198" t="s">
        <v>356</v>
      </c>
      <c r="X1483" s="198" t="s">
        <v>161</v>
      </c>
      <c r="Y1483" s="198" t="s">
        <v>162</v>
      </c>
      <c r="Z1483" s="201">
        <v>46248</v>
      </c>
      <c r="AA1483" s="198" t="s">
        <v>59</v>
      </c>
      <c r="AB1483" s="198" t="s">
        <v>60</v>
      </c>
      <c r="AC1483" s="198" t="s">
        <v>86</v>
      </c>
      <c r="AD1483" s="198" t="s">
        <v>62</v>
      </c>
      <c r="AE1483" s="198" t="s">
        <v>54</v>
      </c>
      <c r="AF1483" s="198" t="s">
        <v>54</v>
      </c>
      <c r="AG1483" s="198" t="s">
        <v>564</v>
      </c>
      <c r="AH1483" s="198" t="s">
        <v>95</v>
      </c>
      <c r="AI1483" s="198" t="s">
        <v>56</v>
      </c>
      <c r="AJ1483" s="198" t="s">
        <v>163</v>
      </c>
      <c r="AK1483" s="198" t="s">
        <v>51</v>
      </c>
      <c r="AL1483" s="198" t="s">
        <v>67</v>
      </c>
      <c r="AM1483" s="198" t="s">
        <v>68</v>
      </c>
      <c r="AN1483" s="202">
        <v>14688218.800000001</v>
      </c>
      <c r="AO1483" s="202">
        <v>14688218.800000001</v>
      </c>
      <c r="AP1483" s="202">
        <v>14688218.800000001</v>
      </c>
      <c r="AQ1483" s="198" t="s">
        <v>358</v>
      </c>
      <c r="AR1483" s="198" t="s">
        <v>51</v>
      </c>
      <c r="AS1483" s="202">
        <v>14688218.800000001</v>
      </c>
      <c r="AT1483" s="202">
        <v>14688218.800000001</v>
      </c>
      <c r="AU1483" s="198" t="s">
        <v>359</v>
      </c>
      <c r="AV1483" s="198" t="s">
        <v>62</v>
      </c>
      <c r="AW1483" s="198" t="s">
        <v>54</v>
      </c>
    </row>
    <row r="1484" spans="3:49" outlineLevel="2" x14ac:dyDescent="0.25">
      <c r="C1484" s="201"/>
      <c r="D1484" s="198" t="s">
        <v>211</v>
      </c>
      <c r="H1484" s="198" t="s">
        <v>211</v>
      </c>
      <c r="I1484" s="202">
        <f t="shared" si="23"/>
        <v>616543979.85000002</v>
      </c>
      <c r="J1484" s="202">
        <v>149.30000000000001</v>
      </c>
      <c r="L1484" s="204">
        <v>1</v>
      </c>
      <c r="M1484" s="202">
        <v>17232195</v>
      </c>
      <c r="N1484" s="204">
        <v>1</v>
      </c>
      <c r="O1484" s="198" t="s">
        <v>51</v>
      </c>
      <c r="P1484" s="202">
        <v>17232195</v>
      </c>
      <c r="Q1484" s="198" t="s">
        <v>159</v>
      </c>
      <c r="R1484" s="198" t="s">
        <v>160</v>
      </c>
      <c r="S1484" s="198" t="s">
        <v>54</v>
      </c>
      <c r="T1484" s="198" t="s">
        <v>2060</v>
      </c>
      <c r="U1484" s="198" t="s">
        <v>367</v>
      </c>
      <c r="V1484" s="198" t="s">
        <v>56</v>
      </c>
      <c r="W1484" s="198" t="s">
        <v>356</v>
      </c>
      <c r="X1484" s="198" t="s">
        <v>161</v>
      </c>
      <c r="Y1484" s="198" t="s">
        <v>162</v>
      </c>
      <c r="Z1484" s="201">
        <v>46248</v>
      </c>
      <c r="AA1484" s="198" t="s">
        <v>59</v>
      </c>
      <c r="AB1484" s="198" t="s">
        <v>60</v>
      </c>
      <c r="AC1484" s="198" t="s">
        <v>86</v>
      </c>
      <c r="AD1484" s="198" t="s">
        <v>62</v>
      </c>
      <c r="AE1484" s="198" t="s">
        <v>54</v>
      </c>
      <c r="AF1484" s="198" t="s">
        <v>54</v>
      </c>
      <c r="AG1484" s="198" t="s">
        <v>564</v>
      </c>
      <c r="AH1484" s="198" t="s">
        <v>112</v>
      </c>
      <c r="AI1484" s="198" t="s">
        <v>56</v>
      </c>
      <c r="AJ1484" s="198" t="s">
        <v>163</v>
      </c>
      <c r="AK1484" s="198" t="s">
        <v>51</v>
      </c>
      <c r="AL1484" s="198" t="s">
        <v>67</v>
      </c>
      <c r="AM1484" s="198" t="s">
        <v>68</v>
      </c>
      <c r="AN1484" s="202">
        <v>17232195</v>
      </c>
      <c r="AO1484" s="202">
        <v>17232195</v>
      </c>
      <c r="AP1484" s="202">
        <v>17232195</v>
      </c>
      <c r="AQ1484" s="198" t="s">
        <v>358</v>
      </c>
      <c r="AR1484" s="198" t="s">
        <v>51</v>
      </c>
      <c r="AS1484" s="202">
        <v>17232195</v>
      </c>
      <c r="AT1484" s="202">
        <v>17232195</v>
      </c>
      <c r="AU1484" s="198" t="s">
        <v>359</v>
      </c>
      <c r="AV1484" s="198" t="s">
        <v>62</v>
      </c>
      <c r="AW1484" s="198" t="s">
        <v>54</v>
      </c>
    </row>
    <row r="1485" spans="3:49" outlineLevel="2" x14ac:dyDescent="0.25">
      <c r="C1485" s="201"/>
      <c r="D1485" s="198" t="s">
        <v>211</v>
      </c>
      <c r="H1485" s="198" t="s">
        <v>211</v>
      </c>
      <c r="I1485" s="202">
        <f t="shared" si="23"/>
        <v>616956936.30000007</v>
      </c>
      <c r="J1485" s="202">
        <v>149.4</v>
      </c>
      <c r="L1485" s="204">
        <v>1</v>
      </c>
      <c r="M1485" s="202">
        <v>2265520</v>
      </c>
      <c r="N1485" s="204">
        <v>1</v>
      </c>
      <c r="O1485" s="198" t="s">
        <v>51</v>
      </c>
      <c r="P1485" s="202">
        <v>2265520</v>
      </c>
      <c r="Q1485" s="198" t="s">
        <v>159</v>
      </c>
      <c r="R1485" s="198" t="s">
        <v>160</v>
      </c>
      <c r="S1485" s="198" t="s">
        <v>54</v>
      </c>
      <c r="T1485" s="198" t="s">
        <v>2060</v>
      </c>
      <c r="U1485" s="198" t="s">
        <v>367</v>
      </c>
      <c r="V1485" s="198" t="s">
        <v>56</v>
      </c>
      <c r="W1485" s="198" t="s">
        <v>356</v>
      </c>
      <c r="X1485" s="198" t="s">
        <v>161</v>
      </c>
      <c r="Y1485" s="198" t="s">
        <v>162</v>
      </c>
      <c r="Z1485" s="201">
        <v>46248</v>
      </c>
      <c r="AA1485" s="198" t="s">
        <v>59</v>
      </c>
      <c r="AB1485" s="198" t="s">
        <v>60</v>
      </c>
      <c r="AC1485" s="198" t="s">
        <v>86</v>
      </c>
      <c r="AD1485" s="198" t="s">
        <v>62</v>
      </c>
      <c r="AE1485" s="198" t="s">
        <v>54</v>
      </c>
      <c r="AF1485" s="198" t="s">
        <v>54</v>
      </c>
      <c r="AG1485" s="198" t="s">
        <v>564</v>
      </c>
      <c r="AH1485" s="198" t="s">
        <v>112</v>
      </c>
      <c r="AI1485" s="198" t="s">
        <v>56</v>
      </c>
      <c r="AJ1485" s="198" t="s">
        <v>163</v>
      </c>
      <c r="AK1485" s="198" t="s">
        <v>51</v>
      </c>
      <c r="AL1485" s="198" t="s">
        <v>67</v>
      </c>
      <c r="AM1485" s="198" t="s">
        <v>68</v>
      </c>
      <c r="AN1485" s="202">
        <v>2265520</v>
      </c>
      <c r="AO1485" s="202">
        <v>2265520</v>
      </c>
      <c r="AP1485" s="202">
        <v>2265520</v>
      </c>
      <c r="AQ1485" s="198" t="s">
        <v>358</v>
      </c>
      <c r="AR1485" s="198" t="s">
        <v>51</v>
      </c>
      <c r="AS1485" s="202">
        <v>2265520</v>
      </c>
      <c r="AT1485" s="202">
        <v>2265520</v>
      </c>
      <c r="AU1485" s="198" t="s">
        <v>359</v>
      </c>
      <c r="AV1485" s="198" t="s">
        <v>62</v>
      </c>
      <c r="AW1485" s="198" t="s">
        <v>54</v>
      </c>
    </row>
    <row r="1486" spans="3:49" outlineLevel="2" x14ac:dyDescent="0.25">
      <c r="C1486" s="201"/>
      <c r="D1486" s="198" t="s">
        <v>684</v>
      </c>
      <c r="H1486" s="198" t="s">
        <v>684</v>
      </c>
      <c r="I1486" s="202">
        <f t="shared" si="23"/>
        <v>617369892.75</v>
      </c>
      <c r="J1486" s="202">
        <v>149.5</v>
      </c>
      <c r="L1486" s="204">
        <v>1</v>
      </c>
      <c r="M1486" s="202">
        <v>195000</v>
      </c>
      <c r="N1486" s="204">
        <v>1</v>
      </c>
      <c r="O1486" s="198" t="s">
        <v>51</v>
      </c>
      <c r="P1486" s="202">
        <v>195000</v>
      </c>
      <c r="Q1486" s="198" t="s">
        <v>159</v>
      </c>
      <c r="R1486" s="198" t="s">
        <v>160</v>
      </c>
      <c r="S1486" s="198" t="s">
        <v>54</v>
      </c>
      <c r="T1486" s="198" t="s">
        <v>738</v>
      </c>
      <c r="U1486" s="198" t="s">
        <v>80</v>
      </c>
      <c r="V1486" s="198" t="s">
        <v>56</v>
      </c>
      <c r="W1486" s="198" t="s">
        <v>356</v>
      </c>
      <c r="X1486" s="198" t="s">
        <v>161</v>
      </c>
      <c r="Y1486" s="198" t="s">
        <v>162</v>
      </c>
      <c r="Z1486" s="201">
        <v>46047</v>
      </c>
      <c r="AA1486" s="198" t="s">
        <v>59</v>
      </c>
      <c r="AB1486" s="198" t="s">
        <v>60</v>
      </c>
      <c r="AC1486" s="198" t="s">
        <v>61</v>
      </c>
      <c r="AD1486" s="198" t="s">
        <v>62</v>
      </c>
      <c r="AE1486" s="198" t="s">
        <v>54</v>
      </c>
      <c r="AF1486" s="198" t="s">
        <v>54</v>
      </c>
      <c r="AG1486" s="198" t="s">
        <v>64</v>
      </c>
      <c r="AH1486" s="198" t="s">
        <v>148</v>
      </c>
      <c r="AI1486" s="198" t="s">
        <v>56</v>
      </c>
      <c r="AJ1486" s="198" t="s">
        <v>163</v>
      </c>
      <c r="AK1486" s="198" t="s">
        <v>51</v>
      </c>
      <c r="AL1486" s="198" t="s">
        <v>67</v>
      </c>
      <c r="AM1486" s="198" t="s">
        <v>68</v>
      </c>
      <c r="AN1486" s="202">
        <v>195000</v>
      </c>
      <c r="AO1486" s="202">
        <v>195000</v>
      </c>
      <c r="AP1486" s="202">
        <v>195000</v>
      </c>
      <c r="AQ1486" s="198" t="s">
        <v>358</v>
      </c>
      <c r="AR1486" s="198" t="s">
        <v>51</v>
      </c>
      <c r="AS1486" s="202">
        <v>195000</v>
      </c>
      <c r="AT1486" s="202">
        <v>195000</v>
      </c>
      <c r="AU1486" s="198" t="s">
        <v>359</v>
      </c>
      <c r="AV1486" s="198" t="s">
        <v>62</v>
      </c>
      <c r="AW1486" s="198" t="s">
        <v>54</v>
      </c>
    </row>
    <row r="1487" spans="3:49" outlineLevel="2" x14ac:dyDescent="0.25">
      <c r="C1487" s="201"/>
      <c r="D1487" s="198" t="s">
        <v>679</v>
      </c>
      <c r="H1487" s="198" t="s">
        <v>679</v>
      </c>
      <c r="I1487" s="202">
        <f t="shared" si="23"/>
        <v>617782849.19999993</v>
      </c>
      <c r="J1487" s="202">
        <v>149.6</v>
      </c>
      <c r="L1487" s="204">
        <v>1</v>
      </c>
      <c r="M1487" s="202">
        <v>195000</v>
      </c>
      <c r="N1487" s="204">
        <v>1</v>
      </c>
      <c r="O1487" s="198" t="s">
        <v>51</v>
      </c>
      <c r="P1487" s="202">
        <v>195000</v>
      </c>
      <c r="Q1487" s="198" t="s">
        <v>159</v>
      </c>
      <c r="R1487" s="198" t="s">
        <v>160</v>
      </c>
      <c r="S1487" s="198" t="s">
        <v>54</v>
      </c>
      <c r="T1487" s="198" t="s">
        <v>738</v>
      </c>
      <c r="U1487" s="198" t="s">
        <v>165</v>
      </c>
      <c r="V1487" s="198" t="s">
        <v>56</v>
      </c>
      <c r="W1487" s="198" t="s">
        <v>356</v>
      </c>
      <c r="X1487" s="198" t="s">
        <v>161</v>
      </c>
      <c r="Y1487" s="198" t="s">
        <v>162</v>
      </c>
      <c r="Z1487" s="201">
        <v>46047</v>
      </c>
      <c r="AA1487" s="198" t="s">
        <v>59</v>
      </c>
      <c r="AB1487" s="198" t="s">
        <v>60</v>
      </c>
      <c r="AC1487" s="198" t="s">
        <v>61</v>
      </c>
      <c r="AD1487" s="198" t="s">
        <v>62</v>
      </c>
      <c r="AE1487" s="198" t="s">
        <v>54</v>
      </c>
      <c r="AF1487" s="198" t="s">
        <v>54</v>
      </c>
      <c r="AG1487" s="198" t="s">
        <v>64</v>
      </c>
      <c r="AH1487" s="198" t="s">
        <v>156</v>
      </c>
      <c r="AI1487" s="198" t="s">
        <v>56</v>
      </c>
      <c r="AJ1487" s="198" t="s">
        <v>163</v>
      </c>
      <c r="AK1487" s="198" t="s">
        <v>51</v>
      </c>
      <c r="AL1487" s="198" t="s">
        <v>67</v>
      </c>
      <c r="AM1487" s="198" t="s">
        <v>68</v>
      </c>
      <c r="AN1487" s="202">
        <v>195000</v>
      </c>
      <c r="AO1487" s="202">
        <v>195000</v>
      </c>
      <c r="AP1487" s="202">
        <v>195000</v>
      </c>
      <c r="AQ1487" s="198" t="s">
        <v>358</v>
      </c>
      <c r="AR1487" s="198" t="s">
        <v>51</v>
      </c>
      <c r="AS1487" s="202">
        <v>195000</v>
      </c>
      <c r="AT1487" s="202">
        <v>195000</v>
      </c>
      <c r="AU1487" s="198" t="s">
        <v>359</v>
      </c>
      <c r="AV1487" s="198" t="s">
        <v>62</v>
      </c>
      <c r="AW1487" s="198" t="s">
        <v>54</v>
      </c>
    </row>
    <row r="1488" spans="3:49" outlineLevel="2" x14ac:dyDescent="0.25">
      <c r="C1488" s="201"/>
      <c r="D1488" s="198" t="s">
        <v>683</v>
      </c>
      <c r="H1488" s="198" t="s">
        <v>683</v>
      </c>
      <c r="I1488" s="202">
        <f t="shared" si="23"/>
        <v>618195805.64999998</v>
      </c>
      <c r="J1488" s="202">
        <v>149.69999999999999</v>
      </c>
      <c r="L1488" s="204">
        <v>1</v>
      </c>
      <c r="M1488" s="202">
        <v>195000</v>
      </c>
      <c r="N1488" s="204">
        <v>1</v>
      </c>
      <c r="O1488" s="198" t="s">
        <v>51</v>
      </c>
      <c r="P1488" s="202">
        <v>195000</v>
      </c>
      <c r="Q1488" s="198" t="s">
        <v>159</v>
      </c>
      <c r="R1488" s="198" t="s">
        <v>160</v>
      </c>
      <c r="S1488" s="198" t="s">
        <v>54</v>
      </c>
      <c r="T1488" s="198" t="s">
        <v>738</v>
      </c>
      <c r="U1488" s="198" t="s">
        <v>165</v>
      </c>
      <c r="V1488" s="198" t="s">
        <v>56</v>
      </c>
      <c r="W1488" s="198" t="s">
        <v>356</v>
      </c>
      <c r="X1488" s="198" t="s">
        <v>161</v>
      </c>
      <c r="Y1488" s="198" t="s">
        <v>162</v>
      </c>
      <c r="Z1488" s="201">
        <v>46047</v>
      </c>
      <c r="AA1488" s="198" t="s">
        <v>59</v>
      </c>
      <c r="AB1488" s="198" t="s">
        <v>60</v>
      </c>
      <c r="AC1488" s="198" t="s">
        <v>61</v>
      </c>
      <c r="AD1488" s="198" t="s">
        <v>62</v>
      </c>
      <c r="AE1488" s="198" t="s">
        <v>54</v>
      </c>
      <c r="AF1488" s="198" t="s">
        <v>54</v>
      </c>
      <c r="AG1488" s="198" t="s">
        <v>64</v>
      </c>
      <c r="AH1488" s="198" t="s">
        <v>274</v>
      </c>
      <c r="AI1488" s="198" t="s">
        <v>56</v>
      </c>
      <c r="AJ1488" s="198" t="s">
        <v>163</v>
      </c>
      <c r="AK1488" s="198" t="s">
        <v>51</v>
      </c>
      <c r="AL1488" s="198" t="s">
        <v>67</v>
      </c>
      <c r="AM1488" s="198" t="s">
        <v>68</v>
      </c>
      <c r="AN1488" s="202">
        <v>195000</v>
      </c>
      <c r="AO1488" s="202">
        <v>195000</v>
      </c>
      <c r="AP1488" s="202">
        <v>195000</v>
      </c>
      <c r="AQ1488" s="198" t="s">
        <v>358</v>
      </c>
      <c r="AR1488" s="198" t="s">
        <v>51</v>
      </c>
      <c r="AS1488" s="202">
        <v>195000</v>
      </c>
      <c r="AT1488" s="202">
        <v>195000</v>
      </c>
      <c r="AU1488" s="198" t="s">
        <v>359</v>
      </c>
      <c r="AV1488" s="198" t="s">
        <v>62</v>
      </c>
      <c r="AW1488" s="198" t="s">
        <v>54</v>
      </c>
    </row>
    <row r="1489" spans="3:49" outlineLevel="2" x14ac:dyDescent="0.25">
      <c r="C1489" s="201"/>
      <c r="D1489" s="198" t="s">
        <v>682</v>
      </c>
      <c r="H1489" s="198" t="s">
        <v>682</v>
      </c>
      <c r="I1489" s="202">
        <f t="shared" si="23"/>
        <v>618608762.10000002</v>
      </c>
      <c r="J1489" s="202">
        <v>149.80000000000001</v>
      </c>
      <c r="L1489" s="204">
        <v>1</v>
      </c>
      <c r="M1489" s="202">
        <v>195000</v>
      </c>
      <c r="N1489" s="204">
        <v>1</v>
      </c>
      <c r="O1489" s="198" t="s">
        <v>51</v>
      </c>
      <c r="P1489" s="202">
        <v>195000</v>
      </c>
      <c r="Q1489" s="198" t="s">
        <v>159</v>
      </c>
      <c r="R1489" s="198" t="s">
        <v>160</v>
      </c>
      <c r="S1489" s="198" t="s">
        <v>54</v>
      </c>
      <c r="T1489" s="198" t="s">
        <v>738</v>
      </c>
      <c r="U1489" s="198" t="s">
        <v>277</v>
      </c>
      <c r="V1489" s="198" t="s">
        <v>56</v>
      </c>
      <c r="W1489" s="198" t="s">
        <v>356</v>
      </c>
      <c r="X1489" s="198" t="s">
        <v>161</v>
      </c>
      <c r="Y1489" s="198" t="s">
        <v>162</v>
      </c>
      <c r="Z1489" s="201">
        <v>46047</v>
      </c>
      <c r="AA1489" s="198" t="s">
        <v>59</v>
      </c>
      <c r="AB1489" s="198" t="s">
        <v>60</v>
      </c>
      <c r="AC1489" s="198" t="s">
        <v>61</v>
      </c>
      <c r="AD1489" s="198" t="s">
        <v>62</v>
      </c>
      <c r="AE1489" s="198" t="s">
        <v>54</v>
      </c>
      <c r="AF1489" s="198" t="s">
        <v>54</v>
      </c>
      <c r="AG1489" s="198" t="s">
        <v>64</v>
      </c>
      <c r="AH1489" s="198" t="s">
        <v>143</v>
      </c>
      <c r="AI1489" s="198" t="s">
        <v>56</v>
      </c>
      <c r="AJ1489" s="198" t="s">
        <v>163</v>
      </c>
      <c r="AK1489" s="198" t="s">
        <v>51</v>
      </c>
      <c r="AL1489" s="198" t="s">
        <v>67</v>
      </c>
      <c r="AM1489" s="198" t="s">
        <v>68</v>
      </c>
      <c r="AN1489" s="202">
        <v>195000</v>
      </c>
      <c r="AO1489" s="202">
        <v>195000</v>
      </c>
      <c r="AP1489" s="202">
        <v>195000</v>
      </c>
      <c r="AQ1489" s="198" t="s">
        <v>358</v>
      </c>
      <c r="AR1489" s="198" t="s">
        <v>51</v>
      </c>
      <c r="AS1489" s="202">
        <v>195000</v>
      </c>
      <c r="AT1489" s="202">
        <v>195000</v>
      </c>
      <c r="AU1489" s="198" t="s">
        <v>359</v>
      </c>
      <c r="AV1489" s="198" t="s">
        <v>62</v>
      </c>
      <c r="AW1489" s="198" t="s">
        <v>54</v>
      </c>
    </row>
    <row r="1490" spans="3:49" outlineLevel="2" x14ac:dyDescent="0.25">
      <c r="C1490" s="201"/>
      <c r="D1490" s="198" t="s">
        <v>685</v>
      </c>
      <c r="H1490" s="198" t="s">
        <v>685</v>
      </c>
      <c r="I1490" s="202">
        <f t="shared" si="23"/>
        <v>619021718.55000007</v>
      </c>
      <c r="J1490" s="202">
        <v>149.9</v>
      </c>
      <c r="L1490" s="204">
        <v>1</v>
      </c>
      <c r="M1490" s="202">
        <v>195000</v>
      </c>
      <c r="N1490" s="204">
        <v>1</v>
      </c>
      <c r="O1490" s="198" t="s">
        <v>51</v>
      </c>
      <c r="P1490" s="202">
        <v>195000</v>
      </c>
      <c r="Q1490" s="198" t="s">
        <v>159</v>
      </c>
      <c r="R1490" s="198" t="s">
        <v>160</v>
      </c>
      <c r="S1490" s="198" t="s">
        <v>54</v>
      </c>
      <c r="T1490" s="198" t="s">
        <v>738</v>
      </c>
      <c r="U1490" s="198" t="s">
        <v>277</v>
      </c>
      <c r="V1490" s="198" t="s">
        <v>56</v>
      </c>
      <c r="W1490" s="198" t="s">
        <v>356</v>
      </c>
      <c r="X1490" s="198" t="s">
        <v>161</v>
      </c>
      <c r="Y1490" s="198" t="s">
        <v>162</v>
      </c>
      <c r="Z1490" s="201">
        <v>46047</v>
      </c>
      <c r="AA1490" s="198" t="s">
        <v>59</v>
      </c>
      <c r="AB1490" s="198" t="s">
        <v>60</v>
      </c>
      <c r="AC1490" s="198" t="s">
        <v>61</v>
      </c>
      <c r="AD1490" s="198" t="s">
        <v>62</v>
      </c>
      <c r="AE1490" s="198" t="s">
        <v>54</v>
      </c>
      <c r="AF1490" s="198" t="s">
        <v>54</v>
      </c>
      <c r="AG1490" s="198" t="s">
        <v>64</v>
      </c>
      <c r="AH1490" s="198" t="s">
        <v>153</v>
      </c>
      <c r="AI1490" s="198" t="s">
        <v>56</v>
      </c>
      <c r="AJ1490" s="198" t="s">
        <v>163</v>
      </c>
      <c r="AK1490" s="198" t="s">
        <v>51</v>
      </c>
      <c r="AL1490" s="198" t="s">
        <v>67</v>
      </c>
      <c r="AM1490" s="198" t="s">
        <v>68</v>
      </c>
      <c r="AN1490" s="202">
        <v>195000</v>
      </c>
      <c r="AO1490" s="202">
        <v>195000</v>
      </c>
      <c r="AP1490" s="202">
        <v>195000</v>
      </c>
      <c r="AQ1490" s="198" t="s">
        <v>358</v>
      </c>
      <c r="AR1490" s="198" t="s">
        <v>51</v>
      </c>
      <c r="AS1490" s="202">
        <v>195000</v>
      </c>
      <c r="AT1490" s="202">
        <v>195000</v>
      </c>
      <c r="AU1490" s="198" t="s">
        <v>359</v>
      </c>
      <c r="AV1490" s="198" t="s">
        <v>62</v>
      </c>
      <c r="AW1490" s="198" t="s">
        <v>54</v>
      </c>
    </row>
    <row r="1491" spans="3:49" outlineLevel="2" x14ac:dyDescent="0.25">
      <c r="C1491" s="201"/>
      <c r="D1491" s="198" t="s">
        <v>686</v>
      </c>
      <c r="H1491" s="198" t="s">
        <v>686</v>
      </c>
      <c r="I1491" s="202">
        <f t="shared" si="23"/>
        <v>619434675</v>
      </c>
      <c r="J1491" s="202">
        <v>150</v>
      </c>
      <c r="L1491" s="204">
        <v>1</v>
      </c>
      <c r="M1491" s="202">
        <v>195000</v>
      </c>
      <c r="N1491" s="204">
        <v>1</v>
      </c>
      <c r="O1491" s="198" t="s">
        <v>51</v>
      </c>
      <c r="P1491" s="202">
        <v>195000</v>
      </c>
      <c r="Q1491" s="198" t="s">
        <v>159</v>
      </c>
      <c r="R1491" s="198" t="s">
        <v>160</v>
      </c>
      <c r="S1491" s="198" t="s">
        <v>54</v>
      </c>
      <c r="T1491" s="198" t="s">
        <v>738</v>
      </c>
      <c r="U1491" s="198" t="s">
        <v>277</v>
      </c>
      <c r="V1491" s="198" t="s">
        <v>56</v>
      </c>
      <c r="W1491" s="198" t="s">
        <v>356</v>
      </c>
      <c r="X1491" s="198" t="s">
        <v>161</v>
      </c>
      <c r="Y1491" s="198" t="s">
        <v>162</v>
      </c>
      <c r="Z1491" s="201">
        <v>46047</v>
      </c>
      <c r="AA1491" s="198" t="s">
        <v>59</v>
      </c>
      <c r="AB1491" s="198" t="s">
        <v>60</v>
      </c>
      <c r="AC1491" s="198" t="s">
        <v>61</v>
      </c>
      <c r="AD1491" s="198" t="s">
        <v>62</v>
      </c>
      <c r="AE1491" s="198" t="s">
        <v>54</v>
      </c>
      <c r="AF1491" s="198" t="s">
        <v>54</v>
      </c>
      <c r="AG1491" s="198" t="s">
        <v>64</v>
      </c>
      <c r="AH1491" s="198" t="s">
        <v>193</v>
      </c>
      <c r="AI1491" s="198" t="s">
        <v>56</v>
      </c>
      <c r="AJ1491" s="198" t="s">
        <v>163</v>
      </c>
      <c r="AK1491" s="198" t="s">
        <v>51</v>
      </c>
      <c r="AL1491" s="198" t="s">
        <v>67</v>
      </c>
      <c r="AM1491" s="198" t="s">
        <v>68</v>
      </c>
      <c r="AN1491" s="202">
        <v>195000</v>
      </c>
      <c r="AO1491" s="202">
        <v>195000</v>
      </c>
      <c r="AP1491" s="202">
        <v>195000</v>
      </c>
      <c r="AQ1491" s="198" t="s">
        <v>358</v>
      </c>
      <c r="AR1491" s="198" t="s">
        <v>51</v>
      </c>
      <c r="AS1491" s="202">
        <v>195000</v>
      </c>
      <c r="AT1491" s="202">
        <v>195000</v>
      </c>
      <c r="AU1491" s="198" t="s">
        <v>359</v>
      </c>
      <c r="AV1491" s="198" t="s">
        <v>62</v>
      </c>
      <c r="AW1491" s="198" t="s">
        <v>54</v>
      </c>
    </row>
    <row r="1492" spans="3:49" outlineLevel="2" x14ac:dyDescent="0.25">
      <c r="C1492" s="201"/>
      <c r="D1492" s="198" t="s">
        <v>265</v>
      </c>
      <c r="H1492" s="198" t="s">
        <v>265</v>
      </c>
      <c r="I1492" s="202">
        <f t="shared" si="23"/>
        <v>619847631.44999993</v>
      </c>
      <c r="J1492" s="202">
        <v>150.1</v>
      </c>
      <c r="L1492" s="204">
        <v>1</v>
      </c>
      <c r="M1492" s="202">
        <v>612000</v>
      </c>
      <c r="N1492" s="204">
        <v>0</v>
      </c>
      <c r="O1492" s="198" t="s">
        <v>51</v>
      </c>
      <c r="P1492" s="202">
        <v>576000</v>
      </c>
      <c r="Q1492" s="198" t="s">
        <v>159</v>
      </c>
      <c r="R1492" s="198" t="s">
        <v>160</v>
      </c>
      <c r="S1492" s="198" t="s">
        <v>54</v>
      </c>
      <c r="T1492" s="198" t="s">
        <v>431</v>
      </c>
      <c r="U1492" s="198" t="s">
        <v>364</v>
      </c>
      <c r="V1492" s="198" t="s">
        <v>56</v>
      </c>
      <c r="W1492" s="198" t="s">
        <v>356</v>
      </c>
      <c r="X1492" s="198" t="s">
        <v>161</v>
      </c>
      <c r="Y1492" s="198" t="s">
        <v>162</v>
      </c>
      <c r="Z1492" s="201">
        <v>46234</v>
      </c>
      <c r="AA1492" s="198" t="s">
        <v>59</v>
      </c>
      <c r="AB1492" s="198" t="s">
        <v>60</v>
      </c>
      <c r="AC1492" s="198" t="s">
        <v>86</v>
      </c>
      <c r="AD1492" s="198" t="s">
        <v>62</v>
      </c>
      <c r="AE1492" s="198" t="s">
        <v>54</v>
      </c>
      <c r="AF1492" s="198" t="s">
        <v>54</v>
      </c>
      <c r="AG1492" s="198" t="s">
        <v>248</v>
      </c>
      <c r="AH1492" s="198" t="s">
        <v>169</v>
      </c>
      <c r="AI1492" s="198" t="s">
        <v>56</v>
      </c>
      <c r="AJ1492" s="198" t="s">
        <v>163</v>
      </c>
      <c r="AK1492" s="198" t="s">
        <v>51</v>
      </c>
      <c r="AL1492" s="198" t="s">
        <v>67</v>
      </c>
      <c r="AM1492" s="198" t="s">
        <v>68</v>
      </c>
      <c r="AN1492" s="202">
        <v>612000</v>
      </c>
      <c r="AO1492" s="202">
        <v>612000</v>
      </c>
      <c r="AP1492" s="202">
        <v>612000</v>
      </c>
      <c r="AQ1492" s="198" t="s">
        <v>358</v>
      </c>
      <c r="AR1492" s="198" t="s">
        <v>51</v>
      </c>
      <c r="AS1492" s="202">
        <v>576000</v>
      </c>
      <c r="AT1492" s="202">
        <v>576000</v>
      </c>
      <c r="AU1492" s="198" t="s">
        <v>359</v>
      </c>
      <c r="AV1492" s="198" t="s">
        <v>62</v>
      </c>
      <c r="AW1492" s="198" t="s">
        <v>54</v>
      </c>
    </row>
    <row r="1493" spans="3:49" outlineLevel="2" x14ac:dyDescent="0.25">
      <c r="C1493" s="201"/>
      <c r="D1493" s="198" t="s">
        <v>194</v>
      </c>
      <c r="H1493" s="198" t="s">
        <v>194</v>
      </c>
      <c r="I1493" s="202">
        <f t="shared" si="23"/>
        <v>620260587.89999998</v>
      </c>
      <c r="J1493" s="202">
        <v>150.19999999999999</v>
      </c>
      <c r="L1493" s="204">
        <v>1</v>
      </c>
      <c r="M1493" s="202">
        <v>4685000</v>
      </c>
      <c r="N1493" s="203">
        <v>0.3</v>
      </c>
      <c r="O1493" s="198" t="s">
        <v>51</v>
      </c>
      <c r="P1493" s="202">
        <v>1405500</v>
      </c>
      <c r="Q1493" s="198" t="s">
        <v>159</v>
      </c>
      <c r="R1493" s="198" t="s">
        <v>160</v>
      </c>
      <c r="S1493" s="198" t="s">
        <v>54</v>
      </c>
      <c r="T1493" s="198" t="s">
        <v>739</v>
      </c>
      <c r="U1493" s="198" t="s">
        <v>1752</v>
      </c>
      <c r="V1493" s="198" t="s">
        <v>56</v>
      </c>
      <c r="W1493" s="198" t="s">
        <v>356</v>
      </c>
      <c r="X1493" s="198" t="s">
        <v>161</v>
      </c>
      <c r="Y1493" s="198" t="s">
        <v>162</v>
      </c>
      <c r="Z1493" s="201">
        <v>46387</v>
      </c>
      <c r="AA1493" s="198" t="s">
        <v>59</v>
      </c>
      <c r="AB1493" s="198" t="s">
        <v>60</v>
      </c>
      <c r="AC1493" s="198" t="s">
        <v>86</v>
      </c>
      <c r="AD1493" s="198" t="s">
        <v>62</v>
      </c>
      <c r="AE1493" s="198" t="s">
        <v>54</v>
      </c>
      <c r="AF1493" s="198" t="s">
        <v>54</v>
      </c>
      <c r="AG1493" s="198" t="s">
        <v>88</v>
      </c>
      <c r="AH1493" s="198" t="s">
        <v>156</v>
      </c>
      <c r="AI1493" s="198" t="s">
        <v>56</v>
      </c>
      <c r="AJ1493" s="198" t="s">
        <v>163</v>
      </c>
      <c r="AK1493" s="198" t="s">
        <v>51</v>
      </c>
      <c r="AL1493" s="198" t="s">
        <v>67</v>
      </c>
      <c r="AM1493" s="198" t="s">
        <v>68</v>
      </c>
      <c r="AN1493" s="202">
        <v>4685000</v>
      </c>
      <c r="AO1493" s="202">
        <v>4685000</v>
      </c>
      <c r="AP1493" s="202">
        <v>4685000</v>
      </c>
      <c r="AQ1493" s="198" t="s">
        <v>358</v>
      </c>
      <c r="AR1493" s="198" t="s">
        <v>51</v>
      </c>
      <c r="AS1493" s="202">
        <v>1405500</v>
      </c>
      <c r="AT1493" s="202">
        <v>1405500</v>
      </c>
      <c r="AU1493" s="198" t="s">
        <v>359</v>
      </c>
      <c r="AV1493" s="198" t="s">
        <v>62</v>
      </c>
      <c r="AW1493" s="198" t="s">
        <v>54</v>
      </c>
    </row>
    <row r="1494" spans="3:49" outlineLevel="2" x14ac:dyDescent="0.25">
      <c r="C1494" s="201"/>
      <c r="D1494" s="198" t="s">
        <v>194</v>
      </c>
      <c r="H1494" s="198" t="s">
        <v>194</v>
      </c>
      <c r="I1494" s="202">
        <f t="shared" si="23"/>
        <v>620673544.35000002</v>
      </c>
      <c r="J1494" s="202">
        <v>150.30000000000001</v>
      </c>
      <c r="L1494" s="204">
        <v>1</v>
      </c>
      <c r="M1494" s="202">
        <v>7440000</v>
      </c>
      <c r="N1494" s="204">
        <v>0</v>
      </c>
      <c r="O1494" s="198" t="s">
        <v>51</v>
      </c>
      <c r="P1494" s="202">
        <v>2480000</v>
      </c>
      <c r="Q1494" s="198" t="s">
        <v>159</v>
      </c>
      <c r="R1494" s="198" t="s">
        <v>160</v>
      </c>
      <c r="S1494" s="198" t="s">
        <v>54</v>
      </c>
      <c r="T1494" s="198" t="s">
        <v>739</v>
      </c>
      <c r="U1494" s="198" t="s">
        <v>1742</v>
      </c>
      <c r="V1494" s="198" t="s">
        <v>56</v>
      </c>
      <c r="W1494" s="198" t="s">
        <v>356</v>
      </c>
      <c r="X1494" s="198" t="s">
        <v>161</v>
      </c>
      <c r="Y1494" s="198" t="s">
        <v>162</v>
      </c>
      <c r="Z1494" s="201">
        <v>46387</v>
      </c>
      <c r="AA1494" s="198" t="s">
        <v>59</v>
      </c>
      <c r="AB1494" s="198" t="s">
        <v>60</v>
      </c>
      <c r="AC1494" s="198" t="s">
        <v>86</v>
      </c>
      <c r="AD1494" s="198" t="s">
        <v>62</v>
      </c>
      <c r="AE1494" s="198" t="s">
        <v>54</v>
      </c>
      <c r="AF1494" s="198" t="s">
        <v>54</v>
      </c>
      <c r="AG1494" s="198" t="s">
        <v>88</v>
      </c>
      <c r="AH1494" s="198" t="s">
        <v>156</v>
      </c>
      <c r="AI1494" s="198" t="s">
        <v>56</v>
      </c>
      <c r="AJ1494" s="198" t="s">
        <v>163</v>
      </c>
      <c r="AK1494" s="198" t="s">
        <v>51</v>
      </c>
      <c r="AL1494" s="198" t="s">
        <v>67</v>
      </c>
      <c r="AM1494" s="198" t="s">
        <v>68</v>
      </c>
      <c r="AN1494" s="202">
        <v>7440000</v>
      </c>
      <c r="AO1494" s="202">
        <v>7440000</v>
      </c>
      <c r="AP1494" s="202">
        <v>7440000</v>
      </c>
      <c r="AQ1494" s="198" t="s">
        <v>358</v>
      </c>
      <c r="AR1494" s="198" t="s">
        <v>51</v>
      </c>
      <c r="AS1494" s="202">
        <v>2480000</v>
      </c>
      <c r="AT1494" s="202">
        <v>2480000</v>
      </c>
      <c r="AU1494" s="198" t="s">
        <v>359</v>
      </c>
      <c r="AV1494" s="198" t="s">
        <v>62</v>
      </c>
      <c r="AW1494" s="198" t="s">
        <v>54</v>
      </c>
    </row>
    <row r="1495" spans="3:49" outlineLevel="2" x14ac:dyDescent="0.25">
      <c r="C1495" s="201"/>
      <c r="D1495" s="198" t="s">
        <v>194</v>
      </c>
      <c r="H1495" s="198" t="s">
        <v>194</v>
      </c>
      <c r="I1495" s="202">
        <f t="shared" si="23"/>
        <v>621086500.80000007</v>
      </c>
      <c r="J1495" s="202">
        <v>150.4</v>
      </c>
      <c r="L1495" s="204">
        <v>1</v>
      </c>
      <c r="M1495" s="202">
        <v>200000</v>
      </c>
      <c r="N1495" s="203">
        <v>0.3</v>
      </c>
      <c r="O1495" s="198" t="s">
        <v>51</v>
      </c>
      <c r="P1495" s="202">
        <v>60000</v>
      </c>
      <c r="Q1495" s="198" t="s">
        <v>159</v>
      </c>
      <c r="R1495" s="198" t="s">
        <v>160</v>
      </c>
      <c r="S1495" s="198" t="s">
        <v>54</v>
      </c>
      <c r="T1495" s="198" t="s">
        <v>739</v>
      </c>
      <c r="U1495" s="198" t="s">
        <v>1752</v>
      </c>
      <c r="V1495" s="198" t="s">
        <v>56</v>
      </c>
      <c r="W1495" s="198" t="s">
        <v>356</v>
      </c>
      <c r="X1495" s="198" t="s">
        <v>161</v>
      </c>
      <c r="Y1495" s="198" t="s">
        <v>162</v>
      </c>
      <c r="Z1495" s="201">
        <v>46387</v>
      </c>
      <c r="AA1495" s="198" t="s">
        <v>59</v>
      </c>
      <c r="AB1495" s="198" t="s">
        <v>60</v>
      </c>
      <c r="AC1495" s="198" t="s">
        <v>86</v>
      </c>
      <c r="AD1495" s="198" t="s">
        <v>62</v>
      </c>
      <c r="AE1495" s="198" t="s">
        <v>54</v>
      </c>
      <c r="AF1495" s="198" t="s">
        <v>54</v>
      </c>
      <c r="AG1495" s="198" t="s">
        <v>88</v>
      </c>
      <c r="AH1495" s="198" t="s">
        <v>156</v>
      </c>
      <c r="AI1495" s="198" t="s">
        <v>56</v>
      </c>
      <c r="AJ1495" s="198" t="s">
        <v>163</v>
      </c>
      <c r="AK1495" s="198" t="s">
        <v>51</v>
      </c>
      <c r="AL1495" s="198" t="s">
        <v>67</v>
      </c>
      <c r="AM1495" s="198" t="s">
        <v>68</v>
      </c>
      <c r="AN1495" s="202">
        <v>200000</v>
      </c>
      <c r="AO1495" s="202">
        <v>200000</v>
      </c>
      <c r="AP1495" s="202">
        <v>200000</v>
      </c>
      <c r="AQ1495" s="198" t="s">
        <v>358</v>
      </c>
      <c r="AR1495" s="198" t="s">
        <v>51</v>
      </c>
      <c r="AS1495" s="202">
        <v>60000</v>
      </c>
      <c r="AT1495" s="202">
        <v>60000</v>
      </c>
      <c r="AU1495" s="198" t="s">
        <v>359</v>
      </c>
      <c r="AV1495" s="198" t="s">
        <v>62</v>
      </c>
      <c r="AW1495" s="198" t="s">
        <v>54</v>
      </c>
    </row>
    <row r="1496" spans="3:49" outlineLevel="2" x14ac:dyDescent="0.25">
      <c r="C1496" s="201"/>
      <c r="D1496" s="198" t="s">
        <v>194</v>
      </c>
      <c r="H1496" s="198" t="s">
        <v>194</v>
      </c>
      <c r="I1496" s="202">
        <f t="shared" si="23"/>
        <v>621499457.25</v>
      </c>
      <c r="J1496" s="202">
        <v>150.5</v>
      </c>
      <c r="L1496" s="204">
        <v>1</v>
      </c>
      <c r="M1496" s="202">
        <v>100000</v>
      </c>
      <c r="N1496" s="204">
        <v>1</v>
      </c>
      <c r="O1496" s="198" t="s">
        <v>51</v>
      </c>
      <c r="P1496" s="202">
        <v>100000</v>
      </c>
      <c r="Q1496" s="198" t="s">
        <v>159</v>
      </c>
      <c r="R1496" s="198" t="s">
        <v>160</v>
      </c>
      <c r="S1496" s="198" t="s">
        <v>54</v>
      </c>
      <c r="T1496" s="198" t="s">
        <v>739</v>
      </c>
      <c r="U1496" s="198" t="s">
        <v>367</v>
      </c>
      <c r="V1496" s="198" t="s">
        <v>56</v>
      </c>
      <c r="W1496" s="198" t="s">
        <v>356</v>
      </c>
      <c r="X1496" s="198" t="s">
        <v>161</v>
      </c>
      <c r="Y1496" s="198" t="s">
        <v>162</v>
      </c>
      <c r="Z1496" s="201">
        <v>46387</v>
      </c>
      <c r="AA1496" s="198" t="s">
        <v>59</v>
      </c>
      <c r="AB1496" s="198" t="s">
        <v>60</v>
      </c>
      <c r="AC1496" s="198" t="s">
        <v>86</v>
      </c>
      <c r="AD1496" s="198" t="s">
        <v>62</v>
      </c>
      <c r="AE1496" s="198" t="s">
        <v>54</v>
      </c>
      <c r="AF1496" s="198" t="s">
        <v>54</v>
      </c>
      <c r="AG1496" s="198" t="s">
        <v>88</v>
      </c>
      <c r="AH1496" s="198" t="s">
        <v>156</v>
      </c>
      <c r="AI1496" s="198" t="s">
        <v>56</v>
      </c>
      <c r="AJ1496" s="198" t="s">
        <v>163</v>
      </c>
      <c r="AK1496" s="198" t="s">
        <v>51</v>
      </c>
      <c r="AL1496" s="198" t="s">
        <v>67</v>
      </c>
      <c r="AM1496" s="198" t="s">
        <v>68</v>
      </c>
      <c r="AN1496" s="202">
        <v>100000</v>
      </c>
      <c r="AO1496" s="202">
        <v>100000</v>
      </c>
      <c r="AP1496" s="202">
        <v>100000</v>
      </c>
      <c r="AQ1496" s="198" t="s">
        <v>358</v>
      </c>
      <c r="AR1496" s="198" t="s">
        <v>51</v>
      </c>
      <c r="AS1496" s="202">
        <v>100000</v>
      </c>
      <c r="AT1496" s="202">
        <v>100000</v>
      </c>
      <c r="AU1496" s="198" t="s">
        <v>359</v>
      </c>
      <c r="AV1496" s="198" t="s">
        <v>62</v>
      </c>
      <c r="AW1496" s="198" t="s">
        <v>54</v>
      </c>
    </row>
    <row r="1497" spans="3:49" outlineLevel="2" x14ac:dyDescent="0.25">
      <c r="C1497" s="201"/>
      <c r="D1497" s="198" t="s">
        <v>194</v>
      </c>
      <c r="H1497" s="198" t="s">
        <v>194</v>
      </c>
      <c r="I1497" s="202">
        <f t="shared" si="23"/>
        <v>621912413.69999993</v>
      </c>
      <c r="J1497" s="202">
        <v>150.6</v>
      </c>
      <c r="L1497" s="204">
        <v>1</v>
      </c>
      <c r="M1497" s="202">
        <v>200000</v>
      </c>
      <c r="N1497" s="204">
        <v>1</v>
      </c>
      <c r="O1497" s="198" t="s">
        <v>51</v>
      </c>
      <c r="P1497" s="202">
        <v>200000</v>
      </c>
      <c r="Q1497" s="198" t="s">
        <v>159</v>
      </c>
      <c r="R1497" s="198" t="s">
        <v>160</v>
      </c>
      <c r="S1497" s="198" t="s">
        <v>54</v>
      </c>
      <c r="T1497" s="198" t="s">
        <v>739</v>
      </c>
      <c r="U1497" s="198" t="s">
        <v>367</v>
      </c>
      <c r="V1497" s="198" t="s">
        <v>56</v>
      </c>
      <c r="W1497" s="198" t="s">
        <v>356</v>
      </c>
      <c r="X1497" s="198" t="s">
        <v>161</v>
      </c>
      <c r="Y1497" s="198" t="s">
        <v>162</v>
      </c>
      <c r="Z1497" s="201">
        <v>46387</v>
      </c>
      <c r="AA1497" s="198" t="s">
        <v>59</v>
      </c>
      <c r="AB1497" s="198" t="s">
        <v>60</v>
      </c>
      <c r="AC1497" s="198" t="s">
        <v>86</v>
      </c>
      <c r="AD1497" s="198" t="s">
        <v>62</v>
      </c>
      <c r="AE1497" s="198" t="s">
        <v>54</v>
      </c>
      <c r="AF1497" s="198" t="s">
        <v>54</v>
      </c>
      <c r="AG1497" s="198" t="s">
        <v>88</v>
      </c>
      <c r="AH1497" s="198" t="s">
        <v>156</v>
      </c>
      <c r="AI1497" s="198" t="s">
        <v>56</v>
      </c>
      <c r="AJ1497" s="198" t="s">
        <v>163</v>
      </c>
      <c r="AK1497" s="198" t="s">
        <v>51</v>
      </c>
      <c r="AL1497" s="198" t="s">
        <v>67</v>
      </c>
      <c r="AM1497" s="198" t="s">
        <v>68</v>
      </c>
      <c r="AN1497" s="202">
        <v>200000</v>
      </c>
      <c r="AO1497" s="202">
        <v>200000</v>
      </c>
      <c r="AP1497" s="202">
        <v>200000</v>
      </c>
      <c r="AQ1497" s="198" t="s">
        <v>358</v>
      </c>
      <c r="AR1497" s="198" t="s">
        <v>51</v>
      </c>
      <c r="AS1497" s="202">
        <v>200000</v>
      </c>
      <c r="AT1497" s="202">
        <v>200000</v>
      </c>
      <c r="AU1497" s="198" t="s">
        <v>359</v>
      </c>
      <c r="AV1497" s="198" t="s">
        <v>62</v>
      </c>
      <c r="AW1497" s="198" t="s">
        <v>54</v>
      </c>
    </row>
    <row r="1498" spans="3:49" outlineLevel="2" x14ac:dyDescent="0.25">
      <c r="C1498" s="201"/>
      <c r="D1498" s="198" t="s">
        <v>740</v>
      </c>
      <c r="H1498" s="198" t="s">
        <v>740</v>
      </c>
      <c r="I1498" s="202">
        <f t="shared" si="23"/>
        <v>622325370.14999998</v>
      </c>
      <c r="J1498" s="202">
        <v>150.69999999999999</v>
      </c>
      <c r="L1498" s="204">
        <v>1</v>
      </c>
      <c r="M1498" s="202">
        <v>4685000</v>
      </c>
      <c r="N1498" s="203">
        <v>0.3</v>
      </c>
      <c r="O1498" s="198" t="s">
        <v>51</v>
      </c>
      <c r="P1498" s="202">
        <v>1405500</v>
      </c>
      <c r="Q1498" s="198" t="s">
        <v>159</v>
      </c>
      <c r="R1498" s="198" t="s">
        <v>160</v>
      </c>
      <c r="S1498" s="198" t="s">
        <v>54</v>
      </c>
      <c r="T1498" s="198" t="s">
        <v>739</v>
      </c>
      <c r="U1498" s="198" t="s">
        <v>367</v>
      </c>
      <c r="V1498" s="198" t="s">
        <v>56</v>
      </c>
      <c r="W1498" s="198" t="s">
        <v>356</v>
      </c>
      <c r="X1498" s="198" t="s">
        <v>161</v>
      </c>
      <c r="Y1498" s="198" t="s">
        <v>162</v>
      </c>
      <c r="Z1498" s="201">
        <v>46387</v>
      </c>
      <c r="AA1498" s="198" t="s">
        <v>59</v>
      </c>
      <c r="AB1498" s="198" t="s">
        <v>60</v>
      </c>
      <c r="AC1498" s="198" t="s">
        <v>86</v>
      </c>
      <c r="AD1498" s="198" t="s">
        <v>62</v>
      </c>
      <c r="AE1498" s="198" t="s">
        <v>54</v>
      </c>
      <c r="AF1498" s="198" t="s">
        <v>54</v>
      </c>
      <c r="AG1498" s="198" t="s">
        <v>88</v>
      </c>
      <c r="AH1498" s="198" t="s">
        <v>153</v>
      </c>
      <c r="AI1498" s="198" t="s">
        <v>56</v>
      </c>
      <c r="AJ1498" s="198" t="s">
        <v>163</v>
      </c>
      <c r="AK1498" s="198" t="s">
        <v>51</v>
      </c>
      <c r="AL1498" s="198" t="s">
        <v>67</v>
      </c>
      <c r="AM1498" s="198" t="s">
        <v>68</v>
      </c>
      <c r="AN1498" s="202">
        <v>4685000</v>
      </c>
      <c r="AO1498" s="202">
        <v>4685000</v>
      </c>
      <c r="AP1498" s="202">
        <v>4685000</v>
      </c>
      <c r="AQ1498" s="198" t="s">
        <v>358</v>
      </c>
      <c r="AR1498" s="198" t="s">
        <v>51</v>
      </c>
      <c r="AS1498" s="202">
        <v>1405500</v>
      </c>
      <c r="AT1498" s="202">
        <v>1405500</v>
      </c>
      <c r="AU1498" s="198" t="s">
        <v>359</v>
      </c>
      <c r="AV1498" s="198" t="s">
        <v>62</v>
      </c>
      <c r="AW1498" s="198" t="s">
        <v>54</v>
      </c>
    </row>
    <row r="1499" spans="3:49" outlineLevel="2" x14ac:dyDescent="0.25">
      <c r="C1499" s="201"/>
      <c r="D1499" s="198" t="s">
        <v>740</v>
      </c>
      <c r="H1499" s="198" t="s">
        <v>740</v>
      </c>
      <c r="I1499" s="202">
        <f t="shared" si="23"/>
        <v>622738326.60000002</v>
      </c>
      <c r="J1499" s="202">
        <v>150.80000000000001</v>
      </c>
      <c r="L1499" s="204">
        <v>1</v>
      </c>
      <c r="M1499" s="202">
        <v>7440000</v>
      </c>
      <c r="N1499" s="204">
        <v>0</v>
      </c>
      <c r="O1499" s="198" t="s">
        <v>51</v>
      </c>
      <c r="P1499" s="202">
        <v>1240000</v>
      </c>
      <c r="Q1499" s="198" t="s">
        <v>159</v>
      </c>
      <c r="R1499" s="198" t="s">
        <v>160</v>
      </c>
      <c r="S1499" s="198" t="s">
        <v>54</v>
      </c>
      <c r="T1499" s="198" t="s">
        <v>739</v>
      </c>
      <c r="U1499" s="198" t="s">
        <v>1742</v>
      </c>
      <c r="V1499" s="198" t="s">
        <v>56</v>
      </c>
      <c r="W1499" s="198" t="s">
        <v>356</v>
      </c>
      <c r="X1499" s="198" t="s">
        <v>161</v>
      </c>
      <c r="Y1499" s="198" t="s">
        <v>162</v>
      </c>
      <c r="Z1499" s="201">
        <v>46387</v>
      </c>
      <c r="AA1499" s="198" t="s">
        <v>59</v>
      </c>
      <c r="AB1499" s="198" t="s">
        <v>60</v>
      </c>
      <c r="AC1499" s="198" t="s">
        <v>86</v>
      </c>
      <c r="AD1499" s="198" t="s">
        <v>62</v>
      </c>
      <c r="AE1499" s="198" t="s">
        <v>54</v>
      </c>
      <c r="AF1499" s="198" t="s">
        <v>54</v>
      </c>
      <c r="AG1499" s="198" t="s">
        <v>88</v>
      </c>
      <c r="AH1499" s="198" t="s">
        <v>153</v>
      </c>
      <c r="AI1499" s="198" t="s">
        <v>56</v>
      </c>
      <c r="AJ1499" s="198" t="s">
        <v>163</v>
      </c>
      <c r="AK1499" s="198" t="s">
        <v>51</v>
      </c>
      <c r="AL1499" s="198" t="s">
        <v>67</v>
      </c>
      <c r="AM1499" s="198" t="s">
        <v>68</v>
      </c>
      <c r="AN1499" s="202">
        <v>7440000</v>
      </c>
      <c r="AO1499" s="202">
        <v>7440000</v>
      </c>
      <c r="AP1499" s="202">
        <v>7440000</v>
      </c>
      <c r="AQ1499" s="198" t="s">
        <v>358</v>
      </c>
      <c r="AR1499" s="198" t="s">
        <v>51</v>
      </c>
      <c r="AS1499" s="202">
        <v>1240000</v>
      </c>
      <c r="AT1499" s="202">
        <v>1240000</v>
      </c>
      <c r="AU1499" s="198" t="s">
        <v>359</v>
      </c>
      <c r="AV1499" s="198" t="s">
        <v>62</v>
      </c>
      <c r="AW1499" s="198" t="s">
        <v>54</v>
      </c>
    </row>
    <row r="1500" spans="3:49" outlineLevel="2" x14ac:dyDescent="0.25">
      <c r="C1500" s="201"/>
      <c r="D1500" s="198" t="s">
        <v>740</v>
      </c>
      <c r="H1500" s="198" t="s">
        <v>740</v>
      </c>
      <c r="I1500" s="202">
        <f t="shared" si="23"/>
        <v>623151283.05000007</v>
      </c>
      <c r="J1500" s="202">
        <v>150.9</v>
      </c>
      <c r="L1500" s="204">
        <v>1</v>
      </c>
      <c r="M1500" s="202">
        <v>200000</v>
      </c>
      <c r="N1500" s="203">
        <v>0.3</v>
      </c>
      <c r="O1500" s="198" t="s">
        <v>51</v>
      </c>
      <c r="P1500" s="202">
        <v>60000</v>
      </c>
      <c r="Q1500" s="198" t="s">
        <v>159</v>
      </c>
      <c r="R1500" s="198" t="s">
        <v>160</v>
      </c>
      <c r="S1500" s="198" t="s">
        <v>54</v>
      </c>
      <c r="T1500" s="198" t="s">
        <v>739</v>
      </c>
      <c r="U1500" s="198" t="s">
        <v>367</v>
      </c>
      <c r="V1500" s="198" t="s">
        <v>56</v>
      </c>
      <c r="W1500" s="198" t="s">
        <v>356</v>
      </c>
      <c r="X1500" s="198" t="s">
        <v>161</v>
      </c>
      <c r="Y1500" s="198" t="s">
        <v>162</v>
      </c>
      <c r="Z1500" s="201">
        <v>46387</v>
      </c>
      <c r="AA1500" s="198" t="s">
        <v>59</v>
      </c>
      <c r="AB1500" s="198" t="s">
        <v>60</v>
      </c>
      <c r="AC1500" s="198" t="s">
        <v>86</v>
      </c>
      <c r="AD1500" s="198" t="s">
        <v>62</v>
      </c>
      <c r="AE1500" s="198" t="s">
        <v>54</v>
      </c>
      <c r="AF1500" s="198" t="s">
        <v>54</v>
      </c>
      <c r="AG1500" s="198" t="s">
        <v>88</v>
      </c>
      <c r="AH1500" s="198" t="s">
        <v>153</v>
      </c>
      <c r="AI1500" s="198" t="s">
        <v>56</v>
      </c>
      <c r="AJ1500" s="198" t="s">
        <v>163</v>
      </c>
      <c r="AK1500" s="198" t="s">
        <v>51</v>
      </c>
      <c r="AL1500" s="198" t="s">
        <v>67</v>
      </c>
      <c r="AM1500" s="198" t="s">
        <v>68</v>
      </c>
      <c r="AN1500" s="202">
        <v>200000</v>
      </c>
      <c r="AO1500" s="202">
        <v>200000</v>
      </c>
      <c r="AP1500" s="202">
        <v>200000</v>
      </c>
      <c r="AQ1500" s="198" t="s">
        <v>358</v>
      </c>
      <c r="AR1500" s="198" t="s">
        <v>51</v>
      </c>
      <c r="AS1500" s="202">
        <v>60000</v>
      </c>
      <c r="AT1500" s="202">
        <v>60000</v>
      </c>
      <c r="AU1500" s="198" t="s">
        <v>359</v>
      </c>
      <c r="AV1500" s="198" t="s">
        <v>62</v>
      </c>
      <c r="AW1500" s="198" t="s">
        <v>54</v>
      </c>
    </row>
    <row r="1501" spans="3:49" outlineLevel="2" x14ac:dyDescent="0.25">
      <c r="C1501" s="201"/>
      <c r="D1501" s="198" t="s">
        <v>740</v>
      </c>
      <c r="H1501" s="198" t="s">
        <v>740</v>
      </c>
      <c r="I1501" s="202">
        <f t="shared" si="23"/>
        <v>623564239.5</v>
      </c>
      <c r="J1501" s="202">
        <v>151</v>
      </c>
      <c r="L1501" s="204">
        <v>1</v>
      </c>
      <c r="M1501" s="202">
        <v>100000</v>
      </c>
      <c r="N1501" s="204">
        <v>1</v>
      </c>
      <c r="O1501" s="198" t="s">
        <v>51</v>
      </c>
      <c r="P1501" s="202">
        <v>100000</v>
      </c>
      <c r="Q1501" s="198" t="s">
        <v>159</v>
      </c>
      <c r="R1501" s="198" t="s">
        <v>160</v>
      </c>
      <c r="S1501" s="198" t="s">
        <v>54</v>
      </c>
      <c r="T1501" s="198" t="s">
        <v>739</v>
      </c>
      <c r="U1501" s="198" t="s">
        <v>367</v>
      </c>
      <c r="V1501" s="198" t="s">
        <v>56</v>
      </c>
      <c r="W1501" s="198" t="s">
        <v>356</v>
      </c>
      <c r="X1501" s="198" t="s">
        <v>161</v>
      </c>
      <c r="Y1501" s="198" t="s">
        <v>162</v>
      </c>
      <c r="Z1501" s="201">
        <v>46387</v>
      </c>
      <c r="AA1501" s="198" t="s">
        <v>59</v>
      </c>
      <c r="AB1501" s="198" t="s">
        <v>60</v>
      </c>
      <c r="AC1501" s="198" t="s">
        <v>86</v>
      </c>
      <c r="AD1501" s="198" t="s">
        <v>62</v>
      </c>
      <c r="AE1501" s="198" t="s">
        <v>54</v>
      </c>
      <c r="AF1501" s="198" t="s">
        <v>54</v>
      </c>
      <c r="AG1501" s="198" t="s">
        <v>88</v>
      </c>
      <c r="AH1501" s="198" t="s">
        <v>153</v>
      </c>
      <c r="AI1501" s="198" t="s">
        <v>56</v>
      </c>
      <c r="AJ1501" s="198" t="s">
        <v>163</v>
      </c>
      <c r="AK1501" s="198" t="s">
        <v>51</v>
      </c>
      <c r="AL1501" s="198" t="s">
        <v>67</v>
      </c>
      <c r="AM1501" s="198" t="s">
        <v>68</v>
      </c>
      <c r="AN1501" s="202">
        <v>100000</v>
      </c>
      <c r="AO1501" s="202">
        <v>100000</v>
      </c>
      <c r="AP1501" s="202">
        <v>100000</v>
      </c>
      <c r="AQ1501" s="198" t="s">
        <v>358</v>
      </c>
      <c r="AR1501" s="198" t="s">
        <v>51</v>
      </c>
      <c r="AS1501" s="202">
        <v>100000</v>
      </c>
      <c r="AT1501" s="202">
        <v>100000</v>
      </c>
      <c r="AU1501" s="198" t="s">
        <v>359</v>
      </c>
      <c r="AV1501" s="198" t="s">
        <v>62</v>
      </c>
      <c r="AW1501" s="198" t="s">
        <v>54</v>
      </c>
    </row>
    <row r="1502" spans="3:49" outlineLevel="2" x14ac:dyDescent="0.25">
      <c r="C1502" s="201"/>
      <c r="D1502" s="198" t="s">
        <v>740</v>
      </c>
      <c r="H1502" s="198" t="s">
        <v>740</v>
      </c>
      <c r="I1502" s="202">
        <f t="shared" si="23"/>
        <v>623977195.94999993</v>
      </c>
      <c r="J1502" s="202">
        <v>151.1</v>
      </c>
      <c r="L1502" s="204">
        <v>1</v>
      </c>
      <c r="M1502" s="202">
        <v>200000</v>
      </c>
      <c r="N1502" s="204">
        <v>1</v>
      </c>
      <c r="O1502" s="198" t="s">
        <v>51</v>
      </c>
      <c r="P1502" s="202">
        <v>200000</v>
      </c>
      <c r="Q1502" s="198" t="s">
        <v>159</v>
      </c>
      <c r="R1502" s="198" t="s">
        <v>160</v>
      </c>
      <c r="S1502" s="198" t="s">
        <v>54</v>
      </c>
      <c r="T1502" s="198" t="s">
        <v>739</v>
      </c>
      <c r="U1502" s="198" t="s">
        <v>367</v>
      </c>
      <c r="V1502" s="198" t="s">
        <v>56</v>
      </c>
      <c r="W1502" s="198" t="s">
        <v>356</v>
      </c>
      <c r="X1502" s="198" t="s">
        <v>161</v>
      </c>
      <c r="Y1502" s="198" t="s">
        <v>162</v>
      </c>
      <c r="Z1502" s="201">
        <v>46387</v>
      </c>
      <c r="AA1502" s="198" t="s">
        <v>59</v>
      </c>
      <c r="AB1502" s="198" t="s">
        <v>60</v>
      </c>
      <c r="AC1502" s="198" t="s">
        <v>86</v>
      </c>
      <c r="AD1502" s="198" t="s">
        <v>62</v>
      </c>
      <c r="AE1502" s="198" t="s">
        <v>54</v>
      </c>
      <c r="AF1502" s="198" t="s">
        <v>54</v>
      </c>
      <c r="AG1502" s="198" t="s">
        <v>88</v>
      </c>
      <c r="AH1502" s="198" t="s">
        <v>153</v>
      </c>
      <c r="AI1502" s="198" t="s">
        <v>56</v>
      </c>
      <c r="AJ1502" s="198" t="s">
        <v>163</v>
      </c>
      <c r="AK1502" s="198" t="s">
        <v>51</v>
      </c>
      <c r="AL1502" s="198" t="s">
        <v>67</v>
      </c>
      <c r="AM1502" s="198" t="s">
        <v>68</v>
      </c>
      <c r="AN1502" s="202">
        <v>200000</v>
      </c>
      <c r="AO1502" s="202">
        <v>200000</v>
      </c>
      <c r="AP1502" s="202">
        <v>200000</v>
      </c>
      <c r="AQ1502" s="198" t="s">
        <v>358</v>
      </c>
      <c r="AR1502" s="198" t="s">
        <v>51</v>
      </c>
      <c r="AS1502" s="202">
        <v>200000</v>
      </c>
      <c r="AT1502" s="202">
        <v>200000</v>
      </c>
      <c r="AU1502" s="198" t="s">
        <v>359</v>
      </c>
      <c r="AV1502" s="198" t="s">
        <v>62</v>
      </c>
      <c r="AW1502" s="198" t="s">
        <v>54</v>
      </c>
    </row>
    <row r="1503" spans="3:49" outlineLevel="2" x14ac:dyDescent="0.25">
      <c r="C1503" s="201"/>
      <c r="D1503" s="198" t="s">
        <v>740</v>
      </c>
      <c r="H1503" s="198" t="s">
        <v>740</v>
      </c>
      <c r="I1503" s="202">
        <f t="shared" si="23"/>
        <v>624390152.39999998</v>
      </c>
      <c r="J1503" s="202">
        <v>151.19999999999999</v>
      </c>
      <c r="L1503" s="204">
        <v>1</v>
      </c>
      <c r="M1503" s="202">
        <v>1453846</v>
      </c>
      <c r="N1503" s="203">
        <v>0.1</v>
      </c>
      <c r="O1503" s="198" t="s">
        <v>51</v>
      </c>
      <c r="P1503" s="202">
        <v>145384.6</v>
      </c>
      <c r="Q1503" s="198" t="s">
        <v>159</v>
      </c>
      <c r="R1503" s="198" t="s">
        <v>160</v>
      </c>
      <c r="S1503" s="198" t="s">
        <v>54</v>
      </c>
      <c r="T1503" s="198" t="s">
        <v>739</v>
      </c>
      <c r="U1503" s="198" t="s">
        <v>1752</v>
      </c>
      <c r="V1503" s="198" t="s">
        <v>56</v>
      </c>
      <c r="W1503" s="198" t="s">
        <v>356</v>
      </c>
      <c r="X1503" s="198" t="s">
        <v>161</v>
      </c>
      <c r="Y1503" s="198" t="s">
        <v>162</v>
      </c>
      <c r="Z1503" s="201">
        <v>46387</v>
      </c>
      <c r="AA1503" s="198" t="s">
        <v>59</v>
      </c>
      <c r="AB1503" s="198" t="s">
        <v>60</v>
      </c>
      <c r="AC1503" s="198" t="s">
        <v>86</v>
      </c>
      <c r="AD1503" s="198" t="s">
        <v>62</v>
      </c>
      <c r="AE1503" s="198" t="s">
        <v>54</v>
      </c>
      <c r="AF1503" s="198" t="s">
        <v>54</v>
      </c>
      <c r="AG1503" s="198" t="s">
        <v>88</v>
      </c>
      <c r="AH1503" s="198" t="s">
        <v>153</v>
      </c>
      <c r="AI1503" s="198" t="s">
        <v>56</v>
      </c>
      <c r="AJ1503" s="198" t="s">
        <v>163</v>
      </c>
      <c r="AK1503" s="198" t="s">
        <v>51</v>
      </c>
      <c r="AL1503" s="198" t="s">
        <v>67</v>
      </c>
      <c r="AM1503" s="198" t="s">
        <v>68</v>
      </c>
      <c r="AN1503" s="202">
        <v>1453846</v>
      </c>
      <c r="AO1503" s="202">
        <v>1453846</v>
      </c>
      <c r="AP1503" s="202">
        <v>1453846</v>
      </c>
      <c r="AQ1503" s="198" t="s">
        <v>358</v>
      </c>
      <c r="AR1503" s="198" t="s">
        <v>51</v>
      </c>
      <c r="AS1503" s="202">
        <v>145384.6</v>
      </c>
      <c r="AT1503" s="202">
        <v>145384.6</v>
      </c>
      <c r="AU1503" s="198" t="s">
        <v>359</v>
      </c>
      <c r="AV1503" s="198" t="s">
        <v>62</v>
      </c>
      <c r="AW1503" s="198" t="s">
        <v>54</v>
      </c>
    </row>
    <row r="1504" spans="3:49" outlineLevel="2" x14ac:dyDescent="0.25">
      <c r="C1504" s="201"/>
      <c r="D1504" s="198" t="s">
        <v>239</v>
      </c>
      <c r="H1504" s="198" t="s">
        <v>239</v>
      </c>
      <c r="I1504" s="202">
        <f t="shared" si="23"/>
        <v>624803108.85000002</v>
      </c>
      <c r="J1504" s="202">
        <v>151.30000000000001</v>
      </c>
      <c r="L1504" s="204">
        <v>1</v>
      </c>
      <c r="M1504" s="202">
        <v>4685000</v>
      </c>
      <c r="N1504" s="203">
        <v>0.3</v>
      </c>
      <c r="O1504" s="198" t="s">
        <v>51</v>
      </c>
      <c r="P1504" s="202">
        <v>1405500</v>
      </c>
      <c r="Q1504" s="198" t="s">
        <v>159</v>
      </c>
      <c r="R1504" s="198" t="s">
        <v>160</v>
      </c>
      <c r="S1504" s="198" t="s">
        <v>54</v>
      </c>
      <c r="T1504" s="198" t="s">
        <v>739</v>
      </c>
      <c r="U1504" s="198" t="s">
        <v>367</v>
      </c>
      <c r="V1504" s="198" t="s">
        <v>56</v>
      </c>
      <c r="W1504" s="198" t="s">
        <v>356</v>
      </c>
      <c r="X1504" s="198" t="s">
        <v>161</v>
      </c>
      <c r="Y1504" s="198" t="s">
        <v>162</v>
      </c>
      <c r="Z1504" s="201">
        <v>46387</v>
      </c>
      <c r="AA1504" s="198" t="s">
        <v>59</v>
      </c>
      <c r="AB1504" s="198" t="s">
        <v>60</v>
      </c>
      <c r="AC1504" s="198" t="s">
        <v>86</v>
      </c>
      <c r="AD1504" s="198" t="s">
        <v>62</v>
      </c>
      <c r="AE1504" s="198" t="s">
        <v>54</v>
      </c>
      <c r="AF1504" s="198" t="s">
        <v>54</v>
      </c>
      <c r="AG1504" s="198" t="s">
        <v>88</v>
      </c>
      <c r="AH1504" s="198" t="s">
        <v>148</v>
      </c>
      <c r="AI1504" s="198" t="s">
        <v>56</v>
      </c>
      <c r="AJ1504" s="198" t="s">
        <v>163</v>
      </c>
      <c r="AK1504" s="198" t="s">
        <v>51</v>
      </c>
      <c r="AL1504" s="198" t="s">
        <v>67</v>
      </c>
      <c r="AM1504" s="198" t="s">
        <v>68</v>
      </c>
      <c r="AN1504" s="202">
        <v>4685000</v>
      </c>
      <c r="AO1504" s="202">
        <v>4685000</v>
      </c>
      <c r="AP1504" s="202">
        <v>4685000</v>
      </c>
      <c r="AQ1504" s="198" t="s">
        <v>358</v>
      </c>
      <c r="AR1504" s="198" t="s">
        <v>51</v>
      </c>
      <c r="AS1504" s="202">
        <v>1405500</v>
      </c>
      <c r="AT1504" s="202">
        <v>1405500</v>
      </c>
      <c r="AU1504" s="198" t="s">
        <v>359</v>
      </c>
      <c r="AV1504" s="198" t="s">
        <v>62</v>
      </c>
      <c r="AW1504" s="198" t="s">
        <v>54</v>
      </c>
    </row>
    <row r="1505" spans="3:49" outlineLevel="2" x14ac:dyDescent="0.25">
      <c r="C1505" s="201"/>
      <c r="D1505" s="198" t="s">
        <v>239</v>
      </c>
      <c r="H1505" s="198" t="s">
        <v>239</v>
      </c>
      <c r="I1505" s="202">
        <f t="shared" si="23"/>
        <v>625216065.30000007</v>
      </c>
      <c r="J1505" s="202">
        <v>151.4</v>
      </c>
      <c r="L1505" s="204">
        <v>1</v>
      </c>
      <c r="M1505" s="202">
        <v>7440000</v>
      </c>
      <c r="N1505" s="204">
        <v>0</v>
      </c>
      <c r="O1505" s="198" t="s">
        <v>51</v>
      </c>
      <c r="P1505" s="202">
        <v>2480000</v>
      </c>
      <c r="Q1505" s="198" t="s">
        <v>159</v>
      </c>
      <c r="R1505" s="198" t="s">
        <v>160</v>
      </c>
      <c r="S1505" s="198" t="s">
        <v>54</v>
      </c>
      <c r="T1505" s="198" t="s">
        <v>739</v>
      </c>
      <c r="U1505" s="198" t="s">
        <v>1742</v>
      </c>
      <c r="V1505" s="198" t="s">
        <v>56</v>
      </c>
      <c r="W1505" s="198" t="s">
        <v>356</v>
      </c>
      <c r="X1505" s="198" t="s">
        <v>161</v>
      </c>
      <c r="Y1505" s="198" t="s">
        <v>162</v>
      </c>
      <c r="Z1505" s="201">
        <v>46387</v>
      </c>
      <c r="AA1505" s="198" t="s">
        <v>59</v>
      </c>
      <c r="AB1505" s="198" t="s">
        <v>60</v>
      </c>
      <c r="AC1505" s="198" t="s">
        <v>86</v>
      </c>
      <c r="AD1505" s="198" t="s">
        <v>62</v>
      </c>
      <c r="AE1505" s="198" t="s">
        <v>54</v>
      </c>
      <c r="AF1505" s="198" t="s">
        <v>54</v>
      </c>
      <c r="AG1505" s="198" t="s">
        <v>88</v>
      </c>
      <c r="AH1505" s="198" t="s">
        <v>148</v>
      </c>
      <c r="AI1505" s="198" t="s">
        <v>56</v>
      </c>
      <c r="AJ1505" s="198" t="s">
        <v>163</v>
      </c>
      <c r="AK1505" s="198" t="s">
        <v>51</v>
      </c>
      <c r="AL1505" s="198" t="s">
        <v>67</v>
      </c>
      <c r="AM1505" s="198" t="s">
        <v>68</v>
      </c>
      <c r="AN1505" s="202">
        <v>7440000</v>
      </c>
      <c r="AO1505" s="202">
        <v>7440000</v>
      </c>
      <c r="AP1505" s="202">
        <v>7440000</v>
      </c>
      <c r="AQ1505" s="198" t="s">
        <v>358</v>
      </c>
      <c r="AR1505" s="198" t="s">
        <v>51</v>
      </c>
      <c r="AS1505" s="202">
        <v>2480000</v>
      </c>
      <c r="AT1505" s="202">
        <v>2480000</v>
      </c>
      <c r="AU1505" s="198" t="s">
        <v>359</v>
      </c>
      <c r="AV1505" s="198" t="s">
        <v>62</v>
      </c>
      <c r="AW1505" s="198" t="s">
        <v>54</v>
      </c>
    </row>
    <row r="1506" spans="3:49" outlineLevel="2" x14ac:dyDescent="0.25">
      <c r="C1506" s="201"/>
      <c r="D1506" s="198" t="s">
        <v>239</v>
      </c>
      <c r="H1506" s="198" t="s">
        <v>239</v>
      </c>
      <c r="I1506" s="202">
        <f t="shared" si="23"/>
        <v>625629021.75</v>
      </c>
      <c r="J1506" s="202">
        <v>151.5</v>
      </c>
      <c r="L1506" s="204">
        <v>1</v>
      </c>
      <c r="M1506" s="202">
        <v>200000</v>
      </c>
      <c r="N1506" s="203">
        <v>0.3</v>
      </c>
      <c r="O1506" s="198" t="s">
        <v>51</v>
      </c>
      <c r="P1506" s="202">
        <v>60000</v>
      </c>
      <c r="Q1506" s="198" t="s">
        <v>159</v>
      </c>
      <c r="R1506" s="198" t="s">
        <v>160</v>
      </c>
      <c r="S1506" s="198" t="s">
        <v>54</v>
      </c>
      <c r="T1506" s="198" t="s">
        <v>739</v>
      </c>
      <c r="U1506" s="198" t="s">
        <v>367</v>
      </c>
      <c r="V1506" s="198" t="s">
        <v>56</v>
      </c>
      <c r="W1506" s="198" t="s">
        <v>356</v>
      </c>
      <c r="X1506" s="198" t="s">
        <v>161</v>
      </c>
      <c r="Y1506" s="198" t="s">
        <v>162</v>
      </c>
      <c r="Z1506" s="201">
        <v>46387</v>
      </c>
      <c r="AA1506" s="198" t="s">
        <v>59</v>
      </c>
      <c r="AB1506" s="198" t="s">
        <v>60</v>
      </c>
      <c r="AC1506" s="198" t="s">
        <v>86</v>
      </c>
      <c r="AD1506" s="198" t="s">
        <v>62</v>
      </c>
      <c r="AE1506" s="198" t="s">
        <v>54</v>
      </c>
      <c r="AF1506" s="198" t="s">
        <v>54</v>
      </c>
      <c r="AG1506" s="198" t="s">
        <v>88</v>
      </c>
      <c r="AH1506" s="198" t="s">
        <v>148</v>
      </c>
      <c r="AI1506" s="198" t="s">
        <v>56</v>
      </c>
      <c r="AJ1506" s="198" t="s">
        <v>163</v>
      </c>
      <c r="AK1506" s="198" t="s">
        <v>51</v>
      </c>
      <c r="AL1506" s="198" t="s">
        <v>67</v>
      </c>
      <c r="AM1506" s="198" t="s">
        <v>68</v>
      </c>
      <c r="AN1506" s="202">
        <v>200000</v>
      </c>
      <c r="AO1506" s="202">
        <v>200000</v>
      </c>
      <c r="AP1506" s="202">
        <v>200000</v>
      </c>
      <c r="AQ1506" s="198" t="s">
        <v>358</v>
      </c>
      <c r="AR1506" s="198" t="s">
        <v>51</v>
      </c>
      <c r="AS1506" s="202">
        <v>60000</v>
      </c>
      <c r="AT1506" s="202">
        <v>60000</v>
      </c>
      <c r="AU1506" s="198" t="s">
        <v>359</v>
      </c>
      <c r="AV1506" s="198" t="s">
        <v>62</v>
      </c>
      <c r="AW1506" s="198" t="s">
        <v>54</v>
      </c>
    </row>
    <row r="1507" spans="3:49" outlineLevel="2" x14ac:dyDescent="0.25">
      <c r="C1507" s="201"/>
      <c r="D1507" s="198" t="s">
        <v>239</v>
      </c>
      <c r="H1507" s="198" t="s">
        <v>239</v>
      </c>
      <c r="I1507" s="202">
        <f t="shared" si="23"/>
        <v>626041978.19999993</v>
      </c>
      <c r="J1507" s="202">
        <v>151.6</v>
      </c>
      <c r="L1507" s="204">
        <v>1</v>
      </c>
      <c r="M1507" s="202">
        <v>100000</v>
      </c>
      <c r="N1507" s="204">
        <v>1</v>
      </c>
      <c r="O1507" s="198" t="s">
        <v>51</v>
      </c>
      <c r="P1507" s="202">
        <v>100000</v>
      </c>
      <c r="Q1507" s="198" t="s">
        <v>159</v>
      </c>
      <c r="R1507" s="198" t="s">
        <v>160</v>
      </c>
      <c r="S1507" s="198" t="s">
        <v>54</v>
      </c>
      <c r="T1507" s="198" t="s">
        <v>739</v>
      </c>
      <c r="U1507" s="198" t="s">
        <v>367</v>
      </c>
      <c r="V1507" s="198" t="s">
        <v>56</v>
      </c>
      <c r="W1507" s="198" t="s">
        <v>356</v>
      </c>
      <c r="X1507" s="198" t="s">
        <v>161</v>
      </c>
      <c r="Y1507" s="198" t="s">
        <v>162</v>
      </c>
      <c r="Z1507" s="201">
        <v>46387</v>
      </c>
      <c r="AA1507" s="198" t="s">
        <v>59</v>
      </c>
      <c r="AB1507" s="198" t="s">
        <v>60</v>
      </c>
      <c r="AC1507" s="198" t="s">
        <v>86</v>
      </c>
      <c r="AD1507" s="198" t="s">
        <v>62</v>
      </c>
      <c r="AE1507" s="198" t="s">
        <v>54</v>
      </c>
      <c r="AF1507" s="198" t="s">
        <v>54</v>
      </c>
      <c r="AG1507" s="198" t="s">
        <v>88</v>
      </c>
      <c r="AH1507" s="198" t="s">
        <v>148</v>
      </c>
      <c r="AI1507" s="198" t="s">
        <v>56</v>
      </c>
      <c r="AJ1507" s="198" t="s">
        <v>163</v>
      </c>
      <c r="AK1507" s="198" t="s">
        <v>51</v>
      </c>
      <c r="AL1507" s="198" t="s">
        <v>67</v>
      </c>
      <c r="AM1507" s="198" t="s">
        <v>68</v>
      </c>
      <c r="AN1507" s="202">
        <v>100000</v>
      </c>
      <c r="AO1507" s="202">
        <v>100000</v>
      </c>
      <c r="AP1507" s="202">
        <v>100000</v>
      </c>
      <c r="AQ1507" s="198" t="s">
        <v>358</v>
      </c>
      <c r="AR1507" s="198" t="s">
        <v>51</v>
      </c>
      <c r="AS1507" s="202">
        <v>100000</v>
      </c>
      <c r="AT1507" s="202">
        <v>100000</v>
      </c>
      <c r="AU1507" s="198" t="s">
        <v>359</v>
      </c>
      <c r="AV1507" s="198" t="s">
        <v>62</v>
      </c>
      <c r="AW1507" s="198" t="s">
        <v>54</v>
      </c>
    </row>
    <row r="1508" spans="3:49" outlineLevel="2" x14ac:dyDescent="0.25">
      <c r="C1508" s="201"/>
      <c r="D1508" s="198" t="s">
        <v>239</v>
      </c>
      <c r="H1508" s="198" t="s">
        <v>239</v>
      </c>
      <c r="I1508" s="202">
        <f t="shared" si="23"/>
        <v>626454934.64999998</v>
      </c>
      <c r="J1508" s="202">
        <v>151.69999999999999</v>
      </c>
      <c r="L1508" s="204">
        <v>1</v>
      </c>
      <c r="M1508" s="202">
        <v>200000</v>
      </c>
      <c r="N1508" s="204">
        <v>1</v>
      </c>
      <c r="O1508" s="198" t="s">
        <v>51</v>
      </c>
      <c r="P1508" s="202">
        <v>200000</v>
      </c>
      <c r="Q1508" s="198" t="s">
        <v>159</v>
      </c>
      <c r="R1508" s="198" t="s">
        <v>160</v>
      </c>
      <c r="S1508" s="198" t="s">
        <v>54</v>
      </c>
      <c r="T1508" s="198" t="s">
        <v>739</v>
      </c>
      <c r="U1508" s="198" t="s">
        <v>367</v>
      </c>
      <c r="V1508" s="198" t="s">
        <v>56</v>
      </c>
      <c r="W1508" s="198" t="s">
        <v>356</v>
      </c>
      <c r="X1508" s="198" t="s">
        <v>161</v>
      </c>
      <c r="Y1508" s="198" t="s">
        <v>162</v>
      </c>
      <c r="Z1508" s="201">
        <v>46387</v>
      </c>
      <c r="AA1508" s="198" t="s">
        <v>59</v>
      </c>
      <c r="AB1508" s="198" t="s">
        <v>60</v>
      </c>
      <c r="AC1508" s="198" t="s">
        <v>86</v>
      </c>
      <c r="AD1508" s="198" t="s">
        <v>62</v>
      </c>
      <c r="AE1508" s="198" t="s">
        <v>54</v>
      </c>
      <c r="AF1508" s="198" t="s">
        <v>54</v>
      </c>
      <c r="AG1508" s="198" t="s">
        <v>88</v>
      </c>
      <c r="AH1508" s="198" t="s">
        <v>148</v>
      </c>
      <c r="AI1508" s="198" t="s">
        <v>56</v>
      </c>
      <c r="AJ1508" s="198" t="s">
        <v>163</v>
      </c>
      <c r="AK1508" s="198" t="s">
        <v>51</v>
      </c>
      <c r="AL1508" s="198" t="s">
        <v>67</v>
      </c>
      <c r="AM1508" s="198" t="s">
        <v>68</v>
      </c>
      <c r="AN1508" s="202">
        <v>200000</v>
      </c>
      <c r="AO1508" s="202">
        <v>200000</v>
      </c>
      <c r="AP1508" s="202">
        <v>200000</v>
      </c>
      <c r="AQ1508" s="198" t="s">
        <v>358</v>
      </c>
      <c r="AR1508" s="198" t="s">
        <v>51</v>
      </c>
      <c r="AS1508" s="202">
        <v>200000</v>
      </c>
      <c r="AT1508" s="202">
        <v>200000</v>
      </c>
      <c r="AU1508" s="198" t="s">
        <v>359</v>
      </c>
      <c r="AV1508" s="198" t="s">
        <v>62</v>
      </c>
      <c r="AW1508" s="198" t="s">
        <v>54</v>
      </c>
    </row>
    <row r="1509" spans="3:49" outlineLevel="2" x14ac:dyDescent="0.25">
      <c r="C1509" s="201"/>
      <c r="D1509" s="198" t="s">
        <v>239</v>
      </c>
      <c r="H1509" s="198" t="s">
        <v>239</v>
      </c>
      <c r="I1509" s="202">
        <f t="shared" si="23"/>
        <v>626867891.10000002</v>
      </c>
      <c r="J1509" s="202">
        <v>151.80000000000001</v>
      </c>
      <c r="L1509" s="204">
        <v>1</v>
      </c>
      <c r="M1509" s="202">
        <v>1915385</v>
      </c>
      <c r="N1509" s="203">
        <v>0.1</v>
      </c>
      <c r="O1509" s="198" t="s">
        <v>51</v>
      </c>
      <c r="P1509" s="202">
        <v>191538.5</v>
      </c>
      <c r="Q1509" s="198" t="s">
        <v>159</v>
      </c>
      <c r="R1509" s="198" t="s">
        <v>160</v>
      </c>
      <c r="S1509" s="198" t="s">
        <v>54</v>
      </c>
      <c r="T1509" s="198" t="s">
        <v>739</v>
      </c>
      <c r="U1509" s="198" t="s">
        <v>1752</v>
      </c>
      <c r="V1509" s="198" t="s">
        <v>56</v>
      </c>
      <c r="W1509" s="198" t="s">
        <v>356</v>
      </c>
      <c r="X1509" s="198" t="s">
        <v>161</v>
      </c>
      <c r="Y1509" s="198" t="s">
        <v>162</v>
      </c>
      <c r="Z1509" s="201">
        <v>46387</v>
      </c>
      <c r="AA1509" s="198" t="s">
        <v>59</v>
      </c>
      <c r="AB1509" s="198" t="s">
        <v>60</v>
      </c>
      <c r="AC1509" s="198" t="s">
        <v>86</v>
      </c>
      <c r="AD1509" s="198" t="s">
        <v>62</v>
      </c>
      <c r="AE1509" s="198" t="s">
        <v>54</v>
      </c>
      <c r="AF1509" s="198" t="s">
        <v>54</v>
      </c>
      <c r="AG1509" s="198" t="s">
        <v>88</v>
      </c>
      <c r="AH1509" s="198" t="s">
        <v>148</v>
      </c>
      <c r="AI1509" s="198" t="s">
        <v>56</v>
      </c>
      <c r="AJ1509" s="198" t="s">
        <v>163</v>
      </c>
      <c r="AK1509" s="198" t="s">
        <v>51</v>
      </c>
      <c r="AL1509" s="198" t="s">
        <v>67</v>
      </c>
      <c r="AM1509" s="198" t="s">
        <v>68</v>
      </c>
      <c r="AN1509" s="202">
        <v>1915385</v>
      </c>
      <c r="AO1509" s="202">
        <v>1915385</v>
      </c>
      <c r="AP1509" s="202">
        <v>1915385</v>
      </c>
      <c r="AQ1509" s="198" t="s">
        <v>358</v>
      </c>
      <c r="AR1509" s="198" t="s">
        <v>51</v>
      </c>
      <c r="AS1509" s="202">
        <v>191538.5</v>
      </c>
      <c r="AT1509" s="202">
        <v>191538.5</v>
      </c>
      <c r="AU1509" s="198" t="s">
        <v>359</v>
      </c>
      <c r="AV1509" s="198" t="s">
        <v>62</v>
      </c>
      <c r="AW1509" s="198" t="s">
        <v>54</v>
      </c>
    </row>
    <row r="1510" spans="3:49" outlineLevel="2" x14ac:dyDescent="0.25">
      <c r="C1510" s="201"/>
      <c r="D1510" s="198" t="s">
        <v>741</v>
      </c>
      <c r="H1510" s="198" t="s">
        <v>741</v>
      </c>
      <c r="I1510" s="202">
        <f t="shared" si="23"/>
        <v>627280847.55000007</v>
      </c>
      <c r="J1510" s="202">
        <v>151.9</v>
      </c>
      <c r="L1510" s="204">
        <v>1</v>
      </c>
      <c r="M1510" s="202">
        <v>4685000</v>
      </c>
      <c r="N1510" s="203">
        <v>0.3</v>
      </c>
      <c r="O1510" s="198" t="s">
        <v>51</v>
      </c>
      <c r="P1510" s="202">
        <v>1405500</v>
      </c>
      <c r="Q1510" s="198" t="s">
        <v>159</v>
      </c>
      <c r="R1510" s="198" t="s">
        <v>160</v>
      </c>
      <c r="S1510" s="198" t="s">
        <v>54</v>
      </c>
      <c r="T1510" s="198" t="s">
        <v>739</v>
      </c>
      <c r="U1510" s="198" t="s">
        <v>367</v>
      </c>
      <c r="V1510" s="198" t="s">
        <v>56</v>
      </c>
      <c r="W1510" s="198" t="s">
        <v>356</v>
      </c>
      <c r="X1510" s="198" t="s">
        <v>161</v>
      </c>
      <c r="Y1510" s="198" t="s">
        <v>162</v>
      </c>
      <c r="Z1510" s="201">
        <v>46387</v>
      </c>
      <c r="AA1510" s="198" t="s">
        <v>59</v>
      </c>
      <c r="AB1510" s="198" t="s">
        <v>60</v>
      </c>
      <c r="AC1510" s="198" t="s">
        <v>86</v>
      </c>
      <c r="AD1510" s="198" t="s">
        <v>62</v>
      </c>
      <c r="AE1510" s="198" t="s">
        <v>54</v>
      </c>
      <c r="AF1510" s="198" t="s">
        <v>54</v>
      </c>
      <c r="AG1510" s="198" t="s">
        <v>88</v>
      </c>
      <c r="AH1510" s="198" t="s">
        <v>274</v>
      </c>
      <c r="AI1510" s="198" t="s">
        <v>56</v>
      </c>
      <c r="AJ1510" s="198" t="s">
        <v>163</v>
      </c>
      <c r="AK1510" s="198" t="s">
        <v>51</v>
      </c>
      <c r="AL1510" s="198" t="s">
        <v>67</v>
      </c>
      <c r="AM1510" s="198" t="s">
        <v>68</v>
      </c>
      <c r="AN1510" s="202">
        <v>4685000</v>
      </c>
      <c r="AO1510" s="202">
        <v>4685000</v>
      </c>
      <c r="AP1510" s="202">
        <v>4685000</v>
      </c>
      <c r="AQ1510" s="198" t="s">
        <v>358</v>
      </c>
      <c r="AR1510" s="198" t="s">
        <v>51</v>
      </c>
      <c r="AS1510" s="202">
        <v>1405500</v>
      </c>
      <c r="AT1510" s="202">
        <v>1405500</v>
      </c>
      <c r="AU1510" s="198" t="s">
        <v>359</v>
      </c>
      <c r="AV1510" s="198" t="s">
        <v>62</v>
      </c>
      <c r="AW1510" s="198" t="s">
        <v>54</v>
      </c>
    </row>
    <row r="1511" spans="3:49" outlineLevel="2" x14ac:dyDescent="0.25">
      <c r="C1511" s="201"/>
      <c r="D1511" s="198" t="s">
        <v>741</v>
      </c>
      <c r="H1511" s="198" t="s">
        <v>741</v>
      </c>
      <c r="I1511" s="202">
        <f t="shared" si="23"/>
        <v>627693804</v>
      </c>
      <c r="J1511" s="202">
        <v>152</v>
      </c>
      <c r="L1511" s="204">
        <v>1</v>
      </c>
      <c r="M1511" s="202">
        <v>7440000</v>
      </c>
      <c r="N1511" s="204">
        <v>0</v>
      </c>
      <c r="O1511" s="198" t="s">
        <v>51</v>
      </c>
      <c r="P1511" s="202">
        <v>2480000</v>
      </c>
      <c r="Q1511" s="198" t="s">
        <v>159</v>
      </c>
      <c r="R1511" s="198" t="s">
        <v>160</v>
      </c>
      <c r="S1511" s="198" t="s">
        <v>54</v>
      </c>
      <c r="T1511" s="198" t="s">
        <v>739</v>
      </c>
      <c r="U1511" s="198" t="s">
        <v>367</v>
      </c>
      <c r="V1511" s="198" t="s">
        <v>56</v>
      </c>
      <c r="W1511" s="198" t="s">
        <v>356</v>
      </c>
      <c r="X1511" s="198" t="s">
        <v>161</v>
      </c>
      <c r="Y1511" s="198" t="s">
        <v>162</v>
      </c>
      <c r="Z1511" s="201">
        <v>46387</v>
      </c>
      <c r="AA1511" s="198" t="s">
        <v>59</v>
      </c>
      <c r="AB1511" s="198" t="s">
        <v>60</v>
      </c>
      <c r="AC1511" s="198" t="s">
        <v>86</v>
      </c>
      <c r="AD1511" s="198" t="s">
        <v>62</v>
      </c>
      <c r="AE1511" s="198" t="s">
        <v>54</v>
      </c>
      <c r="AF1511" s="198" t="s">
        <v>54</v>
      </c>
      <c r="AG1511" s="198" t="s">
        <v>88</v>
      </c>
      <c r="AH1511" s="198" t="s">
        <v>274</v>
      </c>
      <c r="AI1511" s="198" t="s">
        <v>56</v>
      </c>
      <c r="AJ1511" s="198" t="s">
        <v>163</v>
      </c>
      <c r="AK1511" s="198" t="s">
        <v>51</v>
      </c>
      <c r="AL1511" s="198" t="s">
        <v>67</v>
      </c>
      <c r="AM1511" s="198" t="s">
        <v>68</v>
      </c>
      <c r="AN1511" s="202">
        <v>7440000</v>
      </c>
      <c r="AO1511" s="202">
        <v>7440000</v>
      </c>
      <c r="AP1511" s="202">
        <v>7440000</v>
      </c>
      <c r="AQ1511" s="198" t="s">
        <v>358</v>
      </c>
      <c r="AR1511" s="198" t="s">
        <v>51</v>
      </c>
      <c r="AS1511" s="202">
        <v>2480000</v>
      </c>
      <c r="AT1511" s="202">
        <v>2480000</v>
      </c>
      <c r="AU1511" s="198" t="s">
        <v>359</v>
      </c>
      <c r="AV1511" s="198" t="s">
        <v>62</v>
      </c>
      <c r="AW1511" s="198" t="s">
        <v>54</v>
      </c>
    </row>
    <row r="1512" spans="3:49" outlineLevel="2" x14ac:dyDescent="0.25">
      <c r="C1512" s="201"/>
      <c r="D1512" s="198" t="s">
        <v>741</v>
      </c>
      <c r="H1512" s="198" t="s">
        <v>741</v>
      </c>
      <c r="I1512" s="202">
        <f t="shared" si="23"/>
        <v>628106760.44999993</v>
      </c>
      <c r="J1512" s="202">
        <v>152.1</v>
      </c>
      <c r="L1512" s="204">
        <v>1</v>
      </c>
      <c r="M1512" s="202">
        <v>200000</v>
      </c>
      <c r="N1512" s="203">
        <v>0.3</v>
      </c>
      <c r="O1512" s="198" t="s">
        <v>51</v>
      </c>
      <c r="P1512" s="202">
        <v>60000</v>
      </c>
      <c r="Q1512" s="198" t="s">
        <v>159</v>
      </c>
      <c r="R1512" s="198" t="s">
        <v>160</v>
      </c>
      <c r="S1512" s="198" t="s">
        <v>54</v>
      </c>
      <c r="T1512" s="198" t="s">
        <v>739</v>
      </c>
      <c r="U1512" s="198" t="s">
        <v>367</v>
      </c>
      <c r="V1512" s="198" t="s">
        <v>56</v>
      </c>
      <c r="W1512" s="198" t="s">
        <v>356</v>
      </c>
      <c r="X1512" s="198" t="s">
        <v>161</v>
      </c>
      <c r="Y1512" s="198" t="s">
        <v>162</v>
      </c>
      <c r="Z1512" s="201">
        <v>46387</v>
      </c>
      <c r="AA1512" s="198" t="s">
        <v>59</v>
      </c>
      <c r="AB1512" s="198" t="s">
        <v>60</v>
      </c>
      <c r="AC1512" s="198" t="s">
        <v>86</v>
      </c>
      <c r="AD1512" s="198" t="s">
        <v>62</v>
      </c>
      <c r="AE1512" s="198" t="s">
        <v>54</v>
      </c>
      <c r="AF1512" s="198" t="s">
        <v>54</v>
      </c>
      <c r="AG1512" s="198" t="s">
        <v>88</v>
      </c>
      <c r="AH1512" s="198" t="s">
        <v>274</v>
      </c>
      <c r="AI1512" s="198" t="s">
        <v>56</v>
      </c>
      <c r="AJ1512" s="198" t="s">
        <v>163</v>
      </c>
      <c r="AK1512" s="198" t="s">
        <v>51</v>
      </c>
      <c r="AL1512" s="198" t="s">
        <v>67</v>
      </c>
      <c r="AM1512" s="198" t="s">
        <v>68</v>
      </c>
      <c r="AN1512" s="202">
        <v>200000</v>
      </c>
      <c r="AO1512" s="202">
        <v>200000</v>
      </c>
      <c r="AP1512" s="202">
        <v>200000</v>
      </c>
      <c r="AQ1512" s="198" t="s">
        <v>358</v>
      </c>
      <c r="AR1512" s="198" t="s">
        <v>51</v>
      </c>
      <c r="AS1512" s="202">
        <v>60000</v>
      </c>
      <c r="AT1512" s="202">
        <v>60000</v>
      </c>
      <c r="AU1512" s="198" t="s">
        <v>359</v>
      </c>
      <c r="AV1512" s="198" t="s">
        <v>62</v>
      </c>
      <c r="AW1512" s="198" t="s">
        <v>54</v>
      </c>
    </row>
    <row r="1513" spans="3:49" outlineLevel="2" x14ac:dyDescent="0.25">
      <c r="C1513" s="201"/>
      <c r="D1513" s="198" t="s">
        <v>741</v>
      </c>
      <c r="H1513" s="198" t="s">
        <v>741</v>
      </c>
      <c r="I1513" s="202">
        <f t="shared" si="23"/>
        <v>628519716.89999998</v>
      </c>
      <c r="J1513" s="202">
        <v>152.19999999999999</v>
      </c>
      <c r="L1513" s="204">
        <v>1</v>
      </c>
      <c r="M1513" s="202">
        <v>100000</v>
      </c>
      <c r="N1513" s="204">
        <v>1</v>
      </c>
      <c r="O1513" s="198" t="s">
        <v>51</v>
      </c>
      <c r="P1513" s="202">
        <v>100000</v>
      </c>
      <c r="Q1513" s="198" t="s">
        <v>159</v>
      </c>
      <c r="R1513" s="198" t="s">
        <v>160</v>
      </c>
      <c r="S1513" s="198" t="s">
        <v>54</v>
      </c>
      <c r="T1513" s="198" t="s">
        <v>739</v>
      </c>
      <c r="U1513" s="198" t="s">
        <v>367</v>
      </c>
      <c r="V1513" s="198" t="s">
        <v>56</v>
      </c>
      <c r="W1513" s="198" t="s">
        <v>356</v>
      </c>
      <c r="X1513" s="198" t="s">
        <v>161</v>
      </c>
      <c r="Y1513" s="198" t="s">
        <v>162</v>
      </c>
      <c r="Z1513" s="201">
        <v>46387</v>
      </c>
      <c r="AA1513" s="198" t="s">
        <v>59</v>
      </c>
      <c r="AB1513" s="198" t="s">
        <v>60</v>
      </c>
      <c r="AC1513" s="198" t="s">
        <v>86</v>
      </c>
      <c r="AD1513" s="198" t="s">
        <v>62</v>
      </c>
      <c r="AE1513" s="198" t="s">
        <v>54</v>
      </c>
      <c r="AF1513" s="198" t="s">
        <v>54</v>
      </c>
      <c r="AG1513" s="198" t="s">
        <v>88</v>
      </c>
      <c r="AH1513" s="198" t="s">
        <v>274</v>
      </c>
      <c r="AI1513" s="198" t="s">
        <v>56</v>
      </c>
      <c r="AJ1513" s="198" t="s">
        <v>163</v>
      </c>
      <c r="AK1513" s="198" t="s">
        <v>51</v>
      </c>
      <c r="AL1513" s="198" t="s">
        <v>67</v>
      </c>
      <c r="AM1513" s="198" t="s">
        <v>68</v>
      </c>
      <c r="AN1513" s="202">
        <v>100000</v>
      </c>
      <c r="AO1513" s="202">
        <v>100000</v>
      </c>
      <c r="AP1513" s="202">
        <v>100000</v>
      </c>
      <c r="AQ1513" s="198" t="s">
        <v>358</v>
      </c>
      <c r="AR1513" s="198" t="s">
        <v>51</v>
      </c>
      <c r="AS1513" s="202">
        <v>100000</v>
      </c>
      <c r="AT1513" s="202">
        <v>100000</v>
      </c>
      <c r="AU1513" s="198" t="s">
        <v>359</v>
      </c>
      <c r="AV1513" s="198" t="s">
        <v>62</v>
      </c>
      <c r="AW1513" s="198" t="s">
        <v>54</v>
      </c>
    </row>
    <row r="1514" spans="3:49" outlineLevel="2" x14ac:dyDescent="0.25">
      <c r="C1514" s="201"/>
      <c r="D1514" s="198" t="s">
        <v>741</v>
      </c>
      <c r="H1514" s="198" t="s">
        <v>741</v>
      </c>
      <c r="I1514" s="202">
        <f t="shared" si="23"/>
        <v>628932673.35000002</v>
      </c>
      <c r="J1514" s="202">
        <v>152.30000000000001</v>
      </c>
      <c r="L1514" s="204">
        <v>1</v>
      </c>
      <c r="M1514" s="202">
        <v>200000</v>
      </c>
      <c r="N1514" s="204">
        <v>1</v>
      </c>
      <c r="O1514" s="198" t="s">
        <v>51</v>
      </c>
      <c r="P1514" s="202">
        <v>200000</v>
      </c>
      <c r="Q1514" s="198" t="s">
        <v>159</v>
      </c>
      <c r="R1514" s="198" t="s">
        <v>160</v>
      </c>
      <c r="S1514" s="198" t="s">
        <v>54</v>
      </c>
      <c r="T1514" s="198" t="s">
        <v>739</v>
      </c>
      <c r="U1514" s="198" t="s">
        <v>367</v>
      </c>
      <c r="V1514" s="198" t="s">
        <v>56</v>
      </c>
      <c r="W1514" s="198" t="s">
        <v>356</v>
      </c>
      <c r="X1514" s="198" t="s">
        <v>161</v>
      </c>
      <c r="Y1514" s="198" t="s">
        <v>162</v>
      </c>
      <c r="Z1514" s="201">
        <v>46387</v>
      </c>
      <c r="AA1514" s="198" t="s">
        <v>59</v>
      </c>
      <c r="AB1514" s="198" t="s">
        <v>60</v>
      </c>
      <c r="AC1514" s="198" t="s">
        <v>86</v>
      </c>
      <c r="AD1514" s="198" t="s">
        <v>62</v>
      </c>
      <c r="AE1514" s="198" t="s">
        <v>54</v>
      </c>
      <c r="AF1514" s="198" t="s">
        <v>54</v>
      </c>
      <c r="AG1514" s="198" t="s">
        <v>88</v>
      </c>
      <c r="AH1514" s="198" t="s">
        <v>274</v>
      </c>
      <c r="AI1514" s="198" t="s">
        <v>56</v>
      </c>
      <c r="AJ1514" s="198" t="s">
        <v>163</v>
      </c>
      <c r="AK1514" s="198" t="s">
        <v>51</v>
      </c>
      <c r="AL1514" s="198" t="s">
        <v>67</v>
      </c>
      <c r="AM1514" s="198" t="s">
        <v>68</v>
      </c>
      <c r="AN1514" s="202">
        <v>200000</v>
      </c>
      <c r="AO1514" s="202">
        <v>200000</v>
      </c>
      <c r="AP1514" s="202">
        <v>200000</v>
      </c>
      <c r="AQ1514" s="198" t="s">
        <v>358</v>
      </c>
      <c r="AR1514" s="198" t="s">
        <v>51</v>
      </c>
      <c r="AS1514" s="202">
        <v>200000</v>
      </c>
      <c r="AT1514" s="202">
        <v>200000</v>
      </c>
      <c r="AU1514" s="198" t="s">
        <v>359</v>
      </c>
      <c r="AV1514" s="198" t="s">
        <v>62</v>
      </c>
      <c r="AW1514" s="198" t="s">
        <v>54</v>
      </c>
    </row>
    <row r="1515" spans="3:49" outlineLevel="2" x14ac:dyDescent="0.25">
      <c r="C1515" s="201"/>
      <c r="D1515" s="198" t="s">
        <v>741</v>
      </c>
      <c r="H1515" s="198" t="s">
        <v>741</v>
      </c>
      <c r="I1515" s="202">
        <f t="shared" si="23"/>
        <v>629345629.80000007</v>
      </c>
      <c r="J1515" s="202">
        <v>152.4</v>
      </c>
      <c r="L1515" s="204">
        <v>1</v>
      </c>
      <c r="M1515" s="202">
        <v>2090769</v>
      </c>
      <c r="N1515" s="204">
        <v>1</v>
      </c>
      <c r="O1515" s="198" t="s">
        <v>51</v>
      </c>
      <c r="P1515" s="202">
        <v>2090769</v>
      </c>
      <c r="Q1515" s="198" t="s">
        <v>159</v>
      </c>
      <c r="R1515" s="198" t="s">
        <v>160</v>
      </c>
      <c r="S1515" s="198" t="s">
        <v>54</v>
      </c>
      <c r="T1515" s="198" t="s">
        <v>739</v>
      </c>
      <c r="U1515" s="198" t="s">
        <v>367</v>
      </c>
      <c r="V1515" s="198" t="s">
        <v>56</v>
      </c>
      <c r="W1515" s="198" t="s">
        <v>356</v>
      </c>
      <c r="X1515" s="198" t="s">
        <v>161</v>
      </c>
      <c r="Y1515" s="198" t="s">
        <v>162</v>
      </c>
      <c r="Z1515" s="201">
        <v>46387</v>
      </c>
      <c r="AA1515" s="198" t="s">
        <v>59</v>
      </c>
      <c r="AB1515" s="198" t="s">
        <v>60</v>
      </c>
      <c r="AC1515" s="198" t="s">
        <v>86</v>
      </c>
      <c r="AD1515" s="198" t="s">
        <v>62</v>
      </c>
      <c r="AE1515" s="198" t="s">
        <v>54</v>
      </c>
      <c r="AF1515" s="198" t="s">
        <v>54</v>
      </c>
      <c r="AG1515" s="198" t="s">
        <v>88</v>
      </c>
      <c r="AH1515" s="198" t="s">
        <v>274</v>
      </c>
      <c r="AI1515" s="198" t="s">
        <v>56</v>
      </c>
      <c r="AJ1515" s="198" t="s">
        <v>163</v>
      </c>
      <c r="AK1515" s="198" t="s">
        <v>51</v>
      </c>
      <c r="AL1515" s="198" t="s">
        <v>67</v>
      </c>
      <c r="AM1515" s="198" t="s">
        <v>68</v>
      </c>
      <c r="AN1515" s="202">
        <v>2090769</v>
      </c>
      <c r="AO1515" s="202">
        <v>2090769</v>
      </c>
      <c r="AP1515" s="202">
        <v>2090769</v>
      </c>
      <c r="AQ1515" s="198" t="s">
        <v>358</v>
      </c>
      <c r="AR1515" s="198" t="s">
        <v>51</v>
      </c>
      <c r="AS1515" s="202">
        <v>2090769</v>
      </c>
      <c r="AT1515" s="202">
        <v>2090769</v>
      </c>
      <c r="AU1515" s="198" t="s">
        <v>359</v>
      </c>
      <c r="AV1515" s="198" t="s">
        <v>62</v>
      </c>
      <c r="AW1515" s="198" t="s">
        <v>54</v>
      </c>
    </row>
    <row r="1516" spans="3:49" outlineLevel="2" x14ac:dyDescent="0.25">
      <c r="C1516" s="201"/>
      <c r="D1516" s="198" t="s">
        <v>158</v>
      </c>
      <c r="H1516" s="198" t="s">
        <v>158</v>
      </c>
      <c r="I1516" s="202">
        <f t="shared" si="23"/>
        <v>629758586.25</v>
      </c>
      <c r="J1516" s="202">
        <v>152.5</v>
      </c>
      <c r="L1516" s="204">
        <v>1</v>
      </c>
      <c r="M1516" s="202">
        <v>3646000</v>
      </c>
      <c r="N1516" s="204">
        <v>0</v>
      </c>
      <c r="O1516" s="198" t="s">
        <v>51</v>
      </c>
      <c r="P1516" s="202">
        <v>2244000</v>
      </c>
      <c r="Q1516" s="198" t="s">
        <v>159</v>
      </c>
      <c r="R1516" s="198" t="s">
        <v>160</v>
      </c>
      <c r="S1516" s="198" t="s">
        <v>54</v>
      </c>
      <c r="T1516" s="198" t="s">
        <v>431</v>
      </c>
      <c r="U1516" s="198" t="s">
        <v>364</v>
      </c>
      <c r="V1516" s="198" t="s">
        <v>56</v>
      </c>
      <c r="W1516" s="198" t="s">
        <v>356</v>
      </c>
      <c r="X1516" s="198" t="s">
        <v>161</v>
      </c>
      <c r="Y1516" s="198" t="s">
        <v>162</v>
      </c>
      <c r="Z1516" s="201">
        <v>46234</v>
      </c>
      <c r="AA1516" s="198" t="s">
        <v>59</v>
      </c>
      <c r="AB1516" s="198" t="s">
        <v>60</v>
      </c>
      <c r="AC1516" s="198" t="s">
        <v>86</v>
      </c>
      <c r="AD1516" s="198" t="s">
        <v>62</v>
      </c>
      <c r="AE1516" s="198" t="s">
        <v>54</v>
      </c>
      <c r="AF1516" s="198" t="s">
        <v>54</v>
      </c>
      <c r="AG1516" s="198" t="s">
        <v>248</v>
      </c>
      <c r="AH1516" s="198" t="s">
        <v>65</v>
      </c>
      <c r="AI1516" s="198" t="s">
        <v>56</v>
      </c>
      <c r="AJ1516" s="198" t="s">
        <v>163</v>
      </c>
      <c r="AK1516" s="198" t="s">
        <v>51</v>
      </c>
      <c r="AL1516" s="198" t="s">
        <v>67</v>
      </c>
      <c r="AM1516" s="198" t="s">
        <v>68</v>
      </c>
      <c r="AN1516" s="202">
        <v>3646000</v>
      </c>
      <c r="AO1516" s="202">
        <v>3646000</v>
      </c>
      <c r="AP1516" s="202">
        <v>3646000</v>
      </c>
      <c r="AQ1516" s="198" t="s">
        <v>358</v>
      </c>
      <c r="AR1516" s="198" t="s">
        <v>51</v>
      </c>
      <c r="AS1516" s="202">
        <v>2244000</v>
      </c>
      <c r="AT1516" s="202">
        <v>2244000</v>
      </c>
      <c r="AU1516" s="198" t="s">
        <v>359</v>
      </c>
      <c r="AV1516" s="198" t="s">
        <v>62</v>
      </c>
      <c r="AW1516" s="198" t="s">
        <v>54</v>
      </c>
    </row>
    <row r="1517" spans="3:49" outlineLevel="2" x14ac:dyDescent="0.25">
      <c r="C1517" s="201"/>
      <c r="D1517" s="198" t="s">
        <v>682</v>
      </c>
      <c r="H1517" s="198" t="s">
        <v>682</v>
      </c>
      <c r="I1517" s="202">
        <f t="shared" si="23"/>
        <v>630171542.69999993</v>
      </c>
      <c r="J1517" s="202">
        <v>152.6</v>
      </c>
      <c r="L1517" s="204">
        <v>1</v>
      </c>
      <c r="M1517" s="202">
        <v>360000</v>
      </c>
      <c r="N1517" s="204">
        <v>1</v>
      </c>
      <c r="O1517" s="198" t="s">
        <v>51</v>
      </c>
      <c r="P1517" s="202">
        <v>360000</v>
      </c>
      <c r="Q1517" s="198" t="s">
        <v>159</v>
      </c>
      <c r="R1517" s="198" t="s">
        <v>160</v>
      </c>
      <c r="S1517" s="198" t="s">
        <v>54</v>
      </c>
      <c r="T1517" s="198" t="s">
        <v>742</v>
      </c>
      <c r="U1517" s="198" t="s">
        <v>80</v>
      </c>
      <c r="V1517" s="198" t="s">
        <v>56</v>
      </c>
      <c r="W1517" s="198" t="s">
        <v>356</v>
      </c>
      <c r="X1517" s="198" t="s">
        <v>161</v>
      </c>
      <c r="Y1517" s="198" t="s">
        <v>162</v>
      </c>
      <c r="Z1517" s="201">
        <v>46112</v>
      </c>
      <c r="AA1517" s="198" t="s">
        <v>59</v>
      </c>
      <c r="AB1517" s="198" t="s">
        <v>60</v>
      </c>
      <c r="AC1517" s="198" t="s">
        <v>61</v>
      </c>
      <c r="AD1517" s="198" t="s">
        <v>62</v>
      </c>
      <c r="AE1517" s="198" t="s">
        <v>54</v>
      </c>
      <c r="AF1517" s="198" t="s">
        <v>54</v>
      </c>
      <c r="AG1517" s="198" t="s">
        <v>166</v>
      </c>
      <c r="AH1517" s="198" t="s">
        <v>143</v>
      </c>
      <c r="AI1517" s="198" t="s">
        <v>56</v>
      </c>
      <c r="AJ1517" s="198" t="s">
        <v>163</v>
      </c>
      <c r="AK1517" s="198" t="s">
        <v>51</v>
      </c>
      <c r="AL1517" s="198" t="s">
        <v>67</v>
      </c>
      <c r="AM1517" s="198" t="s">
        <v>68</v>
      </c>
      <c r="AN1517" s="202">
        <v>360000</v>
      </c>
      <c r="AO1517" s="202">
        <v>360000</v>
      </c>
      <c r="AP1517" s="202">
        <v>360000</v>
      </c>
      <c r="AQ1517" s="198" t="s">
        <v>358</v>
      </c>
      <c r="AR1517" s="198" t="s">
        <v>51</v>
      </c>
      <c r="AS1517" s="202">
        <v>360000</v>
      </c>
      <c r="AT1517" s="202">
        <v>360000</v>
      </c>
      <c r="AU1517" s="198" t="s">
        <v>359</v>
      </c>
      <c r="AV1517" s="198" t="s">
        <v>62</v>
      </c>
      <c r="AW1517" s="198" t="s">
        <v>54</v>
      </c>
    </row>
    <row r="1518" spans="3:49" outlineLevel="2" x14ac:dyDescent="0.25">
      <c r="C1518" s="201"/>
      <c r="D1518" s="198" t="s">
        <v>682</v>
      </c>
      <c r="H1518" s="198" t="s">
        <v>682</v>
      </c>
      <c r="I1518" s="202">
        <f t="shared" si="23"/>
        <v>630584499.14999998</v>
      </c>
      <c r="J1518" s="202">
        <v>152.69999999999999</v>
      </c>
      <c r="L1518" s="204">
        <v>1</v>
      </c>
      <c r="M1518" s="202">
        <v>465000</v>
      </c>
      <c r="N1518" s="204">
        <v>1</v>
      </c>
      <c r="O1518" s="198" t="s">
        <v>51</v>
      </c>
      <c r="P1518" s="202">
        <v>465000</v>
      </c>
      <c r="Q1518" s="198" t="s">
        <v>159</v>
      </c>
      <c r="R1518" s="198" t="s">
        <v>160</v>
      </c>
      <c r="S1518" s="198" t="s">
        <v>54</v>
      </c>
      <c r="T1518" s="198" t="s">
        <v>742</v>
      </c>
      <c r="U1518" s="198" t="s">
        <v>80</v>
      </c>
      <c r="V1518" s="198" t="s">
        <v>56</v>
      </c>
      <c r="W1518" s="198" t="s">
        <v>356</v>
      </c>
      <c r="X1518" s="198" t="s">
        <v>161</v>
      </c>
      <c r="Y1518" s="198" t="s">
        <v>162</v>
      </c>
      <c r="Z1518" s="201">
        <v>46112</v>
      </c>
      <c r="AA1518" s="198" t="s">
        <v>59</v>
      </c>
      <c r="AB1518" s="198" t="s">
        <v>60</v>
      </c>
      <c r="AC1518" s="198" t="s">
        <v>61</v>
      </c>
      <c r="AD1518" s="198" t="s">
        <v>62</v>
      </c>
      <c r="AE1518" s="198" t="s">
        <v>54</v>
      </c>
      <c r="AF1518" s="198" t="s">
        <v>54</v>
      </c>
      <c r="AG1518" s="198" t="s">
        <v>166</v>
      </c>
      <c r="AH1518" s="198" t="s">
        <v>143</v>
      </c>
      <c r="AI1518" s="198" t="s">
        <v>56</v>
      </c>
      <c r="AJ1518" s="198" t="s">
        <v>163</v>
      </c>
      <c r="AK1518" s="198" t="s">
        <v>51</v>
      </c>
      <c r="AL1518" s="198" t="s">
        <v>67</v>
      </c>
      <c r="AM1518" s="198" t="s">
        <v>68</v>
      </c>
      <c r="AN1518" s="202">
        <v>465000</v>
      </c>
      <c r="AO1518" s="202">
        <v>465000</v>
      </c>
      <c r="AP1518" s="202">
        <v>465000</v>
      </c>
      <c r="AQ1518" s="198" t="s">
        <v>358</v>
      </c>
      <c r="AR1518" s="198" t="s">
        <v>51</v>
      </c>
      <c r="AS1518" s="202">
        <v>465000</v>
      </c>
      <c r="AT1518" s="202">
        <v>465000</v>
      </c>
      <c r="AU1518" s="198" t="s">
        <v>359</v>
      </c>
      <c r="AV1518" s="198" t="s">
        <v>62</v>
      </c>
      <c r="AW1518" s="198" t="s">
        <v>54</v>
      </c>
    </row>
    <row r="1519" spans="3:49" outlineLevel="2" x14ac:dyDescent="0.25">
      <c r="C1519" s="201"/>
      <c r="D1519" s="198" t="s">
        <v>682</v>
      </c>
      <c r="H1519" s="198" t="s">
        <v>682</v>
      </c>
      <c r="I1519" s="202">
        <f t="shared" si="23"/>
        <v>630997455.60000002</v>
      </c>
      <c r="J1519" s="202">
        <v>152.80000000000001</v>
      </c>
      <c r="L1519" s="204">
        <v>1</v>
      </c>
      <c r="M1519" s="202">
        <v>360000</v>
      </c>
      <c r="N1519" s="204">
        <v>1</v>
      </c>
      <c r="O1519" s="198" t="s">
        <v>51</v>
      </c>
      <c r="P1519" s="202">
        <v>360000</v>
      </c>
      <c r="Q1519" s="198" t="s">
        <v>159</v>
      </c>
      <c r="R1519" s="198" t="s">
        <v>160</v>
      </c>
      <c r="S1519" s="198" t="s">
        <v>54</v>
      </c>
      <c r="T1519" s="198" t="s">
        <v>742</v>
      </c>
      <c r="U1519" s="198" t="s">
        <v>80</v>
      </c>
      <c r="V1519" s="198" t="s">
        <v>56</v>
      </c>
      <c r="W1519" s="198" t="s">
        <v>356</v>
      </c>
      <c r="X1519" s="198" t="s">
        <v>161</v>
      </c>
      <c r="Y1519" s="198" t="s">
        <v>162</v>
      </c>
      <c r="Z1519" s="201">
        <v>46112</v>
      </c>
      <c r="AA1519" s="198" t="s">
        <v>59</v>
      </c>
      <c r="AB1519" s="198" t="s">
        <v>60</v>
      </c>
      <c r="AC1519" s="198" t="s">
        <v>61</v>
      </c>
      <c r="AD1519" s="198" t="s">
        <v>62</v>
      </c>
      <c r="AE1519" s="198" t="s">
        <v>54</v>
      </c>
      <c r="AF1519" s="198" t="s">
        <v>54</v>
      </c>
      <c r="AG1519" s="198" t="s">
        <v>166</v>
      </c>
      <c r="AH1519" s="198" t="s">
        <v>143</v>
      </c>
      <c r="AI1519" s="198" t="s">
        <v>56</v>
      </c>
      <c r="AJ1519" s="198" t="s">
        <v>163</v>
      </c>
      <c r="AK1519" s="198" t="s">
        <v>51</v>
      </c>
      <c r="AL1519" s="198" t="s">
        <v>67</v>
      </c>
      <c r="AM1519" s="198" t="s">
        <v>68</v>
      </c>
      <c r="AN1519" s="202">
        <v>360000</v>
      </c>
      <c r="AO1519" s="202">
        <v>360000</v>
      </c>
      <c r="AP1519" s="202">
        <v>360000</v>
      </c>
      <c r="AQ1519" s="198" t="s">
        <v>358</v>
      </c>
      <c r="AR1519" s="198" t="s">
        <v>51</v>
      </c>
      <c r="AS1519" s="202">
        <v>360000</v>
      </c>
      <c r="AT1519" s="202">
        <v>360000</v>
      </c>
      <c r="AU1519" s="198" t="s">
        <v>359</v>
      </c>
      <c r="AV1519" s="198" t="s">
        <v>62</v>
      </c>
      <c r="AW1519" s="198" t="s">
        <v>54</v>
      </c>
    </row>
    <row r="1520" spans="3:49" outlineLevel="2" x14ac:dyDescent="0.25">
      <c r="C1520" s="201"/>
      <c r="D1520" s="198" t="s">
        <v>682</v>
      </c>
      <c r="H1520" s="198" t="s">
        <v>682</v>
      </c>
      <c r="I1520" s="202">
        <f t="shared" si="23"/>
        <v>631410412.05000007</v>
      </c>
      <c r="J1520" s="202">
        <v>152.9</v>
      </c>
      <c r="L1520" s="204">
        <v>1</v>
      </c>
      <c r="M1520" s="202">
        <v>465000</v>
      </c>
      <c r="N1520" s="204">
        <v>1</v>
      </c>
      <c r="O1520" s="198" t="s">
        <v>51</v>
      </c>
      <c r="P1520" s="202">
        <v>465000</v>
      </c>
      <c r="Q1520" s="198" t="s">
        <v>159</v>
      </c>
      <c r="R1520" s="198" t="s">
        <v>160</v>
      </c>
      <c r="S1520" s="198" t="s">
        <v>54</v>
      </c>
      <c r="T1520" s="198" t="s">
        <v>742</v>
      </c>
      <c r="U1520" s="198" t="s">
        <v>80</v>
      </c>
      <c r="V1520" s="198" t="s">
        <v>56</v>
      </c>
      <c r="W1520" s="198" t="s">
        <v>356</v>
      </c>
      <c r="X1520" s="198" t="s">
        <v>161</v>
      </c>
      <c r="Y1520" s="198" t="s">
        <v>162</v>
      </c>
      <c r="Z1520" s="201">
        <v>46112</v>
      </c>
      <c r="AA1520" s="198" t="s">
        <v>59</v>
      </c>
      <c r="AB1520" s="198" t="s">
        <v>60</v>
      </c>
      <c r="AC1520" s="198" t="s">
        <v>61</v>
      </c>
      <c r="AD1520" s="198" t="s">
        <v>62</v>
      </c>
      <c r="AE1520" s="198" t="s">
        <v>54</v>
      </c>
      <c r="AF1520" s="198" t="s">
        <v>54</v>
      </c>
      <c r="AG1520" s="198" t="s">
        <v>166</v>
      </c>
      <c r="AH1520" s="198" t="s">
        <v>143</v>
      </c>
      <c r="AI1520" s="198" t="s">
        <v>56</v>
      </c>
      <c r="AJ1520" s="198" t="s">
        <v>163</v>
      </c>
      <c r="AK1520" s="198" t="s">
        <v>51</v>
      </c>
      <c r="AL1520" s="198" t="s">
        <v>67</v>
      </c>
      <c r="AM1520" s="198" t="s">
        <v>68</v>
      </c>
      <c r="AN1520" s="202">
        <v>465000</v>
      </c>
      <c r="AO1520" s="202">
        <v>465000</v>
      </c>
      <c r="AP1520" s="202">
        <v>465000</v>
      </c>
      <c r="AQ1520" s="198" t="s">
        <v>358</v>
      </c>
      <c r="AR1520" s="198" t="s">
        <v>51</v>
      </c>
      <c r="AS1520" s="202">
        <v>465000</v>
      </c>
      <c r="AT1520" s="202">
        <v>465000</v>
      </c>
      <c r="AU1520" s="198" t="s">
        <v>359</v>
      </c>
      <c r="AV1520" s="198" t="s">
        <v>62</v>
      </c>
      <c r="AW1520" s="198" t="s">
        <v>54</v>
      </c>
    </row>
    <row r="1521" spans="3:49" outlineLevel="2" x14ac:dyDescent="0.25">
      <c r="C1521" s="201"/>
      <c r="D1521" s="198" t="s">
        <v>682</v>
      </c>
      <c r="H1521" s="198" t="s">
        <v>682</v>
      </c>
      <c r="I1521" s="202">
        <f t="shared" si="23"/>
        <v>631823368.5</v>
      </c>
      <c r="J1521" s="202">
        <v>153</v>
      </c>
      <c r="L1521" s="204">
        <v>1</v>
      </c>
      <c r="M1521" s="202">
        <v>480000</v>
      </c>
      <c r="N1521" s="204">
        <v>1</v>
      </c>
      <c r="O1521" s="198" t="s">
        <v>51</v>
      </c>
      <c r="P1521" s="202">
        <v>480000</v>
      </c>
      <c r="Q1521" s="198" t="s">
        <v>159</v>
      </c>
      <c r="R1521" s="198" t="s">
        <v>160</v>
      </c>
      <c r="S1521" s="198" t="s">
        <v>54</v>
      </c>
      <c r="T1521" s="198" t="s">
        <v>742</v>
      </c>
      <c r="U1521" s="198" t="s">
        <v>80</v>
      </c>
      <c r="V1521" s="198" t="s">
        <v>56</v>
      </c>
      <c r="W1521" s="198" t="s">
        <v>356</v>
      </c>
      <c r="X1521" s="198" t="s">
        <v>161</v>
      </c>
      <c r="Y1521" s="198" t="s">
        <v>162</v>
      </c>
      <c r="Z1521" s="201">
        <v>46112</v>
      </c>
      <c r="AA1521" s="198" t="s">
        <v>59</v>
      </c>
      <c r="AB1521" s="198" t="s">
        <v>60</v>
      </c>
      <c r="AC1521" s="198" t="s">
        <v>61</v>
      </c>
      <c r="AD1521" s="198" t="s">
        <v>62</v>
      </c>
      <c r="AE1521" s="198" t="s">
        <v>54</v>
      </c>
      <c r="AF1521" s="198" t="s">
        <v>54</v>
      </c>
      <c r="AG1521" s="198" t="s">
        <v>166</v>
      </c>
      <c r="AH1521" s="198" t="s">
        <v>143</v>
      </c>
      <c r="AI1521" s="198" t="s">
        <v>56</v>
      </c>
      <c r="AJ1521" s="198" t="s">
        <v>163</v>
      </c>
      <c r="AK1521" s="198" t="s">
        <v>51</v>
      </c>
      <c r="AL1521" s="198" t="s">
        <v>67</v>
      </c>
      <c r="AM1521" s="198" t="s">
        <v>68</v>
      </c>
      <c r="AN1521" s="202">
        <v>480000</v>
      </c>
      <c r="AO1521" s="202">
        <v>480000</v>
      </c>
      <c r="AP1521" s="202">
        <v>480000</v>
      </c>
      <c r="AQ1521" s="198" t="s">
        <v>358</v>
      </c>
      <c r="AR1521" s="198" t="s">
        <v>51</v>
      </c>
      <c r="AS1521" s="202">
        <v>480000</v>
      </c>
      <c r="AT1521" s="202">
        <v>480000</v>
      </c>
      <c r="AU1521" s="198" t="s">
        <v>359</v>
      </c>
      <c r="AV1521" s="198" t="s">
        <v>62</v>
      </c>
      <c r="AW1521" s="198" t="s">
        <v>54</v>
      </c>
    </row>
    <row r="1522" spans="3:49" outlineLevel="2" x14ac:dyDescent="0.25">
      <c r="C1522" s="201"/>
      <c r="D1522" s="198" t="s">
        <v>682</v>
      </c>
      <c r="H1522" s="198" t="s">
        <v>682</v>
      </c>
      <c r="I1522" s="202">
        <f t="shared" si="23"/>
        <v>632236324.94999993</v>
      </c>
      <c r="J1522" s="202">
        <v>153.1</v>
      </c>
      <c r="L1522" s="204">
        <v>1</v>
      </c>
      <c r="M1522" s="202">
        <v>620000.01</v>
      </c>
      <c r="N1522" s="204">
        <v>1</v>
      </c>
      <c r="O1522" s="198" t="s">
        <v>51</v>
      </c>
      <c r="P1522" s="202">
        <v>620000.01</v>
      </c>
      <c r="Q1522" s="198" t="s">
        <v>159</v>
      </c>
      <c r="R1522" s="198" t="s">
        <v>160</v>
      </c>
      <c r="S1522" s="198" t="s">
        <v>54</v>
      </c>
      <c r="T1522" s="198" t="s">
        <v>742</v>
      </c>
      <c r="U1522" s="198" t="s">
        <v>80</v>
      </c>
      <c r="V1522" s="198" t="s">
        <v>56</v>
      </c>
      <c r="W1522" s="198" t="s">
        <v>356</v>
      </c>
      <c r="X1522" s="198" t="s">
        <v>161</v>
      </c>
      <c r="Y1522" s="198" t="s">
        <v>162</v>
      </c>
      <c r="Z1522" s="201">
        <v>46112</v>
      </c>
      <c r="AA1522" s="198" t="s">
        <v>59</v>
      </c>
      <c r="AB1522" s="198" t="s">
        <v>60</v>
      </c>
      <c r="AC1522" s="198" t="s">
        <v>61</v>
      </c>
      <c r="AD1522" s="198" t="s">
        <v>62</v>
      </c>
      <c r="AE1522" s="198" t="s">
        <v>54</v>
      </c>
      <c r="AF1522" s="198" t="s">
        <v>54</v>
      </c>
      <c r="AG1522" s="198" t="s">
        <v>166</v>
      </c>
      <c r="AH1522" s="198" t="s">
        <v>143</v>
      </c>
      <c r="AI1522" s="198" t="s">
        <v>56</v>
      </c>
      <c r="AJ1522" s="198" t="s">
        <v>163</v>
      </c>
      <c r="AK1522" s="198" t="s">
        <v>51</v>
      </c>
      <c r="AL1522" s="198" t="s">
        <v>67</v>
      </c>
      <c r="AM1522" s="198" t="s">
        <v>68</v>
      </c>
      <c r="AN1522" s="202">
        <v>620000.01</v>
      </c>
      <c r="AO1522" s="202">
        <v>620000.01</v>
      </c>
      <c r="AP1522" s="202">
        <v>620000.01</v>
      </c>
      <c r="AQ1522" s="198" t="s">
        <v>358</v>
      </c>
      <c r="AR1522" s="198" t="s">
        <v>51</v>
      </c>
      <c r="AS1522" s="202">
        <v>620000.01</v>
      </c>
      <c r="AT1522" s="202">
        <v>620000.01</v>
      </c>
      <c r="AU1522" s="198" t="s">
        <v>359</v>
      </c>
      <c r="AV1522" s="198" t="s">
        <v>62</v>
      </c>
      <c r="AW1522" s="198" t="s">
        <v>54</v>
      </c>
    </row>
    <row r="1523" spans="3:49" outlineLevel="2" x14ac:dyDescent="0.25">
      <c r="C1523" s="201"/>
      <c r="D1523" s="198" t="s">
        <v>682</v>
      </c>
      <c r="H1523" s="198" t="s">
        <v>682</v>
      </c>
      <c r="I1523" s="202">
        <f t="shared" si="23"/>
        <v>632649281.39999998</v>
      </c>
      <c r="J1523" s="202">
        <v>153.19999999999999</v>
      </c>
      <c r="L1523" s="204">
        <v>1</v>
      </c>
      <c r="M1523" s="202">
        <v>100000</v>
      </c>
      <c r="N1523" s="204">
        <v>1</v>
      </c>
      <c r="O1523" s="198" t="s">
        <v>51</v>
      </c>
      <c r="P1523" s="202">
        <v>100000</v>
      </c>
      <c r="Q1523" s="198" t="s">
        <v>159</v>
      </c>
      <c r="R1523" s="198" t="s">
        <v>160</v>
      </c>
      <c r="S1523" s="198" t="s">
        <v>54</v>
      </c>
      <c r="T1523" s="198" t="s">
        <v>742</v>
      </c>
      <c r="U1523" s="198" t="s">
        <v>80</v>
      </c>
      <c r="V1523" s="198" t="s">
        <v>56</v>
      </c>
      <c r="W1523" s="198" t="s">
        <v>356</v>
      </c>
      <c r="X1523" s="198" t="s">
        <v>161</v>
      </c>
      <c r="Y1523" s="198" t="s">
        <v>162</v>
      </c>
      <c r="Z1523" s="201">
        <v>46112</v>
      </c>
      <c r="AA1523" s="198" t="s">
        <v>59</v>
      </c>
      <c r="AB1523" s="198" t="s">
        <v>60</v>
      </c>
      <c r="AC1523" s="198" t="s">
        <v>61</v>
      </c>
      <c r="AD1523" s="198" t="s">
        <v>62</v>
      </c>
      <c r="AE1523" s="198" t="s">
        <v>54</v>
      </c>
      <c r="AF1523" s="198" t="s">
        <v>54</v>
      </c>
      <c r="AG1523" s="198" t="s">
        <v>166</v>
      </c>
      <c r="AH1523" s="198" t="s">
        <v>143</v>
      </c>
      <c r="AI1523" s="198" t="s">
        <v>56</v>
      </c>
      <c r="AJ1523" s="198" t="s">
        <v>163</v>
      </c>
      <c r="AK1523" s="198" t="s">
        <v>51</v>
      </c>
      <c r="AL1523" s="198" t="s">
        <v>67</v>
      </c>
      <c r="AM1523" s="198" t="s">
        <v>68</v>
      </c>
      <c r="AN1523" s="202">
        <v>100000</v>
      </c>
      <c r="AO1523" s="202">
        <v>100000</v>
      </c>
      <c r="AP1523" s="202">
        <v>100000</v>
      </c>
      <c r="AQ1523" s="198" t="s">
        <v>358</v>
      </c>
      <c r="AR1523" s="198" t="s">
        <v>51</v>
      </c>
      <c r="AS1523" s="202">
        <v>100000</v>
      </c>
      <c r="AT1523" s="202">
        <v>100000</v>
      </c>
      <c r="AU1523" s="198" t="s">
        <v>359</v>
      </c>
      <c r="AV1523" s="198" t="s">
        <v>62</v>
      </c>
      <c r="AW1523" s="198" t="s">
        <v>54</v>
      </c>
    </row>
    <row r="1524" spans="3:49" outlineLevel="2" x14ac:dyDescent="0.25">
      <c r="C1524" s="201"/>
      <c r="D1524" s="198" t="s">
        <v>682</v>
      </c>
      <c r="H1524" s="198" t="s">
        <v>682</v>
      </c>
      <c r="I1524" s="202">
        <f t="shared" si="23"/>
        <v>633062237.85000002</v>
      </c>
      <c r="J1524" s="202">
        <v>153.30000000000001</v>
      </c>
      <c r="L1524" s="204">
        <v>1</v>
      </c>
      <c r="M1524" s="202">
        <v>90000</v>
      </c>
      <c r="N1524" s="204">
        <v>1</v>
      </c>
      <c r="O1524" s="198" t="s">
        <v>51</v>
      </c>
      <c r="P1524" s="202">
        <v>90000</v>
      </c>
      <c r="Q1524" s="198" t="s">
        <v>159</v>
      </c>
      <c r="R1524" s="198" t="s">
        <v>160</v>
      </c>
      <c r="S1524" s="198" t="s">
        <v>54</v>
      </c>
      <c r="T1524" s="198" t="s">
        <v>742</v>
      </c>
      <c r="U1524" s="198" t="s">
        <v>80</v>
      </c>
      <c r="V1524" s="198" t="s">
        <v>56</v>
      </c>
      <c r="W1524" s="198" t="s">
        <v>356</v>
      </c>
      <c r="X1524" s="198" t="s">
        <v>161</v>
      </c>
      <c r="Y1524" s="198" t="s">
        <v>162</v>
      </c>
      <c r="Z1524" s="201">
        <v>46112</v>
      </c>
      <c r="AA1524" s="198" t="s">
        <v>59</v>
      </c>
      <c r="AB1524" s="198" t="s">
        <v>60</v>
      </c>
      <c r="AC1524" s="198" t="s">
        <v>61</v>
      </c>
      <c r="AD1524" s="198" t="s">
        <v>62</v>
      </c>
      <c r="AE1524" s="198" t="s">
        <v>54</v>
      </c>
      <c r="AF1524" s="198" t="s">
        <v>54</v>
      </c>
      <c r="AG1524" s="198" t="s">
        <v>166</v>
      </c>
      <c r="AH1524" s="198" t="s">
        <v>143</v>
      </c>
      <c r="AI1524" s="198" t="s">
        <v>56</v>
      </c>
      <c r="AJ1524" s="198" t="s">
        <v>163</v>
      </c>
      <c r="AK1524" s="198" t="s">
        <v>51</v>
      </c>
      <c r="AL1524" s="198" t="s">
        <v>67</v>
      </c>
      <c r="AM1524" s="198" t="s">
        <v>68</v>
      </c>
      <c r="AN1524" s="202">
        <v>90000</v>
      </c>
      <c r="AO1524" s="202">
        <v>90000</v>
      </c>
      <c r="AP1524" s="202">
        <v>90000</v>
      </c>
      <c r="AQ1524" s="198" t="s">
        <v>358</v>
      </c>
      <c r="AR1524" s="198" t="s">
        <v>51</v>
      </c>
      <c r="AS1524" s="202">
        <v>90000</v>
      </c>
      <c r="AT1524" s="202">
        <v>90000</v>
      </c>
      <c r="AU1524" s="198" t="s">
        <v>359</v>
      </c>
      <c r="AV1524" s="198" t="s">
        <v>62</v>
      </c>
      <c r="AW1524" s="198" t="s">
        <v>54</v>
      </c>
    </row>
    <row r="1525" spans="3:49" outlineLevel="2" x14ac:dyDescent="0.25">
      <c r="C1525" s="201"/>
      <c r="D1525" s="198" t="s">
        <v>246</v>
      </c>
      <c r="H1525" s="198" t="s">
        <v>246</v>
      </c>
      <c r="I1525" s="202">
        <f t="shared" si="23"/>
        <v>633475194.30000007</v>
      </c>
      <c r="J1525" s="202">
        <v>153.4</v>
      </c>
      <c r="L1525" s="204">
        <v>1</v>
      </c>
      <c r="M1525" s="202">
        <v>2550000</v>
      </c>
      <c r="N1525" s="204">
        <v>1</v>
      </c>
      <c r="O1525" s="198" t="s">
        <v>51</v>
      </c>
      <c r="P1525" s="202">
        <v>2550000</v>
      </c>
      <c r="Q1525" s="198" t="s">
        <v>159</v>
      </c>
      <c r="R1525" s="198" t="s">
        <v>160</v>
      </c>
      <c r="S1525" s="198" t="s">
        <v>54</v>
      </c>
      <c r="T1525" s="198" t="s">
        <v>2043</v>
      </c>
      <c r="U1525" s="198" t="s">
        <v>282</v>
      </c>
      <c r="V1525" s="198" t="s">
        <v>56</v>
      </c>
      <c r="W1525" s="198" t="s">
        <v>356</v>
      </c>
      <c r="X1525" s="198" t="s">
        <v>161</v>
      </c>
      <c r="Y1525" s="198" t="s">
        <v>162</v>
      </c>
      <c r="Z1525" s="201">
        <v>46295</v>
      </c>
      <c r="AA1525" s="198" t="s">
        <v>59</v>
      </c>
      <c r="AB1525" s="198" t="s">
        <v>60</v>
      </c>
      <c r="AC1525" s="198" t="s">
        <v>86</v>
      </c>
      <c r="AD1525" s="198" t="s">
        <v>62</v>
      </c>
      <c r="AE1525" s="198" t="s">
        <v>54</v>
      </c>
      <c r="AF1525" s="198" t="s">
        <v>54</v>
      </c>
      <c r="AG1525" s="198" t="s">
        <v>214</v>
      </c>
      <c r="AH1525" s="198" t="s">
        <v>112</v>
      </c>
      <c r="AI1525" s="198" t="s">
        <v>56</v>
      </c>
      <c r="AJ1525" s="198" t="s">
        <v>163</v>
      </c>
      <c r="AK1525" s="198" t="s">
        <v>51</v>
      </c>
      <c r="AL1525" s="198" t="s">
        <v>67</v>
      </c>
      <c r="AM1525" s="198" t="s">
        <v>68</v>
      </c>
      <c r="AN1525" s="202">
        <v>2550000</v>
      </c>
      <c r="AO1525" s="202">
        <v>2550000</v>
      </c>
      <c r="AP1525" s="202">
        <v>2550000</v>
      </c>
      <c r="AQ1525" s="198" t="s">
        <v>358</v>
      </c>
      <c r="AR1525" s="198" t="s">
        <v>51</v>
      </c>
      <c r="AS1525" s="202">
        <v>2550000</v>
      </c>
      <c r="AT1525" s="202">
        <v>2550000</v>
      </c>
      <c r="AU1525" s="198" t="s">
        <v>359</v>
      </c>
      <c r="AV1525" s="198" t="s">
        <v>62</v>
      </c>
      <c r="AW1525" s="198" t="s">
        <v>54</v>
      </c>
    </row>
    <row r="1526" spans="3:49" outlineLevel="2" x14ac:dyDescent="0.25">
      <c r="C1526" s="201"/>
      <c r="D1526" s="198" t="s">
        <v>259</v>
      </c>
      <c r="H1526" s="198" t="s">
        <v>259</v>
      </c>
      <c r="I1526" s="202">
        <f t="shared" si="23"/>
        <v>633888150.75</v>
      </c>
      <c r="J1526" s="202">
        <v>153.5</v>
      </c>
      <c r="L1526" s="204">
        <v>1</v>
      </c>
      <c r="M1526" s="202">
        <v>5270000</v>
      </c>
      <c r="N1526" s="204">
        <v>1</v>
      </c>
      <c r="O1526" s="198" t="s">
        <v>51</v>
      </c>
      <c r="P1526" s="202">
        <v>5270000</v>
      </c>
      <c r="Q1526" s="198" t="s">
        <v>159</v>
      </c>
      <c r="R1526" s="198" t="s">
        <v>160</v>
      </c>
      <c r="S1526" s="198" t="s">
        <v>54</v>
      </c>
      <c r="T1526" s="198" t="s">
        <v>363</v>
      </c>
      <c r="U1526" s="198" t="s">
        <v>213</v>
      </c>
      <c r="V1526" s="198" t="s">
        <v>56</v>
      </c>
      <c r="W1526" s="198" t="s">
        <v>356</v>
      </c>
      <c r="X1526" s="198" t="s">
        <v>161</v>
      </c>
      <c r="Y1526" s="198" t="s">
        <v>162</v>
      </c>
      <c r="Z1526" s="201">
        <v>46173</v>
      </c>
      <c r="AA1526" s="198" t="s">
        <v>59</v>
      </c>
      <c r="AB1526" s="198" t="s">
        <v>60</v>
      </c>
      <c r="AC1526" s="198" t="s">
        <v>86</v>
      </c>
      <c r="AD1526" s="198" t="s">
        <v>62</v>
      </c>
      <c r="AE1526" s="198" t="s">
        <v>54</v>
      </c>
      <c r="AF1526" s="198" t="s">
        <v>54</v>
      </c>
      <c r="AG1526" s="198" t="s">
        <v>147</v>
      </c>
      <c r="AH1526" s="198" t="s">
        <v>167</v>
      </c>
      <c r="AI1526" s="198" t="s">
        <v>56</v>
      </c>
      <c r="AJ1526" s="198" t="s">
        <v>163</v>
      </c>
      <c r="AK1526" s="198" t="s">
        <v>51</v>
      </c>
      <c r="AL1526" s="198" t="s">
        <v>67</v>
      </c>
      <c r="AM1526" s="198" t="s">
        <v>68</v>
      </c>
      <c r="AN1526" s="202">
        <v>5270000</v>
      </c>
      <c r="AO1526" s="202">
        <v>5270000</v>
      </c>
      <c r="AP1526" s="202">
        <v>5270000</v>
      </c>
      <c r="AQ1526" s="198" t="s">
        <v>358</v>
      </c>
      <c r="AR1526" s="198" t="s">
        <v>51</v>
      </c>
      <c r="AS1526" s="202">
        <v>5270000</v>
      </c>
      <c r="AT1526" s="202">
        <v>5270000</v>
      </c>
      <c r="AU1526" s="198" t="s">
        <v>359</v>
      </c>
      <c r="AV1526" s="198" t="s">
        <v>62</v>
      </c>
      <c r="AW1526" s="198" t="s">
        <v>54</v>
      </c>
    </row>
    <row r="1527" spans="3:49" outlineLevel="2" x14ac:dyDescent="0.25">
      <c r="C1527" s="201"/>
      <c r="D1527" s="198" t="s">
        <v>231</v>
      </c>
      <c r="H1527" s="198" t="s">
        <v>231</v>
      </c>
      <c r="I1527" s="202">
        <f t="shared" si="23"/>
        <v>634301107.19999993</v>
      </c>
      <c r="J1527" s="202">
        <v>153.6</v>
      </c>
      <c r="L1527" s="204">
        <v>1</v>
      </c>
      <c r="M1527" s="202">
        <v>2130000</v>
      </c>
      <c r="N1527" s="204">
        <v>1</v>
      </c>
      <c r="O1527" s="198" t="s">
        <v>51</v>
      </c>
      <c r="P1527" s="202">
        <v>2130000</v>
      </c>
      <c r="Q1527" s="198" t="s">
        <v>159</v>
      </c>
      <c r="R1527" s="198" t="s">
        <v>160</v>
      </c>
      <c r="S1527" s="198" t="s">
        <v>54</v>
      </c>
      <c r="T1527" s="198" t="s">
        <v>363</v>
      </c>
      <c r="U1527" s="198" t="s">
        <v>277</v>
      </c>
      <c r="V1527" s="198" t="s">
        <v>56</v>
      </c>
      <c r="W1527" s="198" t="s">
        <v>356</v>
      </c>
      <c r="X1527" s="198" t="s">
        <v>161</v>
      </c>
      <c r="Y1527" s="198" t="s">
        <v>162</v>
      </c>
      <c r="Z1527" s="201">
        <v>46387</v>
      </c>
      <c r="AA1527" s="198" t="s">
        <v>59</v>
      </c>
      <c r="AB1527" s="198" t="s">
        <v>60</v>
      </c>
      <c r="AC1527" s="198" t="s">
        <v>86</v>
      </c>
      <c r="AD1527" s="198" t="s">
        <v>62</v>
      </c>
      <c r="AE1527" s="198" t="s">
        <v>54</v>
      </c>
      <c r="AF1527" s="198" t="s">
        <v>54</v>
      </c>
      <c r="AG1527" s="198" t="s">
        <v>88</v>
      </c>
      <c r="AH1527" s="198" t="s">
        <v>95</v>
      </c>
      <c r="AI1527" s="198" t="s">
        <v>56</v>
      </c>
      <c r="AJ1527" s="198" t="s">
        <v>163</v>
      </c>
      <c r="AK1527" s="198" t="s">
        <v>51</v>
      </c>
      <c r="AL1527" s="198" t="s">
        <v>67</v>
      </c>
      <c r="AM1527" s="198" t="s">
        <v>68</v>
      </c>
      <c r="AN1527" s="202">
        <v>2130000</v>
      </c>
      <c r="AO1527" s="202">
        <v>2130000</v>
      </c>
      <c r="AP1527" s="202">
        <v>2130000</v>
      </c>
      <c r="AQ1527" s="198" t="s">
        <v>358</v>
      </c>
      <c r="AR1527" s="198" t="s">
        <v>51</v>
      </c>
      <c r="AS1527" s="202">
        <v>2130000</v>
      </c>
      <c r="AT1527" s="202">
        <v>2130000</v>
      </c>
      <c r="AU1527" s="198" t="s">
        <v>359</v>
      </c>
      <c r="AV1527" s="198" t="s">
        <v>62</v>
      </c>
      <c r="AW1527" s="198" t="s">
        <v>54</v>
      </c>
    </row>
    <row r="1528" spans="3:49" outlineLevel="2" x14ac:dyDescent="0.25">
      <c r="C1528" s="201"/>
      <c r="D1528" s="198" t="s">
        <v>246</v>
      </c>
      <c r="H1528" s="198" t="s">
        <v>246</v>
      </c>
      <c r="I1528" s="202">
        <f t="shared" si="23"/>
        <v>634714063.64999998</v>
      </c>
      <c r="J1528" s="202">
        <v>153.69999999999999</v>
      </c>
      <c r="L1528" s="204">
        <v>1</v>
      </c>
      <c r="M1528" s="202">
        <v>1416000</v>
      </c>
      <c r="N1528" s="204">
        <v>1</v>
      </c>
      <c r="O1528" s="198" t="s">
        <v>51</v>
      </c>
      <c r="P1528" s="202">
        <v>1416000</v>
      </c>
      <c r="Q1528" s="198" t="s">
        <v>159</v>
      </c>
      <c r="R1528" s="198" t="s">
        <v>160</v>
      </c>
      <c r="S1528" s="198" t="s">
        <v>54</v>
      </c>
      <c r="T1528" s="198" t="s">
        <v>431</v>
      </c>
      <c r="U1528" s="198" t="s">
        <v>562</v>
      </c>
      <c r="V1528" s="198" t="s">
        <v>56</v>
      </c>
      <c r="W1528" s="198" t="s">
        <v>356</v>
      </c>
      <c r="X1528" s="198" t="s">
        <v>161</v>
      </c>
      <c r="Y1528" s="198" t="s">
        <v>162</v>
      </c>
      <c r="Z1528" s="201">
        <v>46356</v>
      </c>
      <c r="AA1528" s="198" t="s">
        <v>59</v>
      </c>
      <c r="AB1528" s="198" t="s">
        <v>60</v>
      </c>
      <c r="AC1528" s="198" t="s">
        <v>86</v>
      </c>
      <c r="AD1528" s="198" t="s">
        <v>62</v>
      </c>
      <c r="AE1528" s="198" t="s">
        <v>54</v>
      </c>
      <c r="AF1528" s="198" t="s">
        <v>54</v>
      </c>
      <c r="AG1528" s="198" t="s">
        <v>250</v>
      </c>
      <c r="AH1528" s="198" t="s">
        <v>112</v>
      </c>
      <c r="AI1528" s="198" t="s">
        <v>56</v>
      </c>
      <c r="AJ1528" s="198" t="s">
        <v>163</v>
      </c>
      <c r="AK1528" s="198" t="s">
        <v>51</v>
      </c>
      <c r="AL1528" s="198" t="s">
        <v>67</v>
      </c>
      <c r="AM1528" s="198" t="s">
        <v>68</v>
      </c>
      <c r="AN1528" s="202">
        <v>1416000</v>
      </c>
      <c r="AO1528" s="202">
        <v>1416000</v>
      </c>
      <c r="AP1528" s="202">
        <v>1416000</v>
      </c>
      <c r="AQ1528" s="198" t="s">
        <v>358</v>
      </c>
      <c r="AR1528" s="198" t="s">
        <v>51</v>
      </c>
      <c r="AS1528" s="202">
        <v>1416000</v>
      </c>
      <c r="AT1528" s="202">
        <v>1416000</v>
      </c>
      <c r="AU1528" s="198" t="s">
        <v>359</v>
      </c>
      <c r="AV1528" s="198" t="s">
        <v>62</v>
      </c>
      <c r="AW1528" s="198" t="s">
        <v>54</v>
      </c>
    </row>
    <row r="1529" spans="3:49" outlineLevel="2" x14ac:dyDescent="0.25">
      <c r="C1529" s="201"/>
      <c r="D1529" s="198" t="s">
        <v>241</v>
      </c>
      <c r="H1529" s="198" t="s">
        <v>241</v>
      </c>
      <c r="I1529" s="202">
        <f t="shared" si="23"/>
        <v>635127020.10000002</v>
      </c>
      <c r="J1529" s="202">
        <v>153.80000000000001</v>
      </c>
      <c r="L1529" s="204">
        <v>1</v>
      </c>
      <c r="M1529" s="202">
        <v>1750000</v>
      </c>
      <c r="N1529" s="204">
        <v>1</v>
      </c>
      <c r="O1529" s="198" t="s">
        <v>51</v>
      </c>
      <c r="P1529" s="202">
        <v>1750000</v>
      </c>
      <c r="Q1529" s="198" t="s">
        <v>159</v>
      </c>
      <c r="R1529" s="198" t="s">
        <v>160</v>
      </c>
      <c r="S1529" s="198" t="s">
        <v>54</v>
      </c>
      <c r="T1529" s="198" t="s">
        <v>363</v>
      </c>
      <c r="U1529" s="198" t="s">
        <v>80</v>
      </c>
      <c r="V1529" s="198" t="s">
        <v>56</v>
      </c>
      <c r="W1529" s="198" t="s">
        <v>356</v>
      </c>
      <c r="X1529" s="198" t="s">
        <v>161</v>
      </c>
      <c r="Y1529" s="198" t="s">
        <v>162</v>
      </c>
      <c r="Z1529" s="201">
        <v>46203</v>
      </c>
      <c r="AA1529" s="198" t="s">
        <v>59</v>
      </c>
      <c r="AB1529" s="198" t="s">
        <v>60</v>
      </c>
      <c r="AC1529" s="198" t="s">
        <v>86</v>
      </c>
      <c r="AD1529" s="198" t="s">
        <v>62</v>
      </c>
      <c r="AE1529" s="198" t="s">
        <v>54</v>
      </c>
      <c r="AF1529" s="198" t="s">
        <v>54</v>
      </c>
      <c r="AG1529" s="198" t="s">
        <v>189</v>
      </c>
      <c r="AH1529" s="198" t="s">
        <v>89</v>
      </c>
      <c r="AI1529" s="198" t="s">
        <v>56</v>
      </c>
      <c r="AJ1529" s="198" t="s">
        <v>163</v>
      </c>
      <c r="AK1529" s="198" t="s">
        <v>51</v>
      </c>
      <c r="AL1529" s="198" t="s">
        <v>67</v>
      </c>
      <c r="AM1529" s="198" t="s">
        <v>68</v>
      </c>
      <c r="AN1529" s="202">
        <v>1750000</v>
      </c>
      <c r="AO1529" s="202">
        <v>1750000</v>
      </c>
      <c r="AP1529" s="202">
        <v>1750000</v>
      </c>
      <c r="AQ1529" s="198" t="s">
        <v>358</v>
      </c>
      <c r="AR1529" s="198" t="s">
        <v>51</v>
      </c>
      <c r="AS1529" s="202">
        <v>1750000</v>
      </c>
      <c r="AT1529" s="202">
        <v>1750000</v>
      </c>
      <c r="AU1529" s="198" t="s">
        <v>359</v>
      </c>
      <c r="AV1529" s="198" t="s">
        <v>62</v>
      </c>
      <c r="AW1529" s="198" t="s">
        <v>54</v>
      </c>
    </row>
    <row r="1530" spans="3:49" outlineLevel="2" x14ac:dyDescent="0.25">
      <c r="C1530" s="201"/>
      <c r="D1530" s="198" t="s">
        <v>265</v>
      </c>
      <c r="H1530" s="198" t="s">
        <v>265</v>
      </c>
      <c r="I1530" s="202">
        <f t="shared" si="23"/>
        <v>635539976.55000007</v>
      </c>
      <c r="J1530" s="202">
        <v>153.9</v>
      </c>
      <c r="L1530" s="204">
        <v>1</v>
      </c>
      <c r="M1530" s="202">
        <v>420000</v>
      </c>
      <c r="N1530" s="204">
        <v>1</v>
      </c>
      <c r="O1530" s="198" t="s">
        <v>51</v>
      </c>
      <c r="P1530" s="202">
        <v>420000</v>
      </c>
      <c r="Q1530" s="198" t="s">
        <v>159</v>
      </c>
      <c r="R1530" s="198" t="s">
        <v>226</v>
      </c>
      <c r="S1530" s="198" t="s">
        <v>54</v>
      </c>
      <c r="T1530" s="198" t="s">
        <v>363</v>
      </c>
      <c r="U1530" s="198" t="s">
        <v>85</v>
      </c>
      <c r="V1530" s="198" t="s">
        <v>147</v>
      </c>
      <c r="W1530" s="198" t="s">
        <v>356</v>
      </c>
      <c r="X1530" s="198" t="s">
        <v>227</v>
      </c>
      <c r="Y1530" s="198" t="s">
        <v>228</v>
      </c>
      <c r="Z1530" s="201">
        <v>46172</v>
      </c>
      <c r="AA1530" s="198" t="s">
        <v>59</v>
      </c>
      <c r="AB1530" s="198" t="s">
        <v>60</v>
      </c>
      <c r="AC1530" s="198" t="s">
        <v>86</v>
      </c>
      <c r="AD1530" s="198" t="s">
        <v>62</v>
      </c>
      <c r="AE1530" s="198" t="s">
        <v>54</v>
      </c>
      <c r="AF1530" s="198" t="s">
        <v>54</v>
      </c>
      <c r="AG1530" s="198" t="s">
        <v>147</v>
      </c>
      <c r="AH1530" s="198" t="s">
        <v>169</v>
      </c>
      <c r="AI1530" s="198" t="s">
        <v>56</v>
      </c>
      <c r="AJ1530" s="198" t="s">
        <v>163</v>
      </c>
      <c r="AK1530" s="198" t="s">
        <v>51</v>
      </c>
      <c r="AL1530" s="198" t="s">
        <v>67</v>
      </c>
      <c r="AM1530" s="198" t="s">
        <v>68</v>
      </c>
      <c r="AN1530" s="202">
        <v>420000</v>
      </c>
      <c r="AO1530" s="202">
        <v>420000</v>
      </c>
      <c r="AP1530" s="202">
        <v>420000</v>
      </c>
      <c r="AQ1530" s="198" t="s">
        <v>358</v>
      </c>
      <c r="AR1530" s="198" t="s">
        <v>51</v>
      </c>
      <c r="AS1530" s="202">
        <v>420000</v>
      </c>
      <c r="AT1530" s="202">
        <v>420000</v>
      </c>
      <c r="AU1530" s="198" t="s">
        <v>359</v>
      </c>
      <c r="AV1530" s="198" t="s">
        <v>62</v>
      </c>
      <c r="AW1530" s="198" t="s">
        <v>54</v>
      </c>
    </row>
    <row r="1531" spans="3:49" outlineLevel="2" x14ac:dyDescent="0.25">
      <c r="C1531" s="201"/>
      <c r="D1531" s="198" t="s">
        <v>218</v>
      </c>
      <c r="H1531" s="198" t="s">
        <v>218</v>
      </c>
      <c r="I1531" s="202">
        <f t="shared" si="23"/>
        <v>635952933</v>
      </c>
      <c r="J1531" s="202">
        <v>154</v>
      </c>
      <c r="L1531" s="204">
        <v>1</v>
      </c>
      <c r="M1531" s="202">
        <v>3510360</v>
      </c>
      <c r="N1531" s="204">
        <v>1</v>
      </c>
      <c r="O1531" s="198" t="s">
        <v>51</v>
      </c>
      <c r="P1531" s="202">
        <v>3510360</v>
      </c>
      <c r="Q1531" s="198" t="s">
        <v>159</v>
      </c>
      <c r="R1531" s="198" t="s">
        <v>160</v>
      </c>
      <c r="S1531" s="198" t="s">
        <v>54</v>
      </c>
      <c r="T1531" s="198" t="s">
        <v>568</v>
      </c>
      <c r="U1531" s="198" t="s">
        <v>277</v>
      </c>
      <c r="V1531" s="198" t="s">
        <v>56</v>
      </c>
      <c r="W1531" s="198" t="s">
        <v>356</v>
      </c>
      <c r="X1531" s="198" t="s">
        <v>161</v>
      </c>
      <c r="Y1531" s="198" t="s">
        <v>162</v>
      </c>
      <c r="Z1531" s="201">
        <v>46248</v>
      </c>
      <c r="AA1531" s="198" t="s">
        <v>59</v>
      </c>
      <c r="AB1531" s="198" t="s">
        <v>60</v>
      </c>
      <c r="AC1531" s="198" t="s">
        <v>86</v>
      </c>
      <c r="AD1531" s="198" t="s">
        <v>62</v>
      </c>
      <c r="AE1531" s="198" t="s">
        <v>54</v>
      </c>
      <c r="AF1531" s="198" t="s">
        <v>54</v>
      </c>
      <c r="AG1531" s="198" t="s">
        <v>564</v>
      </c>
      <c r="AH1531" s="198" t="s">
        <v>95</v>
      </c>
      <c r="AI1531" s="198" t="s">
        <v>56</v>
      </c>
      <c r="AJ1531" s="198" t="s">
        <v>163</v>
      </c>
      <c r="AK1531" s="198" t="s">
        <v>51</v>
      </c>
      <c r="AL1531" s="198" t="s">
        <v>67</v>
      </c>
      <c r="AM1531" s="198" t="s">
        <v>68</v>
      </c>
      <c r="AN1531" s="202">
        <v>3510360</v>
      </c>
      <c r="AO1531" s="202">
        <v>3510360</v>
      </c>
      <c r="AP1531" s="202">
        <v>3510360</v>
      </c>
      <c r="AQ1531" s="198" t="s">
        <v>358</v>
      </c>
      <c r="AR1531" s="198" t="s">
        <v>51</v>
      </c>
      <c r="AS1531" s="202">
        <v>3510360</v>
      </c>
      <c r="AT1531" s="202">
        <v>3510360</v>
      </c>
      <c r="AU1531" s="198" t="s">
        <v>359</v>
      </c>
      <c r="AV1531" s="198" t="s">
        <v>62</v>
      </c>
      <c r="AW1531" s="198" t="s">
        <v>54</v>
      </c>
    </row>
    <row r="1532" spans="3:49" outlineLevel="2" x14ac:dyDescent="0.25">
      <c r="C1532" s="201"/>
      <c r="D1532" s="198" t="s">
        <v>91</v>
      </c>
      <c r="H1532" s="198" t="s">
        <v>91</v>
      </c>
      <c r="I1532" s="202">
        <f t="shared" si="23"/>
        <v>636365889.44999993</v>
      </c>
      <c r="J1532" s="202">
        <v>154.1</v>
      </c>
      <c r="L1532" s="204">
        <v>1</v>
      </c>
      <c r="M1532" s="202">
        <v>25850</v>
      </c>
      <c r="N1532" s="204">
        <v>1</v>
      </c>
      <c r="O1532" s="198" t="s">
        <v>51</v>
      </c>
      <c r="P1532" s="202">
        <v>25850</v>
      </c>
      <c r="Q1532" s="198" t="s">
        <v>159</v>
      </c>
      <c r="R1532" s="198" t="s">
        <v>160</v>
      </c>
      <c r="S1532" s="198" t="s">
        <v>54</v>
      </c>
      <c r="T1532" s="198" t="s">
        <v>568</v>
      </c>
      <c r="U1532" s="198" t="s">
        <v>277</v>
      </c>
      <c r="V1532" s="198" t="s">
        <v>56</v>
      </c>
      <c r="W1532" s="198" t="s">
        <v>356</v>
      </c>
      <c r="X1532" s="198" t="s">
        <v>161</v>
      </c>
      <c r="Y1532" s="198" t="s">
        <v>162</v>
      </c>
      <c r="Z1532" s="201">
        <v>46248</v>
      </c>
      <c r="AA1532" s="198" t="s">
        <v>59</v>
      </c>
      <c r="AB1532" s="198" t="s">
        <v>60</v>
      </c>
      <c r="AC1532" s="198" t="s">
        <v>86</v>
      </c>
      <c r="AD1532" s="198" t="s">
        <v>62</v>
      </c>
      <c r="AE1532" s="198" t="s">
        <v>54</v>
      </c>
      <c r="AF1532" s="198" t="s">
        <v>54</v>
      </c>
      <c r="AG1532" s="198" t="s">
        <v>564</v>
      </c>
      <c r="AH1532" s="198" t="s">
        <v>95</v>
      </c>
      <c r="AI1532" s="198" t="s">
        <v>56</v>
      </c>
      <c r="AJ1532" s="198" t="s">
        <v>163</v>
      </c>
      <c r="AK1532" s="198" t="s">
        <v>51</v>
      </c>
      <c r="AL1532" s="198" t="s">
        <v>67</v>
      </c>
      <c r="AM1532" s="198" t="s">
        <v>68</v>
      </c>
      <c r="AN1532" s="202">
        <v>25850</v>
      </c>
      <c r="AO1532" s="202">
        <v>25850</v>
      </c>
      <c r="AP1532" s="202">
        <v>25850</v>
      </c>
      <c r="AQ1532" s="198" t="s">
        <v>358</v>
      </c>
      <c r="AR1532" s="198" t="s">
        <v>51</v>
      </c>
      <c r="AS1532" s="202">
        <v>25850</v>
      </c>
      <c r="AT1532" s="202">
        <v>25850</v>
      </c>
      <c r="AU1532" s="198" t="s">
        <v>359</v>
      </c>
      <c r="AV1532" s="198" t="s">
        <v>62</v>
      </c>
      <c r="AW1532" s="198" t="s">
        <v>54</v>
      </c>
    </row>
    <row r="1533" spans="3:49" outlineLevel="2" x14ac:dyDescent="0.25">
      <c r="C1533" s="201"/>
      <c r="D1533" s="198" t="s">
        <v>219</v>
      </c>
      <c r="H1533" s="198" t="s">
        <v>219</v>
      </c>
      <c r="I1533" s="202">
        <f t="shared" si="23"/>
        <v>636778845.89999998</v>
      </c>
      <c r="J1533" s="202">
        <v>154.19999999999999</v>
      </c>
      <c r="L1533" s="204">
        <v>1</v>
      </c>
      <c r="M1533" s="202">
        <v>117894</v>
      </c>
      <c r="N1533" s="204">
        <v>1</v>
      </c>
      <c r="O1533" s="198" t="s">
        <v>51</v>
      </c>
      <c r="P1533" s="202">
        <v>117894</v>
      </c>
      <c r="Q1533" s="198" t="s">
        <v>159</v>
      </c>
      <c r="R1533" s="198" t="s">
        <v>160</v>
      </c>
      <c r="S1533" s="198" t="s">
        <v>54</v>
      </c>
      <c r="T1533" s="198" t="s">
        <v>568</v>
      </c>
      <c r="U1533" s="198" t="s">
        <v>277</v>
      </c>
      <c r="V1533" s="198" t="s">
        <v>56</v>
      </c>
      <c r="W1533" s="198" t="s">
        <v>356</v>
      </c>
      <c r="X1533" s="198" t="s">
        <v>161</v>
      </c>
      <c r="Y1533" s="198" t="s">
        <v>162</v>
      </c>
      <c r="Z1533" s="201">
        <v>46248</v>
      </c>
      <c r="AA1533" s="198" t="s">
        <v>59</v>
      </c>
      <c r="AB1533" s="198" t="s">
        <v>60</v>
      </c>
      <c r="AC1533" s="198" t="s">
        <v>86</v>
      </c>
      <c r="AD1533" s="198" t="s">
        <v>62</v>
      </c>
      <c r="AE1533" s="198" t="s">
        <v>54</v>
      </c>
      <c r="AF1533" s="198" t="s">
        <v>54</v>
      </c>
      <c r="AG1533" s="198" t="s">
        <v>564</v>
      </c>
      <c r="AH1533" s="198" t="s">
        <v>95</v>
      </c>
      <c r="AI1533" s="198" t="s">
        <v>56</v>
      </c>
      <c r="AJ1533" s="198" t="s">
        <v>163</v>
      </c>
      <c r="AK1533" s="198" t="s">
        <v>51</v>
      </c>
      <c r="AL1533" s="198" t="s">
        <v>67</v>
      </c>
      <c r="AM1533" s="198" t="s">
        <v>68</v>
      </c>
      <c r="AN1533" s="202">
        <v>117894</v>
      </c>
      <c r="AO1533" s="202">
        <v>117894</v>
      </c>
      <c r="AP1533" s="202">
        <v>117894</v>
      </c>
      <c r="AQ1533" s="198" t="s">
        <v>358</v>
      </c>
      <c r="AR1533" s="198" t="s">
        <v>51</v>
      </c>
      <c r="AS1533" s="202">
        <v>117894</v>
      </c>
      <c r="AT1533" s="202">
        <v>117894</v>
      </c>
      <c r="AU1533" s="198" t="s">
        <v>359</v>
      </c>
      <c r="AV1533" s="198" t="s">
        <v>62</v>
      </c>
      <c r="AW1533" s="198" t="s">
        <v>54</v>
      </c>
    </row>
    <row r="1534" spans="3:49" outlineLevel="2" x14ac:dyDescent="0.25">
      <c r="C1534" s="201"/>
      <c r="D1534" s="198" t="s">
        <v>220</v>
      </c>
      <c r="H1534" s="198" t="s">
        <v>220</v>
      </c>
      <c r="I1534" s="202">
        <f t="shared" si="23"/>
        <v>637191802.35000002</v>
      </c>
      <c r="J1534" s="202">
        <v>154.30000000000001</v>
      </c>
      <c r="L1534" s="204">
        <v>1</v>
      </c>
      <c r="M1534" s="202">
        <v>22456</v>
      </c>
      <c r="N1534" s="204">
        <v>1</v>
      </c>
      <c r="O1534" s="198" t="s">
        <v>51</v>
      </c>
      <c r="P1534" s="202">
        <v>22456</v>
      </c>
      <c r="Q1534" s="198" t="s">
        <v>159</v>
      </c>
      <c r="R1534" s="198" t="s">
        <v>160</v>
      </c>
      <c r="S1534" s="198" t="s">
        <v>54</v>
      </c>
      <c r="T1534" s="198" t="s">
        <v>568</v>
      </c>
      <c r="U1534" s="198" t="s">
        <v>277</v>
      </c>
      <c r="V1534" s="198" t="s">
        <v>56</v>
      </c>
      <c r="W1534" s="198" t="s">
        <v>356</v>
      </c>
      <c r="X1534" s="198" t="s">
        <v>161</v>
      </c>
      <c r="Y1534" s="198" t="s">
        <v>162</v>
      </c>
      <c r="Z1534" s="201">
        <v>46248</v>
      </c>
      <c r="AA1534" s="198" t="s">
        <v>59</v>
      </c>
      <c r="AB1534" s="198" t="s">
        <v>60</v>
      </c>
      <c r="AC1534" s="198" t="s">
        <v>86</v>
      </c>
      <c r="AD1534" s="198" t="s">
        <v>62</v>
      </c>
      <c r="AE1534" s="198" t="s">
        <v>54</v>
      </c>
      <c r="AF1534" s="198" t="s">
        <v>54</v>
      </c>
      <c r="AG1534" s="198" t="s">
        <v>564</v>
      </c>
      <c r="AH1534" s="198" t="s">
        <v>95</v>
      </c>
      <c r="AI1534" s="198" t="s">
        <v>56</v>
      </c>
      <c r="AJ1534" s="198" t="s">
        <v>163</v>
      </c>
      <c r="AK1534" s="198" t="s">
        <v>51</v>
      </c>
      <c r="AL1534" s="198" t="s">
        <v>67</v>
      </c>
      <c r="AM1534" s="198" t="s">
        <v>68</v>
      </c>
      <c r="AN1534" s="202">
        <v>22456</v>
      </c>
      <c r="AO1534" s="202">
        <v>22456</v>
      </c>
      <c r="AP1534" s="202">
        <v>22456</v>
      </c>
      <c r="AQ1534" s="198" t="s">
        <v>358</v>
      </c>
      <c r="AR1534" s="198" t="s">
        <v>51</v>
      </c>
      <c r="AS1534" s="202">
        <v>22456</v>
      </c>
      <c r="AT1534" s="202">
        <v>22456</v>
      </c>
      <c r="AU1534" s="198" t="s">
        <v>359</v>
      </c>
      <c r="AV1534" s="198" t="s">
        <v>62</v>
      </c>
      <c r="AW1534" s="198" t="s">
        <v>54</v>
      </c>
    </row>
    <row r="1535" spans="3:49" outlineLevel="2" x14ac:dyDescent="0.25">
      <c r="C1535" s="201"/>
      <c r="D1535" s="198" t="s">
        <v>82</v>
      </c>
      <c r="H1535" s="198" t="s">
        <v>82</v>
      </c>
      <c r="I1535" s="202">
        <f t="shared" si="23"/>
        <v>637604758.80000007</v>
      </c>
      <c r="J1535" s="202">
        <v>154.4</v>
      </c>
      <c r="L1535" s="204">
        <v>1</v>
      </c>
      <c r="M1535" s="202">
        <v>532000</v>
      </c>
      <c r="N1535" s="204">
        <v>1</v>
      </c>
      <c r="O1535" s="198" t="s">
        <v>51</v>
      </c>
      <c r="P1535" s="202">
        <v>532000</v>
      </c>
      <c r="Q1535" s="198" t="s">
        <v>159</v>
      </c>
      <c r="R1535" s="198" t="s">
        <v>160</v>
      </c>
      <c r="S1535" s="198" t="s">
        <v>54</v>
      </c>
      <c r="T1535" s="198" t="s">
        <v>743</v>
      </c>
      <c r="U1535" s="198" t="s">
        <v>367</v>
      </c>
      <c r="V1535" s="198" t="s">
        <v>56</v>
      </c>
      <c r="W1535" s="198" t="s">
        <v>356</v>
      </c>
      <c r="X1535" s="198" t="s">
        <v>161</v>
      </c>
      <c r="Y1535" s="198" t="s">
        <v>162</v>
      </c>
      <c r="Z1535" s="201">
        <v>46248</v>
      </c>
      <c r="AA1535" s="198" t="s">
        <v>59</v>
      </c>
      <c r="AB1535" s="198" t="s">
        <v>60</v>
      </c>
      <c r="AC1535" s="198" t="s">
        <v>86</v>
      </c>
      <c r="AD1535" s="198" t="s">
        <v>62</v>
      </c>
      <c r="AE1535" s="198" t="s">
        <v>54</v>
      </c>
      <c r="AF1535" s="198" t="s">
        <v>54</v>
      </c>
      <c r="AG1535" s="198" t="s">
        <v>564</v>
      </c>
      <c r="AH1535" s="198" t="s">
        <v>89</v>
      </c>
      <c r="AI1535" s="198" t="s">
        <v>56</v>
      </c>
      <c r="AJ1535" s="198" t="s">
        <v>163</v>
      </c>
      <c r="AK1535" s="198" t="s">
        <v>51</v>
      </c>
      <c r="AL1535" s="198" t="s">
        <v>67</v>
      </c>
      <c r="AM1535" s="198" t="s">
        <v>68</v>
      </c>
      <c r="AN1535" s="202">
        <v>532000</v>
      </c>
      <c r="AO1535" s="202">
        <v>532000</v>
      </c>
      <c r="AP1535" s="202">
        <v>532000</v>
      </c>
      <c r="AQ1535" s="198" t="s">
        <v>358</v>
      </c>
      <c r="AR1535" s="198" t="s">
        <v>51</v>
      </c>
      <c r="AS1535" s="202">
        <v>532000</v>
      </c>
      <c r="AT1535" s="202">
        <v>532000</v>
      </c>
      <c r="AU1535" s="198" t="s">
        <v>359</v>
      </c>
      <c r="AV1535" s="198" t="s">
        <v>62</v>
      </c>
      <c r="AW1535" s="198" t="s">
        <v>54</v>
      </c>
    </row>
    <row r="1536" spans="3:49" outlineLevel="2" x14ac:dyDescent="0.25">
      <c r="C1536" s="201"/>
      <c r="D1536" s="198" t="s">
        <v>91</v>
      </c>
      <c r="H1536" s="198" t="s">
        <v>91</v>
      </c>
      <c r="I1536" s="202">
        <f t="shared" si="23"/>
        <v>638017715.25</v>
      </c>
      <c r="J1536" s="202">
        <v>154.5</v>
      </c>
      <c r="L1536" s="204">
        <v>1</v>
      </c>
      <c r="M1536" s="202">
        <v>209000</v>
      </c>
      <c r="N1536" s="204">
        <v>1</v>
      </c>
      <c r="O1536" s="198" t="s">
        <v>51</v>
      </c>
      <c r="P1536" s="202">
        <v>209000</v>
      </c>
      <c r="Q1536" s="198" t="s">
        <v>159</v>
      </c>
      <c r="R1536" s="198" t="s">
        <v>160</v>
      </c>
      <c r="S1536" s="198" t="s">
        <v>54</v>
      </c>
      <c r="T1536" s="198" t="s">
        <v>743</v>
      </c>
      <c r="U1536" s="198" t="s">
        <v>367</v>
      </c>
      <c r="V1536" s="198" t="s">
        <v>56</v>
      </c>
      <c r="W1536" s="198" t="s">
        <v>356</v>
      </c>
      <c r="X1536" s="198" t="s">
        <v>161</v>
      </c>
      <c r="Y1536" s="198" t="s">
        <v>162</v>
      </c>
      <c r="Z1536" s="201">
        <v>46248</v>
      </c>
      <c r="AA1536" s="198" t="s">
        <v>59</v>
      </c>
      <c r="AB1536" s="198" t="s">
        <v>60</v>
      </c>
      <c r="AC1536" s="198" t="s">
        <v>86</v>
      </c>
      <c r="AD1536" s="198" t="s">
        <v>62</v>
      </c>
      <c r="AE1536" s="198" t="s">
        <v>54</v>
      </c>
      <c r="AF1536" s="198" t="s">
        <v>54</v>
      </c>
      <c r="AG1536" s="198" t="s">
        <v>564</v>
      </c>
      <c r="AH1536" s="198" t="s">
        <v>95</v>
      </c>
      <c r="AI1536" s="198" t="s">
        <v>56</v>
      </c>
      <c r="AJ1536" s="198" t="s">
        <v>163</v>
      </c>
      <c r="AK1536" s="198" t="s">
        <v>51</v>
      </c>
      <c r="AL1536" s="198" t="s">
        <v>67</v>
      </c>
      <c r="AM1536" s="198" t="s">
        <v>68</v>
      </c>
      <c r="AN1536" s="202">
        <v>209000</v>
      </c>
      <c r="AO1536" s="202">
        <v>209000</v>
      </c>
      <c r="AP1536" s="202">
        <v>209000</v>
      </c>
      <c r="AQ1536" s="198" t="s">
        <v>358</v>
      </c>
      <c r="AR1536" s="198" t="s">
        <v>51</v>
      </c>
      <c r="AS1536" s="202">
        <v>209000</v>
      </c>
      <c r="AT1536" s="202">
        <v>209000</v>
      </c>
      <c r="AU1536" s="198" t="s">
        <v>359</v>
      </c>
      <c r="AV1536" s="198" t="s">
        <v>62</v>
      </c>
      <c r="AW1536" s="198" t="s">
        <v>54</v>
      </c>
    </row>
    <row r="1537" spans="3:49" outlineLevel="2" x14ac:dyDescent="0.25">
      <c r="C1537" s="201"/>
      <c r="D1537" s="198" t="s">
        <v>212</v>
      </c>
      <c r="H1537" s="198" t="s">
        <v>212</v>
      </c>
      <c r="I1537" s="202">
        <f t="shared" si="23"/>
        <v>638430671.69999993</v>
      </c>
      <c r="J1537" s="202">
        <v>154.6</v>
      </c>
      <c r="L1537" s="204">
        <v>1</v>
      </c>
      <c r="M1537" s="202">
        <v>513000</v>
      </c>
      <c r="N1537" s="204">
        <v>1</v>
      </c>
      <c r="O1537" s="198" t="s">
        <v>51</v>
      </c>
      <c r="P1537" s="202">
        <v>513000</v>
      </c>
      <c r="Q1537" s="198" t="s">
        <v>159</v>
      </c>
      <c r="R1537" s="198" t="s">
        <v>160</v>
      </c>
      <c r="S1537" s="198" t="s">
        <v>54</v>
      </c>
      <c r="T1537" s="198" t="s">
        <v>743</v>
      </c>
      <c r="U1537" s="198" t="s">
        <v>367</v>
      </c>
      <c r="V1537" s="198" t="s">
        <v>56</v>
      </c>
      <c r="W1537" s="198" t="s">
        <v>356</v>
      </c>
      <c r="X1537" s="198" t="s">
        <v>161</v>
      </c>
      <c r="Y1537" s="198" t="s">
        <v>162</v>
      </c>
      <c r="Z1537" s="201">
        <v>46248</v>
      </c>
      <c r="AA1537" s="198" t="s">
        <v>59</v>
      </c>
      <c r="AB1537" s="198" t="s">
        <v>60</v>
      </c>
      <c r="AC1537" s="198" t="s">
        <v>86</v>
      </c>
      <c r="AD1537" s="198" t="s">
        <v>62</v>
      </c>
      <c r="AE1537" s="198" t="s">
        <v>54</v>
      </c>
      <c r="AF1537" s="198" t="s">
        <v>54</v>
      </c>
      <c r="AG1537" s="198" t="s">
        <v>564</v>
      </c>
      <c r="AH1537" s="198" t="s">
        <v>112</v>
      </c>
      <c r="AI1537" s="198" t="s">
        <v>56</v>
      </c>
      <c r="AJ1537" s="198" t="s">
        <v>163</v>
      </c>
      <c r="AK1537" s="198" t="s">
        <v>51</v>
      </c>
      <c r="AL1537" s="198" t="s">
        <v>67</v>
      </c>
      <c r="AM1537" s="198" t="s">
        <v>68</v>
      </c>
      <c r="AN1537" s="202">
        <v>513000</v>
      </c>
      <c r="AO1537" s="202">
        <v>513000</v>
      </c>
      <c r="AP1537" s="202">
        <v>513000</v>
      </c>
      <c r="AQ1537" s="198" t="s">
        <v>358</v>
      </c>
      <c r="AR1537" s="198" t="s">
        <v>51</v>
      </c>
      <c r="AS1537" s="202">
        <v>513000</v>
      </c>
      <c r="AT1537" s="202">
        <v>513000</v>
      </c>
      <c r="AU1537" s="198" t="s">
        <v>359</v>
      </c>
      <c r="AV1537" s="198" t="s">
        <v>62</v>
      </c>
      <c r="AW1537" s="198" t="s">
        <v>54</v>
      </c>
    </row>
    <row r="1538" spans="3:49" outlineLevel="2" x14ac:dyDescent="0.25">
      <c r="C1538" s="201"/>
      <c r="D1538" s="198" t="s">
        <v>180</v>
      </c>
      <c r="H1538" s="198" t="s">
        <v>180</v>
      </c>
      <c r="I1538" s="202">
        <f t="shared" si="23"/>
        <v>638843628.14999998</v>
      </c>
      <c r="J1538" s="202">
        <v>154.69999999999999</v>
      </c>
      <c r="L1538" s="204">
        <v>1</v>
      </c>
      <c r="M1538" s="202">
        <v>513000</v>
      </c>
      <c r="N1538" s="204">
        <v>1</v>
      </c>
      <c r="O1538" s="198" t="s">
        <v>51</v>
      </c>
      <c r="P1538" s="202">
        <v>513000</v>
      </c>
      <c r="Q1538" s="198" t="s">
        <v>159</v>
      </c>
      <c r="R1538" s="198" t="s">
        <v>160</v>
      </c>
      <c r="S1538" s="198" t="s">
        <v>54</v>
      </c>
      <c r="T1538" s="198" t="s">
        <v>743</v>
      </c>
      <c r="U1538" s="198" t="s">
        <v>367</v>
      </c>
      <c r="V1538" s="198" t="s">
        <v>56</v>
      </c>
      <c r="W1538" s="198" t="s">
        <v>356</v>
      </c>
      <c r="X1538" s="198" t="s">
        <v>161</v>
      </c>
      <c r="Y1538" s="198" t="s">
        <v>162</v>
      </c>
      <c r="Z1538" s="201">
        <v>46248</v>
      </c>
      <c r="AA1538" s="198" t="s">
        <v>59</v>
      </c>
      <c r="AB1538" s="198" t="s">
        <v>60</v>
      </c>
      <c r="AC1538" s="198" t="s">
        <v>86</v>
      </c>
      <c r="AD1538" s="198" t="s">
        <v>62</v>
      </c>
      <c r="AE1538" s="198" t="s">
        <v>54</v>
      </c>
      <c r="AF1538" s="198" t="s">
        <v>54</v>
      </c>
      <c r="AG1538" s="198" t="s">
        <v>564</v>
      </c>
      <c r="AH1538" s="198" t="s">
        <v>65</v>
      </c>
      <c r="AI1538" s="198" t="s">
        <v>56</v>
      </c>
      <c r="AJ1538" s="198" t="s">
        <v>163</v>
      </c>
      <c r="AK1538" s="198" t="s">
        <v>51</v>
      </c>
      <c r="AL1538" s="198" t="s">
        <v>67</v>
      </c>
      <c r="AM1538" s="198" t="s">
        <v>68</v>
      </c>
      <c r="AN1538" s="202">
        <v>513000</v>
      </c>
      <c r="AO1538" s="202">
        <v>513000</v>
      </c>
      <c r="AP1538" s="202">
        <v>513000</v>
      </c>
      <c r="AQ1538" s="198" t="s">
        <v>358</v>
      </c>
      <c r="AR1538" s="198" t="s">
        <v>51</v>
      </c>
      <c r="AS1538" s="202">
        <v>513000</v>
      </c>
      <c r="AT1538" s="202">
        <v>513000</v>
      </c>
      <c r="AU1538" s="198" t="s">
        <v>359</v>
      </c>
      <c r="AV1538" s="198" t="s">
        <v>62</v>
      </c>
      <c r="AW1538" s="198" t="s">
        <v>54</v>
      </c>
    </row>
    <row r="1539" spans="3:49" outlineLevel="2" x14ac:dyDescent="0.25">
      <c r="C1539" s="201"/>
      <c r="D1539" s="198" t="s">
        <v>164</v>
      </c>
      <c r="H1539" s="198" t="s">
        <v>164</v>
      </c>
      <c r="I1539" s="202">
        <f t="shared" ref="I1539:I1602" si="24">J1539*4129564.5</f>
        <v>639256584.60000002</v>
      </c>
      <c r="J1539" s="202">
        <v>154.80000000000001</v>
      </c>
      <c r="L1539" s="204">
        <v>1</v>
      </c>
      <c r="M1539" s="202">
        <v>456000</v>
      </c>
      <c r="N1539" s="204">
        <v>1</v>
      </c>
      <c r="O1539" s="198" t="s">
        <v>51</v>
      </c>
      <c r="P1539" s="202">
        <v>456000</v>
      </c>
      <c r="Q1539" s="198" t="s">
        <v>159</v>
      </c>
      <c r="R1539" s="198" t="s">
        <v>160</v>
      </c>
      <c r="S1539" s="198" t="s">
        <v>54</v>
      </c>
      <c r="T1539" s="198" t="s">
        <v>743</v>
      </c>
      <c r="U1539" s="198" t="s">
        <v>367</v>
      </c>
      <c r="V1539" s="198" t="s">
        <v>56</v>
      </c>
      <c r="W1539" s="198" t="s">
        <v>356</v>
      </c>
      <c r="X1539" s="198" t="s">
        <v>161</v>
      </c>
      <c r="Y1539" s="198" t="s">
        <v>162</v>
      </c>
      <c r="Z1539" s="201">
        <v>46248</v>
      </c>
      <c r="AA1539" s="198" t="s">
        <v>59</v>
      </c>
      <c r="AB1539" s="198" t="s">
        <v>60</v>
      </c>
      <c r="AC1539" s="198" t="s">
        <v>86</v>
      </c>
      <c r="AD1539" s="198" t="s">
        <v>62</v>
      </c>
      <c r="AE1539" s="198" t="s">
        <v>54</v>
      </c>
      <c r="AF1539" s="198" t="s">
        <v>54</v>
      </c>
      <c r="AG1539" s="198" t="s">
        <v>564</v>
      </c>
      <c r="AH1539" s="198" t="s">
        <v>167</v>
      </c>
      <c r="AI1539" s="198" t="s">
        <v>56</v>
      </c>
      <c r="AJ1539" s="198" t="s">
        <v>163</v>
      </c>
      <c r="AK1539" s="198" t="s">
        <v>51</v>
      </c>
      <c r="AL1539" s="198" t="s">
        <v>67</v>
      </c>
      <c r="AM1539" s="198" t="s">
        <v>68</v>
      </c>
      <c r="AN1539" s="202">
        <v>456000</v>
      </c>
      <c r="AO1539" s="202">
        <v>456000</v>
      </c>
      <c r="AP1539" s="202">
        <v>456000</v>
      </c>
      <c r="AQ1539" s="198" t="s">
        <v>358</v>
      </c>
      <c r="AR1539" s="198" t="s">
        <v>51</v>
      </c>
      <c r="AS1539" s="202">
        <v>456000</v>
      </c>
      <c r="AT1539" s="202">
        <v>456000</v>
      </c>
      <c r="AU1539" s="198" t="s">
        <v>359</v>
      </c>
      <c r="AV1539" s="198" t="s">
        <v>62</v>
      </c>
      <c r="AW1539" s="198" t="s">
        <v>54</v>
      </c>
    </row>
    <row r="1540" spans="3:49" outlineLevel="2" x14ac:dyDescent="0.25">
      <c r="C1540" s="201"/>
      <c r="D1540" s="198" t="s">
        <v>205</v>
      </c>
      <c r="H1540" s="198" t="s">
        <v>205</v>
      </c>
      <c r="I1540" s="202">
        <f t="shared" si="24"/>
        <v>639669541.05000007</v>
      </c>
      <c r="J1540" s="202">
        <v>154.9</v>
      </c>
      <c r="L1540" s="204">
        <v>1</v>
      </c>
      <c r="M1540" s="202">
        <v>285000</v>
      </c>
      <c r="N1540" s="204">
        <v>1</v>
      </c>
      <c r="O1540" s="198" t="s">
        <v>51</v>
      </c>
      <c r="P1540" s="202">
        <v>285000</v>
      </c>
      <c r="Q1540" s="198" t="s">
        <v>159</v>
      </c>
      <c r="R1540" s="198" t="s">
        <v>160</v>
      </c>
      <c r="S1540" s="198" t="s">
        <v>54</v>
      </c>
      <c r="T1540" s="198" t="s">
        <v>743</v>
      </c>
      <c r="U1540" s="198" t="s">
        <v>367</v>
      </c>
      <c r="V1540" s="198" t="s">
        <v>56</v>
      </c>
      <c r="W1540" s="198" t="s">
        <v>356</v>
      </c>
      <c r="X1540" s="198" t="s">
        <v>161</v>
      </c>
      <c r="Y1540" s="198" t="s">
        <v>162</v>
      </c>
      <c r="Z1540" s="201">
        <v>46248</v>
      </c>
      <c r="AA1540" s="198" t="s">
        <v>59</v>
      </c>
      <c r="AB1540" s="198" t="s">
        <v>60</v>
      </c>
      <c r="AC1540" s="198" t="s">
        <v>86</v>
      </c>
      <c r="AD1540" s="198" t="s">
        <v>62</v>
      </c>
      <c r="AE1540" s="198" t="s">
        <v>54</v>
      </c>
      <c r="AF1540" s="198" t="s">
        <v>54</v>
      </c>
      <c r="AG1540" s="198" t="s">
        <v>564</v>
      </c>
      <c r="AH1540" s="198" t="s">
        <v>169</v>
      </c>
      <c r="AI1540" s="198" t="s">
        <v>56</v>
      </c>
      <c r="AJ1540" s="198" t="s">
        <v>163</v>
      </c>
      <c r="AK1540" s="198" t="s">
        <v>51</v>
      </c>
      <c r="AL1540" s="198" t="s">
        <v>67</v>
      </c>
      <c r="AM1540" s="198" t="s">
        <v>68</v>
      </c>
      <c r="AN1540" s="202">
        <v>285000</v>
      </c>
      <c r="AO1540" s="202">
        <v>285000</v>
      </c>
      <c r="AP1540" s="202">
        <v>285000</v>
      </c>
      <c r="AQ1540" s="198" t="s">
        <v>358</v>
      </c>
      <c r="AR1540" s="198" t="s">
        <v>51</v>
      </c>
      <c r="AS1540" s="202">
        <v>285000</v>
      </c>
      <c r="AT1540" s="202">
        <v>285000</v>
      </c>
      <c r="AU1540" s="198" t="s">
        <v>359</v>
      </c>
      <c r="AV1540" s="198" t="s">
        <v>62</v>
      </c>
      <c r="AW1540" s="198" t="s">
        <v>54</v>
      </c>
    </row>
    <row r="1541" spans="3:49" outlineLevel="2" x14ac:dyDescent="0.25">
      <c r="C1541" s="201"/>
      <c r="D1541" s="198" t="s">
        <v>267</v>
      </c>
      <c r="H1541" s="198" t="s">
        <v>267</v>
      </c>
      <c r="I1541" s="202">
        <f t="shared" si="24"/>
        <v>640082497.5</v>
      </c>
      <c r="J1541" s="202">
        <v>155</v>
      </c>
      <c r="L1541" s="203">
        <v>0.11799999999999999</v>
      </c>
      <c r="M1541" s="202">
        <v>11316000</v>
      </c>
      <c r="N1541" s="203">
        <v>0.11799999999999999</v>
      </c>
      <c r="O1541" s="198" t="s">
        <v>51</v>
      </c>
      <c r="P1541" s="202">
        <v>11316000</v>
      </c>
      <c r="Q1541" s="198" t="s">
        <v>159</v>
      </c>
      <c r="R1541" s="198" t="s">
        <v>160</v>
      </c>
      <c r="S1541" s="198" t="s">
        <v>54</v>
      </c>
      <c r="T1541" s="198" t="s">
        <v>585</v>
      </c>
      <c r="U1541" s="198" t="s">
        <v>80</v>
      </c>
      <c r="V1541" s="198" t="s">
        <v>56</v>
      </c>
      <c r="W1541" s="198" t="s">
        <v>356</v>
      </c>
      <c r="X1541" s="198" t="s">
        <v>161</v>
      </c>
      <c r="Y1541" s="198" t="s">
        <v>162</v>
      </c>
      <c r="Z1541" s="201">
        <v>46234</v>
      </c>
      <c r="AA1541" s="198" t="s">
        <v>59</v>
      </c>
      <c r="AB1541" s="198" t="s">
        <v>60</v>
      </c>
      <c r="AC1541" s="198" t="s">
        <v>86</v>
      </c>
      <c r="AD1541" s="198" t="s">
        <v>62</v>
      </c>
      <c r="AE1541" s="198" t="s">
        <v>54</v>
      </c>
      <c r="AF1541" s="198" t="s">
        <v>54</v>
      </c>
      <c r="AG1541" s="198" t="s">
        <v>248</v>
      </c>
      <c r="AH1541" s="198" t="s">
        <v>169</v>
      </c>
      <c r="AI1541" s="198" t="s">
        <v>56</v>
      </c>
      <c r="AJ1541" s="198" t="s">
        <v>163</v>
      </c>
      <c r="AK1541" s="198" t="s">
        <v>51</v>
      </c>
      <c r="AL1541" s="198" t="s">
        <v>67</v>
      </c>
      <c r="AM1541" s="198" t="s">
        <v>68</v>
      </c>
      <c r="AN1541" s="202">
        <v>11316000</v>
      </c>
      <c r="AO1541" s="202">
        <v>11316000</v>
      </c>
      <c r="AP1541" s="202">
        <v>11316000</v>
      </c>
      <c r="AQ1541" s="198" t="s">
        <v>358</v>
      </c>
      <c r="AR1541" s="198" t="s">
        <v>51</v>
      </c>
      <c r="AS1541" s="202">
        <v>11316000</v>
      </c>
      <c r="AT1541" s="202">
        <v>11316000</v>
      </c>
      <c r="AU1541" s="198" t="s">
        <v>359</v>
      </c>
      <c r="AV1541" s="198" t="s">
        <v>62</v>
      </c>
      <c r="AW1541" s="198" t="s">
        <v>587</v>
      </c>
    </row>
    <row r="1542" spans="3:49" outlineLevel="2" x14ac:dyDescent="0.25">
      <c r="C1542" s="201"/>
      <c r="D1542" s="198" t="s">
        <v>268</v>
      </c>
      <c r="H1542" s="198" t="s">
        <v>268</v>
      </c>
      <c r="I1542" s="202">
        <f t="shared" si="24"/>
        <v>640495453.94999993</v>
      </c>
      <c r="J1542" s="202">
        <v>155.1</v>
      </c>
      <c r="L1542" s="203">
        <v>0.23699999999999999</v>
      </c>
      <c r="M1542" s="202">
        <v>22782919.359999999</v>
      </c>
      <c r="N1542" s="203">
        <v>0.23699999999999999</v>
      </c>
      <c r="O1542" s="198" t="s">
        <v>51</v>
      </c>
      <c r="P1542" s="202">
        <v>22782919.359999999</v>
      </c>
      <c r="Q1542" s="198" t="s">
        <v>159</v>
      </c>
      <c r="R1542" s="198" t="s">
        <v>160</v>
      </c>
      <c r="S1542" s="198" t="s">
        <v>54</v>
      </c>
      <c r="T1542" s="198" t="s">
        <v>585</v>
      </c>
      <c r="U1542" s="198" t="s">
        <v>80</v>
      </c>
      <c r="V1542" s="198" t="s">
        <v>147</v>
      </c>
      <c r="W1542" s="198" t="s">
        <v>356</v>
      </c>
      <c r="X1542" s="198" t="s">
        <v>161</v>
      </c>
      <c r="Y1542" s="198" t="s">
        <v>162</v>
      </c>
      <c r="Z1542" s="201">
        <v>46234</v>
      </c>
      <c r="AA1542" s="198" t="s">
        <v>59</v>
      </c>
      <c r="AB1542" s="198" t="s">
        <v>60</v>
      </c>
      <c r="AC1542" s="198" t="s">
        <v>86</v>
      </c>
      <c r="AD1542" s="198" t="s">
        <v>62</v>
      </c>
      <c r="AE1542" s="198" t="s">
        <v>54</v>
      </c>
      <c r="AF1542" s="198" t="s">
        <v>54</v>
      </c>
      <c r="AG1542" s="198" t="s">
        <v>248</v>
      </c>
      <c r="AH1542" s="198" t="s">
        <v>169</v>
      </c>
      <c r="AI1542" s="198" t="s">
        <v>56</v>
      </c>
      <c r="AJ1542" s="198" t="s">
        <v>163</v>
      </c>
      <c r="AK1542" s="198" t="s">
        <v>51</v>
      </c>
      <c r="AL1542" s="198" t="s">
        <v>67</v>
      </c>
      <c r="AM1542" s="198" t="s">
        <v>68</v>
      </c>
      <c r="AN1542" s="202">
        <v>22782919.359999999</v>
      </c>
      <c r="AO1542" s="202">
        <v>22782919.359999999</v>
      </c>
      <c r="AP1542" s="202">
        <v>22782919.359999999</v>
      </c>
      <c r="AQ1542" s="198" t="s">
        <v>358</v>
      </c>
      <c r="AR1542" s="198" t="s">
        <v>51</v>
      </c>
      <c r="AS1542" s="202">
        <v>22782919.359999999</v>
      </c>
      <c r="AT1542" s="202">
        <v>22782919.359999999</v>
      </c>
      <c r="AU1542" s="198" t="s">
        <v>359</v>
      </c>
      <c r="AV1542" s="198" t="s">
        <v>62</v>
      </c>
      <c r="AW1542" s="198" t="s">
        <v>587</v>
      </c>
    </row>
    <row r="1543" spans="3:49" outlineLevel="2" x14ac:dyDescent="0.25">
      <c r="C1543" s="201"/>
      <c r="D1543" s="198" t="s">
        <v>265</v>
      </c>
      <c r="H1543" s="198" t="s">
        <v>265</v>
      </c>
      <c r="I1543" s="202">
        <f t="shared" si="24"/>
        <v>640908410.39999998</v>
      </c>
      <c r="J1543" s="202">
        <v>155.19999999999999</v>
      </c>
      <c r="L1543" s="203">
        <v>6.6000000000000003E-2</v>
      </c>
      <c r="M1543" s="202">
        <v>6348000</v>
      </c>
      <c r="N1543" s="203">
        <v>6.6000000000000003E-2</v>
      </c>
      <c r="O1543" s="198" t="s">
        <v>51</v>
      </c>
      <c r="P1543" s="202">
        <v>6348000</v>
      </c>
      <c r="Q1543" s="198" t="s">
        <v>159</v>
      </c>
      <c r="R1543" s="198" t="s">
        <v>160</v>
      </c>
      <c r="S1543" s="198" t="s">
        <v>54</v>
      </c>
      <c r="T1543" s="198" t="s">
        <v>585</v>
      </c>
      <c r="U1543" s="198" t="s">
        <v>80</v>
      </c>
      <c r="V1543" s="198" t="s">
        <v>189</v>
      </c>
      <c r="W1543" s="198" t="s">
        <v>356</v>
      </c>
      <c r="X1543" s="198" t="s">
        <v>161</v>
      </c>
      <c r="Y1543" s="198" t="s">
        <v>162</v>
      </c>
      <c r="Z1543" s="201">
        <v>46234</v>
      </c>
      <c r="AA1543" s="198" t="s">
        <v>59</v>
      </c>
      <c r="AB1543" s="198" t="s">
        <v>60</v>
      </c>
      <c r="AC1543" s="198" t="s">
        <v>86</v>
      </c>
      <c r="AD1543" s="198" t="s">
        <v>62</v>
      </c>
      <c r="AE1543" s="198" t="s">
        <v>54</v>
      </c>
      <c r="AF1543" s="198" t="s">
        <v>54</v>
      </c>
      <c r="AG1543" s="198" t="s">
        <v>248</v>
      </c>
      <c r="AH1543" s="198" t="s">
        <v>169</v>
      </c>
      <c r="AI1543" s="198" t="s">
        <v>56</v>
      </c>
      <c r="AJ1543" s="198" t="s">
        <v>163</v>
      </c>
      <c r="AK1543" s="198" t="s">
        <v>51</v>
      </c>
      <c r="AL1543" s="198" t="s">
        <v>67</v>
      </c>
      <c r="AM1543" s="198" t="s">
        <v>68</v>
      </c>
      <c r="AN1543" s="202">
        <v>6348000</v>
      </c>
      <c r="AO1543" s="202">
        <v>6348000</v>
      </c>
      <c r="AP1543" s="202">
        <v>6348000</v>
      </c>
      <c r="AQ1543" s="198" t="s">
        <v>358</v>
      </c>
      <c r="AR1543" s="198" t="s">
        <v>51</v>
      </c>
      <c r="AS1543" s="202">
        <v>6348000</v>
      </c>
      <c r="AT1543" s="202">
        <v>6348000</v>
      </c>
      <c r="AU1543" s="198" t="s">
        <v>359</v>
      </c>
      <c r="AV1543" s="198" t="s">
        <v>62</v>
      </c>
      <c r="AW1543" s="198" t="s">
        <v>587</v>
      </c>
    </row>
    <row r="1544" spans="3:49" outlineLevel="2" x14ac:dyDescent="0.25">
      <c r="C1544" s="201"/>
      <c r="D1544" s="198" t="s">
        <v>266</v>
      </c>
      <c r="H1544" s="198" t="s">
        <v>266</v>
      </c>
      <c r="I1544" s="202">
        <f t="shared" si="24"/>
        <v>641321366.85000002</v>
      </c>
      <c r="J1544" s="202">
        <v>155.30000000000001</v>
      </c>
      <c r="L1544" s="203">
        <v>8.9999999999999993E-3</v>
      </c>
      <c r="M1544" s="202">
        <v>900000</v>
      </c>
      <c r="N1544" s="203">
        <v>8.9999999999999993E-3</v>
      </c>
      <c r="O1544" s="198" t="s">
        <v>51</v>
      </c>
      <c r="P1544" s="202">
        <v>900000</v>
      </c>
      <c r="Q1544" s="198" t="s">
        <v>159</v>
      </c>
      <c r="R1544" s="198" t="s">
        <v>160</v>
      </c>
      <c r="S1544" s="198" t="s">
        <v>54</v>
      </c>
      <c r="T1544" s="198" t="s">
        <v>585</v>
      </c>
      <c r="U1544" s="198" t="s">
        <v>80</v>
      </c>
      <c r="V1544" s="198" t="s">
        <v>248</v>
      </c>
      <c r="W1544" s="198" t="s">
        <v>356</v>
      </c>
      <c r="X1544" s="198" t="s">
        <v>161</v>
      </c>
      <c r="Y1544" s="198" t="s">
        <v>162</v>
      </c>
      <c r="Z1544" s="201">
        <v>46234</v>
      </c>
      <c r="AA1544" s="198" t="s">
        <v>59</v>
      </c>
      <c r="AB1544" s="198" t="s">
        <v>60</v>
      </c>
      <c r="AC1544" s="198" t="s">
        <v>86</v>
      </c>
      <c r="AD1544" s="198" t="s">
        <v>62</v>
      </c>
      <c r="AE1544" s="198" t="s">
        <v>54</v>
      </c>
      <c r="AF1544" s="198" t="s">
        <v>54</v>
      </c>
      <c r="AG1544" s="198" t="s">
        <v>248</v>
      </c>
      <c r="AH1544" s="198" t="s">
        <v>169</v>
      </c>
      <c r="AI1544" s="198" t="s">
        <v>56</v>
      </c>
      <c r="AJ1544" s="198" t="s">
        <v>163</v>
      </c>
      <c r="AK1544" s="198" t="s">
        <v>51</v>
      </c>
      <c r="AL1544" s="198" t="s">
        <v>67</v>
      </c>
      <c r="AM1544" s="198" t="s">
        <v>68</v>
      </c>
      <c r="AN1544" s="202">
        <v>900000</v>
      </c>
      <c r="AO1544" s="202">
        <v>900000</v>
      </c>
      <c r="AP1544" s="202">
        <v>900000</v>
      </c>
      <c r="AQ1544" s="198" t="s">
        <v>358</v>
      </c>
      <c r="AR1544" s="198" t="s">
        <v>51</v>
      </c>
      <c r="AS1544" s="202">
        <v>900000</v>
      </c>
      <c r="AT1544" s="202">
        <v>900000</v>
      </c>
      <c r="AU1544" s="198" t="s">
        <v>359</v>
      </c>
      <c r="AV1544" s="198" t="s">
        <v>62</v>
      </c>
      <c r="AW1544" s="198" t="s">
        <v>587</v>
      </c>
    </row>
    <row r="1545" spans="3:49" outlineLevel="2" x14ac:dyDescent="0.25">
      <c r="C1545" s="201"/>
      <c r="D1545" s="198" t="s">
        <v>744</v>
      </c>
      <c r="H1545" s="198" t="s">
        <v>744</v>
      </c>
      <c r="I1545" s="202">
        <f t="shared" si="24"/>
        <v>641734323.30000007</v>
      </c>
      <c r="J1545" s="202">
        <v>155.4</v>
      </c>
      <c r="L1545" s="203">
        <v>7.8E-2</v>
      </c>
      <c r="M1545" s="202">
        <v>7514700</v>
      </c>
      <c r="N1545" s="203">
        <v>7.8E-2</v>
      </c>
      <c r="O1545" s="198" t="s">
        <v>51</v>
      </c>
      <c r="P1545" s="202">
        <v>7514700</v>
      </c>
      <c r="Q1545" s="198" t="s">
        <v>159</v>
      </c>
      <c r="R1545" s="198" t="s">
        <v>160</v>
      </c>
      <c r="S1545" s="198" t="s">
        <v>54</v>
      </c>
      <c r="T1545" s="198" t="s">
        <v>585</v>
      </c>
      <c r="U1545" s="198" t="s">
        <v>80</v>
      </c>
      <c r="V1545" s="198" t="s">
        <v>564</v>
      </c>
      <c r="W1545" s="198" t="s">
        <v>356</v>
      </c>
      <c r="X1545" s="198" t="s">
        <v>161</v>
      </c>
      <c r="Y1545" s="198" t="s">
        <v>162</v>
      </c>
      <c r="Z1545" s="201">
        <v>46234</v>
      </c>
      <c r="AA1545" s="198" t="s">
        <v>59</v>
      </c>
      <c r="AB1545" s="198" t="s">
        <v>60</v>
      </c>
      <c r="AC1545" s="198" t="s">
        <v>86</v>
      </c>
      <c r="AD1545" s="198" t="s">
        <v>62</v>
      </c>
      <c r="AE1545" s="198" t="s">
        <v>54</v>
      </c>
      <c r="AF1545" s="198" t="s">
        <v>54</v>
      </c>
      <c r="AG1545" s="198" t="s">
        <v>248</v>
      </c>
      <c r="AH1545" s="198" t="s">
        <v>169</v>
      </c>
      <c r="AI1545" s="198" t="s">
        <v>56</v>
      </c>
      <c r="AJ1545" s="198" t="s">
        <v>163</v>
      </c>
      <c r="AK1545" s="198" t="s">
        <v>51</v>
      </c>
      <c r="AL1545" s="198" t="s">
        <v>67</v>
      </c>
      <c r="AM1545" s="198" t="s">
        <v>68</v>
      </c>
      <c r="AN1545" s="202">
        <v>7514700</v>
      </c>
      <c r="AO1545" s="202">
        <v>7514700</v>
      </c>
      <c r="AP1545" s="202">
        <v>7514700</v>
      </c>
      <c r="AQ1545" s="198" t="s">
        <v>358</v>
      </c>
      <c r="AR1545" s="198" t="s">
        <v>51</v>
      </c>
      <c r="AS1545" s="202">
        <v>7514700</v>
      </c>
      <c r="AT1545" s="202">
        <v>7514700</v>
      </c>
      <c r="AU1545" s="198" t="s">
        <v>359</v>
      </c>
      <c r="AV1545" s="198" t="s">
        <v>62</v>
      </c>
      <c r="AW1545" s="198" t="s">
        <v>587</v>
      </c>
    </row>
    <row r="1546" spans="3:49" outlineLevel="2" x14ac:dyDescent="0.25">
      <c r="C1546" s="201"/>
      <c r="D1546" s="198" t="s">
        <v>269</v>
      </c>
      <c r="H1546" s="198" t="s">
        <v>269</v>
      </c>
      <c r="I1546" s="202">
        <f t="shared" si="24"/>
        <v>642147279.75</v>
      </c>
      <c r="J1546" s="202">
        <v>155.5</v>
      </c>
      <c r="L1546" s="203">
        <v>0.46100000000000002</v>
      </c>
      <c r="M1546" s="202">
        <v>44381104</v>
      </c>
      <c r="N1546" s="203">
        <v>0.46100000000000002</v>
      </c>
      <c r="O1546" s="198" t="s">
        <v>51</v>
      </c>
      <c r="P1546" s="202">
        <v>44381104</v>
      </c>
      <c r="Q1546" s="198" t="s">
        <v>159</v>
      </c>
      <c r="R1546" s="198" t="s">
        <v>160</v>
      </c>
      <c r="S1546" s="198" t="s">
        <v>54</v>
      </c>
      <c r="T1546" s="198" t="s">
        <v>585</v>
      </c>
      <c r="U1546" s="198" t="s">
        <v>80</v>
      </c>
      <c r="V1546" s="198" t="s">
        <v>214</v>
      </c>
      <c r="W1546" s="198" t="s">
        <v>356</v>
      </c>
      <c r="X1546" s="198" t="s">
        <v>161</v>
      </c>
      <c r="Y1546" s="198" t="s">
        <v>162</v>
      </c>
      <c r="Z1546" s="201">
        <v>46234</v>
      </c>
      <c r="AA1546" s="198" t="s">
        <v>59</v>
      </c>
      <c r="AB1546" s="198" t="s">
        <v>60</v>
      </c>
      <c r="AC1546" s="198" t="s">
        <v>86</v>
      </c>
      <c r="AD1546" s="198" t="s">
        <v>62</v>
      </c>
      <c r="AE1546" s="198" t="s">
        <v>54</v>
      </c>
      <c r="AF1546" s="198" t="s">
        <v>54</v>
      </c>
      <c r="AG1546" s="198" t="s">
        <v>248</v>
      </c>
      <c r="AH1546" s="198" t="s">
        <v>169</v>
      </c>
      <c r="AI1546" s="198" t="s">
        <v>56</v>
      </c>
      <c r="AJ1546" s="198" t="s">
        <v>163</v>
      </c>
      <c r="AK1546" s="198" t="s">
        <v>51</v>
      </c>
      <c r="AL1546" s="198" t="s">
        <v>67</v>
      </c>
      <c r="AM1546" s="198" t="s">
        <v>68</v>
      </c>
      <c r="AN1546" s="202">
        <v>44381104</v>
      </c>
      <c r="AO1546" s="202">
        <v>44381104</v>
      </c>
      <c r="AP1546" s="202">
        <v>44381104</v>
      </c>
      <c r="AQ1546" s="198" t="s">
        <v>358</v>
      </c>
      <c r="AR1546" s="198" t="s">
        <v>51</v>
      </c>
      <c r="AS1546" s="202">
        <v>44381104</v>
      </c>
      <c r="AT1546" s="202">
        <v>44381104</v>
      </c>
      <c r="AU1546" s="198" t="s">
        <v>359</v>
      </c>
      <c r="AV1546" s="198" t="s">
        <v>62</v>
      </c>
      <c r="AW1546" s="198" t="s">
        <v>587</v>
      </c>
    </row>
    <row r="1547" spans="3:49" outlineLevel="2" x14ac:dyDescent="0.25">
      <c r="C1547" s="201"/>
      <c r="D1547" s="198" t="s">
        <v>270</v>
      </c>
      <c r="H1547" s="198" t="s">
        <v>270</v>
      </c>
      <c r="I1547" s="202">
        <f t="shared" si="24"/>
        <v>642560236.19999993</v>
      </c>
      <c r="J1547" s="202">
        <v>155.6</v>
      </c>
      <c r="L1547" s="203">
        <v>3.1E-2</v>
      </c>
      <c r="M1547" s="202">
        <v>2976962</v>
      </c>
      <c r="N1547" s="203">
        <v>3.1E-2</v>
      </c>
      <c r="O1547" s="198" t="s">
        <v>51</v>
      </c>
      <c r="P1547" s="202">
        <v>2976962</v>
      </c>
      <c r="Q1547" s="198" t="s">
        <v>159</v>
      </c>
      <c r="R1547" s="198" t="s">
        <v>160</v>
      </c>
      <c r="S1547" s="198" t="s">
        <v>54</v>
      </c>
      <c r="T1547" s="198" t="s">
        <v>585</v>
      </c>
      <c r="U1547" s="198" t="s">
        <v>80</v>
      </c>
      <c r="V1547" s="198" t="s">
        <v>235</v>
      </c>
      <c r="W1547" s="198" t="s">
        <v>356</v>
      </c>
      <c r="X1547" s="198" t="s">
        <v>161</v>
      </c>
      <c r="Y1547" s="198" t="s">
        <v>162</v>
      </c>
      <c r="Z1547" s="201">
        <v>46234</v>
      </c>
      <c r="AA1547" s="198" t="s">
        <v>59</v>
      </c>
      <c r="AB1547" s="198" t="s">
        <v>60</v>
      </c>
      <c r="AC1547" s="198" t="s">
        <v>86</v>
      </c>
      <c r="AD1547" s="198" t="s">
        <v>62</v>
      </c>
      <c r="AE1547" s="198" t="s">
        <v>54</v>
      </c>
      <c r="AF1547" s="198" t="s">
        <v>54</v>
      </c>
      <c r="AG1547" s="198" t="s">
        <v>248</v>
      </c>
      <c r="AH1547" s="198" t="s">
        <v>169</v>
      </c>
      <c r="AI1547" s="198" t="s">
        <v>56</v>
      </c>
      <c r="AJ1547" s="198" t="s">
        <v>163</v>
      </c>
      <c r="AK1547" s="198" t="s">
        <v>51</v>
      </c>
      <c r="AL1547" s="198" t="s">
        <v>67</v>
      </c>
      <c r="AM1547" s="198" t="s">
        <v>68</v>
      </c>
      <c r="AN1547" s="202">
        <v>2976962</v>
      </c>
      <c r="AO1547" s="202">
        <v>2976962</v>
      </c>
      <c r="AP1547" s="202">
        <v>2976962</v>
      </c>
      <c r="AQ1547" s="198" t="s">
        <v>358</v>
      </c>
      <c r="AR1547" s="198" t="s">
        <v>51</v>
      </c>
      <c r="AS1547" s="202">
        <v>2976962</v>
      </c>
      <c r="AT1547" s="202">
        <v>2976962</v>
      </c>
      <c r="AU1547" s="198" t="s">
        <v>359</v>
      </c>
      <c r="AV1547" s="198" t="s">
        <v>62</v>
      </c>
      <c r="AW1547" s="198" t="s">
        <v>587</v>
      </c>
    </row>
    <row r="1548" spans="3:49" outlineLevel="2" x14ac:dyDescent="0.25">
      <c r="C1548" s="201"/>
      <c r="D1548" s="198" t="s">
        <v>241</v>
      </c>
      <c r="H1548" s="198" t="s">
        <v>241</v>
      </c>
      <c r="I1548" s="202">
        <f t="shared" si="24"/>
        <v>642973192.64999998</v>
      </c>
      <c r="J1548" s="202">
        <v>155.69999999999999</v>
      </c>
      <c r="L1548" s="204">
        <v>1</v>
      </c>
      <c r="M1548" s="202">
        <v>2346000</v>
      </c>
      <c r="N1548" s="204">
        <v>1</v>
      </c>
      <c r="O1548" s="198" t="s">
        <v>51</v>
      </c>
      <c r="P1548" s="202">
        <v>2346000</v>
      </c>
      <c r="Q1548" s="198" t="s">
        <v>159</v>
      </c>
      <c r="R1548" s="198" t="s">
        <v>160</v>
      </c>
      <c r="S1548" s="198" t="s">
        <v>54</v>
      </c>
      <c r="T1548" s="198" t="s">
        <v>431</v>
      </c>
      <c r="U1548" s="198" t="s">
        <v>2061</v>
      </c>
      <c r="V1548" s="198" t="s">
        <v>56</v>
      </c>
      <c r="W1548" s="198" t="s">
        <v>356</v>
      </c>
      <c r="X1548" s="198" t="s">
        <v>161</v>
      </c>
      <c r="Y1548" s="198" t="s">
        <v>162</v>
      </c>
      <c r="Z1548" s="201">
        <v>46234</v>
      </c>
      <c r="AA1548" s="198" t="s">
        <v>59</v>
      </c>
      <c r="AB1548" s="198" t="s">
        <v>60</v>
      </c>
      <c r="AC1548" s="198" t="s">
        <v>86</v>
      </c>
      <c r="AD1548" s="198" t="s">
        <v>62</v>
      </c>
      <c r="AE1548" s="198" t="s">
        <v>54</v>
      </c>
      <c r="AF1548" s="198" t="s">
        <v>54</v>
      </c>
      <c r="AG1548" s="198" t="s">
        <v>248</v>
      </c>
      <c r="AH1548" s="198" t="s">
        <v>89</v>
      </c>
      <c r="AI1548" s="198" t="s">
        <v>56</v>
      </c>
      <c r="AJ1548" s="198" t="s">
        <v>163</v>
      </c>
      <c r="AK1548" s="198" t="s">
        <v>51</v>
      </c>
      <c r="AL1548" s="198" t="s">
        <v>67</v>
      </c>
      <c r="AM1548" s="198" t="s">
        <v>68</v>
      </c>
      <c r="AN1548" s="202">
        <v>2346000</v>
      </c>
      <c r="AO1548" s="202">
        <v>2346000</v>
      </c>
      <c r="AP1548" s="202">
        <v>2346000</v>
      </c>
      <c r="AQ1548" s="198" t="s">
        <v>358</v>
      </c>
      <c r="AR1548" s="198" t="s">
        <v>51</v>
      </c>
      <c r="AS1548" s="202">
        <v>2346000</v>
      </c>
      <c r="AT1548" s="202">
        <v>2346000</v>
      </c>
      <c r="AU1548" s="198" t="s">
        <v>359</v>
      </c>
      <c r="AV1548" s="198" t="s">
        <v>62</v>
      </c>
      <c r="AW1548" s="198" t="s">
        <v>54</v>
      </c>
    </row>
    <row r="1549" spans="3:49" outlineLevel="2" x14ac:dyDescent="0.25">
      <c r="C1549" s="201"/>
      <c r="D1549" s="198" t="s">
        <v>254</v>
      </c>
      <c r="H1549" s="198" t="s">
        <v>254</v>
      </c>
      <c r="I1549" s="202">
        <f t="shared" si="24"/>
        <v>643386149.10000002</v>
      </c>
      <c r="J1549" s="202">
        <v>155.80000000000001</v>
      </c>
      <c r="L1549" s="203">
        <v>0.14000000000000001</v>
      </c>
      <c r="M1549" s="202">
        <v>20368800</v>
      </c>
      <c r="N1549" s="203">
        <v>0.14000000000000001</v>
      </c>
      <c r="O1549" s="198" t="s">
        <v>51</v>
      </c>
      <c r="P1549" s="202">
        <v>20368800</v>
      </c>
      <c r="Q1549" s="198" t="s">
        <v>159</v>
      </c>
      <c r="R1549" s="198" t="s">
        <v>160</v>
      </c>
      <c r="S1549" s="198" t="s">
        <v>54</v>
      </c>
      <c r="T1549" s="198" t="s">
        <v>661</v>
      </c>
      <c r="U1549" s="198" t="s">
        <v>726</v>
      </c>
      <c r="V1549" s="198" t="s">
        <v>56</v>
      </c>
      <c r="W1549" s="198" t="s">
        <v>356</v>
      </c>
      <c r="X1549" s="198" t="s">
        <v>161</v>
      </c>
      <c r="Y1549" s="198" t="s">
        <v>162</v>
      </c>
      <c r="Z1549" s="201">
        <v>46234</v>
      </c>
      <c r="AA1549" s="198" t="s">
        <v>59</v>
      </c>
      <c r="AB1549" s="198" t="s">
        <v>60</v>
      </c>
      <c r="AC1549" s="198" t="s">
        <v>86</v>
      </c>
      <c r="AD1549" s="198" t="s">
        <v>62</v>
      </c>
      <c r="AE1549" s="198" t="s">
        <v>54</v>
      </c>
      <c r="AF1549" s="198" t="s">
        <v>54</v>
      </c>
      <c r="AG1549" s="198" t="s">
        <v>248</v>
      </c>
      <c r="AH1549" s="198" t="s">
        <v>65</v>
      </c>
      <c r="AI1549" s="198" t="s">
        <v>56</v>
      </c>
      <c r="AJ1549" s="198" t="s">
        <v>163</v>
      </c>
      <c r="AK1549" s="198" t="s">
        <v>51</v>
      </c>
      <c r="AL1549" s="198" t="s">
        <v>67</v>
      </c>
      <c r="AM1549" s="198" t="s">
        <v>68</v>
      </c>
      <c r="AN1549" s="202">
        <v>20368800</v>
      </c>
      <c r="AO1549" s="202">
        <v>20368800</v>
      </c>
      <c r="AP1549" s="202">
        <v>20368800</v>
      </c>
      <c r="AQ1549" s="198" t="s">
        <v>358</v>
      </c>
      <c r="AR1549" s="198" t="s">
        <v>51</v>
      </c>
      <c r="AS1549" s="202">
        <v>20368800</v>
      </c>
      <c r="AT1549" s="202">
        <v>20368800</v>
      </c>
      <c r="AU1549" s="198" t="s">
        <v>359</v>
      </c>
      <c r="AV1549" s="198" t="s">
        <v>62</v>
      </c>
      <c r="AW1549" s="198" t="s">
        <v>54</v>
      </c>
    </row>
    <row r="1550" spans="3:49" outlineLevel="2" x14ac:dyDescent="0.25">
      <c r="C1550" s="201"/>
      <c r="D1550" s="198" t="s">
        <v>258</v>
      </c>
      <c r="H1550" s="198" t="s">
        <v>258</v>
      </c>
      <c r="I1550" s="202">
        <f t="shared" si="24"/>
        <v>643799105.55000007</v>
      </c>
      <c r="J1550" s="202">
        <v>155.9</v>
      </c>
      <c r="L1550" s="203">
        <v>0.26700000000000002</v>
      </c>
      <c r="M1550" s="202">
        <v>39175185.759999998</v>
      </c>
      <c r="N1550" s="203">
        <v>0.26700000000000002</v>
      </c>
      <c r="O1550" s="198" t="s">
        <v>51</v>
      </c>
      <c r="P1550" s="202">
        <v>39175185.759999998</v>
      </c>
      <c r="Q1550" s="198" t="s">
        <v>159</v>
      </c>
      <c r="R1550" s="198" t="s">
        <v>160</v>
      </c>
      <c r="S1550" s="198" t="s">
        <v>54</v>
      </c>
      <c r="T1550" s="198" t="s">
        <v>661</v>
      </c>
      <c r="U1550" s="198" t="s">
        <v>726</v>
      </c>
      <c r="V1550" s="198" t="s">
        <v>147</v>
      </c>
      <c r="W1550" s="198" t="s">
        <v>356</v>
      </c>
      <c r="X1550" s="198" t="s">
        <v>161</v>
      </c>
      <c r="Y1550" s="198" t="s">
        <v>162</v>
      </c>
      <c r="Z1550" s="201">
        <v>46234</v>
      </c>
      <c r="AA1550" s="198" t="s">
        <v>59</v>
      </c>
      <c r="AB1550" s="198" t="s">
        <v>60</v>
      </c>
      <c r="AC1550" s="198" t="s">
        <v>86</v>
      </c>
      <c r="AD1550" s="198" t="s">
        <v>62</v>
      </c>
      <c r="AE1550" s="198" t="s">
        <v>54</v>
      </c>
      <c r="AF1550" s="198" t="s">
        <v>54</v>
      </c>
      <c r="AG1550" s="198" t="s">
        <v>248</v>
      </c>
      <c r="AH1550" s="198" t="s">
        <v>65</v>
      </c>
      <c r="AI1550" s="198" t="s">
        <v>56</v>
      </c>
      <c r="AJ1550" s="198" t="s">
        <v>163</v>
      </c>
      <c r="AK1550" s="198" t="s">
        <v>51</v>
      </c>
      <c r="AL1550" s="198" t="s">
        <v>67</v>
      </c>
      <c r="AM1550" s="198" t="s">
        <v>68</v>
      </c>
      <c r="AN1550" s="202">
        <v>39175185.759999998</v>
      </c>
      <c r="AO1550" s="202">
        <v>39175185.759999998</v>
      </c>
      <c r="AP1550" s="202">
        <v>39175185.759999998</v>
      </c>
      <c r="AQ1550" s="198" t="s">
        <v>358</v>
      </c>
      <c r="AR1550" s="198" t="s">
        <v>51</v>
      </c>
      <c r="AS1550" s="202">
        <v>39175185.759999998</v>
      </c>
      <c r="AT1550" s="202">
        <v>39175185.759999998</v>
      </c>
      <c r="AU1550" s="198" t="s">
        <v>359</v>
      </c>
      <c r="AV1550" s="198" t="s">
        <v>62</v>
      </c>
      <c r="AW1550" s="198" t="s">
        <v>54</v>
      </c>
    </row>
    <row r="1551" spans="3:49" outlineLevel="2" x14ac:dyDescent="0.25">
      <c r="C1551" s="201"/>
      <c r="D1551" s="198" t="s">
        <v>158</v>
      </c>
      <c r="H1551" s="198" t="s">
        <v>158</v>
      </c>
      <c r="I1551" s="202">
        <f t="shared" si="24"/>
        <v>644212062</v>
      </c>
      <c r="J1551" s="202">
        <v>156</v>
      </c>
      <c r="L1551" s="203">
        <v>7.8E-2</v>
      </c>
      <c r="M1551" s="202">
        <v>11426400</v>
      </c>
      <c r="N1551" s="203">
        <v>7.8E-2</v>
      </c>
      <c r="O1551" s="198" t="s">
        <v>51</v>
      </c>
      <c r="P1551" s="202">
        <v>11426400</v>
      </c>
      <c r="Q1551" s="198" t="s">
        <v>159</v>
      </c>
      <c r="R1551" s="198" t="s">
        <v>160</v>
      </c>
      <c r="S1551" s="198" t="s">
        <v>54</v>
      </c>
      <c r="T1551" s="198" t="s">
        <v>661</v>
      </c>
      <c r="U1551" s="198" t="s">
        <v>726</v>
      </c>
      <c r="V1551" s="198" t="s">
        <v>189</v>
      </c>
      <c r="W1551" s="198" t="s">
        <v>356</v>
      </c>
      <c r="X1551" s="198" t="s">
        <v>161</v>
      </c>
      <c r="Y1551" s="198" t="s">
        <v>162</v>
      </c>
      <c r="Z1551" s="201">
        <v>46234</v>
      </c>
      <c r="AA1551" s="198" t="s">
        <v>59</v>
      </c>
      <c r="AB1551" s="198" t="s">
        <v>60</v>
      </c>
      <c r="AC1551" s="198" t="s">
        <v>86</v>
      </c>
      <c r="AD1551" s="198" t="s">
        <v>62</v>
      </c>
      <c r="AE1551" s="198" t="s">
        <v>54</v>
      </c>
      <c r="AF1551" s="198" t="s">
        <v>54</v>
      </c>
      <c r="AG1551" s="198" t="s">
        <v>248</v>
      </c>
      <c r="AH1551" s="198" t="s">
        <v>65</v>
      </c>
      <c r="AI1551" s="198" t="s">
        <v>56</v>
      </c>
      <c r="AJ1551" s="198" t="s">
        <v>163</v>
      </c>
      <c r="AK1551" s="198" t="s">
        <v>51</v>
      </c>
      <c r="AL1551" s="198" t="s">
        <v>67</v>
      </c>
      <c r="AM1551" s="198" t="s">
        <v>68</v>
      </c>
      <c r="AN1551" s="202">
        <v>11426400</v>
      </c>
      <c r="AO1551" s="202">
        <v>11426400</v>
      </c>
      <c r="AP1551" s="202">
        <v>11426400</v>
      </c>
      <c r="AQ1551" s="198" t="s">
        <v>358</v>
      </c>
      <c r="AR1551" s="198" t="s">
        <v>51</v>
      </c>
      <c r="AS1551" s="202">
        <v>11426400</v>
      </c>
      <c r="AT1551" s="202">
        <v>11426400</v>
      </c>
      <c r="AU1551" s="198" t="s">
        <v>359</v>
      </c>
      <c r="AV1551" s="198" t="s">
        <v>62</v>
      </c>
      <c r="AW1551" s="198" t="s">
        <v>54</v>
      </c>
    </row>
    <row r="1552" spans="3:49" outlineLevel="2" x14ac:dyDescent="0.25">
      <c r="C1552" s="201"/>
      <c r="D1552" s="198" t="s">
        <v>255</v>
      </c>
      <c r="H1552" s="198" t="s">
        <v>255</v>
      </c>
      <c r="I1552" s="202">
        <f t="shared" si="24"/>
        <v>644625018.44999993</v>
      </c>
      <c r="J1552" s="202">
        <v>156.1</v>
      </c>
      <c r="L1552" s="203">
        <v>1.0999999999999999E-2</v>
      </c>
      <c r="M1552" s="202">
        <v>1620000</v>
      </c>
      <c r="N1552" s="203">
        <v>1.0999999999999999E-2</v>
      </c>
      <c r="O1552" s="198" t="s">
        <v>51</v>
      </c>
      <c r="P1552" s="202">
        <v>1620000</v>
      </c>
      <c r="Q1552" s="198" t="s">
        <v>159</v>
      </c>
      <c r="R1552" s="198" t="s">
        <v>160</v>
      </c>
      <c r="S1552" s="198" t="s">
        <v>54</v>
      </c>
      <c r="T1552" s="198" t="s">
        <v>661</v>
      </c>
      <c r="U1552" s="198" t="s">
        <v>726</v>
      </c>
      <c r="V1552" s="198" t="s">
        <v>248</v>
      </c>
      <c r="W1552" s="198" t="s">
        <v>356</v>
      </c>
      <c r="X1552" s="198" t="s">
        <v>161</v>
      </c>
      <c r="Y1552" s="198" t="s">
        <v>162</v>
      </c>
      <c r="Z1552" s="201">
        <v>46234</v>
      </c>
      <c r="AA1552" s="198" t="s">
        <v>59</v>
      </c>
      <c r="AB1552" s="198" t="s">
        <v>60</v>
      </c>
      <c r="AC1552" s="198" t="s">
        <v>86</v>
      </c>
      <c r="AD1552" s="198" t="s">
        <v>62</v>
      </c>
      <c r="AE1552" s="198" t="s">
        <v>54</v>
      </c>
      <c r="AF1552" s="198" t="s">
        <v>54</v>
      </c>
      <c r="AG1552" s="198" t="s">
        <v>248</v>
      </c>
      <c r="AH1552" s="198" t="s">
        <v>65</v>
      </c>
      <c r="AI1552" s="198" t="s">
        <v>56</v>
      </c>
      <c r="AJ1552" s="198" t="s">
        <v>163</v>
      </c>
      <c r="AK1552" s="198" t="s">
        <v>51</v>
      </c>
      <c r="AL1552" s="198" t="s">
        <v>67</v>
      </c>
      <c r="AM1552" s="198" t="s">
        <v>68</v>
      </c>
      <c r="AN1552" s="202">
        <v>1620000</v>
      </c>
      <c r="AO1552" s="202">
        <v>1620000</v>
      </c>
      <c r="AP1552" s="202">
        <v>1620000</v>
      </c>
      <c r="AQ1552" s="198" t="s">
        <v>358</v>
      </c>
      <c r="AR1552" s="198" t="s">
        <v>51</v>
      </c>
      <c r="AS1552" s="202">
        <v>1620000</v>
      </c>
      <c r="AT1552" s="202">
        <v>1620000</v>
      </c>
      <c r="AU1552" s="198" t="s">
        <v>359</v>
      </c>
      <c r="AV1552" s="198" t="s">
        <v>62</v>
      </c>
      <c r="AW1552" s="198" t="s">
        <v>54</v>
      </c>
    </row>
    <row r="1553" spans="3:49" outlineLevel="2" x14ac:dyDescent="0.25">
      <c r="C1553" s="201"/>
      <c r="D1553" s="198" t="s">
        <v>745</v>
      </c>
      <c r="H1553" s="198" t="s">
        <v>745</v>
      </c>
      <c r="I1553" s="202">
        <f t="shared" si="24"/>
        <v>645037974.89999998</v>
      </c>
      <c r="J1553" s="202">
        <v>156.19999999999999</v>
      </c>
      <c r="L1553" s="203">
        <v>5.8000000000000003E-2</v>
      </c>
      <c r="M1553" s="202">
        <v>8561775</v>
      </c>
      <c r="N1553" s="203">
        <v>5.8000000000000003E-2</v>
      </c>
      <c r="O1553" s="198" t="s">
        <v>51</v>
      </c>
      <c r="P1553" s="202">
        <v>8561775</v>
      </c>
      <c r="Q1553" s="198" t="s">
        <v>159</v>
      </c>
      <c r="R1553" s="198" t="s">
        <v>160</v>
      </c>
      <c r="S1553" s="198" t="s">
        <v>54</v>
      </c>
      <c r="T1553" s="198" t="s">
        <v>661</v>
      </c>
      <c r="U1553" s="198" t="s">
        <v>726</v>
      </c>
      <c r="V1553" s="198" t="s">
        <v>564</v>
      </c>
      <c r="W1553" s="198" t="s">
        <v>356</v>
      </c>
      <c r="X1553" s="198" t="s">
        <v>161</v>
      </c>
      <c r="Y1553" s="198" t="s">
        <v>162</v>
      </c>
      <c r="Z1553" s="201">
        <v>46234</v>
      </c>
      <c r="AA1553" s="198" t="s">
        <v>59</v>
      </c>
      <c r="AB1553" s="198" t="s">
        <v>60</v>
      </c>
      <c r="AC1553" s="198" t="s">
        <v>86</v>
      </c>
      <c r="AD1553" s="198" t="s">
        <v>62</v>
      </c>
      <c r="AE1553" s="198" t="s">
        <v>54</v>
      </c>
      <c r="AF1553" s="198" t="s">
        <v>54</v>
      </c>
      <c r="AG1553" s="198" t="s">
        <v>248</v>
      </c>
      <c r="AH1553" s="198" t="s">
        <v>65</v>
      </c>
      <c r="AI1553" s="198" t="s">
        <v>56</v>
      </c>
      <c r="AJ1553" s="198" t="s">
        <v>163</v>
      </c>
      <c r="AK1553" s="198" t="s">
        <v>51</v>
      </c>
      <c r="AL1553" s="198" t="s">
        <v>67</v>
      </c>
      <c r="AM1553" s="198" t="s">
        <v>68</v>
      </c>
      <c r="AN1553" s="202">
        <v>8561775</v>
      </c>
      <c r="AO1553" s="202">
        <v>8561775</v>
      </c>
      <c r="AP1553" s="202">
        <v>8561775</v>
      </c>
      <c r="AQ1553" s="198" t="s">
        <v>358</v>
      </c>
      <c r="AR1553" s="198" t="s">
        <v>51</v>
      </c>
      <c r="AS1553" s="202">
        <v>8561775</v>
      </c>
      <c r="AT1553" s="202">
        <v>8561775</v>
      </c>
      <c r="AU1553" s="198" t="s">
        <v>359</v>
      </c>
      <c r="AV1553" s="198" t="s">
        <v>62</v>
      </c>
      <c r="AW1553" s="198" t="s">
        <v>54</v>
      </c>
    </row>
    <row r="1554" spans="3:49" outlineLevel="2" x14ac:dyDescent="0.25">
      <c r="C1554" s="201"/>
      <c r="D1554" s="198" t="s">
        <v>256</v>
      </c>
      <c r="H1554" s="198" t="s">
        <v>256</v>
      </c>
      <c r="I1554" s="202">
        <f t="shared" si="24"/>
        <v>645450931.35000002</v>
      </c>
      <c r="J1554" s="202">
        <v>156.30000000000001</v>
      </c>
      <c r="L1554" s="203">
        <v>0.41199999999999998</v>
      </c>
      <c r="M1554" s="202">
        <v>60347437</v>
      </c>
      <c r="N1554" s="203">
        <v>0.41199999999999998</v>
      </c>
      <c r="O1554" s="198" t="s">
        <v>51</v>
      </c>
      <c r="P1554" s="202">
        <v>60347437</v>
      </c>
      <c r="Q1554" s="198" t="s">
        <v>159</v>
      </c>
      <c r="R1554" s="198" t="s">
        <v>160</v>
      </c>
      <c r="S1554" s="198" t="s">
        <v>54</v>
      </c>
      <c r="T1554" s="198" t="s">
        <v>661</v>
      </c>
      <c r="U1554" s="198" t="s">
        <v>726</v>
      </c>
      <c r="V1554" s="198" t="s">
        <v>214</v>
      </c>
      <c r="W1554" s="198" t="s">
        <v>356</v>
      </c>
      <c r="X1554" s="198" t="s">
        <v>161</v>
      </c>
      <c r="Y1554" s="198" t="s">
        <v>162</v>
      </c>
      <c r="Z1554" s="201">
        <v>46234</v>
      </c>
      <c r="AA1554" s="198" t="s">
        <v>59</v>
      </c>
      <c r="AB1554" s="198" t="s">
        <v>60</v>
      </c>
      <c r="AC1554" s="198" t="s">
        <v>86</v>
      </c>
      <c r="AD1554" s="198" t="s">
        <v>62</v>
      </c>
      <c r="AE1554" s="198" t="s">
        <v>54</v>
      </c>
      <c r="AF1554" s="198" t="s">
        <v>54</v>
      </c>
      <c r="AG1554" s="198" t="s">
        <v>248</v>
      </c>
      <c r="AH1554" s="198" t="s">
        <v>65</v>
      </c>
      <c r="AI1554" s="198" t="s">
        <v>56</v>
      </c>
      <c r="AJ1554" s="198" t="s">
        <v>163</v>
      </c>
      <c r="AK1554" s="198" t="s">
        <v>51</v>
      </c>
      <c r="AL1554" s="198" t="s">
        <v>67</v>
      </c>
      <c r="AM1554" s="198" t="s">
        <v>68</v>
      </c>
      <c r="AN1554" s="202">
        <v>60347437</v>
      </c>
      <c r="AO1554" s="202">
        <v>60347437</v>
      </c>
      <c r="AP1554" s="202">
        <v>60347437</v>
      </c>
      <c r="AQ1554" s="198" t="s">
        <v>358</v>
      </c>
      <c r="AR1554" s="198" t="s">
        <v>51</v>
      </c>
      <c r="AS1554" s="202">
        <v>60347437</v>
      </c>
      <c r="AT1554" s="202">
        <v>60347437</v>
      </c>
      <c r="AU1554" s="198" t="s">
        <v>359</v>
      </c>
      <c r="AV1554" s="198" t="s">
        <v>62</v>
      </c>
      <c r="AW1554" s="198" t="s">
        <v>54</v>
      </c>
    </row>
    <row r="1555" spans="3:49" outlineLevel="2" x14ac:dyDescent="0.25">
      <c r="C1555" s="201"/>
      <c r="D1555" s="198" t="s">
        <v>257</v>
      </c>
      <c r="H1555" s="198" t="s">
        <v>257</v>
      </c>
      <c r="I1555" s="202">
        <f t="shared" si="24"/>
        <v>645863887.80000007</v>
      </c>
      <c r="J1555" s="202">
        <v>156.4</v>
      </c>
      <c r="L1555" s="203">
        <v>3.4000000000000002E-2</v>
      </c>
      <c r="M1555" s="202">
        <v>4992826</v>
      </c>
      <c r="N1555" s="203">
        <v>3.4000000000000002E-2</v>
      </c>
      <c r="O1555" s="198" t="s">
        <v>51</v>
      </c>
      <c r="P1555" s="202">
        <v>4992826</v>
      </c>
      <c r="Q1555" s="198" t="s">
        <v>159</v>
      </c>
      <c r="R1555" s="198" t="s">
        <v>160</v>
      </c>
      <c r="S1555" s="198" t="s">
        <v>54</v>
      </c>
      <c r="T1555" s="198" t="s">
        <v>661</v>
      </c>
      <c r="U1555" s="198" t="s">
        <v>726</v>
      </c>
      <c r="V1555" s="198" t="s">
        <v>235</v>
      </c>
      <c r="W1555" s="198" t="s">
        <v>356</v>
      </c>
      <c r="X1555" s="198" t="s">
        <v>161</v>
      </c>
      <c r="Y1555" s="198" t="s">
        <v>162</v>
      </c>
      <c r="Z1555" s="201">
        <v>46234</v>
      </c>
      <c r="AA1555" s="198" t="s">
        <v>59</v>
      </c>
      <c r="AB1555" s="198" t="s">
        <v>60</v>
      </c>
      <c r="AC1555" s="198" t="s">
        <v>86</v>
      </c>
      <c r="AD1555" s="198" t="s">
        <v>62</v>
      </c>
      <c r="AE1555" s="198" t="s">
        <v>54</v>
      </c>
      <c r="AF1555" s="198" t="s">
        <v>54</v>
      </c>
      <c r="AG1555" s="198" t="s">
        <v>248</v>
      </c>
      <c r="AH1555" s="198" t="s">
        <v>65</v>
      </c>
      <c r="AI1555" s="198" t="s">
        <v>56</v>
      </c>
      <c r="AJ1555" s="198" t="s">
        <v>163</v>
      </c>
      <c r="AK1555" s="198" t="s">
        <v>51</v>
      </c>
      <c r="AL1555" s="198" t="s">
        <v>67</v>
      </c>
      <c r="AM1555" s="198" t="s">
        <v>68</v>
      </c>
      <c r="AN1555" s="202">
        <v>4992826</v>
      </c>
      <c r="AO1555" s="202">
        <v>4992826</v>
      </c>
      <c r="AP1555" s="202">
        <v>4992826</v>
      </c>
      <c r="AQ1555" s="198" t="s">
        <v>358</v>
      </c>
      <c r="AR1555" s="198" t="s">
        <v>51</v>
      </c>
      <c r="AS1555" s="202">
        <v>4992826</v>
      </c>
      <c r="AT1555" s="202">
        <v>4992826</v>
      </c>
      <c r="AU1555" s="198" t="s">
        <v>359</v>
      </c>
      <c r="AV1555" s="198" t="s">
        <v>62</v>
      </c>
      <c r="AW1555" s="198" t="s">
        <v>54</v>
      </c>
    </row>
    <row r="1556" spans="3:49" outlineLevel="2" x14ac:dyDescent="0.25">
      <c r="C1556" s="201"/>
      <c r="D1556" s="198" t="s">
        <v>261</v>
      </c>
      <c r="H1556" s="198" t="s">
        <v>261</v>
      </c>
      <c r="I1556" s="202">
        <f t="shared" si="24"/>
        <v>646276844.25</v>
      </c>
      <c r="J1556" s="202">
        <v>156.5</v>
      </c>
      <c r="L1556" s="203">
        <v>0.13300000000000001</v>
      </c>
      <c r="M1556" s="202">
        <v>18105600</v>
      </c>
      <c r="N1556" s="203">
        <v>0.13300000000000001</v>
      </c>
      <c r="O1556" s="198" t="s">
        <v>51</v>
      </c>
      <c r="P1556" s="202">
        <v>18105600</v>
      </c>
      <c r="Q1556" s="198" t="s">
        <v>159</v>
      </c>
      <c r="R1556" s="198" t="s">
        <v>160</v>
      </c>
      <c r="S1556" s="198" t="s">
        <v>54</v>
      </c>
      <c r="T1556" s="198" t="s">
        <v>585</v>
      </c>
      <c r="U1556" s="198" t="s">
        <v>2079</v>
      </c>
      <c r="V1556" s="198" t="s">
        <v>56</v>
      </c>
      <c r="W1556" s="198" t="s">
        <v>356</v>
      </c>
      <c r="X1556" s="198" t="s">
        <v>161</v>
      </c>
      <c r="Y1556" s="198" t="s">
        <v>162</v>
      </c>
      <c r="Z1556" s="201">
        <v>46234</v>
      </c>
      <c r="AA1556" s="198" t="s">
        <v>59</v>
      </c>
      <c r="AB1556" s="198" t="s">
        <v>60</v>
      </c>
      <c r="AC1556" s="198" t="s">
        <v>86</v>
      </c>
      <c r="AD1556" s="198" t="s">
        <v>62</v>
      </c>
      <c r="AE1556" s="198" t="s">
        <v>54</v>
      </c>
      <c r="AF1556" s="198" t="s">
        <v>54</v>
      </c>
      <c r="AG1556" s="198" t="s">
        <v>248</v>
      </c>
      <c r="AH1556" s="198" t="s">
        <v>167</v>
      </c>
      <c r="AI1556" s="198" t="s">
        <v>56</v>
      </c>
      <c r="AJ1556" s="198" t="s">
        <v>163</v>
      </c>
      <c r="AK1556" s="198" t="s">
        <v>51</v>
      </c>
      <c r="AL1556" s="198" t="s">
        <v>67</v>
      </c>
      <c r="AM1556" s="198" t="s">
        <v>68</v>
      </c>
      <c r="AN1556" s="202">
        <v>18105600</v>
      </c>
      <c r="AO1556" s="202">
        <v>18105600</v>
      </c>
      <c r="AP1556" s="202">
        <v>18105600</v>
      </c>
      <c r="AQ1556" s="198" t="s">
        <v>358</v>
      </c>
      <c r="AR1556" s="198" t="s">
        <v>51</v>
      </c>
      <c r="AS1556" s="202">
        <v>18105600</v>
      </c>
      <c r="AT1556" s="202">
        <v>18105600</v>
      </c>
      <c r="AU1556" s="198" t="s">
        <v>359</v>
      </c>
      <c r="AV1556" s="198" t="s">
        <v>62</v>
      </c>
      <c r="AW1556" s="198" t="s">
        <v>587</v>
      </c>
    </row>
    <row r="1557" spans="3:49" outlineLevel="2" x14ac:dyDescent="0.25">
      <c r="C1557" s="201"/>
      <c r="D1557" s="198" t="s">
        <v>262</v>
      </c>
      <c r="H1557" s="198" t="s">
        <v>262</v>
      </c>
      <c r="I1557" s="202">
        <f t="shared" si="24"/>
        <v>646689800.69999993</v>
      </c>
      <c r="J1557" s="202">
        <v>156.6</v>
      </c>
      <c r="L1557" s="203">
        <v>0.26900000000000002</v>
      </c>
      <c r="M1557" s="202">
        <v>36328745.880000003</v>
      </c>
      <c r="N1557" s="204">
        <v>0</v>
      </c>
      <c r="O1557" s="198" t="s">
        <v>51</v>
      </c>
      <c r="P1557" s="202">
        <v>30479906.760000002</v>
      </c>
      <c r="Q1557" s="198" t="s">
        <v>159</v>
      </c>
      <c r="R1557" s="198" t="s">
        <v>160</v>
      </c>
      <c r="S1557" s="198" t="s">
        <v>54</v>
      </c>
      <c r="T1557" s="198" t="s">
        <v>585</v>
      </c>
      <c r="U1557" s="198" t="s">
        <v>2079</v>
      </c>
      <c r="V1557" s="198" t="s">
        <v>147</v>
      </c>
      <c r="W1557" s="198" t="s">
        <v>356</v>
      </c>
      <c r="X1557" s="198" t="s">
        <v>161</v>
      </c>
      <c r="Y1557" s="198" t="s">
        <v>162</v>
      </c>
      <c r="Z1557" s="201">
        <v>46234</v>
      </c>
      <c r="AA1557" s="198" t="s">
        <v>59</v>
      </c>
      <c r="AB1557" s="198" t="s">
        <v>60</v>
      </c>
      <c r="AC1557" s="198" t="s">
        <v>86</v>
      </c>
      <c r="AD1557" s="198" t="s">
        <v>62</v>
      </c>
      <c r="AE1557" s="198" t="s">
        <v>54</v>
      </c>
      <c r="AF1557" s="198" t="s">
        <v>54</v>
      </c>
      <c r="AG1557" s="198" t="s">
        <v>248</v>
      </c>
      <c r="AH1557" s="198" t="s">
        <v>167</v>
      </c>
      <c r="AI1557" s="198" t="s">
        <v>56</v>
      </c>
      <c r="AJ1557" s="198" t="s">
        <v>163</v>
      </c>
      <c r="AK1557" s="198" t="s">
        <v>51</v>
      </c>
      <c r="AL1557" s="198" t="s">
        <v>67</v>
      </c>
      <c r="AM1557" s="198" t="s">
        <v>68</v>
      </c>
      <c r="AN1557" s="202">
        <v>36328745.880000003</v>
      </c>
      <c r="AO1557" s="202">
        <v>36328745.880000003</v>
      </c>
      <c r="AP1557" s="202">
        <v>36328745.880000003</v>
      </c>
      <c r="AQ1557" s="198" t="s">
        <v>358</v>
      </c>
      <c r="AR1557" s="198" t="s">
        <v>51</v>
      </c>
      <c r="AS1557" s="202">
        <v>30479906.760000002</v>
      </c>
      <c r="AT1557" s="202">
        <v>30479906.760000002</v>
      </c>
      <c r="AU1557" s="198" t="s">
        <v>359</v>
      </c>
      <c r="AV1557" s="198" t="s">
        <v>62</v>
      </c>
      <c r="AW1557" s="198" t="s">
        <v>587</v>
      </c>
    </row>
    <row r="1558" spans="3:49" outlineLevel="2" x14ac:dyDescent="0.25">
      <c r="C1558" s="201"/>
      <c r="D1558" s="198" t="s">
        <v>259</v>
      </c>
      <c r="H1558" s="198" t="s">
        <v>259</v>
      </c>
      <c r="I1558" s="202">
        <f t="shared" si="24"/>
        <v>647102757.14999998</v>
      </c>
      <c r="J1558" s="202">
        <v>156.69999999999999</v>
      </c>
      <c r="L1558" s="203">
        <v>7.4999999999999997E-2</v>
      </c>
      <c r="M1558" s="202">
        <v>10156800</v>
      </c>
      <c r="N1558" s="204">
        <v>0</v>
      </c>
      <c r="O1558" s="198" t="s">
        <v>51</v>
      </c>
      <c r="P1558" s="202">
        <v>6348000</v>
      </c>
      <c r="Q1558" s="198" t="s">
        <v>159</v>
      </c>
      <c r="R1558" s="198" t="s">
        <v>160</v>
      </c>
      <c r="S1558" s="198" t="s">
        <v>54</v>
      </c>
      <c r="T1558" s="198" t="s">
        <v>585</v>
      </c>
      <c r="U1558" s="198" t="s">
        <v>2079</v>
      </c>
      <c r="V1558" s="198" t="s">
        <v>189</v>
      </c>
      <c r="W1558" s="198" t="s">
        <v>356</v>
      </c>
      <c r="X1558" s="198" t="s">
        <v>161</v>
      </c>
      <c r="Y1558" s="198" t="s">
        <v>162</v>
      </c>
      <c r="Z1558" s="201">
        <v>46234</v>
      </c>
      <c r="AA1558" s="198" t="s">
        <v>59</v>
      </c>
      <c r="AB1558" s="198" t="s">
        <v>60</v>
      </c>
      <c r="AC1558" s="198" t="s">
        <v>86</v>
      </c>
      <c r="AD1558" s="198" t="s">
        <v>62</v>
      </c>
      <c r="AE1558" s="198" t="s">
        <v>54</v>
      </c>
      <c r="AF1558" s="198" t="s">
        <v>54</v>
      </c>
      <c r="AG1558" s="198" t="s">
        <v>248</v>
      </c>
      <c r="AH1558" s="198" t="s">
        <v>167</v>
      </c>
      <c r="AI1558" s="198" t="s">
        <v>56</v>
      </c>
      <c r="AJ1558" s="198" t="s">
        <v>163</v>
      </c>
      <c r="AK1558" s="198" t="s">
        <v>51</v>
      </c>
      <c r="AL1558" s="198" t="s">
        <v>67</v>
      </c>
      <c r="AM1558" s="198" t="s">
        <v>68</v>
      </c>
      <c r="AN1558" s="202">
        <v>10156800</v>
      </c>
      <c r="AO1558" s="202">
        <v>10156800</v>
      </c>
      <c r="AP1558" s="202">
        <v>10156800</v>
      </c>
      <c r="AQ1558" s="198" t="s">
        <v>358</v>
      </c>
      <c r="AR1558" s="198" t="s">
        <v>51</v>
      </c>
      <c r="AS1558" s="202">
        <v>6348000</v>
      </c>
      <c r="AT1558" s="202">
        <v>6348000</v>
      </c>
      <c r="AU1558" s="198" t="s">
        <v>359</v>
      </c>
      <c r="AV1558" s="198" t="s">
        <v>62</v>
      </c>
      <c r="AW1558" s="198" t="s">
        <v>587</v>
      </c>
    </row>
    <row r="1559" spans="3:49" outlineLevel="2" x14ac:dyDescent="0.25">
      <c r="C1559" s="201"/>
      <c r="D1559" s="198" t="s">
        <v>260</v>
      </c>
      <c r="H1559" s="198" t="s">
        <v>260</v>
      </c>
      <c r="I1559" s="202">
        <f t="shared" si="24"/>
        <v>647515713.60000002</v>
      </c>
      <c r="J1559" s="202">
        <v>156.80000000000001</v>
      </c>
      <c r="L1559" s="203">
        <v>1.0999999999999999E-2</v>
      </c>
      <c r="M1559" s="202">
        <v>1440000</v>
      </c>
      <c r="N1559" s="204">
        <v>0</v>
      </c>
      <c r="O1559" s="198" t="s">
        <v>51</v>
      </c>
      <c r="P1559" s="202">
        <v>1080000</v>
      </c>
      <c r="Q1559" s="198" t="s">
        <v>159</v>
      </c>
      <c r="R1559" s="198" t="s">
        <v>160</v>
      </c>
      <c r="S1559" s="198" t="s">
        <v>54</v>
      </c>
      <c r="T1559" s="198" t="s">
        <v>585</v>
      </c>
      <c r="U1559" s="198" t="s">
        <v>2079</v>
      </c>
      <c r="V1559" s="198" t="s">
        <v>248</v>
      </c>
      <c r="W1559" s="198" t="s">
        <v>356</v>
      </c>
      <c r="X1559" s="198" t="s">
        <v>161</v>
      </c>
      <c r="Y1559" s="198" t="s">
        <v>162</v>
      </c>
      <c r="Z1559" s="201">
        <v>46234</v>
      </c>
      <c r="AA1559" s="198" t="s">
        <v>59</v>
      </c>
      <c r="AB1559" s="198" t="s">
        <v>60</v>
      </c>
      <c r="AC1559" s="198" t="s">
        <v>86</v>
      </c>
      <c r="AD1559" s="198" t="s">
        <v>62</v>
      </c>
      <c r="AE1559" s="198" t="s">
        <v>54</v>
      </c>
      <c r="AF1559" s="198" t="s">
        <v>54</v>
      </c>
      <c r="AG1559" s="198" t="s">
        <v>248</v>
      </c>
      <c r="AH1559" s="198" t="s">
        <v>167</v>
      </c>
      <c r="AI1559" s="198" t="s">
        <v>56</v>
      </c>
      <c r="AJ1559" s="198" t="s">
        <v>163</v>
      </c>
      <c r="AK1559" s="198" t="s">
        <v>51</v>
      </c>
      <c r="AL1559" s="198" t="s">
        <v>67</v>
      </c>
      <c r="AM1559" s="198" t="s">
        <v>68</v>
      </c>
      <c r="AN1559" s="202">
        <v>1440000</v>
      </c>
      <c r="AO1559" s="202">
        <v>1440000</v>
      </c>
      <c r="AP1559" s="202">
        <v>1440000</v>
      </c>
      <c r="AQ1559" s="198" t="s">
        <v>358</v>
      </c>
      <c r="AR1559" s="198" t="s">
        <v>51</v>
      </c>
      <c r="AS1559" s="202">
        <v>1080000</v>
      </c>
      <c r="AT1559" s="202">
        <v>1080000</v>
      </c>
      <c r="AU1559" s="198" t="s">
        <v>359</v>
      </c>
      <c r="AV1559" s="198" t="s">
        <v>62</v>
      </c>
      <c r="AW1559" s="198" t="s">
        <v>587</v>
      </c>
    </row>
    <row r="1560" spans="3:49" outlineLevel="2" x14ac:dyDescent="0.25">
      <c r="C1560" s="201"/>
      <c r="D1560" s="198" t="s">
        <v>746</v>
      </c>
      <c r="H1560" s="198" t="s">
        <v>746</v>
      </c>
      <c r="I1560" s="202">
        <f t="shared" si="24"/>
        <v>647928670.05000007</v>
      </c>
      <c r="J1560" s="202">
        <v>156.9</v>
      </c>
      <c r="L1560" s="203">
        <v>5.6000000000000001E-2</v>
      </c>
      <c r="M1560" s="202">
        <v>7514700</v>
      </c>
      <c r="N1560" s="204">
        <v>0</v>
      </c>
      <c r="O1560" s="198" t="s">
        <v>51</v>
      </c>
      <c r="P1560" s="202">
        <v>5462706.1500000004</v>
      </c>
      <c r="Q1560" s="198" t="s">
        <v>159</v>
      </c>
      <c r="R1560" s="198" t="s">
        <v>160</v>
      </c>
      <c r="S1560" s="198" t="s">
        <v>54</v>
      </c>
      <c r="T1560" s="198" t="s">
        <v>585</v>
      </c>
      <c r="U1560" s="198" t="s">
        <v>2079</v>
      </c>
      <c r="V1560" s="198" t="s">
        <v>564</v>
      </c>
      <c r="W1560" s="198" t="s">
        <v>356</v>
      </c>
      <c r="X1560" s="198" t="s">
        <v>161</v>
      </c>
      <c r="Y1560" s="198" t="s">
        <v>162</v>
      </c>
      <c r="Z1560" s="201">
        <v>46234</v>
      </c>
      <c r="AA1560" s="198" t="s">
        <v>59</v>
      </c>
      <c r="AB1560" s="198" t="s">
        <v>60</v>
      </c>
      <c r="AC1560" s="198" t="s">
        <v>86</v>
      </c>
      <c r="AD1560" s="198" t="s">
        <v>62</v>
      </c>
      <c r="AE1560" s="198" t="s">
        <v>54</v>
      </c>
      <c r="AF1560" s="198" t="s">
        <v>54</v>
      </c>
      <c r="AG1560" s="198" t="s">
        <v>248</v>
      </c>
      <c r="AH1560" s="198" t="s">
        <v>167</v>
      </c>
      <c r="AI1560" s="198" t="s">
        <v>56</v>
      </c>
      <c r="AJ1560" s="198" t="s">
        <v>163</v>
      </c>
      <c r="AK1560" s="198" t="s">
        <v>51</v>
      </c>
      <c r="AL1560" s="198" t="s">
        <v>67</v>
      </c>
      <c r="AM1560" s="198" t="s">
        <v>68</v>
      </c>
      <c r="AN1560" s="202">
        <v>7514700</v>
      </c>
      <c r="AO1560" s="202">
        <v>7514700</v>
      </c>
      <c r="AP1560" s="202">
        <v>7514700</v>
      </c>
      <c r="AQ1560" s="198" t="s">
        <v>358</v>
      </c>
      <c r="AR1560" s="198" t="s">
        <v>51</v>
      </c>
      <c r="AS1560" s="202">
        <v>5462706.1500000004</v>
      </c>
      <c r="AT1560" s="202">
        <v>5462706.1500000004</v>
      </c>
      <c r="AU1560" s="198" t="s">
        <v>359</v>
      </c>
      <c r="AV1560" s="198" t="s">
        <v>62</v>
      </c>
      <c r="AW1560" s="198" t="s">
        <v>587</v>
      </c>
    </row>
    <row r="1561" spans="3:49" outlineLevel="2" x14ac:dyDescent="0.25">
      <c r="C1561" s="201"/>
      <c r="D1561" s="198" t="s">
        <v>263</v>
      </c>
      <c r="H1561" s="198" t="s">
        <v>263</v>
      </c>
      <c r="I1561" s="202">
        <f t="shared" si="24"/>
        <v>648341626.5</v>
      </c>
      <c r="J1561" s="202">
        <v>157</v>
      </c>
      <c r="L1561" s="203">
        <v>0.42299999999999999</v>
      </c>
      <c r="M1561" s="202">
        <v>57208070</v>
      </c>
      <c r="N1561" s="204">
        <v>0</v>
      </c>
      <c r="O1561" s="198" t="s">
        <v>51</v>
      </c>
      <c r="P1561" s="202">
        <v>49843931</v>
      </c>
      <c r="Q1561" s="198" t="s">
        <v>159</v>
      </c>
      <c r="R1561" s="198" t="s">
        <v>160</v>
      </c>
      <c r="S1561" s="198" t="s">
        <v>54</v>
      </c>
      <c r="T1561" s="198" t="s">
        <v>585</v>
      </c>
      <c r="U1561" s="198" t="s">
        <v>2079</v>
      </c>
      <c r="V1561" s="198" t="s">
        <v>214</v>
      </c>
      <c r="W1561" s="198" t="s">
        <v>356</v>
      </c>
      <c r="X1561" s="198" t="s">
        <v>161</v>
      </c>
      <c r="Y1561" s="198" t="s">
        <v>162</v>
      </c>
      <c r="Z1561" s="201">
        <v>46234</v>
      </c>
      <c r="AA1561" s="198" t="s">
        <v>59</v>
      </c>
      <c r="AB1561" s="198" t="s">
        <v>60</v>
      </c>
      <c r="AC1561" s="198" t="s">
        <v>86</v>
      </c>
      <c r="AD1561" s="198" t="s">
        <v>62</v>
      </c>
      <c r="AE1561" s="198" t="s">
        <v>54</v>
      </c>
      <c r="AF1561" s="198" t="s">
        <v>54</v>
      </c>
      <c r="AG1561" s="198" t="s">
        <v>248</v>
      </c>
      <c r="AH1561" s="198" t="s">
        <v>167</v>
      </c>
      <c r="AI1561" s="198" t="s">
        <v>56</v>
      </c>
      <c r="AJ1561" s="198" t="s">
        <v>163</v>
      </c>
      <c r="AK1561" s="198" t="s">
        <v>51</v>
      </c>
      <c r="AL1561" s="198" t="s">
        <v>67</v>
      </c>
      <c r="AM1561" s="198" t="s">
        <v>68</v>
      </c>
      <c r="AN1561" s="202">
        <v>57208070</v>
      </c>
      <c r="AO1561" s="202">
        <v>57208070</v>
      </c>
      <c r="AP1561" s="202">
        <v>57208070</v>
      </c>
      <c r="AQ1561" s="198" t="s">
        <v>358</v>
      </c>
      <c r="AR1561" s="198" t="s">
        <v>51</v>
      </c>
      <c r="AS1561" s="202">
        <v>49843931</v>
      </c>
      <c r="AT1561" s="202">
        <v>49843931</v>
      </c>
      <c r="AU1561" s="198" t="s">
        <v>359</v>
      </c>
      <c r="AV1561" s="198" t="s">
        <v>62</v>
      </c>
      <c r="AW1561" s="198" t="s">
        <v>587</v>
      </c>
    </row>
    <row r="1562" spans="3:49" outlineLevel="2" x14ac:dyDescent="0.25">
      <c r="C1562" s="201"/>
      <c r="D1562" s="198" t="s">
        <v>264</v>
      </c>
      <c r="H1562" s="198" t="s">
        <v>264</v>
      </c>
      <c r="I1562" s="202">
        <f t="shared" si="24"/>
        <v>648754582.94999993</v>
      </c>
      <c r="J1562" s="202">
        <v>157.1</v>
      </c>
      <c r="L1562" s="203">
        <v>3.3000000000000002E-2</v>
      </c>
      <c r="M1562" s="202">
        <v>4438754</v>
      </c>
      <c r="N1562" s="203">
        <v>3.3000000000000002E-2</v>
      </c>
      <c r="O1562" s="198" t="s">
        <v>51</v>
      </c>
      <c r="P1562" s="202">
        <v>4438754</v>
      </c>
      <c r="Q1562" s="198" t="s">
        <v>159</v>
      </c>
      <c r="R1562" s="198" t="s">
        <v>160</v>
      </c>
      <c r="S1562" s="198" t="s">
        <v>54</v>
      </c>
      <c r="T1562" s="198" t="s">
        <v>585</v>
      </c>
      <c r="U1562" s="198" t="s">
        <v>2079</v>
      </c>
      <c r="V1562" s="198" t="s">
        <v>235</v>
      </c>
      <c r="W1562" s="198" t="s">
        <v>356</v>
      </c>
      <c r="X1562" s="198" t="s">
        <v>161</v>
      </c>
      <c r="Y1562" s="198" t="s">
        <v>162</v>
      </c>
      <c r="Z1562" s="201">
        <v>46234</v>
      </c>
      <c r="AA1562" s="198" t="s">
        <v>59</v>
      </c>
      <c r="AB1562" s="198" t="s">
        <v>60</v>
      </c>
      <c r="AC1562" s="198" t="s">
        <v>86</v>
      </c>
      <c r="AD1562" s="198" t="s">
        <v>62</v>
      </c>
      <c r="AE1562" s="198" t="s">
        <v>54</v>
      </c>
      <c r="AF1562" s="198" t="s">
        <v>54</v>
      </c>
      <c r="AG1562" s="198" t="s">
        <v>248</v>
      </c>
      <c r="AH1562" s="198" t="s">
        <v>167</v>
      </c>
      <c r="AI1562" s="198" t="s">
        <v>56</v>
      </c>
      <c r="AJ1562" s="198" t="s">
        <v>163</v>
      </c>
      <c r="AK1562" s="198" t="s">
        <v>51</v>
      </c>
      <c r="AL1562" s="198" t="s">
        <v>67</v>
      </c>
      <c r="AM1562" s="198" t="s">
        <v>68</v>
      </c>
      <c r="AN1562" s="202">
        <v>4438754</v>
      </c>
      <c r="AO1562" s="202">
        <v>4438754</v>
      </c>
      <c r="AP1562" s="202">
        <v>4438754</v>
      </c>
      <c r="AQ1562" s="198" t="s">
        <v>358</v>
      </c>
      <c r="AR1562" s="198" t="s">
        <v>51</v>
      </c>
      <c r="AS1562" s="202">
        <v>4438754</v>
      </c>
      <c r="AT1562" s="202">
        <v>4438754</v>
      </c>
      <c r="AU1562" s="198" t="s">
        <v>359</v>
      </c>
      <c r="AV1562" s="198" t="s">
        <v>62</v>
      </c>
      <c r="AW1562" s="198" t="s">
        <v>587</v>
      </c>
    </row>
    <row r="1563" spans="3:49" outlineLevel="2" x14ac:dyDescent="0.25">
      <c r="C1563" s="201"/>
      <c r="D1563" s="198" t="s">
        <v>249</v>
      </c>
      <c r="H1563" s="198" t="s">
        <v>249</v>
      </c>
      <c r="I1563" s="202">
        <f t="shared" si="24"/>
        <v>649167539.39999998</v>
      </c>
      <c r="J1563" s="202">
        <v>157.19999999999999</v>
      </c>
      <c r="L1563" s="203">
        <v>0.114</v>
      </c>
      <c r="M1563" s="202">
        <v>21123200</v>
      </c>
      <c r="N1563" s="203">
        <v>0.114</v>
      </c>
      <c r="O1563" s="198" t="s">
        <v>51</v>
      </c>
      <c r="P1563" s="202">
        <v>21123200</v>
      </c>
      <c r="Q1563" s="198" t="s">
        <v>159</v>
      </c>
      <c r="R1563" s="198" t="s">
        <v>160</v>
      </c>
      <c r="S1563" s="198" t="s">
        <v>54</v>
      </c>
      <c r="T1563" s="198" t="s">
        <v>2048</v>
      </c>
      <c r="U1563" s="198" t="s">
        <v>80</v>
      </c>
      <c r="V1563" s="198" t="s">
        <v>56</v>
      </c>
      <c r="W1563" s="198" t="s">
        <v>356</v>
      </c>
      <c r="X1563" s="198" t="s">
        <v>161</v>
      </c>
      <c r="Y1563" s="198" t="s">
        <v>162</v>
      </c>
      <c r="Z1563" s="201">
        <v>46234</v>
      </c>
      <c r="AA1563" s="198" t="s">
        <v>59</v>
      </c>
      <c r="AB1563" s="198" t="s">
        <v>60</v>
      </c>
      <c r="AC1563" s="198" t="s">
        <v>86</v>
      </c>
      <c r="AD1563" s="198" t="s">
        <v>62</v>
      </c>
      <c r="AE1563" s="198" t="s">
        <v>54</v>
      </c>
      <c r="AF1563" s="198" t="s">
        <v>54</v>
      </c>
      <c r="AG1563" s="198" t="s">
        <v>248</v>
      </c>
      <c r="AH1563" s="198" t="s">
        <v>112</v>
      </c>
      <c r="AI1563" s="198" t="s">
        <v>56</v>
      </c>
      <c r="AJ1563" s="198" t="s">
        <v>163</v>
      </c>
      <c r="AK1563" s="198" t="s">
        <v>51</v>
      </c>
      <c r="AL1563" s="198" t="s">
        <v>67</v>
      </c>
      <c r="AM1563" s="198" t="s">
        <v>68</v>
      </c>
      <c r="AN1563" s="202">
        <v>21123200</v>
      </c>
      <c r="AO1563" s="202">
        <v>21123200</v>
      </c>
      <c r="AP1563" s="202">
        <v>21123200</v>
      </c>
      <c r="AQ1563" s="198" t="s">
        <v>358</v>
      </c>
      <c r="AR1563" s="198" t="s">
        <v>51</v>
      </c>
      <c r="AS1563" s="202">
        <v>21123200</v>
      </c>
      <c r="AT1563" s="202">
        <v>21123200</v>
      </c>
      <c r="AU1563" s="198" t="s">
        <v>359</v>
      </c>
      <c r="AV1563" s="198" t="s">
        <v>62</v>
      </c>
      <c r="AW1563" s="198" t="s">
        <v>54</v>
      </c>
    </row>
    <row r="1564" spans="3:49" outlineLevel="2" x14ac:dyDescent="0.25">
      <c r="C1564" s="201"/>
      <c r="D1564" s="198" t="s">
        <v>251</v>
      </c>
      <c r="H1564" s="198" t="s">
        <v>251</v>
      </c>
      <c r="I1564" s="202">
        <f t="shared" si="24"/>
        <v>649580495.85000002</v>
      </c>
      <c r="J1564" s="202">
        <v>157.30000000000001</v>
      </c>
      <c r="L1564" s="203">
        <v>0.25700000000000001</v>
      </c>
      <c r="M1564" s="202">
        <v>47146016</v>
      </c>
      <c r="N1564" s="203">
        <v>0.25700000000000001</v>
      </c>
      <c r="O1564" s="198" t="s">
        <v>51</v>
      </c>
      <c r="P1564" s="202">
        <v>47146016</v>
      </c>
      <c r="Q1564" s="198" t="s">
        <v>159</v>
      </c>
      <c r="R1564" s="198" t="s">
        <v>160</v>
      </c>
      <c r="S1564" s="198" t="s">
        <v>54</v>
      </c>
      <c r="T1564" s="198" t="s">
        <v>2048</v>
      </c>
      <c r="U1564" s="198" t="s">
        <v>80</v>
      </c>
      <c r="V1564" s="198" t="s">
        <v>147</v>
      </c>
      <c r="W1564" s="198" t="s">
        <v>356</v>
      </c>
      <c r="X1564" s="198" t="s">
        <v>161</v>
      </c>
      <c r="Y1564" s="198" t="s">
        <v>162</v>
      </c>
      <c r="Z1564" s="201">
        <v>46234</v>
      </c>
      <c r="AA1564" s="198" t="s">
        <v>59</v>
      </c>
      <c r="AB1564" s="198" t="s">
        <v>60</v>
      </c>
      <c r="AC1564" s="198" t="s">
        <v>86</v>
      </c>
      <c r="AD1564" s="198" t="s">
        <v>62</v>
      </c>
      <c r="AE1564" s="198" t="s">
        <v>54</v>
      </c>
      <c r="AF1564" s="198" t="s">
        <v>54</v>
      </c>
      <c r="AG1564" s="198" t="s">
        <v>248</v>
      </c>
      <c r="AH1564" s="198" t="s">
        <v>112</v>
      </c>
      <c r="AI1564" s="198" t="s">
        <v>56</v>
      </c>
      <c r="AJ1564" s="198" t="s">
        <v>163</v>
      </c>
      <c r="AK1564" s="198" t="s">
        <v>51</v>
      </c>
      <c r="AL1564" s="198" t="s">
        <v>67</v>
      </c>
      <c r="AM1564" s="198" t="s">
        <v>68</v>
      </c>
      <c r="AN1564" s="202">
        <v>47146016</v>
      </c>
      <c r="AO1564" s="202">
        <v>47146016</v>
      </c>
      <c r="AP1564" s="202">
        <v>47146016</v>
      </c>
      <c r="AQ1564" s="198" t="s">
        <v>358</v>
      </c>
      <c r="AR1564" s="198" t="s">
        <v>51</v>
      </c>
      <c r="AS1564" s="202">
        <v>47146016</v>
      </c>
      <c r="AT1564" s="202">
        <v>47146016</v>
      </c>
      <c r="AU1564" s="198" t="s">
        <v>359</v>
      </c>
      <c r="AV1564" s="198" t="s">
        <v>62</v>
      </c>
      <c r="AW1564" s="198" t="s">
        <v>54</v>
      </c>
    </row>
    <row r="1565" spans="3:49" outlineLevel="2" x14ac:dyDescent="0.25">
      <c r="C1565" s="201"/>
      <c r="D1565" s="198" t="s">
        <v>246</v>
      </c>
      <c r="H1565" s="198" t="s">
        <v>246</v>
      </c>
      <c r="I1565" s="202">
        <f t="shared" si="24"/>
        <v>649993452.30000007</v>
      </c>
      <c r="J1565" s="202">
        <v>157.4</v>
      </c>
      <c r="L1565" s="203">
        <v>6.5000000000000002E-2</v>
      </c>
      <c r="M1565" s="202">
        <v>11849600</v>
      </c>
      <c r="N1565" s="203">
        <v>6.5000000000000002E-2</v>
      </c>
      <c r="O1565" s="198" t="s">
        <v>51</v>
      </c>
      <c r="P1565" s="202">
        <v>11849600</v>
      </c>
      <c r="Q1565" s="198" t="s">
        <v>159</v>
      </c>
      <c r="R1565" s="198" t="s">
        <v>160</v>
      </c>
      <c r="S1565" s="198" t="s">
        <v>54</v>
      </c>
      <c r="T1565" s="198" t="s">
        <v>2048</v>
      </c>
      <c r="U1565" s="198" t="s">
        <v>80</v>
      </c>
      <c r="V1565" s="198" t="s">
        <v>189</v>
      </c>
      <c r="W1565" s="198" t="s">
        <v>356</v>
      </c>
      <c r="X1565" s="198" t="s">
        <v>161</v>
      </c>
      <c r="Y1565" s="198" t="s">
        <v>162</v>
      </c>
      <c r="Z1565" s="201">
        <v>46234</v>
      </c>
      <c r="AA1565" s="198" t="s">
        <v>59</v>
      </c>
      <c r="AB1565" s="198" t="s">
        <v>60</v>
      </c>
      <c r="AC1565" s="198" t="s">
        <v>86</v>
      </c>
      <c r="AD1565" s="198" t="s">
        <v>62</v>
      </c>
      <c r="AE1565" s="198" t="s">
        <v>54</v>
      </c>
      <c r="AF1565" s="198" t="s">
        <v>54</v>
      </c>
      <c r="AG1565" s="198" t="s">
        <v>248</v>
      </c>
      <c r="AH1565" s="198" t="s">
        <v>112</v>
      </c>
      <c r="AI1565" s="198" t="s">
        <v>56</v>
      </c>
      <c r="AJ1565" s="198" t="s">
        <v>163</v>
      </c>
      <c r="AK1565" s="198" t="s">
        <v>51</v>
      </c>
      <c r="AL1565" s="198" t="s">
        <v>67</v>
      </c>
      <c r="AM1565" s="198" t="s">
        <v>68</v>
      </c>
      <c r="AN1565" s="202">
        <v>11849600</v>
      </c>
      <c r="AO1565" s="202">
        <v>11849600</v>
      </c>
      <c r="AP1565" s="202">
        <v>11849600</v>
      </c>
      <c r="AQ1565" s="198" t="s">
        <v>358</v>
      </c>
      <c r="AR1565" s="198" t="s">
        <v>51</v>
      </c>
      <c r="AS1565" s="202">
        <v>11849600</v>
      </c>
      <c r="AT1565" s="202">
        <v>11849600</v>
      </c>
      <c r="AU1565" s="198" t="s">
        <v>359</v>
      </c>
      <c r="AV1565" s="198" t="s">
        <v>62</v>
      </c>
      <c r="AW1565" s="198" t="s">
        <v>54</v>
      </c>
    </row>
    <row r="1566" spans="3:49" outlineLevel="2" x14ac:dyDescent="0.25">
      <c r="C1566" s="201"/>
      <c r="D1566" s="198" t="s">
        <v>247</v>
      </c>
      <c r="H1566" s="198" t="s">
        <v>247</v>
      </c>
      <c r="I1566" s="202">
        <f t="shared" si="24"/>
        <v>650406408.75</v>
      </c>
      <c r="J1566" s="202">
        <v>157.5</v>
      </c>
      <c r="L1566" s="203">
        <v>0.01</v>
      </c>
      <c r="M1566" s="202">
        <v>1800000</v>
      </c>
      <c r="N1566" s="203">
        <v>0.01</v>
      </c>
      <c r="O1566" s="198" t="s">
        <v>51</v>
      </c>
      <c r="P1566" s="202">
        <v>1800000</v>
      </c>
      <c r="Q1566" s="198" t="s">
        <v>159</v>
      </c>
      <c r="R1566" s="198" t="s">
        <v>160</v>
      </c>
      <c r="S1566" s="198" t="s">
        <v>54</v>
      </c>
      <c r="T1566" s="198" t="s">
        <v>2048</v>
      </c>
      <c r="U1566" s="198" t="s">
        <v>80</v>
      </c>
      <c r="V1566" s="198" t="s">
        <v>248</v>
      </c>
      <c r="W1566" s="198" t="s">
        <v>356</v>
      </c>
      <c r="X1566" s="198" t="s">
        <v>161</v>
      </c>
      <c r="Y1566" s="198" t="s">
        <v>162</v>
      </c>
      <c r="Z1566" s="201">
        <v>46234</v>
      </c>
      <c r="AA1566" s="198" t="s">
        <v>59</v>
      </c>
      <c r="AB1566" s="198" t="s">
        <v>60</v>
      </c>
      <c r="AC1566" s="198" t="s">
        <v>86</v>
      </c>
      <c r="AD1566" s="198" t="s">
        <v>62</v>
      </c>
      <c r="AE1566" s="198" t="s">
        <v>54</v>
      </c>
      <c r="AF1566" s="198" t="s">
        <v>54</v>
      </c>
      <c r="AG1566" s="198" t="s">
        <v>248</v>
      </c>
      <c r="AH1566" s="198" t="s">
        <v>112</v>
      </c>
      <c r="AI1566" s="198" t="s">
        <v>56</v>
      </c>
      <c r="AJ1566" s="198" t="s">
        <v>163</v>
      </c>
      <c r="AK1566" s="198" t="s">
        <v>51</v>
      </c>
      <c r="AL1566" s="198" t="s">
        <v>67</v>
      </c>
      <c r="AM1566" s="198" t="s">
        <v>68</v>
      </c>
      <c r="AN1566" s="202">
        <v>1800000</v>
      </c>
      <c r="AO1566" s="202">
        <v>1800000</v>
      </c>
      <c r="AP1566" s="202">
        <v>1800000</v>
      </c>
      <c r="AQ1566" s="198" t="s">
        <v>358</v>
      </c>
      <c r="AR1566" s="198" t="s">
        <v>51</v>
      </c>
      <c r="AS1566" s="202">
        <v>1800000</v>
      </c>
      <c r="AT1566" s="202">
        <v>1800000</v>
      </c>
      <c r="AU1566" s="198" t="s">
        <v>359</v>
      </c>
      <c r="AV1566" s="198" t="s">
        <v>62</v>
      </c>
      <c r="AW1566" s="198" t="s">
        <v>54</v>
      </c>
    </row>
    <row r="1567" spans="3:49" outlineLevel="2" x14ac:dyDescent="0.25">
      <c r="C1567" s="201"/>
      <c r="D1567" s="198" t="s">
        <v>747</v>
      </c>
      <c r="H1567" s="198" t="s">
        <v>747</v>
      </c>
      <c r="I1567" s="202">
        <f t="shared" si="24"/>
        <v>650819365.19999993</v>
      </c>
      <c r="J1567" s="202">
        <v>157.6</v>
      </c>
      <c r="L1567" s="203">
        <v>0.109</v>
      </c>
      <c r="M1567" s="202">
        <v>19916750</v>
      </c>
      <c r="N1567" s="203">
        <v>0.109</v>
      </c>
      <c r="O1567" s="198" t="s">
        <v>51</v>
      </c>
      <c r="P1567" s="202">
        <v>19916750</v>
      </c>
      <c r="Q1567" s="198" t="s">
        <v>159</v>
      </c>
      <c r="R1567" s="198" t="s">
        <v>160</v>
      </c>
      <c r="S1567" s="198" t="s">
        <v>54</v>
      </c>
      <c r="T1567" s="198" t="s">
        <v>2048</v>
      </c>
      <c r="U1567" s="198" t="s">
        <v>80</v>
      </c>
      <c r="V1567" s="198" t="s">
        <v>564</v>
      </c>
      <c r="W1567" s="198" t="s">
        <v>356</v>
      </c>
      <c r="X1567" s="198" t="s">
        <v>161</v>
      </c>
      <c r="Y1567" s="198" t="s">
        <v>162</v>
      </c>
      <c r="Z1567" s="201">
        <v>46234</v>
      </c>
      <c r="AA1567" s="198" t="s">
        <v>59</v>
      </c>
      <c r="AB1567" s="198" t="s">
        <v>60</v>
      </c>
      <c r="AC1567" s="198" t="s">
        <v>86</v>
      </c>
      <c r="AD1567" s="198" t="s">
        <v>62</v>
      </c>
      <c r="AE1567" s="198" t="s">
        <v>54</v>
      </c>
      <c r="AF1567" s="198" t="s">
        <v>54</v>
      </c>
      <c r="AG1567" s="198" t="s">
        <v>248</v>
      </c>
      <c r="AH1567" s="198" t="s">
        <v>112</v>
      </c>
      <c r="AI1567" s="198" t="s">
        <v>56</v>
      </c>
      <c r="AJ1567" s="198" t="s">
        <v>163</v>
      </c>
      <c r="AK1567" s="198" t="s">
        <v>51</v>
      </c>
      <c r="AL1567" s="198" t="s">
        <v>67</v>
      </c>
      <c r="AM1567" s="198" t="s">
        <v>68</v>
      </c>
      <c r="AN1567" s="202">
        <v>19916750</v>
      </c>
      <c r="AO1567" s="202">
        <v>19916750</v>
      </c>
      <c r="AP1567" s="202">
        <v>19916750</v>
      </c>
      <c r="AQ1567" s="198" t="s">
        <v>358</v>
      </c>
      <c r="AR1567" s="198" t="s">
        <v>51</v>
      </c>
      <c r="AS1567" s="202">
        <v>19916750</v>
      </c>
      <c r="AT1567" s="202">
        <v>19916750</v>
      </c>
      <c r="AU1567" s="198" t="s">
        <v>359</v>
      </c>
      <c r="AV1567" s="198" t="s">
        <v>62</v>
      </c>
      <c r="AW1567" s="198" t="s">
        <v>54</v>
      </c>
    </row>
    <row r="1568" spans="3:49" outlineLevel="2" x14ac:dyDescent="0.25">
      <c r="C1568" s="201"/>
      <c r="D1568" s="198" t="s">
        <v>252</v>
      </c>
      <c r="H1568" s="198" t="s">
        <v>252</v>
      </c>
      <c r="I1568" s="202">
        <f t="shared" si="24"/>
        <v>651232321.64999998</v>
      </c>
      <c r="J1568" s="202">
        <v>157.69999999999999</v>
      </c>
      <c r="L1568" s="203">
        <v>0.41799999999999998</v>
      </c>
      <c r="M1568" s="202">
        <v>76627556</v>
      </c>
      <c r="N1568" s="203">
        <v>0.41799999999999998</v>
      </c>
      <c r="O1568" s="198" t="s">
        <v>51</v>
      </c>
      <c r="P1568" s="202">
        <v>76627556</v>
      </c>
      <c r="Q1568" s="198" t="s">
        <v>159</v>
      </c>
      <c r="R1568" s="198" t="s">
        <v>160</v>
      </c>
      <c r="S1568" s="198" t="s">
        <v>54</v>
      </c>
      <c r="T1568" s="198" t="s">
        <v>2048</v>
      </c>
      <c r="U1568" s="198" t="s">
        <v>80</v>
      </c>
      <c r="V1568" s="198" t="s">
        <v>214</v>
      </c>
      <c r="W1568" s="198" t="s">
        <v>356</v>
      </c>
      <c r="X1568" s="198" t="s">
        <v>161</v>
      </c>
      <c r="Y1568" s="198" t="s">
        <v>162</v>
      </c>
      <c r="Z1568" s="201">
        <v>46234</v>
      </c>
      <c r="AA1568" s="198" t="s">
        <v>59</v>
      </c>
      <c r="AB1568" s="198" t="s">
        <v>60</v>
      </c>
      <c r="AC1568" s="198" t="s">
        <v>86</v>
      </c>
      <c r="AD1568" s="198" t="s">
        <v>62</v>
      </c>
      <c r="AE1568" s="198" t="s">
        <v>54</v>
      </c>
      <c r="AF1568" s="198" t="s">
        <v>54</v>
      </c>
      <c r="AG1568" s="198" t="s">
        <v>248</v>
      </c>
      <c r="AH1568" s="198" t="s">
        <v>112</v>
      </c>
      <c r="AI1568" s="198" t="s">
        <v>56</v>
      </c>
      <c r="AJ1568" s="198" t="s">
        <v>163</v>
      </c>
      <c r="AK1568" s="198" t="s">
        <v>51</v>
      </c>
      <c r="AL1568" s="198" t="s">
        <v>67</v>
      </c>
      <c r="AM1568" s="198" t="s">
        <v>68</v>
      </c>
      <c r="AN1568" s="202">
        <v>76627556</v>
      </c>
      <c r="AO1568" s="202">
        <v>76627556</v>
      </c>
      <c r="AP1568" s="202">
        <v>76627556</v>
      </c>
      <c r="AQ1568" s="198" t="s">
        <v>358</v>
      </c>
      <c r="AR1568" s="198" t="s">
        <v>51</v>
      </c>
      <c r="AS1568" s="202">
        <v>76627556</v>
      </c>
      <c r="AT1568" s="202">
        <v>76627556</v>
      </c>
      <c r="AU1568" s="198" t="s">
        <v>359</v>
      </c>
      <c r="AV1568" s="198" t="s">
        <v>62</v>
      </c>
      <c r="AW1568" s="198" t="s">
        <v>54</v>
      </c>
    </row>
    <row r="1569" spans="3:49" outlineLevel="2" x14ac:dyDescent="0.25">
      <c r="C1569" s="201"/>
      <c r="D1569" s="198" t="s">
        <v>253</v>
      </c>
      <c r="H1569" s="198" t="s">
        <v>253</v>
      </c>
      <c r="I1569" s="202">
        <f t="shared" si="24"/>
        <v>651645278.10000002</v>
      </c>
      <c r="J1569" s="202">
        <v>157.80000000000001</v>
      </c>
      <c r="L1569" s="203">
        <v>2.7E-2</v>
      </c>
      <c r="M1569" s="202">
        <v>4991292</v>
      </c>
      <c r="N1569" s="203">
        <v>2.7E-2</v>
      </c>
      <c r="O1569" s="198" t="s">
        <v>51</v>
      </c>
      <c r="P1569" s="202">
        <v>4991292</v>
      </c>
      <c r="Q1569" s="198" t="s">
        <v>159</v>
      </c>
      <c r="R1569" s="198" t="s">
        <v>160</v>
      </c>
      <c r="S1569" s="198" t="s">
        <v>54</v>
      </c>
      <c r="T1569" s="198" t="s">
        <v>2048</v>
      </c>
      <c r="U1569" s="198" t="s">
        <v>80</v>
      </c>
      <c r="V1569" s="198" t="s">
        <v>235</v>
      </c>
      <c r="W1569" s="198" t="s">
        <v>356</v>
      </c>
      <c r="X1569" s="198" t="s">
        <v>161</v>
      </c>
      <c r="Y1569" s="198" t="s">
        <v>162</v>
      </c>
      <c r="Z1569" s="201">
        <v>46234</v>
      </c>
      <c r="AA1569" s="198" t="s">
        <v>59</v>
      </c>
      <c r="AB1569" s="198" t="s">
        <v>60</v>
      </c>
      <c r="AC1569" s="198" t="s">
        <v>86</v>
      </c>
      <c r="AD1569" s="198" t="s">
        <v>62</v>
      </c>
      <c r="AE1569" s="198" t="s">
        <v>54</v>
      </c>
      <c r="AF1569" s="198" t="s">
        <v>54</v>
      </c>
      <c r="AG1569" s="198" t="s">
        <v>248</v>
      </c>
      <c r="AH1569" s="198" t="s">
        <v>112</v>
      </c>
      <c r="AI1569" s="198" t="s">
        <v>56</v>
      </c>
      <c r="AJ1569" s="198" t="s">
        <v>163</v>
      </c>
      <c r="AK1569" s="198" t="s">
        <v>51</v>
      </c>
      <c r="AL1569" s="198" t="s">
        <v>67</v>
      </c>
      <c r="AM1569" s="198" t="s">
        <v>68</v>
      </c>
      <c r="AN1569" s="202">
        <v>4991292</v>
      </c>
      <c r="AO1569" s="202">
        <v>4991292</v>
      </c>
      <c r="AP1569" s="202">
        <v>4991292</v>
      </c>
      <c r="AQ1569" s="198" t="s">
        <v>358</v>
      </c>
      <c r="AR1569" s="198" t="s">
        <v>51</v>
      </c>
      <c r="AS1569" s="202">
        <v>4991292</v>
      </c>
      <c r="AT1569" s="202">
        <v>4991292</v>
      </c>
      <c r="AU1569" s="198" t="s">
        <v>359</v>
      </c>
      <c r="AV1569" s="198" t="s">
        <v>62</v>
      </c>
      <c r="AW1569" s="198" t="s">
        <v>54</v>
      </c>
    </row>
    <row r="1570" spans="3:49" outlineLevel="2" x14ac:dyDescent="0.25">
      <c r="C1570" s="201"/>
      <c r="D1570" s="198" t="s">
        <v>212</v>
      </c>
      <c r="H1570" s="198" t="s">
        <v>212</v>
      </c>
      <c r="I1570" s="202">
        <f t="shared" si="24"/>
        <v>652058234.55000007</v>
      </c>
      <c r="J1570" s="202">
        <v>157.9</v>
      </c>
      <c r="L1570" s="204">
        <v>1</v>
      </c>
      <c r="M1570" s="202">
        <v>2093364</v>
      </c>
      <c r="N1570" s="204">
        <v>1</v>
      </c>
      <c r="O1570" s="198" t="s">
        <v>51</v>
      </c>
      <c r="P1570" s="202">
        <v>2093364</v>
      </c>
      <c r="Q1570" s="198" t="s">
        <v>159</v>
      </c>
      <c r="R1570" s="198" t="s">
        <v>160</v>
      </c>
      <c r="S1570" s="198" t="s">
        <v>54</v>
      </c>
      <c r="T1570" s="198" t="s">
        <v>2062</v>
      </c>
      <c r="U1570" s="198" t="s">
        <v>277</v>
      </c>
      <c r="V1570" s="198" t="s">
        <v>56</v>
      </c>
      <c r="W1570" s="198" t="s">
        <v>356</v>
      </c>
      <c r="X1570" s="198" t="s">
        <v>161</v>
      </c>
      <c r="Y1570" s="198" t="s">
        <v>162</v>
      </c>
      <c r="Z1570" s="201">
        <v>46248</v>
      </c>
      <c r="AA1570" s="198" t="s">
        <v>59</v>
      </c>
      <c r="AB1570" s="198" t="s">
        <v>60</v>
      </c>
      <c r="AC1570" s="198" t="s">
        <v>86</v>
      </c>
      <c r="AD1570" s="198" t="s">
        <v>62</v>
      </c>
      <c r="AE1570" s="198" t="s">
        <v>54</v>
      </c>
      <c r="AF1570" s="198" t="s">
        <v>54</v>
      </c>
      <c r="AG1570" s="198" t="s">
        <v>564</v>
      </c>
      <c r="AH1570" s="198" t="s">
        <v>112</v>
      </c>
      <c r="AI1570" s="198" t="s">
        <v>56</v>
      </c>
      <c r="AJ1570" s="198" t="s">
        <v>163</v>
      </c>
      <c r="AK1570" s="198" t="s">
        <v>51</v>
      </c>
      <c r="AL1570" s="198" t="s">
        <v>67</v>
      </c>
      <c r="AM1570" s="198" t="s">
        <v>68</v>
      </c>
      <c r="AN1570" s="202">
        <v>2093364</v>
      </c>
      <c r="AO1570" s="202">
        <v>2093364</v>
      </c>
      <c r="AP1570" s="202">
        <v>2093364</v>
      </c>
      <c r="AQ1570" s="198" t="s">
        <v>358</v>
      </c>
      <c r="AR1570" s="198" t="s">
        <v>51</v>
      </c>
      <c r="AS1570" s="202">
        <v>2093364</v>
      </c>
      <c r="AT1570" s="202">
        <v>2093364</v>
      </c>
      <c r="AU1570" s="198" t="s">
        <v>359</v>
      </c>
      <c r="AV1570" s="198" t="s">
        <v>62</v>
      </c>
      <c r="AW1570" s="198" t="s">
        <v>54</v>
      </c>
    </row>
    <row r="1571" spans="3:49" outlineLevel="2" x14ac:dyDescent="0.25">
      <c r="C1571" s="201"/>
      <c r="D1571" s="198" t="s">
        <v>222</v>
      </c>
      <c r="H1571" s="198" t="s">
        <v>222</v>
      </c>
      <c r="I1571" s="202">
        <f t="shared" si="24"/>
        <v>652471191</v>
      </c>
      <c r="J1571" s="202">
        <v>158</v>
      </c>
      <c r="L1571" s="204">
        <v>1</v>
      </c>
      <c r="M1571" s="202">
        <v>84056902.799999997</v>
      </c>
      <c r="N1571" s="204">
        <v>0</v>
      </c>
      <c r="O1571" s="198" t="s">
        <v>51</v>
      </c>
      <c r="P1571" s="202">
        <v>79371298.799999997</v>
      </c>
      <c r="Q1571" s="198" t="s">
        <v>159</v>
      </c>
      <c r="R1571" s="198" t="s">
        <v>160</v>
      </c>
      <c r="S1571" s="198" t="s">
        <v>54</v>
      </c>
      <c r="T1571" s="198" t="s">
        <v>2062</v>
      </c>
      <c r="U1571" s="198" t="s">
        <v>681</v>
      </c>
      <c r="V1571" s="198" t="s">
        <v>56</v>
      </c>
      <c r="W1571" s="198" t="s">
        <v>356</v>
      </c>
      <c r="X1571" s="198" t="s">
        <v>161</v>
      </c>
      <c r="Y1571" s="198" t="s">
        <v>162</v>
      </c>
      <c r="Z1571" s="201">
        <v>46248</v>
      </c>
      <c r="AA1571" s="198" t="s">
        <v>59</v>
      </c>
      <c r="AB1571" s="198" t="s">
        <v>60</v>
      </c>
      <c r="AC1571" s="198" t="s">
        <v>86</v>
      </c>
      <c r="AD1571" s="198" t="s">
        <v>62</v>
      </c>
      <c r="AE1571" s="198" t="s">
        <v>54</v>
      </c>
      <c r="AF1571" s="198" t="s">
        <v>54</v>
      </c>
      <c r="AG1571" s="198" t="s">
        <v>564</v>
      </c>
      <c r="AH1571" s="198" t="s">
        <v>112</v>
      </c>
      <c r="AI1571" s="198" t="s">
        <v>56</v>
      </c>
      <c r="AJ1571" s="198" t="s">
        <v>163</v>
      </c>
      <c r="AK1571" s="198" t="s">
        <v>51</v>
      </c>
      <c r="AL1571" s="198" t="s">
        <v>67</v>
      </c>
      <c r="AM1571" s="198" t="s">
        <v>68</v>
      </c>
      <c r="AN1571" s="202">
        <v>84056902.799999997</v>
      </c>
      <c r="AO1571" s="202">
        <v>84056902.799999997</v>
      </c>
      <c r="AP1571" s="202">
        <v>84056902.799999997</v>
      </c>
      <c r="AQ1571" s="198" t="s">
        <v>358</v>
      </c>
      <c r="AR1571" s="198" t="s">
        <v>51</v>
      </c>
      <c r="AS1571" s="202">
        <v>79371298.799999997</v>
      </c>
      <c r="AT1571" s="202">
        <v>79371298.799999997</v>
      </c>
      <c r="AU1571" s="198" t="s">
        <v>359</v>
      </c>
      <c r="AV1571" s="198" t="s">
        <v>62</v>
      </c>
      <c r="AW1571" s="198" t="s">
        <v>54</v>
      </c>
    </row>
    <row r="1572" spans="3:49" outlineLevel="2" x14ac:dyDescent="0.25">
      <c r="C1572" s="201"/>
      <c r="D1572" s="198" t="s">
        <v>748</v>
      </c>
      <c r="H1572" s="198" t="s">
        <v>748</v>
      </c>
      <c r="I1572" s="202">
        <f t="shared" si="24"/>
        <v>652884147.44999993</v>
      </c>
      <c r="J1572" s="202">
        <v>158.1</v>
      </c>
      <c r="L1572" s="204">
        <v>1</v>
      </c>
      <c r="M1572" s="202">
        <v>9107636</v>
      </c>
      <c r="N1572" s="204">
        <v>1</v>
      </c>
      <c r="O1572" s="198" t="s">
        <v>51</v>
      </c>
      <c r="P1572" s="202">
        <v>9107636</v>
      </c>
      <c r="Q1572" s="198" t="s">
        <v>159</v>
      </c>
      <c r="R1572" s="198" t="s">
        <v>160</v>
      </c>
      <c r="S1572" s="198" t="s">
        <v>54</v>
      </c>
      <c r="T1572" s="198" t="s">
        <v>2062</v>
      </c>
      <c r="U1572" s="198" t="s">
        <v>277</v>
      </c>
      <c r="V1572" s="198" t="s">
        <v>56</v>
      </c>
      <c r="W1572" s="198" t="s">
        <v>356</v>
      </c>
      <c r="X1572" s="198" t="s">
        <v>161</v>
      </c>
      <c r="Y1572" s="198" t="s">
        <v>162</v>
      </c>
      <c r="Z1572" s="201">
        <v>46248</v>
      </c>
      <c r="AA1572" s="198" t="s">
        <v>59</v>
      </c>
      <c r="AB1572" s="198" t="s">
        <v>60</v>
      </c>
      <c r="AC1572" s="198" t="s">
        <v>86</v>
      </c>
      <c r="AD1572" s="198" t="s">
        <v>62</v>
      </c>
      <c r="AE1572" s="198" t="s">
        <v>54</v>
      </c>
      <c r="AF1572" s="198" t="s">
        <v>54</v>
      </c>
      <c r="AG1572" s="198" t="s">
        <v>564</v>
      </c>
      <c r="AH1572" s="198" t="s">
        <v>112</v>
      </c>
      <c r="AI1572" s="198" t="s">
        <v>56</v>
      </c>
      <c r="AJ1572" s="198" t="s">
        <v>163</v>
      </c>
      <c r="AK1572" s="198" t="s">
        <v>51</v>
      </c>
      <c r="AL1572" s="198" t="s">
        <v>67</v>
      </c>
      <c r="AM1572" s="198" t="s">
        <v>68</v>
      </c>
      <c r="AN1572" s="202">
        <v>9107636</v>
      </c>
      <c r="AO1572" s="202">
        <v>9107636</v>
      </c>
      <c r="AP1572" s="202">
        <v>9107636</v>
      </c>
      <c r="AQ1572" s="198" t="s">
        <v>358</v>
      </c>
      <c r="AR1572" s="198" t="s">
        <v>51</v>
      </c>
      <c r="AS1572" s="202">
        <v>9107636</v>
      </c>
      <c r="AT1572" s="202">
        <v>9107636</v>
      </c>
      <c r="AU1572" s="198" t="s">
        <v>359</v>
      </c>
      <c r="AV1572" s="198" t="s">
        <v>62</v>
      </c>
      <c r="AW1572" s="198" t="s">
        <v>54</v>
      </c>
    </row>
    <row r="1573" spans="3:49" outlineLevel="2" x14ac:dyDescent="0.25">
      <c r="C1573" s="201"/>
      <c r="D1573" s="198" t="s">
        <v>212</v>
      </c>
      <c r="H1573" s="198" t="s">
        <v>212</v>
      </c>
      <c r="I1573" s="202">
        <f t="shared" si="24"/>
        <v>653297103.89999998</v>
      </c>
      <c r="J1573" s="202">
        <v>158.19999999999999</v>
      </c>
      <c r="L1573" s="204">
        <v>1</v>
      </c>
      <c r="M1573" s="202">
        <v>1094508.8</v>
      </c>
      <c r="N1573" s="204">
        <v>1</v>
      </c>
      <c r="O1573" s="198" t="s">
        <v>51</v>
      </c>
      <c r="P1573" s="202">
        <v>1094508.8</v>
      </c>
      <c r="Q1573" s="198" t="s">
        <v>159</v>
      </c>
      <c r="R1573" s="198" t="s">
        <v>160</v>
      </c>
      <c r="S1573" s="198" t="s">
        <v>54</v>
      </c>
      <c r="T1573" s="198" t="s">
        <v>2062</v>
      </c>
      <c r="U1573" s="198" t="s">
        <v>277</v>
      </c>
      <c r="V1573" s="198" t="s">
        <v>56</v>
      </c>
      <c r="W1573" s="198" t="s">
        <v>356</v>
      </c>
      <c r="X1573" s="198" t="s">
        <v>161</v>
      </c>
      <c r="Y1573" s="198" t="s">
        <v>162</v>
      </c>
      <c r="Z1573" s="201">
        <v>46248</v>
      </c>
      <c r="AA1573" s="198" t="s">
        <v>59</v>
      </c>
      <c r="AB1573" s="198" t="s">
        <v>60</v>
      </c>
      <c r="AC1573" s="198" t="s">
        <v>86</v>
      </c>
      <c r="AD1573" s="198" t="s">
        <v>62</v>
      </c>
      <c r="AE1573" s="198" t="s">
        <v>54</v>
      </c>
      <c r="AF1573" s="198" t="s">
        <v>54</v>
      </c>
      <c r="AG1573" s="198" t="s">
        <v>564</v>
      </c>
      <c r="AH1573" s="198" t="s">
        <v>112</v>
      </c>
      <c r="AI1573" s="198" t="s">
        <v>56</v>
      </c>
      <c r="AJ1573" s="198" t="s">
        <v>163</v>
      </c>
      <c r="AK1573" s="198" t="s">
        <v>51</v>
      </c>
      <c r="AL1573" s="198" t="s">
        <v>67</v>
      </c>
      <c r="AM1573" s="198" t="s">
        <v>68</v>
      </c>
      <c r="AN1573" s="202">
        <v>1094508.8</v>
      </c>
      <c r="AO1573" s="202">
        <v>1094508.8</v>
      </c>
      <c r="AP1573" s="202">
        <v>1094508.8</v>
      </c>
      <c r="AQ1573" s="198" t="s">
        <v>358</v>
      </c>
      <c r="AR1573" s="198" t="s">
        <v>51</v>
      </c>
      <c r="AS1573" s="202">
        <v>1094508.8</v>
      </c>
      <c r="AT1573" s="202">
        <v>1094508.8</v>
      </c>
      <c r="AU1573" s="198" t="s">
        <v>359</v>
      </c>
      <c r="AV1573" s="198" t="s">
        <v>62</v>
      </c>
      <c r="AW1573" s="198" t="s">
        <v>54</v>
      </c>
    </row>
    <row r="1574" spans="3:49" outlineLevel="2" x14ac:dyDescent="0.25">
      <c r="C1574" s="201"/>
      <c r="D1574" s="198" t="s">
        <v>212</v>
      </c>
      <c r="H1574" s="198" t="s">
        <v>212</v>
      </c>
      <c r="I1574" s="202">
        <f t="shared" si="24"/>
        <v>653710060.35000002</v>
      </c>
      <c r="J1574" s="202">
        <v>158.30000000000001</v>
      </c>
      <c r="L1574" s="204">
        <v>1</v>
      </c>
      <c r="M1574" s="202">
        <v>45658705.399999999</v>
      </c>
      <c r="N1574" s="204">
        <v>1</v>
      </c>
      <c r="O1574" s="198" t="s">
        <v>51</v>
      </c>
      <c r="P1574" s="202">
        <v>45658705.399999999</v>
      </c>
      <c r="Q1574" s="198" t="s">
        <v>159</v>
      </c>
      <c r="R1574" s="198" t="s">
        <v>160</v>
      </c>
      <c r="S1574" s="198" t="s">
        <v>54</v>
      </c>
      <c r="T1574" s="198" t="s">
        <v>2062</v>
      </c>
      <c r="U1574" s="198" t="s">
        <v>277</v>
      </c>
      <c r="V1574" s="198" t="s">
        <v>56</v>
      </c>
      <c r="W1574" s="198" t="s">
        <v>356</v>
      </c>
      <c r="X1574" s="198" t="s">
        <v>161</v>
      </c>
      <c r="Y1574" s="198" t="s">
        <v>162</v>
      </c>
      <c r="Z1574" s="201">
        <v>46248</v>
      </c>
      <c r="AA1574" s="198" t="s">
        <v>59</v>
      </c>
      <c r="AB1574" s="198" t="s">
        <v>60</v>
      </c>
      <c r="AC1574" s="198" t="s">
        <v>86</v>
      </c>
      <c r="AD1574" s="198" t="s">
        <v>62</v>
      </c>
      <c r="AE1574" s="198" t="s">
        <v>54</v>
      </c>
      <c r="AF1574" s="198" t="s">
        <v>54</v>
      </c>
      <c r="AG1574" s="198" t="s">
        <v>564</v>
      </c>
      <c r="AH1574" s="198" t="s">
        <v>112</v>
      </c>
      <c r="AI1574" s="198" t="s">
        <v>56</v>
      </c>
      <c r="AJ1574" s="198" t="s">
        <v>163</v>
      </c>
      <c r="AK1574" s="198" t="s">
        <v>51</v>
      </c>
      <c r="AL1574" s="198" t="s">
        <v>67</v>
      </c>
      <c r="AM1574" s="198" t="s">
        <v>68</v>
      </c>
      <c r="AN1574" s="202">
        <v>45658705.399999999</v>
      </c>
      <c r="AO1574" s="202">
        <v>45658705.399999999</v>
      </c>
      <c r="AP1574" s="202">
        <v>45658705.399999999</v>
      </c>
      <c r="AQ1574" s="198" t="s">
        <v>358</v>
      </c>
      <c r="AR1574" s="198" t="s">
        <v>51</v>
      </c>
      <c r="AS1574" s="202">
        <v>45658705.399999999</v>
      </c>
      <c r="AT1574" s="202">
        <v>45658705.399999999</v>
      </c>
      <c r="AU1574" s="198" t="s">
        <v>359</v>
      </c>
      <c r="AV1574" s="198" t="s">
        <v>62</v>
      </c>
      <c r="AW1574" s="198" t="s">
        <v>54</v>
      </c>
    </row>
    <row r="1575" spans="3:49" outlineLevel="2" x14ac:dyDescent="0.25">
      <c r="C1575" s="201"/>
      <c r="D1575" s="198" t="s">
        <v>224</v>
      </c>
      <c r="H1575" s="198" t="s">
        <v>224</v>
      </c>
      <c r="I1575" s="202">
        <f t="shared" si="24"/>
        <v>654123016.80000007</v>
      </c>
      <c r="J1575" s="202">
        <v>158.4</v>
      </c>
      <c r="L1575" s="204">
        <v>1</v>
      </c>
      <c r="M1575" s="202">
        <v>13731250</v>
      </c>
      <c r="N1575" s="204">
        <v>1</v>
      </c>
      <c r="O1575" s="198" t="s">
        <v>51</v>
      </c>
      <c r="P1575" s="202">
        <v>13731250</v>
      </c>
      <c r="Q1575" s="198" t="s">
        <v>159</v>
      </c>
      <c r="R1575" s="198" t="s">
        <v>160</v>
      </c>
      <c r="S1575" s="198" t="s">
        <v>54</v>
      </c>
      <c r="T1575" s="198" t="s">
        <v>2062</v>
      </c>
      <c r="U1575" s="198" t="s">
        <v>277</v>
      </c>
      <c r="V1575" s="198" t="s">
        <v>56</v>
      </c>
      <c r="W1575" s="198" t="s">
        <v>356</v>
      </c>
      <c r="X1575" s="198" t="s">
        <v>161</v>
      </c>
      <c r="Y1575" s="198" t="s">
        <v>162</v>
      </c>
      <c r="Z1575" s="201">
        <v>46248</v>
      </c>
      <c r="AA1575" s="198" t="s">
        <v>59</v>
      </c>
      <c r="AB1575" s="198" t="s">
        <v>60</v>
      </c>
      <c r="AC1575" s="198" t="s">
        <v>86</v>
      </c>
      <c r="AD1575" s="198" t="s">
        <v>62</v>
      </c>
      <c r="AE1575" s="198" t="s">
        <v>54</v>
      </c>
      <c r="AF1575" s="198" t="s">
        <v>54</v>
      </c>
      <c r="AG1575" s="198" t="s">
        <v>564</v>
      </c>
      <c r="AH1575" s="198" t="s">
        <v>112</v>
      </c>
      <c r="AI1575" s="198" t="s">
        <v>56</v>
      </c>
      <c r="AJ1575" s="198" t="s">
        <v>163</v>
      </c>
      <c r="AK1575" s="198" t="s">
        <v>51</v>
      </c>
      <c r="AL1575" s="198" t="s">
        <v>67</v>
      </c>
      <c r="AM1575" s="198" t="s">
        <v>68</v>
      </c>
      <c r="AN1575" s="202">
        <v>13731250</v>
      </c>
      <c r="AO1575" s="202">
        <v>13731250</v>
      </c>
      <c r="AP1575" s="202">
        <v>13731250</v>
      </c>
      <c r="AQ1575" s="198" t="s">
        <v>358</v>
      </c>
      <c r="AR1575" s="198" t="s">
        <v>51</v>
      </c>
      <c r="AS1575" s="202">
        <v>13731250</v>
      </c>
      <c r="AT1575" s="202">
        <v>13731250</v>
      </c>
      <c r="AU1575" s="198" t="s">
        <v>359</v>
      </c>
      <c r="AV1575" s="198" t="s">
        <v>62</v>
      </c>
      <c r="AW1575" s="198" t="s">
        <v>54</v>
      </c>
    </row>
    <row r="1576" spans="3:49" outlineLevel="2" x14ac:dyDescent="0.25">
      <c r="C1576" s="201"/>
      <c r="D1576" s="198" t="s">
        <v>225</v>
      </c>
      <c r="H1576" s="198" t="s">
        <v>225</v>
      </c>
      <c r="I1576" s="202">
        <f t="shared" si="24"/>
        <v>654535973.25</v>
      </c>
      <c r="J1576" s="202">
        <v>158.5</v>
      </c>
      <c r="L1576" s="204">
        <v>1</v>
      </c>
      <c r="M1576" s="202">
        <v>6997125</v>
      </c>
      <c r="N1576" s="204">
        <v>1</v>
      </c>
      <c r="O1576" s="198" t="s">
        <v>51</v>
      </c>
      <c r="P1576" s="202">
        <v>6997125</v>
      </c>
      <c r="Q1576" s="198" t="s">
        <v>159</v>
      </c>
      <c r="R1576" s="198" t="s">
        <v>160</v>
      </c>
      <c r="S1576" s="198" t="s">
        <v>54</v>
      </c>
      <c r="T1576" s="198" t="s">
        <v>2062</v>
      </c>
      <c r="U1576" s="198" t="s">
        <v>277</v>
      </c>
      <c r="V1576" s="198" t="s">
        <v>56</v>
      </c>
      <c r="W1576" s="198" t="s">
        <v>356</v>
      </c>
      <c r="X1576" s="198" t="s">
        <v>161</v>
      </c>
      <c r="Y1576" s="198" t="s">
        <v>162</v>
      </c>
      <c r="Z1576" s="201">
        <v>46248</v>
      </c>
      <c r="AA1576" s="198" t="s">
        <v>59</v>
      </c>
      <c r="AB1576" s="198" t="s">
        <v>60</v>
      </c>
      <c r="AC1576" s="198" t="s">
        <v>86</v>
      </c>
      <c r="AD1576" s="198" t="s">
        <v>62</v>
      </c>
      <c r="AE1576" s="198" t="s">
        <v>54</v>
      </c>
      <c r="AF1576" s="198" t="s">
        <v>54</v>
      </c>
      <c r="AG1576" s="198" t="s">
        <v>564</v>
      </c>
      <c r="AH1576" s="198" t="s">
        <v>112</v>
      </c>
      <c r="AI1576" s="198" t="s">
        <v>56</v>
      </c>
      <c r="AJ1576" s="198" t="s">
        <v>163</v>
      </c>
      <c r="AK1576" s="198" t="s">
        <v>51</v>
      </c>
      <c r="AL1576" s="198" t="s">
        <v>67</v>
      </c>
      <c r="AM1576" s="198" t="s">
        <v>68</v>
      </c>
      <c r="AN1576" s="202">
        <v>6997125</v>
      </c>
      <c r="AO1576" s="202">
        <v>6997125</v>
      </c>
      <c r="AP1576" s="202">
        <v>6997125</v>
      </c>
      <c r="AQ1576" s="198" t="s">
        <v>358</v>
      </c>
      <c r="AR1576" s="198" t="s">
        <v>51</v>
      </c>
      <c r="AS1576" s="202">
        <v>6997125</v>
      </c>
      <c r="AT1576" s="202">
        <v>6997125</v>
      </c>
      <c r="AU1576" s="198" t="s">
        <v>359</v>
      </c>
      <c r="AV1576" s="198" t="s">
        <v>62</v>
      </c>
      <c r="AW1576" s="198" t="s">
        <v>54</v>
      </c>
    </row>
    <row r="1577" spans="3:49" outlineLevel="2" x14ac:dyDescent="0.25">
      <c r="C1577" s="201"/>
      <c r="D1577" s="198" t="s">
        <v>223</v>
      </c>
      <c r="H1577" s="198" t="s">
        <v>223</v>
      </c>
      <c r="I1577" s="202">
        <f t="shared" si="24"/>
        <v>654948929.69999993</v>
      </c>
      <c r="J1577" s="202">
        <v>158.6</v>
      </c>
      <c r="L1577" s="204">
        <v>1</v>
      </c>
      <c r="M1577" s="202">
        <v>7867887.5</v>
      </c>
      <c r="N1577" s="204">
        <v>1</v>
      </c>
      <c r="O1577" s="198" t="s">
        <v>51</v>
      </c>
      <c r="P1577" s="202">
        <v>7867887.5</v>
      </c>
      <c r="Q1577" s="198" t="s">
        <v>159</v>
      </c>
      <c r="R1577" s="198" t="s">
        <v>160</v>
      </c>
      <c r="S1577" s="198" t="s">
        <v>54</v>
      </c>
      <c r="T1577" s="198" t="s">
        <v>2062</v>
      </c>
      <c r="U1577" s="198" t="s">
        <v>277</v>
      </c>
      <c r="V1577" s="198" t="s">
        <v>56</v>
      </c>
      <c r="W1577" s="198" t="s">
        <v>356</v>
      </c>
      <c r="X1577" s="198" t="s">
        <v>161</v>
      </c>
      <c r="Y1577" s="198" t="s">
        <v>162</v>
      </c>
      <c r="Z1577" s="201">
        <v>46248</v>
      </c>
      <c r="AA1577" s="198" t="s">
        <v>59</v>
      </c>
      <c r="AB1577" s="198" t="s">
        <v>60</v>
      </c>
      <c r="AC1577" s="198" t="s">
        <v>86</v>
      </c>
      <c r="AD1577" s="198" t="s">
        <v>62</v>
      </c>
      <c r="AE1577" s="198" t="s">
        <v>54</v>
      </c>
      <c r="AF1577" s="198" t="s">
        <v>54</v>
      </c>
      <c r="AG1577" s="198" t="s">
        <v>564</v>
      </c>
      <c r="AH1577" s="198" t="s">
        <v>112</v>
      </c>
      <c r="AI1577" s="198" t="s">
        <v>56</v>
      </c>
      <c r="AJ1577" s="198" t="s">
        <v>163</v>
      </c>
      <c r="AK1577" s="198" t="s">
        <v>51</v>
      </c>
      <c r="AL1577" s="198" t="s">
        <v>67</v>
      </c>
      <c r="AM1577" s="198" t="s">
        <v>68</v>
      </c>
      <c r="AN1577" s="202">
        <v>7867887.5</v>
      </c>
      <c r="AO1577" s="202">
        <v>7867887.5</v>
      </c>
      <c r="AP1577" s="202">
        <v>7867887.5</v>
      </c>
      <c r="AQ1577" s="198" t="s">
        <v>358</v>
      </c>
      <c r="AR1577" s="198" t="s">
        <v>51</v>
      </c>
      <c r="AS1577" s="202">
        <v>7867887.5</v>
      </c>
      <c r="AT1577" s="202">
        <v>7867887.5</v>
      </c>
      <c r="AU1577" s="198" t="s">
        <v>359</v>
      </c>
      <c r="AV1577" s="198" t="s">
        <v>62</v>
      </c>
      <c r="AW1577" s="198" t="s">
        <v>54</v>
      </c>
    </row>
    <row r="1578" spans="3:49" outlineLevel="2" x14ac:dyDescent="0.25">
      <c r="C1578" s="201"/>
      <c r="D1578" s="198" t="s">
        <v>197</v>
      </c>
      <c r="H1578" s="198" t="s">
        <v>197</v>
      </c>
      <c r="I1578" s="202">
        <f t="shared" si="24"/>
        <v>655361886.14999998</v>
      </c>
      <c r="J1578" s="202">
        <v>158.69999999999999</v>
      </c>
      <c r="L1578" s="204">
        <v>1</v>
      </c>
      <c r="M1578" s="202">
        <v>108000</v>
      </c>
      <c r="N1578" s="204">
        <v>0</v>
      </c>
      <c r="O1578" s="198" t="s">
        <v>51</v>
      </c>
      <c r="P1578" s="202">
        <v>72000</v>
      </c>
      <c r="Q1578" s="198" t="s">
        <v>159</v>
      </c>
      <c r="R1578" s="198" t="s">
        <v>160</v>
      </c>
      <c r="S1578" s="198" t="s">
        <v>54</v>
      </c>
      <c r="T1578" s="198" t="s">
        <v>749</v>
      </c>
      <c r="U1578" s="198" t="s">
        <v>55</v>
      </c>
      <c r="V1578" s="198" t="s">
        <v>56</v>
      </c>
      <c r="W1578" s="198" t="s">
        <v>356</v>
      </c>
      <c r="X1578" s="198" t="s">
        <v>161</v>
      </c>
      <c r="Y1578" s="198" t="s">
        <v>162</v>
      </c>
      <c r="Z1578" s="201">
        <v>46112</v>
      </c>
      <c r="AA1578" s="198" t="s">
        <v>59</v>
      </c>
      <c r="AB1578" s="198" t="s">
        <v>60</v>
      </c>
      <c r="AC1578" s="198" t="s">
        <v>61</v>
      </c>
      <c r="AD1578" s="198" t="s">
        <v>62</v>
      </c>
      <c r="AE1578" s="198" t="s">
        <v>54</v>
      </c>
      <c r="AF1578" s="198" t="s">
        <v>54</v>
      </c>
      <c r="AG1578" s="198" t="s">
        <v>166</v>
      </c>
      <c r="AH1578" s="198" t="s">
        <v>156</v>
      </c>
      <c r="AI1578" s="198" t="s">
        <v>56</v>
      </c>
      <c r="AJ1578" s="198" t="s">
        <v>163</v>
      </c>
      <c r="AK1578" s="198" t="s">
        <v>51</v>
      </c>
      <c r="AL1578" s="198" t="s">
        <v>67</v>
      </c>
      <c r="AM1578" s="198" t="s">
        <v>68</v>
      </c>
      <c r="AN1578" s="202">
        <v>108000</v>
      </c>
      <c r="AO1578" s="202">
        <v>108000</v>
      </c>
      <c r="AP1578" s="202">
        <v>108000</v>
      </c>
      <c r="AQ1578" s="198" t="s">
        <v>358</v>
      </c>
      <c r="AR1578" s="198" t="s">
        <v>51</v>
      </c>
      <c r="AS1578" s="202">
        <v>72000</v>
      </c>
      <c r="AT1578" s="202">
        <v>72000</v>
      </c>
      <c r="AU1578" s="198" t="s">
        <v>359</v>
      </c>
      <c r="AV1578" s="198" t="s">
        <v>62</v>
      </c>
      <c r="AW1578" s="198" t="s">
        <v>54</v>
      </c>
    </row>
    <row r="1579" spans="3:49" outlineLevel="2" x14ac:dyDescent="0.25">
      <c r="C1579" s="201"/>
      <c r="D1579" s="198" t="s">
        <v>198</v>
      </c>
      <c r="H1579" s="198" t="s">
        <v>198</v>
      </c>
      <c r="I1579" s="202">
        <f t="shared" si="24"/>
        <v>655774842.60000002</v>
      </c>
      <c r="J1579" s="202">
        <v>158.80000000000001</v>
      </c>
      <c r="L1579" s="204">
        <v>1</v>
      </c>
      <c r="M1579" s="202">
        <v>108000</v>
      </c>
      <c r="N1579" s="204">
        <v>1</v>
      </c>
      <c r="O1579" s="198" t="s">
        <v>51</v>
      </c>
      <c r="P1579" s="202">
        <v>108000</v>
      </c>
      <c r="Q1579" s="198" t="s">
        <v>159</v>
      </c>
      <c r="R1579" s="198" t="s">
        <v>160</v>
      </c>
      <c r="S1579" s="198" t="s">
        <v>54</v>
      </c>
      <c r="T1579" s="198" t="s">
        <v>749</v>
      </c>
      <c r="U1579" s="198" t="s">
        <v>367</v>
      </c>
      <c r="V1579" s="198" t="s">
        <v>56</v>
      </c>
      <c r="W1579" s="198" t="s">
        <v>356</v>
      </c>
      <c r="X1579" s="198" t="s">
        <v>161</v>
      </c>
      <c r="Y1579" s="198" t="s">
        <v>162</v>
      </c>
      <c r="Z1579" s="201">
        <v>46112</v>
      </c>
      <c r="AA1579" s="198" t="s">
        <v>59</v>
      </c>
      <c r="AB1579" s="198" t="s">
        <v>60</v>
      </c>
      <c r="AC1579" s="198" t="s">
        <v>61</v>
      </c>
      <c r="AD1579" s="198" t="s">
        <v>62</v>
      </c>
      <c r="AE1579" s="198" t="s">
        <v>54</v>
      </c>
      <c r="AF1579" s="198" t="s">
        <v>54</v>
      </c>
      <c r="AG1579" s="198" t="s">
        <v>166</v>
      </c>
      <c r="AH1579" s="198" t="s">
        <v>193</v>
      </c>
      <c r="AI1579" s="198" t="s">
        <v>56</v>
      </c>
      <c r="AJ1579" s="198" t="s">
        <v>163</v>
      </c>
      <c r="AK1579" s="198" t="s">
        <v>51</v>
      </c>
      <c r="AL1579" s="198" t="s">
        <v>67</v>
      </c>
      <c r="AM1579" s="198" t="s">
        <v>68</v>
      </c>
      <c r="AN1579" s="202">
        <v>108000</v>
      </c>
      <c r="AO1579" s="202">
        <v>108000</v>
      </c>
      <c r="AP1579" s="202">
        <v>108000</v>
      </c>
      <c r="AQ1579" s="198" t="s">
        <v>358</v>
      </c>
      <c r="AR1579" s="198" t="s">
        <v>51</v>
      </c>
      <c r="AS1579" s="202">
        <v>108000</v>
      </c>
      <c r="AT1579" s="202">
        <v>108000</v>
      </c>
      <c r="AU1579" s="198" t="s">
        <v>359</v>
      </c>
      <c r="AV1579" s="198" t="s">
        <v>62</v>
      </c>
      <c r="AW1579" s="198" t="s">
        <v>54</v>
      </c>
    </row>
    <row r="1580" spans="3:49" outlineLevel="2" x14ac:dyDescent="0.25">
      <c r="C1580" s="201"/>
      <c r="D1580" s="198" t="s">
        <v>138</v>
      </c>
      <c r="H1580" s="198" t="s">
        <v>138</v>
      </c>
      <c r="I1580" s="202">
        <f t="shared" si="24"/>
        <v>656187799.05000007</v>
      </c>
      <c r="J1580" s="202">
        <v>158.9</v>
      </c>
      <c r="L1580" s="204">
        <v>1</v>
      </c>
      <c r="M1580" s="202">
        <v>108000</v>
      </c>
      <c r="N1580" s="204">
        <v>1</v>
      </c>
      <c r="O1580" s="198" t="s">
        <v>51</v>
      </c>
      <c r="P1580" s="202">
        <v>108000</v>
      </c>
      <c r="Q1580" s="198" t="s">
        <v>159</v>
      </c>
      <c r="R1580" s="198" t="s">
        <v>160</v>
      </c>
      <c r="S1580" s="198" t="s">
        <v>54</v>
      </c>
      <c r="T1580" s="198" t="s">
        <v>749</v>
      </c>
      <c r="U1580" s="198" t="s">
        <v>367</v>
      </c>
      <c r="V1580" s="198" t="s">
        <v>56</v>
      </c>
      <c r="W1580" s="198" t="s">
        <v>356</v>
      </c>
      <c r="X1580" s="198" t="s">
        <v>161</v>
      </c>
      <c r="Y1580" s="198" t="s">
        <v>162</v>
      </c>
      <c r="Z1580" s="201">
        <v>46112</v>
      </c>
      <c r="AA1580" s="198" t="s">
        <v>59</v>
      </c>
      <c r="AB1580" s="198" t="s">
        <v>60</v>
      </c>
      <c r="AC1580" s="198" t="s">
        <v>61</v>
      </c>
      <c r="AD1580" s="198" t="s">
        <v>62</v>
      </c>
      <c r="AE1580" s="198" t="s">
        <v>54</v>
      </c>
      <c r="AF1580" s="198" t="s">
        <v>54</v>
      </c>
      <c r="AG1580" s="198" t="s">
        <v>166</v>
      </c>
      <c r="AH1580" s="198" t="s">
        <v>143</v>
      </c>
      <c r="AI1580" s="198" t="s">
        <v>56</v>
      </c>
      <c r="AJ1580" s="198" t="s">
        <v>163</v>
      </c>
      <c r="AK1580" s="198" t="s">
        <v>51</v>
      </c>
      <c r="AL1580" s="198" t="s">
        <v>67</v>
      </c>
      <c r="AM1580" s="198" t="s">
        <v>68</v>
      </c>
      <c r="AN1580" s="202">
        <v>108000</v>
      </c>
      <c r="AO1580" s="202">
        <v>108000</v>
      </c>
      <c r="AP1580" s="202">
        <v>108000</v>
      </c>
      <c r="AQ1580" s="198" t="s">
        <v>358</v>
      </c>
      <c r="AR1580" s="198" t="s">
        <v>51</v>
      </c>
      <c r="AS1580" s="202">
        <v>108000</v>
      </c>
      <c r="AT1580" s="202">
        <v>108000</v>
      </c>
      <c r="AU1580" s="198" t="s">
        <v>359</v>
      </c>
      <c r="AV1580" s="198" t="s">
        <v>62</v>
      </c>
      <c r="AW1580" s="198" t="s">
        <v>54</v>
      </c>
    </row>
    <row r="1581" spans="3:49" outlineLevel="2" x14ac:dyDescent="0.25">
      <c r="C1581" s="201"/>
      <c r="D1581" s="198" t="s">
        <v>190</v>
      </c>
      <c r="H1581" s="198" t="s">
        <v>190</v>
      </c>
      <c r="I1581" s="202">
        <f t="shared" si="24"/>
        <v>656600755.5</v>
      </c>
      <c r="J1581" s="202">
        <v>159</v>
      </c>
      <c r="L1581" s="204">
        <v>1</v>
      </c>
      <c r="M1581" s="202">
        <v>7650000</v>
      </c>
      <c r="N1581" s="203">
        <v>0.3</v>
      </c>
      <c r="O1581" s="198" t="s">
        <v>51</v>
      </c>
      <c r="P1581" s="202">
        <v>2295000</v>
      </c>
      <c r="Q1581" s="198" t="s">
        <v>159</v>
      </c>
      <c r="R1581" s="198" t="s">
        <v>160</v>
      </c>
      <c r="S1581" s="198" t="s">
        <v>54</v>
      </c>
      <c r="T1581" s="198" t="s">
        <v>739</v>
      </c>
      <c r="U1581" s="198" t="s">
        <v>1752</v>
      </c>
      <c r="V1581" s="198" t="s">
        <v>56</v>
      </c>
      <c r="W1581" s="198" t="s">
        <v>356</v>
      </c>
      <c r="X1581" s="198" t="s">
        <v>161</v>
      </c>
      <c r="Y1581" s="198" t="s">
        <v>162</v>
      </c>
      <c r="Z1581" s="201">
        <v>46203</v>
      </c>
      <c r="AA1581" s="198" t="s">
        <v>59</v>
      </c>
      <c r="AB1581" s="198" t="s">
        <v>60</v>
      </c>
      <c r="AC1581" s="198" t="s">
        <v>86</v>
      </c>
      <c r="AD1581" s="198" t="s">
        <v>62</v>
      </c>
      <c r="AE1581" s="198" t="s">
        <v>54</v>
      </c>
      <c r="AF1581" s="198" t="s">
        <v>54</v>
      </c>
      <c r="AG1581" s="198" t="s">
        <v>189</v>
      </c>
      <c r="AH1581" s="198" t="s">
        <v>143</v>
      </c>
      <c r="AI1581" s="198" t="s">
        <v>56</v>
      </c>
      <c r="AJ1581" s="198" t="s">
        <v>163</v>
      </c>
      <c r="AK1581" s="198" t="s">
        <v>51</v>
      </c>
      <c r="AL1581" s="198" t="s">
        <v>67</v>
      </c>
      <c r="AM1581" s="198" t="s">
        <v>68</v>
      </c>
      <c r="AN1581" s="202">
        <v>7650000</v>
      </c>
      <c r="AO1581" s="202">
        <v>7650000</v>
      </c>
      <c r="AP1581" s="202">
        <v>7650000</v>
      </c>
      <c r="AQ1581" s="198" t="s">
        <v>358</v>
      </c>
      <c r="AR1581" s="198" t="s">
        <v>51</v>
      </c>
      <c r="AS1581" s="202">
        <v>2295000</v>
      </c>
      <c r="AT1581" s="202">
        <v>2295000</v>
      </c>
      <c r="AU1581" s="198" t="s">
        <v>359</v>
      </c>
      <c r="AV1581" s="198" t="s">
        <v>62</v>
      </c>
      <c r="AW1581" s="198" t="s">
        <v>54</v>
      </c>
    </row>
    <row r="1582" spans="3:49" outlineLevel="2" x14ac:dyDescent="0.25">
      <c r="C1582" s="201"/>
      <c r="D1582" s="198" t="s">
        <v>190</v>
      </c>
      <c r="H1582" s="198" t="s">
        <v>190</v>
      </c>
      <c r="I1582" s="202">
        <f t="shared" si="24"/>
        <v>657013711.94999993</v>
      </c>
      <c r="J1582" s="202">
        <v>159.1</v>
      </c>
      <c r="L1582" s="204">
        <v>1</v>
      </c>
      <c r="M1582" s="202">
        <v>200000</v>
      </c>
      <c r="N1582" s="203">
        <v>0.3</v>
      </c>
      <c r="O1582" s="198" t="s">
        <v>51</v>
      </c>
      <c r="P1582" s="202">
        <v>60000</v>
      </c>
      <c r="Q1582" s="198" t="s">
        <v>159</v>
      </c>
      <c r="R1582" s="198" t="s">
        <v>160</v>
      </c>
      <c r="S1582" s="198" t="s">
        <v>54</v>
      </c>
      <c r="T1582" s="198" t="s">
        <v>739</v>
      </c>
      <c r="U1582" s="198" t="s">
        <v>1752</v>
      </c>
      <c r="V1582" s="198" t="s">
        <v>56</v>
      </c>
      <c r="W1582" s="198" t="s">
        <v>356</v>
      </c>
      <c r="X1582" s="198" t="s">
        <v>161</v>
      </c>
      <c r="Y1582" s="198" t="s">
        <v>162</v>
      </c>
      <c r="Z1582" s="201">
        <v>46203</v>
      </c>
      <c r="AA1582" s="198" t="s">
        <v>59</v>
      </c>
      <c r="AB1582" s="198" t="s">
        <v>60</v>
      </c>
      <c r="AC1582" s="198" t="s">
        <v>86</v>
      </c>
      <c r="AD1582" s="198" t="s">
        <v>62</v>
      </c>
      <c r="AE1582" s="198" t="s">
        <v>54</v>
      </c>
      <c r="AF1582" s="198" t="s">
        <v>54</v>
      </c>
      <c r="AG1582" s="198" t="s">
        <v>189</v>
      </c>
      <c r="AH1582" s="198" t="s">
        <v>143</v>
      </c>
      <c r="AI1582" s="198" t="s">
        <v>56</v>
      </c>
      <c r="AJ1582" s="198" t="s">
        <v>163</v>
      </c>
      <c r="AK1582" s="198" t="s">
        <v>51</v>
      </c>
      <c r="AL1582" s="198" t="s">
        <v>67</v>
      </c>
      <c r="AM1582" s="198" t="s">
        <v>68</v>
      </c>
      <c r="AN1582" s="202">
        <v>200000</v>
      </c>
      <c r="AO1582" s="202">
        <v>200000</v>
      </c>
      <c r="AP1582" s="202">
        <v>200000</v>
      </c>
      <c r="AQ1582" s="198" t="s">
        <v>358</v>
      </c>
      <c r="AR1582" s="198" t="s">
        <v>51</v>
      </c>
      <c r="AS1582" s="202">
        <v>60000</v>
      </c>
      <c r="AT1582" s="202">
        <v>60000</v>
      </c>
      <c r="AU1582" s="198" t="s">
        <v>359</v>
      </c>
      <c r="AV1582" s="198" t="s">
        <v>62</v>
      </c>
      <c r="AW1582" s="198" t="s">
        <v>54</v>
      </c>
    </row>
    <row r="1583" spans="3:49" outlineLevel="2" x14ac:dyDescent="0.25">
      <c r="C1583" s="201"/>
      <c r="D1583" s="198" t="s">
        <v>190</v>
      </c>
      <c r="H1583" s="198" t="s">
        <v>190</v>
      </c>
      <c r="I1583" s="202">
        <f t="shared" si="24"/>
        <v>657426668.39999998</v>
      </c>
      <c r="J1583" s="202">
        <v>159.19999999999999</v>
      </c>
      <c r="L1583" s="204">
        <v>1</v>
      </c>
      <c r="M1583" s="202">
        <v>100000</v>
      </c>
      <c r="N1583" s="204">
        <v>1</v>
      </c>
      <c r="O1583" s="198" t="s">
        <v>51</v>
      </c>
      <c r="P1583" s="202">
        <v>100000</v>
      </c>
      <c r="Q1583" s="198" t="s">
        <v>159</v>
      </c>
      <c r="R1583" s="198" t="s">
        <v>160</v>
      </c>
      <c r="S1583" s="198" t="s">
        <v>54</v>
      </c>
      <c r="T1583" s="198" t="s">
        <v>739</v>
      </c>
      <c r="U1583" s="198" t="s">
        <v>367</v>
      </c>
      <c r="V1583" s="198" t="s">
        <v>56</v>
      </c>
      <c r="W1583" s="198" t="s">
        <v>356</v>
      </c>
      <c r="X1583" s="198" t="s">
        <v>161</v>
      </c>
      <c r="Y1583" s="198" t="s">
        <v>162</v>
      </c>
      <c r="Z1583" s="201">
        <v>46203</v>
      </c>
      <c r="AA1583" s="198" t="s">
        <v>59</v>
      </c>
      <c r="AB1583" s="198" t="s">
        <v>60</v>
      </c>
      <c r="AC1583" s="198" t="s">
        <v>86</v>
      </c>
      <c r="AD1583" s="198" t="s">
        <v>62</v>
      </c>
      <c r="AE1583" s="198" t="s">
        <v>54</v>
      </c>
      <c r="AF1583" s="198" t="s">
        <v>54</v>
      </c>
      <c r="AG1583" s="198" t="s">
        <v>189</v>
      </c>
      <c r="AH1583" s="198" t="s">
        <v>143</v>
      </c>
      <c r="AI1583" s="198" t="s">
        <v>56</v>
      </c>
      <c r="AJ1583" s="198" t="s">
        <v>163</v>
      </c>
      <c r="AK1583" s="198" t="s">
        <v>51</v>
      </c>
      <c r="AL1583" s="198" t="s">
        <v>67</v>
      </c>
      <c r="AM1583" s="198" t="s">
        <v>68</v>
      </c>
      <c r="AN1583" s="202">
        <v>100000</v>
      </c>
      <c r="AO1583" s="202">
        <v>100000</v>
      </c>
      <c r="AP1583" s="202">
        <v>100000</v>
      </c>
      <c r="AQ1583" s="198" t="s">
        <v>358</v>
      </c>
      <c r="AR1583" s="198" t="s">
        <v>51</v>
      </c>
      <c r="AS1583" s="202">
        <v>100000</v>
      </c>
      <c r="AT1583" s="202">
        <v>100000</v>
      </c>
      <c r="AU1583" s="198" t="s">
        <v>359</v>
      </c>
      <c r="AV1583" s="198" t="s">
        <v>62</v>
      </c>
      <c r="AW1583" s="198" t="s">
        <v>54</v>
      </c>
    </row>
    <row r="1584" spans="3:49" outlineLevel="2" x14ac:dyDescent="0.25">
      <c r="C1584" s="201"/>
      <c r="D1584" s="198" t="s">
        <v>190</v>
      </c>
      <c r="H1584" s="198" t="s">
        <v>190</v>
      </c>
      <c r="I1584" s="202">
        <f t="shared" si="24"/>
        <v>657839624.85000002</v>
      </c>
      <c r="J1584" s="202">
        <v>159.30000000000001</v>
      </c>
      <c r="L1584" s="204">
        <v>1</v>
      </c>
      <c r="M1584" s="202">
        <v>1240000</v>
      </c>
      <c r="N1584" s="204">
        <v>1</v>
      </c>
      <c r="O1584" s="198" t="s">
        <v>51</v>
      </c>
      <c r="P1584" s="202">
        <v>1240000</v>
      </c>
      <c r="Q1584" s="198" t="s">
        <v>159</v>
      </c>
      <c r="R1584" s="198" t="s">
        <v>160</v>
      </c>
      <c r="S1584" s="198" t="s">
        <v>54</v>
      </c>
      <c r="T1584" s="198" t="s">
        <v>739</v>
      </c>
      <c r="U1584" s="198" t="s">
        <v>367</v>
      </c>
      <c r="V1584" s="198" t="s">
        <v>56</v>
      </c>
      <c r="W1584" s="198" t="s">
        <v>356</v>
      </c>
      <c r="X1584" s="198" t="s">
        <v>161</v>
      </c>
      <c r="Y1584" s="198" t="s">
        <v>162</v>
      </c>
      <c r="Z1584" s="201">
        <v>46203</v>
      </c>
      <c r="AA1584" s="198" t="s">
        <v>59</v>
      </c>
      <c r="AB1584" s="198" t="s">
        <v>60</v>
      </c>
      <c r="AC1584" s="198" t="s">
        <v>86</v>
      </c>
      <c r="AD1584" s="198" t="s">
        <v>62</v>
      </c>
      <c r="AE1584" s="198" t="s">
        <v>54</v>
      </c>
      <c r="AF1584" s="198" t="s">
        <v>54</v>
      </c>
      <c r="AG1584" s="198" t="s">
        <v>189</v>
      </c>
      <c r="AH1584" s="198" t="s">
        <v>143</v>
      </c>
      <c r="AI1584" s="198" t="s">
        <v>56</v>
      </c>
      <c r="AJ1584" s="198" t="s">
        <v>163</v>
      </c>
      <c r="AK1584" s="198" t="s">
        <v>51</v>
      </c>
      <c r="AL1584" s="198" t="s">
        <v>67</v>
      </c>
      <c r="AM1584" s="198" t="s">
        <v>68</v>
      </c>
      <c r="AN1584" s="202">
        <v>1240000</v>
      </c>
      <c r="AO1584" s="202">
        <v>1240000</v>
      </c>
      <c r="AP1584" s="202">
        <v>1240000</v>
      </c>
      <c r="AQ1584" s="198" t="s">
        <v>358</v>
      </c>
      <c r="AR1584" s="198" t="s">
        <v>51</v>
      </c>
      <c r="AS1584" s="202">
        <v>1240000</v>
      </c>
      <c r="AT1584" s="202">
        <v>1240000</v>
      </c>
      <c r="AU1584" s="198" t="s">
        <v>359</v>
      </c>
      <c r="AV1584" s="198" t="s">
        <v>62</v>
      </c>
      <c r="AW1584" s="198" t="s">
        <v>54</v>
      </c>
    </row>
    <row r="1585" spans="3:49" outlineLevel="2" x14ac:dyDescent="0.25">
      <c r="C1585" s="201"/>
      <c r="D1585" s="198" t="s">
        <v>192</v>
      </c>
      <c r="H1585" s="198" t="s">
        <v>192</v>
      </c>
      <c r="I1585" s="202">
        <f t="shared" si="24"/>
        <v>658252581.30000007</v>
      </c>
      <c r="J1585" s="202">
        <v>159.4</v>
      </c>
      <c r="L1585" s="204">
        <v>1</v>
      </c>
      <c r="M1585" s="202">
        <v>7650000</v>
      </c>
      <c r="N1585" s="203">
        <v>0.3</v>
      </c>
      <c r="O1585" s="198" t="s">
        <v>51</v>
      </c>
      <c r="P1585" s="202">
        <v>2295000</v>
      </c>
      <c r="Q1585" s="198" t="s">
        <v>159</v>
      </c>
      <c r="R1585" s="198" t="s">
        <v>160</v>
      </c>
      <c r="S1585" s="198" t="s">
        <v>54</v>
      </c>
      <c r="T1585" s="198" t="s">
        <v>739</v>
      </c>
      <c r="U1585" s="198" t="s">
        <v>1752</v>
      </c>
      <c r="V1585" s="198" t="s">
        <v>56</v>
      </c>
      <c r="W1585" s="198" t="s">
        <v>356</v>
      </c>
      <c r="X1585" s="198" t="s">
        <v>161</v>
      </c>
      <c r="Y1585" s="198" t="s">
        <v>162</v>
      </c>
      <c r="Z1585" s="201">
        <v>46203</v>
      </c>
      <c r="AA1585" s="198" t="s">
        <v>59</v>
      </c>
      <c r="AB1585" s="198" t="s">
        <v>60</v>
      </c>
      <c r="AC1585" s="198" t="s">
        <v>86</v>
      </c>
      <c r="AD1585" s="198" t="s">
        <v>62</v>
      </c>
      <c r="AE1585" s="198" t="s">
        <v>54</v>
      </c>
      <c r="AF1585" s="198" t="s">
        <v>54</v>
      </c>
      <c r="AG1585" s="198" t="s">
        <v>189</v>
      </c>
      <c r="AH1585" s="198" t="s">
        <v>193</v>
      </c>
      <c r="AI1585" s="198" t="s">
        <v>56</v>
      </c>
      <c r="AJ1585" s="198" t="s">
        <v>163</v>
      </c>
      <c r="AK1585" s="198" t="s">
        <v>51</v>
      </c>
      <c r="AL1585" s="198" t="s">
        <v>67</v>
      </c>
      <c r="AM1585" s="198" t="s">
        <v>68</v>
      </c>
      <c r="AN1585" s="202">
        <v>7650000</v>
      </c>
      <c r="AO1585" s="202">
        <v>7650000</v>
      </c>
      <c r="AP1585" s="202">
        <v>7650000</v>
      </c>
      <c r="AQ1585" s="198" t="s">
        <v>358</v>
      </c>
      <c r="AR1585" s="198" t="s">
        <v>51</v>
      </c>
      <c r="AS1585" s="202">
        <v>2295000</v>
      </c>
      <c r="AT1585" s="202">
        <v>2295000</v>
      </c>
      <c r="AU1585" s="198" t="s">
        <v>359</v>
      </c>
      <c r="AV1585" s="198" t="s">
        <v>62</v>
      </c>
      <c r="AW1585" s="198" t="s">
        <v>54</v>
      </c>
    </row>
    <row r="1586" spans="3:49" outlineLevel="2" x14ac:dyDescent="0.25">
      <c r="C1586" s="201"/>
      <c r="D1586" s="198" t="s">
        <v>192</v>
      </c>
      <c r="H1586" s="198" t="s">
        <v>192</v>
      </c>
      <c r="I1586" s="202">
        <f t="shared" si="24"/>
        <v>658665537.75</v>
      </c>
      <c r="J1586" s="202">
        <v>159.5</v>
      </c>
      <c r="L1586" s="204">
        <v>1</v>
      </c>
      <c r="M1586" s="202">
        <v>200000</v>
      </c>
      <c r="N1586" s="203">
        <v>0.3</v>
      </c>
      <c r="O1586" s="198" t="s">
        <v>51</v>
      </c>
      <c r="P1586" s="202">
        <v>60000</v>
      </c>
      <c r="Q1586" s="198" t="s">
        <v>159</v>
      </c>
      <c r="R1586" s="198" t="s">
        <v>160</v>
      </c>
      <c r="S1586" s="198" t="s">
        <v>54</v>
      </c>
      <c r="T1586" s="198" t="s">
        <v>739</v>
      </c>
      <c r="U1586" s="198" t="s">
        <v>1752</v>
      </c>
      <c r="V1586" s="198" t="s">
        <v>56</v>
      </c>
      <c r="W1586" s="198" t="s">
        <v>356</v>
      </c>
      <c r="X1586" s="198" t="s">
        <v>161</v>
      </c>
      <c r="Y1586" s="198" t="s">
        <v>162</v>
      </c>
      <c r="Z1586" s="201">
        <v>46203</v>
      </c>
      <c r="AA1586" s="198" t="s">
        <v>59</v>
      </c>
      <c r="AB1586" s="198" t="s">
        <v>60</v>
      </c>
      <c r="AC1586" s="198" t="s">
        <v>86</v>
      </c>
      <c r="AD1586" s="198" t="s">
        <v>62</v>
      </c>
      <c r="AE1586" s="198" t="s">
        <v>54</v>
      </c>
      <c r="AF1586" s="198" t="s">
        <v>54</v>
      </c>
      <c r="AG1586" s="198" t="s">
        <v>189</v>
      </c>
      <c r="AH1586" s="198" t="s">
        <v>193</v>
      </c>
      <c r="AI1586" s="198" t="s">
        <v>56</v>
      </c>
      <c r="AJ1586" s="198" t="s">
        <v>163</v>
      </c>
      <c r="AK1586" s="198" t="s">
        <v>51</v>
      </c>
      <c r="AL1586" s="198" t="s">
        <v>67</v>
      </c>
      <c r="AM1586" s="198" t="s">
        <v>68</v>
      </c>
      <c r="AN1586" s="202">
        <v>200000</v>
      </c>
      <c r="AO1586" s="202">
        <v>200000</v>
      </c>
      <c r="AP1586" s="202">
        <v>200000</v>
      </c>
      <c r="AQ1586" s="198" t="s">
        <v>358</v>
      </c>
      <c r="AR1586" s="198" t="s">
        <v>51</v>
      </c>
      <c r="AS1586" s="202">
        <v>60000</v>
      </c>
      <c r="AT1586" s="202">
        <v>60000</v>
      </c>
      <c r="AU1586" s="198" t="s">
        <v>359</v>
      </c>
      <c r="AV1586" s="198" t="s">
        <v>62</v>
      </c>
      <c r="AW1586" s="198" t="s">
        <v>54</v>
      </c>
    </row>
    <row r="1587" spans="3:49" outlineLevel="2" x14ac:dyDescent="0.25">
      <c r="C1587" s="201"/>
      <c r="D1587" s="198" t="s">
        <v>192</v>
      </c>
      <c r="H1587" s="198" t="s">
        <v>192</v>
      </c>
      <c r="I1587" s="202">
        <f t="shared" si="24"/>
        <v>659078494.19999993</v>
      </c>
      <c r="J1587" s="202">
        <v>159.6</v>
      </c>
      <c r="L1587" s="204">
        <v>1</v>
      </c>
      <c r="M1587" s="202">
        <v>100000</v>
      </c>
      <c r="N1587" s="204">
        <v>1</v>
      </c>
      <c r="O1587" s="198" t="s">
        <v>51</v>
      </c>
      <c r="P1587" s="202">
        <v>100000</v>
      </c>
      <c r="Q1587" s="198" t="s">
        <v>159</v>
      </c>
      <c r="R1587" s="198" t="s">
        <v>160</v>
      </c>
      <c r="S1587" s="198" t="s">
        <v>54</v>
      </c>
      <c r="T1587" s="198" t="s">
        <v>739</v>
      </c>
      <c r="U1587" s="198" t="s">
        <v>367</v>
      </c>
      <c r="V1587" s="198" t="s">
        <v>56</v>
      </c>
      <c r="W1587" s="198" t="s">
        <v>356</v>
      </c>
      <c r="X1587" s="198" t="s">
        <v>161</v>
      </c>
      <c r="Y1587" s="198" t="s">
        <v>162</v>
      </c>
      <c r="Z1587" s="201">
        <v>46203</v>
      </c>
      <c r="AA1587" s="198" t="s">
        <v>59</v>
      </c>
      <c r="AB1587" s="198" t="s">
        <v>60</v>
      </c>
      <c r="AC1587" s="198" t="s">
        <v>86</v>
      </c>
      <c r="AD1587" s="198" t="s">
        <v>62</v>
      </c>
      <c r="AE1587" s="198" t="s">
        <v>54</v>
      </c>
      <c r="AF1587" s="198" t="s">
        <v>54</v>
      </c>
      <c r="AG1587" s="198" t="s">
        <v>189</v>
      </c>
      <c r="AH1587" s="198" t="s">
        <v>193</v>
      </c>
      <c r="AI1587" s="198" t="s">
        <v>56</v>
      </c>
      <c r="AJ1587" s="198" t="s">
        <v>163</v>
      </c>
      <c r="AK1587" s="198" t="s">
        <v>51</v>
      </c>
      <c r="AL1587" s="198" t="s">
        <v>67</v>
      </c>
      <c r="AM1587" s="198" t="s">
        <v>68</v>
      </c>
      <c r="AN1587" s="202">
        <v>100000</v>
      </c>
      <c r="AO1587" s="202">
        <v>100000</v>
      </c>
      <c r="AP1587" s="202">
        <v>100000</v>
      </c>
      <c r="AQ1587" s="198" t="s">
        <v>358</v>
      </c>
      <c r="AR1587" s="198" t="s">
        <v>51</v>
      </c>
      <c r="AS1587" s="202">
        <v>100000</v>
      </c>
      <c r="AT1587" s="202">
        <v>100000</v>
      </c>
      <c r="AU1587" s="198" t="s">
        <v>359</v>
      </c>
      <c r="AV1587" s="198" t="s">
        <v>62</v>
      </c>
      <c r="AW1587" s="198" t="s">
        <v>54</v>
      </c>
    </row>
    <row r="1588" spans="3:49" outlineLevel="2" x14ac:dyDescent="0.25">
      <c r="C1588" s="201"/>
      <c r="D1588" s="198" t="s">
        <v>192</v>
      </c>
      <c r="H1588" s="198" t="s">
        <v>192</v>
      </c>
      <c r="I1588" s="202">
        <f t="shared" si="24"/>
        <v>659491450.64999998</v>
      </c>
      <c r="J1588" s="202">
        <v>159.69999999999999</v>
      </c>
      <c r="L1588" s="204">
        <v>1</v>
      </c>
      <c r="M1588" s="202">
        <v>1240000</v>
      </c>
      <c r="N1588" s="204">
        <v>1</v>
      </c>
      <c r="O1588" s="198" t="s">
        <v>51</v>
      </c>
      <c r="P1588" s="202">
        <v>1240000</v>
      </c>
      <c r="Q1588" s="198" t="s">
        <v>159</v>
      </c>
      <c r="R1588" s="198" t="s">
        <v>160</v>
      </c>
      <c r="S1588" s="198" t="s">
        <v>54</v>
      </c>
      <c r="T1588" s="198" t="s">
        <v>739</v>
      </c>
      <c r="U1588" s="198" t="s">
        <v>367</v>
      </c>
      <c r="V1588" s="198" t="s">
        <v>56</v>
      </c>
      <c r="W1588" s="198" t="s">
        <v>356</v>
      </c>
      <c r="X1588" s="198" t="s">
        <v>161</v>
      </c>
      <c r="Y1588" s="198" t="s">
        <v>162</v>
      </c>
      <c r="Z1588" s="201">
        <v>46203</v>
      </c>
      <c r="AA1588" s="198" t="s">
        <v>59</v>
      </c>
      <c r="AB1588" s="198" t="s">
        <v>60</v>
      </c>
      <c r="AC1588" s="198" t="s">
        <v>86</v>
      </c>
      <c r="AD1588" s="198" t="s">
        <v>62</v>
      </c>
      <c r="AE1588" s="198" t="s">
        <v>54</v>
      </c>
      <c r="AF1588" s="198" t="s">
        <v>54</v>
      </c>
      <c r="AG1588" s="198" t="s">
        <v>189</v>
      </c>
      <c r="AH1588" s="198" t="s">
        <v>193</v>
      </c>
      <c r="AI1588" s="198" t="s">
        <v>56</v>
      </c>
      <c r="AJ1588" s="198" t="s">
        <v>163</v>
      </c>
      <c r="AK1588" s="198" t="s">
        <v>51</v>
      </c>
      <c r="AL1588" s="198" t="s">
        <v>67</v>
      </c>
      <c r="AM1588" s="198" t="s">
        <v>68</v>
      </c>
      <c r="AN1588" s="202">
        <v>1240000</v>
      </c>
      <c r="AO1588" s="202">
        <v>1240000</v>
      </c>
      <c r="AP1588" s="202">
        <v>1240000</v>
      </c>
      <c r="AQ1588" s="198" t="s">
        <v>358</v>
      </c>
      <c r="AR1588" s="198" t="s">
        <v>51</v>
      </c>
      <c r="AS1588" s="202">
        <v>1240000</v>
      </c>
      <c r="AT1588" s="202">
        <v>1240000</v>
      </c>
      <c r="AU1588" s="198" t="s">
        <v>359</v>
      </c>
      <c r="AV1588" s="198" t="s">
        <v>62</v>
      </c>
      <c r="AW1588" s="198" t="s">
        <v>54</v>
      </c>
    </row>
    <row r="1589" spans="3:49" outlineLevel="2" x14ac:dyDescent="0.25">
      <c r="C1589" s="201"/>
      <c r="D1589" s="198" t="s">
        <v>278</v>
      </c>
      <c r="H1589" s="198" t="s">
        <v>278</v>
      </c>
      <c r="I1589" s="202">
        <f t="shared" si="24"/>
        <v>659904407.10000002</v>
      </c>
      <c r="J1589" s="202">
        <v>159.80000000000001</v>
      </c>
      <c r="L1589" s="204">
        <v>1</v>
      </c>
      <c r="M1589" s="202">
        <v>637200</v>
      </c>
      <c r="N1589" s="204">
        <v>1</v>
      </c>
      <c r="O1589" s="198" t="s">
        <v>51</v>
      </c>
      <c r="P1589" s="202">
        <v>637200</v>
      </c>
      <c r="Q1589" s="198" t="s">
        <v>159</v>
      </c>
      <c r="R1589" s="198" t="s">
        <v>160</v>
      </c>
      <c r="S1589" s="198" t="s">
        <v>54</v>
      </c>
      <c r="T1589" s="198" t="s">
        <v>750</v>
      </c>
      <c r="U1589" s="198" t="s">
        <v>1753</v>
      </c>
      <c r="V1589" s="198" t="s">
        <v>56</v>
      </c>
      <c r="W1589" s="198" t="s">
        <v>356</v>
      </c>
      <c r="X1589" s="198" t="s">
        <v>161</v>
      </c>
      <c r="Y1589" s="198" t="s">
        <v>162</v>
      </c>
      <c r="Z1589" s="201">
        <v>46265</v>
      </c>
      <c r="AA1589" s="198" t="s">
        <v>59</v>
      </c>
      <c r="AB1589" s="198" t="s">
        <v>60</v>
      </c>
      <c r="AC1589" s="198" t="s">
        <v>86</v>
      </c>
      <c r="AD1589" s="198" t="s">
        <v>62</v>
      </c>
      <c r="AE1589" s="198" t="s">
        <v>54</v>
      </c>
      <c r="AF1589" s="198" t="s">
        <v>54</v>
      </c>
      <c r="AG1589" s="198" t="s">
        <v>564</v>
      </c>
      <c r="AH1589" s="198" t="s">
        <v>193</v>
      </c>
      <c r="AI1589" s="198" t="s">
        <v>56</v>
      </c>
      <c r="AJ1589" s="198" t="s">
        <v>163</v>
      </c>
      <c r="AK1589" s="198" t="s">
        <v>51</v>
      </c>
      <c r="AL1589" s="198" t="s">
        <v>67</v>
      </c>
      <c r="AM1589" s="198" t="s">
        <v>68</v>
      </c>
      <c r="AN1589" s="202">
        <v>637200</v>
      </c>
      <c r="AO1589" s="202">
        <v>637200</v>
      </c>
      <c r="AP1589" s="202">
        <v>637200</v>
      </c>
      <c r="AQ1589" s="198" t="s">
        <v>358</v>
      </c>
      <c r="AR1589" s="198" t="s">
        <v>51</v>
      </c>
      <c r="AS1589" s="202">
        <v>637200</v>
      </c>
      <c r="AT1589" s="202">
        <v>637200</v>
      </c>
      <c r="AU1589" s="198" t="s">
        <v>359</v>
      </c>
      <c r="AV1589" s="198" t="s">
        <v>62</v>
      </c>
      <c r="AW1589" s="198" t="s">
        <v>54</v>
      </c>
    </row>
    <row r="1590" spans="3:49" outlineLevel="2" x14ac:dyDescent="0.25">
      <c r="C1590" s="201"/>
      <c r="D1590" s="198" t="s">
        <v>278</v>
      </c>
      <c r="H1590" s="198" t="s">
        <v>278</v>
      </c>
      <c r="I1590" s="202">
        <f t="shared" si="24"/>
        <v>660317363.55000007</v>
      </c>
      <c r="J1590" s="202">
        <v>159.9</v>
      </c>
      <c r="L1590" s="204">
        <v>1</v>
      </c>
      <c r="M1590" s="202">
        <v>601800</v>
      </c>
      <c r="N1590" s="204">
        <v>1</v>
      </c>
      <c r="O1590" s="198" t="s">
        <v>51</v>
      </c>
      <c r="P1590" s="202">
        <v>601800</v>
      </c>
      <c r="Q1590" s="198" t="s">
        <v>159</v>
      </c>
      <c r="R1590" s="198" t="s">
        <v>160</v>
      </c>
      <c r="S1590" s="198" t="s">
        <v>54</v>
      </c>
      <c r="T1590" s="198" t="s">
        <v>750</v>
      </c>
      <c r="U1590" s="198" t="s">
        <v>1753</v>
      </c>
      <c r="V1590" s="198" t="s">
        <v>56</v>
      </c>
      <c r="W1590" s="198" t="s">
        <v>356</v>
      </c>
      <c r="X1590" s="198" t="s">
        <v>161</v>
      </c>
      <c r="Y1590" s="198" t="s">
        <v>162</v>
      </c>
      <c r="Z1590" s="201">
        <v>46265</v>
      </c>
      <c r="AA1590" s="198" t="s">
        <v>59</v>
      </c>
      <c r="AB1590" s="198" t="s">
        <v>60</v>
      </c>
      <c r="AC1590" s="198" t="s">
        <v>86</v>
      </c>
      <c r="AD1590" s="198" t="s">
        <v>62</v>
      </c>
      <c r="AE1590" s="198" t="s">
        <v>54</v>
      </c>
      <c r="AF1590" s="198" t="s">
        <v>54</v>
      </c>
      <c r="AG1590" s="198" t="s">
        <v>564</v>
      </c>
      <c r="AH1590" s="198" t="s">
        <v>193</v>
      </c>
      <c r="AI1590" s="198" t="s">
        <v>56</v>
      </c>
      <c r="AJ1590" s="198" t="s">
        <v>163</v>
      </c>
      <c r="AK1590" s="198" t="s">
        <v>51</v>
      </c>
      <c r="AL1590" s="198" t="s">
        <v>67</v>
      </c>
      <c r="AM1590" s="198" t="s">
        <v>68</v>
      </c>
      <c r="AN1590" s="202">
        <v>601800</v>
      </c>
      <c r="AO1590" s="202">
        <v>601800</v>
      </c>
      <c r="AP1590" s="202">
        <v>601800</v>
      </c>
      <c r="AQ1590" s="198" t="s">
        <v>358</v>
      </c>
      <c r="AR1590" s="198" t="s">
        <v>51</v>
      </c>
      <c r="AS1590" s="202">
        <v>601800</v>
      </c>
      <c r="AT1590" s="202">
        <v>601800</v>
      </c>
      <c r="AU1590" s="198" t="s">
        <v>359</v>
      </c>
      <c r="AV1590" s="198" t="s">
        <v>62</v>
      </c>
      <c r="AW1590" s="198" t="s">
        <v>54</v>
      </c>
    </row>
    <row r="1591" spans="3:49" outlineLevel="2" x14ac:dyDescent="0.25">
      <c r="C1591" s="201"/>
      <c r="D1591" s="198" t="s">
        <v>278</v>
      </c>
      <c r="H1591" s="198" t="s">
        <v>278</v>
      </c>
      <c r="I1591" s="202">
        <f t="shared" si="24"/>
        <v>660730320</v>
      </c>
      <c r="J1591" s="202">
        <v>160</v>
      </c>
      <c r="L1591" s="204">
        <v>1</v>
      </c>
      <c r="M1591" s="202">
        <v>14160</v>
      </c>
      <c r="N1591" s="204">
        <v>1</v>
      </c>
      <c r="O1591" s="198" t="s">
        <v>51</v>
      </c>
      <c r="P1591" s="202">
        <v>14160</v>
      </c>
      <c r="Q1591" s="198" t="s">
        <v>159</v>
      </c>
      <c r="R1591" s="198" t="s">
        <v>160</v>
      </c>
      <c r="S1591" s="198" t="s">
        <v>54</v>
      </c>
      <c r="T1591" s="198" t="s">
        <v>750</v>
      </c>
      <c r="U1591" s="198" t="s">
        <v>1753</v>
      </c>
      <c r="V1591" s="198" t="s">
        <v>56</v>
      </c>
      <c r="W1591" s="198" t="s">
        <v>356</v>
      </c>
      <c r="X1591" s="198" t="s">
        <v>161</v>
      </c>
      <c r="Y1591" s="198" t="s">
        <v>162</v>
      </c>
      <c r="Z1591" s="201">
        <v>46265</v>
      </c>
      <c r="AA1591" s="198" t="s">
        <v>59</v>
      </c>
      <c r="AB1591" s="198" t="s">
        <v>60</v>
      </c>
      <c r="AC1591" s="198" t="s">
        <v>86</v>
      </c>
      <c r="AD1591" s="198" t="s">
        <v>62</v>
      </c>
      <c r="AE1591" s="198" t="s">
        <v>54</v>
      </c>
      <c r="AF1591" s="198" t="s">
        <v>54</v>
      </c>
      <c r="AG1591" s="198" t="s">
        <v>564</v>
      </c>
      <c r="AH1591" s="198" t="s">
        <v>193</v>
      </c>
      <c r="AI1591" s="198" t="s">
        <v>56</v>
      </c>
      <c r="AJ1591" s="198" t="s">
        <v>163</v>
      </c>
      <c r="AK1591" s="198" t="s">
        <v>51</v>
      </c>
      <c r="AL1591" s="198" t="s">
        <v>67</v>
      </c>
      <c r="AM1591" s="198" t="s">
        <v>68</v>
      </c>
      <c r="AN1591" s="202">
        <v>14160</v>
      </c>
      <c r="AO1591" s="202">
        <v>14160</v>
      </c>
      <c r="AP1591" s="202">
        <v>14160</v>
      </c>
      <c r="AQ1591" s="198" t="s">
        <v>358</v>
      </c>
      <c r="AR1591" s="198" t="s">
        <v>51</v>
      </c>
      <c r="AS1591" s="202">
        <v>14160</v>
      </c>
      <c r="AT1591" s="202">
        <v>14160</v>
      </c>
      <c r="AU1591" s="198" t="s">
        <v>359</v>
      </c>
      <c r="AV1591" s="198" t="s">
        <v>62</v>
      </c>
      <c r="AW1591" s="198" t="s">
        <v>54</v>
      </c>
    </row>
    <row r="1592" spans="3:49" outlineLevel="2" x14ac:dyDescent="0.25">
      <c r="C1592" s="201"/>
      <c r="D1592" s="198" t="s">
        <v>276</v>
      </c>
      <c r="H1592" s="198" t="s">
        <v>276</v>
      </c>
      <c r="I1592" s="202">
        <f t="shared" si="24"/>
        <v>661143276.44999993</v>
      </c>
      <c r="J1592" s="202">
        <v>160.1</v>
      </c>
      <c r="L1592" s="204">
        <v>1</v>
      </c>
      <c r="M1592" s="202">
        <v>637200</v>
      </c>
      <c r="N1592" s="204">
        <v>0</v>
      </c>
      <c r="O1592" s="198" t="s">
        <v>51</v>
      </c>
      <c r="P1592" s="202">
        <v>155264.4</v>
      </c>
      <c r="Q1592" s="198" t="s">
        <v>159</v>
      </c>
      <c r="R1592" s="198" t="s">
        <v>160</v>
      </c>
      <c r="S1592" s="198" t="s">
        <v>54</v>
      </c>
      <c r="T1592" s="198" t="s">
        <v>750</v>
      </c>
      <c r="U1592" s="198" t="s">
        <v>1752</v>
      </c>
      <c r="V1592" s="198" t="s">
        <v>56</v>
      </c>
      <c r="W1592" s="198" t="s">
        <v>356</v>
      </c>
      <c r="X1592" s="198" t="s">
        <v>161</v>
      </c>
      <c r="Y1592" s="198" t="s">
        <v>162</v>
      </c>
      <c r="Z1592" s="201">
        <v>46265</v>
      </c>
      <c r="AA1592" s="198" t="s">
        <v>59</v>
      </c>
      <c r="AB1592" s="198" t="s">
        <v>60</v>
      </c>
      <c r="AC1592" s="198" t="s">
        <v>86</v>
      </c>
      <c r="AD1592" s="198" t="s">
        <v>62</v>
      </c>
      <c r="AE1592" s="198" t="s">
        <v>54</v>
      </c>
      <c r="AF1592" s="198" t="s">
        <v>54</v>
      </c>
      <c r="AG1592" s="198" t="s">
        <v>564</v>
      </c>
      <c r="AH1592" s="198" t="s">
        <v>143</v>
      </c>
      <c r="AI1592" s="198" t="s">
        <v>56</v>
      </c>
      <c r="AJ1592" s="198" t="s">
        <v>163</v>
      </c>
      <c r="AK1592" s="198" t="s">
        <v>51</v>
      </c>
      <c r="AL1592" s="198" t="s">
        <v>67</v>
      </c>
      <c r="AM1592" s="198" t="s">
        <v>68</v>
      </c>
      <c r="AN1592" s="202">
        <v>637200</v>
      </c>
      <c r="AO1592" s="202">
        <v>637200</v>
      </c>
      <c r="AP1592" s="202">
        <v>637200</v>
      </c>
      <c r="AQ1592" s="198" t="s">
        <v>358</v>
      </c>
      <c r="AR1592" s="198" t="s">
        <v>51</v>
      </c>
      <c r="AS1592" s="202">
        <v>155264.4</v>
      </c>
      <c r="AT1592" s="202">
        <v>155264.4</v>
      </c>
      <c r="AU1592" s="198" t="s">
        <v>359</v>
      </c>
      <c r="AV1592" s="198" t="s">
        <v>62</v>
      </c>
      <c r="AW1592" s="198" t="s">
        <v>54</v>
      </c>
    </row>
    <row r="1593" spans="3:49" outlineLevel="2" x14ac:dyDescent="0.25">
      <c r="C1593" s="201"/>
      <c r="D1593" s="198" t="s">
        <v>276</v>
      </c>
      <c r="H1593" s="198" t="s">
        <v>276</v>
      </c>
      <c r="I1593" s="202">
        <f t="shared" si="24"/>
        <v>661556232.89999998</v>
      </c>
      <c r="J1593" s="202">
        <v>160.19999999999999</v>
      </c>
      <c r="L1593" s="204">
        <v>1</v>
      </c>
      <c r="M1593" s="202">
        <v>601800</v>
      </c>
      <c r="N1593" s="204">
        <v>0</v>
      </c>
      <c r="O1593" s="198" t="s">
        <v>51</v>
      </c>
      <c r="P1593" s="202">
        <v>146638.6</v>
      </c>
      <c r="Q1593" s="198" t="s">
        <v>159</v>
      </c>
      <c r="R1593" s="198" t="s">
        <v>160</v>
      </c>
      <c r="S1593" s="198" t="s">
        <v>54</v>
      </c>
      <c r="T1593" s="198" t="s">
        <v>750</v>
      </c>
      <c r="U1593" s="198" t="s">
        <v>1752</v>
      </c>
      <c r="V1593" s="198" t="s">
        <v>56</v>
      </c>
      <c r="W1593" s="198" t="s">
        <v>356</v>
      </c>
      <c r="X1593" s="198" t="s">
        <v>161</v>
      </c>
      <c r="Y1593" s="198" t="s">
        <v>162</v>
      </c>
      <c r="Z1593" s="201">
        <v>46265</v>
      </c>
      <c r="AA1593" s="198" t="s">
        <v>59</v>
      </c>
      <c r="AB1593" s="198" t="s">
        <v>60</v>
      </c>
      <c r="AC1593" s="198" t="s">
        <v>86</v>
      </c>
      <c r="AD1593" s="198" t="s">
        <v>62</v>
      </c>
      <c r="AE1593" s="198" t="s">
        <v>54</v>
      </c>
      <c r="AF1593" s="198" t="s">
        <v>54</v>
      </c>
      <c r="AG1593" s="198" t="s">
        <v>564</v>
      </c>
      <c r="AH1593" s="198" t="s">
        <v>143</v>
      </c>
      <c r="AI1593" s="198" t="s">
        <v>56</v>
      </c>
      <c r="AJ1593" s="198" t="s">
        <v>163</v>
      </c>
      <c r="AK1593" s="198" t="s">
        <v>51</v>
      </c>
      <c r="AL1593" s="198" t="s">
        <v>67</v>
      </c>
      <c r="AM1593" s="198" t="s">
        <v>68</v>
      </c>
      <c r="AN1593" s="202">
        <v>601800</v>
      </c>
      <c r="AO1593" s="202">
        <v>601800</v>
      </c>
      <c r="AP1593" s="202">
        <v>601800</v>
      </c>
      <c r="AQ1593" s="198" t="s">
        <v>358</v>
      </c>
      <c r="AR1593" s="198" t="s">
        <v>51</v>
      </c>
      <c r="AS1593" s="202">
        <v>146638.6</v>
      </c>
      <c r="AT1593" s="202">
        <v>146638.6</v>
      </c>
      <c r="AU1593" s="198" t="s">
        <v>359</v>
      </c>
      <c r="AV1593" s="198" t="s">
        <v>62</v>
      </c>
      <c r="AW1593" s="198" t="s">
        <v>54</v>
      </c>
    </row>
    <row r="1594" spans="3:49" outlineLevel="2" x14ac:dyDescent="0.25">
      <c r="C1594" s="201"/>
      <c r="D1594" s="198" t="s">
        <v>276</v>
      </c>
      <c r="H1594" s="198" t="s">
        <v>276</v>
      </c>
      <c r="I1594" s="202">
        <f t="shared" si="24"/>
        <v>661969189.35000002</v>
      </c>
      <c r="J1594" s="202">
        <v>160.30000000000001</v>
      </c>
      <c r="L1594" s="204">
        <v>1</v>
      </c>
      <c r="M1594" s="202">
        <v>14160</v>
      </c>
      <c r="N1594" s="204">
        <v>0</v>
      </c>
      <c r="O1594" s="198" t="s">
        <v>51</v>
      </c>
      <c r="P1594" s="202">
        <v>3450.32</v>
      </c>
      <c r="Q1594" s="198" t="s">
        <v>159</v>
      </c>
      <c r="R1594" s="198" t="s">
        <v>160</v>
      </c>
      <c r="S1594" s="198" t="s">
        <v>54</v>
      </c>
      <c r="T1594" s="198" t="s">
        <v>750</v>
      </c>
      <c r="U1594" s="198" t="s">
        <v>1752</v>
      </c>
      <c r="V1594" s="198" t="s">
        <v>56</v>
      </c>
      <c r="W1594" s="198" t="s">
        <v>356</v>
      </c>
      <c r="X1594" s="198" t="s">
        <v>161</v>
      </c>
      <c r="Y1594" s="198" t="s">
        <v>162</v>
      </c>
      <c r="Z1594" s="201">
        <v>46265</v>
      </c>
      <c r="AA1594" s="198" t="s">
        <v>59</v>
      </c>
      <c r="AB1594" s="198" t="s">
        <v>60</v>
      </c>
      <c r="AC1594" s="198" t="s">
        <v>86</v>
      </c>
      <c r="AD1594" s="198" t="s">
        <v>62</v>
      </c>
      <c r="AE1594" s="198" t="s">
        <v>54</v>
      </c>
      <c r="AF1594" s="198" t="s">
        <v>54</v>
      </c>
      <c r="AG1594" s="198" t="s">
        <v>564</v>
      </c>
      <c r="AH1594" s="198" t="s">
        <v>143</v>
      </c>
      <c r="AI1594" s="198" t="s">
        <v>56</v>
      </c>
      <c r="AJ1594" s="198" t="s">
        <v>163</v>
      </c>
      <c r="AK1594" s="198" t="s">
        <v>51</v>
      </c>
      <c r="AL1594" s="198" t="s">
        <v>67</v>
      </c>
      <c r="AM1594" s="198" t="s">
        <v>68</v>
      </c>
      <c r="AN1594" s="202">
        <v>14160</v>
      </c>
      <c r="AO1594" s="202">
        <v>14160</v>
      </c>
      <c r="AP1594" s="202">
        <v>14160</v>
      </c>
      <c r="AQ1594" s="198" t="s">
        <v>358</v>
      </c>
      <c r="AR1594" s="198" t="s">
        <v>51</v>
      </c>
      <c r="AS1594" s="202">
        <v>3450.32</v>
      </c>
      <c r="AT1594" s="202">
        <v>3450.32</v>
      </c>
      <c r="AU1594" s="198" t="s">
        <v>359</v>
      </c>
      <c r="AV1594" s="198" t="s">
        <v>62</v>
      </c>
      <c r="AW1594" s="198" t="s">
        <v>54</v>
      </c>
    </row>
    <row r="1595" spans="3:49" outlineLevel="2" x14ac:dyDescent="0.25">
      <c r="C1595" s="201"/>
      <c r="D1595" s="198" t="s">
        <v>287</v>
      </c>
      <c r="H1595" s="198" t="s">
        <v>287</v>
      </c>
      <c r="I1595" s="202">
        <f t="shared" si="24"/>
        <v>662382145.80000007</v>
      </c>
      <c r="J1595" s="202">
        <v>160.4</v>
      </c>
      <c r="L1595" s="204">
        <v>1</v>
      </c>
      <c r="M1595" s="202">
        <v>1253160</v>
      </c>
      <c r="N1595" s="204">
        <v>0</v>
      </c>
      <c r="O1595" s="198" t="s">
        <v>51</v>
      </c>
      <c r="P1595" s="202">
        <v>289271.09999999998</v>
      </c>
      <c r="Q1595" s="198" t="s">
        <v>159</v>
      </c>
      <c r="R1595" s="198" t="s">
        <v>160</v>
      </c>
      <c r="S1595" s="198" t="s">
        <v>54</v>
      </c>
      <c r="T1595" s="198" t="s">
        <v>750</v>
      </c>
      <c r="U1595" s="198" t="s">
        <v>367</v>
      </c>
      <c r="V1595" s="198" t="s">
        <v>56</v>
      </c>
      <c r="W1595" s="198" t="s">
        <v>356</v>
      </c>
      <c r="X1595" s="198" t="s">
        <v>161</v>
      </c>
      <c r="Y1595" s="198" t="s">
        <v>162</v>
      </c>
      <c r="Z1595" s="201">
        <v>46265</v>
      </c>
      <c r="AA1595" s="198" t="s">
        <v>59</v>
      </c>
      <c r="AB1595" s="198" t="s">
        <v>60</v>
      </c>
      <c r="AC1595" s="198" t="s">
        <v>86</v>
      </c>
      <c r="AD1595" s="198" t="s">
        <v>62</v>
      </c>
      <c r="AE1595" s="198" t="s">
        <v>54</v>
      </c>
      <c r="AF1595" s="198" t="s">
        <v>54</v>
      </c>
      <c r="AG1595" s="198" t="s">
        <v>564</v>
      </c>
      <c r="AH1595" s="198" t="s">
        <v>156</v>
      </c>
      <c r="AI1595" s="198" t="s">
        <v>56</v>
      </c>
      <c r="AJ1595" s="198" t="s">
        <v>163</v>
      </c>
      <c r="AK1595" s="198" t="s">
        <v>51</v>
      </c>
      <c r="AL1595" s="198" t="s">
        <v>67</v>
      </c>
      <c r="AM1595" s="198" t="s">
        <v>68</v>
      </c>
      <c r="AN1595" s="202">
        <v>1253160</v>
      </c>
      <c r="AO1595" s="202">
        <v>1253160</v>
      </c>
      <c r="AP1595" s="202">
        <v>1253160</v>
      </c>
      <c r="AQ1595" s="198" t="s">
        <v>358</v>
      </c>
      <c r="AR1595" s="198" t="s">
        <v>51</v>
      </c>
      <c r="AS1595" s="202">
        <v>289271.09999999998</v>
      </c>
      <c r="AT1595" s="202">
        <v>289271.09999999998</v>
      </c>
      <c r="AU1595" s="198" t="s">
        <v>359</v>
      </c>
      <c r="AV1595" s="198" t="s">
        <v>62</v>
      </c>
      <c r="AW1595" s="198" t="s">
        <v>54</v>
      </c>
    </row>
    <row r="1596" spans="3:49" outlineLevel="2" x14ac:dyDescent="0.25">
      <c r="C1596" s="201"/>
      <c r="D1596" s="198" t="s">
        <v>233</v>
      </c>
      <c r="H1596" s="198" t="s">
        <v>233</v>
      </c>
      <c r="I1596" s="202">
        <f t="shared" si="24"/>
        <v>662795102.25</v>
      </c>
      <c r="J1596" s="202">
        <v>160.5</v>
      </c>
      <c r="L1596" s="203">
        <v>0.128</v>
      </c>
      <c r="M1596" s="202">
        <v>7981680</v>
      </c>
      <c r="N1596" s="203">
        <v>0.128</v>
      </c>
      <c r="O1596" s="198" t="s">
        <v>51</v>
      </c>
      <c r="P1596" s="202">
        <v>7981680</v>
      </c>
      <c r="Q1596" s="198" t="s">
        <v>159</v>
      </c>
      <c r="R1596" s="198" t="s">
        <v>160</v>
      </c>
      <c r="S1596" s="198" t="s">
        <v>54</v>
      </c>
      <c r="T1596" s="198" t="s">
        <v>673</v>
      </c>
      <c r="U1596" s="198" t="s">
        <v>367</v>
      </c>
      <c r="V1596" s="198" t="s">
        <v>56</v>
      </c>
      <c r="W1596" s="198" t="s">
        <v>356</v>
      </c>
      <c r="X1596" s="198" t="s">
        <v>161</v>
      </c>
      <c r="Y1596" s="198" t="s">
        <v>162</v>
      </c>
      <c r="Z1596" s="201">
        <v>46234</v>
      </c>
      <c r="AA1596" s="198" t="s">
        <v>59</v>
      </c>
      <c r="AB1596" s="198" t="s">
        <v>60</v>
      </c>
      <c r="AC1596" s="198" t="s">
        <v>86</v>
      </c>
      <c r="AD1596" s="198" t="s">
        <v>62</v>
      </c>
      <c r="AE1596" s="198" t="s">
        <v>54</v>
      </c>
      <c r="AF1596" s="198" t="s">
        <v>54</v>
      </c>
      <c r="AG1596" s="198" t="s">
        <v>248</v>
      </c>
      <c r="AH1596" s="198" t="s">
        <v>95</v>
      </c>
      <c r="AI1596" s="198" t="s">
        <v>56</v>
      </c>
      <c r="AJ1596" s="198" t="s">
        <v>163</v>
      </c>
      <c r="AK1596" s="198" t="s">
        <v>51</v>
      </c>
      <c r="AL1596" s="198" t="s">
        <v>67</v>
      </c>
      <c r="AM1596" s="198" t="s">
        <v>68</v>
      </c>
      <c r="AN1596" s="202">
        <v>7981680</v>
      </c>
      <c r="AO1596" s="202">
        <v>7981680</v>
      </c>
      <c r="AP1596" s="202">
        <v>7981680</v>
      </c>
      <c r="AQ1596" s="198" t="s">
        <v>358</v>
      </c>
      <c r="AR1596" s="198" t="s">
        <v>51</v>
      </c>
      <c r="AS1596" s="202">
        <v>7981680</v>
      </c>
      <c r="AT1596" s="202">
        <v>7981680</v>
      </c>
      <c r="AU1596" s="198" t="s">
        <v>359</v>
      </c>
      <c r="AV1596" s="198" t="s">
        <v>62</v>
      </c>
      <c r="AW1596" s="198" t="s">
        <v>54</v>
      </c>
    </row>
    <row r="1597" spans="3:49" outlineLevel="2" x14ac:dyDescent="0.25">
      <c r="C1597" s="201"/>
      <c r="D1597" s="198" t="s">
        <v>238</v>
      </c>
      <c r="H1597" s="198" t="s">
        <v>238</v>
      </c>
      <c r="I1597" s="202">
        <f t="shared" si="24"/>
        <v>663208058.69999993</v>
      </c>
      <c r="J1597" s="202">
        <v>160.6</v>
      </c>
      <c r="L1597" s="203">
        <v>0.28899999999999998</v>
      </c>
      <c r="M1597" s="202">
        <v>17986836</v>
      </c>
      <c r="N1597" s="203">
        <v>0.28899999999999998</v>
      </c>
      <c r="O1597" s="198" t="s">
        <v>51</v>
      </c>
      <c r="P1597" s="202">
        <v>17986836</v>
      </c>
      <c r="Q1597" s="198" t="s">
        <v>159</v>
      </c>
      <c r="R1597" s="198" t="s">
        <v>160</v>
      </c>
      <c r="S1597" s="198" t="s">
        <v>54</v>
      </c>
      <c r="T1597" s="198" t="s">
        <v>673</v>
      </c>
      <c r="U1597" s="198" t="s">
        <v>367</v>
      </c>
      <c r="V1597" s="198" t="s">
        <v>147</v>
      </c>
      <c r="W1597" s="198" t="s">
        <v>356</v>
      </c>
      <c r="X1597" s="198" t="s">
        <v>161</v>
      </c>
      <c r="Y1597" s="198" t="s">
        <v>162</v>
      </c>
      <c r="Z1597" s="201">
        <v>46234</v>
      </c>
      <c r="AA1597" s="198" t="s">
        <v>59</v>
      </c>
      <c r="AB1597" s="198" t="s">
        <v>60</v>
      </c>
      <c r="AC1597" s="198" t="s">
        <v>86</v>
      </c>
      <c r="AD1597" s="198" t="s">
        <v>62</v>
      </c>
      <c r="AE1597" s="198" t="s">
        <v>54</v>
      </c>
      <c r="AF1597" s="198" t="s">
        <v>54</v>
      </c>
      <c r="AG1597" s="198" t="s">
        <v>248</v>
      </c>
      <c r="AH1597" s="198" t="s">
        <v>95</v>
      </c>
      <c r="AI1597" s="198" t="s">
        <v>56</v>
      </c>
      <c r="AJ1597" s="198" t="s">
        <v>163</v>
      </c>
      <c r="AK1597" s="198" t="s">
        <v>51</v>
      </c>
      <c r="AL1597" s="198" t="s">
        <v>67</v>
      </c>
      <c r="AM1597" s="198" t="s">
        <v>68</v>
      </c>
      <c r="AN1597" s="202">
        <v>17986836</v>
      </c>
      <c r="AO1597" s="202">
        <v>17986836</v>
      </c>
      <c r="AP1597" s="202">
        <v>17986836</v>
      </c>
      <c r="AQ1597" s="198" t="s">
        <v>358</v>
      </c>
      <c r="AR1597" s="198" t="s">
        <v>51</v>
      </c>
      <c r="AS1597" s="202">
        <v>17986836</v>
      </c>
      <c r="AT1597" s="202">
        <v>17986836</v>
      </c>
      <c r="AU1597" s="198" t="s">
        <v>359</v>
      </c>
      <c r="AV1597" s="198" t="s">
        <v>62</v>
      </c>
      <c r="AW1597" s="198" t="s">
        <v>54</v>
      </c>
    </row>
    <row r="1598" spans="3:49" outlineLevel="2" x14ac:dyDescent="0.25">
      <c r="C1598" s="201"/>
      <c r="D1598" s="198" t="s">
        <v>231</v>
      </c>
      <c r="H1598" s="198" t="s">
        <v>231</v>
      </c>
      <c r="I1598" s="202">
        <f t="shared" si="24"/>
        <v>663621015.14999998</v>
      </c>
      <c r="J1598" s="202">
        <v>160.69999999999999</v>
      </c>
      <c r="L1598" s="203">
        <v>7.0999999999999994E-2</v>
      </c>
      <c r="M1598" s="202">
        <v>4443600</v>
      </c>
      <c r="N1598" s="203">
        <v>7.0999999999999994E-2</v>
      </c>
      <c r="O1598" s="198" t="s">
        <v>51</v>
      </c>
      <c r="P1598" s="202">
        <v>4443600</v>
      </c>
      <c r="Q1598" s="198" t="s">
        <v>159</v>
      </c>
      <c r="R1598" s="198" t="s">
        <v>160</v>
      </c>
      <c r="S1598" s="198" t="s">
        <v>54</v>
      </c>
      <c r="T1598" s="198" t="s">
        <v>673</v>
      </c>
      <c r="U1598" s="198" t="s">
        <v>367</v>
      </c>
      <c r="V1598" s="198" t="s">
        <v>189</v>
      </c>
      <c r="W1598" s="198" t="s">
        <v>356</v>
      </c>
      <c r="X1598" s="198" t="s">
        <v>161</v>
      </c>
      <c r="Y1598" s="198" t="s">
        <v>162</v>
      </c>
      <c r="Z1598" s="201">
        <v>46234</v>
      </c>
      <c r="AA1598" s="198" t="s">
        <v>59</v>
      </c>
      <c r="AB1598" s="198" t="s">
        <v>60</v>
      </c>
      <c r="AC1598" s="198" t="s">
        <v>86</v>
      </c>
      <c r="AD1598" s="198" t="s">
        <v>62</v>
      </c>
      <c r="AE1598" s="198" t="s">
        <v>54</v>
      </c>
      <c r="AF1598" s="198" t="s">
        <v>54</v>
      </c>
      <c r="AG1598" s="198" t="s">
        <v>248</v>
      </c>
      <c r="AH1598" s="198" t="s">
        <v>95</v>
      </c>
      <c r="AI1598" s="198" t="s">
        <v>56</v>
      </c>
      <c r="AJ1598" s="198" t="s">
        <v>163</v>
      </c>
      <c r="AK1598" s="198" t="s">
        <v>51</v>
      </c>
      <c r="AL1598" s="198" t="s">
        <v>67</v>
      </c>
      <c r="AM1598" s="198" t="s">
        <v>68</v>
      </c>
      <c r="AN1598" s="202">
        <v>4443600</v>
      </c>
      <c r="AO1598" s="202">
        <v>4443600</v>
      </c>
      <c r="AP1598" s="202">
        <v>4443600</v>
      </c>
      <c r="AQ1598" s="198" t="s">
        <v>358</v>
      </c>
      <c r="AR1598" s="198" t="s">
        <v>51</v>
      </c>
      <c r="AS1598" s="202">
        <v>4443600</v>
      </c>
      <c r="AT1598" s="202">
        <v>4443600</v>
      </c>
      <c r="AU1598" s="198" t="s">
        <v>359</v>
      </c>
      <c r="AV1598" s="198" t="s">
        <v>62</v>
      </c>
      <c r="AW1598" s="198" t="s">
        <v>54</v>
      </c>
    </row>
    <row r="1599" spans="3:49" outlineLevel="2" x14ac:dyDescent="0.25">
      <c r="C1599" s="201"/>
      <c r="D1599" s="198" t="s">
        <v>234</v>
      </c>
      <c r="H1599" s="198" t="s">
        <v>234</v>
      </c>
      <c r="I1599" s="202">
        <f t="shared" si="24"/>
        <v>664033971.60000002</v>
      </c>
      <c r="J1599" s="202">
        <v>160.80000000000001</v>
      </c>
      <c r="L1599" s="203">
        <v>1.2E-2</v>
      </c>
      <c r="M1599" s="202">
        <v>720000</v>
      </c>
      <c r="N1599" s="203">
        <v>1.2E-2</v>
      </c>
      <c r="O1599" s="198" t="s">
        <v>51</v>
      </c>
      <c r="P1599" s="202">
        <v>720000</v>
      </c>
      <c r="Q1599" s="198" t="s">
        <v>159</v>
      </c>
      <c r="R1599" s="198" t="s">
        <v>160</v>
      </c>
      <c r="S1599" s="198" t="s">
        <v>54</v>
      </c>
      <c r="T1599" s="198" t="s">
        <v>673</v>
      </c>
      <c r="U1599" s="198" t="s">
        <v>367</v>
      </c>
      <c r="V1599" s="198" t="s">
        <v>248</v>
      </c>
      <c r="W1599" s="198" t="s">
        <v>356</v>
      </c>
      <c r="X1599" s="198" t="s">
        <v>161</v>
      </c>
      <c r="Y1599" s="198" t="s">
        <v>162</v>
      </c>
      <c r="Z1599" s="201">
        <v>46234</v>
      </c>
      <c r="AA1599" s="198" t="s">
        <v>59</v>
      </c>
      <c r="AB1599" s="198" t="s">
        <v>60</v>
      </c>
      <c r="AC1599" s="198" t="s">
        <v>86</v>
      </c>
      <c r="AD1599" s="198" t="s">
        <v>62</v>
      </c>
      <c r="AE1599" s="198" t="s">
        <v>54</v>
      </c>
      <c r="AF1599" s="198" t="s">
        <v>54</v>
      </c>
      <c r="AG1599" s="198" t="s">
        <v>248</v>
      </c>
      <c r="AH1599" s="198" t="s">
        <v>95</v>
      </c>
      <c r="AI1599" s="198" t="s">
        <v>56</v>
      </c>
      <c r="AJ1599" s="198" t="s">
        <v>163</v>
      </c>
      <c r="AK1599" s="198" t="s">
        <v>51</v>
      </c>
      <c r="AL1599" s="198" t="s">
        <v>67</v>
      </c>
      <c r="AM1599" s="198" t="s">
        <v>68</v>
      </c>
      <c r="AN1599" s="202">
        <v>720000</v>
      </c>
      <c r="AO1599" s="202">
        <v>720000</v>
      </c>
      <c r="AP1599" s="202">
        <v>720000</v>
      </c>
      <c r="AQ1599" s="198" t="s">
        <v>358</v>
      </c>
      <c r="AR1599" s="198" t="s">
        <v>51</v>
      </c>
      <c r="AS1599" s="202">
        <v>720000</v>
      </c>
      <c r="AT1599" s="202">
        <v>720000</v>
      </c>
      <c r="AU1599" s="198" t="s">
        <v>359</v>
      </c>
      <c r="AV1599" s="198" t="s">
        <v>62</v>
      </c>
      <c r="AW1599" s="198" t="s">
        <v>54</v>
      </c>
    </row>
    <row r="1600" spans="3:49" outlineLevel="2" x14ac:dyDescent="0.25">
      <c r="C1600" s="201"/>
      <c r="D1600" s="198" t="s">
        <v>751</v>
      </c>
      <c r="H1600" s="198" t="s">
        <v>751</v>
      </c>
      <c r="I1600" s="202">
        <f t="shared" si="24"/>
        <v>664446928.05000007</v>
      </c>
      <c r="J1600" s="202">
        <v>160.9</v>
      </c>
      <c r="L1600" s="203">
        <v>7.6999999999999999E-2</v>
      </c>
      <c r="M1600" s="202">
        <v>4766800</v>
      </c>
      <c r="N1600" s="203">
        <v>7.6999999999999999E-2</v>
      </c>
      <c r="O1600" s="198" t="s">
        <v>51</v>
      </c>
      <c r="P1600" s="202">
        <v>4766800</v>
      </c>
      <c r="Q1600" s="198" t="s">
        <v>159</v>
      </c>
      <c r="R1600" s="198" t="s">
        <v>160</v>
      </c>
      <c r="S1600" s="198" t="s">
        <v>54</v>
      </c>
      <c r="T1600" s="198" t="s">
        <v>673</v>
      </c>
      <c r="U1600" s="198" t="s">
        <v>367</v>
      </c>
      <c r="V1600" s="198" t="s">
        <v>564</v>
      </c>
      <c r="W1600" s="198" t="s">
        <v>356</v>
      </c>
      <c r="X1600" s="198" t="s">
        <v>161</v>
      </c>
      <c r="Y1600" s="198" t="s">
        <v>162</v>
      </c>
      <c r="Z1600" s="201">
        <v>46234</v>
      </c>
      <c r="AA1600" s="198" t="s">
        <v>59</v>
      </c>
      <c r="AB1600" s="198" t="s">
        <v>60</v>
      </c>
      <c r="AC1600" s="198" t="s">
        <v>86</v>
      </c>
      <c r="AD1600" s="198" t="s">
        <v>62</v>
      </c>
      <c r="AE1600" s="198" t="s">
        <v>54</v>
      </c>
      <c r="AF1600" s="198" t="s">
        <v>54</v>
      </c>
      <c r="AG1600" s="198" t="s">
        <v>248</v>
      </c>
      <c r="AH1600" s="198" t="s">
        <v>95</v>
      </c>
      <c r="AI1600" s="198" t="s">
        <v>56</v>
      </c>
      <c r="AJ1600" s="198" t="s">
        <v>163</v>
      </c>
      <c r="AK1600" s="198" t="s">
        <v>51</v>
      </c>
      <c r="AL1600" s="198" t="s">
        <v>67</v>
      </c>
      <c r="AM1600" s="198" t="s">
        <v>68</v>
      </c>
      <c r="AN1600" s="202">
        <v>4766800</v>
      </c>
      <c r="AO1600" s="202">
        <v>4766800</v>
      </c>
      <c r="AP1600" s="202">
        <v>4766800</v>
      </c>
      <c r="AQ1600" s="198" t="s">
        <v>358</v>
      </c>
      <c r="AR1600" s="198" t="s">
        <v>51</v>
      </c>
      <c r="AS1600" s="202">
        <v>4766800</v>
      </c>
      <c r="AT1600" s="202">
        <v>4766800</v>
      </c>
      <c r="AU1600" s="198" t="s">
        <v>359</v>
      </c>
      <c r="AV1600" s="198" t="s">
        <v>62</v>
      </c>
      <c r="AW1600" s="198" t="s">
        <v>54</v>
      </c>
    </row>
    <row r="1601" spans="3:49" outlineLevel="2" x14ac:dyDescent="0.25">
      <c r="C1601" s="201"/>
      <c r="D1601" s="198" t="s">
        <v>236</v>
      </c>
      <c r="H1601" s="198" t="s">
        <v>236</v>
      </c>
      <c r="I1601" s="202">
        <f t="shared" si="24"/>
        <v>664859884.5</v>
      </c>
      <c r="J1601" s="202">
        <v>161</v>
      </c>
      <c r="L1601" s="203">
        <v>0.378</v>
      </c>
      <c r="M1601" s="202">
        <v>23518859</v>
      </c>
      <c r="N1601" s="203">
        <v>0.378</v>
      </c>
      <c r="O1601" s="198" t="s">
        <v>51</v>
      </c>
      <c r="P1601" s="202">
        <v>23518859</v>
      </c>
      <c r="Q1601" s="198" t="s">
        <v>159</v>
      </c>
      <c r="R1601" s="198" t="s">
        <v>160</v>
      </c>
      <c r="S1601" s="198" t="s">
        <v>54</v>
      </c>
      <c r="T1601" s="198" t="s">
        <v>673</v>
      </c>
      <c r="U1601" s="198" t="s">
        <v>367</v>
      </c>
      <c r="V1601" s="198" t="s">
        <v>214</v>
      </c>
      <c r="W1601" s="198" t="s">
        <v>356</v>
      </c>
      <c r="X1601" s="198" t="s">
        <v>161</v>
      </c>
      <c r="Y1601" s="198" t="s">
        <v>162</v>
      </c>
      <c r="Z1601" s="201">
        <v>46234</v>
      </c>
      <c r="AA1601" s="198" t="s">
        <v>59</v>
      </c>
      <c r="AB1601" s="198" t="s">
        <v>60</v>
      </c>
      <c r="AC1601" s="198" t="s">
        <v>86</v>
      </c>
      <c r="AD1601" s="198" t="s">
        <v>62</v>
      </c>
      <c r="AE1601" s="198" t="s">
        <v>54</v>
      </c>
      <c r="AF1601" s="198" t="s">
        <v>54</v>
      </c>
      <c r="AG1601" s="198" t="s">
        <v>248</v>
      </c>
      <c r="AH1601" s="198" t="s">
        <v>95</v>
      </c>
      <c r="AI1601" s="198" t="s">
        <v>56</v>
      </c>
      <c r="AJ1601" s="198" t="s">
        <v>163</v>
      </c>
      <c r="AK1601" s="198" t="s">
        <v>51</v>
      </c>
      <c r="AL1601" s="198" t="s">
        <v>67</v>
      </c>
      <c r="AM1601" s="198" t="s">
        <v>68</v>
      </c>
      <c r="AN1601" s="202">
        <v>23518859</v>
      </c>
      <c r="AO1601" s="202">
        <v>23518859</v>
      </c>
      <c r="AP1601" s="202">
        <v>23518859</v>
      </c>
      <c r="AQ1601" s="198" t="s">
        <v>358</v>
      </c>
      <c r="AR1601" s="198" t="s">
        <v>51</v>
      </c>
      <c r="AS1601" s="202">
        <v>23518859</v>
      </c>
      <c r="AT1601" s="202">
        <v>23518859</v>
      </c>
      <c r="AU1601" s="198" t="s">
        <v>359</v>
      </c>
      <c r="AV1601" s="198" t="s">
        <v>62</v>
      </c>
      <c r="AW1601" s="198" t="s">
        <v>54</v>
      </c>
    </row>
    <row r="1602" spans="3:49" outlineLevel="2" x14ac:dyDescent="0.25">
      <c r="C1602" s="201"/>
      <c r="D1602" s="198" t="s">
        <v>237</v>
      </c>
      <c r="H1602" s="198" t="s">
        <v>237</v>
      </c>
      <c r="I1602" s="202">
        <f t="shared" si="24"/>
        <v>665272840.94999993</v>
      </c>
      <c r="J1602" s="202">
        <v>161.1</v>
      </c>
      <c r="L1602" s="203">
        <v>4.4999999999999998E-2</v>
      </c>
      <c r="M1602" s="202">
        <v>2779798</v>
      </c>
      <c r="N1602" s="203">
        <v>4.4999999999999998E-2</v>
      </c>
      <c r="O1602" s="198" t="s">
        <v>51</v>
      </c>
      <c r="P1602" s="202">
        <v>2779798</v>
      </c>
      <c r="Q1602" s="198" t="s">
        <v>159</v>
      </c>
      <c r="R1602" s="198" t="s">
        <v>160</v>
      </c>
      <c r="S1602" s="198" t="s">
        <v>54</v>
      </c>
      <c r="T1602" s="198" t="s">
        <v>673</v>
      </c>
      <c r="U1602" s="198" t="s">
        <v>367</v>
      </c>
      <c r="V1602" s="198" t="s">
        <v>235</v>
      </c>
      <c r="W1602" s="198" t="s">
        <v>356</v>
      </c>
      <c r="X1602" s="198" t="s">
        <v>161</v>
      </c>
      <c r="Y1602" s="198" t="s">
        <v>162</v>
      </c>
      <c r="Z1602" s="201">
        <v>46234</v>
      </c>
      <c r="AA1602" s="198" t="s">
        <v>59</v>
      </c>
      <c r="AB1602" s="198" t="s">
        <v>60</v>
      </c>
      <c r="AC1602" s="198" t="s">
        <v>86</v>
      </c>
      <c r="AD1602" s="198" t="s">
        <v>62</v>
      </c>
      <c r="AE1602" s="198" t="s">
        <v>54</v>
      </c>
      <c r="AF1602" s="198" t="s">
        <v>54</v>
      </c>
      <c r="AG1602" s="198" t="s">
        <v>248</v>
      </c>
      <c r="AH1602" s="198" t="s">
        <v>95</v>
      </c>
      <c r="AI1602" s="198" t="s">
        <v>56</v>
      </c>
      <c r="AJ1602" s="198" t="s">
        <v>163</v>
      </c>
      <c r="AK1602" s="198" t="s">
        <v>51</v>
      </c>
      <c r="AL1602" s="198" t="s">
        <v>67</v>
      </c>
      <c r="AM1602" s="198" t="s">
        <v>68</v>
      </c>
      <c r="AN1602" s="202">
        <v>2779798</v>
      </c>
      <c r="AO1602" s="202">
        <v>2779798</v>
      </c>
      <c r="AP1602" s="202">
        <v>2779798</v>
      </c>
      <c r="AQ1602" s="198" t="s">
        <v>358</v>
      </c>
      <c r="AR1602" s="198" t="s">
        <v>51</v>
      </c>
      <c r="AS1602" s="202">
        <v>2779798</v>
      </c>
      <c r="AT1602" s="202">
        <v>2779798</v>
      </c>
      <c r="AU1602" s="198" t="s">
        <v>359</v>
      </c>
      <c r="AV1602" s="198" t="s">
        <v>62</v>
      </c>
      <c r="AW1602" s="198" t="s">
        <v>54</v>
      </c>
    </row>
    <row r="1603" spans="3:49" outlineLevel="2" x14ac:dyDescent="0.25">
      <c r="C1603" s="201"/>
      <c r="D1603" s="198" t="s">
        <v>240</v>
      </c>
      <c r="H1603" s="198" t="s">
        <v>240</v>
      </c>
      <c r="I1603" s="202">
        <f t="shared" ref="I1603:I1666" si="25">J1603*4129564.5</f>
        <v>665685797.39999998</v>
      </c>
      <c r="J1603" s="202">
        <v>161.19999999999999</v>
      </c>
      <c r="L1603" s="203">
        <v>0.13400000000000001</v>
      </c>
      <c r="M1603" s="202">
        <v>20368800</v>
      </c>
      <c r="N1603" s="203">
        <v>0.13400000000000001</v>
      </c>
      <c r="O1603" s="198" t="s">
        <v>51</v>
      </c>
      <c r="P1603" s="202">
        <v>20368800</v>
      </c>
      <c r="Q1603" s="198" t="s">
        <v>159</v>
      </c>
      <c r="R1603" s="198" t="s">
        <v>160</v>
      </c>
      <c r="S1603" s="198" t="s">
        <v>54</v>
      </c>
      <c r="T1603" s="198" t="s">
        <v>585</v>
      </c>
      <c r="U1603" s="198" t="s">
        <v>80</v>
      </c>
      <c r="V1603" s="198" t="s">
        <v>56</v>
      </c>
      <c r="W1603" s="198" t="s">
        <v>356</v>
      </c>
      <c r="X1603" s="198" t="s">
        <v>161</v>
      </c>
      <c r="Y1603" s="198" t="s">
        <v>162</v>
      </c>
      <c r="Z1603" s="201">
        <v>46234</v>
      </c>
      <c r="AA1603" s="198" t="s">
        <v>59</v>
      </c>
      <c r="AB1603" s="198" t="s">
        <v>60</v>
      </c>
      <c r="AC1603" s="198" t="s">
        <v>86</v>
      </c>
      <c r="AD1603" s="198" t="s">
        <v>62</v>
      </c>
      <c r="AE1603" s="198" t="s">
        <v>54</v>
      </c>
      <c r="AF1603" s="198" t="s">
        <v>54</v>
      </c>
      <c r="AG1603" s="198" t="s">
        <v>248</v>
      </c>
      <c r="AH1603" s="198" t="s">
        <v>89</v>
      </c>
      <c r="AI1603" s="198" t="s">
        <v>56</v>
      </c>
      <c r="AJ1603" s="198" t="s">
        <v>163</v>
      </c>
      <c r="AK1603" s="198" t="s">
        <v>51</v>
      </c>
      <c r="AL1603" s="198" t="s">
        <v>67</v>
      </c>
      <c r="AM1603" s="198" t="s">
        <v>68</v>
      </c>
      <c r="AN1603" s="202">
        <v>20368800</v>
      </c>
      <c r="AO1603" s="202">
        <v>20368800</v>
      </c>
      <c r="AP1603" s="202">
        <v>20368800</v>
      </c>
      <c r="AQ1603" s="198" t="s">
        <v>358</v>
      </c>
      <c r="AR1603" s="198" t="s">
        <v>51</v>
      </c>
      <c r="AS1603" s="202">
        <v>20368800</v>
      </c>
      <c r="AT1603" s="202">
        <v>20368800</v>
      </c>
      <c r="AU1603" s="198" t="s">
        <v>359</v>
      </c>
      <c r="AV1603" s="198" t="s">
        <v>62</v>
      </c>
      <c r="AW1603" s="198" t="s">
        <v>587</v>
      </c>
    </row>
    <row r="1604" spans="3:49" outlineLevel="2" x14ac:dyDescent="0.25">
      <c r="C1604" s="201"/>
      <c r="D1604" s="198" t="s">
        <v>243</v>
      </c>
      <c r="H1604" s="198" t="s">
        <v>243</v>
      </c>
      <c r="I1604" s="202">
        <f t="shared" si="25"/>
        <v>666098753.85000002</v>
      </c>
      <c r="J1604" s="202">
        <v>161.30000000000001</v>
      </c>
      <c r="L1604" s="203">
        <v>0.3</v>
      </c>
      <c r="M1604" s="202">
        <v>45296364</v>
      </c>
      <c r="N1604" s="203">
        <v>0.3</v>
      </c>
      <c r="O1604" s="198" t="s">
        <v>51</v>
      </c>
      <c r="P1604" s="202">
        <v>45296364</v>
      </c>
      <c r="Q1604" s="198" t="s">
        <v>159</v>
      </c>
      <c r="R1604" s="198" t="s">
        <v>160</v>
      </c>
      <c r="S1604" s="198" t="s">
        <v>54</v>
      </c>
      <c r="T1604" s="198" t="s">
        <v>585</v>
      </c>
      <c r="U1604" s="198" t="s">
        <v>80</v>
      </c>
      <c r="V1604" s="198" t="s">
        <v>147</v>
      </c>
      <c r="W1604" s="198" t="s">
        <v>356</v>
      </c>
      <c r="X1604" s="198" t="s">
        <v>161</v>
      </c>
      <c r="Y1604" s="198" t="s">
        <v>162</v>
      </c>
      <c r="Z1604" s="201">
        <v>46234</v>
      </c>
      <c r="AA1604" s="198" t="s">
        <v>59</v>
      </c>
      <c r="AB1604" s="198" t="s">
        <v>60</v>
      </c>
      <c r="AC1604" s="198" t="s">
        <v>86</v>
      </c>
      <c r="AD1604" s="198" t="s">
        <v>62</v>
      </c>
      <c r="AE1604" s="198" t="s">
        <v>54</v>
      </c>
      <c r="AF1604" s="198" t="s">
        <v>54</v>
      </c>
      <c r="AG1604" s="198" t="s">
        <v>248</v>
      </c>
      <c r="AH1604" s="198" t="s">
        <v>89</v>
      </c>
      <c r="AI1604" s="198" t="s">
        <v>56</v>
      </c>
      <c r="AJ1604" s="198" t="s">
        <v>163</v>
      </c>
      <c r="AK1604" s="198" t="s">
        <v>51</v>
      </c>
      <c r="AL1604" s="198" t="s">
        <v>67</v>
      </c>
      <c r="AM1604" s="198" t="s">
        <v>68</v>
      </c>
      <c r="AN1604" s="202">
        <v>45296364</v>
      </c>
      <c r="AO1604" s="202">
        <v>45296364</v>
      </c>
      <c r="AP1604" s="202">
        <v>45296364</v>
      </c>
      <c r="AQ1604" s="198" t="s">
        <v>358</v>
      </c>
      <c r="AR1604" s="198" t="s">
        <v>51</v>
      </c>
      <c r="AS1604" s="202">
        <v>45296364</v>
      </c>
      <c r="AT1604" s="202">
        <v>45296364</v>
      </c>
      <c r="AU1604" s="198" t="s">
        <v>359</v>
      </c>
      <c r="AV1604" s="198" t="s">
        <v>62</v>
      </c>
      <c r="AW1604" s="198" t="s">
        <v>587</v>
      </c>
    </row>
    <row r="1605" spans="3:49" outlineLevel="2" x14ac:dyDescent="0.25">
      <c r="C1605" s="201"/>
      <c r="D1605" s="198" t="s">
        <v>241</v>
      </c>
      <c r="H1605" s="198" t="s">
        <v>241</v>
      </c>
      <c r="I1605" s="202">
        <f t="shared" si="25"/>
        <v>666511710.30000007</v>
      </c>
      <c r="J1605" s="202">
        <v>161.4</v>
      </c>
      <c r="L1605" s="203">
        <v>7.5999999999999998E-2</v>
      </c>
      <c r="M1605" s="202">
        <v>11426400</v>
      </c>
      <c r="N1605" s="203">
        <v>7.5999999999999998E-2</v>
      </c>
      <c r="O1605" s="198" t="s">
        <v>51</v>
      </c>
      <c r="P1605" s="202">
        <v>11426400</v>
      </c>
      <c r="Q1605" s="198" t="s">
        <v>159</v>
      </c>
      <c r="R1605" s="198" t="s">
        <v>160</v>
      </c>
      <c r="S1605" s="198" t="s">
        <v>54</v>
      </c>
      <c r="T1605" s="198" t="s">
        <v>585</v>
      </c>
      <c r="U1605" s="198" t="s">
        <v>80</v>
      </c>
      <c r="V1605" s="198" t="s">
        <v>189</v>
      </c>
      <c r="W1605" s="198" t="s">
        <v>356</v>
      </c>
      <c r="X1605" s="198" t="s">
        <v>161</v>
      </c>
      <c r="Y1605" s="198" t="s">
        <v>162</v>
      </c>
      <c r="Z1605" s="201">
        <v>46234</v>
      </c>
      <c r="AA1605" s="198" t="s">
        <v>59</v>
      </c>
      <c r="AB1605" s="198" t="s">
        <v>60</v>
      </c>
      <c r="AC1605" s="198" t="s">
        <v>86</v>
      </c>
      <c r="AD1605" s="198" t="s">
        <v>62</v>
      </c>
      <c r="AE1605" s="198" t="s">
        <v>54</v>
      </c>
      <c r="AF1605" s="198" t="s">
        <v>54</v>
      </c>
      <c r="AG1605" s="198" t="s">
        <v>248</v>
      </c>
      <c r="AH1605" s="198" t="s">
        <v>89</v>
      </c>
      <c r="AI1605" s="198" t="s">
        <v>56</v>
      </c>
      <c r="AJ1605" s="198" t="s">
        <v>163</v>
      </c>
      <c r="AK1605" s="198" t="s">
        <v>51</v>
      </c>
      <c r="AL1605" s="198" t="s">
        <v>67</v>
      </c>
      <c r="AM1605" s="198" t="s">
        <v>68</v>
      </c>
      <c r="AN1605" s="202">
        <v>11426400</v>
      </c>
      <c r="AO1605" s="202">
        <v>11426400</v>
      </c>
      <c r="AP1605" s="202">
        <v>11426400</v>
      </c>
      <c r="AQ1605" s="198" t="s">
        <v>358</v>
      </c>
      <c r="AR1605" s="198" t="s">
        <v>51</v>
      </c>
      <c r="AS1605" s="202">
        <v>11426400</v>
      </c>
      <c r="AT1605" s="202">
        <v>11426400</v>
      </c>
      <c r="AU1605" s="198" t="s">
        <v>359</v>
      </c>
      <c r="AV1605" s="198" t="s">
        <v>62</v>
      </c>
      <c r="AW1605" s="198" t="s">
        <v>587</v>
      </c>
    </row>
    <row r="1606" spans="3:49" outlineLevel="2" x14ac:dyDescent="0.25">
      <c r="C1606" s="201"/>
      <c r="D1606" s="198" t="s">
        <v>244</v>
      </c>
      <c r="H1606" s="198" t="s">
        <v>244</v>
      </c>
      <c r="I1606" s="202">
        <f t="shared" si="25"/>
        <v>666924666.75</v>
      </c>
      <c r="J1606" s="202">
        <v>161.5</v>
      </c>
      <c r="L1606" s="203">
        <v>1.0999999999999999E-2</v>
      </c>
      <c r="M1606" s="202">
        <v>1620000</v>
      </c>
      <c r="N1606" s="203">
        <v>1.0999999999999999E-2</v>
      </c>
      <c r="O1606" s="198" t="s">
        <v>51</v>
      </c>
      <c r="P1606" s="202">
        <v>1620000</v>
      </c>
      <c r="Q1606" s="198" t="s">
        <v>159</v>
      </c>
      <c r="R1606" s="198" t="s">
        <v>160</v>
      </c>
      <c r="S1606" s="198" t="s">
        <v>54</v>
      </c>
      <c r="T1606" s="198" t="s">
        <v>585</v>
      </c>
      <c r="U1606" s="198" t="s">
        <v>80</v>
      </c>
      <c r="V1606" s="198" t="s">
        <v>248</v>
      </c>
      <c r="W1606" s="198" t="s">
        <v>356</v>
      </c>
      <c r="X1606" s="198" t="s">
        <v>161</v>
      </c>
      <c r="Y1606" s="198" t="s">
        <v>162</v>
      </c>
      <c r="Z1606" s="201">
        <v>46234</v>
      </c>
      <c r="AA1606" s="198" t="s">
        <v>59</v>
      </c>
      <c r="AB1606" s="198" t="s">
        <v>60</v>
      </c>
      <c r="AC1606" s="198" t="s">
        <v>86</v>
      </c>
      <c r="AD1606" s="198" t="s">
        <v>62</v>
      </c>
      <c r="AE1606" s="198" t="s">
        <v>54</v>
      </c>
      <c r="AF1606" s="198" t="s">
        <v>54</v>
      </c>
      <c r="AG1606" s="198" t="s">
        <v>248</v>
      </c>
      <c r="AH1606" s="198" t="s">
        <v>89</v>
      </c>
      <c r="AI1606" s="198" t="s">
        <v>56</v>
      </c>
      <c r="AJ1606" s="198" t="s">
        <v>163</v>
      </c>
      <c r="AK1606" s="198" t="s">
        <v>51</v>
      </c>
      <c r="AL1606" s="198" t="s">
        <v>67</v>
      </c>
      <c r="AM1606" s="198" t="s">
        <v>68</v>
      </c>
      <c r="AN1606" s="202">
        <v>1620000</v>
      </c>
      <c r="AO1606" s="202">
        <v>1620000</v>
      </c>
      <c r="AP1606" s="202">
        <v>1620000</v>
      </c>
      <c r="AQ1606" s="198" t="s">
        <v>358</v>
      </c>
      <c r="AR1606" s="198" t="s">
        <v>51</v>
      </c>
      <c r="AS1606" s="202">
        <v>1620000</v>
      </c>
      <c r="AT1606" s="202">
        <v>1620000</v>
      </c>
      <c r="AU1606" s="198" t="s">
        <v>359</v>
      </c>
      <c r="AV1606" s="198" t="s">
        <v>62</v>
      </c>
      <c r="AW1606" s="198" t="s">
        <v>587</v>
      </c>
    </row>
    <row r="1607" spans="3:49" outlineLevel="2" x14ac:dyDescent="0.25">
      <c r="C1607" s="201"/>
      <c r="D1607" s="198" t="s">
        <v>752</v>
      </c>
      <c r="H1607" s="198" t="s">
        <v>752</v>
      </c>
      <c r="I1607" s="202">
        <f t="shared" si="25"/>
        <v>667337623.19999993</v>
      </c>
      <c r="J1607" s="202">
        <v>161.6</v>
      </c>
      <c r="L1607" s="203">
        <v>6.2E-2</v>
      </c>
      <c r="M1607" s="202">
        <v>9320800</v>
      </c>
      <c r="N1607" s="203">
        <v>6.2E-2</v>
      </c>
      <c r="O1607" s="198" t="s">
        <v>51</v>
      </c>
      <c r="P1607" s="202">
        <v>9320800</v>
      </c>
      <c r="Q1607" s="198" t="s">
        <v>159</v>
      </c>
      <c r="R1607" s="198" t="s">
        <v>160</v>
      </c>
      <c r="S1607" s="198" t="s">
        <v>54</v>
      </c>
      <c r="T1607" s="198" t="s">
        <v>585</v>
      </c>
      <c r="U1607" s="198" t="s">
        <v>80</v>
      </c>
      <c r="V1607" s="198" t="s">
        <v>564</v>
      </c>
      <c r="W1607" s="198" t="s">
        <v>356</v>
      </c>
      <c r="X1607" s="198" t="s">
        <v>161</v>
      </c>
      <c r="Y1607" s="198" t="s">
        <v>162</v>
      </c>
      <c r="Z1607" s="201">
        <v>46234</v>
      </c>
      <c r="AA1607" s="198" t="s">
        <v>59</v>
      </c>
      <c r="AB1607" s="198" t="s">
        <v>60</v>
      </c>
      <c r="AC1607" s="198" t="s">
        <v>86</v>
      </c>
      <c r="AD1607" s="198" t="s">
        <v>62</v>
      </c>
      <c r="AE1607" s="198" t="s">
        <v>54</v>
      </c>
      <c r="AF1607" s="198" t="s">
        <v>54</v>
      </c>
      <c r="AG1607" s="198" t="s">
        <v>248</v>
      </c>
      <c r="AH1607" s="198" t="s">
        <v>89</v>
      </c>
      <c r="AI1607" s="198" t="s">
        <v>56</v>
      </c>
      <c r="AJ1607" s="198" t="s">
        <v>163</v>
      </c>
      <c r="AK1607" s="198" t="s">
        <v>51</v>
      </c>
      <c r="AL1607" s="198" t="s">
        <v>67</v>
      </c>
      <c r="AM1607" s="198" t="s">
        <v>68</v>
      </c>
      <c r="AN1607" s="202">
        <v>9320800</v>
      </c>
      <c r="AO1607" s="202">
        <v>9320800</v>
      </c>
      <c r="AP1607" s="202">
        <v>9320800</v>
      </c>
      <c r="AQ1607" s="198" t="s">
        <v>358</v>
      </c>
      <c r="AR1607" s="198" t="s">
        <v>51</v>
      </c>
      <c r="AS1607" s="202">
        <v>9320800</v>
      </c>
      <c r="AT1607" s="202">
        <v>9320800</v>
      </c>
      <c r="AU1607" s="198" t="s">
        <v>359</v>
      </c>
      <c r="AV1607" s="198" t="s">
        <v>62</v>
      </c>
      <c r="AW1607" s="198" t="s">
        <v>587</v>
      </c>
    </row>
    <row r="1608" spans="3:49" outlineLevel="2" x14ac:dyDescent="0.25">
      <c r="C1608" s="201"/>
      <c r="D1608" s="198" t="s">
        <v>242</v>
      </c>
      <c r="H1608" s="198" t="s">
        <v>242</v>
      </c>
      <c r="I1608" s="202">
        <f t="shared" si="25"/>
        <v>667750579.64999998</v>
      </c>
      <c r="J1608" s="202">
        <v>161.69999999999999</v>
      </c>
      <c r="L1608" s="203">
        <v>0.38400000000000001</v>
      </c>
      <c r="M1608" s="202">
        <v>57910656</v>
      </c>
      <c r="N1608" s="203">
        <v>0.38400000000000001</v>
      </c>
      <c r="O1608" s="198" t="s">
        <v>51</v>
      </c>
      <c r="P1608" s="202">
        <v>57910656</v>
      </c>
      <c r="Q1608" s="198" t="s">
        <v>159</v>
      </c>
      <c r="R1608" s="198" t="s">
        <v>160</v>
      </c>
      <c r="S1608" s="198" t="s">
        <v>54</v>
      </c>
      <c r="T1608" s="198" t="s">
        <v>585</v>
      </c>
      <c r="U1608" s="198" t="s">
        <v>80</v>
      </c>
      <c r="V1608" s="198" t="s">
        <v>214</v>
      </c>
      <c r="W1608" s="198" t="s">
        <v>356</v>
      </c>
      <c r="X1608" s="198" t="s">
        <v>161</v>
      </c>
      <c r="Y1608" s="198" t="s">
        <v>162</v>
      </c>
      <c r="Z1608" s="201">
        <v>46234</v>
      </c>
      <c r="AA1608" s="198" t="s">
        <v>59</v>
      </c>
      <c r="AB1608" s="198" t="s">
        <v>60</v>
      </c>
      <c r="AC1608" s="198" t="s">
        <v>86</v>
      </c>
      <c r="AD1608" s="198" t="s">
        <v>62</v>
      </c>
      <c r="AE1608" s="198" t="s">
        <v>54</v>
      </c>
      <c r="AF1608" s="198" t="s">
        <v>54</v>
      </c>
      <c r="AG1608" s="198" t="s">
        <v>248</v>
      </c>
      <c r="AH1608" s="198" t="s">
        <v>89</v>
      </c>
      <c r="AI1608" s="198" t="s">
        <v>56</v>
      </c>
      <c r="AJ1608" s="198" t="s">
        <v>163</v>
      </c>
      <c r="AK1608" s="198" t="s">
        <v>51</v>
      </c>
      <c r="AL1608" s="198" t="s">
        <v>67</v>
      </c>
      <c r="AM1608" s="198" t="s">
        <v>68</v>
      </c>
      <c r="AN1608" s="202">
        <v>57910656</v>
      </c>
      <c r="AO1608" s="202">
        <v>57910656</v>
      </c>
      <c r="AP1608" s="202">
        <v>57910656</v>
      </c>
      <c r="AQ1608" s="198" t="s">
        <v>358</v>
      </c>
      <c r="AR1608" s="198" t="s">
        <v>51</v>
      </c>
      <c r="AS1608" s="202">
        <v>57910656</v>
      </c>
      <c r="AT1608" s="202">
        <v>57910656</v>
      </c>
      <c r="AU1608" s="198" t="s">
        <v>359</v>
      </c>
      <c r="AV1608" s="198" t="s">
        <v>62</v>
      </c>
      <c r="AW1608" s="198" t="s">
        <v>587</v>
      </c>
    </row>
    <row r="1609" spans="3:49" outlineLevel="2" x14ac:dyDescent="0.25">
      <c r="C1609" s="201"/>
      <c r="D1609" s="198" t="s">
        <v>245</v>
      </c>
      <c r="H1609" s="198" t="s">
        <v>245</v>
      </c>
      <c r="I1609" s="202">
        <f t="shared" si="25"/>
        <v>668163536.10000002</v>
      </c>
      <c r="J1609" s="202">
        <v>161.80000000000001</v>
      </c>
      <c r="L1609" s="203">
        <v>3.3000000000000002E-2</v>
      </c>
      <c r="M1609" s="202">
        <v>4981976</v>
      </c>
      <c r="N1609" s="203">
        <v>3.3000000000000002E-2</v>
      </c>
      <c r="O1609" s="198" t="s">
        <v>51</v>
      </c>
      <c r="P1609" s="202">
        <v>4981976</v>
      </c>
      <c r="Q1609" s="198" t="s">
        <v>159</v>
      </c>
      <c r="R1609" s="198" t="s">
        <v>160</v>
      </c>
      <c r="S1609" s="198" t="s">
        <v>54</v>
      </c>
      <c r="T1609" s="198" t="s">
        <v>585</v>
      </c>
      <c r="U1609" s="198" t="s">
        <v>80</v>
      </c>
      <c r="V1609" s="198" t="s">
        <v>235</v>
      </c>
      <c r="W1609" s="198" t="s">
        <v>356</v>
      </c>
      <c r="X1609" s="198" t="s">
        <v>161</v>
      </c>
      <c r="Y1609" s="198" t="s">
        <v>162</v>
      </c>
      <c r="Z1609" s="201">
        <v>46234</v>
      </c>
      <c r="AA1609" s="198" t="s">
        <v>59</v>
      </c>
      <c r="AB1609" s="198" t="s">
        <v>60</v>
      </c>
      <c r="AC1609" s="198" t="s">
        <v>86</v>
      </c>
      <c r="AD1609" s="198" t="s">
        <v>62</v>
      </c>
      <c r="AE1609" s="198" t="s">
        <v>54</v>
      </c>
      <c r="AF1609" s="198" t="s">
        <v>54</v>
      </c>
      <c r="AG1609" s="198" t="s">
        <v>248</v>
      </c>
      <c r="AH1609" s="198" t="s">
        <v>89</v>
      </c>
      <c r="AI1609" s="198" t="s">
        <v>56</v>
      </c>
      <c r="AJ1609" s="198" t="s">
        <v>163</v>
      </c>
      <c r="AK1609" s="198" t="s">
        <v>51</v>
      </c>
      <c r="AL1609" s="198" t="s">
        <v>67</v>
      </c>
      <c r="AM1609" s="198" t="s">
        <v>68</v>
      </c>
      <c r="AN1609" s="202">
        <v>4981976</v>
      </c>
      <c r="AO1609" s="202">
        <v>4981976</v>
      </c>
      <c r="AP1609" s="202">
        <v>4981976</v>
      </c>
      <c r="AQ1609" s="198" t="s">
        <v>358</v>
      </c>
      <c r="AR1609" s="198" t="s">
        <v>51</v>
      </c>
      <c r="AS1609" s="202">
        <v>4981976</v>
      </c>
      <c r="AT1609" s="202">
        <v>4981976</v>
      </c>
      <c r="AU1609" s="198" t="s">
        <v>359</v>
      </c>
      <c r="AV1609" s="198" t="s">
        <v>62</v>
      </c>
      <c r="AW1609" s="198" t="s">
        <v>587</v>
      </c>
    </row>
    <row r="1610" spans="3:49" outlineLevel="2" x14ac:dyDescent="0.25">
      <c r="C1610" s="201"/>
      <c r="D1610" s="198" t="s">
        <v>668</v>
      </c>
      <c r="H1610" s="198" t="s">
        <v>668</v>
      </c>
      <c r="I1610" s="202">
        <f t="shared" si="25"/>
        <v>668576492.55000007</v>
      </c>
      <c r="J1610" s="202">
        <v>161.9</v>
      </c>
      <c r="L1610" s="204">
        <v>1</v>
      </c>
      <c r="M1610" s="202">
        <v>572670</v>
      </c>
      <c r="N1610" s="204">
        <v>1</v>
      </c>
      <c r="O1610" s="198" t="s">
        <v>51</v>
      </c>
      <c r="P1610" s="202">
        <v>572670</v>
      </c>
      <c r="Q1610" s="198" t="s">
        <v>159</v>
      </c>
      <c r="R1610" s="198" t="s">
        <v>160</v>
      </c>
      <c r="S1610" s="198" t="s">
        <v>54</v>
      </c>
      <c r="T1610" s="198" t="s">
        <v>667</v>
      </c>
      <c r="U1610" s="198" t="s">
        <v>80</v>
      </c>
      <c r="V1610" s="198" t="s">
        <v>56</v>
      </c>
      <c r="W1610" s="198" t="s">
        <v>356</v>
      </c>
      <c r="X1610" s="198" t="s">
        <v>161</v>
      </c>
      <c r="Y1610" s="198" t="s">
        <v>162</v>
      </c>
      <c r="Z1610" s="201">
        <v>46239</v>
      </c>
      <c r="AA1610" s="198" t="s">
        <v>59</v>
      </c>
      <c r="AB1610" s="198" t="s">
        <v>60</v>
      </c>
      <c r="AC1610" s="198" t="s">
        <v>86</v>
      </c>
      <c r="AD1610" s="198" t="s">
        <v>62</v>
      </c>
      <c r="AE1610" s="198" t="s">
        <v>54</v>
      </c>
      <c r="AF1610" s="198" t="s">
        <v>54</v>
      </c>
      <c r="AG1610" s="198" t="s">
        <v>564</v>
      </c>
      <c r="AH1610" s="198" t="s">
        <v>112</v>
      </c>
      <c r="AI1610" s="198" t="s">
        <v>56</v>
      </c>
      <c r="AJ1610" s="198" t="s">
        <v>163</v>
      </c>
      <c r="AK1610" s="198" t="s">
        <v>51</v>
      </c>
      <c r="AL1610" s="198" t="s">
        <v>67</v>
      </c>
      <c r="AM1610" s="198" t="s">
        <v>68</v>
      </c>
      <c r="AN1610" s="202">
        <v>572670</v>
      </c>
      <c r="AO1610" s="202">
        <v>572670</v>
      </c>
      <c r="AP1610" s="202">
        <v>572670</v>
      </c>
      <c r="AQ1610" s="198" t="s">
        <v>358</v>
      </c>
      <c r="AR1610" s="198" t="s">
        <v>51</v>
      </c>
      <c r="AS1610" s="202">
        <v>572670</v>
      </c>
      <c r="AT1610" s="202">
        <v>572670</v>
      </c>
      <c r="AU1610" s="198" t="s">
        <v>359</v>
      </c>
      <c r="AV1610" s="198" t="s">
        <v>62</v>
      </c>
      <c r="AW1610" s="198" t="s">
        <v>54</v>
      </c>
    </row>
    <row r="1611" spans="3:49" outlineLevel="2" x14ac:dyDescent="0.25">
      <c r="C1611" s="201"/>
      <c r="D1611" s="198" t="s">
        <v>669</v>
      </c>
      <c r="H1611" s="198" t="s">
        <v>669</v>
      </c>
      <c r="I1611" s="202">
        <f t="shared" si="25"/>
        <v>668989449</v>
      </c>
      <c r="J1611" s="202">
        <v>162</v>
      </c>
      <c r="L1611" s="204">
        <v>1</v>
      </c>
      <c r="M1611" s="202">
        <v>279099</v>
      </c>
      <c r="N1611" s="204">
        <v>1</v>
      </c>
      <c r="O1611" s="198" t="s">
        <v>51</v>
      </c>
      <c r="P1611" s="202">
        <v>279099</v>
      </c>
      <c r="Q1611" s="198" t="s">
        <v>159</v>
      </c>
      <c r="R1611" s="198" t="s">
        <v>160</v>
      </c>
      <c r="S1611" s="198" t="s">
        <v>54</v>
      </c>
      <c r="T1611" s="198" t="s">
        <v>667</v>
      </c>
      <c r="U1611" s="198" t="s">
        <v>80</v>
      </c>
      <c r="V1611" s="198" t="s">
        <v>56</v>
      </c>
      <c r="W1611" s="198" t="s">
        <v>356</v>
      </c>
      <c r="X1611" s="198" t="s">
        <v>161</v>
      </c>
      <c r="Y1611" s="198" t="s">
        <v>162</v>
      </c>
      <c r="Z1611" s="201">
        <v>46239</v>
      </c>
      <c r="AA1611" s="198" t="s">
        <v>59</v>
      </c>
      <c r="AB1611" s="198" t="s">
        <v>60</v>
      </c>
      <c r="AC1611" s="198" t="s">
        <v>86</v>
      </c>
      <c r="AD1611" s="198" t="s">
        <v>62</v>
      </c>
      <c r="AE1611" s="198" t="s">
        <v>54</v>
      </c>
      <c r="AF1611" s="198" t="s">
        <v>54</v>
      </c>
      <c r="AG1611" s="198" t="s">
        <v>564</v>
      </c>
      <c r="AH1611" s="198" t="s">
        <v>112</v>
      </c>
      <c r="AI1611" s="198" t="s">
        <v>56</v>
      </c>
      <c r="AJ1611" s="198" t="s">
        <v>163</v>
      </c>
      <c r="AK1611" s="198" t="s">
        <v>51</v>
      </c>
      <c r="AL1611" s="198" t="s">
        <v>67</v>
      </c>
      <c r="AM1611" s="198" t="s">
        <v>68</v>
      </c>
      <c r="AN1611" s="202">
        <v>279099</v>
      </c>
      <c r="AO1611" s="202">
        <v>279099</v>
      </c>
      <c r="AP1611" s="202">
        <v>279099</v>
      </c>
      <c r="AQ1611" s="198" t="s">
        <v>358</v>
      </c>
      <c r="AR1611" s="198" t="s">
        <v>51</v>
      </c>
      <c r="AS1611" s="202">
        <v>279099</v>
      </c>
      <c r="AT1611" s="202">
        <v>279099</v>
      </c>
      <c r="AU1611" s="198" t="s">
        <v>359</v>
      </c>
      <c r="AV1611" s="198" t="s">
        <v>62</v>
      </c>
      <c r="AW1611" s="198" t="s">
        <v>54</v>
      </c>
    </row>
    <row r="1612" spans="3:49" outlineLevel="2" x14ac:dyDescent="0.25">
      <c r="C1612" s="201"/>
      <c r="D1612" s="198" t="s">
        <v>671</v>
      </c>
      <c r="H1612" s="198" t="s">
        <v>671</v>
      </c>
      <c r="I1612" s="202">
        <f t="shared" si="25"/>
        <v>669402405.44999993</v>
      </c>
      <c r="J1612" s="202">
        <v>162.1</v>
      </c>
      <c r="L1612" s="204">
        <v>1</v>
      </c>
      <c r="M1612" s="202">
        <v>229068</v>
      </c>
      <c r="N1612" s="204">
        <v>1</v>
      </c>
      <c r="O1612" s="198" t="s">
        <v>51</v>
      </c>
      <c r="P1612" s="202">
        <v>229068</v>
      </c>
      <c r="Q1612" s="198" t="s">
        <v>159</v>
      </c>
      <c r="R1612" s="198" t="s">
        <v>160</v>
      </c>
      <c r="S1612" s="198" t="s">
        <v>54</v>
      </c>
      <c r="T1612" s="198" t="s">
        <v>667</v>
      </c>
      <c r="U1612" s="198" t="s">
        <v>80</v>
      </c>
      <c r="V1612" s="198" t="s">
        <v>56</v>
      </c>
      <c r="W1612" s="198" t="s">
        <v>356</v>
      </c>
      <c r="X1612" s="198" t="s">
        <v>161</v>
      </c>
      <c r="Y1612" s="198" t="s">
        <v>162</v>
      </c>
      <c r="Z1612" s="201">
        <v>46239</v>
      </c>
      <c r="AA1612" s="198" t="s">
        <v>59</v>
      </c>
      <c r="AB1612" s="198" t="s">
        <v>60</v>
      </c>
      <c r="AC1612" s="198" t="s">
        <v>86</v>
      </c>
      <c r="AD1612" s="198" t="s">
        <v>62</v>
      </c>
      <c r="AE1612" s="198" t="s">
        <v>54</v>
      </c>
      <c r="AF1612" s="198" t="s">
        <v>54</v>
      </c>
      <c r="AG1612" s="198" t="s">
        <v>564</v>
      </c>
      <c r="AH1612" s="198" t="s">
        <v>95</v>
      </c>
      <c r="AI1612" s="198" t="s">
        <v>56</v>
      </c>
      <c r="AJ1612" s="198" t="s">
        <v>163</v>
      </c>
      <c r="AK1612" s="198" t="s">
        <v>51</v>
      </c>
      <c r="AL1612" s="198" t="s">
        <v>67</v>
      </c>
      <c r="AM1612" s="198" t="s">
        <v>68</v>
      </c>
      <c r="AN1612" s="202">
        <v>229068</v>
      </c>
      <c r="AO1612" s="202">
        <v>229068</v>
      </c>
      <c r="AP1612" s="202">
        <v>229068</v>
      </c>
      <c r="AQ1612" s="198" t="s">
        <v>358</v>
      </c>
      <c r="AR1612" s="198" t="s">
        <v>51</v>
      </c>
      <c r="AS1612" s="202">
        <v>229068</v>
      </c>
      <c r="AT1612" s="202">
        <v>229068</v>
      </c>
      <c r="AU1612" s="198" t="s">
        <v>359</v>
      </c>
      <c r="AV1612" s="198" t="s">
        <v>62</v>
      </c>
      <c r="AW1612" s="198" t="s">
        <v>54</v>
      </c>
    </row>
    <row r="1613" spans="3:49" outlineLevel="2" x14ac:dyDescent="0.25">
      <c r="C1613" s="201"/>
      <c r="D1613" s="198" t="s">
        <v>672</v>
      </c>
      <c r="H1613" s="198" t="s">
        <v>672</v>
      </c>
      <c r="I1613" s="202">
        <f t="shared" si="25"/>
        <v>669815361.89999998</v>
      </c>
      <c r="J1613" s="202">
        <v>162.19999999999999</v>
      </c>
      <c r="L1613" s="204">
        <v>1</v>
      </c>
      <c r="M1613" s="202">
        <v>2650725</v>
      </c>
      <c r="N1613" s="204">
        <v>1</v>
      </c>
      <c r="O1613" s="198" t="s">
        <v>51</v>
      </c>
      <c r="P1613" s="202">
        <v>2650725</v>
      </c>
      <c r="Q1613" s="198" t="s">
        <v>159</v>
      </c>
      <c r="R1613" s="198" t="s">
        <v>160</v>
      </c>
      <c r="S1613" s="198" t="s">
        <v>54</v>
      </c>
      <c r="T1613" s="198" t="s">
        <v>667</v>
      </c>
      <c r="U1613" s="198" t="s">
        <v>80</v>
      </c>
      <c r="V1613" s="198" t="s">
        <v>56</v>
      </c>
      <c r="W1613" s="198" t="s">
        <v>356</v>
      </c>
      <c r="X1613" s="198" t="s">
        <v>161</v>
      </c>
      <c r="Y1613" s="198" t="s">
        <v>162</v>
      </c>
      <c r="Z1613" s="201">
        <v>46239</v>
      </c>
      <c r="AA1613" s="198" t="s">
        <v>59</v>
      </c>
      <c r="AB1613" s="198" t="s">
        <v>60</v>
      </c>
      <c r="AC1613" s="198" t="s">
        <v>86</v>
      </c>
      <c r="AD1613" s="198" t="s">
        <v>62</v>
      </c>
      <c r="AE1613" s="198" t="s">
        <v>54</v>
      </c>
      <c r="AF1613" s="198" t="s">
        <v>54</v>
      </c>
      <c r="AG1613" s="198" t="s">
        <v>564</v>
      </c>
      <c r="AH1613" s="198" t="s">
        <v>95</v>
      </c>
      <c r="AI1613" s="198" t="s">
        <v>56</v>
      </c>
      <c r="AJ1613" s="198" t="s">
        <v>163</v>
      </c>
      <c r="AK1613" s="198" t="s">
        <v>51</v>
      </c>
      <c r="AL1613" s="198" t="s">
        <v>67</v>
      </c>
      <c r="AM1613" s="198" t="s">
        <v>68</v>
      </c>
      <c r="AN1613" s="202">
        <v>2650725</v>
      </c>
      <c r="AO1613" s="202">
        <v>2650725</v>
      </c>
      <c r="AP1613" s="202">
        <v>2650725</v>
      </c>
      <c r="AQ1613" s="198" t="s">
        <v>358</v>
      </c>
      <c r="AR1613" s="198" t="s">
        <v>51</v>
      </c>
      <c r="AS1613" s="202">
        <v>2650725</v>
      </c>
      <c r="AT1613" s="202">
        <v>2650725</v>
      </c>
      <c r="AU1613" s="198" t="s">
        <v>359</v>
      </c>
      <c r="AV1613" s="198" t="s">
        <v>62</v>
      </c>
      <c r="AW1613" s="198" t="s">
        <v>54</v>
      </c>
    </row>
    <row r="1614" spans="3:49" outlineLevel="2" x14ac:dyDescent="0.25">
      <c r="C1614" s="201"/>
      <c r="D1614" s="198" t="s">
        <v>109</v>
      </c>
      <c r="H1614" s="198" t="s">
        <v>109</v>
      </c>
      <c r="I1614" s="202">
        <f t="shared" si="25"/>
        <v>670228318.35000002</v>
      </c>
      <c r="J1614" s="202">
        <v>162.30000000000001</v>
      </c>
      <c r="L1614" s="204">
        <v>1</v>
      </c>
      <c r="M1614" s="202">
        <v>515403</v>
      </c>
      <c r="N1614" s="204">
        <v>1</v>
      </c>
      <c r="O1614" s="198" t="s">
        <v>51</v>
      </c>
      <c r="P1614" s="202">
        <v>515403</v>
      </c>
      <c r="Q1614" s="198" t="s">
        <v>159</v>
      </c>
      <c r="R1614" s="198" t="s">
        <v>160</v>
      </c>
      <c r="S1614" s="198" t="s">
        <v>54</v>
      </c>
      <c r="T1614" s="198" t="s">
        <v>667</v>
      </c>
      <c r="U1614" s="198" t="s">
        <v>80</v>
      </c>
      <c r="V1614" s="198" t="s">
        <v>56</v>
      </c>
      <c r="W1614" s="198" t="s">
        <v>356</v>
      </c>
      <c r="X1614" s="198" t="s">
        <v>161</v>
      </c>
      <c r="Y1614" s="198" t="s">
        <v>162</v>
      </c>
      <c r="Z1614" s="201">
        <v>46239</v>
      </c>
      <c r="AA1614" s="198" t="s">
        <v>59</v>
      </c>
      <c r="AB1614" s="198" t="s">
        <v>60</v>
      </c>
      <c r="AC1614" s="198" t="s">
        <v>86</v>
      </c>
      <c r="AD1614" s="198" t="s">
        <v>62</v>
      </c>
      <c r="AE1614" s="198" t="s">
        <v>54</v>
      </c>
      <c r="AF1614" s="198" t="s">
        <v>54</v>
      </c>
      <c r="AG1614" s="198" t="s">
        <v>564</v>
      </c>
      <c r="AH1614" s="198" t="s">
        <v>89</v>
      </c>
      <c r="AI1614" s="198" t="s">
        <v>56</v>
      </c>
      <c r="AJ1614" s="198" t="s">
        <v>163</v>
      </c>
      <c r="AK1614" s="198" t="s">
        <v>51</v>
      </c>
      <c r="AL1614" s="198" t="s">
        <v>67</v>
      </c>
      <c r="AM1614" s="198" t="s">
        <v>68</v>
      </c>
      <c r="AN1614" s="202">
        <v>515403</v>
      </c>
      <c r="AO1614" s="202">
        <v>515403</v>
      </c>
      <c r="AP1614" s="202">
        <v>515403</v>
      </c>
      <c r="AQ1614" s="198" t="s">
        <v>358</v>
      </c>
      <c r="AR1614" s="198" t="s">
        <v>51</v>
      </c>
      <c r="AS1614" s="202">
        <v>515403</v>
      </c>
      <c r="AT1614" s="202">
        <v>515403</v>
      </c>
      <c r="AU1614" s="198" t="s">
        <v>359</v>
      </c>
      <c r="AV1614" s="198" t="s">
        <v>62</v>
      </c>
      <c r="AW1614" s="198" t="s">
        <v>54</v>
      </c>
    </row>
    <row r="1615" spans="3:49" outlineLevel="2" x14ac:dyDescent="0.25">
      <c r="C1615" s="201"/>
      <c r="D1615" s="198" t="s">
        <v>184</v>
      </c>
      <c r="H1615" s="198" t="s">
        <v>184</v>
      </c>
      <c r="I1615" s="202">
        <f t="shared" si="25"/>
        <v>670641274.80000007</v>
      </c>
      <c r="J1615" s="202">
        <v>162.4</v>
      </c>
      <c r="L1615" s="204">
        <v>1</v>
      </c>
      <c r="M1615" s="202">
        <v>286335</v>
      </c>
      <c r="N1615" s="204">
        <v>1</v>
      </c>
      <c r="O1615" s="198" t="s">
        <v>51</v>
      </c>
      <c r="P1615" s="202">
        <v>286335</v>
      </c>
      <c r="Q1615" s="198" t="s">
        <v>159</v>
      </c>
      <c r="R1615" s="198" t="s">
        <v>160</v>
      </c>
      <c r="S1615" s="198" t="s">
        <v>54</v>
      </c>
      <c r="T1615" s="198" t="s">
        <v>667</v>
      </c>
      <c r="U1615" s="198" t="s">
        <v>80</v>
      </c>
      <c r="V1615" s="198" t="s">
        <v>56</v>
      </c>
      <c r="W1615" s="198" t="s">
        <v>356</v>
      </c>
      <c r="X1615" s="198" t="s">
        <v>161</v>
      </c>
      <c r="Y1615" s="198" t="s">
        <v>162</v>
      </c>
      <c r="Z1615" s="201">
        <v>46239</v>
      </c>
      <c r="AA1615" s="198" t="s">
        <v>59</v>
      </c>
      <c r="AB1615" s="198" t="s">
        <v>60</v>
      </c>
      <c r="AC1615" s="198" t="s">
        <v>86</v>
      </c>
      <c r="AD1615" s="198" t="s">
        <v>62</v>
      </c>
      <c r="AE1615" s="198" t="s">
        <v>54</v>
      </c>
      <c r="AF1615" s="198" t="s">
        <v>54</v>
      </c>
      <c r="AG1615" s="198" t="s">
        <v>564</v>
      </c>
      <c r="AH1615" s="198" t="s">
        <v>169</v>
      </c>
      <c r="AI1615" s="198" t="s">
        <v>56</v>
      </c>
      <c r="AJ1615" s="198" t="s">
        <v>163</v>
      </c>
      <c r="AK1615" s="198" t="s">
        <v>51</v>
      </c>
      <c r="AL1615" s="198" t="s">
        <v>67</v>
      </c>
      <c r="AM1615" s="198" t="s">
        <v>68</v>
      </c>
      <c r="AN1615" s="202">
        <v>286335</v>
      </c>
      <c r="AO1615" s="202">
        <v>286335</v>
      </c>
      <c r="AP1615" s="202">
        <v>286335</v>
      </c>
      <c r="AQ1615" s="198" t="s">
        <v>358</v>
      </c>
      <c r="AR1615" s="198" t="s">
        <v>51</v>
      </c>
      <c r="AS1615" s="202">
        <v>286335</v>
      </c>
      <c r="AT1615" s="202">
        <v>286335</v>
      </c>
      <c r="AU1615" s="198" t="s">
        <v>359</v>
      </c>
      <c r="AV1615" s="198" t="s">
        <v>62</v>
      </c>
      <c r="AW1615" s="198" t="s">
        <v>54</v>
      </c>
    </row>
    <row r="1616" spans="3:49" outlineLevel="2" x14ac:dyDescent="0.25">
      <c r="C1616" s="201"/>
      <c r="D1616" s="198" t="s">
        <v>48</v>
      </c>
      <c r="H1616" s="198" t="s">
        <v>48</v>
      </c>
      <c r="I1616" s="202">
        <f t="shared" si="25"/>
        <v>671054231.25</v>
      </c>
      <c r="J1616" s="202">
        <v>162.5</v>
      </c>
      <c r="L1616" s="204">
        <v>1</v>
      </c>
      <c r="M1616" s="202">
        <v>515403</v>
      </c>
      <c r="N1616" s="204">
        <v>1</v>
      </c>
      <c r="O1616" s="198" t="s">
        <v>51</v>
      </c>
      <c r="P1616" s="202">
        <v>515403</v>
      </c>
      <c r="Q1616" s="198" t="s">
        <v>159</v>
      </c>
      <c r="R1616" s="198" t="s">
        <v>160</v>
      </c>
      <c r="S1616" s="198" t="s">
        <v>54</v>
      </c>
      <c r="T1616" s="198" t="s">
        <v>667</v>
      </c>
      <c r="U1616" s="198" t="s">
        <v>80</v>
      </c>
      <c r="V1616" s="198" t="s">
        <v>56</v>
      </c>
      <c r="W1616" s="198" t="s">
        <v>356</v>
      </c>
      <c r="X1616" s="198" t="s">
        <v>161</v>
      </c>
      <c r="Y1616" s="198" t="s">
        <v>162</v>
      </c>
      <c r="Z1616" s="201">
        <v>46239</v>
      </c>
      <c r="AA1616" s="198" t="s">
        <v>59</v>
      </c>
      <c r="AB1616" s="198" t="s">
        <v>60</v>
      </c>
      <c r="AC1616" s="198" t="s">
        <v>86</v>
      </c>
      <c r="AD1616" s="198" t="s">
        <v>62</v>
      </c>
      <c r="AE1616" s="198" t="s">
        <v>54</v>
      </c>
      <c r="AF1616" s="198" t="s">
        <v>54</v>
      </c>
      <c r="AG1616" s="198" t="s">
        <v>564</v>
      </c>
      <c r="AH1616" s="198" t="s">
        <v>65</v>
      </c>
      <c r="AI1616" s="198" t="s">
        <v>56</v>
      </c>
      <c r="AJ1616" s="198" t="s">
        <v>163</v>
      </c>
      <c r="AK1616" s="198" t="s">
        <v>51</v>
      </c>
      <c r="AL1616" s="198" t="s">
        <v>67</v>
      </c>
      <c r="AM1616" s="198" t="s">
        <v>68</v>
      </c>
      <c r="AN1616" s="202">
        <v>515403</v>
      </c>
      <c r="AO1616" s="202">
        <v>515403</v>
      </c>
      <c r="AP1616" s="202">
        <v>515403</v>
      </c>
      <c r="AQ1616" s="198" t="s">
        <v>358</v>
      </c>
      <c r="AR1616" s="198" t="s">
        <v>51</v>
      </c>
      <c r="AS1616" s="202">
        <v>515403</v>
      </c>
      <c r="AT1616" s="202">
        <v>515403</v>
      </c>
      <c r="AU1616" s="198" t="s">
        <v>359</v>
      </c>
      <c r="AV1616" s="198" t="s">
        <v>62</v>
      </c>
      <c r="AW1616" s="198" t="s">
        <v>54</v>
      </c>
    </row>
    <row r="1617" spans="3:49" outlineLevel="2" x14ac:dyDescent="0.25">
      <c r="C1617" s="201"/>
      <c r="D1617" s="198" t="s">
        <v>177</v>
      </c>
      <c r="H1617" s="198" t="s">
        <v>177</v>
      </c>
      <c r="I1617" s="202">
        <f t="shared" si="25"/>
        <v>671467187.69999993</v>
      </c>
      <c r="J1617" s="202">
        <v>162.6</v>
      </c>
      <c r="L1617" s="204">
        <v>1</v>
      </c>
      <c r="M1617" s="202">
        <v>458136</v>
      </c>
      <c r="N1617" s="204">
        <v>1</v>
      </c>
      <c r="O1617" s="198" t="s">
        <v>51</v>
      </c>
      <c r="P1617" s="202">
        <v>458136</v>
      </c>
      <c r="Q1617" s="198" t="s">
        <v>159</v>
      </c>
      <c r="R1617" s="198" t="s">
        <v>160</v>
      </c>
      <c r="S1617" s="198" t="s">
        <v>54</v>
      </c>
      <c r="T1617" s="198" t="s">
        <v>667</v>
      </c>
      <c r="U1617" s="198" t="s">
        <v>80</v>
      </c>
      <c r="V1617" s="198" t="s">
        <v>56</v>
      </c>
      <c r="W1617" s="198" t="s">
        <v>356</v>
      </c>
      <c r="X1617" s="198" t="s">
        <v>161</v>
      </c>
      <c r="Y1617" s="198" t="s">
        <v>162</v>
      </c>
      <c r="Z1617" s="201">
        <v>46239</v>
      </c>
      <c r="AA1617" s="198" t="s">
        <v>59</v>
      </c>
      <c r="AB1617" s="198" t="s">
        <v>60</v>
      </c>
      <c r="AC1617" s="198" t="s">
        <v>86</v>
      </c>
      <c r="AD1617" s="198" t="s">
        <v>62</v>
      </c>
      <c r="AE1617" s="198" t="s">
        <v>54</v>
      </c>
      <c r="AF1617" s="198" t="s">
        <v>54</v>
      </c>
      <c r="AG1617" s="198" t="s">
        <v>564</v>
      </c>
      <c r="AH1617" s="198" t="s">
        <v>167</v>
      </c>
      <c r="AI1617" s="198" t="s">
        <v>56</v>
      </c>
      <c r="AJ1617" s="198" t="s">
        <v>163</v>
      </c>
      <c r="AK1617" s="198" t="s">
        <v>51</v>
      </c>
      <c r="AL1617" s="198" t="s">
        <v>67</v>
      </c>
      <c r="AM1617" s="198" t="s">
        <v>68</v>
      </c>
      <c r="AN1617" s="202">
        <v>458136</v>
      </c>
      <c r="AO1617" s="202">
        <v>458136</v>
      </c>
      <c r="AP1617" s="202">
        <v>458136</v>
      </c>
      <c r="AQ1617" s="198" t="s">
        <v>358</v>
      </c>
      <c r="AR1617" s="198" t="s">
        <v>51</v>
      </c>
      <c r="AS1617" s="202">
        <v>458136</v>
      </c>
      <c r="AT1617" s="202">
        <v>458136</v>
      </c>
      <c r="AU1617" s="198" t="s">
        <v>359</v>
      </c>
      <c r="AV1617" s="198" t="s">
        <v>62</v>
      </c>
      <c r="AW1617" s="198" t="s">
        <v>54</v>
      </c>
    </row>
    <row r="1618" spans="3:49" outlineLevel="2" x14ac:dyDescent="0.25">
      <c r="C1618" s="201"/>
      <c r="D1618" s="198" t="s">
        <v>77</v>
      </c>
      <c r="H1618" s="198" t="s">
        <v>77</v>
      </c>
      <c r="I1618" s="202">
        <f t="shared" si="25"/>
        <v>671880144.14999998</v>
      </c>
      <c r="J1618" s="202">
        <v>162.69999999999999</v>
      </c>
      <c r="L1618" s="204">
        <v>1</v>
      </c>
      <c r="M1618" s="202">
        <v>6875685</v>
      </c>
      <c r="N1618" s="204">
        <v>1</v>
      </c>
      <c r="O1618" s="198" t="s">
        <v>51</v>
      </c>
      <c r="P1618" s="202">
        <v>6875685</v>
      </c>
      <c r="Q1618" s="198" t="s">
        <v>159</v>
      </c>
      <c r="R1618" s="198" t="s">
        <v>160</v>
      </c>
      <c r="S1618" s="198" t="s">
        <v>54</v>
      </c>
      <c r="T1618" s="198" t="s">
        <v>667</v>
      </c>
      <c r="U1618" s="198" t="s">
        <v>80</v>
      </c>
      <c r="V1618" s="198" t="s">
        <v>56</v>
      </c>
      <c r="W1618" s="198" t="s">
        <v>356</v>
      </c>
      <c r="X1618" s="198" t="s">
        <v>161</v>
      </c>
      <c r="Y1618" s="198" t="s">
        <v>162</v>
      </c>
      <c r="Z1618" s="201">
        <v>46239</v>
      </c>
      <c r="AA1618" s="198" t="s">
        <v>59</v>
      </c>
      <c r="AB1618" s="198" t="s">
        <v>60</v>
      </c>
      <c r="AC1618" s="198" t="s">
        <v>86</v>
      </c>
      <c r="AD1618" s="198" t="s">
        <v>62</v>
      </c>
      <c r="AE1618" s="198" t="s">
        <v>54</v>
      </c>
      <c r="AF1618" s="198" t="s">
        <v>54</v>
      </c>
      <c r="AG1618" s="198" t="s">
        <v>564</v>
      </c>
      <c r="AH1618" s="198" t="s">
        <v>65</v>
      </c>
      <c r="AI1618" s="198" t="s">
        <v>56</v>
      </c>
      <c r="AJ1618" s="198" t="s">
        <v>163</v>
      </c>
      <c r="AK1618" s="198" t="s">
        <v>51</v>
      </c>
      <c r="AL1618" s="198" t="s">
        <v>67</v>
      </c>
      <c r="AM1618" s="198" t="s">
        <v>68</v>
      </c>
      <c r="AN1618" s="202">
        <v>6875685</v>
      </c>
      <c r="AO1618" s="202">
        <v>6875685</v>
      </c>
      <c r="AP1618" s="202">
        <v>6875685</v>
      </c>
      <c r="AQ1618" s="198" t="s">
        <v>358</v>
      </c>
      <c r="AR1618" s="198" t="s">
        <v>51</v>
      </c>
      <c r="AS1618" s="202">
        <v>6875685</v>
      </c>
      <c r="AT1618" s="202">
        <v>6875685</v>
      </c>
      <c r="AU1618" s="198" t="s">
        <v>359</v>
      </c>
      <c r="AV1618" s="198" t="s">
        <v>62</v>
      </c>
      <c r="AW1618" s="198" t="s">
        <v>54</v>
      </c>
    </row>
    <row r="1619" spans="3:49" outlineLevel="2" x14ac:dyDescent="0.25">
      <c r="C1619" s="201"/>
      <c r="D1619" s="198" t="s">
        <v>668</v>
      </c>
      <c r="H1619" s="198" t="s">
        <v>668</v>
      </c>
      <c r="I1619" s="202">
        <f t="shared" si="25"/>
        <v>672293100.60000002</v>
      </c>
      <c r="J1619" s="202">
        <v>162.80000000000001</v>
      </c>
      <c r="L1619" s="204">
        <v>1</v>
      </c>
      <c r="M1619" s="202">
        <v>501687</v>
      </c>
      <c r="N1619" s="204">
        <v>1</v>
      </c>
      <c r="O1619" s="198" t="s">
        <v>51</v>
      </c>
      <c r="P1619" s="202">
        <v>501687</v>
      </c>
      <c r="Q1619" s="198" t="s">
        <v>159</v>
      </c>
      <c r="R1619" s="198" t="s">
        <v>160</v>
      </c>
      <c r="S1619" s="198" t="s">
        <v>54</v>
      </c>
      <c r="T1619" s="198" t="s">
        <v>667</v>
      </c>
      <c r="U1619" s="198" t="s">
        <v>80</v>
      </c>
      <c r="V1619" s="198" t="s">
        <v>56</v>
      </c>
      <c r="W1619" s="198" t="s">
        <v>356</v>
      </c>
      <c r="X1619" s="198" t="s">
        <v>161</v>
      </c>
      <c r="Y1619" s="198" t="s">
        <v>162</v>
      </c>
      <c r="Z1619" s="201">
        <v>46239</v>
      </c>
      <c r="AA1619" s="198" t="s">
        <v>59</v>
      </c>
      <c r="AB1619" s="198" t="s">
        <v>60</v>
      </c>
      <c r="AC1619" s="198" t="s">
        <v>86</v>
      </c>
      <c r="AD1619" s="198" t="s">
        <v>62</v>
      </c>
      <c r="AE1619" s="198" t="s">
        <v>54</v>
      </c>
      <c r="AF1619" s="198" t="s">
        <v>54</v>
      </c>
      <c r="AG1619" s="198" t="s">
        <v>564</v>
      </c>
      <c r="AH1619" s="198" t="s">
        <v>112</v>
      </c>
      <c r="AI1619" s="198" t="s">
        <v>56</v>
      </c>
      <c r="AJ1619" s="198" t="s">
        <v>163</v>
      </c>
      <c r="AK1619" s="198" t="s">
        <v>51</v>
      </c>
      <c r="AL1619" s="198" t="s">
        <v>67</v>
      </c>
      <c r="AM1619" s="198" t="s">
        <v>68</v>
      </c>
      <c r="AN1619" s="202">
        <v>501687</v>
      </c>
      <c r="AO1619" s="202">
        <v>501687</v>
      </c>
      <c r="AP1619" s="202">
        <v>501687</v>
      </c>
      <c r="AQ1619" s="198" t="s">
        <v>358</v>
      </c>
      <c r="AR1619" s="198" t="s">
        <v>51</v>
      </c>
      <c r="AS1619" s="202">
        <v>501687</v>
      </c>
      <c r="AT1619" s="202">
        <v>501687</v>
      </c>
      <c r="AU1619" s="198" t="s">
        <v>359</v>
      </c>
      <c r="AV1619" s="198" t="s">
        <v>62</v>
      </c>
      <c r="AW1619" s="198" t="s">
        <v>54</v>
      </c>
    </row>
    <row r="1620" spans="3:49" outlineLevel="2" x14ac:dyDescent="0.25">
      <c r="C1620" s="201"/>
      <c r="D1620" s="198" t="s">
        <v>109</v>
      </c>
      <c r="H1620" s="198" t="s">
        <v>109</v>
      </c>
      <c r="I1620" s="202">
        <f t="shared" si="25"/>
        <v>672706057.05000007</v>
      </c>
      <c r="J1620" s="202">
        <v>162.9</v>
      </c>
      <c r="L1620" s="203">
        <v>5.7000000000000002E-2</v>
      </c>
      <c r="M1620" s="202">
        <v>451512</v>
      </c>
      <c r="N1620" s="203">
        <v>5.7000000000000002E-2</v>
      </c>
      <c r="O1620" s="198" t="s">
        <v>51</v>
      </c>
      <c r="P1620" s="202">
        <v>451512</v>
      </c>
      <c r="Q1620" s="198" t="s">
        <v>159</v>
      </c>
      <c r="R1620" s="198" t="s">
        <v>160</v>
      </c>
      <c r="S1620" s="198" t="s">
        <v>54</v>
      </c>
      <c r="T1620" s="198" t="s">
        <v>667</v>
      </c>
      <c r="U1620" s="198" t="s">
        <v>80</v>
      </c>
      <c r="V1620" s="198" t="s">
        <v>56</v>
      </c>
      <c r="W1620" s="198" t="s">
        <v>356</v>
      </c>
      <c r="X1620" s="198" t="s">
        <v>161</v>
      </c>
      <c r="Y1620" s="198" t="s">
        <v>162</v>
      </c>
      <c r="Z1620" s="201">
        <v>46239</v>
      </c>
      <c r="AA1620" s="198" t="s">
        <v>59</v>
      </c>
      <c r="AB1620" s="198" t="s">
        <v>60</v>
      </c>
      <c r="AC1620" s="198" t="s">
        <v>86</v>
      </c>
      <c r="AD1620" s="198" t="s">
        <v>62</v>
      </c>
      <c r="AE1620" s="198" t="s">
        <v>54</v>
      </c>
      <c r="AF1620" s="198" t="s">
        <v>54</v>
      </c>
      <c r="AG1620" s="198" t="s">
        <v>564</v>
      </c>
      <c r="AH1620" s="198" t="s">
        <v>89</v>
      </c>
      <c r="AI1620" s="198" t="s">
        <v>56</v>
      </c>
      <c r="AJ1620" s="198" t="s">
        <v>163</v>
      </c>
      <c r="AK1620" s="198" t="s">
        <v>51</v>
      </c>
      <c r="AL1620" s="198" t="s">
        <v>67</v>
      </c>
      <c r="AM1620" s="198" t="s">
        <v>68</v>
      </c>
      <c r="AN1620" s="202">
        <v>451512</v>
      </c>
      <c r="AO1620" s="202">
        <v>451512</v>
      </c>
      <c r="AP1620" s="202">
        <v>451512</v>
      </c>
      <c r="AQ1620" s="198" t="s">
        <v>358</v>
      </c>
      <c r="AR1620" s="198" t="s">
        <v>51</v>
      </c>
      <c r="AS1620" s="202">
        <v>451512</v>
      </c>
      <c r="AT1620" s="202">
        <v>451512</v>
      </c>
      <c r="AU1620" s="198" t="s">
        <v>359</v>
      </c>
      <c r="AV1620" s="198" t="s">
        <v>62</v>
      </c>
      <c r="AW1620" s="198" t="s">
        <v>54</v>
      </c>
    </row>
    <row r="1621" spans="3:49" outlineLevel="2" x14ac:dyDescent="0.25">
      <c r="C1621" s="201"/>
      <c r="D1621" s="198" t="s">
        <v>110</v>
      </c>
      <c r="H1621" s="198" t="s">
        <v>110</v>
      </c>
      <c r="I1621" s="202">
        <f t="shared" si="25"/>
        <v>673119013.5</v>
      </c>
      <c r="J1621" s="202">
        <v>163</v>
      </c>
      <c r="L1621" s="203">
        <v>0.94299999999999995</v>
      </c>
      <c r="M1621" s="202">
        <v>7535673</v>
      </c>
      <c r="N1621" s="203">
        <v>0.94299999999999995</v>
      </c>
      <c r="O1621" s="198" t="s">
        <v>51</v>
      </c>
      <c r="P1621" s="202">
        <v>7535673</v>
      </c>
      <c r="Q1621" s="198" t="s">
        <v>159</v>
      </c>
      <c r="R1621" s="198" t="s">
        <v>160</v>
      </c>
      <c r="S1621" s="198" t="s">
        <v>54</v>
      </c>
      <c r="T1621" s="198" t="s">
        <v>667</v>
      </c>
      <c r="U1621" s="198" t="s">
        <v>80</v>
      </c>
      <c r="V1621" s="198" t="s">
        <v>147</v>
      </c>
      <c r="W1621" s="198" t="s">
        <v>356</v>
      </c>
      <c r="X1621" s="198" t="s">
        <v>161</v>
      </c>
      <c r="Y1621" s="198" t="s">
        <v>162</v>
      </c>
      <c r="Z1621" s="201">
        <v>46239</v>
      </c>
      <c r="AA1621" s="198" t="s">
        <v>59</v>
      </c>
      <c r="AB1621" s="198" t="s">
        <v>60</v>
      </c>
      <c r="AC1621" s="198" t="s">
        <v>86</v>
      </c>
      <c r="AD1621" s="198" t="s">
        <v>62</v>
      </c>
      <c r="AE1621" s="198" t="s">
        <v>54</v>
      </c>
      <c r="AF1621" s="198" t="s">
        <v>54</v>
      </c>
      <c r="AG1621" s="198" t="s">
        <v>564</v>
      </c>
      <c r="AH1621" s="198" t="s">
        <v>89</v>
      </c>
      <c r="AI1621" s="198" t="s">
        <v>56</v>
      </c>
      <c r="AJ1621" s="198" t="s">
        <v>163</v>
      </c>
      <c r="AK1621" s="198" t="s">
        <v>51</v>
      </c>
      <c r="AL1621" s="198" t="s">
        <v>67</v>
      </c>
      <c r="AM1621" s="198" t="s">
        <v>68</v>
      </c>
      <c r="AN1621" s="202">
        <v>7535673</v>
      </c>
      <c r="AO1621" s="202">
        <v>7535673</v>
      </c>
      <c r="AP1621" s="202">
        <v>7535673</v>
      </c>
      <c r="AQ1621" s="198" t="s">
        <v>358</v>
      </c>
      <c r="AR1621" s="198" t="s">
        <v>51</v>
      </c>
      <c r="AS1621" s="202">
        <v>7535673</v>
      </c>
      <c r="AT1621" s="202">
        <v>7535673</v>
      </c>
      <c r="AU1621" s="198" t="s">
        <v>359</v>
      </c>
      <c r="AV1621" s="198" t="s">
        <v>62</v>
      </c>
      <c r="AW1621" s="198" t="s">
        <v>54</v>
      </c>
    </row>
    <row r="1622" spans="3:49" outlineLevel="2" x14ac:dyDescent="0.25">
      <c r="C1622" s="201"/>
      <c r="D1622" s="198" t="s">
        <v>671</v>
      </c>
      <c r="H1622" s="198" t="s">
        <v>671</v>
      </c>
      <c r="I1622" s="202">
        <f t="shared" si="25"/>
        <v>673531969.94999993</v>
      </c>
      <c r="J1622" s="202">
        <v>163.1</v>
      </c>
      <c r="L1622" s="203">
        <v>0.41799999999999998</v>
      </c>
      <c r="M1622" s="202">
        <v>200668.5</v>
      </c>
      <c r="N1622" s="203">
        <v>0.41799999999999998</v>
      </c>
      <c r="O1622" s="198" t="s">
        <v>51</v>
      </c>
      <c r="P1622" s="202">
        <v>200668.5</v>
      </c>
      <c r="Q1622" s="198" t="s">
        <v>159</v>
      </c>
      <c r="R1622" s="198" t="s">
        <v>160</v>
      </c>
      <c r="S1622" s="198" t="s">
        <v>54</v>
      </c>
      <c r="T1622" s="198" t="s">
        <v>667</v>
      </c>
      <c r="U1622" s="198" t="s">
        <v>80</v>
      </c>
      <c r="V1622" s="198" t="s">
        <v>56</v>
      </c>
      <c r="W1622" s="198" t="s">
        <v>356</v>
      </c>
      <c r="X1622" s="198" t="s">
        <v>161</v>
      </c>
      <c r="Y1622" s="198" t="s">
        <v>162</v>
      </c>
      <c r="Z1622" s="201">
        <v>46239</v>
      </c>
      <c r="AA1622" s="198" t="s">
        <v>59</v>
      </c>
      <c r="AB1622" s="198" t="s">
        <v>60</v>
      </c>
      <c r="AC1622" s="198" t="s">
        <v>86</v>
      </c>
      <c r="AD1622" s="198" t="s">
        <v>62</v>
      </c>
      <c r="AE1622" s="198" t="s">
        <v>54</v>
      </c>
      <c r="AF1622" s="198" t="s">
        <v>54</v>
      </c>
      <c r="AG1622" s="198" t="s">
        <v>564</v>
      </c>
      <c r="AH1622" s="198" t="s">
        <v>95</v>
      </c>
      <c r="AI1622" s="198" t="s">
        <v>56</v>
      </c>
      <c r="AJ1622" s="198" t="s">
        <v>163</v>
      </c>
      <c r="AK1622" s="198" t="s">
        <v>51</v>
      </c>
      <c r="AL1622" s="198" t="s">
        <v>67</v>
      </c>
      <c r="AM1622" s="198" t="s">
        <v>68</v>
      </c>
      <c r="AN1622" s="202">
        <v>200668.5</v>
      </c>
      <c r="AO1622" s="202">
        <v>200668.5</v>
      </c>
      <c r="AP1622" s="202">
        <v>200668.5</v>
      </c>
      <c r="AQ1622" s="198" t="s">
        <v>358</v>
      </c>
      <c r="AR1622" s="198" t="s">
        <v>51</v>
      </c>
      <c r="AS1622" s="202">
        <v>200668.5</v>
      </c>
      <c r="AT1622" s="202">
        <v>200668.5</v>
      </c>
      <c r="AU1622" s="198" t="s">
        <v>359</v>
      </c>
      <c r="AV1622" s="198" t="s">
        <v>62</v>
      </c>
      <c r="AW1622" s="198" t="s">
        <v>54</v>
      </c>
    </row>
    <row r="1623" spans="3:49" outlineLevel="2" x14ac:dyDescent="0.25">
      <c r="C1623" s="201"/>
      <c r="D1623" s="198" t="s">
        <v>672</v>
      </c>
      <c r="H1623" s="198" t="s">
        <v>672</v>
      </c>
      <c r="I1623" s="202">
        <f t="shared" si="25"/>
        <v>673944926.39999998</v>
      </c>
      <c r="J1623" s="202">
        <v>163.19999999999999</v>
      </c>
      <c r="L1623" s="203">
        <v>0.58199999999999996</v>
      </c>
      <c r="M1623" s="202">
        <v>279814.5</v>
      </c>
      <c r="N1623" s="203">
        <v>0.58199999999999996</v>
      </c>
      <c r="O1623" s="198" t="s">
        <v>51</v>
      </c>
      <c r="P1623" s="202">
        <v>279814.5</v>
      </c>
      <c r="Q1623" s="198" t="s">
        <v>159</v>
      </c>
      <c r="R1623" s="198" t="s">
        <v>160</v>
      </c>
      <c r="S1623" s="198" t="s">
        <v>54</v>
      </c>
      <c r="T1623" s="198" t="s">
        <v>667</v>
      </c>
      <c r="U1623" s="198" t="s">
        <v>80</v>
      </c>
      <c r="V1623" s="198" t="s">
        <v>147</v>
      </c>
      <c r="W1623" s="198" t="s">
        <v>356</v>
      </c>
      <c r="X1623" s="198" t="s">
        <v>161</v>
      </c>
      <c r="Y1623" s="198" t="s">
        <v>162</v>
      </c>
      <c r="Z1623" s="201">
        <v>46239</v>
      </c>
      <c r="AA1623" s="198" t="s">
        <v>59</v>
      </c>
      <c r="AB1623" s="198" t="s">
        <v>60</v>
      </c>
      <c r="AC1623" s="198" t="s">
        <v>86</v>
      </c>
      <c r="AD1623" s="198" t="s">
        <v>62</v>
      </c>
      <c r="AE1623" s="198" t="s">
        <v>54</v>
      </c>
      <c r="AF1623" s="198" t="s">
        <v>54</v>
      </c>
      <c r="AG1623" s="198" t="s">
        <v>564</v>
      </c>
      <c r="AH1623" s="198" t="s">
        <v>95</v>
      </c>
      <c r="AI1623" s="198" t="s">
        <v>56</v>
      </c>
      <c r="AJ1623" s="198" t="s">
        <v>163</v>
      </c>
      <c r="AK1623" s="198" t="s">
        <v>51</v>
      </c>
      <c r="AL1623" s="198" t="s">
        <v>67</v>
      </c>
      <c r="AM1623" s="198" t="s">
        <v>68</v>
      </c>
      <c r="AN1623" s="202">
        <v>279814.5</v>
      </c>
      <c r="AO1623" s="202">
        <v>279814.5</v>
      </c>
      <c r="AP1623" s="202">
        <v>279814.5</v>
      </c>
      <c r="AQ1623" s="198" t="s">
        <v>358</v>
      </c>
      <c r="AR1623" s="198" t="s">
        <v>51</v>
      </c>
      <c r="AS1623" s="202">
        <v>279814.5</v>
      </c>
      <c r="AT1623" s="202">
        <v>279814.5</v>
      </c>
      <c r="AU1623" s="198" t="s">
        <v>359</v>
      </c>
      <c r="AV1623" s="198" t="s">
        <v>62</v>
      </c>
      <c r="AW1623" s="198" t="s">
        <v>54</v>
      </c>
    </row>
    <row r="1624" spans="3:49" outlineLevel="2" x14ac:dyDescent="0.25">
      <c r="C1624" s="201"/>
      <c r="D1624" s="198" t="s">
        <v>184</v>
      </c>
      <c r="H1624" s="198" t="s">
        <v>184</v>
      </c>
      <c r="I1624" s="202">
        <f t="shared" si="25"/>
        <v>674357882.85000002</v>
      </c>
      <c r="J1624" s="202">
        <v>163.30000000000001</v>
      </c>
      <c r="L1624" s="204">
        <v>1</v>
      </c>
      <c r="M1624" s="202">
        <v>250843.5</v>
      </c>
      <c r="N1624" s="204">
        <v>1</v>
      </c>
      <c r="O1624" s="198" t="s">
        <v>51</v>
      </c>
      <c r="P1624" s="202">
        <v>250843.5</v>
      </c>
      <c r="Q1624" s="198" t="s">
        <v>159</v>
      </c>
      <c r="R1624" s="198" t="s">
        <v>160</v>
      </c>
      <c r="S1624" s="198" t="s">
        <v>54</v>
      </c>
      <c r="T1624" s="198" t="s">
        <v>667</v>
      </c>
      <c r="U1624" s="198" t="s">
        <v>80</v>
      </c>
      <c r="V1624" s="198" t="s">
        <v>56</v>
      </c>
      <c r="W1624" s="198" t="s">
        <v>356</v>
      </c>
      <c r="X1624" s="198" t="s">
        <v>161</v>
      </c>
      <c r="Y1624" s="198" t="s">
        <v>162</v>
      </c>
      <c r="Z1624" s="201">
        <v>46239</v>
      </c>
      <c r="AA1624" s="198" t="s">
        <v>59</v>
      </c>
      <c r="AB1624" s="198" t="s">
        <v>60</v>
      </c>
      <c r="AC1624" s="198" t="s">
        <v>86</v>
      </c>
      <c r="AD1624" s="198" t="s">
        <v>62</v>
      </c>
      <c r="AE1624" s="198" t="s">
        <v>54</v>
      </c>
      <c r="AF1624" s="198" t="s">
        <v>54</v>
      </c>
      <c r="AG1624" s="198" t="s">
        <v>564</v>
      </c>
      <c r="AH1624" s="198" t="s">
        <v>169</v>
      </c>
      <c r="AI1624" s="198" t="s">
        <v>56</v>
      </c>
      <c r="AJ1624" s="198" t="s">
        <v>163</v>
      </c>
      <c r="AK1624" s="198" t="s">
        <v>51</v>
      </c>
      <c r="AL1624" s="198" t="s">
        <v>67</v>
      </c>
      <c r="AM1624" s="198" t="s">
        <v>68</v>
      </c>
      <c r="AN1624" s="202">
        <v>250843.5</v>
      </c>
      <c r="AO1624" s="202">
        <v>250843.5</v>
      </c>
      <c r="AP1624" s="202">
        <v>250843.5</v>
      </c>
      <c r="AQ1624" s="198" t="s">
        <v>358</v>
      </c>
      <c r="AR1624" s="198" t="s">
        <v>51</v>
      </c>
      <c r="AS1624" s="202">
        <v>250843.5</v>
      </c>
      <c r="AT1624" s="202">
        <v>250843.5</v>
      </c>
      <c r="AU1624" s="198" t="s">
        <v>359</v>
      </c>
      <c r="AV1624" s="198" t="s">
        <v>62</v>
      </c>
      <c r="AW1624" s="198" t="s">
        <v>54</v>
      </c>
    </row>
    <row r="1625" spans="3:49" outlineLevel="2" x14ac:dyDescent="0.25">
      <c r="C1625" s="201"/>
      <c r="D1625" s="198" t="s">
        <v>48</v>
      </c>
      <c r="H1625" s="198" t="s">
        <v>48</v>
      </c>
      <c r="I1625" s="202">
        <f t="shared" si="25"/>
        <v>674770839.30000007</v>
      </c>
      <c r="J1625" s="202">
        <v>163.4</v>
      </c>
      <c r="L1625" s="203">
        <v>0.40600000000000003</v>
      </c>
      <c r="M1625" s="202">
        <v>451512</v>
      </c>
      <c r="N1625" s="203">
        <v>0.40600000000000003</v>
      </c>
      <c r="O1625" s="198" t="s">
        <v>51</v>
      </c>
      <c r="P1625" s="202">
        <v>451512</v>
      </c>
      <c r="Q1625" s="198" t="s">
        <v>159</v>
      </c>
      <c r="R1625" s="198" t="s">
        <v>160</v>
      </c>
      <c r="S1625" s="198" t="s">
        <v>54</v>
      </c>
      <c r="T1625" s="198" t="s">
        <v>667</v>
      </c>
      <c r="U1625" s="198" t="s">
        <v>80</v>
      </c>
      <c r="V1625" s="198" t="s">
        <v>56</v>
      </c>
      <c r="W1625" s="198" t="s">
        <v>356</v>
      </c>
      <c r="X1625" s="198" t="s">
        <v>161</v>
      </c>
      <c r="Y1625" s="198" t="s">
        <v>162</v>
      </c>
      <c r="Z1625" s="201">
        <v>46239</v>
      </c>
      <c r="AA1625" s="198" t="s">
        <v>59</v>
      </c>
      <c r="AB1625" s="198" t="s">
        <v>60</v>
      </c>
      <c r="AC1625" s="198" t="s">
        <v>86</v>
      </c>
      <c r="AD1625" s="198" t="s">
        <v>62</v>
      </c>
      <c r="AE1625" s="198" t="s">
        <v>54</v>
      </c>
      <c r="AF1625" s="198" t="s">
        <v>54</v>
      </c>
      <c r="AG1625" s="198" t="s">
        <v>564</v>
      </c>
      <c r="AH1625" s="198" t="s">
        <v>65</v>
      </c>
      <c r="AI1625" s="198" t="s">
        <v>56</v>
      </c>
      <c r="AJ1625" s="198" t="s">
        <v>163</v>
      </c>
      <c r="AK1625" s="198" t="s">
        <v>51</v>
      </c>
      <c r="AL1625" s="198" t="s">
        <v>67</v>
      </c>
      <c r="AM1625" s="198" t="s">
        <v>68</v>
      </c>
      <c r="AN1625" s="202">
        <v>451512</v>
      </c>
      <c r="AO1625" s="202">
        <v>451512</v>
      </c>
      <c r="AP1625" s="202">
        <v>451512</v>
      </c>
      <c r="AQ1625" s="198" t="s">
        <v>358</v>
      </c>
      <c r="AR1625" s="198" t="s">
        <v>51</v>
      </c>
      <c r="AS1625" s="202">
        <v>451512</v>
      </c>
      <c r="AT1625" s="202">
        <v>451512</v>
      </c>
      <c r="AU1625" s="198" t="s">
        <v>359</v>
      </c>
      <c r="AV1625" s="198" t="s">
        <v>62</v>
      </c>
      <c r="AW1625" s="198" t="s">
        <v>54</v>
      </c>
    </row>
    <row r="1626" spans="3:49" outlineLevel="2" x14ac:dyDescent="0.25">
      <c r="C1626" s="201"/>
      <c r="D1626" s="198" t="s">
        <v>77</v>
      </c>
      <c r="H1626" s="198" t="s">
        <v>77</v>
      </c>
      <c r="I1626" s="202">
        <f t="shared" si="25"/>
        <v>675183795.75</v>
      </c>
      <c r="J1626" s="202">
        <v>163.5</v>
      </c>
      <c r="L1626" s="203">
        <v>0.59399999999999997</v>
      </c>
      <c r="M1626" s="202">
        <v>659988</v>
      </c>
      <c r="N1626" s="203">
        <v>0.59399999999999997</v>
      </c>
      <c r="O1626" s="198" t="s">
        <v>51</v>
      </c>
      <c r="P1626" s="202">
        <v>659988</v>
      </c>
      <c r="Q1626" s="198" t="s">
        <v>159</v>
      </c>
      <c r="R1626" s="198" t="s">
        <v>160</v>
      </c>
      <c r="S1626" s="198" t="s">
        <v>54</v>
      </c>
      <c r="T1626" s="198" t="s">
        <v>667</v>
      </c>
      <c r="U1626" s="198" t="s">
        <v>80</v>
      </c>
      <c r="V1626" s="198" t="s">
        <v>147</v>
      </c>
      <c r="W1626" s="198" t="s">
        <v>356</v>
      </c>
      <c r="X1626" s="198" t="s">
        <v>161</v>
      </c>
      <c r="Y1626" s="198" t="s">
        <v>162</v>
      </c>
      <c r="Z1626" s="201">
        <v>46239</v>
      </c>
      <c r="AA1626" s="198" t="s">
        <v>59</v>
      </c>
      <c r="AB1626" s="198" t="s">
        <v>60</v>
      </c>
      <c r="AC1626" s="198" t="s">
        <v>86</v>
      </c>
      <c r="AD1626" s="198" t="s">
        <v>62</v>
      </c>
      <c r="AE1626" s="198" t="s">
        <v>54</v>
      </c>
      <c r="AF1626" s="198" t="s">
        <v>54</v>
      </c>
      <c r="AG1626" s="198" t="s">
        <v>564</v>
      </c>
      <c r="AH1626" s="198" t="s">
        <v>65</v>
      </c>
      <c r="AI1626" s="198" t="s">
        <v>56</v>
      </c>
      <c r="AJ1626" s="198" t="s">
        <v>163</v>
      </c>
      <c r="AK1626" s="198" t="s">
        <v>51</v>
      </c>
      <c r="AL1626" s="198" t="s">
        <v>67</v>
      </c>
      <c r="AM1626" s="198" t="s">
        <v>68</v>
      </c>
      <c r="AN1626" s="202">
        <v>659988</v>
      </c>
      <c r="AO1626" s="202">
        <v>659988</v>
      </c>
      <c r="AP1626" s="202">
        <v>659988</v>
      </c>
      <c r="AQ1626" s="198" t="s">
        <v>358</v>
      </c>
      <c r="AR1626" s="198" t="s">
        <v>51</v>
      </c>
      <c r="AS1626" s="202">
        <v>659988</v>
      </c>
      <c r="AT1626" s="202">
        <v>659988</v>
      </c>
      <c r="AU1626" s="198" t="s">
        <v>359</v>
      </c>
      <c r="AV1626" s="198" t="s">
        <v>62</v>
      </c>
      <c r="AW1626" s="198" t="s">
        <v>54</v>
      </c>
    </row>
    <row r="1627" spans="3:49" outlineLevel="2" x14ac:dyDescent="0.25">
      <c r="C1627" s="201"/>
      <c r="D1627" s="198" t="s">
        <v>177</v>
      </c>
      <c r="H1627" s="198" t="s">
        <v>177</v>
      </c>
      <c r="I1627" s="202">
        <f t="shared" si="25"/>
        <v>675596752.19999993</v>
      </c>
      <c r="J1627" s="202">
        <v>163.6</v>
      </c>
      <c r="L1627" s="204">
        <v>1</v>
      </c>
      <c r="M1627" s="202">
        <v>401352.75</v>
      </c>
      <c r="N1627" s="204">
        <v>1</v>
      </c>
      <c r="O1627" s="198" t="s">
        <v>51</v>
      </c>
      <c r="P1627" s="202">
        <v>401352.75</v>
      </c>
      <c r="Q1627" s="198" t="s">
        <v>159</v>
      </c>
      <c r="R1627" s="198" t="s">
        <v>160</v>
      </c>
      <c r="S1627" s="198" t="s">
        <v>54</v>
      </c>
      <c r="T1627" s="198" t="s">
        <v>667</v>
      </c>
      <c r="U1627" s="198" t="s">
        <v>80</v>
      </c>
      <c r="V1627" s="198" t="s">
        <v>56</v>
      </c>
      <c r="W1627" s="198" t="s">
        <v>356</v>
      </c>
      <c r="X1627" s="198" t="s">
        <v>161</v>
      </c>
      <c r="Y1627" s="198" t="s">
        <v>162</v>
      </c>
      <c r="Z1627" s="201">
        <v>46239</v>
      </c>
      <c r="AA1627" s="198" t="s">
        <v>59</v>
      </c>
      <c r="AB1627" s="198" t="s">
        <v>60</v>
      </c>
      <c r="AC1627" s="198" t="s">
        <v>86</v>
      </c>
      <c r="AD1627" s="198" t="s">
        <v>62</v>
      </c>
      <c r="AE1627" s="198" t="s">
        <v>54</v>
      </c>
      <c r="AF1627" s="198" t="s">
        <v>54</v>
      </c>
      <c r="AG1627" s="198" t="s">
        <v>564</v>
      </c>
      <c r="AH1627" s="198" t="s">
        <v>167</v>
      </c>
      <c r="AI1627" s="198" t="s">
        <v>56</v>
      </c>
      <c r="AJ1627" s="198" t="s">
        <v>163</v>
      </c>
      <c r="AK1627" s="198" t="s">
        <v>51</v>
      </c>
      <c r="AL1627" s="198" t="s">
        <v>67</v>
      </c>
      <c r="AM1627" s="198" t="s">
        <v>68</v>
      </c>
      <c r="AN1627" s="202">
        <v>401352.75</v>
      </c>
      <c r="AO1627" s="202">
        <v>401352.75</v>
      </c>
      <c r="AP1627" s="202">
        <v>401352.75</v>
      </c>
      <c r="AQ1627" s="198" t="s">
        <v>358</v>
      </c>
      <c r="AR1627" s="198" t="s">
        <v>51</v>
      </c>
      <c r="AS1627" s="202">
        <v>401352.75</v>
      </c>
      <c r="AT1627" s="202">
        <v>401352.75</v>
      </c>
      <c r="AU1627" s="198" t="s">
        <v>359</v>
      </c>
      <c r="AV1627" s="198" t="s">
        <v>62</v>
      </c>
      <c r="AW1627" s="198" t="s">
        <v>54</v>
      </c>
    </row>
    <row r="1628" spans="3:49" outlineLevel="2" x14ac:dyDescent="0.25">
      <c r="C1628" s="201"/>
      <c r="D1628" s="198" t="s">
        <v>753</v>
      </c>
      <c r="H1628" s="198" t="s">
        <v>753</v>
      </c>
      <c r="I1628" s="202">
        <f t="shared" si="25"/>
        <v>676009708.64999998</v>
      </c>
      <c r="J1628" s="202">
        <v>163.69999999999999</v>
      </c>
      <c r="L1628" s="204">
        <v>1</v>
      </c>
      <c r="M1628" s="202">
        <v>5950000</v>
      </c>
      <c r="N1628" s="203">
        <v>0.1</v>
      </c>
      <c r="O1628" s="198" t="s">
        <v>51</v>
      </c>
      <c r="P1628" s="202">
        <v>595000</v>
      </c>
      <c r="Q1628" s="198" t="s">
        <v>159</v>
      </c>
      <c r="R1628" s="198" t="s">
        <v>160</v>
      </c>
      <c r="S1628" s="198" t="s">
        <v>54</v>
      </c>
      <c r="T1628" s="198" t="s">
        <v>722</v>
      </c>
      <c r="U1628" s="198" t="s">
        <v>80</v>
      </c>
      <c r="V1628" s="198" t="s">
        <v>56</v>
      </c>
      <c r="W1628" s="198" t="s">
        <v>356</v>
      </c>
      <c r="X1628" s="198" t="s">
        <v>161</v>
      </c>
      <c r="Y1628" s="198" t="s">
        <v>162</v>
      </c>
      <c r="Z1628" s="201">
        <v>46326</v>
      </c>
      <c r="AA1628" s="198" t="s">
        <v>59</v>
      </c>
      <c r="AB1628" s="198" t="s">
        <v>60</v>
      </c>
      <c r="AC1628" s="198" t="s">
        <v>86</v>
      </c>
      <c r="AD1628" s="198" t="s">
        <v>62</v>
      </c>
      <c r="AE1628" s="198" t="s">
        <v>54</v>
      </c>
      <c r="AF1628" s="198" t="s">
        <v>54</v>
      </c>
      <c r="AG1628" s="198" t="s">
        <v>235</v>
      </c>
      <c r="AH1628" s="198" t="s">
        <v>143</v>
      </c>
      <c r="AI1628" s="198" t="s">
        <v>56</v>
      </c>
      <c r="AJ1628" s="198" t="s">
        <v>163</v>
      </c>
      <c r="AK1628" s="198" t="s">
        <v>51</v>
      </c>
      <c r="AL1628" s="198" t="s">
        <v>67</v>
      </c>
      <c r="AM1628" s="198" t="s">
        <v>68</v>
      </c>
      <c r="AN1628" s="202">
        <v>5950000</v>
      </c>
      <c r="AO1628" s="202">
        <v>5950000</v>
      </c>
      <c r="AP1628" s="202">
        <v>5950000</v>
      </c>
      <c r="AQ1628" s="198" t="s">
        <v>358</v>
      </c>
      <c r="AR1628" s="198" t="s">
        <v>51</v>
      </c>
      <c r="AS1628" s="202">
        <v>595000</v>
      </c>
      <c r="AT1628" s="202">
        <v>595000</v>
      </c>
      <c r="AU1628" s="198" t="s">
        <v>359</v>
      </c>
      <c r="AV1628" s="198" t="s">
        <v>62</v>
      </c>
      <c r="AW1628" s="198" t="s">
        <v>54</v>
      </c>
    </row>
    <row r="1629" spans="3:49" outlineLevel="2" x14ac:dyDescent="0.25">
      <c r="C1629" s="201"/>
      <c r="D1629" s="198" t="s">
        <v>754</v>
      </c>
      <c r="H1629" s="198" t="s">
        <v>754</v>
      </c>
      <c r="I1629" s="202">
        <f t="shared" si="25"/>
        <v>676422665.10000002</v>
      </c>
      <c r="J1629" s="202">
        <v>163.80000000000001</v>
      </c>
      <c r="L1629" s="204">
        <v>1</v>
      </c>
      <c r="M1629" s="202">
        <v>5950000</v>
      </c>
      <c r="N1629" s="203">
        <v>0.1</v>
      </c>
      <c r="O1629" s="198" t="s">
        <v>51</v>
      </c>
      <c r="P1629" s="202">
        <v>595000</v>
      </c>
      <c r="Q1629" s="198" t="s">
        <v>159</v>
      </c>
      <c r="R1629" s="198" t="s">
        <v>160</v>
      </c>
      <c r="S1629" s="198" t="s">
        <v>54</v>
      </c>
      <c r="T1629" s="198" t="s">
        <v>722</v>
      </c>
      <c r="U1629" s="198" t="s">
        <v>80</v>
      </c>
      <c r="V1629" s="198" t="s">
        <v>56</v>
      </c>
      <c r="W1629" s="198" t="s">
        <v>356</v>
      </c>
      <c r="X1629" s="198" t="s">
        <v>161</v>
      </c>
      <c r="Y1629" s="198" t="s">
        <v>162</v>
      </c>
      <c r="Z1629" s="201">
        <v>46326</v>
      </c>
      <c r="AA1629" s="198" t="s">
        <v>59</v>
      </c>
      <c r="AB1629" s="198" t="s">
        <v>60</v>
      </c>
      <c r="AC1629" s="198" t="s">
        <v>86</v>
      </c>
      <c r="AD1629" s="198" t="s">
        <v>62</v>
      </c>
      <c r="AE1629" s="198" t="s">
        <v>54</v>
      </c>
      <c r="AF1629" s="198" t="s">
        <v>54</v>
      </c>
      <c r="AG1629" s="198" t="s">
        <v>235</v>
      </c>
      <c r="AH1629" s="198" t="s">
        <v>193</v>
      </c>
      <c r="AI1629" s="198" t="s">
        <v>56</v>
      </c>
      <c r="AJ1629" s="198" t="s">
        <v>163</v>
      </c>
      <c r="AK1629" s="198" t="s">
        <v>51</v>
      </c>
      <c r="AL1629" s="198" t="s">
        <v>67</v>
      </c>
      <c r="AM1629" s="198" t="s">
        <v>68</v>
      </c>
      <c r="AN1629" s="202">
        <v>5950000</v>
      </c>
      <c r="AO1629" s="202">
        <v>5950000</v>
      </c>
      <c r="AP1629" s="202">
        <v>5950000</v>
      </c>
      <c r="AQ1629" s="198" t="s">
        <v>358</v>
      </c>
      <c r="AR1629" s="198" t="s">
        <v>51</v>
      </c>
      <c r="AS1629" s="202">
        <v>595000</v>
      </c>
      <c r="AT1629" s="202">
        <v>595000</v>
      </c>
      <c r="AU1629" s="198" t="s">
        <v>359</v>
      </c>
      <c r="AV1629" s="198" t="s">
        <v>62</v>
      </c>
      <c r="AW1629" s="198" t="s">
        <v>54</v>
      </c>
    </row>
    <row r="1630" spans="3:49" outlineLevel="2" x14ac:dyDescent="0.25">
      <c r="C1630" s="201"/>
      <c r="D1630" s="198" t="s">
        <v>755</v>
      </c>
      <c r="H1630" s="198" t="s">
        <v>755</v>
      </c>
      <c r="I1630" s="202">
        <f t="shared" si="25"/>
        <v>676835621.55000007</v>
      </c>
      <c r="J1630" s="202">
        <v>163.9</v>
      </c>
      <c r="L1630" s="204">
        <v>1</v>
      </c>
      <c r="M1630" s="202">
        <v>481440</v>
      </c>
      <c r="N1630" s="204">
        <v>0</v>
      </c>
      <c r="O1630" s="198" t="s">
        <v>51</v>
      </c>
      <c r="P1630" s="202">
        <v>345312.84</v>
      </c>
      <c r="Q1630" s="198" t="s">
        <v>159</v>
      </c>
      <c r="R1630" s="198" t="s">
        <v>160</v>
      </c>
      <c r="S1630" s="198" t="s">
        <v>54</v>
      </c>
      <c r="T1630" s="198" t="s">
        <v>749</v>
      </c>
      <c r="U1630" s="198" t="s">
        <v>55</v>
      </c>
      <c r="V1630" s="198" t="s">
        <v>56</v>
      </c>
      <c r="W1630" s="198" t="s">
        <v>356</v>
      </c>
      <c r="X1630" s="198" t="s">
        <v>161</v>
      </c>
      <c r="Y1630" s="198" t="s">
        <v>162</v>
      </c>
      <c r="Z1630" s="201">
        <v>46446</v>
      </c>
      <c r="AA1630" s="198" t="s">
        <v>59</v>
      </c>
      <c r="AB1630" s="198" t="s">
        <v>60</v>
      </c>
      <c r="AC1630" s="198" t="s">
        <v>86</v>
      </c>
      <c r="AD1630" s="198" t="s">
        <v>62</v>
      </c>
      <c r="AE1630" s="198" t="s">
        <v>54</v>
      </c>
      <c r="AF1630" s="198" t="s">
        <v>54</v>
      </c>
      <c r="AG1630" s="198" t="s">
        <v>98</v>
      </c>
      <c r="AH1630" s="198" t="s">
        <v>274</v>
      </c>
      <c r="AI1630" s="198" t="s">
        <v>56</v>
      </c>
      <c r="AJ1630" s="198" t="s">
        <v>163</v>
      </c>
      <c r="AK1630" s="198" t="s">
        <v>51</v>
      </c>
      <c r="AL1630" s="198" t="s">
        <v>67</v>
      </c>
      <c r="AM1630" s="198" t="s">
        <v>68</v>
      </c>
      <c r="AN1630" s="202">
        <v>481440</v>
      </c>
      <c r="AO1630" s="202">
        <v>481440</v>
      </c>
      <c r="AP1630" s="202">
        <v>481440</v>
      </c>
      <c r="AQ1630" s="198" t="s">
        <v>358</v>
      </c>
      <c r="AR1630" s="198" t="s">
        <v>51</v>
      </c>
      <c r="AS1630" s="202">
        <v>345312.84</v>
      </c>
      <c r="AT1630" s="202">
        <v>345312.84</v>
      </c>
      <c r="AU1630" s="198" t="s">
        <v>359</v>
      </c>
      <c r="AV1630" s="198" t="s">
        <v>62</v>
      </c>
      <c r="AW1630" s="198" t="s">
        <v>54</v>
      </c>
    </row>
    <row r="1631" spans="3:49" outlineLevel="2" x14ac:dyDescent="0.25">
      <c r="C1631" s="201"/>
      <c r="D1631" s="198" t="s">
        <v>757</v>
      </c>
      <c r="H1631" s="198" t="s">
        <v>757</v>
      </c>
      <c r="I1631" s="202">
        <f t="shared" si="25"/>
        <v>677248578</v>
      </c>
      <c r="J1631" s="202">
        <v>164</v>
      </c>
      <c r="L1631" s="203">
        <v>0.60099999999999998</v>
      </c>
      <c r="M1631" s="202">
        <v>1905000</v>
      </c>
      <c r="N1631" s="203">
        <v>0.60099999999999998</v>
      </c>
      <c r="O1631" s="198" t="s">
        <v>51</v>
      </c>
      <c r="P1631" s="202">
        <v>1905000</v>
      </c>
      <c r="Q1631" s="198" t="s">
        <v>159</v>
      </c>
      <c r="R1631" s="198" t="s">
        <v>160</v>
      </c>
      <c r="S1631" s="198" t="s">
        <v>54</v>
      </c>
      <c r="T1631" s="198" t="s">
        <v>355</v>
      </c>
      <c r="U1631" s="198" t="s">
        <v>280</v>
      </c>
      <c r="V1631" s="198" t="s">
        <v>56</v>
      </c>
      <c r="W1631" s="198" t="s">
        <v>356</v>
      </c>
      <c r="X1631" s="198" t="s">
        <v>161</v>
      </c>
      <c r="Y1631" s="198" t="s">
        <v>162</v>
      </c>
      <c r="Z1631" s="201">
        <v>46203</v>
      </c>
      <c r="AA1631" s="198" t="s">
        <v>59</v>
      </c>
      <c r="AB1631" s="198" t="s">
        <v>60</v>
      </c>
      <c r="AC1631" s="198" t="s">
        <v>86</v>
      </c>
      <c r="AD1631" s="198" t="s">
        <v>62</v>
      </c>
      <c r="AE1631" s="198" t="s">
        <v>54</v>
      </c>
      <c r="AF1631" s="198" t="s">
        <v>54</v>
      </c>
      <c r="AG1631" s="198" t="s">
        <v>189</v>
      </c>
      <c r="AH1631" s="198" t="s">
        <v>169</v>
      </c>
      <c r="AI1631" s="198" t="s">
        <v>56</v>
      </c>
      <c r="AJ1631" s="198" t="s">
        <v>163</v>
      </c>
      <c r="AK1631" s="198" t="s">
        <v>51</v>
      </c>
      <c r="AL1631" s="198" t="s">
        <v>67</v>
      </c>
      <c r="AM1631" s="198" t="s">
        <v>68</v>
      </c>
      <c r="AN1631" s="202">
        <v>1905000</v>
      </c>
      <c r="AO1631" s="202">
        <v>1905000</v>
      </c>
      <c r="AP1631" s="202">
        <v>1905000</v>
      </c>
      <c r="AQ1631" s="198" t="s">
        <v>358</v>
      </c>
      <c r="AR1631" s="198" t="s">
        <v>51</v>
      </c>
      <c r="AS1631" s="202">
        <v>1905000</v>
      </c>
      <c r="AT1631" s="202">
        <v>1905000</v>
      </c>
      <c r="AU1631" s="198" t="s">
        <v>359</v>
      </c>
      <c r="AV1631" s="198" t="s">
        <v>62</v>
      </c>
      <c r="AW1631" s="198" t="s">
        <v>54</v>
      </c>
    </row>
    <row r="1632" spans="3:49" outlineLevel="2" x14ac:dyDescent="0.25">
      <c r="C1632" s="201"/>
      <c r="D1632" s="198" t="s">
        <v>279</v>
      </c>
      <c r="H1632" s="198" t="s">
        <v>279</v>
      </c>
      <c r="I1632" s="202">
        <f t="shared" si="25"/>
        <v>677661534.44999993</v>
      </c>
      <c r="J1632" s="202">
        <v>164.1</v>
      </c>
      <c r="L1632" s="203">
        <v>0.39900000000000002</v>
      </c>
      <c r="M1632" s="202">
        <v>1267200</v>
      </c>
      <c r="N1632" s="203">
        <v>0.39900000000000002</v>
      </c>
      <c r="O1632" s="198" t="s">
        <v>51</v>
      </c>
      <c r="P1632" s="202">
        <v>1267200</v>
      </c>
      <c r="Q1632" s="198" t="s">
        <v>159</v>
      </c>
      <c r="R1632" s="198" t="s">
        <v>160</v>
      </c>
      <c r="S1632" s="198" t="s">
        <v>54</v>
      </c>
      <c r="T1632" s="198" t="s">
        <v>355</v>
      </c>
      <c r="U1632" s="198" t="s">
        <v>280</v>
      </c>
      <c r="V1632" s="198" t="s">
        <v>147</v>
      </c>
      <c r="W1632" s="198" t="s">
        <v>356</v>
      </c>
      <c r="X1632" s="198" t="s">
        <v>161</v>
      </c>
      <c r="Y1632" s="198" t="s">
        <v>162</v>
      </c>
      <c r="Z1632" s="201">
        <v>46203</v>
      </c>
      <c r="AA1632" s="198" t="s">
        <v>59</v>
      </c>
      <c r="AB1632" s="198" t="s">
        <v>60</v>
      </c>
      <c r="AC1632" s="198" t="s">
        <v>86</v>
      </c>
      <c r="AD1632" s="198" t="s">
        <v>62</v>
      </c>
      <c r="AE1632" s="198" t="s">
        <v>54</v>
      </c>
      <c r="AF1632" s="198" t="s">
        <v>54</v>
      </c>
      <c r="AG1632" s="198" t="s">
        <v>189</v>
      </c>
      <c r="AH1632" s="198" t="s">
        <v>169</v>
      </c>
      <c r="AI1632" s="198" t="s">
        <v>56</v>
      </c>
      <c r="AJ1632" s="198" t="s">
        <v>163</v>
      </c>
      <c r="AK1632" s="198" t="s">
        <v>51</v>
      </c>
      <c r="AL1632" s="198" t="s">
        <v>67</v>
      </c>
      <c r="AM1632" s="198" t="s">
        <v>68</v>
      </c>
      <c r="AN1632" s="202">
        <v>1267200</v>
      </c>
      <c r="AO1632" s="202">
        <v>1267200</v>
      </c>
      <c r="AP1632" s="202">
        <v>1267200</v>
      </c>
      <c r="AQ1632" s="198" t="s">
        <v>358</v>
      </c>
      <c r="AR1632" s="198" t="s">
        <v>51</v>
      </c>
      <c r="AS1632" s="202">
        <v>1267200</v>
      </c>
      <c r="AT1632" s="202">
        <v>1267200</v>
      </c>
      <c r="AU1632" s="198" t="s">
        <v>359</v>
      </c>
      <c r="AV1632" s="198" t="s">
        <v>62</v>
      </c>
      <c r="AW1632" s="198" t="s">
        <v>54</v>
      </c>
    </row>
    <row r="1633" spans="3:49" outlineLevel="2" x14ac:dyDescent="0.25">
      <c r="C1633" s="201"/>
      <c r="D1633" s="198" t="s">
        <v>287</v>
      </c>
      <c r="H1633" s="198" t="s">
        <v>287</v>
      </c>
      <c r="I1633" s="202">
        <f t="shared" si="25"/>
        <v>678074490.89999998</v>
      </c>
      <c r="J1633" s="202">
        <v>164.2</v>
      </c>
      <c r="L1633" s="204">
        <v>1</v>
      </c>
      <c r="M1633" s="202">
        <v>578860.80000000005</v>
      </c>
      <c r="N1633" s="204">
        <v>1</v>
      </c>
      <c r="O1633" s="198" t="s">
        <v>51</v>
      </c>
      <c r="P1633" s="202">
        <v>578860.80000000005</v>
      </c>
      <c r="Q1633" s="198" t="s">
        <v>159</v>
      </c>
      <c r="R1633" s="198" t="s">
        <v>160</v>
      </c>
      <c r="S1633" s="198" t="s">
        <v>54</v>
      </c>
      <c r="T1633" s="198" t="s">
        <v>758</v>
      </c>
      <c r="U1633" s="198" t="s">
        <v>367</v>
      </c>
      <c r="V1633" s="198" t="s">
        <v>56</v>
      </c>
      <c r="W1633" s="198" t="s">
        <v>356</v>
      </c>
      <c r="X1633" s="198" t="s">
        <v>161</v>
      </c>
      <c r="Y1633" s="198" t="s">
        <v>162</v>
      </c>
      <c r="Z1633" s="201">
        <v>46453</v>
      </c>
      <c r="AA1633" s="198" t="s">
        <v>59</v>
      </c>
      <c r="AB1633" s="198" t="s">
        <v>60</v>
      </c>
      <c r="AC1633" s="198" t="s">
        <v>86</v>
      </c>
      <c r="AD1633" s="198" t="s">
        <v>62</v>
      </c>
      <c r="AE1633" s="198" t="s">
        <v>54</v>
      </c>
      <c r="AF1633" s="198" t="s">
        <v>54</v>
      </c>
      <c r="AG1633" s="198" t="s">
        <v>166</v>
      </c>
      <c r="AH1633" s="198" t="s">
        <v>156</v>
      </c>
      <c r="AI1633" s="198" t="s">
        <v>56</v>
      </c>
      <c r="AJ1633" s="198" t="s">
        <v>163</v>
      </c>
      <c r="AK1633" s="198" t="s">
        <v>51</v>
      </c>
      <c r="AL1633" s="198" t="s">
        <v>67</v>
      </c>
      <c r="AM1633" s="198" t="s">
        <v>68</v>
      </c>
      <c r="AN1633" s="202">
        <v>578860.80000000005</v>
      </c>
      <c r="AO1633" s="202">
        <v>578860.80000000005</v>
      </c>
      <c r="AP1633" s="202">
        <v>578860.80000000005</v>
      </c>
      <c r="AQ1633" s="198" t="s">
        <v>358</v>
      </c>
      <c r="AR1633" s="198" t="s">
        <v>51</v>
      </c>
      <c r="AS1633" s="202">
        <v>578860.80000000005</v>
      </c>
      <c r="AT1633" s="202">
        <v>578860.80000000005</v>
      </c>
      <c r="AU1633" s="198" t="s">
        <v>359</v>
      </c>
      <c r="AV1633" s="198" t="s">
        <v>62</v>
      </c>
      <c r="AW1633" s="198" t="s">
        <v>54</v>
      </c>
    </row>
    <row r="1634" spans="3:49" outlineLevel="2" x14ac:dyDescent="0.25">
      <c r="C1634" s="201"/>
      <c r="D1634" s="198" t="s">
        <v>759</v>
      </c>
      <c r="H1634" s="198" t="s">
        <v>759</v>
      </c>
      <c r="I1634" s="202">
        <f t="shared" si="25"/>
        <v>678487447.35000002</v>
      </c>
      <c r="J1634" s="202">
        <v>164.3</v>
      </c>
      <c r="L1634" s="204">
        <v>1</v>
      </c>
      <c r="M1634" s="202">
        <v>481440</v>
      </c>
      <c r="N1634" s="204">
        <v>0</v>
      </c>
      <c r="O1634" s="198" t="s">
        <v>51</v>
      </c>
      <c r="P1634" s="202">
        <v>346757.16</v>
      </c>
      <c r="Q1634" s="198" t="s">
        <v>159</v>
      </c>
      <c r="R1634" s="198" t="s">
        <v>160</v>
      </c>
      <c r="S1634" s="198" t="s">
        <v>54</v>
      </c>
      <c r="T1634" s="198" t="s">
        <v>749</v>
      </c>
      <c r="U1634" s="198" t="s">
        <v>55</v>
      </c>
      <c r="V1634" s="198" t="s">
        <v>56</v>
      </c>
      <c r="W1634" s="198" t="s">
        <v>356</v>
      </c>
      <c r="X1634" s="198" t="s">
        <v>161</v>
      </c>
      <c r="Y1634" s="198" t="s">
        <v>162</v>
      </c>
      <c r="Z1634" s="201">
        <v>46079</v>
      </c>
      <c r="AA1634" s="198" t="s">
        <v>59</v>
      </c>
      <c r="AB1634" s="198" t="s">
        <v>60</v>
      </c>
      <c r="AC1634" s="198" t="s">
        <v>61</v>
      </c>
      <c r="AD1634" s="198" t="s">
        <v>62</v>
      </c>
      <c r="AE1634" s="198" t="s">
        <v>54</v>
      </c>
      <c r="AF1634" s="198" t="s">
        <v>54</v>
      </c>
      <c r="AG1634" s="198" t="s">
        <v>98</v>
      </c>
      <c r="AH1634" s="198" t="s">
        <v>148</v>
      </c>
      <c r="AI1634" s="198" t="s">
        <v>56</v>
      </c>
      <c r="AJ1634" s="198" t="s">
        <v>163</v>
      </c>
      <c r="AK1634" s="198" t="s">
        <v>51</v>
      </c>
      <c r="AL1634" s="198" t="s">
        <v>67</v>
      </c>
      <c r="AM1634" s="198" t="s">
        <v>68</v>
      </c>
      <c r="AN1634" s="202">
        <v>481440</v>
      </c>
      <c r="AO1634" s="202">
        <v>481440</v>
      </c>
      <c r="AP1634" s="202">
        <v>481440</v>
      </c>
      <c r="AQ1634" s="198" t="s">
        <v>358</v>
      </c>
      <c r="AR1634" s="198" t="s">
        <v>51</v>
      </c>
      <c r="AS1634" s="202">
        <v>346757.16</v>
      </c>
      <c r="AT1634" s="202">
        <v>346757.16</v>
      </c>
      <c r="AU1634" s="198" t="s">
        <v>359</v>
      </c>
      <c r="AV1634" s="198" t="s">
        <v>62</v>
      </c>
      <c r="AW1634" s="198" t="s">
        <v>54</v>
      </c>
    </row>
    <row r="1635" spans="3:49" outlineLevel="2" x14ac:dyDescent="0.25">
      <c r="C1635" s="201"/>
      <c r="D1635" s="198" t="s">
        <v>275</v>
      </c>
      <c r="H1635" s="198" t="s">
        <v>275</v>
      </c>
      <c r="I1635" s="202">
        <f t="shared" si="25"/>
        <v>678900403.80000007</v>
      </c>
      <c r="J1635" s="202">
        <v>164.4</v>
      </c>
      <c r="L1635" s="204">
        <v>1</v>
      </c>
      <c r="M1635" s="202">
        <v>578860.80000000005</v>
      </c>
      <c r="N1635" s="204">
        <v>1</v>
      </c>
      <c r="O1635" s="198" t="s">
        <v>51</v>
      </c>
      <c r="P1635" s="202">
        <v>578860.80000000005</v>
      </c>
      <c r="Q1635" s="198" t="s">
        <v>159</v>
      </c>
      <c r="R1635" s="198" t="s">
        <v>160</v>
      </c>
      <c r="S1635" s="198" t="s">
        <v>54</v>
      </c>
      <c r="T1635" s="198" t="s">
        <v>758</v>
      </c>
      <c r="U1635" s="198" t="s">
        <v>2046</v>
      </c>
      <c r="V1635" s="198" t="s">
        <v>56</v>
      </c>
      <c r="W1635" s="198" t="s">
        <v>356</v>
      </c>
      <c r="X1635" s="198" t="s">
        <v>161</v>
      </c>
      <c r="Y1635" s="198" t="s">
        <v>162</v>
      </c>
      <c r="Z1635" s="201">
        <v>46438</v>
      </c>
      <c r="AA1635" s="198" t="s">
        <v>59</v>
      </c>
      <c r="AB1635" s="198" t="s">
        <v>60</v>
      </c>
      <c r="AC1635" s="198" t="s">
        <v>86</v>
      </c>
      <c r="AD1635" s="198" t="s">
        <v>62</v>
      </c>
      <c r="AE1635" s="198" t="s">
        <v>54</v>
      </c>
      <c r="AF1635" s="198" t="s">
        <v>54</v>
      </c>
      <c r="AG1635" s="198" t="s">
        <v>98</v>
      </c>
      <c r="AH1635" s="198" t="s">
        <v>148</v>
      </c>
      <c r="AI1635" s="198" t="s">
        <v>56</v>
      </c>
      <c r="AJ1635" s="198" t="s">
        <v>163</v>
      </c>
      <c r="AK1635" s="198" t="s">
        <v>51</v>
      </c>
      <c r="AL1635" s="198" t="s">
        <v>67</v>
      </c>
      <c r="AM1635" s="198" t="s">
        <v>68</v>
      </c>
      <c r="AN1635" s="202">
        <v>578860.80000000005</v>
      </c>
      <c r="AO1635" s="202">
        <v>578860.80000000005</v>
      </c>
      <c r="AP1635" s="202">
        <v>578860.80000000005</v>
      </c>
      <c r="AQ1635" s="198" t="s">
        <v>358</v>
      </c>
      <c r="AR1635" s="198" t="s">
        <v>51</v>
      </c>
      <c r="AS1635" s="202">
        <v>578860.80000000005</v>
      </c>
      <c r="AT1635" s="202">
        <v>578860.80000000005</v>
      </c>
      <c r="AU1635" s="198" t="s">
        <v>359</v>
      </c>
      <c r="AV1635" s="198" t="s">
        <v>62</v>
      </c>
      <c r="AW1635" s="198" t="s">
        <v>54</v>
      </c>
    </row>
    <row r="1636" spans="3:49" outlineLevel="2" x14ac:dyDescent="0.25">
      <c r="C1636" s="201"/>
      <c r="D1636" s="198" t="s">
        <v>281</v>
      </c>
      <c r="H1636" s="198" t="s">
        <v>281</v>
      </c>
      <c r="I1636" s="202">
        <f t="shared" si="25"/>
        <v>679313360.25</v>
      </c>
      <c r="J1636" s="202">
        <v>164.5</v>
      </c>
      <c r="L1636" s="204">
        <v>1</v>
      </c>
      <c r="M1636" s="202">
        <v>578860.80000000005</v>
      </c>
      <c r="N1636" s="204">
        <v>1</v>
      </c>
      <c r="O1636" s="198" t="s">
        <v>51</v>
      </c>
      <c r="P1636" s="202">
        <v>578860.80000000005</v>
      </c>
      <c r="Q1636" s="198" t="s">
        <v>159</v>
      </c>
      <c r="R1636" s="198" t="s">
        <v>160</v>
      </c>
      <c r="S1636" s="198" t="s">
        <v>54</v>
      </c>
      <c r="T1636" s="198" t="s">
        <v>758</v>
      </c>
      <c r="U1636" s="198" t="s">
        <v>282</v>
      </c>
      <c r="V1636" s="198" t="s">
        <v>56</v>
      </c>
      <c r="W1636" s="198" t="s">
        <v>356</v>
      </c>
      <c r="X1636" s="198" t="s">
        <v>161</v>
      </c>
      <c r="Y1636" s="198" t="s">
        <v>162</v>
      </c>
      <c r="Z1636" s="201">
        <v>46438</v>
      </c>
      <c r="AA1636" s="198" t="s">
        <v>59</v>
      </c>
      <c r="AB1636" s="198" t="s">
        <v>60</v>
      </c>
      <c r="AC1636" s="198" t="s">
        <v>86</v>
      </c>
      <c r="AD1636" s="198" t="s">
        <v>62</v>
      </c>
      <c r="AE1636" s="198" t="s">
        <v>54</v>
      </c>
      <c r="AF1636" s="198" t="s">
        <v>54</v>
      </c>
      <c r="AG1636" s="198" t="s">
        <v>98</v>
      </c>
      <c r="AH1636" s="198" t="s">
        <v>153</v>
      </c>
      <c r="AI1636" s="198" t="s">
        <v>56</v>
      </c>
      <c r="AJ1636" s="198" t="s">
        <v>163</v>
      </c>
      <c r="AK1636" s="198" t="s">
        <v>51</v>
      </c>
      <c r="AL1636" s="198" t="s">
        <v>67</v>
      </c>
      <c r="AM1636" s="198" t="s">
        <v>68</v>
      </c>
      <c r="AN1636" s="202">
        <v>578860.80000000005</v>
      </c>
      <c r="AO1636" s="202">
        <v>578860.80000000005</v>
      </c>
      <c r="AP1636" s="202">
        <v>578860.80000000005</v>
      </c>
      <c r="AQ1636" s="198" t="s">
        <v>358</v>
      </c>
      <c r="AR1636" s="198" t="s">
        <v>51</v>
      </c>
      <c r="AS1636" s="202">
        <v>578860.80000000005</v>
      </c>
      <c r="AT1636" s="202">
        <v>578860.80000000005</v>
      </c>
      <c r="AU1636" s="198" t="s">
        <v>359</v>
      </c>
      <c r="AV1636" s="198" t="s">
        <v>62</v>
      </c>
      <c r="AW1636" s="198" t="s">
        <v>54</v>
      </c>
    </row>
    <row r="1637" spans="3:49" outlineLevel="2" x14ac:dyDescent="0.25">
      <c r="C1637" s="201"/>
      <c r="D1637" s="198" t="s">
        <v>276</v>
      </c>
      <c r="H1637" s="198" t="s">
        <v>276</v>
      </c>
      <c r="I1637" s="202">
        <f t="shared" si="25"/>
        <v>679726316.69999993</v>
      </c>
      <c r="J1637" s="202">
        <v>164.6</v>
      </c>
      <c r="L1637" s="204">
        <v>1</v>
      </c>
      <c r="M1637" s="202">
        <v>1157721.6000000001</v>
      </c>
      <c r="N1637" s="204">
        <v>1</v>
      </c>
      <c r="O1637" s="198" t="s">
        <v>51</v>
      </c>
      <c r="P1637" s="202">
        <v>1157721.6000000001</v>
      </c>
      <c r="Q1637" s="198" t="s">
        <v>159</v>
      </c>
      <c r="R1637" s="198" t="s">
        <v>160</v>
      </c>
      <c r="S1637" s="198" t="s">
        <v>54</v>
      </c>
      <c r="T1637" s="198" t="s">
        <v>758</v>
      </c>
      <c r="U1637" s="198" t="s">
        <v>85</v>
      </c>
      <c r="V1637" s="198" t="s">
        <v>56</v>
      </c>
      <c r="W1637" s="198" t="s">
        <v>356</v>
      </c>
      <c r="X1637" s="198" t="s">
        <v>161</v>
      </c>
      <c r="Y1637" s="198" t="s">
        <v>162</v>
      </c>
      <c r="Z1637" s="201">
        <v>46453</v>
      </c>
      <c r="AA1637" s="198" t="s">
        <v>59</v>
      </c>
      <c r="AB1637" s="198" t="s">
        <v>60</v>
      </c>
      <c r="AC1637" s="198" t="s">
        <v>86</v>
      </c>
      <c r="AD1637" s="198" t="s">
        <v>62</v>
      </c>
      <c r="AE1637" s="198" t="s">
        <v>54</v>
      </c>
      <c r="AF1637" s="198" t="s">
        <v>54</v>
      </c>
      <c r="AG1637" s="198" t="s">
        <v>166</v>
      </c>
      <c r="AH1637" s="198" t="s">
        <v>143</v>
      </c>
      <c r="AI1637" s="198" t="s">
        <v>56</v>
      </c>
      <c r="AJ1637" s="198" t="s">
        <v>163</v>
      </c>
      <c r="AK1637" s="198" t="s">
        <v>51</v>
      </c>
      <c r="AL1637" s="198" t="s">
        <v>67</v>
      </c>
      <c r="AM1637" s="198" t="s">
        <v>68</v>
      </c>
      <c r="AN1637" s="202">
        <v>1157721.6000000001</v>
      </c>
      <c r="AO1637" s="202">
        <v>1157721.6000000001</v>
      </c>
      <c r="AP1637" s="202">
        <v>1157721.6000000001</v>
      </c>
      <c r="AQ1637" s="198" t="s">
        <v>358</v>
      </c>
      <c r="AR1637" s="198" t="s">
        <v>51</v>
      </c>
      <c r="AS1637" s="202">
        <v>1157721.6000000001</v>
      </c>
      <c r="AT1637" s="202">
        <v>1157721.6000000001</v>
      </c>
      <c r="AU1637" s="198" t="s">
        <v>359</v>
      </c>
      <c r="AV1637" s="198" t="s">
        <v>62</v>
      </c>
      <c r="AW1637" s="198" t="s">
        <v>54</v>
      </c>
    </row>
    <row r="1638" spans="3:49" outlineLevel="2" x14ac:dyDescent="0.25">
      <c r="C1638" s="201"/>
      <c r="D1638" s="198" t="s">
        <v>760</v>
      </c>
      <c r="H1638" s="198" t="s">
        <v>760</v>
      </c>
      <c r="I1638" s="202">
        <f t="shared" si="25"/>
        <v>680139273.14999998</v>
      </c>
      <c r="J1638" s="202">
        <v>164.7</v>
      </c>
      <c r="L1638" s="204">
        <v>1</v>
      </c>
      <c r="M1638" s="202">
        <v>481440</v>
      </c>
      <c r="N1638" s="204">
        <v>0</v>
      </c>
      <c r="O1638" s="198" t="s">
        <v>51</v>
      </c>
      <c r="P1638" s="202">
        <v>345312.84</v>
      </c>
      <c r="Q1638" s="198" t="s">
        <v>159</v>
      </c>
      <c r="R1638" s="198" t="s">
        <v>160</v>
      </c>
      <c r="S1638" s="198" t="s">
        <v>54</v>
      </c>
      <c r="T1638" s="198" t="s">
        <v>749</v>
      </c>
      <c r="U1638" s="198" t="s">
        <v>55</v>
      </c>
      <c r="V1638" s="198" t="s">
        <v>56</v>
      </c>
      <c r="W1638" s="198" t="s">
        <v>356</v>
      </c>
      <c r="X1638" s="198" t="s">
        <v>161</v>
      </c>
      <c r="Y1638" s="198" t="s">
        <v>162</v>
      </c>
      <c r="Z1638" s="201">
        <v>46079</v>
      </c>
      <c r="AA1638" s="198" t="s">
        <v>59</v>
      </c>
      <c r="AB1638" s="198" t="s">
        <v>60</v>
      </c>
      <c r="AC1638" s="198" t="s">
        <v>61</v>
      </c>
      <c r="AD1638" s="198" t="s">
        <v>62</v>
      </c>
      <c r="AE1638" s="198" t="s">
        <v>54</v>
      </c>
      <c r="AF1638" s="198" t="s">
        <v>54</v>
      </c>
      <c r="AG1638" s="198" t="s">
        <v>98</v>
      </c>
      <c r="AH1638" s="198" t="s">
        <v>153</v>
      </c>
      <c r="AI1638" s="198" t="s">
        <v>56</v>
      </c>
      <c r="AJ1638" s="198" t="s">
        <v>163</v>
      </c>
      <c r="AK1638" s="198" t="s">
        <v>51</v>
      </c>
      <c r="AL1638" s="198" t="s">
        <v>67</v>
      </c>
      <c r="AM1638" s="198" t="s">
        <v>68</v>
      </c>
      <c r="AN1638" s="202">
        <v>481440</v>
      </c>
      <c r="AO1638" s="202">
        <v>481440</v>
      </c>
      <c r="AP1638" s="202">
        <v>481440</v>
      </c>
      <c r="AQ1638" s="198" t="s">
        <v>358</v>
      </c>
      <c r="AR1638" s="198" t="s">
        <v>51</v>
      </c>
      <c r="AS1638" s="202">
        <v>345312.84</v>
      </c>
      <c r="AT1638" s="202">
        <v>345312.84</v>
      </c>
      <c r="AU1638" s="198" t="s">
        <v>359</v>
      </c>
      <c r="AV1638" s="198" t="s">
        <v>62</v>
      </c>
      <c r="AW1638" s="198" t="s">
        <v>54</v>
      </c>
    </row>
    <row r="1639" spans="3:49" outlineLevel="2" x14ac:dyDescent="0.25">
      <c r="C1639" s="201"/>
      <c r="D1639" s="198" t="s">
        <v>761</v>
      </c>
      <c r="H1639" s="198" t="s">
        <v>761</v>
      </c>
      <c r="I1639" s="202">
        <f t="shared" si="25"/>
        <v>680552229.60000002</v>
      </c>
      <c r="J1639" s="202">
        <v>164.8</v>
      </c>
      <c r="L1639" s="204">
        <v>1</v>
      </c>
      <c r="M1639" s="202">
        <v>481440</v>
      </c>
      <c r="N1639" s="204">
        <v>0</v>
      </c>
      <c r="O1639" s="198" t="s">
        <v>51</v>
      </c>
      <c r="P1639" s="202">
        <v>345312.84</v>
      </c>
      <c r="Q1639" s="198" t="s">
        <v>159</v>
      </c>
      <c r="R1639" s="198" t="s">
        <v>160</v>
      </c>
      <c r="S1639" s="198" t="s">
        <v>54</v>
      </c>
      <c r="T1639" s="198" t="s">
        <v>749</v>
      </c>
      <c r="U1639" s="198" t="s">
        <v>55</v>
      </c>
      <c r="V1639" s="198" t="s">
        <v>56</v>
      </c>
      <c r="W1639" s="198" t="s">
        <v>356</v>
      </c>
      <c r="X1639" s="198" t="s">
        <v>161</v>
      </c>
      <c r="Y1639" s="198" t="s">
        <v>162</v>
      </c>
      <c r="Z1639" s="201">
        <v>46446</v>
      </c>
      <c r="AA1639" s="198" t="s">
        <v>59</v>
      </c>
      <c r="AB1639" s="198" t="s">
        <v>60</v>
      </c>
      <c r="AC1639" s="198" t="s">
        <v>86</v>
      </c>
      <c r="AD1639" s="198" t="s">
        <v>62</v>
      </c>
      <c r="AE1639" s="198" t="s">
        <v>54</v>
      </c>
      <c r="AF1639" s="198" t="s">
        <v>54</v>
      </c>
      <c r="AG1639" s="198" t="s">
        <v>98</v>
      </c>
      <c r="AH1639" s="198" t="s">
        <v>156</v>
      </c>
      <c r="AI1639" s="198" t="s">
        <v>56</v>
      </c>
      <c r="AJ1639" s="198" t="s">
        <v>163</v>
      </c>
      <c r="AK1639" s="198" t="s">
        <v>51</v>
      </c>
      <c r="AL1639" s="198" t="s">
        <v>67</v>
      </c>
      <c r="AM1639" s="198" t="s">
        <v>68</v>
      </c>
      <c r="AN1639" s="202">
        <v>481440</v>
      </c>
      <c r="AO1639" s="202">
        <v>481440</v>
      </c>
      <c r="AP1639" s="202">
        <v>481440</v>
      </c>
      <c r="AQ1639" s="198" t="s">
        <v>358</v>
      </c>
      <c r="AR1639" s="198" t="s">
        <v>51</v>
      </c>
      <c r="AS1639" s="202">
        <v>345312.84</v>
      </c>
      <c r="AT1639" s="202">
        <v>345312.84</v>
      </c>
      <c r="AU1639" s="198" t="s">
        <v>359</v>
      </c>
      <c r="AV1639" s="198" t="s">
        <v>62</v>
      </c>
      <c r="AW1639" s="198" t="s">
        <v>54</v>
      </c>
    </row>
    <row r="1640" spans="3:49" outlineLevel="2" x14ac:dyDescent="0.25">
      <c r="C1640" s="201"/>
      <c r="D1640" s="198" t="s">
        <v>762</v>
      </c>
      <c r="H1640" s="198" t="s">
        <v>762</v>
      </c>
      <c r="I1640" s="202">
        <f t="shared" si="25"/>
        <v>680965186.05000007</v>
      </c>
      <c r="J1640" s="202">
        <v>164.9</v>
      </c>
      <c r="L1640" s="204">
        <v>1</v>
      </c>
      <c r="M1640" s="202">
        <v>481440</v>
      </c>
      <c r="N1640" s="204">
        <v>0</v>
      </c>
      <c r="O1640" s="198" t="s">
        <v>51</v>
      </c>
      <c r="P1640" s="202">
        <v>346757.16</v>
      </c>
      <c r="Q1640" s="198" t="s">
        <v>159</v>
      </c>
      <c r="R1640" s="198" t="s">
        <v>160</v>
      </c>
      <c r="S1640" s="198" t="s">
        <v>54</v>
      </c>
      <c r="T1640" s="198" t="s">
        <v>749</v>
      </c>
      <c r="U1640" s="198" t="s">
        <v>55</v>
      </c>
      <c r="V1640" s="198" t="s">
        <v>56</v>
      </c>
      <c r="W1640" s="198" t="s">
        <v>356</v>
      </c>
      <c r="X1640" s="198" t="s">
        <v>161</v>
      </c>
      <c r="Y1640" s="198" t="s">
        <v>162</v>
      </c>
      <c r="Z1640" s="201">
        <v>46446</v>
      </c>
      <c r="AA1640" s="198" t="s">
        <v>59</v>
      </c>
      <c r="AB1640" s="198" t="s">
        <v>60</v>
      </c>
      <c r="AC1640" s="198" t="s">
        <v>86</v>
      </c>
      <c r="AD1640" s="198" t="s">
        <v>62</v>
      </c>
      <c r="AE1640" s="198" t="s">
        <v>54</v>
      </c>
      <c r="AF1640" s="198" t="s">
        <v>54</v>
      </c>
      <c r="AG1640" s="198" t="s">
        <v>98</v>
      </c>
      <c r="AH1640" s="198" t="s">
        <v>193</v>
      </c>
      <c r="AI1640" s="198" t="s">
        <v>56</v>
      </c>
      <c r="AJ1640" s="198" t="s">
        <v>163</v>
      </c>
      <c r="AK1640" s="198" t="s">
        <v>51</v>
      </c>
      <c r="AL1640" s="198" t="s">
        <v>67</v>
      </c>
      <c r="AM1640" s="198" t="s">
        <v>68</v>
      </c>
      <c r="AN1640" s="202">
        <v>481440</v>
      </c>
      <c r="AO1640" s="202">
        <v>481440</v>
      </c>
      <c r="AP1640" s="202">
        <v>481440</v>
      </c>
      <c r="AQ1640" s="198" t="s">
        <v>358</v>
      </c>
      <c r="AR1640" s="198" t="s">
        <v>51</v>
      </c>
      <c r="AS1640" s="202">
        <v>346757.16</v>
      </c>
      <c r="AT1640" s="202">
        <v>346757.16</v>
      </c>
      <c r="AU1640" s="198" t="s">
        <v>359</v>
      </c>
      <c r="AV1640" s="198" t="s">
        <v>62</v>
      </c>
      <c r="AW1640" s="198" t="s">
        <v>54</v>
      </c>
    </row>
    <row r="1641" spans="3:49" outlineLevel="2" x14ac:dyDescent="0.25">
      <c r="C1641" s="201"/>
      <c r="D1641" s="198" t="s">
        <v>763</v>
      </c>
      <c r="H1641" s="198" t="s">
        <v>763</v>
      </c>
      <c r="I1641" s="202">
        <f t="shared" si="25"/>
        <v>681378142.5</v>
      </c>
      <c r="J1641" s="202">
        <v>165</v>
      </c>
      <c r="L1641" s="204">
        <v>1</v>
      </c>
      <c r="M1641" s="202">
        <v>1345200</v>
      </c>
      <c r="N1641" s="204">
        <v>0</v>
      </c>
      <c r="O1641" s="198" t="s">
        <v>51</v>
      </c>
      <c r="P1641" s="202">
        <v>1117333.74</v>
      </c>
      <c r="Q1641" s="198" t="s">
        <v>159</v>
      </c>
      <c r="R1641" s="198" t="s">
        <v>160</v>
      </c>
      <c r="S1641" s="198" t="s">
        <v>54</v>
      </c>
      <c r="T1641" s="198" t="s">
        <v>749</v>
      </c>
      <c r="U1641" s="198" t="s">
        <v>681</v>
      </c>
      <c r="V1641" s="198" t="s">
        <v>56</v>
      </c>
      <c r="W1641" s="198" t="s">
        <v>356</v>
      </c>
      <c r="X1641" s="198" t="s">
        <v>161</v>
      </c>
      <c r="Y1641" s="198" t="s">
        <v>162</v>
      </c>
      <c r="Z1641" s="201">
        <v>46446</v>
      </c>
      <c r="AA1641" s="198" t="s">
        <v>59</v>
      </c>
      <c r="AB1641" s="198" t="s">
        <v>60</v>
      </c>
      <c r="AC1641" s="198" t="s">
        <v>86</v>
      </c>
      <c r="AD1641" s="198" t="s">
        <v>62</v>
      </c>
      <c r="AE1641" s="198" t="s">
        <v>54</v>
      </c>
      <c r="AF1641" s="198" t="s">
        <v>54</v>
      </c>
      <c r="AG1641" s="198" t="s">
        <v>98</v>
      </c>
      <c r="AH1641" s="198" t="s">
        <v>143</v>
      </c>
      <c r="AI1641" s="198" t="s">
        <v>56</v>
      </c>
      <c r="AJ1641" s="198" t="s">
        <v>163</v>
      </c>
      <c r="AK1641" s="198" t="s">
        <v>51</v>
      </c>
      <c r="AL1641" s="198" t="s">
        <v>67</v>
      </c>
      <c r="AM1641" s="198" t="s">
        <v>68</v>
      </c>
      <c r="AN1641" s="202">
        <v>1345200</v>
      </c>
      <c r="AO1641" s="202">
        <v>1345200</v>
      </c>
      <c r="AP1641" s="202">
        <v>1345200</v>
      </c>
      <c r="AQ1641" s="198" t="s">
        <v>358</v>
      </c>
      <c r="AR1641" s="198" t="s">
        <v>51</v>
      </c>
      <c r="AS1641" s="202">
        <v>1117333.74</v>
      </c>
      <c r="AT1641" s="202">
        <v>1117333.74</v>
      </c>
      <c r="AU1641" s="198" t="s">
        <v>359</v>
      </c>
      <c r="AV1641" s="198" t="s">
        <v>62</v>
      </c>
      <c r="AW1641" s="198" t="s">
        <v>54</v>
      </c>
    </row>
    <row r="1642" spans="3:49" outlineLevel="2" x14ac:dyDescent="0.25">
      <c r="C1642" s="201"/>
      <c r="D1642" s="198" t="s">
        <v>271</v>
      </c>
      <c r="H1642" s="198" t="s">
        <v>271</v>
      </c>
      <c r="I1642" s="202">
        <f t="shared" si="25"/>
        <v>681791098.94999993</v>
      </c>
      <c r="J1642" s="202">
        <v>165.1</v>
      </c>
      <c r="L1642" s="204">
        <v>1</v>
      </c>
      <c r="M1642" s="202">
        <v>578860.80000000005</v>
      </c>
      <c r="N1642" s="204">
        <v>1</v>
      </c>
      <c r="O1642" s="198" t="s">
        <v>51</v>
      </c>
      <c r="P1642" s="202">
        <v>578860.80000000005</v>
      </c>
      <c r="Q1642" s="198" t="s">
        <v>159</v>
      </c>
      <c r="R1642" s="198" t="s">
        <v>160</v>
      </c>
      <c r="S1642" s="198" t="s">
        <v>54</v>
      </c>
      <c r="T1642" s="198" t="s">
        <v>758</v>
      </c>
      <c r="U1642" s="198" t="s">
        <v>764</v>
      </c>
      <c r="V1642" s="198" t="s">
        <v>56</v>
      </c>
      <c r="W1642" s="198" t="s">
        <v>356</v>
      </c>
      <c r="X1642" s="198" t="s">
        <v>161</v>
      </c>
      <c r="Y1642" s="198" t="s">
        <v>162</v>
      </c>
      <c r="Z1642" s="201">
        <v>46438</v>
      </c>
      <c r="AA1642" s="198" t="s">
        <v>59</v>
      </c>
      <c r="AB1642" s="198" t="s">
        <v>60</v>
      </c>
      <c r="AC1642" s="198" t="s">
        <v>86</v>
      </c>
      <c r="AD1642" s="198" t="s">
        <v>62</v>
      </c>
      <c r="AE1642" s="198" t="s">
        <v>54</v>
      </c>
      <c r="AF1642" s="198" t="s">
        <v>54</v>
      </c>
      <c r="AG1642" s="198" t="s">
        <v>98</v>
      </c>
      <c r="AH1642" s="198" t="s">
        <v>274</v>
      </c>
      <c r="AI1642" s="198" t="s">
        <v>56</v>
      </c>
      <c r="AJ1642" s="198" t="s">
        <v>163</v>
      </c>
      <c r="AK1642" s="198" t="s">
        <v>51</v>
      </c>
      <c r="AL1642" s="198" t="s">
        <v>67</v>
      </c>
      <c r="AM1642" s="198" t="s">
        <v>68</v>
      </c>
      <c r="AN1642" s="202">
        <v>578860.80000000005</v>
      </c>
      <c r="AO1642" s="202">
        <v>578860.80000000005</v>
      </c>
      <c r="AP1642" s="202">
        <v>578860.80000000005</v>
      </c>
      <c r="AQ1642" s="198" t="s">
        <v>358</v>
      </c>
      <c r="AR1642" s="198" t="s">
        <v>51</v>
      </c>
      <c r="AS1642" s="202">
        <v>578860.80000000005</v>
      </c>
      <c r="AT1642" s="202">
        <v>578860.80000000005</v>
      </c>
      <c r="AU1642" s="198" t="s">
        <v>359</v>
      </c>
      <c r="AV1642" s="198" t="s">
        <v>62</v>
      </c>
      <c r="AW1642" s="198" t="s">
        <v>54</v>
      </c>
    </row>
    <row r="1643" spans="3:49" outlineLevel="2" x14ac:dyDescent="0.25">
      <c r="C1643" s="201"/>
      <c r="D1643" s="198" t="s">
        <v>202</v>
      </c>
      <c r="H1643" s="198" t="s">
        <v>202</v>
      </c>
      <c r="I1643" s="202">
        <f t="shared" si="25"/>
        <v>682204055.39999998</v>
      </c>
      <c r="J1643" s="202">
        <v>165.2</v>
      </c>
      <c r="L1643" s="204">
        <v>1</v>
      </c>
      <c r="M1643" s="202">
        <v>3540900</v>
      </c>
      <c r="N1643" s="204">
        <v>1</v>
      </c>
      <c r="O1643" s="198" t="s">
        <v>51</v>
      </c>
      <c r="P1643" s="202">
        <v>3540900</v>
      </c>
      <c r="Q1643" s="198" t="s">
        <v>159</v>
      </c>
      <c r="R1643" s="198" t="s">
        <v>160</v>
      </c>
      <c r="S1643" s="198" t="s">
        <v>54</v>
      </c>
      <c r="T1643" s="198" t="s">
        <v>765</v>
      </c>
      <c r="U1643" s="198" t="s">
        <v>1737</v>
      </c>
      <c r="V1643" s="198" t="s">
        <v>56</v>
      </c>
      <c r="W1643" s="198" t="s">
        <v>356</v>
      </c>
      <c r="X1643" s="198" t="s">
        <v>161</v>
      </c>
      <c r="Y1643" s="198" t="s">
        <v>162</v>
      </c>
      <c r="Z1643" s="201">
        <v>46188</v>
      </c>
      <c r="AA1643" s="198" t="s">
        <v>59</v>
      </c>
      <c r="AB1643" s="198" t="s">
        <v>60</v>
      </c>
      <c r="AC1643" s="198" t="s">
        <v>86</v>
      </c>
      <c r="AD1643" s="198" t="s">
        <v>62</v>
      </c>
      <c r="AE1643" s="198" t="s">
        <v>54</v>
      </c>
      <c r="AF1643" s="198" t="s">
        <v>54</v>
      </c>
      <c r="AG1643" s="198" t="s">
        <v>189</v>
      </c>
      <c r="AH1643" s="198" t="s">
        <v>65</v>
      </c>
      <c r="AI1643" s="198" t="s">
        <v>56</v>
      </c>
      <c r="AJ1643" s="198" t="s">
        <v>163</v>
      </c>
      <c r="AK1643" s="198" t="s">
        <v>51</v>
      </c>
      <c r="AL1643" s="198" t="s">
        <v>67</v>
      </c>
      <c r="AM1643" s="198" t="s">
        <v>68</v>
      </c>
      <c r="AN1643" s="202">
        <v>3540900</v>
      </c>
      <c r="AO1643" s="202">
        <v>3540900</v>
      </c>
      <c r="AP1643" s="202">
        <v>3540900</v>
      </c>
      <c r="AQ1643" s="198" t="s">
        <v>358</v>
      </c>
      <c r="AR1643" s="198" t="s">
        <v>51</v>
      </c>
      <c r="AS1643" s="202">
        <v>3540900</v>
      </c>
      <c r="AT1643" s="202">
        <v>3540900</v>
      </c>
      <c r="AU1643" s="198" t="s">
        <v>359</v>
      </c>
      <c r="AV1643" s="198" t="s">
        <v>62</v>
      </c>
      <c r="AW1643" s="198" t="s">
        <v>766</v>
      </c>
    </row>
    <row r="1644" spans="3:49" outlineLevel="2" x14ac:dyDescent="0.25">
      <c r="C1644" s="201"/>
      <c r="D1644" s="198" t="s">
        <v>215</v>
      </c>
      <c r="H1644" s="198" t="s">
        <v>215</v>
      </c>
      <c r="I1644" s="202">
        <f t="shared" si="25"/>
        <v>682617011.85000002</v>
      </c>
      <c r="J1644" s="202">
        <v>165.3</v>
      </c>
      <c r="L1644" s="204">
        <v>1</v>
      </c>
      <c r="M1644" s="202">
        <v>3632200</v>
      </c>
      <c r="N1644" s="204">
        <v>1</v>
      </c>
      <c r="O1644" s="198" t="s">
        <v>51</v>
      </c>
      <c r="P1644" s="202">
        <v>3632200</v>
      </c>
      <c r="Q1644" s="198" t="s">
        <v>159</v>
      </c>
      <c r="R1644" s="198" t="s">
        <v>160</v>
      </c>
      <c r="S1644" s="198" t="s">
        <v>54</v>
      </c>
      <c r="T1644" s="198" t="s">
        <v>765</v>
      </c>
      <c r="U1644" s="198" t="s">
        <v>277</v>
      </c>
      <c r="V1644" s="198" t="s">
        <v>56</v>
      </c>
      <c r="W1644" s="198" t="s">
        <v>356</v>
      </c>
      <c r="X1644" s="198" t="s">
        <v>161</v>
      </c>
      <c r="Y1644" s="198" t="s">
        <v>162</v>
      </c>
      <c r="Z1644" s="201">
        <v>46188</v>
      </c>
      <c r="AA1644" s="198" t="s">
        <v>59</v>
      </c>
      <c r="AB1644" s="198" t="s">
        <v>60</v>
      </c>
      <c r="AC1644" s="198" t="s">
        <v>86</v>
      </c>
      <c r="AD1644" s="198" t="s">
        <v>62</v>
      </c>
      <c r="AE1644" s="198" t="s">
        <v>54</v>
      </c>
      <c r="AF1644" s="198" t="s">
        <v>54</v>
      </c>
      <c r="AG1644" s="198" t="s">
        <v>189</v>
      </c>
      <c r="AH1644" s="198" t="s">
        <v>89</v>
      </c>
      <c r="AI1644" s="198" t="s">
        <v>56</v>
      </c>
      <c r="AJ1644" s="198" t="s">
        <v>163</v>
      </c>
      <c r="AK1644" s="198" t="s">
        <v>51</v>
      </c>
      <c r="AL1644" s="198" t="s">
        <v>67</v>
      </c>
      <c r="AM1644" s="198" t="s">
        <v>68</v>
      </c>
      <c r="AN1644" s="202">
        <v>3632200</v>
      </c>
      <c r="AO1644" s="202">
        <v>3632200</v>
      </c>
      <c r="AP1644" s="202">
        <v>3632200</v>
      </c>
      <c r="AQ1644" s="198" t="s">
        <v>358</v>
      </c>
      <c r="AR1644" s="198" t="s">
        <v>51</v>
      </c>
      <c r="AS1644" s="202">
        <v>3632200</v>
      </c>
      <c r="AT1644" s="202">
        <v>3632200</v>
      </c>
      <c r="AU1644" s="198" t="s">
        <v>359</v>
      </c>
      <c r="AV1644" s="198" t="s">
        <v>62</v>
      </c>
      <c r="AW1644" s="198" t="s">
        <v>766</v>
      </c>
    </row>
    <row r="1645" spans="3:49" outlineLevel="2" x14ac:dyDescent="0.25">
      <c r="C1645" s="201"/>
      <c r="D1645" s="198" t="s">
        <v>199</v>
      </c>
      <c r="H1645" s="198" t="s">
        <v>199</v>
      </c>
      <c r="I1645" s="202">
        <f t="shared" si="25"/>
        <v>683029968.30000007</v>
      </c>
      <c r="J1645" s="202">
        <v>165.4</v>
      </c>
      <c r="L1645" s="204">
        <v>1</v>
      </c>
      <c r="M1645" s="202">
        <v>3133900</v>
      </c>
      <c r="N1645" s="204">
        <v>1</v>
      </c>
      <c r="O1645" s="198" t="s">
        <v>51</v>
      </c>
      <c r="P1645" s="202">
        <v>3133900</v>
      </c>
      <c r="Q1645" s="198" t="s">
        <v>159</v>
      </c>
      <c r="R1645" s="198" t="s">
        <v>160</v>
      </c>
      <c r="S1645" s="198" t="s">
        <v>54</v>
      </c>
      <c r="T1645" s="198" t="s">
        <v>765</v>
      </c>
      <c r="U1645" s="198" t="s">
        <v>277</v>
      </c>
      <c r="V1645" s="198" t="s">
        <v>56</v>
      </c>
      <c r="W1645" s="198" t="s">
        <v>356</v>
      </c>
      <c r="X1645" s="198" t="s">
        <v>161</v>
      </c>
      <c r="Y1645" s="198" t="s">
        <v>162</v>
      </c>
      <c r="Z1645" s="201">
        <v>46188</v>
      </c>
      <c r="AA1645" s="198" t="s">
        <v>59</v>
      </c>
      <c r="AB1645" s="198" t="s">
        <v>60</v>
      </c>
      <c r="AC1645" s="198" t="s">
        <v>86</v>
      </c>
      <c r="AD1645" s="198" t="s">
        <v>62</v>
      </c>
      <c r="AE1645" s="198" t="s">
        <v>54</v>
      </c>
      <c r="AF1645" s="198" t="s">
        <v>54</v>
      </c>
      <c r="AG1645" s="198" t="s">
        <v>189</v>
      </c>
      <c r="AH1645" s="198" t="s">
        <v>167</v>
      </c>
      <c r="AI1645" s="198" t="s">
        <v>56</v>
      </c>
      <c r="AJ1645" s="198" t="s">
        <v>163</v>
      </c>
      <c r="AK1645" s="198" t="s">
        <v>51</v>
      </c>
      <c r="AL1645" s="198" t="s">
        <v>67</v>
      </c>
      <c r="AM1645" s="198" t="s">
        <v>68</v>
      </c>
      <c r="AN1645" s="202">
        <v>3133900</v>
      </c>
      <c r="AO1645" s="202">
        <v>3133900</v>
      </c>
      <c r="AP1645" s="202">
        <v>3133900</v>
      </c>
      <c r="AQ1645" s="198" t="s">
        <v>358</v>
      </c>
      <c r="AR1645" s="198" t="s">
        <v>51</v>
      </c>
      <c r="AS1645" s="202">
        <v>3133900</v>
      </c>
      <c r="AT1645" s="202">
        <v>3133900</v>
      </c>
      <c r="AU1645" s="198" t="s">
        <v>359</v>
      </c>
      <c r="AV1645" s="198" t="s">
        <v>62</v>
      </c>
      <c r="AW1645" s="198" t="s">
        <v>766</v>
      </c>
    </row>
    <row r="1646" spans="3:49" outlineLevel="2" x14ac:dyDescent="0.25">
      <c r="C1646" s="201"/>
      <c r="D1646" s="198" t="s">
        <v>204</v>
      </c>
      <c r="H1646" s="198" t="s">
        <v>204</v>
      </c>
      <c r="I1646" s="202">
        <f t="shared" si="25"/>
        <v>683442924.75</v>
      </c>
      <c r="J1646" s="202">
        <v>165.5</v>
      </c>
      <c r="L1646" s="204">
        <v>1</v>
      </c>
      <c r="M1646" s="202">
        <v>2019600</v>
      </c>
      <c r="N1646" s="204">
        <v>1</v>
      </c>
      <c r="O1646" s="198" t="s">
        <v>51</v>
      </c>
      <c r="P1646" s="202">
        <v>2019600</v>
      </c>
      <c r="Q1646" s="198" t="s">
        <v>159</v>
      </c>
      <c r="R1646" s="198" t="s">
        <v>160</v>
      </c>
      <c r="S1646" s="198" t="s">
        <v>54</v>
      </c>
      <c r="T1646" s="198" t="s">
        <v>765</v>
      </c>
      <c r="U1646" s="198" t="s">
        <v>277</v>
      </c>
      <c r="V1646" s="198" t="s">
        <v>56</v>
      </c>
      <c r="W1646" s="198" t="s">
        <v>356</v>
      </c>
      <c r="X1646" s="198" t="s">
        <v>161</v>
      </c>
      <c r="Y1646" s="198" t="s">
        <v>162</v>
      </c>
      <c r="Z1646" s="201">
        <v>46188</v>
      </c>
      <c r="AA1646" s="198" t="s">
        <v>59</v>
      </c>
      <c r="AB1646" s="198" t="s">
        <v>60</v>
      </c>
      <c r="AC1646" s="198" t="s">
        <v>86</v>
      </c>
      <c r="AD1646" s="198" t="s">
        <v>62</v>
      </c>
      <c r="AE1646" s="198" t="s">
        <v>54</v>
      </c>
      <c r="AF1646" s="198" t="s">
        <v>54</v>
      </c>
      <c r="AG1646" s="198" t="s">
        <v>189</v>
      </c>
      <c r="AH1646" s="198" t="s">
        <v>169</v>
      </c>
      <c r="AI1646" s="198" t="s">
        <v>56</v>
      </c>
      <c r="AJ1646" s="198" t="s">
        <v>163</v>
      </c>
      <c r="AK1646" s="198" t="s">
        <v>51</v>
      </c>
      <c r="AL1646" s="198" t="s">
        <v>67</v>
      </c>
      <c r="AM1646" s="198" t="s">
        <v>68</v>
      </c>
      <c r="AN1646" s="202">
        <v>2019600</v>
      </c>
      <c r="AO1646" s="202">
        <v>2019600</v>
      </c>
      <c r="AP1646" s="202">
        <v>2019600</v>
      </c>
      <c r="AQ1646" s="198" t="s">
        <v>358</v>
      </c>
      <c r="AR1646" s="198" t="s">
        <v>51</v>
      </c>
      <c r="AS1646" s="202">
        <v>2019600</v>
      </c>
      <c r="AT1646" s="202">
        <v>2019600</v>
      </c>
      <c r="AU1646" s="198" t="s">
        <v>359</v>
      </c>
      <c r="AV1646" s="198" t="s">
        <v>62</v>
      </c>
      <c r="AW1646" s="198" t="s">
        <v>766</v>
      </c>
    </row>
    <row r="1647" spans="3:49" outlineLevel="2" x14ac:dyDescent="0.25">
      <c r="C1647" s="201"/>
      <c r="D1647" s="198" t="s">
        <v>285</v>
      </c>
      <c r="H1647" s="198" t="s">
        <v>285</v>
      </c>
      <c r="I1647" s="202">
        <f t="shared" si="25"/>
        <v>683855881.19999993</v>
      </c>
      <c r="J1647" s="202">
        <v>165.6</v>
      </c>
      <c r="L1647" s="204">
        <v>1</v>
      </c>
      <c r="M1647" s="202">
        <v>2400000</v>
      </c>
      <c r="N1647" s="204">
        <v>1</v>
      </c>
      <c r="O1647" s="198" t="s">
        <v>51</v>
      </c>
      <c r="P1647" s="202">
        <v>2400000</v>
      </c>
      <c r="Q1647" s="198" t="s">
        <v>159</v>
      </c>
      <c r="R1647" s="198" t="s">
        <v>160</v>
      </c>
      <c r="S1647" s="198" t="s">
        <v>54</v>
      </c>
      <c r="T1647" s="198" t="s">
        <v>361</v>
      </c>
      <c r="U1647" s="198" t="s">
        <v>1737</v>
      </c>
      <c r="V1647" s="198" t="s">
        <v>56</v>
      </c>
      <c r="W1647" s="198" t="s">
        <v>356</v>
      </c>
      <c r="X1647" s="198" t="s">
        <v>161</v>
      </c>
      <c r="Y1647" s="198" t="s">
        <v>162</v>
      </c>
      <c r="Z1647" s="201">
        <v>46112</v>
      </c>
      <c r="AA1647" s="198" t="s">
        <v>59</v>
      </c>
      <c r="AB1647" s="198" t="s">
        <v>60</v>
      </c>
      <c r="AC1647" s="198" t="s">
        <v>61</v>
      </c>
      <c r="AD1647" s="198" t="s">
        <v>62</v>
      </c>
      <c r="AE1647" s="198" t="s">
        <v>54</v>
      </c>
      <c r="AF1647" s="198" t="s">
        <v>54</v>
      </c>
      <c r="AG1647" s="198" t="s">
        <v>166</v>
      </c>
      <c r="AH1647" s="198" t="s">
        <v>65</v>
      </c>
      <c r="AI1647" s="198" t="s">
        <v>56</v>
      </c>
      <c r="AJ1647" s="198" t="s">
        <v>163</v>
      </c>
      <c r="AK1647" s="198" t="s">
        <v>51</v>
      </c>
      <c r="AL1647" s="198" t="s">
        <v>67</v>
      </c>
      <c r="AM1647" s="198" t="s">
        <v>68</v>
      </c>
      <c r="AN1647" s="202">
        <v>2400000</v>
      </c>
      <c r="AO1647" s="202">
        <v>2400000</v>
      </c>
      <c r="AP1647" s="202">
        <v>2400000</v>
      </c>
      <c r="AQ1647" s="198" t="s">
        <v>358</v>
      </c>
      <c r="AR1647" s="198" t="s">
        <v>51</v>
      </c>
      <c r="AS1647" s="202">
        <v>2400000</v>
      </c>
      <c r="AT1647" s="202">
        <v>2400000</v>
      </c>
      <c r="AU1647" s="198" t="s">
        <v>359</v>
      </c>
      <c r="AV1647" s="198" t="s">
        <v>62</v>
      </c>
      <c r="AW1647" s="198" t="s">
        <v>54</v>
      </c>
    </row>
    <row r="1648" spans="3:49" outlineLevel="2" x14ac:dyDescent="0.25">
      <c r="C1648" s="201"/>
      <c r="D1648" s="198" t="s">
        <v>278</v>
      </c>
      <c r="H1648" s="198" t="s">
        <v>278</v>
      </c>
      <c r="I1648" s="202">
        <f t="shared" si="25"/>
        <v>684268837.64999998</v>
      </c>
      <c r="J1648" s="202">
        <v>165.7</v>
      </c>
      <c r="L1648" s="204">
        <v>1</v>
      </c>
      <c r="M1648" s="202">
        <v>1157721.6000000001</v>
      </c>
      <c r="N1648" s="204">
        <v>1</v>
      </c>
      <c r="O1648" s="198" t="s">
        <v>51</v>
      </c>
      <c r="P1648" s="202">
        <v>1157721.6000000001</v>
      </c>
      <c r="Q1648" s="198" t="s">
        <v>159</v>
      </c>
      <c r="R1648" s="198" t="s">
        <v>160</v>
      </c>
      <c r="S1648" s="198" t="s">
        <v>54</v>
      </c>
      <c r="T1648" s="198" t="s">
        <v>758</v>
      </c>
      <c r="U1648" s="198" t="s">
        <v>367</v>
      </c>
      <c r="V1648" s="198" t="s">
        <v>56</v>
      </c>
      <c r="W1648" s="198" t="s">
        <v>356</v>
      </c>
      <c r="X1648" s="198" t="s">
        <v>161</v>
      </c>
      <c r="Y1648" s="198" t="s">
        <v>162</v>
      </c>
      <c r="Z1648" s="201">
        <v>46453</v>
      </c>
      <c r="AA1648" s="198" t="s">
        <v>59</v>
      </c>
      <c r="AB1648" s="198" t="s">
        <v>60</v>
      </c>
      <c r="AC1648" s="198" t="s">
        <v>86</v>
      </c>
      <c r="AD1648" s="198" t="s">
        <v>62</v>
      </c>
      <c r="AE1648" s="198" t="s">
        <v>54</v>
      </c>
      <c r="AF1648" s="198" t="s">
        <v>54</v>
      </c>
      <c r="AG1648" s="198" t="s">
        <v>166</v>
      </c>
      <c r="AH1648" s="198" t="s">
        <v>193</v>
      </c>
      <c r="AI1648" s="198" t="s">
        <v>56</v>
      </c>
      <c r="AJ1648" s="198" t="s">
        <v>163</v>
      </c>
      <c r="AK1648" s="198" t="s">
        <v>51</v>
      </c>
      <c r="AL1648" s="198" t="s">
        <v>67</v>
      </c>
      <c r="AM1648" s="198" t="s">
        <v>68</v>
      </c>
      <c r="AN1648" s="202">
        <v>1157721.6000000001</v>
      </c>
      <c r="AO1648" s="202">
        <v>1157721.6000000001</v>
      </c>
      <c r="AP1648" s="202">
        <v>1157721.6000000001</v>
      </c>
      <c r="AQ1648" s="198" t="s">
        <v>358</v>
      </c>
      <c r="AR1648" s="198" t="s">
        <v>51</v>
      </c>
      <c r="AS1648" s="202">
        <v>1157721.6000000001</v>
      </c>
      <c r="AT1648" s="202">
        <v>1157721.6000000001</v>
      </c>
      <c r="AU1648" s="198" t="s">
        <v>359</v>
      </c>
      <c r="AV1648" s="198" t="s">
        <v>62</v>
      </c>
      <c r="AW1648" s="198" t="s">
        <v>54</v>
      </c>
    </row>
    <row r="1649" spans="3:49" outlineLevel="2" x14ac:dyDescent="0.25">
      <c r="C1649" s="201"/>
      <c r="D1649" s="198" t="s">
        <v>768</v>
      </c>
      <c r="H1649" s="198" t="s">
        <v>768</v>
      </c>
      <c r="I1649" s="202">
        <f t="shared" si="25"/>
        <v>684681794.10000002</v>
      </c>
      <c r="J1649" s="202">
        <v>165.8</v>
      </c>
      <c r="L1649" s="204">
        <v>1</v>
      </c>
      <c r="M1649" s="202">
        <v>448728814</v>
      </c>
      <c r="N1649" s="204">
        <v>1</v>
      </c>
      <c r="O1649" s="198" t="s">
        <v>51</v>
      </c>
      <c r="P1649" s="202">
        <v>448728814</v>
      </c>
      <c r="Q1649" s="198" t="s">
        <v>159</v>
      </c>
      <c r="R1649" s="198" t="s">
        <v>160</v>
      </c>
      <c r="S1649" s="198" t="s">
        <v>54</v>
      </c>
      <c r="T1649" s="198" t="s">
        <v>770</v>
      </c>
      <c r="U1649" s="198" t="s">
        <v>277</v>
      </c>
      <c r="V1649" s="198" t="s">
        <v>56</v>
      </c>
      <c r="W1649" s="198" t="s">
        <v>356</v>
      </c>
      <c r="X1649" s="198" t="s">
        <v>161</v>
      </c>
      <c r="Y1649" s="198" t="s">
        <v>162</v>
      </c>
      <c r="Z1649" s="201">
        <v>46477</v>
      </c>
      <c r="AA1649" s="198" t="s">
        <v>59</v>
      </c>
      <c r="AB1649" s="198" t="s">
        <v>60</v>
      </c>
      <c r="AC1649" s="198" t="s">
        <v>86</v>
      </c>
      <c r="AD1649" s="198" t="s">
        <v>62</v>
      </c>
      <c r="AE1649" s="198" t="s">
        <v>54</v>
      </c>
      <c r="AF1649" s="198" t="s">
        <v>54</v>
      </c>
      <c r="AG1649" s="198" t="s">
        <v>166</v>
      </c>
      <c r="AH1649" s="198" t="s">
        <v>143</v>
      </c>
      <c r="AI1649" s="198" t="s">
        <v>56</v>
      </c>
      <c r="AJ1649" s="198" t="s">
        <v>163</v>
      </c>
      <c r="AK1649" s="198" t="s">
        <v>51</v>
      </c>
      <c r="AL1649" s="198" t="s">
        <v>67</v>
      </c>
      <c r="AM1649" s="198" t="s">
        <v>68</v>
      </c>
      <c r="AN1649" s="202">
        <v>448728814</v>
      </c>
      <c r="AO1649" s="202">
        <v>448728814</v>
      </c>
      <c r="AP1649" s="202">
        <v>448728814</v>
      </c>
      <c r="AQ1649" s="198" t="s">
        <v>358</v>
      </c>
      <c r="AR1649" s="198" t="s">
        <v>51</v>
      </c>
      <c r="AS1649" s="202">
        <v>448728814</v>
      </c>
      <c r="AT1649" s="202">
        <v>448728814</v>
      </c>
      <c r="AU1649" s="198" t="s">
        <v>359</v>
      </c>
      <c r="AV1649" s="198" t="s">
        <v>62</v>
      </c>
      <c r="AW1649" s="198" t="s">
        <v>771</v>
      </c>
    </row>
    <row r="1650" spans="3:49" outlineLevel="2" x14ac:dyDescent="0.25">
      <c r="C1650" s="201"/>
      <c r="D1650" s="198" t="s">
        <v>768</v>
      </c>
      <c r="H1650" s="198" t="s">
        <v>768</v>
      </c>
      <c r="I1650" s="202">
        <f t="shared" si="25"/>
        <v>685094750.55000007</v>
      </c>
      <c r="J1650" s="202">
        <v>165.9</v>
      </c>
      <c r="L1650" s="204">
        <v>1</v>
      </c>
      <c r="M1650" s="202">
        <v>448728813.56</v>
      </c>
      <c r="N1650" s="204">
        <v>1</v>
      </c>
      <c r="O1650" s="198" t="s">
        <v>51</v>
      </c>
      <c r="P1650" s="202">
        <v>448728813.56</v>
      </c>
      <c r="Q1650" s="198" t="s">
        <v>159</v>
      </c>
      <c r="R1650" s="198" t="s">
        <v>160</v>
      </c>
      <c r="S1650" s="198" t="s">
        <v>54</v>
      </c>
      <c r="T1650" s="198" t="s">
        <v>770</v>
      </c>
      <c r="U1650" s="198" t="s">
        <v>277</v>
      </c>
      <c r="V1650" s="198" t="s">
        <v>56</v>
      </c>
      <c r="W1650" s="198" t="s">
        <v>356</v>
      </c>
      <c r="X1650" s="198" t="s">
        <v>161</v>
      </c>
      <c r="Y1650" s="198" t="s">
        <v>162</v>
      </c>
      <c r="Z1650" s="201">
        <v>46477</v>
      </c>
      <c r="AA1650" s="198" t="s">
        <v>59</v>
      </c>
      <c r="AB1650" s="198" t="s">
        <v>60</v>
      </c>
      <c r="AC1650" s="198" t="s">
        <v>86</v>
      </c>
      <c r="AD1650" s="198" t="s">
        <v>62</v>
      </c>
      <c r="AE1650" s="198" t="s">
        <v>54</v>
      </c>
      <c r="AF1650" s="198" t="s">
        <v>54</v>
      </c>
      <c r="AG1650" s="198" t="s">
        <v>166</v>
      </c>
      <c r="AH1650" s="198" t="s">
        <v>143</v>
      </c>
      <c r="AI1650" s="198" t="s">
        <v>56</v>
      </c>
      <c r="AJ1650" s="198" t="s">
        <v>163</v>
      </c>
      <c r="AK1650" s="198" t="s">
        <v>51</v>
      </c>
      <c r="AL1650" s="198" t="s">
        <v>67</v>
      </c>
      <c r="AM1650" s="198" t="s">
        <v>68</v>
      </c>
      <c r="AN1650" s="202">
        <v>448728813.56</v>
      </c>
      <c r="AO1650" s="202">
        <v>448728813.56</v>
      </c>
      <c r="AP1650" s="202">
        <v>448728813.56</v>
      </c>
      <c r="AQ1650" s="198" t="s">
        <v>358</v>
      </c>
      <c r="AR1650" s="198" t="s">
        <v>51</v>
      </c>
      <c r="AS1650" s="202">
        <v>448728813.56</v>
      </c>
      <c r="AT1650" s="202">
        <v>448728813.56</v>
      </c>
      <c r="AU1650" s="198" t="s">
        <v>359</v>
      </c>
      <c r="AV1650" s="198" t="s">
        <v>62</v>
      </c>
      <c r="AW1650" s="198" t="s">
        <v>771</v>
      </c>
    </row>
    <row r="1651" spans="3:49" outlineLevel="2" x14ac:dyDescent="0.25">
      <c r="C1651" s="201"/>
      <c r="D1651" s="198" t="s">
        <v>768</v>
      </c>
      <c r="H1651" s="198" t="s">
        <v>768</v>
      </c>
      <c r="I1651" s="202">
        <f t="shared" si="25"/>
        <v>685507707</v>
      </c>
      <c r="J1651" s="202">
        <v>166</v>
      </c>
      <c r="L1651" s="204">
        <v>1</v>
      </c>
      <c r="M1651" s="202">
        <v>448728813.56</v>
      </c>
      <c r="N1651" s="204">
        <v>1</v>
      </c>
      <c r="O1651" s="198" t="s">
        <v>51</v>
      </c>
      <c r="P1651" s="202">
        <v>448728813.56</v>
      </c>
      <c r="Q1651" s="198" t="s">
        <v>159</v>
      </c>
      <c r="R1651" s="198" t="s">
        <v>160</v>
      </c>
      <c r="S1651" s="198" t="s">
        <v>54</v>
      </c>
      <c r="T1651" s="198" t="s">
        <v>770</v>
      </c>
      <c r="U1651" s="198" t="s">
        <v>277</v>
      </c>
      <c r="V1651" s="198" t="s">
        <v>56</v>
      </c>
      <c r="W1651" s="198" t="s">
        <v>356</v>
      </c>
      <c r="X1651" s="198" t="s">
        <v>161</v>
      </c>
      <c r="Y1651" s="198" t="s">
        <v>162</v>
      </c>
      <c r="Z1651" s="201">
        <v>46477</v>
      </c>
      <c r="AA1651" s="198" t="s">
        <v>59</v>
      </c>
      <c r="AB1651" s="198" t="s">
        <v>60</v>
      </c>
      <c r="AC1651" s="198" t="s">
        <v>86</v>
      </c>
      <c r="AD1651" s="198" t="s">
        <v>62</v>
      </c>
      <c r="AE1651" s="198" t="s">
        <v>54</v>
      </c>
      <c r="AF1651" s="198" t="s">
        <v>54</v>
      </c>
      <c r="AG1651" s="198" t="s">
        <v>166</v>
      </c>
      <c r="AH1651" s="198" t="s">
        <v>143</v>
      </c>
      <c r="AI1651" s="198" t="s">
        <v>56</v>
      </c>
      <c r="AJ1651" s="198" t="s">
        <v>163</v>
      </c>
      <c r="AK1651" s="198" t="s">
        <v>51</v>
      </c>
      <c r="AL1651" s="198" t="s">
        <v>67</v>
      </c>
      <c r="AM1651" s="198" t="s">
        <v>68</v>
      </c>
      <c r="AN1651" s="202">
        <v>448728813.56</v>
      </c>
      <c r="AO1651" s="202">
        <v>448728813.56</v>
      </c>
      <c r="AP1651" s="202">
        <v>448728813.56</v>
      </c>
      <c r="AQ1651" s="198" t="s">
        <v>358</v>
      </c>
      <c r="AR1651" s="198" t="s">
        <v>51</v>
      </c>
      <c r="AS1651" s="202">
        <v>448728813.56</v>
      </c>
      <c r="AT1651" s="202">
        <v>448728813.56</v>
      </c>
      <c r="AU1651" s="198" t="s">
        <v>359</v>
      </c>
      <c r="AV1651" s="198" t="s">
        <v>62</v>
      </c>
      <c r="AW1651" s="198" t="s">
        <v>771</v>
      </c>
    </row>
    <row r="1652" spans="3:49" outlineLevel="2" x14ac:dyDescent="0.25">
      <c r="C1652" s="201"/>
      <c r="D1652" s="198" t="s">
        <v>768</v>
      </c>
      <c r="H1652" s="198" t="s">
        <v>768</v>
      </c>
      <c r="I1652" s="202">
        <f t="shared" si="25"/>
        <v>685920663.44999993</v>
      </c>
      <c r="J1652" s="202">
        <v>166.1</v>
      </c>
      <c r="L1652" s="204">
        <v>1</v>
      </c>
      <c r="M1652" s="202">
        <v>897457627</v>
      </c>
      <c r="N1652" s="204">
        <v>1</v>
      </c>
      <c r="O1652" s="198" t="s">
        <v>51</v>
      </c>
      <c r="P1652" s="202">
        <v>897457627</v>
      </c>
      <c r="Q1652" s="198" t="s">
        <v>159</v>
      </c>
      <c r="R1652" s="198" t="s">
        <v>160</v>
      </c>
      <c r="S1652" s="198" t="s">
        <v>54</v>
      </c>
      <c r="T1652" s="198" t="s">
        <v>770</v>
      </c>
      <c r="U1652" s="198" t="s">
        <v>277</v>
      </c>
      <c r="V1652" s="198" t="s">
        <v>56</v>
      </c>
      <c r="W1652" s="198" t="s">
        <v>356</v>
      </c>
      <c r="X1652" s="198" t="s">
        <v>161</v>
      </c>
      <c r="Y1652" s="198" t="s">
        <v>162</v>
      </c>
      <c r="Z1652" s="201">
        <v>46477</v>
      </c>
      <c r="AA1652" s="198" t="s">
        <v>59</v>
      </c>
      <c r="AB1652" s="198" t="s">
        <v>60</v>
      </c>
      <c r="AC1652" s="198" t="s">
        <v>86</v>
      </c>
      <c r="AD1652" s="198" t="s">
        <v>62</v>
      </c>
      <c r="AE1652" s="198" t="s">
        <v>54</v>
      </c>
      <c r="AF1652" s="198" t="s">
        <v>54</v>
      </c>
      <c r="AG1652" s="198" t="s">
        <v>166</v>
      </c>
      <c r="AH1652" s="198" t="s">
        <v>143</v>
      </c>
      <c r="AI1652" s="198" t="s">
        <v>56</v>
      </c>
      <c r="AJ1652" s="198" t="s">
        <v>163</v>
      </c>
      <c r="AK1652" s="198" t="s">
        <v>51</v>
      </c>
      <c r="AL1652" s="198" t="s">
        <v>67</v>
      </c>
      <c r="AM1652" s="198" t="s">
        <v>68</v>
      </c>
      <c r="AN1652" s="202">
        <v>897457627</v>
      </c>
      <c r="AO1652" s="202">
        <v>897457627</v>
      </c>
      <c r="AP1652" s="202">
        <v>897457627</v>
      </c>
      <c r="AQ1652" s="198" t="s">
        <v>358</v>
      </c>
      <c r="AR1652" s="198" t="s">
        <v>51</v>
      </c>
      <c r="AS1652" s="202">
        <v>897457627</v>
      </c>
      <c r="AT1652" s="202">
        <v>897457627</v>
      </c>
      <c r="AU1652" s="198" t="s">
        <v>359</v>
      </c>
      <c r="AV1652" s="198" t="s">
        <v>62</v>
      </c>
      <c r="AW1652" s="198" t="s">
        <v>771</v>
      </c>
    </row>
    <row r="1653" spans="3:49" outlineLevel="2" x14ac:dyDescent="0.25">
      <c r="C1653" s="201"/>
      <c r="D1653" s="198" t="s">
        <v>768</v>
      </c>
      <c r="H1653" s="198" t="s">
        <v>768</v>
      </c>
      <c r="I1653" s="202">
        <f t="shared" si="25"/>
        <v>686333619.89999998</v>
      </c>
      <c r="J1653" s="202">
        <v>166.2</v>
      </c>
      <c r="L1653" s="204">
        <v>1</v>
      </c>
      <c r="M1653" s="202">
        <v>299152542</v>
      </c>
      <c r="N1653" s="204">
        <v>1</v>
      </c>
      <c r="O1653" s="198" t="s">
        <v>51</v>
      </c>
      <c r="P1653" s="202">
        <v>299152542</v>
      </c>
      <c r="Q1653" s="198" t="s">
        <v>159</v>
      </c>
      <c r="R1653" s="198" t="s">
        <v>160</v>
      </c>
      <c r="S1653" s="198" t="s">
        <v>54</v>
      </c>
      <c r="T1653" s="198" t="s">
        <v>770</v>
      </c>
      <c r="U1653" s="198" t="s">
        <v>277</v>
      </c>
      <c r="V1653" s="198" t="s">
        <v>56</v>
      </c>
      <c r="W1653" s="198" t="s">
        <v>356</v>
      </c>
      <c r="X1653" s="198" t="s">
        <v>161</v>
      </c>
      <c r="Y1653" s="198" t="s">
        <v>162</v>
      </c>
      <c r="Z1653" s="201">
        <v>46477</v>
      </c>
      <c r="AA1653" s="198" t="s">
        <v>59</v>
      </c>
      <c r="AB1653" s="198" t="s">
        <v>60</v>
      </c>
      <c r="AC1653" s="198" t="s">
        <v>86</v>
      </c>
      <c r="AD1653" s="198" t="s">
        <v>62</v>
      </c>
      <c r="AE1653" s="198" t="s">
        <v>54</v>
      </c>
      <c r="AF1653" s="198" t="s">
        <v>54</v>
      </c>
      <c r="AG1653" s="198" t="s">
        <v>166</v>
      </c>
      <c r="AH1653" s="198" t="s">
        <v>143</v>
      </c>
      <c r="AI1653" s="198" t="s">
        <v>56</v>
      </c>
      <c r="AJ1653" s="198" t="s">
        <v>163</v>
      </c>
      <c r="AK1653" s="198" t="s">
        <v>51</v>
      </c>
      <c r="AL1653" s="198" t="s">
        <v>67</v>
      </c>
      <c r="AM1653" s="198" t="s">
        <v>68</v>
      </c>
      <c r="AN1653" s="202">
        <v>299152542</v>
      </c>
      <c r="AO1653" s="202">
        <v>299152542</v>
      </c>
      <c r="AP1653" s="202">
        <v>299152542</v>
      </c>
      <c r="AQ1653" s="198" t="s">
        <v>358</v>
      </c>
      <c r="AR1653" s="198" t="s">
        <v>51</v>
      </c>
      <c r="AS1653" s="202">
        <v>299152542</v>
      </c>
      <c r="AT1653" s="202">
        <v>299152542</v>
      </c>
      <c r="AU1653" s="198" t="s">
        <v>359</v>
      </c>
      <c r="AV1653" s="198" t="s">
        <v>62</v>
      </c>
      <c r="AW1653" s="198" t="s">
        <v>771</v>
      </c>
    </row>
    <row r="1654" spans="3:49" outlineLevel="2" x14ac:dyDescent="0.25">
      <c r="C1654" s="201"/>
      <c r="D1654" s="198" t="s">
        <v>768</v>
      </c>
      <c r="H1654" s="198" t="s">
        <v>768</v>
      </c>
      <c r="I1654" s="202">
        <f t="shared" si="25"/>
        <v>686746576.35000002</v>
      </c>
      <c r="J1654" s="202">
        <v>166.3</v>
      </c>
      <c r="L1654" s="204">
        <v>1</v>
      </c>
      <c r="M1654" s="202">
        <v>299152542</v>
      </c>
      <c r="N1654" s="204">
        <v>1</v>
      </c>
      <c r="O1654" s="198" t="s">
        <v>51</v>
      </c>
      <c r="P1654" s="202">
        <v>299152542</v>
      </c>
      <c r="Q1654" s="198" t="s">
        <v>159</v>
      </c>
      <c r="R1654" s="198" t="s">
        <v>160</v>
      </c>
      <c r="S1654" s="198" t="s">
        <v>54</v>
      </c>
      <c r="T1654" s="198" t="s">
        <v>770</v>
      </c>
      <c r="U1654" s="198" t="s">
        <v>277</v>
      </c>
      <c r="V1654" s="198" t="s">
        <v>56</v>
      </c>
      <c r="W1654" s="198" t="s">
        <v>356</v>
      </c>
      <c r="X1654" s="198" t="s">
        <v>161</v>
      </c>
      <c r="Y1654" s="198" t="s">
        <v>162</v>
      </c>
      <c r="Z1654" s="201">
        <v>46477</v>
      </c>
      <c r="AA1654" s="198" t="s">
        <v>59</v>
      </c>
      <c r="AB1654" s="198" t="s">
        <v>60</v>
      </c>
      <c r="AC1654" s="198" t="s">
        <v>86</v>
      </c>
      <c r="AD1654" s="198" t="s">
        <v>62</v>
      </c>
      <c r="AE1654" s="198" t="s">
        <v>54</v>
      </c>
      <c r="AF1654" s="198" t="s">
        <v>54</v>
      </c>
      <c r="AG1654" s="198" t="s">
        <v>166</v>
      </c>
      <c r="AH1654" s="198" t="s">
        <v>143</v>
      </c>
      <c r="AI1654" s="198" t="s">
        <v>56</v>
      </c>
      <c r="AJ1654" s="198" t="s">
        <v>163</v>
      </c>
      <c r="AK1654" s="198" t="s">
        <v>51</v>
      </c>
      <c r="AL1654" s="198" t="s">
        <v>67</v>
      </c>
      <c r="AM1654" s="198" t="s">
        <v>68</v>
      </c>
      <c r="AN1654" s="202">
        <v>299152542</v>
      </c>
      <c r="AO1654" s="202">
        <v>299152542</v>
      </c>
      <c r="AP1654" s="202">
        <v>299152542</v>
      </c>
      <c r="AQ1654" s="198" t="s">
        <v>358</v>
      </c>
      <c r="AR1654" s="198" t="s">
        <v>51</v>
      </c>
      <c r="AS1654" s="202">
        <v>299152542</v>
      </c>
      <c r="AT1654" s="202">
        <v>299152542</v>
      </c>
      <c r="AU1654" s="198" t="s">
        <v>359</v>
      </c>
      <c r="AV1654" s="198" t="s">
        <v>62</v>
      </c>
      <c r="AW1654" s="198" t="s">
        <v>771</v>
      </c>
    </row>
    <row r="1655" spans="3:49" outlineLevel="2" x14ac:dyDescent="0.25">
      <c r="C1655" s="201"/>
      <c r="D1655" s="198" t="s">
        <v>269</v>
      </c>
      <c r="H1655" s="198" t="s">
        <v>269</v>
      </c>
      <c r="I1655" s="202">
        <f t="shared" si="25"/>
        <v>687159532.80000007</v>
      </c>
      <c r="J1655" s="202">
        <v>166.4</v>
      </c>
      <c r="L1655" s="204">
        <v>1</v>
      </c>
      <c r="M1655" s="202">
        <v>3204931.14</v>
      </c>
      <c r="N1655" s="204">
        <v>1</v>
      </c>
      <c r="O1655" s="198" t="s">
        <v>51</v>
      </c>
      <c r="P1655" s="202">
        <v>3204931.14</v>
      </c>
      <c r="Q1655" s="198" t="s">
        <v>159</v>
      </c>
      <c r="R1655" s="198" t="s">
        <v>160</v>
      </c>
      <c r="S1655" s="198" t="s">
        <v>54</v>
      </c>
      <c r="T1655" s="198" t="s">
        <v>673</v>
      </c>
      <c r="U1655" s="198" t="s">
        <v>367</v>
      </c>
      <c r="V1655" s="198" t="s">
        <v>56</v>
      </c>
      <c r="W1655" s="198" t="s">
        <v>356</v>
      </c>
      <c r="X1655" s="198" t="s">
        <v>161</v>
      </c>
      <c r="Y1655" s="198" t="s">
        <v>162</v>
      </c>
      <c r="Z1655" s="201">
        <v>46248</v>
      </c>
      <c r="AA1655" s="198" t="s">
        <v>59</v>
      </c>
      <c r="AB1655" s="198" t="s">
        <v>60</v>
      </c>
      <c r="AC1655" s="198" t="s">
        <v>86</v>
      </c>
      <c r="AD1655" s="198" t="s">
        <v>62</v>
      </c>
      <c r="AE1655" s="198" t="s">
        <v>54</v>
      </c>
      <c r="AF1655" s="198" t="s">
        <v>54</v>
      </c>
      <c r="AG1655" s="198" t="s">
        <v>564</v>
      </c>
      <c r="AH1655" s="198" t="s">
        <v>169</v>
      </c>
      <c r="AI1655" s="198" t="s">
        <v>56</v>
      </c>
      <c r="AJ1655" s="198" t="s">
        <v>163</v>
      </c>
      <c r="AK1655" s="198" t="s">
        <v>51</v>
      </c>
      <c r="AL1655" s="198" t="s">
        <v>67</v>
      </c>
      <c r="AM1655" s="198" t="s">
        <v>68</v>
      </c>
      <c r="AN1655" s="202">
        <v>3204931.14</v>
      </c>
      <c r="AO1655" s="202">
        <v>3204931.14</v>
      </c>
      <c r="AP1655" s="202">
        <v>3204931.14</v>
      </c>
      <c r="AQ1655" s="198" t="s">
        <v>358</v>
      </c>
      <c r="AR1655" s="198" t="s">
        <v>51</v>
      </c>
      <c r="AS1655" s="202">
        <v>3204931.14</v>
      </c>
      <c r="AT1655" s="202">
        <v>3204931.14</v>
      </c>
      <c r="AU1655" s="198" t="s">
        <v>359</v>
      </c>
      <c r="AV1655" s="198" t="s">
        <v>62</v>
      </c>
      <c r="AW1655" s="198" t="s">
        <v>54</v>
      </c>
    </row>
    <row r="1656" spans="3:49" outlineLevel="2" x14ac:dyDescent="0.25">
      <c r="C1656" s="201"/>
      <c r="D1656" s="198" t="s">
        <v>256</v>
      </c>
      <c r="H1656" s="198" t="s">
        <v>256</v>
      </c>
      <c r="I1656" s="202">
        <f t="shared" si="25"/>
        <v>687572489.25</v>
      </c>
      <c r="J1656" s="202">
        <v>166.5</v>
      </c>
      <c r="L1656" s="204">
        <v>1</v>
      </c>
      <c r="M1656" s="202">
        <v>2527758.7400000002</v>
      </c>
      <c r="N1656" s="204">
        <v>1</v>
      </c>
      <c r="O1656" s="198" t="s">
        <v>51</v>
      </c>
      <c r="P1656" s="202">
        <v>2527758.7400000002</v>
      </c>
      <c r="Q1656" s="198" t="s">
        <v>159</v>
      </c>
      <c r="R1656" s="198" t="s">
        <v>160</v>
      </c>
      <c r="S1656" s="198" t="s">
        <v>54</v>
      </c>
      <c r="T1656" s="198" t="s">
        <v>673</v>
      </c>
      <c r="U1656" s="198" t="s">
        <v>367</v>
      </c>
      <c r="V1656" s="198" t="s">
        <v>56</v>
      </c>
      <c r="W1656" s="198" t="s">
        <v>356</v>
      </c>
      <c r="X1656" s="198" t="s">
        <v>161</v>
      </c>
      <c r="Y1656" s="198" t="s">
        <v>162</v>
      </c>
      <c r="Z1656" s="201">
        <v>46248</v>
      </c>
      <c r="AA1656" s="198" t="s">
        <v>59</v>
      </c>
      <c r="AB1656" s="198" t="s">
        <v>60</v>
      </c>
      <c r="AC1656" s="198" t="s">
        <v>86</v>
      </c>
      <c r="AD1656" s="198" t="s">
        <v>62</v>
      </c>
      <c r="AE1656" s="198" t="s">
        <v>54</v>
      </c>
      <c r="AF1656" s="198" t="s">
        <v>54</v>
      </c>
      <c r="AG1656" s="198" t="s">
        <v>564</v>
      </c>
      <c r="AH1656" s="198" t="s">
        <v>65</v>
      </c>
      <c r="AI1656" s="198" t="s">
        <v>56</v>
      </c>
      <c r="AJ1656" s="198" t="s">
        <v>163</v>
      </c>
      <c r="AK1656" s="198" t="s">
        <v>51</v>
      </c>
      <c r="AL1656" s="198" t="s">
        <v>67</v>
      </c>
      <c r="AM1656" s="198" t="s">
        <v>68</v>
      </c>
      <c r="AN1656" s="202">
        <v>2527758.7400000002</v>
      </c>
      <c r="AO1656" s="202">
        <v>2527758.7400000002</v>
      </c>
      <c r="AP1656" s="202">
        <v>2527758.7400000002</v>
      </c>
      <c r="AQ1656" s="198" t="s">
        <v>358</v>
      </c>
      <c r="AR1656" s="198" t="s">
        <v>51</v>
      </c>
      <c r="AS1656" s="202">
        <v>2527758.7400000002</v>
      </c>
      <c r="AT1656" s="202">
        <v>2527758.7400000002</v>
      </c>
      <c r="AU1656" s="198" t="s">
        <v>359</v>
      </c>
      <c r="AV1656" s="198" t="s">
        <v>62</v>
      </c>
      <c r="AW1656" s="198" t="s">
        <v>54</v>
      </c>
    </row>
    <row r="1657" spans="3:49" outlineLevel="2" x14ac:dyDescent="0.25">
      <c r="C1657" s="201"/>
      <c r="D1657" s="198" t="s">
        <v>772</v>
      </c>
      <c r="H1657" s="198" t="s">
        <v>772</v>
      </c>
      <c r="I1657" s="202">
        <f t="shared" si="25"/>
        <v>687985445.69999993</v>
      </c>
      <c r="J1657" s="202">
        <v>166.6</v>
      </c>
      <c r="L1657" s="204">
        <v>1</v>
      </c>
      <c r="M1657" s="202">
        <v>447457627</v>
      </c>
      <c r="N1657" s="204">
        <v>1</v>
      </c>
      <c r="O1657" s="198" t="s">
        <v>51</v>
      </c>
      <c r="P1657" s="202">
        <v>447457627</v>
      </c>
      <c r="Q1657" s="198" t="s">
        <v>159</v>
      </c>
      <c r="R1657" s="198" t="s">
        <v>160</v>
      </c>
      <c r="S1657" s="198" t="s">
        <v>54</v>
      </c>
      <c r="T1657" s="198" t="s">
        <v>770</v>
      </c>
      <c r="U1657" s="198" t="s">
        <v>277</v>
      </c>
      <c r="V1657" s="198" t="s">
        <v>56</v>
      </c>
      <c r="W1657" s="198" t="s">
        <v>356</v>
      </c>
      <c r="X1657" s="198" t="s">
        <v>161</v>
      </c>
      <c r="Y1657" s="198" t="s">
        <v>162</v>
      </c>
      <c r="Z1657" s="201">
        <v>46477</v>
      </c>
      <c r="AA1657" s="198" t="s">
        <v>59</v>
      </c>
      <c r="AB1657" s="198" t="s">
        <v>60</v>
      </c>
      <c r="AC1657" s="198" t="s">
        <v>86</v>
      </c>
      <c r="AD1657" s="198" t="s">
        <v>62</v>
      </c>
      <c r="AE1657" s="198" t="s">
        <v>54</v>
      </c>
      <c r="AF1657" s="198" t="s">
        <v>54</v>
      </c>
      <c r="AG1657" s="198" t="s">
        <v>166</v>
      </c>
      <c r="AH1657" s="198" t="s">
        <v>153</v>
      </c>
      <c r="AI1657" s="198" t="s">
        <v>56</v>
      </c>
      <c r="AJ1657" s="198" t="s">
        <v>163</v>
      </c>
      <c r="AK1657" s="198" t="s">
        <v>51</v>
      </c>
      <c r="AL1657" s="198" t="s">
        <v>67</v>
      </c>
      <c r="AM1657" s="198" t="s">
        <v>68</v>
      </c>
      <c r="AN1657" s="202">
        <v>447457627</v>
      </c>
      <c r="AO1657" s="202">
        <v>447457627</v>
      </c>
      <c r="AP1657" s="202">
        <v>447457627</v>
      </c>
      <c r="AQ1657" s="198" t="s">
        <v>358</v>
      </c>
      <c r="AR1657" s="198" t="s">
        <v>51</v>
      </c>
      <c r="AS1657" s="202">
        <v>447457627</v>
      </c>
      <c r="AT1657" s="202">
        <v>447457627</v>
      </c>
      <c r="AU1657" s="198" t="s">
        <v>359</v>
      </c>
      <c r="AV1657" s="198" t="s">
        <v>62</v>
      </c>
      <c r="AW1657" s="198" t="s">
        <v>771</v>
      </c>
    </row>
    <row r="1658" spans="3:49" outlineLevel="2" x14ac:dyDescent="0.25">
      <c r="C1658" s="201"/>
      <c r="D1658" s="198" t="s">
        <v>772</v>
      </c>
      <c r="H1658" s="198" t="s">
        <v>772</v>
      </c>
      <c r="I1658" s="202">
        <f t="shared" si="25"/>
        <v>688398402.14999998</v>
      </c>
      <c r="J1658" s="202">
        <v>166.7</v>
      </c>
      <c r="L1658" s="204">
        <v>1</v>
      </c>
      <c r="M1658" s="202">
        <v>447457626.87</v>
      </c>
      <c r="N1658" s="204">
        <v>1</v>
      </c>
      <c r="O1658" s="198" t="s">
        <v>51</v>
      </c>
      <c r="P1658" s="202">
        <v>447457626.87</v>
      </c>
      <c r="Q1658" s="198" t="s">
        <v>159</v>
      </c>
      <c r="R1658" s="198" t="s">
        <v>160</v>
      </c>
      <c r="S1658" s="198" t="s">
        <v>54</v>
      </c>
      <c r="T1658" s="198" t="s">
        <v>770</v>
      </c>
      <c r="U1658" s="198" t="s">
        <v>277</v>
      </c>
      <c r="V1658" s="198" t="s">
        <v>56</v>
      </c>
      <c r="W1658" s="198" t="s">
        <v>356</v>
      </c>
      <c r="X1658" s="198" t="s">
        <v>161</v>
      </c>
      <c r="Y1658" s="198" t="s">
        <v>162</v>
      </c>
      <c r="Z1658" s="201">
        <v>46477</v>
      </c>
      <c r="AA1658" s="198" t="s">
        <v>59</v>
      </c>
      <c r="AB1658" s="198" t="s">
        <v>60</v>
      </c>
      <c r="AC1658" s="198" t="s">
        <v>86</v>
      </c>
      <c r="AD1658" s="198" t="s">
        <v>62</v>
      </c>
      <c r="AE1658" s="198" t="s">
        <v>54</v>
      </c>
      <c r="AF1658" s="198" t="s">
        <v>54</v>
      </c>
      <c r="AG1658" s="198" t="s">
        <v>166</v>
      </c>
      <c r="AH1658" s="198" t="s">
        <v>153</v>
      </c>
      <c r="AI1658" s="198" t="s">
        <v>56</v>
      </c>
      <c r="AJ1658" s="198" t="s">
        <v>163</v>
      </c>
      <c r="AK1658" s="198" t="s">
        <v>51</v>
      </c>
      <c r="AL1658" s="198" t="s">
        <v>67</v>
      </c>
      <c r="AM1658" s="198" t="s">
        <v>68</v>
      </c>
      <c r="AN1658" s="202">
        <v>447457626.87</v>
      </c>
      <c r="AO1658" s="202">
        <v>447457626.87</v>
      </c>
      <c r="AP1658" s="202">
        <v>447457626.87</v>
      </c>
      <c r="AQ1658" s="198" t="s">
        <v>358</v>
      </c>
      <c r="AR1658" s="198" t="s">
        <v>51</v>
      </c>
      <c r="AS1658" s="202">
        <v>447457626.87</v>
      </c>
      <c r="AT1658" s="202">
        <v>447457626.87</v>
      </c>
      <c r="AU1658" s="198" t="s">
        <v>359</v>
      </c>
      <c r="AV1658" s="198" t="s">
        <v>62</v>
      </c>
      <c r="AW1658" s="198" t="s">
        <v>771</v>
      </c>
    </row>
    <row r="1659" spans="3:49" outlineLevel="2" x14ac:dyDescent="0.25">
      <c r="C1659" s="201"/>
      <c r="D1659" s="198" t="s">
        <v>772</v>
      </c>
      <c r="H1659" s="198" t="s">
        <v>772</v>
      </c>
      <c r="I1659" s="202">
        <f t="shared" si="25"/>
        <v>688811358.60000002</v>
      </c>
      <c r="J1659" s="202">
        <v>166.8</v>
      </c>
      <c r="L1659" s="204">
        <v>1</v>
      </c>
      <c r="M1659" s="202">
        <v>447457626.87</v>
      </c>
      <c r="N1659" s="204">
        <v>1</v>
      </c>
      <c r="O1659" s="198" t="s">
        <v>51</v>
      </c>
      <c r="P1659" s="202">
        <v>447457626.87</v>
      </c>
      <c r="Q1659" s="198" t="s">
        <v>159</v>
      </c>
      <c r="R1659" s="198" t="s">
        <v>160</v>
      </c>
      <c r="S1659" s="198" t="s">
        <v>54</v>
      </c>
      <c r="T1659" s="198" t="s">
        <v>770</v>
      </c>
      <c r="U1659" s="198" t="s">
        <v>277</v>
      </c>
      <c r="V1659" s="198" t="s">
        <v>56</v>
      </c>
      <c r="W1659" s="198" t="s">
        <v>356</v>
      </c>
      <c r="X1659" s="198" t="s">
        <v>161</v>
      </c>
      <c r="Y1659" s="198" t="s">
        <v>162</v>
      </c>
      <c r="Z1659" s="201">
        <v>46477</v>
      </c>
      <c r="AA1659" s="198" t="s">
        <v>59</v>
      </c>
      <c r="AB1659" s="198" t="s">
        <v>60</v>
      </c>
      <c r="AC1659" s="198" t="s">
        <v>86</v>
      </c>
      <c r="AD1659" s="198" t="s">
        <v>62</v>
      </c>
      <c r="AE1659" s="198" t="s">
        <v>54</v>
      </c>
      <c r="AF1659" s="198" t="s">
        <v>54</v>
      </c>
      <c r="AG1659" s="198" t="s">
        <v>166</v>
      </c>
      <c r="AH1659" s="198" t="s">
        <v>153</v>
      </c>
      <c r="AI1659" s="198" t="s">
        <v>56</v>
      </c>
      <c r="AJ1659" s="198" t="s">
        <v>163</v>
      </c>
      <c r="AK1659" s="198" t="s">
        <v>51</v>
      </c>
      <c r="AL1659" s="198" t="s">
        <v>67</v>
      </c>
      <c r="AM1659" s="198" t="s">
        <v>68</v>
      </c>
      <c r="AN1659" s="202">
        <v>447457626.87</v>
      </c>
      <c r="AO1659" s="202">
        <v>447457626.87</v>
      </c>
      <c r="AP1659" s="202">
        <v>447457626.87</v>
      </c>
      <c r="AQ1659" s="198" t="s">
        <v>358</v>
      </c>
      <c r="AR1659" s="198" t="s">
        <v>51</v>
      </c>
      <c r="AS1659" s="202">
        <v>447457626.87</v>
      </c>
      <c r="AT1659" s="202">
        <v>447457626.87</v>
      </c>
      <c r="AU1659" s="198" t="s">
        <v>359</v>
      </c>
      <c r="AV1659" s="198" t="s">
        <v>62</v>
      </c>
      <c r="AW1659" s="198" t="s">
        <v>771</v>
      </c>
    </row>
    <row r="1660" spans="3:49" outlineLevel="2" x14ac:dyDescent="0.25">
      <c r="C1660" s="201"/>
      <c r="D1660" s="198" t="s">
        <v>772</v>
      </c>
      <c r="H1660" s="198" t="s">
        <v>772</v>
      </c>
      <c r="I1660" s="202">
        <f t="shared" si="25"/>
        <v>689224315.05000007</v>
      </c>
      <c r="J1660" s="202">
        <v>166.9</v>
      </c>
      <c r="L1660" s="204">
        <v>1</v>
      </c>
      <c r="M1660" s="202">
        <v>894915254</v>
      </c>
      <c r="N1660" s="204">
        <v>1</v>
      </c>
      <c r="O1660" s="198" t="s">
        <v>51</v>
      </c>
      <c r="P1660" s="202">
        <v>894915254</v>
      </c>
      <c r="Q1660" s="198" t="s">
        <v>159</v>
      </c>
      <c r="R1660" s="198" t="s">
        <v>160</v>
      </c>
      <c r="S1660" s="198" t="s">
        <v>54</v>
      </c>
      <c r="T1660" s="198" t="s">
        <v>770</v>
      </c>
      <c r="U1660" s="198" t="s">
        <v>277</v>
      </c>
      <c r="V1660" s="198" t="s">
        <v>56</v>
      </c>
      <c r="W1660" s="198" t="s">
        <v>356</v>
      </c>
      <c r="X1660" s="198" t="s">
        <v>161</v>
      </c>
      <c r="Y1660" s="198" t="s">
        <v>162</v>
      </c>
      <c r="Z1660" s="201">
        <v>46477</v>
      </c>
      <c r="AA1660" s="198" t="s">
        <v>59</v>
      </c>
      <c r="AB1660" s="198" t="s">
        <v>60</v>
      </c>
      <c r="AC1660" s="198" t="s">
        <v>86</v>
      </c>
      <c r="AD1660" s="198" t="s">
        <v>62</v>
      </c>
      <c r="AE1660" s="198" t="s">
        <v>54</v>
      </c>
      <c r="AF1660" s="198" t="s">
        <v>54</v>
      </c>
      <c r="AG1660" s="198" t="s">
        <v>166</v>
      </c>
      <c r="AH1660" s="198" t="s">
        <v>153</v>
      </c>
      <c r="AI1660" s="198" t="s">
        <v>56</v>
      </c>
      <c r="AJ1660" s="198" t="s">
        <v>163</v>
      </c>
      <c r="AK1660" s="198" t="s">
        <v>51</v>
      </c>
      <c r="AL1660" s="198" t="s">
        <v>67</v>
      </c>
      <c r="AM1660" s="198" t="s">
        <v>68</v>
      </c>
      <c r="AN1660" s="202">
        <v>894915254</v>
      </c>
      <c r="AO1660" s="202">
        <v>894915254</v>
      </c>
      <c r="AP1660" s="202">
        <v>894915254</v>
      </c>
      <c r="AQ1660" s="198" t="s">
        <v>358</v>
      </c>
      <c r="AR1660" s="198" t="s">
        <v>51</v>
      </c>
      <c r="AS1660" s="202">
        <v>894915254</v>
      </c>
      <c r="AT1660" s="202">
        <v>894915254</v>
      </c>
      <c r="AU1660" s="198" t="s">
        <v>359</v>
      </c>
      <c r="AV1660" s="198" t="s">
        <v>62</v>
      </c>
      <c r="AW1660" s="198" t="s">
        <v>771</v>
      </c>
    </row>
    <row r="1661" spans="3:49" outlineLevel="2" x14ac:dyDescent="0.25">
      <c r="C1661" s="201"/>
      <c r="D1661" s="198" t="s">
        <v>772</v>
      </c>
      <c r="H1661" s="198" t="s">
        <v>772</v>
      </c>
      <c r="I1661" s="202">
        <f t="shared" si="25"/>
        <v>689637271.5</v>
      </c>
      <c r="J1661" s="202">
        <v>167</v>
      </c>
      <c r="L1661" s="204">
        <v>1</v>
      </c>
      <c r="M1661" s="202">
        <v>298305085</v>
      </c>
      <c r="N1661" s="204">
        <v>1</v>
      </c>
      <c r="O1661" s="198" t="s">
        <v>51</v>
      </c>
      <c r="P1661" s="202">
        <v>298305085</v>
      </c>
      <c r="Q1661" s="198" t="s">
        <v>159</v>
      </c>
      <c r="R1661" s="198" t="s">
        <v>160</v>
      </c>
      <c r="S1661" s="198" t="s">
        <v>54</v>
      </c>
      <c r="T1661" s="198" t="s">
        <v>770</v>
      </c>
      <c r="U1661" s="198" t="s">
        <v>277</v>
      </c>
      <c r="V1661" s="198" t="s">
        <v>56</v>
      </c>
      <c r="W1661" s="198" t="s">
        <v>356</v>
      </c>
      <c r="X1661" s="198" t="s">
        <v>161</v>
      </c>
      <c r="Y1661" s="198" t="s">
        <v>162</v>
      </c>
      <c r="Z1661" s="201">
        <v>46477</v>
      </c>
      <c r="AA1661" s="198" t="s">
        <v>59</v>
      </c>
      <c r="AB1661" s="198" t="s">
        <v>60</v>
      </c>
      <c r="AC1661" s="198" t="s">
        <v>86</v>
      </c>
      <c r="AD1661" s="198" t="s">
        <v>62</v>
      </c>
      <c r="AE1661" s="198" t="s">
        <v>54</v>
      </c>
      <c r="AF1661" s="198" t="s">
        <v>54</v>
      </c>
      <c r="AG1661" s="198" t="s">
        <v>166</v>
      </c>
      <c r="AH1661" s="198" t="s">
        <v>153</v>
      </c>
      <c r="AI1661" s="198" t="s">
        <v>56</v>
      </c>
      <c r="AJ1661" s="198" t="s">
        <v>163</v>
      </c>
      <c r="AK1661" s="198" t="s">
        <v>51</v>
      </c>
      <c r="AL1661" s="198" t="s">
        <v>67</v>
      </c>
      <c r="AM1661" s="198" t="s">
        <v>68</v>
      </c>
      <c r="AN1661" s="202">
        <v>298305085</v>
      </c>
      <c r="AO1661" s="202">
        <v>298305085</v>
      </c>
      <c r="AP1661" s="202">
        <v>298305085</v>
      </c>
      <c r="AQ1661" s="198" t="s">
        <v>358</v>
      </c>
      <c r="AR1661" s="198" t="s">
        <v>51</v>
      </c>
      <c r="AS1661" s="202">
        <v>298305085</v>
      </c>
      <c r="AT1661" s="202">
        <v>298305085</v>
      </c>
      <c r="AU1661" s="198" t="s">
        <v>359</v>
      </c>
      <c r="AV1661" s="198" t="s">
        <v>62</v>
      </c>
      <c r="AW1661" s="198" t="s">
        <v>771</v>
      </c>
    </row>
    <row r="1662" spans="3:49" outlineLevel="2" x14ac:dyDescent="0.25">
      <c r="C1662" s="201"/>
      <c r="D1662" s="198" t="s">
        <v>772</v>
      </c>
      <c r="H1662" s="198" t="s">
        <v>772</v>
      </c>
      <c r="I1662" s="202">
        <f t="shared" si="25"/>
        <v>690050227.94999993</v>
      </c>
      <c r="J1662" s="202">
        <v>167.1</v>
      </c>
      <c r="L1662" s="204">
        <v>1</v>
      </c>
      <c r="M1662" s="202">
        <v>298305085</v>
      </c>
      <c r="N1662" s="204">
        <v>1</v>
      </c>
      <c r="O1662" s="198" t="s">
        <v>51</v>
      </c>
      <c r="P1662" s="202">
        <v>298305085</v>
      </c>
      <c r="Q1662" s="198" t="s">
        <v>159</v>
      </c>
      <c r="R1662" s="198" t="s">
        <v>160</v>
      </c>
      <c r="S1662" s="198" t="s">
        <v>54</v>
      </c>
      <c r="T1662" s="198" t="s">
        <v>770</v>
      </c>
      <c r="U1662" s="198" t="s">
        <v>277</v>
      </c>
      <c r="V1662" s="198" t="s">
        <v>56</v>
      </c>
      <c r="W1662" s="198" t="s">
        <v>356</v>
      </c>
      <c r="X1662" s="198" t="s">
        <v>161</v>
      </c>
      <c r="Y1662" s="198" t="s">
        <v>162</v>
      </c>
      <c r="Z1662" s="201">
        <v>46477</v>
      </c>
      <c r="AA1662" s="198" t="s">
        <v>59</v>
      </c>
      <c r="AB1662" s="198" t="s">
        <v>60</v>
      </c>
      <c r="AC1662" s="198" t="s">
        <v>86</v>
      </c>
      <c r="AD1662" s="198" t="s">
        <v>62</v>
      </c>
      <c r="AE1662" s="198" t="s">
        <v>54</v>
      </c>
      <c r="AF1662" s="198" t="s">
        <v>54</v>
      </c>
      <c r="AG1662" s="198" t="s">
        <v>166</v>
      </c>
      <c r="AH1662" s="198" t="s">
        <v>153</v>
      </c>
      <c r="AI1662" s="198" t="s">
        <v>56</v>
      </c>
      <c r="AJ1662" s="198" t="s">
        <v>163</v>
      </c>
      <c r="AK1662" s="198" t="s">
        <v>51</v>
      </c>
      <c r="AL1662" s="198" t="s">
        <v>67</v>
      </c>
      <c r="AM1662" s="198" t="s">
        <v>68</v>
      </c>
      <c r="AN1662" s="202">
        <v>298305085</v>
      </c>
      <c r="AO1662" s="202">
        <v>298305085</v>
      </c>
      <c r="AP1662" s="202">
        <v>298305085</v>
      </c>
      <c r="AQ1662" s="198" t="s">
        <v>358</v>
      </c>
      <c r="AR1662" s="198" t="s">
        <v>51</v>
      </c>
      <c r="AS1662" s="202">
        <v>298305085</v>
      </c>
      <c r="AT1662" s="202">
        <v>298305085</v>
      </c>
      <c r="AU1662" s="198" t="s">
        <v>359</v>
      </c>
      <c r="AV1662" s="198" t="s">
        <v>62</v>
      </c>
      <c r="AW1662" s="198" t="s">
        <v>771</v>
      </c>
    </row>
    <row r="1663" spans="3:49" outlineLevel="2" x14ac:dyDescent="0.25">
      <c r="C1663" s="201"/>
      <c r="D1663" s="198" t="s">
        <v>773</v>
      </c>
      <c r="H1663" s="198" t="s">
        <v>773</v>
      </c>
      <c r="I1663" s="202">
        <f t="shared" si="25"/>
        <v>690463184.39999998</v>
      </c>
      <c r="J1663" s="202">
        <v>167.2</v>
      </c>
      <c r="L1663" s="204">
        <v>1</v>
      </c>
      <c r="M1663" s="202">
        <v>400423729</v>
      </c>
      <c r="N1663" s="204">
        <v>1</v>
      </c>
      <c r="O1663" s="198" t="s">
        <v>51</v>
      </c>
      <c r="P1663" s="202">
        <v>400423729</v>
      </c>
      <c r="Q1663" s="198" t="s">
        <v>159</v>
      </c>
      <c r="R1663" s="198" t="s">
        <v>160</v>
      </c>
      <c r="S1663" s="198" t="s">
        <v>54</v>
      </c>
      <c r="T1663" s="198" t="s">
        <v>770</v>
      </c>
      <c r="U1663" s="198" t="s">
        <v>277</v>
      </c>
      <c r="V1663" s="198" t="s">
        <v>56</v>
      </c>
      <c r="W1663" s="198" t="s">
        <v>356</v>
      </c>
      <c r="X1663" s="198" t="s">
        <v>161</v>
      </c>
      <c r="Y1663" s="198" t="s">
        <v>162</v>
      </c>
      <c r="Z1663" s="201">
        <v>46477</v>
      </c>
      <c r="AA1663" s="198" t="s">
        <v>59</v>
      </c>
      <c r="AB1663" s="198" t="s">
        <v>60</v>
      </c>
      <c r="AC1663" s="198" t="s">
        <v>86</v>
      </c>
      <c r="AD1663" s="198" t="s">
        <v>62</v>
      </c>
      <c r="AE1663" s="198" t="s">
        <v>54</v>
      </c>
      <c r="AF1663" s="198" t="s">
        <v>54</v>
      </c>
      <c r="AG1663" s="198" t="s">
        <v>166</v>
      </c>
      <c r="AH1663" s="198" t="s">
        <v>193</v>
      </c>
      <c r="AI1663" s="198" t="s">
        <v>56</v>
      </c>
      <c r="AJ1663" s="198" t="s">
        <v>163</v>
      </c>
      <c r="AK1663" s="198" t="s">
        <v>51</v>
      </c>
      <c r="AL1663" s="198" t="s">
        <v>67</v>
      </c>
      <c r="AM1663" s="198" t="s">
        <v>68</v>
      </c>
      <c r="AN1663" s="202">
        <v>400423729</v>
      </c>
      <c r="AO1663" s="202">
        <v>400423729</v>
      </c>
      <c r="AP1663" s="202">
        <v>400423729</v>
      </c>
      <c r="AQ1663" s="198" t="s">
        <v>358</v>
      </c>
      <c r="AR1663" s="198" t="s">
        <v>51</v>
      </c>
      <c r="AS1663" s="202">
        <v>400423729</v>
      </c>
      <c r="AT1663" s="202">
        <v>400423729</v>
      </c>
      <c r="AU1663" s="198" t="s">
        <v>359</v>
      </c>
      <c r="AV1663" s="198" t="s">
        <v>62</v>
      </c>
      <c r="AW1663" s="198" t="s">
        <v>771</v>
      </c>
    </row>
    <row r="1664" spans="3:49" outlineLevel="2" x14ac:dyDescent="0.25">
      <c r="C1664" s="201"/>
      <c r="D1664" s="198" t="s">
        <v>773</v>
      </c>
      <c r="H1664" s="198" t="s">
        <v>773</v>
      </c>
      <c r="I1664" s="202">
        <f t="shared" si="25"/>
        <v>690876140.85000002</v>
      </c>
      <c r="J1664" s="202">
        <v>167.3</v>
      </c>
      <c r="L1664" s="204">
        <v>1</v>
      </c>
      <c r="M1664" s="202">
        <v>400423728.81</v>
      </c>
      <c r="N1664" s="204">
        <v>1</v>
      </c>
      <c r="O1664" s="198" t="s">
        <v>51</v>
      </c>
      <c r="P1664" s="202">
        <v>400423728.81</v>
      </c>
      <c r="Q1664" s="198" t="s">
        <v>159</v>
      </c>
      <c r="R1664" s="198" t="s">
        <v>160</v>
      </c>
      <c r="S1664" s="198" t="s">
        <v>54</v>
      </c>
      <c r="T1664" s="198" t="s">
        <v>770</v>
      </c>
      <c r="U1664" s="198" t="s">
        <v>277</v>
      </c>
      <c r="V1664" s="198" t="s">
        <v>56</v>
      </c>
      <c r="W1664" s="198" t="s">
        <v>356</v>
      </c>
      <c r="X1664" s="198" t="s">
        <v>161</v>
      </c>
      <c r="Y1664" s="198" t="s">
        <v>162</v>
      </c>
      <c r="Z1664" s="201">
        <v>46477</v>
      </c>
      <c r="AA1664" s="198" t="s">
        <v>59</v>
      </c>
      <c r="AB1664" s="198" t="s">
        <v>60</v>
      </c>
      <c r="AC1664" s="198" t="s">
        <v>86</v>
      </c>
      <c r="AD1664" s="198" t="s">
        <v>62</v>
      </c>
      <c r="AE1664" s="198" t="s">
        <v>54</v>
      </c>
      <c r="AF1664" s="198" t="s">
        <v>54</v>
      </c>
      <c r="AG1664" s="198" t="s">
        <v>166</v>
      </c>
      <c r="AH1664" s="198" t="s">
        <v>193</v>
      </c>
      <c r="AI1664" s="198" t="s">
        <v>56</v>
      </c>
      <c r="AJ1664" s="198" t="s">
        <v>163</v>
      </c>
      <c r="AK1664" s="198" t="s">
        <v>51</v>
      </c>
      <c r="AL1664" s="198" t="s">
        <v>67</v>
      </c>
      <c r="AM1664" s="198" t="s">
        <v>68</v>
      </c>
      <c r="AN1664" s="202">
        <v>400423728.81</v>
      </c>
      <c r="AO1664" s="202">
        <v>400423728.81</v>
      </c>
      <c r="AP1664" s="202">
        <v>400423728.81</v>
      </c>
      <c r="AQ1664" s="198" t="s">
        <v>358</v>
      </c>
      <c r="AR1664" s="198" t="s">
        <v>51</v>
      </c>
      <c r="AS1664" s="202">
        <v>400423728.81</v>
      </c>
      <c r="AT1664" s="202">
        <v>400423728.81</v>
      </c>
      <c r="AU1664" s="198" t="s">
        <v>359</v>
      </c>
      <c r="AV1664" s="198" t="s">
        <v>62</v>
      </c>
      <c r="AW1664" s="198" t="s">
        <v>771</v>
      </c>
    </row>
    <row r="1665" spans="3:49" outlineLevel="2" x14ac:dyDescent="0.25">
      <c r="C1665" s="201"/>
      <c r="D1665" s="198" t="s">
        <v>773</v>
      </c>
      <c r="H1665" s="198" t="s">
        <v>773</v>
      </c>
      <c r="I1665" s="202">
        <f t="shared" si="25"/>
        <v>691289097.30000007</v>
      </c>
      <c r="J1665" s="202">
        <v>167.4</v>
      </c>
      <c r="L1665" s="204">
        <v>1</v>
      </c>
      <c r="M1665" s="202">
        <v>400423728.81</v>
      </c>
      <c r="N1665" s="204">
        <v>1</v>
      </c>
      <c r="O1665" s="198" t="s">
        <v>51</v>
      </c>
      <c r="P1665" s="202">
        <v>400423728.81</v>
      </c>
      <c r="Q1665" s="198" t="s">
        <v>159</v>
      </c>
      <c r="R1665" s="198" t="s">
        <v>160</v>
      </c>
      <c r="S1665" s="198" t="s">
        <v>54</v>
      </c>
      <c r="T1665" s="198" t="s">
        <v>770</v>
      </c>
      <c r="U1665" s="198" t="s">
        <v>277</v>
      </c>
      <c r="V1665" s="198" t="s">
        <v>56</v>
      </c>
      <c r="W1665" s="198" t="s">
        <v>356</v>
      </c>
      <c r="X1665" s="198" t="s">
        <v>161</v>
      </c>
      <c r="Y1665" s="198" t="s">
        <v>162</v>
      </c>
      <c r="Z1665" s="201">
        <v>46477</v>
      </c>
      <c r="AA1665" s="198" t="s">
        <v>59</v>
      </c>
      <c r="AB1665" s="198" t="s">
        <v>60</v>
      </c>
      <c r="AC1665" s="198" t="s">
        <v>86</v>
      </c>
      <c r="AD1665" s="198" t="s">
        <v>62</v>
      </c>
      <c r="AE1665" s="198" t="s">
        <v>54</v>
      </c>
      <c r="AF1665" s="198" t="s">
        <v>54</v>
      </c>
      <c r="AG1665" s="198" t="s">
        <v>166</v>
      </c>
      <c r="AH1665" s="198" t="s">
        <v>193</v>
      </c>
      <c r="AI1665" s="198" t="s">
        <v>56</v>
      </c>
      <c r="AJ1665" s="198" t="s">
        <v>163</v>
      </c>
      <c r="AK1665" s="198" t="s">
        <v>51</v>
      </c>
      <c r="AL1665" s="198" t="s">
        <v>67</v>
      </c>
      <c r="AM1665" s="198" t="s">
        <v>68</v>
      </c>
      <c r="AN1665" s="202">
        <v>400423728.81</v>
      </c>
      <c r="AO1665" s="202">
        <v>400423728.81</v>
      </c>
      <c r="AP1665" s="202">
        <v>400423728.81</v>
      </c>
      <c r="AQ1665" s="198" t="s">
        <v>358</v>
      </c>
      <c r="AR1665" s="198" t="s">
        <v>51</v>
      </c>
      <c r="AS1665" s="202">
        <v>400423728.81</v>
      </c>
      <c r="AT1665" s="202">
        <v>400423728.81</v>
      </c>
      <c r="AU1665" s="198" t="s">
        <v>359</v>
      </c>
      <c r="AV1665" s="198" t="s">
        <v>62</v>
      </c>
      <c r="AW1665" s="198" t="s">
        <v>771</v>
      </c>
    </row>
    <row r="1666" spans="3:49" outlineLevel="2" x14ac:dyDescent="0.25">
      <c r="C1666" s="201"/>
      <c r="D1666" s="198" t="s">
        <v>773</v>
      </c>
      <c r="H1666" s="198" t="s">
        <v>773</v>
      </c>
      <c r="I1666" s="202">
        <f t="shared" si="25"/>
        <v>691702053.75</v>
      </c>
      <c r="J1666" s="202">
        <v>167.5</v>
      </c>
      <c r="L1666" s="204">
        <v>1</v>
      </c>
      <c r="M1666" s="202">
        <v>800847458</v>
      </c>
      <c r="N1666" s="204">
        <v>1</v>
      </c>
      <c r="O1666" s="198" t="s">
        <v>51</v>
      </c>
      <c r="P1666" s="202">
        <v>800847458</v>
      </c>
      <c r="Q1666" s="198" t="s">
        <v>159</v>
      </c>
      <c r="R1666" s="198" t="s">
        <v>160</v>
      </c>
      <c r="S1666" s="198" t="s">
        <v>54</v>
      </c>
      <c r="T1666" s="198" t="s">
        <v>770</v>
      </c>
      <c r="U1666" s="198" t="s">
        <v>277</v>
      </c>
      <c r="V1666" s="198" t="s">
        <v>56</v>
      </c>
      <c r="W1666" s="198" t="s">
        <v>356</v>
      </c>
      <c r="X1666" s="198" t="s">
        <v>161</v>
      </c>
      <c r="Y1666" s="198" t="s">
        <v>162</v>
      </c>
      <c r="Z1666" s="201">
        <v>46477</v>
      </c>
      <c r="AA1666" s="198" t="s">
        <v>59</v>
      </c>
      <c r="AB1666" s="198" t="s">
        <v>60</v>
      </c>
      <c r="AC1666" s="198" t="s">
        <v>86</v>
      </c>
      <c r="AD1666" s="198" t="s">
        <v>62</v>
      </c>
      <c r="AE1666" s="198" t="s">
        <v>54</v>
      </c>
      <c r="AF1666" s="198" t="s">
        <v>54</v>
      </c>
      <c r="AG1666" s="198" t="s">
        <v>166</v>
      </c>
      <c r="AH1666" s="198" t="s">
        <v>193</v>
      </c>
      <c r="AI1666" s="198" t="s">
        <v>56</v>
      </c>
      <c r="AJ1666" s="198" t="s">
        <v>163</v>
      </c>
      <c r="AK1666" s="198" t="s">
        <v>51</v>
      </c>
      <c r="AL1666" s="198" t="s">
        <v>67</v>
      </c>
      <c r="AM1666" s="198" t="s">
        <v>68</v>
      </c>
      <c r="AN1666" s="202">
        <v>800847458</v>
      </c>
      <c r="AO1666" s="202">
        <v>800847458</v>
      </c>
      <c r="AP1666" s="202">
        <v>800847458</v>
      </c>
      <c r="AQ1666" s="198" t="s">
        <v>358</v>
      </c>
      <c r="AR1666" s="198" t="s">
        <v>51</v>
      </c>
      <c r="AS1666" s="202">
        <v>800847458</v>
      </c>
      <c r="AT1666" s="202">
        <v>800847458</v>
      </c>
      <c r="AU1666" s="198" t="s">
        <v>359</v>
      </c>
      <c r="AV1666" s="198" t="s">
        <v>62</v>
      </c>
      <c r="AW1666" s="198" t="s">
        <v>771</v>
      </c>
    </row>
    <row r="1667" spans="3:49" outlineLevel="2" x14ac:dyDescent="0.25">
      <c r="C1667" s="201"/>
      <c r="D1667" s="198" t="s">
        <v>773</v>
      </c>
      <c r="H1667" s="198" t="s">
        <v>773</v>
      </c>
      <c r="I1667" s="202">
        <f t="shared" ref="I1667:I1730" si="26">J1667*4129564.5</f>
        <v>692115010.19999993</v>
      </c>
      <c r="J1667" s="202">
        <v>167.6</v>
      </c>
      <c r="L1667" s="204">
        <v>1</v>
      </c>
      <c r="M1667" s="202">
        <v>266949153</v>
      </c>
      <c r="N1667" s="204">
        <v>1</v>
      </c>
      <c r="O1667" s="198" t="s">
        <v>51</v>
      </c>
      <c r="P1667" s="202">
        <v>266949153</v>
      </c>
      <c r="Q1667" s="198" t="s">
        <v>159</v>
      </c>
      <c r="R1667" s="198" t="s">
        <v>160</v>
      </c>
      <c r="S1667" s="198" t="s">
        <v>54</v>
      </c>
      <c r="T1667" s="198" t="s">
        <v>770</v>
      </c>
      <c r="U1667" s="198" t="s">
        <v>277</v>
      </c>
      <c r="V1667" s="198" t="s">
        <v>56</v>
      </c>
      <c r="W1667" s="198" t="s">
        <v>356</v>
      </c>
      <c r="X1667" s="198" t="s">
        <v>161</v>
      </c>
      <c r="Y1667" s="198" t="s">
        <v>162</v>
      </c>
      <c r="Z1667" s="201">
        <v>46477</v>
      </c>
      <c r="AA1667" s="198" t="s">
        <v>59</v>
      </c>
      <c r="AB1667" s="198" t="s">
        <v>60</v>
      </c>
      <c r="AC1667" s="198" t="s">
        <v>86</v>
      </c>
      <c r="AD1667" s="198" t="s">
        <v>62</v>
      </c>
      <c r="AE1667" s="198" t="s">
        <v>54</v>
      </c>
      <c r="AF1667" s="198" t="s">
        <v>54</v>
      </c>
      <c r="AG1667" s="198" t="s">
        <v>166</v>
      </c>
      <c r="AH1667" s="198" t="s">
        <v>193</v>
      </c>
      <c r="AI1667" s="198" t="s">
        <v>56</v>
      </c>
      <c r="AJ1667" s="198" t="s">
        <v>163</v>
      </c>
      <c r="AK1667" s="198" t="s">
        <v>51</v>
      </c>
      <c r="AL1667" s="198" t="s">
        <v>67</v>
      </c>
      <c r="AM1667" s="198" t="s">
        <v>68</v>
      </c>
      <c r="AN1667" s="202">
        <v>266949153</v>
      </c>
      <c r="AO1667" s="202">
        <v>266949153</v>
      </c>
      <c r="AP1667" s="202">
        <v>266949153</v>
      </c>
      <c r="AQ1667" s="198" t="s">
        <v>358</v>
      </c>
      <c r="AR1667" s="198" t="s">
        <v>51</v>
      </c>
      <c r="AS1667" s="202">
        <v>266949153</v>
      </c>
      <c r="AT1667" s="202">
        <v>266949153</v>
      </c>
      <c r="AU1667" s="198" t="s">
        <v>359</v>
      </c>
      <c r="AV1667" s="198" t="s">
        <v>62</v>
      </c>
      <c r="AW1667" s="198" t="s">
        <v>771</v>
      </c>
    </row>
    <row r="1668" spans="3:49" outlineLevel="2" x14ac:dyDescent="0.25">
      <c r="C1668" s="201"/>
      <c r="D1668" s="198" t="s">
        <v>773</v>
      </c>
      <c r="H1668" s="198" t="s">
        <v>773</v>
      </c>
      <c r="I1668" s="202">
        <f t="shared" si="26"/>
        <v>692527966.64999998</v>
      </c>
      <c r="J1668" s="202">
        <v>167.7</v>
      </c>
      <c r="L1668" s="204">
        <v>1</v>
      </c>
      <c r="M1668" s="202">
        <v>266949151</v>
      </c>
      <c r="N1668" s="204">
        <v>1</v>
      </c>
      <c r="O1668" s="198" t="s">
        <v>51</v>
      </c>
      <c r="P1668" s="202">
        <v>266949151</v>
      </c>
      <c r="Q1668" s="198" t="s">
        <v>159</v>
      </c>
      <c r="R1668" s="198" t="s">
        <v>160</v>
      </c>
      <c r="S1668" s="198" t="s">
        <v>54</v>
      </c>
      <c r="T1668" s="198" t="s">
        <v>770</v>
      </c>
      <c r="U1668" s="198" t="s">
        <v>277</v>
      </c>
      <c r="V1668" s="198" t="s">
        <v>56</v>
      </c>
      <c r="W1668" s="198" t="s">
        <v>356</v>
      </c>
      <c r="X1668" s="198" t="s">
        <v>161</v>
      </c>
      <c r="Y1668" s="198" t="s">
        <v>162</v>
      </c>
      <c r="Z1668" s="201">
        <v>46477</v>
      </c>
      <c r="AA1668" s="198" t="s">
        <v>59</v>
      </c>
      <c r="AB1668" s="198" t="s">
        <v>60</v>
      </c>
      <c r="AC1668" s="198" t="s">
        <v>86</v>
      </c>
      <c r="AD1668" s="198" t="s">
        <v>62</v>
      </c>
      <c r="AE1668" s="198" t="s">
        <v>54</v>
      </c>
      <c r="AF1668" s="198" t="s">
        <v>54</v>
      </c>
      <c r="AG1668" s="198" t="s">
        <v>166</v>
      </c>
      <c r="AH1668" s="198" t="s">
        <v>193</v>
      </c>
      <c r="AI1668" s="198" t="s">
        <v>56</v>
      </c>
      <c r="AJ1668" s="198" t="s">
        <v>163</v>
      </c>
      <c r="AK1668" s="198" t="s">
        <v>51</v>
      </c>
      <c r="AL1668" s="198" t="s">
        <v>67</v>
      </c>
      <c r="AM1668" s="198" t="s">
        <v>68</v>
      </c>
      <c r="AN1668" s="202">
        <v>266949151</v>
      </c>
      <c r="AO1668" s="202">
        <v>266949151</v>
      </c>
      <c r="AP1668" s="202">
        <v>266949151</v>
      </c>
      <c r="AQ1668" s="198" t="s">
        <v>358</v>
      </c>
      <c r="AR1668" s="198" t="s">
        <v>51</v>
      </c>
      <c r="AS1668" s="202">
        <v>266949151</v>
      </c>
      <c r="AT1668" s="202">
        <v>266949151</v>
      </c>
      <c r="AU1668" s="198" t="s">
        <v>359</v>
      </c>
      <c r="AV1668" s="198" t="s">
        <v>62</v>
      </c>
      <c r="AW1668" s="198" t="s">
        <v>771</v>
      </c>
    </row>
    <row r="1669" spans="3:49" outlineLevel="2" x14ac:dyDescent="0.25">
      <c r="C1669" s="201"/>
      <c r="D1669" s="198" t="s">
        <v>236</v>
      </c>
      <c r="H1669" s="198" t="s">
        <v>236</v>
      </c>
      <c r="I1669" s="202">
        <f t="shared" si="26"/>
        <v>692940923.10000002</v>
      </c>
      <c r="J1669" s="202">
        <v>167.8</v>
      </c>
      <c r="L1669" s="204">
        <v>1</v>
      </c>
      <c r="M1669" s="202">
        <v>1506703.24</v>
      </c>
      <c r="N1669" s="204">
        <v>1</v>
      </c>
      <c r="O1669" s="198" t="s">
        <v>51</v>
      </c>
      <c r="P1669" s="202">
        <v>1506703.24</v>
      </c>
      <c r="Q1669" s="198" t="s">
        <v>159</v>
      </c>
      <c r="R1669" s="198" t="s">
        <v>160</v>
      </c>
      <c r="S1669" s="198" t="s">
        <v>54</v>
      </c>
      <c r="T1669" s="198" t="s">
        <v>673</v>
      </c>
      <c r="U1669" s="198" t="s">
        <v>367</v>
      </c>
      <c r="V1669" s="198" t="s">
        <v>56</v>
      </c>
      <c r="W1669" s="198" t="s">
        <v>356</v>
      </c>
      <c r="X1669" s="198" t="s">
        <v>161</v>
      </c>
      <c r="Y1669" s="198" t="s">
        <v>162</v>
      </c>
      <c r="Z1669" s="201">
        <v>46263</v>
      </c>
      <c r="AA1669" s="198" t="s">
        <v>59</v>
      </c>
      <c r="AB1669" s="198" t="s">
        <v>60</v>
      </c>
      <c r="AC1669" s="198" t="s">
        <v>86</v>
      </c>
      <c r="AD1669" s="198" t="s">
        <v>62</v>
      </c>
      <c r="AE1669" s="198" t="s">
        <v>54</v>
      </c>
      <c r="AF1669" s="198" t="s">
        <v>54</v>
      </c>
      <c r="AG1669" s="198" t="s">
        <v>564</v>
      </c>
      <c r="AH1669" s="198" t="s">
        <v>95</v>
      </c>
      <c r="AI1669" s="198" t="s">
        <v>56</v>
      </c>
      <c r="AJ1669" s="198" t="s">
        <v>163</v>
      </c>
      <c r="AK1669" s="198" t="s">
        <v>51</v>
      </c>
      <c r="AL1669" s="198" t="s">
        <v>67</v>
      </c>
      <c r="AM1669" s="198" t="s">
        <v>68</v>
      </c>
      <c r="AN1669" s="202">
        <v>1506703.24</v>
      </c>
      <c r="AO1669" s="202">
        <v>1506703.24</v>
      </c>
      <c r="AP1669" s="202">
        <v>1506703.24</v>
      </c>
      <c r="AQ1669" s="198" t="s">
        <v>358</v>
      </c>
      <c r="AR1669" s="198" t="s">
        <v>51</v>
      </c>
      <c r="AS1669" s="202">
        <v>1506703.24</v>
      </c>
      <c r="AT1669" s="202">
        <v>1506703.24</v>
      </c>
      <c r="AU1669" s="198" t="s">
        <v>359</v>
      </c>
      <c r="AV1669" s="198" t="s">
        <v>62</v>
      </c>
      <c r="AW1669" s="198" t="s">
        <v>54</v>
      </c>
    </row>
    <row r="1670" spans="3:49" outlineLevel="2" x14ac:dyDescent="0.25">
      <c r="C1670" s="201"/>
      <c r="D1670" s="198" t="s">
        <v>278</v>
      </c>
      <c r="H1670" s="198" t="s">
        <v>278</v>
      </c>
      <c r="I1670" s="202">
        <f t="shared" si="26"/>
        <v>693353879.55000007</v>
      </c>
      <c r="J1670" s="202">
        <v>167.9</v>
      </c>
      <c r="L1670" s="204">
        <v>1</v>
      </c>
      <c r="M1670" s="202">
        <v>829549.44</v>
      </c>
      <c r="N1670" s="204">
        <v>0</v>
      </c>
      <c r="O1670" s="198" t="s">
        <v>51</v>
      </c>
      <c r="P1670" s="202">
        <v>155896.32999999999</v>
      </c>
      <c r="Q1670" s="198" t="s">
        <v>159</v>
      </c>
      <c r="R1670" s="198" t="s">
        <v>160</v>
      </c>
      <c r="S1670" s="198" t="s">
        <v>54</v>
      </c>
      <c r="T1670" s="198" t="s">
        <v>774</v>
      </c>
      <c r="U1670" s="198" t="s">
        <v>364</v>
      </c>
      <c r="V1670" s="198" t="s">
        <v>56</v>
      </c>
      <c r="W1670" s="198" t="s">
        <v>356</v>
      </c>
      <c r="X1670" s="198" t="s">
        <v>161</v>
      </c>
      <c r="Y1670" s="198" t="s">
        <v>162</v>
      </c>
      <c r="Z1670" s="201">
        <v>46142</v>
      </c>
      <c r="AA1670" s="198" t="s">
        <v>59</v>
      </c>
      <c r="AB1670" s="198" t="s">
        <v>60</v>
      </c>
      <c r="AC1670" s="198" t="s">
        <v>86</v>
      </c>
      <c r="AD1670" s="198" t="s">
        <v>62</v>
      </c>
      <c r="AE1670" s="198" t="s">
        <v>54</v>
      </c>
      <c r="AF1670" s="198" t="s">
        <v>54</v>
      </c>
      <c r="AG1670" s="198" t="s">
        <v>56</v>
      </c>
      <c r="AH1670" s="198" t="s">
        <v>193</v>
      </c>
      <c r="AI1670" s="198" t="s">
        <v>56</v>
      </c>
      <c r="AJ1670" s="198" t="s">
        <v>163</v>
      </c>
      <c r="AK1670" s="198" t="s">
        <v>51</v>
      </c>
      <c r="AL1670" s="198" t="s">
        <v>67</v>
      </c>
      <c r="AM1670" s="198" t="s">
        <v>68</v>
      </c>
      <c r="AN1670" s="202">
        <v>829549.44</v>
      </c>
      <c r="AO1670" s="202">
        <v>829549.44</v>
      </c>
      <c r="AP1670" s="202">
        <v>829549.44</v>
      </c>
      <c r="AQ1670" s="198" t="s">
        <v>358</v>
      </c>
      <c r="AR1670" s="198" t="s">
        <v>51</v>
      </c>
      <c r="AS1670" s="202">
        <v>155896.32999999999</v>
      </c>
      <c r="AT1670" s="202">
        <v>155896.32999999999</v>
      </c>
      <c r="AU1670" s="198" t="s">
        <v>359</v>
      </c>
      <c r="AV1670" s="198" t="s">
        <v>62</v>
      </c>
      <c r="AW1670" s="198" t="s">
        <v>54</v>
      </c>
    </row>
    <row r="1671" spans="3:49" outlineLevel="2" x14ac:dyDescent="0.25">
      <c r="C1671" s="201"/>
      <c r="D1671" s="198" t="s">
        <v>775</v>
      </c>
      <c r="H1671" s="198" t="s">
        <v>775</v>
      </c>
      <c r="I1671" s="202">
        <f t="shared" si="26"/>
        <v>693766836</v>
      </c>
      <c r="J1671" s="202">
        <v>168</v>
      </c>
      <c r="L1671" s="204">
        <v>1</v>
      </c>
      <c r="M1671" s="202">
        <v>470338983</v>
      </c>
      <c r="N1671" s="204">
        <v>1</v>
      </c>
      <c r="O1671" s="198" t="s">
        <v>51</v>
      </c>
      <c r="P1671" s="202">
        <v>470338983</v>
      </c>
      <c r="Q1671" s="198" t="s">
        <v>159</v>
      </c>
      <c r="R1671" s="198" t="s">
        <v>160</v>
      </c>
      <c r="S1671" s="198" t="s">
        <v>54</v>
      </c>
      <c r="T1671" s="198" t="s">
        <v>770</v>
      </c>
      <c r="U1671" s="198" t="s">
        <v>80</v>
      </c>
      <c r="V1671" s="198" t="s">
        <v>56</v>
      </c>
      <c r="W1671" s="198" t="s">
        <v>356</v>
      </c>
      <c r="X1671" s="198" t="s">
        <v>161</v>
      </c>
      <c r="Y1671" s="198" t="s">
        <v>162</v>
      </c>
      <c r="Z1671" s="201">
        <v>46477</v>
      </c>
      <c r="AA1671" s="198" t="s">
        <v>59</v>
      </c>
      <c r="AB1671" s="198" t="s">
        <v>60</v>
      </c>
      <c r="AC1671" s="198" t="s">
        <v>86</v>
      </c>
      <c r="AD1671" s="198" t="s">
        <v>62</v>
      </c>
      <c r="AE1671" s="198" t="s">
        <v>54</v>
      </c>
      <c r="AF1671" s="198" t="s">
        <v>54</v>
      </c>
      <c r="AG1671" s="198" t="s">
        <v>166</v>
      </c>
      <c r="AH1671" s="198" t="s">
        <v>274</v>
      </c>
      <c r="AI1671" s="198" t="s">
        <v>56</v>
      </c>
      <c r="AJ1671" s="198" t="s">
        <v>163</v>
      </c>
      <c r="AK1671" s="198" t="s">
        <v>51</v>
      </c>
      <c r="AL1671" s="198" t="s">
        <v>67</v>
      </c>
      <c r="AM1671" s="198" t="s">
        <v>68</v>
      </c>
      <c r="AN1671" s="202">
        <v>470338983</v>
      </c>
      <c r="AO1671" s="202">
        <v>470338983</v>
      </c>
      <c r="AP1671" s="202">
        <v>470338983</v>
      </c>
      <c r="AQ1671" s="198" t="s">
        <v>358</v>
      </c>
      <c r="AR1671" s="198" t="s">
        <v>51</v>
      </c>
      <c r="AS1671" s="202">
        <v>470338983</v>
      </c>
      <c r="AT1671" s="202">
        <v>470338983</v>
      </c>
      <c r="AU1671" s="198" t="s">
        <v>359</v>
      </c>
      <c r="AV1671" s="198" t="s">
        <v>62</v>
      </c>
      <c r="AW1671" s="198" t="s">
        <v>771</v>
      </c>
    </row>
    <row r="1672" spans="3:49" outlineLevel="2" x14ac:dyDescent="0.25">
      <c r="C1672" s="201"/>
      <c r="D1672" s="198" t="s">
        <v>775</v>
      </c>
      <c r="H1672" s="198" t="s">
        <v>775</v>
      </c>
      <c r="I1672" s="202">
        <f t="shared" si="26"/>
        <v>694179792.44999993</v>
      </c>
      <c r="J1672" s="202">
        <v>168.1</v>
      </c>
      <c r="L1672" s="204">
        <v>1</v>
      </c>
      <c r="M1672" s="202">
        <v>470338983</v>
      </c>
      <c r="N1672" s="204">
        <v>1</v>
      </c>
      <c r="O1672" s="198" t="s">
        <v>51</v>
      </c>
      <c r="P1672" s="202">
        <v>470338983</v>
      </c>
      <c r="Q1672" s="198" t="s">
        <v>159</v>
      </c>
      <c r="R1672" s="198" t="s">
        <v>160</v>
      </c>
      <c r="S1672" s="198" t="s">
        <v>54</v>
      </c>
      <c r="T1672" s="198" t="s">
        <v>770</v>
      </c>
      <c r="U1672" s="198" t="s">
        <v>80</v>
      </c>
      <c r="V1672" s="198" t="s">
        <v>56</v>
      </c>
      <c r="W1672" s="198" t="s">
        <v>356</v>
      </c>
      <c r="X1672" s="198" t="s">
        <v>161</v>
      </c>
      <c r="Y1672" s="198" t="s">
        <v>162</v>
      </c>
      <c r="Z1672" s="201">
        <v>46477</v>
      </c>
      <c r="AA1672" s="198" t="s">
        <v>59</v>
      </c>
      <c r="AB1672" s="198" t="s">
        <v>60</v>
      </c>
      <c r="AC1672" s="198" t="s">
        <v>86</v>
      </c>
      <c r="AD1672" s="198" t="s">
        <v>62</v>
      </c>
      <c r="AE1672" s="198" t="s">
        <v>54</v>
      </c>
      <c r="AF1672" s="198" t="s">
        <v>54</v>
      </c>
      <c r="AG1672" s="198" t="s">
        <v>166</v>
      </c>
      <c r="AH1672" s="198" t="s">
        <v>274</v>
      </c>
      <c r="AI1672" s="198" t="s">
        <v>56</v>
      </c>
      <c r="AJ1672" s="198" t="s">
        <v>163</v>
      </c>
      <c r="AK1672" s="198" t="s">
        <v>51</v>
      </c>
      <c r="AL1672" s="198" t="s">
        <v>67</v>
      </c>
      <c r="AM1672" s="198" t="s">
        <v>68</v>
      </c>
      <c r="AN1672" s="202">
        <v>470338983</v>
      </c>
      <c r="AO1672" s="202">
        <v>470338983</v>
      </c>
      <c r="AP1672" s="202">
        <v>470338983</v>
      </c>
      <c r="AQ1672" s="198" t="s">
        <v>358</v>
      </c>
      <c r="AR1672" s="198" t="s">
        <v>51</v>
      </c>
      <c r="AS1672" s="202">
        <v>470338983</v>
      </c>
      <c r="AT1672" s="202">
        <v>470338983</v>
      </c>
      <c r="AU1672" s="198" t="s">
        <v>359</v>
      </c>
      <c r="AV1672" s="198" t="s">
        <v>62</v>
      </c>
      <c r="AW1672" s="198" t="s">
        <v>771</v>
      </c>
    </row>
    <row r="1673" spans="3:49" outlineLevel="2" x14ac:dyDescent="0.25">
      <c r="C1673" s="201"/>
      <c r="D1673" s="198" t="s">
        <v>775</v>
      </c>
      <c r="H1673" s="198" t="s">
        <v>775</v>
      </c>
      <c r="I1673" s="202">
        <f t="shared" si="26"/>
        <v>694592748.89999998</v>
      </c>
      <c r="J1673" s="202">
        <v>168.2</v>
      </c>
      <c r="L1673" s="204">
        <v>1</v>
      </c>
      <c r="M1673" s="202">
        <v>470338983</v>
      </c>
      <c r="N1673" s="204">
        <v>1</v>
      </c>
      <c r="O1673" s="198" t="s">
        <v>51</v>
      </c>
      <c r="P1673" s="202">
        <v>470338983</v>
      </c>
      <c r="Q1673" s="198" t="s">
        <v>159</v>
      </c>
      <c r="R1673" s="198" t="s">
        <v>160</v>
      </c>
      <c r="S1673" s="198" t="s">
        <v>54</v>
      </c>
      <c r="T1673" s="198" t="s">
        <v>770</v>
      </c>
      <c r="U1673" s="198" t="s">
        <v>80</v>
      </c>
      <c r="V1673" s="198" t="s">
        <v>56</v>
      </c>
      <c r="W1673" s="198" t="s">
        <v>356</v>
      </c>
      <c r="X1673" s="198" t="s">
        <v>161</v>
      </c>
      <c r="Y1673" s="198" t="s">
        <v>162</v>
      </c>
      <c r="Z1673" s="201">
        <v>46477</v>
      </c>
      <c r="AA1673" s="198" t="s">
        <v>59</v>
      </c>
      <c r="AB1673" s="198" t="s">
        <v>60</v>
      </c>
      <c r="AC1673" s="198" t="s">
        <v>86</v>
      </c>
      <c r="AD1673" s="198" t="s">
        <v>62</v>
      </c>
      <c r="AE1673" s="198" t="s">
        <v>54</v>
      </c>
      <c r="AF1673" s="198" t="s">
        <v>54</v>
      </c>
      <c r="AG1673" s="198" t="s">
        <v>166</v>
      </c>
      <c r="AH1673" s="198" t="s">
        <v>274</v>
      </c>
      <c r="AI1673" s="198" t="s">
        <v>56</v>
      </c>
      <c r="AJ1673" s="198" t="s">
        <v>163</v>
      </c>
      <c r="AK1673" s="198" t="s">
        <v>51</v>
      </c>
      <c r="AL1673" s="198" t="s">
        <v>67</v>
      </c>
      <c r="AM1673" s="198" t="s">
        <v>68</v>
      </c>
      <c r="AN1673" s="202">
        <v>470338983</v>
      </c>
      <c r="AO1673" s="202">
        <v>470338983</v>
      </c>
      <c r="AP1673" s="202">
        <v>470338983</v>
      </c>
      <c r="AQ1673" s="198" t="s">
        <v>358</v>
      </c>
      <c r="AR1673" s="198" t="s">
        <v>51</v>
      </c>
      <c r="AS1673" s="202">
        <v>470338983</v>
      </c>
      <c r="AT1673" s="202">
        <v>470338983</v>
      </c>
      <c r="AU1673" s="198" t="s">
        <v>359</v>
      </c>
      <c r="AV1673" s="198" t="s">
        <v>62</v>
      </c>
      <c r="AW1673" s="198" t="s">
        <v>771</v>
      </c>
    </row>
    <row r="1674" spans="3:49" outlineLevel="2" x14ac:dyDescent="0.25">
      <c r="C1674" s="201"/>
      <c r="D1674" s="198" t="s">
        <v>775</v>
      </c>
      <c r="H1674" s="198" t="s">
        <v>775</v>
      </c>
      <c r="I1674" s="202">
        <f t="shared" si="26"/>
        <v>695005705.35000002</v>
      </c>
      <c r="J1674" s="202">
        <v>168.3</v>
      </c>
      <c r="L1674" s="204">
        <v>1</v>
      </c>
      <c r="M1674" s="202">
        <v>940677966</v>
      </c>
      <c r="N1674" s="204">
        <v>1</v>
      </c>
      <c r="O1674" s="198" t="s">
        <v>51</v>
      </c>
      <c r="P1674" s="202">
        <v>940677966</v>
      </c>
      <c r="Q1674" s="198" t="s">
        <v>159</v>
      </c>
      <c r="R1674" s="198" t="s">
        <v>160</v>
      </c>
      <c r="S1674" s="198" t="s">
        <v>54</v>
      </c>
      <c r="T1674" s="198" t="s">
        <v>770</v>
      </c>
      <c r="U1674" s="198" t="s">
        <v>80</v>
      </c>
      <c r="V1674" s="198" t="s">
        <v>56</v>
      </c>
      <c r="W1674" s="198" t="s">
        <v>356</v>
      </c>
      <c r="X1674" s="198" t="s">
        <v>161</v>
      </c>
      <c r="Y1674" s="198" t="s">
        <v>162</v>
      </c>
      <c r="Z1674" s="201">
        <v>46477</v>
      </c>
      <c r="AA1674" s="198" t="s">
        <v>59</v>
      </c>
      <c r="AB1674" s="198" t="s">
        <v>60</v>
      </c>
      <c r="AC1674" s="198" t="s">
        <v>86</v>
      </c>
      <c r="AD1674" s="198" t="s">
        <v>62</v>
      </c>
      <c r="AE1674" s="198" t="s">
        <v>54</v>
      </c>
      <c r="AF1674" s="198" t="s">
        <v>54</v>
      </c>
      <c r="AG1674" s="198" t="s">
        <v>166</v>
      </c>
      <c r="AH1674" s="198" t="s">
        <v>274</v>
      </c>
      <c r="AI1674" s="198" t="s">
        <v>56</v>
      </c>
      <c r="AJ1674" s="198" t="s">
        <v>163</v>
      </c>
      <c r="AK1674" s="198" t="s">
        <v>51</v>
      </c>
      <c r="AL1674" s="198" t="s">
        <v>67</v>
      </c>
      <c r="AM1674" s="198" t="s">
        <v>68</v>
      </c>
      <c r="AN1674" s="202">
        <v>940677966</v>
      </c>
      <c r="AO1674" s="202">
        <v>940677966</v>
      </c>
      <c r="AP1674" s="202">
        <v>940677966</v>
      </c>
      <c r="AQ1674" s="198" t="s">
        <v>358</v>
      </c>
      <c r="AR1674" s="198" t="s">
        <v>51</v>
      </c>
      <c r="AS1674" s="202">
        <v>940677966</v>
      </c>
      <c r="AT1674" s="202">
        <v>940677966</v>
      </c>
      <c r="AU1674" s="198" t="s">
        <v>359</v>
      </c>
      <c r="AV1674" s="198" t="s">
        <v>62</v>
      </c>
      <c r="AW1674" s="198" t="s">
        <v>771</v>
      </c>
    </row>
    <row r="1675" spans="3:49" outlineLevel="2" x14ac:dyDescent="0.25">
      <c r="C1675" s="201"/>
      <c r="D1675" s="198" t="s">
        <v>775</v>
      </c>
      <c r="H1675" s="198" t="s">
        <v>775</v>
      </c>
      <c r="I1675" s="202">
        <f t="shared" si="26"/>
        <v>695418661.80000007</v>
      </c>
      <c r="J1675" s="202">
        <v>168.4</v>
      </c>
      <c r="L1675" s="204">
        <v>1</v>
      </c>
      <c r="M1675" s="202">
        <v>313559322</v>
      </c>
      <c r="N1675" s="204">
        <v>1</v>
      </c>
      <c r="O1675" s="198" t="s">
        <v>51</v>
      </c>
      <c r="P1675" s="202">
        <v>313559322</v>
      </c>
      <c r="Q1675" s="198" t="s">
        <v>159</v>
      </c>
      <c r="R1675" s="198" t="s">
        <v>160</v>
      </c>
      <c r="S1675" s="198" t="s">
        <v>54</v>
      </c>
      <c r="T1675" s="198" t="s">
        <v>770</v>
      </c>
      <c r="U1675" s="198" t="s">
        <v>80</v>
      </c>
      <c r="V1675" s="198" t="s">
        <v>56</v>
      </c>
      <c r="W1675" s="198" t="s">
        <v>356</v>
      </c>
      <c r="X1675" s="198" t="s">
        <v>161</v>
      </c>
      <c r="Y1675" s="198" t="s">
        <v>162</v>
      </c>
      <c r="Z1675" s="201">
        <v>46477</v>
      </c>
      <c r="AA1675" s="198" t="s">
        <v>59</v>
      </c>
      <c r="AB1675" s="198" t="s">
        <v>60</v>
      </c>
      <c r="AC1675" s="198" t="s">
        <v>86</v>
      </c>
      <c r="AD1675" s="198" t="s">
        <v>62</v>
      </c>
      <c r="AE1675" s="198" t="s">
        <v>54</v>
      </c>
      <c r="AF1675" s="198" t="s">
        <v>54</v>
      </c>
      <c r="AG1675" s="198" t="s">
        <v>166</v>
      </c>
      <c r="AH1675" s="198" t="s">
        <v>274</v>
      </c>
      <c r="AI1675" s="198" t="s">
        <v>56</v>
      </c>
      <c r="AJ1675" s="198" t="s">
        <v>163</v>
      </c>
      <c r="AK1675" s="198" t="s">
        <v>51</v>
      </c>
      <c r="AL1675" s="198" t="s">
        <v>67</v>
      </c>
      <c r="AM1675" s="198" t="s">
        <v>68</v>
      </c>
      <c r="AN1675" s="202">
        <v>313559322</v>
      </c>
      <c r="AO1675" s="202">
        <v>313559322</v>
      </c>
      <c r="AP1675" s="202">
        <v>313559322</v>
      </c>
      <c r="AQ1675" s="198" t="s">
        <v>358</v>
      </c>
      <c r="AR1675" s="198" t="s">
        <v>51</v>
      </c>
      <c r="AS1675" s="202">
        <v>313559322</v>
      </c>
      <c r="AT1675" s="202">
        <v>313559322</v>
      </c>
      <c r="AU1675" s="198" t="s">
        <v>359</v>
      </c>
      <c r="AV1675" s="198" t="s">
        <v>62</v>
      </c>
      <c r="AW1675" s="198" t="s">
        <v>771</v>
      </c>
    </row>
    <row r="1676" spans="3:49" outlineLevel="2" x14ac:dyDescent="0.25">
      <c r="C1676" s="201"/>
      <c r="D1676" s="198" t="s">
        <v>775</v>
      </c>
      <c r="H1676" s="198" t="s">
        <v>775</v>
      </c>
      <c r="I1676" s="202">
        <f t="shared" si="26"/>
        <v>695831618.25</v>
      </c>
      <c r="J1676" s="202">
        <v>168.5</v>
      </c>
      <c r="L1676" s="204">
        <v>1</v>
      </c>
      <c r="M1676" s="202">
        <v>313559322</v>
      </c>
      <c r="N1676" s="204">
        <v>1</v>
      </c>
      <c r="O1676" s="198" t="s">
        <v>51</v>
      </c>
      <c r="P1676" s="202">
        <v>313559322</v>
      </c>
      <c r="Q1676" s="198" t="s">
        <v>159</v>
      </c>
      <c r="R1676" s="198" t="s">
        <v>160</v>
      </c>
      <c r="S1676" s="198" t="s">
        <v>54</v>
      </c>
      <c r="T1676" s="198" t="s">
        <v>770</v>
      </c>
      <c r="U1676" s="198" t="s">
        <v>80</v>
      </c>
      <c r="V1676" s="198" t="s">
        <v>56</v>
      </c>
      <c r="W1676" s="198" t="s">
        <v>356</v>
      </c>
      <c r="X1676" s="198" t="s">
        <v>161</v>
      </c>
      <c r="Y1676" s="198" t="s">
        <v>162</v>
      </c>
      <c r="Z1676" s="201">
        <v>46477</v>
      </c>
      <c r="AA1676" s="198" t="s">
        <v>59</v>
      </c>
      <c r="AB1676" s="198" t="s">
        <v>60</v>
      </c>
      <c r="AC1676" s="198" t="s">
        <v>86</v>
      </c>
      <c r="AD1676" s="198" t="s">
        <v>62</v>
      </c>
      <c r="AE1676" s="198" t="s">
        <v>54</v>
      </c>
      <c r="AF1676" s="198" t="s">
        <v>54</v>
      </c>
      <c r="AG1676" s="198" t="s">
        <v>166</v>
      </c>
      <c r="AH1676" s="198" t="s">
        <v>274</v>
      </c>
      <c r="AI1676" s="198" t="s">
        <v>56</v>
      </c>
      <c r="AJ1676" s="198" t="s">
        <v>163</v>
      </c>
      <c r="AK1676" s="198" t="s">
        <v>51</v>
      </c>
      <c r="AL1676" s="198" t="s">
        <v>67</v>
      </c>
      <c r="AM1676" s="198" t="s">
        <v>68</v>
      </c>
      <c r="AN1676" s="202">
        <v>313559322</v>
      </c>
      <c r="AO1676" s="202">
        <v>313559322</v>
      </c>
      <c r="AP1676" s="202">
        <v>313559322</v>
      </c>
      <c r="AQ1676" s="198" t="s">
        <v>358</v>
      </c>
      <c r="AR1676" s="198" t="s">
        <v>51</v>
      </c>
      <c r="AS1676" s="202">
        <v>313559322</v>
      </c>
      <c r="AT1676" s="202">
        <v>313559322</v>
      </c>
      <c r="AU1676" s="198" t="s">
        <v>359</v>
      </c>
      <c r="AV1676" s="198" t="s">
        <v>62</v>
      </c>
      <c r="AW1676" s="198" t="s">
        <v>771</v>
      </c>
    </row>
    <row r="1677" spans="3:49" outlineLevel="2" x14ac:dyDescent="0.25">
      <c r="C1677" s="201"/>
      <c r="D1677" s="198" t="s">
        <v>276</v>
      </c>
      <c r="H1677" s="198" t="s">
        <v>276</v>
      </c>
      <c r="I1677" s="202">
        <f t="shared" si="26"/>
        <v>696244574.69999993</v>
      </c>
      <c r="J1677" s="202">
        <v>168.6</v>
      </c>
      <c r="L1677" s="204">
        <v>1</v>
      </c>
      <c r="M1677" s="202">
        <v>829549.44</v>
      </c>
      <c r="N1677" s="204">
        <v>0</v>
      </c>
      <c r="O1677" s="198" t="s">
        <v>51</v>
      </c>
      <c r="P1677" s="202">
        <v>166905.19</v>
      </c>
      <c r="Q1677" s="198" t="s">
        <v>159</v>
      </c>
      <c r="R1677" s="198" t="s">
        <v>160</v>
      </c>
      <c r="S1677" s="198" t="s">
        <v>54</v>
      </c>
      <c r="T1677" s="198" t="s">
        <v>774</v>
      </c>
      <c r="U1677" s="198" t="s">
        <v>364</v>
      </c>
      <c r="V1677" s="198" t="s">
        <v>56</v>
      </c>
      <c r="W1677" s="198" t="s">
        <v>356</v>
      </c>
      <c r="X1677" s="198" t="s">
        <v>161</v>
      </c>
      <c r="Y1677" s="198" t="s">
        <v>162</v>
      </c>
      <c r="Z1677" s="201">
        <v>46142</v>
      </c>
      <c r="AA1677" s="198" t="s">
        <v>59</v>
      </c>
      <c r="AB1677" s="198" t="s">
        <v>60</v>
      </c>
      <c r="AC1677" s="198" t="s">
        <v>86</v>
      </c>
      <c r="AD1677" s="198" t="s">
        <v>62</v>
      </c>
      <c r="AE1677" s="198" t="s">
        <v>54</v>
      </c>
      <c r="AF1677" s="198" t="s">
        <v>54</v>
      </c>
      <c r="AG1677" s="198" t="s">
        <v>56</v>
      </c>
      <c r="AH1677" s="198" t="s">
        <v>143</v>
      </c>
      <c r="AI1677" s="198" t="s">
        <v>56</v>
      </c>
      <c r="AJ1677" s="198" t="s">
        <v>163</v>
      </c>
      <c r="AK1677" s="198" t="s">
        <v>51</v>
      </c>
      <c r="AL1677" s="198" t="s">
        <v>67</v>
      </c>
      <c r="AM1677" s="198" t="s">
        <v>68</v>
      </c>
      <c r="AN1677" s="202">
        <v>829549.44</v>
      </c>
      <c r="AO1677" s="202">
        <v>829549.44</v>
      </c>
      <c r="AP1677" s="202">
        <v>829549.44</v>
      </c>
      <c r="AQ1677" s="198" t="s">
        <v>358</v>
      </c>
      <c r="AR1677" s="198" t="s">
        <v>51</v>
      </c>
      <c r="AS1677" s="202">
        <v>166905.19</v>
      </c>
      <c r="AT1677" s="202">
        <v>166905.19</v>
      </c>
      <c r="AU1677" s="198" t="s">
        <v>359</v>
      </c>
      <c r="AV1677" s="198" t="s">
        <v>62</v>
      </c>
      <c r="AW1677" s="198" t="s">
        <v>54</v>
      </c>
    </row>
    <row r="1678" spans="3:49" outlineLevel="2" x14ac:dyDescent="0.25">
      <c r="C1678" s="201"/>
      <c r="D1678" s="198" t="s">
        <v>776</v>
      </c>
      <c r="H1678" s="198" t="s">
        <v>776</v>
      </c>
      <c r="I1678" s="202">
        <f t="shared" si="26"/>
        <v>696657531.14999998</v>
      </c>
      <c r="J1678" s="202">
        <v>168.7</v>
      </c>
      <c r="L1678" s="204">
        <v>1</v>
      </c>
      <c r="M1678" s="202">
        <v>158898305.08000001</v>
      </c>
      <c r="N1678" s="204">
        <v>1</v>
      </c>
      <c r="O1678" s="198" t="s">
        <v>51</v>
      </c>
      <c r="P1678" s="202">
        <v>158898305.08000001</v>
      </c>
      <c r="Q1678" s="198" t="s">
        <v>159</v>
      </c>
      <c r="R1678" s="198" t="s">
        <v>160</v>
      </c>
      <c r="S1678" s="198" t="s">
        <v>54</v>
      </c>
      <c r="T1678" s="198" t="s">
        <v>770</v>
      </c>
      <c r="U1678" s="198" t="s">
        <v>80</v>
      </c>
      <c r="V1678" s="198" t="s">
        <v>56</v>
      </c>
      <c r="W1678" s="198" t="s">
        <v>356</v>
      </c>
      <c r="X1678" s="198" t="s">
        <v>161</v>
      </c>
      <c r="Y1678" s="198" t="s">
        <v>162</v>
      </c>
      <c r="Z1678" s="201">
        <v>46477</v>
      </c>
      <c r="AA1678" s="198" t="s">
        <v>59</v>
      </c>
      <c r="AB1678" s="198" t="s">
        <v>60</v>
      </c>
      <c r="AC1678" s="198" t="s">
        <v>86</v>
      </c>
      <c r="AD1678" s="198" t="s">
        <v>62</v>
      </c>
      <c r="AE1678" s="198" t="s">
        <v>54</v>
      </c>
      <c r="AF1678" s="198" t="s">
        <v>54</v>
      </c>
      <c r="AG1678" s="198" t="s">
        <v>166</v>
      </c>
      <c r="AH1678" s="198" t="s">
        <v>148</v>
      </c>
      <c r="AI1678" s="198" t="s">
        <v>56</v>
      </c>
      <c r="AJ1678" s="198" t="s">
        <v>163</v>
      </c>
      <c r="AK1678" s="198" t="s">
        <v>51</v>
      </c>
      <c r="AL1678" s="198" t="s">
        <v>67</v>
      </c>
      <c r="AM1678" s="198" t="s">
        <v>68</v>
      </c>
      <c r="AN1678" s="202">
        <v>158898305.08000001</v>
      </c>
      <c r="AO1678" s="202">
        <v>158898305.08000001</v>
      </c>
      <c r="AP1678" s="202">
        <v>158898305.08000001</v>
      </c>
      <c r="AQ1678" s="198" t="s">
        <v>358</v>
      </c>
      <c r="AR1678" s="198" t="s">
        <v>51</v>
      </c>
      <c r="AS1678" s="202">
        <v>158898305.08000001</v>
      </c>
      <c r="AT1678" s="202">
        <v>158898305.08000001</v>
      </c>
      <c r="AU1678" s="198" t="s">
        <v>359</v>
      </c>
      <c r="AV1678" s="198" t="s">
        <v>62</v>
      </c>
      <c r="AW1678" s="198" t="s">
        <v>771</v>
      </c>
    </row>
    <row r="1679" spans="3:49" outlineLevel="2" x14ac:dyDescent="0.25">
      <c r="C1679" s="201"/>
      <c r="D1679" s="198" t="s">
        <v>776</v>
      </c>
      <c r="H1679" s="198" t="s">
        <v>776</v>
      </c>
      <c r="I1679" s="202">
        <f t="shared" si="26"/>
        <v>697070487.60000002</v>
      </c>
      <c r="J1679" s="202">
        <v>168.8</v>
      </c>
      <c r="L1679" s="204">
        <v>1</v>
      </c>
      <c r="M1679" s="202">
        <v>158898305.08000001</v>
      </c>
      <c r="N1679" s="204">
        <v>1</v>
      </c>
      <c r="O1679" s="198" t="s">
        <v>51</v>
      </c>
      <c r="P1679" s="202">
        <v>158898305.08000001</v>
      </c>
      <c r="Q1679" s="198" t="s">
        <v>159</v>
      </c>
      <c r="R1679" s="198" t="s">
        <v>160</v>
      </c>
      <c r="S1679" s="198" t="s">
        <v>54</v>
      </c>
      <c r="T1679" s="198" t="s">
        <v>770</v>
      </c>
      <c r="U1679" s="198" t="s">
        <v>80</v>
      </c>
      <c r="V1679" s="198" t="s">
        <v>56</v>
      </c>
      <c r="W1679" s="198" t="s">
        <v>356</v>
      </c>
      <c r="X1679" s="198" t="s">
        <v>161</v>
      </c>
      <c r="Y1679" s="198" t="s">
        <v>162</v>
      </c>
      <c r="Z1679" s="201">
        <v>46477</v>
      </c>
      <c r="AA1679" s="198" t="s">
        <v>59</v>
      </c>
      <c r="AB1679" s="198" t="s">
        <v>60</v>
      </c>
      <c r="AC1679" s="198" t="s">
        <v>86</v>
      </c>
      <c r="AD1679" s="198" t="s">
        <v>62</v>
      </c>
      <c r="AE1679" s="198" t="s">
        <v>54</v>
      </c>
      <c r="AF1679" s="198" t="s">
        <v>54</v>
      </c>
      <c r="AG1679" s="198" t="s">
        <v>166</v>
      </c>
      <c r="AH1679" s="198" t="s">
        <v>148</v>
      </c>
      <c r="AI1679" s="198" t="s">
        <v>56</v>
      </c>
      <c r="AJ1679" s="198" t="s">
        <v>163</v>
      </c>
      <c r="AK1679" s="198" t="s">
        <v>51</v>
      </c>
      <c r="AL1679" s="198" t="s">
        <v>67</v>
      </c>
      <c r="AM1679" s="198" t="s">
        <v>68</v>
      </c>
      <c r="AN1679" s="202">
        <v>158898305.08000001</v>
      </c>
      <c r="AO1679" s="202">
        <v>158898305.08000001</v>
      </c>
      <c r="AP1679" s="202">
        <v>158898305.08000001</v>
      </c>
      <c r="AQ1679" s="198" t="s">
        <v>358</v>
      </c>
      <c r="AR1679" s="198" t="s">
        <v>51</v>
      </c>
      <c r="AS1679" s="202">
        <v>158898305.08000001</v>
      </c>
      <c r="AT1679" s="202">
        <v>158898305.08000001</v>
      </c>
      <c r="AU1679" s="198" t="s">
        <v>359</v>
      </c>
      <c r="AV1679" s="198" t="s">
        <v>62</v>
      </c>
      <c r="AW1679" s="198" t="s">
        <v>771</v>
      </c>
    </row>
    <row r="1680" spans="3:49" outlineLevel="2" x14ac:dyDescent="0.25">
      <c r="C1680" s="201"/>
      <c r="D1680" s="198" t="s">
        <v>776</v>
      </c>
      <c r="H1680" s="198" t="s">
        <v>776</v>
      </c>
      <c r="I1680" s="202">
        <f t="shared" si="26"/>
        <v>697483444.05000007</v>
      </c>
      <c r="J1680" s="202">
        <v>168.9</v>
      </c>
      <c r="L1680" s="204">
        <v>1</v>
      </c>
      <c r="M1680" s="202">
        <v>158898305.08000001</v>
      </c>
      <c r="N1680" s="204">
        <v>1</v>
      </c>
      <c r="O1680" s="198" t="s">
        <v>51</v>
      </c>
      <c r="P1680" s="202">
        <v>158898305.08000001</v>
      </c>
      <c r="Q1680" s="198" t="s">
        <v>159</v>
      </c>
      <c r="R1680" s="198" t="s">
        <v>160</v>
      </c>
      <c r="S1680" s="198" t="s">
        <v>54</v>
      </c>
      <c r="T1680" s="198" t="s">
        <v>770</v>
      </c>
      <c r="U1680" s="198" t="s">
        <v>80</v>
      </c>
      <c r="V1680" s="198" t="s">
        <v>56</v>
      </c>
      <c r="W1680" s="198" t="s">
        <v>356</v>
      </c>
      <c r="X1680" s="198" t="s">
        <v>161</v>
      </c>
      <c r="Y1680" s="198" t="s">
        <v>162</v>
      </c>
      <c r="Z1680" s="201">
        <v>46477</v>
      </c>
      <c r="AA1680" s="198" t="s">
        <v>59</v>
      </c>
      <c r="AB1680" s="198" t="s">
        <v>60</v>
      </c>
      <c r="AC1680" s="198" t="s">
        <v>86</v>
      </c>
      <c r="AD1680" s="198" t="s">
        <v>62</v>
      </c>
      <c r="AE1680" s="198" t="s">
        <v>54</v>
      </c>
      <c r="AF1680" s="198" t="s">
        <v>54</v>
      </c>
      <c r="AG1680" s="198" t="s">
        <v>166</v>
      </c>
      <c r="AH1680" s="198" t="s">
        <v>148</v>
      </c>
      <c r="AI1680" s="198" t="s">
        <v>56</v>
      </c>
      <c r="AJ1680" s="198" t="s">
        <v>163</v>
      </c>
      <c r="AK1680" s="198" t="s">
        <v>51</v>
      </c>
      <c r="AL1680" s="198" t="s">
        <v>67</v>
      </c>
      <c r="AM1680" s="198" t="s">
        <v>68</v>
      </c>
      <c r="AN1680" s="202">
        <v>158898305.08000001</v>
      </c>
      <c r="AO1680" s="202">
        <v>158898305.08000001</v>
      </c>
      <c r="AP1680" s="202">
        <v>158898305.08000001</v>
      </c>
      <c r="AQ1680" s="198" t="s">
        <v>358</v>
      </c>
      <c r="AR1680" s="198" t="s">
        <v>51</v>
      </c>
      <c r="AS1680" s="202">
        <v>158898305.08000001</v>
      </c>
      <c r="AT1680" s="202">
        <v>158898305.08000001</v>
      </c>
      <c r="AU1680" s="198" t="s">
        <v>359</v>
      </c>
      <c r="AV1680" s="198" t="s">
        <v>62</v>
      </c>
      <c r="AW1680" s="198" t="s">
        <v>771</v>
      </c>
    </row>
    <row r="1681" spans="3:49" outlineLevel="2" x14ac:dyDescent="0.25">
      <c r="C1681" s="201"/>
      <c r="D1681" s="198" t="s">
        <v>776</v>
      </c>
      <c r="H1681" s="198" t="s">
        <v>776</v>
      </c>
      <c r="I1681" s="202">
        <f t="shared" si="26"/>
        <v>697896400.5</v>
      </c>
      <c r="J1681" s="202">
        <v>169</v>
      </c>
      <c r="L1681" s="204">
        <v>1</v>
      </c>
      <c r="M1681" s="202">
        <v>317796610.17000002</v>
      </c>
      <c r="N1681" s="204">
        <v>1</v>
      </c>
      <c r="O1681" s="198" t="s">
        <v>51</v>
      </c>
      <c r="P1681" s="202">
        <v>317796610.17000002</v>
      </c>
      <c r="Q1681" s="198" t="s">
        <v>159</v>
      </c>
      <c r="R1681" s="198" t="s">
        <v>160</v>
      </c>
      <c r="S1681" s="198" t="s">
        <v>54</v>
      </c>
      <c r="T1681" s="198" t="s">
        <v>770</v>
      </c>
      <c r="U1681" s="198" t="s">
        <v>80</v>
      </c>
      <c r="V1681" s="198" t="s">
        <v>56</v>
      </c>
      <c r="W1681" s="198" t="s">
        <v>356</v>
      </c>
      <c r="X1681" s="198" t="s">
        <v>161</v>
      </c>
      <c r="Y1681" s="198" t="s">
        <v>162</v>
      </c>
      <c r="Z1681" s="201">
        <v>46477</v>
      </c>
      <c r="AA1681" s="198" t="s">
        <v>59</v>
      </c>
      <c r="AB1681" s="198" t="s">
        <v>60</v>
      </c>
      <c r="AC1681" s="198" t="s">
        <v>86</v>
      </c>
      <c r="AD1681" s="198" t="s">
        <v>62</v>
      </c>
      <c r="AE1681" s="198" t="s">
        <v>54</v>
      </c>
      <c r="AF1681" s="198" t="s">
        <v>54</v>
      </c>
      <c r="AG1681" s="198" t="s">
        <v>166</v>
      </c>
      <c r="AH1681" s="198" t="s">
        <v>148</v>
      </c>
      <c r="AI1681" s="198" t="s">
        <v>56</v>
      </c>
      <c r="AJ1681" s="198" t="s">
        <v>163</v>
      </c>
      <c r="AK1681" s="198" t="s">
        <v>51</v>
      </c>
      <c r="AL1681" s="198" t="s">
        <v>67</v>
      </c>
      <c r="AM1681" s="198" t="s">
        <v>68</v>
      </c>
      <c r="AN1681" s="202">
        <v>317796610.17000002</v>
      </c>
      <c r="AO1681" s="202">
        <v>317796610.17000002</v>
      </c>
      <c r="AP1681" s="202">
        <v>317796610.17000002</v>
      </c>
      <c r="AQ1681" s="198" t="s">
        <v>358</v>
      </c>
      <c r="AR1681" s="198" t="s">
        <v>51</v>
      </c>
      <c r="AS1681" s="202">
        <v>317796610.17000002</v>
      </c>
      <c r="AT1681" s="202">
        <v>317796610.17000002</v>
      </c>
      <c r="AU1681" s="198" t="s">
        <v>359</v>
      </c>
      <c r="AV1681" s="198" t="s">
        <v>62</v>
      </c>
      <c r="AW1681" s="198" t="s">
        <v>771</v>
      </c>
    </row>
    <row r="1682" spans="3:49" outlineLevel="2" x14ac:dyDescent="0.25">
      <c r="C1682" s="201"/>
      <c r="D1682" s="198" t="s">
        <v>776</v>
      </c>
      <c r="H1682" s="198" t="s">
        <v>776</v>
      </c>
      <c r="I1682" s="202">
        <f t="shared" si="26"/>
        <v>698309356.94999993</v>
      </c>
      <c r="J1682" s="202">
        <v>169.1</v>
      </c>
      <c r="L1682" s="204">
        <v>1</v>
      </c>
      <c r="M1682" s="202">
        <v>105932203.39</v>
      </c>
      <c r="N1682" s="204">
        <v>1</v>
      </c>
      <c r="O1682" s="198" t="s">
        <v>51</v>
      </c>
      <c r="P1682" s="202">
        <v>105932203.39</v>
      </c>
      <c r="Q1682" s="198" t="s">
        <v>159</v>
      </c>
      <c r="R1682" s="198" t="s">
        <v>160</v>
      </c>
      <c r="S1682" s="198" t="s">
        <v>54</v>
      </c>
      <c r="T1682" s="198" t="s">
        <v>770</v>
      </c>
      <c r="U1682" s="198" t="s">
        <v>80</v>
      </c>
      <c r="V1682" s="198" t="s">
        <v>56</v>
      </c>
      <c r="W1682" s="198" t="s">
        <v>356</v>
      </c>
      <c r="X1682" s="198" t="s">
        <v>161</v>
      </c>
      <c r="Y1682" s="198" t="s">
        <v>162</v>
      </c>
      <c r="Z1682" s="201">
        <v>46477</v>
      </c>
      <c r="AA1682" s="198" t="s">
        <v>59</v>
      </c>
      <c r="AB1682" s="198" t="s">
        <v>60</v>
      </c>
      <c r="AC1682" s="198" t="s">
        <v>86</v>
      </c>
      <c r="AD1682" s="198" t="s">
        <v>62</v>
      </c>
      <c r="AE1682" s="198" t="s">
        <v>54</v>
      </c>
      <c r="AF1682" s="198" t="s">
        <v>54</v>
      </c>
      <c r="AG1682" s="198" t="s">
        <v>166</v>
      </c>
      <c r="AH1682" s="198" t="s">
        <v>148</v>
      </c>
      <c r="AI1682" s="198" t="s">
        <v>56</v>
      </c>
      <c r="AJ1682" s="198" t="s">
        <v>163</v>
      </c>
      <c r="AK1682" s="198" t="s">
        <v>51</v>
      </c>
      <c r="AL1682" s="198" t="s">
        <v>67</v>
      </c>
      <c r="AM1682" s="198" t="s">
        <v>68</v>
      </c>
      <c r="AN1682" s="202">
        <v>105932203.39</v>
      </c>
      <c r="AO1682" s="202">
        <v>105932203.39</v>
      </c>
      <c r="AP1682" s="202">
        <v>105932203.39</v>
      </c>
      <c r="AQ1682" s="198" t="s">
        <v>358</v>
      </c>
      <c r="AR1682" s="198" t="s">
        <v>51</v>
      </c>
      <c r="AS1682" s="202">
        <v>105932203.39</v>
      </c>
      <c r="AT1682" s="202">
        <v>105932203.39</v>
      </c>
      <c r="AU1682" s="198" t="s">
        <v>359</v>
      </c>
      <c r="AV1682" s="198" t="s">
        <v>62</v>
      </c>
      <c r="AW1682" s="198" t="s">
        <v>771</v>
      </c>
    </row>
    <row r="1683" spans="3:49" outlineLevel="2" x14ac:dyDescent="0.25">
      <c r="C1683" s="201"/>
      <c r="D1683" s="198" t="s">
        <v>776</v>
      </c>
      <c r="H1683" s="198" t="s">
        <v>776</v>
      </c>
      <c r="I1683" s="202">
        <f t="shared" si="26"/>
        <v>698722313.39999998</v>
      </c>
      <c r="J1683" s="202">
        <v>169.2</v>
      </c>
      <c r="L1683" s="204">
        <v>1</v>
      </c>
      <c r="M1683" s="202">
        <v>105932203.39</v>
      </c>
      <c r="N1683" s="204">
        <v>1</v>
      </c>
      <c r="O1683" s="198" t="s">
        <v>51</v>
      </c>
      <c r="P1683" s="202">
        <v>105932203.39</v>
      </c>
      <c r="Q1683" s="198" t="s">
        <v>159</v>
      </c>
      <c r="R1683" s="198" t="s">
        <v>160</v>
      </c>
      <c r="S1683" s="198" t="s">
        <v>54</v>
      </c>
      <c r="T1683" s="198" t="s">
        <v>770</v>
      </c>
      <c r="U1683" s="198" t="s">
        <v>80</v>
      </c>
      <c r="V1683" s="198" t="s">
        <v>56</v>
      </c>
      <c r="W1683" s="198" t="s">
        <v>356</v>
      </c>
      <c r="X1683" s="198" t="s">
        <v>161</v>
      </c>
      <c r="Y1683" s="198" t="s">
        <v>162</v>
      </c>
      <c r="Z1683" s="201">
        <v>46477</v>
      </c>
      <c r="AA1683" s="198" t="s">
        <v>59</v>
      </c>
      <c r="AB1683" s="198" t="s">
        <v>60</v>
      </c>
      <c r="AC1683" s="198" t="s">
        <v>86</v>
      </c>
      <c r="AD1683" s="198" t="s">
        <v>62</v>
      </c>
      <c r="AE1683" s="198" t="s">
        <v>54</v>
      </c>
      <c r="AF1683" s="198" t="s">
        <v>54</v>
      </c>
      <c r="AG1683" s="198" t="s">
        <v>166</v>
      </c>
      <c r="AH1683" s="198" t="s">
        <v>148</v>
      </c>
      <c r="AI1683" s="198" t="s">
        <v>56</v>
      </c>
      <c r="AJ1683" s="198" t="s">
        <v>163</v>
      </c>
      <c r="AK1683" s="198" t="s">
        <v>51</v>
      </c>
      <c r="AL1683" s="198" t="s">
        <v>67</v>
      </c>
      <c r="AM1683" s="198" t="s">
        <v>68</v>
      </c>
      <c r="AN1683" s="202">
        <v>105932203.39</v>
      </c>
      <c r="AO1683" s="202">
        <v>105932203.39</v>
      </c>
      <c r="AP1683" s="202">
        <v>105932203.39</v>
      </c>
      <c r="AQ1683" s="198" t="s">
        <v>358</v>
      </c>
      <c r="AR1683" s="198" t="s">
        <v>51</v>
      </c>
      <c r="AS1683" s="202">
        <v>105932203.39</v>
      </c>
      <c r="AT1683" s="202">
        <v>105932203.39</v>
      </c>
      <c r="AU1683" s="198" t="s">
        <v>359</v>
      </c>
      <c r="AV1683" s="198" t="s">
        <v>62</v>
      </c>
      <c r="AW1683" s="198" t="s">
        <v>771</v>
      </c>
    </row>
    <row r="1684" spans="3:49" outlineLevel="2" x14ac:dyDescent="0.25">
      <c r="C1684" s="201"/>
      <c r="D1684" s="198" t="s">
        <v>777</v>
      </c>
      <c r="H1684" s="198" t="s">
        <v>777</v>
      </c>
      <c r="I1684" s="202">
        <f t="shared" si="26"/>
        <v>699135269.85000002</v>
      </c>
      <c r="J1684" s="202">
        <v>169.3</v>
      </c>
      <c r="L1684" s="204">
        <v>1</v>
      </c>
      <c r="M1684" s="202">
        <v>222457627.12</v>
      </c>
      <c r="N1684" s="204">
        <v>1</v>
      </c>
      <c r="O1684" s="198" t="s">
        <v>51</v>
      </c>
      <c r="P1684" s="202">
        <v>222457627.12</v>
      </c>
      <c r="Q1684" s="198" t="s">
        <v>159</v>
      </c>
      <c r="R1684" s="198" t="s">
        <v>160</v>
      </c>
      <c r="S1684" s="198" t="s">
        <v>54</v>
      </c>
      <c r="T1684" s="198" t="s">
        <v>770</v>
      </c>
      <c r="U1684" s="198" t="s">
        <v>277</v>
      </c>
      <c r="V1684" s="198" t="s">
        <v>56</v>
      </c>
      <c r="W1684" s="198" t="s">
        <v>356</v>
      </c>
      <c r="X1684" s="198" t="s">
        <v>161</v>
      </c>
      <c r="Y1684" s="198" t="s">
        <v>162</v>
      </c>
      <c r="Z1684" s="201">
        <v>46477</v>
      </c>
      <c r="AA1684" s="198" t="s">
        <v>59</v>
      </c>
      <c r="AB1684" s="198" t="s">
        <v>60</v>
      </c>
      <c r="AC1684" s="198" t="s">
        <v>86</v>
      </c>
      <c r="AD1684" s="198" t="s">
        <v>62</v>
      </c>
      <c r="AE1684" s="198" t="s">
        <v>54</v>
      </c>
      <c r="AF1684" s="198" t="s">
        <v>54</v>
      </c>
      <c r="AG1684" s="198" t="s">
        <v>166</v>
      </c>
      <c r="AH1684" s="198" t="s">
        <v>156</v>
      </c>
      <c r="AI1684" s="198" t="s">
        <v>56</v>
      </c>
      <c r="AJ1684" s="198" t="s">
        <v>163</v>
      </c>
      <c r="AK1684" s="198" t="s">
        <v>51</v>
      </c>
      <c r="AL1684" s="198" t="s">
        <v>67</v>
      </c>
      <c r="AM1684" s="198" t="s">
        <v>68</v>
      </c>
      <c r="AN1684" s="202">
        <v>222457627.12</v>
      </c>
      <c r="AO1684" s="202">
        <v>222457627.12</v>
      </c>
      <c r="AP1684" s="202">
        <v>222457627.12</v>
      </c>
      <c r="AQ1684" s="198" t="s">
        <v>358</v>
      </c>
      <c r="AR1684" s="198" t="s">
        <v>51</v>
      </c>
      <c r="AS1684" s="202">
        <v>222457627.12</v>
      </c>
      <c r="AT1684" s="202">
        <v>222457627.12</v>
      </c>
      <c r="AU1684" s="198" t="s">
        <v>359</v>
      </c>
      <c r="AV1684" s="198" t="s">
        <v>62</v>
      </c>
      <c r="AW1684" s="198" t="s">
        <v>771</v>
      </c>
    </row>
    <row r="1685" spans="3:49" outlineLevel="2" x14ac:dyDescent="0.25">
      <c r="C1685" s="201"/>
      <c r="D1685" s="198" t="s">
        <v>777</v>
      </c>
      <c r="H1685" s="198" t="s">
        <v>777</v>
      </c>
      <c r="I1685" s="202">
        <f t="shared" si="26"/>
        <v>699548226.30000007</v>
      </c>
      <c r="J1685" s="202">
        <v>169.4</v>
      </c>
      <c r="L1685" s="204">
        <v>1</v>
      </c>
      <c r="M1685" s="202">
        <v>222457627.12</v>
      </c>
      <c r="N1685" s="204">
        <v>1</v>
      </c>
      <c r="O1685" s="198" t="s">
        <v>51</v>
      </c>
      <c r="P1685" s="202">
        <v>222457627.12</v>
      </c>
      <c r="Q1685" s="198" t="s">
        <v>159</v>
      </c>
      <c r="R1685" s="198" t="s">
        <v>160</v>
      </c>
      <c r="S1685" s="198" t="s">
        <v>54</v>
      </c>
      <c r="T1685" s="198" t="s">
        <v>770</v>
      </c>
      <c r="U1685" s="198" t="s">
        <v>277</v>
      </c>
      <c r="V1685" s="198" t="s">
        <v>56</v>
      </c>
      <c r="W1685" s="198" t="s">
        <v>356</v>
      </c>
      <c r="X1685" s="198" t="s">
        <v>161</v>
      </c>
      <c r="Y1685" s="198" t="s">
        <v>162</v>
      </c>
      <c r="Z1685" s="201">
        <v>46477</v>
      </c>
      <c r="AA1685" s="198" t="s">
        <v>59</v>
      </c>
      <c r="AB1685" s="198" t="s">
        <v>60</v>
      </c>
      <c r="AC1685" s="198" t="s">
        <v>86</v>
      </c>
      <c r="AD1685" s="198" t="s">
        <v>62</v>
      </c>
      <c r="AE1685" s="198" t="s">
        <v>54</v>
      </c>
      <c r="AF1685" s="198" t="s">
        <v>54</v>
      </c>
      <c r="AG1685" s="198" t="s">
        <v>166</v>
      </c>
      <c r="AH1685" s="198" t="s">
        <v>156</v>
      </c>
      <c r="AI1685" s="198" t="s">
        <v>56</v>
      </c>
      <c r="AJ1685" s="198" t="s">
        <v>163</v>
      </c>
      <c r="AK1685" s="198" t="s">
        <v>51</v>
      </c>
      <c r="AL1685" s="198" t="s">
        <v>67</v>
      </c>
      <c r="AM1685" s="198" t="s">
        <v>68</v>
      </c>
      <c r="AN1685" s="202">
        <v>222457627.12</v>
      </c>
      <c r="AO1685" s="202">
        <v>222457627.12</v>
      </c>
      <c r="AP1685" s="202">
        <v>222457627.12</v>
      </c>
      <c r="AQ1685" s="198" t="s">
        <v>358</v>
      </c>
      <c r="AR1685" s="198" t="s">
        <v>51</v>
      </c>
      <c r="AS1685" s="202">
        <v>222457627.12</v>
      </c>
      <c r="AT1685" s="202">
        <v>222457627.12</v>
      </c>
      <c r="AU1685" s="198" t="s">
        <v>359</v>
      </c>
      <c r="AV1685" s="198" t="s">
        <v>62</v>
      </c>
      <c r="AW1685" s="198" t="s">
        <v>771</v>
      </c>
    </row>
    <row r="1686" spans="3:49" outlineLevel="2" x14ac:dyDescent="0.25">
      <c r="C1686" s="201"/>
      <c r="D1686" s="198" t="s">
        <v>777</v>
      </c>
      <c r="H1686" s="198" t="s">
        <v>777</v>
      </c>
      <c r="I1686" s="202">
        <f t="shared" si="26"/>
        <v>699961182.75</v>
      </c>
      <c r="J1686" s="202">
        <v>169.5</v>
      </c>
      <c r="L1686" s="204">
        <v>1</v>
      </c>
      <c r="M1686" s="202">
        <v>222457627.12</v>
      </c>
      <c r="N1686" s="204">
        <v>1</v>
      </c>
      <c r="O1686" s="198" t="s">
        <v>51</v>
      </c>
      <c r="P1686" s="202">
        <v>222457627.12</v>
      </c>
      <c r="Q1686" s="198" t="s">
        <v>159</v>
      </c>
      <c r="R1686" s="198" t="s">
        <v>160</v>
      </c>
      <c r="S1686" s="198" t="s">
        <v>54</v>
      </c>
      <c r="T1686" s="198" t="s">
        <v>770</v>
      </c>
      <c r="U1686" s="198" t="s">
        <v>277</v>
      </c>
      <c r="V1686" s="198" t="s">
        <v>56</v>
      </c>
      <c r="W1686" s="198" t="s">
        <v>356</v>
      </c>
      <c r="X1686" s="198" t="s">
        <v>161</v>
      </c>
      <c r="Y1686" s="198" t="s">
        <v>162</v>
      </c>
      <c r="Z1686" s="201">
        <v>46477</v>
      </c>
      <c r="AA1686" s="198" t="s">
        <v>59</v>
      </c>
      <c r="AB1686" s="198" t="s">
        <v>60</v>
      </c>
      <c r="AC1686" s="198" t="s">
        <v>86</v>
      </c>
      <c r="AD1686" s="198" t="s">
        <v>62</v>
      </c>
      <c r="AE1686" s="198" t="s">
        <v>54</v>
      </c>
      <c r="AF1686" s="198" t="s">
        <v>54</v>
      </c>
      <c r="AG1686" s="198" t="s">
        <v>166</v>
      </c>
      <c r="AH1686" s="198" t="s">
        <v>156</v>
      </c>
      <c r="AI1686" s="198" t="s">
        <v>56</v>
      </c>
      <c r="AJ1686" s="198" t="s">
        <v>163</v>
      </c>
      <c r="AK1686" s="198" t="s">
        <v>51</v>
      </c>
      <c r="AL1686" s="198" t="s">
        <v>67</v>
      </c>
      <c r="AM1686" s="198" t="s">
        <v>68</v>
      </c>
      <c r="AN1686" s="202">
        <v>222457627.12</v>
      </c>
      <c r="AO1686" s="202">
        <v>222457627.12</v>
      </c>
      <c r="AP1686" s="202">
        <v>222457627.12</v>
      </c>
      <c r="AQ1686" s="198" t="s">
        <v>358</v>
      </c>
      <c r="AR1686" s="198" t="s">
        <v>51</v>
      </c>
      <c r="AS1686" s="202">
        <v>222457627.12</v>
      </c>
      <c r="AT1686" s="202">
        <v>222457627.12</v>
      </c>
      <c r="AU1686" s="198" t="s">
        <v>359</v>
      </c>
      <c r="AV1686" s="198" t="s">
        <v>62</v>
      </c>
      <c r="AW1686" s="198" t="s">
        <v>771</v>
      </c>
    </row>
    <row r="1687" spans="3:49" outlineLevel="2" x14ac:dyDescent="0.25">
      <c r="C1687" s="201"/>
      <c r="D1687" s="198" t="s">
        <v>777</v>
      </c>
      <c r="H1687" s="198" t="s">
        <v>777</v>
      </c>
      <c r="I1687" s="202">
        <f t="shared" si="26"/>
        <v>700374139.19999993</v>
      </c>
      <c r="J1687" s="202">
        <v>169.6</v>
      </c>
      <c r="L1687" s="204">
        <v>1</v>
      </c>
      <c r="M1687" s="202">
        <v>444915254.24000001</v>
      </c>
      <c r="N1687" s="204">
        <v>1</v>
      </c>
      <c r="O1687" s="198" t="s">
        <v>51</v>
      </c>
      <c r="P1687" s="202">
        <v>444915254.24000001</v>
      </c>
      <c r="Q1687" s="198" t="s">
        <v>159</v>
      </c>
      <c r="R1687" s="198" t="s">
        <v>160</v>
      </c>
      <c r="S1687" s="198" t="s">
        <v>54</v>
      </c>
      <c r="T1687" s="198" t="s">
        <v>770</v>
      </c>
      <c r="U1687" s="198" t="s">
        <v>277</v>
      </c>
      <c r="V1687" s="198" t="s">
        <v>56</v>
      </c>
      <c r="W1687" s="198" t="s">
        <v>356</v>
      </c>
      <c r="X1687" s="198" t="s">
        <v>161</v>
      </c>
      <c r="Y1687" s="198" t="s">
        <v>162</v>
      </c>
      <c r="Z1687" s="201">
        <v>46477</v>
      </c>
      <c r="AA1687" s="198" t="s">
        <v>59</v>
      </c>
      <c r="AB1687" s="198" t="s">
        <v>60</v>
      </c>
      <c r="AC1687" s="198" t="s">
        <v>86</v>
      </c>
      <c r="AD1687" s="198" t="s">
        <v>62</v>
      </c>
      <c r="AE1687" s="198" t="s">
        <v>54</v>
      </c>
      <c r="AF1687" s="198" t="s">
        <v>54</v>
      </c>
      <c r="AG1687" s="198" t="s">
        <v>166</v>
      </c>
      <c r="AH1687" s="198" t="s">
        <v>156</v>
      </c>
      <c r="AI1687" s="198" t="s">
        <v>56</v>
      </c>
      <c r="AJ1687" s="198" t="s">
        <v>163</v>
      </c>
      <c r="AK1687" s="198" t="s">
        <v>51</v>
      </c>
      <c r="AL1687" s="198" t="s">
        <v>67</v>
      </c>
      <c r="AM1687" s="198" t="s">
        <v>68</v>
      </c>
      <c r="AN1687" s="202">
        <v>444915254.24000001</v>
      </c>
      <c r="AO1687" s="202">
        <v>444915254.24000001</v>
      </c>
      <c r="AP1687" s="202">
        <v>444915254.24000001</v>
      </c>
      <c r="AQ1687" s="198" t="s">
        <v>358</v>
      </c>
      <c r="AR1687" s="198" t="s">
        <v>51</v>
      </c>
      <c r="AS1687" s="202">
        <v>444915254.24000001</v>
      </c>
      <c r="AT1687" s="202">
        <v>444915254.24000001</v>
      </c>
      <c r="AU1687" s="198" t="s">
        <v>359</v>
      </c>
      <c r="AV1687" s="198" t="s">
        <v>62</v>
      </c>
      <c r="AW1687" s="198" t="s">
        <v>771</v>
      </c>
    </row>
    <row r="1688" spans="3:49" outlineLevel="2" x14ac:dyDescent="0.25">
      <c r="C1688" s="201"/>
      <c r="D1688" s="198" t="s">
        <v>777</v>
      </c>
      <c r="H1688" s="198" t="s">
        <v>777</v>
      </c>
      <c r="I1688" s="202">
        <f t="shared" si="26"/>
        <v>700787095.64999998</v>
      </c>
      <c r="J1688" s="202">
        <v>169.7</v>
      </c>
      <c r="L1688" s="204">
        <v>1</v>
      </c>
      <c r="M1688" s="202">
        <v>148305084.5</v>
      </c>
      <c r="N1688" s="204">
        <v>1</v>
      </c>
      <c r="O1688" s="198" t="s">
        <v>51</v>
      </c>
      <c r="P1688" s="202">
        <v>148305084.5</v>
      </c>
      <c r="Q1688" s="198" t="s">
        <v>159</v>
      </c>
      <c r="R1688" s="198" t="s">
        <v>160</v>
      </c>
      <c r="S1688" s="198" t="s">
        <v>54</v>
      </c>
      <c r="T1688" s="198" t="s">
        <v>770</v>
      </c>
      <c r="U1688" s="198" t="s">
        <v>277</v>
      </c>
      <c r="V1688" s="198" t="s">
        <v>56</v>
      </c>
      <c r="W1688" s="198" t="s">
        <v>356</v>
      </c>
      <c r="X1688" s="198" t="s">
        <v>161</v>
      </c>
      <c r="Y1688" s="198" t="s">
        <v>162</v>
      </c>
      <c r="Z1688" s="201">
        <v>46477</v>
      </c>
      <c r="AA1688" s="198" t="s">
        <v>59</v>
      </c>
      <c r="AB1688" s="198" t="s">
        <v>60</v>
      </c>
      <c r="AC1688" s="198" t="s">
        <v>86</v>
      </c>
      <c r="AD1688" s="198" t="s">
        <v>62</v>
      </c>
      <c r="AE1688" s="198" t="s">
        <v>54</v>
      </c>
      <c r="AF1688" s="198" t="s">
        <v>54</v>
      </c>
      <c r="AG1688" s="198" t="s">
        <v>166</v>
      </c>
      <c r="AH1688" s="198" t="s">
        <v>156</v>
      </c>
      <c r="AI1688" s="198" t="s">
        <v>56</v>
      </c>
      <c r="AJ1688" s="198" t="s">
        <v>163</v>
      </c>
      <c r="AK1688" s="198" t="s">
        <v>51</v>
      </c>
      <c r="AL1688" s="198" t="s">
        <v>67</v>
      </c>
      <c r="AM1688" s="198" t="s">
        <v>68</v>
      </c>
      <c r="AN1688" s="202">
        <v>148305084.5</v>
      </c>
      <c r="AO1688" s="202">
        <v>148305084.5</v>
      </c>
      <c r="AP1688" s="202">
        <v>148305084.5</v>
      </c>
      <c r="AQ1688" s="198" t="s">
        <v>358</v>
      </c>
      <c r="AR1688" s="198" t="s">
        <v>51</v>
      </c>
      <c r="AS1688" s="202">
        <v>148305084.5</v>
      </c>
      <c r="AT1688" s="202">
        <v>148305084.5</v>
      </c>
      <c r="AU1688" s="198" t="s">
        <v>359</v>
      </c>
      <c r="AV1688" s="198" t="s">
        <v>62</v>
      </c>
      <c r="AW1688" s="198" t="s">
        <v>771</v>
      </c>
    </row>
    <row r="1689" spans="3:49" outlineLevel="2" x14ac:dyDescent="0.25">
      <c r="C1689" s="201"/>
      <c r="D1689" s="198" t="s">
        <v>777</v>
      </c>
      <c r="H1689" s="198" t="s">
        <v>777</v>
      </c>
      <c r="I1689" s="202">
        <f t="shared" si="26"/>
        <v>701200052.10000002</v>
      </c>
      <c r="J1689" s="202">
        <v>169.8</v>
      </c>
      <c r="L1689" s="204">
        <v>1</v>
      </c>
      <c r="M1689" s="202">
        <v>148305084.5</v>
      </c>
      <c r="N1689" s="204">
        <v>1</v>
      </c>
      <c r="O1689" s="198" t="s">
        <v>51</v>
      </c>
      <c r="P1689" s="202">
        <v>148305084.5</v>
      </c>
      <c r="Q1689" s="198" t="s">
        <v>159</v>
      </c>
      <c r="R1689" s="198" t="s">
        <v>160</v>
      </c>
      <c r="S1689" s="198" t="s">
        <v>54</v>
      </c>
      <c r="T1689" s="198" t="s">
        <v>770</v>
      </c>
      <c r="U1689" s="198" t="s">
        <v>277</v>
      </c>
      <c r="V1689" s="198" t="s">
        <v>56</v>
      </c>
      <c r="W1689" s="198" t="s">
        <v>356</v>
      </c>
      <c r="X1689" s="198" t="s">
        <v>161</v>
      </c>
      <c r="Y1689" s="198" t="s">
        <v>162</v>
      </c>
      <c r="Z1689" s="201">
        <v>46477</v>
      </c>
      <c r="AA1689" s="198" t="s">
        <v>59</v>
      </c>
      <c r="AB1689" s="198" t="s">
        <v>60</v>
      </c>
      <c r="AC1689" s="198" t="s">
        <v>86</v>
      </c>
      <c r="AD1689" s="198" t="s">
        <v>62</v>
      </c>
      <c r="AE1689" s="198" t="s">
        <v>54</v>
      </c>
      <c r="AF1689" s="198" t="s">
        <v>54</v>
      </c>
      <c r="AG1689" s="198" t="s">
        <v>166</v>
      </c>
      <c r="AH1689" s="198" t="s">
        <v>156</v>
      </c>
      <c r="AI1689" s="198" t="s">
        <v>56</v>
      </c>
      <c r="AJ1689" s="198" t="s">
        <v>163</v>
      </c>
      <c r="AK1689" s="198" t="s">
        <v>51</v>
      </c>
      <c r="AL1689" s="198" t="s">
        <v>67</v>
      </c>
      <c r="AM1689" s="198" t="s">
        <v>68</v>
      </c>
      <c r="AN1689" s="202">
        <v>148305084.5</v>
      </c>
      <c r="AO1689" s="202">
        <v>148305084.5</v>
      </c>
      <c r="AP1689" s="202">
        <v>148305084.5</v>
      </c>
      <c r="AQ1689" s="198" t="s">
        <v>358</v>
      </c>
      <c r="AR1689" s="198" t="s">
        <v>51</v>
      </c>
      <c r="AS1689" s="202">
        <v>148305084.5</v>
      </c>
      <c r="AT1689" s="202">
        <v>148305084.5</v>
      </c>
      <c r="AU1689" s="198" t="s">
        <v>359</v>
      </c>
      <c r="AV1689" s="198" t="s">
        <v>62</v>
      </c>
      <c r="AW1689" s="198" t="s">
        <v>771</v>
      </c>
    </row>
    <row r="1690" spans="3:49" outlineLevel="2" x14ac:dyDescent="0.25">
      <c r="C1690" s="201"/>
      <c r="D1690" s="198" t="s">
        <v>778</v>
      </c>
      <c r="H1690" s="198" t="s">
        <v>778</v>
      </c>
      <c r="I1690" s="202">
        <f t="shared" si="26"/>
        <v>701613008.55000007</v>
      </c>
      <c r="J1690" s="202">
        <v>169.9</v>
      </c>
      <c r="L1690" s="204">
        <v>1</v>
      </c>
      <c r="M1690" s="202">
        <v>134000</v>
      </c>
      <c r="N1690" s="204">
        <v>0</v>
      </c>
      <c r="O1690" s="198" t="s">
        <v>51</v>
      </c>
      <c r="P1690" s="202">
        <v>79186</v>
      </c>
      <c r="Q1690" s="198" t="s">
        <v>159</v>
      </c>
      <c r="R1690" s="198" t="s">
        <v>160</v>
      </c>
      <c r="S1690" s="198" t="s">
        <v>54</v>
      </c>
      <c r="T1690" s="198" t="s">
        <v>749</v>
      </c>
      <c r="U1690" s="198" t="s">
        <v>55</v>
      </c>
      <c r="V1690" s="198" t="s">
        <v>56</v>
      </c>
      <c r="W1690" s="198" t="s">
        <v>356</v>
      </c>
      <c r="X1690" s="198" t="s">
        <v>161</v>
      </c>
      <c r="Y1690" s="198" t="s">
        <v>162</v>
      </c>
      <c r="Z1690" s="201">
        <v>46295</v>
      </c>
      <c r="AA1690" s="198" t="s">
        <v>59</v>
      </c>
      <c r="AB1690" s="198" t="s">
        <v>60</v>
      </c>
      <c r="AC1690" s="198" t="s">
        <v>86</v>
      </c>
      <c r="AD1690" s="198" t="s">
        <v>62</v>
      </c>
      <c r="AE1690" s="198" t="s">
        <v>54</v>
      </c>
      <c r="AF1690" s="198" t="s">
        <v>54</v>
      </c>
      <c r="AG1690" s="198" t="s">
        <v>214</v>
      </c>
      <c r="AH1690" s="198" t="s">
        <v>153</v>
      </c>
      <c r="AI1690" s="198" t="s">
        <v>56</v>
      </c>
      <c r="AJ1690" s="198" t="s">
        <v>163</v>
      </c>
      <c r="AK1690" s="198" t="s">
        <v>51</v>
      </c>
      <c r="AL1690" s="198" t="s">
        <v>67</v>
      </c>
      <c r="AM1690" s="198" t="s">
        <v>68</v>
      </c>
      <c r="AN1690" s="202">
        <v>134000</v>
      </c>
      <c r="AO1690" s="202">
        <v>134000</v>
      </c>
      <c r="AP1690" s="202">
        <v>134000</v>
      </c>
      <c r="AQ1690" s="198" t="s">
        <v>358</v>
      </c>
      <c r="AR1690" s="198" t="s">
        <v>51</v>
      </c>
      <c r="AS1690" s="202">
        <v>79186</v>
      </c>
      <c r="AT1690" s="202">
        <v>79186</v>
      </c>
      <c r="AU1690" s="198" t="s">
        <v>359</v>
      </c>
      <c r="AV1690" s="198" t="s">
        <v>62</v>
      </c>
      <c r="AW1690" s="198" t="s">
        <v>54</v>
      </c>
    </row>
    <row r="1691" spans="3:49" outlineLevel="2" x14ac:dyDescent="0.25">
      <c r="C1691" s="201"/>
      <c r="D1691" s="198" t="s">
        <v>779</v>
      </c>
      <c r="H1691" s="198" t="s">
        <v>779</v>
      </c>
      <c r="I1691" s="202">
        <f t="shared" si="26"/>
        <v>702025965</v>
      </c>
      <c r="J1691" s="202">
        <v>170</v>
      </c>
      <c r="L1691" s="204">
        <v>1</v>
      </c>
      <c r="M1691" s="202">
        <v>134000</v>
      </c>
      <c r="N1691" s="204">
        <v>0</v>
      </c>
      <c r="O1691" s="198" t="s">
        <v>51</v>
      </c>
      <c r="P1691" s="202">
        <v>78610</v>
      </c>
      <c r="Q1691" s="198" t="s">
        <v>159</v>
      </c>
      <c r="R1691" s="198" t="s">
        <v>160</v>
      </c>
      <c r="S1691" s="198" t="s">
        <v>54</v>
      </c>
      <c r="T1691" s="198" t="s">
        <v>749</v>
      </c>
      <c r="U1691" s="198" t="s">
        <v>55</v>
      </c>
      <c r="V1691" s="198" t="s">
        <v>56</v>
      </c>
      <c r="W1691" s="198" t="s">
        <v>356</v>
      </c>
      <c r="X1691" s="198" t="s">
        <v>161</v>
      </c>
      <c r="Y1691" s="198" t="s">
        <v>162</v>
      </c>
      <c r="Z1691" s="201">
        <v>46295</v>
      </c>
      <c r="AA1691" s="198" t="s">
        <v>59</v>
      </c>
      <c r="AB1691" s="198" t="s">
        <v>60</v>
      </c>
      <c r="AC1691" s="198" t="s">
        <v>86</v>
      </c>
      <c r="AD1691" s="198" t="s">
        <v>62</v>
      </c>
      <c r="AE1691" s="198" t="s">
        <v>54</v>
      </c>
      <c r="AF1691" s="198" t="s">
        <v>54</v>
      </c>
      <c r="AG1691" s="198" t="s">
        <v>214</v>
      </c>
      <c r="AH1691" s="198" t="s">
        <v>148</v>
      </c>
      <c r="AI1691" s="198" t="s">
        <v>56</v>
      </c>
      <c r="AJ1691" s="198" t="s">
        <v>163</v>
      </c>
      <c r="AK1691" s="198" t="s">
        <v>51</v>
      </c>
      <c r="AL1691" s="198" t="s">
        <v>67</v>
      </c>
      <c r="AM1691" s="198" t="s">
        <v>68</v>
      </c>
      <c r="AN1691" s="202">
        <v>134000</v>
      </c>
      <c r="AO1691" s="202">
        <v>134000</v>
      </c>
      <c r="AP1691" s="202">
        <v>134000</v>
      </c>
      <c r="AQ1691" s="198" t="s">
        <v>358</v>
      </c>
      <c r="AR1691" s="198" t="s">
        <v>51</v>
      </c>
      <c r="AS1691" s="202">
        <v>78610</v>
      </c>
      <c r="AT1691" s="202">
        <v>78610</v>
      </c>
      <c r="AU1691" s="198" t="s">
        <v>359</v>
      </c>
      <c r="AV1691" s="198" t="s">
        <v>62</v>
      </c>
      <c r="AW1691" s="198" t="s">
        <v>54</v>
      </c>
    </row>
    <row r="1692" spans="3:49" outlineLevel="2" x14ac:dyDescent="0.25">
      <c r="C1692" s="201"/>
      <c r="D1692" s="198" t="s">
        <v>780</v>
      </c>
      <c r="H1692" s="198" t="s">
        <v>780</v>
      </c>
      <c r="I1692" s="202">
        <f t="shared" si="26"/>
        <v>702438921.44999993</v>
      </c>
      <c r="J1692" s="202">
        <v>170.1</v>
      </c>
      <c r="L1692" s="204">
        <v>1</v>
      </c>
      <c r="M1692" s="202">
        <v>134000</v>
      </c>
      <c r="N1692" s="204">
        <v>0</v>
      </c>
      <c r="O1692" s="198" t="s">
        <v>51</v>
      </c>
      <c r="P1692" s="202">
        <v>79780</v>
      </c>
      <c r="Q1692" s="198" t="s">
        <v>159</v>
      </c>
      <c r="R1692" s="198" t="s">
        <v>160</v>
      </c>
      <c r="S1692" s="198" t="s">
        <v>54</v>
      </c>
      <c r="T1692" s="198" t="s">
        <v>749</v>
      </c>
      <c r="U1692" s="198" t="s">
        <v>55</v>
      </c>
      <c r="V1692" s="198" t="s">
        <v>56</v>
      </c>
      <c r="W1692" s="198" t="s">
        <v>356</v>
      </c>
      <c r="X1692" s="198" t="s">
        <v>161</v>
      </c>
      <c r="Y1692" s="198" t="s">
        <v>162</v>
      </c>
      <c r="Z1692" s="201">
        <v>46295</v>
      </c>
      <c r="AA1692" s="198" t="s">
        <v>59</v>
      </c>
      <c r="AB1692" s="198" t="s">
        <v>60</v>
      </c>
      <c r="AC1692" s="198" t="s">
        <v>86</v>
      </c>
      <c r="AD1692" s="198" t="s">
        <v>62</v>
      </c>
      <c r="AE1692" s="198" t="s">
        <v>54</v>
      </c>
      <c r="AF1692" s="198" t="s">
        <v>54</v>
      </c>
      <c r="AG1692" s="198" t="s">
        <v>214</v>
      </c>
      <c r="AH1692" s="198" t="s">
        <v>274</v>
      </c>
      <c r="AI1692" s="198" t="s">
        <v>56</v>
      </c>
      <c r="AJ1692" s="198" t="s">
        <v>163</v>
      </c>
      <c r="AK1692" s="198" t="s">
        <v>51</v>
      </c>
      <c r="AL1692" s="198" t="s">
        <v>67</v>
      </c>
      <c r="AM1692" s="198" t="s">
        <v>68</v>
      </c>
      <c r="AN1692" s="202">
        <v>134000</v>
      </c>
      <c r="AO1692" s="202">
        <v>134000</v>
      </c>
      <c r="AP1692" s="202">
        <v>134000</v>
      </c>
      <c r="AQ1692" s="198" t="s">
        <v>358</v>
      </c>
      <c r="AR1692" s="198" t="s">
        <v>51</v>
      </c>
      <c r="AS1692" s="202">
        <v>79780</v>
      </c>
      <c r="AT1692" s="202">
        <v>79780</v>
      </c>
      <c r="AU1692" s="198" t="s">
        <v>359</v>
      </c>
      <c r="AV1692" s="198" t="s">
        <v>62</v>
      </c>
      <c r="AW1692" s="198" t="s">
        <v>54</v>
      </c>
    </row>
    <row r="1693" spans="3:49" outlineLevel="2" x14ac:dyDescent="0.25">
      <c r="C1693" s="201"/>
      <c r="D1693" s="198" t="s">
        <v>242</v>
      </c>
      <c r="H1693" s="198" t="s">
        <v>242</v>
      </c>
      <c r="I1693" s="202">
        <f t="shared" si="26"/>
        <v>702851877.89999998</v>
      </c>
      <c r="J1693" s="202">
        <v>170.2</v>
      </c>
      <c r="L1693" s="204">
        <v>1</v>
      </c>
      <c r="M1693" s="202">
        <v>2076435.49</v>
      </c>
      <c r="N1693" s="204">
        <v>1</v>
      </c>
      <c r="O1693" s="198" t="s">
        <v>51</v>
      </c>
      <c r="P1693" s="202">
        <v>2076435.49</v>
      </c>
      <c r="Q1693" s="198" t="s">
        <v>159</v>
      </c>
      <c r="R1693" s="198" t="s">
        <v>160</v>
      </c>
      <c r="S1693" s="198" t="s">
        <v>54</v>
      </c>
      <c r="T1693" s="198" t="s">
        <v>673</v>
      </c>
      <c r="U1693" s="198" t="s">
        <v>367</v>
      </c>
      <c r="V1693" s="198" t="s">
        <v>56</v>
      </c>
      <c r="W1693" s="198" t="s">
        <v>356</v>
      </c>
      <c r="X1693" s="198" t="s">
        <v>161</v>
      </c>
      <c r="Y1693" s="198" t="s">
        <v>162</v>
      </c>
      <c r="Z1693" s="201">
        <v>46263</v>
      </c>
      <c r="AA1693" s="198" t="s">
        <v>59</v>
      </c>
      <c r="AB1693" s="198" t="s">
        <v>60</v>
      </c>
      <c r="AC1693" s="198" t="s">
        <v>86</v>
      </c>
      <c r="AD1693" s="198" t="s">
        <v>62</v>
      </c>
      <c r="AE1693" s="198" t="s">
        <v>54</v>
      </c>
      <c r="AF1693" s="198" t="s">
        <v>54</v>
      </c>
      <c r="AG1693" s="198" t="s">
        <v>564</v>
      </c>
      <c r="AH1693" s="198" t="s">
        <v>89</v>
      </c>
      <c r="AI1693" s="198" t="s">
        <v>56</v>
      </c>
      <c r="AJ1693" s="198" t="s">
        <v>163</v>
      </c>
      <c r="AK1693" s="198" t="s">
        <v>51</v>
      </c>
      <c r="AL1693" s="198" t="s">
        <v>67</v>
      </c>
      <c r="AM1693" s="198" t="s">
        <v>68</v>
      </c>
      <c r="AN1693" s="202">
        <v>2076435.49</v>
      </c>
      <c r="AO1693" s="202">
        <v>2076435.49</v>
      </c>
      <c r="AP1693" s="202">
        <v>2076435.49</v>
      </c>
      <c r="AQ1693" s="198" t="s">
        <v>358</v>
      </c>
      <c r="AR1693" s="198" t="s">
        <v>51</v>
      </c>
      <c r="AS1693" s="202">
        <v>2076435.49</v>
      </c>
      <c r="AT1693" s="202">
        <v>2076435.49</v>
      </c>
      <c r="AU1693" s="198" t="s">
        <v>359</v>
      </c>
      <c r="AV1693" s="198" t="s">
        <v>62</v>
      </c>
      <c r="AW1693" s="198" t="s">
        <v>54</v>
      </c>
    </row>
    <row r="1694" spans="3:49" outlineLevel="2" x14ac:dyDescent="0.25">
      <c r="C1694" s="201"/>
      <c r="D1694" s="198" t="s">
        <v>781</v>
      </c>
      <c r="H1694" s="198" t="s">
        <v>781</v>
      </c>
      <c r="I1694" s="202">
        <f t="shared" si="26"/>
        <v>703264834.35000002</v>
      </c>
      <c r="J1694" s="202">
        <v>170.3</v>
      </c>
      <c r="L1694" s="204">
        <v>1</v>
      </c>
      <c r="M1694" s="202">
        <v>1062000</v>
      </c>
      <c r="N1694" s="204">
        <v>1</v>
      </c>
      <c r="O1694" s="198" t="s">
        <v>51</v>
      </c>
      <c r="P1694" s="202">
        <v>1062000</v>
      </c>
      <c r="Q1694" s="198" t="s">
        <v>159</v>
      </c>
      <c r="R1694" s="198" t="s">
        <v>160</v>
      </c>
      <c r="S1694" s="198" t="s">
        <v>54</v>
      </c>
      <c r="T1694" s="198" t="s">
        <v>750</v>
      </c>
      <c r="U1694" s="198" t="s">
        <v>367</v>
      </c>
      <c r="V1694" s="198" t="s">
        <v>56</v>
      </c>
      <c r="W1694" s="198" t="s">
        <v>356</v>
      </c>
      <c r="X1694" s="198" t="s">
        <v>161</v>
      </c>
      <c r="Y1694" s="198" t="s">
        <v>162</v>
      </c>
      <c r="Z1694" s="201">
        <v>46295</v>
      </c>
      <c r="AA1694" s="198" t="s">
        <v>59</v>
      </c>
      <c r="AB1694" s="198" t="s">
        <v>60</v>
      </c>
      <c r="AC1694" s="198" t="s">
        <v>86</v>
      </c>
      <c r="AD1694" s="198" t="s">
        <v>62</v>
      </c>
      <c r="AE1694" s="198" t="s">
        <v>54</v>
      </c>
      <c r="AF1694" s="198" t="s">
        <v>54</v>
      </c>
      <c r="AG1694" s="198" t="s">
        <v>214</v>
      </c>
      <c r="AH1694" s="198" t="s">
        <v>274</v>
      </c>
      <c r="AI1694" s="198" t="s">
        <v>56</v>
      </c>
      <c r="AJ1694" s="198" t="s">
        <v>163</v>
      </c>
      <c r="AK1694" s="198" t="s">
        <v>51</v>
      </c>
      <c r="AL1694" s="198" t="s">
        <v>67</v>
      </c>
      <c r="AM1694" s="198" t="s">
        <v>68</v>
      </c>
      <c r="AN1694" s="202">
        <v>1062000</v>
      </c>
      <c r="AO1694" s="202">
        <v>1062000</v>
      </c>
      <c r="AP1694" s="202">
        <v>1062000</v>
      </c>
      <c r="AQ1694" s="198" t="s">
        <v>358</v>
      </c>
      <c r="AR1694" s="198" t="s">
        <v>51</v>
      </c>
      <c r="AS1694" s="202">
        <v>1062000</v>
      </c>
      <c r="AT1694" s="202">
        <v>1062000</v>
      </c>
      <c r="AU1694" s="198" t="s">
        <v>359</v>
      </c>
      <c r="AV1694" s="198" t="s">
        <v>62</v>
      </c>
      <c r="AW1694" s="198" t="s">
        <v>54</v>
      </c>
    </row>
    <row r="1695" spans="3:49" outlineLevel="2" x14ac:dyDescent="0.25">
      <c r="C1695" s="201"/>
      <c r="D1695" s="198" t="s">
        <v>783</v>
      </c>
      <c r="H1695" s="198" t="s">
        <v>783</v>
      </c>
      <c r="I1695" s="202">
        <f t="shared" si="26"/>
        <v>703677790.80000007</v>
      </c>
      <c r="J1695" s="202">
        <v>170.4</v>
      </c>
      <c r="L1695" s="204">
        <v>1</v>
      </c>
      <c r="M1695" s="202">
        <v>1062000</v>
      </c>
      <c r="N1695" s="204">
        <v>0</v>
      </c>
      <c r="O1695" s="198" t="s">
        <v>51</v>
      </c>
      <c r="P1695" s="202">
        <v>688176</v>
      </c>
      <c r="Q1695" s="198" t="s">
        <v>159</v>
      </c>
      <c r="R1695" s="198" t="s">
        <v>160</v>
      </c>
      <c r="S1695" s="198" t="s">
        <v>54</v>
      </c>
      <c r="T1695" s="198" t="s">
        <v>750</v>
      </c>
      <c r="U1695" s="198" t="s">
        <v>1752</v>
      </c>
      <c r="V1695" s="198" t="s">
        <v>56</v>
      </c>
      <c r="W1695" s="198" t="s">
        <v>356</v>
      </c>
      <c r="X1695" s="198" t="s">
        <v>161</v>
      </c>
      <c r="Y1695" s="198" t="s">
        <v>162</v>
      </c>
      <c r="Z1695" s="201">
        <v>46295</v>
      </c>
      <c r="AA1695" s="198" t="s">
        <v>59</v>
      </c>
      <c r="AB1695" s="198" t="s">
        <v>60</v>
      </c>
      <c r="AC1695" s="198" t="s">
        <v>86</v>
      </c>
      <c r="AD1695" s="198" t="s">
        <v>62</v>
      </c>
      <c r="AE1695" s="198" t="s">
        <v>54</v>
      </c>
      <c r="AF1695" s="198" t="s">
        <v>54</v>
      </c>
      <c r="AG1695" s="198" t="s">
        <v>214</v>
      </c>
      <c r="AH1695" s="198" t="s">
        <v>148</v>
      </c>
      <c r="AI1695" s="198" t="s">
        <v>56</v>
      </c>
      <c r="AJ1695" s="198" t="s">
        <v>163</v>
      </c>
      <c r="AK1695" s="198" t="s">
        <v>51</v>
      </c>
      <c r="AL1695" s="198" t="s">
        <v>67</v>
      </c>
      <c r="AM1695" s="198" t="s">
        <v>68</v>
      </c>
      <c r="AN1695" s="202">
        <v>1062000</v>
      </c>
      <c r="AO1695" s="202">
        <v>1062000</v>
      </c>
      <c r="AP1695" s="202">
        <v>1062000</v>
      </c>
      <c r="AQ1695" s="198" t="s">
        <v>358</v>
      </c>
      <c r="AR1695" s="198" t="s">
        <v>51</v>
      </c>
      <c r="AS1695" s="202">
        <v>688176</v>
      </c>
      <c r="AT1695" s="202">
        <v>688176</v>
      </c>
      <c r="AU1695" s="198" t="s">
        <v>359</v>
      </c>
      <c r="AV1695" s="198" t="s">
        <v>62</v>
      </c>
      <c r="AW1695" s="198" t="s">
        <v>54</v>
      </c>
    </row>
    <row r="1696" spans="3:49" outlineLevel="2" x14ac:dyDescent="0.25">
      <c r="C1696" s="201"/>
      <c r="D1696" s="198" t="s">
        <v>784</v>
      </c>
      <c r="H1696" s="198" t="s">
        <v>784</v>
      </c>
      <c r="I1696" s="202">
        <f t="shared" si="26"/>
        <v>704090747.25</v>
      </c>
      <c r="J1696" s="202">
        <v>170.5</v>
      </c>
      <c r="L1696" s="204">
        <v>1</v>
      </c>
      <c r="M1696" s="202">
        <v>1062000</v>
      </c>
      <c r="N1696" s="204">
        <v>0</v>
      </c>
      <c r="O1696" s="198" t="s">
        <v>51</v>
      </c>
      <c r="P1696" s="202">
        <v>708000</v>
      </c>
      <c r="Q1696" s="198" t="s">
        <v>159</v>
      </c>
      <c r="R1696" s="198" t="s">
        <v>160</v>
      </c>
      <c r="S1696" s="198" t="s">
        <v>54</v>
      </c>
      <c r="T1696" s="198" t="s">
        <v>750</v>
      </c>
      <c r="U1696" s="198" t="s">
        <v>1752</v>
      </c>
      <c r="V1696" s="198" t="s">
        <v>56</v>
      </c>
      <c r="W1696" s="198" t="s">
        <v>356</v>
      </c>
      <c r="X1696" s="198" t="s">
        <v>161</v>
      </c>
      <c r="Y1696" s="198" t="s">
        <v>162</v>
      </c>
      <c r="Z1696" s="201">
        <v>46295</v>
      </c>
      <c r="AA1696" s="198" t="s">
        <v>59</v>
      </c>
      <c r="AB1696" s="198" t="s">
        <v>60</v>
      </c>
      <c r="AC1696" s="198" t="s">
        <v>86</v>
      </c>
      <c r="AD1696" s="198" t="s">
        <v>62</v>
      </c>
      <c r="AE1696" s="198" t="s">
        <v>54</v>
      </c>
      <c r="AF1696" s="198" t="s">
        <v>54</v>
      </c>
      <c r="AG1696" s="198" t="s">
        <v>214</v>
      </c>
      <c r="AH1696" s="198" t="s">
        <v>153</v>
      </c>
      <c r="AI1696" s="198" t="s">
        <v>56</v>
      </c>
      <c r="AJ1696" s="198" t="s">
        <v>163</v>
      </c>
      <c r="AK1696" s="198" t="s">
        <v>51</v>
      </c>
      <c r="AL1696" s="198" t="s">
        <v>67</v>
      </c>
      <c r="AM1696" s="198" t="s">
        <v>68</v>
      </c>
      <c r="AN1696" s="202">
        <v>1062000</v>
      </c>
      <c r="AO1696" s="202">
        <v>1062000</v>
      </c>
      <c r="AP1696" s="202">
        <v>1062000</v>
      </c>
      <c r="AQ1696" s="198" t="s">
        <v>358</v>
      </c>
      <c r="AR1696" s="198" t="s">
        <v>51</v>
      </c>
      <c r="AS1696" s="202">
        <v>708000</v>
      </c>
      <c r="AT1696" s="202">
        <v>708000</v>
      </c>
      <c r="AU1696" s="198" t="s">
        <v>359</v>
      </c>
      <c r="AV1696" s="198" t="s">
        <v>62</v>
      </c>
      <c r="AW1696" s="198" t="s">
        <v>54</v>
      </c>
    </row>
    <row r="1697" spans="3:49" outlineLevel="2" x14ac:dyDescent="0.25">
      <c r="C1697" s="201"/>
      <c r="D1697" s="198" t="s">
        <v>263</v>
      </c>
      <c r="H1697" s="198" t="s">
        <v>263</v>
      </c>
      <c r="I1697" s="202">
        <f t="shared" si="26"/>
        <v>704503703.69999993</v>
      </c>
      <c r="J1697" s="202">
        <v>170.6</v>
      </c>
      <c r="L1697" s="204">
        <v>1</v>
      </c>
      <c r="M1697" s="202">
        <v>2083438.49</v>
      </c>
      <c r="N1697" s="204">
        <v>1</v>
      </c>
      <c r="O1697" s="198" t="s">
        <v>51</v>
      </c>
      <c r="P1697" s="202">
        <v>2083438.49</v>
      </c>
      <c r="Q1697" s="198" t="s">
        <v>159</v>
      </c>
      <c r="R1697" s="198" t="s">
        <v>160</v>
      </c>
      <c r="S1697" s="198" t="s">
        <v>54</v>
      </c>
      <c r="T1697" s="198" t="s">
        <v>673</v>
      </c>
      <c r="U1697" s="198" t="s">
        <v>367</v>
      </c>
      <c r="V1697" s="198" t="s">
        <v>56</v>
      </c>
      <c r="W1697" s="198" t="s">
        <v>356</v>
      </c>
      <c r="X1697" s="198" t="s">
        <v>161</v>
      </c>
      <c r="Y1697" s="198" t="s">
        <v>162</v>
      </c>
      <c r="Z1697" s="201">
        <v>46248</v>
      </c>
      <c r="AA1697" s="198" t="s">
        <v>59</v>
      </c>
      <c r="AB1697" s="198" t="s">
        <v>60</v>
      </c>
      <c r="AC1697" s="198" t="s">
        <v>86</v>
      </c>
      <c r="AD1697" s="198" t="s">
        <v>62</v>
      </c>
      <c r="AE1697" s="198" t="s">
        <v>54</v>
      </c>
      <c r="AF1697" s="198" t="s">
        <v>54</v>
      </c>
      <c r="AG1697" s="198" t="s">
        <v>564</v>
      </c>
      <c r="AH1697" s="198" t="s">
        <v>167</v>
      </c>
      <c r="AI1697" s="198" t="s">
        <v>56</v>
      </c>
      <c r="AJ1697" s="198" t="s">
        <v>163</v>
      </c>
      <c r="AK1697" s="198" t="s">
        <v>51</v>
      </c>
      <c r="AL1697" s="198" t="s">
        <v>67</v>
      </c>
      <c r="AM1697" s="198" t="s">
        <v>68</v>
      </c>
      <c r="AN1697" s="202">
        <v>2083438.49</v>
      </c>
      <c r="AO1697" s="202">
        <v>2083438.49</v>
      </c>
      <c r="AP1697" s="202">
        <v>2083438.49</v>
      </c>
      <c r="AQ1697" s="198" t="s">
        <v>358</v>
      </c>
      <c r="AR1697" s="198" t="s">
        <v>51</v>
      </c>
      <c r="AS1697" s="202">
        <v>2083438.49</v>
      </c>
      <c r="AT1697" s="202">
        <v>2083438.49</v>
      </c>
      <c r="AU1697" s="198" t="s">
        <v>359</v>
      </c>
      <c r="AV1697" s="198" t="s">
        <v>62</v>
      </c>
      <c r="AW1697" s="198" t="s">
        <v>54</v>
      </c>
    </row>
    <row r="1698" spans="3:49" outlineLevel="2" x14ac:dyDescent="0.25">
      <c r="C1698" s="201"/>
      <c r="D1698" s="198" t="s">
        <v>252</v>
      </c>
      <c r="H1698" s="198" t="s">
        <v>252</v>
      </c>
      <c r="I1698" s="202">
        <f t="shared" si="26"/>
        <v>704916660.14999998</v>
      </c>
      <c r="J1698" s="202">
        <v>170.7</v>
      </c>
      <c r="L1698" s="204">
        <v>1</v>
      </c>
      <c r="M1698" s="202">
        <v>2235298</v>
      </c>
      <c r="N1698" s="204">
        <v>1</v>
      </c>
      <c r="O1698" s="198" t="s">
        <v>51</v>
      </c>
      <c r="P1698" s="202">
        <v>2235298</v>
      </c>
      <c r="Q1698" s="198" t="s">
        <v>159</v>
      </c>
      <c r="R1698" s="198" t="s">
        <v>160</v>
      </c>
      <c r="S1698" s="198" t="s">
        <v>54</v>
      </c>
      <c r="T1698" s="198" t="s">
        <v>673</v>
      </c>
      <c r="U1698" s="198" t="s">
        <v>367</v>
      </c>
      <c r="V1698" s="198" t="s">
        <v>56</v>
      </c>
      <c r="W1698" s="198" t="s">
        <v>356</v>
      </c>
      <c r="X1698" s="198" t="s">
        <v>161</v>
      </c>
      <c r="Y1698" s="198" t="s">
        <v>162</v>
      </c>
      <c r="Z1698" s="201">
        <v>46203</v>
      </c>
      <c r="AA1698" s="198" t="s">
        <v>59</v>
      </c>
      <c r="AB1698" s="198" t="s">
        <v>60</v>
      </c>
      <c r="AC1698" s="198" t="s">
        <v>86</v>
      </c>
      <c r="AD1698" s="198" t="s">
        <v>62</v>
      </c>
      <c r="AE1698" s="198" t="s">
        <v>54</v>
      </c>
      <c r="AF1698" s="198" t="s">
        <v>54</v>
      </c>
      <c r="AG1698" s="198" t="s">
        <v>189</v>
      </c>
      <c r="AH1698" s="198" t="s">
        <v>112</v>
      </c>
      <c r="AI1698" s="198" t="s">
        <v>56</v>
      </c>
      <c r="AJ1698" s="198" t="s">
        <v>163</v>
      </c>
      <c r="AK1698" s="198" t="s">
        <v>51</v>
      </c>
      <c r="AL1698" s="198" t="s">
        <v>67</v>
      </c>
      <c r="AM1698" s="198" t="s">
        <v>68</v>
      </c>
      <c r="AN1698" s="202">
        <v>2235298</v>
      </c>
      <c r="AO1698" s="202">
        <v>2235298</v>
      </c>
      <c r="AP1698" s="202">
        <v>2235298</v>
      </c>
      <c r="AQ1698" s="198" t="s">
        <v>358</v>
      </c>
      <c r="AR1698" s="198" t="s">
        <v>51</v>
      </c>
      <c r="AS1698" s="202">
        <v>2235298</v>
      </c>
      <c r="AT1698" s="202">
        <v>2235298</v>
      </c>
      <c r="AU1698" s="198" t="s">
        <v>359</v>
      </c>
      <c r="AV1698" s="198" t="s">
        <v>62</v>
      </c>
      <c r="AW1698" s="198" t="s">
        <v>54</v>
      </c>
    </row>
    <row r="1699" spans="3:49" outlineLevel="2" x14ac:dyDescent="0.25">
      <c r="C1699" s="201"/>
      <c r="D1699" s="198" t="s">
        <v>278</v>
      </c>
      <c r="H1699" s="198" t="s">
        <v>278</v>
      </c>
      <c r="I1699" s="202">
        <f t="shared" si="26"/>
        <v>705329616.60000002</v>
      </c>
      <c r="J1699" s="202">
        <v>170.8</v>
      </c>
      <c r="L1699" s="204">
        <v>1</v>
      </c>
      <c r="M1699" s="202">
        <v>589809.6</v>
      </c>
      <c r="N1699" s="204">
        <v>0</v>
      </c>
      <c r="O1699" s="198" t="s">
        <v>51</v>
      </c>
      <c r="P1699" s="202">
        <v>536107.80000000005</v>
      </c>
      <c r="Q1699" s="198" t="s">
        <v>159</v>
      </c>
      <c r="R1699" s="198" t="s">
        <v>160</v>
      </c>
      <c r="S1699" s="198" t="s">
        <v>54</v>
      </c>
      <c r="T1699" s="198" t="s">
        <v>785</v>
      </c>
      <c r="U1699" s="198" t="s">
        <v>2058</v>
      </c>
      <c r="V1699" s="198" t="s">
        <v>56</v>
      </c>
      <c r="W1699" s="198" t="s">
        <v>356</v>
      </c>
      <c r="X1699" s="198" t="s">
        <v>161</v>
      </c>
      <c r="Y1699" s="198" t="s">
        <v>162</v>
      </c>
      <c r="Z1699" s="201">
        <v>46265</v>
      </c>
      <c r="AA1699" s="198" t="s">
        <v>59</v>
      </c>
      <c r="AB1699" s="198" t="s">
        <v>60</v>
      </c>
      <c r="AC1699" s="198" t="s">
        <v>86</v>
      </c>
      <c r="AD1699" s="198" t="s">
        <v>62</v>
      </c>
      <c r="AE1699" s="198" t="s">
        <v>54</v>
      </c>
      <c r="AF1699" s="198" t="s">
        <v>54</v>
      </c>
      <c r="AG1699" s="198" t="s">
        <v>564</v>
      </c>
      <c r="AH1699" s="198" t="s">
        <v>193</v>
      </c>
      <c r="AI1699" s="198" t="s">
        <v>56</v>
      </c>
      <c r="AJ1699" s="198" t="s">
        <v>163</v>
      </c>
      <c r="AK1699" s="198" t="s">
        <v>51</v>
      </c>
      <c r="AL1699" s="198" t="s">
        <v>67</v>
      </c>
      <c r="AM1699" s="198" t="s">
        <v>68</v>
      </c>
      <c r="AN1699" s="202">
        <v>589809.6</v>
      </c>
      <c r="AO1699" s="202">
        <v>589809.6</v>
      </c>
      <c r="AP1699" s="202">
        <v>589809.6</v>
      </c>
      <c r="AQ1699" s="198" t="s">
        <v>358</v>
      </c>
      <c r="AR1699" s="198" t="s">
        <v>51</v>
      </c>
      <c r="AS1699" s="202">
        <v>536107.80000000005</v>
      </c>
      <c r="AT1699" s="202">
        <v>536107.80000000005</v>
      </c>
      <c r="AU1699" s="198" t="s">
        <v>359</v>
      </c>
      <c r="AV1699" s="198" t="s">
        <v>62</v>
      </c>
      <c r="AW1699" s="198" t="s">
        <v>54</v>
      </c>
    </row>
    <row r="1700" spans="3:49" outlineLevel="2" x14ac:dyDescent="0.25">
      <c r="C1700" s="201"/>
      <c r="D1700" s="198" t="s">
        <v>278</v>
      </c>
      <c r="H1700" s="198" t="s">
        <v>278</v>
      </c>
      <c r="I1700" s="202">
        <f t="shared" si="26"/>
        <v>705742573.05000007</v>
      </c>
      <c r="J1700" s="202">
        <v>170.9</v>
      </c>
      <c r="L1700" s="204">
        <v>1</v>
      </c>
      <c r="M1700" s="202">
        <v>452000</v>
      </c>
      <c r="N1700" s="204">
        <v>0</v>
      </c>
      <c r="O1700" s="198" t="s">
        <v>51</v>
      </c>
      <c r="P1700" s="202">
        <v>251488</v>
      </c>
      <c r="Q1700" s="198" t="s">
        <v>159</v>
      </c>
      <c r="R1700" s="198" t="s">
        <v>160</v>
      </c>
      <c r="S1700" s="198" t="s">
        <v>54</v>
      </c>
      <c r="T1700" s="198" t="s">
        <v>785</v>
      </c>
      <c r="U1700" s="198" t="s">
        <v>2058</v>
      </c>
      <c r="V1700" s="198" t="s">
        <v>56</v>
      </c>
      <c r="W1700" s="198" t="s">
        <v>356</v>
      </c>
      <c r="X1700" s="198" t="s">
        <v>161</v>
      </c>
      <c r="Y1700" s="198" t="s">
        <v>162</v>
      </c>
      <c r="Z1700" s="201">
        <v>46265</v>
      </c>
      <c r="AA1700" s="198" t="s">
        <v>59</v>
      </c>
      <c r="AB1700" s="198" t="s">
        <v>60</v>
      </c>
      <c r="AC1700" s="198" t="s">
        <v>86</v>
      </c>
      <c r="AD1700" s="198" t="s">
        <v>62</v>
      </c>
      <c r="AE1700" s="198" t="s">
        <v>54</v>
      </c>
      <c r="AF1700" s="198" t="s">
        <v>54</v>
      </c>
      <c r="AG1700" s="198" t="s">
        <v>564</v>
      </c>
      <c r="AH1700" s="198" t="s">
        <v>193</v>
      </c>
      <c r="AI1700" s="198" t="s">
        <v>56</v>
      </c>
      <c r="AJ1700" s="198" t="s">
        <v>163</v>
      </c>
      <c r="AK1700" s="198" t="s">
        <v>51</v>
      </c>
      <c r="AL1700" s="198" t="s">
        <v>67</v>
      </c>
      <c r="AM1700" s="198" t="s">
        <v>68</v>
      </c>
      <c r="AN1700" s="202">
        <v>452000</v>
      </c>
      <c r="AO1700" s="202">
        <v>452000</v>
      </c>
      <c r="AP1700" s="202">
        <v>452000</v>
      </c>
      <c r="AQ1700" s="198" t="s">
        <v>358</v>
      </c>
      <c r="AR1700" s="198" t="s">
        <v>51</v>
      </c>
      <c r="AS1700" s="202">
        <v>251488</v>
      </c>
      <c r="AT1700" s="202">
        <v>251488</v>
      </c>
      <c r="AU1700" s="198" t="s">
        <v>359</v>
      </c>
      <c r="AV1700" s="198" t="s">
        <v>62</v>
      </c>
      <c r="AW1700" s="198" t="s">
        <v>54</v>
      </c>
    </row>
    <row r="1701" spans="3:49" outlineLevel="2" x14ac:dyDescent="0.25">
      <c r="C1701" s="201"/>
      <c r="D1701" s="198" t="s">
        <v>281</v>
      </c>
      <c r="H1701" s="198" t="s">
        <v>281</v>
      </c>
      <c r="I1701" s="202">
        <f t="shared" si="26"/>
        <v>706155529.5</v>
      </c>
      <c r="J1701" s="202">
        <v>171</v>
      </c>
      <c r="L1701" s="204">
        <v>1</v>
      </c>
      <c r="M1701" s="202">
        <v>609809.6</v>
      </c>
      <c r="N1701" s="204">
        <v>1</v>
      </c>
      <c r="O1701" s="198" t="s">
        <v>51</v>
      </c>
      <c r="P1701" s="202">
        <v>609809.6</v>
      </c>
      <c r="Q1701" s="198" t="s">
        <v>159</v>
      </c>
      <c r="R1701" s="198" t="s">
        <v>160</v>
      </c>
      <c r="S1701" s="198" t="s">
        <v>54</v>
      </c>
      <c r="T1701" s="198" t="s">
        <v>785</v>
      </c>
      <c r="U1701" s="198" t="s">
        <v>80</v>
      </c>
      <c r="V1701" s="198" t="s">
        <v>56</v>
      </c>
      <c r="W1701" s="198" t="s">
        <v>356</v>
      </c>
      <c r="X1701" s="198" t="s">
        <v>161</v>
      </c>
      <c r="Y1701" s="198" t="s">
        <v>162</v>
      </c>
      <c r="Z1701" s="201">
        <v>46265</v>
      </c>
      <c r="AA1701" s="198" t="s">
        <v>59</v>
      </c>
      <c r="AB1701" s="198" t="s">
        <v>60</v>
      </c>
      <c r="AC1701" s="198" t="s">
        <v>86</v>
      </c>
      <c r="AD1701" s="198" t="s">
        <v>62</v>
      </c>
      <c r="AE1701" s="198" t="s">
        <v>54</v>
      </c>
      <c r="AF1701" s="198" t="s">
        <v>54</v>
      </c>
      <c r="AG1701" s="198" t="s">
        <v>564</v>
      </c>
      <c r="AH1701" s="198" t="s">
        <v>153</v>
      </c>
      <c r="AI1701" s="198" t="s">
        <v>56</v>
      </c>
      <c r="AJ1701" s="198" t="s">
        <v>163</v>
      </c>
      <c r="AK1701" s="198" t="s">
        <v>51</v>
      </c>
      <c r="AL1701" s="198" t="s">
        <v>67</v>
      </c>
      <c r="AM1701" s="198" t="s">
        <v>68</v>
      </c>
      <c r="AN1701" s="202">
        <v>609809.6</v>
      </c>
      <c r="AO1701" s="202">
        <v>609809.6</v>
      </c>
      <c r="AP1701" s="202">
        <v>609809.6</v>
      </c>
      <c r="AQ1701" s="198" t="s">
        <v>358</v>
      </c>
      <c r="AR1701" s="198" t="s">
        <v>51</v>
      </c>
      <c r="AS1701" s="202">
        <v>609809.6</v>
      </c>
      <c r="AT1701" s="202">
        <v>609809.6</v>
      </c>
      <c r="AU1701" s="198" t="s">
        <v>359</v>
      </c>
      <c r="AV1701" s="198" t="s">
        <v>62</v>
      </c>
      <c r="AW1701" s="198" t="s">
        <v>54</v>
      </c>
    </row>
    <row r="1702" spans="3:49" outlineLevel="2" x14ac:dyDescent="0.25">
      <c r="C1702" s="201"/>
      <c r="D1702" s="198" t="s">
        <v>281</v>
      </c>
      <c r="H1702" s="198" t="s">
        <v>281</v>
      </c>
      <c r="I1702" s="202">
        <f t="shared" si="26"/>
        <v>706568485.94999993</v>
      </c>
      <c r="J1702" s="202">
        <v>171.1</v>
      </c>
      <c r="L1702" s="204">
        <v>1</v>
      </c>
      <c r="M1702" s="202">
        <v>432000</v>
      </c>
      <c r="N1702" s="204">
        <v>1</v>
      </c>
      <c r="O1702" s="198" t="s">
        <v>51</v>
      </c>
      <c r="P1702" s="202">
        <v>432000</v>
      </c>
      <c r="Q1702" s="198" t="s">
        <v>159</v>
      </c>
      <c r="R1702" s="198" t="s">
        <v>160</v>
      </c>
      <c r="S1702" s="198" t="s">
        <v>54</v>
      </c>
      <c r="T1702" s="198" t="s">
        <v>785</v>
      </c>
      <c r="U1702" s="198" t="s">
        <v>80</v>
      </c>
      <c r="V1702" s="198" t="s">
        <v>56</v>
      </c>
      <c r="W1702" s="198" t="s">
        <v>356</v>
      </c>
      <c r="X1702" s="198" t="s">
        <v>161</v>
      </c>
      <c r="Y1702" s="198" t="s">
        <v>162</v>
      </c>
      <c r="Z1702" s="201">
        <v>46265</v>
      </c>
      <c r="AA1702" s="198" t="s">
        <v>59</v>
      </c>
      <c r="AB1702" s="198" t="s">
        <v>60</v>
      </c>
      <c r="AC1702" s="198" t="s">
        <v>86</v>
      </c>
      <c r="AD1702" s="198" t="s">
        <v>62</v>
      </c>
      <c r="AE1702" s="198" t="s">
        <v>54</v>
      </c>
      <c r="AF1702" s="198" t="s">
        <v>54</v>
      </c>
      <c r="AG1702" s="198" t="s">
        <v>564</v>
      </c>
      <c r="AH1702" s="198" t="s">
        <v>153</v>
      </c>
      <c r="AI1702" s="198" t="s">
        <v>56</v>
      </c>
      <c r="AJ1702" s="198" t="s">
        <v>163</v>
      </c>
      <c r="AK1702" s="198" t="s">
        <v>51</v>
      </c>
      <c r="AL1702" s="198" t="s">
        <v>67</v>
      </c>
      <c r="AM1702" s="198" t="s">
        <v>68</v>
      </c>
      <c r="AN1702" s="202">
        <v>432000</v>
      </c>
      <c r="AO1702" s="202">
        <v>432000</v>
      </c>
      <c r="AP1702" s="202">
        <v>432000</v>
      </c>
      <c r="AQ1702" s="198" t="s">
        <v>358</v>
      </c>
      <c r="AR1702" s="198" t="s">
        <v>51</v>
      </c>
      <c r="AS1702" s="202">
        <v>432000</v>
      </c>
      <c r="AT1702" s="202">
        <v>432000</v>
      </c>
      <c r="AU1702" s="198" t="s">
        <v>359</v>
      </c>
      <c r="AV1702" s="198" t="s">
        <v>62</v>
      </c>
      <c r="AW1702" s="198" t="s">
        <v>54</v>
      </c>
    </row>
    <row r="1703" spans="3:49" outlineLevel="2" x14ac:dyDescent="0.25">
      <c r="C1703" s="201"/>
      <c r="D1703" s="198" t="s">
        <v>278</v>
      </c>
      <c r="H1703" s="198" t="s">
        <v>278</v>
      </c>
      <c r="I1703" s="202">
        <f t="shared" si="26"/>
        <v>706981442.39999998</v>
      </c>
      <c r="J1703" s="202">
        <v>171.2</v>
      </c>
      <c r="L1703" s="204">
        <v>1</v>
      </c>
      <c r="M1703" s="202">
        <v>609809.6</v>
      </c>
      <c r="N1703" s="204">
        <v>1</v>
      </c>
      <c r="O1703" s="198" t="s">
        <v>51</v>
      </c>
      <c r="P1703" s="202">
        <v>609809.6</v>
      </c>
      <c r="Q1703" s="198" t="s">
        <v>159</v>
      </c>
      <c r="R1703" s="198" t="s">
        <v>160</v>
      </c>
      <c r="S1703" s="198" t="s">
        <v>54</v>
      </c>
      <c r="T1703" s="198" t="s">
        <v>785</v>
      </c>
      <c r="U1703" s="198" t="s">
        <v>80</v>
      </c>
      <c r="V1703" s="198" t="s">
        <v>56</v>
      </c>
      <c r="W1703" s="198" t="s">
        <v>356</v>
      </c>
      <c r="X1703" s="198" t="s">
        <v>161</v>
      </c>
      <c r="Y1703" s="198" t="s">
        <v>162</v>
      </c>
      <c r="Z1703" s="201">
        <v>46265</v>
      </c>
      <c r="AA1703" s="198" t="s">
        <v>59</v>
      </c>
      <c r="AB1703" s="198" t="s">
        <v>60</v>
      </c>
      <c r="AC1703" s="198" t="s">
        <v>86</v>
      </c>
      <c r="AD1703" s="198" t="s">
        <v>62</v>
      </c>
      <c r="AE1703" s="198" t="s">
        <v>54</v>
      </c>
      <c r="AF1703" s="198" t="s">
        <v>54</v>
      </c>
      <c r="AG1703" s="198" t="s">
        <v>564</v>
      </c>
      <c r="AH1703" s="198" t="s">
        <v>193</v>
      </c>
      <c r="AI1703" s="198" t="s">
        <v>56</v>
      </c>
      <c r="AJ1703" s="198" t="s">
        <v>163</v>
      </c>
      <c r="AK1703" s="198" t="s">
        <v>51</v>
      </c>
      <c r="AL1703" s="198" t="s">
        <v>67</v>
      </c>
      <c r="AM1703" s="198" t="s">
        <v>68</v>
      </c>
      <c r="AN1703" s="202">
        <v>609809.6</v>
      </c>
      <c r="AO1703" s="202">
        <v>609809.6</v>
      </c>
      <c r="AP1703" s="202">
        <v>609809.6</v>
      </c>
      <c r="AQ1703" s="198" t="s">
        <v>358</v>
      </c>
      <c r="AR1703" s="198" t="s">
        <v>51</v>
      </c>
      <c r="AS1703" s="202">
        <v>609809.6</v>
      </c>
      <c r="AT1703" s="202">
        <v>609809.6</v>
      </c>
      <c r="AU1703" s="198" t="s">
        <v>359</v>
      </c>
      <c r="AV1703" s="198" t="s">
        <v>62</v>
      </c>
      <c r="AW1703" s="198" t="s">
        <v>54</v>
      </c>
    </row>
    <row r="1704" spans="3:49" outlineLevel="2" x14ac:dyDescent="0.25">
      <c r="C1704" s="201"/>
      <c r="D1704" s="198" t="s">
        <v>278</v>
      </c>
      <c r="H1704" s="198" t="s">
        <v>278</v>
      </c>
      <c r="I1704" s="202">
        <f t="shared" si="26"/>
        <v>707394398.85000002</v>
      </c>
      <c r="J1704" s="202">
        <v>171.3</v>
      </c>
      <c r="L1704" s="204">
        <v>1</v>
      </c>
      <c r="M1704" s="202">
        <v>432000</v>
      </c>
      <c r="N1704" s="204">
        <v>1</v>
      </c>
      <c r="O1704" s="198" t="s">
        <v>51</v>
      </c>
      <c r="P1704" s="202">
        <v>432000</v>
      </c>
      <c r="Q1704" s="198" t="s">
        <v>159</v>
      </c>
      <c r="R1704" s="198" t="s">
        <v>160</v>
      </c>
      <c r="S1704" s="198" t="s">
        <v>54</v>
      </c>
      <c r="T1704" s="198" t="s">
        <v>785</v>
      </c>
      <c r="U1704" s="198" t="s">
        <v>80</v>
      </c>
      <c r="V1704" s="198" t="s">
        <v>56</v>
      </c>
      <c r="W1704" s="198" t="s">
        <v>356</v>
      </c>
      <c r="X1704" s="198" t="s">
        <v>161</v>
      </c>
      <c r="Y1704" s="198" t="s">
        <v>162</v>
      </c>
      <c r="Z1704" s="201">
        <v>46265</v>
      </c>
      <c r="AA1704" s="198" t="s">
        <v>59</v>
      </c>
      <c r="AB1704" s="198" t="s">
        <v>60</v>
      </c>
      <c r="AC1704" s="198" t="s">
        <v>86</v>
      </c>
      <c r="AD1704" s="198" t="s">
        <v>62</v>
      </c>
      <c r="AE1704" s="198" t="s">
        <v>54</v>
      </c>
      <c r="AF1704" s="198" t="s">
        <v>54</v>
      </c>
      <c r="AG1704" s="198" t="s">
        <v>564</v>
      </c>
      <c r="AH1704" s="198" t="s">
        <v>193</v>
      </c>
      <c r="AI1704" s="198" t="s">
        <v>56</v>
      </c>
      <c r="AJ1704" s="198" t="s">
        <v>163</v>
      </c>
      <c r="AK1704" s="198" t="s">
        <v>51</v>
      </c>
      <c r="AL1704" s="198" t="s">
        <v>67</v>
      </c>
      <c r="AM1704" s="198" t="s">
        <v>68</v>
      </c>
      <c r="AN1704" s="202">
        <v>432000</v>
      </c>
      <c r="AO1704" s="202">
        <v>432000</v>
      </c>
      <c r="AP1704" s="202">
        <v>432000</v>
      </c>
      <c r="AQ1704" s="198" t="s">
        <v>358</v>
      </c>
      <c r="AR1704" s="198" t="s">
        <v>51</v>
      </c>
      <c r="AS1704" s="202">
        <v>432000</v>
      </c>
      <c r="AT1704" s="202">
        <v>432000</v>
      </c>
      <c r="AU1704" s="198" t="s">
        <v>359</v>
      </c>
      <c r="AV1704" s="198" t="s">
        <v>62</v>
      </c>
      <c r="AW1704" s="198" t="s">
        <v>54</v>
      </c>
    </row>
    <row r="1705" spans="3:49" outlineLevel="2" x14ac:dyDescent="0.25">
      <c r="C1705" s="201"/>
      <c r="D1705" s="198" t="s">
        <v>276</v>
      </c>
      <c r="H1705" s="198" t="s">
        <v>276</v>
      </c>
      <c r="I1705" s="202">
        <f t="shared" si="26"/>
        <v>707807355.30000007</v>
      </c>
      <c r="J1705" s="202">
        <v>171.4</v>
      </c>
      <c r="L1705" s="204">
        <v>1</v>
      </c>
      <c r="M1705" s="202">
        <v>609809.6</v>
      </c>
      <c r="N1705" s="204">
        <v>1</v>
      </c>
      <c r="O1705" s="198" t="s">
        <v>51</v>
      </c>
      <c r="P1705" s="202">
        <v>609809.6</v>
      </c>
      <c r="Q1705" s="198" t="s">
        <v>159</v>
      </c>
      <c r="R1705" s="198" t="s">
        <v>160</v>
      </c>
      <c r="S1705" s="198" t="s">
        <v>54</v>
      </c>
      <c r="T1705" s="198" t="s">
        <v>785</v>
      </c>
      <c r="U1705" s="198" t="s">
        <v>80</v>
      </c>
      <c r="V1705" s="198" t="s">
        <v>56</v>
      </c>
      <c r="W1705" s="198" t="s">
        <v>356</v>
      </c>
      <c r="X1705" s="198" t="s">
        <v>161</v>
      </c>
      <c r="Y1705" s="198" t="s">
        <v>162</v>
      </c>
      <c r="Z1705" s="201">
        <v>46265</v>
      </c>
      <c r="AA1705" s="198" t="s">
        <v>59</v>
      </c>
      <c r="AB1705" s="198" t="s">
        <v>60</v>
      </c>
      <c r="AC1705" s="198" t="s">
        <v>86</v>
      </c>
      <c r="AD1705" s="198" t="s">
        <v>62</v>
      </c>
      <c r="AE1705" s="198" t="s">
        <v>54</v>
      </c>
      <c r="AF1705" s="198" t="s">
        <v>54</v>
      </c>
      <c r="AG1705" s="198" t="s">
        <v>564</v>
      </c>
      <c r="AH1705" s="198" t="s">
        <v>143</v>
      </c>
      <c r="AI1705" s="198" t="s">
        <v>56</v>
      </c>
      <c r="AJ1705" s="198" t="s">
        <v>163</v>
      </c>
      <c r="AK1705" s="198" t="s">
        <v>51</v>
      </c>
      <c r="AL1705" s="198" t="s">
        <v>67</v>
      </c>
      <c r="AM1705" s="198" t="s">
        <v>68</v>
      </c>
      <c r="AN1705" s="202">
        <v>609809.6</v>
      </c>
      <c r="AO1705" s="202">
        <v>609809.6</v>
      </c>
      <c r="AP1705" s="202">
        <v>609809.6</v>
      </c>
      <c r="AQ1705" s="198" t="s">
        <v>358</v>
      </c>
      <c r="AR1705" s="198" t="s">
        <v>51</v>
      </c>
      <c r="AS1705" s="202">
        <v>609809.6</v>
      </c>
      <c r="AT1705" s="202">
        <v>609809.6</v>
      </c>
      <c r="AU1705" s="198" t="s">
        <v>359</v>
      </c>
      <c r="AV1705" s="198" t="s">
        <v>62</v>
      </c>
      <c r="AW1705" s="198" t="s">
        <v>54</v>
      </c>
    </row>
    <row r="1706" spans="3:49" outlineLevel="2" x14ac:dyDescent="0.25">
      <c r="C1706" s="201"/>
      <c r="D1706" s="198" t="s">
        <v>276</v>
      </c>
      <c r="H1706" s="198" t="s">
        <v>276</v>
      </c>
      <c r="I1706" s="202">
        <f t="shared" si="26"/>
        <v>708220311.75</v>
      </c>
      <c r="J1706" s="202">
        <v>171.5</v>
      </c>
      <c r="L1706" s="204">
        <v>1</v>
      </c>
      <c r="M1706" s="202">
        <v>432000</v>
      </c>
      <c r="N1706" s="204">
        <v>1</v>
      </c>
      <c r="O1706" s="198" t="s">
        <v>51</v>
      </c>
      <c r="P1706" s="202">
        <v>432000</v>
      </c>
      <c r="Q1706" s="198" t="s">
        <v>159</v>
      </c>
      <c r="R1706" s="198" t="s">
        <v>160</v>
      </c>
      <c r="S1706" s="198" t="s">
        <v>54</v>
      </c>
      <c r="T1706" s="198" t="s">
        <v>785</v>
      </c>
      <c r="U1706" s="198" t="s">
        <v>80</v>
      </c>
      <c r="V1706" s="198" t="s">
        <v>56</v>
      </c>
      <c r="W1706" s="198" t="s">
        <v>356</v>
      </c>
      <c r="X1706" s="198" t="s">
        <v>161</v>
      </c>
      <c r="Y1706" s="198" t="s">
        <v>162</v>
      </c>
      <c r="Z1706" s="201">
        <v>46265</v>
      </c>
      <c r="AA1706" s="198" t="s">
        <v>59</v>
      </c>
      <c r="AB1706" s="198" t="s">
        <v>60</v>
      </c>
      <c r="AC1706" s="198" t="s">
        <v>86</v>
      </c>
      <c r="AD1706" s="198" t="s">
        <v>62</v>
      </c>
      <c r="AE1706" s="198" t="s">
        <v>54</v>
      </c>
      <c r="AF1706" s="198" t="s">
        <v>54</v>
      </c>
      <c r="AG1706" s="198" t="s">
        <v>564</v>
      </c>
      <c r="AH1706" s="198" t="s">
        <v>143</v>
      </c>
      <c r="AI1706" s="198" t="s">
        <v>56</v>
      </c>
      <c r="AJ1706" s="198" t="s">
        <v>163</v>
      </c>
      <c r="AK1706" s="198" t="s">
        <v>51</v>
      </c>
      <c r="AL1706" s="198" t="s">
        <v>67</v>
      </c>
      <c r="AM1706" s="198" t="s">
        <v>68</v>
      </c>
      <c r="AN1706" s="202">
        <v>432000</v>
      </c>
      <c r="AO1706" s="202">
        <v>432000</v>
      </c>
      <c r="AP1706" s="202">
        <v>432000</v>
      </c>
      <c r="AQ1706" s="198" t="s">
        <v>358</v>
      </c>
      <c r="AR1706" s="198" t="s">
        <v>51</v>
      </c>
      <c r="AS1706" s="202">
        <v>432000</v>
      </c>
      <c r="AT1706" s="202">
        <v>432000</v>
      </c>
      <c r="AU1706" s="198" t="s">
        <v>359</v>
      </c>
      <c r="AV1706" s="198" t="s">
        <v>62</v>
      </c>
      <c r="AW1706" s="198" t="s">
        <v>54</v>
      </c>
    </row>
    <row r="1707" spans="3:49" outlineLevel="2" x14ac:dyDescent="0.25">
      <c r="C1707" s="201"/>
      <c r="D1707" s="198" t="s">
        <v>281</v>
      </c>
      <c r="H1707" s="198" t="s">
        <v>281</v>
      </c>
      <c r="I1707" s="202">
        <f t="shared" si="26"/>
        <v>708633268.19999993</v>
      </c>
      <c r="J1707" s="202">
        <v>171.6</v>
      </c>
      <c r="L1707" s="204">
        <v>1</v>
      </c>
      <c r="M1707" s="202">
        <v>452000</v>
      </c>
      <c r="N1707" s="204">
        <v>1</v>
      </c>
      <c r="O1707" s="198" t="s">
        <v>51</v>
      </c>
      <c r="P1707" s="202">
        <v>452000</v>
      </c>
      <c r="Q1707" s="198" t="s">
        <v>159</v>
      </c>
      <c r="R1707" s="198" t="s">
        <v>160</v>
      </c>
      <c r="S1707" s="198" t="s">
        <v>54</v>
      </c>
      <c r="T1707" s="198" t="s">
        <v>785</v>
      </c>
      <c r="U1707" s="198" t="s">
        <v>165</v>
      </c>
      <c r="V1707" s="198" t="s">
        <v>56</v>
      </c>
      <c r="W1707" s="198" t="s">
        <v>356</v>
      </c>
      <c r="X1707" s="198" t="s">
        <v>161</v>
      </c>
      <c r="Y1707" s="198" t="s">
        <v>162</v>
      </c>
      <c r="Z1707" s="201">
        <v>46265</v>
      </c>
      <c r="AA1707" s="198" t="s">
        <v>59</v>
      </c>
      <c r="AB1707" s="198" t="s">
        <v>60</v>
      </c>
      <c r="AC1707" s="198" t="s">
        <v>86</v>
      </c>
      <c r="AD1707" s="198" t="s">
        <v>62</v>
      </c>
      <c r="AE1707" s="198" t="s">
        <v>54</v>
      </c>
      <c r="AF1707" s="198" t="s">
        <v>54</v>
      </c>
      <c r="AG1707" s="198" t="s">
        <v>564</v>
      </c>
      <c r="AH1707" s="198" t="s">
        <v>153</v>
      </c>
      <c r="AI1707" s="198" t="s">
        <v>56</v>
      </c>
      <c r="AJ1707" s="198" t="s">
        <v>163</v>
      </c>
      <c r="AK1707" s="198" t="s">
        <v>51</v>
      </c>
      <c r="AL1707" s="198" t="s">
        <v>67</v>
      </c>
      <c r="AM1707" s="198" t="s">
        <v>68</v>
      </c>
      <c r="AN1707" s="202">
        <v>452000</v>
      </c>
      <c r="AO1707" s="202">
        <v>452000</v>
      </c>
      <c r="AP1707" s="202">
        <v>452000</v>
      </c>
      <c r="AQ1707" s="198" t="s">
        <v>358</v>
      </c>
      <c r="AR1707" s="198" t="s">
        <v>51</v>
      </c>
      <c r="AS1707" s="202">
        <v>452000</v>
      </c>
      <c r="AT1707" s="202">
        <v>452000</v>
      </c>
      <c r="AU1707" s="198" t="s">
        <v>359</v>
      </c>
      <c r="AV1707" s="198" t="s">
        <v>62</v>
      </c>
      <c r="AW1707" s="198" t="s">
        <v>54</v>
      </c>
    </row>
    <row r="1708" spans="3:49" outlineLevel="2" x14ac:dyDescent="0.25">
      <c r="C1708" s="201"/>
      <c r="D1708" s="198" t="s">
        <v>281</v>
      </c>
      <c r="H1708" s="198" t="s">
        <v>281</v>
      </c>
      <c r="I1708" s="202">
        <f t="shared" si="26"/>
        <v>709046224.64999998</v>
      </c>
      <c r="J1708" s="202">
        <v>171.7</v>
      </c>
      <c r="L1708" s="204">
        <v>1</v>
      </c>
      <c r="M1708" s="202">
        <v>589809.6</v>
      </c>
      <c r="N1708" s="204">
        <v>1</v>
      </c>
      <c r="O1708" s="198" t="s">
        <v>51</v>
      </c>
      <c r="P1708" s="202">
        <v>589809.6</v>
      </c>
      <c r="Q1708" s="198" t="s">
        <v>159</v>
      </c>
      <c r="R1708" s="198" t="s">
        <v>160</v>
      </c>
      <c r="S1708" s="198" t="s">
        <v>54</v>
      </c>
      <c r="T1708" s="198" t="s">
        <v>785</v>
      </c>
      <c r="U1708" s="198" t="s">
        <v>165</v>
      </c>
      <c r="V1708" s="198" t="s">
        <v>56</v>
      </c>
      <c r="W1708" s="198" t="s">
        <v>356</v>
      </c>
      <c r="X1708" s="198" t="s">
        <v>161</v>
      </c>
      <c r="Y1708" s="198" t="s">
        <v>162</v>
      </c>
      <c r="Z1708" s="201">
        <v>46265</v>
      </c>
      <c r="AA1708" s="198" t="s">
        <v>59</v>
      </c>
      <c r="AB1708" s="198" t="s">
        <v>60</v>
      </c>
      <c r="AC1708" s="198" t="s">
        <v>86</v>
      </c>
      <c r="AD1708" s="198" t="s">
        <v>62</v>
      </c>
      <c r="AE1708" s="198" t="s">
        <v>54</v>
      </c>
      <c r="AF1708" s="198" t="s">
        <v>54</v>
      </c>
      <c r="AG1708" s="198" t="s">
        <v>564</v>
      </c>
      <c r="AH1708" s="198" t="s">
        <v>153</v>
      </c>
      <c r="AI1708" s="198" t="s">
        <v>56</v>
      </c>
      <c r="AJ1708" s="198" t="s">
        <v>163</v>
      </c>
      <c r="AK1708" s="198" t="s">
        <v>51</v>
      </c>
      <c r="AL1708" s="198" t="s">
        <v>67</v>
      </c>
      <c r="AM1708" s="198" t="s">
        <v>68</v>
      </c>
      <c r="AN1708" s="202">
        <v>589809.6</v>
      </c>
      <c r="AO1708" s="202">
        <v>589809.6</v>
      </c>
      <c r="AP1708" s="202">
        <v>589809.6</v>
      </c>
      <c r="AQ1708" s="198" t="s">
        <v>358</v>
      </c>
      <c r="AR1708" s="198" t="s">
        <v>51</v>
      </c>
      <c r="AS1708" s="202">
        <v>589809.6</v>
      </c>
      <c r="AT1708" s="202">
        <v>589809.6</v>
      </c>
      <c r="AU1708" s="198" t="s">
        <v>359</v>
      </c>
      <c r="AV1708" s="198" t="s">
        <v>62</v>
      </c>
      <c r="AW1708" s="198" t="s">
        <v>54</v>
      </c>
    </row>
    <row r="1709" spans="3:49" outlineLevel="2" x14ac:dyDescent="0.25">
      <c r="C1709" s="201"/>
      <c r="D1709" s="198" t="s">
        <v>275</v>
      </c>
      <c r="H1709" s="198" t="s">
        <v>275</v>
      </c>
      <c r="I1709" s="202">
        <f t="shared" si="26"/>
        <v>709459181.10000002</v>
      </c>
      <c r="J1709" s="202">
        <v>171.8</v>
      </c>
      <c r="L1709" s="204">
        <v>1</v>
      </c>
      <c r="M1709" s="202">
        <v>589809.6</v>
      </c>
      <c r="N1709" s="204">
        <v>1</v>
      </c>
      <c r="O1709" s="198" t="s">
        <v>51</v>
      </c>
      <c r="P1709" s="202">
        <v>589809.6</v>
      </c>
      <c r="Q1709" s="198" t="s">
        <v>159</v>
      </c>
      <c r="R1709" s="198" t="s">
        <v>160</v>
      </c>
      <c r="S1709" s="198" t="s">
        <v>54</v>
      </c>
      <c r="T1709" s="198" t="s">
        <v>785</v>
      </c>
      <c r="U1709" s="198" t="s">
        <v>165</v>
      </c>
      <c r="V1709" s="198" t="s">
        <v>56</v>
      </c>
      <c r="W1709" s="198" t="s">
        <v>356</v>
      </c>
      <c r="X1709" s="198" t="s">
        <v>161</v>
      </c>
      <c r="Y1709" s="198" t="s">
        <v>162</v>
      </c>
      <c r="Z1709" s="201">
        <v>46265</v>
      </c>
      <c r="AA1709" s="198" t="s">
        <v>59</v>
      </c>
      <c r="AB1709" s="198" t="s">
        <v>60</v>
      </c>
      <c r="AC1709" s="198" t="s">
        <v>86</v>
      </c>
      <c r="AD1709" s="198" t="s">
        <v>62</v>
      </c>
      <c r="AE1709" s="198" t="s">
        <v>54</v>
      </c>
      <c r="AF1709" s="198" t="s">
        <v>54</v>
      </c>
      <c r="AG1709" s="198" t="s">
        <v>564</v>
      </c>
      <c r="AH1709" s="198" t="s">
        <v>148</v>
      </c>
      <c r="AI1709" s="198" t="s">
        <v>56</v>
      </c>
      <c r="AJ1709" s="198" t="s">
        <v>163</v>
      </c>
      <c r="AK1709" s="198" t="s">
        <v>51</v>
      </c>
      <c r="AL1709" s="198" t="s">
        <v>67</v>
      </c>
      <c r="AM1709" s="198" t="s">
        <v>68</v>
      </c>
      <c r="AN1709" s="202">
        <v>589809.6</v>
      </c>
      <c r="AO1709" s="202">
        <v>589809.6</v>
      </c>
      <c r="AP1709" s="202">
        <v>589809.6</v>
      </c>
      <c r="AQ1709" s="198" t="s">
        <v>358</v>
      </c>
      <c r="AR1709" s="198" t="s">
        <v>51</v>
      </c>
      <c r="AS1709" s="202">
        <v>589809.6</v>
      </c>
      <c r="AT1709" s="202">
        <v>589809.6</v>
      </c>
      <c r="AU1709" s="198" t="s">
        <v>359</v>
      </c>
      <c r="AV1709" s="198" t="s">
        <v>62</v>
      </c>
      <c r="AW1709" s="198" t="s">
        <v>54</v>
      </c>
    </row>
    <row r="1710" spans="3:49" outlineLevel="2" x14ac:dyDescent="0.25">
      <c r="C1710" s="201"/>
      <c r="D1710" s="198" t="s">
        <v>275</v>
      </c>
      <c r="H1710" s="198" t="s">
        <v>275</v>
      </c>
      <c r="I1710" s="202">
        <f t="shared" si="26"/>
        <v>709872137.55000007</v>
      </c>
      <c r="J1710" s="202">
        <v>171.9</v>
      </c>
      <c r="L1710" s="204">
        <v>1</v>
      </c>
      <c r="M1710" s="202">
        <v>452000</v>
      </c>
      <c r="N1710" s="204">
        <v>1</v>
      </c>
      <c r="O1710" s="198" t="s">
        <v>51</v>
      </c>
      <c r="P1710" s="202">
        <v>452000</v>
      </c>
      <c r="Q1710" s="198" t="s">
        <v>159</v>
      </c>
      <c r="R1710" s="198" t="s">
        <v>160</v>
      </c>
      <c r="S1710" s="198" t="s">
        <v>54</v>
      </c>
      <c r="T1710" s="198" t="s">
        <v>785</v>
      </c>
      <c r="U1710" s="198" t="s">
        <v>165</v>
      </c>
      <c r="V1710" s="198" t="s">
        <v>56</v>
      </c>
      <c r="W1710" s="198" t="s">
        <v>356</v>
      </c>
      <c r="X1710" s="198" t="s">
        <v>161</v>
      </c>
      <c r="Y1710" s="198" t="s">
        <v>162</v>
      </c>
      <c r="Z1710" s="201">
        <v>46265</v>
      </c>
      <c r="AA1710" s="198" t="s">
        <v>59</v>
      </c>
      <c r="AB1710" s="198" t="s">
        <v>60</v>
      </c>
      <c r="AC1710" s="198" t="s">
        <v>86</v>
      </c>
      <c r="AD1710" s="198" t="s">
        <v>62</v>
      </c>
      <c r="AE1710" s="198" t="s">
        <v>54</v>
      </c>
      <c r="AF1710" s="198" t="s">
        <v>54</v>
      </c>
      <c r="AG1710" s="198" t="s">
        <v>564</v>
      </c>
      <c r="AH1710" s="198" t="s">
        <v>148</v>
      </c>
      <c r="AI1710" s="198" t="s">
        <v>56</v>
      </c>
      <c r="AJ1710" s="198" t="s">
        <v>163</v>
      </c>
      <c r="AK1710" s="198" t="s">
        <v>51</v>
      </c>
      <c r="AL1710" s="198" t="s">
        <v>67</v>
      </c>
      <c r="AM1710" s="198" t="s">
        <v>68</v>
      </c>
      <c r="AN1710" s="202">
        <v>452000</v>
      </c>
      <c r="AO1710" s="202">
        <v>452000</v>
      </c>
      <c r="AP1710" s="202">
        <v>452000</v>
      </c>
      <c r="AQ1710" s="198" t="s">
        <v>358</v>
      </c>
      <c r="AR1710" s="198" t="s">
        <v>51</v>
      </c>
      <c r="AS1710" s="202">
        <v>452000</v>
      </c>
      <c r="AT1710" s="202">
        <v>452000</v>
      </c>
      <c r="AU1710" s="198" t="s">
        <v>359</v>
      </c>
      <c r="AV1710" s="198" t="s">
        <v>62</v>
      </c>
      <c r="AW1710" s="198" t="s">
        <v>54</v>
      </c>
    </row>
    <row r="1711" spans="3:49" outlineLevel="2" x14ac:dyDescent="0.25">
      <c r="C1711" s="201"/>
      <c r="D1711" s="198" t="s">
        <v>271</v>
      </c>
      <c r="H1711" s="198" t="s">
        <v>271</v>
      </c>
      <c r="I1711" s="202">
        <f t="shared" si="26"/>
        <v>710285094</v>
      </c>
      <c r="J1711" s="202">
        <v>172</v>
      </c>
      <c r="L1711" s="204">
        <v>1</v>
      </c>
      <c r="M1711" s="202">
        <v>452000</v>
      </c>
      <c r="N1711" s="204">
        <v>1</v>
      </c>
      <c r="O1711" s="198" t="s">
        <v>51</v>
      </c>
      <c r="P1711" s="202">
        <v>452000</v>
      </c>
      <c r="Q1711" s="198" t="s">
        <v>159</v>
      </c>
      <c r="R1711" s="198" t="s">
        <v>160</v>
      </c>
      <c r="S1711" s="198" t="s">
        <v>54</v>
      </c>
      <c r="T1711" s="198" t="s">
        <v>785</v>
      </c>
      <c r="U1711" s="198" t="s">
        <v>165</v>
      </c>
      <c r="V1711" s="198" t="s">
        <v>56</v>
      </c>
      <c r="W1711" s="198" t="s">
        <v>356</v>
      </c>
      <c r="X1711" s="198" t="s">
        <v>161</v>
      </c>
      <c r="Y1711" s="198" t="s">
        <v>162</v>
      </c>
      <c r="Z1711" s="201">
        <v>46265</v>
      </c>
      <c r="AA1711" s="198" t="s">
        <v>59</v>
      </c>
      <c r="AB1711" s="198" t="s">
        <v>60</v>
      </c>
      <c r="AC1711" s="198" t="s">
        <v>86</v>
      </c>
      <c r="AD1711" s="198" t="s">
        <v>62</v>
      </c>
      <c r="AE1711" s="198" t="s">
        <v>54</v>
      </c>
      <c r="AF1711" s="198" t="s">
        <v>54</v>
      </c>
      <c r="AG1711" s="198" t="s">
        <v>564</v>
      </c>
      <c r="AH1711" s="198" t="s">
        <v>274</v>
      </c>
      <c r="AI1711" s="198" t="s">
        <v>56</v>
      </c>
      <c r="AJ1711" s="198" t="s">
        <v>163</v>
      </c>
      <c r="AK1711" s="198" t="s">
        <v>51</v>
      </c>
      <c r="AL1711" s="198" t="s">
        <v>67</v>
      </c>
      <c r="AM1711" s="198" t="s">
        <v>68</v>
      </c>
      <c r="AN1711" s="202">
        <v>452000</v>
      </c>
      <c r="AO1711" s="202">
        <v>452000</v>
      </c>
      <c r="AP1711" s="202">
        <v>452000</v>
      </c>
      <c r="AQ1711" s="198" t="s">
        <v>358</v>
      </c>
      <c r="AR1711" s="198" t="s">
        <v>51</v>
      </c>
      <c r="AS1711" s="202">
        <v>452000</v>
      </c>
      <c r="AT1711" s="202">
        <v>452000</v>
      </c>
      <c r="AU1711" s="198" t="s">
        <v>359</v>
      </c>
      <c r="AV1711" s="198" t="s">
        <v>62</v>
      </c>
      <c r="AW1711" s="198" t="s">
        <v>54</v>
      </c>
    </row>
    <row r="1712" spans="3:49" outlineLevel="2" x14ac:dyDescent="0.25">
      <c r="C1712" s="201"/>
      <c r="D1712" s="198" t="s">
        <v>271</v>
      </c>
      <c r="H1712" s="198" t="s">
        <v>271</v>
      </c>
      <c r="I1712" s="202">
        <f t="shared" si="26"/>
        <v>710698050.44999993</v>
      </c>
      <c r="J1712" s="202">
        <v>172.1</v>
      </c>
      <c r="L1712" s="204">
        <v>1</v>
      </c>
      <c r="M1712" s="202">
        <v>589809.6</v>
      </c>
      <c r="N1712" s="204">
        <v>1</v>
      </c>
      <c r="O1712" s="198" t="s">
        <v>51</v>
      </c>
      <c r="P1712" s="202">
        <v>589809.6</v>
      </c>
      <c r="Q1712" s="198" t="s">
        <v>159</v>
      </c>
      <c r="R1712" s="198" t="s">
        <v>160</v>
      </c>
      <c r="S1712" s="198" t="s">
        <v>54</v>
      </c>
      <c r="T1712" s="198" t="s">
        <v>785</v>
      </c>
      <c r="U1712" s="198" t="s">
        <v>165</v>
      </c>
      <c r="V1712" s="198" t="s">
        <v>56</v>
      </c>
      <c r="W1712" s="198" t="s">
        <v>356</v>
      </c>
      <c r="X1712" s="198" t="s">
        <v>161</v>
      </c>
      <c r="Y1712" s="198" t="s">
        <v>162</v>
      </c>
      <c r="Z1712" s="201">
        <v>46265</v>
      </c>
      <c r="AA1712" s="198" t="s">
        <v>59</v>
      </c>
      <c r="AB1712" s="198" t="s">
        <v>60</v>
      </c>
      <c r="AC1712" s="198" t="s">
        <v>86</v>
      </c>
      <c r="AD1712" s="198" t="s">
        <v>62</v>
      </c>
      <c r="AE1712" s="198" t="s">
        <v>54</v>
      </c>
      <c r="AF1712" s="198" t="s">
        <v>54</v>
      </c>
      <c r="AG1712" s="198" t="s">
        <v>564</v>
      </c>
      <c r="AH1712" s="198" t="s">
        <v>274</v>
      </c>
      <c r="AI1712" s="198" t="s">
        <v>56</v>
      </c>
      <c r="AJ1712" s="198" t="s">
        <v>163</v>
      </c>
      <c r="AK1712" s="198" t="s">
        <v>51</v>
      </c>
      <c r="AL1712" s="198" t="s">
        <v>67</v>
      </c>
      <c r="AM1712" s="198" t="s">
        <v>68</v>
      </c>
      <c r="AN1712" s="202">
        <v>589809.6</v>
      </c>
      <c r="AO1712" s="202">
        <v>589809.6</v>
      </c>
      <c r="AP1712" s="202">
        <v>589809.6</v>
      </c>
      <c r="AQ1712" s="198" t="s">
        <v>358</v>
      </c>
      <c r="AR1712" s="198" t="s">
        <v>51</v>
      </c>
      <c r="AS1712" s="202">
        <v>589809.6</v>
      </c>
      <c r="AT1712" s="202">
        <v>589809.6</v>
      </c>
      <c r="AU1712" s="198" t="s">
        <v>359</v>
      </c>
      <c r="AV1712" s="198" t="s">
        <v>62</v>
      </c>
      <c r="AW1712" s="198" t="s">
        <v>54</v>
      </c>
    </row>
    <row r="1713" spans="3:49" outlineLevel="2" x14ac:dyDescent="0.25">
      <c r="C1713" s="201"/>
      <c r="D1713" s="198" t="s">
        <v>287</v>
      </c>
      <c r="H1713" s="198" t="s">
        <v>287</v>
      </c>
      <c r="I1713" s="202">
        <f t="shared" si="26"/>
        <v>711111006.89999998</v>
      </c>
      <c r="J1713" s="202">
        <v>172.2</v>
      </c>
      <c r="L1713" s="204">
        <v>1</v>
      </c>
      <c r="M1713" s="202">
        <v>452000</v>
      </c>
      <c r="N1713" s="204">
        <v>1</v>
      </c>
      <c r="O1713" s="198" t="s">
        <v>51</v>
      </c>
      <c r="P1713" s="202">
        <v>452000</v>
      </c>
      <c r="Q1713" s="198" t="s">
        <v>159</v>
      </c>
      <c r="R1713" s="198" t="s">
        <v>160</v>
      </c>
      <c r="S1713" s="198" t="s">
        <v>54</v>
      </c>
      <c r="T1713" s="198" t="s">
        <v>785</v>
      </c>
      <c r="U1713" s="198" t="s">
        <v>277</v>
      </c>
      <c r="V1713" s="198" t="s">
        <v>56</v>
      </c>
      <c r="W1713" s="198" t="s">
        <v>356</v>
      </c>
      <c r="X1713" s="198" t="s">
        <v>161</v>
      </c>
      <c r="Y1713" s="198" t="s">
        <v>162</v>
      </c>
      <c r="Z1713" s="201">
        <v>46265</v>
      </c>
      <c r="AA1713" s="198" t="s">
        <v>59</v>
      </c>
      <c r="AB1713" s="198" t="s">
        <v>60</v>
      </c>
      <c r="AC1713" s="198" t="s">
        <v>86</v>
      </c>
      <c r="AD1713" s="198" t="s">
        <v>62</v>
      </c>
      <c r="AE1713" s="198" t="s">
        <v>54</v>
      </c>
      <c r="AF1713" s="198" t="s">
        <v>54</v>
      </c>
      <c r="AG1713" s="198" t="s">
        <v>564</v>
      </c>
      <c r="AH1713" s="198" t="s">
        <v>156</v>
      </c>
      <c r="AI1713" s="198" t="s">
        <v>56</v>
      </c>
      <c r="AJ1713" s="198" t="s">
        <v>163</v>
      </c>
      <c r="AK1713" s="198" t="s">
        <v>51</v>
      </c>
      <c r="AL1713" s="198" t="s">
        <v>67</v>
      </c>
      <c r="AM1713" s="198" t="s">
        <v>68</v>
      </c>
      <c r="AN1713" s="202">
        <v>452000</v>
      </c>
      <c r="AO1713" s="202">
        <v>452000</v>
      </c>
      <c r="AP1713" s="202">
        <v>452000</v>
      </c>
      <c r="AQ1713" s="198" t="s">
        <v>358</v>
      </c>
      <c r="AR1713" s="198" t="s">
        <v>51</v>
      </c>
      <c r="AS1713" s="202">
        <v>452000</v>
      </c>
      <c r="AT1713" s="202">
        <v>452000</v>
      </c>
      <c r="AU1713" s="198" t="s">
        <v>359</v>
      </c>
      <c r="AV1713" s="198" t="s">
        <v>62</v>
      </c>
      <c r="AW1713" s="198" t="s">
        <v>54</v>
      </c>
    </row>
    <row r="1714" spans="3:49" outlineLevel="2" x14ac:dyDescent="0.25">
      <c r="C1714" s="201"/>
      <c r="D1714" s="198" t="s">
        <v>287</v>
      </c>
      <c r="H1714" s="198" t="s">
        <v>287</v>
      </c>
      <c r="I1714" s="202">
        <f t="shared" si="26"/>
        <v>711523963.35000002</v>
      </c>
      <c r="J1714" s="202">
        <v>172.3</v>
      </c>
      <c r="L1714" s="204">
        <v>1</v>
      </c>
      <c r="M1714" s="202">
        <v>589809.6</v>
      </c>
      <c r="N1714" s="204">
        <v>1</v>
      </c>
      <c r="O1714" s="198" t="s">
        <v>51</v>
      </c>
      <c r="P1714" s="202">
        <v>589809.6</v>
      </c>
      <c r="Q1714" s="198" t="s">
        <v>159</v>
      </c>
      <c r="R1714" s="198" t="s">
        <v>160</v>
      </c>
      <c r="S1714" s="198" t="s">
        <v>54</v>
      </c>
      <c r="T1714" s="198" t="s">
        <v>785</v>
      </c>
      <c r="U1714" s="198" t="s">
        <v>277</v>
      </c>
      <c r="V1714" s="198" t="s">
        <v>56</v>
      </c>
      <c r="W1714" s="198" t="s">
        <v>356</v>
      </c>
      <c r="X1714" s="198" t="s">
        <v>161</v>
      </c>
      <c r="Y1714" s="198" t="s">
        <v>162</v>
      </c>
      <c r="Z1714" s="201">
        <v>46265</v>
      </c>
      <c r="AA1714" s="198" t="s">
        <v>59</v>
      </c>
      <c r="AB1714" s="198" t="s">
        <v>60</v>
      </c>
      <c r="AC1714" s="198" t="s">
        <v>86</v>
      </c>
      <c r="AD1714" s="198" t="s">
        <v>62</v>
      </c>
      <c r="AE1714" s="198" t="s">
        <v>54</v>
      </c>
      <c r="AF1714" s="198" t="s">
        <v>54</v>
      </c>
      <c r="AG1714" s="198" t="s">
        <v>564</v>
      </c>
      <c r="AH1714" s="198" t="s">
        <v>156</v>
      </c>
      <c r="AI1714" s="198" t="s">
        <v>56</v>
      </c>
      <c r="AJ1714" s="198" t="s">
        <v>163</v>
      </c>
      <c r="AK1714" s="198" t="s">
        <v>51</v>
      </c>
      <c r="AL1714" s="198" t="s">
        <v>67</v>
      </c>
      <c r="AM1714" s="198" t="s">
        <v>68</v>
      </c>
      <c r="AN1714" s="202">
        <v>589809.6</v>
      </c>
      <c r="AO1714" s="202">
        <v>589809.6</v>
      </c>
      <c r="AP1714" s="202">
        <v>589809.6</v>
      </c>
      <c r="AQ1714" s="198" t="s">
        <v>358</v>
      </c>
      <c r="AR1714" s="198" t="s">
        <v>51</v>
      </c>
      <c r="AS1714" s="202">
        <v>589809.6</v>
      </c>
      <c r="AT1714" s="202">
        <v>589809.6</v>
      </c>
      <c r="AU1714" s="198" t="s">
        <v>359</v>
      </c>
      <c r="AV1714" s="198" t="s">
        <v>62</v>
      </c>
      <c r="AW1714" s="198" t="s">
        <v>54</v>
      </c>
    </row>
    <row r="1715" spans="3:49" outlineLevel="2" x14ac:dyDescent="0.25">
      <c r="C1715" s="201"/>
      <c r="D1715" s="198" t="s">
        <v>276</v>
      </c>
      <c r="H1715" s="198" t="s">
        <v>276</v>
      </c>
      <c r="I1715" s="202">
        <f t="shared" si="26"/>
        <v>711936919.80000007</v>
      </c>
      <c r="J1715" s="202">
        <v>172.4</v>
      </c>
      <c r="L1715" s="204">
        <v>1</v>
      </c>
      <c r="M1715" s="202">
        <v>452000</v>
      </c>
      <c r="N1715" s="204">
        <v>1</v>
      </c>
      <c r="O1715" s="198" t="s">
        <v>51</v>
      </c>
      <c r="P1715" s="202">
        <v>452000</v>
      </c>
      <c r="Q1715" s="198" t="s">
        <v>159</v>
      </c>
      <c r="R1715" s="198" t="s">
        <v>160</v>
      </c>
      <c r="S1715" s="198" t="s">
        <v>54</v>
      </c>
      <c r="T1715" s="198" t="s">
        <v>785</v>
      </c>
      <c r="U1715" s="198" t="s">
        <v>277</v>
      </c>
      <c r="V1715" s="198" t="s">
        <v>56</v>
      </c>
      <c r="W1715" s="198" t="s">
        <v>356</v>
      </c>
      <c r="X1715" s="198" t="s">
        <v>161</v>
      </c>
      <c r="Y1715" s="198" t="s">
        <v>162</v>
      </c>
      <c r="Z1715" s="201">
        <v>46265</v>
      </c>
      <c r="AA1715" s="198" t="s">
        <v>59</v>
      </c>
      <c r="AB1715" s="198" t="s">
        <v>60</v>
      </c>
      <c r="AC1715" s="198" t="s">
        <v>86</v>
      </c>
      <c r="AD1715" s="198" t="s">
        <v>62</v>
      </c>
      <c r="AE1715" s="198" t="s">
        <v>54</v>
      </c>
      <c r="AF1715" s="198" t="s">
        <v>54</v>
      </c>
      <c r="AG1715" s="198" t="s">
        <v>564</v>
      </c>
      <c r="AH1715" s="198" t="s">
        <v>143</v>
      </c>
      <c r="AI1715" s="198" t="s">
        <v>56</v>
      </c>
      <c r="AJ1715" s="198" t="s">
        <v>163</v>
      </c>
      <c r="AK1715" s="198" t="s">
        <v>51</v>
      </c>
      <c r="AL1715" s="198" t="s">
        <v>67</v>
      </c>
      <c r="AM1715" s="198" t="s">
        <v>68</v>
      </c>
      <c r="AN1715" s="202">
        <v>452000</v>
      </c>
      <c r="AO1715" s="202">
        <v>452000</v>
      </c>
      <c r="AP1715" s="202">
        <v>452000</v>
      </c>
      <c r="AQ1715" s="198" t="s">
        <v>358</v>
      </c>
      <c r="AR1715" s="198" t="s">
        <v>51</v>
      </c>
      <c r="AS1715" s="202">
        <v>452000</v>
      </c>
      <c r="AT1715" s="202">
        <v>452000</v>
      </c>
      <c r="AU1715" s="198" t="s">
        <v>359</v>
      </c>
      <c r="AV1715" s="198" t="s">
        <v>62</v>
      </c>
      <c r="AW1715" s="198" t="s">
        <v>54</v>
      </c>
    </row>
    <row r="1716" spans="3:49" outlineLevel="2" x14ac:dyDescent="0.25">
      <c r="C1716" s="201"/>
      <c r="D1716" s="198" t="s">
        <v>276</v>
      </c>
      <c r="H1716" s="198" t="s">
        <v>276</v>
      </c>
      <c r="I1716" s="202">
        <f t="shared" si="26"/>
        <v>712349876.25</v>
      </c>
      <c r="J1716" s="202">
        <v>172.5</v>
      </c>
      <c r="L1716" s="204">
        <v>1</v>
      </c>
      <c r="M1716" s="202">
        <v>589809.6</v>
      </c>
      <c r="N1716" s="204">
        <v>1</v>
      </c>
      <c r="O1716" s="198" t="s">
        <v>51</v>
      </c>
      <c r="P1716" s="202">
        <v>589809.6</v>
      </c>
      <c r="Q1716" s="198" t="s">
        <v>159</v>
      </c>
      <c r="R1716" s="198" t="s">
        <v>160</v>
      </c>
      <c r="S1716" s="198" t="s">
        <v>54</v>
      </c>
      <c r="T1716" s="198" t="s">
        <v>785</v>
      </c>
      <c r="U1716" s="198" t="s">
        <v>277</v>
      </c>
      <c r="V1716" s="198" t="s">
        <v>56</v>
      </c>
      <c r="W1716" s="198" t="s">
        <v>356</v>
      </c>
      <c r="X1716" s="198" t="s">
        <v>161</v>
      </c>
      <c r="Y1716" s="198" t="s">
        <v>162</v>
      </c>
      <c r="Z1716" s="201">
        <v>46265</v>
      </c>
      <c r="AA1716" s="198" t="s">
        <v>59</v>
      </c>
      <c r="AB1716" s="198" t="s">
        <v>60</v>
      </c>
      <c r="AC1716" s="198" t="s">
        <v>86</v>
      </c>
      <c r="AD1716" s="198" t="s">
        <v>62</v>
      </c>
      <c r="AE1716" s="198" t="s">
        <v>54</v>
      </c>
      <c r="AF1716" s="198" t="s">
        <v>54</v>
      </c>
      <c r="AG1716" s="198" t="s">
        <v>564</v>
      </c>
      <c r="AH1716" s="198" t="s">
        <v>143</v>
      </c>
      <c r="AI1716" s="198" t="s">
        <v>56</v>
      </c>
      <c r="AJ1716" s="198" t="s">
        <v>163</v>
      </c>
      <c r="AK1716" s="198" t="s">
        <v>51</v>
      </c>
      <c r="AL1716" s="198" t="s">
        <v>67</v>
      </c>
      <c r="AM1716" s="198" t="s">
        <v>68</v>
      </c>
      <c r="AN1716" s="202">
        <v>589809.6</v>
      </c>
      <c r="AO1716" s="202">
        <v>589809.6</v>
      </c>
      <c r="AP1716" s="202">
        <v>589809.6</v>
      </c>
      <c r="AQ1716" s="198" t="s">
        <v>358</v>
      </c>
      <c r="AR1716" s="198" t="s">
        <v>51</v>
      </c>
      <c r="AS1716" s="202">
        <v>589809.6</v>
      </c>
      <c r="AT1716" s="202">
        <v>589809.6</v>
      </c>
      <c r="AU1716" s="198" t="s">
        <v>359</v>
      </c>
      <c r="AV1716" s="198" t="s">
        <v>62</v>
      </c>
      <c r="AW1716" s="198" t="s">
        <v>54</v>
      </c>
    </row>
    <row r="1717" spans="3:49" outlineLevel="2" x14ac:dyDescent="0.25">
      <c r="C1717" s="201"/>
      <c r="D1717" s="198" t="s">
        <v>271</v>
      </c>
      <c r="H1717" s="198" t="s">
        <v>271</v>
      </c>
      <c r="I1717" s="202">
        <f t="shared" si="26"/>
        <v>712762832.69999993</v>
      </c>
      <c r="J1717" s="202">
        <v>172.6</v>
      </c>
      <c r="L1717" s="204">
        <v>1</v>
      </c>
      <c r="M1717" s="202">
        <v>609809.6</v>
      </c>
      <c r="N1717" s="204">
        <v>1</v>
      </c>
      <c r="O1717" s="198" t="s">
        <v>51</v>
      </c>
      <c r="P1717" s="202">
        <v>609809.6</v>
      </c>
      <c r="Q1717" s="198" t="s">
        <v>159</v>
      </c>
      <c r="R1717" s="198" t="s">
        <v>160</v>
      </c>
      <c r="S1717" s="198" t="s">
        <v>54</v>
      </c>
      <c r="T1717" s="198" t="s">
        <v>785</v>
      </c>
      <c r="U1717" s="198" t="s">
        <v>273</v>
      </c>
      <c r="V1717" s="198" t="s">
        <v>56</v>
      </c>
      <c r="W1717" s="198" t="s">
        <v>356</v>
      </c>
      <c r="X1717" s="198" t="s">
        <v>161</v>
      </c>
      <c r="Y1717" s="198" t="s">
        <v>162</v>
      </c>
      <c r="Z1717" s="201">
        <v>46203</v>
      </c>
      <c r="AA1717" s="198" t="s">
        <v>59</v>
      </c>
      <c r="AB1717" s="198" t="s">
        <v>60</v>
      </c>
      <c r="AC1717" s="198" t="s">
        <v>86</v>
      </c>
      <c r="AD1717" s="198" t="s">
        <v>62</v>
      </c>
      <c r="AE1717" s="198" t="s">
        <v>54</v>
      </c>
      <c r="AF1717" s="198" t="s">
        <v>54</v>
      </c>
      <c r="AG1717" s="198" t="s">
        <v>189</v>
      </c>
      <c r="AH1717" s="198" t="s">
        <v>274</v>
      </c>
      <c r="AI1717" s="198" t="s">
        <v>56</v>
      </c>
      <c r="AJ1717" s="198" t="s">
        <v>163</v>
      </c>
      <c r="AK1717" s="198" t="s">
        <v>51</v>
      </c>
      <c r="AL1717" s="198" t="s">
        <v>67</v>
      </c>
      <c r="AM1717" s="198" t="s">
        <v>68</v>
      </c>
      <c r="AN1717" s="202">
        <v>609809.6</v>
      </c>
      <c r="AO1717" s="202">
        <v>609809.6</v>
      </c>
      <c r="AP1717" s="202">
        <v>609809.6</v>
      </c>
      <c r="AQ1717" s="198" t="s">
        <v>358</v>
      </c>
      <c r="AR1717" s="198" t="s">
        <v>51</v>
      </c>
      <c r="AS1717" s="202">
        <v>609809.6</v>
      </c>
      <c r="AT1717" s="202">
        <v>609809.6</v>
      </c>
      <c r="AU1717" s="198" t="s">
        <v>359</v>
      </c>
      <c r="AV1717" s="198" t="s">
        <v>62</v>
      </c>
      <c r="AW1717" s="198" t="s">
        <v>54</v>
      </c>
    </row>
    <row r="1718" spans="3:49" outlineLevel="2" x14ac:dyDescent="0.25">
      <c r="C1718" s="201"/>
      <c r="D1718" s="198" t="s">
        <v>271</v>
      </c>
      <c r="H1718" s="198" t="s">
        <v>271</v>
      </c>
      <c r="I1718" s="202">
        <f t="shared" si="26"/>
        <v>713175789.14999998</v>
      </c>
      <c r="J1718" s="202">
        <v>172.7</v>
      </c>
      <c r="L1718" s="204">
        <v>1</v>
      </c>
      <c r="M1718" s="202">
        <v>432000</v>
      </c>
      <c r="N1718" s="204">
        <v>1</v>
      </c>
      <c r="O1718" s="198" t="s">
        <v>51</v>
      </c>
      <c r="P1718" s="202">
        <v>432000</v>
      </c>
      <c r="Q1718" s="198" t="s">
        <v>159</v>
      </c>
      <c r="R1718" s="198" t="s">
        <v>160</v>
      </c>
      <c r="S1718" s="198" t="s">
        <v>54</v>
      </c>
      <c r="T1718" s="198" t="s">
        <v>785</v>
      </c>
      <c r="U1718" s="198" t="s">
        <v>273</v>
      </c>
      <c r="V1718" s="198" t="s">
        <v>56</v>
      </c>
      <c r="W1718" s="198" t="s">
        <v>356</v>
      </c>
      <c r="X1718" s="198" t="s">
        <v>161</v>
      </c>
      <c r="Y1718" s="198" t="s">
        <v>162</v>
      </c>
      <c r="Z1718" s="201">
        <v>46203</v>
      </c>
      <c r="AA1718" s="198" t="s">
        <v>59</v>
      </c>
      <c r="AB1718" s="198" t="s">
        <v>60</v>
      </c>
      <c r="AC1718" s="198" t="s">
        <v>86</v>
      </c>
      <c r="AD1718" s="198" t="s">
        <v>62</v>
      </c>
      <c r="AE1718" s="198" t="s">
        <v>54</v>
      </c>
      <c r="AF1718" s="198" t="s">
        <v>54</v>
      </c>
      <c r="AG1718" s="198" t="s">
        <v>189</v>
      </c>
      <c r="AH1718" s="198" t="s">
        <v>274</v>
      </c>
      <c r="AI1718" s="198" t="s">
        <v>56</v>
      </c>
      <c r="AJ1718" s="198" t="s">
        <v>163</v>
      </c>
      <c r="AK1718" s="198" t="s">
        <v>51</v>
      </c>
      <c r="AL1718" s="198" t="s">
        <v>67</v>
      </c>
      <c r="AM1718" s="198" t="s">
        <v>68</v>
      </c>
      <c r="AN1718" s="202">
        <v>432000</v>
      </c>
      <c r="AO1718" s="202">
        <v>432000</v>
      </c>
      <c r="AP1718" s="202">
        <v>432000</v>
      </c>
      <c r="AQ1718" s="198" t="s">
        <v>358</v>
      </c>
      <c r="AR1718" s="198" t="s">
        <v>51</v>
      </c>
      <c r="AS1718" s="202">
        <v>432000</v>
      </c>
      <c r="AT1718" s="202">
        <v>432000</v>
      </c>
      <c r="AU1718" s="198" t="s">
        <v>359</v>
      </c>
      <c r="AV1718" s="198" t="s">
        <v>62</v>
      </c>
      <c r="AW1718" s="198" t="s">
        <v>54</v>
      </c>
    </row>
    <row r="1719" spans="3:49" outlineLevel="2" x14ac:dyDescent="0.25">
      <c r="C1719" s="201"/>
      <c r="D1719" s="198" t="s">
        <v>786</v>
      </c>
      <c r="H1719" s="198" t="s">
        <v>786</v>
      </c>
      <c r="I1719" s="202">
        <f t="shared" si="26"/>
        <v>713588745.60000002</v>
      </c>
      <c r="J1719" s="202">
        <v>172.8</v>
      </c>
      <c r="L1719" s="204">
        <v>1</v>
      </c>
      <c r="M1719" s="202">
        <v>1450000</v>
      </c>
      <c r="N1719" s="204">
        <v>0</v>
      </c>
      <c r="O1719" s="198" t="s">
        <v>51</v>
      </c>
      <c r="P1719" s="202">
        <v>753450</v>
      </c>
      <c r="Q1719" s="198" t="s">
        <v>159</v>
      </c>
      <c r="R1719" s="198" t="s">
        <v>160</v>
      </c>
      <c r="S1719" s="198" t="s">
        <v>54</v>
      </c>
      <c r="T1719" s="198" t="s">
        <v>787</v>
      </c>
      <c r="U1719" s="198" t="s">
        <v>364</v>
      </c>
      <c r="V1719" s="198" t="s">
        <v>56</v>
      </c>
      <c r="W1719" s="198" t="s">
        <v>356</v>
      </c>
      <c r="X1719" s="198" t="s">
        <v>161</v>
      </c>
      <c r="Y1719" s="198" t="s">
        <v>162</v>
      </c>
      <c r="Z1719" s="201">
        <v>46477</v>
      </c>
      <c r="AA1719" s="198" t="s">
        <v>59</v>
      </c>
      <c r="AB1719" s="198" t="s">
        <v>60</v>
      </c>
      <c r="AC1719" s="198" t="s">
        <v>86</v>
      </c>
      <c r="AD1719" s="198" t="s">
        <v>62</v>
      </c>
      <c r="AE1719" s="198" t="s">
        <v>54</v>
      </c>
      <c r="AF1719" s="198" t="s">
        <v>54</v>
      </c>
      <c r="AG1719" s="198" t="s">
        <v>166</v>
      </c>
      <c r="AH1719" s="198" t="s">
        <v>143</v>
      </c>
      <c r="AI1719" s="198" t="s">
        <v>56</v>
      </c>
      <c r="AJ1719" s="198" t="s">
        <v>163</v>
      </c>
      <c r="AK1719" s="198" t="s">
        <v>51</v>
      </c>
      <c r="AL1719" s="198" t="s">
        <v>67</v>
      </c>
      <c r="AM1719" s="198" t="s">
        <v>68</v>
      </c>
      <c r="AN1719" s="202">
        <v>1450000</v>
      </c>
      <c r="AO1719" s="202">
        <v>1450000</v>
      </c>
      <c r="AP1719" s="202">
        <v>1450000</v>
      </c>
      <c r="AQ1719" s="198" t="s">
        <v>358</v>
      </c>
      <c r="AR1719" s="198" t="s">
        <v>51</v>
      </c>
      <c r="AS1719" s="202">
        <v>753450</v>
      </c>
      <c r="AT1719" s="202">
        <v>753450</v>
      </c>
      <c r="AU1719" s="198" t="s">
        <v>359</v>
      </c>
      <c r="AV1719" s="198" t="s">
        <v>62</v>
      </c>
      <c r="AW1719" s="198" t="s">
        <v>54</v>
      </c>
    </row>
    <row r="1720" spans="3:49" outlineLevel="2" x14ac:dyDescent="0.25">
      <c r="C1720" s="201"/>
      <c r="D1720" s="198" t="s">
        <v>788</v>
      </c>
      <c r="H1720" s="198" t="s">
        <v>788</v>
      </c>
      <c r="I1720" s="202">
        <f t="shared" si="26"/>
        <v>714001702.05000007</v>
      </c>
      <c r="J1720" s="202">
        <v>172.9</v>
      </c>
      <c r="L1720" s="204">
        <v>1</v>
      </c>
      <c r="M1720" s="202">
        <v>670000</v>
      </c>
      <c r="N1720" s="204">
        <v>0</v>
      </c>
      <c r="O1720" s="198" t="s">
        <v>51</v>
      </c>
      <c r="P1720" s="202">
        <v>319950</v>
      </c>
      <c r="Q1720" s="198" t="s">
        <v>159</v>
      </c>
      <c r="R1720" s="198" t="s">
        <v>160</v>
      </c>
      <c r="S1720" s="198" t="s">
        <v>54</v>
      </c>
      <c r="T1720" s="198" t="s">
        <v>787</v>
      </c>
      <c r="U1720" s="198" t="s">
        <v>2084</v>
      </c>
      <c r="V1720" s="198" t="s">
        <v>56</v>
      </c>
      <c r="W1720" s="198" t="s">
        <v>356</v>
      </c>
      <c r="X1720" s="198" t="s">
        <v>161</v>
      </c>
      <c r="Y1720" s="198" t="s">
        <v>162</v>
      </c>
      <c r="Z1720" s="201">
        <v>46477</v>
      </c>
      <c r="AA1720" s="198" t="s">
        <v>59</v>
      </c>
      <c r="AB1720" s="198" t="s">
        <v>60</v>
      </c>
      <c r="AC1720" s="198" t="s">
        <v>86</v>
      </c>
      <c r="AD1720" s="198" t="s">
        <v>62</v>
      </c>
      <c r="AE1720" s="198" t="s">
        <v>54</v>
      </c>
      <c r="AF1720" s="198" t="s">
        <v>54</v>
      </c>
      <c r="AG1720" s="198" t="s">
        <v>166</v>
      </c>
      <c r="AH1720" s="198" t="s">
        <v>193</v>
      </c>
      <c r="AI1720" s="198" t="s">
        <v>56</v>
      </c>
      <c r="AJ1720" s="198" t="s">
        <v>163</v>
      </c>
      <c r="AK1720" s="198" t="s">
        <v>51</v>
      </c>
      <c r="AL1720" s="198" t="s">
        <v>67</v>
      </c>
      <c r="AM1720" s="198" t="s">
        <v>68</v>
      </c>
      <c r="AN1720" s="202">
        <v>670000</v>
      </c>
      <c r="AO1720" s="202">
        <v>670000</v>
      </c>
      <c r="AP1720" s="202">
        <v>670000</v>
      </c>
      <c r="AQ1720" s="198" t="s">
        <v>358</v>
      </c>
      <c r="AR1720" s="198" t="s">
        <v>51</v>
      </c>
      <c r="AS1720" s="202">
        <v>319950</v>
      </c>
      <c r="AT1720" s="202">
        <v>319950</v>
      </c>
      <c r="AU1720" s="198" t="s">
        <v>359</v>
      </c>
      <c r="AV1720" s="198" t="s">
        <v>62</v>
      </c>
      <c r="AW1720" s="198" t="s">
        <v>54</v>
      </c>
    </row>
    <row r="1721" spans="3:49" outlineLevel="2" x14ac:dyDescent="0.25">
      <c r="C1721" s="201"/>
      <c r="D1721" s="198" t="s">
        <v>789</v>
      </c>
      <c r="H1721" s="198" t="s">
        <v>789</v>
      </c>
      <c r="I1721" s="202">
        <f t="shared" si="26"/>
        <v>714414658.5</v>
      </c>
      <c r="J1721" s="202">
        <v>173</v>
      </c>
      <c r="L1721" s="204">
        <v>1</v>
      </c>
      <c r="M1721" s="202">
        <v>670000</v>
      </c>
      <c r="N1721" s="204">
        <v>0</v>
      </c>
      <c r="O1721" s="198" t="s">
        <v>51</v>
      </c>
      <c r="P1721" s="202">
        <v>470000</v>
      </c>
      <c r="Q1721" s="198" t="s">
        <v>159</v>
      </c>
      <c r="R1721" s="198" t="s">
        <v>160</v>
      </c>
      <c r="S1721" s="198" t="s">
        <v>54</v>
      </c>
      <c r="T1721" s="198" t="s">
        <v>787</v>
      </c>
      <c r="U1721" s="198" t="s">
        <v>364</v>
      </c>
      <c r="V1721" s="198" t="s">
        <v>56</v>
      </c>
      <c r="W1721" s="198" t="s">
        <v>356</v>
      </c>
      <c r="X1721" s="198" t="s">
        <v>161</v>
      </c>
      <c r="Y1721" s="198" t="s">
        <v>162</v>
      </c>
      <c r="Z1721" s="201">
        <v>46477</v>
      </c>
      <c r="AA1721" s="198" t="s">
        <v>59</v>
      </c>
      <c r="AB1721" s="198" t="s">
        <v>60</v>
      </c>
      <c r="AC1721" s="198" t="s">
        <v>86</v>
      </c>
      <c r="AD1721" s="198" t="s">
        <v>62</v>
      </c>
      <c r="AE1721" s="198" t="s">
        <v>54</v>
      </c>
      <c r="AF1721" s="198" t="s">
        <v>54</v>
      </c>
      <c r="AG1721" s="198" t="s">
        <v>166</v>
      </c>
      <c r="AH1721" s="198" t="s">
        <v>156</v>
      </c>
      <c r="AI1721" s="198" t="s">
        <v>56</v>
      </c>
      <c r="AJ1721" s="198" t="s">
        <v>163</v>
      </c>
      <c r="AK1721" s="198" t="s">
        <v>51</v>
      </c>
      <c r="AL1721" s="198" t="s">
        <v>67</v>
      </c>
      <c r="AM1721" s="198" t="s">
        <v>68</v>
      </c>
      <c r="AN1721" s="202">
        <v>670000</v>
      </c>
      <c r="AO1721" s="202">
        <v>670000</v>
      </c>
      <c r="AP1721" s="202">
        <v>670000</v>
      </c>
      <c r="AQ1721" s="198" t="s">
        <v>358</v>
      </c>
      <c r="AR1721" s="198" t="s">
        <v>51</v>
      </c>
      <c r="AS1721" s="202">
        <v>470000</v>
      </c>
      <c r="AT1721" s="202">
        <v>470000</v>
      </c>
      <c r="AU1721" s="198" t="s">
        <v>359</v>
      </c>
      <c r="AV1721" s="198" t="s">
        <v>62</v>
      </c>
      <c r="AW1721" s="198" t="s">
        <v>54</v>
      </c>
    </row>
    <row r="1722" spans="3:49" outlineLevel="2" x14ac:dyDescent="0.25">
      <c r="C1722" s="201"/>
      <c r="D1722" s="198" t="s">
        <v>790</v>
      </c>
      <c r="H1722" s="198" t="s">
        <v>790</v>
      </c>
      <c r="I1722" s="202">
        <f t="shared" si="26"/>
        <v>714827614.94999993</v>
      </c>
      <c r="J1722" s="202">
        <v>173.1</v>
      </c>
      <c r="L1722" s="204">
        <v>1</v>
      </c>
      <c r="M1722" s="202">
        <v>670000</v>
      </c>
      <c r="N1722" s="204">
        <v>0</v>
      </c>
      <c r="O1722" s="198" t="s">
        <v>51</v>
      </c>
      <c r="P1722" s="202">
        <v>470000</v>
      </c>
      <c r="Q1722" s="198" t="s">
        <v>159</v>
      </c>
      <c r="R1722" s="198" t="s">
        <v>160</v>
      </c>
      <c r="S1722" s="198" t="s">
        <v>54</v>
      </c>
      <c r="T1722" s="198" t="s">
        <v>787</v>
      </c>
      <c r="U1722" s="198" t="s">
        <v>364</v>
      </c>
      <c r="V1722" s="198" t="s">
        <v>56</v>
      </c>
      <c r="W1722" s="198" t="s">
        <v>356</v>
      </c>
      <c r="X1722" s="198" t="s">
        <v>161</v>
      </c>
      <c r="Y1722" s="198" t="s">
        <v>162</v>
      </c>
      <c r="Z1722" s="201">
        <v>46477</v>
      </c>
      <c r="AA1722" s="198" t="s">
        <v>59</v>
      </c>
      <c r="AB1722" s="198" t="s">
        <v>60</v>
      </c>
      <c r="AC1722" s="198" t="s">
        <v>86</v>
      </c>
      <c r="AD1722" s="198" t="s">
        <v>62</v>
      </c>
      <c r="AE1722" s="198" t="s">
        <v>54</v>
      </c>
      <c r="AF1722" s="198" t="s">
        <v>54</v>
      </c>
      <c r="AG1722" s="198" t="s">
        <v>166</v>
      </c>
      <c r="AH1722" s="198" t="s">
        <v>153</v>
      </c>
      <c r="AI1722" s="198" t="s">
        <v>56</v>
      </c>
      <c r="AJ1722" s="198" t="s">
        <v>163</v>
      </c>
      <c r="AK1722" s="198" t="s">
        <v>51</v>
      </c>
      <c r="AL1722" s="198" t="s">
        <v>67</v>
      </c>
      <c r="AM1722" s="198" t="s">
        <v>68</v>
      </c>
      <c r="AN1722" s="202">
        <v>670000</v>
      </c>
      <c r="AO1722" s="202">
        <v>670000</v>
      </c>
      <c r="AP1722" s="202">
        <v>670000</v>
      </c>
      <c r="AQ1722" s="198" t="s">
        <v>358</v>
      </c>
      <c r="AR1722" s="198" t="s">
        <v>51</v>
      </c>
      <c r="AS1722" s="202">
        <v>470000</v>
      </c>
      <c r="AT1722" s="202">
        <v>470000</v>
      </c>
      <c r="AU1722" s="198" t="s">
        <v>359</v>
      </c>
      <c r="AV1722" s="198" t="s">
        <v>62</v>
      </c>
      <c r="AW1722" s="198" t="s">
        <v>54</v>
      </c>
    </row>
    <row r="1723" spans="3:49" outlineLevel="2" x14ac:dyDescent="0.25">
      <c r="C1723" s="201"/>
      <c r="D1723" s="198" t="s">
        <v>791</v>
      </c>
      <c r="H1723" s="198" t="s">
        <v>791</v>
      </c>
      <c r="I1723" s="202">
        <f t="shared" si="26"/>
        <v>715240571.39999998</v>
      </c>
      <c r="J1723" s="202">
        <v>173.2</v>
      </c>
      <c r="L1723" s="204">
        <v>1</v>
      </c>
      <c r="M1723" s="202">
        <v>670000</v>
      </c>
      <c r="N1723" s="204">
        <v>0</v>
      </c>
      <c r="O1723" s="198" t="s">
        <v>51</v>
      </c>
      <c r="P1723" s="202">
        <v>470000</v>
      </c>
      <c r="Q1723" s="198" t="s">
        <v>159</v>
      </c>
      <c r="R1723" s="198" t="s">
        <v>160</v>
      </c>
      <c r="S1723" s="198" t="s">
        <v>54</v>
      </c>
      <c r="T1723" s="198" t="s">
        <v>787</v>
      </c>
      <c r="U1723" s="198" t="s">
        <v>364</v>
      </c>
      <c r="V1723" s="198" t="s">
        <v>56</v>
      </c>
      <c r="W1723" s="198" t="s">
        <v>356</v>
      </c>
      <c r="X1723" s="198" t="s">
        <v>161</v>
      </c>
      <c r="Y1723" s="198" t="s">
        <v>162</v>
      </c>
      <c r="Z1723" s="201">
        <v>46477</v>
      </c>
      <c r="AA1723" s="198" t="s">
        <v>59</v>
      </c>
      <c r="AB1723" s="198" t="s">
        <v>60</v>
      </c>
      <c r="AC1723" s="198" t="s">
        <v>86</v>
      </c>
      <c r="AD1723" s="198" t="s">
        <v>62</v>
      </c>
      <c r="AE1723" s="198" t="s">
        <v>54</v>
      </c>
      <c r="AF1723" s="198" t="s">
        <v>54</v>
      </c>
      <c r="AG1723" s="198" t="s">
        <v>166</v>
      </c>
      <c r="AH1723" s="198" t="s">
        <v>274</v>
      </c>
      <c r="AI1723" s="198" t="s">
        <v>56</v>
      </c>
      <c r="AJ1723" s="198" t="s">
        <v>163</v>
      </c>
      <c r="AK1723" s="198" t="s">
        <v>51</v>
      </c>
      <c r="AL1723" s="198" t="s">
        <v>67</v>
      </c>
      <c r="AM1723" s="198" t="s">
        <v>68</v>
      </c>
      <c r="AN1723" s="202">
        <v>670000</v>
      </c>
      <c r="AO1723" s="202">
        <v>670000</v>
      </c>
      <c r="AP1723" s="202">
        <v>670000</v>
      </c>
      <c r="AQ1723" s="198" t="s">
        <v>358</v>
      </c>
      <c r="AR1723" s="198" t="s">
        <v>51</v>
      </c>
      <c r="AS1723" s="202">
        <v>470000</v>
      </c>
      <c r="AT1723" s="202">
        <v>470000</v>
      </c>
      <c r="AU1723" s="198" t="s">
        <v>359</v>
      </c>
      <c r="AV1723" s="198" t="s">
        <v>62</v>
      </c>
      <c r="AW1723" s="198" t="s">
        <v>54</v>
      </c>
    </row>
    <row r="1724" spans="3:49" outlineLevel="2" x14ac:dyDescent="0.25">
      <c r="C1724" s="201"/>
      <c r="D1724" s="198" t="s">
        <v>792</v>
      </c>
      <c r="H1724" s="198" t="s">
        <v>792</v>
      </c>
      <c r="I1724" s="202">
        <f t="shared" si="26"/>
        <v>715653527.85000002</v>
      </c>
      <c r="J1724" s="202">
        <v>173.3</v>
      </c>
      <c r="L1724" s="204">
        <v>1</v>
      </c>
      <c r="M1724" s="202">
        <v>670000</v>
      </c>
      <c r="N1724" s="204">
        <v>0</v>
      </c>
      <c r="O1724" s="198" t="s">
        <v>51</v>
      </c>
      <c r="P1724" s="202">
        <v>420000</v>
      </c>
      <c r="Q1724" s="198" t="s">
        <v>159</v>
      </c>
      <c r="R1724" s="198" t="s">
        <v>160</v>
      </c>
      <c r="S1724" s="198" t="s">
        <v>54</v>
      </c>
      <c r="T1724" s="198" t="s">
        <v>787</v>
      </c>
      <c r="U1724" s="198" t="s">
        <v>364</v>
      </c>
      <c r="V1724" s="198" t="s">
        <v>56</v>
      </c>
      <c r="W1724" s="198" t="s">
        <v>356</v>
      </c>
      <c r="X1724" s="198" t="s">
        <v>161</v>
      </c>
      <c r="Y1724" s="198" t="s">
        <v>162</v>
      </c>
      <c r="Z1724" s="201">
        <v>46477</v>
      </c>
      <c r="AA1724" s="198" t="s">
        <v>59</v>
      </c>
      <c r="AB1724" s="198" t="s">
        <v>60</v>
      </c>
      <c r="AC1724" s="198" t="s">
        <v>86</v>
      </c>
      <c r="AD1724" s="198" t="s">
        <v>62</v>
      </c>
      <c r="AE1724" s="198" t="s">
        <v>54</v>
      </c>
      <c r="AF1724" s="198" t="s">
        <v>54</v>
      </c>
      <c r="AG1724" s="198" t="s">
        <v>166</v>
      </c>
      <c r="AH1724" s="198" t="s">
        <v>148</v>
      </c>
      <c r="AI1724" s="198" t="s">
        <v>56</v>
      </c>
      <c r="AJ1724" s="198" t="s">
        <v>163</v>
      </c>
      <c r="AK1724" s="198" t="s">
        <v>51</v>
      </c>
      <c r="AL1724" s="198" t="s">
        <v>67</v>
      </c>
      <c r="AM1724" s="198" t="s">
        <v>68</v>
      </c>
      <c r="AN1724" s="202">
        <v>670000</v>
      </c>
      <c r="AO1724" s="202">
        <v>670000</v>
      </c>
      <c r="AP1724" s="202">
        <v>670000</v>
      </c>
      <c r="AQ1724" s="198" t="s">
        <v>358</v>
      </c>
      <c r="AR1724" s="198" t="s">
        <v>51</v>
      </c>
      <c r="AS1724" s="202">
        <v>420000</v>
      </c>
      <c r="AT1724" s="202">
        <v>420000</v>
      </c>
      <c r="AU1724" s="198" t="s">
        <v>359</v>
      </c>
      <c r="AV1724" s="198" t="s">
        <v>62</v>
      </c>
      <c r="AW1724" s="198" t="s">
        <v>54</v>
      </c>
    </row>
    <row r="1725" spans="3:49" outlineLevel="2" x14ac:dyDescent="0.25">
      <c r="C1725" s="201"/>
      <c r="D1725" s="198" t="s">
        <v>793</v>
      </c>
      <c r="H1725" s="198" t="s">
        <v>793</v>
      </c>
      <c r="I1725" s="202">
        <f t="shared" si="26"/>
        <v>716066484.30000007</v>
      </c>
      <c r="J1725" s="202">
        <v>173.4</v>
      </c>
      <c r="L1725" s="204">
        <v>1</v>
      </c>
      <c r="M1725" s="202">
        <v>75000000</v>
      </c>
      <c r="N1725" s="204">
        <v>1</v>
      </c>
      <c r="O1725" s="198" t="s">
        <v>51</v>
      </c>
      <c r="P1725" s="202">
        <v>75000000</v>
      </c>
      <c r="Q1725" s="198" t="s">
        <v>159</v>
      </c>
      <c r="R1725" s="198" t="s">
        <v>160</v>
      </c>
      <c r="S1725" s="198" t="s">
        <v>54</v>
      </c>
      <c r="T1725" s="198" t="s">
        <v>796</v>
      </c>
      <c r="U1725" s="198" t="s">
        <v>80</v>
      </c>
      <c r="V1725" s="198" t="s">
        <v>56</v>
      </c>
      <c r="W1725" s="198" t="s">
        <v>356</v>
      </c>
      <c r="X1725" s="198" t="s">
        <v>161</v>
      </c>
      <c r="Y1725" s="198" t="s">
        <v>162</v>
      </c>
      <c r="Z1725" s="201">
        <v>46477</v>
      </c>
      <c r="AA1725" s="198" t="s">
        <v>59</v>
      </c>
      <c r="AB1725" s="198" t="s">
        <v>60</v>
      </c>
      <c r="AC1725" s="198" t="s">
        <v>86</v>
      </c>
      <c r="AD1725" s="198" t="s">
        <v>62</v>
      </c>
      <c r="AE1725" s="198" t="s">
        <v>54</v>
      </c>
      <c r="AF1725" s="198" t="s">
        <v>54</v>
      </c>
      <c r="AG1725" s="198" t="s">
        <v>166</v>
      </c>
      <c r="AH1725" s="198" t="s">
        <v>143</v>
      </c>
      <c r="AI1725" s="198" t="s">
        <v>56</v>
      </c>
      <c r="AJ1725" s="198" t="s">
        <v>163</v>
      </c>
      <c r="AK1725" s="198" t="s">
        <v>51</v>
      </c>
      <c r="AL1725" s="198" t="s">
        <v>67</v>
      </c>
      <c r="AM1725" s="198" t="s">
        <v>68</v>
      </c>
      <c r="AN1725" s="202">
        <v>75000000</v>
      </c>
      <c r="AO1725" s="202">
        <v>75000000</v>
      </c>
      <c r="AP1725" s="202">
        <v>75000000</v>
      </c>
      <c r="AQ1725" s="198" t="s">
        <v>358</v>
      </c>
      <c r="AR1725" s="198" t="s">
        <v>51</v>
      </c>
      <c r="AS1725" s="202">
        <v>75000000</v>
      </c>
      <c r="AT1725" s="202">
        <v>75000000</v>
      </c>
      <c r="AU1725" s="198" t="s">
        <v>359</v>
      </c>
      <c r="AV1725" s="198" t="s">
        <v>62</v>
      </c>
      <c r="AW1725" s="198" t="s">
        <v>54</v>
      </c>
    </row>
    <row r="1726" spans="3:49" outlineLevel="2" x14ac:dyDescent="0.25">
      <c r="C1726" s="201"/>
      <c r="D1726" s="198" t="s">
        <v>793</v>
      </c>
      <c r="H1726" s="198" t="s">
        <v>793</v>
      </c>
      <c r="I1726" s="202">
        <f t="shared" si="26"/>
        <v>716479440.75</v>
      </c>
      <c r="J1726" s="202">
        <v>173.5</v>
      </c>
      <c r="L1726" s="204">
        <v>1</v>
      </c>
      <c r="M1726" s="202">
        <v>75000000</v>
      </c>
      <c r="N1726" s="204">
        <v>1</v>
      </c>
      <c r="O1726" s="198" t="s">
        <v>51</v>
      </c>
      <c r="P1726" s="202">
        <v>75000000</v>
      </c>
      <c r="Q1726" s="198" t="s">
        <v>159</v>
      </c>
      <c r="R1726" s="198" t="s">
        <v>160</v>
      </c>
      <c r="S1726" s="198" t="s">
        <v>54</v>
      </c>
      <c r="T1726" s="198" t="s">
        <v>796</v>
      </c>
      <c r="U1726" s="198" t="s">
        <v>80</v>
      </c>
      <c r="V1726" s="198" t="s">
        <v>56</v>
      </c>
      <c r="W1726" s="198" t="s">
        <v>356</v>
      </c>
      <c r="X1726" s="198" t="s">
        <v>161</v>
      </c>
      <c r="Y1726" s="198" t="s">
        <v>162</v>
      </c>
      <c r="Z1726" s="201">
        <v>46477</v>
      </c>
      <c r="AA1726" s="198" t="s">
        <v>59</v>
      </c>
      <c r="AB1726" s="198" t="s">
        <v>60</v>
      </c>
      <c r="AC1726" s="198" t="s">
        <v>86</v>
      </c>
      <c r="AD1726" s="198" t="s">
        <v>62</v>
      </c>
      <c r="AE1726" s="198" t="s">
        <v>54</v>
      </c>
      <c r="AF1726" s="198" t="s">
        <v>54</v>
      </c>
      <c r="AG1726" s="198" t="s">
        <v>166</v>
      </c>
      <c r="AH1726" s="198" t="s">
        <v>143</v>
      </c>
      <c r="AI1726" s="198" t="s">
        <v>56</v>
      </c>
      <c r="AJ1726" s="198" t="s">
        <v>163</v>
      </c>
      <c r="AK1726" s="198" t="s">
        <v>51</v>
      </c>
      <c r="AL1726" s="198" t="s">
        <v>67</v>
      </c>
      <c r="AM1726" s="198" t="s">
        <v>68</v>
      </c>
      <c r="AN1726" s="202">
        <v>75000000</v>
      </c>
      <c r="AO1726" s="202">
        <v>75000000</v>
      </c>
      <c r="AP1726" s="202">
        <v>75000000</v>
      </c>
      <c r="AQ1726" s="198" t="s">
        <v>358</v>
      </c>
      <c r="AR1726" s="198" t="s">
        <v>51</v>
      </c>
      <c r="AS1726" s="202">
        <v>75000000</v>
      </c>
      <c r="AT1726" s="202">
        <v>75000000</v>
      </c>
      <c r="AU1726" s="198" t="s">
        <v>359</v>
      </c>
      <c r="AV1726" s="198" t="s">
        <v>62</v>
      </c>
      <c r="AW1726" s="198" t="s">
        <v>54</v>
      </c>
    </row>
    <row r="1727" spans="3:49" outlineLevel="2" x14ac:dyDescent="0.25">
      <c r="C1727" s="201"/>
      <c r="D1727" s="198" t="s">
        <v>797</v>
      </c>
      <c r="H1727" s="198" t="s">
        <v>797</v>
      </c>
      <c r="I1727" s="202">
        <f t="shared" si="26"/>
        <v>716892397.19999993</v>
      </c>
      <c r="J1727" s="202">
        <v>173.6</v>
      </c>
      <c r="L1727" s="204">
        <v>1</v>
      </c>
      <c r="M1727" s="202">
        <v>67500000</v>
      </c>
      <c r="N1727" s="204">
        <v>1</v>
      </c>
      <c r="O1727" s="198" t="s">
        <v>51</v>
      </c>
      <c r="P1727" s="202">
        <v>67500000</v>
      </c>
      <c r="Q1727" s="198" t="s">
        <v>159</v>
      </c>
      <c r="R1727" s="198" t="s">
        <v>160</v>
      </c>
      <c r="S1727" s="198" t="s">
        <v>54</v>
      </c>
      <c r="T1727" s="198" t="s">
        <v>796</v>
      </c>
      <c r="U1727" s="198" t="s">
        <v>80</v>
      </c>
      <c r="V1727" s="198" t="s">
        <v>56</v>
      </c>
      <c r="W1727" s="198" t="s">
        <v>356</v>
      </c>
      <c r="X1727" s="198" t="s">
        <v>161</v>
      </c>
      <c r="Y1727" s="198" t="s">
        <v>162</v>
      </c>
      <c r="Z1727" s="201">
        <v>46477</v>
      </c>
      <c r="AA1727" s="198" t="s">
        <v>59</v>
      </c>
      <c r="AB1727" s="198" t="s">
        <v>60</v>
      </c>
      <c r="AC1727" s="198" t="s">
        <v>86</v>
      </c>
      <c r="AD1727" s="198" t="s">
        <v>62</v>
      </c>
      <c r="AE1727" s="198" t="s">
        <v>54</v>
      </c>
      <c r="AF1727" s="198" t="s">
        <v>54</v>
      </c>
      <c r="AG1727" s="198" t="s">
        <v>166</v>
      </c>
      <c r="AH1727" s="198" t="s">
        <v>193</v>
      </c>
      <c r="AI1727" s="198" t="s">
        <v>56</v>
      </c>
      <c r="AJ1727" s="198" t="s">
        <v>163</v>
      </c>
      <c r="AK1727" s="198" t="s">
        <v>51</v>
      </c>
      <c r="AL1727" s="198" t="s">
        <v>67</v>
      </c>
      <c r="AM1727" s="198" t="s">
        <v>68</v>
      </c>
      <c r="AN1727" s="202">
        <v>67500000</v>
      </c>
      <c r="AO1727" s="202">
        <v>67500000</v>
      </c>
      <c r="AP1727" s="202">
        <v>67500000</v>
      </c>
      <c r="AQ1727" s="198" t="s">
        <v>358</v>
      </c>
      <c r="AR1727" s="198" t="s">
        <v>51</v>
      </c>
      <c r="AS1727" s="202">
        <v>67500000</v>
      </c>
      <c r="AT1727" s="202">
        <v>67500000</v>
      </c>
      <c r="AU1727" s="198" t="s">
        <v>359</v>
      </c>
      <c r="AV1727" s="198" t="s">
        <v>62</v>
      </c>
      <c r="AW1727" s="198" t="s">
        <v>54</v>
      </c>
    </row>
    <row r="1728" spans="3:49" outlineLevel="2" x14ac:dyDescent="0.25">
      <c r="C1728" s="201"/>
      <c r="D1728" s="198" t="s">
        <v>797</v>
      </c>
      <c r="H1728" s="198" t="s">
        <v>797</v>
      </c>
      <c r="I1728" s="202">
        <f t="shared" si="26"/>
        <v>717305353.64999998</v>
      </c>
      <c r="J1728" s="202">
        <v>173.7</v>
      </c>
      <c r="L1728" s="204">
        <v>1</v>
      </c>
      <c r="M1728" s="202">
        <v>67500000</v>
      </c>
      <c r="N1728" s="204">
        <v>1</v>
      </c>
      <c r="O1728" s="198" t="s">
        <v>51</v>
      </c>
      <c r="P1728" s="202">
        <v>67500000</v>
      </c>
      <c r="Q1728" s="198" t="s">
        <v>159</v>
      </c>
      <c r="R1728" s="198" t="s">
        <v>160</v>
      </c>
      <c r="S1728" s="198" t="s">
        <v>54</v>
      </c>
      <c r="T1728" s="198" t="s">
        <v>796</v>
      </c>
      <c r="U1728" s="198" t="s">
        <v>80</v>
      </c>
      <c r="V1728" s="198" t="s">
        <v>56</v>
      </c>
      <c r="W1728" s="198" t="s">
        <v>356</v>
      </c>
      <c r="X1728" s="198" t="s">
        <v>161</v>
      </c>
      <c r="Y1728" s="198" t="s">
        <v>162</v>
      </c>
      <c r="Z1728" s="201">
        <v>46477</v>
      </c>
      <c r="AA1728" s="198" t="s">
        <v>59</v>
      </c>
      <c r="AB1728" s="198" t="s">
        <v>60</v>
      </c>
      <c r="AC1728" s="198" t="s">
        <v>86</v>
      </c>
      <c r="AD1728" s="198" t="s">
        <v>62</v>
      </c>
      <c r="AE1728" s="198" t="s">
        <v>54</v>
      </c>
      <c r="AF1728" s="198" t="s">
        <v>54</v>
      </c>
      <c r="AG1728" s="198" t="s">
        <v>166</v>
      </c>
      <c r="AH1728" s="198" t="s">
        <v>193</v>
      </c>
      <c r="AI1728" s="198" t="s">
        <v>56</v>
      </c>
      <c r="AJ1728" s="198" t="s">
        <v>163</v>
      </c>
      <c r="AK1728" s="198" t="s">
        <v>51</v>
      </c>
      <c r="AL1728" s="198" t="s">
        <v>67</v>
      </c>
      <c r="AM1728" s="198" t="s">
        <v>68</v>
      </c>
      <c r="AN1728" s="202">
        <v>67500000</v>
      </c>
      <c r="AO1728" s="202">
        <v>67500000</v>
      </c>
      <c r="AP1728" s="202">
        <v>67500000</v>
      </c>
      <c r="AQ1728" s="198" t="s">
        <v>358</v>
      </c>
      <c r="AR1728" s="198" t="s">
        <v>51</v>
      </c>
      <c r="AS1728" s="202">
        <v>67500000</v>
      </c>
      <c r="AT1728" s="202">
        <v>67500000</v>
      </c>
      <c r="AU1728" s="198" t="s">
        <v>359</v>
      </c>
      <c r="AV1728" s="198" t="s">
        <v>62</v>
      </c>
      <c r="AW1728" s="198" t="s">
        <v>54</v>
      </c>
    </row>
    <row r="1729" spans="3:49" outlineLevel="2" x14ac:dyDescent="0.25">
      <c r="C1729" s="201"/>
      <c r="D1729" s="198" t="s">
        <v>798</v>
      </c>
      <c r="H1729" s="198" t="s">
        <v>798</v>
      </c>
      <c r="I1729" s="202">
        <f t="shared" si="26"/>
        <v>717718310.10000002</v>
      </c>
      <c r="J1729" s="202">
        <v>173.8</v>
      </c>
      <c r="L1729" s="204">
        <v>1</v>
      </c>
      <c r="M1729" s="202">
        <v>42375000</v>
      </c>
      <c r="N1729" s="204">
        <v>1</v>
      </c>
      <c r="O1729" s="198" t="s">
        <v>51</v>
      </c>
      <c r="P1729" s="202">
        <v>42375000</v>
      </c>
      <c r="Q1729" s="198" t="s">
        <v>159</v>
      </c>
      <c r="R1729" s="198" t="s">
        <v>160</v>
      </c>
      <c r="S1729" s="198" t="s">
        <v>54</v>
      </c>
      <c r="T1729" s="198" t="s">
        <v>796</v>
      </c>
      <c r="U1729" s="198" t="s">
        <v>80</v>
      </c>
      <c r="V1729" s="198" t="s">
        <v>56</v>
      </c>
      <c r="W1729" s="198" t="s">
        <v>356</v>
      </c>
      <c r="X1729" s="198" t="s">
        <v>161</v>
      </c>
      <c r="Y1729" s="198" t="s">
        <v>162</v>
      </c>
      <c r="Z1729" s="201">
        <v>46477</v>
      </c>
      <c r="AA1729" s="198" t="s">
        <v>59</v>
      </c>
      <c r="AB1729" s="198" t="s">
        <v>60</v>
      </c>
      <c r="AC1729" s="198" t="s">
        <v>86</v>
      </c>
      <c r="AD1729" s="198" t="s">
        <v>62</v>
      </c>
      <c r="AE1729" s="198" t="s">
        <v>54</v>
      </c>
      <c r="AF1729" s="198" t="s">
        <v>54</v>
      </c>
      <c r="AG1729" s="198" t="s">
        <v>166</v>
      </c>
      <c r="AH1729" s="198" t="s">
        <v>156</v>
      </c>
      <c r="AI1729" s="198" t="s">
        <v>56</v>
      </c>
      <c r="AJ1729" s="198" t="s">
        <v>163</v>
      </c>
      <c r="AK1729" s="198" t="s">
        <v>51</v>
      </c>
      <c r="AL1729" s="198" t="s">
        <v>67</v>
      </c>
      <c r="AM1729" s="198" t="s">
        <v>68</v>
      </c>
      <c r="AN1729" s="202">
        <v>42375000</v>
      </c>
      <c r="AO1729" s="202">
        <v>42375000</v>
      </c>
      <c r="AP1729" s="202">
        <v>42375000</v>
      </c>
      <c r="AQ1729" s="198" t="s">
        <v>358</v>
      </c>
      <c r="AR1729" s="198" t="s">
        <v>51</v>
      </c>
      <c r="AS1729" s="202">
        <v>42375000</v>
      </c>
      <c r="AT1729" s="202">
        <v>42375000</v>
      </c>
      <c r="AU1729" s="198" t="s">
        <v>359</v>
      </c>
      <c r="AV1729" s="198" t="s">
        <v>62</v>
      </c>
      <c r="AW1729" s="198" t="s">
        <v>54</v>
      </c>
    </row>
    <row r="1730" spans="3:49" outlineLevel="2" x14ac:dyDescent="0.25">
      <c r="C1730" s="201"/>
      <c r="D1730" s="198" t="s">
        <v>798</v>
      </c>
      <c r="H1730" s="198" t="s">
        <v>798</v>
      </c>
      <c r="I1730" s="202">
        <f t="shared" si="26"/>
        <v>718131266.55000007</v>
      </c>
      <c r="J1730" s="202">
        <v>173.9</v>
      </c>
      <c r="L1730" s="204">
        <v>1</v>
      </c>
      <c r="M1730" s="202">
        <v>42375000</v>
      </c>
      <c r="N1730" s="204">
        <v>1</v>
      </c>
      <c r="O1730" s="198" t="s">
        <v>51</v>
      </c>
      <c r="P1730" s="202">
        <v>42375000</v>
      </c>
      <c r="Q1730" s="198" t="s">
        <v>159</v>
      </c>
      <c r="R1730" s="198" t="s">
        <v>160</v>
      </c>
      <c r="S1730" s="198" t="s">
        <v>54</v>
      </c>
      <c r="T1730" s="198" t="s">
        <v>796</v>
      </c>
      <c r="U1730" s="198" t="s">
        <v>80</v>
      </c>
      <c r="V1730" s="198" t="s">
        <v>56</v>
      </c>
      <c r="W1730" s="198" t="s">
        <v>356</v>
      </c>
      <c r="X1730" s="198" t="s">
        <v>161</v>
      </c>
      <c r="Y1730" s="198" t="s">
        <v>162</v>
      </c>
      <c r="Z1730" s="201">
        <v>46477</v>
      </c>
      <c r="AA1730" s="198" t="s">
        <v>59</v>
      </c>
      <c r="AB1730" s="198" t="s">
        <v>60</v>
      </c>
      <c r="AC1730" s="198" t="s">
        <v>86</v>
      </c>
      <c r="AD1730" s="198" t="s">
        <v>62</v>
      </c>
      <c r="AE1730" s="198" t="s">
        <v>54</v>
      </c>
      <c r="AF1730" s="198" t="s">
        <v>54</v>
      </c>
      <c r="AG1730" s="198" t="s">
        <v>166</v>
      </c>
      <c r="AH1730" s="198" t="s">
        <v>156</v>
      </c>
      <c r="AI1730" s="198" t="s">
        <v>56</v>
      </c>
      <c r="AJ1730" s="198" t="s">
        <v>163</v>
      </c>
      <c r="AK1730" s="198" t="s">
        <v>51</v>
      </c>
      <c r="AL1730" s="198" t="s">
        <v>67</v>
      </c>
      <c r="AM1730" s="198" t="s">
        <v>68</v>
      </c>
      <c r="AN1730" s="202">
        <v>42375000</v>
      </c>
      <c r="AO1730" s="202">
        <v>42375000</v>
      </c>
      <c r="AP1730" s="202">
        <v>42375000</v>
      </c>
      <c r="AQ1730" s="198" t="s">
        <v>358</v>
      </c>
      <c r="AR1730" s="198" t="s">
        <v>51</v>
      </c>
      <c r="AS1730" s="202">
        <v>42375000</v>
      </c>
      <c r="AT1730" s="202">
        <v>42375000</v>
      </c>
      <c r="AU1730" s="198" t="s">
        <v>359</v>
      </c>
      <c r="AV1730" s="198" t="s">
        <v>62</v>
      </c>
      <c r="AW1730" s="198" t="s">
        <v>54</v>
      </c>
    </row>
    <row r="1731" spans="3:49" outlineLevel="2" x14ac:dyDescent="0.25">
      <c r="C1731" s="201"/>
      <c r="D1731" s="198" t="s">
        <v>803</v>
      </c>
      <c r="H1731" s="198" t="s">
        <v>803</v>
      </c>
      <c r="I1731" s="202">
        <f t="shared" ref="I1731:I1794" si="27">J1731*4129564.5</f>
        <v>718544223</v>
      </c>
      <c r="J1731" s="202">
        <v>174</v>
      </c>
      <c r="L1731" s="204">
        <v>1</v>
      </c>
      <c r="M1731" s="202">
        <v>536750000</v>
      </c>
      <c r="N1731" s="204">
        <v>1</v>
      </c>
      <c r="O1731" s="198" t="s">
        <v>51</v>
      </c>
      <c r="P1731" s="202">
        <v>536750000</v>
      </c>
      <c r="Q1731" s="198" t="s">
        <v>159</v>
      </c>
      <c r="R1731" s="198" t="s">
        <v>160</v>
      </c>
      <c r="S1731" s="198" t="s">
        <v>54</v>
      </c>
      <c r="T1731" s="198" t="s">
        <v>801</v>
      </c>
      <c r="U1731" s="198" t="s">
        <v>80</v>
      </c>
      <c r="V1731" s="198" t="s">
        <v>56</v>
      </c>
      <c r="W1731" s="198" t="s">
        <v>356</v>
      </c>
      <c r="X1731" s="198" t="s">
        <v>161</v>
      </c>
      <c r="Y1731" s="198" t="s">
        <v>162</v>
      </c>
      <c r="Z1731" s="201">
        <v>46477</v>
      </c>
      <c r="AA1731" s="198" t="s">
        <v>59</v>
      </c>
      <c r="AB1731" s="198" t="s">
        <v>60</v>
      </c>
      <c r="AC1731" s="198" t="s">
        <v>86</v>
      </c>
      <c r="AD1731" s="198" t="s">
        <v>62</v>
      </c>
      <c r="AE1731" s="198" t="s">
        <v>54</v>
      </c>
      <c r="AF1731" s="198" t="s">
        <v>54</v>
      </c>
      <c r="AG1731" s="198" t="s">
        <v>166</v>
      </c>
      <c r="AH1731" s="198" t="s">
        <v>156</v>
      </c>
      <c r="AI1731" s="198" t="s">
        <v>56</v>
      </c>
      <c r="AJ1731" s="198" t="s">
        <v>163</v>
      </c>
      <c r="AK1731" s="198" t="s">
        <v>51</v>
      </c>
      <c r="AL1731" s="198" t="s">
        <v>67</v>
      </c>
      <c r="AM1731" s="198" t="s">
        <v>68</v>
      </c>
      <c r="AN1731" s="202">
        <v>536750000</v>
      </c>
      <c r="AO1731" s="202">
        <v>536750000</v>
      </c>
      <c r="AP1731" s="202">
        <v>536750000</v>
      </c>
      <c r="AQ1731" s="198" t="s">
        <v>358</v>
      </c>
      <c r="AR1731" s="198" t="s">
        <v>51</v>
      </c>
      <c r="AS1731" s="202">
        <v>536750000</v>
      </c>
      <c r="AT1731" s="202">
        <v>536750000</v>
      </c>
      <c r="AU1731" s="198" t="s">
        <v>359</v>
      </c>
      <c r="AV1731" s="198" t="s">
        <v>62</v>
      </c>
      <c r="AW1731" s="198" t="s">
        <v>113</v>
      </c>
    </row>
    <row r="1732" spans="3:49" outlineLevel="2" x14ac:dyDescent="0.25">
      <c r="C1732" s="201"/>
      <c r="D1732" s="198" t="s">
        <v>803</v>
      </c>
      <c r="H1732" s="198" t="s">
        <v>803</v>
      </c>
      <c r="I1732" s="202">
        <f t="shared" si="27"/>
        <v>718957179.44999993</v>
      </c>
      <c r="J1732" s="202">
        <v>174.1</v>
      </c>
      <c r="L1732" s="204">
        <v>1</v>
      </c>
      <c r="M1732" s="202">
        <v>536750000</v>
      </c>
      <c r="N1732" s="204">
        <v>1</v>
      </c>
      <c r="O1732" s="198" t="s">
        <v>51</v>
      </c>
      <c r="P1732" s="202">
        <v>536750000</v>
      </c>
      <c r="Q1732" s="198" t="s">
        <v>159</v>
      </c>
      <c r="R1732" s="198" t="s">
        <v>160</v>
      </c>
      <c r="S1732" s="198" t="s">
        <v>54</v>
      </c>
      <c r="T1732" s="198" t="s">
        <v>801</v>
      </c>
      <c r="U1732" s="198" t="s">
        <v>80</v>
      </c>
      <c r="V1732" s="198" t="s">
        <v>56</v>
      </c>
      <c r="W1732" s="198" t="s">
        <v>356</v>
      </c>
      <c r="X1732" s="198" t="s">
        <v>161</v>
      </c>
      <c r="Y1732" s="198" t="s">
        <v>162</v>
      </c>
      <c r="Z1732" s="201">
        <v>46477</v>
      </c>
      <c r="AA1732" s="198" t="s">
        <v>59</v>
      </c>
      <c r="AB1732" s="198" t="s">
        <v>60</v>
      </c>
      <c r="AC1732" s="198" t="s">
        <v>86</v>
      </c>
      <c r="AD1732" s="198" t="s">
        <v>62</v>
      </c>
      <c r="AE1732" s="198" t="s">
        <v>54</v>
      </c>
      <c r="AF1732" s="198" t="s">
        <v>54</v>
      </c>
      <c r="AG1732" s="198" t="s">
        <v>166</v>
      </c>
      <c r="AH1732" s="198" t="s">
        <v>156</v>
      </c>
      <c r="AI1732" s="198" t="s">
        <v>56</v>
      </c>
      <c r="AJ1732" s="198" t="s">
        <v>163</v>
      </c>
      <c r="AK1732" s="198" t="s">
        <v>51</v>
      </c>
      <c r="AL1732" s="198" t="s">
        <v>67</v>
      </c>
      <c r="AM1732" s="198" t="s">
        <v>68</v>
      </c>
      <c r="AN1732" s="202">
        <v>536750000</v>
      </c>
      <c r="AO1732" s="202">
        <v>536750000</v>
      </c>
      <c r="AP1732" s="202">
        <v>536750000</v>
      </c>
      <c r="AQ1732" s="198" t="s">
        <v>358</v>
      </c>
      <c r="AR1732" s="198" t="s">
        <v>51</v>
      </c>
      <c r="AS1732" s="202">
        <v>536750000</v>
      </c>
      <c r="AT1732" s="202">
        <v>536750000</v>
      </c>
      <c r="AU1732" s="198" t="s">
        <v>359</v>
      </c>
      <c r="AV1732" s="198" t="s">
        <v>62</v>
      </c>
      <c r="AW1732" s="198" t="s">
        <v>113</v>
      </c>
    </row>
    <row r="1733" spans="3:49" outlineLevel="2" x14ac:dyDescent="0.25">
      <c r="C1733" s="201"/>
      <c r="D1733" s="198" t="s">
        <v>804</v>
      </c>
      <c r="H1733" s="198" t="s">
        <v>804</v>
      </c>
      <c r="I1733" s="202">
        <f t="shared" si="27"/>
        <v>719370135.89999998</v>
      </c>
      <c r="J1733" s="202">
        <v>174.2</v>
      </c>
      <c r="L1733" s="204">
        <v>1</v>
      </c>
      <c r="M1733" s="202">
        <v>2950548</v>
      </c>
      <c r="N1733" s="204">
        <v>1</v>
      </c>
      <c r="O1733" s="198" t="s">
        <v>51</v>
      </c>
      <c r="P1733" s="202">
        <v>2950548</v>
      </c>
      <c r="Q1733" s="198" t="s">
        <v>159</v>
      </c>
      <c r="R1733" s="198" t="s">
        <v>160</v>
      </c>
      <c r="S1733" s="198" t="s">
        <v>54</v>
      </c>
      <c r="T1733" s="198" t="s">
        <v>806</v>
      </c>
      <c r="U1733" s="198" t="s">
        <v>80</v>
      </c>
      <c r="V1733" s="198" t="s">
        <v>56</v>
      </c>
      <c r="W1733" s="198" t="s">
        <v>356</v>
      </c>
      <c r="X1733" s="198" t="s">
        <v>161</v>
      </c>
      <c r="Y1733" s="198" t="s">
        <v>162</v>
      </c>
      <c r="Z1733" s="201">
        <v>46265</v>
      </c>
      <c r="AA1733" s="198" t="s">
        <v>59</v>
      </c>
      <c r="AB1733" s="198" t="s">
        <v>60</v>
      </c>
      <c r="AC1733" s="198" t="s">
        <v>86</v>
      </c>
      <c r="AD1733" s="198" t="s">
        <v>62</v>
      </c>
      <c r="AE1733" s="198" t="s">
        <v>54</v>
      </c>
      <c r="AF1733" s="198" t="s">
        <v>54</v>
      </c>
      <c r="AG1733" s="198" t="s">
        <v>564</v>
      </c>
      <c r="AH1733" s="198" t="s">
        <v>143</v>
      </c>
      <c r="AI1733" s="198" t="s">
        <v>56</v>
      </c>
      <c r="AJ1733" s="198" t="s">
        <v>163</v>
      </c>
      <c r="AK1733" s="198" t="s">
        <v>51</v>
      </c>
      <c r="AL1733" s="198" t="s">
        <v>67</v>
      </c>
      <c r="AM1733" s="198" t="s">
        <v>68</v>
      </c>
      <c r="AN1733" s="202">
        <v>2950548</v>
      </c>
      <c r="AO1733" s="202">
        <v>2950548</v>
      </c>
      <c r="AP1733" s="202">
        <v>2950548</v>
      </c>
      <c r="AQ1733" s="198" t="s">
        <v>358</v>
      </c>
      <c r="AR1733" s="198" t="s">
        <v>51</v>
      </c>
      <c r="AS1733" s="202">
        <v>2950548</v>
      </c>
      <c r="AT1733" s="202">
        <v>2950548</v>
      </c>
      <c r="AU1733" s="198" t="s">
        <v>359</v>
      </c>
      <c r="AV1733" s="198" t="s">
        <v>62</v>
      </c>
      <c r="AW1733" s="198" t="s">
        <v>54</v>
      </c>
    </row>
    <row r="1734" spans="3:49" outlineLevel="2" x14ac:dyDescent="0.25">
      <c r="C1734" s="201"/>
      <c r="D1734" s="198" t="s">
        <v>757</v>
      </c>
      <c r="H1734" s="198" t="s">
        <v>757</v>
      </c>
      <c r="I1734" s="202">
        <f t="shared" si="27"/>
        <v>719783092.35000002</v>
      </c>
      <c r="J1734" s="202">
        <v>174.3</v>
      </c>
      <c r="L1734" s="204">
        <v>1</v>
      </c>
      <c r="M1734" s="202">
        <v>63778679.420000002</v>
      </c>
      <c r="N1734" s="204">
        <v>1</v>
      </c>
      <c r="O1734" s="198" t="s">
        <v>286</v>
      </c>
      <c r="P1734" s="202">
        <v>682560</v>
      </c>
      <c r="Q1734" s="198" t="s">
        <v>159</v>
      </c>
      <c r="R1734" s="198" t="s">
        <v>160</v>
      </c>
      <c r="S1734" s="198" t="s">
        <v>54</v>
      </c>
      <c r="T1734" s="198" t="s">
        <v>708</v>
      </c>
      <c r="U1734" s="198" t="s">
        <v>1753</v>
      </c>
      <c r="V1734" s="198" t="s">
        <v>56</v>
      </c>
      <c r="W1734" s="198" t="s">
        <v>356</v>
      </c>
      <c r="X1734" s="198" t="s">
        <v>161</v>
      </c>
      <c r="Y1734" s="198" t="s">
        <v>162</v>
      </c>
      <c r="Z1734" s="201">
        <v>46387</v>
      </c>
      <c r="AA1734" s="198" t="s">
        <v>59</v>
      </c>
      <c r="AB1734" s="198" t="s">
        <v>715</v>
      </c>
      <c r="AC1734" s="198" t="s">
        <v>86</v>
      </c>
      <c r="AD1734" s="198" t="s">
        <v>62</v>
      </c>
      <c r="AE1734" s="198" t="s">
        <v>54</v>
      </c>
      <c r="AF1734" s="198" t="s">
        <v>54</v>
      </c>
      <c r="AG1734" s="198" t="s">
        <v>88</v>
      </c>
      <c r="AH1734" s="198" t="s">
        <v>169</v>
      </c>
      <c r="AI1734" s="198" t="s">
        <v>56</v>
      </c>
      <c r="AJ1734" s="198" t="s">
        <v>163</v>
      </c>
      <c r="AK1734" s="198" t="s">
        <v>51</v>
      </c>
      <c r="AL1734" s="198" t="s">
        <v>67</v>
      </c>
      <c r="AM1734" s="198" t="s">
        <v>68</v>
      </c>
      <c r="AN1734" s="202">
        <v>63778679.420000002</v>
      </c>
      <c r="AO1734" s="202">
        <v>63778679.420000002</v>
      </c>
      <c r="AP1734" s="202">
        <v>682560</v>
      </c>
      <c r="AQ1734" s="198" t="s">
        <v>358</v>
      </c>
      <c r="AR1734" s="198" t="s">
        <v>51</v>
      </c>
      <c r="AS1734" s="202">
        <v>63778679.420000002</v>
      </c>
      <c r="AT1734" s="202">
        <v>63778679.420000002</v>
      </c>
      <c r="AU1734" s="198" t="s">
        <v>359</v>
      </c>
      <c r="AV1734" s="198" t="s">
        <v>62</v>
      </c>
      <c r="AW1734" s="198" t="s">
        <v>54</v>
      </c>
    </row>
    <row r="1735" spans="3:49" outlineLevel="2" x14ac:dyDescent="0.25">
      <c r="C1735" s="201"/>
      <c r="D1735" s="198" t="s">
        <v>285</v>
      </c>
      <c r="H1735" s="198" t="s">
        <v>285</v>
      </c>
      <c r="I1735" s="202">
        <f t="shared" si="27"/>
        <v>720196048.80000007</v>
      </c>
      <c r="J1735" s="202">
        <v>174.4</v>
      </c>
      <c r="L1735" s="204">
        <v>1</v>
      </c>
      <c r="M1735" s="202">
        <v>65684570</v>
      </c>
      <c r="N1735" s="204">
        <v>1</v>
      </c>
      <c r="O1735" s="198" t="s">
        <v>286</v>
      </c>
      <c r="P1735" s="202">
        <v>700000</v>
      </c>
      <c r="Q1735" s="198" t="s">
        <v>159</v>
      </c>
      <c r="R1735" s="198" t="s">
        <v>160</v>
      </c>
      <c r="S1735" s="198" t="s">
        <v>54</v>
      </c>
      <c r="T1735" s="198" t="s">
        <v>711</v>
      </c>
      <c r="U1735" s="198" t="s">
        <v>1737</v>
      </c>
      <c r="V1735" s="198" t="s">
        <v>56</v>
      </c>
      <c r="W1735" s="198" t="s">
        <v>356</v>
      </c>
      <c r="X1735" s="198" t="s">
        <v>161</v>
      </c>
      <c r="Y1735" s="198" t="s">
        <v>162</v>
      </c>
      <c r="Z1735" s="201">
        <v>46387</v>
      </c>
      <c r="AA1735" s="198" t="s">
        <v>59</v>
      </c>
      <c r="AB1735" s="198" t="s">
        <v>807</v>
      </c>
      <c r="AC1735" s="198" t="s">
        <v>86</v>
      </c>
      <c r="AD1735" s="198" t="s">
        <v>62</v>
      </c>
      <c r="AE1735" s="198" t="s">
        <v>54</v>
      </c>
      <c r="AF1735" s="198" t="s">
        <v>54</v>
      </c>
      <c r="AG1735" s="198" t="s">
        <v>88</v>
      </c>
      <c r="AH1735" s="198" t="s">
        <v>65</v>
      </c>
      <c r="AI1735" s="198" t="s">
        <v>56</v>
      </c>
      <c r="AJ1735" s="198" t="s">
        <v>163</v>
      </c>
      <c r="AK1735" s="198" t="s">
        <v>51</v>
      </c>
      <c r="AL1735" s="198" t="s">
        <v>67</v>
      </c>
      <c r="AM1735" s="198" t="s">
        <v>68</v>
      </c>
      <c r="AN1735" s="202">
        <v>65684570</v>
      </c>
      <c r="AO1735" s="202">
        <v>65684570</v>
      </c>
      <c r="AP1735" s="202">
        <v>700000</v>
      </c>
      <c r="AQ1735" s="198" t="s">
        <v>358</v>
      </c>
      <c r="AR1735" s="198" t="s">
        <v>51</v>
      </c>
      <c r="AS1735" s="202">
        <v>65684570</v>
      </c>
      <c r="AT1735" s="202">
        <v>65684570</v>
      </c>
      <c r="AU1735" s="198" t="s">
        <v>359</v>
      </c>
      <c r="AV1735" s="198" t="s">
        <v>62</v>
      </c>
      <c r="AW1735" s="198" t="s">
        <v>54</v>
      </c>
    </row>
    <row r="1736" spans="3:49" outlineLevel="2" x14ac:dyDescent="0.25">
      <c r="C1736" s="201"/>
      <c r="D1736" s="198" t="s">
        <v>278</v>
      </c>
      <c r="H1736" s="198" t="s">
        <v>278</v>
      </c>
      <c r="I1736" s="202">
        <f t="shared" si="27"/>
        <v>720609005.25</v>
      </c>
      <c r="J1736" s="202">
        <v>174.5</v>
      </c>
      <c r="L1736" s="204">
        <v>1</v>
      </c>
      <c r="M1736" s="202">
        <v>358956</v>
      </c>
      <c r="N1736" s="204">
        <v>1</v>
      </c>
      <c r="O1736" s="198" t="s">
        <v>51</v>
      </c>
      <c r="P1736" s="202">
        <v>358956</v>
      </c>
      <c r="Q1736" s="198" t="s">
        <v>159</v>
      </c>
      <c r="R1736" s="198" t="s">
        <v>160</v>
      </c>
      <c r="S1736" s="198" t="s">
        <v>54</v>
      </c>
      <c r="T1736" s="198" t="s">
        <v>808</v>
      </c>
      <c r="U1736" s="198" t="s">
        <v>93</v>
      </c>
      <c r="V1736" s="198" t="s">
        <v>56</v>
      </c>
      <c r="W1736" s="198" t="s">
        <v>356</v>
      </c>
      <c r="X1736" s="198" t="s">
        <v>161</v>
      </c>
      <c r="Y1736" s="198" t="s">
        <v>162</v>
      </c>
      <c r="Z1736" s="201">
        <v>46323</v>
      </c>
      <c r="AA1736" s="198" t="s">
        <v>59</v>
      </c>
      <c r="AB1736" s="198" t="s">
        <v>60</v>
      </c>
      <c r="AC1736" s="198" t="s">
        <v>86</v>
      </c>
      <c r="AD1736" s="198" t="s">
        <v>62</v>
      </c>
      <c r="AE1736" s="198" t="s">
        <v>54</v>
      </c>
      <c r="AF1736" s="198" t="s">
        <v>54</v>
      </c>
      <c r="AG1736" s="198" t="s">
        <v>235</v>
      </c>
      <c r="AH1736" s="198" t="s">
        <v>193</v>
      </c>
      <c r="AI1736" s="198" t="s">
        <v>56</v>
      </c>
      <c r="AJ1736" s="198" t="s">
        <v>163</v>
      </c>
      <c r="AK1736" s="198" t="s">
        <v>51</v>
      </c>
      <c r="AL1736" s="198" t="s">
        <v>67</v>
      </c>
      <c r="AM1736" s="198" t="s">
        <v>68</v>
      </c>
      <c r="AN1736" s="202">
        <v>358956</v>
      </c>
      <c r="AO1736" s="202">
        <v>358956</v>
      </c>
      <c r="AP1736" s="202">
        <v>358956</v>
      </c>
      <c r="AQ1736" s="198" t="s">
        <v>358</v>
      </c>
      <c r="AR1736" s="198" t="s">
        <v>51</v>
      </c>
      <c r="AS1736" s="202">
        <v>358956</v>
      </c>
      <c r="AT1736" s="202">
        <v>358956</v>
      </c>
      <c r="AU1736" s="198" t="s">
        <v>359</v>
      </c>
      <c r="AV1736" s="198" t="s">
        <v>62</v>
      </c>
      <c r="AW1736" s="198" t="s">
        <v>54</v>
      </c>
    </row>
    <row r="1737" spans="3:49" outlineLevel="2" x14ac:dyDescent="0.25">
      <c r="C1737" s="201"/>
      <c r="D1737" s="198" t="s">
        <v>199</v>
      </c>
      <c r="H1737" s="198" t="s">
        <v>199</v>
      </c>
      <c r="I1737" s="202">
        <f t="shared" si="27"/>
        <v>721021961.69999993</v>
      </c>
      <c r="J1737" s="202">
        <v>174.6</v>
      </c>
      <c r="L1737" s="204">
        <v>1</v>
      </c>
      <c r="M1737" s="202">
        <v>8640000</v>
      </c>
      <c r="N1737" s="204">
        <v>1</v>
      </c>
      <c r="O1737" s="198" t="s">
        <v>51</v>
      </c>
      <c r="P1737" s="202">
        <v>8640000</v>
      </c>
      <c r="Q1737" s="198" t="s">
        <v>159</v>
      </c>
      <c r="R1737" s="198" t="s">
        <v>160</v>
      </c>
      <c r="S1737" s="198" t="s">
        <v>54</v>
      </c>
      <c r="T1737" s="198" t="s">
        <v>725</v>
      </c>
      <c r="U1737" s="198" t="s">
        <v>277</v>
      </c>
      <c r="V1737" s="198" t="s">
        <v>56</v>
      </c>
      <c r="W1737" s="198" t="s">
        <v>356</v>
      </c>
      <c r="X1737" s="198" t="s">
        <v>161</v>
      </c>
      <c r="Y1737" s="198" t="s">
        <v>162</v>
      </c>
      <c r="Z1737" s="201">
        <v>46248</v>
      </c>
      <c r="AA1737" s="198" t="s">
        <v>59</v>
      </c>
      <c r="AB1737" s="198" t="s">
        <v>60</v>
      </c>
      <c r="AC1737" s="198" t="s">
        <v>86</v>
      </c>
      <c r="AD1737" s="198" t="s">
        <v>62</v>
      </c>
      <c r="AE1737" s="198" t="s">
        <v>54</v>
      </c>
      <c r="AF1737" s="198" t="s">
        <v>54</v>
      </c>
      <c r="AG1737" s="198" t="s">
        <v>564</v>
      </c>
      <c r="AH1737" s="198" t="s">
        <v>167</v>
      </c>
      <c r="AI1737" s="198" t="s">
        <v>56</v>
      </c>
      <c r="AJ1737" s="198" t="s">
        <v>163</v>
      </c>
      <c r="AK1737" s="198" t="s">
        <v>51</v>
      </c>
      <c r="AL1737" s="198" t="s">
        <v>67</v>
      </c>
      <c r="AM1737" s="198" t="s">
        <v>68</v>
      </c>
      <c r="AN1737" s="202">
        <v>8640000</v>
      </c>
      <c r="AO1737" s="202">
        <v>8640000</v>
      </c>
      <c r="AP1737" s="202">
        <v>8640000</v>
      </c>
      <c r="AQ1737" s="198" t="s">
        <v>358</v>
      </c>
      <c r="AR1737" s="198" t="s">
        <v>51</v>
      </c>
      <c r="AS1737" s="202">
        <v>8640000</v>
      </c>
      <c r="AT1737" s="202">
        <v>8640000</v>
      </c>
      <c r="AU1737" s="198" t="s">
        <v>359</v>
      </c>
      <c r="AV1737" s="198" t="s">
        <v>62</v>
      </c>
      <c r="AW1737" s="198" t="s">
        <v>54</v>
      </c>
    </row>
    <row r="1738" spans="3:49" outlineLevel="2" x14ac:dyDescent="0.25">
      <c r="C1738" s="201"/>
      <c r="D1738" s="198" t="s">
        <v>199</v>
      </c>
      <c r="H1738" s="198" t="s">
        <v>199</v>
      </c>
      <c r="I1738" s="202">
        <f t="shared" si="27"/>
        <v>721434918.14999998</v>
      </c>
      <c r="J1738" s="202">
        <v>174.7</v>
      </c>
      <c r="L1738" s="204">
        <v>1</v>
      </c>
      <c r="M1738" s="202">
        <v>3189600</v>
      </c>
      <c r="N1738" s="204">
        <v>1</v>
      </c>
      <c r="O1738" s="198" t="s">
        <v>51</v>
      </c>
      <c r="P1738" s="202">
        <v>3189600</v>
      </c>
      <c r="Q1738" s="198" t="s">
        <v>159</v>
      </c>
      <c r="R1738" s="198" t="s">
        <v>160</v>
      </c>
      <c r="S1738" s="198" t="s">
        <v>54</v>
      </c>
      <c r="T1738" s="198" t="s">
        <v>725</v>
      </c>
      <c r="U1738" s="198" t="s">
        <v>277</v>
      </c>
      <c r="V1738" s="198" t="s">
        <v>56</v>
      </c>
      <c r="W1738" s="198" t="s">
        <v>356</v>
      </c>
      <c r="X1738" s="198" t="s">
        <v>161</v>
      </c>
      <c r="Y1738" s="198" t="s">
        <v>162</v>
      </c>
      <c r="Z1738" s="201">
        <v>46248</v>
      </c>
      <c r="AA1738" s="198" t="s">
        <v>59</v>
      </c>
      <c r="AB1738" s="198" t="s">
        <v>60</v>
      </c>
      <c r="AC1738" s="198" t="s">
        <v>86</v>
      </c>
      <c r="AD1738" s="198" t="s">
        <v>62</v>
      </c>
      <c r="AE1738" s="198" t="s">
        <v>54</v>
      </c>
      <c r="AF1738" s="198" t="s">
        <v>54</v>
      </c>
      <c r="AG1738" s="198" t="s">
        <v>564</v>
      </c>
      <c r="AH1738" s="198" t="s">
        <v>167</v>
      </c>
      <c r="AI1738" s="198" t="s">
        <v>56</v>
      </c>
      <c r="AJ1738" s="198" t="s">
        <v>163</v>
      </c>
      <c r="AK1738" s="198" t="s">
        <v>51</v>
      </c>
      <c r="AL1738" s="198" t="s">
        <v>67</v>
      </c>
      <c r="AM1738" s="198" t="s">
        <v>68</v>
      </c>
      <c r="AN1738" s="202">
        <v>3189600</v>
      </c>
      <c r="AO1738" s="202">
        <v>3189600</v>
      </c>
      <c r="AP1738" s="202">
        <v>3189600</v>
      </c>
      <c r="AQ1738" s="198" t="s">
        <v>358</v>
      </c>
      <c r="AR1738" s="198" t="s">
        <v>51</v>
      </c>
      <c r="AS1738" s="202">
        <v>3189600</v>
      </c>
      <c r="AT1738" s="202">
        <v>3189600</v>
      </c>
      <c r="AU1738" s="198" t="s">
        <v>359</v>
      </c>
      <c r="AV1738" s="198" t="s">
        <v>62</v>
      </c>
      <c r="AW1738" s="198" t="s">
        <v>54</v>
      </c>
    </row>
    <row r="1739" spans="3:49" outlineLevel="2" x14ac:dyDescent="0.25">
      <c r="C1739" s="201"/>
      <c r="D1739" s="198" t="s">
        <v>215</v>
      </c>
      <c r="H1739" s="198" t="s">
        <v>215</v>
      </c>
      <c r="I1739" s="202">
        <f t="shared" si="27"/>
        <v>721847874.60000002</v>
      </c>
      <c r="J1739" s="202">
        <v>174.8</v>
      </c>
      <c r="L1739" s="204">
        <v>1</v>
      </c>
      <c r="M1739" s="202">
        <v>9720000</v>
      </c>
      <c r="N1739" s="204">
        <v>1</v>
      </c>
      <c r="O1739" s="198" t="s">
        <v>51</v>
      </c>
      <c r="P1739" s="202">
        <v>9720000</v>
      </c>
      <c r="Q1739" s="198" t="s">
        <v>159</v>
      </c>
      <c r="R1739" s="198" t="s">
        <v>160</v>
      </c>
      <c r="S1739" s="198" t="s">
        <v>54</v>
      </c>
      <c r="T1739" s="198" t="s">
        <v>725</v>
      </c>
      <c r="U1739" s="198" t="s">
        <v>277</v>
      </c>
      <c r="V1739" s="198" t="s">
        <v>56</v>
      </c>
      <c r="W1739" s="198" t="s">
        <v>356</v>
      </c>
      <c r="X1739" s="198" t="s">
        <v>161</v>
      </c>
      <c r="Y1739" s="198" t="s">
        <v>162</v>
      </c>
      <c r="Z1739" s="201">
        <v>46248</v>
      </c>
      <c r="AA1739" s="198" t="s">
        <v>59</v>
      </c>
      <c r="AB1739" s="198" t="s">
        <v>60</v>
      </c>
      <c r="AC1739" s="198" t="s">
        <v>86</v>
      </c>
      <c r="AD1739" s="198" t="s">
        <v>62</v>
      </c>
      <c r="AE1739" s="198" t="s">
        <v>54</v>
      </c>
      <c r="AF1739" s="198" t="s">
        <v>54</v>
      </c>
      <c r="AG1739" s="198" t="s">
        <v>564</v>
      </c>
      <c r="AH1739" s="198" t="s">
        <v>89</v>
      </c>
      <c r="AI1739" s="198" t="s">
        <v>56</v>
      </c>
      <c r="AJ1739" s="198" t="s">
        <v>163</v>
      </c>
      <c r="AK1739" s="198" t="s">
        <v>51</v>
      </c>
      <c r="AL1739" s="198" t="s">
        <v>67</v>
      </c>
      <c r="AM1739" s="198" t="s">
        <v>68</v>
      </c>
      <c r="AN1739" s="202">
        <v>9720000</v>
      </c>
      <c r="AO1739" s="202">
        <v>9720000</v>
      </c>
      <c r="AP1739" s="202">
        <v>9720000</v>
      </c>
      <c r="AQ1739" s="198" t="s">
        <v>358</v>
      </c>
      <c r="AR1739" s="198" t="s">
        <v>51</v>
      </c>
      <c r="AS1739" s="202">
        <v>9720000</v>
      </c>
      <c r="AT1739" s="202">
        <v>9720000</v>
      </c>
      <c r="AU1739" s="198" t="s">
        <v>359</v>
      </c>
      <c r="AV1739" s="198" t="s">
        <v>62</v>
      </c>
      <c r="AW1739" s="198" t="s">
        <v>54</v>
      </c>
    </row>
    <row r="1740" spans="3:49" outlineLevel="2" x14ac:dyDescent="0.25">
      <c r="C1740" s="201"/>
      <c r="D1740" s="198" t="s">
        <v>215</v>
      </c>
      <c r="H1740" s="198" t="s">
        <v>215</v>
      </c>
      <c r="I1740" s="202">
        <f t="shared" si="27"/>
        <v>722260831.05000007</v>
      </c>
      <c r="J1740" s="202">
        <v>174.9</v>
      </c>
      <c r="L1740" s="204">
        <v>1</v>
      </c>
      <c r="M1740" s="202">
        <v>3588600</v>
      </c>
      <c r="N1740" s="204">
        <v>1</v>
      </c>
      <c r="O1740" s="198" t="s">
        <v>51</v>
      </c>
      <c r="P1740" s="202">
        <v>3588600</v>
      </c>
      <c r="Q1740" s="198" t="s">
        <v>159</v>
      </c>
      <c r="R1740" s="198" t="s">
        <v>160</v>
      </c>
      <c r="S1740" s="198" t="s">
        <v>54</v>
      </c>
      <c r="T1740" s="198" t="s">
        <v>725</v>
      </c>
      <c r="U1740" s="198" t="s">
        <v>277</v>
      </c>
      <c r="V1740" s="198" t="s">
        <v>56</v>
      </c>
      <c r="W1740" s="198" t="s">
        <v>356</v>
      </c>
      <c r="X1740" s="198" t="s">
        <v>161</v>
      </c>
      <c r="Y1740" s="198" t="s">
        <v>162</v>
      </c>
      <c r="Z1740" s="201">
        <v>46248</v>
      </c>
      <c r="AA1740" s="198" t="s">
        <v>59</v>
      </c>
      <c r="AB1740" s="198" t="s">
        <v>60</v>
      </c>
      <c r="AC1740" s="198" t="s">
        <v>86</v>
      </c>
      <c r="AD1740" s="198" t="s">
        <v>62</v>
      </c>
      <c r="AE1740" s="198" t="s">
        <v>54</v>
      </c>
      <c r="AF1740" s="198" t="s">
        <v>54</v>
      </c>
      <c r="AG1740" s="198" t="s">
        <v>564</v>
      </c>
      <c r="AH1740" s="198" t="s">
        <v>89</v>
      </c>
      <c r="AI1740" s="198" t="s">
        <v>56</v>
      </c>
      <c r="AJ1740" s="198" t="s">
        <v>163</v>
      </c>
      <c r="AK1740" s="198" t="s">
        <v>51</v>
      </c>
      <c r="AL1740" s="198" t="s">
        <v>67</v>
      </c>
      <c r="AM1740" s="198" t="s">
        <v>68</v>
      </c>
      <c r="AN1740" s="202">
        <v>3588600</v>
      </c>
      <c r="AO1740" s="202">
        <v>3588600</v>
      </c>
      <c r="AP1740" s="202">
        <v>3588600</v>
      </c>
      <c r="AQ1740" s="198" t="s">
        <v>358</v>
      </c>
      <c r="AR1740" s="198" t="s">
        <v>51</v>
      </c>
      <c r="AS1740" s="202">
        <v>3588600</v>
      </c>
      <c r="AT1740" s="202">
        <v>3588600</v>
      </c>
      <c r="AU1740" s="198" t="s">
        <v>359</v>
      </c>
      <c r="AV1740" s="198" t="s">
        <v>62</v>
      </c>
      <c r="AW1740" s="198" t="s">
        <v>54</v>
      </c>
    </row>
    <row r="1741" spans="3:49" outlineLevel="2" x14ac:dyDescent="0.25">
      <c r="C1741" s="201"/>
      <c r="D1741" s="198" t="s">
        <v>202</v>
      </c>
      <c r="H1741" s="198" t="s">
        <v>202</v>
      </c>
      <c r="I1741" s="202">
        <f t="shared" si="27"/>
        <v>722673787.5</v>
      </c>
      <c r="J1741" s="202">
        <v>175</v>
      </c>
      <c r="L1741" s="204">
        <v>1</v>
      </c>
      <c r="M1741" s="202">
        <v>9720000</v>
      </c>
      <c r="N1741" s="204">
        <v>1</v>
      </c>
      <c r="O1741" s="198" t="s">
        <v>51</v>
      </c>
      <c r="P1741" s="202">
        <v>9720000</v>
      </c>
      <c r="Q1741" s="198" t="s">
        <v>159</v>
      </c>
      <c r="R1741" s="198" t="s">
        <v>160</v>
      </c>
      <c r="S1741" s="198" t="s">
        <v>54</v>
      </c>
      <c r="T1741" s="198" t="s">
        <v>725</v>
      </c>
      <c r="U1741" s="198" t="s">
        <v>277</v>
      </c>
      <c r="V1741" s="198" t="s">
        <v>56</v>
      </c>
      <c r="W1741" s="198" t="s">
        <v>356</v>
      </c>
      <c r="X1741" s="198" t="s">
        <v>161</v>
      </c>
      <c r="Y1741" s="198" t="s">
        <v>162</v>
      </c>
      <c r="Z1741" s="201">
        <v>46248</v>
      </c>
      <c r="AA1741" s="198" t="s">
        <v>59</v>
      </c>
      <c r="AB1741" s="198" t="s">
        <v>60</v>
      </c>
      <c r="AC1741" s="198" t="s">
        <v>86</v>
      </c>
      <c r="AD1741" s="198" t="s">
        <v>62</v>
      </c>
      <c r="AE1741" s="198" t="s">
        <v>54</v>
      </c>
      <c r="AF1741" s="198" t="s">
        <v>54</v>
      </c>
      <c r="AG1741" s="198" t="s">
        <v>564</v>
      </c>
      <c r="AH1741" s="198" t="s">
        <v>65</v>
      </c>
      <c r="AI1741" s="198" t="s">
        <v>56</v>
      </c>
      <c r="AJ1741" s="198" t="s">
        <v>163</v>
      </c>
      <c r="AK1741" s="198" t="s">
        <v>51</v>
      </c>
      <c r="AL1741" s="198" t="s">
        <v>67</v>
      </c>
      <c r="AM1741" s="198" t="s">
        <v>68</v>
      </c>
      <c r="AN1741" s="202">
        <v>9720000</v>
      </c>
      <c r="AO1741" s="202">
        <v>9720000</v>
      </c>
      <c r="AP1741" s="202">
        <v>9720000</v>
      </c>
      <c r="AQ1741" s="198" t="s">
        <v>358</v>
      </c>
      <c r="AR1741" s="198" t="s">
        <v>51</v>
      </c>
      <c r="AS1741" s="202">
        <v>9720000</v>
      </c>
      <c r="AT1741" s="202">
        <v>9720000</v>
      </c>
      <c r="AU1741" s="198" t="s">
        <v>359</v>
      </c>
      <c r="AV1741" s="198" t="s">
        <v>62</v>
      </c>
      <c r="AW1741" s="198" t="s">
        <v>54</v>
      </c>
    </row>
    <row r="1742" spans="3:49" outlineLevel="2" x14ac:dyDescent="0.25">
      <c r="C1742" s="201"/>
      <c r="D1742" s="198" t="s">
        <v>202</v>
      </c>
      <c r="H1742" s="198" t="s">
        <v>202</v>
      </c>
      <c r="I1742" s="202">
        <f t="shared" si="27"/>
        <v>723086743.94999993</v>
      </c>
      <c r="J1742" s="202">
        <v>175.1</v>
      </c>
      <c r="L1742" s="204">
        <v>1</v>
      </c>
      <c r="M1742" s="202">
        <v>3588600</v>
      </c>
      <c r="N1742" s="204">
        <v>1</v>
      </c>
      <c r="O1742" s="198" t="s">
        <v>51</v>
      </c>
      <c r="P1742" s="202">
        <v>3588600</v>
      </c>
      <c r="Q1742" s="198" t="s">
        <v>159</v>
      </c>
      <c r="R1742" s="198" t="s">
        <v>160</v>
      </c>
      <c r="S1742" s="198" t="s">
        <v>54</v>
      </c>
      <c r="T1742" s="198" t="s">
        <v>725</v>
      </c>
      <c r="U1742" s="198" t="s">
        <v>277</v>
      </c>
      <c r="V1742" s="198" t="s">
        <v>56</v>
      </c>
      <c r="W1742" s="198" t="s">
        <v>356</v>
      </c>
      <c r="X1742" s="198" t="s">
        <v>161</v>
      </c>
      <c r="Y1742" s="198" t="s">
        <v>162</v>
      </c>
      <c r="Z1742" s="201">
        <v>46248</v>
      </c>
      <c r="AA1742" s="198" t="s">
        <v>59</v>
      </c>
      <c r="AB1742" s="198" t="s">
        <v>60</v>
      </c>
      <c r="AC1742" s="198" t="s">
        <v>86</v>
      </c>
      <c r="AD1742" s="198" t="s">
        <v>62</v>
      </c>
      <c r="AE1742" s="198" t="s">
        <v>54</v>
      </c>
      <c r="AF1742" s="198" t="s">
        <v>54</v>
      </c>
      <c r="AG1742" s="198" t="s">
        <v>564</v>
      </c>
      <c r="AH1742" s="198" t="s">
        <v>65</v>
      </c>
      <c r="AI1742" s="198" t="s">
        <v>56</v>
      </c>
      <c r="AJ1742" s="198" t="s">
        <v>163</v>
      </c>
      <c r="AK1742" s="198" t="s">
        <v>51</v>
      </c>
      <c r="AL1742" s="198" t="s">
        <v>67</v>
      </c>
      <c r="AM1742" s="198" t="s">
        <v>68</v>
      </c>
      <c r="AN1742" s="202">
        <v>3588600</v>
      </c>
      <c r="AO1742" s="202">
        <v>3588600</v>
      </c>
      <c r="AP1742" s="202">
        <v>3588600</v>
      </c>
      <c r="AQ1742" s="198" t="s">
        <v>358</v>
      </c>
      <c r="AR1742" s="198" t="s">
        <v>51</v>
      </c>
      <c r="AS1742" s="202">
        <v>3588600</v>
      </c>
      <c r="AT1742" s="202">
        <v>3588600</v>
      </c>
      <c r="AU1742" s="198" t="s">
        <v>359</v>
      </c>
      <c r="AV1742" s="198" t="s">
        <v>62</v>
      </c>
      <c r="AW1742" s="198" t="s">
        <v>54</v>
      </c>
    </row>
    <row r="1743" spans="3:49" outlineLevel="2" x14ac:dyDescent="0.25">
      <c r="C1743" s="201"/>
      <c r="D1743" s="198" t="s">
        <v>204</v>
      </c>
      <c r="H1743" s="198" t="s">
        <v>204</v>
      </c>
      <c r="I1743" s="202">
        <f t="shared" si="27"/>
        <v>723499700.39999998</v>
      </c>
      <c r="J1743" s="202">
        <v>175.2</v>
      </c>
      <c r="L1743" s="204">
        <v>1</v>
      </c>
      <c r="M1743" s="202">
        <v>2700000</v>
      </c>
      <c r="N1743" s="204">
        <v>1</v>
      </c>
      <c r="O1743" s="198" t="s">
        <v>51</v>
      </c>
      <c r="P1743" s="202">
        <v>2700000</v>
      </c>
      <c r="Q1743" s="198" t="s">
        <v>159</v>
      </c>
      <c r="R1743" s="198" t="s">
        <v>160</v>
      </c>
      <c r="S1743" s="198" t="s">
        <v>54</v>
      </c>
      <c r="T1743" s="198" t="s">
        <v>725</v>
      </c>
      <c r="U1743" s="198" t="s">
        <v>277</v>
      </c>
      <c r="V1743" s="198" t="s">
        <v>56</v>
      </c>
      <c r="W1743" s="198" t="s">
        <v>356</v>
      </c>
      <c r="X1743" s="198" t="s">
        <v>161</v>
      </c>
      <c r="Y1743" s="198" t="s">
        <v>162</v>
      </c>
      <c r="Z1743" s="201">
        <v>46248</v>
      </c>
      <c r="AA1743" s="198" t="s">
        <v>59</v>
      </c>
      <c r="AB1743" s="198" t="s">
        <v>60</v>
      </c>
      <c r="AC1743" s="198" t="s">
        <v>86</v>
      </c>
      <c r="AD1743" s="198" t="s">
        <v>62</v>
      </c>
      <c r="AE1743" s="198" t="s">
        <v>54</v>
      </c>
      <c r="AF1743" s="198" t="s">
        <v>54</v>
      </c>
      <c r="AG1743" s="198" t="s">
        <v>564</v>
      </c>
      <c r="AH1743" s="198" t="s">
        <v>169</v>
      </c>
      <c r="AI1743" s="198" t="s">
        <v>56</v>
      </c>
      <c r="AJ1743" s="198" t="s">
        <v>163</v>
      </c>
      <c r="AK1743" s="198" t="s">
        <v>51</v>
      </c>
      <c r="AL1743" s="198" t="s">
        <v>67</v>
      </c>
      <c r="AM1743" s="198" t="s">
        <v>68</v>
      </c>
      <c r="AN1743" s="202">
        <v>2700000</v>
      </c>
      <c r="AO1743" s="202">
        <v>2700000</v>
      </c>
      <c r="AP1743" s="202">
        <v>2700000</v>
      </c>
      <c r="AQ1743" s="198" t="s">
        <v>358</v>
      </c>
      <c r="AR1743" s="198" t="s">
        <v>51</v>
      </c>
      <c r="AS1743" s="202">
        <v>2700000</v>
      </c>
      <c r="AT1743" s="202">
        <v>2700000</v>
      </c>
      <c r="AU1743" s="198" t="s">
        <v>359</v>
      </c>
      <c r="AV1743" s="198" t="s">
        <v>62</v>
      </c>
      <c r="AW1743" s="198" t="s">
        <v>54</v>
      </c>
    </row>
    <row r="1744" spans="3:49" outlineLevel="2" x14ac:dyDescent="0.25">
      <c r="C1744" s="201"/>
      <c r="D1744" s="198" t="s">
        <v>204</v>
      </c>
      <c r="H1744" s="198" t="s">
        <v>204</v>
      </c>
      <c r="I1744" s="202">
        <f t="shared" si="27"/>
        <v>723912656.85000002</v>
      </c>
      <c r="J1744" s="202">
        <v>175.3</v>
      </c>
      <c r="L1744" s="204">
        <v>1</v>
      </c>
      <c r="M1744" s="202">
        <v>996900</v>
      </c>
      <c r="N1744" s="204">
        <v>1</v>
      </c>
      <c r="O1744" s="198" t="s">
        <v>51</v>
      </c>
      <c r="P1744" s="202">
        <v>996900</v>
      </c>
      <c r="Q1744" s="198" t="s">
        <v>159</v>
      </c>
      <c r="R1744" s="198" t="s">
        <v>160</v>
      </c>
      <c r="S1744" s="198" t="s">
        <v>54</v>
      </c>
      <c r="T1744" s="198" t="s">
        <v>725</v>
      </c>
      <c r="U1744" s="198" t="s">
        <v>277</v>
      </c>
      <c r="V1744" s="198" t="s">
        <v>56</v>
      </c>
      <c r="W1744" s="198" t="s">
        <v>356</v>
      </c>
      <c r="X1744" s="198" t="s">
        <v>161</v>
      </c>
      <c r="Y1744" s="198" t="s">
        <v>162</v>
      </c>
      <c r="Z1744" s="201">
        <v>46248</v>
      </c>
      <c r="AA1744" s="198" t="s">
        <v>59</v>
      </c>
      <c r="AB1744" s="198" t="s">
        <v>60</v>
      </c>
      <c r="AC1744" s="198" t="s">
        <v>86</v>
      </c>
      <c r="AD1744" s="198" t="s">
        <v>62</v>
      </c>
      <c r="AE1744" s="198" t="s">
        <v>54</v>
      </c>
      <c r="AF1744" s="198" t="s">
        <v>54</v>
      </c>
      <c r="AG1744" s="198" t="s">
        <v>564</v>
      </c>
      <c r="AH1744" s="198" t="s">
        <v>169</v>
      </c>
      <c r="AI1744" s="198" t="s">
        <v>56</v>
      </c>
      <c r="AJ1744" s="198" t="s">
        <v>163</v>
      </c>
      <c r="AK1744" s="198" t="s">
        <v>51</v>
      </c>
      <c r="AL1744" s="198" t="s">
        <v>67</v>
      </c>
      <c r="AM1744" s="198" t="s">
        <v>68</v>
      </c>
      <c r="AN1744" s="202">
        <v>996900</v>
      </c>
      <c r="AO1744" s="202">
        <v>996900</v>
      </c>
      <c r="AP1744" s="202">
        <v>996900</v>
      </c>
      <c r="AQ1744" s="198" t="s">
        <v>358</v>
      </c>
      <c r="AR1744" s="198" t="s">
        <v>51</v>
      </c>
      <c r="AS1744" s="202">
        <v>996900</v>
      </c>
      <c r="AT1744" s="202">
        <v>996900</v>
      </c>
      <c r="AU1744" s="198" t="s">
        <v>359</v>
      </c>
      <c r="AV1744" s="198" t="s">
        <v>62</v>
      </c>
      <c r="AW1744" s="198" t="s">
        <v>54</v>
      </c>
    </row>
    <row r="1745" spans="3:49" outlineLevel="2" x14ac:dyDescent="0.25">
      <c r="C1745" s="201"/>
      <c r="D1745" s="198" t="s">
        <v>275</v>
      </c>
      <c r="H1745" s="198" t="s">
        <v>275</v>
      </c>
      <c r="I1745" s="202">
        <f t="shared" si="27"/>
        <v>724325613.30000007</v>
      </c>
      <c r="J1745" s="202">
        <v>175.4</v>
      </c>
      <c r="L1745" s="204">
        <v>1</v>
      </c>
      <c r="M1745" s="202">
        <v>1095000</v>
      </c>
      <c r="N1745" s="204">
        <v>1</v>
      </c>
      <c r="O1745" s="198" t="s">
        <v>51</v>
      </c>
      <c r="P1745" s="202">
        <v>1095000</v>
      </c>
      <c r="Q1745" s="198" t="s">
        <v>159</v>
      </c>
      <c r="R1745" s="198" t="s">
        <v>160</v>
      </c>
      <c r="S1745" s="198" t="s">
        <v>54</v>
      </c>
      <c r="T1745" s="198" t="s">
        <v>2063</v>
      </c>
      <c r="U1745" s="198" t="s">
        <v>367</v>
      </c>
      <c r="V1745" s="198" t="s">
        <v>56</v>
      </c>
      <c r="W1745" s="198" t="s">
        <v>356</v>
      </c>
      <c r="X1745" s="198" t="s">
        <v>161</v>
      </c>
      <c r="Y1745" s="198" t="s">
        <v>162</v>
      </c>
      <c r="Z1745" s="201">
        <v>46387</v>
      </c>
      <c r="AA1745" s="198" t="s">
        <v>59</v>
      </c>
      <c r="AB1745" s="198" t="s">
        <v>60</v>
      </c>
      <c r="AC1745" s="198" t="s">
        <v>86</v>
      </c>
      <c r="AD1745" s="198" t="s">
        <v>62</v>
      </c>
      <c r="AE1745" s="198" t="s">
        <v>54</v>
      </c>
      <c r="AF1745" s="198" t="s">
        <v>54</v>
      </c>
      <c r="AG1745" s="198" t="s">
        <v>88</v>
      </c>
      <c r="AH1745" s="198" t="s">
        <v>148</v>
      </c>
      <c r="AI1745" s="198" t="s">
        <v>56</v>
      </c>
      <c r="AJ1745" s="198" t="s">
        <v>163</v>
      </c>
      <c r="AK1745" s="198" t="s">
        <v>51</v>
      </c>
      <c r="AL1745" s="198" t="s">
        <v>67</v>
      </c>
      <c r="AM1745" s="198" t="s">
        <v>68</v>
      </c>
      <c r="AN1745" s="202">
        <v>1095000</v>
      </c>
      <c r="AO1745" s="202">
        <v>1095000</v>
      </c>
      <c r="AP1745" s="202">
        <v>1095000</v>
      </c>
      <c r="AQ1745" s="198" t="s">
        <v>358</v>
      </c>
      <c r="AR1745" s="198" t="s">
        <v>51</v>
      </c>
      <c r="AS1745" s="202">
        <v>1095000</v>
      </c>
      <c r="AT1745" s="202">
        <v>1095000</v>
      </c>
      <c r="AU1745" s="198" t="s">
        <v>359</v>
      </c>
      <c r="AV1745" s="198" t="s">
        <v>62</v>
      </c>
      <c r="AW1745" s="198" t="s">
        <v>54</v>
      </c>
    </row>
    <row r="1746" spans="3:49" outlineLevel="2" x14ac:dyDescent="0.25">
      <c r="C1746" s="201"/>
      <c r="D1746" s="198" t="s">
        <v>287</v>
      </c>
      <c r="H1746" s="198" t="s">
        <v>287</v>
      </c>
      <c r="I1746" s="202">
        <f t="shared" si="27"/>
        <v>724738569.75</v>
      </c>
      <c r="J1746" s="202">
        <v>175.5</v>
      </c>
      <c r="L1746" s="204">
        <v>1</v>
      </c>
      <c r="M1746" s="202">
        <v>1095000</v>
      </c>
      <c r="N1746" s="204">
        <v>1</v>
      </c>
      <c r="O1746" s="198" t="s">
        <v>51</v>
      </c>
      <c r="P1746" s="202">
        <v>1095000</v>
      </c>
      <c r="Q1746" s="198" t="s">
        <v>159</v>
      </c>
      <c r="R1746" s="198" t="s">
        <v>160</v>
      </c>
      <c r="S1746" s="198" t="s">
        <v>54</v>
      </c>
      <c r="T1746" s="198" t="s">
        <v>2063</v>
      </c>
      <c r="U1746" s="198" t="s">
        <v>367</v>
      </c>
      <c r="V1746" s="198" t="s">
        <v>56</v>
      </c>
      <c r="W1746" s="198" t="s">
        <v>356</v>
      </c>
      <c r="X1746" s="198" t="s">
        <v>161</v>
      </c>
      <c r="Y1746" s="198" t="s">
        <v>162</v>
      </c>
      <c r="Z1746" s="201">
        <v>46387</v>
      </c>
      <c r="AA1746" s="198" t="s">
        <v>59</v>
      </c>
      <c r="AB1746" s="198" t="s">
        <v>60</v>
      </c>
      <c r="AC1746" s="198" t="s">
        <v>86</v>
      </c>
      <c r="AD1746" s="198" t="s">
        <v>62</v>
      </c>
      <c r="AE1746" s="198" t="s">
        <v>54</v>
      </c>
      <c r="AF1746" s="198" t="s">
        <v>54</v>
      </c>
      <c r="AG1746" s="198" t="s">
        <v>88</v>
      </c>
      <c r="AH1746" s="198" t="s">
        <v>156</v>
      </c>
      <c r="AI1746" s="198" t="s">
        <v>56</v>
      </c>
      <c r="AJ1746" s="198" t="s">
        <v>163</v>
      </c>
      <c r="AK1746" s="198" t="s">
        <v>51</v>
      </c>
      <c r="AL1746" s="198" t="s">
        <v>67</v>
      </c>
      <c r="AM1746" s="198" t="s">
        <v>68</v>
      </c>
      <c r="AN1746" s="202">
        <v>1095000</v>
      </c>
      <c r="AO1746" s="202">
        <v>1095000</v>
      </c>
      <c r="AP1746" s="202">
        <v>1095000</v>
      </c>
      <c r="AQ1746" s="198" t="s">
        <v>358</v>
      </c>
      <c r="AR1746" s="198" t="s">
        <v>51</v>
      </c>
      <c r="AS1746" s="202">
        <v>1095000</v>
      </c>
      <c r="AT1746" s="202">
        <v>1095000</v>
      </c>
      <c r="AU1746" s="198" t="s">
        <v>359</v>
      </c>
      <c r="AV1746" s="198" t="s">
        <v>62</v>
      </c>
      <c r="AW1746" s="198" t="s">
        <v>54</v>
      </c>
    </row>
    <row r="1747" spans="3:49" outlineLevel="2" x14ac:dyDescent="0.25">
      <c r="C1747" s="201"/>
      <c r="D1747" s="198" t="s">
        <v>276</v>
      </c>
      <c r="H1747" s="198" t="s">
        <v>276</v>
      </c>
      <c r="I1747" s="202">
        <f t="shared" si="27"/>
        <v>725151526.19999993</v>
      </c>
      <c r="J1747" s="202">
        <v>175.6</v>
      </c>
      <c r="L1747" s="204">
        <v>1</v>
      </c>
      <c r="M1747" s="202">
        <v>1551000</v>
      </c>
      <c r="N1747" s="204">
        <v>1</v>
      </c>
      <c r="O1747" s="198" t="s">
        <v>51</v>
      </c>
      <c r="P1747" s="202">
        <v>1551000</v>
      </c>
      <c r="Q1747" s="198" t="s">
        <v>159</v>
      </c>
      <c r="R1747" s="198" t="s">
        <v>160</v>
      </c>
      <c r="S1747" s="198" t="s">
        <v>54</v>
      </c>
      <c r="T1747" s="198" t="s">
        <v>1754</v>
      </c>
      <c r="U1747" s="198" t="s">
        <v>1755</v>
      </c>
      <c r="V1747" s="198" t="s">
        <v>56</v>
      </c>
      <c r="W1747" s="198" t="s">
        <v>356</v>
      </c>
      <c r="X1747" s="198" t="s">
        <v>161</v>
      </c>
      <c r="Y1747" s="198" t="s">
        <v>162</v>
      </c>
      <c r="Z1747" s="201">
        <v>46387</v>
      </c>
      <c r="AA1747" s="198" t="s">
        <v>59</v>
      </c>
      <c r="AB1747" s="198" t="s">
        <v>60</v>
      </c>
      <c r="AC1747" s="198" t="s">
        <v>86</v>
      </c>
      <c r="AD1747" s="198" t="s">
        <v>62</v>
      </c>
      <c r="AE1747" s="198" t="s">
        <v>54</v>
      </c>
      <c r="AF1747" s="198" t="s">
        <v>54</v>
      </c>
      <c r="AG1747" s="198" t="s">
        <v>88</v>
      </c>
      <c r="AH1747" s="198" t="s">
        <v>143</v>
      </c>
      <c r="AI1747" s="198" t="s">
        <v>56</v>
      </c>
      <c r="AJ1747" s="198" t="s">
        <v>163</v>
      </c>
      <c r="AK1747" s="198" t="s">
        <v>51</v>
      </c>
      <c r="AL1747" s="198" t="s">
        <v>67</v>
      </c>
      <c r="AM1747" s="198" t="s">
        <v>68</v>
      </c>
      <c r="AN1747" s="202">
        <v>1551000</v>
      </c>
      <c r="AO1747" s="202">
        <v>1551000</v>
      </c>
      <c r="AP1747" s="202">
        <v>1551000</v>
      </c>
      <c r="AQ1747" s="198" t="s">
        <v>358</v>
      </c>
      <c r="AR1747" s="198" t="s">
        <v>51</v>
      </c>
      <c r="AS1747" s="202">
        <v>1551000</v>
      </c>
      <c r="AT1747" s="202">
        <v>1551000</v>
      </c>
      <c r="AU1747" s="198" t="s">
        <v>359</v>
      </c>
      <c r="AV1747" s="198" t="s">
        <v>62</v>
      </c>
      <c r="AW1747" s="198" t="s">
        <v>54</v>
      </c>
    </row>
    <row r="1748" spans="3:49" outlineLevel="2" x14ac:dyDescent="0.25">
      <c r="C1748" s="201"/>
      <c r="D1748" s="198" t="s">
        <v>205</v>
      </c>
      <c r="H1748" s="198" t="s">
        <v>205</v>
      </c>
      <c r="I1748" s="202">
        <f t="shared" si="27"/>
        <v>725564482.64999998</v>
      </c>
      <c r="J1748" s="202">
        <v>175.7</v>
      </c>
      <c r="L1748" s="204">
        <v>1</v>
      </c>
      <c r="M1748" s="202">
        <v>27892268.399999999</v>
      </c>
      <c r="N1748" s="204">
        <v>1</v>
      </c>
      <c r="O1748" s="198" t="s">
        <v>51</v>
      </c>
      <c r="P1748" s="202">
        <v>27892268.399999999</v>
      </c>
      <c r="Q1748" s="198" t="s">
        <v>159</v>
      </c>
      <c r="R1748" s="198" t="s">
        <v>160</v>
      </c>
      <c r="S1748" s="198" t="s">
        <v>54</v>
      </c>
      <c r="T1748" s="198" t="s">
        <v>725</v>
      </c>
      <c r="U1748" s="198" t="s">
        <v>277</v>
      </c>
      <c r="V1748" s="198" t="s">
        <v>56</v>
      </c>
      <c r="W1748" s="198" t="s">
        <v>356</v>
      </c>
      <c r="X1748" s="198" t="s">
        <v>161</v>
      </c>
      <c r="Y1748" s="198" t="s">
        <v>162</v>
      </c>
      <c r="Z1748" s="201">
        <v>46248</v>
      </c>
      <c r="AA1748" s="198" t="s">
        <v>59</v>
      </c>
      <c r="AB1748" s="198" t="s">
        <v>60</v>
      </c>
      <c r="AC1748" s="198" t="s">
        <v>86</v>
      </c>
      <c r="AD1748" s="198" t="s">
        <v>62</v>
      </c>
      <c r="AE1748" s="198" t="s">
        <v>54</v>
      </c>
      <c r="AF1748" s="198" t="s">
        <v>54</v>
      </c>
      <c r="AG1748" s="198" t="s">
        <v>564</v>
      </c>
      <c r="AH1748" s="198" t="s">
        <v>169</v>
      </c>
      <c r="AI1748" s="198" t="s">
        <v>56</v>
      </c>
      <c r="AJ1748" s="198" t="s">
        <v>163</v>
      </c>
      <c r="AK1748" s="198" t="s">
        <v>51</v>
      </c>
      <c r="AL1748" s="198" t="s">
        <v>67</v>
      </c>
      <c r="AM1748" s="198" t="s">
        <v>68</v>
      </c>
      <c r="AN1748" s="202">
        <v>27892268.399999999</v>
      </c>
      <c r="AO1748" s="202">
        <v>27892268.399999999</v>
      </c>
      <c r="AP1748" s="202">
        <v>27892268.399999999</v>
      </c>
      <c r="AQ1748" s="198" t="s">
        <v>358</v>
      </c>
      <c r="AR1748" s="198" t="s">
        <v>51</v>
      </c>
      <c r="AS1748" s="202">
        <v>27892268.399999999</v>
      </c>
      <c r="AT1748" s="202">
        <v>27892268.399999999</v>
      </c>
      <c r="AU1748" s="198" t="s">
        <v>359</v>
      </c>
      <c r="AV1748" s="198" t="s">
        <v>62</v>
      </c>
      <c r="AW1748" s="198" t="s">
        <v>54</v>
      </c>
    </row>
    <row r="1749" spans="3:49" outlineLevel="2" x14ac:dyDescent="0.25">
      <c r="C1749" s="201"/>
      <c r="D1749" s="198" t="s">
        <v>205</v>
      </c>
      <c r="H1749" s="198" t="s">
        <v>205</v>
      </c>
      <c r="I1749" s="202">
        <f t="shared" si="27"/>
        <v>725977439.10000002</v>
      </c>
      <c r="J1749" s="202">
        <v>175.8</v>
      </c>
      <c r="L1749" s="204">
        <v>1</v>
      </c>
      <c r="M1749" s="202">
        <v>3099826</v>
      </c>
      <c r="N1749" s="204">
        <v>1</v>
      </c>
      <c r="O1749" s="198" t="s">
        <v>51</v>
      </c>
      <c r="P1749" s="202">
        <v>3099826</v>
      </c>
      <c r="Q1749" s="198" t="s">
        <v>159</v>
      </c>
      <c r="R1749" s="198" t="s">
        <v>160</v>
      </c>
      <c r="S1749" s="198" t="s">
        <v>54</v>
      </c>
      <c r="T1749" s="198" t="s">
        <v>725</v>
      </c>
      <c r="U1749" s="198" t="s">
        <v>277</v>
      </c>
      <c r="V1749" s="198" t="s">
        <v>56</v>
      </c>
      <c r="W1749" s="198" t="s">
        <v>356</v>
      </c>
      <c r="X1749" s="198" t="s">
        <v>161</v>
      </c>
      <c r="Y1749" s="198" t="s">
        <v>162</v>
      </c>
      <c r="Z1749" s="201">
        <v>46248</v>
      </c>
      <c r="AA1749" s="198" t="s">
        <v>59</v>
      </c>
      <c r="AB1749" s="198" t="s">
        <v>60</v>
      </c>
      <c r="AC1749" s="198" t="s">
        <v>86</v>
      </c>
      <c r="AD1749" s="198" t="s">
        <v>62</v>
      </c>
      <c r="AE1749" s="198" t="s">
        <v>54</v>
      </c>
      <c r="AF1749" s="198" t="s">
        <v>54</v>
      </c>
      <c r="AG1749" s="198" t="s">
        <v>564</v>
      </c>
      <c r="AH1749" s="198" t="s">
        <v>169</v>
      </c>
      <c r="AI1749" s="198" t="s">
        <v>56</v>
      </c>
      <c r="AJ1749" s="198" t="s">
        <v>163</v>
      </c>
      <c r="AK1749" s="198" t="s">
        <v>51</v>
      </c>
      <c r="AL1749" s="198" t="s">
        <v>67</v>
      </c>
      <c r="AM1749" s="198" t="s">
        <v>68</v>
      </c>
      <c r="AN1749" s="202">
        <v>3099826</v>
      </c>
      <c r="AO1749" s="202">
        <v>3099826</v>
      </c>
      <c r="AP1749" s="202">
        <v>3099826</v>
      </c>
      <c r="AQ1749" s="198" t="s">
        <v>358</v>
      </c>
      <c r="AR1749" s="198" t="s">
        <v>51</v>
      </c>
      <c r="AS1749" s="202">
        <v>3099826</v>
      </c>
      <c r="AT1749" s="202">
        <v>3099826</v>
      </c>
      <c r="AU1749" s="198" t="s">
        <v>359</v>
      </c>
      <c r="AV1749" s="198" t="s">
        <v>62</v>
      </c>
      <c r="AW1749" s="198" t="s">
        <v>54</v>
      </c>
    </row>
    <row r="1750" spans="3:49" outlineLevel="2" x14ac:dyDescent="0.25">
      <c r="C1750" s="201"/>
      <c r="D1750" s="198" t="s">
        <v>205</v>
      </c>
      <c r="H1750" s="198" t="s">
        <v>205</v>
      </c>
      <c r="I1750" s="202">
        <f t="shared" si="27"/>
        <v>726390395.55000007</v>
      </c>
      <c r="J1750" s="202">
        <v>175.9</v>
      </c>
      <c r="L1750" s="204">
        <v>1</v>
      </c>
      <c r="M1750" s="202">
        <v>493567.2</v>
      </c>
      <c r="N1750" s="204">
        <v>1</v>
      </c>
      <c r="O1750" s="198" t="s">
        <v>51</v>
      </c>
      <c r="P1750" s="202">
        <v>493567.2</v>
      </c>
      <c r="Q1750" s="198" t="s">
        <v>159</v>
      </c>
      <c r="R1750" s="198" t="s">
        <v>160</v>
      </c>
      <c r="S1750" s="198" t="s">
        <v>54</v>
      </c>
      <c r="T1750" s="198" t="s">
        <v>725</v>
      </c>
      <c r="U1750" s="198" t="s">
        <v>277</v>
      </c>
      <c r="V1750" s="198" t="s">
        <v>56</v>
      </c>
      <c r="W1750" s="198" t="s">
        <v>356</v>
      </c>
      <c r="X1750" s="198" t="s">
        <v>161</v>
      </c>
      <c r="Y1750" s="198" t="s">
        <v>162</v>
      </c>
      <c r="Z1750" s="201">
        <v>46248</v>
      </c>
      <c r="AA1750" s="198" t="s">
        <v>59</v>
      </c>
      <c r="AB1750" s="198" t="s">
        <v>60</v>
      </c>
      <c r="AC1750" s="198" t="s">
        <v>86</v>
      </c>
      <c r="AD1750" s="198" t="s">
        <v>62</v>
      </c>
      <c r="AE1750" s="198" t="s">
        <v>54</v>
      </c>
      <c r="AF1750" s="198" t="s">
        <v>54</v>
      </c>
      <c r="AG1750" s="198" t="s">
        <v>564</v>
      </c>
      <c r="AH1750" s="198" t="s">
        <v>169</v>
      </c>
      <c r="AI1750" s="198" t="s">
        <v>56</v>
      </c>
      <c r="AJ1750" s="198" t="s">
        <v>163</v>
      </c>
      <c r="AK1750" s="198" t="s">
        <v>51</v>
      </c>
      <c r="AL1750" s="198" t="s">
        <v>67</v>
      </c>
      <c r="AM1750" s="198" t="s">
        <v>68</v>
      </c>
      <c r="AN1750" s="202">
        <v>493567.2</v>
      </c>
      <c r="AO1750" s="202">
        <v>493567.2</v>
      </c>
      <c r="AP1750" s="202">
        <v>493567.2</v>
      </c>
      <c r="AQ1750" s="198" t="s">
        <v>358</v>
      </c>
      <c r="AR1750" s="198" t="s">
        <v>51</v>
      </c>
      <c r="AS1750" s="202">
        <v>493567.2</v>
      </c>
      <c r="AT1750" s="202">
        <v>493567.2</v>
      </c>
      <c r="AU1750" s="198" t="s">
        <v>359</v>
      </c>
      <c r="AV1750" s="198" t="s">
        <v>62</v>
      </c>
      <c r="AW1750" s="198" t="s">
        <v>54</v>
      </c>
    </row>
    <row r="1751" spans="3:49" outlineLevel="2" x14ac:dyDescent="0.25">
      <c r="C1751" s="201"/>
      <c r="D1751" s="198" t="s">
        <v>206</v>
      </c>
      <c r="H1751" s="198" t="s">
        <v>206</v>
      </c>
      <c r="I1751" s="202">
        <f t="shared" si="27"/>
        <v>726803352</v>
      </c>
      <c r="J1751" s="202">
        <v>176</v>
      </c>
      <c r="L1751" s="204">
        <v>1</v>
      </c>
      <c r="M1751" s="202">
        <v>45145245.740000002</v>
      </c>
      <c r="N1751" s="204">
        <v>1</v>
      </c>
      <c r="O1751" s="198" t="s">
        <v>51</v>
      </c>
      <c r="P1751" s="202">
        <v>45145245.740000002</v>
      </c>
      <c r="Q1751" s="198" t="s">
        <v>159</v>
      </c>
      <c r="R1751" s="198" t="s">
        <v>160</v>
      </c>
      <c r="S1751" s="198" t="s">
        <v>54</v>
      </c>
      <c r="T1751" s="198" t="s">
        <v>725</v>
      </c>
      <c r="U1751" s="198" t="s">
        <v>277</v>
      </c>
      <c r="V1751" s="198" t="s">
        <v>56</v>
      </c>
      <c r="W1751" s="198" t="s">
        <v>356</v>
      </c>
      <c r="X1751" s="198" t="s">
        <v>161</v>
      </c>
      <c r="Y1751" s="198" t="s">
        <v>162</v>
      </c>
      <c r="Z1751" s="201">
        <v>46248</v>
      </c>
      <c r="AA1751" s="198" t="s">
        <v>59</v>
      </c>
      <c r="AB1751" s="198" t="s">
        <v>60</v>
      </c>
      <c r="AC1751" s="198" t="s">
        <v>86</v>
      </c>
      <c r="AD1751" s="198" t="s">
        <v>62</v>
      </c>
      <c r="AE1751" s="198" t="s">
        <v>54</v>
      </c>
      <c r="AF1751" s="198" t="s">
        <v>54</v>
      </c>
      <c r="AG1751" s="198" t="s">
        <v>564</v>
      </c>
      <c r="AH1751" s="198" t="s">
        <v>169</v>
      </c>
      <c r="AI1751" s="198" t="s">
        <v>56</v>
      </c>
      <c r="AJ1751" s="198" t="s">
        <v>163</v>
      </c>
      <c r="AK1751" s="198" t="s">
        <v>51</v>
      </c>
      <c r="AL1751" s="198" t="s">
        <v>67</v>
      </c>
      <c r="AM1751" s="198" t="s">
        <v>68</v>
      </c>
      <c r="AN1751" s="202">
        <v>45145245.740000002</v>
      </c>
      <c r="AO1751" s="202">
        <v>45145245.740000002</v>
      </c>
      <c r="AP1751" s="202">
        <v>45145245.740000002</v>
      </c>
      <c r="AQ1751" s="198" t="s">
        <v>358</v>
      </c>
      <c r="AR1751" s="198" t="s">
        <v>51</v>
      </c>
      <c r="AS1751" s="202">
        <v>45145245.740000002</v>
      </c>
      <c r="AT1751" s="202">
        <v>45145245.740000002</v>
      </c>
      <c r="AU1751" s="198" t="s">
        <v>359</v>
      </c>
      <c r="AV1751" s="198" t="s">
        <v>62</v>
      </c>
      <c r="AW1751" s="198" t="s">
        <v>54</v>
      </c>
    </row>
    <row r="1752" spans="3:49" outlineLevel="2" x14ac:dyDescent="0.25">
      <c r="C1752" s="201"/>
      <c r="D1752" s="198" t="s">
        <v>729</v>
      </c>
      <c r="H1752" s="198" t="s">
        <v>729</v>
      </c>
      <c r="I1752" s="202">
        <f t="shared" si="27"/>
        <v>727216308.44999993</v>
      </c>
      <c r="J1752" s="202">
        <v>176.1</v>
      </c>
      <c r="L1752" s="204">
        <v>1</v>
      </c>
      <c r="M1752" s="202">
        <v>5567325</v>
      </c>
      <c r="N1752" s="204">
        <v>1</v>
      </c>
      <c r="O1752" s="198" t="s">
        <v>51</v>
      </c>
      <c r="P1752" s="202">
        <v>5567325</v>
      </c>
      <c r="Q1752" s="198" t="s">
        <v>159</v>
      </c>
      <c r="R1752" s="198" t="s">
        <v>160</v>
      </c>
      <c r="S1752" s="198" t="s">
        <v>54</v>
      </c>
      <c r="T1752" s="198" t="s">
        <v>725</v>
      </c>
      <c r="U1752" s="198" t="s">
        <v>277</v>
      </c>
      <c r="V1752" s="198" t="s">
        <v>56</v>
      </c>
      <c r="W1752" s="198" t="s">
        <v>356</v>
      </c>
      <c r="X1752" s="198" t="s">
        <v>161</v>
      </c>
      <c r="Y1752" s="198" t="s">
        <v>162</v>
      </c>
      <c r="Z1752" s="201">
        <v>46248</v>
      </c>
      <c r="AA1752" s="198" t="s">
        <v>59</v>
      </c>
      <c r="AB1752" s="198" t="s">
        <v>60</v>
      </c>
      <c r="AC1752" s="198" t="s">
        <v>86</v>
      </c>
      <c r="AD1752" s="198" t="s">
        <v>62</v>
      </c>
      <c r="AE1752" s="198" t="s">
        <v>54</v>
      </c>
      <c r="AF1752" s="198" t="s">
        <v>54</v>
      </c>
      <c r="AG1752" s="198" t="s">
        <v>564</v>
      </c>
      <c r="AH1752" s="198" t="s">
        <v>169</v>
      </c>
      <c r="AI1752" s="198" t="s">
        <v>56</v>
      </c>
      <c r="AJ1752" s="198" t="s">
        <v>163</v>
      </c>
      <c r="AK1752" s="198" t="s">
        <v>51</v>
      </c>
      <c r="AL1752" s="198" t="s">
        <v>67</v>
      </c>
      <c r="AM1752" s="198" t="s">
        <v>68</v>
      </c>
      <c r="AN1752" s="202">
        <v>5567325</v>
      </c>
      <c r="AO1752" s="202">
        <v>5567325</v>
      </c>
      <c r="AP1752" s="202">
        <v>5567325</v>
      </c>
      <c r="AQ1752" s="198" t="s">
        <v>358</v>
      </c>
      <c r="AR1752" s="198" t="s">
        <v>51</v>
      </c>
      <c r="AS1752" s="202">
        <v>5567325</v>
      </c>
      <c r="AT1752" s="202">
        <v>5567325</v>
      </c>
      <c r="AU1752" s="198" t="s">
        <v>359</v>
      </c>
      <c r="AV1752" s="198" t="s">
        <v>62</v>
      </c>
      <c r="AW1752" s="198" t="s">
        <v>54</v>
      </c>
    </row>
    <row r="1753" spans="3:49" outlineLevel="2" x14ac:dyDescent="0.25">
      <c r="C1753" s="201"/>
      <c r="D1753" s="198" t="s">
        <v>727</v>
      </c>
      <c r="H1753" s="198" t="s">
        <v>727</v>
      </c>
      <c r="I1753" s="202">
        <f t="shared" si="27"/>
        <v>727629264.89999998</v>
      </c>
      <c r="J1753" s="202">
        <v>176.2</v>
      </c>
      <c r="L1753" s="204">
        <v>1</v>
      </c>
      <c r="M1753" s="202">
        <v>3190447.32</v>
      </c>
      <c r="N1753" s="204">
        <v>1</v>
      </c>
      <c r="O1753" s="198" t="s">
        <v>51</v>
      </c>
      <c r="P1753" s="202">
        <v>3190447.32</v>
      </c>
      <c r="Q1753" s="198" t="s">
        <v>159</v>
      </c>
      <c r="R1753" s="198" t="s">
        <v>160</v>
      </c>
      <c r="S1753" s="198" t="s">
        <v>54</v>
      </c>
      <c r="T1753" s="198" t="s">
        <v>725</v>
      </c>
      <c r="U1753" s="198" t="s">
        <v>277</v>
      </c>
      <c r="V1753" s="198" t="s">
        <v>56</v>
      </c>
      <c r="W1753" s="198" t="s">
        <v>356</v>
      </c>
      <c r="X1753" s="198" t="s">
        <v>161</v>
      </c>
      <c r="Y1753" s="198" t="s">
        <v>162</v>
      </c>
      <c r="Z1753" s="201">
        <v>46248</v>
      </c>
      <c r="AA1753" s="198" t="s">
        <v>59</v>
      </c>
      <c r="AB1753" s="198" t="s">
        <v>60</v>
      </c>
      <c r="AC1753" s="198" t="s">
        <v>86</v>
      </c>
      <c r="AD1753" s="198" t="s">
        <v>62</v>
      </c>
      <c r="AE1753" s="198" t="s">
        <v>54</v>
      </c>
      <c r="AF1753" s="198" t="s">
        <v>54</v>
      </c>
      <c r="AG1753" s="198" t="s">
        <v>564</v>
      </c>
      <c r="AH1753" s="198" t="s">
        <v>169</v>
      </c>
      <c r="AI1753" s="198" t="s">
        <v>56</v>
      </c>
      <c r="AJ1753" s="198" t="s">
        <v>163</v>
      </c>
      <c r="AK1753" s="198" t="s">
        <v>51</v>
      </c>
      <c r="AL1753" s="198" t="s">
        <v>67</v>
      </c>
      <c r="AM1753" s="198" t="s">
        <v>68</v>
      </c>
      <c r="AN1753" s="202">
        <v>3190447.32</v>
      </c>
      <c r="AO1753" s="202">
        <v>3190447.32</v>
      </c>
      <c r="AP1753" s="202">
        <v>3190447.32</v>
      </c>
      <c r="AQ1753" s="198" t="s">
        <v>358</v>
      </c>
      <c r="AR1753" s="198" t="s">
        <v>51</v>
      </c>
      <c r="AS1753" s="202">
        <v>3190447.32</v>
      </c>
      <c r="AT1753" s="202">
        <v>3190447.32</v>
      </c>
      <c r="AU1753" s="198" t="s">
        <v>359</v>
      </c>
      <c r="AV1753" s="198" t="s">
        <v>62</v>
      </c>
      <c r="AW1753" s="198" t="s">
        <v>54</v>
      </c>
    </row>
    <row r="1754" spans="3:49" outlineLevel="2" x14ac:dyDescent="0.25">
      <c r="C1754" s="201"/>
      <c r="D1754" s="198" t="s">
        <v>207</v>
      </c>
      <c r="H1754" s="198" t="s">
        <v>207</v>
      </c>
      <c r="I1754" s="202">
        <f t="shared" si="27"/>
        <v>728042221.35000002</v>
      </c>
      <c r="J1754" s="202">
        <v>176.3</v>
      </c>
      <c r="L1754" s="204">
        <v>1</v>
      </c>
      <c r="M1754" s="202">
        <v>4280786.2</v>
      </c>
      <c r="N1754" s="204">
        <v>1</v>
      </c>
      <c r="O1754" s="198" t="s">
        <v>51</v>
      </c>
      <c r="P1754" s="202">
        <v>4280786.2</v>
      </c>
      <c r="Q1754" s="198" t="s">
        <v>159</v>
      </c>
      <c r="R1754" s="198" t="s">
        <v>160</v>
      </c>
      <c r="S1754" s="198" t="s">
        <v>54</v>
      </c>
      <c r="T1754" s="198" t="s">
        <v>725</v>
      </c>
      <c r="U1754" s="198" t="s">
        <v>277</v>
      </c>
      <c r="V1754" s="198" t="s">
        <v>56</v>
      </c>
      <c r="W1754" s="198" t="s">
        <v>356</v>
      </c>
      <c r="X1754" s="198" t="s">
        <v>161</v>
      </c>
      <c r="Y1754" s="198" t="s">
        <v>162</v>
      </c>
      <c r="Z1754" s="201">
        <v>46248</v>
      </c>
      <c r="AA1754" s="198" t="s">
        <v>59</v>
      </c>
      <c r="AB1754" s="198" t="s">
        <v>60</v>
      </c>
      <c r="AC1754" s="198" t="s">
        <v>86</v>
      </c>
      <c r="AD1754" s="198" t="s">
        <v>62</v>
      </c>
      <c r="AE1754" s="198" t="s">
        <v>54</v>
      </c>
      <c r="AF1754" s="198" t="s">
        <v>54</v>
      </c>
      <c r="AG1754" s="198" t="s">
        <v>564</v>
      </c>
      <c r="AH1754" s="198" t="s">
        <v>169</v>
      </c>
      <c r="AI1754" s="198" t="s">
        <v>56</v>
      </c>
      <c r="AJ1754" s="198" t="s">
        <v>163</v>
      </c>
      <c r="AK1754" s="198" t="s">
        <v>51</v>
      </c>
      <c r="AL1754" s="198" t="s">
        <v>67</v>
      </c>
      <c r="AM1754" s="198" t="s">
        <v>68</v>
      </c>
      <c r="AN1754" s="202">
        <v>4280786.2</v>
      </c>
      <c r="AO1754" s="202">
        <v>4280786.2</v>
      </c>
      <c r="AP1754" s="202">
        <v>4280786.2</v>
      </c>
      <c r="AQ1754" s="198" t="s">
        <v>358</v>
      </c>
      <c r="AR1754" s="198" t="s">
        <v>51</v>
      </c>
      <c r="AS1754" s="202">
        <v>4280786.2</v>
      </c>
      <c r="AT1754" s="202">
        <v>4280786.2</v>
      </c>
      <c r="AU1754" s="198" t="s">
        <v>359</v>
      </c>
      <c r="AV1754" s="198" t="s">
        <v>62</v>
      </c>
      <c r="AW1754" s="198" t="s">
        <v>54</v>
      </c>
    </row>
    <row r="1755" spans="3:49" outlineLevel="2" x14ac:dyDescent="0.25">
      <c r="C1755" s="201"/>
      <c r="D1755" s="198" t="s">
        <v>1756</v>
      </c>
      <c r="H1755" s="198" t="s">
        <v>1756</v>
      </c>
      <c r="I1755" s="202">
        <f t="shared" si="27"/>
        <v>728455177.80000007</v>
      </c>
      <c r="J1755" s="202">
        <v>176.4</v>
      </c>
      <c r="L1755" s="204">
        <v>1</v>
      </c>
      <c r="M1755" s="202">
        <v>3000000</v>
      </c>
      <c r="N1755" s="204">
        <v>1</v>
      </c>
      <c r="O1755" s="198" t="s">
        <v>51</v>
      </c>
      <c r="P1755" s="202">
        <v>3000000</v>
      </c>
      <c r="Q1755" s="198" t="s">
        <v>159</v>
      </c>
      <c r="R1755" s="198" t="s">
        <v>160</v>
      </c>
      <c r="S1755" s="198" t="s">
        <v>54</v>
      </c>
      <c r="T1755" s="198" t="s">
        <v>725</v>
      </c>
      <c r="U1755" s="198" t="s">
        <v>277</v>
      </c>
      <c r="V1755" s="198" t="s">
        <v>56</v>
      </c>
      <c r="W1755" s="198" t="s">
        <v>356</v>
      </c>
      <c r="X1755" s="198" t="s">
        <v>161</v>
      </c>
      <c r="Y1755" s="198" t="s">
        <v>162</v>
      </c>
      <c r="Z1755" s="201">
        <v>46248</v>
      </c>
      <c r="AA1755" s="198" t="s">
        <v>59</v>
      </c>
      <c r="AB1755" s="198" t="s">
        <v>60</v>
      </c>
      <c r="AC1755" s="198" t="s">
        <v>86</v>
      </c>
      <c r="AD1755" s="198" t="s">
        <v>62</v>
      </c>
      <c r="AE1755" s="198" t="s">
        <v>54</v>
      </c>
      <c r="AF1755" s="198" t="s">
        <v>54</v>
      </c>
      <c r="AG1755" s="198" t="s">
        <v>564</v>
      </c>
      <c r="AH1755" s="198" t="s">
        <v>169</v>
      </c>
      <c r="AI1755" s="198" t="s">
        <v>56</v>
      </c>
      <c r="AJ1755" s="198" t="s">
        <v>163</v>
      </c>
      <c r="AK1755" s="198" t="s">
        <v>51</v>
      </c>
      <c r="AL1755" s="198" t="s">
        <v>67</v>
      </c>
      <c r="AM1755" s="198" t="s">
        <v>68</v>
      </c>
      <c r="AN1755" s="202">
        <v>3000000</v>
      </c>
      <c r="AO1755" s="202">
        <v>3000000</v>
      </c>
      <c r="AP1755" s="202">
        <v>3000000</v>
      </c>
      <c r="AQ1755" s="198" t="s">
        <v>358</v>
      </c>
      <c r="AR1755" s="198" t="s">
        <v>51</v>
      </c>
      <c r="AS1755" s="202">
        <v>3000000</v>
      </c>
      <c r="AT1755" s="202">
        <v>3000000</v>
      </c>
      <c r="AU1755" s="198" t="s">
        <v>359</v>
      </c>
      <c r="AV1755" s="198" t="s">
        <v>62</v>
      </c>
      <c r="AW1755" s="198" t="s">
        <v>54</v>
      </c>
    </row>
    <row r="1756" spans="3:49" outlineLevel="2" x14ac:dyDescent="0.25">
      <c r="C1756" s="201"/>
      <c r="D1756" s="198" t="s">
        <v>1279</v>
      </c>
      <c r="H1756" s="198" t="s">
        <v>1279</v>
      </c>
      <c r="I1756" s="202">
        <f t="shared" si="27"/>
        <v>728868134.25</v>
      </c>
      <c r="J1756" s="202">
        <v>176.5</v>
      </c>
      <c r="L1756" s="204">
        <v>1</v>
      </c>
      <c r="M1756" s="202">
        <v>1280616</v>
      </c>
      <c r="N1756" s="204">
        <v>1</v>
      </c>
      <c r="O1756" s="198" t="s">
        <v>51</v>
      </c>
      <c r="P1756" s="202">
        <v>1280616</v>
      </c>
      <c r="Q1756" s="198" t="s">
        <v>159</v>
      </c>
      <c r="R1756" s="198" t="s">
        <v>160</v>
      </c>
      <c r="S1756" s="198" t="s">
        <v>54</v>
      </c>
      <c r="T1756" s="198" t="s">
        <v>765</v>
      </c>
      <c r="U1756" s="198" t="s">
        <v>282</v>
      </c>
      <c r="V1756" s="198" t="s">
        <v>56</v>
      </c>
      <c r="W1756" s="198" t="s">
        <v>356</v>
      </c>
      <c r="X1756" s="198" t="s">
        <v>161</v>
      </c>
      <c r="Y1756" s="198" t="s">
        <v>162</v>
      </c>
      <c r="Z1756" s="201">
        <v>46173</v>
      </c>
      <c r="AA1756" s="198" t="s">
        <v>59</v>
      </c>
      <c r="AB1756" s="198" t="s">
        <v>60</v>
      </c>
      <c r="AC1756" s="198" t="s">
        <v>86</v>
      </c>
      <c r="AD1756" s="198" t="s">
        <v>62</v>
      </c>
      <c r="AE1756" s="198" t="s">
        <v>54</v>
      </c>
      <c r="AF1756" s="198" t="s">
        <v>54</v>
      </c>
      <c r="AG1756" s="198" t="s">
        <v>147</v>
      </c>
      <c r="AH1756" s="198" t="s">
        <v>130</v>
      </c>
      <c r="AI1756" s="198" t="s">
        <v>56</v>
      </c>
      <c r="AJ1756" s="198" t="s">
        <v>163</v>
      </c>
      <c r="AK1756" s="198" t="s">
        <v>51</v>
      </c>
      <c r="AL1756" s="198" t="s">
        <v>67</v>
      </c>
      <c r="AM1756" s="198" t="s">
        <v>68</v>
      </c>
      <c r="AN1756" s="202">
        <v>1280616</v>
      </c>
      <c r="AO1756" s="202">
        <v>1280616</v>
      </c>
      <c r="AP1756" s="202">
        <v>1280616</v>
      </c>
      <c r="AQ1756" s="198" t="s">
        <v>358</v>
      </c>
      <c r="AR1756" s="198" t="s">
        <v>51</v>
      </c>
      <c r="AS1756" s="202">
        <v>1280616</v>
      </c>
      <c r="AT1756" s="202">
        <v>1280616</v>
      </c>
      <c r="AU1756" s="198" t="s">
        <v>359</v>
      </c>
      <c r="AV1756" s="198" t="s">
        <v>62</v>
      </c>
      <c r="AW1756" s="198" t="s">
        <v>766</v>
      </c>
    </row>
    <row r="1757" spans="3:49" outlineLevel="2" x14ac:dyDescent="0.25">
      <c r="C1757" s="201"/>
      <c r="D1757" s="198" t="s">
        <v>1279</v>
      </c>
      <c r="H1757" s="198" t="s">
        <v>1279</v>
      </c>
      <c r="I1757" s="202">
        <f t="shared" si="27"/>
        <v>729281090.69999993</v>
      </c>
      <c r="J1757" s="202">
        <v>176.6</v>
      </c>
      <c r="L1757" s="204">
        <v>1</v>
      </c>
      <c r="M1757" s="202">
        <v>330756</v>
      </c>
      <c r="N1757" s="204">
        <v>1</v>
      </c>
      <c r="O1757" s="198" t="s">
        <v>51</v>
      </c>
      <c r="P1757" s="202">
        <v>330756</v>
      </c>
      <c r="Q1757" s="198" t="s">
        <v>159</v>
      </c>
      <c r="R1757" s="198" t="s">
        <v>1738</v>
      </c>
      <c r="S1757" s="198" t="s">
        <v>54</v>
      </c>
      <c r="T1757" s="198" t="s">
        <v>765</v>
      </c>
      <c r="U1757" s="198" t="s">
        <v>282</v>
      </c>
      <c r="V1757" s="198" t="s">
        <v>56</v>
      </c>
      <c r="W1757" s="198" t="s">
        <v>356</v>
      </c>
      <c r="X1757" s="198" t="s">
        <v>1739</v>
      </c>
      <c r="Y1757" s="198" t="s">
        <v>1738</v>
      </c>
      <c r="Z1757" s="201">
        <v>46173</v>
      </c>
      <c r="AA1757" s="198" t="s">
        <v>59</v>
      </c>
      <c r="AB1757" s="198" t="s">
        <v>60</v>
      </c>
      <c r="AC1757" s="198" t="s">
        <v>86</v>
      </c>
      <c r="AD1757" s="198" t="s">
        <v>62</v>
      </c>
      <c r="AE1757" s="198" t="s">
        <v>54</v>
      </c>
      <c r="AF1757" s="198" t="s">
        <v>54</v>
      </c>
      <c r="AG1757" s="198" t="s">
        <v>147</v>
      </c>
      <c r="AH1757" s="198" t="s">
        <v>130</v>
      </c>
      <c r="AI1757" s="198" t="s">
        <v>56</v>
      </c>
      <c r="AJ1757" s="198" t="s">
        <v>163</v>
      </c>
      <c r="AK1757" s="198" t="s">
        <v>51</v>
      </c>
      <c r="AL1757" s="198" t="s">
        <v>67</v>
      </c>
      <c r="AM1757" s="198" t="s">
        <v>68</v>
      </c>
      <c r="AN1757" s="202">
        <v>330756</v>
      </c>
      <c r="AO1757" s="202">
        <v>330756</v>
      </c>
      <c r="AP1757" s="202">
        <v>330756</v>
      </c>
      <c r="AQ1757" s="198" t="s">
        <v>358</v>
      </c>
      <c r="AR1757" s="198" t="s">
        <v>51</v>
      </c>
      <c r="AS1757" s="202">
        <v>330756</v>
      </c>
      <c r="AT1757" s="202">
        <v>330756</v>
      </c>
      <c r="AU1757" s="198" t="s">
        <v>359</v>
      </c>
      <c r="AV1757" s="198" t="s">
        <v>62</v>
      </c>
      <c r="AW1757" s="198" t="s">
        <v>766</v>
      </c>
    </row>
    <row r="1758" spans="3:49" outlineLevel="2" x14ac:dyDescent="0.25">
      <c r="C1758" s="201"/>
      <c r="D1758" s="198" t="s">
        <v>278</v>
      </c>
      <c r="H1758" s="198" t="s">
        <v>278</v>
      </c>
      <c r="I1758" s="202">
        <f t="shared" si="27"/>
        <v>729694047.14999998</v>
      </c>
      <c r="J1758" s="202">
        <v>176.7</v>
      </c>
      <c r="L1758" s="204">
        <v>1</v>
      </c>
      <c r="M1758" s="202">
        <v>1259532</v>
      </c>
      <c r="N1758" s="204">
        <v>1</v>
      </c>
      <c r="O1758" s="198" t="s">
        <v>51</v>
      </c>
      <c r="P1758" s="202">
        <v>1259532</v>
      </c>
      <c r="Q1758" s="198" t="s">
        <v>159</v>
      </c>
      <c r="R1758" s="198" t="s">
        <v>160</v>
      </c>
      <c r="S1758" s="198" t="s">
        <v>54</v>
      </c>
      <c r="T1758" s="198" t="s">
        <v>758</v>
      </c>
      <c r="U1758" s="198" t="s">
        <v>367</v>
      </c>
      <c r="V1758" s="198" t="s">
        <v>56</v>
      </c>
      <c r="W1758" s="198" t="s">
        <v>356</v>
      </c>
      <c r="X1758" s="198" t="s">
        <v>161</v>
      </c>
      <c r="Y1758" s="198" t="s">
        <v>162</v>
      </c>
      <c r="Z1758" s="201">
        <v>46344</v>
      </c>
      <c r="AA1758" s="198" t="s">
        <v>59</v>
      </c>
      <c r="AB1758" s="198" t="s">
        <v>60</v>
      </c>
      <c r="AC1758" s="198" t="s">
        <v>86</v>
      </c>
      <c r="AD1758" s="198" t="s">
        <v>62</v>
      </c>
      <c r="AE1758" s="198" t="s">
        <v>54</v>
      </c>
      <c r="AF1758" s="198" t="s">
        <v>54</v>
      </c>
      <c r="AG1758" s="198" t="s">
        <v>250</v>
      </c>
      <c r="AH1758" s="198" t="s">
        <v>193</v>
      </c>
      <c r="AI1758" s="198" t="s">
        <v>56</v>
      </c>
      <c r="AJ1758" s="198" t="s">
        <v>163</v>
      </c>
      <c r="AK1758" s="198" t="s">
        <v>51</v>
      </c>
      <c r="AL1758" s="198" t="s">
        <v>67</v>
      </c>
      <c r="AM1758" s="198" t="s">
        <v>68</v>
      </c>
      <c r="AN1758" s="202">
        <v>1259532</v>
      </c>
      <c r="AO1758" s="202">
        <v>1259532</v>
      </c>
      <c r="AP1758" s="202">
        <v>1259532</v>
      </c>
      <c r="AQ1758" s="198" t="s">
        <v>358</v>
      </c>
      <c r="AR1758" s="198" t="s">
        <v>51</v>
      </c>
      <c r="AS1758" s="202">
        <v>1259532</v>
      </c>
      <c r="AT1758" s="202">
        <v>1259532</v>
      </c>
      <c r="AU1758" s="198" t="s">
        <v>359</v>
      </c>
      <c r="AV1758" s="198" t="s">
        <v>62</v>
      </c>
      <c r="AW1758" s="198" t="s">
        <v>54</v>
      </c>
    </row>
    <row r="1759" spans="3:49" outlineLevel="2" x14ac:dyDescent="0.25">
      <c r="C1759" s="201"/>
      <c r="D1759" s="198" t="s">
        <v>276</v>
      </c>
      <c r="H1759" s="198" t="s">
        <v>276</v>
      </c>
      <c r="I1759" s="202">
        <f t="shared" si="27"/>
        <v>730107003.60000002</v>
      </c>
      <c r="J1759" s="202">
        <v>176.8</v>
      </c>
      <c r="L1759" s="204">
        <v>1</v>
      </c>
      <c r="M1759" s="202">
        <v>703008</v>
      </c>
      <c r="N1759" s="204">
        <v>1</v>
      </c>
      <c r="O1759" s="198" t="s">
        <v>51</v>
      </c>
      <c r="P1759" s="202">
        <v>703008</v>
      </c>
      <c r="Q1759" s="198" t="s">
        <v>159</v>
      </c>
      <c r="R1759" s="198" t="s">
        <v>160</v>
      </c>
      <c r="S1759" s="198" t="s">
        <v>54</v>
      </c>
      <c r="T1759" s="198" t="s">
        <v>1757</v>
      </c>
      <c r="U1759" s="198" t="s">
        <v>764</v>
      </c>
      <c r="V1759" s="198" t="s">
        <v>56</v>
      </c>
      <c r="W1759" s="198" t="s">
        <v>356</v>
      </c>
      <c r="X1759" s="198" t="s">
        <v>161</v>
      </c>
      <c r="Y1759" s="198" t="s">
        <v>162</v>
      </c>
      <c r="Z1759" s="201">
        <v>46265</v>
      </c>
      <c r="AA1759" s="198" t="s">
        <v>59</v>
      </c>
      <c r="AB1759" s="198" t="s">
        <v>60</v>
      </c>
      <c r="AC1759" s="198" t="s">
        <v>86</v>
      </c>
      <c r="AD1759" s="198" t="s">
        <v>62</v>
      </c>
      <c r="AE1759" s="198" t="s">
        <v>54</v>
      </c>
      <c r="AF1759" s="198" t="s">
        <v>54</v>
      </c>
      <c r="AG1759" s="198" t="s">
        <v>564</v>
      </c>
      <c r="AH1759" s="198" t="s">
        <v>143</v>
      </c>
      <c r="AI1759" s="198" t="s">
        <v>56</v>
      </c>
      <c r="AJ1759" s="198" t="s">
        <v>163</v>
      </c>
      <c r="AK1759" s="198" t="s">
        <v>51</v>
      </c>
      <c r="AL1759" s="198" t="s">
        <v>67</v>
      </c>
      <c r="AM1759" s="198" t="s">
        <v>68</v>
      </c>
      <c r="AN1759" s="202">
        <v>703008</v>
      </c>
      <c r="AO1759" s="202">
        <v>703008</v>
      </c>
      <c r="AP1759" s="202">
        <v>703008</v>
      </c>
      <c r="AQ1759" s="198" t="s">
        <v>358</v>
      </c>
      <c r="AR1759" s="198" t="s">
        <v>51</v>
      </c>
      <c r="AS1759" s="202">
        <v>703008</v>
      </c>
      <c r="AT1759" s="202">
        <v>703008</v>
      </c>
      <c r="AU1759" s="198" t="s">
        <v>359</v>
      </c>
      <c r="AV1759" s="198" t="s">
        <v>62</v>
      </c>
      <c r="AW1759" s="198" t="s">
        <v>54</v>
      </c>
    </row>
    <row r="1760" spans="3:49" outlineLevel="2" x14ac:dyDescent="0.25">
      <c r="C1760" s="201"/>
      <c r="D1760" s="198" t="s">
        <v>287</v>
      </c>
      <c r="H1760" s="198" t="s">
        <v>287</v>
      </c>
      <c r="I1760" s="202">
        <f t="shared" si="27"/>
        <v>730519960.05000007</v>
      </c>
      <c r="J1760" s="202">
        <v>176.9</v>
      </c>
      <c r="L1760" s="204">
        <v>1</v>
      </c>
      <c r="M1760" s="202">
        <v>703008</v>
      </c>
      <c r="N1760" s="204">
        <v>1</v>
      </c>
      <c r="O1760" s="198" t="s">
        <v>51</v>
      </c>
      <c r="P1760" s="202">
        <v>703008</v>
      </c>
      <c r="Q1760" s="198" t="s">
        <v>159</v>
      </c>
      <c r="R1760" s="198" t="s">
        <v>160</v>
      </c>
      <c r="S1760" s="198" t="s">
        <v>54</v>
      </c>
      <c r="T1760" s="198" t="s">
        <v>1757</v>
      </c>
      <c r="U1760" s="198" t="s">
        <v>1753</v>
      </c>
      <c r="V1760" s="198" t="s">
        <v>56</v>
      </c>
      <c r="W1760" s="198" t="s">
        <v>356</v>
      </c>
      <c r="X1760" s="198" t="s">
        <v>161</v>
      </c>
      <c r="Y1760" s="198" t="s">
        <v>162</v>
      </c>
      <c r="Z1760" s="201">
        <v>46265</v>
      </c>
      <c r="AA1760" s="198" t="s">
        <v>59</v>
      </c>
      <c r="AB1760" s="198" t="s">
        <v>60</v>
      </c>
      <c r="AC1760" s="198" t="s">
        <v>86</v>
      </c>
      <c r="AD1760" s="198" t="s">
        <v>62</v>
      </c>
      <c r="AE1760" s="198" t="s">
        <v>54</v>
      </c>
      <c r="AF1760" s="198" t="s">
        <v>54</v>
      </c>
      <c r="AG1760" s="198" t="s">
        <v>564</v>
      </c>
      <c r="AH1760" s="198" t="s">
        <v>156</v>
      </c>
      <c r="AI1760" s="198" t="s">
        <v>56</v>
      </c>
      <c r="AJ1760" s="198" t="s">
        <v>163</v>
      </c>
      <c r="AK1760" s="198" t="s">
        <v>51</v>
      </c>
      <c r="AL1760" s="198" t="s">
        <v>67</v>
      </c>
      <c r="AM1760" s="198" t="s">
        <v>68</v>
      </c>
      <c r="AN1760" s="202">
        <v>703008</v>
      </c>
      <c r="AO1760" s="202">
        <v>703008</v>
      </c>
      <c r="AP1760" s="202">
        <v>703008</v>
      </c>
      <c r="AQ1760" s="198" t="s">
        <v>358</v>
      </c>
      <c r="AR1760" s="198" t="s">
        <v>51</v>
      </c>
      <c r="AS1760" s="202">
        <v>703008</v>
      </c>
      <c r="AT1760" s="202">
        <v>703008</v>
      </c>
      <c r="AU1760" s="198" t="s">
        <v>359</v>
      </c>
      <c r="AV1760" s="198" t="s">
        <v>62</v>
      </c>
      <c r="AW1760" s="198" t="s">
        <v>54</v>
      </c>
    </row>
    <row r="1761" spans="3:49" outlineLevel="2" x14ac:dyDescent="0.25">
      <c r="C1761" s="201"/>
      <c r="D1761" s="198" t="s">
        <v>278</v>
      </c>
      <c r="H1761" s="198" t="s">
        <v>278</v>
      </c>
      <c r="I1761" s="202">
        <f t="shared" si="27"/>
        <v>730932916.5</v>
      </c>
      <c r="J1761" s="202">
        <v>177</v>
      </c>
      <c r="L1761" s="204">
        <v>1</v>
      </c>
      <c r="M1761" s="202">
        <v>703008</v>
      </c>
      <c r="N1761" s="204">
        <v>1</v>
      </c>
      <c r="O1761" s="198" t="s">
        <v>51</v>
      </c>
      <c r="P1761" s="202">
        <v>703008</v>
      </c>
      <c r="Q1761" s="198" t="s">
        <v>159</v>
      </c>
      <c r="R1761" s="198" t="s">
        <v>160</v>
      </c>
      <c r="S1761" s="198" t="s">
        <v>54</v>
      </c>
      <c r="T1761" s="198" t="s">
        <v>1757</v>
      </c>
      <c r="U1761" s="198" t="s">
        <v>273</v>
      </c>
      <c r="V1761" s="198" t="s">
        <v>56</v>
      </c>
      <c r="W1761" s="198" t="s">
        <v>356</v>
      </c>
      <c r="X1761" s="198" t="s">
        <v>161</v>
      </c>
      <c r="Y1761" s="198" t="s">
        <v>162</v>
      </c>
      <c r="Z1761" s="201">
        <v>46265</v>
      </c>
      <c r="AA1761" s="198" t="s">
        <v>59</v>
      </c>
      <c r="AB1761" s="198" t="s">
        <v>60</v>
      </c>
      <c r="AC1761" s="198" t="s">
        <v>86</v>
      </c>
      <c r="AD1761" s="198" t="s">
        <v>62</v>
      </c>
      <c r="AE1761" s="198" t="s">
        <v>54</v>
      </c>
      <c r="AF1761" s="198" t="s">
        <v>54</v>
      </c>
      <c r="AG1761" s="198" t="s">
        <v>564</v>
      </c>
      <c r="AH1761" s="198" t="s">
        <v>193</v>
      </c>
      <c r="AI1761" s="198" t="s">
        <v>56</v>
      </c>
      <c r="AJ1761" s="198" t="s">
        <v>163</v>
      </c>
      <c r="AK1761" s="198" t="s">
        <v>51</v>
      </c>
      <c r="AL1761" s="198" t="s">
        <v>67</v>
      </c>
      <c r="AM1761" s="198" t="s">
        <v>68</v>
      </c>
      <c r="AN1761" s="202">
        <v>703008</v>
      </c>
      <c r="AO1761" s="202">
        <v>703008</v>
      </c>
      <c r="AP1761" s="202">
        <v>703008</v>
      </c>
      <c r="AQ1761" s="198" t="s">
        <v>358</v>
      </c>
      <c r="AR1761" s="198" t="s">
        <v>51</v>
      </c>
      <c r="AS1761" s="202">
        <v>703008</v>
      </c>
      <c r="AT1761" s="202">
        <v>703008</v>
      </c>
      <c r="AU1761" s="198" t="s">
        <v>359</v>
      </c>
      <c r="AV1761" s="198" t="s">
        <v>62</v>
      </c>
      <c r="AW1761" s="198" t="s">
        <v>54</v>
      </c>
    </row>
    <row r="1762" spans="3:49" outlineLevel="2" x14ac:dyDescent="0.25">
      <c r="C1762" s="201"/>
      <c r="D1762" s="198" t="s">
        <v>231</v>
      </c>
      <c r="H1762" s="198" t="s">
        <v>231</v>
      </c>
      <c r="I1762" s="202">
        <f t="shared" si="27"/>
        <v>731345872.94999993</v>
      </c>
      <c r="J1762" s="202">
        <v>177.1</v>
      </c>
      <c r="L1762" s="204">
        <v>1</v>
      </c>
      <c r="M1762" s="202">
        <v>360000</v>
      </c>
      <c r="N1762" s="204">
        <v>1</v>
      </c>
      <c r="O1762" s="198" t="s">
        <v>51</v>
      </c>
      <c r="P1762" s="202">
        <v>360000</v>
      </c>
      <c r="Q1762" s="198" t="s">
        <v>159</v>
      </c>
      <c r="R1762" s="198" t="s">
        <v>160</v>
      </c>
      <c r="S1762" s="198" t="s">
        <v>54</v>
      </c>
      <c r="T1762" s="198" t="s">
        <v>431</v>
      </c>
      <c r="U1762" s="198" t="s">
        <v>277</v>
      </c>
      <c r="V1762" s="198" t="s">
        <v>56</v>
      </c>
      <c r="W1762" s="198" t="s">
        <v>356</v>
      </c>
      <c r="X1762" s="198" t="s">
        <v>161</v>
      </c>
      <c r="Y1762" s="198" t="s">
        <v>162</v>
      </c>
      <c r="Z1762" s="201">
        <v>46387</v>
      </c>
      <c r="AA1762" s="198" t="s">
        <v>59</v>
      </c>
      <c r="AB1762" s="198" t="s">
        <v>60</v>
      </c>
      <c r="AC1762" s="198" t="s">
        <v>86</v>
      </c>
      <c r="AD1762" s="198" t="s">
        <v>62</v>
      </c>
      <c r="AE1762" s="198" t="s">
        <v>54</v>
      </c>
      <c r="AF1762" s="198" t="s">
        <v>54</v>
      </c>
      <c r="AG1762" s="198" t="s">
        <v>88</v>
      </c>
      <c r="AH1762" s="198" t="s">
        <v>95</v>
      </c>
      <c r="AI1762" s="198" t="s">
        <v>56</v>
      </c>
      <c r="AJ1762" s="198" t="s">
        <v>163</v>
      </c>
      <c r="AK1762" s="198" t="s">
        <v>51</v>
      </c>
      <c r="AL1762" s="198" t="s">
        <v>67</v>
      </c>
      <c r="AM1762" s="198" t="s">
        <v>68</v>
      </c>
      <c r="AN1762" s="202">
        <v>360000</v>
      </c>
      <c r="AO1762" s="202">
        <v>360000</v>
      </c>
      <c r="AP1762" s="202">
        <v>360000</v>
      </c>
      <c r="AQ1762" s="198" t="s">
        <v>358</v>
      </c>
      <c r="AR1762" s="198" t="s">
        <v>51</v>
      </c>
      <c r="AS1762" s="202">
        <v>360000</v>
      </c>
      <c r="AT1762" s="202">
        <v>360000</v>
      </c>
      <c r="AU1762" s="198" t="s">
        <v>359</v>
      </c>
      <c r="AV1762" s="198" t="s">
        <v>62</v>
      </c>
      <c r="AW1762" s="198" t="s">
        <v>54</v>
      </c>
    </row>
    <row r="1763" spans="3:49" outlineLevel="2" x14ac:dyDescent="0.25">
      <c r="C1763" s="201"/>
      <c r="D1763" s="198" t="s">
        <v>289</v>
      </c>
      <c r="H1763" s="198" t="s">
        <v>289</v>
      </c>
      <c r="I1763" s="202">
        <f t="shared" si="27"/>
        <v>731758829.39999998</v>
      </c>
      <c r="J1763" s="202">
        <v>177.2</v>
      </c>
      <c r="L1763" s="204">
        <v>1</v>
      </c>
      <c r="M1763" s="202">
        <v>14625000</v>
      </c>
      <c r="N1763" s="204">
        <v>1</v>
      </c>
      <c r="O1763" s="198" t="s">
        <v>51</v>
      </c>
      <c r="P1763" s="202">
        <v>14625000</v>
      </c>
      <c r="Q1763" s="198" t="s">
        <v>159</v>
      </c>
      <c r="R1763" s="198" t="s">
        <v>160</v>
      </c>
      <c r="S1763" s="198" t="s">
        <v>54</v>
      </c>
      <c r="T1763" s="198" t="s">
        <v>2085</v>
      </c>
      <c r="U1763" s="198" t="s">
        <v>367</v>
      </c>
      <c r="V1763" s="198" t="s">
        <v>56</v>
      </c>
      <c r="W1763" s="198" t="s">
        <v>356</v>
      </c>
      <c r="X1763" s="198" t="s">
        <v>161</v>
      </c>
      <c r="Y1763" s="198" t="s">
        <v>162</v>
      </c>
      <c r="Z1763" s="201">
        <v>46477</v>
      </c>
      <c r="AA1763" s="198" t="s">
        <v>59</v>
      </c>
      <c r="AB1763" s="198" t="s">
        <v>60</v>
      </c>
      <c r="AC1763" s="198" t="s">
        <v>86</v>
      </c>
      <c r="AD1763" s="198" t="s">
        <v>62</v>
      </c>
      <c r="AE1763" s="198" t="s">
        <v>54</v>
      </c>
      <c r="AF1763" s="198" t="s">
        <v>54</v>
      </c>
      <c r="AG1763" s="198" t="s">
        <v>166</v>
      </c>
      <c r="AH1763" s="198" t="s">
        <v>167</v>
      </c>
      <c r="AI1763" s="198" t="s">
        <v>56</v>
      </c>
      <c r="AJ1763" s="198" t="s">
        <v>163</v>
      </c>
      <c r="AK1763" s="198" t="s">
        <v>51</v>
      </c>
      <c r="AL1763" s="198" t="s">
        <v>67</v>
      </c>
      <c r="AM1763" s="198" t="s">
        <v>68</v>
      </c>
      <c r="AN1763" s="202">
        <v>14625000</v>
      </c>
      <c r="AO1763" s="202">
        <v>14625000</v>
      </c>
      <c r="AP1763" s="202">
        <v>14625000</v>
      </c>
      <c r="AQ1763" s="198" t="s">
        <v>358</v>
      </c>
      <c r="AR1763" s="198" t="s">
        <v>51</v>
      </c>
      <c r="AS1763" s="202">
        <v>14625000</v>
      </c>
      <c r="AT1763" s="202">
        <v>14625000</v>
      </c>
      <c r="AU1763" s="198" t="s">
        <v>359</v>
      </c>
      <c r="AV1763" s="198" t="s">
        <v>62</v>
      </c>
      <c r="AW1763" s="198" t="s">
        <v>54</v>
      </c>
    </row>
    <row r="1764" spans="3:49" outlineLevel="2" x14ac:dyDescent="0.25">
      <c r="C1764" s="201"/>
      <c r="D1764" s="198" t="s">
        <v>288</v>
      </c>
      <c r="H1764" s="198" t="s">
        <v>288</v>
      </c>
      <c r="I1764" s="202">
        <f t="shared" si="27"/>
        <v>732171785.85000002</v>
      </c>
      <c r="J1764" s="202">
        <v>177.3</v>
      </c>
      <c r="L1764" s="204">
        <v>1</v>
      </c>
      <c r="M1764" s="202">
        <v>14625000</v>
      </c>
      <c r="N1764" s="204">
        <v>1</v>
      </c>
      <c r="O1764" s="198" t="s">
        <v>51</v>
      </c>
      <c r="P1764" s="202">
        <v>14625000</v>
      </c>
      <c r="Q1764" s="198" t="s">
        <v>159</v>
      </c>
      <c r="R1764" s="198" t="s">
        <v>160</v>
      </c>
      <c r="S1764" s="198" t="s">
        <v>54</v>
      </c>
      <c r="T1764" s="198" t="s">
        <v>2085</v>
      </c>
      <c r="U1764" s="198" t="s">
        <v>367</v>
      </c>
      <c r="V1764" s="198" t="s">
        <v>56</v>
      </c>
      <c r="W1764" s="198" t="s">
        <v>356</v>
      </c>
      <c r="X1764" s="198" t="s">
        <v>161</v>
      </c>
      <c r="Y1764" s="198" t="s">
        <v>162</v>
      </c>
      <c r="Z1764" s="201">
        <v>46477</v>
      </c>
      <c r="AA1764" s="198" t="s">
        <v>59</v>
      </c>
      <c r="AB1764" s="198" t="s">
        <v>60</v>
      </c>
      <c r="AC1764" s="198" t="s">
        <v>86</v>
      </c>
      <c r="AD1764" s="198" t="s">
        <v>62</v>
      </c>
      <c r="AE1764" s="198" t="s">
        <v>54</v>
      </c>
      <c r="AF1764" s="198" t="s">
        <v>54</v>
      </c>
      <c r="AG1764" s="198" t="s">
        <v>166</v>
      </c>
      <c r="AH1764" s="198" t="s">
        <v>65</v>
      </c>
      <c r="AI1764" s="198" t="s">
        <v>56</v>
      </c>
      <c r="AJ1764" s="198" t="s">
        <v>163</v>
      </c>
      <c r="AK1764" s="198" t="s">
        <v>51</v>
      </c>
      <c r="AL1764" s="198" t="s">
        <v>67</v>
      </c>
      <c r="AM1764" s="198" t="s">
        <v>68</v>
      </c>
      <c r="AN1764" s="202">
        <v>14625000</v>
      </c>
      <c r="AO1764" s="202">
        <v>14625000</v>
      </c>
      <c r="AP1764" s="202">
        <v>14625000</v>
      </c>
      <c r="AQ1764" s="198" t="s">
        <v>358</v>
      </c>
      <c r="AR1764" s="198" t="s">
        <v>51</v>
      </c>
      <c r="AS1764" s="202">
        <v>14625000</v>
      </c>
      <c r="AT1764" s="202">
        <v>14625000</v>
      </c>
      <c r="AU1764" s="198" t="s">
        <v>359</v>
      </c>
      <c r="AV1764" s="198" t="s">
        <v>62</v>
      </c>
      <c r="AW1764" s="198" t="s">
        <v>54</v>
      </c>
    </row>
    <row r="1765" spans="3:49" outlineLevel="2" x14ac:dyDescent="0.25">
      <c r="C1765" s="201"/>
      <c r="D1765" s="198" t="s">
        <v>2065</v>
      </c>
      <c r="H1765" s="198" t="s">
        <v>2065</v>
      </c>
      <c r="I1765" s="202">
        <f t="shared" si="27"/>
        <v>732584742.30000007</v>
      </c>
      <c r="J1765" s="202">
        <v>177.4</v>
      </c>
      <c r="L1765" s="204">
        <v>1</v>
      </c>
      <c r="M1765" s="202">
        <v>900000000</v>
      </c>
      <c r="N1765" s="203">
        <v>0.66200000000000003</v>
      </c>
      <c r="O1765" s="198" t="s">
        <v>51</v>
      </c>
      <c r="P1765" s="202">
        <v>595800000</v>
      </c>
      <c r="Q1765" s="198" t="s">
        <v>159</v>
      </c>
      <c r="R1765" s="198" t="s">
        <v>160</v>
      </c>
      <c r="S1765" s="198" t="s">
        <v>54</v>
      </c>
      <c r="T1765" s="198" t="s">
        <v>2075</v>
      </c>
      <c r="U1765" s="198" t="s">
        <v>2077</v>
      </c>
      <c r="V1765" s="198" t="s">
        <v>56</v>
      </c>
      <c r="W1765" s="198" t="s">
        <v>356</v>
      </c>
      <c r="X1765" s="198" t="s">
        <v>161</v>
      </c>
      <c r="Y1765" s="198" t="s">
        <v>162</v>
      </c>
      <c r="Z1765" s="201">
        <v>46477</v>
      </c>
      <c r="AA1765" s="198" t="s">
        <v>59</v>
      </c>
      <c r="AB1765" s="198" t="s">
        <v>60</v>
      </c>
      <c r="AC1765" s="198" t="s">
        <v>86</v>
      </c>
      <c r="AD1765" s="198" t="s">
        <v>62</v>
      </c>
      <c r="AE1765" s="198" t="s">
        <v>54</v>
      </c>
      <c r="AF1765" s="198" t="s">
        <v>54</v>
      </c>
      <c r="AG1765" s="198" t="s">
        <v>166</v>
      </c>
      <c r="AH1765" s="198" t="s">
        <v>193</v>
      </c>
      <c r="AI1765" s="198" t="s">
        <v>56</v>
      </c>
      <c r="AJ1765" s="198" t="s">
        <v>163</v>
      </c>
      <c r="AK1765" s="198" t="s">
        <v>51</v>
      </c>
      <c r="AL1765" s="198" t="s">
        <v>67</v>
      </c>
      <c r="AM1765" s="198" t="s">
        <v>68</v>
      </c>
      <c r="AN1765" s="202">
        <v>900000000</v>
      </c>
      <c r="AO1765" s="202">
        <v>900000000</v>
      </c>
      <c r="AP1765" s="202">
        <v>900000000</v>
      </c>
      <c r="AQ1765" s="198" t="s">
        <v>358</v>
      </c>
      <c r="AR1765" s="198" t="s">
        <v>51</v>
      </c>
      <c r="AS1765" s="202">
        <v>595800000</v>
      </c>
      <c r="AT1765" s="202">
        <v>595800000</v>
      </c>
      <c r="AU1765" s="198" t="s">
        <v>359</v>
      </c>
      <c r="AV1765" s="198" t="s">
        <v>62</v>
      </c>
      <c r="AW1765" s="198" t="s">
        <v>47</v>
      </c>
    </row>
    <row r="1766" spans="3:49" outlineLevel="2" x14ac:dyDescent="0.25">
      <c r="C1766" s="201"/>
      <c r="D1766" s="198" t="s">
        <v>2065</v>
      </c>
      <c r="H1766" s="198" t="s">
        <v>2065</v>
      </c>
      <c r="I1766" s="202">
        <f t="shared" si="27"/>
        <v>732997698.75</v>
      </c>
      <c r="J1766" s="202">
        <v>177.5</v>
      </c>
      <c r="L1766" s="204">
        <v>1</v>
      </c>
      <c r="M1766" s="202">
        <v>107310308.47</v>
      </c>
      <c r="N1766" s="204">
        <v>1</v>
      </c>
      <c r="O1766" s="198" t="s">
        <v>51</v>
      </c>
      <c r="P1766" s="202">
        <v>107310308.47</v>
      </c>
      <c r="Q1766" s="198" t="s">
        <v>159</v>
      </c>
      <c r="R1766" s="198" t="s">
        <v>160</v>
      </c>
      <c r="S1766" s="198" t="s">
        <v>54</v>
      </c>
      <c r="T1766" s="198" t="s">
        <v>2075</v>
      </c>
      <c r="U1766" s="198" t="s">
        <v>80</v>
      </c>
      <c r="V1766" s="198" t="s">
        <v>56</v>
      </c>
      <c r="W1766" s="198" t="s">
        <v>356</v>
      </c>
      <c r="X1766" s="198" t="s">
        <v>161</v>
      </c>
      <c r="Y1766" s="198" t="s">
        <v>162</v>
      </c>
      <c r="Z1766" s="201">
        <v>46477</v>
      </c>
      <c r="AA1766" s="198" t="s">
        <v>59</v>
      </c>
      <c r="AB1766" s="198" t="s">
        <v>60</v>
      </c>
      <c r="AC1766" s="198" t="s">
        <v>86</v>
      </c>
      <c r="AD1766" s="198" t="s">
        <v>62</v>
      </c>
      <c r="AE1766" s="198" t="s">
        <v>54</v>
      </c>
      <c r="AF1766" s="198" t="s">
        <v>54</v>
      </c>
      <c r="AG1766" s="198" t="s">
        <v>166</v>
      </c>
      <c r="AH1766" s="198" t="s">
        <v>193</v>
      </c>
      <c r="AI1766" s="198" t="s">
        <v>56</v>
      </c>
      <c r="AJ1766" s="198" t="s">
        <v>163</v>
      </c>
      <c r="AK1766" s="198" t="s">
        <v>51</v>
      </c>
      <c r="AL1766" s="198" t="s">
        <v>67</v>
      </c>
      <c r="AM1766" s="198" t="s">
        <v>68</v>
      </c>
      <c r="AN1766" s="202">
        <v>107310308.47</v>
      </c>
      <c r="AO1766" s="202">
        <v>107310308.47</v>
      </c>
      <c r="AP1766" s="202">
        <v>107310308.47</v>
      </c>
      <c r="AQ1766" s="198" t="s">
        <v>358</v>
      </c>
      <c r="AR1766" s="198" t="s">
        <v>51</v>
      </c>
      <c r="AS1766" s="202">
        <v>107310308.47</v>
      </c>
      <c r="AT1766" s="202">
        <v>107310308.47</v>
      </c>
      <c r="AU1766" s="198" t="s">
        <v>359</v>
      </c>
      <c r="AV1766" s="198" t="s">
        <v>62</v>
      </c>
      <c r="AW1766" s="198" t="s">
        <v>47</v>
      </c>
    </row>
    <row r="1767" spans="3:49" outlineLevel="2" x14ac:dyDescent="0.25">
      <c r="C1767" s="201"/>
      <c r="D1767" s="198" t="s">
        <v>1900</v>
      </c>
      <c r="H1767" s="198" t="s">
        <v>1900</v>
      </c>
      <c r="I1767" s="202">
        <f t="shared" si="27"/>
        <v>733410655.19999993</v>
      </c>
      <c r="J1767" s="202">
        <v>177.6</v>
      </c>
      <c r="L1767" s="204">
        <v>1</v>
      </c>
      <c r="M1767" s="202">
        <v>900000000</v>
      </c>
      <c r="N1767" s="203">
        <v>0.57999999999999996</v>
      </c>
      <c r="O1767" s="198" t="s">
        <v>51</v>
      </c>
      <c r="P1767" s="202">
        <v>522000000</v>
      </c>
      <c r="Q1767" s="198" t="s">
        <v>159</v>
      </c>
      <c r="R1767" s="198" t="s">
        <v>160</v>
      </c>
      <c r="S1767" s="198" t="s">
        <v>54</v>
      </c>
      <c r="T1767" s="198" t="s">
        <v>2075</v>
      </c>
      <c r="U1767" s="198" t="s">
        <v>2077</v>
      </c>
      <c r="V1767" s="198" t="s">
        <v>56</v>
      </c>
      <c r="W1767" s="198" t="s">
        <v>356</v>
      </c>
      <c r="X1767" s="198" t="s">
        <v>161</v>
      </c>
      <c r="Y1767" s="198" t="s">
        <v>162</v>
      </c>
      <c r="Z1767" s="201">
        <v>46477</v>
      </c>
      <c r="AA1767" s="198" t="s">
        <v>59</v>
      </c>
      <c r="AB1767" s="198" t="s">
        <v>60</v>
      </c>
      <c r="AC1767" s="198" t="s">
        <v>86</v>
      </c>
      <c r="AD1767" s="198" t="s">
        <v>62</v>
      </c>
      <c r="AE1767" s="198" t="s">
        <v>54</v>
      </c>
      <c r="AF1767" s="198" t="s">
        <v>54</v>
      </c>
      <c r="AG1767" s="198" t="s">
        <v>166</v>
      </c>
      <c r="AH1767" s="198" t="s">
        <v>143</v>
      </c>
      <c r="AI1767" s="198" t="s">
        <v>56</v>
      </c>
      <c r="AJ1767" s="198" t="s">
        <v>163</v>
      </c>
      <c r="AK1767" s="198" t="s">
        <v>51</v>
      </c>
      <c r="AL1767" s="198" t="s">
        <v>67</v>
      </c>
      <c r="AM1767" s="198" t="s">
        <v>68</v>
      </c>
      <c r="AN1767" s="202">
        <v>900000000</v>
      </c>
      <c r="AO1767" s="202">
        <v>900000000</v>
      </c>
      <c r="AP1767" s="202">
        <v>900000000</v>
      </c>
      <c r="AQ1767" s="198" t="s">
        <v>358</v>
      </c>
      <c r="AR1767" s="198" t="s">
        <v>51</v>
      </c>
      <c r="AS1767" s="202">
        <v>522000000</v>
      </c>
      <c r="AT1767" s="202">
        <v>522000000</v>
      </c>
      <c r="AU1767" s="198" t="s">
        <v>359</v>
      </c>
      <c r="AV1767" s="198" t="s">
        <v>62</v>
      </c>
      <c r="AW1767" s="198" t="s">
        <v>47</v>
      </c>
    </row>
    <row r="1768" spans="3:49" outlineLevel="2" x14ac:dyDescent="0.25">
      <c r="C1768" s="201"/>
      <c r="D1768" s="198" t="s">
        <v>1900</v>
      </c>
      <c r="H1768" s="198" t="s">
        <v>1900</v>
      </c>
      <c r="I1768" s="202">
        <f t="shared" si="27"/>
        <v>733823611.64999998</v>
      </c>
      <c r="J1768" s="202">
        <v>177.7</v>
      </c>
      <c r="L1768" s="204">
        <v>1</v>
      </c>
      <c r="M1768" s="202">
        <v>215285586.44</v>
      </c>
      <c r="N1768" s="204">
        <v>1</v>
      </c>
      <c r="O1768" s="198" t="s">
        <v>51</v>
      </c>
      <c r="P1768" s="202">
        <v>215285586.44</v>
      </c>
      <c r="Q1768" s="198" t="s">
        <v>159</v>
      </c>
      <c r="R1768" s="198" t="s">
        <v>160</v>
      </c>
      <c r="S1768" s="198" t="s">
        <v>54</v>
      </c>
      <c r="T1768" s="198" t="s">
        <v>2075</v>
      </c>
      <c r="U1768" s="198" t="s">
        <v>2086</v>
      </c>
      <c r="V1768" s="198" t="s">
        <v>56</v>
      </c>
      <c r="W1768" s="198" t="s">
        <v>356</v>
      </c>
      <c r="X1768" s="198" t="s">
        <v>161</v>
      </c>
      <c r="Y1768" s="198" t="s">
        <v>162</v>
      </c>
      <c r="Z1768" s="201">
        <v>46477</v>
      </c>
      <c r="AA1768" s="198" t="s">
        <v>59</v>
      </c>
      <c r="AB1768" s="198" t="s">
        <v>60</v>
      </c>
      <c r="AC1768" s="198" t="s">
        <v>86</v>
      </c>
      <c r="AD1768" s="198" t="s">
        <v>62</v>
      </c>
      <c r="AE1768" s="198" t="s">
        <v>54</v>
      </c>
      <c r="AF1768" s="198" t="s">
        <v>54</v>
      </c>
      <c r="AG1768" s="198" t="s">
        <v>166</v>
      </c>
      <c r="AH1768" s="198" t="s">
        <v>143</v>
      </c>
      <c r="AI1768" s="198" t="s">
        <v>56</v>
      </c>
      <c r="AJ1768" s="198" t="s">
        <v>163</v>
      </c>
      <c r="AK1768" s="198" t="s">
        <v>51</v>
      </c>
      <c r="AL1768" s="198" t="s">
        <v>67</v>
      </c>
      <c r="AM1768" s="198" t="s">
        <v>68</v>
      </c>
      <c r="AN1768" s="202">
        <v>215285586.44</v>
      </c>
      <c r="AO1768" s="202">
        <v>215285586.44</v>
      </c>
      <c r="AP1768" s="202">
        <v>215285586.44</v>
      </c>
      <c r="AQ1768" s="198" t="s">
        <v>358</v>
      </c>
      <c r="AR1768" s="198" t="s">
        <v>51</v>
      </c>
      <c r="AS1768" s="202">
        <v>215285586.44</v>
      </c>
      <c r="AT1768" s="202">
        <v>215285586.44</v>
      </c>
      <c r="AU1768" s="198" t="s">
        <v>359</v>
      </c>
      <c r="AV1768" s="198" t="s">
        <v>62</v>
      </c>
      <c r="AW1768" s="198" t="s">
        <v>47</v>
      </c>
    </row>
    <row r="1769" spans="3:49" outlineLevel="2" x14ac:dyDescent="0.25">
      <c r="C1769" s="201"/>
      <c r="D1769" s="198" t="s">
        <v>737</v>
      </c>
      <c r="H1769" s="198" t="s">
        <v>737</v>
      </c>
      <c r="I1769" s="202">
        <f t="shared" si="27"/>
        <v>734236568.10000002</v>
      </c>
      <c r="J1769" s="202">
        <v>177.8</v>
      </c>
      <c r="L1769" s="204">
        <v>1</v>
      </c>
      <c r="M1769" s="202">
        <v>54528787</v>
      </c>
      <c r="N1769" s="204">
        <v>1</v>
      </c>
      <c r="O1769" s="198" t="s">
        <v>51</v>
      </c>
      <c r="P1769" s="202">
        <v>54528787</v>
      </c>
      <c r="Q1769" s="198" t="s">
        <v>159</v>
      </c>
      <c r="R1769" s="198" t="s">
        <v>160</v>
      </c>
      <c r="S1769" s="198" t="s">
        <v>54</v>
      </c>
      <c r="T1769" s="198" t="s">
        <v>2087</v>
      </c>
      <c r="U1769" s="198" t="s">
        <v>367</v>
      </c>
      <c r="V1769" s="198" t="s">
        <v>56</v>
      </c>
      <c r="W1769" s="198" t="s">
        <v>356</v>
      </c>
      <c r="X1769" s="198" t="s">
        <v>161</v>
      </c>
      <c r="Y1769" s="198" t="s">
        <v>162</v>
      </c>
      <c r="Z1769" s="201">
        <v>46248</v>
      </c>
      <c r="AA1769" s="198" t="s">
        <v>59</v>
      </c>
      <c r="AB1769" s="198" t="s">
        <v>60</v>
      </c>
      <c r="AC1769" s="198" t="s">
        <v>86</v>
      </c>
      <c r="AD1769" s="198" t="s">
        <v>62</v>
      </c>
      <c r="AE1769" s="198" t="s">
        <v>54</v>
      </c>
      <c r="AF1769" s="198" t="s">
        <v>54</v>
      </c>
      <c r="AG1769" s="198" t="s">
        <v>564</v>
      </c>
      <c r="AH1769" s="198" t="s">
        <v>89</v>
      </c>
      <c r="AI1769" s="198" t="s">
        <v>56</v>
      </c>
      <c r="AJ1769" s="198" t="s">
        <v>163</v>
      </c>
      <c r="AK1769" s="198" t="s">
        <v>51</v>
      </c>
      <c r="AL1769" s="198" t="s">
        <v>67</v>
      </c>
      <c r="AM1769" s="198" t="s">
        <v>68</v>
      </c>
      <c r="AN1769" s="202">
        <v>54528787</v>
      </c>
      <c r="AO1769" s="202">
        <v>54528787</v>
      </c>
      <c r="AP1769" s="202">
        <v>54528787</v>
      </c>
      <c r="AQ1769" s="198" t="s">
        <v>358</v>
      </c>
      <c r="AR1769" s="198" t="s">
        <v>51</v>
      </c>
      <c r="AS1769" s="202">
        <v>54528787</v>
      </c>
      <c r="AT1769" s="202">
        <v>54528787</v>
      </c>
      <c r="AU1769" s="198" t="s">
        <v>359</v>
      </c>
      <c r="AV1769" s="198" t="s">
        <v>62</v>
      </c>
      <c r="AW1769" s="198" t="s">
        <v>54</v>
      </c>
    </row>
    <row r="1770" spans="3:49" outlineLevel="2" x14ac:dyDescent="0.25">
      <c r="C1770" s="201"/>
      <c r="D1770" s="198" t="s">
        <v>150</v>
      </c>
      <c r="H1770" s="198" t="s">
        <v>150</v>
      </c>
      <c r="I1770" s="202">
        <f t="shared" si="27"/>
        <v>734649524.55000007</v>
      </c>
      <c r="J1770" s="202">
        <v>177.9</v>
      </c>
      <c r="L1770" s="204">
        <v>1</v>
      </c>
      <c r="M1770" s="202">
        <v>603404.01</v>
      </c>
      <c r="N1770" s="204">
        <v>1</v>
      </c>
      <c r="O1770" s="198" t="s">
        <v>51</v>
      </c>
      <c r="P1770" s="202">
        <v>603404.01</v>
      </c>
      <c r="Q1770" s="198" t="s">
        <v>159</v>
      </c>
      <c r="R1770" s="198" t="s">
        <v>160</v>
      </c>
      <c r="S1770" s="198" t="s">
        <v>54</v>
      </c>
      <c r="T1770" s="198" t="s">
        <v>2088</v>
      </c>
      <c r="U1770" s="198" t="s">
        <v>277</v>
      </c>
      <c r="V1770" s="198" t="s">
        <v>56</v>
      </c>
      <c r="W1770" s="198" t="s">
        <v>356</v>
      </c>
      <c r="X1770" s="198" t="s">
        <v>161</v>
      </c>
      <c r="Y1770" s="198" t="s">
        <v>162</v>
      </c>
      <c r="Z1770" s="201">
        <v>46477</v>
      </c>
      <c r="AA1770" s="198" t="s">
        <v>59</v>
      </c>
      <c r="AB1770" s="198" t="s">
        <v>60</v>
      </c>
      <c r="AC1770" s="198" t="s">
        <v>86</v>
      </c>
      <c r="AD1770" s="198" t="s">
        <v>62</v>
      </c>
      <c r="AE1770" s="198" t="s">
        <v>54</v>
      </c>
      <c r="AF1770" s="198" t="s">
        <v>54</v>
      </c>
      <c r="AG1770" s="198" t="s">
        <v>166</v>
      </c>
      <c r="AH1770" s="198" t="s">
        <v>153</v>
      </c>
      <c r="AI1770" s="198" t="s">
        <v>56</v>
      </c>
      <c r="AJ1770" s="198" t="s">
        <v>163</v>
      </c>
      <c r="AK1770" s="198" t="s">
        <v>51</v>
      </c>
      <c r="AL1770" s="198" t="s">
        <v>67</v>
      </c>
      <c r="AM1770" s="198" t="s">
        <v>68</v>
      </c>
      <c r="AN1770" s="202">
        <v>603404.01</v>
      </c>
      <c r="AO1770" s="202">
        <v>603404.01</v>
      </c>
      <c r="AP1770" s="202">
        <v>603404.01</v>
      </c>
      <c r="AQ1770" s="198" t="s">
        <v>358</v>
      </c>
      <c r="AR1770" s="198" t="s">
        <v>51</v>
      </c>
      <c r="AS1770" s="202">
        <v>603404.01</v>
      </c>
      <c r="AT1770" s="202">
        <v>603404.01</v>
      </c>
      <c r="AU1770" s="198" t="s">
        <v>359</v>
      </c>
      <c r="AV1770" s="198" t="s">
        <v>62</v>
      </c>
      <c r="AW1770" s="198" t="s">
        <v>54</v>
      </c>
    </row>
    <row r="1771" spans="3:49" outlineLevel="2" x14ac:dyDescent="0.25">
      <c r="C1771" s="201"/>
      <c r="D1771" s="198" t="s">
        <v>150</v>
      </c>
      <c r="H1771" s="198" t="s">
        <v>150</v>
      </c>
      <c r="I1771" s="202">
        <f t="shared" si="27"/>
        <v>735062481</v>
      </c>
      <c r="J1771" s="202">
        <v>178</v>
      </c>
      <c r="L1771" s="204">
        <v>1</v>
      </c>
      <c r="M1771" s="202">
        <v>220000</v>
      </c>
      <c r="N1771" s="204">
        <v>1</v>
      </c>
      <c r="O1771" s="198" t="s">
        <v>51</v>
      </c>
      <c r="P1771" s="202">
        <v>220000</v>
      </c>
      <c r="Q1771" s="198" t="s">
        <v>159</v>
      </c>
      <c r="R1771" s="198" t="s">
        <v>160</v>
      </c>
      <c r="S1771" s="198" t="s">
        <v>54</v>
      </c>
      <c r="T1771" s="198" t="s">
        <v>2088</v>
      </c>
      <c r="U1771" s="198" t="s">
        <v>277</v>
      </c>
      <c r="V1771" s="198" t="s">
        <v>56</v>
      </c>
      <c r="W1771" s="198" t="s">
        <v>356</v>
      </c>
      <c r="X1771" s="198" t="s">
        <v>161</v>
      </c>
      <c r="Y1771" s="198" t="s">
        <v>162</v>
      </c>
      <c r="Z1771" s="201">
        <v>46477</v>
      </c>
      <c r="AA1771" s="198" t="s">
        <v>59</v>
      </c>
      <c r="AB1771" s="198" t="s">
        <v>60</v>
      </c>
      <c r="AC1771" s="198" t="s">
        <v>86</v>
      </c>
      <c r="AD1771" s="198" t="s">
        <v>62</v>
      </c>
      <c r="AE1771" s="198" t="s">
        <v>54</v>
      </c>
      <c r="AF1771" s="198" t="s">
        <v>54</v>
      </c>
      <c r="AG1771" s="198" t="s">
        <v>166</v>
      </c>
      <c r="AH1771" s="198" t="s">
        <v>153</v>
      </c>
      <c r="AI1771" s="198" t="s">
        <v>56</v>
      </c>
      <c r="AJ1771" s="198" t="s">
        <v>163</v>
      </c>
      <c r="AK1771" s="198" t="s">
        <v>51</v>
      </c>
      <c r="AL1771" s="198" t="s">
        <v>67</v>
      </c>
      <c r="AM1771" s="198" t="s">
        <v>68</v>
      </c>
      <c r="AN1771" s="202">
        <v>220000</v>
      </c>
      <c r="AO1771" s="202">
        <v>220000</v>
      </c>
      <c r="AP1771" s="202">
        <v>220000</v>
      </c>
      <c r="AQ1771" s="198" t="s">
        <v>358</v>
      </c>
      <c r="AR1771" s="198" t="s">
        <v>51</v>
      </c>
      <c r="AS1771" s="202">
        <v>220000</v>
      </c>
      <c r="AT1771" s="202">
        <v>220000</v>
      </c>
      <c r="AU1771" s="198" t="s">
        <v>359</v>
      </c>
      <c r="AV1771" s="198" t="s">
        <v>62</v>
      </c>
      <c r="AW1771" s="198" t="s">
        <v>54</v>
      </c>
    </row>
    <row r="1772" spans="3:49" outlineLevel="2" x14ac:dyDescent="0.25">
      <c r="C1772" s="201"/>
      <c r="D1772" s="198" t="s">
        <v>168</v>
      </c>
      <c r="H1772" s="198" t="s">
        <v>168</v>
      </c>
      <c r="I1772" s="202">
        <f t="shared" si="27"/>
        <v>735475437.44999993</v>
      </c>
      <c r="J1772" s="202">
        <v>178.1</v>
      </c>
      <c r="L1772" s="204">
        <v>1</v>
      </c>
      <c r="M1772" s="202">
        <v>30505745</v>
      </c>
      <c r="N1772" s="204">
        <v>1</v>
      </c>
      <c r="O1772" s="198" t="s">
        <v>51</v>
      </c>
      <c r="P1772" s="202">
        <v>30505745</v>
      </c>
      <c r="Q1772" s="198" t="s">
        <v>159</v>
      </c>
      <c r="R1772" s="198" t="s">
        <v>160</v>
      </c>
      <c r="S1772" s="198" t="s">
        <v>54</v>
      </c>
      <c r="T1772" s="198" t="s">
        <v>2089</v>
      </c>
      <c r="U1772" s="198" t="s">
        <v>367</v>
      </c>
      <c r="V1772" s="198" t="s">
        <v>56</v>
      </c>
      <c r="W1772" s="198" t="s">
        <v>356</v>
      </c>
      <c r="X1772" s="198" t="s">
        <v>161</v>
      </c>
      <c r="Y1772" s="198" t="s">
        <v>162</v>
      </c>
      <c r="Z1772" s="201">
        <v>46248</v>
      </c>
      <c r="AA1772" s="198" t="s">
        <v>59</v>
      </c>
      <c r="AB1772" s="198" t="s">
        <v>60</v>
      </c>
      <c r="AC1772" s="198" t="s">
        <v>86</v>
      </c>
      <c r="AD1772" s="198" t="s">
        <v>62</v>
      </c>
      <c r="AE1772" s="198" t="s">
        <v>54</v>
      </c>
      <c r="AF1772" s="198" t="s">
        <v>54</v>
      </c>
      <c r="AG1772" s="198" t="s">
        <v>564</v>
      </c>
      <c r="AH1772" s="198" t="s">
        <v>169</v>
      </c>
      <c r="AI1772" s="198" t="s">
        <v>56</v>
      </c>
      <c r="AJ1772" s="198" t="s">
        <v>163</v>
      </c>
      <c r="AK1772" s="198" t="s">
        <v>51</v>
      </c>
      <c r="AL1772" s="198" t="s">
        <v>67</v>
      </c>
      <c r="AM1772" s="198" t="s">
        <v>68</v>
      </c>
      <c r="AN1772" s="202">
        <v>30505745</v>
      </c>
      <c r="AO1772" s="202">
        <v>30505745</v>
      </c>
      <c r="AP1772" s="202">
        <v>30505745</v>
      </c>
      <c r="AQ1772" s="198" t="s">
        <v>358</v>
      </c>
      <c r="AR1772" s="198" t="s">
        <v>51</v>
      </c>
      <c r="AS1772" s="202">
        <v>30505745</v>
      </c>
      <c r="AT1772" s="202">
        <v>30505745</v>
      </c>
      <c r="AU1772" s="198" t="s">
        <v>359</v>
      </c>
      <c r="AV1772" s="198" t="s">
        <v>62</v>
      </c>
      <c r="AW1772" s="198" t="s">
        <v>54</v>
      </c>
    </row>
    <row r="1773" spans="3:49" outlineLevel="2" x14ac:dyDescent="0.25">
      <c r="C1773" s="201"/>
      <c r="D1773" s="198" t="s">
        <v>157</v>
      </c>
      <c r="H1773" s="198" t="s">
        <v>157</v>
      </c>
      <c r="I1773" s="202">
        <f t="shared" si="27"/>
        <v>735888393.89999998</v>
      </c>
      <c r="J1773" s="202">
        <v>178.2</v>
      </c>
      <c r="L1773" s="204">
        <v>1</v>
      </c>
      <c r="M1773" s="202">
        <v>603404.01</v>
      </c>
      <c r="N1773" s="204">
        <v>1</v>
      </c>
      <c r="O1773" s="198" t="s">
        <v>51</v>
      </c>
      <c r="P1773" s="202">
        <v>603404.01</v>
      </c>
      <c r="Q1773" s="198" t="s">
        <v>159</v>
      </c>
      <c r="R1773" s="198" t="s">
        <v>160</v>
      </c>
      <c r="S1773" s="198" t="s">
        <v>54</v>
      </c>
      <c r="T1773" s="198" t="s">
        <v>2088</v>
      </c>
      <c r="U1773" s="198" t="s">
        <v>2086</v>
      </c>
      <c r="V1773" s="198" t="s">
        <v>56</v>
      </c>
      <c r="W1773" s="198" t="s">
        <v>356</v>
      </c>
      <c r="X1773" s="198" t="s">
        <v>161</v>
      </c>
      <c r="Y1773" s="198" t="s">
        <v>162</v>
      </c>
      <c r="Z1773" s="201">
        <v>46477</v>
      </c>
      <c r="AA1773" s="198" t="s">
        <v>59</v>
      </c>
      <c r="AB1773" s="198" t="s">
        <v>60</v>
      </c>
      <c r="AC1773" s="198" t="s">
        <v>86</v>
      </c>
      <c r="AD1773" s="198" t="s">
        <v>62</v>
      </c>
      <c r="AE1773" s="198" t="s">
        <v>54</v>
      </c>
      <c r="AF1773" s="198" t="s">
        <v>54</v>
      </c>
      <c r="AG1773" s="198" t="s">
        <v>166</v>
      </c>
      <c r="AH1773" s="198" t="s">
        <v>143</v>
      </c>
      <c r="AI1773" s="198" t="s">
        <v>56</v>
      </c>
      <c r="AJ1773" s="198" t="s">
        <v>163</v>
      </c>
      <c r="AK1773" s="198" t="s">
        <v>51</v>
      </c>
      <c r="AL1773" s="198" t="s">
        <v>67</v>
      </c>
      <c r="AM1773" s="198" t="s">
        <v>68</v>
      </c>
      <c r="AN1773" s="202">
        <v>603404.01</v>
      </c>
      <c r="AO1773" s="202">
        <v>603404.01</v>
      </c>
      <c r="AP1773" s="202">
        <v>603404.01</v>
      </c>
      <c r="AQ1773" s="198" t="s">
        <v>358</v>
      </c>
      <c r="AR1773" s="198" t="s">
        <v>51</v>
      </c>
      <c r="AS1773" s="202">
        <v>603404.01</v>
      </c>
      <c r="AT1773" s="202">
        <v>603404.01</v>
      </c>
      <c r="AU1773" s="198" t="s">
        <v>359</v>
      </c>
      <c r="AV1773" s="198" t="s">
        <v>62</v>
      </c>
      <c r="AW1773" s="198" t="s">
        <v>54</v>
      </c>
    </row>
    <row r="1774" spans="3:49" outlineLevel="2" x14ac:dyDescent="0.25">
      <c r="C1774" s="201"/>
      <c r="D1774" s="198" t="s">
        <v>157</v>
      </c>
      <c r="H1774" s="198" t="s">
        <v>157</v>
      </c>
      <c r="I1774" s="202">
        <f t="shared" si="27"/>
        <v>736301350.35000002</v>
      </c>
      <c r="J1774" s="202">
        <v>178.3</v>
      </c>
      <c r="L1774" s="204">
        <v>1</v>
      </c>
      <c r="M1774" s="202">
        <v>220000</v>
      </c>
      <c r="N1774" s="204">
        <v>1</v>
      </c>
      <c r="O1774" s="198" t="s">
        <v>51</v>
      </c>
      <c r="P1774" s="202">
        <v>220000</v>
      </c>
      <c r="Q1774" s="198" t="s">
        <v>159</v>
      </c>
      <c r="R1774" s="198" t="s">
        <v>160</v>
      </c>
      <c r="S1774" s="198" t="s">
        <v>54</v>
      </c>
      <c r="T1774" s="198" t="s">
        <v>2088</v>
      </c>
      <c r="U1774" s="198" t="s">
        <v>2086</v>
      </c>
      <c r="V1774" s="198" t="s">
        <v>56</v>
      </c>
      <c r="W1774" s="198" t="s">
        <v>356</v>
      </c>
      <c r="X1774" s="198" t="s">
        <v>161</v>
      </c>
      <c r="Y1774" s="198" t="s">
        <v>162</v>
      </c>
      <c r="Z1774" s="201">
        <v>46477</v>
      </c>
      <c r="AA1774" s="198" t="s">
        <v>59</v>
      </c>
      <c r="AB1774" s="198" t="s">
        <v>60</v>
      </c>
      <c r="AC1774" s="198" t="s">
        <v>86</v>
      </c>
      <c r="AD1774" s="198" t="s">
        <v>62</v>
      </c>
      <c r="AE1774" s="198" t="s">
        <v>54</v>
      </c>
      <c r="AF1774" s="198" t="s">
        <v>54</v>
      </c>
      <c r="AG1774" s="198" t="s">
        <v>166</v>
      </c>
      <c r="AH1774" s="198" t="s">
        <v>143</v>
      </c>
      <c r="AI1774" s="198" t="s">
        <v>56</v>
      </c>
      <c r="AJ1774" s="198" t="s">
        <v>163</v>
      </c>
      <c r="AK1774" s="198" t="s">
        <v>51</v>
      </c>
      <c r="AL1774" s="198" t="s">
        <v>67</v>
      </c>
      <c r="AM1774" s="198" t="s">
        <v>68</v>
      </c>
      <c r="AN1774" s="202">
        <v>220000</v>
      </c>
      <c r="AO1774" s="202">
        <v>220000</v>
      </c>
      <c r="AP1774" s="202">
        <v>220000</v>
      </c>
      <c r="AQ1774" s="198" t="s">
        <v>358</v>
      </c>
      <c r="AR1774" s="198" t="s">
        <v>51</v>
      </c>
      <c r="AS1774" s="202">
        <v>220000</v>
      </c>
      <c r="AT1774" s="202">
        <v>220000</v>
      </c>
      <c r="AU1774" s="198" t="s">
        <v>359</v>
      </c>
      <c r="AV1774" s="198" t="s">
        <v>62</v>
      </c>
      <c r="AW1774" s="198" t="s">
        <v>54</v>
      </c>
    </row>
    <row r="1775" spans="3:49" outlineLevel="2" x14ac:dyDescent="0.25">
      <c r="C1775" s="201"/>
      <c r="D1775" s="198" t="s">
        <v>145</v>
      </c>
      <c r="H1775" s="198" t="s">
        <v>145</v>
      </c>
      <c r="I1775" s="202">
        <f t="shared" si="27"/>
        <v>736714306.80000007</v>
      </c>
      <c r="J1775" s="202">
        <v>178.4</v>
      </c>
      <c r="L1775" s="204">
        <v>1</v>
      </c>
      <c r="M1775" s="202">
        <v>603404.01</v>
      </c>
      <c r="N1775" s="204">
        <v>1</v>
      </c>
      <c r="O1775" s="198" t="s">
        <v>51</v>
      </c>
      <c r="P1775" s="202">
        <v>603404.01</v>
      </c>
      <c r="Q1775" s="198" t="s">
        <v>159</v>
      </c>
      <c r="R1775" s="198" t="s">
        <v>160</v>
      </c>
      <c r="S1775" s="198" t="s">
        <v>54</v>
      </c>
      <c r="T1775" s="198" t="s">
        <v>2088</v>
      </c>
      <c r="U1775" s="198" t="s">
        <v>2086</v>
      </c>
      <c r="V1775" s="198" t="s">
        <v>56</v>
      </c>
      <c r="W1775" s="198" t="s">
        <v>356</v>
      </c>
      <c r="X1775" s="198" t="s">
        <v>161</v>
      </c>
      <c r="Y1775" s="198" t="s">
        <v>162</v>
      </c>
      <c r="Z1775" s="201">
        <v>46477</v>
      </c>
      <c r="AA1775" s="198" t="s">
        <v>59</v>
      </c>
      <c r="AB1775" s="198" t="s">
        <v>60</v>
      </c>
      <c r="AC1775" s="198" t="s">
        <v>86</v>
      </c>
      <c r="AD1775" s="198" t="s">
        <v>62</v>
      </c>
      <c r="AE1775" s="198" t="s">
        <v>54</v>
      </c>
      <c r="AF1775" s="198" t="s">
        <v>54</v>
      </c>
      <c r="AG1775" s="198" t="s">
        <v>166</v>
      </c>
      <c r="AH1775" s="198" t="s">
        <v>148</v>
      </c>
      <c r="AI1775" s="198" t="s">
        <v>56</v>
      </c>
      <c r="AJ1775" s="198" t="s">
        <v>163</v>
      </c>
      <c r="AK1775" s="198" t="s">
        <v>51</v>
      </c>
      <c r="AL1775" s="198" t="s">
        <v>67</v>
      </c>
      <c r="AM1775" s="198" t="s">
        <v>68</v>
      </c>
      <c r="AN1775" s="202">
        <v>603404.01</v>
      </c>
      <c r="AO1775" s="202">
        <v>603404.01</v>
      </c>
      <c r="AP1775" s="202">
        <v>603404.01</v>
      </c>
      <c r="AQ1775" s="198" t="s">
        <v>358</v>
      </c>
      <c r="AR1775" s="198" t="s">
        <v>51</v>
      </c>
      <c r="AS1775" s="202">
        <v>603404.01</v>
      </c>
      <c r="AT1775" s="202">
        <v>603404.01</v>
      </c>
      <c r="AU1775" s="198" t="s">
        <v>359</v>
      </c>
      <c r="AV1775" s="198" t="s">
        <v>62</v>
      </c>
      <c r="AW1775" s="198" t="s">
        <v>54</v>
      </c>
    </row>
    <row r="1776" spans="3:49" outlineLevel="2" x14ac:dyDescent="0.25">
      <c r="C1776" s="201"/>
      <c r="D1776" s="198" t="s">
        <v>145</v>
      </c>
      <c r="H1776" s="198" t="s">
        <v>145</v>
      </c>
      <c r="I1776" s="202">
        <f t="shared" si="27"/>
        <v>737127263.25</v>
      </c>
      <c r="J1776" s="202">
        <v>178.5</v>
      </c>
      <c r="L1776" s="204">
        <v>1</v>
      </c>
      <c r="M1776" s="202">
        <v>220000</v>
      </c>
      <c r="N1776" s="204">
        <v>1</v>
      </c>
      <c r="O1776" s="198" t="s">
        <v>51</v>
      </c>
      <c r="P1776" s="202">
        <v>220000</v>
      </c>
      <c r="Q1776" s="198" t="s">
        <v>159</v>
      </c>
      <c r="R1776" s="198" t="s">
        <v>160</v>
      </c>
      <c r="S1776" s="198" t="s">
        <v>54</v>
      </c>
      <c r="T1776" s="198" t="s">
        <v>2088</v>
      </c>
      <c r="U1776" s="198" t="s">
        <v>2086</v>
      </c>
      <c r="V1776" s="198" t="s">
        <v>56</v>
      </c>
      <c r="W1776" s="198" t="s">
        <v>356</v>
      </c>
      <c r="X1776" s="198" t="s">
        <v>161</v>
      </c>
      <c r="Y1776" s="198" t="s">
        <v>162</v>
      </c>
      <c r="Z1776" s="201">
        <v>46477</v>
      </c>
      <c r="AA1776" s="198" t="s">
        <v>59</v>
      </c>
      <c r="AB1776" s="198" t="s">
        <v>60</v>
      </c>
      <c r="AC1776" s="198" t="s">
        <v>86</v>
      </c>
      <c r="AD1776" s="198" t="s">
        <v>62</v>
      </c>
      <c r="AE1776" s="198" t="s">
        <v>54</v>
      </c>
      <c r="AF1776" s="198" t="s">
        <v>54</v>
      </c>
      <c r="AG1776" s="198" t="s">
        <v>166</v>
      </c>
      <c r="AH1776" s="198" t="s">
        <v>148</v>
      </c>
      <c r="AI1776" s="198" t="s">
        <v>56</v>
      </c>
      <c r="AJ1776" s="198" t="s">
        <v>163</v>
      </c>
      <c r="AK1776" s="198" t="s">
        <v>51</v>
      </c>
      <c r="AL1776" s="198" t="s">
        <v>67</v>
      </c>
      <c r="AM1776" s="198" t="s">
        <v>68</v>
      </c>
      <c r="AN1776" s="202">
        <v>220000</v>
      </c>
      <c r="AO1776" s="202">
        <v>220000</v>
      </c>
      <c r="AP1776" s="202">
        <v>220000</v>
      </c>
      <c r="AQ1776" s="198" t="s">
        <v>358</v>
      </c>
      <c r="AR1776" s="198" t="s">
        <v>51</v>
      </c>
      <c r="AS1776" s="202">
        <v>220000</v>
      </c>
      <c r="AT1776" s="202">
        <v>220000</v>
      </c>
      <c r="AU1776" s="198" t="s">
        <v>359</v>
      </c>
      <c r="AV1776" s="198" t="s">
        <v>62</v>
      </c>
      <c r="AW1776" s="198" t="s">
        <v>54</v>
      </c>
    </row>
    <row r="1777" spans="3:49" outlineLevel="2" x14ac:dyDescent="0.25">
      <c r="C1777" s="201"/>
      <c r="D1777" s="198" t="s">
        <v>283</v>
      </c>
      <c r="H1777" s="198" t="s">
        <v>283</v>
      </c>
      <c r="I1777" s="202">
        <f t="shared" si="27"/>
        <v>737540219.69999993</v>
      </c>
      <c r="J1777" s="202">
        <v>178.6</v>
      </c>
      <c r="L1777" s="204">
        <v>1</v>
      </c>
      <c r="M1777" s="202">
        <v>603404.01</v>
      </c>
      <c r="N1777" s="204">
        <v>1</v>
      </c>
      <c r="O1777" s="198" t="s">
        <v>51</v>
      </c>
      <c r="P1777" s="202">
        <v>603404.01</v>
      </c>
      <c r="Q1777" s="198" t="s">
        <v>159</v>
      </c>
      <c r="R1777" s="198" t="s">
        <v>160</v>
      </c>
      <c r="S1777" s="198" t="s">
        <v>54</v>
      </c>
      <c r="T1777" s="198" t="s">
        <v>2088</v>
      </c>
      <c r="U1777" s="198" t="s">
        <v>80</v>
      </c>
      <c r="V1777" s="198" t="s">
        <v>56</v>
      </c>
      <c r="W1777" s="198" t="s">
        <v>356</v>
      </c>
      <c r="X1777" s="198" t="s">
        <v>161</v>
      </c>
      <c r="Y1777" s="198" t="s">
        <v>162</v>
      </c>
      <c r="Z1777" s="201">
        <v>46477</v>
      </c>
      <c r="AA1777" s="198" t="s">
        <v>59</v>
      </c>
      <c r="AB1777" s="198" t="s">
        <v>60</v>
      </c>
      <c r="AC1777" s="198" t="s">
        <v>86</v>
      </c>
      <c r="AD1777" s="198" t="s">
        <v>62</v>
      </c>
      <c r="AE1777" s="198" t="s">
        <v>54</v>
      </c>
      <c r="AF1777" s="198" t="s">
        <v>54</v>
      </c>
      <c r="AG1777" s="198" t="s">
        <v>166</v>
      </c>
      <c r="AH1777" s="198" t="s">
        <v>193</v>
      </c>
      <c r="AI1777" s="198" t="s">
        <v>56</v>
      </c>
      <c r="AJ1777" s="198" t="s">
        <v>163</v>
      </c>
      <c r="AK1777" s="198" t="s">
        <v>51</v>
      </c>
      <c r="AL1777" s="198" t="s">
        <v>67</v>
      </c>
      <c r="AM1777" s="198" t="s">
        <v>68</v>
      </c>
      <c r="AN1777" s="202">
        <v>603404.01</v>
      </c>
      <c r="AO1777" s="202">
        <v>603404.01</v>
      </c>
      <c r="AP1777" s="202">
        <v>603404.01</v>
      </c>
      <c r="AQ1777" s="198" t="s">
        <v>358</v>
      </c>
      <c r="AR1777" s="198" t="s">
        <v>51</v>
      </c>
      <c r="AS1777" s="202">
        <v>603404.01</v>
      </c>
      <c r="AT1777" s="202">
        <v>603404.01</v>
      </c>
      <c r="AU1777" s="198" t="s">
        <v>359</v>
      </c>
      <c r="AV1777" s="198" t="s">
        <v>62</v>
      </c>
      <c r="AW1777" s="198" t="s">
        <v>54</v>
      </c>
    </row>
    <row r="1778" spans="3:49" outlineLevel="2" x14ac:dyDescent="0.25">
      <c r="C1778" s="201"/>
      <c r="D1778" s="198" t="s">
        <v>283</v>
      </c>
      <c r="H1778" s="198" t="s">
        <v>283</v>
      </c>
      <c r="I1778" s="202">
        <f t="shared" si="27"/>
        <v>737953176.14999998</v>
      </c>
      <c r="J1778" s="202">
        <v>178.7</v>
      </c>
      <c r="L1778" s="204">
        <v>1</v>
      </c>
      <c r="M1778" s="202">
        <v>220000</v>
      </c>
      <c r="N1778" s="204">
        <v>1</v>
      </c>
      <c r="O1778" s="198" t="s">
        <v>51</v>
      </c>
      <c r="P1778" s="202">
        <v>220000</v>
      </c>
      <c r="Q1778" s="198" t="s">
        <v>159</v>
      </c>
      <c r="R1778" s="198" t="s">
        <v>160</v>
      </c>
      <c r="S1778" s="198" t="s">
        <v>54</v>
      </c>
      <c r="T1778" s="198" t="s">
        <v>2088</v>
      </c>
      <c r="U1778" s="198" t="s">
        <v>80</v>
      </c>
      <c r="V1778" s="198" t="s">
        <v>56</v>
      </c>
      <c r="W1778" s="198" t="s">
        <v>356</v>
      </c>
      <c r="X1778" s="198" t="s">
        <v>161</v>
      </c>
      <c r="Y1778" s="198" t="s">
        <v>162</v>
      </c>
      <c r="Z1778" s="201">
        <v>46477</v>
      </c>
      <c r="AA1778" s="198" t="s">
        <v>59</v>
      </c>
      <c r="AB1778" s="198" t="s">
        <v>60</v>
      </c>
      <c r="AC1778" s="198" t="s">
        <v>86</v>
      </c>
      <c r="AD1778" s="198" t="s">
        <v>62</v>
      </c>
      <c r="AE1778" s="198" t="s">
        <v>54</v>
      </c>
      <c r="AF1778" s="198" t="s">
        <v>54</v>
      </c>
      <c r="AG1778" s="198" t="s">
        <v>166</v>
      </c>
      <c r="AH1778" s="198" t="s">
        <v>193</v>
      </c>
      <c r="AI1778" s="198" t="s">
        <v>56</v>
      </c>
      <c r="AJ1778" s="198" t="s">
        <v>163</v>
      </c>
      <c r="AK1778" s="198" t="s">
        <v>51</v>
      </c>
      <c r="AL1778" s="198" t="s">
        <v>67</v>
      </c>
      <c r="AM1778" s="198" t="s">
        <v>68</v>
      </c>
      <c r="AN1778" s="202">
        <v>220000</v>
      </c>
      <c r="AO1778" s="202">
        <v>220000</v>
      </c>
      <c r="AP1778" s="202">
        <v>220000</v>
      </c>
      <c r="AQ1778" s="198" t="s">
        <v>358</v>
      </c>
      <c r="AR1778" s="198" t="s">
        <v>51</v>
      </c>
      <c r="AS1778" s="202">
        <v>220000</v>
      </c>
      <c r="AT1778" s="202">
        <v>220000</v>
      </c>
      <c r="AU1778" s="198" t="s">
        <v>359</v>
      </c>
      <c r="AV1778" s="198" t="s">
        <v>62</v>
      </c>
      <c r="AW1778" s="198" t="s">
        <v>54</v>
      </c>
    </row>
    <row r="1779" spans="3:49" outlineLevel="2" x14ac:dyDescent="0.25">
      <c r="C1779" s="201"/>
      <c r="D1779" s="198" t="s">
        <v>278</v>
      </c>
      <c r="H1779" s="198" t="s">
        <v>278</v>
      </c>
      <c r="I1779" s="202">
        <f t="shared" si="27"/>
        <v>738366132.60000002</v>
      </c>
      <c r="J1779" s="202">
        <v>178.8</v>
      </c>
      <c r="L1779" s="203">
        <v>0.36899999999999999</v>
      </c>
      <c r="M1779" s="202">
        <v>536000</v>
      </c>
      <c r="N1779" s="203">
        <v>0.36899999999999999</v>
      </c>
      <c r="O1779" s="198" t="s">
        <v>51</v>
      </c>
      <c r="P1779" s="202">
        <v>536000</v>
      </c>
      <c r="Q1779" s="198" t="s">
        <v>159</v>
      </c>
      <c r="R1779" s="198" t="s">
        <v>160</v>
      </c>
      <c r="S1779" s="198" t="s">
        <v>54</v>
      </c>
      <c r="T1779" s="198" t="s">
        <v>2087</v>
      </c>
      <c r="U1779" s="198" t="s">
        <v>767</v>
      </c>
      <c r="V1779" s="198" t="s">
        <v>56</v>
      </c>
      <c r="W1779" s="198" t="s">
        <v>356</v>
      </c>
      <c r="X1779" s="198" t="s">
        <v>161</v>
      </c>
      <c r="Y1779" s="198" t="s">
        <v>162</v>
      </c>
      <c r="Z1779" s="201">
        <v>46315</v>
      </c>
      <c r="AA1779" s="198" t="s">
        <v>59</v>
      </c>
      <c r="AB1779" s="198" t="s">
        <v>60</v>
      </c>
      <c r="AC1779" s="198" t="s">
        <v>86</v>
      </c>
      <c r="AD1779" s="198" t="s">
        <v>62</v>
      </c>
      <c r="AE1779" s="198" t="s">
        <v>54</v>
      </c>
      <c r="AF1779" s="198" t="s">
        <v>54</v>
      </c>
      <c r="AG1779" s="198" t="s">
        <v>235</v>
      </c>
      <c r="AH1779" s="198" t="s">
        <v>193</v>
      </c>
      <c r="AI1779" s="198" t="s">
        <v>56</v>
      </c>
      <c r="AJ1779" s="198" t="s">
        <v>163</v>
      </c>
      <c r="AK1779" s="198" t="s">
        <v>51</v>
      </c>
      <c r="AL1779" s="198" t="s">
        <v>67</v>
      </c>
      <c r="AM1779" s="198" t="s">
        <v>68</v>
      </c>
      <c r="AN1779" s="202">
        <v>536000</v>
      </c>
      <c r="AO1779" s="202">
        <v>536000</v>
      </c>
      <c r="AP1779" s="202">
        <v>536000</v>
      </c>
      <c r="AQ1779" s="198" t="s">
        <v>358</v>
      </c>
      <c r="AR1779" s="198" t="s">
        <v>51</v>
      </c>
      <c r="AS1779" s="202">
        <v>536000</v>
      </c>
      <c r="AT1779" s="202">
        <v>536000</v>
      </c>
      <c r="AU1779" s="198" t="s">
        <v>359</v>
      </c>
      <c r="AV1779" s="198" t="s">
        <v>62</v>
      </c>
      <c r="AW1779" s="198" t="s">
        <v>54</v>
      </c>
    </row>
    <row r="1780" spans="3:49" outlineLevel="2" x14ac:dyDescent="0.25">
      <c r="C1780" s="201"/>
      <c r="D1780" s="198" t="s">
        <v>278</v>
      </c>
      <c r="H1780" s="198" t="s">
        <v>278</v>
      </c>
      <c r="I1780" s="202">
        <f t="shared" si="27"/>
        <v>738779089.05000007</v>
      </c>
      <c r="J1780" s="202">
        <v>178.9</v>
      </c>
      <c r="L1780" s="203">
        <v>0.63100000000000001</v>
      </c>
      <c r="M1780" s="202">
        <v>917481.6</v>
      </c>
      <c r="N1780" s="203">
        <v>0.63100000000000001</v>
      </c>
      <c r="O1780" s="198" t="s">
        <v>51</v>
      </c>
      <c r="P1780" s="202">
        <v>917481.6</v>
      </c>
      <c r="Q1780" s="198" t="s">
        <v>159</v>
      </c>
      <c r="R1780" s="198" t="s">
        <v>1738</v>
      </c>
      <c r="S1780" s="198" t="s">
        <v>54</v>
      </c>
      <c r="T1780" s="198" t="s">
        <v>2087</v>
      </c>
      <c r="U1780" s="198" t="s">
        <v>767</v>
      </c>
      <c r="V1780" s="198" t="s">
        <v>147</v>
      </c>
      <c r="W1780" s="198" t="s">
        <v>356</v>
      </c>
      <c r="X1780" s="198" t="s">
        <v>1739</v>
      </c>
      <c r="Y1780" s="198" t="s">
        <v>1738</v>
      </c>
      <c r="Z1780" s="201">
        <v>46315</v>
      </c>
      <c r="AA1780" s="198" t="s">
        <v>59</v>
      </c>
      <c r="AB1780" s="198" t="s">
        <v>60</v>
      </c>
      <c r="AC1780" s="198" t="s">
        <v>86</v>
      </c>
      <c r="AD1780" s="198" t="s">
        <v>62</v>
      </c>
      <c r="AE1780" s="198" t="s">
        <v>54</v>
      </c>
      <c r="AF1780" s="198" t="s">
        <v>54</v>
      </c>
      <c r="AG1780" s="198" t="s">
        <v>235</v>
      </c>
      <c r="AH1780" s="198" t="s">
        <v>193</v>
      </c>
      <c r="AI1780" s="198" t="s">
        <v>56</v>
      </c>
      <c r="AJ1780" s="198" t="s">
        <v>163</v>
      </c>
      <c r="AK1780" s="198" t="s">
        <v>51</v>
      </c>
      <c r="AL1780" s="198" t="s">
        <v>67</v>
      </c>
      <c r="AM1780" s="198" t="s">
        <v>68</v>
      </c>
      <c r="AN1780" s="202">
        <v>917481.6</v>
      </c>
      <c r="AO1780" s="202">
        <v>917481.6</v>
      </c>
      <c r="AP1780" s="202">
        <v>917481.6</v>
      </c>
      <c r="AQ1780" s="198" t="s">
        <v>358</v>
      </c>
      <c r="AR1780" s="198" t="s">
        <v>51</v>
      </c>
      <c r="AS1780" s="202">
        <v>917481.6</v>
      </c>
      <c r="AT1780" s="202">
        <v>917481.6</v>
      </c>
      <c r="AU1780" s="198" t="s">
        <v>359</v>
      </c>
      <c r="AV1780" s="198" t="s">
        <v>62</v>
      </c>
      <c r="AW1780" s="198" t="s">
        <v>54</v>
      </c>
    </row>
    <row r="1781" spans="3:49" outlineLevel="2" x14ac:dyDescent="0.25">
      <c r="C1781" s="201"/>
      <c r="D1781" s="198" t="s">
        <v>287</v>
      </c>
      <c r="H1781" s="198" t="s">
        <v>287</v>
      </c>
      <c r="I1781" s="202">
        <f t="shared" si="27"/>
        <v>739192045.5</v>
      </c>
      <c r="J1781" s="202">
        <v>179</v>
      </c>
      <c r="L1781" s="203">
        <v>0.36899999999999999</v>
      </c>
      <c r="M1781" s="202">
        <v>670000</v>
      </c>
      <c r="N1781" s="203">
        <v>0.36899999999999999</v>
      </c>
      <c r="O1781" s="198" t="s">
        <v>51</v>
      </c>
      <c r="P1781" s="202">
        <v>670000</v>
      </c>
      <c r="Q1781" s="198" t="s">
        <v>159</v>
      </c>
      <c r="R1781" s="198" t="s">
        <v>160</v>
      </c>
      <c r="S1781" s="198" t="s">
        <v>54</v>
      </c>
      <c r="T1781" s="198" t="s">
        <v>2087</v>
      </c>
      <c r="U1781" s="198" t="s">
        <v>767</v>
      </c>
      <c r="V1781" s="198" t="s">
        <v>56</v>
      </c>
      <c r="W1781" s="198" t="s">
        <v>356</v>
      </c>
      <c r="X1781" s="198" t="s">
        <v>161</v>
      </c>
      <c r="Y1781" s="198" t="s">
        <v>162</v>
      </c>
      <c r="Z1781" s="201">
        <v>46315</v>
      </c>
      <c r="AA1781" s="198" t="s">
        <v>59</v>
      </c>
      <c r="AB1781" s="198" t="s">
        <v>60</v>
      </c>
      <c r="AC1781" s="198" t="s">
        <v>86</v>
      </c>
      <c r="AD1781" s="198" t="s">
        <v>62</v>
      </c>
      <c r="AE1781" s="198" t="s">
        <v>54</v>
      </c>
      <c r="AF1781" s="198" t="s">
        <v>54</v>
      </c>
      <c r="AG1781" s="198" t="s">
        <v>235</v>
      </c>
      <c r="AH1781" s="198" t="s">
        <v>156</v>
      </c>
      <c r="AI1781" s="198" t="s">
        <v>56</v>
      </c>
      <c r="AJ1781" s="198" t="s">
        <v>163</v>
      </c>
      <c r="AK1781" s="198" t="s">
        <v>51</v>
      </c>
      <c r="AL1781" s="198" t="s">
        <v>67</v>
      </c>
      <c r="AM1781" s="198" t="s">
        <v>68</v>
      </c>
      <c r="AN1781" s="202">
        <v>670000</v>
      </c>
      <c r="AO1781" s="202">
        <v>670000</v>
      </c>
      <c r="AP1781" s="202">
        <v>670000</v>
      </c>
      <c r="AQ1781" s="198" t="s">
        <v>358</v>
      </c>
      <c r="AR1781" s="198" t="s">
        <v>51</v>
      </c>
      <c r="AS1781" s="202">
        <v>670000</v>
      </c>
      <c r="AT1781" s="202">
        <v>670000</v>
      </c>
      <c r="AU1781" s="198" t="s">
        <v>359</v>
      </c>
      <c r="AV1781" s="198" t="s">
        <v>62</v>
      </c>
      <c r="AW1781" s="198" t="s">
        <v>54</v>
      </c>
    </row>
    <row r="1782" spans="3:49" outlineLevel="2" x14ac:dyDescent="0.25">
      <c r="C1782" s="201"/>
      <c r="D1782" s="198" t="s">
        <v>287</v>
      </c>
      <c r="H1782" s="198" t="s">
        <v>287</v>
      </c>
      <c r="I1782" s="202">
        <f t="shared" si="27"/>
        <v>739605001.94999993</v>
      </c>
      <c r="J1782" s="202">
        <v>179.1</v>
      </c>
      <c r="L1782" s="203">
        <v>0.63100000000000001</v>
      </c>
      <c r="M1782" s="202">
        <v>1146852</v>
      </c>
      <c r="N1782" s="203">
        <v>0.63100000000000001</v>
      </c>
      <c r="O1782" s="198" t="s">
        <v>51</v>
      </c>
      <c r="P1782" s="202">
        <v>1146852</v>
      </c>
      <c r="Q1782" s="198" t="s">
        <v>159</v>
      </c>
      <c r="R1782" s="198" t="s">
        <v>1738</v>
      </c>
      <c r="S1782" s="198" t="s">
        <v>54</v>
      </c>
      <c r="T1782" s="198" t="s">
        <v>2087</v>
      </c>
      <c r="U1782" s="198" t="s">
        <v>767</v>
      </c>
      <c r="V1782" s="198" t="s">
        <v>147</v>
      </c>
      <c r="W1782" s="198" t="s">
        <v>356</v>
      </c>
      <c r="X1782" s="198" t="s">
        <v>1739</v>
      </c>
      <c r="Y1782" s="198" t="s">
        <v>1738</v>
      </c>
      <c r="Z1782" s="201">
        <v>46315</v>
      </c>
      <c r="AA1782" s="198" t="s">
        <v>59</v>
      </c>
      <c r="AB1782" s="198" t="s">
        <v>60</v>
      </c>
      <c r="AC1782" s="198" t="s">
        <v>86</v>
      </c>
      <c r="AD1782" s="198" t="s">
        <v>62</v>
      </c>
      <c r="AE1782" s="198" t="s">
        <v>54</v>
      </c>
      <c r="AF1782" s="198" t="s">
        <v>54</v>
      </c>
      <c r="AG1782" s="198" t="s">
        <v>235</v>
      </c>
      <c r="AH1782" s="198" t="s">
        <v>156</v>
      </c>
      <c r="AI1782" s="198" t="s">
        <v>56</v>
      </c>
      <c r="AJ1782" s="198" t="s">
        <v>163</v>
      </c>
      <c r="AK1782" s="198" t="s">
        <v>51</v>
      </c>
      <c r="AL1782" s="198" t="s">
        <v>67</v>
      </c>
      <c r="AM1782" s="198" t="s">
        <v>68</v>
      </c>
      <c r="AN1782" s="202">
        <v>1146852</v>
      </c>
      <c r="AO1782" s="202">
        <v>1146852</v>
      </c>
      <c r="AP1782" s="202">
        <v>1146852</v>
      </c>
      <c r="AQ1782" s="198" t="s">
        <v>358</v>
      </c>
      <c r="AR1782" s="198" t="s">
        <v>51</v>
      </c>
      <c r="AS1782" s="202">
        <v>1146852</v>
      </c>
      <c r="AT1782" s="202">
        <v>1146852</v>
      </c>
      <c r="AU1782" s="198" t="s">
        <v>359</v>
      </c>
      <c r="AV1782" s="198" t="s">
        <v>62</v>
      </c>
      <c r="AW1782" s="198" t="s">
        <v>54</v>
      </c>
    </row>
    <row r="1783" spans="3:49" outlineLevel="2" x14ac:dyDescent="0.25">
      <c r="C1783" s="201"/>
      <c r="D1783" s="198" t="s">
        <v>276</v>
      </c>
      <c r="H1783" s="198" t="s">
        <v>276</v>
      </c>
      <c r="I1783" s="202">
        <f t="shared" si="27"/>
        <v>740017958.39999998</v>
      </c>
      <c r="J1783" s="202">
        <v>179.2</v>
      </c>
      <c r="L1783" s="203">
        <v>0.36899999999999999</v>
      </c>
      <c r="M1783" s="202">
        <v>536000</v>
      </c>
      <c r="N1783" s="203">
        <v>0.36899999999999999</v>
      </c>
      <c r="O1783" s="198" t="s">
        <v>51</v>
      </c>
      <c r="P1783" s="202">
        <v>536000</v>
      </c>
      <c r="Q1783" s="198" t="s">
        <v>159</v>
      </c>
      <c r="R1783" s="198" t="s">
        <v>160</v>
      </c>
      <c r="S1783" s="198" t="s">
        <v>54</v>
      </c>
      <c r="T1783" s="198" t="s">
        <v>2087</v>
      </c>
      <c r="U1783" s="198" t="s">
        <v>767</v>
      </c>
      <c r="V1783" s="198" t="s">
        <v>56</v>
      </c>
      <c r="W1783" s="198" t="s">
        <v>356</v>
      </c>
      <c r="X1783" s="198" t="s">
        <v>161</v>
      </c>
      <c r="Y1783" s="198" t="s">
        <v>162</v>
      </c>
      <c r="Z1783" s="201">
        <v>46315</v>
      </c>
      <c r="AA1783" s="198" t="s">
        <v>59</v>
      </c>
      <c r="AB1783" s="198" t="s">
        <v>60</v>
      </c>
      <c r="AC1783" s="198" t="s">
        <v>86</v>
      </c>
      <c r="AD1783" s="198" t="s">
        <v>62</v>
      </c>
      <c r="AE1783" s="198" t="s">
        <v>54</v>
      </c>
      <c r="AF1783" s="198" t="s">
        <v>54</v>
      </c>
      <c r="AG1783" s="198" t="s">
        <v>235</v>
      </c>
      <c r="AH1783" s="198" t="s">
        <v>143</v>
      </c>
      <c r="AI1783" s="198" t="s">
        <v>56</v>
      </c>
      <c r="AJ1783" s="198" t="s">
        <v>163</v>
      </c>
      <c r="AK1783" s="198" t="s">
        <v>51</v>
      </c>
      <c r="AL1783" s="198" t="s">
        <v>67</v>
      </c>
      <c r="AM1783" s="198" t="s">
        <v>68</v>
      </c>
      <c r="AN1783" s="202">
        <v>536000</v>
      </c>
      <c r="AO1783" s="202">
        <v>536000</v>
      </c>
      <c r="AP1783" s="202">
        <v>536000</v>
      </c>
      <c r="AQ1783" s="198" t="s">
        <v>358</v>
      </c>
      <c r="AR1783" s="198" t="s">
        <v>51</v>
      </c>
      <c r="AS1783" s="202">
        <v>536000</v>
      </c>
      <c r="AT1783" s="202">
        <v>536000</v>
      </c>
      <c r="AU1783" s="198" t="s">
        <v>359</v>
      </c>
      <c r="AV1783" s="198" t="s">
        <v>62</v>
      </c>
      <c r="AW1783" s="198" t="s">
        <v>54</v>
      </c>
    </row>
    <row r="1784" spans="3:49" outlineLevel="2" x14ac:dyDescent="0.25">
      <c r="C1784" s="201"/>
      <c r="D1784" s="198" t="s">
        <v>276</v>
      </c>
      <c r="H1784" s="198" t="s">
        <v>276</v>
      </c>
      <c r="I1784" s="202">
        <f t="shared" si="27"/>
        <v>740430914.85000002</v>
      </c>
      <c r="J1784" s="202">
        <v>179.3</v>
      </c>
      <c r="L1784" s="203">
        <v>0.63100000000000001</v>
      </c>
      <c r="M1784" s="202">
        <v>917481.6</v>
      </c>
      <c r="N1784" s="203">
        <v>0.63100000000000001</v>
      </c>
      <c r="O1784" s="198" t="s">
        <v>51</v>
      </c>
      <c r="P1784" s="202">
        <v>917481.6</v>
      </c>
      <c r="Q1784" s="198" t="s">
        <v>159</v>
      </c>
      <c r="R1784" s="198" t="s">
        <v>1738</v>
      </c>
      <c r="S1784" s="198" t="s">
        <v>54</v>
      </c>
      <c r="T1784" s="198" t="s">
        <v>2087</v>
      </c>
      <c r="U1784" s="198" t="s">
        <v>767</v>
      </c>
      <c r="V1784" s="198" t="s">
        <v>147</v>
      </c>
      <c r="W1784" s="198" t="s">
        <v>356</v>
      </c>
      <c r="X1784" s="198" t="s">
        <v>1739</v>
      </c>
      <c r="Y1784" s="198" t="s">
        <v>1738</v>
      </c>
      <c r="Z1784" s="201">
        <v>46315</v>
      </c>
      <c r="AA1784" s="198" t="s">
        <v>59</v>
      </c>
      <c r="AB1784" s="198" t="s">
        <v>60</v>
      </c>
      <c r="AC1784" s="198" t="s">
        <v>86</v>
      </c>
      <c r="AD1784" s="198" t="s">
        <v>62</v>
      </c>
      <c r="AE1784" s="198" t="s">
        <v>54</v>
      </c>
      <c r="AF1784" s="198" t="s">
        <v>54</v>
      </c>
      <c r="AG1784" s="198" t="s">
        <v>235</v>
      </c>
      <c r="AH1784" s="198" t="s">
        <v>143</v>
      </c>
      <c r="AI1784" s="198" t="s">
        <v>56</v>
      </c>
      <c r="AJ1784" s="198" t="s">
        <v>163</v>
      </c>
      <c r="AK1784" s="198" t="s">
        <v>51</v>
      </c>
      <c r="AL1784" s="198" t="s">
        <v>67</v>
      </c>
      <c r="AM1784" s="198" t="s">
        <v>68</v>
      </c>
      <c r="AN1784" s="202">
        <v>917481.6</v>
      </c>
      <c r="AO1784" s="202">
        <v>917481.6</v>
      </c>
      <c r="AP1784" s="202">
        <v>917481.6</v>
      </c>
      <c r="AQ1784" s="198" t="s">
        <v>358</v>
      </c>
      <c r="AR1784" s="198" t="s">
        <v>51</v>
      </c>
      <c r="AS1784" s="202">
        <v>917481.6</v>
      </c>
      <c r="AT1784" s="202">
        <v>917481.6</v>
      </c>
      <c r="AU1784" s="198" t="s">
        <v>359</v>
      </c>
      <c r="AV1784" s="198" t="s">
        <v>62</v>
      </c>
      <c r="AW1784" s="198" t="s">
        <v>54</v>
      </c>
    </row>
    <row r="1785" spans="3:49" outlineLevel="2" x14ac:dyDescent="0.25">
      <c r="C1785" s="201"/>
      <c r="D1785" s="198" t="s">
        <v>155</v>
      </c>
      <c r="H1785" s="198" t="s">
        <v>155</v>
      </c>
      <c r="I1785" s="202">
        <f t="shared" si="27"/>
        <v>740843871.30000007</v>
      </c>
      <c r="J1785" s="202">
        <v>179.4</v>
      </c>
      <c r="L1785" s="203">
        <v>0.501</v>
      </c>
      <c r="M1785" s="202">
        <v>302357.44</v>
      </c>
      <c r="N1785" s="203">
        <v>0.501</v>
      </c>
      <c r="O1785" s="198" t="s">
        <v>51</v>
      </c>
      <c r="P1785" s="202">
        <v>302357.44</v>
      </c>
      <c r="Q1785" s="198" t="s">
        <v>159</v>
      </c>
      <c r="R1785" s="198" t="s">
        <v>160</v>
      </c>
      <c r="S1785" s="198" t="s">
        <v>54</v>
      </c>
      <c r="T1785" s="198" t="s">
        <v>2088</v>
      </c>
      <c r="U1785" s="198" t="s">
        <v>2090</v>
      </c>
      <c r="V1785" s="198" t="s">
        <v>56</v>
      </c>
      <c r="W1785" s="198" t="s">
        <v>356</v>
      </c>
      <c r="X1785" s="198" t="s">
        <v>161</v>
      </c>
      <c r="Y1785" s="198" t="s">
        <v>162</v>
      </c>
      <c r="Z1785" s="201">
        <v>46477</v>
      </c>
      <c r="AA1785" s="198" t="s">
        <v>59</v>
      </c>
      <c r="AB1785" s="198" t="s">
        <v>60</v>
      </c>
      <c r="AC1785" s="198" t="s">
        <v>86</v>
      </c>
      <c r="AD1785" s="198" t="s">
        <v>62</v>
      </c>
      <c r="AE1785" s="198" t="s">
        <v>54</v>
      </c>
      <c r="AF1785" s="198" t="s">
        <v>54</v>
      </c>
      <c r="AG1785" s="198" t="s">
        <v>166</v>
      </c>
      <c r="AH1785" s="198" t="s">
        <v>156</v>
      </c>
      <c r="AI1785" s="198" t="s">
        <v>56</v>
      </c>
      <c r="AJ1785" s="198" t="s">
        <v>163</v>
      </c>
      <c r="AK1785" s="198" t="s">
        <v>51</v>
      </c>
      <c r="AL1785" s="198" t="s">
        <v>67</v>
      </c>
      <c r="AM1785" s="198" t="s">
        <v>68</v>
      </c>
      <c r="AN1785" s="202">
        <v>302357.44</v>
      </c>
      <c r="AO1785" s="202">
        <v>302357.44</v>
      </c>
      <c r="AP1785" s="202">
        <v>302357.44</v>
      </c>
      <c r="AQ1785" s="198" t="s">
        <v>358</v>
      </c>
      <c r="AR1785" s="198" t="s">
        <v>51</v>
      </c>
      <c r="AS1785" s="202">
        <v>302357.44</v>
      </c>
      <c r="AT1785" s="202">
        <v>302357.44</v>
      </c>
      <c r="AU1785" s="198" t="s">
        <v>359</v>
      </c>
      <c r="AV1785" s="198" t="s">
        <v>62</v>
      </c>
      <c r="AW1785" s="198" t="s">
        <v>54</v>
      </c>
    </row>
    <row r="1786" spans="3:49" outlineLevel="2" x14ac:dyDescent="0.25">
      <c r="C1786" s="201"/>
      <c r="D1786" s="198" t="s">
        <v>155</v>
      </c>
      <c r="H1786" s="198" t="s">
        <v>155</v>
      </c>
      <c r="I1786" s="202">
        <f t="shared" si="27"/>
        <v>741256827.75</v>
      </c>
      <c r="J1786" s="202">
        <v>179.5</v>
      </c>
      <c r="L1786" s="203">
        <v>0.499</v>
      </c>
      <c r="M1786" s="202">
        <v>301046.57</v>
      </c>
      <c r="N1786" s="203">
        <v>0.499</v>
      </c>
      <c r="O1786" s="198" t="s">
        <v>51</v>
      </c>
      <c r="P1786" s="202">
        <v>301046.57</v>
      </c>
      <c r="Q1786" s="198" t="s">
        <v>159</v>
      </c>
      <c r="R1786" s="198" t="s">
        <v>2027</v>
      </c>
      <c r="S1786" s="198" t="s">
        <v>54</v>
      </c>
      <c r="T1786" s="198" t="s">
        <v>2088</v>
      </c>
      <c r="U1786" s="198" t="s">
        <v>2090</v>
      </c>
      <c r="V1786" s="198" t="s">
        <v>147</v>
      </c>
      <c r="W1786" s="198" t="s">
        <v>356</v>
      </c>
      <c r="X1786" s="198" t="s">
        <v>2028</v>
      </c>
      <c r="Y1786" s="198" t="s">
        <v>2029</v>
      </c>
      <c r="Z1786" s="201">
        <v>46477</v>
      </c>
      <c r="AA1786" s="198" t="s">
        <v>59</v>
      </c>
      <c r="AB1786" s="198" t="s">
        <v>60</v>
      </c>
      <c r="AC1786" s="198" t="s">
        <v>86</v>
      </c>
      <c r="AD1786" s="198" t="s">
        <v>62</v>
      </c>
      <c r="AE1786" s="198" t="s">
        <v>54</v>
      </c>
      <c r="AF1786" s="198" t="s">
        <v>54</v>
      </c>
      <c r="AG1786" s="198" t="s">
        <v>166</v>
      </c>
      <c r="AH1786" s="198" t="s">
        <v>156</v>
      </c>
      <c r="AI1786" s="198" t="s">
        <v>56</v>
      </c>
      <c r="AJ1786" s="198" t="s">
        <v>163</v>
      </c>
      <c r="AK1786" s="198" t="s">
        <v>51</v>
      </c>
      <c r="AL1786" s="198" t="s">
        <v>67</v>
      </c>
      <c r="AM1786" s="198" t="s">
        <v>68</v>
      </c>
      <c r="AN1786" s="202">
        <v>301046.57</v>
      </c>
      <c r="AO1786" s="202">
        <v>301046.57</v>
      </c>
      <c r="AP1786" s="202">
        <v>301046.57</v>
      </c>
      <c r="AQ1786" s="198" t="s">
        <v>358</v>
      </c>
      <c r="AR1786" s="198" t="s">
        <v>51</v>
      </c>
      <c r="AS1786" s="202">
        <v>301046.57</v>
      </c>
      <c r="AT1786" s="202">
        <v>301046.57</v>
      </c>
      <c r="AU1786" s="198" t="s">
        <v>359</v>
      </c>
      <c r="AV1786" s="198" t="s">
        <v>62</v>
      </c>
      <c r="AW1786" s="198" t="s">
        <v>54</v>
      </c>
    </row>
    <row r="1787" spans="3:49" outlineLevel="2" x14ac:dyDescent="0.25">
      <c r="C1787" s="201"/>
      <c r="D1787" s="198" t="s">
        <v>155</v>
      </c>
      <c r="H1787" s="198" t="s">
        <v>155</v>
      </c>
      <c r="I1787" s="202">
        <f t="shared" si="27"/>
        <v>741669784.19999993</v>
      </c>
      <c r="J1787" s="202">
        <v>179.6</v>
      </c>
      <c r="L1787" s="204">
        <v>1</v>
      </c>
      <c r="M1787" s="202">
        <v>220000</v>
      </c>
      <c r="N1787" s="204">
        <v>1</v>
      </c>
      <c r="O1787" s="198" t="s">
        <v>51</v>
      </c>
      <c r="P1787" s="202">
        <v>220000</v>
      </c>
      <c r="Q1787" s="198" t="s">
        <v>159</v>
      </c>
      <c r="R1787" s="198" t="s">
        <v>160</v>
      </c>
      <c r="S1787" s="198" t="s">
        <v>54</v>
      </c>
      <c r="T1787" s="198" t="s">
        <v>2088</v>
      </c>
      <c r="U1787" s="198" t="s">
        <v>2090</v>
      </c>
      <c r="V1787" s="198" t="s">
        <v>56</v>
      </c>
      <c r="W1787" s="198" t="s">
        <v>356</v>
      </c>
      <c r="X1787" s="198" t="s">
        <v>161</v>
      </c>
      <c r="Y1787" s="198" t="s">
        <v>162</v>
      </c>
      <c r="Z1787" s="201">
        <v>46477</v>
      </c>
      <c r="AA1787" s="198" t="s">
        <v>59</v>
      </c>
      <c r="AB1787" s="198" t="s">
        <v>60</v>
      </c>
      <c r="AC1787" s="198" t="s">
        <v>86</v>
      </c>
      <c r="AD1787" s="198" t="s">
        <v>62</v>
      </c>
      <c r="AE1787" s="198" t="s">
        <v>54</v>
      </c>
      <c r="AF1787" s="198" t="s">
        <v>54</v>
      </c>
      <c r="AG1787" s="198" t="s">
        <v>166</v>
      </c>
      <c r="AH1787" s="198" t="s">
        <v>156</v>
      </c>
      <c r="AI1787" s="198" t="s">
        <v>56</v>
      </c>
      <c r="AJ1787" s="198" t="s">
        <v>163</v>
      </c>
      <c r="AK1787" s="198" t="s">
        <v>51</v>
      </c>
      <c r="AL1787" s="198" t="s">
        <v>67</v>
      </c>
      <c r="AM1787" s="198" t="s">
        <v>68</v>
      </c>
      <c r="AN1787" s="202">
        <v>220000</v>
      </c>
      <c r="AO1787" s="202">
        <v>220000</v>
      </c>
      <c r="AP1787" s="202">
        <v>220000</v>
      </c>
      <c r="AQ1787" s="198" t="s">
        <v>358</v>
      </c>
      <c r="AR1787" s="198" t="s">
        <v>51</v>
      </c>
      <c r="AS1787" s="202">
        <v>220000</v>
      </c>
      <c r="AT1787" s="202">
        <v>220000</v>
      </c>
      <c r="AU1787" s="198" t="s">
        <v>359</v>
      </c>
      <c r="AV1787" s="198" t="s">
        <v>62</v>
      </c>
      <c r="AW1787" s="198" t="s">
        <v>54</v>
      </c>
    </row>
    <row r="1788" spans="3:49" outlineLevel="2" x14ac:dyDescent="0.25">
      <c r="C1788" s="201"/>
      <c r="D1788" s="198" t="s">
        <v>284</v>
      </c>
      <c r="H1788" s="198" t="s">
        <v>284</v>
      </c>
      <c r="I1788" s="202">
        <f t="shared" si="27"/>
        <v>742082740.64999998</v>
      </c>
      <c r="J1788" s="202">
        <v>179.7</v>
      </c>
      <c r="L1788" s="204">
        <v>1</v>
      </c>
      <c r="M1788" s="202">
        <v>603404.01</v>
      </c>
      <c r="N1788" s="204">
        <v>1</v>
      </c>
      <c r="O1788" s="198" t="s">
        <v>51</v>
      </c>
      <c r="P1788" s="202">
        <v>603404.01</v>
      </c>
      <c r="Q1788" s="198" t="s">
        <v>159</v>
      </c>
      <c r="R1788" s="198" t="s">
        <v>160</v>
      </c>
      <c r="S1788" s="198" t="s">
        <v>54</v>
      </c>
      <c r="T1788" s="198" t="s">
        <v>2088</v>
      </c>
      <c r="U1788" s="198" t="s">
        <v>277</v>
      </c>
      <c r="V1788" s="198" t="s">
        <v>56</v>
      </c>
      <c r="W1788" s="198" t="s">
        <v>356</v>
      </c>
      <c r="X1788" s="198" t="s">
        <v>161</v>
      </c>
      <c r="Y1788" s="198" t="s">
        <v>162</v>
      </c>
      <c r="Z1788" s="201">
        <v>46477</v>
      </c>
      <c r="AA1788" s="198" t="s">
        <v>59</v>
      </c>
      <c r="AB1788" s="198" t="s">
        <v>60</v>
      </c>
      <c r="AC1788" s="198" t="s">
        <v>86</v>
      </c>
      <c r="AD1788" s="198" t="s">
        <v>62</v>
      </c>
      <c r="AE1788" s="198" t="s">
        <v>54</v>
      </c>
      <c r="AF1788" s="198" t="s">
        <v>54</v>
      </c>
      <c r="AG1788" s="198" t="s">
        <v>166</v>
      </c>
      <c r="AH1788" s="198" t="s">
        <v>274</v>
      </c>
      <c r="AI1788" s="198" t="s">
        <v>56</v>
      </c>
      <c r="AJ1788" s="198" t="s">
        <v>163</v>
      </c>
      <c r="AK1788" s="198" t="s">
        <v>51</v>
      </c>
      <c r="AL1788" s="198" t="s">
        <v>67</v>
      </c>
      <c r="AM1788" s="198" t="s">
        <v>68</v>
      </c>
      <c r="AN1788" s="202">
        <v>603404.01</v>
      </c>
      <c r="AO1788" s="202">
        <v>603404.01</v>
      </c>
      <c r="AP1788" s="202">
        <v>603404.01</v>
      </c>
      <c r="AQ1788" s="198" t="s">
        <v>358</v>
      </c>
      <c r="AR1788" s="198" t="s">
        <v>51</v>
      </c>
      <c r="AS1788" s="202">
        <v>603404.01</v>
      </c>
      <c r="AT1788" s="202">
        <v>603404.01</v>
      </c>
      <c r="AU1788" s="198" t="s">
        <v>359</v>
      </c>
      <c r="AV1788" s="198" t="s">
        <v>62</v>
      </c>
      <c r="AW1788" s="198" t="s">
        <v>54</v>
      </c>
    </row>
    <row r="1789" spans="3:49" outlineLevel="2" x14ac:dyDescent="0.25">
      <c r="C1789" s="201"/>
      <c r="D1789" s="198" t="s">
        <v>284</v>
      </c>
      <c r="H1789" s="198" t="s">
        <v>284</v>
      </c>
      <c r="I1789" s="202">
        <f t="shared" si="27"/>
        <v>742495697.10000002</v>
      </c>
      <c r="J1789" s="202">
        <v>179.8</v>
      </c>
      <c r="L1789" s="204">
        <v>1</v>
      </c>
      <c r="M1789" s="202">
        <v>220000</v>
      </c>
      <c r="N1789" s="204">
        <v>1</v>
      </c>
      <c r="O1789" s="198" t="s">
        <v>51</v>
      </c>
      <c r="P1789" s="202">
        <v>220000</v>
      </c>
      <c r="Q1789" s="198" t="s">
        <v>159</v>
      </c>
      <c r="R1789" s="198" t="s">
        <v>160</v>
      </c>
      <c r="S1789" s="198" t="s">
        <v>54</v>
      </c>
      <c r="T1789" s="198" t="s">
        <v>2088</v>
      </c>
      <c r="U1789" s="198" t="s">
        <v>277</v>
      </c>
      <c r="V1789" s="198" t="s">
        <v>56</v>
      </c>
      <c r="W1789" s="198" t="s">
        <v>356</v>
      </c>
      <c r="X1789" s="198" t="s">
        <v>161</v>
      </c>
      <c r="Y1789" s="198" t="s">
        <v>162</v>
      </c>
      <c r="Z1789" s="201">
        <v>46477</v>
      </c>
      <c r="AA1789" s="198" t="s">
        <v>59</v>
      </c>
      <c r="AB1789" s="198" t="s">
        <v>60</v>
      </c>
      <c r="AC1789" s="198" t="s">
        <v>86</v>
      </c>
      <c r="AD1789" s="198" t="s">
        <v>62</v>
      </c>
      <c r="AE1789" s="198" t="s">
        <v>54</v>
      </c>
      <c r="AF1789" s="198" t="s">
        <v>54</v>
      </c>
      <c r="AG1789" s="198" t="s">
        <v>166</v>
      </c>
      <c r="AH1789" s="198" t="s">
        <v>274</v>
      </c>
      <c r="AI1789" s="198" t="s">
        <v>56</v>
      </c>
      <c r="AJ1789" s="198" t="s">
        <v>163</v>
      </c>
      <c r="AK1789" s="198" t="s">
        <v>51</v>
      </c>
      <c r="AL1789" s="198" t="s">
        <v>67</v>
      </c>
      <c r="AM1789" s="198" t="s">
        <v>68</v>
      </c>
      <c r="AN1789" s="202">
        <v>220000</v>
      </c>
      <c r="AO1789" s="202">
        <v>220000</v>
      </c>
      <c r="AP1789" s="202">
        <v>220000</v>
      </c>
      <c r="AQ1789" s="198" t="s">
        <v>358</v>
      </c>
      <c r="AR1789" s="198" t="s">
        <v>51</v>
      </c>
      <c r="AS1789" s="202">
        <v>220000</v>
      </c>
      <c r="AT1789" s="202">
        <v>220000</v>
      </c>
      <c r="AU1789" s="198" t="s">
        <v>359</v>
      </c>
      <c r="AV1789" s="198" t="s">
        <v>62</v>
      </c>
      <c r="AW1789" s="198" t="s">
        <v>54</v>
      </c>
    </row>
    <row r="1790" spans="3:49" outlineLevel="2" x14ac:dyDescent="0.25">
      <c r="C1790" s="201"/>
      <c r="D1790" s="198" t="s">
        <v>211</v>
      </c>
      <c r="H1790" s="198" t="s">
        <v>211</v>
      </c>
      <c r="I1790" s="202">
        <f t="shared" si="27"/>
        <v>742908653.55000007</v>
      </c>
      <c r="J1790" s="202">
        <v>179.9</v>
      </c>
      <c r="L1790" s="204">
        <v>1</v>
      </c>
      <c r="M1790" s="202">
        <v>35396124</v>
      </c>
      <c r="N1790" s="204">
        <v>1</v>
      </c>
      <c r="O1790" s="198" t="s">
        <v>51</v>
      </c>
      <c r="P1790" s="202">
        <v>35396124</v>
      </c>
      <c r="Q1790" s="198" t="s">
        <v>159</v>
      </c>
      <c r="R1790" s="198" t="s">
        <v>160</v>
      </c>
      <c r="S1790" s="198" t="s">
        <v>54</v>
      </c>
      <c r="T1790" s="198" t="s">
        <v>2091</v>
      </c>
      <c r="U1790" s="198" t="s">
        <v>367</v>
      </c>
      <c r="V1790" s="198" t="s">
        <v>56</v>
      </c>
      <c r="W1790" s="198" t="s">
        <v>356</v>
      </c>
      <c r="X1790" s="198" t="s">
        <v>161</v>
      </c>
      <c r="Y1790" s="198" t="s">
        <v>162</v>
      </c>
      <c r="Z1790" s="201">
        <v>46248</v>
      </c>
      <c r="AA1790" s="198" t="s">
        <v>59</v>
      </c>
      <c r="AB1790" s="198" t="s">
        <v>60</v>
      </c>
      <c r="AC1790" s="198" t="s">
        <v>86</v>
      </c>
      <c r="AD1790" s="198" t="s">
        <v>62</v>
      </c>
      <c r="AE1790" s="198" t="s">
        <v>54</v>
      </c>
      <c r="AF1790" s="198" t="s">
        <v>54</v>
      </c>
      <c r="AG1790" s="198" t="s">
        <v>564</v>
      </c>
      <c r="AH1790" s="198" t="s">
        <v>112</v>
      </c>
      <c r="AI1790" s="198" t="s">
        <v>56</v>
      </c>
      <c r="AJ1790" s="198" t="s">
        <v>163</v>
      </c>
      <c r="AK1790" s="198" t="s">
        <v>51</v>
      </c>
      <c r="AL1790" s="198" t="s">
        <v>67</v>
      </c>
      <c r="AM1790" s="198" t="s">
        <v>68</v>
      </c>
      <c r="AN1790" s="202">
        <v>35396124</v>
      </c>
      <c r="AO1790" s="202">
        <v>35396124</v>
      </c>
      <c r="AP1790" s="202">
        <v>35396124</v>
      </c>
      <c r="AQ1790" s="198" t="s">
        <v>358</v>
      </c>
      <c r="AR1790" s="198" t="s">
        <v>51</v>
      </c>
      <c r="AS1790" s="202">
        <v>35396124</v>
      </c>
      <c r="AT1790" s="202">
        <v>35396124</v>
      </c>
      <c r="AU1790" s="198" t="s">
        <v>359</v>
      </c>
      <c r="AV1790" s="198" t="s">
        <v>62</v>
      </c>
      <c r="AW1790" s="198" t="s">
        <v>54</v>
      </c>
    </row>
    <row r="1791" spans="3:49" outlineLevel="2" x14ac:dyDescent="0.25">
      <c r="C1791" s="201"/>
      <c r="D1791" s="198" t="s">
        <v>1279</v>
      </c>
      <c r="H1791" s="198" t="s">
        <v>1279</v>
      </c>
      <c r="I1791" s="202">
        <f t="shared" si="27"/>
        <v>743321610</v>
      </c>
      <c r="J1791" s="202">
        <v>180</v>
      </c>
      <c r="L1791" s="204">
        <v>1</v>
      </c>
      <c r="M1791" s="202">
        <v>9363290.4000000004</v>
      </c>
      <c r="N1791" s="204">
        <v>1</v>
      </c>
      <c r="O1791" s="198" t="s">
        <v>51</v>
      </c>
      <c r="P1791" s="202">
        <v>9363290.4000000004</v>
      </c>
      <c r="Q1791" s="198" t="s">
        <v>159</v>
      </c>
      <c r="R1791" s="198" t="s">
        <v>160</v>
      </c>
      <c r="S1791" s="198" t="s">
        <v>54</v>
      </c>
      <c r="T1791" s="198" t="s">
        <v>765</v>
      </c>
      <c r="U1791" s="198" t="s">
        <v>2092</v>
      </c>
      <c r="V1791" s="198" t="s">
        <v>56</v>
      </c>
      <c r="W1791" s="198" t="s">
        <v>356</v>
      </c>
      <c r="X1791" s="198" t="s">
        <v>161</v>
      </c>
      <c r="Y1791" s="198" t="s">
        <v>162</v>
      </c>
      <c r="Z1791" s="201">
        <v>46477</v>
      </c>
      <c r="AA1791" s="198" t="s">
        <v>59</v>
      </c>
      <c r="AB1791" s="198" t="s">
        <v>60</v>
      </c>
      <c r="AC1791" s="198" t="s">
        <v>86</v>
      </c>
      <c r="AD1791" s="198" t="s">
        <v>62</v>
      </c>
      <c r="AE1791" s="198" t="s">
        <v>54</v>
      </c>
      <c r="AF1791" s="198" t="s">
        <v>54</v>
      </c>
      <c r="AG1791" s="198" t="s">
        <v>166</v>
      </c>
      <c r="AH1791" s="198" t="s">
        <v>130</v>
      </c>
      <c r="AI1791" s="198" t="s">
        <v>56</v>
      </c>
      <c r="AJ1791" s="198" t="s">
        <v>163</v>
      </c>
      <c r="AK1791" s="198" t="s">
        <v>51</v>
      </c>
      <c r="AL1791" s="198" t="s">
        <v>67</v>
      </c>
      <c r="AM1791" s="198" t="s">
        <v>68</v>
      </c>
      <c r="AN1791" s="202">
        <v>9363290.4000000004</v>
      </c>
      <c r="AO1791" s="202">
        <v>9363290.4000000004</v>
      </c>
      <c r="AP1791" s="202">
        <v>9363290.4000000004</v>
      </c>
      <c r="AQ1791" s="198" t="s">
        <v>358</v>
      </c>
      <c r="AR1791" s="198" t="s">
        <v>51</v>
      </c>
      <c r="AS1791" s="202">
        <v>9363290.4000000004</v>
      </c>
      <c r="AT1791" s="202">
        <v>9363290.4000000004</v>
      </c>
      <c r="AU1791" s="198" t="s">
        <v>359</v>
      </c>
      <c r="AV1791" s="198" t="s">
        <v>62</v>
      </c>
      <c r="AW1791" s="198" t="s">
        <v>766</v>
      </c>
    </row>
    <row r="1792" spans="3:49" outlineLevel="2" x14ac:dyDescent="0.25">
      <c r="C1792" s="201"/>
      <c r="D1792" s="198" t="s">
        <v>1518</v>
      </c>
      <c r="H1792" s="198" t="s">
        <v>1518</v>
      </c>
      <c r="I1792" s="202">
        <f t="shared" si="27"/>
        <v>743734566.44999993</v>
      </c>
      <c r="J1792" s="202">
        <v>180.1</v>
      </c>
      <c r="L1792" s="204">
        <v>1</v>
      </c>
      <c r="M1792" s="202">
        <v>8346256.3799999999</v>
      </c>
      <c r="N1792" s="204">
        <v>1</v>
      </c>
      <c r="O1792" s="198" t="s">
        <v>51</v>
      </c>
      <c r="P1792" s="202">
        <v>8346256.3799999999</v>
      </c>
      <c r="Q1792" s="198" t="s">
        <v>159</v>
      </c>
      <c r="R1792" s="198" t="s">
        <v>160</v>
      </c>
      <c r="S1792" s="198" t="s">
        <v>54</v>
      </c>
      <c r="T1792" s="198" t="s">
        <v>765</v>
      </c>
      <c r="U1792" s="198" t="s">
        <v>2092</v>
      </c>
      <c r="V1792" s="198" t="s">
        <v>56</v>
      </c>
      <c r="W1792" s="198" t="s">
        <v>356</v>
      </c>
      <c r="X1792" s="198" t="s">
        <v>161</v>
      </c>
      <c r="Y1792" s="198" t="s">
        <v>162</v>
      </c>
      <c r="Z1792" s="201">
        <v>46477</v>
      </c>
      <c r="AA1792" s="198" t="s">
        <v>59</v>
      </c>
      <c r="AB1792" s="198" t="s">
        <v>60</v>
      </c>
      <c r="AC1792" s="198" t="s">
        <v>86</v>
      </c>
      <c r="AD1792" s="198" t="s">
        <v>62</v>
      </c>
      <c r="AE1792" s="198" t="s">
        <v>54</v>
      </c>
      <c r="AF1792" s="198" t="s">
        <v>54</v>
      </c>
      <c r="AG1792" s="198" t="s">
        <v>166</v>
      </c>
      <c r="AH1792" s="198" t="s">
        <v>132</v>
      </c>
      <c r="AI1792" s="198" t="s">
        <v>56</v>
      </c>
      <c r="AJ1792" s="198" t="s">
        <v>163</v>
      </c>
      <c r="AK1792" s="198" t="s">
        <v>51</v>
      </c>
      <c r="AL1792" s="198" t="s">
        <v>67</v>
      </c>
      <c r="AM1792" s="198" t="s">
        <v>68</v>
      </c>
      <c r="AN1792" s="202">
        <v>8346256.3799999999</v>
      </c>
      <c r="AO1792" s="202">
        <v>8346256.3799999999</v>
      </c>
      <c r="AP1792" s="202">
        <v>8346256.3799999999</v>
      </c>
      <c r="AQ1792" s="198" t="s">
        <v>358</v>
      </c>
      <c r="AR1792" s="198" t="s">
        <v>51</v>
      </c>
      <c r="AS1792" s="202">
        <v>8346256.3799999999</v>
      </c>
      <c r="AT1792" s="202">
        <v>8346256.3799999999</v>
      </c>
      <c r="AU1792" s="198" t="s">
        <v>359</v>
      </c>
      <c r="AV1792" s="198" t="s">
        <v>62</v>
      </c>
      <c r="AW1792" s="198" t="s">
        <v>766</v>
      </c>
    </row>
    <row r="1793" spans="1:49" outlineLevel="2" x14ac:dyDescent="0.25">
      <c r="C1793" s="201"/>
      <c r="D1793" s="198" t="s">
        <v>1527</v>
      </c>
      <c r="H1793" s="198" t="s">
        <v>1527</v>
      </c>
      <c r="I1793" s="202">
        <f t="shared" si="27"/>
        <v>744147522.89999998</v>
      </c>
      <c r="J1793" s="202">
        <v>180.2</v>
      </c>
      <c r="L1793" s="204">
        <v>1</v>
      </c>
      <c r="M1793" s="202">
        <v>5225159.58</v>
      </c>
      <c r="N1793" s="204">
        <v>1</v>
      </c>
      <c r="O1793" s="198" t="s">
        <v>51</v>
      </c>
      <c r="P1793" s="202">
        <v>5225159.58</v>
      </c>
      <c r="Q1793" s="198" t="s">
        <v>159</v>
      </c>
      <c r="R1793" s="198" t="s">
        <v>160</v>
      </c>
      <c r="S1793" s="198" t="s">
        <v>54</v>
      </c>
      <c r="T1793" s="198" t="s">
        <v>765</v>
      </c>
      <c r="U1793" s="198" t="s">
        <v>2092</v>
      </c>
      <c r="V1793" s="198" t="s">
        <v>56</v>
      </c>
      <c r="W1793" s="198" t="s">
        <v>356</v>
      </c>
      <c r="X1793" s="198" t="s">
        <v>161</v>
      </c>
      <c r="Y1793" s="198" t="s">
        <v>162</v>
      </c>
      <c r="Z1793" s="201">
        <v>46477</v>
      </c>
      <c r="AA1793" s="198" t="s">
        <v>59</v>
      </c>
      <c r="AB1793" s="198" t="s">
        <v>60</v>
      </c>
      <c r="AC1793" s="198" t="s">
        <v>86</v>
      </c>
      <c r="AD1793" s="198" t="s">
        <v>62</v>
      </c>
      <c r="AE1793" s="198" t="s">
        <v>54</v>
      </c>
      <c r="AF1793" s="198" t="s">
        <v>54</v>
      </c>
      <c r="AG1793" s="198" t="s">
        <v>166</v>
      </c>
      <c r="AH1793" s="198" t="s">
        <v>126</v>
      </c>
      <c r="AI1793" s="198" t="s">
        <v>56</v>
      </c>
      <c r="AJ1793" s="198" t="s">
        <v>163</v>
      </c>
      <c r="AK1793" s="198" t="s">
        <v>51</v>
      </c>
      <c r="AL1793" s="198" t="s">
        <v>67</v>
      </c>
      <c r="AM1793" s="198" t="s">
        <v>68</v>
      </c>
      <c r="AN1793" s="202">
        <v>5225159.58</v>
      </c>
      <c r="AO1793" s="202">
        <v>5225159.58</v>
      </c>
      <c r="AP1793" s="202">
        <v>5225159.58</v>
      </c>
      <c r="AQ1793" s="198" t="s">
        <v>358</v>
      </c>
      <c r="AR1793" s="198" t="s">
        <v>51</v>
      </c>
      <c r="AS1793" s="202">
        <v>5225159.58</v>
      </c>
      <c r="AT1793" s="202">
        <v>5225159.58</v>
      </c>
      <c r="AU1793" s="198" t="s">
        <v>359</v>
      </c>
      <c r="AV1793" s="198" t="s">
        <v>62</v>
      </c>
      <c r="AW1793" s="198" t="s">
        <v>766</v>
      </c>
    </row>
    <row r="1794" spans="1:49" outlineLevel="2" x14ac:dyDescent="0.25">
      <c r="C1794" s="201"/>
      <c r="D1794" s="198" t="s">
        <v>1531</v>
      </c>
      <c r="H1794" s="198" t="s">
        <v>1531</v>
      </c>
      <c r="I1794" s="202">
        <f t="shared" si="27"/>
        <v>744560479.35000002</v>
      </c>
      <c r="J1794" s="202">
        <v>180.3</v>
      </c>
      <c r="L1794" s="204">
        <v>1</v>
      </c>
      <c r="M1794" s="202">
        <v>9363290.4000000004</v>
      </c>
      <c r="N1794" s="204">
        <v>1</v>
      </c>
      <c r="O1794" s="198" t="s">
        <v>51</v>
      </c>
      <c r="P1794" s="202">
        <v>9363290.4000000004</v>
      </c>
      <c r="Q1794" s="198" t="s">
        <v>159</v>
      </c>
      <c r="R1794" s="198" t="s">
        <v>160</v>
      </c>
      <c r="S1794" s="198" t="s">
        <v>54</v>
      </c>
      <c r="T1794" s="198" t="s">
        <v>765</v>
      </c>
      <c r="U1794" s="198" t="s">
        <v>2092</v>
      </c>
      <c r="V1794" s="198" t="s">
        <v>56</v>
      </c>
      <c r="W1794" s="198" t="s">
        <v>356</v>
      </c>
      <c r="X1794" s="198" t="s">
        <v>161</v>
      </c>
      <c r="Y1794" s="198" t="s">
        <v>162</v>
      </c>
      <c r="Z1794" s="201">
        <v>46477</v>
      </c>
      <c r="AA1794" s="198" t="s">
        <v>59</v>
      </c>
      <c r="AB1794" s="198" t="s">
        <v>60</v>
      </c>
      <c r="AC1794" s="198" t="s">
        <v>86</v>
      </c>
      <c r="AD1794" s="198" t="s">
        <v>62</v>
      </c>
      <c r="AE1794" s="198" t="s">
        <v>54</v>
      </c>
      <c r="AF1794" s="198" t="s">
        <v>54</v>
      </c>
      <c r="AG1794" s="198" t="s">
        <v>166</v>
      </c>
      <c r="AH1794" s="198" t="s">
        <v>137</v>
      </c>
      <c r="AI1794" s="198" t="s">
        <v>56</v>
      </c>
      <c r="AJ1794" s="198" t="s">
        <v>163</v>
      </c>
      <c r="AK1794" s="198" t="s">
        <v>51</v>
      </c>
      <c r="AL1794" s="198" t="s">
        <v>67</v>
      </c>
      <c r="AM1794" s="198" t="s">
        <v>68</v>
      </c>
      <c r="AN1794" s="202">
        <v>9363290.4000000004</v>
      </c>
      <c r="AO1794" s="202">
        <v>9363290.4000000004</v>
      </c>
      <c r="AP1794" s="202">
        <v>9363290.4000000004</v>
      </c>
      <c r="AQ1794" s="198" t="s">
        <v>358</v>
      </c>
      <c r="AR1794" s="198" t="s">
        <v>51</v>
      </c>
      <c r="AS1794" s="202">
        <v>9363290.4000000004</v>
      </c>
      <c r="AT1794" s="202">
        <v>9363290.4000000004</v>
      </c>
      <c r="AU1794" s="198" t="s">
        <v>359</v>
      </c>
      <c r="AV1794" s="198" t="s">
        <v>62</v>
      </c>
      <c r="AW1794" s="198" t="s">
        <v>766</v>
      </c>
    </row>
    <row r="1795" spans="1:49" outlineLevel="2" x14ac:dyDescent="0.25">
      <c r="C1795" s="201"/>
      <c r="D1795" s="198" t="s">
        <v>1538</v>
      </c>
      <c r="H1795" s="198" t="s">
        <v>1538</v>
      </c>
      <c r="I1795" s="202">
        <f t="shared" ref="I1795:I1799" si="28">J1795*4129564.5</f>
        <v>744973435.80000007</v>
      </c>
      <c r="J1795" s="202">
        <v>180.4</v>
      </c>
      <c r="L1795" s="204">
        <v>1</v>
      </c>
      <c r="M1795" s="202">
        <v>9702301.7400000002</v>
      </c>
      <c r="N1795" s="204">
        <v>1</v>
      </c>
      <c r="O1795" s="198" t="s">
        <v>51</v>
      </c>
      <c r="P1795" s="202">
        <v>9702301.7400000002</v>
      </c>
      <c r="Q1795" s="198" t="s">
        <v>159</v>
      </c>
      <c r="R1795" s="198" t="s">
        <v>160</v>
      </c>
      <c r="S1795" s="198" t="s">
        <v>54</v>
      </c>
      <c r="T1795" s="198" t="s">
        <v>765</v>
      </c>
      <c r="U1795" s="198" t="s">
        <v>2092</v>
      </c>
      <c r="V1795" s="198" t="s">
        <v>56</v>
      </c>
      <c r="W1795" s="198" t="s">
        <v>356</v>
      </c>
      <c r="X1795" s="198" t="s">
        <v>161</v>
      </c>
      <c r="Y1795" s="198" t="s">
        <v>162</v>
      </c>
      <c r="Z1795" s="201">
        <v>46477</v>
      </c>
      <c r="AA1795" s="198" t="s">
        <v>59</v>
      </c>
      <c r="AB1795" s="198" t="s">
        <v>60</v>
      </c>
      <c r="AC1795" s="198" t="s">
        <v>86</v>
      </c>
      <c r="AD1795" s="198" t="s">
        <v>62</v>
      </c>
      <c r="AE1795" s="198" t="s">
        <v>54</v>
      </c>
      <c r="AF1795" s="198" t="s">
        <v>54</v>
      </c>
      <c r="AG1795" s="198" t="s">
        <v>166</v>
      </c>
      <c r="AH1795" s="198" t="s">
        <v>134</v>
      </c>
      <c r="AI1795" s="198" t="s">
        <v>56</v>
      </c>
      <c r="AJ1795" s="198" t="s">
        <v>163</v>
      </c>
      <c r="AK1795" s="198" t="s">
        <v>51</v>
      </c>
      <c r="AL1795" s="198" t="s">
        <v>67</v>
      </c>
      <c r="AM1795" s="198" t="s">
        <v>68</v>
      </c>
      <c r="AN1795" s="202">
        <v>9702301.7400000002</v>
      </c>
      <c r="AO1795" s="202">
        <v>9702301.7400000002</v>
      </c>
      <c r="AP1795" s="202">
        <v>9702301.7400000002</v>
      </c>
      <c r="AQ1795" s="198" t="s">
        <v>358</v>
      </c>
      <c r="AR1795" s="198" t="s">
        <v>51</v>
      </c>
      <c r="AS1795" s="202">
        <v>9702301.7400000002</v>
      </c>
      <c r="AT1795" s="202">
        <v>9702301.7400000002</v>
      </c>
      <c r="AU1795" s="198" t="s">
        <v>359</v>
      </c>
      <c r="AV1795" s="198" t="s">
        <v>62</v>
      </c>
      <c r="AW1795" s="198" t="s">
        <v>766</v>
      </c>
    </row>
    <row r="1796" spans="1:49" outlineLevel="2" x14ac:dyDescent="0.25">
      <c r="C1796" s="201"/>
      <c r="D1796" s="198" t="s">
        <v>1541</v>
      </c>
      <c r="H1796" s="198" t="s">
        <v>1541</v>
      </c>
      <c r="I1796" s="202">
        <f t="shared" si="28"/>
        <v>745386392.25</v>
      </c>
      <c r="J1796" s="202">
        <v>180.5</v>
      </c>
      <c r="L1796" s="204">
        <v>1</v>
      </c>
      <c r="M1796" s="202">
        <v>3699608.55</v>
      </c>
      <c r="N1796" s="204">
        <v>1</v>
      </c>
      <c r="O1796" s="198" t="s">
        <v>51</v>
      </c>
      <c r="P1796" s="202">
        <v>3699608.55</v>
      </c>
      <c r="Q1796" s="198" t="s">
        <v>159</v>
      </c>
      <c r="R1796" s="198" t="s">
        <v>160</v>
      </c>
      <c r="S1796" s="198" t="s">
        <v>54</v>
      </c>
      <c r="T1796" s="198" t="s">
        <v>765</v>
      </c>
      <c r="U1796" s="198" t="s">
        <v>2092</v>
      </c>
      <c r="V1796" s="198" t="s">
        <v>56</v>
      </c>
      <c r="W1796" s="198" t="s">
        <v>356</v>
      </c>
      <c r="X1796" s="198" t="s">
        <v>161</v>
      </c>
      <c r="Y1796" s="198" t="s">
        <v>162</v>
      </c>
      <c r="Z1796" s="201">
        <v>46477</v>
      </c>
      <c r="AA1796" s="198" t="s">
        <v>59</v>
      </c>
      <c r="AB1796" s="198" t="s">
        <v>60</v>
      </c>
      <c r="AC1796" s="198" t="s">
        <v>86</v>
      </c>
      <c r="AD1796" s="198" t="s">
        <v>62</v>
      </c>
      <c r="AE1796" s="198" t="s">
        <v>54</v>
      </c>
      <c r="AF1796" s="198" t="s">
        <v>54</v>
      </c>
      <c r="AG1796" s="198" t="s">
        <v>166</v>
      </c>
      <c r="AH1796" s="198" t="s">
        <v>117</v>
      </c>
      <c r="AI1796" s="198" t="s">
        <v>56</v>
      </c>
      <c r="AJ1796" s="198" t="s">
        <v>163</v>
      </c>
      <c r="AK1796" s="198" t="s">
        <v>51</v>
      </c>
      <c r="AL1796" s="198" t="s">
        <v>67</v>
      </c>
      <c r="AM1796" s="198" t="s">
        <v>68</v>
      </c>
      <c r="AN1796" s="202">
        <v>3699608.55</v>
      </c>
      <c r="AO1796" s="202">
        <v>3699608.55</v>
      </c>
      <c r="AP1796" s="202">
        <v>3699608.55</v>
      </c>
      <c r="AQ1796" s="198" t="s">
        <v>358</v>
      </c>
      <c r="AR1796" s="198" t="s">
        <v>51</v>
      </c>
      <c r="AS1796" s="202">
        <v>3699608.55</v>
      </c>
      <c r="AT1796" s="202">
        <v>3699608.55</v>
      </c>
      <c r="AU1796" s="198" t="s">
        <v>359</v>
      </c>
      <c r="AV1796" s="198" t="s">
        <v>62</v>
      </c>
      <c r="AW1796" s="198" t="s">
        <v>766</v>
      </c>
    </row>
    <row r="1797" spans="1:49" outlineLevel="2" x14ac:dyDescent="0.25">
      <c r="C1797" s="201"/>
      <c r="D1797" s="198" t="s">
        <v>748</v>
      </c>
      <c r="H1797" s="198" t="s">
        <v>748</v>
      </c>
      <c r="I1797" s="202">
        <f t="shared" si="28"/>
        <v>745799348.69999993</v>
      </c>
      <c r="J1797" s="202">
        <v>180.6</v>
      </c>
      <c r="L1797" s="204">
        <v>1</v>
      </c>
      <c r="M1797" s="202">
        <v>10520636</v>
      </c>
      <c r="N1797" s="204">
        <v>1</v>
      </c>
      <c r="O1797" s="198" t="s">
        <v>51</v>
      </c>
      <c r="P1797" s="202">
        <v>10520636</v>
      </c>
      <c r="Q1797" s="198" t="s">
        <v>159</v>
      </c>
      <c r="R1797" s="198" t="s">
        <v>160</v>
      </c>
      <c r="S1797" s="198" t="s">
        <v>54</v>
      </c>
      <c r="T1797" s="198" t="s">
        <v>2093</v>
      </c>
      <c r="U1797" s="198" t="s">
        <v>367</v>
      </c>
      <c r="V1797" s="198" t="s">
        <v>56</v>
      </c>
      <c r="W1797" s="198" t="s">
        <v>356</v>
      </c>
      <c r="X1797" s="198" t="s">
        <v>161</v>
      </c>
      <c r="Y1797" s="198" t="s">
        <v>162</v>
      </c>
      <c r="Z1797" s="201">
        <v>46218</v>
      </c>
      <c r="AA1797" s="198" t="s">
        <v>59</v>
      </c>
      <c r="AB1797" s="198" t="s">
        <v>60</v>
      </c>
      <c r="AC1797" s="198" t="s">
        <v>86</v>
      </c>
      <c r="AD1797" s="198" t="s">
        <v>62</v>
      </c>
      <c r="AE1797" s="198" t="s">
        <v>54</v>
      </c>
      <c r="AF1797" s="198" t="s">
        <v>54</v>
      </c>
      <c r="AG1797" s="198" t="s">
        <v>248</v>
      </c>
      <c r="AH1797" s="198" t="s">
        <v>112</v>
      </c>
      <c r="AI1797" s="198" t="s">
        <v>56</v>
      </c>
      <c r="AJ1797" s="198" t="s">
        <v>163</v>
      </c>
      <c r="AK1797" s="198" t="s">
        <v>51</v>
      </c>
      <c r="AL1797" s="198" t="s">
        <v>67</v>
      </c>
      <c r="AM1797" s="198" t="s">
        <v>68</v>
      </c>
      <c r="AN1797" s="202">
        <v>10520636</v>
      </c>
      <c r="AO1797" s="202">
        <v>10520636</v>
      </c>
      <c r="AP1797" s="202">
        <v>10520636</v>
      </c>
      <c r="AQ1797" s="198" t="s">
        <v>358</v>
      </c>
      <c r="AR1797" s="198" t="s">
        <v>51</v>
      </c>
      <c r="AS1797" s="202">
        <v>10520636</v>
      </c>
      <c r="AT1797" s="202">
        <v>10520636</v>
      </c>
      <c r="AU1797" s="198" t="s">
        <v>359</v>
      </c>
      <c r="AV1797" s="198" t="s">
        <v>62</v>
      </c>
      <c r="AW1797" s="198" t="s">
        <v>54</v>
      </c>
    </row>
    <row r="1798" spans="1:49" outlineLevel="2" x14ac:dyDescent="0.25">
      <c r="C1798" s="201"/>
      <c r="D1798" s="198" t="s">
        <v>221</v>
      </c>
      <c r="H1798" s="198" t="s">
        <v>221</v>
      </c>
      <c r="I1798" s="202">
        <f t="shared" si="28"/>
        <v>746212305.14999998</v>
      </c>
      <c r="J1798" s="202">
        <v>180.7</v>
      </c>
      <c r="L1798" s="204">
        <v>1</v>
      </c>
      <c r="M1798" s="202">
        <v>8288000</v>
      </c>
      <c r="N1798" s="204">
        <v>1</v>
      </c>
      <c r="O1798" s="198" t="s">
        <v>51</v>
      </c>
      <c r="P1798" s="202">
        <v>8288000</v>
      </c>
      <c r="Q1798" s="198" t="s">
        <v>159</v>
      </c>
      <c r="R1798" s="198" t="s">
        <v>160</v>
      </c>
      <c r="S1798" s="198" t="s">
        <v>54</v>
      </c>
      <c r="T1798" s="198" t="s">
        <v>2094</v>
      </c>
      <c r="U1798" s="198" t="s">
        <v>2076</v>
      </c>
      <c r="V1798" s="198" t="s">
        <v>56</v>
      </c>
      <c r="W1798" s="198" t="s">
        <v>356</v>
      </c>
      <c r="X1798" s="198" t="s">
        <v>161</v>
      </c>
      <c r="Y1798" s="198" t="s">
        <v>162</v>
      </c>
      <c r="Z1798" s="201">
        <v>46248</v>
      </c>
      <c r="AA1798" s="198" t="s">
        <v>59</v>
      </c>
      <c r="AB1798" s="198" t="s">
        <v>60</v>
      </c>
      <c r="AC1798" s="198" t="s">
        <v>86</v>
      </c>
      <c r="AD1798" s="198" t="s">
        <v>62</v>
      </c>
      <c r="AE1798" s="198" t="s">
        <v>54</v>
      </c>
      <c r="AF1798" s="198" t="s">
        <v>54</v>
      </c>
      <c r="AG1798" s="198" t="s">
        <v>564</v>
      </c>
      <c r="AH1798" s="198" t="s">
        <v>112</v>
      </c>
      <c r="AI1798" s="198" t="s">
        <v>56</v>
      </c>
      <c r="AJ1798" s="198" t="s">
        <v>163</v>
      </c>
      <c r="AK1798" s="198" t="s">
        <v>51</v>
      </c>
      <c r="AL1798" s="198" t="s">
        <v>67</v>
      </c>
      <c r="AM1798" s="198" t="s">
        <v>68</v>
      </c>
      <c r="AN1798" s="202">
        <v>8288000</v>
      </c>
      <c r="AO1798" s="202">
        <v>8288000</v>
      </c>
      <c r="AP1798" s="202">
        <v>8288000</v>
      </c>
      <c r="AQ1798" s="198" t="s">
        <v>358</v>
      </c>
      <c r="AR1798" s="198" t="s">
        <v>51</v>
      </c>
      <c r="AS1798" s="202">
        <v>8288000</v>
      </c>
      <c r="AT1798" s="202">
        <v>8288000</v>
      </c>
      <c r="AU1798" s="198" t="s">
        <v>359</v>
      </c>
      <c r="AV1798" s="198" t="s">
        <v>62</v>
      </c>
      <c r="AW1798" s="198" t="s">
        <v>54</v>
      </c>
    </row>
    <row r="1799" spans="1:49" outlineLevel="1" x14ac:dyDescent="0.25">
      <c r="A1799" s="209"/>
      <c r="B1799" s="209"/>
      <c r="C1799" s="210"/>
      <c r="D1799" s="209" t="s">
        <v>54</v>
      </c>
      <c r="E1799" s="209"/>
      <c r="F1799" s="209"/>
      <c r="G1799" s="209"/>
      <c r="H1799" s="209" t="s">
        <v>54</v>
      </c>
      <c r="I1799" s="202">
        <f t="shared" si="28"/>
        <v>746625261.60000002</v>
      </c>
      <c r="J1799" s="202">
        <v>180.8</v>
      </c>
      <c r="K1799" s="209"/>
      <c r="L1799" s="212"/>
      <c r="M1799" s="211">
        <v>152178597962.66</v>
      </c>
      <c r="N1799" s="212"/>
      <c r="O1799" s="209" t="s">
        <v>51</v>
      </c>
      <c r="P1799" s="211">
        <v>67719742910.349998</v>
      </c>
      <c r="Q1799" s="209" t="s">
        <v>54</v>
      </c>
      <c r="R1799" s="209" t="s">
        <v>54</v>
      </c>
      <c r="S1799" s="209" t="s">
        <v>54</v>
      </c>
      <c r="T1799" s="209" t="s">
        <v>54</v>
      </c>
      <c r="U1799" s="209" t="s">
        <v>54</v>
      </c>
      <c r="V1799" s="209" t="s">
        <v>54</v>
      </c>
      <c r="W1799" s="209" t="s">
        <v>54</v>
      </c>
      <c r="X1799" s="209" t="s">
        <v>54</v>
      </c>
      <c r="Y1799" s="209" t="s">
        <v>54</v>
      </c>
      <c r="Z1799" s="210"/>
      <c r="AA1799" s="209" t="s">
        <v>54</v>
      </c>
      <c r="AB1799" s="209" t="s">
        <v>54</v>
      </c>
      <c r="AC1799" s="209" t="s">
        <v>54</v>
      </c>
      <c r="AD1799" s="209" t="s">
        <v>54</v>
      </c>
      <c r="AE1799" s="209" t="s">
        <v>54</v>
      </c>
      <c r="AF1799" s="209" t="s">
        <v>54</v>
      </c>
      <c r="AG1799" s="209" t="s">
        <v>54</v>
      </c>
      <c r="AH1799" s="209" t="s">
        <v>54</v>
      </c>
      <c r="AI1799" s="209" t="s">
        <v>54</v>
      </c>
      <c r="AJ1799" s="209" t="s">
        <v>54</v>
      </c>
      <c r="AK1799" s="209" t="s">
        <v>54</v>
      </c>
      <c r="AL1799" s="209" t="s">
        <v>54</v>
      </c>
      <c r="AM1799" s="209" t="s">
        <v>54</v>
      </c>
      <c r="AN1799" s="211">
        <v>152178597962.66</v>
      </c>
      <c r="AO1799" s="212"/>
      <c r="AP1799" s="212"/>
      <c r="AQ1799" s="209" t="s">
        <v>54</v>
      </c>
      <c r="AR1799" s="209" t="s">
        <v>51</v>
      </c>
      <c r="AS1799" s="212"/>
      <c r="AT1799" s="212"/>
      <c r="AU1799" s="209" t="s">
        <v>54</v>
      </c>
      <c r="AV1799" s="209" t="s">
        <v>54</v>
      </c>
      <c r="AW1799" s="209" t="s">
        <v>54</v>
      </c>
    </row>
    <row r="1800" spans="1:49" outlineLevel="1" x14ac:dyDescent="0.25">
      <c r="A1800" s="209"/>
      <c r="B1800" s="209"/>
      <c r="C1800" s="210"/>
      <c r="D1800" s="209" t="s">
        <v>54</v>
      </c>
      <c r="E1800" s="209"/>
      <c r="F1800" s="209"/>
      <c r="G1800" s="209"/>
      <c r="H1800" s="209" t="s">
        <v>54</v>
      </c>
      <c r="I1800" s="212"/>
      <c r="J1800" s="202">
        <v>180.9</v>
      </c>
      <c r="K1800" s="209"/>
      <c r="L1800" s="212"/>
      <c r="M1800" s="212"/>
      <c r="N1800" s="212"/>
      <c r="O1800" s="209" t="s">
        <v>286</v>
      </c>
      <c r="P1800" s="211">
        <v>719187836.22000003</v>
      </c>
      <c r="Q1800" s="209" t="s">
        <v>54</v>
      </c>
      <c r="R1800" s="209" t="s">
        <v>54</v>
      </c>
      <c r="S1800" s="209" t="s">
        <v>54</v>
      </c>
      <c r="T1800" s="209" t="s">
        <v>54</v>
      </c>
      <c r="U1800" s="209" t="s">
        <v>54</v>
      </c>
      <c r="V1800" s="209" t="s">
        <v>54</v>
      </c>
      <c r="W1800" s="209" t="s">
        <v>54</v>
      </c>
      <c r="X1800" s="209" t="s">
        <v>54</v>
      </c>
      <c r="Y1800" s="209" t="s">
        <v>54</v>
      </c>
      <c r="Z1800" s="210"/>
      <c r="AA1800" s="209" t="s">
        <v>54</v>
      </c>
      <c r="AB1800" s="209" t="s">
        <v>54</v>
      </c>
      <c r="AC1800" s="209" t="s">
        <v>54</v>
      </c>
      <c r="AD1800" s="209" t="s">
        <v>54</v>
      </c>
      <c r="AE1800" s="209" t="s">
        <v>54</v>
      </c>
      <c r="AF1800" s="209" t="s">
        <v>54</v>
      </c>
      <c r="AG1800" s="209" t="s">
        <v>54</v>
      </c>
      <c r="AH1800" s="209" t="s">
        <v>54</v>
      </c>
      <c r="AI1800" s="209" t="s">
        <v>54</v>
      </c>
      <c r="AJ1800" s="209" t="s">
        <v>54</v>
      </c>
      <c r="AK1800" s="209" t="s">
        <v>54</v>
      </c>
      <c r="AL1800" s="209" t="s">
        <v>54</v>
      </c>
      <c r="AM1800" s="209" t="s">
        <v>54</v>
      </c>
      <c r="AN1800" s="212"/>
      <c r="AO1800" s="212"/>
      <c r="AP1800" s="212"/>
      <c r="AQ1800" s="209" t="s">
        <v>54</v>
      </c>
      <c r="AR1800" s="209" t="s">
        <v>54</v>
      </c>
      <c r="AS1800" s="212"/>
      <c r="AT1800" s="212"/>
      <c r="AU1800" s="209" t="s">
        <v>54</v>
      </c>
      <c r="AV1800" s="209" t="s">
        <v>54</v>
      </c>
      <c r="AW1800" s="209" t="s">
        <v>54</v>
      </c>
    </row>
    <row r="1801" spans="1:49" x14ac:dyDescent="0.25">
      <c r="A1801" s="205"/>
      <c r="B1801" s="205"/>
      <c r="C1801" s="206"/>
      <c r="D1801" s="205" t="s">
        <v>54</v>
      </c>
      <c r="E1801" s="205"/>
      <c r="F1801" s="205"/>
      <c r="G1801" s="205"/>
      <c r="H1801" s="205" t="s">
        <v>54</v>
      </c>
      <c r="I1801" s="207">
        <v>143372532999.28</v>
      </c>
      <c r="J1801" s="202">
        <v>181</v>
      </c>
      <c r="K1801" s="205"/>
      <c r="L1801" s="208"/>
      <c r="M1801" s="207">
        <v>162895303221.19</v>
      </c>
      <c r="N1801" s="208"/>
      <c r="O1801" s="205" t="s">
        <v>51</v>
      </c>
      <c r="P1801" s="207">
        <v>75627250478.660004</v>
      </c>
      <c r="Q1801" s="205" t="s">
        <v>54</v>
      </c>
      <c r="R1801" s="205" t="s">
        <v>54</v>
      </c>
      <c r="S1801" s="205" t="s">
        <v>54</v>
      </c>
      <c r="T1801" s="205" t="s">
        <v>54</v>
      </c>
      <c r="U1801" s="205" t="s">
        <v>54</v>
      </c>
      <c r="V1801" s="205" t="s">
        <v>54</v>
      </c>
      <c r="W1801" s="205" t="s">
        <v>54</v>
      </c>
      <c r="X1801" s="205" t="s">
        <v>54</v>
      </c>
      <c r="Y1801" s="205" t="s">
        <v>54</v>
      </c>
      <c r="Z1801" s="206"/>
      <c r="AA1801" s="205" t="s">
        <v>54</v>
      </c>
      <c r="AB1801" s="205" t="s">
        <v>54</v>
      </c>
      <c r="AC1801" s="205" t="s">
        <v>54</v>
      </c>
      <c r="AD1801" s="205" t="s">
        <v>54</v>
      </c>
      <c r="AE1801" s="205" t="s">
        <v>54</v>
      </c>
      <c r="AF1801" s="205" t="s">
        <v>54</v>
      </c>
      <c r="AG1801" s="205" t="s">
        <v>54</v>
      </c>
      <c r="AH1801" s="205" t="s">
        <v>54</v>
      </c>
      <c r="AI1801" s="205" t="s">
        <v>54</v>
      </c>
      <c r="AJ1801" s="205" t="s">
        <v>54</v>
      </c>
      <c r="AK1801" s="205" t="s">
        <v>54</v>
      </c>
      <c r="AL1801" s="205" t="s">
        <v>54</v>
      </c>
      <c r="AM1801" s="205" t="s">
        <v>54</v>
      </c>
      <c r="AN1801" s="207">
        <v>162895303221.19</v>
      </c>
      <c r="AO1801" s="208"/>
      <c r="AP1801" s="208"/>
      <c r="AQ1801" s="205" t="s">
        <v>54</v>
      </c>
      <c r="AR1801" s="205" t="s">
        <v>51</v>
      </c>
      <c r="AS1801" s="208"/>
      <c r="AT1801" s="208"/>
      <c r="AU1801" s="205" t="s">
        <v>54</v>
      </c>
      <c r="AV1801" s="205" t="s">
        <v>54</v>
      </c>
      <c r="AW1801" s="205" t="s">
        <v>54</v>
      </c>
    </row>
    <row r="1802" spans="1:49" x14ac:dyDescent="0.25">
      <c r="A1802" s="205"/>
      <c r="B1802" s="205"/>
      <c r="C1802" s="206"/>
      <c r="D1802" s="205" t="s">
        <v>54</v>
      </c>
      <c r="E1802" s="205"/>
      <c r="F1802" s="205"/>
      <c r="G1802" s="205"/>
      <c r="H1802" s="205" t="s">
        <v>54</v>
      </c>
      <c r="I1802" s="208"/>
      <c r="J1802" s="202">
        <v>181.1</v>
      </c>
      <c r="K1802" s="205"/>
      <c r="L1802" s="208"/>
      <c r="M1802" s="208"/>
      <c r="N1802" s="208"/>
      <c r="O1802" s="205" t="s">
        <v>286</v>
      </c>
      <c r="P1802" s="207">
        <v>734582504.22000003</v>
      </c>
      <c r="Q1802" s="205" t="s">
        <v>54</v>
      </c>
      <c r="R1802" s="205" t="s">
        <v>54</v>
      </c>
      <c r="S1802" s="205" t="s">
        <v>54</v>
      </c>
      <c r="T1802" s="205" t="s">
        <v>54</v>
      </c>
      <c r="U1802" s="205" t="s">
        <v>54</v>
      </c>
      <c r="V1802" s="205" t="s">
        <v>54</v>
      </c>
      <c r="W1802" s="205" t="s">
        <v>54</v>
      </c>
      <c r="X1802" s="205" t="s">
        <v>54</v>
      </c>
      <c r="Y1802" s="205" t="s">
        <v>54</v>
      </c>
      <c r="Z1802" s="206"/>
      <c r="AA1802" s="205" t="s">
        <v>54</v>
      </c>
      <c r="AB1802" s="205" t="s">
        <v>54</v>
      </c>
      <c r="AC1802" s="205" t="s">
        <v>54</v>
      </c>
      <c r="AD1802" s="205" t="s">
        <v>54</v>
      </c>
      <c r="AE1802" s="205" t="s">
        <v>54</v>
      </c>
      <c r="AF1802" s="205" t="s">
        <v>54</v>
      </c>
      <c r="AG1802" s="205" t="s">
        <v>54</v>
      </c>
      <c r="AH1802" s="205" t="s">
        <v>54</v>
      </c>
      <c r="AI1802" s="205" t="s">
        <v>54</v>
      </c>
      <c r="AJ1802" s="205" t="s">
        <v>54</v>
      </c>
      <c r="AK1802" s="205" t="s">
        <v>54</v>
      </c>
      <c r="AL1802" s="205" t="s">
        <v>54</v>
      </c>
      <c r="AM1802" s="205" t="s">
        <v>54</v>
      </c>
      <c r="AN1802" s="208"/>
      <c r="AO1802" s="208"/>
      <c r="AP1802" s="208"/>
      <c r="AQ1802" s="205" t="s">
        <v>54</v>
      </c>
      <c r="AR1802" s="205" t="s">
        <v>54</v>
      </c>
      <c r="AS1802" s="208"/>
      <c r="AT1802" s="208"/>
      <c r="AU1802" s="205" t="s">
        <v>54</v>
      </c>
      <c r="AV1802" s="205" t="s">
        <v>54</v>
      </c>
      <c r="AW1802" s="205" t="s">
        <v>54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2232-B138-4A57-B2E8-03ED6B1CA61D}">
  <dimension ref="A1:T61"/>
  <sheetViews>
    <sheetView workbookViewId="0">
      <selection sqref="A1:H1"/>
    </sheetView>
    <sheetView workbookViewId="1">
      <selection sqref="A1:H1"/>
    </sheetView>
  </sheetViews>
  <sheetFormatPr defaultColWidth="20.5546875" defaultRowHeight="24" outlineLevelRow="1" x14ac:dyDescent="0.4"/>
  <cols>
    <col min="1" max="1" width="11.5546875" style="98" bestFit="1" customWidth="1"/>
    <col min="2" max="2" width="54.44140625" style="98" bestFit="1" customWidth="1"/>
    <col min="3" max="3" width="34.5546875" style="99" customWidth="1"/>
    <col min="4" max="4" width="29.88671875" style="100" customWidth="1"/>
    <col min="5" max="5" width="23.109375" style="98" customWidth="1"/>
    <col min="6" max="6" width="25.109375" style="98" bestFit="1" customWidth="1"/>
    <col min="7" max="7" width="32.109375" style="98" bestFit="1" customWidth="1"/>
    <col min="8" max="8" width="121.6640625" style="98" customWidth="1"/>
    <col min="9" max="10" width="14.6640625" style="98" bestFit="1" customWidth="1"/>
    <col min="11" max="11" width="9.109375" style="98" bestFit="1" customWidth="1"/>
    <col min="12" max="16384" width="20.5546875" style="98"/>
  </cols>
  <sheetData>
    <row r="1" spans="1:20" ht="33.75" x14ac:dyDescent="0.5">
      <c r="A1" s="337" t="s">
        <v>1602</v>
      </c>
      <c r="B1" s="337"/>
      <c r="C1" s="337"/>
      <c r="D1" s="337"/>
      <c r="E1" s="337"/>
      <c r="F1" s="337"/>
      <c r="G1" s="337"/>
      <c r="H1" s="337"/>
    </row>
    <row r="2" spans="1:20" x14ac:dyDescent="0.4">
      <c r="A2" s="338" t="s">
        <v>1605</v>
      </c>
      <c r="B2" s="338"/>
    </row>
    <row r="3" spans="1:20" s="101" customFormat="1" ht="55.5" customHeight="1" x14ac:dyDescent="0.25">
      <c r="A3" s="339" t="s">
        <v>1546</v>
      </c>
      <c r="B3" s="339" t="s">
        <v>1606</v>
      </c>
      <c r="C3" s="340" t="s">
        <v>1607</v>
      </c>
      <c r="D3" s="341"/>
      <c r="E3" s="341"/>
      <c r="F3" s="341"/>
      <c r="G3" s="342"/>
      <c r="H3" s="343" t="s">
        <v>1608</v>
      </c>
    </row>
    <row r="4" spans="1:20" s="101" customFormat="1" ht="48" x14ac:dyDescent="0.25">
      <c r="A4" s="339"/>
      <c r="B4" s="339"/>
      <c r="C4" s="102" t="s">
        <v>1609</v>
      </c>
      <c r="D4" s="103" t="s">
        <v>1610</v>
      </c>
      <c r="E4" s="104" t="s">
        <v>1611</v>
      </c>
      <c r="F4" s="104" t="s">
        <v>1612</v>
      </c>
      <c r="G4" s="104" t="s">
        <v>1611</v>
      </c>
      <c r="H4" s="344"/>
      <c r="L4" s="116"/>
      <c r="M4" s="116"/>
      <c r="N4" s="116"/>
      <c r="O4" s="116"/>
      <c r="P4" s="116"/>
      <c r="Q4" s="116"/>
      <c r="R4" s="116"/>
      <c r="S4" s="116"/>
      <c r="T4" s="116"/>
    </row>
    <row r="5" spans="1:20" s="101" customFormat="1" ht="31.5" x14ac:dyDescent="0.25">
      <c r="A5" s="339"/>
      <c r="B5" s="339"/>
      <c r="C5" s="102">
        <v>960</v>
      </c>
      <c r="D5" s="105">
        <v>982.40189744149666</v>
      </c>
      <c r="E5" s="106">
        <v>1964.8037948829933</v>
      </c>
      <c r="F5" s="102">
        <v>2167.4035199999998</v>
      </c>
      <c r="G5" s="106">
        <v>1964.8037948829933</v>
      </c>
      <c r="H5" s="344"/>
      <c r="L5" s="116"/>
      <c r="M5" s="116"/>
      <c r="N5" s="116"/>
      <c r="O5" s="116"/>
      <c r="P5" s="116"/>
      <c r="Q5" s="116"/>
      <c r="R5" s="116"/>
      <c r="S5" s="116"/>
      <c r="T5" s="116"/>
    </row>
    <row r="6" spans="1:20" ht="48" x14ac:dyDescent="0.4">
      <c r="A6" s="339"/>
      <c r="B6" s="339"/>
      <c r="C6" s="104" t="s">
        <v>1613</v>
      </c>
      <c r="D6" s="107" t="s">
        <v>1613</v>
      </c>
      <c r="E6" s="104" t="s">
        <v>1614</v>
      </c>
      <c r="F6" s="104" t="s">
        <v>1614</v>
      </c>
      <c r="G6" s="104" t="s">
        <v>1615</v>
      </c>
      <c r="H6" s="344"/>
      <c r="L6" s="116"/>
      <c r="M6" s="116"/>
      <c r="N6" s="116"/>
      <c r="O6" s="116"/>
      <c r="P6" s="116"/>
      <c r="Q6" s="116"/>
      <c r="R6" s="116"/>
      <c r="S6" s="116"/>
      <c r="T6" s="116"/>
    </row>
    <row r="7" spans="1:20" s="101" customFormat="1" ht="240" x14ac:dyDescent="0.25">
      <c r="A7" s="109">
        <v>1</v>
      </c>
      <c r="B7" s="110" t="s">
        <v>1549</v>
      </c>
      <c r="C7" s="111">
        <v>1538.6690948537926</v>
      </c>
      <c r="D7" s="112">
        <v>1.5662318027489583</v>
      </c>
      <c r="E7" s="113">
        <v>78.311590137447922</v>
      </c>
      <c r="F7" s="113">
        <v>70.991353509188386</v>
      </c>
      <c r="G7" s="113">
        <v>84.20366134670536</v>
      </c>
      <c r="H7" s="110" t="s">
        <v>1616</v>
      </c>
      <c r="J7" s="114"/>
      <c r="L7" s="116"/>
      <c r="M7" s="116"/>
      <c r="N7" s="116"/>
      <c r="O7" s="116"/>
      <c r="P7" s="116"/>
      <c r="Q7" s="116"/>
      <c r="R7" s="116"/>
      <c r="S7" s="116"/>
      <c r="T7" s="116"/>
    </row>
    <row r="8" spans="1:20" s="101" customFormat="1" ht="168" x14ac:dyDescent="0.25">
      <c r="A8" s="109">
        <v>2</v>
      </c>
      <c r="B8" s="110" t="s">
        <v>1550</v>
      </c>
      <c r="C8" s="117">
        <v>110.98970151107378</v>
      </c>
      <c r="D8" s="112">
        <v>0.11297789814955377</v>
      </c>
      <c r="E8" s="113">
        <v>5.6488949074776889</v>
      </c>
      <c r="F8" s="113">
        <v>5.1208600745962523</v>
      </c>
      <c r="G8" s="113">
        <v>6.0739110639629876</v>
      </c>
      <c r="H8" s="110" t="s">
        <v>1617</v>
      </c>
      <c r="I8" s="99"/>
      <c r="L8" s="116"/>
      <c r="M8" s="116"/>
      <c r="N8" s="116"/>
      <c r="O8" s="116"/>
      <c r="P8" s="116"/>
      <c r="Q8" s="116"/>
      <c r="R8" s="116"/>
      <c r="S8" s="116"/>
      <c r="T8" s="116"/>
    </row>
    <row r="9" spans="1:20" s="101" customFormat="1" ht="72" x14ac:dyDescent="0.25">
      <c r="A9" s="109">
        <v>3</v>
      </c>
      <c r="B9" s="110" t="s">
        <v>1553</v>
      </c>
      <c r="C9" s="118">
        <v>19.695183343976449</v>
      </c>
      <c r="D9" s="112">
        <v>2.0047989926800118E-2</v>
      </c>
      <c r="E9" s="113">
        <v>1.002399496340006</v>
      </c>
      <c r="F9" s="113">
        <v>0.90869942593691322</v>
      </c>
      <c r="G9" s="113">
        <v>1.0778188461730622</v>
      </c>
      <c r="H9" s="110" t="s">
        <v>1618</v>
      </c>
      <c r="L9" s="116"/>
      <c r="M9" s="116"/>
      <c r="N9" s="116"/>
      <c r="O9" s="116"/>
      <c r="P9" s="116"/>
      <c r="Q9" s="116"/>
      <c r="R9" s="116"/>
      <c r="S9" s="116"/>
      <c r="T9" s="116"/>
    </row>
    <row r="10" spans="1:20" s="101" customFormat="1" ht="36" x14ac:dyDescent="0.25">
      <c r="A10" s="119">
        <v>3.1</v>
      </c>
      <c r="B10" s="120" t="s">
        <v>1556</v>
      </c>
      <c r="C10" s="121">
        <v>1669.3539797088426</v>
      </c>
      <c r="D10" s="122">
        <v>1.6992576908253121</v>
      </c>
      <c r="E10" s="113">
        <v>84.962884541265595</v>
      </c>
      <c r="F10" s="113">
        <v>77.020913009721539</v>
      </c>
      <c r="G10" s="113">
        <v>91.355391256841386</v>
      </c>
      <c r="H10" s="110" t="s">
        <v>1619</v>
      </c>
      <c r="L10" s="123"/>
      <c r="N10" s="115"/>
      <c r="O10" s="116"/>
      <c r="Q10" s="116"/>
      <c r="R10" s="116"/>
    </row>
    <row r="11" spans="1:20" s="101" customFormat="1" ht="48" x14ac:dyDescent="0.25">
      <c r="A11" s="109">
        <v>4</v>
      </c>
      <c r="B11" s="110" t="s">
        <v>1557</v>
      </c>
      <c r="C11" s="124">
        <v>86.26984380952365</v>
      </c>
      <c r="D11" s="112">
        <v>8.7815225147874001E-2</v>
      </c>
      <c r="E11" s="113">
        <v>4.3907612573936996</v>
      </c>
      <c r="F11" s="113">
        <v>3.9803314432895105</v>
      </c>
      <c r="G11" s="113">
        <v>4.7211169294724513</v>
      </c>
      <c r="H11" s="125" t="s">
        <v>1620</v>
      </c>
      <c r="L11" s="115"/>
      <c r="N11" s="126"/>
      <c r="O11" s="116"/>
      <c r="Q11" s="116"/>
      <c r="R11" s="116"/>
    </row>
    <row r="12" spans="1:20" s="101" customFormat="1" ht="36" x14ac:dyDescent="0.25">
      <c r="A12" s="109">
        <v>5</v>
      </c>
      <c r="B12" s="110" t="s">
        <v>1560</v>
      </c>
      <c r="C12" s="127">
        <v>125.85017238639999</v>
      </c>
      <c r="D12" s="103">
        <v>0.12810456974294937</v>
      </c>
      <c r="E12" s="113">
        <v>6.4052284871474683</v>
      </c>
      <c r="F12" s="113">
        <v>5.8064947862777299</v>
      </c>
      <c r="G12" s="113">
        <v>6.8871502855887723</v>
      </c>
      <c r="H12" s="128" t="s">
        <v>1621</v>
      </c>
      <c r="I12" s="123"/>
      <c r="J12" s="123"/>
      <c r="L12" s="115"/>
      <c r="N12" s="115"/>
      <c r="O12" s="116"/>
      <c r="Q12" s="116"/>
      <c r="R12" s="116"/>
    </row>
    <row r="13" spans="1:20" s="101" customFormat="1" ht="72" outlineLevel="1" x14ac:dyDescent="0.25">
      <c r="A13" s="129">
        <v>5.0999999999999996</v>
      </c>
      <c r="B13" s="130" t="s">
        <v>1562</v>
      </c>
      <c r="C13" s="111">
        <v>13.064</v>
      </c>
      <c r="D13" s="112">
        <v>1.3298019918348111E-2</v>
      </c>
      <c r="E13" s="113">
        <v>0.66490099591740559</v>
      </c>
      <c r="F13" s="113">
        <v>0.60274885961244551</v>
      </c>
      <c r="G13" s="113">
        <v>0.71492735865854662</v>
      </c>
      <c r="H13" s="125" t="s">
        <v>1564</v>
      </c>
      <c r="I13" s="123"/>
      <c r="J13" s="123"/>
      <c r="K13" s="123"/>
      <c r="L13" s="123"/>
      <c r="N13" s="115"/>
      <c r="O13" s="116"/>
      <c r="Q13" s="116"/>
      <c r="R13" s="116"/>
    </row>
    <row r="14" spans="1:20" s="101" customFormat="1" ht="48" outlineLevel="1" x14ac:dyDescent="0.25">
      <c r="A14" s="129">
        <v>5.2</v>
      </c>
      <c r="B14" s="130" t="s">
        <v>1565</v>
      </c>
      <c r="C14" s="111">
        <v>52.851210275</v>
      </c>
      <c r="D14" s="112">
        <v>5.3797952154451496E-2</v>
      </c>
      <c r="E14" s="113">
        <v>2.6898976077225747</v>
      </c>
      <c r="F14" s="113">
        <v>2.4384573424979954</v>
      </c>
      <c r="G14" s="113">
        <v>2.8922823150499988</v>
      </c>
      <c r="H14" s="110" t="s">
        <v>1622</v>
      </c>
      <c r="I14" s="123"/>
      <c r="J14" s="123"/>
      <c r="K14" s="123"/>
      <c r="L14" s="123"/>
      <c r="N14" s="115"/>
      <c r="O14" s="116"/>
      <c r="Q14" s="116"/>
      <c r="R14" s="116"/>
    </row>
    <row r="15" spans="1:20" s="101" customFormat="1" ht="48" outlineLevel="1" x14ac:dyDescent="0.25">
      <c r="A15" s="129">
        <v>5.3</v>
      </c>
      <c r="B15" s="130" t="s">
        <v>1567</v>
      </c>
      <c r="C15" s="111">
        <v>15.9603892</v>
      </c>
      <c r="D15" s="112">
        <v>1.6246293132745566E-2</v>
      </c>
      <c r="E15" s="113">
        <v>0.8123146566372782</v>
      </c>
      <c r="F15" s="113">
        <v>0.73638291405930723</v>
      </c>
      <c r="G15" s="113">
        <v>0.87343224846282863</v>
      </c>
      <c r="H15" s="131" t="s">
        <v>1623</v>
      </c>
      <c r="I15" s="123"/>
      <c r="J15" s="123"/>
      <c r="K15" s="123"/>
      <c r="L15" s="123"/>
      <c r="N15" s="115"/>
      <c r="O15" s="116"/>
      <c r="Q15" s="116"/>
      <c r="R15" s="116"/>
    </row>
    <row r="16" spans="1:20" s="101" customFormat="1" ht="48" outlineLevel="1" x14ac:dyDescent="0.25">
      <c r="A16" s="129">
        <v>5.4</v>
      </c>
      <c r="B16" s="132" t="s">
        <v>1568</v>
      </c>
      <c r="C16" s="111">
        <v>2.3869571999999999</v>
      </c>
      <c r="D16" s="112">
        <v>2.4297155840358568E-3</v>
      </c>
      <c r="E16" s="113">
        <v>0.12148577920179283</v>
      </c>
      <c r="F16" s="113">
        <v>0.11012980176390966</v>
      </c>
      <c r="G16" s="113">
        <v>0.13062622521639619</v>
      </c>
      <c r="H16" s="110" t="s">
        <v>1624</v>
      </c>
      <c r="I16" s="123"/>
      <c r="J16" s="123"/>
      <c r="K16" s="123"/>
      <c r="L16" s="123"/>
      <c r="M16" s="133"/>
      <c r="N16" s="115"/>
      <c r="O16" s="116"/>
      <c r="Q16" s="116"/>
      <c r="R16" s="116"/>
    </row>
    <row r="17" spans="1:18" ht="168" outlineLevel="1" x14ac:dyDescent="0.55000000000000004">
      <c r="A17" s="129">
        <v>5.5</v>
      </c>
      <c r="B17" s="134" t="s">
        <v>1604</v>
      </c>
      <c r="C17" s="111">
        <v>41.587615711400005</v>
      </c>
      <c r="D17" s="112">
        <v>4.2332588953368347E-2</v>
      </c>
      <c r="E17" s="113">
        <v>2.1166294476684171</v>
      </c>
      <c r="F17" s="113">
        <v>1.9187758683440732</v>
      </c>
      <c r="G17" s="113">
        <v>2.275882138201001</v>
      </c>
      <c r="H17" s="135" t="s">
        <v>1625</v>
      </c>
      <c r="L17" s="123"/>
      <c r="N17" s="136"/>
      <c r="O17" s="116"/>
      <c r="Q17" s="137"/>
      <c r="R17" s="116"/>
    </row>
    <row r="18" spans="1:18" s="101" customFormat="1" ht="144" x14ac:dyDescent="0.25">
      <c r="A18" s="109">
        <v>6</v>
      </c>
      <c r="B18" s="138" t="s">
        <v>1570</v>
      </c>
      <c r="C18" s="111">
        <v>16.284050541758056</v>
      </c>
      <c r="D18" s="112">
        <v>1.6575752331268061E-2</v>
      </c>
      <c r="E18" s="113">
        <v>0.82878761656340316</v>
      </c>
      <c r="F18" s="113">
        <v>0.75131605127955392</v>
      </c>
      <c r="G18" s="113">
        <v>0.89114461436630144</v>
      </c>
      <c r="H18" s="110" t="s">
        <v>1626</v>
      </c>
      <c r="I18" s="99"/>
      <c r="L18" s="115"/>
      <c r="N18" s="115"/>
      <c r="O18" s="116"/>
      <c r="Q18" s="116"/>
      <c r="R18" s="116"/>
    </row>
    <row r="19" spans="1:18" s="101" customFormat="1" ht="48" collapsed="1" x14ac:dyDescent="0.25">
      <c r="A19" s="109">
        <v>7</v>
      </c>
      <c r="B19" s="138" t="s">
        <v>1572</v>
      </c>
      <c r="C19" s="111">
        <v>60.10588421500001</v>
      </c>
      <c r="D19" s="112">
        <v>6.1182581560088441E-2</v>
      </c>
      <c r="E19" s="113">
        <v>3.0591290780044225</v>
      </c>
      <c r="F19" s="113">
        <v>2.7731746147113401</v>
      </c>
      <c r="G19" s="113">
        <v>3.2892943234588481</v>
      </c>
      <c r="H19" s="110" t="s">
        <v>1627</v>
      </c>
      <c r="I19" s="139"/>
      <c r="J19" s="123"/>
      <c r="L19" s="115"/>
      <c r="N19" s="115"/>
      <c r="O19" s="116"/>
      <c r="Q19" s="116"/>
      <c r="R19" s="116"/>
    </row>
    <row r="20" spans="1:18" s="101" customFormat="1" ht="48" hidden="1" outlineLevel="1" x14ac:dyDescent="0.25">
      <c r="A20" s="109">
        <v>7.1</v>
      </c>
      <c r="B20" s="140" t="s">
        <v>1628</v>
      </c>
      <c r="C20" s="141">
        <v>23.8300144</v>
      </c>
      <c r="D20" s="112">
        <v>2.4256889631485173E-2</v>
      </c>
      <c r="E20" s="113">
        <v>1.2128444815742587</v>
      </c>
      <c r="F20" s="113">
        <v>1.099472902950716</v>
      </c>
      <c r="G20" s="113">
        <v>1.3040974626291435</v>
      </c>
      <c r="H20" s="142"/>
      <c r="L20" s="115"/>
      <c r="N20" s="115"/>
      <c r="O20" s="116"/>
      <c r="Q20" s="133"/>
      <c r="R20" s="116"/>
    </row>
    <row r="21" spans="1:18" s="101" customFormat="1" ht="48" hidden="1" outlineLevel="1" x14ac:dyDescent="0.25">
      <c r="A21" s="109">
        <v>7.2</v>
      </c>
      <c r="B21" s="140" t="s">
        <v>1629</v>
      </c>
      <c r="C21" s="141">
        <v>7.7443240800000011</v>
      </c>
      <c r="D21" s="112">
        <v>7.8830508167470077E-3</v>
      </c>
      <c r="E21" s="113">
        <v>0.39415254083735041</v>
      </c>
      <c r="F21" s="113">
        <v>0.35730882636935102</v>
      </c>
      <c r="G21" s="113">
        <v>0.4238081107708343</v>
      </c>
      <c r="H21" s="142"/>
      <c r="L21" s="115"/>
      <c r="N21" s="115"/>
      <c r="O21" s="116"/>
      <c r="Q21" s="133"/>
      <c r="R21" s="116"/>
    </row>
    <row r="22" spans="1:18" s="101" customFormat="1" ht="48" hidden="1" outlineLevel="1" x14ac:dyDescent="0.25">
      <c r="A22" s="109">
        <v>7.3</v>
      </c>
      <c r="B22" s="140" t="s">
        <v>1630</v>
      </c>
      <c r="C22" s="141">
        <v>0.88056239999999997</v>
      </c>
      <c r="D22" s="112">
        <v>8.9633621666782113E-4</v>
      </c>
      <c r="E22" s="113">
        <v>4.4816810833391063E-2</v>
      </c>
      <c r="F22" s="113">
        <v>4.0627524679852881E-2</v>
      </c>
      <c r="G22" s="113">
        <v>4.8188774553431617E-2</v>
      </c>
      <c r="H22" s="142"/>
      <c r="L22" s="115"/>
      <c r="N22" s="115"/>
      <c r="O22" s="116"/>
      <c r="Q22" s="133"/>
      <c r="R22" s="116"/>
    </row>
    <row r="23" spans="1:18" s="101" customFormat="1" ht="48" hidden="1" outlineLevel="1" x14ac:dyDescent="0.25">
      <c r="A23" s="109">
        <v>7.4</v>
      </c>
      <c r="B23" s="140" t="s">
        <v>1631</v>
      </c>
      <c r="C23" s="141">
        <v>0.19225776</v>
      </c>
      <c r="D23" s="112">
        <v>1.9570173927870412E-4</v>
      </c>
      <c r="E23" s="113">
        <v>9.7850869639352061E-3</v>
      </c>
      <c r="F23" s="113">
        <v>8.8704183704564621E-3</v>
      </c>
      <c r="G23" s="113">
        <v>1.0521305307594058E-2</v>
      </c>
      <c r="H23" s="142"/>
      <c r="L23" s="115"/>
      <c r="N23" s="115"/>
      <c r="O23" s="116"/>
      <c r="Q23" s="133"/>
      <c r="R23" s="116"/>
    </row>
    <row r="24" spans="1:18" s="101" customFormat="1" ht="48" hidden="1" outlineLevel="1" x14ac:dyDescent="0.25">
      <c r="A24" s="109">
        <v>7.5</v>
      </c>
      <c r="B24" s="140" t="s">
        <v>1632</v>
      </c>
      <c r="C24" s="141">
        <v>0.60668999999999995</v>
      </c>
      <c r="D24" s="112">
        <v>6.1755784631526442E-4</v>
      </c>
      <c r="E24" s="113">
        <v>3.0877892315763222E-2</v>
      </c>
      <c r="F24" s="113">
        <v>2.799155738198672E-2</v>
      </c>
      <c r="G24" s="113">
        <v>3.3201108330109731E-2</v>
      </c>
      <c r="H24" s="142"/>
      <c r="L24" s="115"/>
      <c r="N24" s="115"/>
      <c r="O24" s="116"/>
      <c r="Q24" s="133"/>
      <c r="R24" s="116"/>
    </row>
    <row r="25" spans="1:18" s="101" customFormat="1" ht="36" hidden="1" outlineLevel="1" x14ac:dyDescent="0.25">
      <c r="A25" s="109">
        <v>7.6</v>
      </c>
      <c r="B25" s="140" t="s">
        <v>1053</v>
      </c>
      <c r="C25" s="141">
        <v>18.745555199999998</v>
      </c>
      <c r="D25" s="112">
        <v>1.9081350767765921E-2</v>
      </c>
      <c r="E25" s="113">
        <v>0.95406753838829605</v>
      </c>
      <c r="F25" s="113">
        <v>0.86488533524205036</v>
      </c>
      <c r="G25" s="113">
        <v>1.0258504489990801</v>
      </c>
      <c r="H25" s="142"/>
      <c r="L25" s="115"/>
      <c r="N25" s="115"/>
      <c r="O25" s="116"/>
      <c r="Q25" s="133"/>
      <c r="R25" s="116"/>
    </row>
    <row r="26" spans="1:18" s="101" customFormat="1" ht="36" hidden="1" outlineLevel="1" x14ac:dyDescent="0.25">
      <c r="A26" s="109">
        <v>7.7</v>
      </c>
      <c r="B26" s="140" t="s">
        <v>1633</v>
      </c>
      <c r="C26" s="141">
        <v>1.0870599999999999</v>
      </c>
      <c r="D26" s="112">
        <v>1.1065328790905921E-3</v>
      </c>
      <c r="E26" s="113">
        <v>5.5326643954529603E-2</v>
      </c>
      <c r="F26" s="113">
        <v>5.0154942998339322E-2</v>
      </c>
      <c r="G26" s="113">
        <v>5.9489355059963216E-2</v>
      </c>
      <c r="H26" s="142"/>
      <c r="L26" s="115"/>
      <c r="N26" s="115"/>
      <c r="O26" s="116"/>
      <c r="Q26" s="133"/>
      <c r="R26" s="116"/>
    </row>
    <row r="27" spans="1:18" s="101" customFormat="1" ht="36" hidden="1" outlineLevel="1" x14ac:dyDescent="0.25">
      <c r="A27" s="109">
        <v>7.8</v>
      </c>
      <c r="B27" s="140" t="s">
        <v>1059</v>
      </c>
      <c r="C27" s="141">
        <v>1.5325312</v>
      </c>
      <c r="D27" s="112">
        <v>1.5599839576768166E-3</v>
      </c>
      <c r="E27" s="113">
        <v>7.7999197883840826E-2</v>
      </c>
      <c r="F27" s="113">
        <v>7.070816236378541E-2</v>
      </c>
      <c r="G27" s="113">
        <v>8.3867765070255104E-2</v>
      </c>
      <c r="H27" s="142"/>
      <c r="L27" s="115"/>
      <c r="N27" s="115"/>
      <c r="O27" s="116"/>
      <c r="Q27" s="133"/>
      <c r="R27" s="116"/>
    </row>
    <row r="28" spans="1:18" s="101" customFormat="1" ht="36" hidden="1" outlineLevel="1" x14ac:dyDescent="0.25">
      <c r="A28" s="109">
        <v>7.9</v>
      </c>
      <c r="B28" s="140" t="s">
        <v>1365</v>
      </c>
      <c r="C28" s="141">
        <v>1.5020532</v>
      </c>
      <c r="D28" s="112">
        <v>1.5289599947962734E-3</v>
      </c>
      <c r="E28" s="113">
        <v>7.6447999739813671E-2</v>
      </c>
      <c r="F28" s="113">
        <v>6.9301963669413991E-2</v>
      </c>
      <c r="G28" s="113">
        <v>8.2199856616703731E-2</v>
      </c>
      <c r="H28" s="142"/>
      <c r="L28" s="115"/>
      <c r="N28" s="115"/>
      <c r="O28" s="116"/>
      <c r="Q28" s="133"/>
      <c r="R28" s="116"/>
    </row>
    <row r="29" spans="1:18" s="101" customFormat="1" ht="36" hidden="1" outlineLevel="1" x14ac:dyDescent="0.25">
      <c r="A29" s="143" t="s">
        <v>1577</v>
      </c>
      <c r="B29" s="140" t="s">
        <v>1578</v>
      </c>
      <c r="C29" s="141">
        <v>0.23844599999999999</v>
      </c>
      <c r="D29" s="112">
        <v>2.4271736508346857E-4</v>
      </c>
      <c r="E29" s="113">
        <v>1.2135868254173428E-2</v>
      </c>
      <c r="F29" s="113">
        <v>1.10014585562729E-2</v>
      </c>
      <c r="G29" s="113">
        <v>1.3048956595429867E-2</v>
      </c>
      <c r="H29" s="142"/>
      <c r="L29" s="115"/>
      <c r="N29" s="115"/>
      <c r="O29" s="116"/>
      <c r="Q29" s="133"/>
      <c r="R29" s="116"/>
    </row>
    <row r="30" spans="1:18" s="101" customFormat="1" ht="36" hidden="1" outlineLevel="1" x14ac:dyDescent="0.25">
      <c r="A30" s="109">
        <v>7.11</v>
      </c>
      <c r="B30" s="140" t="s">
        <v>1634</v>
      </c>
      <c r="C30" s="141">
        <v>0.32721</v>
      </c>
      <c r="D30" s="112">
        <v>3.3307142509818473E-4</v>
      </c>
      <c r="E30" s="113">
        <v>1.6653571254909239E-2</v>
      </c>
      <c r="F30" s="113">
        <v>1.5096865764986856E-2</v>
      </c>
      <c r="G30" s="113">
        <v>1.7906566214533303E-2</v>
      </c>
      <c r="H30" s="142"/>
      <c r="L30" s="115"/>
      <c r="N30" s="115"/>
      <c r="O30" s="116"/>
      <c r="Q30" s="133"/>
      <c r="R30" s="116"/>
    </row>
    <row r="31" spans="1:18" s="101" customFormat="1" ht="36" hidden="1" outlineLevel="1" x14ac:dyDescent="0.25">
      <c r="A31" s="109">
        <v>7.12</v>
      </c>
      <c r="B31" s="140" t="s">
        <v>1070</v>
      </c>
      <c r="C31" s="141">
        <v>0.217111</v>
      </c>
      <c r="D31" s="112">
        <v>2.2100018390175112E-4</v>
      </c>
      <c r="E31" s="113">
        <v>1.1050009195087555E-2</v>
      </c>
      <c r="F31" s="113">
        <v>1.0017101014950829E-2</v>
      </c>
      <c r="G31" s="113">
        <v>1.1881398787945169E-2</v>
      </c>
      <c r="H31" s="142"/>
      <c r="L31" s="115"/>
      <c r="N31" s="115"/>
      <c r="O31" s="116"/>
      <c r="Q31" s="133"/>
      <c r="R31" s="116"/>
    </row>
    <row r="32" spans="1:18" s="101" customFormat="1" ht="36" hidden="1" outlineLevel="1" x14ac:dyDescent="0.25">
      <c r="A32" s="109">
        <v>7.13</v>
      </c>
      <c r="B32" s="140" t="s">
        <v>1635</v>
      </c>
      <c r="C32" s="141">
        <v>2.155923</v>
      </c>
      <c r="D32" s="112">
        <v>2.1945427890710974E-3</v>
      </c>
      <c r="E32" s="113"/>
      <c r="F32" s="113"/>
      <c r="G32" s="113"/>
      <c r="H32" s="142"/>
      <c r="L32" s="115"/>
      <c r="N32" s="115"/>
      <c r="O32" s="116"/>
      <c r="Q32" s="133"/>
      <c r="R32" s="116"/>
    </row>
    <row r="33" spans="1:18" s="101" customFormat="1" ht="36" hidden="1" outlineLevel="1" x14ac:dyDescent="0.25">
      <c r="A33" s="109"/>
      <c r="B33" s="140"/>
      <c r="C33" s="141"/>
      <c r="D33" s="112"/>
      <c r="E33" s="113"/>
      <c r="F33" s="113"/>
      <c r="G33" s="113"/>
      <c r="H33" s="142"/>
      <c r="L33" s="115"/>
      <c r="N33" s="115"/>
      <c r="O33" s="116"/>
      <c r="Q33" s="133"/>
      <c r="R33" s="116"/>
    </row>
    <row r="34" spans="1:18" s="101" customFormat="1" ht="36" hidden="1" outlineLevel="1" x14ac:dyDescent="0.25">
      <c r="A34" s="109">
        <v>7.14</v>
      </c>
      <c r="B34" s="140" t="s">
        <v>1636</v>
      </c>
      <c r="C34" s="141">
        <v>1.046145975</v>
      </c>
      <c r="D34" s="112">
        <v>1.0648859471103569E-3</v>
      </c>
      <c r="E34" s="113">
        <v>5.3244297355517854E-2</v>
      </c>
      <c r="F34" s="113">
        <v>4.8267245362783213E-2</v>
      </c>
      <c r="G34" s="113">
        <v>5.7250335171312006E-2</v>
      </c>
      <c r="H34" s="142"/>
      <c r="L34" s="115"/>
      <c r="N34" s="115"/>
      <c r="O34" s="116"/>
      <c r="Q34" s="133"/>
      <c r="R34" s="116"/>
    </row>
    <row r="35" spans="1:18" s="101" customFormat="1" ht="120" collapsed="1" x14ac:dyDescent="0.25">
      <c r="A35" s="109">
        <v>8</v>
      </c>
      <c r="B35" s="110" t="s">
        <v>1582</v>
      </c>
      <c r="C35" s="144">
        <v>13.430602330679271</v>
      </c>
      <c r="D35" s="112">
        <v>1.3671189322472865E-2</v>
      </c>
      <c r="E35" s="113">
        <v>0.68355946612364327</v>
      </c>
      <c r="F35" s="113">
        <v>0.61966321484424236</v>
      </c>
      <c r="G35" s="113">
        <v>0.73498967004484472</v>
      </c>
      <c r="H35" s="110" t="s">
        <v>1637</v>
      </c>
      <c r="L35" s="115"/>
      <c r="N35" s="115"/>
      <c r="O35" s="116"/>
      <c r="Q35" s="116"/>
      <c r="R35" s="116"/>
    </row>
    <row r="36" spans="1:18" s="101" customFormat="1" ht="48" x14ac:dyDescent="0.25">
      <c r="A36" s="109">
        <v>9</v>
      </c>
      <c r="B36" s="110" t="s">
        <v>1584</v>
      </c>
      <c r="C36" s="111">
        <v>2.72</v>
      </c>
      <c r="D36" s="112">
        <v>2.7687242940835012E-3</v>
      </c>
      <c r="E36" s="113">
        <v>0.13843621470417505</v>
      </c>
      <c r="F36" s="113">
        <v>0.12549578216058263</v>
      </c>
      <c r="G36" s="113">
        <v>0.14885199139247143</v>
      </c>
      <c r="H36" s="110" t="s">
        <v>1638</v>
      </c>
      <c r="L36" s="115"/>
      <c r="N36" s="115"/>
      <c r="O36" s="116"/>
      <c r="Q36" s="116"/>
      <c r="R36" s="116"/>
    </row>
    <row r="37" spans="1:18" s="101" customFormat="1" ht="228" customHeight="1" x14ac:dyDescent="0.25">
      <c r="A37" s="109">
        <v>10</v>
      </c>
      <c r="B37" s="110" t="s">
        <v>795</v>
      </c>
      <c r="C37" s="145">
        <v>184.528492651687</v>
      </c>
      <c r="D37" s="112">
        <v>0.1878340149100495</v>
      </c>
      <c r="E37" s="113">
        <v>9.3917007455024759</v>
      </c>
      <c r="F37" s="113">
        <v>8.5138042339105837</v>
      </c>
      <c r="G37" s="113">
        <v>10.098321176417148</v>
      </c>
      <c r="H37" s="146" t="s">
        <v>1639</v>
      </c>
      <c r="L37" s="115"/>
      <c r="N37" s="115"/>
      <c r="O37" s="116"/>
      <c r="Q37" s="116"/>
      <c r="R37" s="116"/>
    </row>
    <row r="38" spans="1:18" s="101" customFormat="1" ht="57.75" customHeight="1" x14ac:dyDescent="0.25">
      <c r="A38" s="109">
        <v>11</v>
      </c>
      <c r="B38" s="110" t="s">
        <v>1587</v>
      </c>
      <c r="C38" s="147">
        <v>388.53774461590035</v>
      </c>
      <c r="D38" s="112">
        <v>0.39549775466413761</v>
      </c>
      <c r="E38" s="113">
        <v>19.774887733206882</v>
      </c>
      <c r="F38" s="113">
        <v>17.926414764515119</v>
      </c>
      <c r="G38" s="113">
        <v>21.262726844564799</v>
      </c>
      <c r="H38" s="142" t="s">
        <v>1588</v>
      </c>
      <c r="L38" s="115"/>
      <c r="N38" s="115"/>
      <c r="O38" s="116"/>
      <c r="Q38" s="116"/>
      <c r="R38" s="116"/>
    </row>
    <row r="39" spans="1:18" s="150" customFormat="1" ht="46.5" customHeight="1" x14ac:dyDescent="0.25">
      <c r="A39" s="336" t="s">
        <v>1589</v>
      </c>
      <c r="B39" s="336"/>
      <c r="C39" s="148">
        <v>2547.0807702597913</v>
      </c>
      <c r="D39" s="112">
        <v>2.5927075027982358</v>
      </c>
      <c r="E39" s="113">
        <v>129.63537513991179</v>
      </c>
      <c r="F39" s="113">
        <v>117.51760790071022</v>
      </c>
      <c r="G39" s="113">
        <v>139.38898709214703</v>
      </c>
      <c r="H39" s="149" t="s">
        <v>1640</v>
      </c>
      <c r="L39" s="123"/>
      <c r="N39" s="151"/>
      <c r="O39" s="116"/>
      <c r="Q39" s="152"/>
      <c r="R39" s="116"/>
    </row>
    <row r="40" spans="1:18" s="101" customFormat="1" ht="46.5" customHeight="1" x14ac:dyDescent="0.25">
      <c r="A40" s="109">
        <v>12</v>
      </c>
      <c r="B40" s="110" t="s">
        <v>1590</v>
      </c>
      <c r="C40" s="118">
        <v>44.889455184802678</v>
      </c>
      <c r="D40" s="112">
        <v>4.5693575411152855E-2</v>
      </c>
      <c r="E40" s="113">
        <v>2.284678770557643</v>
      </c>
      <c r="F40" s="113">
        <v>2.0711166504335421</v>
      </c>
      <c r="G40" s="113">
        <v>2.4565752929341844</v>
      </c>
      <c r="H40" s="110" t="s">
        <v>1641</v>
      </c>
      <c r="L40" s="153"/>
      <c r="N40" s="115"/>
      <c r="O40" s="116"/>
      <c r="Q40" s="116"/>
      <c r="R40" s="116"/>
    </row>
    <row r="41" spans="1:18" s="101" customFormat="1" ht="46.5" customHeight="1" x14ac:dyDescent="0.25">
      <c r="A41" s="154">
        <v>12.1</v>
      </c>
      <c r="B41" s="155" t="s">
        <v>1590</v>
      </c>
      <c r="C41" s="156">
        <v>10.375682899999999</v>
      </c>
      <c r="D41" s="112">
        <v>1.0561546070932629E-2</v>
      </c>
      <c r="E41" s="113">
        <v>0.52807730354663152</v>
      </c>
      <c r="F41" s="113">
        <v>0.47871486800944202</v>
      </c>
      <c r="G41" s="113">
        <v>0.56780921386831362</v>
      </c>
      <c r="H41" s="110"/>
      <c r="L41" s="123"/>
      <c r="N41" s="115"/>
      <c r="O41" s="116"/>
      <c r="Q41" s="116"/>
      <c r="R41" s="116"/>
    </row>
    <row r="42" spans="1:18" s="101" customFormat="1" ht="46.5" customHeight="1" x14ac:dyDescent="0.25">
      <c r="A42" s="154">
        <v>12.2</v>
      </c>
      <c r="B42" s="155" t="s">
        <v>1592</v>
      </c>
      <c r="C42" s="156">
        <v>30.335999999999999</v>
      </c>
      <c r="D42" s="112">
        <v>3.0879419185778342E-2</v>
      </c>
      <c r="E42" s="113">
        <v>1.543970959288917</v>
      </c>
      <c r="F42" s="113">
        <v>1.3996470763321451</v>
      </c>
      <c r="G42" s="113">
        <v>1.6601375040007402</v>
      </c>
      <c r="H42" s="110"/>
      <c r="L42" s="123"/>
      <c r="N42" s="115"/>
      <c r="O42" s="116"/>
      <c r="Q42" s="116"/>
      <c r="R42" s="116"/>
    </row>
    <row r="43" spans="1:18" s="101" customFormat="1" ht="46.5" customHeight="1" x14ac:dyDescent="0.25">
      <c r="A43" s="154">
        <v>12.3</v>
      </c>
      <c r="B43" s="155" t="s">
        <v>1448</v>
      </c>
      <c r="C43" s="157">
        <v>4.1777722848026801</v>
      </c>
      <c r="D43" s="112">
        <v>4.2526101544418807E-3</v>
      </c>
      <c r="E43" s="113">
        <v>0.21263050772209408</v>
      </c>
      <c r="F43" s="113">
        <v>0.19275470609195469</v>
      </c>
      <c r="G43" s="113">
        <v>0.22862857506513026</v>
      </c>
      <c r="H43" s="110"/>
      <c r="L43" s="123"/>
      <c r="N43" s="115"/>
      <c r="O43" s="116"/>
      <c r="Q43" s="116"/>
      <c r="R43" s="116"/>
    </row>
    <row r="44" spans="1:18" s="101" customFormat="1" ht="46.5" customHeight="1" x14ac:dyDescent="0.25">
      <c r="A44" s="109">
        <v>13</v>
      </c>
      <c r="B44" s="110" t="s">
        <v>1593</v>
      </c>
      <c r="C44" s="145">
        <v>75.055504964530343</v>
      </c>
      <c r="D44" s="112">
        <v>7.6399999999999996E-2</v>
      </c>
      <c r="E44" s="113">
        <v>3.8200000000000003</v>
      </c>
      <c r="F44" s="113">
        <v>3.4629225371254519</v>
      </c>
      <c r="G44" s="113">
        <v>4.1074122716683332</v>
      </c>
      <c r="H44" s="142"/>
      <c r="L44" s="115"/>
      <c r="N44" s="115"/>
      <c r="O44" s="116"/>
      <c r="Q44" s="116"/>
      <c r="R44" s="116"/>
    </row>
    <row r="45" spans="1:18" s="101" customFormat="1" ht="46.5" customHeight="1" outlineLevel="1" x14ac:dyDescent="0.25">
      <c r="A45" s="142">
        <v>13.1</v>
      </c>
      <c r="B45" s="110" t="s">
        <v>1594</v>
      </c>
      <c r="C45" s="145">
        <v>25.149488574502314</v>
      </c>
      <c r="D45" s="112">
        <v>2.5600000000000001E-2</v>
      </c>
      <c r="E45" s="113">
        <v>1.28</v>
      </c>
      <c r="F45" s="113">
        <v>1.1603510072043399</v>
      </c>
      <c r="G45" s="113">
        <v>1.3763056826532636</v>
      </c>
      <c r="H45" s="142"/>
      <c r="L45" s="123"/>
      <c r="N45" s="115"/>
      <c r="O45" s="116"/>
      <c r="Q45" s="116"/>
      <c r="R45" s="116"/>
    </row>
    <row r="46" spans="1:18" s="101" customFormat="1" ht="46.5" customHeight="1" outlineLevel="1" x14ac:dyDescent="0.25">
      <c r="A46" s="142">
        <v>13.2</v>
      </c>
      <c r="B46" s="110" t="s">
        <v>1595</v>
      </c>
      <c r="C46" s="145">
        <v>49.906016390028029</v>
      </c>
      <c r="D46" s="112">
        <v>5.0799999999999998E-2</v>
      </c>
      <c r="E46" s="113">
        <v>2.5399999999999996</v>
      </c>
      <c r="F46" s="113">
        <v>2.3025715299211118</v>
      </c>
      <c r="G46" s="113">
        <v>2.7311065890150696</v>
      </c>
      <c r="H46" s="142"/>
      <c r="I46" s="150"/>
      <c r="J46" s="150"/>
      <c r="K46" s="150"/>
      <c r="L46" s="123"/>
      <c r="M46" s="150"/>
      <c r="N46" s="115"/>
      <c r="O46" s="116"/>
      <c r="Q46" s="116"/>
      <c r="R46" s="116"/>
    </row>
    <row r="47" spans="1:18" s="101" customFormat="1" ht="46.5" customHeight="1" x14ac:dyDescent="0.4">
      <c r="A47" s="109">
        <v>14</v>
      </c>
      <c r="B47" s="110" t="s">
        <v>1597</v>
      </c>
      <c r="C47" s="156">
        <v>234.91347732505099</v>
      </c>
      <c r="D47" s="112">
        <v>0.2391215631167288</v>
      </c>
      <c r="E47" s="113">
        <v>11.95607815583644</v>
      </c>
      <c r="F47" s="113">
        <v>10.838474476827047</v>
      </c>
      <c r="G47" s="113">
        <v>12.855639303222066</v>
      </c>
      <c r="H47" s="110" t="s">
        <v>1642</v>
      </c>
      <c r="I47" s="158"/>
      <c r="J47" s="98"/>
      <c r="K47" s="98"/>
      <c r="L47" s="115"/>
      <c r="M47" s="98"/>
      <c r="N47" s="115"/>
      <c r="O47" s="116"/>
      <c r="Q47" s="116"/>
      <c r="R47" s="116"/>
    </row>
    <row r="48" spans="1:18" s="101" customFormat="1" ht="46.5" customHeight="1" x14ac:dyDescent="0.25">
      <c r="A48" s="109">
        <v>15</v>
      </c>
      <c r="B48" s="110" t="s">
        <v>1509</v>
      </c>
      <c r="C48" s="111">
        <v>70.157337839521375</v>
      </c>
      <c r="D48" s="112">
        <v>7.1414090325186225E-2</v>
      </c>
      <c r="E48" s="113">
        <v>3.5707045162593114</v>
      </c>
      <c r="F48" s="113">
        <v>3.2369301420863885</v>
      </c>
      <c r="G48" s="113">
        <v>3.8393600912526273</v>
      </c>
      <c r="H48" s="110" t="s">
        <v>1643</v>
      </c>
      <c r="L48" s="115"/>
      <c r="N48" s="115"/>
      <c r="O48" s="116"/>
      <c r="Q48" s="116"/>
      <c r="R48" s="116"/>
    </row>
    <row r="49" spans="1:18" s="150" customFormat="1" ht="46.5" customHeight="1" x14ac:dyDescent="0.4">
      <c r="A49" s="336" t="s">
        <v>1601</v>
      </c>
      <c r="B49" s="336" t="s">
        <v>1601</v>
      </c>
      <c r="C49" s="148">
        <v>2972.0965455736959</v>
      </c>
      <c r="D49" s="159">
        <v>3.0253367316513029</v>
      </c>
      <c r="E49" s="113">
        <v>151.26683658256513</v>
      </c>
      <c r="F49" s="113">
        <v>137.12705170718263</v>
      </c>
      <c r="G49" s="113">
        <v>162.64797405122422</v>
      </c>
      <c r="H49" s="149" t="s">
        <v>1644</v>
      </c>
      <c r="I49" s="98"/>
      <c r="J49" s="98"/>
      <c r="K49" s="98"/>
      <c r="L49" s="160"/>
      <c r="M49" s="98"/>
      <c r="N49" s="160"/>
      <c r="O49" s="116"/>
      <c r="Q49" s="152"/>
      <c r="R49" s="116"/>
    </row>
    <row r="50" spans="1:18" ht="31.5" x14ac:dyDescent="0.5">
      <c r="C50" s="98"/>
      <c r="D50" s="98"/>
      <c r="O50" s="108"/>
    </row>
    <row r="51" spans="1:18" ht="36" x14ac:dyDescent="0.55000000000000004">
      <c r="C51" s="98"/>
      <c r="D51" s="98"/>
      <c r="H51" s="116"/>
      <c r="L51" s="161"/>
      <c r="M51" s="161"/>
      <c r="O51" s="108"/>
    </row>
    <row r="52" spans="1:18" ht="36" x14ac:dyDescent="0.55000000000000004">
      <c r="C52" s="98"/>
      <c r="D52" s="98"/>
      <c r="H52" s="116"/>
      <c r="L52" s="162"/>
      <c r="M52" s="162"/>
      <c r="O52" s="108"/>
    </row>
    <row r="53" spans="1:18" ht="36" x14ac:dyDescent="0.55000000000000004">
      <c r="C53" s="98"/>
      <c r="D53" s="98"/>
      <c r="H53" s="116"/>
      <c r="L53" s="162"/>
      <c r="M53" s="162"/>
      <c r="O53" s="108"/>
    </row>
    <row r="54" spans="1:18" ht="31.5" x14ac:dyDescent="0.4">
      <c r="C54" s="98"/>
      <c r="D54" s="98"/>
      <c r="H54" s="116"/>
    </row>
    <row r="55" spans="1:18" ht="31.5" x14ac:dyDescent="0.4">
      <c r="C55" s="98"/>
      <c r="D55" s="98"/>
      <c r="H55" s="116"/>
    </row>
    <row r="56" spans="1:18" ht="31.5" x14ac:dyDescent="0.4">
      <c r="C56" s="98"/>
      <c r="D56" s="98"/>
      <c r="H56" s="116"/>
    </row>
    <row r="57" spans="1:18" ht="31.5" x14ac:dyDescent="0.4">
      <c r="C57" s="98"/>
      <c r="D57" s="98"/>
      <c r="H57" s="116"/>
    </row>
    <row r="58" spans="1:18" ht="31.5" x14ac:dyDescent="0.4">
      <c r="C58" s="98"/>
      <c r="D58" s="98"/>
      <c r="H58" s="116"/>
    </row>
    <row r="59" spans="1:18" ht="31.5" x14ac:dyDescent="0.4">
      <c r="C59" s="98"/>
      <c r="D59" s="98"/>
      <c r="H59" s="116"/>
    </row>
    <row r="60" spans="1:18" ht="31.5" x14ac:dyDescent="0.4">
      <c r="C60" s="98"/>
      <c r="D60" s="98"/>
      <c r="H60" s="116"/>
    </row>
    <row r="61" spans="1:18" x14ac:dyDescent="0.4">
      <c r="C61" s="98"/>
      <c r="D61" s="98"/>
    </row>
  </sheetData>
  <mergeCells count="8">
    <mergeCell ref="A39:B39"/>
    <mergeCell ref="A49:B49"/>
    <mergeCell ref="A1:H1"/>
    <mergeCell ref="A2:B2"/>
    <mergeCell ref="A3:A6"/>
    <mergeCell ref="B3:B6"/>
    <mergeCell ref="C3:G3"/>
    <mergeCell ref="H3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C6AA-A45A-447E-A7B7-B7357C37A1CF}">
  <dimension ref="A1:Y81"/>
  <sheetViews>
    <sheetView workbookViewId="0">
      <selection sqref="A1:K1"/>
    </sheetView>
    <sheetView workbookViewId="1">
      <selection sqref="A1:K1"/>
    </sheetView>
  </sheetViews>
  <sheetFormatPr defaultColWidth="8.88671875" defaultRowHeight="33.75" outlineLevelRow="1" x14ac:dyDescent="0.5"/>
  <cols>
    <col min="1" max="1" width="16.109375" style="50" customWidth="1"/>
    <col min="2" max="2" width="42.33203125" style="50" customWidth="1"/>
    <col min="3" max="3" width="20" style="50" hidden="1" customWidth="1"/>
    <col min="4" max="4" width="16" style="50" hidden="1" customWidth="1"/>
    <col min="5" max="7" width="30.88671875" style="51" customWidth="1"/>
    <col min="8" max="8" width="30.109375" style="51" customWidth="1"/>
    <col min="9" max="9" width="29.109375" style="51" customWidth="1"/>
    <col min="10" max="10" width="30.109375" style="51" customWidth="1"/>
    <col min="11" max="11" width="147.33203125" style="50" customWidth="1"/>
    <col min="12" max="12" width="35.33203125" style="50" customWidth="1"/>
    <col min="13" max="13" width="17.33203125" style="50" bestFit="1" customWidth="1"/>
    <col min="14" max="14" width="12" style="50" customWidth="1"/>
    <col min="15" max="15" width="12.109375" style="50" bestFit="1" customWidth="1"/>
    <col min="16" max="19" width="18.88671875" style="50" customWidth="1"/>
    <col min="20" max="20" width="40.88671875" style="50" bestFit="1" customWidth="1"/>
    <col min="21" max="23" width="18.88671875" style="50" customWidth="1"/>
    <col min="24" max="16384" width="8.88671875" style="50"/>
  </cols>
  <sheetData>
    <row r="1" spans="1:25" ht="81.75" customHeight="1" x14ac:dyDescent="0.5">
      <c r="A1" s="346" t="s">
        <v>1603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</row>
    <row r="2" spans="1:25" hidden="1" x14ac:dyDescent="0.5"/>
    <row r="3" spans="1:25" s="163" customFormat="1" ht="105.75" customHeight="1" x14ac:dyDescent="0.25">
      <c r="A3" s="347" t="s">
        <v>1546</v>
      </c>
      <c r="B3" s="347" t="s">
        <v>1645</v>
      </c>
      <c r="C3" s="347" t="s">
        <v>1547</v>
      </c>
      <c r="D3" s="347" t="s">
        <v>1548</v>
      </c>
      <c r="E3" s="348" t="s">
        <v>1646</v>
      </c>
      <c r="F3" s="348"/>
      <c r="G3" s="348"/>
      <c r="H3" s="348"/>
      <c r="I3" s="348"/>
      <c r="J3" s="348"/>
      <c r="K3" s="349" t="s">
        <v>1608</v>
      </c>
    </row>
    <row r="4" spans="1:25" s="54" customFormat="1" ht="101.25" x14ac:dyDescent="0.25">
      <c r="A4" s="347"/>
      <c r="B4" s="347"/>
      <c r="C4" s="347"/>
      <c r="D4" s="347"/>
      <c r="E4" s="55" t="s">
        <v>1647</v>
      </c>
      <c r="F4" s="55" t="s">
        <v>1648</v>
      </c>
      <c r="G4" s="55" t="s">
        <v>1610</v>
      </c>
      <c r="H4" s="55" t="s">
        <v>1611</v>
      </c>
      <c r="I4" s="55" t="s">
        <v>1612</v>
      </c>
      <c r="J4" s="55" t="s">
        <v>1611</v>
      </c>
      <c r="K4" s="350"/>
    </row>
    <row r="5" spans="1:25" s="54" customFormat="1" ht="57" customHeight="1" x14ac:dyDescent="0.25">
      <c r="A5" s="347"/>
      <c r="B5" s="347"/>
      <c r="C5" s="347"/>
      <c r="D5" s="347"/>
      <c r="E5" s="56">
        <v>600</v>
      </c>
      <c r="F5" s="56">
        <v>600</v>
      </c>
      <c r="G5" s="56">
        <v>536.51499823258598</v>
      </c>
      <c r="H5" s="56">
        <v>1073.029996465172</v>
      </c>
      <c r="I5" s="56">
        <v>1203.8399999999999</v>
      </c>
      <c r="J5" s="56">
        <v>1073.029996465172</v>
      </c>
      <c r="K5" s="35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108" customHeight="1" x14ac:dyDescent="0.5">
      <c r="A6" s="347"/>
      <c r="B6" s="347"/>
      <c r="C6" s="347"/>
      <c r="D6" s="347"/>
      <c r="E6" s="55" t="s">
        <v>1613</v>
      </c>
      <c r="F6" s="55" t="s">
        <v>1613</v>
      </c>
      <c r="G6" s="55" t="s">
        <v>1649</v>
      </c>
      <c r="H6" s="55" t="s">
        <v>1614</v>
      </c>
      <c r="I6" s="55" t="s">
        <v>1614</v>
      </c>
      <c r="J6" s="55" t="s">
        <v>1615</v>
      </c>
      <c r="K6" s="35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s="54" customFormat="1" ht="409.6" customHeight="1" x14ac:dyDescent="0.25">
      <c r="A7" s="57">
        <v>1</v>
      </c>
      <c r="B7" s="58" t="s">
        <v>1549</v>
      </c>
      <c r="C7" s="58"/>
      <c r="D7" s="59"/>
      <c r="E7" s="60">
        <v>823.47469031339631</v>
      </c>
      <c r="F7" s="60">
        <v>1.3724578171889938</v>
      </c>
      <c r="G7" s="60">
        <v>1.5348586582409196</v>
      </c>
      <c r="H7" s="60">
        <v>76.742932912045987</v>
      </c>
      <c r="I7" s="60">
        <v>68.403998065639641</v>
      </c>
      <c r="J7" s="60">
        <v>82.516980211193015</v>
      </c>
      <c r="K7" s="58" t="s">
        <v>1650</v>
      </c>
      <c r="M7" s="62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</row>
    <row r="8" spans="1:25" s="54" customFormat="1" ht="330" customHeight="1" x14ac:dyDescent="0.25">
      <c r="A8" s="57">
        <v>2</v>
      </c>
      <c r="B8" s="58" t="s">
        <v>1550</v>
      </c>
      <c r="C8" s="58" t="s">
        <v>1551</v>
      </c>
      <c r="D8" s="59" t="s">
        <v>1552</v>
      </c>
      <c r="E8" s="60">
        <v>69.368563444421099</v>
      </c>
      <c r="F8" s="60">
        <v>0.1156142724073685</v>
      </c>
      <c r="G8" s="60">
        <v>0.12929473299523483</v>
      </c>
      <c r="H8" s="60">
        <v>6.4647366497617424</v>
      </c>
      <c r="I8" s="60">
        <v>5.7622743424725131</v>
      </c>
      <c r="J8" s="60">
        <v>6.9511357718155526</v>
      </c>
      <c r="K8" s="58" t="s">
        <v>1651</v>
      </c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</row>
    <row r="9" spans="1:25" s="54" customFormat="1" ht="303.75" x14ac:dyDescent="0.25">
      <c r="A9" s="57">
        <v>3</v>
      </c>
      <c r="B9" s="58" t="s">
        <v>1553</v>
      </c>
      <c r="C9" s="58" t="s">
        <v>1554</v>
      </c>
      <c r="D9" s="58" t="s">
        <v>1555</v>
      </c>
      <c r="E9" s="66">
        <v>12.309489589985281</v>
      </c>
      <c r="F9" s="60">
        <v>2.0515815983308802E-2</v>
      </c>
      <c r="G9" s="60">
        <v>2.2943421210098142E-2</v>
      </c>
      <c r="H9" s="60">
        <v>1.147171060504907</v>
      </c>
      <c r="I9" s="60">
        <v>1.0225187392000001</v>
      </c>
      <c r="J9" s="60">
        <v>1.2334828512095894</v>
      </c>
      <c r="K9" s="58" t="s">
        <v>1618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</row>
    <row r="10" spans="1:25" s="54" customFormat="1" ht="78.75" customHeight="1" x14ac:dyDescent="0.25">
      <c r="A10" s="67">
        <v>3.1</v>
      </c>
      <c r="B10" s="68" t="s">
        <v>1556</v>
      </c>
      <c r="C10" s="53"/>
      <c r="D10" s="53"/>
      <c r="E10" s="69">
        <v>905.1527433478027</v>
      </c>
      <c r="F10" s="69">
        <v>1.5085879055796712</v>
      </c>
      <c r="G10" s="69">
        <v>1.6870968124462524</v>
      </c>
      <c r="H10" s="70">
        <v>84.354840622312636</v>
      </c>
      <c r="I10" s="70">
        <v>75.188791147312173</v>
      </c>
      <c r="J10" s="70">
        <v>90.701598834218146</v>
      </c>
      <c r="K10" s="53" t="s">
        <v>1652</v>
      </c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spans="1:25" s="54" customFormat="1" ht="236.25" x14ac:dyDescent="0.25">
      <c r="A11" s="57">
        <v>4</v>
      </c>
      <c r="B11" s="58" t="s">
        <v>1557</v>
      </c>
      <c r="C11" s="58" t="s">
        <v>1558</v>
      </c>
      <c r="D11" s="59" t="s">
        <v>1559</v>
      </c>
      <c r="E11" s="86">
        <v>54.068652380952273</v>
      </c>
      <c r="F11" s="60">
        <v>9.011442063492045E-2</v>
      </c>
      <c r="G11" s="61">
        <v>0.10077752263975449</v>
      </c>
      <c r="H11" s="60">
        <v>5.038876131987724</v>
      </c>
      <c r="I11" s="60">
        <v>4.4913487158552856</v>
      </c>
      <c r="J11" s="60">
        <v>5.4179951989379695</v>
      </c>
      <c r="K11" s="58" t="s">
        <v>1653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spans="1:25" s="54" customFormat="1" ht="337.5" x14ac:dyDescent="0.25">
      <c r="A12" s="57">
        <v>5</v>
      </c>
      <c r="B12" s="58" t="s">
        <v>1560</v>
      </c>
      <c r="C12" s="58" t="s">
        <v>1561</v>
      </c>
      <c r="D12" s="59"/>
      <c r="E12" s="61">
        <v>87.745250577500002</v>
      </c>
      <c r="F12" s="60">
        <v>0.14624208429583332</v>
      </c>
      <c r="G12" s="60">
        <v>0.16354668716914664</v>
      </c>
      <c r="H12" s="60">
        <v>8.1773343584573333</v>
      </c>
      <c r="I12" s="60">
        <v>7.2887801184127472</v>
      </c>
      <c r="J12" s="60">
        <v>8.7925873019535992</v>
      </c>
      <c r="K12" s="72" t="s">
        <v>1654</v>
      </c>
      <c r="L12" s="71"/>
      <c r="M12" s="71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</row>
    <row r="13" spans="1:25" s="54" customFormat="1" ht="87.75" customHeight="1" outlineLevel="1" x14ac:dyDescent="0.25">
      <c r="A13" s="73">
        <v>5.0999999999999996</v>
      </c>
      <c r="B13" s="74" t="s">
        <v>1562</v>
      </c>
      <c r="C13" s="58" t="s">
        <v>1563</v>
      </c>
      <c r="D13" s="59"/>
      <c r="E13" s="60">
        <v>8.1649999999999991</v>
      </c>
      <c r="F13" s="60">
        <v>1.3608333333333332E-2</v>
      </c>
      <c r="G13" s="60">
        <v>1.5218586669333648E-2</v>
      </c>
      <c r="H13" s="60">
        <v>0.76092933346668246</v>
      </c>
      <c r="I13" s="60">
        <v>0.6782462785752259</v>
      </c>
      <c r="J13" s="86">
        <v>0.8181807544904337</v>
      </c>
      <c r="K13" s="75" t="s">
        <v>1655</v>
      </c>
      <c r="L13" s="71"/>
      <c r="M13" s="71"/>
      <c r="N13" s="71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</row>
    <row r="14" spans="1:25" s="54" customFormat="1" ht="67.5" outlineLevel="1" x14ac:dyDescent="0.25">
      <c r="A14" s="73">
        <v>5.2</v>
      </c>
      <c r="B14" s="74" t="s">
        <v>1565</v>
      </c>
      <c r="C14" s="58" t="s">
        <v>1566</v>
      </c>
      <c r="D14" s="59"/>
      <c r="E14" s="60">
        <v>33.135929699999998</v>
      </c>
      <c r="F14" s="60">
        <v>5.52265495E-2</v>
      </c>
      <c r="G14" s="60">
        <v>6.17614229036616E-2</v>
      </c>
      <c r="H14" s="60">
        <v>3.08807114518308</v>
      </c>
      <c r="I14" s="60">
        <v>2.752519412878788</v>
      </c>
      <c r="J14" s="86">
        <v>3.3204139574633165</v>
      </c>
      <c r="K14" s="58" t="s">
        <v>1656</v>
      </c>
      <c r="L14" s="71"/>
      <c r="M14" s="71"/>
      <c r="N14" s="71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</row>
    <row r="15" spans="1:25" s="54" customFormat="1" ht="122.25" customHeight="1" outlineLevel="1" x14ac:dyDescent="0.25">
      <c r="A15" s="73">
        <v>5.3</v>
      </c>
      <c r="B15" s="74" t="s">
        <v>1567</v>
      </c>
      <c r="C15" s="58" t="s">
        <v>1566</v>
      </c>
      <c r="D15" s="59"/>
      <c r="E15" s="60">
        <v>15.9603892</v>
      </c>
      <c r="F15" s="60">
        <v>2.6600648666666667E-2</v>
      </c>
      <c r="G15" s="60">
        <v>2.9748262867911421E-2</v>
      </c>
      <c r="H15" s="60">
        <v>1.4874131433955711</v>
      </c>
      <c r="I15" s="60">
        <v>1.3257899056353004</v>
      </c>
      <c r="J15" s="86">
        <v>1.5993243450847485</v>
      </c>
      <c r="K15" s="76" t="s">
        <v>1657</v>
      </c>
      <c r="L15" s="71"/>
      <c r="M15" s="71"/>
      <c r="N15" s="71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</row>
    <row r="16" spans="1:25" s="54" customFormat="1" ht="81" customHeight="1" outlineLevel="1" x14ac:dyDescent="0.25">
      <c r="A16" s="73">
        <v>5.4</v>
      </c>
      <c r="B16" s="77" t="s">
        <v>1568</v>
      </c>
      <c r="C16" s="58" t="s">
        <v>1566</v>
      </c>
      <c r="D16" s="59"/>
      <c r="E16" s="60">
        <v>2.3271923999999999</v>
      </c>
      <c r="F16" s="60">
        <v>3.878654E-3</v>
      </c>
      <c r="G16" s="60">
        <v>4.3376092144047258E-3</v>
      </c>
      <c r="H16" s="60">
        <v>0.21688046072023626</v>
      </c>
      <c r="I16" s="60">
        <v>0.19331409489633175</v>
      </c>
      <c r="J16" s="86">
        <v>0.23319828948884305</v>
      </c>
      <c r="K16" s="58" t="s">
        <v>1658</v>
      </c>
      <c r="L16" s="71"/>
      <c r="M16" s="71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</row>
    <row r="17" spans="1:25" ht="236.25" outlineLevel="1" x14ac:dyDescent="0.5">
      <c r="A17" s="73">
        <v>5.5</v>
      </c>
      <c r="B17" s="78" t="s">
        <v>1604</v>
      </c>
      <c r="C17" s="79" t="s">
        <v>1569</v>
      </c>
      <c r="D17" s="59"/>
      <c r="E17" s="60">
        <v>28.156739277499998</v>
      </c>
      <c r="F17" s="60">
        <v>4.6927898795833332E-2</v>
      </c>
      <c r="G17" s="60">
        <v>5.248080551383523E-2</v>
      </c>
      <c r="H17" s="60">
        <v>2.6240402756917613</v>
      </c>
      <c r="I17" s="60">
        <v>2.3389104264270997</v>
      </c>
      <c r="J17" s="86">
        <v>2.8214699554262559</v>
      </c>
      <c r="K17" s="80" t="s">
        <v>1659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</row>
    <row r="18" spans="1:25" s="54" customFormat="1" ht="236.25" x14ac:dyDescent="0.25">
      <c r="A18" s="57">
        <v>6</v>
      </c>
      <c r="B18" s="81" t="s">
        <v>1570</v>
      </c>
      <c r="C18" s="58" t="s">
        <v>1571</v>
      </c>
      <c r="D18" s="59"/>
      <c r="E18" s="61">
        <v>9.953430993740799</v>
      </c>
      <c r="F18" s="60">
        <v>1.6589051656234664E-2</v>
      </c>
      <c r="G18" s="60">
        <v>1.8552008846965843E-2</v>
      </c>
      <c r="H18" s="60">
        <v>0.9276004423482922</v>
      </c>
      <c r="I18" s="60">
        <v>0.82680680104837845</v>
      </c>
      <c r="J18" s="86">
        <v>0.99739200002784023</v>
      </c>
      <c r="K18" s="58" t="s">
        <v>1660</v>
      </c>
      <c r="L18" s="64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 spans="1:25" s="54" customFormat="1" ht="69.75" customHeight="1" collapsed="1" x14ac:dyDescent="0.25">
      <c r="A19" s="57">
        <v>7</v>
      </c>
      <c r="B19" s="81" t="s">
        <v>1572</v>
      </c>
      <c r="C19" s="58"/>
      <c r="D19" s="59"/>
      <c r="E19" s="60">
        <v>37.803917399999996</v>
      </c>
      <c r="F19" s="60">
        <v>6.3006528999999992E-2</v>
      </c>
      <c r="G19" s="60">
        <v>7.0461995516500966E-2</v>
      </c>
      <c r="H19" s="60">
        <v>3.523099775825048</v>
      </c>
      <c r="I19" s="60">
        <v>3.1402775618022325</v>
      </c>
      <c r="J19" s="86">
        <v>3.7881736265800408</v>
      </c>
      <c r="K19" s="58" t="s">
        <v>1661</v>
      </c>
      <c r="L19" s="82"/>
      <c r="M19" s="71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spans="1:25" s="54" customFormat="1" hidden="1" outlineLevel="1" x14ac:dyDescent="0.25">
      <c r="A20" s="57">
        <v>7.1</v>
      </c>
      <c r="B20" s="83" t="s">
        <v>200</v>
      </c>
      <c r="C20" s="58"/>
      <c r="D20" s="59"/>
      <c r="E20" s="60">
        <v>14.824332</v>
      </c>
      <c r="F20" s="60"/>
      <c r="G20" s="60"/>
      <c r="H20" s="60">
        <v>1.3815393836924448</v>
      </c>
      <c r="I20" s="60">
        <v>1.2314204545454546</v>
      </c>
      <c r="J20" s="60">
        <v>1.4854847692071869</v>
      </c>
      <c r="K20" s="5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 spans="1:25" s="54" customFormat="1" hidden="1" outlineLevel="1" x14ac:dyDescent="0.25">
      <c r="A21" s="57">
        <v>7.2</v>
      </c>
      <c r="B21" s="83" t="s">
        <v>83</v>
      </c>
      <c r="C21" s="58"/>
      <c r="D21" s="59"/>
      <c r="E21" s="60">
        <v>4.8402025499999999</v>
      </c>
      <c r="F21" s="60"/>
      <c r="G21" s="60"/>
      <c r="H21" s="60">
        <v>0.45107802819537501</v>
      </c>
      <c r="I21" s="60">
        <v>0.40206360895135568</v>
      </c>
      <c r="J21" s="60">
        <v>0.48501660431665916</v>
      </c>
      <c r="K21" s="5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 spans="1:25" s="54" customFormat="1" hidden="1" outlineLevel="1" x14ac:dyDescent="0.25">
      <c r="A22" s="57">
        <v>7.3</v>
      </c>
      <c r="B22" s="83" t="s">
        <v>1573</v>
      </c>
      <c r="C22" s="58"/>
      <c r="D22" s="59"/>
      <c r="E22" s="60">
        <v>0.55035149999999999</v>
      </c>
      <c r="F22" s="60"/>
      <c r="G22" s="60"/>
      <c r="H22" s="60">
        <v>5.12894794938627E-2</v>
      </c>
      <c r="I22" s="60">
        <v>4.5716332735247216E-2</v>
      </c>
      <c r="J22" s="60">
        <v>5.5148439131040054E-2</v>
      </c>
      <c r="K22" s="59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</row>
    <row r="23" spans="1:25" s="54" customFormat="1" hidden="1" outlineLevel="1" x14ac:dyDescent="0.25">
      <c r="A23" s="57">
        <v>7.4</v>
      </c>
      <c r="B23" s="83" t="s">
        <v>1574</v>
      </c>
      <c r="C23" s="58"/>
      <c r="D23" s="59"/>
      <c r="E23" s="60">
        <v>0.67941249999999997</v>
      </c>
      <c r="F23" s="60"/>
      <c r="G23" s="60"/>
      <c r="H23" s="60">
        <v>6.3317195440775562E-2</v>
      </c>
      <c r="I23" s="60">
        <v>5.6437109582668794E-2</v>
      </c>
      <c r="J23" s="60">
        <v>6.8081106167817748E-2</v>
      </c>
      <c r="K23" s="59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</row>
    <row r="24" spans="1:25" s="54" customFormat="1" hidden="1" outlineLevel="1" x14ac:dyDescent="0.25">
      <c r="A24" s="57">
        <v>7.5</v>
      </c>
      <c r="B24" s="83" t="s">
        <v>1575</v>
      </c>
      <c r="C24" s="58"/>
      <c r="D24" s="59"/>
      <c r="E24" s="60">
        <v>0.12016110000000001</v>
      </c>
      <c r="F24" s="60"/>
      <c r="G24" s="60"/>
      <c r="H24" s="60">
        <v>1.1198298313732197E-2</v>
      </c>
      <c r="I24" s="60">
        <v>9.9814842503987266E-3</v>
      </c>
      <c r="J24" s="60">
        <v>1.2040845004090689E-2</v>
      </c>
      <c r="K24" s="59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</row>
    <row r="25" spans="1:25" s="54" customFormat="1" hidden="1" outlineLevel="1" x14ac:dyDescent="0.25">
      <c r="A25" s="57">
        <v>7.6</v>
      </c>
      <c r="B25" s="83" t="s">
        <v>1576</v>
      </c>
      <c r="C25" s="58"/>
      <c r="D25" s="59"/>
      <c r="E25" s="60">
        <v>0.33143250000000002</v>
      </c>
      <c r="F25" s="60"/>
      <c r="G25" s="60"/>
      <c r="H25" s="60">
        <v>3.0887533535112831E-2</v>
      </c>
      <c r="I25" s="60">
        <v>2.7531274920255186E-2</v>
      </c>
      <c r="J25" s="60">
        <v>3.3211474943374251E-2</v>
      </c>
      <c r="K25" s="59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</row>
    <row r="26" spans="1:25" s="54" customFormat="1" ht="67.5" hidden="1" outlineLevel="1" x14ac:dyDescent="0.25">
      <c r="A26" s="57">
        <v>7.7</v>
      </c>
      <c r="B26" s="83" t="s">
        <v>1053</v>
      </c>
      <c r="C26" s="58"/>
      <c r="D26" s="59"/>
      <c r="E26" s="60">
        <v>11.737347</v>
      </c>
      <c r="F26" s="60"/>
      <c r="G26" s="60"/>
      <c r="H26" s="60">
        <v>1.093850781307675</v>
      </c>
      <c r="I26" s="60">
        <v>0.97499227472089323</v>
      </c>
      <c r="J26" s="60">
        <v>1.1761508174128636</v>
      </c>
      <c r="K26" s="59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</row>
    <row r="27" spans="1:25" s="54" customFormat="1" hidden="1" outlineLevel="1" x14ac:dyDescent="0.25">
      <c r="A27" s="57">
        <v>7.8</v>
      </c>
      <c r="B27" s="83" t="s">
        <v>1059</v>
      </c>
      <c r="C27" s="58"/>
      <c r="D27" s="59"/>
      <c r="E27" s="60">
        <v>0.97846599999999995</v>
      </c>
      <c r="F27" s="60"/>
      <c r="G27" s="60"/>
      <c r="H27" s="60">
        <v>9.1187199167153815E-2</v>
      </c>
      <c r="I27" s="60">
        <v>8.1278741360978207E-2</v>
      </c>
      <c r="J27" s="60">
        <v>9.8048015936709962E-2</v>
      </c>
      <c r="K27" s="59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</row>
    <row r="28" spans="1:25" s="54" customFormat="1" hidden="1" outlineLevel="1" x14ac:dyDescent="0.25">
      <c r="A28" s="57">
        <v>7.9</v>
      </c>
      <c r="B28" s="83" t="s">
        <v>1365</v>
      </c>
      <c r="C28" s="58"/>
      <c r="D28" s="59"/>
      <c r="E28" s="60">
        <v>1.0651232500000001</v>
      </c>
      <c r="F28" s="60"/>
      <c r="G28" s="60"/>
      <c r="H28" s="60">
        <v>9.9263138356689123E-2</v>
      </c>
      <c r="I28" s="60">
        <v>8.847714397262095E-2</v>
      </c>
      <c r="J28" s="60">
        <v>0.10673157921742842</v>
      </c>
      <c r="K28" s="59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</row>
    <row r="29" spans="1:25" s="54" customFormat="1" hidden="1" outlineLevel="1" x14ac:dyDescent="0.25">
      <c r="A29" s="84" t="s">
        <v>1577</v>
      </c>
      <c r="B29" s="83" t="s">
        <v>1578</v>
      </c>
      <c r="C29" s="58"/>
      <c r="D29" s="59"/>
      <c r="E29" s="60">
        <v>0.14902874999999999</v>
      </c>
      <c r="F29" s="60"/>
      <c r="G29" s="60"/>
      <c r="H29" s="60">
        <v>1.3888591231460239E-2</v>
      </c>
      <c r="I29" s="60">
        <v>1.2379448265550239E-2</v>
      </c>
      <c r="J29" s="60">
        <v>1.4933552371802356E-2</v>
      </c>
      <c r="K29" s="59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</row>
    <row r="30" spans="1:25" s="54" customFormat="1" hidden="1" outlineLevel="1" x14ac:dyDescent="0.25">
      <c r="A30" s="57">
        <v>7.11</v>
      </c>
      <c r="B30" s="83" t="s">
        <v>1579</v>
      </c>
      <c r="C30" s="58"/>
      <c r="D30" s="59"/>
      <c r="E30" s="85">
        <v>0.163605</v>
      </c>
      <c r="F30" s="85"/>
      <c r="G30" s="85"/>
      <c r="H30" s="60">
        <v>1.5247010851416609E-2</v>
      </c>
      <c r="I30" s="60">
        <v>1.3590261164274324E-2</v>
      </c>
      <c r="J30" s="60">
        <v>1.6394177873656761E-2</v>
      </c>
      <c r="K30" s="59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spans="1:25" s="54" customFormat="1" hidden="1" outlineLevel="1" x14ac:dyDescent="0.25">
      <c r="A31" s="57">
        <v>7.12</v>
      </c>
      <c r="B31" s="83" t="s">
        <v>1070</v>
      </c>
      <c r="C31" s="58"/>
      <c r="D31" s="59"/>
      <c r="E31" s="60">
        <v>0.24140249999999999</v>
      </c>
      <c r="F31" s="60"/>
      <c r="G31" s="60"/>
      <c r="H31" s="60">
        <v>2.2497274148461827E-2</v>
      </c>
      <c r="I31" s="60">
        <v>2.0052706339712918E-2</v>
      </c>
      <c r="J31" s="60">
        <v>2.4189942386512793E-2</v>
      </c>
      <c r="K31" s="59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</row>
    <row r="32" spans="1:25" s="54" customFormat="1" hidden="1" outlineLevel="1" x14ac:dyDescent="0.25">
      <c r="A32" s="57">
        <v>7.13</v>
      </c>
      <c r="B32" s="83" t="s">
        <v>1580</v>
      </c>
      <c r="C32" s="58"/>
      <c r="D32" s="59"/>
      <c r="E32" s="60">
        <v>1.347451875</v>
      </c>
      <c r="F32" s="60"/>
      <c r="G32" s="60"/>
      <c r="H32" s="60">
        <v>0.12557448341974053</v>
      </c>
      <c r="I32" s="60">
        <v>0.11192948190789473</v>
      </c>
      <c r="J32" s="60">
        <v>0.13502255869284135</v>
      </c>
      <c r="K32" s="59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</row>
    <row r="33" spans="1:25" s="54" customFormat="1" hidden="1" outlineLevel="1" x14ac:dyDescent="0.25">
      <c r="A33" s="57"/>
      <c r="B33" s="83"/>
      <c r="C33" s="58"/>
      <c r="D33" s="59"/>
      <c r="E33" s="60"/>
      <c r="F33" s="60"/>
      <c r="G33" s="60"/>
      <c r="H33" s="60"/>
      <c r="I33" s="60"/>
      <c r="J33" s="60"/>
      <c r="K33" s="59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 spans="1:25" s="54" customFormat="1" hidden="1" outlineLevel="1" x14ac:dyDescent="0.25">
      <c r="A34" s="57">
        <v>7.14</v>
      </c>
      <c r="B34" s="83" t="s">
        <v>1581</v>
      </c>
      <c r="C34" s="58"/>
      <c r="D34" s="59"/>
      <c r="E34" s="60">
        <v>0.77560087499999997</v>
      </c>
      <c r="F34" s="60"/>
      <c r="G34" s="60"/>
      <c r="H34" s="60">
        <v>7.2281378671148283E-2</v>
      </c>
      <c r="I34" s="60">
        <v>6.4427239084928228E-2</v>
      </c>
      <c r="J34" s="60">
        <v>7.7719743918057652E-2</v>
      </c>
      <c r="K34" s="59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 spans="1:25" s="54" customFormat="1" ht="202.5" collapsed="1" x14ac:dyDescent="0.25">
      <c r="A35" s="57">
        <v>8</v>
      </c>
      <c r="B35" s="58" t="s">
        <v>1582</v>
      </c>
      <c r="C35" s="58" t="s">
        <v>1583</v>
      </c>
      <c r="D35" s="59"/>
      <c r="E35" s="86">
        <v>5.5942534218955622</v>
      </c>
      <c r="F35" s="60">
        <v>9.3237557031592699E-3</v>
      </c>
      <c r="G35" s="61">
        <v>1.042702150046956E-2</v>
      </c>
      <c r="H35" s="60">
        <v>0.52135107502347799</v>
      </c>
      <c r="I35" s="60">
        <v>0.4647007427810641</v>
      </c>
      <c r="J35" s="60">
        <v>0.56057691188453185</v>
      </c>
      <c r="K35" s="58" t="s">
        <v>1662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</row>
    <row r="36" spans="1:25" s="54" customFormat="1" ht="67.5" x14ac:dyDescent="0.25">
      <c r="A36" s="57">
        <v>9</v>
      </c>
      <c r="B36" s="58" t="s">
        <v>1584</v>
      </c>
      <c r="C36" s="58"/>
      <c r="D36" s="59"/>
      <c r="E36" s="60">
        <v>2.72</v>
      </c>
      <c r="F36" s="60">
        <v>4.5333333333333337E-3</v>
      </c>
      <c r="G36" s="61">
        <v>5.0697557551240089E-3</v>
      </c>
      <c r="H36" s="60">
        <v>0.2534877877562004</v>
      </c>
      <c r="I36" s="60">
        <v>0.22594364699627859</v>
      </c>
      <c r="J36" s="60">
        <v>0.27255990841567423</v>
      </c>
      <c r="K36" s="58" t="s">
        <v>1663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1:25" s="54" customFormat="1" ht="409.6" customHeight="1" x14ac:dyDescent="0.25">
      <c r="A37" s="57">
        <v>10</v>
      </c>
      <c r="B37" s="58" t="s">
        <v>795</v>
      </c>
      <c r="C37" s="58" t="s">
        <v>1585</v>
      </c>
      <c r="D37" s="59" t="s">
        <v>1586</v>
      </c>
      <c r="E37" s="85">
        <v>115.84337253479001</v>
      </c>
      <c r="F37" s="60">
        <v>0.19307228755798334</v>
      </c>
      <c r="G37" s="60">
        <v>0.21591823698574489</v>
      </c>
      <c r="H37" s="60">
        <v>10.795911849287245</v>
      </c>
      <c r="I37" s="60">
        <v>9.6228213495805104</v>
      </c>
      <c r="J37" s="60">
        <v>11.608183459060735</v>
      </c>
      <c r="K37" s="58" t="s">
        <v>1664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pans="1:25" s="54" customFormat="1" ht="66" customHeight="1" x14ac:dyDescent="0.25">
      <c r="A38" s="57">
        <v>11</v>
      </c>
      <c r="B38" s="58" t="s">
        <v>1587</v>
      </c>
      <c r="C38" s="58"/>
      <c r="D38" s="59"/>
      <c r="E38" s="60">
        <v>219.3986917182026</v>
      </c>
      <c r="F38" s="60">
        <v>0.36566448619700431</v>
      </c>
      <c r="G38" s="60">
        <v>0.4089330073547926</v>
      </c>
      <c r="H38" s="60">
        <v>20.446650367739629</v>
      </c>
      <c r="I38" s="60">
        <v>18.224904615081957</v>
      </c>
      <c r="J38" s="60">
        <v>21.98503210339414</v>
      </c>
      <c r="K38" s="59" t="s">
        <v>1588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 spans="1:25" s="90" customFormat="1" ht="108.75" customHeight="1" x14ac:dyDescent="0.25">
      <c r="A39" s="345" t="s">
        <v>1589</v>
      </c>
      <c r="B39" s="345"/>
      <c r="C39" s="345"/>
      <c r="D39" s="88"/>
      <c r="E39" s="70">
        <v>1438.2803123748838</v>
      </c>
      <c r="F39" s="70">
        <v>2.3971338539581399</v>
      </c>
      <c r="G39" s="70">
        <v>2.6807830482147517</v>
      </c>
      <c r="H39" s="70">
        <v>134.03915241073759</v>
      </c>
      <c r="I39" s="70">
        <v>119.47437469887062</v>
      </c>
      <c r="J39" s="70">
        <v>144.12409934447268</v>
      </c>
      <c r="K39" s="88" t="s">
        <v>1665</v>
      </c>
    </row>
    <row r="40" spans="1:25" s="54" customFormat="1" ht="270" x14ac:dyDescent="0.25">
      <c r="A40" s="57">
        <v>12</v>
      </c>
      <c r="B40" s="58" t="s">
        <v>1590</v>
      </c>
      <c r="C40" s="58"/>
      <c r="D40" s="58" t="s">
        <v>1591</v>
      </c>
      <c r="E40" s="66">
        <v>27.915118418941052</v>
      </c>
      <c r="F40" s="60">
        <v>4.6525197364901752E-2</v>
      </c>
      <c r="G40" s="61">
        <v>5.2030453036542135E-2</v>
      </c>
      <c r="H40" s="60">
        <v>2.6015226518271066</v>
      </c>
      <c r="I40" s="60">
        <v>2.3188395815840188</v>
      </c>
      <c r="J40" s="60">
        <v>2.7972581322350272</v>
      </c>
      <c r="K40" s="58" t="s">
        <v>1666</v>
      </c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 spans="1:25" s="54" customFormat="1" x14ac:dyDescent="0.25">
      <c r="A41" s="92">
        <v>12.1</v>
      </c>
      <c r="B41" s="77" t="s">
        <v>1590</v>
      </c>
      <c r="C41" s="58"/>
      <c r="D41" s="58"/>
      <c r="E41" s="66">
        <v>6.1812675999999982</v>
      </c>
      <c r="F41" s="66"/>
      <c r="G41" s="60">
        <v>1.1521145951860866E-2</v>
      </c>
      <c r="H41" s="60">
        <v>0.57605729759304336</v>
      </c>
      <c r="I41" s="60">
        <v>0.51346255316321099</v>
      </c>
      <c r="J41" s="60">
        <v>0.61939916578999044</v>
      </c>
      <c r="K41" s="58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</row>
    <row r="42" spans="1:25" s="54" customFormat="1" x14ac:dyDescent="0.25">
      <c r="A42" s="92">
        <v>12.2</v>
      </c>
      <c r="B42" s="93" t="s">
        <v>1592</v>
      </c>
      <c r="C42" s="58"/>
      <c r="D42" s="58"/>
      <c r="E42" s="66">
        <v>18.96</v>
      </c>
      <c r="F42" s="66"/>
      <c r="G42" s="60">
        <v>3.533917982248206E-2</v>
      </c>
      <c r="H42" s="60">
        <v>1.766958991124103</v>
      </c>
      <c r="I42" s="60">
        <v>1.5749601275917067</v>
      </c>
      <c r="J42" s="60">
        <v>1.899902891015141</v>
      </c>
      <c r="K42" s="58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</row>
    <row r="43" spans="1:25" s="54" customFormat="1" x14ac:dyDescent="0.25">
      <c r="A43" s="92">
        <v>12.3</v>
      </c>
      <c r="B43" s="77" t="s">
        <v>1448</v>
      </c>
      <c r="C43" s="58"/>
      <c r="D43" s="58"/>
      <c r="E43" s="66">
        <v>2.7738508189410536</v>
      </c>
      <c r="F43" s="66"/>
      <c r="G43" s="60">
        <v>5.1701272621992094E-3</v>
      </c>
      <c r="H43" s="60">
        <v>0.2585063631099605</v>
      </c>
      <c r="I43" s="60">
        <v>0.23041690082910138</v>
      </c>
      <c r="J43" s="60">
        <v>0.27795607542989581</v>
      </c>
      <c r="K43" s="58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</row>
    <row r="44" spans="1:25" s="54" customFormat="1" x14ac:dyDescent="0.25">
      <c r="A44" s="57">
        <v>13</v>
      </c>
      <c r="B44" s="58" t="s">
        <v>1593</v>
      </c>
      <c r="C44" s="58"/>
      <c r="D44" s="59"/>
      <c r="E44" s="85">
        <v>31.600733395899312</v>
      </c>
      <c r="F44" s="60">
        <v>5.2667888993165518E-2</v>
      </c>
      <c r="G44" s="60">
        <v>5.8900000000000001E-2</v>
      </c>
      <c r="H44" s="60">
        <v>2.9449999999999998</v>
      </c>
      <c r="I44" s="60">
        <v>2.6249944673627157</v>
      </c>
      <c r="J44" s="60">
        <v>3.1665783089170794</v>
      </c>
      <c r="K44" s="59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</row>
    <row r="45" spans="1:25" s="54" customFormat="1" outlineLevel="1" x14ac:dyDescent="0.25">
      <c r="A45" s="59">
        <v>13.1</v>
      </c>
      <c r="B45" s="58" t="s">
        <v>1594</v>
      </c>
      <c r="C45" s="58"/>
      <c r="D45" s="59" t="s">
        <v>1595</v>
      </c>
      <c r="E45" s="85">
        <v>14.432253452456562</v>
      </c>
      <c r="F45" s="60">
        <v>2.4053755754094269E-2</v>
      </c>
      <c r="G45" s="61">
        <v>2.69E-2</v>
      </c>
      <c r="H45" s="60">
        <v>1.345</v>
      </c>
      <c r="I45" s="60">
        <v>1.1988514630230398</v>
      </c>
      <c r="J45" s="60">
        <v>1.4461962056004998</v>
      </c>
      <c r="K45" s="94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</row>
    <row r="46" spans="1:25" s="54" customFormat="1" outlineLevel="1" x14ac:dyDescent="0.25">
      <c r="A46" s="59">
        <v>13.2</v>
      </c>
      <c r="B46" s="58" t="s">
        <v>1595</v>
      </c>
      <c r="C46" s="58"/>
      <c r="D46" s="59" t="s">
        <v>1596</v>
      </c>
      <c r="E46" s="85">
        <v>17.168479943442751</v>
      </c>
      <c r="F46" s="60">
        <v>2.8614133239071252E-2</v>
      </c>
      <c r="G46" s="61">
        <v>3.2000000000000001E-2</v>
      </c>
      <c r="H46" s="60">
        <v>1.5999999999999999</v>
      </c>
      <c r="I46" s="60">
        <v>1.4261430043396757</v>
      </c>
      <c r="J46" s="60">
        <v>1.7203821033165796</v>
      </c>
      <c r="K46" s="59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 spans="1:25" s="54" customFormat="1" ht="202.5" x14ac:dyDescent="0.25">
      <c r="A47" s="57">
        <v>14</v>
      </c>
      <c r="B47" s="58" t="s">
        <v>1597</v>
      </c>
      <c r="C47" s="58" t="s">
        <v>1598</v>
      </c>
      <c r="D47" s="59" t="s">
        <v>1599</v>
      </c>
      <c r="E47" s="66">
        <v>148.072945007127</v>
      </c>
      <c r="F47" s="60">
        <v>0.24678824167854502</v>
      </c>
      <c r="G47" s="95">
        <v>0.27599031806178048</v>
      </c>
      <c r="H47" s="60">
        <v>13.799515903089024</v>
      </c>
      <c r="I47" s="60">
        <v>12.300051917790322</v>
      </c>
      <c r="J47" s="60">
        <v>14.837775121316801</v>
      </c>
      <c r="K47" s="58" t="s">
        <v>1667</v>
      </c>
      <c r="L47" s="96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</row>
    <row r="48" spans="1:25" s="54" customFormat="1" ht="67.5" x14ac:dyDescent="0.25">
      <c r="A48" s="57">
        <v>15</v>
      </c>
      <c r="B48" s="58" t="s">
        <v>1509</v>
      </c>
      <c r="C48" s="58"/>
      <c r="D48" s="59" t="s">
        <v>1600</v>
      </c>
      <c r="E48" s="60">
        <v>45.013959747002296</v>
      </c>
      <c r="F48" s="60">
        <v>7.5023266245003828E-2</v>
      </c>
      <c r="G48" s="60">
        <v>8.3900654958928442E-2</v>
      </c>
      <c r="H48" s="60">
        <v>4.1950327479464224</v>
      </c>
      <c r="I48" s="60">
        <v>3.7391978790372726</v>
      </c>
      <c r="J48" s="60">
        <v>4.510662038996248</v>
      </c>
      <c r="K48" s="58" t="s">
        <v>1668</v>
      </c>
      <c r="P48" s="51"/>
      <c r="Q48" s="51"/>
      <c r="R48" s="63"/>
      <c r="S48" s="63"/>
      <c r="T48" s="63"/>
      <c r="U48" s="63"/>
    </row>
    <row r="49" spans="1:21" s="90" customFormat="1" ht="75.75" customHeight="1" x14ac:dyDescent="0.25">
      <c r="A49" s="345" t="s">
        <v>1601</v>
      </c>
      <c r="B49" s="345" t="s">
        <v>1601</v>
      </c>
      <c r="C49" s="345"/>
      <c r="D49" s="88"/>
      <c r="E49" s="164">
        <v>1690.8830689438537</v>
      </c>
      <c r="F49" s="70">
        <v>2.8181384482397558</v>
      </c>
      <c r="G49" s="89">
        <v>3.1516044742720029</v>
      </c>
      <c r="H49" s="70">
        <v>157.58022371360013</v>
      </c>
      <c r="I49" s="70">
        <v>140.45745854464496</v>
      </c>
      <c r="J49" s="70">
        <v>169.43637294593782</v>
      </c>
      <c r="K49" s="88" t="s">
        <v>1669</v>
      </c>
      <c r="P49" s="165"/>
      <c r="Q49" s="165"/>
      <c r="R49" s="91"/>
      <c r="S49" s="91"/>
      <c r="T49" s="91"/>
      <c r="U49" s="91"/>
    </row>
    <row r="51" spans="1:21" hidden="1" x14ac:dyDescent="0.5"/>
    <row r="52" spans="1:21" hidden="1" x14ac:dyDescent="0.5"/>
    <row r="53" spans="1:21" hidden="1" x14ac:dyDescent="0.5"/>
    <row r="54" spans="1:21" hidden="1" x14ac:dyDescent="0.5"/>
    <row r="55" spans="1:21" hidden="1" x14ac:dyDescent="0.5"/>
    <row r="56" spans="1:21" hidden="1" x14ac:dyDescent="0.5"/>
    <row r="57" spans="1:21" hidden="1" x14ac:dyDescent="0.5"/>
    <row r="58" spans="1:21" hidden="1" x14ac:dyDescent="0.5"/>
    <row r="59" spans="1:21" hidden="1" x14ac:dyDescent="0.5"/>
    <row r="60" spans="1:21" hidden="1" x14ac:dyDescent="0.5"/>
    <row r="61" spans="1:21" hidden="1" x14ac:dyDescent="0.5"/>
    <row r="62" spans="1:21" hidden="1" x14ac:dyDescent="0.5"/>
    <row r="63" spans="1:21" hidden="1" x14ac:dyDescent="0.5">
      <c r="E63" s="51">
        <v>46.719360480136935</v>
      </c>
    </row>
    <row r="64" spans="1:21" hidden="1" x14ac:dyDescent="0.5">
      <c r="E64" s="51">
        <v>49.376073275905533</v>
      </c>
    </row>
    <row r="66" spans="2:11" x14ac:dyDescent="0.5">
      <c r="B66" s="90"/>
      <c r="C66" s="90"/>
      <c r="D66" s="90"/>
      <c r="E66" s="90"/>
      <c r="F66" s="90"/>
      <c r="G66" s="90"/>
      <c r="H66" s="90"/>
      <c r="I66" s="90"/>
      <c r="J66" s="90"/>
      <c r="K66" s="90"/>
    </row>
    <row r="67" spans="2:11" x14ac:dyDescent="0.5">
      <c r="B67" s="90"/>
      <c r="C67" s="90"/>
      <c r="D67" s="90"/>
      <c r="E67" s="90"/>
      <c r="F67" s="90"/>
      <c r="G67" s="90"/>
      <c r="H67" s="90"/>
      <c r="I67" s="90"/>
      <c r="J67" s="90"/>
      <c r="K67" s="90"/>
    </row>
    <row r="68" spans="2:11" x14ac:dyDescent="0.5">
      <c r="B68" s="90"/>
      <c r="C68" s="90"/>
      <c r="D68" s="90"/>
      <c r="E68" s="90"/>
      <c r="F68" s="90"/>
      <c r="G68" s="90"/>
      <c r="H68" s="90"/>
      <c r="I68" s="90"/>
      <c r="J68" s="90"/>
      <c r="K68" s="90"/>
    </row>
    <row r="69" spans="2:11" x14ac:dyDescent="0.5">
      <c r="B69" s="90"/>
      <c r="C69" s="90"/>
      <c r="D69" s="90"/>
      <c r="E69" s="90"/>
      <c r="F69" s="90"/>
      <c r="G69" s="90"/>
      <c r="H69" s="90"/>
      <c r="I69" s="90"/>
      <c r="J69" s="90"/>
      <c r="K69" s="90"/>
    </row>
    <row r="70" spans="2:11" x14ac:dyDescent="0.5">
      <c r="B70" s="90"/>
      <c r="C70" s="90"/>
      <c r="D70" s="90"/>
      <c r="E70" s="90"/>
      <c r="F70" s="90"/>
      <c r="G70" s="90"/>
      <c r="H70" s="90"/>
      <c r="I70" s="90"/>
      <c r="J70" s="90"/>
      <c r="K70" s="90"/>
    </row>
    <row r="71" spans="2:11" x14ac:dyDescent="0.5">
      <c r="B71" s="90"/>
      <c r="C71" s="90"/>
      <c r="D71" s="90"/>
      <c r="E71" s="90"/>
      <c r="F71" s="90"/>
      <c r="G71" s="90"/>
      <c r="H71" s="90"/>
      <c r="I71" s="90"/>
      <c r="J71" s="90"/>
      <c r="K71" s="90"/>
    </row>
    <row r="72" spans="2:11" x14ac:dyDescent="0.5">
      <c r="B72" s="90"/>
      <c r="C72" s="90"/>
      <c r="D72" s="90"/>
      <c r="E72" s="90"/>
      <c r="F72" s="90"/>
      <c r="G72" s="90"/>
      <c r="H72" s="90"/>
      <c r="I72" s="90"/>
      <c r="J72" s="90"/>
      <c r="K72" s="90"/>
    </row>
    <row r="73" spans="2:11" x14ac:dyDescent="0.5">
      <c r="B73" s="90"/>
      <c r="C73" s="90"/>
      <c r="D73" s="90"/>
      <c r="E73" s="90"/>
      <c r="F73" s="90"/>
      <c r="G73" s="90"/>
      <c r="H73" s="90"/>
      <c r="I73" s="90"/>
      <c r="J73" s="90"/>
      <c r="K73" s="90"/>
    </row>
    <row r="74" spans="2:11" x14ac:dyDescent="0.5">
      <c r="B74" s="90"/>
      <c r="C74" s="90"/>
      <c r="D74" s="90"/>
      <c r="E74" s="90"/>
      <c r="F74" s="90"/>
      <c r="G74" s="90"/>
      <c r="H74" s="90"/>
      <c r="I74" s="90"/>
      <c r="J74" s="90"/>
      <c r="K74" s="90"/>
    </row>
    <row r="75" spans="2:11" x14ac:dyDescent="0.5">
      <c r="B75" s="90"/>
      <c r="C75" s="90"/>
      <c r="D75" s="90"/>
      <c r="E75" s="90"/>
      <c r="F75" s="90"/>
      <c r="G75" s="90"/>
      <c r="H75" s="90"/>
      <c r="I75" s="90"/>
      <c r="J75" s="90"/>
      <c r="K75" s="90"/>
    </row>
    <row r="76" spans="2:11" x14ac:dyDescent="0.5">
      <c r="B76" s="90"/>
      <c r="C76" s="90"/>
      <c r="D76" s="90"/>
      <c r="E76" s="90"/>
      <c r="F76" s="90"/>
      <c r="G76" s="90"/>
      <c r="H76" s="90"/>
      <c r="I76" s="90"/>
      <c r="J76" s="90"/>
      <c r="K76" s="90"/>
    </row>
    <row r="77" spans="2:11" x14ac:dyDescent="0.5">
      <c r="B77" s="90"/>
      <c r="C77" s="90"/>
      <c r="D77" s="90"/>
      <c r="E77" s="90"/>
      <c r="F77" s="90"/>
      <c r="G77" s="90"/>
      <c r="H77" s="90"/>
      <c r="I77" s="90"/>
      <c r="J77" s="90"/>
      <c r="K77" s="90"/>
    </row>
    <row r="78" spans="2:11" x14ac:dyDescent="0.5">
      <c r="B78" s="90"/>
      <c r="C78" s="90"/>
      <c r="D78" s="90"/>
      <c r="E78" s="90"/>
      <c r="F78" s="90"/>
      <c r="G78" s="90"/>
      <c r="H78" s="90"/>
      <c r="I78" s="90"/>
      <c r="J78" s="90"/>
      <c r="K78" s="90"/>
    </row>
    <row r="79" spans="2:11" x14ac:dyDescent="0.5">
      <c r="B79" s="90"/>
      <c r="C79" s="90"/>
      <c r="D79" s="90"/>
      <c r="E79" s="90"/>
      <c r="F79" s="90"/>
      <c r="G79" s="90"/>
      <c r="H79" s="90"/>
      <c r="I79" s="90"/>
      <c r="J79" s="90"/>
      <c r="K79" s="90"/>
    </row>
    <row r="80" spans="2:11" x14ac:dyDescent="0.5">
      <c r="B80" s="90"/>
      <c r="C80" s="90"/>
      <c r="D80" s="90"/>
      <c r="E80" s="90"/>
      <c r="F80" s="90"/>
      <c r="G80" s="90"/>
      <c r="H80" s="90"/>
      <c r="I80" s="90"/>
      <c r="J80" s="90"/>
      <c r="K80" s="90"/>
    </row>
    <row r="81" spans="2:11" x14ac:dyDescent="0.5">
      <c r="B81" s="90"/>
      <c r="C81" s="90"/>
      <c r="D81" s="90"/>
      <c r="E81" s="90"/>
      <c r="F81" s="90"/>
      <c r="G81" s="90"/>
      <c r="H81" s="90"/>
      <c r="I81" s="90"/>
      <c r="J81" s="90"/>
      <c r="K81" s="90"/>
    </row>
  </sheetData>
  <mergeCells count="9">
    <mergeCell ref="A39:C39"/>
    <mergeCell ref="A49:C49"/>
    <mergeCell ref="A1:K1"/>
    <mergeCell ref="A3:A6"/>
    <mergeCell ref="B3:B6"/>
    <mergeCell ref="C3:C6"/>
    <mergeCell ref="D3:D6"/>
    <mergeCell ref="E3:J3"/>
    <mergeCell ref="K3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DEF3-3594-4CF6-B89C-DEE7BB378A1B}">
  <dimension ref="A1:AJ93"/>
  <sheetViews>
    <sheetView topLeftCell="C68" workbookViewId="0">
      <selection activeCell="I90" sqref="I90"/>
    </sheetView>
    <sheetView workbookViewId="1"/>
  </sheetViews>
  <sheetFormatPr defaultRowHeight="13.5" x14ac:dyDescent="0.25"/>
  <cols>
    <col min="1" max="1" width="4" bestFit="1" customWidth="1"/>
    <col min="2" max="2" width="13.109375" customWidth="1"/>
    <col min="3" max="3" width="8.33203125" customWidth="1"/>
    <col min="4" max="4" width="4" bestFit="1" customWidth="1"/>
    <col min="5" max="5" width="3.6640625" bestFit="1" customWidth="1"/>
    <col min="6" max="6" width="34" bestFit="1" customWidth="1"/>
    <col min="7" max="8" width="15.44140625" customWidth="1"/>
    <col min="9" max="9" width="13.44140625" bestFit="1" customWidth="1"/>
    <col min="11" max="11" width="15.109375" bestFit="1" customWidth="1"/>
    <col min="12" max="12" width="12" bestFit="1" customWidth="1"/>
    <col min="13" max="13" width="16.6640625" bestFit="1" customWidth="1"/>
    <col min="14" max="14" width="13" bestFit="1" customWidth="1"/>
    <col min="15" max="15" width="12.5546875" bestFit="1" customWidth="1"/>
    <col min="16" max="16" width="3.5546875" customWidth="1"/>
    <col min="17" max="17" width="13" bestFit="1" customWidth="1"/>
    <col min="18" max="18" width="12" bestFit="1" customWidth="1"/>
    <col min="19" max="20" width="13.21875" bestFit="1" customWidth="1"/>
    <col min="21" max="21" width="12" bestFit="1" customWidth="1"/>
    <col min="22" max="22" width="3.6640625" customWidth="1"/>
    <col min="23" max="24" width="12" bestFit="1" customWidth="1"/>
    <col min="25" max="25" width="12.33203125" bestFit="1" customWidth="1"/>
    <col min="26" max="27" width="12" bestFit="1" customWidth="1"/>
    <col min="28" max="28" width="3.6640625" customWidth="1"/>
    <col min="29" max="29" width="13.21875" bestFit="1" customWidth="1"/>
    <col min="30" max="30" width="12" bestFit="1" customWidth="1"/>
    <col min="31" max="31" width="12.33203125" bestFit="1" customWidth="1"/>
    <col min="32" max="32" width="12" bestFit="1" customWidth="1"/>
    <col min="33" max="33" width="13.21875" bestFit="1" customWidth="1"/>
  </cols>
  <sheetData>
    <row r="1" spans="1:33" ht="14.25" thickBot="1" x14ac:dyDescent="0.3">
      <c r="B1" s="1"/>
      <c r="C1" s="1"/>
      <c r="D1" s="1" t="s">
        <v>1234</v>
      </c>
      <c r="E1" s="2" t="s">
        <v>1235</v>
      </c>
      <c r="F1" s="2" t="s">
        <v>1236</v>
      </c>
      <c r="G1" s="2" t="s">
        <v>1237</v>
      </c>
      <c r="H1" s="2" t="s">
        <v>1238</v>
      </c>
      <c r="I1" s="2" t="s">
        <v>1239</v>
      </c>
    </row>
    <row r="2" spans="1:33" ht="15" x14ac:dyDescent="0.25">
      <c r="B2" s="3" t="s">
        <v>1240</v>
      </c>
      <c r="C2" s="3" t="s">
        <v>1239</v>
      </c>
      <c r="D2" s="4" t="s">
        <v>56</v>
      </c>
      <c r="E2" s="5">
        <v>0</v>
      </c>
      <c r="F2" s="6" t="s">
        <v>1241</v>
      </c>
      <c r="G2" s="7" t="s">
        <v>130</v>
      </c>
      <c r="H2" s="7" t="s">
        <v>65</v>
      </c>
      <c r="I2" s="7" t="s">
        <v>143</v>
      </c>
      <c r="K2" s="351" t="s">
        <v>1242</v>
      </c>
      <c r="L2" s="352"/>
      <c r="M2" s="352"/>
      <c r="N2" s="352"/>
      <c r="O2" s="353"/>
      <c r="P2" s="32"/>
      <c r="Q2" s="351" t="s">
        <v>1237</v>
      </c>
      <c r="R2" s="352"/>
      <c r="S2" s="352"/>
      <c r="T2" s="352"/>
      <c r="U2" s="353"/>
      <c r="W2" s="351" t="s">
        <v>1243</v>
      </c>
      <c r="X2" s="352"/>
      <c r="Y2" s="352"/>
      <c r="Z2" s="352"/>
      <c r="AA2" s="353"/>
      <c r="AC2" s="351" t="s">
        <v>1239</v>
      </c>
      <c r="AD2" s="352"/>
      <c r="AE2" s="352"/>
      <c r="AF2" s="352"/>
      <c r="AG2" s="353"/>
    </row>
    <row r="3" spans="1:33" ht="15" customHeight="1" x14ac:dyDescent="0.25">
      <c r="B3" s="8" t="s">
        <v>1244</v>
      </c>
      <c r="C3" s="9" t="s">
        <v>1245</v>
      </c>
      <c r="D3" s="10" t="s">
        <v>147</v>
      </c>
      <c r="E3" s="11">
        <v>1</v>
      </c>
      <c r="F3" s="12" t="s">
        <v>1241</v>
      </c>
      <c r="G3" s="13" t="s">
        <v>130</v>
      </c>
      <c r="H3" s="13" t="s">
        <v>65</v>
      </c>
      <c r="I3" s="13" t="s">
        <v>143</v>
      </c>
      <c r="K3" s="37" t="s">
        <v>1246</v>
      </c>
      <c r="L3" s="38" t="s">
        <v>1247</v>
      </c>
      <c r="M3" s="38" t="s">
        <v>1248</v>
      </c>
      <c r="N3" s="38" t="s">
        <v>1249</v>
      </c>
      <c r="O3" s="39" t="s">
        <v>1250</v>
      </c>
      <c r="P3" s="33"/>
      <c r="Q3" s="37" t="s">
        <v>1251</v>
      </c>
      <c r="R3" s="38" t="s">
        <v>1252</v>
      </c>
      <c r="S3" s="38" t="s">
        <v>1253</v>
      </c>
      <c r="T3" s="38" t="s">
        <v>1254</v>
      </c>
      <c r="U3" s="39" t="s">
        <v>1255</v>
      </c>
      <c r="W3" s="37" t="s">
        <v>1251</v>
      </c>
      <c r="X3" s="38" t="s">
        <v>1252</v>
      </c>
      <c r="Y3" s="38" t="s">
        <v>1253</v>
      </c>
      <c r="Z3" s="38" t="s">
        <v>1254</v>
      </c>
      <c r="AA3" s="39" t="s">
        <v>1255</v>
      </c>
      <c r="AC3" s="37" t="s">
        <v>1251</v>
      </c>
      <c r="AD3" s="38" t="s">
        <v>1252</v>
      </c>
      <c r="AE3" s="38" t="s">
        <v>1253</v>
      </c>
      <c r="AF3" s="38" t="s">
        <v>1254</v>
      </c>
      <c r="AG3" s="39" t="s">
        <v>1255</v>
      </c>
    </row>
    <row r="4" spans="1:33" s="40" customFormat="1" x14ac:dyDescent="0.25">
      <c r="A4" s="40">
        <v>1</v>
      </c>
      <c r="B4" s="14" t="s">
        <v>1244</v>
      </c>
      <c r="C4" s="15" t="s">
        <v>1245</v>
      </c>
      <c r="D4" s="16">
        <v>3</v>
      </c>
      <c r="E4" s="16">
        <v>2</v>
      </c>
      <c r="F4" s="17" t="s">
        <v>906</v>
      </c>
      <c r="G4" s="18" t="s">
        <v>934</v>
      </c>
      <c r="H4" s="18" t="s">
        <v>1256</v>
      </c>
      <c r="I4" s="18" t="s">
        <v>1257</v>
      </c>
      <c r="J4" s="13" t="s">
        <v>1258</v>
      </c>
      <c r="K4" s="42">
        <f>Q4</f>
        <v>15424113969</v>
      </c>
      <c r="L4" s="42">
        <f t="shared" ref="L4:M6" si="0">R4</f>
        <v>24214800</v>
      </c>
      <c r="M4" s="42">
        <f t="shared" si="0"/>
        <v>1280990907.8999984</v>
      </c>
      <c r="N4" s="42">
        <f>M4+L4</f>
        <v>1305205707.8999984</v>
      </c>
      <c r="O4" s="43">
        <f>K4-N4</f>
        <v>14118908261.100002</v>
      </c>
      <c r="P4"/>
      <c r="Q4" s="41">
        <f>SUM(Q5:Q7)</f>
        <v>15424113969</v>
      </c>
      <c r="R4" s="42">
        <f t="shared" ref="R4:U4" si="1">SUM(R5:R7)</f>
        <v>24214800</v>
      </c>
      <c r="S4" s="42">
        <f t="shared" si="1"/>
        <v>1280990907.8999984</v>
      </c>
      <c r="T4" s="42">
        <f t="shared" si="1"/>
        <v>1305205707.8999984</v>
      </c>
      <c r="U4" s="43">
        <f t="shared" si="1"/>
        <v>14118908261.100002</v>
      </c>
      <c r="V4"/>
      <c r="W4" s="41">
        <f t="shared" ref="W4:AA4" si="2">SUM(W5:W7)</f>
        <v>0</v>
      </c>
      <c r="X4" s="42">
        <f t="shared" si="2"/>
        <v>0</v>
      </c>
      <c r="Y4" s="42">
        <f t="shared" si="2"/>
        <v>0</v>
      </c>
      <c r="Z4" s="42">
        <f t="shared" si="2"/>
        <v>0</v>
      </c>
      <c r="AA4" s="43">
        <f t="shared" si="2"/>
        <v>0</v>
      </c>
      <c r="AB4"/>
      <c r="AC4" s="41">
        <f t="shared" ref="AC4:AG4" si="3">SUM(AC5:AC7)</f>
        <v>17946171840</v>
      </c>
      <c r="AD4" s="42">
        <f t="shared" si="3"/>
        <v>6813600</v>
      </c>
      <c r="AE4" s="42">
        <f t="shared" si="3"/>
        <v>10597288419.9</v>
      </c>
      <c r="AF4" s="42">
        <f t="shared" si="3"/>
        <v>10604102019.9</v>
      </c>
      <c r="AG4" s="43">
        <f t="shared" si="3"/>
        <v>7342069820.1000004</v>
      </c>
    </row>
    <row r="5" spans="1:33" x14ac:dyDescent="0.25">
      <c r="B5" s="19" t="s">
        <v>1244</v>
      </c>
      <c r="C5" s="20" t="s">
        <v>1245</v>
      </c>
      <c r="D5" s="1">
        <v>4</v>
      </c>
      <c r="E5" s="1">
        <v>3</v>
      </c>
      <c r="F5" s="21" t="s">
        <v>704</v>
      </c>
      <c r="G5" s="22" t="s">
        <v>710</v>
      </c>
      <c r="H5" s="23" t="s">
        <v>1259</v>
      </c>
      <c r="I5" s="23" t="s">
        <v>1260</v>
      </c>
      <c r="J5" s="13" t="s">
        <v>1261</v>
      </c>
      <c r="K5" s="35">
        <f>Q5</f>
        <v>15422501597</v>
      </c>
      <c r="L5" s="35">
        <f t="shared" si="0"/>
        <v>24214800</v>
      </c>
      <c r="M5" s="35">
        <f t="shared" si="0"/>
        <v>571531726.80000007</v>
      </c>
      <c r="N5" s="34">
        <f t="shared" ref="N5:N68" si="4">M5+L5</f>
        <v>595746526.80000007</v>
      </c>
      <c r="O5" s="36">
        <f t="shared" ref="O5:O68" si="5">K5-N5</f>
        <v>14826755070.200001</v>
      </c>
      <c r="Q5" s="35">
        <f>SUMIF(Budgeted_01jun!U:U,'SAP Working'!G5,Budgeted_01jun!R:R)</f>
        <v>15422501597</v>
      </c>
      <c r="R5" s="34">
        <f>SUMIF('Actual_30 jun'!I:I,'SAP Working'!G5,'Actual_30 jun'!K:K)</f>
        <v>24214800</v>
      </c>
      <c r="S5" s="34">
        <f>SUMIF('Commited_30 Jun'!H:H,'SAP Working'!G5,'Commited_30 Jun'!I:I)</f>
        <v>571531726.80000007</v>
      </c>
      <c r="T5" s="34">
        <f t="shared" ref="T5:T68" si="6">S5+R5</f>
        <v>595746526.80000007</v>
      </c>
      <c r="U5" s="36">
        <f t="shared" ref="U5:U68" si="7">Q5-T5</f>
        <v>14826755070.200001</v>
      </c>
      <c r="W5" s="35">
        <f>SUMIF(Budgeted_01jun!$U:$U,H5,Budgeted_01jun!$R:$R)</f>
        <v>0</v>
      </c>
      <c r="X5" s="34">
        <f>SUMIF('Actual_30 jun'!$I:$I,'SAP Working'!H5,'Actual_30 jun'!$K:$K)</f>
        <v>0</v>
      </c>
      <c r="Y5" s="34">
        <f>SUMIF('Commited_30 Jun'!$H:$H,'SAP Working'!H5,'Commited_30 Jun'!$I:$I)</f>
        <v>0</v>
      </c>
      <c r="Z5" s="34">
        <f t="shared" ref="Z5:Z68" si="8">Y5+X5</f>
        <v>0</v>
      </c>
      <c r="AA5" s="36">
        <f t="shared" ref="AA5:AA68" si="9">W5-Z5</f>
        <v>0</v>
      </c>
      <c r="AC5" s="35">
        <f>SUMIF(Budgeted_01jun!$U:$U,'SAP Working'!I5,Budgeted_01jun!$R:$R)</f>
        <v>17946171840</v>
      </c>
      <c r="AD5" s="34">
        <f>SUMIF('Actual_30 jun'!$I:$I,'SAP Working'!I5,'Actual_30 jun'!$K:$K)</f>
        <v>6813600</v>
      </c>
      <c r="AE5" s="34">
        <f>SUMIF('Commited_30 Jun'!$H:$H,'SAP Working'!I5,'Commited_30 Jun'!$I:$I)</f>
        <v>10597288419.9</v>
      </c>
      <c r="AF5" s="34">
        <f t="shared" ref="AF5:AF68" si="10">AE5+AD5</f>
        <v>10604102019.9</v>
      </c>
      <c r="AG5" s="36">
        <f t="shared" ref="AG5:AG68" si="11">AC5-AF5</f>
        <v>7342069820.1000004</v>
      </c>
    </row>
    <row r="6" spans="1:33" x14ac:dyDescent="0.25">
      <c r="B6" s="19" t="s">
        <v>1244</v>
      </c>
      <c r="C6" s="20" t="s">
        <v>1245</v>
      </c>
      <c r="D6" s="1">
        <v>5</v>
      </c>
      <c r="E6" s="1">
        <v>3</v>
      </c>
      <c r="F6" s="21" t="s">
        <v>1262</v>
      </c>
      <c r="G6" s="22" t="s">
        <v>1263</v>
      </c>
      <c r="H6" s="23" t="s">
        <v>1264</v>
      </c>
      <c r="I6" s="23" t="s">
        <v>1265</v>
      </c>
      <c r="J6" s="13" t="s">
        <v>1266</v>
      </c>
      <c r="K6" s="35">
        <f>Q6</f>
        <v>1612372</v>
      </c>
      <c r="L6" s="35">
        <f t="shared" si="0"/>
        <v>0</v>
      </c>
      <c r="M6" s="35">
        <f t="shared" si="0"/>
        <v>709459181.09999835</v>
      </c>
      <c r="N6" s="34">
        <f t="shared" si="4"/>
        <v>709459181.09999835</v>
      </c>
      <c r="O6" s="36">
        <f t="shared" si="5"/>
        <v>-707846809.09999835</v>
      </c>
      <c r="Q6" s="35">
        <f>SUMIF(Budgeted_01jun!U:U,'SAP Working'!G6,Budgeted_01jun!R:R)</f>
        <v>1612372</v>
      </c>
      <c r="R6" s="34"/>
      <c r="S6" s="34">
        <f>SUMIF('Commited_30 Jun'!H:H,'SAP Working'!G6,'Commited_30 Jun'!I:I)</f>
        <v>709459181.09999835</v>
      </c>
      <c r="T6" s="34">
        <f t="shared" si="6"/>
        <v>709459181.09999835</v>
      </c>
      <c r="U6" s="36">
        <f t="shared" si="7"/>
        <v>-707846809.09999835</v>
      </c>
      <c r="W6" s="35">
        <f>SUMIF(Budgeted_01jun!$U:$U,H6,Budgeted_01jun!$R:$R)</f>
        <v>0</v>
      </c>
      <c r="X6" s="34">
        <f>SUMIF('Actual_30 jun'!$I:$I,'SAP Working'!H6,'Actual_30 jun'!$K:$K)</f>
        <v>0</v>
      </c>
      <c r="Y6" s="34">
        <f>SUMIF('Commited_30 Jun'!$H:$H,'SAP Working'!H6,'Commited_30 Jun'!$I:$I)</f>
        <v>0</v>
      </c>
      <c r="Z6" s="34">
        <f t="shared" si="8"/>
        <v>0</v>
      </c>
      <c r="AA6" s="36">
        <f t="shared" si="9"/>
        <v>0</v>
      </c>
      <c r="AC6" s="35">
        <f>SUMIF(Budgeted_01jun!$U:$U,'SAP Working'!I6,Budgeted_01jun!$R:$R)</f>
        <v>0</v>
      </c>
      <c r="AD6" s="34">
        <f>SUMIF('Actual_30 jun'!$I:$I,'SAP Working'!I6,'Actual_30 jun'!$K:$K)</f>
        <v>0</v>
      </c>
      <c r="AE6" s="34">
        <f>SUMIF('Commited_30 Jun'!$H:$H,'SAP Working'!I6,'Commited_30 Jun'!$I:$I)</f>
        <v>0</v>
      </c>
      <c r="AF6" s="34">
        <f t="shared" si="10"/>
        <v>0</v>
      </c>
      <c r="AG6" s="36">
        <f t="shared" si="11"/>
        <v>0</v>
      </c>
    </row>
    <row r="7" spans="1:33" x14ac:dyDescent="0.25">
      <c r="B7" s="19" t="s">
        <v>1244</v>
      </c>
      <c r="C7" s="20" t="s">
        <v>1245</v>
      </c>
      <c r="D7" s="1">
        <v>6</v>
      </c>
      <c r="E7" s="1">
        <v>3</v>
      </c>
      <c r="F7" s="21" t="s">
        <v>1267</v>
      </c>
      <c r="G7" s="23" t="s">
        <v>1268</v>
      </c>
      <c r="H7" s="23" t="s">
        <v>1269</v>
      </c>
      <c r="I7" s="23" t="s">
        <v>1270</v>
      </c>
      <c r="J7" s="31" t="s">
        <v>1271</v>
      </c>
      <c r="K7" s="35"/>
      <c r="L7" s="35"/>
      <c r="M7" s="35"/>
      <c r="N7" s="34">
        <f t="shared" si="4"/>
        <v>0</v>
      </c>
      <c r="O7" s="36">
        <f t="shared" si="5"/>
        <v>0</v>
      </c>
      <c r="Q7" s="35">
        <f>SUMIF(Budgeted_01jun!U:U,'SAP Working'!G7,Budgeted_01jun!R:R)</f>
        <v>0</v>
      </c>
      <c r="R7" s="34">
        <f>SUMIF('Actual_30 jun'!I:I,'SAP Working'!G7,'Actual_30 jun'!K:K)</f>
        <v>0</v>
      </c>
      <c r="S7" s="34">
        <f>SUMIF('Commited_30 Jun'!H:H,'SAP Working'!G7,'Commited_30 Jun'!I:I)</f>
        <v>0</v>
      </c>
      <c r="T7" s="34">
        <f t="shared" si="6"/>
        <v>0</v>
      </c>
      <c r="U7" s="36">
        <f t="shared" si="7"/>
        <v>0</v>
      </c>
      <c r="W7" s="35">
        <f>SUMIF(Budgeted_01jun!$U:$U,H7,Budgeted_01jun!$R:$R)</f>
        <v>0</v>
      </c>
      <c r="X7" s="34">
        <f>SUMIF('Actual_30 jun'!$I:$I,'SAP Working'!H7,'Actual_30 jun'!$K:$K)</f>
        <v>0</v>
      </c>
      <c r="Y7" s="34">
        <f>SUMIF('Commited_30 Jun'!$H:$H,'SAP Working'!H7,'Commited_30 Jun'!$I:$I)</f>
        <v>0</v>
      </c>
      <c r="Z7" s="34">
        <f t="shared" si="8"/>
        <v>0</v>
      </c>
      <c r="AA7" s="36">
        <f t="shared" si="9"/>
        <v>0</v>
      </c>
      <c r="AC7" s="35">
        <f>SUMIF(Budgeted_01jun!$U:$U,'SAP Working'!I7,Budgeted_01jun!$R:$R)</f>
        <v>0</v>
      </c>
      <c r="AD7" s="34">
        <f>SUMIF('Actual_30 jun'!$I:$I,'SAP Working'!I7,'Actual_30 jun'!$K:$K)</f>
        <v>0</v>
      </c>
      <c r="AE7" s="34">
        <f>SUMIF('Commited_30 Jun'!$H:$H,'SAP Working'!I7,'Commited_30 Jun'!$I:$I)</f>
        <v>0</v>
      </c>
      <c r="AF7" s="34">
        <f t="shared" si="10"/>
        <v>0</v>
      </c>
      <c r="AG7" s="36">
        <f t="shared" si="11"/>
        <v>0</v>
      </c>
    </row>
    <row r="8" spans="1:33" x14ac:dyDescent="0.25">
      <c r="A8">
        <v>2</v>
      </c>
      <c r="B8" s="14" t="s">
        <v>1244</v>
      </c>
      <c r="C8" s="15" t="s">
        <v>1245</v>
      </c>
      <c r="D8" s="16">
        <f t="shared" ref="D8:D18" si="12">D7+1</f>
        <v>7</v>
      </c>
      <c r="E8" s="16">
        <v>2</v>
      </c>
      <c r="F8" s="17" t="s">
        <v>910</v>
      </c>
      <c r="G8" s="18" t="s">
        <v>937</v>
      </c>
      <c r="H8" s="18" t="s">
        <v>1272</v>
      </c>
      <c r="I8" s="18" t="s">
        <v>1273</v>
      </c>
      <c r="J8" s="31" t="s">
        <v>1274</v>
      </c>
      <c r="K8" s="41">
        <f t="shared" ref="K8:K10" si="13">Q8</f>
        <v>1108615959.76</v>
      </c>
      <c r="L8" s="41">
        <f t="shared" ref="L8:L13" si="14">R8</f>
        <v>3688830</v>
      </c>
      <c r="M8" s="41">
        <f t="shared" ref="M8:M13" si="15">S8</f>
        <v>3316866206.3999987</v>
      </c>
      <c r="N8" s="42">
        <f t="shared" si="4"/>
        <v>3320555036.3999987</v>
      </c>
      <c r="O8" s="43">
        <f t="shared" si="5"/>
        <v>-2211939076.6399984</v>
      </c>
      <c r="Q8" s="41">
        <f>SUM(Q9:Q10)</f>
        <v>1108615959.76</v>
      </c>
      <c r="R8" s="42">
        <f>SUM(R9:R10)</f>
        <v>3688830</v>
      </c>
      <c r="S8" s="42">
        <f t="shared" ref="S8:U8" si="16">SUM(S9:S10)</f>
        <v>3316866206.3999987</v>
      </c>
      <c r="T8" s="42">
        <f t="shared" si="16"/>
        <v>3320555036.3999987</v>
      </c>
      <c r="U8" s="42">
        <f t="shared" si="16"/>
        <v>-2211939076.6399989</v>
      </c>
      <c r="W8" s="41">
        <f t="shared" ref="W8:AG8" si="17">SUM(W9:W10)</f>
        <v>0</v>
      </c>
      <c r="X8" s="34">
        <f>SUMIF('Actual_30 jun'!$I:$I,'SAP Working'!H8,'Actual_30 jun'!$K:$K)</f>
        <v>0</v>
      </c>
      <c r="Y8" s="34">
        <f>SUMIF('Commited_30 Jun'!$H:$H,'SAP Working'!H8,'Commited_30 Jun'!$I:$I)</f>
        <v>0</v>
      </c>
      <c r="Z8" s="42">
        <f t="shared" si="17"/>
        <v>0</v>
      </c>
      <c r="AA8" s="43">
        <f t="shared" si="17"/>
        <v>0</v>
      </c>
      <c r="AC8" s="41">
        <f t="shared" si="17"/>
        <v>1254575958</v>
      </c>
      <c r="AD8" s="41">
        <f t="shared" si="17"/>
        <v>0</v>
      </c>
      <c r="AE8" s="41">
        <f t="shared" si="17"/>
        <v>1009265563.8</v>
      </c>
      <c r="AF8" s="41">
        <f t="shared" si="17"/>
        <v>1009265563.8</v>
      </c>
      <c r="AG8" s="43">
        <f t="shared" si="17"/>
        <v>245310394.20000005</v>
      </c>
    </row>
    <row r="9" spans="1:33" x14ac:dyDescent="0.25">
      <c r="B9" s="19" t="s">
        <v>1244</v>
      </c>
      <c r="C9" s="20" t="s">
        <v>1245</v>
      </c>
      <c r="D9" s="1">
        <f t="shared" si="12"/>
        <v>8</v>
      </c>
      <c r="E9" s="1">
        <v>3</v>
      </c>
      <c r="F9" s="21" t="s">
        <v>691</v>
      </c>
      <c r="G9" s="22" t="s">
        <v>698</v>
      </c>
      <c r="H9" s="23" t="s">
        <v>1275</v>
      </c>
      <c r="I9" s="23" t="s">
        <v>1276</v>
      </c>
      <c r="J9" s="31" t="s">
        <v>1277</v>
      </c>
      <c r="K9" s="35">
        <f t="shared" si="13"/>
        <v>1107003587.76</v>
      </c>
      <c r="L9" s="35">
        <f t="shared" si="14"/>
        <v>3688830</v>
      </c>
      <c r="M9" s="35">
        <f t="shared" si="15"/>
        <v>569053988.10000002</v>
      </c>
      <c r="N9" s="34">
        <f t="shared" si="4"/>
        <v>572742818.10000002</v>
      </c>
      <c r="O9" s="36">
        <f t="shared" si="5"/>
        <v>534260769.65999997</v>
      </c>
      <c r="Q9" s="35">
        <f>SUMIF(Budgeted_01jun!U:U,'SAP Working'!G9,Budgeted_01jun!R:R)</f>
        <v>1107003587.76</v>
      </c>
      <c r="R9" s="34">
        <f>SUMIF('Actual_30 jun'!I:I,'SAP Working'!G9,'Actual_30 jun'!K:K)</f>
        <v>3688830</v>
      </c>
      <c r="S9" s="34">
        <f>SUMIF('Commited_30 Jun'!H:H,'SAP Working'!G9,'Commited_30 Jun'!I:I)</f>
        <v>569053988.10000002</v>
      </c>
      <c r="T9" s="34">
        <f t="shared" si="6"/>
        <v>572742818.10000002</v>
      </c>
      <c r="U9" s="36">
        <f t="shared" si="7"/>
        <v>534260769.65999997</v>
      </c>
      <c r="W9" s="35">
        <f>SUMIF(Budgeted_01jun!$U:$U,H9,Budgeted_01jun!$R:$R)</f>
        <v>0</v>
      </c>
      <c r="X9" s="34">
        <f>SUMIF('Actual_30 jun'!$I:$I,'SAP Working'!H9,'Actual_30 jun'!$K:$K)</f>
        <v>0</v>
      </c>
      <c r="Y9" s="34">
        <f>SUMIF('Commited_30 Jun'!$H:$H,'SAP Working'!H9,'Commited_30 Jun'!$I:$I)</f>
        <v>0</v>
      </c>
      <c r="Z9" s="34">
        <f t="shared" si="8"/>
        <v>0</v>
      </c>
      <c r="AA9" s="36">
        <f t="shared" si="9"/>
        <v>0</v>
      </c>
      <c r="AC9" s="35">
        <f>SUMIF(Budgeted_01jun!$U:$U,'SAP Working'!I9,Budgeted_01jun!$R:$R)</f>
        <v>1254575958</v>
      </c>
      <c r="AD9" s="34">
        <f>SUMIF('Actual_30 jun'!$I:$I,'SAP Working'!I9,'Actual_30 jun'!$K:$K)</f>
        <v>0</v>
      </c>
      <c r="AE9" s="34">
        <f>SUMIF('Commited_30 Jun'!$H:$H,'SAP Working'!I9,'Commited_30 Jun'!$I:$I)</f>
        <v>1009265563.8</v>
      </c>
      <c r="AF9" s="34">
        <f t="shared" si="10"/>
        <v>1009265563.8</v>
      </c>
      <c r="AG9" s="36">
        <f t="shared" si="11"/>
        <v>245310394.20000005</v>
      </c>
    </row>
    <row r="10" spans="1:33" x14ac:dyDescent="0.25">
      <c r="B10" s="19" t="s">
        <v>1244</v>
      </c>
      <c r="C10" s="20" t="s">
        <v>1245</v>
      </c>
      <c r="D10" s="1">
        <f t="shared" si="12"/>
        <v>9</v>
      </c>
      <c r="E10" s="1">
        <v>3</v>
      </c>
      <c r="F10" s="21" t="s">
        <v>1278</v>
      </c>
      <c r="G10" s="22" t="s">
        <v>1279</v>
      </c>
      <c r="H10" s="23" t="s">
        <v>1280</v>
      </c>
      <c r="I10" s="23" t="s">
        <v>1281</v>
      </c>
      <c r="J10" s="31" t="s">
        <v>1282</v>
      </c>
      <c r="K10" s="35">
        <f t="shared" si="13"/>
        <v>1612372</v>
      </c>
      <c r="L10" s="35">
        <f t="shared" si="14"/>
        <v>0</v>
      </c>
      <c r="M10" s="35">
        <f t="shared" si="15"/>
        <v>2747812218.2999988</v>
      </c>
      <c r="N10" s="34">
        <f t="shared" si="4"/>
        <v>2747812218.2999988</v>
      </c>
      <c r="O10" s="36">
        <f t="shared" si="5"/>
        <v>-2746199846.2999988</v>
      </c>
      <c r="Q10" s="35">
        <f>SUMIF(Budgeted_01jun!U:U,'SAP Working'!G10,Budgeted_01jun!R:R)</f>
        <v>1612372</v>
      </c>
      <c r="R10" s="34">
        <f>SUMIF('Actual_30 jun'!I:I,'SAP Working'!G10,'Actual_30 jun'!K:K)</f>
        <v>0</v>
      </c>
      <c r="S10" s="34">
        <f>SUMIF('Commited_30 Jun'!H:H,'SAP Working'!G10,'Commited_30 Jun'!I:I)</f>
        <v>2747812218.2999988</v>
      </c>
      <c r="T10" s="34">
        <f t="shared" si="6"/>
        <v>2747812218.2999988</v>
      </c>
      <c r="U10" s="36">
        <f t="shared" si="7"/>
        <v>-2746199846.2999988</v>
      </c>
      <c r="W10" s="35">
        <f>SUMIF(Budgeted_01jun!$U:$U,H10,Budgeted_01jun!$R:$R)</f>
        <v>0</v>
      </c>
      <c r="X10" s="34">
        <f>SUMIF('Actual_30 jun'!$I:$I,'SAP Working'!H10,'Actual_30 jun'!$K:$K)</f>
        <v>0</v>
      </c>
      <c r="Y10" s="34">
        <f>SUMIF('Commited_30 Jun'!$H:$H,'SAP Working'!H10,'Commited_30 Jun'!$I:$I)</f>
        <v>0</v>
      </c>
      <c r="Z10" s="34">
        <f t="shared" si="8"/>
        <v>0</v>
      </c>
      <c r="AA10" s="36">
        <f t="shared" si="9"/>
        <v>0</v>
      </c>
      <c r="AC10" s="35">
        <f>SUMIF(Budgeted_01jun!$U:$U,'SAP Working'!I10,Budgeted_01jun!$R:$R)</f>
        <v>0</v>
      </c>
      <c r="AD10" s="34">
        <f>SUMIF('Actual_30 jun'!$I:$I,'SAP Working'!I10,'Actual_30 jun'!$K:$K)</f>
        <v>0</v>
      </c>
      <c r="AE10" s="34">
        <f>SUMIF('Commited_30 Jun'!$H:$H,'SAP Working'!I10,'Commited_30 Jun'!$I:$I)</f>
        <v>0</v>
      </c>
      <c r="AF10" s="34">
        <f t="shared" si="10"/>
        <v>0</v>
      </c>
      <c r="AG10" s="36">
        <f t="shared" si="11"/>
        <v>0</v>
      </c>
    </row>
    <row r="11" spans="1:33" x14ac:dyDescent="0.25">
      <c r="A11">
        <v>3</v>
      </c>
      <c r="B11" s="15" t="s">
        <v>1244</v>
      </c>
      <c r="C11" s="15" t="s">
        <v>1245</v>
      </c>
      <c r="D11" s="16">
        <f t="shared" si="12"/>
        <v>10</v>
      </c>
      <c r="E11" s="16">
        <v>2</v>
      </c>
      <c r="F11" s="17" t="s">
        <v>914</v>
      </c>
      <c r="G11" s="18" t="s">
        <v>940</v>
      </c>
      <c r="H11" s="18" t="s">
        <v>1283</v>
      </c>
      <c r="I11" s="18" t="s">
        <v>1284</v>
      </c>
      <c r="J11" s="31" t="s">
        <v>1285</v>
      </c>
      <c r="K11" s="41">
        <f t="shared" ref="K11:K13" si="18">Q11</f>
        <v>125000000</v>
      </c>
      <c r="L11" s="41">
        <f t="shared" si="14"/>
        <v>2921790</v>
      </c>
      <c r="M11" s="41">
        <f t="shared" si="15"/>
        <v>197806139.54999959</v>
      </c>
      <c r="N11" s="42">
        <f t="shared" si="4"/>
        <v>200727929.54999959</v>
      </c>
      <c r="O11" s="43">
        <f t="shared" si="5"/>
        <v>-75727929.549999595</v>
      </c>
      <c r="Q11" s="41">
        <f>SUM(Q12:Q13)</f>
        <v>125000000</v>
      </c>
      <c r="R11" s="42">
        <f>SUM(R12:R13)</f>
        <v>2921790</v>
      </c>
      <c r="S11" s="42">
        <f t="shared" ref="S11" si="19">SUM(S12:S13)</f>
        <v>197806139.54999959</v>
      </c>
      <c r="T11" s="42">
        <f t="shared" ref="T11:AA11" si="20">SUM(T12:T13)</f>
        <v>200727929.54999959</v>
      </c>
      <c r="U11" s="43">
        <f t="shared" si="20"/>
        <v>-75727929.549999595</v>
      </c>
      <c r="W11" s="41">
        <f t="shared" si="20"/>
        <v>0</v>
      </c>
      <c r="X11" s="34">
        <f>SUMIF('Actual_30 jun'!$I:$I,'SAP Working'!H11,'Actual_30 jun'!$K:$K)</f>
        <v>0</v>
      </c>
      <c r="Y11" s="34">
        <f>SUMIF('Commited_30 Jun'!$H:$H,'SAP Working'!H11,'Commited_30 Jun'!$I:$I)</f>
        <v>0</v>
      </c>
      <c r="Z11" s="42">
        <f t="shared" si="20"/>
        <v>0</v>
      </c>
      <c r="AA11" s="43">
        <f t="shared" si="20"/>
        <v>0</v>
      </c>
      <c r="AC11" s="41">
        <f>SUM(AC12:AC13)</f>
        <v>0</v>
      </c>
      <c r="AD11" s="41">
        <f t="shared" ref="AD11:AG11" si="21">SUM(AD12:AD13)</f>
        <v>0</v>
      </c>
      <c r="AE11" s="41">
        <f t="shared" si="21"/>
        <v>0</v>
      </c>
      <c r="AF11" s="41">
        <f t="shared" si="21"/>
        <v>0</v>
      </c>
      <c r="AG11" s="41">
        <f t="shared" si="21"/>
        <v>0</v>
      </c>
    </row>
    <row r="12" spans="1:33" x14ac:dyDescent="0.25">
      <c r="B12" s="19" t="s">
        <v>1244</v>
      </c>
      <c r="C12" s="20" t="s">
        <v>1245</v>
      </c>
      <c r="D12" s="1">
        <f t="shared" si="12"/>
        <v>11</v>
      </c>
      <c r="E12" s="1">
        <v>3</v>
      </c>
      <c r="F12" s="21" t="s">
        <v>353</v>
      </c>
      <c r="G12" s="22" t="s">
        <v>360</v>
      </c>
      <c r="H12" s="23" t="s">
        <v>1286</v>
      </c>
      <c r="I12" s="23" t="s">
        <v>1287</v>
      </c>
      <c r="J12" s="31" t="s">
        <v>1288</v>
      </c>
      <c r="K12" s="35">
        <f t="shared" si="18"/>
        <v>125000000</v>
      </c>
      <c r="L12" s="35">
        <f t="shared" si="14"/>
        <v>2921790</v>
      </c>
      <c r="M12" s="35">
        <f t="shared" si="15"/>
        <v>197806139.54999959</v>
      </c>
      <c r="N12" s="34">
        <f t="shared" si="4"/>
        <v>200727929.54999959</v>
      </c>
      <c r="O12" s="36">
        <f t="shared" si="5"/>
        <v>-75727929.549999595</v>
      </c>
      <c r="Q12" s="35">
        <f>SUMIF(Budgeted_01jun!U:U,'SAP Working'!G12,Budgeted_01jun!R:R)</f>
        <v>125000000</v>
      </c>
      <c r="R12" s="34">
        <f>SUMIF('Actual_30 jun'!I:I,'SAP Working'!G12,'Actual_30 jun'!K:K)</f>
        <v>2921790</v>
      </c>
      <c r="S12" s="34">
        <f>SUMIF('Commited_30 Jun'!H:H,'SAP Working'!G12,'Commited_30 Jun'!I:I)</f>
        <v>197806139.54999959</v>
      </c>
      <c r="T12" s="34">
        <f t="shared" si="6"/>
        <v>200727929.54999959</v>
      </c>
      <c r="U12" s="36">
        <f t="shared" si="7"/>
        <v>-75727929.549999595</v>
      </c>
      <c r="W12" s="35">
        <f>SUMIF(Budgeted_01jun!$U:$U,H12,Budgeted_01jun!$R:$R)</f>
        <v>0</v>
      </c>
      <c r="X12" s="34">
        <f>SUMIF('Actual_30 jun'!$I:$I,'SAP Working'!H12,'Actual_30 jun'!$K:$K)</f>
        <v>0</v>
      </c>
      <c r="Y12" s="34">
        <f>SUMIF('Commited_30 Jun'!$H:$H,'SAP Working'!H12,'Commited_30 Jun'!$I:$I)</f>
        <v>0</v>
      </c>
      <c r="Z12" s="34">
        <f t="shared" si="8"/>
        <v>0</v>
      </c>
      <c r="AA12" s="36">
        <f t="shared" si="9"/>
        <v>0</v>
      </c>
      <c r="AC12" s="35">
        <f>SUMIF(Budgeted_01jun!$U:$U,'SAP Working'!I12,Budgeted_01jun!$R:$R)</f>
        <v>0</v>
      </c>
      <c r="AD12" s="34">
        <f>SUMIF('Actual_30 jun'!$I:$I,'SAP Working'!I12,'Actual_30 jun'!$K:$K)</f>
        <v>0</v>
      </c>
      <c r="AE12" s="34">
        <f>SUMIF('Commited_30 Jun'!$H:$H,'SAP Working'!I12,'Commited_30 Jun'!$I:$I)</f>
        <v>0</v>
      </c>
      <c r="AF12" s="34">
        <f t="shared" si="10"/>
        <v>0</v>
      </c>
      <c r="AG12" s="36">
        <f t="shared" si="11"/>
        <v>0</v>
      </c>
    </row>
    <row r="13" spans="1:33" x14ac:dyDescent="0.25">
      <c r="B13" s="19" t="s">
        <v>1244</v>
      </c>
      <c r="C13" s="20" t="s">
        <v>1245</v>
      </c>
      <c r="D13" s="1">
        <f t="shared" si="12"/>
        <v>12</v>
      </c>
      <c r="E13" s="1">
        <v>3</v>
      </c>
      <c r="F13" s="21" t="s">
        <v>1289</v>
      </c>
      <c r="G13" s="22" t="s">
        <v>1290</v>
      </c>
      <c r="H13" s="23" t="s">
        <v>1291</v>
      </c>
      <c r="I13" s="23" t="s">
        <v>1292</v>
      </c>
      <c r="J13" s="31" t="s">
        <v>1293</v>
      </c>
      <c r="K13" s="35">
        <f t="shared" si="18"/>
        <v>0</v>
      </c>
      <c r="L13" s="35">
        <f t="shared" si="14"/>
        <v>0</v>
      </c>
      <c r="M13" s="35">
        <f t="shared" si="15"/>
        <v>0</v>
      </c>
      <c r="N13" s="34">
        <f t="shared" si="4"/>
        <v>0</v>
      </c>
      <c r="O13" s="36">
        <f t="shared" si="5"/>
        <v>0</v>
      </c>
      <c r="Q13" s="35">
        <f>SUMIF(Budgeted_01jun!U:U,'SAP Working'!G13,Budgeted_01jun!R:R)</f>
        <v>0</v>
      </c>
      <c r="R13" s="34">
        <f>SUMIF('Actual_30 jun'!I:I,'SAP Working'!G13,'Actual_30 jun'!K:K)</f>
        <v>0</v>
      </c>
      <c r="S13" s="34">
        <f>SUMIF('Commited_30 Jun'!H:H,'SAP Working'!G13,'Commited_30 Jun'!I:I)</f>
        <v>0</v>
      </c>
      <c r="T13" s="34">
        <f t="shared" si="6"/>
        <v>0</v>
      </c>
      <c r="U13" s="36">
        <f t="shared" si="7"/>
        <v>0</v>
      </c>
      <c r="W13" s="35">
        <f>SUMIF(Budgeted_01jun!$U:$U,H13,Budgeted_01jun!$R:$R)</f>
        <v>0</v>
      </c>
      <c r="X13" s="34">
        <f>SUMIF('Actual_30 jun'!$I:$I,'SAP Working'!H13,'Actual_30 jun'!$K:$K)</f>
        <v>0</v>
      </c>
      <c r="Y13" s="34">
        <f>SUMIF('Commited_30 Jun'!$H:$H,'SAP Working'!H13,'Commited_30 Jun'!$I:$I)</f>
        <v>0</v>
      </c>
      <c r="Z13" s="34">
        <f t="shared" si="8"/>
        <v>0</v>
      </c>
      <c r="AA13" s="36">
        <f t="shared" si="9"/>
        <v>0</v>
      </c>
      <c r="AC13" s="35">
        <f>SUMIF(Budgeted_01jun!$U:$U,'SAP Working'!I13,Budgeted_01jun!$R:$R)</f>
        <v>0</v>
      </c>
      <c r="AD13" s="34">
        <f>SUMIF('Actual_30 jun'!$I:$I,'SAP Working'!I13,'Actual_30 jun'!$K:$K)</f>
        <v>0</v>
      </c>
      <c r="AE13" s="34">
        <f>SUMIF('Commited_30 Jun'!$H:$H,'SAP Working'!I13,'Commited_30 Jun'!$I:$I)</f>
        <v>0</v>
      </c>
      <c r="AF13" s="34">
        <f t="shared" si="10"/>
        <v>0</v>
      </c>
      <c r="AG13" s="36">
        <f t="shared" si="11"/>
        <v>0</v>
      </c>
    </row>
    <row r="14" spans="1:33" x14ac:dyDescent="0.25">
      <c r="A14">
        <v>4</v>
      </c>
      <c r="B14" s="15" t="s">
        <v>1244</v>
      </c>
      <c r="C14" s="15" t="s">
        <v>1245</v>
      </c>
      <c r="D14" s="16">
        <f t="shared" si="12"/>
        <v>13</v>
      </c>
      <c r="E14" s="16">
        <v>2</v>
      </c>
      <c r="F14" s="15" t="s">
        <v>1294</v>
      </c>
      <c r="G14" s="24" t="s">
        <v>430</v>
      </c>
      <c r="H14" s="24" t="s">
        <v>158</v>
      </c>
      <c r="I14" s="18" t="s">
        <v>1295</v>
      </c>
      <c r="J14" s="31" t="s">
        <v>1296</v>
      </c>
      <c r="K14" s="41">
        <f>Q14+W14</f>
        <v>979795453</v>
      </c>
      <c r="L14" s="41">
        <f>R14+X14</f>
        <v>163337700</v>
      </c>
      <c r="M14" s="41">
        <f t="shared" ref="M14" si="22">S14+Y14</f>
        <v>1405703755.8</v>
      </c>
      <c r="N14" s="42">
        <f t="shared" si="4"/>
        <v>1569041455.8</v>
      </c>
      <c r="O14" s="43">
        <f t="shared" si="5"/>
        <v>-589246002.79999995</v>
      </c>
      <c r="Q14" s="41">
        <f>SUMIF(Budgeted_01jun!U:U,'SAP Working'!G14,Budgeted_01jun!R:R)</f>
        <v>956571053</v>
      </c>
      <c r="R14" s="41">
        <f>SUMIF('Actual_30 jun'!I:I,'SAP Working'!G14,'Actual_30 jun'!K:K)</f>
        <v>159804930</v>
      </c>
      <c r="S14" s="42">
        <f>SUMIF('Commited_30 Jun'!H:H,'SAP Working'!G14,'Commited_30 Jun'!I:I)</f>
        <v>0</v>
      </c>
      <c r="T14" s="42">
        <f t="shared" si="6"/>
        <v>159804930</v>
      </c>
      <c r="U14" s="43">
        <f t="shared" si="7"/>
        <v>796766123</v>
      </c>
      <c r="W14" s="41">
        <f>SUMIF(Budgeted_01jun!$U:$U,H14,Budgeted_01jun!$R:$R)</f>
        <v>23224400</v>
      </c>
      <c r="X14" s="41">
        <f>SUMIF('Actual_30 jun'!$I:$I,'SAP Working'!H14,'Actual_30 jun'!$K:$K)</f>
        <v>3532770</v>
      </c>
      <c r="Y14" s="41">
        <f>SUMIF('Commited_30 Jun'!$H:$H,'SAP Working'!H14,'Commited_30 Jun'!$I:$I)</f>
        <v>1405703755.8</v>
      </c>
      <c r="Z14" s="42">
        <f t="shared" si="8"/>
        <v>1409236525.8</v>
      </c>
      <c r="AA14" s="43">
        <f t="shared" si="9"/>
        <v>-1386012125.8</v>
      </c>
      <c r="AC14" s="41">
        <f>SUMIF(Budgeted_01jun!$U:$U,'SAP Working'!I14,Budgeted_01jun!$R:$R)</f>
        <v>929073443.5</v>
      </c>
      <c r="AD14" s="34">
        <f>SUMIF('Actual_30 jun'!$I:$I,'SAP Working'!I14,'Actual_30 jun'!$K:$K)</f>
        <v>8570550</v>
      </c>
      <c r="AE14" s="34">
        <f>SUMIF('Commited_30 Jun'!$H:$H,'SAP Working'!I14,'Commited_30 Jun'!$I:$I)</f>
        <v>0</v>
      </c>
      <c r="AF14" s="42">
        <f t="shared" si="10"/>
        <v>8570550</v>
      </c>
      <c r="AG14" s="43">
        <f t="shared" si="11"/>
        <v>920502893.5</v>
      </c>
    </row>
    <row r="15" spans="1:33" x14ac:dyDescent="0.25">
      <c r="A15">
        <v>6</v>
      </c>
      <c r="B15" s="15" t="s">
        <v>1244</v>
      </c>
      <c r="C15" s="15" t="s">
        <v>1245</v>
      </c>
      <c r="D15" s="16">
        <f t="shared" si="12"/>
        <v>14</v>
      </c>
      <c r="E15" s="16">
        <v>2</v>
      </c>
      <c r="F15" s="15" t="s">
        <v>1297</v>
      </c>
      <c r="G15" s="18" t="s">
        <v>1298</v>
      </c>
      <c r="H15" s="24" t="s">
        <v>1030</v>
      </c>
      <c r="I15" s="18" t="s">
        <v>1299</v>
      </c>
      <c r="J15" s="31" t="s">
        <v>1300</v>
      </c>
      <c r="K15" s="41">
        <f>W15</f>
        <v>119657314</v>
      </c>
      <c r="L15" s="41">
        <f t="shared" ref="L15:M18" si="23">X15</f>
        <v>0</v>
      </c>
      <c r="M15" s="41">
        <f>Y15</f>
        <v>3058768425.1499996</v>
      </c>
      <c r="N15" s="42">
        <f t="shared" si="4"/>
        <v>3058768425.1499996</v>
      </c>
      <c r="O15" s="43">
        <f t="shared" si="5"/>
        <v>-2939111111.1499996</v>
      </c>
      <c r="Q15" s="41">
        <f>SUM(Q16:Q18)</f>
        <v>0</v>
      </c>
      <c r="R15" s="41">
        <f>SUM(R16:R18)</f>
        <v>0</v>
      </c>
      <c r="S15" s="41">
        <f t="shared" ref="S15:U15" si="24">SUM(S16:S18)</f>
        <v>0</v>
      </c>
      <c r="T15" s="41">
        <f t="shared" si="24"/>
        <v>0</v>
      </c>
      <c r="U15" s="41">
        <f t="shared" si="24"/>
        <v>0</v>
      </c>
      <c r="W15" s="41">
        <f t="shared" ref="W15:AG15" si="25">SUM(W16:W18)</f>
        <v>119657314</v>
      </c>
      <c r="X15" s="41">
        <f t="shared" si="25"/>
        <v>0</v>
      </c>
      <c r="Y15" s="41">
        <f t="shared" si="25"/>
        <v>3058768425.1499996</v>
      </c>
      <c r="Z15" s="42">
        <f t="shared" si="25"/>
        <v>3058768425.1499996</v>
      </c>
      <c r="AA15" s="43">
        <f t="shared" si="25"/>
        <v>-2939111111.1499996</v>
      </c>
      <c r="AC15" s="41">
        <f t="shared" si="25"/>
        <v>0</v>
      </c>
      <c r="AD15" s="41">
        <f t="shared" si="25"/>
        <v>0</v>
      </c>
      <c r="AE15" s="41">
        <f t="shared" si="25"/>
        <v>0</v>
      </c>
      <c r="AF15" s="41">
        <f t="shared" si="25"/>
        <v>0</v>
      </c>
      <c r="AG15" s="41">
        <f t="shared" si="25"/>
        <v>0</v>
      </c>
    </row>
    <row r="16" spans="1:33" x14ac:dyDescent="0.25">
      <c r="B16" s="21" t="s">
        <v>1244</v>
      </c>
      <c r="C16" s="21" t="s">
        <v>1245</v>
      </c>
      <c r="D16" s="1">
        <f t="shared" si="12"/>
        <v>15</v>
      </c>
      <c r="E16" s="1">
        <v>3</v>
      </c>
      <c r="F16" s="21" t="s">
        <v>1301</v>
      </c>
      <c r="G16" s="21" t="s">
        <v>1302</v>
      </c>
      <c r="H16" s="21" t="s">
        <v>285</v>
      </c>
      <c r="I16" s="21" t="s">
        <v>1303</v>
      </c>
      <c r="J16" s="31" t="s">
        <v>1304</v>
      </c>
      <c r="K16" s="35">
        <f>W16</f>
        <v>69610050</v>
      </c>
      <c r="L16" s="35">
        <f t="shared" si="23"/>
        <v>0</v>
      </c>
      <c r="M16" s="35">
        <f t="shared" si="23"/>
        <v>1551890339.0999999</v>
      </c>
      <c r="N16" s="34">
        <f t="shared" si="4"/>
        <v>1551890339.0999999</v>
      </c>
      <c r="O16" s="36">
        <f t="shared" si="5"/>
        <v>-1482280289.0999999</v>
      </c>
      <c r="Q16" s="35">
        <f>SUMIF(Budgeted_01jun!U:U,'SAP Working'!G16,Budgeted_01jun!R:R)</f>
        <v>0</v>
      </c>
      <c r="R16" s="34">
        <f>SUMIF('Actual_30 jun'!I:I,'SAP Working'!G16,'Actual_30 jun'!K:K)</f>
        <v>0</v>
      </c>
      <c r="S16" s="34">
        <f>SUMIF('Commited_30 Jun'!H:H,'SAP Working'!G16,'Commited_30 Jun'!I:I)</f>
        <v>0</v>
      </c>
      <c r="T16" s="34">
        <f t="shared" si="6"/>
        <v>0</v>
      </c>
      <c r="U16" s="36">
        <f t="shared" si="7"/>
        <v>0</v>
      </c>
      <c r="W16" s="35">
        <f>SUMIF(Budgeted_01jun!$U:$U,H16,Budgeted_01jun!$R:$R)</f>
        <v>69610050</v>
      </c>
      <c r="X16" s="34">
        <f>SUMIF('Actual_30 jun'!$I:$I,'SAP Working'!H16,'Actual_30 jun'!$K:$K)</f>
        <v>0</v>
      </c>
      <c r="Y16" s="34">
        <f>SUMIF('Commited_30 Jun'!$H:$H,'SAP Working'!H16,'Commited_30 Jun'!$I:$I)</f>
        <v>1551890339.0999999</v>
      </c>
      <c r="Z16" s="34">
        <f t="shared" si="8"/>
        <v>1551890339.0999999</v>
      </c>
      <c r="AA16" s="36">
        <f t="shared" si="9"/>
        <v>-1482280289.0999999</v>
      </c>
      <c r="AC16" s="35">
        <f>SUMIF(Budgeted_01jun!$U:$U,'SAP Working'!I16,Budgeted_01jun!$R:$R)</f>
        <v>0</v>
      </c>
      <c r="AD16" s="34">
        <f>SUMIF('Actual_30 jun'!$I:$I,'SAP Working'!I16,'Actual_30 jun'!$K:$K)</f>
        <v>0</v>
      </c>
      <c r="AE16" s="34">
        <f>SUMIF('Commited_30 Jun'!$H:$H,'SAP Working'!I16,'Commited_30 Jun'!$I:$I)</f>
        <v>0</v>
      </c>
      <c r="AF16" s="34">
        <f t="shared" si="10"/>
        <v>0</v>
      </c>
      <c r="AG16" s="36">
        <f t="shared" si="11"/>
        <v>0</v>
      </c>
    </row>
    <row r="17" spans="1:33" x14ac:dyDescent="0.25">
      <c r="B17" s="21" t="s">
        <v>1244</v>
      </c>
      <c r="C17" s="21" t="s">
        <v>1245</v>
      </c>
      <c r="D17" s="1">
        <f t="shared" si="12"/>
        <v>16</v>
      </c>
      <c r="E17" s="1">
        <v>3</v>
      </c>
      <c r="F17" s="21" t="s">
        <v>1305</v>
      </c>
      <c r="G17" s="21" t="s">
        <v>1306</v>
      </c>
      <c r="H17" s="21" t="s">
        <v>288</v>
      </c>
      <c r="I17" s="21" t="s">
        <v>1307</v>
      </c>
      <c r="J17" s="31" t="s">
        <v>1308</v>
      </c>
      <c r="K17" s="35">
        <f t="shared" ref="K17:K18" si="26">W17</f>
        <v>25876000</v>
      </c>
      <c r="L17" s="35">
        <f t="shared" si="23"/>
        <v>0</v>
      </c>
      <c r="M17" s="35">
        <f t="shared" si="23"/>
        <v>732171785.85000002</v>
      </c>
      <c r="N17" s="34">
        <f t="shared" si="4"/>
        <v>732171785.85000002</v>
      </c>
      <c r="O17" s="36">
        <f t="shared" si="5"/>
        <v>-706295785.85000002</v>
      </c>
      <c r="Q17" s="35">
        <f>SUMIF(Budgeted_01jun!U:U,'SAP Working'!G17,Budgeted_01jun!R:R)</f>
        <v>0</v>
      </c>
      <c r="R17" s="34">
        <f>SUMIF('Actual_30 jun'!I:I,'SAP Working'!G17,'Actual_30 jun'!K:K)</f>
        <v>0</v>
      </c>
      <c r="S17" s="34">
        <f>SUMIF('Commited_30 Jun'!H:H,'SAP Working'!G17,'Commited_30 Jun'!I:I)</f>
        <v>0</v>
      </c>
      <c r="T17" s="34">
        <f t="shared" si="6"/>
        <v>0</v>
      </c>
      <c r="U17" s="36">
        <f t="shared" si="7"/>
        <v>0</v>
      </c>
      <c r="W17" s="35">
        <f>SUMIF(Budgeted_01jun!$U:$U,H17,Budgeted_01jun!$R:$R)</f>
        <v>25876000</v>
      </c>
      <c r="X17" s="34">
        <f>SUMIF('Actual_30 jun'!$I:$I,'SAP Working'!H17,'Actual_30 jun'!$K:$K)</f>
        <v>0</v>
      </c>
      <c r="Y17" s="34">
        <f>SUMIF('Commited_30 Jun'!$H:$H,'SAP Working'!H17,'Commited_30 Jun'!$I:$I)</f>
        <v>732171785.85000002</v>
      </c>
      <c r="Z17" s="34">
        <f t="shared" si="8"/>
        <v>732171785.85000002</v>
      </c>
      <c r="AA17" s="36">
        <f t="shared" si="9"/>
        <v>-706295785.85000002</v>
      </c>
      <c r="AC17" s="35">
        <f>SUMIF(Budgeted_01jun!$U:$U,'SAP Working'!I17,Budgeted_01jun!$R:$R)</f>
        <v>0</v>
      </c>
      <c r="AD17" s="34">
        <f>SUMIF('Actual_30 jun'!$I:$I,'SAP Working'!I17,'Actual_30 jun'!$K:$K)</f>
        <v>0</v>
      </c>
      <c r="AE17" s="34">
        <f>SUMIF('Commited_30 Jun'!$H:$H,'SAP Working'!I17,'Commited_30 Jun'!$I:$I)</f>
        <v>0</v>
      </c>
      <c r="AF17" s="34">
        <f t="shared" si="10"/>
        <v>0</v>
      </c>
      <c r="AG17" s="36">
        <f t="shared" si="11"/>
        <v>0</v>
      </c>
    </row>
    <row r="18" spans="1:33" x14ac:dyDescent="0.25">
      <c r="B18" s="21" t="s">
        <v>1244</v>
      </c>
      <c r="C18" s="21" t="s">
        <v>1245</v>
      </c>
      <c r="D18" s="1">
        <f t="shared" si="12"/>
        <v>17</v>
      </c>
      <c r="E18" s="1">
        <v>3</v>
      </c>
      <c r="F18" s="21" t="s">
        <v>1309</v>
      </c>
      <c r="G18" s="21" t="s">
        <v>1310</v>
      </c>
      <c r="H18" s="21" t="s">
        <v>254</v>
      </c>
      <c r="I18" s="21" t="s">
        <v>1311</v>
      </c>
      <c r="J18" s="31" t="s">
        <v>1312</v>
      </c>
      <c r="K18" s="35">
        <f t="shared" si="26"/>
        <v>24171264</v>
      </c>
      <c r="L18" s="35">
        <f t="shared" si="23"/>
        <v>0</v>
      </c>
      <c r="M18" s="35">
        <f t="shared" si="23"/>
        <v>774706300.20000005</v>
      </c>
      <c r="N18" s="34">
        <f t="shared" si="4"/>
        <v>774706300.20000005</v>
      </c>
      <c r="O18" s="36">
        <f t="shared" si="5"/>
        <v>-750535036.20000005</v>
      </c>
      <c r="Q18" s="35">
        <f>SUMIF(Budgeted_01jun!U:U,'SAP Working'!G18,Budgeted_01jun!R:R)</f>
        <v>0</v>
      </c>
      <c r="R18" s="34">
        <f>SUMIF('Actual_30 jun'!I:I,'SAP Working'!G18,'Actual_30 jun'!K:K)</f>
        <v>0</v>
      </c>
      <c r="S18" s="34">
        <f>SUMIF('Commited_30 Jun'!H:H,'SAP Working'!G18,'Commited_30 Jun'!I:I)</f>
        <v>0</v>
      </c>
      <c r="T18" s="34">
        <f t="shared" si="6"/>
        <v>0</v>
      </c>
      <c r="U18" s="36">
        <f t="shared" si="7"/>
        <v>0</v>
      </c>
      <c r="W18" s="35">
        <f>SUMIF(Budgeted_01jun!$U:$U,H18,Budgeted_01jun!$R:$R)</f>
        <v>24171264</v>
      </c>
      <c r="X18" s="34">
        <f>SUMIF('Actual_30 jun'!$I:$I,'SAP Working'!H18,'Actual_30 jun'!$K:$K)</f>
        <v>0</v>
      </c>
      <c r="Y18" s="34">
        <f>SUMIF('Commited_30 Jun'!$H:$H,'SAP Working'!H18,'Commited_30 Jun'!$I:$I)</f>
        <v>774706300.20000005</v>
      </c>
      <c r="Z18" s="34">
        <f t="shared" si="8"/>
        <v>774706300.20000005</v>
      </c>
      <c r="AA18" s="36">
        <f t="shared" si="9"/>
        <v>-750535036.20000005</v>
      </c>
      <c r="AC18" s="35">
        <f>SUMIF(Budgeted_01jun!$U:$U,'SAP Working'!I18,Budgeted_01jun!$R:$R)</f>
        <v>0</v>
      </c>
      <c r="AD18" s="34">
        <f>SUMIF('Actual_30 jun'!$I:$I,'SAP Working'!I18,'Actual_30 jun'!$K:$K)</f>
        <v>0</v>
      </c>
      <c r="AE18" s="34">
        <f>SUMIF('Commited_30 Jun'!$H:$H,'SAP Working'!I18,'Commited_30 Jun'!$I:$I)</f>
        <v>0</v>
      </c>
      <c r="AF18" s="34">
        <f t="shared" si="10"/>
        <v>0</v>
      </c>
      <c r="AG18" s="36">
        <f t="shared" si="11"/>
        <v>0</v>
      </c>
    </row>
    <row r="19" spans="1:33" x14ac:dyDescent="0.25">
      <c r="A19">
        <v>5</v>
      </c>
      <c r="B19" s="15" t="s">
        <v>1244</v>
      </c>
      <c r="C19" s="15" t="s">
        <v>1245</v>
      </c>
      <c r="D19" s="16">
        <f>D15+1</f>
        <v>15</v>
      </c>
      <c r="E19" s="16">
        <v>2</v>
      </c>
      <c r="F19" s="15" t="s">
        <v>919</v>
      </c>
      <c r="G19" s="18" t="s">
        <v>944</v>
      </c>
      <c r="H19" s="18" t="s">
        <v>1035</v>
      </c>
      <c r="I19" s="18" t="s">
        <v>1313</v>
      </c>
      <c r="J19" s="31" t="s">
        <v>1314</v>
      </c>
      <c r="K19" s="41">
        <f>Q19+W19</f>
        <v>1351317529.05</v>
      </c>
      <c r="L19" s="41">
        <f t="shared" ref="L19:M25" si="27">R19+X19</f>
        <v>306189720</v>
      </c>
      <c r="M19" s="41">
        <f t="shared" si="27"/>
        <v>35653833980.099983</v>
      </c>
      <c r="N19" s="42">
        <f t="shared" si="4"/>
        <v>35960023700.099983</v>
      </c>
      <c r="O19" s="43">
        <f t="shared" si="5"/>
        <v>-34608706171.04998</v>
      </c>
      <c r="Q19" s="41">
        <f>SUM(Q20:Q25)</f>
        <v>1210229446.3099999</v>
      </c>
      <c r="R19" s="42">
        <f>SUM(R20:R25)</f>
        <v>304788750</v>
      </c>
      <c r="S19" s="42">
        <f t="shared" ref="S19:U19" si="28">SUM(S20:S25)</f>
        <v>19284240302.099983</v>
      </c>
      <c r="T19" s="42">
        <f t="shared" si="28"/>
        <v>19589029052.099983</v>
      </c>
      <c r="U19" s="42">
        <f t="shared" si="28"/>
        <v>-18378799605.789986</v>
      </c>
      <c r="W19" s="41">
        <f t="shared" ref="W19:AG19" si="29">SUM(W20:W25)</f>
        <v>141088082.74000001</v>
      </c>
      <c r="X19" s="41">
        <f t="shared" si="29"/>
        <v>1400970</v>
      </c>
      <c r="Y19" s="41">
        <f t="shared" si="29"/>
        <v>16369593677.999998</v>
      </c>
      <c r="Z19" s="42">
        <f t="shared" si="29"/>
        <v>16370994647.999998</v>
      </c>
      <c r="AA19" s="43">
        <f t="shared" si="29"/>
        <v>-16229906565.259998</v>
      </c>
      <c r="AC19" s="41">
        <f t="shared" si="29"/>
        <v>0</v>
      </c>
      <c r="AD19" s="41">
        <f t="shared" si="29"/>
        <v>0</v>
      </c>
      <c r="AE19" s="41">
        <f t="shared" si="29"/>
        <v>0</v>
      </c>
      <c r="AF19" s="41">
        <f t="shared" si="29"/>
        <v>0</v>
      </c>
      <c r="AG19" s="41">
        <f t="shared" si="29"/>
        <v>0</v>
      </c>
    </row>
    <row r="20" spans="1:33" x14ac:dyDescent="0.25">
      <c r="A20">
        <v>5.0999999999999996</v>
      </c>
      <c r="B20" s="20" t="s">
        <v>1244</v>
      </c>
      <c r="C20" s="20" t="s">
        <v>1245</v>
      </c>
      <c r="D20" s="1">
        <f t="shared" ref="D20:D51" si="30">D19+1</f>
        <v>16</v>
      </c>
      <c r="E20" s="1">
        <v>3</v>
      </c>
      <c r="F20" s="21" t="s">
        <v>1315</v>
      </c>
      <c r="G20" s="22" t="s">
        <v>519</v>
      </c>
      <c r="H20" s="22" t="s">
        <v>255</v>
      </c>
      <c r="I20" s="21" t="s">
        <v>1316</v>
      </c>
      <c r="J20" s="31" t="s">
        <v>1317</v>
      </c>
      <c r="K20" s="35">
        <f>Q20+W20</f>
        <v>143188450</v>
      </c>
      <c r="L20" s="35">
        <f t="shared" si="27"/>
        <v>81125700</v>
      </c>
      <c r="M20" s="35">
        <f t="shared" si="27"/>
        <v>995638000.94999957</v>
      </c>
      <c r="N20" s="34">
        <f t="shared" si="4"/>
        <v>1076763700.9499996</v>
      </c>
      <c r="O20" s="36">
        <f t="shared" si="5"/>
        <v>-933575250.94999957</v>
      </c>
      <c r="Q20" s="35">
        <f>SUMIF(Budgeted_01jun!U:U,'SAP Working'!G20,Budgeted_01jun!R:R)</f>
        <v>141118450</v>
      </c>
      <c r="R20" s="34">
        <f>SUMIF('Actual_30 jun'!I:I,'SAP Working'!G20,'Actual_30 jun'!K:K)</f>
        <v>81125700</v>
      </c>
      <c r="S20" s="34">
        <f>SUMIF('Commited_30 Jun'!H:H,'SAP Working'!G20,'Commited_30 Jun'!I:I)</f>
        <v>218866918.49999958</v>
      </c>
      <c r="T20" s="34">
        <f t="shared" si="6"/>
        <v>299992618.49999958</v>
      </c>
      <c r="U20" s="36">
        <f t="shared" si="7"/>
        <v>-158874168.49999958</v>
      </c>
      <c r="W20" s="35">
        <f>SUMIF(Budgeted_01jun!$U:$U,H20,Budgeted_01jun!$R:$R)</f>
        <v>2070000</v>
      </c>
      <c r="X20" s="34">
        <f>SUMIF('Actual_30 jun'!$I:$I,'SAP Working'!H20,'Actual_30 jun'!$K:$K)</f>
        <v>0</v>
      </c>
      <c r="Y20" s="34">
        <f>SUMIF('Commited_30 Jun'!$H:$H,'SAP Working'!H20,'Commited_30 Jun'!$I:$I)</f>
        <v>776771082.44999993</v>
      </c>
      <c r="Z20" s="34">
        <f t="shared" si="8"/>
        <v>776771082.44999993</v>
      </c>
      <c r="AA20" s="36">
        <f t="shared" si="9"/>
        <v>-774701082.44999993</v>
      </c>
      <c r="AC20" s="35">
        <f>SUMIF(Budgeted_01jun!$U:$U,'SAP Working'!I20,Budgeted_01jun!$R:$R)</f>
        <v>0</v>
      </c>
      <c r="AD20" s="34">
        <f>SUMIF('Actual_30 jun'!$I:$I,'SAP Working'!I20,'Actual_30 jun'!$K:$K)</f>
        <v>0</v>
      </c>
      <c r="AE20" s="34">
        <f>SUMIF('Commited_30 Jun'!$H:$H,'SAP Working'!I20,'Commited_30 Jun'!$I:$I)</f>
        <v>0</v>
      </c>
      <c r="AF20" s="34">
        <f t="shared" si="10"/>
        <v>0</v>
      </c>
      <c r="AG20" s="36">
        <f t="shared" si="11"/>
        <v>0</v>
      </c>
    </row>
    <row r="21" spans="1:33" x14ac:dyDescent="0.25">
      <c r="A21">
        <v>5.2</v>
      </c>
      <c r="B21" s="20" t="s">
        <v>1244</v>
      </c>
      <c r="C21" s="20" t="s">
        <v>1245</v>
      </c>
      <c r="D21" s="1">
        <f t="shared" si="30"/>
        <v>17</v>
      </c>
      <c r="E21" s="1">
        <v>3</v>
      </c>
      <c r="F21" s="21" t="s">
        <v>1318</v>
      </c>
      <c r="G21" s="22" t="s">
        <v>577</v>
      </c>
      <c r="H21" s="22" t="s">
        <v>258</v>
      </c>
      <c r="I21" s="21" t="s">
        <v>1319</v>
      </c>
      <c r="J21" s="31" t="s">
        <v>1320</v>
      </c>
      <c r="K21" s="35">
        <f t="shared" ref="K21:K25" si="31">Q21+W21</f>
        <v>513348504.15999997</v>
      </c>
      <c r="L21" s="35">
        <f t="shared" si="27"/>
        <v>64039680</v>
      </c>
      <c r="M21" s="35">
        <f t="shared" si="27"/>
        <v>2920840970.8499975</v>
      </c>
      <c r="N21" s="34">
        <f t="shared" si="4"/>
        <v>2984880650.8499975</v>
      </c>
      <c r="O21" s="36">
        <f t="shared" si="5"/>
        <v>-2471532146.6899977</v>
      </c>
      <c r="Q21" s="35">
        <f>SUMIF(Budgeted_01jun!U:U,'SAP Working'!G21,Budgeted_01jun!R:R)</f>
        <v>470823594.15999997</v>
      </c>
      <c r="R21" s="34">
        <f>SUMIF('Actual_30 jun'!I:I,'SAP Working'!G21,'Actual_30 jun'!K:K)</f>
        <v>64039680</v>
      </c>
      <c r="S21" s="34">
        <f>SUMIF('Commited_30 Jun'!H:H,'SAP Working'!G21,'Commited_30 Jun'!I:I)</f>
        <v>2143656931.9499977</v>
      </c>
      <c r="T21" s="34">
        <f t="shared" si="6"/>
        <v>2207696611.9499979</v>
      </c>
      <c r="U21" s="36">
        <f t="shared" si="7"/>
        <v>-1736873017.7899981</v>
      </c>
      <c r="W21" s="35">
        <f>SUMIF(Budgeted_01jun!$U:$U,H21,Budgeted_01jun!$R:$R)</f>
        <v>42524910</v>
      </c>
      <c r="X21" s="34">
        <f>SUMIF('Actual_30 jun'!$I:$I,'SAP Working'!H21,'Actual_30 jun'!$K:$K)</f>
        <v>0</v>
      </c>
      <c r="Y21" s="34">
        <f>SUMIF('Commited_30 Jun'!$H:$H,'SAP Working'!H21,'Commited_30 Jun'!$I:$I)</f>
        <v>777184038.9000001</v>
      </c>
      <c r="Z21" s="34">
        <f t="shared" si="8"/>
        <v>777184038.9000001</v>
      </c>
      <c r="AA21" s="36">
        <f t="shared" si="9"/>
        <v>-734659128.9000001</v>
      </c>
      <c r="AC21" s="35">
        <f>SUMIF(Budgeted_01jun!$U:$U,'SAP Working'!I21,Budgeted_01jun!$R:$R)</f>
        <v>0</v>
      </c>
      <c r="AD21" s="34">
        <f>SUMIF('Actual_30 jun'!$I:$I,'SAP Working'!I21,'Actual_30 jun'!$K:$K)</f>
        <v>0</v>
      </c>
      <c r="AE21" s="34">
        <f>SUMIF('Commited_30 Jun'!$H:$H,'SAP Working'!I21,'Commited_30 Jun'!$I:$I)</f>
        <v>0</v>
      </c>
      <c r="AF21" s="34">
        <f t="shared" si="10"/>
        <v>0</v>
      </c>
      <c r="AG21" s="36">
        <f t="shared" si="11"/>
        <v>0</v>
      </c>
    </row>
    <row r="22" spans="1:33" x14ac:dyDescent="0.25">
      <c r="A22">
        <v>5.3</v>
      </c>
      <c r="B22" s="20" t="s">
        <v>1244</v>
      </c>
      <c r="C22" s="20" t="s">
        <v>1245</v>
      </c>
      <c r="D22" s="1">
        <f t="shared" si="30"/>
        <v>18</v>
      </c>
      <c r="E22" s="1">
        <v>3</v>
      </c>
      <c r="F22" s="21" t="s">
        <v>1321</v>
      </c>
      <c r="G22" s="22" t="s">
        <v>435</v>
      </c>
      <c r="H22" s="22" t="s">
        <v>745</v>
      </c>
      <c r="I22" s="21" t="s">
        <v>1322</v>
      </c>
      <c r="K22" s="35">
        <f t="shared" si="31"/>
        <v>182834244</v>
      </c>
      <c r="L22" s="35">
        <f t="shared" si="27"/>
        <v>53440350</v>
      </c>
      <c r="M22" s="35">
        <f t="shared" si="27"/>
        <v>645037974.89999998</v>
      </c>
      <c r="N22" s="34">
        <f t="shared" si="4"/>
        <v>698478324.89999998</v>
      </c>
      <c r="O22" s="36">
        <f t="shared" si="5"/>
        <v>-515644080.89999998</v>
      </c>
      <c r="Q22" s="35">
        <f>SUMIF(Budgeted_01jun!U:U,'SAP Working'!G22,Budgeted_01jun!R:R)</f>
        <v>174272175</v>
      </c>
      <c r="R22" s="34">
        <f>SUMIF('Actual_30 jun'!I:I,'SAP Working'!G22,'Actual_30 jun'!K:K)</f>
        <v>53440350</v>
      </c>
      <c r="S22" s="34">
        <f>SUMIF('Commited_30 Jun'!H:H,'SAP Working'!G22,'Commited_30 Jun'!I:I)</f>
        <v>0</v>
      </c>
      <c r="T22" s="34">
        <f t="shared" si="6"/>
        <v>53440350</v>
      </c>
      <c r="U22" s="36">
        <f t="shared" si="7"/>
        <v>120831825</v>
      </c>
      <c r="W22" s="35">
        <f>SUMIF(Budgeted_01jun!$U:$U,H22,Budgeted_01jun!$R:$R)</f>
        <v>8562069</v>
      </c>
      <c r="X22" s="34">
        <f>SUMIF('Actual_30 jun'!$I:$I,'SAP Working'!H22,'Actual_30 jun'!$K:$K)</f>
        <v>0</v>
      </c>
      <c r="Y22" s="34">
        <f>SUMIF('Commited_30 Jun'!$H:$H,'SAP Working'!H22,'Commited_30 Jun'!$I:$I)</f>
        <v>645037974.89999998</v>
      </c>
      <c r="Z22" s="34">
        <f t="shared" si="8"/>
        <v>645037974.89999998</v>
      </c>
      <c r="AA22" s="36">
        <f t="shared" si="9"/>
        <v>-636475905.89999998</v>
      </c>
      <c r="AC22" s="35">
        <f>SUMIF(Budgeted_01jun!$U:$U,'SAP Working'!I22,Budgeted_01jun!$R:$R)</f>
        <v>0</v>
      </c>
      <c r="AD22" s="34">
        <f>SUMIF('Actual_30 jun'!$I:$I,'SAP Working'!I22,'Actual_30 jun'!$K:$K)</f>
        <v>0</v>
      </c>
      <c r="AE22" s="34">
        <f>SUMIF('Commited_30 Jun'!$H:$H,'SAP Working'!I22,'Commited_30 Jun'!$I:$I)</f>
        <v>0</v>
      </c>
      <c r="AF22" s="34">
        <f t="shared" si="10"/>
        <v>0</v>
      </c>
      <c r="AG22" s="36">
        <f t="shared" si="11"/>
        <v>0</v>
      </c>
    </row>
    <row r="23" spans="1:33" x14ac:dyDescent="0.25">
      <c r="A23">
        <v>5.5</v>
      </c>
      <c r="B23" s="20" t="s">
        <v>1244</v>
      </c>
      <c r="C23" s="20" t="s">
        <v>1245</v>
      </c>
      <c r="D23" s="1">
        <f t="shared" si="30"/>
        <v>19</v>
      </c>
      <c r="E23" s="1">
        <v>3</v>
      </c>
      <c r="F23" s="20" t="s">
        <v>123</v>
      </c>
      <c r="G23" s="22" t="s">
        <v>129</v>
      </c>
      <c r="H23" s="22" t="s">
        <v>256</v>
      </c>
      <c r="I23" s="21" t="s">
        <v>1323</v>
      </c>
      <c r="K23" s="35">
        <f t="shared" si="31"/>
        <v>454975504.54000002</v>
      </c>
      <c r="L23" s="35">
        <f t="shared" si="27"/>
        <v>81224130</v>
      </c>
      <c r="M23" s="35">
        <f t="shared" si="27"/>
        <v>17304940037.249989</v>
      </c>
      <c r="N23" s="34">
        <f t="shared" si="4"/>
        <v>17386164167.249989</v>
      </c>
      <c r="O23" s="36">
        <f t="shared" si="5"/>
        <v>-16931188662.709988</v>
      </c>
      <c r="Q23" s="35">
        <f>SUMIF(Budgeted_01jun!U:U,'SAP Working'!G23,Budgeted_01jun!R:R)</f>
        <v>387994403.80000001</v>
      </c>
      <c r="R23" s="34">
        <f>SUMIF('Actual_30 jun'!I:I,'SAP Working'!G23,'Actual_30 jun'!K:K)</f>
        <v>81224130</v>
      </c>
      <c r="S23" s="34">
        <f>SUMIF('Commited_30 Jun'!H:H,'SAP Working'!G23,'Commited_30 Jun'!I:I)</f>
        <v>15486692787.899988</v>
      </c>
      <c r="T23" s="34">
        <f t="shared" si="6"/>
        <v>15567916917.899988</v>
      </c>
      <c r="U23" s="36">
        <f t="shared" si="7"/>
        <v>-15179922514.099989</v>
      </c>
      <c r="W23" s="35">
        <f>SUMIF(Budgeted_01jun!$U:$U,H23,Budgeted_01jun!$R:$R)</f>
        <v>66981100.740000002</v>
      </c>
      <c r="X23" s="34">
        <f>SUMIF('Actual_30 jun'!$I:$I,'SAP Working'!H23,'Actual_30 jun'!$K:$K)</f>
        <v>0</v>
      </c>
      <c r="Y23" s="34">
        <f>SUMIF('Commited_30 Jun'!$H:$H,'SAP Working'!H23,'Commited_30 Jun'!$I:$I)</f>
        <v>1818247249.3499997</v>
      </c>
      <c r="Z23" s="34">
        <f t="shared" si="8"/>
        <v>1818247249.3499997</v>
      </c>
      <c r="AA23" s="36">
        <f t="shared" si="9"/>
        <v>-1751266148.6099997</v>
      </c>
      <c r="AC23" s="35">
        <f>SUMIF(Budgeted_01jun!$U:$U,'SAP Working'!I23,Budgeted_01jun!$R:$R)</f>
        <v>0</v>
      </c>
      <c r="AD23" s="34">
        <f>SUMIF('Actual_30 jun'!$I:$I,'SAP Working'!I23,'Actual_30 jun'!$K:$K)</f>
        <v>0</v>
      </c>
      <c r="AE23" s="34">
        <f>SUMIF('Commited_30 Jun'!$H:$H,'SAP Working'!I23,'Commited_30 Jun'!$I:$I)</f>
        <v>0</v>
      </c>
      <c r="AF23" s="34">
        <f t="shared" si="10"/>
        <v>0</v>
      </c>
      <c r="AG23" s="36">
        <f t="shared" si="11"/>
        <v>0</v>
      </c>
    </row>
    <row r="24" spans="1:33" ht="28.5" customHeight="1" x14ac:dyDescent="0.25">
      <c r="A24">
        <v>5.4</v>
      </c>
      <c r="B24" s="20" t="s">
        <v>1244</v>
      </c>
      <c r="C24" s="20" t="s">
        <v>1245</v>
      </c>
      <c r="D24" s="1">
        <f t="shared" si="30"/>
        <v>20</v>
      </c>
      <c r="E24" s="1">
        <v>3</v>
      </c>
      <c r="F24" s="20" t="s">
        <v>1324</v>
      </c>
      <c r="G24" s="22" t="s">
        <v>554</v>
      </c>
      <c r="H24" s="22" t="s">
        <v>257</v>
      </c>
      <c r="I24" s="21" t="s">
        <v>1325</v>
      </c>
      <c r="J24" s="18" t="s">
        <v>944</v>
      </c>
      <c r="K24" s="35">
        <f t="shared" si="31"/>
        <v>43116806.350000001</v>
      </c>
      <c r="L24" s="35">
        <f t="shared" si="27"/>
        <v>24958889.999999993</v>
      </c>
      <c r="M24" s="35">
        <f t="shared" si="27"/>
        <v>2213859528.4499979</v>
      </c>
      <c r="N24" s="34">
        <f t="shared" si="4"/>
        <v>2238818418.4499979</v>
      </c>
      <c r="O24" s="36">
        <f t="shared" si="5"/>
        <v>-2195701612.099998</v>
      </c>
      <c r="Q24" s="35">
        <f>SUMIF(Budgeted_01jun!U:U,'SAP Working'!G24,Budgeted_01jun!R:R)</f>
        <v>36020823.350000001</v>
      </c>
      <c r="R24" s="34">
        <f>SUMIF('Actual_30 jun'!I:I,'SAP Working'!G24,'Actual_30 jun'!K:K)</f>
        <v>24958889.999999993</v>
      </c>
      <c r="S24" s="34">
        <f>SUMIF('Commited_30 Jun'!H:H,'SAP Working'!G24,'Commited_30 Jun'!I:I)</f>
        <v>1435023663.7499979</v>
      </c>
      <c r="T24" s="34">
        <f t="shared" si="6"/>
        <v>1459982553.7499979</v>
      </c>
      <c r="U24" s="36">
        <f t="shared" si="7"/>
        <v>-1423961730.3999979</v>
      </c>
      <c r="W24" s="35">
        <f>SUMIF(Budgeted_01jun!$U:$U,H24,Budgeted_01jun!$R:$R)</f>
        <v>7095983</v>
      </c>
      <c r="X24" s="34">
        <f>SUMIF('Actual_30 jun'!$I:$I,'SAP Working'!H24,'Actual_30 jun'!$K:$K)</f>
        <v>0</v>
      </c>
      <c r="Y24" s="34">
        <f>SUMIF('Commited_30 Jun'!$H:$H,'SAP Working'!H24,'Commited_30 Jun'!$I:$I)</f>
        <v>778835864.70000005</v>
      </c>
      <c r="Z24" s="34">
        <f t="shared" si="8"/>
        <v>778835864.70000005</v>
      </c>
      <c r="AA24" s="36">
        <f t="shared" si="9"/>
        <v>-771739881.70000005</v>
      </c>
      <c r="AC24" s="35">
        <f>SUMIF(Budgeted_01jun!$U:$U,'SAP Working'!I24,Budgeted_01jun!$R:$R)</f>
        <v>0</v>
      </c>
      <c r="AD24" s="34">
        <f>SUMIF('Actual_30 jun'!$I:$I,'SAP Working'!I24,'Actual_30 jun'!$K:$K)</f>
        <v>0</v>
      </c>
      <c r="AE24" s="34">
        <f>SUMIF('Commited_30 Jun'!$H:$H,'SAP Working'!I24,'Commited_30 Jun'!$I:$I)</f>
        <v>0</v>
      </c>
      <c r="AF24" s="34">
        <f t="shared" si="10"/>
        <v>0</v>
      </c>
      <c r="AG24" s="36">
        <f t="shared" si="11"/>
        <v>0</v>
      </c>
    </row>
    <row r="25" spans="1:33" x14ac:dyDescent="0.25">
      <c r="B25" s="20" t="s">
        <v>1244</v>
      </c>
      <c r="C25" s="20" t="s">
        <v>1245</v>
      </c>
      <c r="D25" s="1">
        <f t="shared" si="30"/>
        <v>21</v>
      </c>
      <c r="E25" s="1">
        <v>3</v>
      </c>
      <c r="F25" s="20" t="s">
        <v>1326</v>
      </c>
      <c r="G25" s="22" t="s">
        <v>951</v>
      </c>
      <c r="H25" s="22" t="s">
        <v>290</v>
      </c>
      <c r="I25" s="21" t="s">
        <v>1327</v>
      </c>
      <c r="J25" s="18" t="s">
        <v>1035</v>
      </c>
      <c r="K25" s="35">
        <f t="shared" si="31"/>
        <v>13854020</v>
      </c>
      <c r="L25" s="35">
        <f t="shared" si="27"/>
        <v>1400970</v>
      </c>
      <c r="M25" s="35">
        <f t="shared" si="27"/>
        <v>11573517467.699999</v>
      </c>
      <c r="N25" s="34">
        <f t="shared" si="4"/>
        <v>11574918437.699999</v>
      </c>
      <c r="O25" s="36">
        <f t="shared" si="5"/>
        <v>-11561064417.699999</v>
      </c>
      <c r="Q25" s="35">
        <f>SUMIF(Budgeted_01jun!U:U,'SAP Working'!G25,Budgeted_01jun!R:R)</f>
        <v>0</v>
      </c>
      <c r="R25" s="34">
        <f>SUMIF('Actual_30 jun'!I:I,'SAP Working'!G25,'Actual_30 jun'!K:K)</f>
        <v>0</v>
      </c>
      <c r="S25" s="34">
        <f>SUMIF('Commited_30 Jun'!H:H,'SAP Working'!G25,'Commited_30 Jun'!I:I)</f>
        <v>0</v>
      </c>
      <c r="T25" s="34">
        <f t="shared" si="6"/>
        <v>0</v>
      </c>
      <c r="U25" s="36">
        <f t="shared" si="7"/>
        <v>0</v>
      </c>
      <c r="W25" s="35">
        <f>SUMIF(Budgeted_01jun!$U:$U,H25,Budgeted_01jun!$R:$R)</f>
        <v>13854020</v>
      </c>
      <c r="X25" s="34">
        <f>SUMIF('Actual_30 jun'!$I:$I,'SAP Working'!H25,'Actual_30 jun'!$K:$K)</f>
        <v>1400970</v>
      </c>
      <c r="Y25" s="34">
        <f>SUMIF('Commited_30 Jun'!$H:$H,'SAP Working'!H25,'Commited_30 Jun'!$I:$I)</f>
        <v>11573517467.699999</v>
      </c>
      <c r="Z25" s="34">
        <f t="shared" si="8"/>
        <v>11574918437.699999</v>
      </c>
      <c r="AA25" s="36">
        <f t="shared" si="9"/>
        <v>-11561064417.699999</v>
      </c>
      <c r="AC25" s="35">
        <f>SUMIF(Budgeted_01jun!$U:$U,'SAP Working'!I25,Budgeted_01jun!$R:$R)</f>
        <v>0</v>
      </c>
      <c r="AD25" s="34">
        <f>SUMIF('Actual_30 jun'!$I:$I,'SAP Working'!I25,'Actual_30 jun'!$K:$K)</f>
        <v>0</v>
      </c>
      <c r="AE25" s="34">
        <f>SUMIF('Commited_30 Jun'!$H:$H,'SAP Working'!I25,'Commited_30 Jun'!$I:$I)</f>
        <v>0</v>
      </c>
      <c r="AF25" s="34">
        <f t="shared" si="10"/>
        <v>0</v>
      </c>
      <c r="AG25" s="36">
        <f t="shared" si="11"/>
        <v>0</v>
      </c>
    </row>
    <row r="26" spans="1:33" x14ac:dyDescent="0.25">
      <c r="A26">
        <v>9</v>
      </c>
      <c r="B26" s="15" t="s">
        <v>1244</v>
      </c>
      <c r="C26" s="15" t="s">
        <v>1245</v>
      </c>
      <c r="D26" s="16">
        <f t="shared" si="30"/>
        <v>22</v>
      </c>
      <c r="E26" s="16">
        <v>2</v>
      </c>
      <c r="F26" s="15" t="s">
        <v>1328</v>
      </c>
      <c r="G26" s="18" t="s">
        <v>1329</v>
      </c>
      <c r="H26" s="18" t="s">
        <v>1330</v>
      </c>
      <c r="I26" s="18" t="s">
        <v>998</v>
      </c>
      <c r="K26" s="41">
        <f>AC26</f>
        <v>27199501</v>
      </c>
      <c r="L26" s="41">
        <f t="shared" ref="L26:M30" si="32">AD26</f>
        <v>11807519.999999996</v>
      </c>
      <c r="M26" s="41">
        <f t="shared" si="32"/>
        <v>9815148903.6000004</v>
      </c>
      <c r="N26" s="42">
        <f t="shared" si="4"/>
        <v>9826956423.6000004</v>
      </c>
      <c r="O26" s="43">
        <f t="shared" si="5"/>
        <v>-9799756922.6000004</v>
      </c>
      <c r="Q26" s="41">
        <f>SUM(Q27:Q30)</f>
        <v>0</v>
      </c>
      <c r="R26" s="41">
        <f t="shared" ref="R26:U26" si="33">SUM(R27:R30)</f>
        <v>0</v>
      </c>
      <c r="S26" s="41">
        <f t="shared" si="33"/>
        <v>0</v>
      </c>
      <c r="T26" s="41">
        <f t="shared" si="33"/>
        <v>0</v>
      </c>
      <c r="U26" s="41">
        <f t="shared" si="33"/>
        <v>0</v>
      </c>
      <c r="W26" s="41">
        <f t="shared" ref="W26:AG26" si="34">SUM(W27:W30)</f>
        <v>0</v>
      </c>
      <c r="X26" s="34">
        <f>SUMIF('Actual_30 jun'!$I:$I,'SAP Working'!H26,'Actual_30 jun'!$K:$K)</f>
        <v>0</v>
      </c>
      <c r="Y26" s="34">
        <f>SUMIF('Commited_30 Jun'!$H:$H,'SAP Working'!H26,'Commited_30 Jun'!$I:$I)</f>
        <v>0</v>
      </c>
      <c r="Z26" s="42">
        <f t="shared" si="34"/>
        <v>0</v>
      </c>
      <c r="AA26" s="43">
        <f t="shared" si="34"/>
        <v>0</v>
      </c>
      <c r="AC26" s="41">
        <f t="shared" si="34"/>
        <v>27199501</v>
      </c>
      <c r="AD26" s="41">
        <f t="shared" si="34"/>
        <v>11807519.999999996</v>
      </c>
      <c r="AE26" s="41">
        <f t="shared" si="34"/>
        <v>9815148903.6000004</v>
      </c>
      <c r="AF26" s="41">
        <f t="shared" si="34"/>
        <v>9826956423.6000004</v>
      </c>
      <c r="AG26" s="41">
        <f t="shared" si="34"/>
        <v>-9799756922.6000004</v>
      </c>
    </row>
    <row r="27" spans="1:33" x14ac:dyDescent="0.25">
      <c r="B27" s="20" t="s">
        <v>1244</v>
      </c>
      <c r="C27" s="20" t="s">
        <v>1245</v>
      </c>
      <c r="D27" s="1">
        <f t="shared" si="30"/>
        <v>23</v>
      </c>
      <c r="E27" s="1">
        <v>3</v>
      </c>
      <c r="F27" s="25" t="s">
        <v>191</v>
      </c>
      <c r="G27" s="23" t="s">
        <v>1331</v>
      </c>
      <c r="H27" s="23" t="s">
        <v>1332</v>
      </c>
      <c r="I27" s="22" t="s">
        <v>190</v>
      </c>
      <c r="K27" s="35">
        <f>AC27</f>
        <v>17701000</v>
      </c>
      <c r="L27" s="35">
        <f t="shared" si="32"/>
        <v>4357950</v>
      </c>
      <c r="M27" s="35">
        <f t="shared" si="32"/>
        <v>2957181138.4499998</v>
      </c>
      <c r="N27" s="34">
        <f t="shared" si="4"/>
        <v>2961539088.4499998</v>
      </c>
      <c r="O27" s="36">
        <f t="shared" si="5"/>
        <v>-2943838088.4499998</v>
      </c>
      <c r="Q27" s="35">
        <f>SUMIF(Budgeted_01jun!U:U,'SAP Working'!G27,Budgeted_01jun!R:R)</f>
        <v>0</v>
      </c>
      <c r="R27" s="34">
        <f>SUMIF('Actual_30 jun'!I:I,'SAP Working'!G27,'Actual_30 jun'!K:K)</f>
        <v>0</v>
      </c>
      <c r="S27" s="34">
        <f>SUMIF('Commited_30 Jun'!H:H,'SAP Working'!G27,'Commited_30 Jun'!I:I)</f>
        <v>0</v>
      </c>
      <c r="T27" s="34">
        <f t="shared" si="6"/>
        <v>0</v>
      </c>
      <c r="U27" s="36">
        <f t="shared" si="7"/>
        <v>0</v>
      </c>
      <c r="W27" s="35">
        <f>SUMIF(Budgeted_01jun!$U:$U,H27,Budgeted_01jun!$R:$R)</f>
        <v>0</v>
      </c>
      <c r="X27" s="34">
        <f>SUMIF('Actual_30 jun'!$I:$I,'SAP Working'!H27,'Actual_30 jun'!$K:$K)</f>
        <v>0</v>
      </c>
      <c r="Y27" s="34">
        <f>SUMIF('Commited_30 Jun'!$H:$H,'SAP Working'!H27,'Commited_30 Jun'!$I:$I)</f>
        <v>0</v>
      </c>
      <c r="Z27" s="34">
        <f t="shared" si="8"/>
        <v>0</v>
      </c>
      <c r="AA27" s="36">
        <f t="shared" si="9"/>
        <v>0</v>
      </c>
      <c r="AC27" s="35">
        <f>SUMIF(Budgeted_01jun!$U:$U,'SAP Working'!I27,Budgeted_01jun!$R:$R)</f>
        <v>17701000</v>
      </c>
      <c r="AD27" s="34">
        <f>SUMIF('Actual_30 jun'!$I:$I,'SAP Working'!I27,'Actual_30 jun'!$K:$K)</f>
        <v>4357950</v>
      </c>
      <c r="AE27" s="34">
        <f>SUMIF('Commited_30 Jun'!$H:$H,'SAP Working'!I27,'Commited_30 Jun'!$I:$I)</f>
        <v>2957181138.4499998</v>
      </c>
      <c r="AF27" s="34">
        <f t="shared" si="10"/>
        <v>2961539088.4499998</v>
      </c>
      <c r="AG27" s="36">
        <f t="shared" si="11"/>
        <v>-2943838088.4499998</v>
      </c>
    </row>
    <row r="28" spans="1:33" x14ac:dyDescent="0.25">
      <c r="B28" s="20" t="s">
        <v>1244</v>
      </c>
      <c r="C28" s="20" t="s">
        <v>1245</v>
      </c>
      <c r="D28" s="1">
        <f t="shared" si="30"/>
        <v>24</v>
      </c>
      <c r="E28" s="1">
        <v>3</v>
      </c>
      <c r="F28" s="25" t="s">
        <v>196</v>
      </c>
      <c r="G28" s="23" t="s">
        <v>1333</v>
      </c>
      <c r="H28" s="23" t="s">
        <v>1334</v>
      </c>
      <c r="I28" s="22" t="s">
        <v>753</v>
      </c>
      <c r="K28" s="35">
        <f t="shared" ref="K28:K30" si="35">AC28</f>
        <v>5950000</v>
      </c>
      <c r="L28" s="35">
        <f t="shared" si="32"/>
        <v>2433719.9999999995</v>
      </c>
      <c r="M28" s="35">
        <f t="shared" si="32"/>
        <v>676009708.64999998</v>
      </c>
      <c r="N28" s="34">
        <f t="shared" si="4"/>
        <v>678443428.64999998</v>
      </c>
      <c r="O28" s="36">
        <f t="shared" si="5"/>
        <v>-672493428.64999998</v>
      </c>
      <c r="Q28" s="35">
        <f>SUMIF(Budgeted_01jun!U:U,'SAP Working'!G28,Budgeted_01jun!R:R)</f>
        <v>0</v>
      </c>
      <c r="R28" s="34">
        <f>SUMIF('Actual_30 jun'!I:I,'SAP Working'!G28,'Actual_30 jun'!K:K)</f>
        <v>0</v>
      </c>
      <c r="S28" s="34">
        <f>SUMIF('Commited_30 Jun'!H:H,'SAP Working'!G28,'Commited_30 Jun'!I:I)</f>
        <v>0</v>
      </c>
      <c r="T28" s="34">
        <f t="shared" si="6"/>
        <v>0</v>
      </c>
      <c r="U28" s="36">
        <f t="shared" si="7"/>
        <v>0</v>
      </c>
      <c r="W28" s="35">
        <f>SUMIF(Budgeted_01jun!$U:$U,H28,Budgeted_01jun!$R:$R)</f>
        <v>0</v>
      </c>
      <c r="X28" s="34">
        <f>SUMIF('Actual_30 jun'!$I:$I,'SAP Working'!H28,'Actual_30 jun'!$K:$K)</f>
        <v>0</v>
      </c>
      <c r="Y28" s="34">
        <f>SUMIF('Commited_30 Jun'!$H:$H,'SAP Working'!H28,'Commited_30 Jun'!$I:$I)</f>
        <v>0</v>
      </c>
      <c r="Z28" s="34">
        <f t="shared" si="8"/>
        <v>0</v>
      </c>
      <c r="AA28" s="36">
        <f t="shared" si="9"/>
        <v>0</v>
      </c>
      <c r="AC28" s="35">
        <f>SUMIF(Budgeted_01jun!$U:$U,'SAP Working'!I28,Budgeted_01jun!$R:$R)</f>
        <v>5950000</v>
      </c>
      <c r="AD28" s="34">
        <f>SUMIF('Actual_30 jun'!$I:$I,'SAP Working'!I28,'Actual_30 jun'!$K:$K)</f>
        <v>2433719.9999999995</v>
      </c>
      <c r="AE28" s="34">
        <f>SUMIF('Commited_30 Jun'!$H:$H,'SAP Working'!I28,'Commited_30 Jun'!$I:$I)</f>
        <v>676009708.64999998</v>
      </c>
      <c r="AF28" s="34">
        <f t="shared" si="10"/>
        <v>678443428.64999998</v>
      </c>
      <c r="AG28" s="36">
        <f t="shared" si="11"/>
        <v>-672493428.64999998</v>
      </c>
    </row>
    <row r="29" spans="1:33" x14ac:dyDescent="0.25">
      <c r="B29" s="20" t="s">
        <v>1244</v>
      </c>
      <c r="C29" s="20" t="s">
        <v>1245</v>
      </c>
      <c r="D29" s="1">
        <f t="shared" si="30"/>
        <v>25</v>
      </c>
      <c r="E29" s="1">
        <v>3</v>
      </c>
      <c r="F29" s="25" t="s">
        <v>1335</v>
      </c>
      <c r="G29" s="23" t="s">
        <v>1336</v>
      </c>
      <c r="H29" s="23" t="s">
        <v>1337</v>
      </c>
      <c r="I29" s="22" t="s">
        <v>1338</v>
      </c>
      <c r="K29" s="35">
        <f t="shared" si="35"/>
        <v>0</v>
      </c>
      <c r="L29" s="35">
        <f t="shared" si="32"/>
        <v>0</v>
      </c>
      <c r="M29" s="35">
        <f t="shared" si="32"/>
        <v>0</v>
      </c>
      <c r="N29" s="34">
        <f t="shared" si="4"/>
        <v>0</v>
      </c>
      <c r="O29" s="36">
        <f t="shared" si="5"/>
        <v>0</v>
      </c>
      <c r="Q29" s="35">
        <f>SUMIF(Budgeted_01jun!U:U,'SAP Working'!G29,Budgeted_01jun!R:R)</f>
        <v>0</v>
      </c>
      <c r="R29" s="34">
        <f>SUMIF('Actual_30 jun'!I:I,'SAP Working'!G29,'Actual_30 jun'!K:K)</f>
        <v>0</v>
      </c>
      <c r="S29" s="34">
        <f>SUMIF('Commited_30 Jun'!H:H,'SAP Working'!G29,'Commited_30 Jun'!I:I)</f>
        <v>0</v>
      </c>
      <c r="T29" s="34">
        <f t="shared" si="6"/>
        <v>0</v>
      </c>
      <c r="U29" s="36">
        <f t="shared" si="7"/>
        <v>0</v>
      </c>
      <c r="W29" s="35">
        <f>SUMIF(Budgeted_01jun!$U:$U,H29,Budgeted_01jun!$R:$R)</f>
        <v>0</v>
      </c>
      <c r="X29" s="34">
        <f>SUMIF('Actual_30 jun'!$I:$I,'SAP Working'!H29,'Actual_30 jun'!$K:$K)</f>
        <v>0</v>
      </c>
      <c r="Y29" s="34">
        <f>SUMIF('Commited_30 Jun'!$H:$H,'SAP Working'!H29,'Commited_30 Jun'!$I:$I)</f>
        <v>0</v>
      </c>
      <c r="Z29" s="34">
        <f t="shared" si="8"/>
        <v>0</v>
      </c>
      <c r="AA29" s="36">
        <f t="shared" si="9"/>
        <v>0</v>
      </c>
      <c r="AC29" s="35">
        <f>SUMIF(Budgeted_01jun!$U:$U,'SAP Working'!I29,Budgeted_01jun!$R:$R)</f>
        <v>0</v>
      </c>
      <c r="AD29" s="34">
        <f>SUMIF('Actual_30 jun'!$I:$I,'SAP Working'!I29,'Actual_30 jun'!$K:$K)</f>
        <v>0</v>
      </c>
      <c r="AE29" s="34">
        <f>SUMIF('Commited_30 Jun'!$H:$H,'SAP Working'!I29,'Commited_30 Jun'!$I:$I)</f>
        <v>0</v>
      </c>
      <c r="AF29" s="34">
        <f t="shared" si="10"/>
        <v>0</v>
      </c>
      <c r="AG29" s="36">
        <f t="shared" si="11"/>
        <v>0</v>
      </c>
    </row>
    <row r="30" spans="1:33" x14ac:dyDescent="0.25">
      <c r="B30" s="20" t="s">
        <v>1244</v>
      </c>
      <c r="C30" s="20" t="s">
        <v>1245</v>
      </c>
      <c r="D30" s="1">
        <f t="shared" si="30"/>
        <v>26</v>
      </c>
      <c r="E30" s="1">
        <v>3</v>
      </c>
      <c r="F30" s="25" t="s">
        <v>1339</v>
      </c>
      <c r="G30" s="23" t="s">
        <v>1340</v>
      </c>
      <c r="H30" s="23" t="s">
        <v>1341</v>
      </c>
      <c r="I30" s="22" t="s">
        <v>682</v>
      </c>
      <c r="K30" s="35">
        <f t="shared" si="35"/>
        <v>3548501</v>
      </c>
      <c r="L30" s="35">
        <f t="shared" si="32"/>
        <v>5015849.9999999972</v>
      </c>
      <c r="M30" s="35">
        <f t="shared" si="32"/>
        <v>6181958056.5</v>
      </c>
      <c r="N30" s="34">
        <f t="shared" si="4"/>
        <v>6186973906.5</v>
      </c>
      <c r="O30" s="36">
        <f t="shared" si="5"/>
        <v>-6183425405.5</v>
      </c>
      <c r="Q30" s="35">
        <f>SUMIF(Budgeted_01jun!U:U,'SAP Working'!G30,Budgeted_01jun!R:R)</f>
        <v>0</v>
      </c>
      <c r="R30" s="34">
        <f>SUMIF('Actual_30 jun'!I:I,'SAP Working'!G30,'Actual_30 jun'!K:K)</f>
        <v>0</v>
      </c>
      <c r="S30" s="34">
        <f>SUMIF('Commited_30 Jun'!H:H,'SAP Working'!G30,'Commited_30 Jun'!I:I)</f>
        <v>0</v>
      </c>
      <c r="T30" s="34">
        <f t="shared" si="6"/>
        <v>0</v>
      </c>
      <c r="U30" s="36">
        <f t="shared" si="7"/>
        <v>0</v>
      </c>
      <c r="W30" s="35">
        <f>SUMIF(Budgeted_01jun!$U:$U,H30,Budgeted_01jun!$R:$R)</f>
        <v>0</v>
      </c>
      <c r="X30" s="34">
        <f>SUMIF('Actual_30 jun'!$I:$I,'SAP Working'!H30,'Actual_30 jun'!$K:$K)</f>
        <v>0</v>
      </c>
      <c r="Y30" s="34">
        <f>SUMIF('Commited_30 Jun'!$H:$H,'SAP Working'!H30,'Commited_30 Jun'!$I:$I)</f>
        <v>0</v>
      </c>
      <c r="Z30" s="34">
        <f t="shared" si="8"/>
        <v>0</v>
      </c>
      <c r="AA30" s="36">
        <f t="shared" si="9"/>
        <v>0</v>
      </c>
      <c r="AC30" s="35">
        <f>SUMIF(Budgeted_01jun!$U:$U,'SAP Working'!I30,Budgeted_01jun!$R:$R)</f>
        <v>3548501</v>
      </c>
      <c r="AD30" s="34">
        <f>SUMIF('Actual_30 jun'!$I:$I,'SAP Working'!I30,'Actual_30 jun'!$K:$K)</f>
        <v>5015849.9999999972</v>
      </c>
      <c r="AE30" s="34">
        <f>SUMIF('Commited_30 Jun'!$H:$H,'SAP Working'!I30,'Commited_30 Jun'!$I:$I)</f>
        <v>6181958056.5</v>
      </c>
      <c r="AF30" s="34">
        <f t="shared" si="10"/>
        <v>6186973906.5</v>
      </c>
      <c r="AG30" s="36">
        <f t="shared" si="11"/>
        <v>-6183425405.5</v>
      </c>
    </row>
    <row r="31" spans="1:33" x14ac:dyDescent="0.25">
      <c r="A31">
        <v>7</v>
      </c>
      <c r="B31" s="15" t="s">
        <v>1244</v>
      </c>
      <c r="C31" s="15" t="s">
        <v>1245</v>
      </c>
      <c r="D31" s="16">
        <f t="shared" si="30"/>
        <v>27</v>
      </c>
      <c r="E31" s="16">
        <v>2</v>
      </c>
      <c r="F31" s="15" t="s">
        <v>1045</v>
      </c>
      <c r="G31" s="18" t="s">
        <v>1342</v>
      </c>
      <c r="H31" s="18" t="s">
        <v>1043</v>
      </c>
      <c r="I31" s="18" t="s">
        <v>1343</v>
      </c>
      <c r="K31" s="41">
        <f>SUM(K32,K45,K48,K49,K50)</f>
        <v>725670584.99000001</v>
      </c>
      <c r="L31" s="41">
        <f t="shared" ref="L31:M31" si="36">SUM(L32,L45,L48,L49,L50)</f>
        <v>289872780</v>
      </c>
      <c r="M31" s="41">
        <f t="shared" si="36"/>
        <v>27787013607.599995</v>
      </c>
      <c r="N31" s="42">
        <f t="shared" si="4"/>
        <v>28076886387.599995</v>
      </c>
      <c r="O31" s="43">
        <f t="shared" si="5"/>
        <v>-27351215802.609993</v>
      </c>
      <c r="Q31" s="41">
        <f>SUM(Q32,Q45,Q48,Q49,Q50)</f>
        <v>0</v>
      </c>
      <c r="R31" s="41">
        <f t="shared" ref="R31:U31" si="37">SUM(R32,R45,R48,R49,R50)</f>
        <v>0</v>
      </c>
      <c r="S31" s="41">
        <f t="shared" si="37"/>
        <v>0</v>
      </c>
      <c r="T31" s="41">
        <f t="shared" si="37"/>
        <v>0</v>
      </c>
      <c r="U31" s="41">
        <f t="shared" si="37"/>
        <v>0</v>
      </c>
      <c r="W31" s="41">
        <f>SUM(W32,W45,W48,W49,W50)</f>
        <v>725670584.99000001</v>
      </c>
      <c r="X31" s="41">
        <f t="shared" ref="X31:AA31" si="38">SUM(X32,X45,X48,X49,X50)</f>
        <v>289872780</v>
      </c>
      <c r="Y31" s="41">
        <f t="shared" si="38"/>
        <v>27787013607.599995</v>
      </c>
      <c r="Z31" s="41">
        <f t="shared" si="38"/>
        <v>28076886387.599995</v>
      </c>
      <c r="AA31" s="41">
        <f t="shared" si="38"/>
        <v>-27351215802.609997</v>
      </c>
      <c r="AC31" s="41">
        <f t="shared" ref="AC31:AG31" si="39">SUM(AC32,AC45,AC48,AC49,AC50)</f>
        <v>0</v>
      </c>
      <c r="AD31" s="41">
        <f t="shared" si="39"/>
        <v>0</v>
      </c>
      <c r="AE31" s="41">
        <f t="shared" si="39"/>
        <v>0</v>
      </c>
      <c r="AF31" s="41">
        <f t="shared" si="39"/>
        <v>0</v>
      </c>
      <c r="AG31" s="41">
        <f t="shared" si="39"/>
        <v>0</v>
      </c>
    </row>
    <row r="32" spans="1:33" x14ac:dyDescent="0.25">
      <c r="A32">
        <v>7.1</v>
      </c>
      <c r="B32" s="20" t="s">
        <v>1244</v>
      </c>
      <c r="C32" s="20" t="s">
        <v>1245</v>
      </c>
      <c r="D32" s="1">
        <f t="shared" si="30"/>
        <v>28</v>
      </c>
      <c r="E32" s="1">
        <v>3</v>
      </c>
      <c r="F32" s="20" t="s">
        <v>1048</v>
      </c>
      <c r="G32" s="23" t="s">
        <v>1344</v>
      </c>
      <c r="H32" s="22" t="s">
        <v>1046</v>
      </c>
      <c r="I32" s="23" t="s">
        <v>1345</v>
      </c>
      <c r="K32" s="44">
        <f>W32</f>
        <v>681009684.99000001</v>
      </c>
      <c r="L32" s="44">
        <f t="shared" ref="L32:M47" si="40">X32</f>
        <v>289872780</v>
      </c>
      <c r="M32" s="44">
        <f t="shared" si="40"/>
        <v>25809778124.999996</v>
      </c>
      <c r="N32" s="46">
        <f t="shared" si="4"/>
        <v>26099650904.999996</v>
      </c>
      <c r="O32" s="48">
        <f t="shared" si="5"/>
        <v>-25418641220.009995</v>
      </c>
      <c r="Q32" s="44">
        <f>SUM(Q33,Q34,Q35,Q38,Q39,Q42)</f>
        <v>0</v>
      </c>
      <c r="R32" s="44">
        <f t="shared" ref="R32:U32" si="41">SUM(R33,R34,R35,R38,R39,R42)</f>
        <v>0</v>
      </c>
      <c r="S32" s="44">
        <f t="shared" si="41"/>
        <v>0</v>
      </c>
      <c r="T32" s="44">
        <f t="shared" si="41"/>
        <v>0</v>
      </c>
      <c r="U32" s="44">
        <f t="shared" si="41"/>
        <v>0</v>
      </c>
      <c r="W32" s="44">
        <f>SUM(W33,W34,W35,W38,W39,W42)</f>
        <v>681009684.99000001</v>
      </c>
      <c r="X32" s="44">
        <f t="shared" ref="X32:AA32" si="42">SUM(X33,X34,X35,X38,X39,X42)</f>
        <v>289872780</v>
      </c>
      <c r="Y32" s="44">
        <f t="shared" si="42"/>
        <v>25809778124.999996</v>
      </c>
      <c r="Z32" s="44">
        <f t="shared" si="42"/>
        <v>26099650904.999996</v>
      </c>
      <c r="AA32" s="44">
        <f t="shared" si="42"/>
        <v>-25418641220.009998</v>
      </c>
      <c r="AC32" s="44">
        <f t="shared" ref="AC32:AG32" si="43">SUM(AC33,AC34,AC35,AC38,AC39,AC42)</f>
        <v>0</v>
      </c>
      <c r="AD32" s="44">
        <f t="shared" si="43"/>
        <v>0</v>
      </c>
      <c r="AE32" s="44">
        <f t="shared" si="43"/>
        <v>0</v>
      </c>
      <c r="AF32" s="44">
        <f t="shared" si="43"/>
        <v>0</v>
      </c>
      <c r="AG32" s="44">
        <f t="shared" si="43"/>
        <v>0</v>
      </c>
    </row>
    <row r="33" spans="2:33" x14ac:dyDescent="0.25">
      <c r="B33" s="20" t="s">
        <v>1244</v>
      </c>
      <c r="C33" s="20" t="s">
        <v>1245</v>
      </c>
      <c r="D33" s="1">
        <f t="shared" si="30"/>
        <v>29</v>
      </c>
      <c r="E33" s="1">
        <v>4</v>
      </c>
      <c r="F33" s="25" t="s">
        <v>200</v>
      </c>
      <c r="G33" s="23" t="s">
        <v>1346</v>
      </c>
      <c r="H33" s="22" t="s">
        <v>202</v>
      </c>
      <c r="I33" s="23" t="s">
        <v>1347</v>
      </c>
      <c r="K33" s="34">
        <f t="shared" ref="K33:K50" si="44">W33</f>
        <v>276817610</v>
      </c>
      <c r="L33" s="34">
        <f t="shared" si="40"/>
        <v>48106769.999999985</v>
      </c>
      <c r="M33" s="34">
        <f t="shared" si="40"/>
        <v>3393676106.0999994</v>
      </c>
      <c r="N33" s="34">
        <f t="shared" si="4"/>
        <v>3441782876.0999994</v>
      </c>
      <c r="O33" s="36">
        <f t="shared" si="5"/>
        <v>-3164965266.0999994</v>
      </c>
      <c r="Q33" s="45">
        <f>SUMIF(Budgeted_01jun!U:U,'SAP Working'!G33,Budgeted_01jun!R:R)</f>
        <v>0</v>
      </c>
      <c r="R33" s="34">
        <f>SUMIF('Actual_30 jun'!I:I,'SAP Working'!G33,'Actual_30 jun'!K:K)</f>
        <v>0</v>
      </c>
      <c r="S33" s="34">
        <f>SUMIF('Commited_30 Jun'!H:H,'SAP Working'!G33,'Commited_30 Jun'!I:I)</f>
        <v>0</v>
      </c>
      <c r="T33" s="34">
        <f t="shared" si="6"/>
        <v>0</v>
      </c>
      <c r="U33" s="36">
        <f t="shared" si="7"/>
        <v>0</v>
      </c>
      <c r="W33" s="45">
        <f>SUMIF(Budgeted_01jun!$U:$U,H33,Budgeted_01jun!$R:$R)</f>
        <v>276817610</v>
      </c>
      <c r="X33" s="34">
        <f>SUMIF('Actual_30 jun'!$I:$I,'SAP Working'!H33,'Actual_30 jun'!$K:$K)</f>
        <v>48106769.999999985</v>
      </c>
      <c r="Y33" s="34">
        <f>SUMIF('Commited_30 Jun'!$H:$H,'SAP Working'!H33,'Commited_30 Jun'!$I:$I)</f>
        <v>3393676106.0999994</v>
      </c>
      <c r="Z33" s="34">
        <f t="shared" si="8"/>
        <v>3441782876.0999994</v>
      </c>
      <c r="AA33" s="36">
        <f t="shared" si="9"/>
        <v>-3164965266.0999994</v>
      </c>
      <c r="AC33" s="45">
        <f>SUMIF(Budgeted_01jun!$U:$U,'SAP Working'!I33,Budgeted_01jun!$R:$R)</f>
        <v>0</v>
      </c>
      <c r="AD33" s="34">
        <f>SUMIF('Actual_30 jun'!$I:$I,'SAP Working'!I33,'Actual_30 jun'!$K:$K)</f>
        <v>0</v>
      </c>
      <c r="AE33" s="34">
        <f>SUMIF('Commited_30 Jun'!$H:$H,'SAP Working'!I33,'Commited_30 Jun'!$I:$I)</f>
        <v>0</v>
      </c>
      <c r="AF33" s="34">
        <f t="shared" si="10"/>
        <v>0</v>
      </c>
      <c r="AG33" s="36">
        <f t="shared" si="11"/>
        <v>0</v>
      </c>
    </row>
    <row r="34" spans="2:33" x14ac:dyDescent="0.25">
      <c r="B34" s="20" t="s">
        <v>1244</v>
      </c>
      <c r="C34" s="20" t="s">
        <v>1245</v>
      </c>
      <c r="D34" s="1">
        <f t="shared" si="30"/>
        <v>30</v>
      </c>
      <c r="E34" s="1">
        <v>4</v>
      </c>
      <c r="F34" s="25" t="s">
        <v>83</v>
      </c>
      <c r="G34" s="23" t="s">
        <v>1348</v>
      </c>
      <c r="H34" s="22" t="s">
        <v>180</v>
      </c>
      <c r="I34" s="23" t="s">
        <v>1349</v>
      </c>
      <c r="K34" s="34">
        <f t="shared" si="44"/>
        <v>86030908</v>
      </c>
      <c r="L34" s="34">
        <f t="shared" si="40"/>
        <v>33083700</v>
      </c>
      <c r="M34" s="34">
        <f t="shared" si="40"/>
        <v>3618737371.3499994</v>
      </c>
      <c r="N34" s="34">
        <f t="shared" si="4"/>
        <v>3651821071.3499994</v>
      </c>
      <c r="O34" s="36">
        <f t="shared" si="5"/>
        <v>-3565790163.3499994</v>
      </c>
      <c r="Q34" s="45">
        <f>SUMIF(Budgeted_01jun!U:U,'SAP Working'!G34,Budgeted_01jun!R:R)</f>
        <v>0</v>
      </c>
      <c r="R34" s="34">
        <f>SUMIF('Actual_30 jun'!I:I,'SAP Working'!G34,'Actual_30 jun'!K:K)</f>
        <v>0</v>
      </c>
      <c r="S34" s="34">
        <f>SUMIF('Commited_30 Jun'!H:H,'SAP Working'!G34,'Commited_30 Jun'!I:I)</f>
        <v>0</v>
      </c>
      <c r="T34" s="34">
        <f t="shared" si="6"/>
        <v>0</v>
      </c>
      <c r="U34" s="36">
        <f t="shared" si="7"/>
        <v>0</v>
      </c>
      <c r="W34" s="45">
        <f>SUMIF(Budgeted_01jun!$U:$U,H34,Budgeted_01jun!$R:$R)</f>
        <v>86030908</v>
      </c>
      <c r="X34" s="34">
        <f>SUMIF('Actual_30 jun'!$I:$I,'SAP Working'!H34,'Actual_30 jun'!$K:$K)</f>
        <v>33083700</v>
      </c>
      <c r="Y34" s="34">
        <f>SUMIF('Commited_30 Jun'!$H:$H,'SAP Working'!H34,'Commited_30 Jun'!$I:$I)</f>
        <v>3618737371.3499994</v>
      </c>
      <c r="Z34" s="34">
        <f t="shared" si="8"/>
        <v>3651821071.3499994</v>
      </c>
      <c r="AA34" s="36">
        <f t="shared" si="9"/>
        <v>-3565790163.3499994</v>
      </c>
      <c r="AC34" s="45">
        <f>SUMIF(Budgeted_01jun!$U:$U,'SAP Working'!I34,Budgeted_01jun!$R:$R)</f>
        <v>0</v>
      </c>
      <c r="AD34" s="34">
        <f>SUMIF('Actual_30 jun'!$I:$I,'SAP Working'!I34,'Actual_30 jun'!$K:$K)</f>
        <v>0</v>
      </c>
      <c r="AE34" s="34">
        <f>SUMIF('Commited_30 Jun'!$H:$H,'SAP Working'!I34,'Commited_30 Jun'!$I:$I)</f>
        <v>0</v>
      </c>
      <c r="AF34" s="34">
        <f t="shared" si="10"/>
        <v>0</v>
      </c>
      <c r="AG34" s="36">
        <f t="shared" si="11"/>
        <v>0</v>
      </c>
    </row>
    <row r="35" spans="2:33" x14ac:dyDescent="0.25">
      <c r="B35" s="20" t="s">
        <v>1244</v>
      </c>
      <c r="C35" s="20" t="s">
        <v>1245</v>
      </c>
      <c r="D35" s="1">
        <f t="shared" si="30"/>
        <v>31</v>
      </c>
      <c r="E35" s="1">
        <v>4</v>
      </c>
      <c r="F35" s="25" t="s">
        <v>1053</v>
      </c>
      <c r="G35" s="23" t="s">
        <v>1350</v>
      </c>
      <c r="H35" s="22" t="s">
        <v>1051</v>
      </c>
      <c r="I35" s="23" t="s">
        <v>1351</v>
      </c>
      <c r="K35" s="47">
        <f t="shared" si="44"/>
        <v>242415374.94</v>
      </c>
      <c r="L35" s="47">
        <f t="shared" si="40"/>
        <v>148912860</v>
      </c>
      <c r="M35" s="47">
        <f t="shared" si="40"/>
        <v>7339062029.3999996</v>
      </c>
      <c r="N35" s="47">
        <f t="shared" si="4"/>
        <v>7487974889.3999996</v>
      </c>
      <c r="O35" s="49">
        <f t="shared" si="5"/>
        <v>-7245559514.46</v>
      </c>
      <c r="Q35" s="45">
        <f>SUM(Q36:Q37)</f>
        <v>0</v>
      </c>
      <c r="R35" s="45">
        <f t="shared" ref="R35:U35" si="45">SUM(R36:R37)</f>
        <v>0</v>
      </c>
      <c r="S35" s="45">
        <f t="shared" si="45"/>
        <v>0</v>
      </c>
      <c r="T35" s="45">
        <f t="shared" si="45"/>
        <v>0</v>
      </c>
      <c r="U35" s="45">
        <f t="shared" si="45"/>
        <v>0</v>
      </c>
      <c r="W35" s="45">
        <f t="shared" ref="W35:AG35" si="46">SUM(W36:W37)</f>
        <v>242415374.94</v>
      </c>
      <c r="X35" s="45">
        <f t="shared" si="46"/>
        <v>148912860</v>
      </c>
      <c r="Y35" s="45">
        <f t="shared" si="46"/>
        <v>7339062029.3999996</v>
      </c>
      <c r="Z35" s="47">
        <f t="shared" si="46"/>
        <v>7487974889.3999996</v>
      </c>
      <c r="AA35" s="49">
        <f t="shared" si="46"/>
        <v>-7245559514.4599991</v>
      </c>
      <c r="AC35" s="45">
        <f t="shared" si="46"/>
        <v>0</v>
      </c>
      <c r="AD35" s="45">
        <f t="shared" si="46"/>
        <v>0</v>
      </c>
      <c r="AE35" s="45">
        <f t="shared" si="46"/>
        <v>0</v>
      </c>
      <c r="AF35" s="45">
        <f t="shared" si="46"/>
        <v>0</v>
      </c>
      <c r="AG35" s="49">
        <f t="shared" si="46"/>
        <v>0</v>
      </c>
    </row>
    <row r="36" spans="2:33" x14ac:dyDescent="0.25">
      <c r="B36" s="20" t="s">
        <v>1244</v>
      </c>
      <c r="C36" s="20" t="s">
        <v>1245</v>
      </c>
      <c r="D36" s="1">
        <f t="shared" si="30"/>
        <v>32</v>
      </c>
      <c r="E36" s="1">
        <v>5</v>
      </c>
      <c r="F36" s="25" t="s">
        <v>182</v>
      </c>
      <c r="G36" s="23" t="s">
        <v>1352</v>
      </c>
      <c r="H36" s="22" t="s">
        <v>181</v>
      </c>
      <c r="I36" s="23" t="s">
        <v>1353</v>
      </c>
      <c r="K36" s="34">
        <f t="shared" si="44"/>
        <v>169389169</v>
      </c>
      <c r="L36" s="34">
        <f t="shared" si="40"/>
        <v>18759330</v>
      </c>
      <c r="M36" s="34">
        <f t="shared" si="40"/>
        <v>3012104346.2999997</v>
      </c>
      <c r="N36" s="34">
        <f t="shared" si="4"/>
        <v>3030863676.2999997</v>
      </c>
      <c r="O36" s="36">
        <f t="shared" si="5"/>
        <v>-2861474507.2999997</v>
      </c>
      <c r="Q36" s="35">
        <f>SUMIF(Budgeted_01jun!U:U,'SAP Working'!G36,Budgeted_01jun!R:R)</f>
        <v>0</v>
      </c>
      <c r="R36" s="34">
        <f>SUMIF('Actual_30 jun'!I:I,'SAP Working'!G36,'Actual_30 jun'!K:K)</f>
        <v>0</v>
      </c>
      <c r="S36" s="34">
        <f>SUMIF('Commited_30 Jun'!H:H,'SAP Working'!G36,'Commited_30 Jun'!I:I)</f>
        <v>0</v>
      </c>
      <c r="T36" s="34">
        <f t="shared" si="6"/>
        <v>0</v>
      </c>
      <c r="U36" s="36">
        <f t="shared" si="7"/>
        <v>0</v>
      </c>
      <c r="W36" s="35">
        <f>SUMIF(Budgeted_01jun!$U:$U,H36,Budgeted_01jun!$R:$R)</f>
        <v>169389169</v>
      </c>
      <c r="X36" s="34">
        <f>SUMIF('Actual_30 jun'!$I:$I,'SAP Working'!H36,'Actual_30 jun'!$K:$K)</f>
        <v>18759330</v>
      </c>
      <c r="Y36" s="34">
        <f>SUMIF('Commited_30 Jun'!$H:$H,'SAP Working'!H36,'Commited_30 Jun'!$I:$I)</f>
        <v>3012104346.2999997</v>
      </c>
      <c r="Z36" s="34">
        <f t="shared" si="8"/>
        <v>3030863676.2999997</v>
      </c>
      <c r="AA36" s="36">
        <f t="shared" si="9"/>
        <v>-2861474507.2999997</v>
      </c>
      <c r="AC36" s="35">
        <f>SUMIF(Budgeted_01jun!$U:$U,'SAP Working'!I36,Budgeted_01jun!$R:$R)</f>
        <v>0</v>
      </c>
      <c r="AD36" s="34">
        <f>SUMIF('Actual_30 jun'!$I:$I,'SAP Working'!I36,'Actual_30 jun'!$K:$K)</f>
        <v>0</v>
      </c>
      <c r="AE36" s="34">
        <f>SUMIF('Commited_30 Jun'!$H:$H,'SAP Working'!I36,'Commited_30 Jun'!$I:$I)</f>
        <v>0</v>
      </c>
      <c r="AF36" s="34">
        <f t="shared" si="10"/>
        <v>0</v>
      </c>
      <c r="AG36" s="36">
        <f t="shared" si="11"/>
        <v>0</v>
      </c>
    </row>
    <row r="37" spans="2:33" x14ac:dyDescent="0.25">
      <c r="B37" s="20" t="s">
        <v>1244</v>
      </c>
      <c r="C37" s="20" t="s">
        <v>1245</v>
      </c>
      <c r="D37" s="1">
        <f t="shared" si="30"/>
        <v>33</v>
      </c>
      <c r="E37" s="1">
        <v>5</v>
      </c>
      <c r="F37" s="25" t="s">
        <v>78</v>
      </c>
      <c r="G37" s="23" t="s">
        <v>1354</v>
      </c>
      <c r="H37" s="22" t="s">
        <v>77</v>
      </c>
      <c r="I37" s="23" t="s">
        <v>1355</v>
      </c>
      <c r="K37" s="34">
        <f t="shared" si="44"/>
        <v>73026205.939999998</v>
      </c>
      <c r="L37" s="34">
        <f t="shared" si="40"/>
        <v>130153530</v>
      </c>
      <c r="M37" s="34">
        <f t="shared" si="40"/>
        <v>4326957683.0999994</v>
      </c>
      <c r="N37" s="34">
        <f t="shared" si="4"/>
        <v>4457111213.0999994</v>
      </c>
      <c r="O37" s="36">
        <f t="shared" si="5"/>
        <v>-4384085007.1599998</v>
      </c>
      <c r="Q37" s="35">
        <f>SUMIF(Budgeted_01jun!U:U,'SAP Working'!G37,Budgeted_01jun!R:R)</f>
        <v>0</v>
      </c>
      <c r="R37" s="34">
        <f>SUMIF('Actual_30 jun'!I:I,'SAP Working'!G37,'Actual_30 jun'!K:K)</f>
        <v>0</v>
      </c>
      <c r="S37" s="34">
        <f>SUMIF('Commited_30 Jun'!H:H,'SAP Working'!G37,'Commited_30 Jun'!I:I)</f>
        <v>0</v>
      </c>
      <c r="T37" s="34">
        <f t="shared" si="6"/>
        <v>0</v>
      </c>
      <c r="U37" s="36">
        <f t="shared" si="7"/>
        <v>0</v>
      </c>
      <c r="W37" s="35">
        <f>SUMIF(Budgeted_01jun!$U:$U,H37,Budgeted_01jun!$R:$R)</f>
        <v>73026205.939999998</v>
      </c>
      <c r="X37" s="34">
        <f>SUMIF('Actual_30 jun'!$I:$I,'SAP Working'!H37,'Actual_30 jun'!$K:$K)</f>
        <v>130153530</v>
      </c>
      <c r="Y37" s="34">
        <f>SUMIF('Commited_30 Jun'!$H:$H,'SAP Working'!H37,'Commited_30 Jun'!$I:$I)</f>
        <v>4326957683.0999994</v>
      </c>
      <c r="Z37" s="34">
        <f t="shared" si="8"/>
        <v>4457111213.0999994</v>
      </c>
      <c r="AA37" s="36">
        <f t="shared" si="9"/>
        <v>-4384085007.1599998</v>
      </c>
      <c r="AC37" s="35">
        <f>SUMIF(Budgeted_01jun!$U:$U,'SAP Working'!I37,Budgeted_01jun!$R:$R)</f>
        <v>0</v>
      </c>
      <c r="AD37" s="34">
        <f>SUMIF('Actual_30 jun'!$I:$I,'SAP Working'!I37,'Actual_30 jun'!$K:$K)</f>
        <v>0</v>
      </c>
      <c r="AE37" s="34">
        <f>SUMIF('Commited_30 Jun'!$H:$H,'SAP Working'!I37,'Commited_30 Jun'!$I:$I)</f>
        <v>0</v>
      </c>
      <c r="AF37" s="34">
        <f t="shared" si="10"/>
        <v>0</v>
      </c>
      <c r="AG37" s="36">
        <f t="shared" si="11"/>
        <v>0</v>
      </c>
    </row>
    <row r="38" spans="2:33" x14ac:dyDescent="0.25">
      <c r="B38" s="20" t="s">
        <v>1244</v>
      </c>
      <c r="C38" s="20" t="s">
        <v>1245</v>
      </c>
      <c r="D38" s="1">
        <f t="shared" si="30"/>
        <v>34</v>
      </c>
      <c r="E38" s="1">
        <v>4</v>
      </c>
      <c r="F38" s="25" t="s">
        <v>1356</v>
      </c>
      <c r="G38" s="23" t="s">
        <v>1357</v>
      </c>
      <c r="H38" s="22" t="s">
        <v>185</v>
      </c>
      <c r="I38" s="23" t="s">
        <v>1358</v>
      </c>
      <c r="K38" s="34">
        <f t="shared" si="44"/>
        <v>15807100</v>
      </c>
      <c r="L38" s="34">
        <f t="shared" si="40"/>
        <v>11314350</v>
      </c>
      <c r="M38" s="34">
        <f t="shared" si="40"/>
        <v>1328480899.6500001</v>
      </c>
      <c r="N38" s="34">
        <f t="shared" si="4"/>
        <v>1339795249.6500001</v>
      </c>
      <c r="O38" s="36">
        <f t="shared" si="5"/>
        <v>-1323988149.6500001</v>
      </c>
      <c r="Q38" s="45">
        <f>SUMIF(Budgeted_01jun!U:U,'SAP Working'!G38,Budgeted_01jun!R:R)</f>
        <v>0</v>
      </c>
      <c r="R38" s="34">
        <f>SUMIF('Actual_30 jun'!I:I,'SAP Working'!G38,'Actual_30 jun'!K:K)</f>
        <v>0</v>
      </c>
      <c r="S38" s="34">
        <f>SUMIF('Commited_30 Jun'!H:H,'SAP Working'!G38,'Commited_30 Jun'!I:I)</f>
        <v>0</v>
      </c>
      <c r="T38" s="34">
        <f t="shared" si="6"/>
        <v>0</v>
      </c>
      <c r="U38" s="36">
        <f t="shared" si="7"/>
        <v>0</v>
      </c>
      <c r="W38" s="45">
        <f>SUMIF(Budgeted_01jun!$U:$U,H38,Budgeted_01jun!$R:$R)</f>
        <v>15807100</v>
      </c>
      <c r="X38" s="34">
        <f>SUMIF('Actual_30 jun'!$I:$I,'SAP Working'!H38,'Actual_30 jun'!$K:$K)</f>
        <v>11314350</v>
      </c>
      <c r="Y38" s="34">
        <f>SUMIF('Commited_30 Jun'!$H:$H,'SAP Working'!H38,'Commited_30 Jun'!$I:$I)</f>
        <v>1328480899.6500001</v>
      </c>
      <c r="Z38" s="34">
        <f t="shared" si="8"/>
        <v>1339795249.6500001</v>
      </c>
      <c r="AA38" s="36">
        <f t="shared" si="9"/>
        <v>-1323988149.6500001</v>
      </c>
      <c r="AC38" s="45">
        <f>SUMIF(Budgeted_01jun!$U:$U,'SAP Working'!I38,Budgeted_01jun!$R:$R)</f>
        <v>0</v>
      </c>
      <c r="AD38" s="34">
        <f>SUMIF('Actual_30 jun'!$I:$I,'SAP Working'!I38,'Actual_30 jun'!$K:$K)</f>
        <v>0</v>
      </c>
      <c r="AE38" s="34">
        <f>SUMIF('Commited_30 Jun'!$H:$H,'SAP Working'!I38,'Commited_30 Jun'!$I:$I)</f>
        <v>0</v>
      </c>
      <c r="AF38" s="34">
        <f t="shared" si="10"/>
        <v>0</v>
      </c>
      <c r="AG38" s="36">
        <f t="shared" si="11"/>
        <v>0</v>
      </c>
    </row>
    <row r="39" spans="2:33" x14ac:dyDescent="0.25">
      <c r="B39" s="20" t="s">
        <v>1244</v>
      </c>
      <c r="C39" s="20" t="s">
        <v>1245</v>
      </c>
      <c r="D39" s="1">
        <f t="shared" si="30"/>
        <v>35</v>
      </c>
      <c r="E39" s="1">
        <v>4</v>
      </c>
      <c r="F39" s="25" t="s">
        <v>1059</v>
      </c>
      <c r="G39" s="23" t="s">
        <v>1359</v>
      </c>
      <c r="H39" s="22" t="s">
        <v>1057</v>
      </c>
      <c r="I39" s="23" t="s">
        <v>1360</v>
      </c>
      <c r="K39" s="47">
        <f t="shared" si="44"/>
        <v>35931120</v>
      </c>
      <c r="L39" s="47">
        <f t="shared" si="40"/>
        <v>15327029.999999998</v>
      </c>
      <c r="M39" s="47">
        <f t="shared" si="40"/>
        <v>2932403751.4499993</v>
      </c>
      <c r="N39" s="47">
        <f t="shared" si="4"/>
        <v>2947730781.4499993</v>
      </c>
      <c r="O39" s="49">
        <f t="shared" si="5"/>
        <v>-2911799661.4499993</v>
      </c>
      <c r="Q39" s="45">
        <f>SUM(Q40:Q41)</f>
        <v>0</v>
      </c>
      <c r="R39" s="45">
        <f t="shared" ref="R39:U39" si="47">SUM(R40:R41)</f>
        <v>0</v>
      </c>
      <c r="S39" s="45">
        <f t="shared" si="47"/>
        <v>0</v>
      </c>
      <c r="T39" s="45">
        <f t="shared" si="47"/>
        <v>0</v>
      </c>
      <c r="U39" s="45">
        <f t="shared" si="47"/>
        <v>0</v>
      </c>
      <c r="W39" s="45">
        <f t="shared" ref="W39:AG39" si="48">SUM(W40:W41)</f>
        <v>35931120</v>
      </c>
      <c r="X39" s="45">
        <f t="shared" si="48"/>
        <v>15327029.999999998</v>
      </c>
      <c r="Y39" s="45">
        <f t="shared" si="48"/>
        <v>2932403751.4499993</v>
      </c>
      <c r="Z39" s="47">
        <f t="shared" si="48"/>
        <v>2947730781.4499993</v>
      </c>
      <c r="AA39" s="49">
        <f t="shared" si="48"/>
        <v>-2911799661.4499993</v>
      </c>
      <c r="AC39" s="45">
        <f t="shared" si="48"/>
        <v>0</v>
      </c>
      <c r="AD39" s="45">
        <f t="shared" si="48"/>
        <v>0</v>
      </c>
      <c r="AE39" s="45">
        <f t="shared" si="48"/>
        <v>0</v>
      </c>
      <c r="AF39" s="45">
        <f t="shared" si="48"/>
        <v>0</v>
      </c>
      <c r="AG39" s="49">
        <f t="shared" si="48"/>
        <v>0</v>
      </c>
    </row>
    <row r="40" spans="2:33" x14ac:dyDescent="0.25">
      <c r="B40" s="20" t="s">
        <v>1244</v>
      </c>
      <c r="C40" s="20" t="s">
        <v>1245</v>
      </c>
      <c r="D40" s="1">
        <f t="shared" si="30"/>
        <v>36</v>
      </c>
      <c r="E40" s="1">
        <v>5</v>
      </c>
      <c r="F40" s="26" t="s">
        <v>172</v>
      </c>
      <c r="G40" s="23" t="s">
        <v>1361</v>
      </c>
      <c r="H40" s="22" t="s">
        <v>720</v>
      </c>
      <c r="I40" s="23" t="s">
        <v>1362</v>
      </c>
      <c r="K40" s="34">
        <f t="shared" si="44"/>
        <v>11550095</v>
      </c>
      <c r="L40" s="34">
        <f t="shared" si="40"/>
        <v>14154540</v>
      </c>
      <c r="M40" s="34">
        <f t="shared" si="40"/>
        <v>2011510867.9499993</v>
      </c>
      <c r="N40" s="34">
        <f t="shared" si="4"/>
        <v>2025665407.9499993</v>
      </c>
      <c r="O40" s="36">
        <f t="shared" si="5"/>
        <v>-2014115312.9499993</v>
      </c>
      <c r="Q40" s="35">
        <f>SUMIF(Budgeted_01jun!U:U,'SAP Working'!G40,Budgeted_01jun!R:R)</f>
        <v>0</v>
      </c>
      <c r="R40" s="34">
        <f>SUMIF('Actual_30 jun'!I:I,'SAP Working'!G40,'Actual_30 jun'!K:K)</f>
        <v>0</v>
      </c>
      <c r="S40" s="34">
        <f>SUMIF('Commited_30 Jun'!H:H,'SAP Working'!G40,'Commited_30 Jun'!I:I)</f>
        <v>0</v>
      </c>
      <c r="T40" s="34">
        <f t="shared" si="6"/>
        <v>0</v>
      </c>
      <c r="U40" s="36">
        <f t="shared" si="7"/>
        <v>0</v>
      </c>
      <c r="W40" s="35">
        <f>SUMIF(Budgeted_01jun!$U:$U,H40,Budgeted_01jun!$R:$R)</f>
        <v>11550095</v>
      </c>
      <c r="X40" s="34">
        <f>SUMIF('Actual_30 jun'!$I:$I,'SAP Working'!H40,'Actual_30 jun'!$K:$K)</f>
        <v>14154540</v>
      </c>
      <c r="Y40" s="34">
        <f>SUMIF('Commited_30 Jun'!$H:$H,'SAP Working'!H40,'Commited_30 Jun'!$I:$I)</f>
        <v>2011510867.9499993</v>
      </c>
      <c r="Z40" s="34">
        <f t="shared" si="8"/>
        <v>2025665407.9499993</v>
      </c>
      <c r="AA40" s="36">
        <f t="shared" si="9"/>
        <v>-2014115312.9499993</v>
      </c>
      <c r="AC40" s="35">
        <f>SUMIF(Budgeted_01jun!$U:$U,'SAP Working'!I40,Budgeted_01jun!$R:$R)</f>
        <v>0</v>
      </c>
      <c r="AD40" s="34">
        <f>SUMIF('Actual_30 jun'!$I:$I,'SAP Working'!I40,'Actual_30 jun'!$K:$K)</f>
        <v>0</v>
      </c>
      <c r="AE40" s="34">
        <f>SUMIF('Commited_30 Jun'!$H:$H,'SAP Working'!I40,'Commited_30 Jun'!$I:$I)</f>
        <v>0</v>
      </c>
      <c r="AF40" s="34">
        <f t="shared" si="10"/>
        <v>0</v>
      </c>
      <c r="AG40" s="36">
        <f t="shared" si="11"/>
        <v>0</v>
      </c>
    </row>
    <row r="41" spans="2:33" x14ac:dyDescent="0.25">
      <c r="B41" s="20" t="s">
        <v>1244</v>
      </c>
      <c r="C41" s="20" t="s">
        <v>1245</v>
      </c>
      <c r="D41" s="1">
        <f t="shared" si="30"/>
        <v>37</v>
      </c>
      <c r="E41" s="1">
        <v>5</v>
      </c>
      <c r="F41" s="26" t="s">
        <v>97</v>
      </c>
      <c r="G41" s="23" t="s">
        <v>1363</v>
      </c>
      <c r="H41" s="22" t="s">
        <v>188</v>
      </c>
      <c r="I41" s="23" t="s">
        <v>1364</v>
      </c>
      <c r="K41" s="34">
        <f t="shared" si="44"/>
        <v>24381025</v>
      </c>
      <c r="L41" s="34">
        <f t="shared" si="40"/>
        <v>1172489.9999999988</v>
      </c>
      <c r="M41" s="34">
        <f t="shared" si="40"/>
        <v>920892883.5</v>
      </c>
      <c r="N41" s="34">
        <f t="shared" si="4"/>
        <v>922065373.5</v>
      </c>
      <c r="O41" s="36">
        <f t="shared" si="5"/>
        <v>-897684348.5</v>
      </c>
      <c r="Q41" s="35">
        <f>SUMIF(Budgeted_01jun!U:U,'SAP Working'!G41,Budgeted_01jun!R:R)</f>
        <v>0</v>
      </c>
      <c r="R41" s="34">
        <f>SUMIF('Actual_30 jun'!I:I,'SAP Working'!G41,'Actual_30 jun'!K:K)</f>
        <v>0</v>
      </c>
      <c r="S41" s="34">
        <f>SUMIF('Commited_30 Jun'!H:H,'SAP Working'!G41,'Commited_30 Jun'!I:I)</f>
        <v>0</v>
      </c>
      <c r="T41" s="34">
        <f t="shared" si="6"/>
        <v>0</v>
      </c>
      <c r="U41" s="36">
        <f t="shared" si="7"/>
        <v>0</v>
      </c>
      <c r="W41" s="35">
        <f>SUMIF(Budgeted_01jun!$U:$U,H41,Budgeted_01jun!$R:$R)</f>
        <v>24381025</v>
      </c>
      <c r="X41" s="34">
        <f>SUMIF('Actual_30 jun'!$I:$I,'SAP Working'!H41,'Actual_30 jun'!$K:$K)</f>
        <v>1172489.9999999988</v>
      </c>
      <c r="Y41" s="34">
        <f>SUMIF('Commited_30 Jun'!$H:$H,'SAP Working'!H41,'Commited_30 Jun'!$I:$I)</f>
        <v>920892883.5</v>
      </c>
      <c r="Z41" s="34">
        <f t="shared" si="8"/>
        <v>922065373.5</v>
      </c>
      <c r="AA41" s="36">
        <f t="shared" si="9"/>
        <v>-897684348.5</v>
      </c>
      <c r="AC41" s="35">
        <f>SUMIF(Budgeted_01jun!$U:$U,'SAP Working'!I41,Budgeted_01jun!$R:$R)</f>
        <v>0</v>
      </c>
      <c r="AD41" s="34">
        <f>SUMIF('Actual_30 jun'!$I:$I,'SAP Working'!I41,'Actual_30 jun'!$K:$K)</f>
        <v>0</v>
      </c>
      <c r="AE41" s="34">
        <f>SUMIF('Commited_30 Jun'!$H:$H,'SAP Working'!I41,'Commited_30 Jun'!$I:$I)</f>
        <v>0</v>
      </c>
      <c r="AF41" s="34">
        <f t="shared" si="10"/>
        <v>0</v>
      </c>
      <c r="AG41" s="36">
        <f t="shared" si="11"/>
        <v>0</v>
      </c>
    </row>
    <row r="42" spans="2:33" x14ac:dyDescent="0.25">
      <c r="B42" s="20" t="s">
        <v>1244</v>
      </c>
      <c r="C42" s="20" t="s">
        <v>1245</v>
      </c>
      <c r="D42" s="1">
        <f t="shared" si="30"/>
        <v>38</v>
      </c>
      <c r="E42" s="1">
        <v>4</v>
      </c>
      <c r="F42" s="25" t="s">
        <v>1365</v>
      </c>
      <c r="G42" s="23" t="s">
        <v>1366</v>
      </c>
      <c r="H42" s="22" t="s">
        <v>1062</v>
      </c>
      <c r="I42" s="23" t="s">
        <v>1367</v>
      </c>
      <c r="K42" s="47">
        <f t="shared" si="44"/>
        <v>24007572.050000001</v>
      </c>
      <c r="L42" s="47">
        <f t="shared" si="40"/>
        <v>33128070</v>
      </c>
      <c r="M42" s="47">
        <f t="shared" si="40"/>
        <v>7197417967.0499992</v>
      </c>
      <c r="N42" s="47">
        <f t="shared" si="4"/>
        <v>7230546037.0499992</v>
      </c>
      <c r="O42" s="49">
        <f t="shared" si="5"/>
        <v>-7206538464.999999</v>
      </c>
      <c r="Q42" s="45">
        <f>SUM(Q43:Q44)</f>
        <v>0</v>
      </c>
      <c r="R42" s="45">
        <f t="shared" ref="R42:U42" si="49">SUM(R43:R44)</f>
        <v>0</v>
      </c>
      <c r="S42" s="45">
        <f t="shared" si="49"/>
        <v>0</v>
      </c>
      <c r="T42" s="45">
        <f t="shared" si="49"/>
        <v>0</v>
      </c>
      <c r="U42" s="45">
        <f t="shared" si="49"/>
        <v>0</v>
      </c>
      <c r="W42" s="45">
        <f t="shared" ref="W42:AG42" si="50">SUM(W43:W44)</f>
        <v>24007572.050000001</v>
      </c>
      <c r="X42" s="45">
        <f t="shared" si="50"/>
        <v>33128070</v>
      </c>
      <c r="Y42" s="45">
        <f t="shared" si="50"/>
        <v>7197417967.0499992</v>
      </c>
      <c r="Z42" s="47">
        <f t="shared" si="50"/>
        <v>7230546037.0499992</v>
      </c>
      <c r="AA42" s="49">
        <f t="shared" si="50"/>
        <v>-7206538465</v>
      </c>
      <c r="AC42" s="45">
        <f t="shared" si="50"/>
        <v>0</v>
      </c>
      <c r="AD42" s="45">
        <f t="shared" si="50"/>
        <v>0</v>
      </c>
      <c r="AE42" s="45">
        <f t="shared" si="50"/>
        <v>0</v>
      </c>
      <c r="AF42" s="47">
        <f t="shared" si="50"/>
        <v>0</v>
      </c>
      <c r="AG42" s="49">
        <f t="shared" si="50"/>
        <v>0</v>
      </c>
    </row>
    <row r="43" spans="2:33" x14ac:dyDescent="0.25">
      <c r="B43" s="20" t="s">
        <v>1244</v>
      </c>
      <c r="C43" s="20" t="s">
        <v>1245</v>
      </c>
      <c r="D43" s="1">
        <f t="shared" si="30"/>
        <v>39</v>
      </c>
      <c r="E43" s="1">
        <v>5</v>
      </c>
      <c r="F43" s="26" t="s">
        <v>174</v>
      </c>
      <c r="G43" s="23" t="s">
        <v>1368</v>
      </c>
      <c r="H43" s="22" t="s">
        <v>203</v>
      </c>
      <c r="I43" s="23" t="s">
        <v>1369</v>
      </c>
      <c r="K43" s="34">
        <f t="shared" si="44"/>
        <v>17260070</v>
      </c>
      <c r="L43" s="34">
        <f t="shared" si="40"/>
        <v>17789820</v>
      </c>
      <c r="M43" s="34">
        <f t="shared" si="40"/>
        <v>2537204428.7999997</v>
      </c>
      <c r="N43" s="34">
        <f t="shared" si="4"/>
        <v>2554994248.7999997</v>
      </c>
      <c r="O43" s="36">
        <f t="shared" si="5"/>
        <v>-2537734178.7999997</v>
      </c>
      <c r="Q43" s="35">
        <f>SUMIF(Budgeted_01jun!U:U,'SAP Working'!G43,Budgeted_01jun!R:R)</f>
        <v>0</v>
      </c>
      <c r="R43" s="34">
        <f>SUMIF('Actual_30 jun'!I:I,'SAP Working'!G43,'Actual_30 jun'!K:K)</f>
        <v>0</v>
      </c>
      <c r="S43" s="34">
        <f>SUMIF('Commited_30 Jun'!H:H,'SAP Working'!G43,'Commited_30 Jun'!I:I)</f>
        <v>0</v>
      </c>
      <c r="T43" s="34">
        <f t="shared" si="6"/>
        <v>0</v>
      </c>
      <c r="U43" s="36">
        <f t="shared" si="7"/>
        <v>0</v>
      </c>
      <c r="W43" s="35">
        <f>SUMIF(Budgeted_01jun!$U:$U,H43,Budgeted_01jun!$R:$R)</f>
        <v>17260070</v>
      </c>
      <c r="X43" s="34">
        <f>SUMIF('Actual_30 jun'!$I:$I,'SAP Working'!H43,'Actual_30 jun'!$K:$K)</f>
        <v>17789820</v>
      </c>
      <c r="Y43" s="34">
        <f>SUMIF('Commited_30 Jun'!$H:$H,'SAP Working'!H43,'Commited_30 Jun'!$I:$I)</f>
        <v>2537204428.7999997</v>
      </c>
      <c r="Z43" s="34">
        <f t="shared" si="8"/>
        <v>2554994248.7999997</v>
      </c>
      <c r="AA43" s="36">
        <f t="shared" si="9"/>
        <v>-2537734178.7999997</v>
      </c>
      <c r="AC43" s="35">
        <f>SUMIF(Budgeted_01jun!$U:$U,'SAP Working'!I43,Budgeted_01jun!$R:$R)</f>
        <v>0</v>
      </c>
      <c r="AD43" s="34">
        <f>SUMIF('Actual_30 jun'!$I:$I,'SAP Working'!I43,'Actual_30 jun'!$K:$K)</f>
        <v>0</v>
      </c>
      <c r="AE43" s="34">
        <f>SUMIF('Commited_30 Jun'!$H:$H,'SAP Working'!I43,'Commited_30 Jun'!$I:$I)</f>
        <v>0</v>
      </c>
      <c r="AF43" s="34">
        <f t="shared" si="10"/>
        <v>0</v>
      </c>
      <c r="AG43" s="36">
        <f t="shared" si="11"/>
        <v>0</v>
      </c>
    </row>
    <row r="44" spans="2:33" x14ac:dyDescent="0.25">
      <c r="B44" s="20" t="s">
        <v>1244</v>
      </c>
      <c r="C44" s="20" t="s">
        <v>1245</v>
      </c>
      <c r="D44" s="1">
        <f t="shared" si="30"/>
        <v>40</v>
      </c>
      <c r="E44" s="1">
        <v>5</v>
      </c>
      <c r="F44" s="26" t="s">
        <v>49</v>
      </c>
      <c r="G44" s="23" t="s">
        <v>1370</v>
      </c>
      <c r="H44" s="22" t="s">
        <v>48</v>
      </c>
      <c r="I44" s="23" t="s">
        <v>1371</v>
      </c>
      <c r="K44" s="34">
        <f t="shared" si="44"/>
        <v>6747502.0499999998</v>
      </c>
      <c r="L44" s="34">
        <f t="shared" si="40"/>
        <v>15338250</v>
      </c>
      <c r="M44" s="34">
        <f t="shared" si="40"/>
        <v>4660213538.25</v>
      </c>
      <c r="N44" s="34">
        <f t="shared" si="4"/>
        <v>4675551788.25</v>
      </c>
      <c r="O44" s="36">
        <f t="shared" si="5"/>
        <v>-4668804286.1999998</v>
      </c>
      <c r="Q44" s="35">
        <f>SUMIF(Budgeted_01jun!U:U,'SAP Working'!G44,Budgeted_01jun!R:R)</f>
        <v>0</v>
      </c>
      <c r="R44" s="34">
        <f>SUMIF('Actual_30 jun'!I:I,'SAP Working'!G44,'Actual_30 jun'!K:K)</f>
        <v>0</v>
      </c>
      <c r="S44" s="34">
        <f>SUMIF('Commited_30 Jun'!H:H,'SAP Working'!G44,'Commited_30 Jun'!I:I)</f>
        <v>0</v>
      </c>
      <c r="T44" s="34">
        <f t="shared" si="6"/>
        <v>0</v>
      </c>
      <c r="U44" s="36">
        <f t="shared" si="7"/>
        <v>0</v>
      </c>
      <c r="W44" s="35">
        <f>SUMIF(Budgeted_01jun!$U:$U,H44,Budgeted_01jun!$R:$R)</f>
        <v>6747502.0499999998</v>
      </c>
      <c r="X44" s="34">
        <f>SUMIF('Actual_30 jun'!$I:$I,'SAP Working'!H44,'Actual_30 jun'!$K:$K)</f>
        <v>15338250</v>
      </c>
      <c r="Y44" s="34">
        <f>SUMIF('Commited_30 Jun'!$H:$H,'SAP Working'!H44,'Commited_30 Jun'!$I:$I)</f>
        <v>4660213538.25</v>
      </c>
      <c r="Z44" s="34">
        <f t="shared" si="8"/>
        <v>4675551788.25</v>
      </c>
      <c r="AA44" s="36">
        <f t="shared" si="9"/>
        <v>-4668804286.1999998</v>
      </c>
      <c r="AC44" s="35">
        <f>SUMIF(Budgeted_01jun!$U:$U,'SAP Working'!I44,Budgeted_01jun!$R:$R)</f>
        <v>0</v>
      </c>
      <c r="AD44" s="34">
        <f>SUMIF('Actual_30 jun'!$I:$I,'SAP Working'!I44,'Actual_30 jun'!$K:$K)</f>
        <v>0</v>
      </c>
      <c r="AE44" s="34">
        <f>SUMIF('Commited_30 Jun'!$H:$H,'SAP Working'!I44,'Commited_30 Jun'!$I:$I)</f>
        <v>0</v>
      </c>
      <c r="AF44" s="34">
        <f t="shared" si="10"/>
        <v>0</v>
      </c>
      <c r="AG44" s="36">
        <f t="shared" si="11"/>
        <v>0</v>
      </c>
    </row>
    <row r="45" spans="2:33" x14ac:dyDescent="0.25">
      <c r="B45" s="20" t="s">
        <v>1244</v>
      </c>
      <c r="C45" s="20" t="s">
        <v>1245</v>
      </c>
      <c r="D45" s="1">
        <f t="shared" si="30"/>
        <v>41</v>
      </c>
      <c r="E45" s="1">
        <v>3</v>
      </c>
      <c r="F45" s="20" t="s">
        <v>1372</v>
      </c>
      <c r="G45" s="23" t="s">
        <v>1373</v>
      </c>
      <c r="H45" s="22" t="s">
        <v>1066</v>
      </c>
      <c r="I45" s="23" t="s">
        <v>1374</v>
      </c>
      <c r="K45" s="46">
        <f t="shared" si="44"/>
        <v>4652800</v>
      </c>
      <c r="L45" s="46">
        <f t="shared" si="40"/>
        <v>0</v>
      </c>
      <c r="M45" s="46">
        <f t="shared" si="40"/>
        <v>0</v>
      </c>
      <c r="N45" s="46">
        <f t="shared" si="4"/>
        <v>0</v>
      </c>
      <c r="O45" s="48">
        <f t="shared" si="5"/>
        <v>4652800</v>
      </c>
      <c r="Q45" s="44">
        <f>SUM(Q46:Q47)</f>
        <v>0</v>
      </c>
      <c r="R45" s="44">
        <f t="shared" ref="R45:U45" si="51">SUM(R46:R47)</f>
        <v>0</v>
      </c>
      <c r="S45" s="44">
        <f t="shared" si="51"/>
        <v>0</v>
      </c>
      <c r="T45" s="44">
        <f t="shared" si="51"/>
        <v>0</v>
      </c>
      <c r="U45" s="44">
        <f t="shared" si="51"/>
        <v>0</v>
      </c>
      <c r="W45" s="44">
        <f t="shared" ref="W45:AG45" si="52">SUM(W46:W47)</f>
        <v>4652800</v>
      </c>
      <c r="X45" s="44">
        <f t="shared" si="52"/>
        <v>0</v>
      </c>
      <c r="Y45" s="44">
        <f t="shared" si="52"/>
        <v>0</v>
      </c>
      <c r="Z45" s="46">
        <f t="shared" si="52"/>
        <v>0</v>
      </c>
      <c r="AA45" s="48">
        <f t="shared" si="52"/>
        <v>4652800</v>
      </c>
      <c r="AC45" s="44">
        <f t="shared" si="52"/>
        <v>0</v>
      </c>
      <c r="AD45" s="44">
        <f t="shared" si="52"/>
        <v>0</v>
      </c>
      <c r="AE45" s="44">
        <f t="shared" si="52"/>
        <v>0</v>
      </c>
      <c r="AF45" s="46">
        <f t="shared" si="52"/>
        <v>0</v>
      </c>
      <c r="AG45" s="48">
        <f t="shared" si="52"/>
        <v>0</v>
      </c>
    </row>
    <row r="46" spans="2:33" x14ac:dyDescent="0.25">
      <c r="B46" s="20" t="s">
        <v>1244</v>
      </c>
      <c r="C46" s="20" t="s">
        <v>1245</v>
      </c>
      <c r="D46" s="1">
        <f t="shared" si="30"/>
        <v>42</v>
      </c>
      <c r="E46" s="1">
        <v>4</v>
      </c>
      <c r="F46" s="25" t="s">
        <v>1375</v>
      </c>
      <c r="G46" s="23" t="s">
        <v>1376</v>
      </c>
      <c r="H46" s="22" t="s">
        <v>1068</v>
      </c>
      <c r="I46" s="23" t="s">
        <v>1377</v>
      </c>
      <c r="K46" s="34">
        <f t="shared" si="44"/>
        <v>1864700</v>
      </c>
      <c r="L46" s="34">
        <f t="shared" si="40"/>
        <v>0</v>
      </c>
      <c r="M46" s="34">
        <f t="shared" si="40"/>
        <v>0</v>
      </c>
      <c r="N46" s="34">
        <f t="shared" si="4"/>
        <v>0</v>
      </c>
      <c r="O46" s="36">
        <f t="shared" si="5"/>
        <v>1864700</v>
      </c>
      <c r="Q46" s="45">
        <f>SUMIF(Budgeted_01jun!U:U,'SAP Working'!G46,Budgeted_01jun!R:R)</f>
        <v>0</v>
      </c>
      <c r="R46" s="34">
        <f>SUMIF('Actual_30 jun'!I:I,'SAP Working'!G46,'Actual_30 jun'!K:K)</f>
        <v>0</v>
      </c>
      <c r="S46" s="34">
        <f>SUMIF('Commited_30 Jun'!H:H,'SAP Working'!G46,'Commited_30 Jun'!I:I)</f>
        <v>0</v>
      </c>
      <c r="T46" s="34">
        <f t="shared" si="6"/>
        <v>0</v>
      </c>
      <c r="U46" s="36">
        <f t="shared" si="7"/>
        <v>0</v>
      </c>
      <c r="W46" s="45">
        <f>SUMIF(Budgeted_01jun!$U:$U,H46,Budgeted_01jun!$R:$R)</f>
        <v>1864700</v>
      </c>
      <c r="X46" s="34">
        <f>SUMIF('Actual_30 jun'!$I:$I,'SAP Working'!H46,'Actual_30 jun'!$K:$K)</f>
        <v>0</v>
      </c>
      <c r="Y46" s="34">
        <f>SUMIF('Commited_30 Jun'!$H:$H,'SAP Working'!H46,'Commited_30 Jun'!$I:$I)</f>
        <v>0</v>
      </c>
      <c r="Z46" s="34">
        <f t="shared" si="8"/>
        <v>0</v>
      </c>
      <c r="AA46" s="36">
        <f t="shared" si="9"/>
        <v>1864700</v>
      </c>
      <c r="AC46" s="45">
        <f>SUMIF(Budgeted_01jun!$U:$U,'SAP Working'!I46,Budgeted_01jun!$R:$R)</f>
        <v>0</v>
      </c>
      <c r="AD46" s="34">
        <f>SUMIF('Actual_30 jun'!$I:$I,'SAP Working'!I46,'Actual_30 jun'!$K:$K)</f>
        <v>0</v>
      </c>
      <c r="AE46" s="34">
        <f>SUMIF('Commited_30 Jun'!$H:$H,'SAP Working'!I46,'Commited_30 Jun'!$I:$I)</f>
        <v>0</v>
      </c>
      <c r="AF46" s="34">
        <f t="shared" si="10"/>
        <v>0</v>
      </c>
      <c r="AG46" s="36">
        <f t="shared" si="11"/>
        <v>0</v>
      </c>
    </row>
    <row r="47" spans="2:33" x14ac:dyDescent="0.25">
      <c r="B47" s="20" t="s">
        <v>1244</v>
      </c>
      <c r="C47" s="20" t="s">
        <v>1245</v>
      </c>
      <c r="D47" s="1">
        <f t="shared" si="30"/>
        <v>43</v>
      </c>
      <c r="E47" s="1">
        <v>4</v>
      </c>
      <c r="F47" s="25" t="s">
        <v>210</v>
      </c>
      <c r="G47" s="23" t="s">
        <v>1378</v>
      </c>
      <c r="H47" s="22" t="s">
        <v>1071</v>
      </c>
      <c r="I47" s="23" t="s">
        <v>1379</v>
      </c>
      <c r="K47" s="34">
        <f t="shared" si="44"/>
        <v>2788100</v>
      </c>
      <c r="L47" s="34">
        <f t="shared" si="40"/>
        <v>0</v>
      </c>
      <c r="M47" s="34">
        <f t="shared" si="40"/>
        <v>0</v>
      </c>
      <c r="N47" s="34">
        <f t="shared" si="4"/>
        <v>0</v>
      </c>
      <c r="O47" s="36">
        <f t="shared" si="5"/>
        <v>2788100</v>
      </c>
      <c r="Q47" s="45">
        <f>SUMIF(Budgeted_01jun!U:U,'SAP Working'!G47,Budgeted_01jun!R:R)</f>
        <v>0</v>
      </c>
      <c r="R47" s="34">
        <f>SUMIF('Actual_30 jun'!I:I,'SAP Working'!G47,'Actual_30 jun'!K:K)</f>
        <v>0</v>
      </c>
      <c r="S47" s="34">
        <f>SUMIF('Commited_30 Jun'!H:H,'SAP Working'!G47,'Commited_30 Jun'!I:I)</f>
        <v>0</v>
      </c>
      <c r="T47" s="34">
        <f t="shared" si="6"/>
        <v>0</v>
      </c>
      <c r="U47" s="36">
        <f t="shared" si="7"/>
        <v>0</v>
      </c>
      <c r="W47" s="45">
        <f>SUMIF(Budgeted_01jun!$U:$U,H47,Budgeted_01jun!$R:$R)</f>
        <v>2788100</v>
      </c>
      <c r="X47" s="34">
        <f>SUMIF('Actual_30 jun'!$I:$I,'SAP Working'!H47,'Actual_30 jun'!$K:$K)</f>
        <v>0</v>
      </c>
      <c r="Y47" s="34">
        <f>SUMIF('Commited_30 Jun'!$H:$H,'SAP Working'!H47,'Commited_30 Jun'!$I:$I)</f>
        <v>0</v>
      </c>
      <c r="Z47" s="34">
        <f t="shared" si="8"/>
        <v>0</v>
      </c>
      <c r="AA47" s="36">
        <f t="shared" si="9"/>
        <v>2788100</v>
      </c>
      <c r="AC47" s="45">
        <f>SUMIF(Budgeted_01jun!$U:$U,'SAP Working'!I47,Budgeted_01jun!$R:$R)</f>
        <v>0</v>
      </c>
      <c r="AD47" s="34">
        <f>SUMIF('Actual_30 jun'!$I:$I,'SAP Working'!I47,'Actual_30 jun'!$K:$K)</f>
        <v>0</v>
      </c>
      <c r="AE47" s="34">
        <f>SUMIF('Commited_30 Jun'!$H:$H,'SAP Working'!I47,'Commited_30 Jun'!$I:$I)</f>
        <v>0</v>
      </c>
      <c r="AF47" s="34">
        <f t="shared" si="10"/>
        <v>0</v>
      </c>
      <c r="AG47" s="36">
        <f t="shared" si="11"/>
        <v>0</v>
      </c>
    </row>
    <row r="48" spans="2:33" x14ac:dyDescent="0.25">
      <c r="B48" s="20" t="s">
        <v>1244</v>
      </c>
      <c r="C48" s="20" t="s">
        <v>1245</v>
      </c>
      <c r="D48" s="1">
        <f t="shared" si="30"/>
        <v>44</v>
      </c>
      <c r="E48" s="1">
        <v>3</v>
      </c>
      <c r="F48" s="20" t="s">
        <v>1380</v>
      </c>
      <c r="G48" s="23" t="s">
        <v>1381</v>
      </c>
      <c r="H48" s="22" t="s">
        <v>186</v>
      </c>
      <c r="I48" s="23" t="s">
        <v>1382</v>
      </c>
      <c r="K48" s="34">
        <f t="shared" si="44"/>
        <v>28533000</v>
      </c>
      <c r="L48" s="34">
        <f t="shared" ref="L48:L50" si="53">X48</f>
        <v>0</v>
      </c>
      <c r="M48" s="34">
        <f t="shared" ref="M48:M50" si="54">Y48</f>
        <v>1390424367.1499996</v>
      </c>
      <c r="N48" s="34">
        <f t="shared" si="4"/>
        <v>1390424367.1499996</v>
      </c>
      <c r="O48" s="36">
        <f t="shared" si="5"/>
        <v>-1361891367.1499996</v>
      </c>
      <c r="Q48" s="44">
        <f>SUMIF(Budgeted_01jun!U:U,'SAP Working'!G48,Budgeted_01jun!R:R)</f>
        <v>0</v>
      </c>
      <c r="R48" s="34">
        <f>SUMIF('Actual_30 jun'!I:I,'SAP Working'!G48,'Actual_30 jun'!K:K)</f>
        <v>0</v>
      </c>
      <c r="S48" s="34">
        <f>SUMIF('Commited_30 Jun'!H:H,'SAP Working'!G48,'Commited_30 Jun'!I:I)</f>
        <v>0</v>
      </c>
      <c r="T48" s="34">
        <f t="shared" si="6"/>
        <v>0</v>
      </c>
      <c r="U48" s="36">
        <f t="shared" si="7"/>
        <v>0</v>
      </c>
      <c r="W48" s="44">
        <f>SUMIF(Budgeted_01jun!$U:$U,H48,Budgeted_01jun!$R:$R)</f>
        <v>28533000</v>
      </c>
      <c r="X48" s="34">
        <f>SUMIF('Actual_30 jun'!$I:$I,'SAP Working'!H48,'Actual_30 jun'!$K:$K)</f>
        <v>0</v>
      </c>
      <c r="Y48" s="34">
        <f>SUMIF('Commited_30 Jun'!$H:$H,'SAP Working'!H48,'Commited_30 Jun'!$I:$I)</f>
        <v>1390424367.1499996</v>
      </c>
      <c r="Z48" s="34">
        <f t="shared" si="8"/>
        <v>1390424367.1499996</v>
      </c>
      <c r="AA48" s="36">
        <f t="shared" si="9"/>
        <v>-1361891367.1499996</v>
      </c>
      <c r="AC48" s="44">
        <f>SUMIF(Budgeted_01jun!$U:$U,'SAP Working'!I48,Budgeted_01jun!$R:$R)</f>
        <v>0</v>
      </c>
      <c r="AD48" s="34">
        <f>SUMIF('Actual_30 jun'!$I:$I,'SAP Working'!I48,'Actual_30 jun'!$K:$K)</f>
        <v>0</v>
      </c>
      <c r="AE48" s="34">
        <f>SUMIF('Commited_30 Jun'!$H:$H,'SAP Working'!I48,'Commited_30 Jun'!$I:$I)</f>
        <v>0</v>
      </c>
      <c r="AF48" s="34">
        <f t="shared" si="10"/>
        <v>0</v>
      </c>
      <c r="AG48" s="36">
        <f t="shared" si="11"/>
        <v>0</v>
      </c>
    </row>
    <row r="49" spans="1:35" x14ac:dyDescent="0.25">
      <c r="B49" s="20" t="s">
        <v>1244</v>
      </c>
      <c r="C49" s="20" t="s">
        <v>1245</v>
      </c>
      <c r="D49" s="1">
        <f t="shared" si="30"/>
        <v>45</v>
      </c>
      <c r="E49" s="1">
        <v>3</v>
      </c>
      <c r="F49" s="20" t="s">
        <v>1383</v>
      </c>
      <c r="G49" s="23" t="s">
        <v>1384</v>
      </c>
      <c r="H49" s="22" t="s">
        <v>1385</v>
      </c>
      <c r="I49" s="23" t="s">
        <v>1386</v>
      </c>
      <c r="K49" s="34">
        <f t="shared" si="44"/>
        <v>0</v>
      </c>
      <c r="L49" s="34">
        <f t="shared" si="53"/>
        <v>0</v>
      </c>
      <c r="M49" s="34">
        <f t="shared" si="54"/>
        <v>0</v>
      </c>
      <c r="N49" s="34">
        <f t="shared" si="4"/>
        <v>0</v>
      </c>
      <c r="O49" s="36">
        <f t="shared" si="5"/>
        <v>0</v>
      </c>
      <c r="Q49" s="44">
        <f>SUMIF(Budgeted_01jun!U:U,'SAP Working'!G49,Budgeted_01jun!R:R)</f>
        <v>0</v>
      </c>
      <c r="R49" s="34">
        <f>SUMIF('Actual_30 jun'!I:I,'SAP Working'!G49,'Actual_30 jun'!K:K)</f>
        <v>0</v>
      </c>
      <c r="S49" s="34">
        <f>SUMIF('Commited_30 Jun'!H:H,'SAP Working'!G49,'Commited_30 Jun'!I:I)</f>
        <v>0</v>
      </c>
      <c r="T49" s="34">
        <f t="shared" si="6"/>
        <v>0</v>
      </c>
      <c r="U49" s="36">
        <f t="shared" si="7"/>
        <v>0</v>
      </c>
      <c r="W49" s="44">
        <f>SUMIF(Budgeted_01jun!$U:$U,H49,Budgeted_01jun!$R:$R)</f>
        <v>0</v>
      </c>
      <c r="X49" s="34">
        <f>SUMIF('Actual_30 jun'!$I:$I,'SAP Working'!H49,'Actual_30 jun'!$K:$K)</f>
        <v>0</v>
      </c>
      <c r="Y49" s="34">
        <f>SUMIF('Commited_30 Jun'!$H:$H,'SAP Working'!H49,'Commited_30 Jun'!$I:$I)</f>
        <v>0</v>
      </c>
      <c r="Z49" s="34">
        <f t="shared" si="8"/>
        <v>0</v>
      </c>
      <c r="AA49" s="36">
        <f t="shared" si="9"/>
        <v>0</v>
      </c>
      <c r="AC49" s="44">
        <f>SUMIF(Budgeted_01jun!$U:$U,'SAP Working'!I49,Budgeted_01jun!$R:$R)</f>
        <v>0</v>
      </c>
      <c r="AD49" s="34">
        <f>SUMIF('Actual_30 jun'!$I:$I,'SAP Working'!I49,'Actual_30 jun'!$K:$K)</f>
        <v>0</v>
      </c>
      <c r="AE49" s="34">
        <f>SUMIF('Commited_30 Jun'!$H:$H,'SAP Working'!I49,'Commited_30 Jun'!$I:$I)</f>
        <v>0</v>
      </c>
      <c r="AF49" s="34">
        <f t="shared" si="10"/>
        <v>0</v>
      </c>
      <c r="AG49" s="36">
        <f t="shared" si="11"/>
        <v>0</v>
      </c>
    </row>
    <row r="50" spans="1:35" x14ac:dyDescent="0.25">
      <c r="B50" s="20" t="s">
        <v>1244</v>
      </c>
      <c r="C50" s="20" t="s">
        <v>1245</v>
      </c>
      <c r="D50" s="1">
        <f t="shared" si="30"/>
        <v>46</v>
      </c>
      <c r="E50" s="1">
        <v>3</v>
      </c>
      <c r="F50" s="20" t="s">
        <v>1387</v>
      </c>
      <c r="G50" s="23" t="s">
        <v>1388</v>
      </c>
      <c r="H50" s="22" t="s">
        <v>187</v>
      </c>
      <c r="I50" s="23" t="s">
        <v>1389</v>
      </c>
      <c r="K50" s="34">
        <f t="shared" si="44"/>
        <v>11475100</v>
      </c>
      <c r="L50" s="34">
        <f t="shared" si="53"/>
        <v>0</v>
      </c>
      <c r="M50" s="34">
        <f t="shared" si="54"/>
        <v>586811115.44999993</v>
      </c>
      <c r="N50" s="34">
        <f t="shared" si="4"/>
        <v>586811115.44999993</v>
      </c>
      <c r="O50" s="36">
        <f t="shared" si="5"/>
        <v>-575336015.44999993</v>
      </c>
      <c r="Q50" s="44">
        <f>SUMIF(Budgeted_01jun!U:U,'SAP Working'!G50,Budgeted_01jun!R:R)</f>
        <v>0</v>
      </c>
      <c r="R50" s="34">
        <f>SUMIF('Actual_30 jun'!I:I,'SAP Working'!G50,'Actual_30 jun'!K:K)</f>
        <v>0</v>
      </c>
      <c r="S50" s="34">
        <f>SUMIF('Commited_30 Jun'!H:H,'SAP Working'!G50,'Commited_30 Jun'!I:I)</f>
        <v>0</v>
      </c>
      <c r="T50" s="34">
        <f t="shared" si="6"/>
        <v>0</v>
      </c>
      <c r="U50" s="36">
        <f t="shared" si="7"/>
        <v>0</v>
      </c>
      <c r="W50" s="44">
        <f>SUMIF(Budgeted_01jun!$U:$U,H50,Budgeted_01jun!$R:$R)</f>
        <v>11475100</v>
      </c>
      <c r="X50" s="34">
        <f>SUMIF('Actual_30 jun'!$I:$I,'SAP Working'!H50,'Actual_30 jun'!$K:$K)</f>
        <v>0</v>
      </c>
      <c r="Y50" s="34">
        <f>SUMIF('Commited_30 Jun'!$H:$H,'SAP Working'!H50,'Commited_30 Jun'!$I:$I)</f>
        <v>586811115.44999993</v>
      </c>
      <c r="Z50" s="34">
        <f t="shared" si="8"/>
        <v>586811115.44999993</v>
      </c>
      <c r="AA50" s="36">
        <f t="shared" si="9"/>
        <v>-575336015.44999993</v>
      </c>
      <c r="AC50" s="44">
        <f>SUMIF(Budgeted_01jun!$U:$U,'SAP Working'!I50,Budgeted_01jun!$R:$R)</f>
        <v>0</v>
      </c>
      <c r="AD50" s="34">
        <f>SUMIF('Actual_30 jun'!$I:$I,'SAP Working'!I50,'Actual_30 jun'!$K:$K)</f>
        <v>0</v>
      </c>
      <c r="AE50" s="34">
        <f>SUMIF('Commited_30 Jun'!$H:$H,'SAP Working'!I50,'Commited_30 Jun'!$I:$I)</f>
        <v>0</v>
      </c>
      <c r="AF50" s="34">
        <f t="shared" si="10"/>
        <v>0</v>
      </c>
      <c r="AG50" s="36">
        <f t="shared" si="11"/>
        <v>0</v>
      </c>
    </row>
    <row r="51" spans="1:35" x14ac:dyDescent="0.25">
      <c r="A51">
        <v>10</v>
      </c>
      <c r="B51" s="15" t="s">
        <v>1244</v>
      </c>
      <c r="C51" s="15" t="s">
        <v>1245</v>
      </c>
      <c r="D51" s="16">
        <f t="shared" si="30"/>
        <v>47</v>
      </c>
      <c r="E51" s="16">
        <v>2</v>
      </c>
      <c r="F51" s="15" t="s">
        <v>883</v>
      </c>
      <c r="G51" s="18" t="s">
        <v>1390</v>
      </c>
      <c r="H51" s="18" t="s">
        <v>1391</v>
      </c>
      <c r="I51" s="18" t="s">
        <v>1003</v>
      </c>
      <c r="K51" s="41">
        <f>SUM(K52:K55)</f>
        <v>2050355978.48</v>
      </c>
      <c r="L51" s="41">
        <f t="shared" ref="L51:O51" si="55">SUM(L52:L55)</f>
        <v>7415910</v>
      </c>
      <c r="M51" s="41">
        <f t="shared" si="55"/>
        <v>1432545925.0500002</v>
      </c>
      <c r="N51" s="41">
        <f t="shared" si="55"/>
        <v>1439961835.0500002</v>
      </c>
      <c r="O51" s="41">
        <f t="shared" si="55"/>
        <v>610394143.42999983</v>
      </c>
      <c r="Q51" s="41">
        <f>SUM(Q52:Q55)</f>
        <v>0</v>
      </c>
      <c r="R51" s="41">
        <f t="shared" ref="R51:U51" si="56">SUM(R52:R55)</f>
        <v>0</v>
      </c>
      <c r="S51" s="41">
        <f t="shared" si="56"/>
        <v>0</v>
      </c>
      <c r="T51" s="41">
        <f t="shared" si="56"/>
        <v>0</v>
      </c>
      <c r="U51" s="41">
        <f t="shared" si="56"/>
        <v>0</v>
      </c>
      <c r="W51" s="41">
        <f t="shared" ref="W51:AG51" si="57">SUM(W52:W55)</f>
        <v>0</v>
      </c>
      <c r="X51" s="34">
        <f>SUMIF('Actual_30 jun'!$I:$I,'SAP Working'!H51,'Actual_30 jun'!$K:$K)</f>
        <v>0</v>
      </c>
      <c r="Y51" s="34">
        <f>SUMIF('Commited_30 Jun'!$H:$H,'SAP Working'!H51,'Commited_30 Jun'!$I:$I)</f>
        <v>0</v>
      </c>
      <c r="Z51" s="42">
        <f t="shared" si="57"/>
        <v>0</v>
      </c>
      <c r="AA51" s="43">
        <f t="shared" si="57"/>
        <v>0</v>
      </c>
      <c r="AC51" s="41">
        <f t="shared" si="57"/>
        <v>2050355978.48</v>
      </c>
      <c r="AD51" s="41">
        <f t="shared" si="57"/>
        <v>7415910</v>
      </c>
      <c r="AE51" s="41">
        <f t="shared" si="57"/>
        <v>1432545925.0500002</v>
      </c>
      <c r="AF51" s="41">
        <f t="shared" si="57"/>
        <v>1439961835.0500002</v>
      </c>
      <c r="AG51" s="43">
        <f t="shared" si="57"/>
        <v>610394143.42999983</v>
      </c>
    </row>
    <row r="52" spans="1:35" x14ac:dyDescent="0.25">
      <c r="B52" s="20" t="s">
        <v>1244</v>
      </c>
      <c r="C52" s="20" t="s">
        <v>1245</v>
      </c>
      <c r="D52" s="1">
        <f t="shared" ref="D52:D83" si="58">D51+1</f>
        <v>48</v>
      </c>
      <c r="E52" s="1">
        <v>3</v>
      </c>
      <c r="F52" s="20" t="s">
        <v>826</v>
      </c>
      <c r="G52" s="23" t="s">
        <v>1392</v>
      </c>
      <c r="H52" s="23" t="s">
        <v>1393</v>
      </c>
      <c r="I52" s="22" t="s">
        <v>865</v>
      </c>
      <c r="K52" s="35">
        <f>AC52</f>
        <v>349078.48</v>
      </c>
      <c r="L52" s="35">
        <f t="shared" ref="L52:M55" si="59">AD52</f>
        <v>3510839.9999999995</v>
      </c>
      <c r="M52" s="35">
        <f t="shared" si="59"/>
        <v>0</v>
      </c>
      <c r="N52" s="34">
        <f t="shared" si="4"/>
        <v>3510839.9999999995</v>
      </c>
      <c r="O52" s="36">
        <f t="shared" si="5"/>
        <v>-3161761.5199999996</v>
      </c>
      <c r="Q52" s="35">
        <f>SUMIF(Budgeted_01jun!U:U,'SAP Working'!G52,Budgeted_01jun!R:R)</f>
        <v>0</v>
      </c>
      <c r="R52" s="34">
        <f>SUMIF('Actual_30 jun'!I:I,'SAP Working'!G52,'Actual_30 jun'!K:K)</f>
        <v>0</v>
      </c>
      <c r="S52" s="34">
        <f>SUMIF('Commited_30 Jun'!H:H,'SAP Working'!G52,'Commited_30 Jun'!I:I)</f>
        <v>0</v>
      </c>
      <c r="T52" s="34">
        <f t="shared" si="6"/>
        <v>0</v>
      </c>
      <c r="U52" s="36">
        <f t="shared" si="7"/>
        <v>0</v>
      </c>
      <c r="W52" s="35">
        <f>SUMIF(Budgeted_01jun!$U:$U,H52,Budgeted_01jun!$R:$R)</f>
        <v>0</v>
      </c>
      <c r="X52" s="34">
        <f>SUMIF('Actual_30 jun'!$I:$I,'SAP Working'!H52,'Actual_30 jun'!$K:$K)</f>
        <v>0</v>
      </c>
      <c r="Y52" s="34">
        <f>SUMIF('Commited_30 Jun'!$H:$H,'SAP Working'!H52,'Commited_30 Jun'!$I:$I)</f>
        <v>0</v>
      </c>
      <c r="Z52" s="34">
        <f t="shared" si="8"/>
        <v>0</v>
      </c>
      <c r="AA52" s="36">
        <f t="shared" si="9"/>
        <v>0</v>
      </c>
      <c r="AC52" s="35">
        <f>SUMIF(Budgeted_01jun!$U:$U,'SAP Working'!I52,Budgeted_01jun!$R:$R)</f>
        <v>349078.48</v>
      </c>
      <c r="AD52" s="34">
        <f>SUMIF('Actual_30 jun'!$I:$I,'SAP Working'!I52,'Actual_30 jun'!$K:$K)</f>
        <v>3510839.9999999995</v>
      </c>
      <c r="AE52" s="34">
        <f>SUMIF('Commited_30 Jun'!$H:$H,'SAP Working'!I52,'Commited_30 Jun'!$I:$I)</f>
        <v>0</v>
      </c>
      <c r="AF52" s="34">
        <f t="shared" si="10"/>
        <v>3510839.9999999995</v>
      </c>
      <c r="AG52" s="36">
        <f t="shared" si="11"/>
        <v>-3161761.5199999996</v>
      </c>
    </row>
    <row r="53" spans="1:35" x14ac:dyDescent="0.25">
      <c r="B53" s="20" t="s">
        <v>1244</v>
      </c>
      <c r="C53" s="20" t="s">
        <v>1245</v>
      </c>
      <c r="D53" s="1">
        <f t="shared" si="58"/>
        <v>49</v>
      </c>
      <c r="E53" s="1">
        <v>3</v>
      </c>
      <c r="F53" s="20" t="s">
        <v>794</v>
      </c>
      <c r="G53" s="23" t="s">
        <v>1394</v>
      </c>
      <c r="H53" s="23" t="s">
        <v>1395</v>
      </c>
      <c r="I53" s="22" t="s">
        <v>793</v>
      </c>
      <c r="K53" s="35">
        <f t="shared" ref="K53:K55" si="60">AC53</f>
        <v>150000000</v>
      </c>
      <c r="L53" s="35">
        <f t="shared" si="59"/>
        <v>0</v>
      </c>
      <c r="M53" s="35">
        <f t="shared" si="59"/>
        <v>1432545925.0500002</v>
      </c>
      <c r="N53" s="34">
        <f t="shared" si="4"/>
        <v>1432545925.0500002</v>
      </c>
      <c r="O53" s="36">
        <f t="shared" si="5"/>
        <v>-1282545925.0500002</v>
      </c>
      <c r="Q53" s="35">
        <f>SUMIF(Budgeted_01jun!U:U,'SAP Working'!G53,Budgeted_01jun!R:R)</f>
        <v>0</v>
      </c>
      <c r="R53" s="34">
        <f>SUMIF('Actual_30 jun'!I:I,'SAP Working'!G53,'Actual_30 jun'!K:K)</f>
        <v>0</v>
      </c>
      <c r="S53" s="34">
        <f>SUMIF('Commited_30 Jun'!H:H,'SAP Working'!G53,'Commited_30 Jun'!I:I)</f>
        <v>0</v>
      </c>
      <c r="T53" s="34">
        <f t="shared" si="6"/>
        <v>0</v>
      </c>
      <c r="U53" s="36">
        <f t="shared" si="7"/>
        <v>0</v>
      </c>
      <c r="W53" s="35">
        <f>SUMIF(Budgeted_01jun!$U:$U,H53,Budgeted_01jun!$R:$R)</f>
        <v>0</v>
      </c>
      <c r="X53" s="34">
        <f>SUMIF('Actual_30 jun'!$I:$I,'SAP Working'!H53,'Actual_30 jun'!$K:$K)</f>
        <v>0</v>
      </c>
      <c r="Y53" s="34">
        <f>SUMIF('Commited_30 Jun'!$H:$H,'SAP Working'!H53,'Commited_30 Jun'!$I:$I)</f>
        <v>0</v>
      </c>
      <c r="Z53" s="34">
        <f t="shared" si="8"/>
        <v>0</v>
      </c>
      <c r="AA53" s="36">
        <f t="shared" si="9"/>
        <v>0</v>
      </c>
      <c r="AC53" s="35">
        <f>SUMIF(Budgeted_01jun!$U:$U,'SAP Working'!I53,Budgeted_01jun!$R:$R)</f>
        <v>150000000</v>
      </c>
      <c r="AD53" s="34">
        <f>SUMIF('Actual_30 jun'!$I:$I,'SAP Working'!I53,'Actual_30 jun'!$K:$K)</f>
        <v>0</v>
      </c>
      <c r="AE53" s="34">
        <f>SUMIF('Commited_30 Jun'!$H:$H,'SAP Working'!I53,'Commited_30 Jun'!$I:$I)</f>
        <v>1432545925.0500002</v>
      </c>
      <c r="AF53" s="34">
        <f t="shared" si="10"/>
        <v>1432545925.0500002</v>
      </c>
      <c r="AG53" s="36">
        <f t="shared" si="11"/>
        <v>-1282545925.0500002</v>
      </c>
    </row>
    <row r="54" spans="1:35" x14ac:dyDescent="0.25">
      <c r="B54" s="20" t="s">
        <v>1244</v>
      </c>
      <c r="C54" s="20" t="s">
        <v>1245</v>
      </c>
      <c r="D54" s="1">
        <f t="shared" si="58"/>
        <v>50</v>
      </c>
      <c r="E54" s="1">
        <v>3</v>
      </c>
      <c r="F54" s="20" t="s">
        <v>800</v>
      </c>
      <c r="G54" s="23" t="s">
        <v>1396</v>
      </c>
      <c r="H54" s="23" t="s">
        <v>1397</v>
      </c>
      <c r="I54" s="22" t="s">
        <v>802</v>
      </c>
      <c r="K54" s="35">
        <f t="shared" si="60"/>
        <v>1900000000</v>
      </c>
      <c r="L54" s="35">
        <f t="shared" si="59"/>
        <v>3905070</v>
      </c>
      <c r="M54" s="35">
        <f t="shared" si="59"/>
        <v>0</v>
      </c>
      <c r="N54" s="34">
        <f t="shared" si="4"/>
        <v>3905070</v>
      </c>
      <c r="O54" s="36">
        <f t="shared" si="5"/>
        <v>1896094930</v>
      </c>
      <c r="Q54" s="35">
        <f>SUMIF(Budgeted_01jun!U:U,'SAP Working'!G54,Budgeted_01jun!R:R)</f>
        <v>0</v>
      </c>
      <c r="R54" s="34">
        <f>SUMIF('Actual_30 jun'!I:I,'SAP Working'!G54,'Actual_30 jun'!K:K)</f>
        <v>0</v>
      </c>
      <c r="S54" s="34">
        <f>SUMIF('Commited_30 Jun'!H:H,'SAP Working'!G54,'Commited_30 Jun'!I:I)</f>
        <v>0</v>
      </c>
      <c r="T54" s="34">
        <f t="shared" si="6"/>
        <v>0</v>
      </c>
      <c r="U54" s="36">
        <f t="shared" si="7"/>
        <v>0</v>
      </c>
      <c r="W54" s="35">
        <f>SUMIF(Budgeted_01jun!$U:$U,H54,Budgeted_01jun!$R:$R)</f>
        <v>0</v>
      </c>
      <c r="X54" s="34">
        <f>SUMIF('Actual_30 jun'!$I:$I,'SAP Working'!H54,'Actual_30 jun'!$K:$K)</f>
        <v>0</v>
      </c>
      <c r="Y54" s="34">
        <f>SUMIF('Commited_30 Jun'!$H:$H,'SAP Working'!H54,'Commited_30 Jun'!$I:$I)</f>
        <v>0</v>
      </c>
      <c r="Z54" s="34">
        <f t="shared" si="8"/>
        <v>0</v>
      </c>
      <c r="AA54" s="36">
        <f t="shared" si="9"/>
        <v>0</v>
      </c>
      <c r="AC54" s="35">
        <f>SUMIF(Budgeted_01jun!$U:$U,'SAP Working'!I54,Budgeted_01jun!$R:$R)</f>
        <v>1900000000</v>
      </c>
      <c r="AD54" s="34">
        <f>SUMIF('Actual_30 jun'!$I:$I,'SAP Working'!I54,'Actual_30 jun'!$K:$K)</f>
        <v>3905070</v>
      </c>
      <c r="AE54" s="34">
        <f>SUMIF('Commited_30 Jun'!$H:$H,'SAP Working'!I54,'Commited_30 Jun'!$I:$I)</f>
        <v>0</v>
      </c>
      <c r="AF54" s="34">
        <f t="shared" si="10"/>
        <v>3905070</v>
      </c>
      <c r="AG54" s="36">
        <f t="shared" si="11"/>
        <v>1896094930</v>
      </c>
    </row>
    <row r="55" spans="1:35" x14ac:dyDescent="0.25">
      <c r="B55" s="20" t="s">
        <v>1244</v>
      </c>
      <c r="C55" s="20" t="s">
        <v>1245</v>
      </c>
      <c r="D55" s="1">
        <f t="shared" si="58"/>
        <v>51</v>
      </c>
      <c r="E55" s="1">
        <v>3</v>
      </c>
      <c r="F55" s="20" t="s">
        <v>1010</v>
      </c>
      <c r="G55" s="23" t="s">
        <v>1398</v>
      </c>
      <c r="H55" s="23" t="s">
        <v>1399</v>
      </c>
      <c r="I55" s="22" t="s">
        <v>1008</v>
      </c>
      <c r="K55" s="35">
        <f t="shared" si="60"/>
        <v>6900</v>
      </c>
      <c r="L55" s="35">
        <f t="shared" si="59"/>
        <v>0</v>
      </c>
      <c r="M55" s="35">
        <f t="shared" si="59"/>
        <v>0</v>
      </c>
      <c r="N55" s="34">
        <f t="shared" si="4"/>
        <v>0</v>
      </c>
      <c r="O55" s="36">
        <f t="shared" si="5"/>
        <v>6900</v>
      </c>
      <c r="Q55" s="35">
        <f>SUMIF(Budgeted_01jun!U:U,'SAP Working'!G55,Budgeted_01jun!R:R)</f>
        <v>0</v>
      </c>
      <c r="R55" s="34">
        <f>SUMIF('Actual_30 jun'!I:I,'SAP Working'!G55,'Actual_30 jun'!K:K)</f>
        <v>0</v>
      </c>
      <c r="S55" s="34">
        <f>SUMIF('Commited_30 Jun'!H:H,'SAP Working'!G55,'Commited_30 Jun'!I:I)</f>
        <v>0</v>
      </c>
      <c r="T55" s="34">
        <f t="shared" si="6"/>
        <v>0</v>
      </c>
      <c r="U55" s="36">
        <f t="shared" si="7"/>
        <v>0</v>
      </c>
      <c r="W55" s="35">
        <f>SUMIF(Budgeted_01jun!$U:$U,H55,Budgeted_01jun!$R:$R)</f>
        <v>0</v>
      </c>
      <c r="X55" s="34">
        <f>SUMIF('Actual_30 jun'!$I:$I,'SAP Working'!H55,'Actual_30 jun'!$K:$K)</f>
        <v>0</v>
      </c>
      <c r="Y55" s="34">
        <f>SUMIF('Commited_30 Jun'!$H:$H,'SAP Working'!H55,'Commited_30 Jun'!$I:$I)</f>
        <v>0</v>
      </c>
      <c r="Z55" s="34">
        <f t="shared" si="8"/>
        <v>0</v>
      </c>
      <c r="AA55" s="36">
        <f t="shared" si="9"/>
        <v>0</v>
      </c>
      <c r="AC55" s="35">
        <f>SUMIF(Budgeted_01jun!$U:$U,'SAP Working'!I55,Budgeted_01jun!$R:$R)</f>
        <v>6900</v>
      </c>
      <c r="AD55" s="34">
        <f>SUMIF('Actual_30 jun'!$I:$I,'SAP Working'!I55,'Actual_30 jun'!$K:$K)</f>
        <v>0</v>
      </c>
      <c r="AE55" s="34">
        <f>SUMIF('Commited_30 Jun'!$H:$H,'SAP Working'!I55,'Commited_30 Jun'!$I:$I)</f>
        <v>0</v>
      </c>
      <c r="AF55" s="34">
        <f t="shared" si="10"/>
        <v>0</v>
      </c>
      <c r="AG55" s="36">
        <f t="shared" si="11"/>
        <v>6900</v>
      </c>
    </row>
    <row r="56" spans="1:35" x14ac:dyDescent="0.25">
      <c r="A56">
        <v>12</v>
      </c>
      <c r="B56" s="15" t="s">
        <v>1244</v>
      </c>
      <c r="C56" s="15" t="s">
        <v>1245</v>
      </c>
      <c r="D56" s="16">
        <f t="shared" si="58"/>
        <v>52</v>
      </c>
      <c r="E56" s="16">
        <v>2</v>
      </c>
      <c r="F56" s="17" t="s">
        <v>885</v>
      </c>
      <c r="G56" s="18" t="s">
        <v>1400</v>
      </c>
      <c r="H56" s="18" t="s">
        <v>1401</v>
      </c>
      <c r="I56" s="18" t="s">
        <v>1011</v>
      </c>
      <c r="K56" s="41">
        <f>SUM(K57:K74,K79:K80)</f>
        <v>80978222.790000007</v>
      </c>
      <c r="L56" s="41">
        <f t="shared" ref="L56:AI56" si="61">SUM(L57:L74,L79:L80)</f>
        <v>43723319.999999993</v>
      </c>
      <c r="M56" s="41">
        <f t="shared" si="61"/>
        <v>14821419946.949999</v>
      </c>
      <c r="N56" s="41">
        <f t="shared" si="61"/>
        <v>14865143266.949999</v>
      </c>
      <c r="O56" s="41">
        <f t="shared" si="61"/>
        <v>-14784165044.159998</v>
      </c>
      <c r="P56" s="41">
        <f t="shared" si="61"/>
        <v>0</v>
      </c>
      <c r="Q56" s="41">
        <f t="shared" si="61"/>
        <v>0</v>
      </c>
      <c r="R56" s="41">
        <f t="shared" si="61"/>
        <v>0</v>
      </c>
      <c r="S56" s="41">
        <f t="shared" si="61"/>
        <v>0</v>
      </c>
      <c r="T56" s="41">
        <f t="shared" si="61"/>
        <v>0</v>
      </c>
      <c r="U56" s="41">
        <f t="shared" si="61"/>
        <v>0</v>
      </c>
      <c r="V56" s="41">
        <f t="shared" si="61"/>
        <v>0</v>
      </c>
      <c r="W56" s="41">
        <f t="shared" si="61"/>
        <v>0</v>
      </c>
      <c r="X56" s="41">
        <f t="shared" si="61"/>
        <v>0</v>
      </c>
      <c r="Y56" s="41">
        <f t="shared" si="61"/>
        <v>0</v>
      </c>
      <c r="Z56" s="41">
        <f t="shared" si="61"/>
        <v>0</v>
      </c>
      <c r="AA56" s="41">
        <f t="shared" si="61"/>
        <v>0</v>
      </c>
      <c r="AB56" s="41">
        <f t="shared" si="61"/>
        <v>0</v>
      </c>
      <c r="AC56" s="41">
        <f t="shared" si="61"/>
        <v>80978222.790000007</v>
      </c>
      <c r="AD56" s="41">
        <f t="shared" si="61"/>
        <v>43723319.999999993</v>
      </c>
      <c r="AE56" s="41">
        <f t="shared" si="61"/>
        <v>14821419946.949999</v>
      </c>
      <c r="AF56" s="41">
        <f t="shared" si="61"/>
        <v>14865143266.949999</v>
      </c>
      <c r="AG56" s="41">
        <f t="shared" si="61"/>
        <v>-14784165044.159998</v>
      </c>
      <c r="AH56" s="41">
        <f t="shared" si="61"/>
        <v>0</v>
      </c>
      <c r="AI56" s="41">
        <f t="shared" si="61"/>
        <v>0</v>
      </c>
    </row>
    <row r="57" spans="1:35" x14ac:dyDescent="0.25">
      <c r="B57" s="20" t="s">
        <v>1244</v>
      </c>
      <c r="C57" s="20" t="s">
        <v>1245</v>
      </c>
      <c r="D57" s="1">
        <f t="shared" si="58"/>
        <v>53</v>
      </c>
      <c r="E57" s="1">
        <v>3</v>
      </c>
      <c r="F57" s="21" t="s">
        <v>139</v>
      </c>
      <c r="G57" s="23" t="s">
        <v>1402</v>
      </c>
      <c r="H57" s="23" t="s">
        <v>1403</v>
      </c>
      <c r="I57" s="22" t="s">
        <v>138</v>
      </c>
      <c r="K57" s="35">
        <f t="shared" ref="K57:K80" si="62">AC57</f>
        <v>497381</v>
      </c>
      <c r="L57" s="35">
        <f t="shared" ref="L57:L80" si="63">AD57</f>
        <v>3216570</v>
      </c>
      <c r="M57" s="35">
        <f t="shared" ref="M57:M80" si="64">AE57</f>
        <v>1289250036.9000001</v>
      </c>
      <c r="N57" s="34">
        <f t="shared" si="4"/>
        <v>1292466606.9000001</v>
      </c>
      <c r="O57" s="36">
        <f t="shared" si="5"/>
        <v>-1291969225.9000001</v>
      </c>
      <c r="Q57" s="35">
        <f>SUMIF(Budgeted_01jun!U:U,'SAP Working'!G57,Budgeted_01jun!R:R)</f>
        <v>0</v>
      </c>
      <c r="R57" s="34">
        <f>SUMIF('Actual_30 jun'!I:I,'SAP Working'!G57,'Actual_30 jun'!K:K)</f>
        <v>0</v>
      </c>
      <c r="S57" s="34">
        <f>SUMIF('Commited_30 Jun'!H:H,'SAP Working'!G57,'Commited_30 Jun'!I:I)</f>
        <v>0</v>
      </c>
      <c r="T57" s="34">
        <f t="shared" si="6"/>
        <v>0</v>
      </c>
      <c r="U57" s="36">
        <f t="shared" si="7"/>
        <v>0</v>
      </c>
      <c r="W57" s="35">
        <f>SUMIF(Budgeted_01jun!$U:$U,H57,Budgeted_01jun!$R:$R)</f>
        <v>0</v>
      </c>
      <c r="X57" s="34">
        <f>SUMIF('Actual_30 jun'!$I:$I,'SAP Working'!H57,'Actual_30 jun'!$K:$K)</f>
        <v>0</v>
      </c>
      <c r="Y57" s="34">
        <f>SUMIF('Commited_30 Jun'!$H:$H,'SAP Working'!H57,'Commited_30 Jun'!$I:$I)</f>
        <v>0</v>
      </c>
      <c r="Z57" s="34">
        <f t="shared" si="8"/>
        <v>0</v>
      </c>
      <c r="AA57" s="36">
        <f t="shared" si="9"/>
        <v>0</v>
      </c>
      <c r="AC57" s="35">
        <f>SUMIF(Budgeted_01jun!$U:$U,'SAP Working'!I57,Budgeted_01jun!$R:$R)</f>
        <v>497381</v>
      </c>
      <c r="AD57" s="34">
        <f>SUMIF('Actual_30 jun'!$I:$I,'SAP Working'!I57,'Actual_30 jun'!$K:$K)</f>
        <v>3216570</v>
      </c>
      <c r="AE57" s="34">
        <f>SUMIF('Commited_30 Jun'!$H:$H,'SAP Working'!I57,'Commited_30 Jun'!$I:$I)</f>
        <v>1289250036.9000001</v>
      </c>
      <c r="AF57" s="34">
        <f t="shared" si="10"/>
        <v>1292466606.9000001</v>
      </c>
      <c r="AG57" s="36">
        <f t="shared" si="11"/>
        <v>-1291969225.9000001</v>
      </c>
    </row>
    <row r="58" spans="1:35" x14ac:dyDescent="0.25">
      <c r="B58" s="20" t="s">
        <v>1244</v>
      </c>
      <c r="C58" s="20" t="s">
        <v>1245</v>
      </c>
      <c r="D58" s="1">
        <f t="shared" si="58"/>
        <v>54</v>
      </c>
      <c r="E58" s="1">
        <v>3</v>
      </c>
      <c r="F58" s="21" t="s">
        <v>756</v>
      </c>
      <c r="G58" s="23" t="s">
        <v>1404</v>
      </c>
      <c r="H58" s="23" t="s">
        <v>1405</v>
      </c>
      <c r="I58" s="22" t="s">
        <v>763</v>
      </c>
      <c r="K58" s="35">
        <f t="shared" si="62"/>
        <v>10258300</v>
      </c>
      <c r="L58" s="35">
        <f t="shared" si="63"/>
        <v>5386620</v>
      </c>
      <c r="M58" s="35">
        <f t="shared" si="64"/>
        <v>681378142.5</v>
      </c>
      <c r="N58" s="34">
        <f t="shared" si="4"/>
        <v>686764762.5</v>
      </c>
      <c r="O58" s="36">
        <f t="shared" si="5"/>
        <v>-676506462.5</v>
      </c>
      <c r="Q58" s="35">
        <f>SUMIF(Budgeted_01jun!U:U,'SAP Working'!G58,Budgeted_01jun!R:R)</f>
        <v>0</v>
      </c>
      <c r="R58" s="34">
        <f>SUMIF('Actual_30 jun'!I:I,'SAP Working'!G58,'Actual_30 jun'!K:K)</f>
        <v>0</v>
      </c>
      <c r="S58" s="34">
        <f>SUMIF('Commited_30 Jun'!H:H,'SAP Working'!G58,'Commited_30 Jun'!I:I)</f>
        <v>0</v>
      </c>
      <c r="T58" s="34">
        <f t="shared" si="6"/>
        <v>0</v>
      </c>
      <c r="U58" s="36">
        <f t="shared" si="7"/>
        <v>0</v>
      </c>
      <c r="W58" s="35">
        <f>SUMIF(Budgeted_01jun!$U:$U,H58,Budgeted_01jun!$R:$R)</f>
        <v>0</v>
      </c>
      <c r="X58" s="34">
        <f>SUMIF('Actual_30 jun'!$I:$I,'SAP Working'!H58,'Actual_30 jun'!$K:$K)</f>
        <v>0</v>
      </c>
      <c r="Y58" s="34">
        <f>SUMIF('Commited_30 Jun'!$H:$H,'SAP Working'!H58,'Commited_30 Jun'!$I:$I)</f>
        <v>0</v>
      </c>
      <c r="Z58" s="34">
        <f t="shared" si="8"/>
        <v>0</v>
      </c>
      <c r="AA58" s="36">
        <f t="shared" si="9"/>
        <v>0</v>
      </c>
      <c r="AC58" s="35">
        <f>SUMIF(Budgeted_01jun!$U:$U,'SAP Working'!I58,Budgeted_01jun!$R:$R)</f>
        <v>10258300</v>
      </c>
      <c r="AD58" s="34">
        <f>SUMIF('Actual_30 jun'!$I:$I,'SAP Working'!I58,'Actual_30 jun'!$K:$K)</f>
        <v>5386620</v>
      </c>
      <c r="AE58" s="34">
        <f>SUMIF('Commited_30 Jun'!$H:$H,'SAP Working'!I58,'Commited_30 Jun'!$I:$I)</f>
        <v>681378142.5</v>
      </c>
      <c r="AF58" s="34">
        <f t="shared" si="10"/>
        <v>686764762.5</v>
      </c>
      <c r="AG58" s="36">
        <f t="shared" si="11"/>
        <v>-676506462.5</v>
      </c>
    </row>
    <row r="59" spans="1:35" x14ac:dyDescent="0.25">
      <c r="B59" s="20" t="s">
        <v>1244</v>
      </c>
      <c r="C59" s="20" t="s">
        <v>1245</v>
      </c>
      <c r="D59" s="1">
        <f t="shared" si="58"/>
        <v>55</v>
      </c>
      <c r="E59" s="1">
        <v>3</v>
      </c>
      <c r="F59" s="21" t="s">
        <v>146</v>
      </c>
      <c r="G59" s="23" t="s">
        <v>1406</v>
      </c>
      <c r="H59" s="23" t="s">
        <v>1407</v>
      </c>
      <c r="I59" s="22" t="s">
        <v>157</v>
      </c>
      <c r="K59" s="35">
        <f t="shared" si="62"/>
        <v>1736204</v>
      </c>
      <c r="L59" s="35">
        <f t="shared" si="63"/>
        <v>3057449.9999999972</v>
      </c>
      <c r="M59" s="35">
        <f t="shared" si="64"/>
        <v>1472189744.25</v>
      </c>
      <c r="N59" s="34">
        <f t="shared" si="4"/>
        <v>1475247194.25</v>
      </c>
      <c r="O59" s="36">
        <f t="shared" si="5"/>
        <v>-1473510990.25</v>
      </c>
      <c r="Q59" s="35">
        <f>SUMIF(Budgeted_01jun!U:U,'SAP Working'!G59,Budgeted_01jun!R:R)</f>
        <v>0</v>
      </c>
      <c r="R59" s="34">
        <f>SUMIF('Actual_30 jun'!I:I,'SAP Working'!G59,'Actual_30 jun'!K:K)</f>
        <v>0</v>
      </c>
      <c r="S59" s="34">
        <f>SUMIF('Commited_30 Jun'!H:H,'SAP Working'!G59,'Commited_30 Jun'!I:I)</f>
        <v>0</v>
      </c>
      <c r="T59" s="34">
        <f t="shared" si="6"/>
        <v>0</v>
      </c>
      <c r="U59" s="36">
        <f t="shared" si="7"/>
        <v>0</v>
      </c>
      <c r="W59" s="35">
        <f>SUMIF(Budgeted_01jun!$U:$U,H59,Budgeted_01jun!$R:$R)</f>
        <v>0</v>
      </c>
      <c r="X59" s="34">
        <f>SUMIF('Actual_30 jun'!$I:$I,'SAP Working'!H59,'Actual_30 jun'!$K:$K)</f>
        <v>0</v>
      </c>
      <c r="Y59" s="34">
        <f>SUMIF('Commited_30 Jun'!$H:$H,'SAP Working'!H59,'Commited_30 Jun'!$I:$I)</f>
        <v>0</v>
      </c>
      <c r="Z59" s="34">
        <f t="shared" si="8"/>
        <v>0</v>
      </c>
      <c r="AA59" s="36">
        <f t="shared" si="9"/>
        <v>0</v>
      </c>
      <c r="AC59" s="35">
        <f>SUMIF(Budgeted_01jun!$U:$U,'SAP Working'!I59,Budgeted_01jun!$R:$R)</f>
        <v>1736204</v>
      </c>
      <c r="AD59" s="34">
        <f>SUMIF('Actual_30 jun'!$I:$I,'SAP Working'!I59,'Actual_30 jun'!$K:$K)</f>
        <v>3057449.9999999972</v>
      </c>
      <c r="AE59" s="34">
        <f>SUMIF('Commited_30 Jun'!$H:$H,'SAP Working'!I59,'Commited_30 Jun'!$I:$I)</f>
        <v>1472189744.25</v>
      </c>
      <c r="AF59" s="34">
        <f t="shared" si="10"/>
        <v>1475247194.25</v>
      </c>
      <c r="AG59" s="36">
        <f t="shared" si="11"/>
        <v>-1473510990.25</v>
      </c>
    </row>
    <row r="60" spans="1:35" x14ac:dyDescent="0.25">
      <c r="B60" s="20" t="s">
        <v>1244</v>
      </c>
      <c r="C60" s="20" t="s">
        <v>1245</v>
      </c>
      <c r="D60" s="1">
        <f t="shared" si="58"/>
        <v>56</v>
      </c>
      <c r="E60" s="1">
        <v>3</v>
      </c>
      <c r="F60" s="21" t="s">
        <v>1408</v>
      </c>
      <c r="G60" s="23" t="s">
        <v>1409</v>
      </c>
      <c r="H60" s="23" t="s">
        <v>1410</v>
      </c>
      <c r="I60" s="22" t="s">
        <v>1411</v>
      </c>
      <c r="K60" s="35">
        <f t="shared" si="62"/>
        <v>0</v>
      </c>
      <c r="L60" s="35">
        <f t="shared" si="63"/>
        <v>0</v>
      </c>
      <c r="M60" s="35">
        <f t="shared" si="64"/>
        <v>0</v>
      </c>
      <c r="N60" s="34">
        <f t="shared" si="4"/>
        <v>0</v>
      </c>
      <c r="O60" s="36">
        <f t="shared" si="5"/>
        <v>0</v>
      </c>
      <c r="Q60" s="35">
        <f>SUMIF(Budgeted_01jun!U:U,'SAP Working'!G60,Budgeted_01jun!R:R)</f>
        <v>0</v>
      </c>
      <c r="R60" s="34">
        <f>SUMIF('Actual_30 jun'!I:I,'SAP Working'!G60,'Actual_30 jun'!K:K)</f>
        <v>0</v>
      </c>
      <c r="S60" s="34">
        <f>SUMIF('Commited_30 Jun'!H:H,'SAP Working'!G60,'Commited_30 Jun'!I:I)</f>
        <v>0</v>
      </c>
      <c r="T60" s="34">
        <f t="shared" si="6"/>
        <v>0</v>
      </c>
      <c r="U60" s="36">
        <f t="shared" si="7"/>
        <v>0</v>
      </c>
      <c r="W60" s="35">
        <f>SUMIF(Budgeted_01jun!$U:$U,H60,Budgeted_01jun!$R:$R)</f>
        <v>0</v>
      </c>
      <c r="X60" s="34">
        <f>SUMIF('Actual_30 jun'!$I:$I,'SAP Working'!H60,'Actual_30 jun'!$K:$K)</f>
        <v>0</v>
      </c>
      <c r="Y60" s="34">
        <f>SUMIF('Commited_30 Jun'!$H:$H,'SAP Working'!H60,'Commited_30 Jun'!$I:$I)</f>
        <v>0</v>
      </c>
      <c r="Z60" s="34">
        <f t="shared" si="8"/>
        <v>0</v>
      </c>
      <c r="AA60" s="36">
        <f t="shared" si="9"/>
        <v>0</v>
      </c>
      <c r="AC60" s="35">
        <f>SUMIF(Budgeted_01jun!$U:$U,'SAP Working'!I60,Budgeted_01jun!$R:$R)</f>
        <v>0</v>
      </c>
      <c r="AD60" s="34">
        <f>SUMIF('Actual_30 jun'!$I:$I,'SAP Working'!I60,'Actual_30 jun'!$K:$K)</f>
        <v>0</v>
      </c>
      <c r="AE60" s="34">
        <f>SUMIF('Commited_30 Jun'!$H:$H,'SAP Working'!I60,'Commited_30 Jun'!$I:$I)</f>
        <v>0</v>
      </c>
      <c r="AF60" s="34">
        <f t="shared" si="10"/>
        <v>0</v>
      </c>
      <c r="AG60" s="36">
        <f t="shared" si="11"/>
        <v>0</v>
      </c>
    </row>
    <row r="61" spans="1:35" x14ac:dyDescent="0.25">
      <c r="B61" s="20" t="s">
        <v>1244</v>
      </c>
      <c r="C61" s="20" t="s">
        <v>1245</v>
      </c>
      <c r="D61" s="1">
        <f t="shared" si="58"/>
        <v>57</v>
      </c>
      <c r="E61" s="1">
        <v>3</v>
      </c>
      <c r="F61" s="21" t="s">
        <v>1412</v>
      </c>
      <c r="G61" s="23" t="s">
        <v>1413</v>
      </c>
      <c r="H61" s="23" t="s">
        <v>1414</v>
      </c>
      <c r="I61" s="22" t="s">
        <v>1415</v>
      </c>
      <c r="K61" s="35">
        <f t="shared" si="62"/>
        <v>0</v>
      </c>
      <c r="L61" s="35">
        <f t="shared" si="63"/>
        <v>0</v>
      </c>
      <c r="M61" s="35">
        <f t="shared" si="64"/>
        <v>0</v>
      </c>
      <c r="N61" s="34">
        <f t="shared" si="4"/>
        <v>0</v>
      </c>
      <c r="O61" s="36">
        <f t="shared" si="5"/>
        <v>0</v>
      </c>
      <c r="Q61" s="35">
        <f>SUMIF(Budgeted_01jun!U:U,'SAP Working'!G61,Budgeted_01jun!R:R)</f>
        <v>0</v>
      </c>
      <c r="R61" s="34">
        <f>SUMIF('Actual_30 jun'!I:I,'SAP Working'!G61,'Actual_30 jun'!K:K)</f>
        <v>0</v>
      </c>
      <c r="S61" s="34">
        <f>SUMIF('Commited_30 Jun'!H:H,'SAP Working'!G61,'Commited_30 Jun'!I:I)</f>
        <v>0</v>
      </c>
      <c r="T61" s="34">
        <f t="shared" si="6"/>
        <v>0</v>
      </c>
      <c r="U61" s="36">
        <f t="shared" si="7"/>
        <v>0</v>
      </c>
      <c r="W61" s="35">
        <f>SUMIF(Budgeted_01jun!$U:$U,H61,Budgeted_01jun!$R:$R)</f>
        <v>0</v>
      </c>
      <c r="X61" s="34">
        <f>SUMIF('Actual_30 jun'!$I:$I,'SAP Working'!H61,'Actual_30 jun'!$K:$K)</f>
        <v>0</v>
      </c>
      <c r="Y61" s="34">
        <f>SUMIF('Commited_30 Jun'!$H:$H,'SAP Working'!H61,'Commited_30 Jun'!$I:$I)</f>
        <v>0</v>
      </c>
      <c r="Z61" s="34">
        <f t="shared" si="8"/>
        <v>0</v>
      </c>
      <c r="AA61" s="36">
        <f t="shared" si="9"/>
        <v>0</v>
      </c>
      <c r="AC61" s="35">
        <f>SUMIF(Budgeted_01jun!$U:$U,'SAP Working'!I61,Budgeted_01jun!$R:$R)</f>
        <v>0</v>
      </c>
      <c r="AD61" s="34">
        <f>SUMIF('Actual_30 jun'!$I:$I,'SAP Working'!I61,'Actual_30 jun'!$K:$K)</f>
        <v>0</v>
      </c>
      <c r="AE61" s="34">
        <f>SUMIF('Commited_30 Jun'!$H:$H,'SAP Working'!I61,'Commited_30 Jun'!$I:$I)</f>
        <v>0</v>
      </c>
      <c r="AF61" s="34">
        <f t="shared" si="10"/>
        <v>0</v>
      </c>
      <c r="AG61" s="36">
        <f t="shared" si="11"/>
        <v>0</v>
      </c>
    </row>
    <row r="62" spans="1:35" x14ac:dyDescent="0.25">
      <c r="B62" s="20" t="s">
        <v>1244</v>
      </c>
      <c r="C62" s="20" t="s">
        <v>1245</v>
      </c>
      <c r="D62" s="1">
        <f t="shared" si="58"/>
        <v>58</v>
      </c>
      <c r="E62" s="1">
        <v>3</v>
      </c>
      <c r="F62" s="21" t="s">
        <v>1416</v>
      </c>
      <c r="G62" s="23" t="s">
        <v>1417</v>
      </c>
      <c r="H62" s="23" t="s">
        <v>1418</v>
      </c>
      <c r="I62" s="22" t="s">
        <v>1419</v>
      </c>
      <c r="K62" s="35">
        <f t="shared" si="62"/>
        <v>0</v>
      </c>
      <c r="L62" s="35">
        <f t="shared" si="63"/>
        <v>0</v>
      </c>
      <c r="M62" s="35">
        <f t="shared" si="64"/>
        <v>0</v>
      </c>
      <c r="N62" s="34">
        <f t="shared" si="4"/>
        <v>0</v>
      </c>
      <c r="O62" s="36">
        <f t="shared" si="5"/>
        <v>0</v>
      </c>
      <c r="Q62" s="35">
        <f>SUMIF(Budgeted_01jun!U:U,'SAP Working'!G62,Budgeted_01jun!R:R)</f>
        <v>0</v>
      </c>
      <c r="R62" s="34">
        <f>SUMIF('Actual_30 jun'!I:I,'SAP Working'!G62,'Actual_30 jun'!K:K)</f>
        <v>0</v>
      </c>
      <c r="S62" s="34">
        <f>SUMIF('Commited_30 Jun'!H:H,'SAP Working'!G62,'Commited_30 Jun'!I:I)</f>
        <v>0</v>
      </c>
      <c r="T62" s="34">
        <f t="shared" si="6"/>
        <v>0</v>
      </c>
      <c r="U62" s="36">
        <f t="shared" si="7"/>
        <v>0</v>
      </c>
      <c r="W62" s="35">
        <f>SUMIF(Budgeted_01jun!$U:$U,H62,Budgeted_01jun!$R:$R)</f>
        <v>0</v>
      </c>
      <c r="X62" s="34">
        <f>SUMIF('Actual_30 jun'!$I:$I,'SAP Working'!H62,'Actual_30 jun'!$K:$K)</f>
        <v>0</v>
      </c>
      <c r="Y62" s="34">
        <f>SUMIF('Commited_30 Jun'!$H:$H,'SAP Working'!H62,'Commited_30 Jun'!$I:$I)</f>
        <v>0</v>
      </c>
      <c r="Z62" s="34">
        <f t="shared" si="8"/>
        <v>0</v>
      </c>
      <c r="AA62" s="36">
        <f t="shared" si="9"/>
        <v>0</v>
      </c>
      <c r="AC62" s="35">
        <f>SUMIF(Budgeted_01jun!$U:$U,'SAP Working'!I62,Budgeted_01jun!$R:$R)</f>
        <v>0</v>
      </c>
      <c r="AD62" s="34">
        <f>SUMIF('Actual_30 jun'!$I:$I,'SAP Working'!I62,'Actual_30 jun'!$K:$K)</f>
        <v>0</v>
      </c>
      <c r="AE62" s="34">
        <f>SUMIF('Commited_30 Jun'!$H:$H,'SAP Working'!I62,'Commited_30 Jun'!$I:$I)</f>
        <v>0</v>
      </c>
      <c r="AF62" s="34">
        <f t="shared" si="10"/>
        <v>0</v>
      </c>
      <c r="AG62" s="36">
        <f t="shared" si="11"/>
        <v>0</v>
      </c>
    </row>
    <row r="63" spans="1:35" x14ac:dyDescent="0.25">
      <c r="B63" s="20" t="s">
        <v>1244</v>
      </c>
      <c r="C63" s="20" t="s">
        <v>1245</v>
      </c>
      <c r="D63" s="1">
        <f t="shared" si="58"/>
        <v>59</v>
      </c>
      <c r="E63" s="1">
        <v>3</v>
      </c>
      <c r="F63" s="21" t="s">
        <v>1420</v>
      </c>
      <c r="G63" s="23" t="s">
        <v>1421</v>
      </c>
      <c r="H63" s="23" t="s">
        <v>1422</v>
      </c>
      <c r="I63" s="22" t="s">
        <v>1423</v>
      </c>
      <c r="K63" s="35">
        <f t="shared" si="62"/>
        <v>0</v>
      </c>
      <c r="L63" s="35">
        <f t="shared" si="63"/>
        <v>0</v>
      </c>
      <c r="M63" s="35">
        <f t="shared" si="64"/>
        <v>0</v>
      </c>
      <c r="N63" s="34">
        <f t="shared" si="4"/>
        <v>0</v>
      </c>
      <c r="O63" s="36">
        <f t="shared" si="5"/>
        <v>0</v>
      </c>
      <c r="Q63" s="35">
        <f>SUMIF(Budgeted_01jun!U:U,'SAP Working'!G63,Budgeted_01jun!R:R)</f>
        <v>0</v>
      </c>
      <c r="R63" s="34">
        <f>SUMIF('Actual_30 jun'!I:I,'SAP Working'!G63,'Actual_30 jun'!K:K)</f>
        <v>0</v>
      </c>
      <c r="S63" s="34">
        <f>SUMIF('Commited_30 Jun'!H:H,'SAP Working'!G63,'Commited_30 Jun'!I:I)</f>
        <v>0</v>
      </c>
      <c r="T63" s="34">
        <f t="shared" si="6"/>
        <v>0</v>
      </c>
      <c r="U63" s="36">
        <f t="shared" si="7"/>
        <v>0</v>
      </c>
      <c r="W63" s="35">
        <f>SUMIF(Budgeted_01jun!$U:$U,H63,Budgeted_01jun!$R:$R)</f>
        <v>0</v>
      </c>
      <c r="X63" s="34">
        <f>SUMIF('Actual_30 jun'!$I:$I,'SAP Working'!H63,'Actual_30 jun'!$K:$K)</f>
        <v>0</v>
      </c>
      <c r="Y63" s="34">
        <f>SUMIF('Commited_30 Jun'!$H:$H,'SAP Working'!H63,'Commited_30 Jun'!$I:$I)</f>
        <v>0</v>
      </c>
      <c r="Z63" s="34">
        <f t="shared" si="8"/>
        <v>0</v>
      </c>
      <c r="AA63" s="36">
        <f t="shared" si="9"/>
        <v>0</v>
      </c>
      <c r="AC63" s="35">
        <f>SUMIF(Budgeted_01jun!$U:$U,'SAP Working'!I63,Budgeted_01jun!$R:$R)</f>
        <v>0</v>
      </c>
      <c r="AD63" s="34">
        <f>SUMIF('Actual_30 jun'!$I:$I,'SAP Working'!I63,'Actual_30 jun'!$K:$K)</f>
        <v>0</v>
      </c>
      <c r="AE63" s="34">
        <f>SUMIF('Commited_30 Jun'!$H:$H,'SAP Working'!I63,'Commited_30 Jun'!$I:$I)</f>
        <v>0</v>
      </c>
      <c r="AF63" s="34">
        <f t="shared" si="10"/>
        <v>0</v>
      </c>
      <c r="AG63" s="36">
        <f t="shared" si="11"/>
        <v>0</v>
      </c>
    </row>
    <row r="64" spans="1:35" x14ac:dyDescent="0.25">
      <c r="B64" s="20" t="s">
        <v>1244</v>
      </c>
      <c r="C64" s="20" t="s">
        <v>1245</v>
      </c>
      <c r="D64" s="1">
        <f t="shared" si="58"/>
        <v>60</v>
      </c>
      <c r="E64" s="1">
        <v>3</v>
      </c>
      <c r="F64" s="21" t="s">
        <v>887</v>
      </c>
      <c r="G64" s="23" t="s">
        <v>1424</v>
      </c>
      <c r="H64" s="23" t="s">
        <v>1425</v>
      </c>
      <c r="I64" s="22" t="s">
        <v>1016</v>
      </c>
      <c r="K64" s="35">
        <f t="shared" si="62"/>
        <v>0</v>
      </c>
      <c r="L64" s="35">
        <f t="shared" si="63"/>
        <v>0</v>
      </c>
      <c r="M64" s="35">
        <f t="shared" si="64"/>
        <v>0</v>
      </c>
      <c r="N64" s="34">
        <f t="shared" si="4"/>
        <v>0</v>
      </c>
      <c r="O64" s="36">
        <f t="shared" si="5"/>
        <v>0</v>
      </c>
      <c r="Q64" s="35">
        <f>SUMIF(Budgeted_01jun!U:U,'SAP Working'!G64,Budgeted_01jun!R:R)</f>
        <v>0</v>
      </c>
      <c r="R64" s="34">
        <f>SUMIF('Actual_30 jun'!I:I,'SAP Working'!G64,'Actual_30 jun'!K:K)</f>
        <v>0</v>
      </c>
      <c r="S64" s="34">
        <f>SUMIF('Commited_30 Jun'!H:H,'SAP Working'!G64,'Commited_30 Jun'!I:I)</f>
        <v>0</v>
      </c>
      <c r="T64" s="34">
        <f t="shared" si="6"/>
        <v>0</v>
      </c>
      <c r="U64" s="36">
        <f t="shared" si="7"/>
        <v>0</v>
      </c>
      <c r="W64" s="35">
        <f>SUMIF(Budgeted_01jun!$U:$U,H64,Budgeted_01jun!$R:$R)</f>
        <v>0</v>
      </c>
      <c r="X64" s="34">
        <f>SUMIF('Actual_30 jun'!$I:$I,'SAP Working'!H64,'Actual_30 jun'!$K:$K)</f>
        <v>0</v>
      </c>
      <c r="Y64" s="34">
        <f>SUMIF('Commited_30 Jun'!$H:$H,'SAP Working'!H64,'Commited_30 Jun'!$I:$I)</f>
        <v>0</v>
      </c>
      <c r="Z64" s="34">
        <f t="shared" si="8"/>
        <v>0</v>
      </c>
      <c r="AA64" s="36">
        <f t="shared" si="9"/>
        <v>0</v>
      </c>
      <c r="AC64" s="35">
        <f>SUMIF(Budgeted_01jun!$U:$U,'SAP Working'!I64,Budgeted_01jun!$R:$R)</f>
        <v>0</v>
      </c>
      <c r="AD64" s="34">
        <f>SUMIF('Actual_30 jun'!$I:$I,'SAP Working'!I64,'Actual_30 jun'!$K:$K)</f>
        <v>0</v>
      </c>
      <c r="AE64" s="34">
        <f>SUMIF('Commited_30 Jun'!$H:$H,'SAP Working'!I64,'Commited_30 Jun'!$I:$I)</f>
        <v>0</v>
      </c>
      <c r="AF64" s="34">
        <f t="shared" si="10"/>
        <v>0</v>
      </c>
      <c r="AG64" s="36">
        <f t="shared" si="11"/>
        <v>0</v>
      </c>
    </row>
    <row r="65" spans="2:35" x14ac:dyDescent="0.25">
      <c r="B65" s="20" t="s">
        <v>1244</v>
      </c>
      <c r="C65" s="20" t="s">
        <v>1245</v>
      </c>
      <c r="D65" s="1">
        <f t="shared" si="58"/>
        <v>61</v>
      </c>
      <c r="E65" s="1">
        <v>3</v>
      </c>
      <c r="F65" s="21" t="s">
        <v>805</v>
      </c>
      <c r="G65" s="23" t="s">
        <v>1426</v>
      </c>
      <c r="H65" s="23" t="s">
        <v>1427</v>
      </c>
      <c r="I65" s="22" t="s">
        <v>804</v>
      </c>
      <c r="K65" s="35">
        <f t="shared" si="62"/>
        <v>3251080</v>
      </c>
      <c r="L65" s="35">
        <f t="shared" si="63"/>
        <v>0</v>
      </c>
      <c r="M65" s="35">
        <f t="shared" si="64"/>
        <v>719370135.89999998</v>
      </c>
      <c r="N65" s="34">
        <f t="shared" si="4"/>
        <v>719370135.89999998</v>
      </c>
      <c r="O65" s="36">
        <f t="shared" si="5"/>
        <v>-716119055.89999998</v>
      </c>
      <c r="Q65" s="35">
        <f>SUMIF(Budgeted_01jun!U:U,'SAP Working'!G65,Budgeted_01jun!R:R)</f>
        <v>0</v>
      </c>
      <c r="R65" s="34">
        <f>SUMIF('Actual_30 jun'!I:I,'SAP Working'!G65,'Actual_30 jun'!K:K)</f>
        <v>0</v>
      </c>
      <c r="S65" s="34">
        <f>SUMIF('Commited_30 Jun'!H:H,'SAP Working'!G65,'Commited_30 Jun'!I:I)</f>
        <v>0</v>
      </c>
      <c r="T65" s="34">
        <f t="shared" si="6"/>
        <v>0</v>
      </c>
      <c r="U65" s="36">
        <f t="shared" si="7"/>
        <v>0</v>
      </c>
      <c r="W65" s="35">
        <f>SUMIF(Budgeted_01jun!$U:$U,H65,Budgeted_01jun!$R:$R)</f>
        <v>0</v>
      </c>
      <c r="X65" s="34">
        <f>SUMIF('Actual_30 jun'!$I:$I,'SAP Working'!H65,'Actual_30 jun'!$K:$K)</f>
        <v>0</v>
      </c>
      <c r="Y65" s="34">
        <f>SUMIF('Commited_30 Jun'!$H:$H,'SAP Working'!H65,'Commited_30 Jun'!$I:$I)</f>
        <v>0</v>
      </c>
      <c r="Z65" s="34">
        <f t="shared" si="8"/>
        <v>0</v>
      </c>
      <c r="AA65" s="36">
        <f t="shared" si="9"/>
        <v>0</v>
      </c>
      <c r="AC65" s="35">
        <f>SUMIF(Budgeted_01jun!$U:$U,'SAP Working'!I65,Budgeted_01jun!$R:$R)</f>
        <v>3251080</v>
      </c>
      <c r="AD65" s="34">
        <f>SUMIF('Actual_30 jun'!$I:$I,'SAP Working'!I65,'Actual_30 jun'!$K:$K)</f>
        <v>0</v>
      </c>
      <c r="AE65" s="34">
        <f>SUMIF('Commited_30 Jun'!$H:$H,'SAP Working'!I65,'Commited_30 Jun'!$I:$I)</f>
        <v>719370135.89999998</v>
      </c>
      <c r="AF65" s="34">
        <f t="shared" si="10"/>
        <v>719370135.89999998</v>
      </c>
      <c r="AG65" s="36">
        <f t="shared" si="11"/>
        <v>-716119055.89999998</v>
      </c>
    </row>
    <row r="66" spans="2:35" x14ac:dyDescent="0.25">
      <c r="B66" s="27" t="s">
        <v>1244</v>
      </c>
      <c r="C66" s="27" t="s">
        <v>1245</v>
      </c>
      <c r="D66" s="28">
        <f t="shared" si="58"/>
        <v>62</v>
      </c>
      <c r="E66" s="28">
        <v>3</v>
      </c>
      <c r="F66" s="29" t="s">
        <v>272</v>
      </c>
      <c r="G66" s="30" t="s">
        <v>1428</v>
      </c>
      <c r="H66" s="30" t="s">
        <v>1429</v>
      </c>
      <c r="I66" s="30" t="s">
        <v>276</v>
      </c>
      <c r="K66" s="35">
        <f t="shared" si="62"/>
        <v>56000000</v>
      </c>
      <c r="L66" s="35">
        <f t="shared" si="63"/>
        <v>13633830</v>
      </c>
      <c r="M66" s="35">
        <f t="shared" si="64"/>
        <v>9945643141.7999992</v>
      </c>
      <c r="N66" s="34">
        <f t="shared" si="4"/>
        <v>9959276971.7999992</v>
      </c>
      <c r="O66" s="36">
        <f t="shared" si="5"/>
        <v>-9903276971.7999992</v>
      </c>
      <c r="Q66" s="35">
        <f>SUMIF(Budgeted_01jun!U:U,'SAP Working'!G66,Budgeted_01jun!R:R)</f>
        <v>0</v>
      </c>
      <c r="R66" s="34">
        <f>SUMIF('Actual_30 jun'!I:I,'SAP Working'!G66,'Actual_30 jun'!K:K)</f>
        <v>0</v>
      </c>
      <c r="S66" s="34">
        <f>SUMIF('Commited_30 Jun'!H:H,'SAP Working'!G66,'Commited_30 Jun'!I:I)</f>
        <v>0</v>
      </c>
      <c r="T66" s="34">
        <f t="shared" si="6"/>
        <v>0</v>
      </c>
      <c r="U66" s="36">
        <f t="shared" si="7"/>
        <v>0</v>
      </c>
      <c r="W66" s="35">
        <f>SUMIF(Budgeted_01jun!$U:$U,H66,Budgeted_01jun!$R:$R)</f>
        <v>0</v>
      </c>
      <c r="X66" s="34">
        <f>SUMIF('Actual_30 jun'!$I:$I,'SAP Working'!H66,'Actual_30 jun'!$K:$K)</f>
        <v>0</v>
      </c>
      <c r="Y66" s="34">
        <f>SUMIF('Commited_30 Jun'!$H:$H,'SAP Working'!H66,'Commited_30 Jun'!$I:$I)</f>
        <v>0</v>
      </c>
      <c r="Z66" s="34">
        <f t="shared" si="8"/>
        <v>0</v>
      </c>
      <c r="AA66" s="36">
        <f t="shared" si="9"/>
        <v>0</v>
      </c>
      <c r="AC66" s="35">
        <f>SUMIF(Budgeted_01jun!$U:$U,'SAP Working'!I66,Budgeted_01jun!$R:$R)</f>
        <v>56000000</v>
      </c>
      <c r="AD66" s="34">
        <f>SUMIF('Actual_30 jun'!$I:$I,'SAP Working'!I66,'Actual_30 jun'!$K:$K)</f>
        <v>13633830</v>
      </c>
      <c r="AE66" s="34">
        <f>SUMIF('Commited_30 Jun'!$H:$H,'SAP Working'!I66,'Commited_30 Jun'!$I:$I)</f>
        <v>9945643141.7999992</v>
      </c>
      <c r="AF66" s="34">
        <f t="shared" si="10"/>
        <v>9959276971.7999992</v>
      </c>
      <c r="AG66" s="36">
        <f t="shared" si="11"/>
        <v>-9903276971.7999992</v>
      </c>
    </row>
    <row r="67" spans="2:35" x14ac:dyDescent="0.25">
      <c r="B67" s="20" t="s">
        <v>1244</v>
      </c>
      <c r="C67" s="20" t="s">
        <v>1245</v>
      </c>
      <c r="D67" s="1">
        <f t="shared" si="58"/>
        <v>63</v>
      </c>
      <c r="E67" s="1">
        <v>3</v>
      </c>
      <c r="F67" s="21" t="s">
        <v>837</v>
      </c>
      <c r="G67" s="23" t="s">
        <v>1430</v>
      </c>
      <c r="H67" s="23" t="s">
        <v>1431</v>
      </c>
      <c r="I67" s="22" t="s">
        <v>1432</v>
      </c>
      <c r="K67" s="35">
        <f t="shared" si="62"/>
        <v>0</v>
      </c>
      <c r="L67" s="35">
        <f t="shared" si="63"/>
        <v>0</v>
      </c>
      <c r="M67" s="35">
        <f t="shared" si="64"/>
        <v>0</v>
      </c>
      <c r="N67" s="34">
        <f t="shared" si="4"/>
        <v>0</v>
      </c>
      <c r="O67" s="36">
        <f t="shared" si="5"/>
        <v>0</v>
      </c>
      <c r="Q67" s="35">
        <f>SUMIF(Budgeted_01jun!U:U,'SAP Working'!G67,Budgeted_01jun!R:R)</f>
        <v>0</v>
      </c>
      <c r="R67" s="34">
        <f>SUMIF('Actual_30 jun'!I:I,'SAP Working'!G67,'Actual_30 jun'!K:K)</f>
        <v>0</v>
      </c>
      <c r="S67" s="34">
        <f>SUMIF('Commited_30 Jun'!H:H,'SAP Working'!G67,'Commited_30 Jun'!I:I)</f>
        <v>0</v>
      </c>
      <c r="T67" s="34">
        <f t="shared" si="6"/>
        <v>0</v>
      </c>
      <c r="U67" s="36">
        <f t="shared" si="7"/>
        <v>0</v>
      </c>
      <c r="W67" s="35">
        <f>SUMIF(Budgeted_01jun!$U:$U,H67,Budgeted_01jun!$R:$R)</f>
        <v>0</v>
      </c>
      <c r="X67" s="34">
        <f>SUMIF('Actual_30 jun'!$I:$I,'SAP Working'!H67,'Actual_30 jun'!$K:$K)</f>
        <v>0</v>
      </c>
      <c r="Y67" s="34">
        <f>SUMIF('Commited_30 Jun'!$H:$H,'SAP Working'!H67,'Commited_30 Jun'!$I:$I)</f>
        <v>0</v>
      </c>
      <c r="Z67" s="34">
        <f t="shared" si="8"/>
        <v>0</v>
      </c>
      <c r="AA67" s="36">
        <f t="shared" si="9"/>
        <v>0</v>
      </c>
      <c r="AC67" s="35">
        <f>SUMIF(Budgeted_01jun!$U:$U,'SAP Working'!I67,Budgeted_01jun!$R:$R)</f>
        <v>0</v>
      </c>
      <c r="AD67" s="34">
        <f>SUMIF('Actual_30 jun'!$I:$I,'SAP Working'!I67,'Actual_30 jun'!$K:$K)</f>
        <v>0</v>
      </c>
      <c r="AE67" s="34">
        <f>SUMIF('Commited_30 Jun'!$H:$H,'SAP Working'!I67,'Commited_30 Jun'!$I:$I)</f>
        <v>0</v>
      </c>
      <c r="AF67" s="34">
        <f t="shared" si="10"/>
        <v>0</v>
      </c>
      <c r="AG67" s="36">
        <f t="shared" si="11"/>
        <v>0</v>
      </c>
    </row>
    <row r="68" spans="2:35" x14ac:dyDescent="0.25">
      <c r="B68" s="20" t="s">
        <v>1244</v>
      </c>
      <c r="C68" s="20" t="s">
        <v>1245</v>
      </c>
      <c r="D68" s="1">
        <f t="shared" si="58"/>
        <v>64</v>
      </c>
      <c r="E68" s="1">
        <v>3</v>
      </c>
      <c r="F68" s="21" t="s">
        <v>1433</v>
      </c>
      <c r="G68" s="23" t="s">
        <v>1434</v>
      </c>
      <c r="H68" s="23" t="s">
        <v>1435</v>
      </c>
      <c r="I68" s="22" t="s">
        <v>1436</v>
      </c>
      <c r="K68" s="35">
        <f t="shared" si="62"/>
        <v>1300</v>
      </c>
      <c r="L68" s="35">
        <f t="shared" si="63"/>
        <v>0</v>
      </c>
      <c r="M68" s="35">
        <f t="shared" si="64"/>
        <v>0</v>
      </c>
      <c r="N68" s="34">
        <f t="shared" si="4"/>
        <v>0</v>
      </c>
      <c r="O68" s="36">
        <f t="shared" si="5"/>
        <v>1300</v>
      </c>
      <c r="Q68" s="35">
        <f>SUMIF(Budgeted_01jun!U:U,'SAP Working'!G68,Budgeted_01jun!R:R)</f>
        <v>0</v>
      </c>
      <c r="R68" s="34">
        <f>SUMIF('Actual_30 jun'!I:I,'SAP Working'!G68,'Actual_30 jun'!K:K)</f>
        <v>0</v>
      </c>
      <c r="S68" s="34">
        <f>SUMIF('Commited_30 Jun'!H:H,'SAP Working'!G68,'Commited_30 Jun'!I:I)</f>
        <v>0</v>
      </c>
      <c r="T68" s="34">
        <f t="shared" si="6"/>
        <v>0</v>
      </c>
      <c r="U68" s="36">
        <f t="shared" si="7"/>
        <v>0</v>
      </c>
      <c r="W68" s="35">
        <f>SUMIF(Budgeted_01jun!$U:$U,H68,Budgeted_01jun!$R:$R)</f>
        <v>0</v>
      </c>
      <c r="X68" s="34">
        <f>SUMIF('Actual_30 jun'!$I:$I,'SAP Working'!H68,'Actual_30 jun'!$K:$K)</f>
        <v>0</v>
      </c>
      <c r="Y68" s="34">
        <f>SUMIF('Commited_30 Jun'!$H:$H,'SAP Working'!H68,'Commited_30 Jun'!$I:$I)</f>
        <v>0</v>
      </c>
      <c r="Z68" s="34">
        <f t="shared" si="8"/>
        <v>0</v>
      </c>
      <c r="AA68" s="36">
        <f t="shared" si="9"/>
        <v>0</v>
      </c>
      <c r="AC68" s="35">
        <f>SUMIF(Budgeted_01jun!$U:$U,'SAP Working'!I68,Budgeted_01jun!$R:$R)</f>
        <v>1300</v>
      </c>
      <c r="AD68" s="34">
        <f>SUMIF('Actual_30 jun'!$I:$I,'SAP Working'!I68,'Actual_30 jun'!$K:$K)</f>
        <v>0</v>
      </c>
      <c r="AE68" s="34">
        <f>SUMIF('Commited_30 Jun'!$H:$H,'SAP Working'!I68,'Commited_30 Jun'!$I:$I)</f>
        <v>0</v>
      </c>
      <c r="AF68" s="34">
        <f t="shared" si="10"/>
        <v>0</v>
      </c>
      <c r="AG68" s="36">
        <f t="shared" si="11"/>
        <v>1300</v>
      </c>
    </row>
    <row r="69" spans="2:35" x14ac:dyDescent="0.25">
      <c r="B69" s="20" t="s">
        <v>1244</v>
      </c>
      <c r="C69" s="20" t="s">
        <v>1245</v>
      </c>
      <c r="D69" s="1">
        <f t="shared" si="58"/>
        <v>65</v>
      </c>
      <c r="E69" s="1">
        <v>3</v>
      </c>
      <c r="F69" s="21" t="s">
        <v>1437</v>
      </c>
      <c r="G69" s="23" t="s">
        <v>1438</v>
      </c>
      <c r="H69" s="23" t="s">
        <v>1439</v>
      </c>
      <c r="I69" s="22" t="s">
        <v>1440</v>
      </c>
      <c r="K69" s="35">
        <f t="shared" si="62"/>
        <v>7011000</v>
      </c>
      <c r="L69" s="35">
        <f t="shared" si="63"/>
        <v>0</v>
      </c>
      <c r="M69" s="35">
        <f t="shared" si="64"/>
        <v>0</v>
      </c>
      <c r="N69" s="34">
        <f t="shared" ref="N69:N91" si="65">M69+L69</f>
        <v>0</v>
      </c>
      <c r="O69" s="36">
        <f t="shared" ref="O69:O91" si="66">K69-N69</f>
        <v>7011000</v>
      </c>
      <c r="Q69" s="35">
        <f>SUMIF(Budgeted_01jun!U:U,'SAP Working'!G69,Budgeted_01jun!R:R)</f>
        <v>0</v>
      </c>
      <c r="R69" s="34">
        <f>SUMIF('Actual_30 jun'!I:I,'SAP Working'!G69,'Actual_30 jun'!K:K)</f>
        <v>0</v>
      </c>
      <c r="S69" s="34">
        <f>SUMIF('Commited_30 Jun'!H:H,'SAP Working'!G69,'Commited_30 Jun'!I:I)</f>
        <v>0</v>
      </c>
      <c r="T69" s="34">
        <f t="shared" ref="T69:T91" si="67">S69+R69</f>
        <v>0</v>
      </c>
      <c r="U69" s="36">
        <f t="shared" ref="U69:U91" si="68">Q69-T69</f>
        <v>0</v>
      </c>
      <c r="W69" s="35">
        <f>SUMIF(Budgeted_01jun!$U:$U,H69,Budgeted_01jun!$R:$R)</f>
        <v>0</v>
      </c>
      <c r="X69" s="34">
        <f>SUMIF('Actual_30 jun'!$I:$I,'SAP Working'!H69,'Actual_30 jun'!$K:$K)</f>
        <v>0</v>
      </c>
      <c r="Y69" s="34">
        <f>SUMIF('Commited_30 Jun'!$H:$H,'SAP Working'!H69,'Commited_30 Jun'!$I:$I)</f>
        <v>0</v>
      </c>
      <c r="Z69" s="34">
        <f t="shared" ref="Z69:Z91" si="69">Y69+X69</f>
        <v>0</v>
      </c>
      <c r="AA69" s="36">
        <f t="shared" ref="AA69:AA91" si="70">W69-Z69</f>
        <v>0</v>
      </c>
      <c r="AC69" s="35">
        <f>SUMIF(Budgeted_01jun!$U:$U,'SAP Working'!I69,Budgeted_01jun!$R:$R)</f>
        <v>7011000</v>
      </c>
      <c r="AD69" s="34">
        <f>SUMIF('Actual_30 jun'!$I:$I,'SAP Working'!I69,'Actual_30 jun'!$K:$K)</f>
        <v>0</v>
      </c>
      <c r="AE69" s="34">
        <f>SUMIF('Commited_30 Jun'!$H:$H,'SAP Working'!I69,'Commited_30 Jun'!$I:$I)</f>
        <v>0</v>
      </c>
      <c r="AF69" s="34">
        <f t="shared" ref="AF69:AF91" si="71">AE69+AD69</f>
        <v>0</v>
      </c>
      <c r="AG69" s="36">
        <f t="shared" ref="AG69:AG91" si="72">AC69-AF69</f>
        <v>7011000</v>
      </c>
    </row>
    <row r="70" spans="2:35" x14ac:dyDescent="0.25">
      <c r="B70" s="20" t="s">
        <v>1244</v>
      </c>
      <c r="C70" s="20" t="s">
        <v>1245</v>
      </c>
      <c r="D70" s="1">
        <f t="shared" si="58"/>
        <v>66</v>
      </c>
      <c r="E70" s="1">
        <v>3</v>
      </c>
      <c r="F70" s="21" t="s">
        <v>782</v>
      </c>
      <c r="G70" s="23" t="s">
        <v>1441</v>
      </c>
      <c r="H70" s="23" t="s">
        <v>1442</v>
      </c>
      <c r="I70" s="22" t="s">
        <v>1443</v>
      </c>
      <c r="K70" s="35">
        <f t="shared" si="62"/>
        <v>0</v>
      </c>
      <c r="L70" s="35">
        <f t="shared" si="63"/>
        <v>0</v>
      </c>
      <c r="M70" s="35">
        <f t="shared" si="64"/>
        <v>0</v>
      </c>
      <c r="N70" s="34">
        <f t="shared" si="65"/>
        <v>0</v>
      </c>
      <c r="O70" s="36">
        <f t="shared" si="66"/>
        <v>0</v>
      </c>
      <c r="Q70" s="35">
        <f>SUMIF(Budgeted_01jun!U:U,'SAP Working'!G70,Budgeted_01jun!R:R)</f>
        <v>0</v>
      </c>
      <c r="R70" s="34">
        <f>SUMIF('Actual_30 jun'!I:I,'SAP Working'!G70,'Actual_30 jun'!K:K)</f>
        <v>0</v>
      </c>
      <c r="S70" s="34">
        <f>SUMIF('Commited_30 Jun'!H:H,'SAP Working'!G70,'Commited_30 Jun'!I:I)</f>
        <v>0</v>
      </c>
      <c r="T70" s="34">
        <f t="shared" si="67"/>
        <v>0</v>
      </c>
      <c r="U70" s="36">
        <f t="shared" si="68"/>
        <v>0</v>
      </c>
      <c r="W70" s="35">
        <f>SUMIF(Budgeted_01jun!$U:$U,H70,Budgeted_01jun!$R:$R)</f>
        <v>0</v>
      </c>
      <c r="X70" s="34">
        <f>SUMIF('Actual_30 jun'!$I:$I,'SAP Working'!H70,'Actual_30 jun'!$K:$K)</f>
        <v>0</v>
      </c>
      <c r="Y70" s="34">
        <f>SUMIF('Commited_30 Jun'!$H:$H,'SAP Working'!H70,'Commited_30 Jun'!$I:$I)</f>
        <v>0</v>
      </c>
      <c r="Z70" s="34">
        <f t="shared" si="69"/>
        <v>0</v>
      </c>
      <c r="AA70" s="36">
        <f t="shared" si="70"/>
        <v>0</v>
      </c>
      <c r="AC70" s="35">
        <f>SUMIF(Budgeted_01jun!$U:$U,'SAP Working'!I70,Budgeted_01jun!$R:$R)</f>
        <v>0</v>
      </c>
      <c r="AD70" s="34">
        <f>SUMIF('Actual_30 jun'!$I:$I,'SAP Working'!I70,'Actual_30 jun'!$K:$K)</f>
        <v>0</v>
      </c>
      <c r="AE70" s="34">
        <f>SUMIF('Commited_30 Jun'!$H:$H,'SAP Working'!I70,'Commited_30 Jun'!$I:$I)</f>
        <v>0</v>
      </c>
      <c r="AF70" s="34">
        <f t="shared" si="71"/>
        <v>0</v>
      </c>
      <c r="AG70" s="36">
        <f t="shared" si="72"/>
        <v>0</v>
      </c>
    </row>
    <row r="71" spans="2:35" x14ac:dyDescent="0.25">
      <c r="B71" s="20" t="s">
        <v>1244</v>
      </c>
      <c r="C71" s="20" t="s">
        <v>1245</v>
      </c>
      <c r="D71" s="1">
        <f t="shared" si="58"/>
        <v>67</v>
      </c>
      <c r="E71" s="1">
        <v>3</v>
      </c>
      <c r="F71" s="21" t="s">
        <v>1444</v>
      </c>
      <c r="G71" s="23" t="s">
        <v>1445</v>
      </c>
      <c r="H71" s="23" t="s">
        <v>1446</v>
      </c>
      <c r="I71" s="22" t="s">
        <v>1447</v>
      </c>
      <c r="K71" s="35">
        <f t="shared" si="62"/>
        <v>0</v>
      </c>
      <c r="L71" s="35">
        <f t="shared" si="63"/>
        <v>0</v>
      </c>
      <c r="M71" s="35">
        <f t="shared" si="64"/>
        <v>0</v>
      </c>
      <c r="N71" s="34">
        <f t="shared" si="65"/>
        <v>0</v>
      </c>
      <c r="O71" s="36">
        <f t="shared" si="66"/>
        <v>0</v>
      </c>
      <c r="Q71" s="35">
        <f>SUMIF(Budgeted_01jun!U:U,'SAP Working'!G71,Budgeted_01jun!R:R)</f>
        <v>0</v>
      </c>
      <c r="R71" s="34">
        <f>SUMIF('Actual_30 jun'!I:I,'SAP Working'!G71,'Actual_30 jun'!K:K)</f>
        <v>0</v>
      </c>
      <c r="S71" s="34">
        <f>SUMIF('Commited_30 Jun'!H:H,'SAP Working'!G71,'Commited_30 Jun'!I:I)</f>
        <v>0</v>
      </c>
      <c r="T71" s="34">
        <f t="shared" si="67"/>
        <v>0</v>
      </c>
      <c r="U71" s="36">
        <f t="shared" si="68"/>
        <v>0</v>
      </c>
      <c r="W71" s="35">
        <f>SUMIF(Budgeted_01jun!$U:$U,H71,Budgeted_01jun!$R:$R)</f>
        <v>0</v>
      </c>
      <c r="X71" s="34">
        <f>SUMIF('Actual_30 jun'!$I:$I,'SAP Working'!H71,'Actual_30 jun'!$K:$K)</f>
        <v>0</v>
      </c>
      <c r="Y71" s="34">
        <f>SUMIF('Commited_30 Jun'!$H:$H,'SAP Working'!H71,'Commited_30 Jun'!$I:$I)</f>
        <v>0</v>
      </c>
      <c r="Z71" s="34">
        <f t="shared" si="69"/>
        <v>0</v>
      </c>
      <c r="AA71" s="36">
        <f t="shared" si="70"/>
        <v>0</v>
      </c>
      <c r="AC71" s="35">
        <f>SUMIF(Budgeted_01jun!$U:$U,'SAP Working'!I71,Budgeted_01jun!$R:$R)</f>
        <v>0</v>
      </c>
      <c r="AD71" s="34">
        <f>SUMIF('Actual_30 jun'!$I:$I,'SAP Working'!I71,'Actual_30 jun'!$K:$K)</f>
        <v>0</v>
      </c>
      <c r="AE71" s="34">
        <f>SUMIF('Commited_30 Jun'!$H:$H,'SAP Working'!I71,'Commited_30 Jun'!$I:$I)</f>
        <v>0</v>
      </c>
      <c r="AF71" s="34">
        <f t="shared" si="71"/>
        <v>0</v>
      </c>
      <c r="AG71" s="36">
        <f t="shared" si="72"/>
        <v>0</v>
      </c>
    </row>
    <row r="72" spans="2:35" x14ac:dyDescent="0.25">
      <c r="B72" s="20" t="s">
        <v>1244</v>
      </c>
      <c r="C72" s="20" t="s">
        <v>1245</v>
      </c>
      <c r="D72" s="1">
        <f t="shared" si="58"/>
        <v>68</v>
      </c>
      <c r="E72" s="1">
        <v>3</v>
      </c>
      <c r="F72" s="21" t="s">
        <v>1448</v>
      </c>
      <c r="G72" s="23" t="s">
        <v>1449</v>
      </c>
      <c r="H72" s="23" t="s">
        <v>1450</v>
      </c>
      <c r="I72" s="22" t="s">
        <v>1451</v>
      </c>
      <c r="K72" s="35">
        <f t="shared" si="62"/>
        <v>0</v>
      </c>
      <c r="L72" s="35">
        <f t="shared" si="63"/>
        <v>3618960</v>
      </c>
      <c r="M72" s="35">
        <f t="shared" si="64"/>
        <v>0</v>
      </c>
      <c r="N72" s="34">
        <f t="shared" si="65"/>
        <v>3618960</v>
      </c>
      <c r="O72" s="36">
        <f t="shared" si="66"/>
        <v>-3618960</v>
      </c>
      <c r="Q72" s="35">
        <f>SUMIF(Budgeted_01jun!U:U,'SAP Working'!G72,Budgeted_01jun!R:R)</f>
        <v>0</v>
      </c>
      <c r="R72" s="34">
        <f>SUMIF('Actual_30 jun'!I:I,'SAP Working'!G72,'Actual_30 jun'!K:K)</f>
        <v>0</v>
      </c>
      <c r="S72" s="34">
        <f>SUMIF('Commited_30 Jun'!H:H,'SAP Working'!G72,'Commited_30 Jun'!I:I)</f>
        <v>0</v>
      </c>
      <c r="T72" s="34">
        <f t="shared" si="67"/>
        <v>0</v>
      </c>
      <c r="U72" s="36">
        <f t="shared" si="68"/>
        <v>0</v>
      </c>
      <c r="W72" s="35">
        <f>SUMIF(Budgeted_01jun!$U:$U,H72,Budgeted_01jun!$R:$R)</f>
        <v>0</v>
      </c>
      <c r="X72" s="34">
        <f>SUMIF('Actual_30 jun'!$I:$I,'SAP Working'!H72,'Actual_30 jun'!$K:$K)</f>
        <v>0</v>
      </c>
      <c r="Y72" s="34">
        <f>SUMIF('Commited_30 Jun'!$H:$H,'SAP Working'!H72,'Commited_30 Jun'!$I:$I)</f>
        <v>0</v>
      </c>
      <c r="Z72" s="34">
        <f t="shared" si="69"/>
        <v>0</v>
      </c>
      <c r="AA72" s="36">
        <f t="shared" si="70"/>
        <v>0</v>
      </c>
      <c r="AC72" s="35">
        <f>SUMIF(Budgeted_01jun!$U:$U,'SAP Working'!I72,Budgeted_01jun!$R:$R)</f>
        <v>0</v>
      </c>
      <c r="AD72" s="34">
        <f>SUMIF('Actual_30 jun'!$I:$I,'SAP Working'!I72,'Actual_30 jun'!$K:$K)</f>
        <v>3618960</v>
      </c>
      <c r="AE72" s="34">
        <f>SUMIF('Commited_30 Jun'!$H:$H,'SAP Working'!I72,'Commited_30 Jun'!$I:$I)</f>
        <v>0</v>
      </c>
      <c r="AF72" s="34">
        <f t="shared" si="71"/>
        <v>3618960</v>
      </c>
      <c r="AG72" s="36">
        <f t="shared" si="72"/>
        <v>-3618960</v>
      </c>
    </row>
    <row r="73" spans="2:35" x14ac:dyDescent="0.25">
      <c r="B73" s="20" t="s">
        <v>1244</v>
      </c>
      <c r="C73" s="20" t="s">
        <v>1245</v>
      </c>
      <c r="D73" s="1">
        <f t="shared" si="58"/>
        <v>69</v>
      </c>
      <c r="E73" s="1">
        <v>3</v>
      </c>
      <c r="F73" s="21" t="s">
        <v>1452</v>
      </c>
      <c r="G73" s="23" t="s">
        <v>1453</v>
      </c>
      <c r="H73" s="23" t="s">
        <v>1454</v>
      </c>
      <c r="I73" s="22" t="s">
        <v>1455</v>
      </c>
      <c r="K73" s="35">
        <f t="shared" si="62"/>
        <v>0</v>
      </c>
      <c r="L73" s="35">
        <f t="shared" si="63"/>
        <v>2660670</v>
      </c>
      <c r="M73" s="35">
        <f t="shared" si="64"/>
        <v>0</v>
      </c>
      <c r="N73" s="34">
        <f t="shared" si="65"/>
        <v>2660670</v>
      </c>
      <c r="O73" s="36">
        <f t="shared" si="66"/>
        <v>-2660670</v>
      </c>
      <c r="Q73" s="35">
        <f>SUMIF(Budgeted_01jun!U:U,'SAP Working'!G73,Budgeted_01jun!R:R)</f>
        <v>0</v>
      </c>
      <c r="R73" s="34">
        <f>SUMIF('Actual_30 jun'!I:I,'SAP Working'!G73,'Actual_30 jun'!K:K)</f>
        <v>0</v>
      </c>
      <c r="S73" s="34">
        <f>SUMIF('Commited_30 Jun'!H:H,'SAP Working'!G73,'Commited_30 Jun'!I:I)</f>
        <v>0</v>
      </c>
      <c r="T73" s="34">
        <f t="shared" si="67"/>
        <v>0</v>
      </c>
      <c r="U73" s="36">
        <f t="shared" si="68"/>
        <v>0</v>
      </c>
      <c r="W73" s="35">
        <f>SUMIF(Budgeted_01jun!$U:$U,H73,Budgeted_01jun!$R:$R)</f>
        <v>0</v>
      </c>
      <c r="X73" s="34">
        <f>SUMIF('Actual_30 jun'!$I:$I,'SAP Working'!H73,'Actual_30 jun'!$K:$K)</f>
        <v>0</v>
      </c>
      <c r="Y73" s="34">
        <f>SUMIF('Commited_30 Jun'!$H:$H,'SAP Working'!H73,'Commited_30 Jun'!$I:$I)</f>
        <v>0</v>
      </c>
      <c r="Z73" s="34">
        <f t="shared" si="69"/>
        <v>0</v>
      </c>
      <c r="AA73" s="36">
        <f t="shared" si="70"/>
        <v>0</v>
      </c>
      <c r="AC73" s="35">
        <f>SUMIF(Budgeted_01jun!$U:$U,'SAP Working'!I73,Budgeted_01jun!$R:$R)</f>
        <v>0</v>
      </c>
      <c r="AD73" s="34">
        <f>SUMIF('Actual_30 jun'!$I:$I,'SAP Working'!I73,'Actual_30 jun'!$K:$K)</f>
        <v>2660670</v>
      </c>
      <c r="AE73" s="34">
        <f>SUMIF('Commited_30 Jun'!$H:$H,'SAP Working'!I73,'Commited_30 Jun'!$I:$I)</f>
        <v>0</v>
      </c>
      <c r="AF73" s="34">
        <f t="shared" si="71"/>
        <v>2660670</v>
      </c>
      <c r="AG73" s="36">
        <f t="shared" si="72"/>
        <v>-2660670</v>
      </c>
    </row>
    <row r="74" spans="2:35" s="213" customFormat="1" x14ac:dyDescent="0.25">
      <c r="B74" s="27" t="s">
        <v>1244</v>
      </c>
      <c r="C74" s="27" t="s">
        <v>1245</v>
      </c>
      <c r="D74" s="28">
        <f t="shared" si="58"/>
        <v>70</v>
      </c>
      <c r="E74" s="28">
        <v>3</v>
      </c>
      <c r="F74" s="29" t="s">
        <v>890</v>
      </c>
      <c r="G74" s="30" t="s">
        <v>1456</v>
      </c>
      <c r="H74" s="30" t="s">
        <v>1457</v>
      </c>
      <c r="I74" s="30" t="s">
        <v>1020</v>
      </c>
      <c r="K74" s="44">
        <f>SUM(K75:K78)</f>
        <v>2124000</v>
      </c>
      <c r="L74" s="44">
        <f t="shared" ref="L74:N74" si="73">SUM(L75:L78)</f>
        <v>5748719.9999999981</v>
      </c>
      <c r="M74" s="44">
        <f t="shared" si="73"/>
        <v>713588745.60000002</v>
      </c>
      <c r="N74" s="44">
        <f t="shared" si="73"/>
        <v>719337465.60000002</v>
      </c>
      <c r="O74" s="44" cm="1">
        <f t="array" ref="O74">SUM(O75+O75:O78)</f>
        <v>-717213465.60000002</v>
      </c>
      <c r="Q74" s="44">
        <f t="shared" ref="Q74" si="74">SUM(Q75:Q78)</f>
        <v>0</v>
      </c>
      <c r="R74" s="44">
        <f t="shared" ref="R74" si="75">SUM(R75:R78)</f>
        <v>0</v>
      </c>
      <c r="S74" s="44">
        <f t="shared" ref="S74" si="76">SUM(S75:S78)</f>
        <v>0</v>
      </c>
      <c r="T74" s="44">
        <f t="shared" ref="T74" si="77">SUM(T75:T78)</f>
        <v>0</v>
      </c>
      <c r="U74" s="44" cm="1">
        <f t="array" ref="U74">SUM(U75+U75:U78)</f>
        <v>0</v>
      </c>
      <c r="V74" s="44" cm="1">
        <f t="array" ref="V74">SUM(V75+V75:V78)</f>
        <v>0</v>
      </c>
      <c r="W74" s="44">
        <f t="shared" ref="W74" si="78">SUM(W75:W78)</f>
        <v>0</v>
      </c>
      <c r="X74" s="44">
        <f t="shared" ref="X74" si="79">SUM(X75:X78)</f>
        <v>0</v>
      </c>
      <c r="Y74" s="44">
        <f t="shared" ref="Y74" si="80">SUM(Y75:Y78)</f>
        <v>0</v>
      </c>
      <c r="Z74" s="44">
        <f t="shared" ref="Z74" si="81">SUM(Z75:Z78)</f>
        <v>0</v>
      </c>
      <c r="AA74" s="44" cm="1">
        <f t="array" ref="AA74">SUM(AA75+AA75:AA78)</f>
        <v>0</v>
      </c>
      <c r="AB74" s="44" cm="1">
        <f t="array" ref="AB74">SUM(AB75+AB75:AB78)</f>
        <v>0</v>
      </c>
      <c r="AC74" s="44">
        <f t="shared" ref="AC74" si="82">SUM(AC75:AC78)</f>
        <v>2124000</v>
      </c>
      <c r="AD74" s="44">
        <f t="shared" ref="AD74" si="83">SUM(AD75:AD78)</f>
        <v>5748719.9999999981</v>
      </c>
      <c r="AE74" s="44">
        <f t="shared" ref="AE74" si="84">SUM(AE75:AE78)</f>
        <v>713588745.60000002</v>
      </c>
      <c r="AF74" s="44">
        <f t="shared" ref="AF74" si="85">SUM(AF75:AF78)</f>
        <v>719337465.60000002</v>
      </c>
      <c r="AG74" s="44">
        <f t="shared" ref="AG74" si="86">SUM(AG75:AG78)</f>
        <v>-717213465.60000002</v>
      </c>
      <c r="AH74" s="44" cm="1">
        <f t="array" ref="AH74">SUM(AH75+AH75:AH78)</f>
        <v>0</v>
      </c>
      <c r="AI74" s="44" cm="1">
        <f t="array" ref="AI74">SUM(AI75+AI75:AI78)</f>
        <v>0</v>
      </c>
    </row>
    <row r="75" spans="2:35" x14ac:dyDescent="0.25">
      <c r="B75" s="20" t="s">
        <v>1244</v>
      </c>
      <c r="C75" s="20" t="s">
        <v>1245</v>
      </c>
      <c r="D75" s="1">
        <f t="shared" si="58"/>
        <v>71</v>
      </c>
      <c r="E75" s="1">
        <v>4</v>
      </c>
      <c r="F75" s="20" t="s">
        <v>1458</v>
      </c>
      <c r="G75" s="23" t="s">
        <v>1459</v>
      </c>
      <c r="H75" s="23" t="s">
        <v>1460</v>
      </c>
      <c r="I75" s="22" t="s">
        <v>1461</v>
      </c>
      <c r="K75" s="35">
        <f t="shared" si="62"/>
        <v>0</v>
      </c>
      <c r="L75" s="35">
        <f t="shared" si="63"/>
        <v>0</v>
      </c>
      <c r="M75" s="35">
        <f t="shared" si="64"/>
        <v>0</v>
      </c>
      <c r="N75" s="34">
        <f t="shared" si="65"/>
        <v>0</v>
      </c>
      <c r="O75" s="36">
        <f t="shared" si="66"/>
        <v>0</v>
      </c>
      <c r="Q75" s="35">
        <f>SUMIF(Budgeted_01jun!U:U,'SAP Working'!G75,Budgeted_01jun!R:R)</f>
        <v>0</v>
      </c>
      <c r="R75" s="34">
        <f>SUMIF('Actual_30 jun'!I:I,'SAP Working'!G75,'Actual_30 jun'!K:K)</f>
        <v>0</v>
      </c>
      <c r="S75" s="34">
        <f>SUMIF('Commited_30 Jun'!H:H,'SAP Working'!G75,'Commited_30 Jun'!I:I)</f>
        <v>0</v>
      </c>
      <c r="T75" s="34">
        <f t="shared" si="67"/>
        <v>0</v>
      </c>
      <c r="U75" s="36">
        <f t="shared" si="68"/>
        <v>0</v>
      </c>
      <c r="W75" s="35">
        <f>SUMIF(Budgeted_01jun!$U:$U,H75,Budgeted_01jun!$R:$R)</f>
        <v>0</v>
      </c>
      <c r="X75" s="34">
        <f>SUMIF('Actual_30 jun'!$I:$I,'SAP Working'!H75,'Actual_30 jun'!$K:$K)</f>
        <v>0</v>
      </c>
      <c r="Y75" s="34">
        <f>SUMIF('Commited_30 Jun'!$H:$H,'SAP Working'!H75,'Commited_30 Jun'!$I:$I)</f>
        <v>0</v>
      </c>
      <c r="Z75" s="34">
        <f t="shared" si="69"/>
        <v>0</v>
      </c>
      <c r="AA75" s="36">
        <f t="shared" si="70"/>
        <v>0</v>
      </c>
      <c r="AC75" s="35">
        <f>SUMIF(Budgeted_01jun!$U:$U,'SAP Working'!I75,Budgeted_01jun!$R:$R)</f>
        <v>0</v>
      </c>
      <c r="AD75" s="34">
        <f>SUMIF('Actual_30 jun'!$I:$I,'SAP Working'!I75,'Actual_30 jun'!$K:$K)</f>
        <v>0</v>
      </c>
      <c r="AE75" s="34">
        <f>SUMIF('Commited_30 Jun'!$H:$H,'SAP Working'!I75,'Commited_30 Jun'!$I:$I)</f>
        <v>0</v>
      </c>
      <c r="AF75" s="34">
        <f t="shared" si="71"/>
        <v>0</v>
      </c>
      <c r="AG75" s="36">
        <f t="shared" si="72"/>
        <v>0</v>
      </c>
    </row>
    <row r="76" spans="2:35" x14ac:dyDescent="0.25">
      <c r="B76" s="20" t="s">
        <v>1244</v>
      </c>
      <c r="C76" s="20" t="s">
        <v>1245</v>
      </c>
      <c r="D76" s="1">
        <f t="shared" si="58"/>
        <v>72</v>
      </c>
      <c r="E76" s="1">
        <v>4</v>
      </c>
      <c r="F76" s="20" t="s">
        <v>1462</v>
      </c>
      <c r="G76" s="23" t="s">
        <v>1463</v>
      </c>
      <c r="H76" s="23" t="s">
        <v>1464</v>
      </c>
      <c r="I76" s="22" t="s">
        <v>1465</v>
      </c>
      <c r="K76" s="35">
        <f t="shared" si="62"/>
        <v>0</v>
      </c>
      <c r="L76" s="35">
        <f t="shared" si="63"/>
        <v>0</v>
      </c>
      <c r="M76" s="35">
        <f t="shared" si="64"/>
        <v>0</v>
      </c>
      <c r="N76" s="34">
        <f t="shared" si="65"/>
        <v>0</v>
      </c>
      <c r="O76" s="36">
        <f t="shared" si="66"/>
        <v>0</v>
      </c>
      <c r="Q76" s="35">
        <f>SUMIF(Budgeted_01jun!U:U,'SAP Working'!G76,Budgeted_01jun!R:R)</f>
        <v>0</v>
      </c>
      <c r="R76" s="34">
        <f>SUMIF('Actual_30 jun'!I:I,'SAP Working'!G76,'Actual_30 jun'!K:K)</f>
        <v>0</v>
      </c>
      <c r="S76" s="34">
        <f>SUMIF('Commited_30 Jun'!H:H,'SAP Working'!G76,'Commited_30 Jun'!I:I)</f>
        <v>0</v>
      </c>
      <c r="T76" s="34">
        <f t="shared" si="67"/>
        <v>0</v>
      </c>
      <c r="U76" s="36">
        <f t="shared" si="68"/>
        <v>0</v>
      </c>
      <c r="W76" s="35">
        <f>SUMIF(Budgeted_01jun!$U:$U,H76,Budgeted_01jun!$R:$R)</f>
        <v>0</v>
      </c>
      <c r="X76" s="34">
        <f>SUMIF('Actual_30 jun'!$I:$I,'SAP Working'!H76,'Actual_30 jun'!$K:$K)</f>
        <v>0</v>
      </c>
      <c r="Y76" s="34">
        <f>SUMIF('Commited_30 Jun'!$H:$H,'SAP Working'!H76,'Commited_30 Jun'!$I:$I)</f>
        <v>0</v>
      </c>
      <c r="Z76" s="34">
        <f t="shared" si="69"/>
        <v>0</v>
      </c>
      <c r="AA76" s="36">
        <f t="shared" si="70"/>
        <v>0</v>
      </c>
      <c r="AC76" s="35">
        <f>SUMIF(Budgeted_01jun!$U:$U,'SAP Working'!I76,Budgeted_01jun!$R:$R)</f>
        <v>0</v>
      </c>
      <c r="AD76" s="34">
        <f>SUMIF('Actual_30 jun'!$I:$I,'SAP Working'!I76,'Actual_30 jun'!$K:$K)</f>
        <v>0</v>
      </c>
      <c r="AE76" s="34">
        <f>SUMIF('Commited_30 Jun'!$H:$H,'SAP Working'!I76,'Commited_30 Jun'!$I:$I)</f>
        <v>0</v>
      </c>
      <c r="AF76" s="34">
        <f t="shared" si="71"/>
        <v>0</v>
      </c>
      <c r="AG76" s="36">
        <f t="shared" si="72"/>
        <v>0</v>
      </c>
    </row>
    <row r="77" spans="2:35" x14ac:dyDescent="0.25">
      <c r="B77" s="20" t="s">
        <v>1244</v>
      </c>
      <c r="C77" s="20" t="s">
        <v>1245</v>
      </c>
      <c r="D77" s="1">
        <f t="shared" si="58"/>
        <v>73</v>
      </c>
      <c r="E77" s="1">
        <v>4</v>
      </c>
      <c r="F77" s="20" t="s">
        <v>1466</v>
      </c>
      <c r="G77" s="23" t="s">
        <v>1467</v>
      </c>
      <c r="H77" s="23" t="s">
        <v>1468</v>
      </c>
      <c r="I77" s="22" t="s">
        <v>786</v>
      </c>
      <c r="K77" s="35">
        <f t="shared" si="62"/>
        <v>2124000</v>
      </c>
      <c r="L77" s="35">
        <f t="shared" si="63"/>
        <v>5748719.9999999981</v>
      </c>
      <c r="M77" s="35">
        <f t="shared" si="64"/>
        <v>713588745.60000002</v>
      </c>
      <c r="N77" s="34">
        <f t="shared" si="65"/>
        <v>719337465.60000002</v>
      </c>
      <c r="O77" s="36">
        <f t="shared" si="66"/>
        <v>-717213465.60000002</v>
      </c>
      <c r="Q77" s="35">
        <f>SUMIF(Budgeted_01jun!U:U,'SAP Working'!G77,Budgeted_01jun!R:R)</f>
        <v>0</v>
      </c>
      <c r="R77" s="34">
        <f>SUMIF('Actual_30 jun'!I:I,'SAP Working'!G77,'Actual_30 jun'!K:K)</f>
        <v>0</v>
      </c>
      <c r="S77" s="34">
        <f>SUMIF('Commited_30 Jun'!H:H,'SAP Working'!G77,'Commited_30 Jun'!I:I)</f>
        <v>0</v>
      </c>
      <c r="T77" s="34">
        <f t="shared" si="67"/>
        <v>0</v>
      </c>
      <c r="U77" s="36">
        <f t="shared" si="68"/>
        <v>0</v>
      </c>
      <c r="W77" s="35">
        <f>SUMIF(Budgeted_01jun!$U:$U,H77,Budgeted_01jun!$R:$R)</f>
        <v>0</v>
      </c>
      <c r="X77" s="34">
        <f>SUMIF('Actual_30 jun'!$I:$I,'SAP Working'!H77,'Actual_30 jun'!$K:$K)</f>
        <v>0</v>
      </c>
      <c r="Y77" s="34">
        <f>SUMIF('Commited_30 Jun'!$H:$H,'SAP Working'!H77,'Commited_30 Jun'!$I:$I)</f>
        <v>0</v>
      </c>
      <c r="Z77" s="34">
        <f t="shared" si="69"/>
        <v>0</v>
      </c>
      <c r="AA77" s="36">
        <f t="shared" si="70"/>
        <v>0</v>
      </c>
      <c r="AC77" s="35">
        <f>SUMIF(Budgeted_01jun!$U:$U,'SAP Working'!I77,Budgeted_01jun!$R:$R)</f>
        <v>2124000</v>
      </c>
      <c r="AD77" s="34">
        <f>SUMIF('Actual_30 jun'!$I:$I,'SAP Working'!I77,'Actual_30 jun'!$K:$K)</f>
        <v>5748719.9999999981</v>
      </c>
      <c r="AE77" s="34">
        <f>SUMIF('Commited_30 Jun'!$H:$H,'SAP Working'!I77,'Commited_30 Jun'!$I:$I)</f>
        <v>713588745.60000002</v>
      </c>
      <c r="AF77" s="34">
        <f t="shared" si="71"/>
        <v>719337465.60000002</v>
      </c>
      <c r="AG77" s="36">
        <f t="shared" si="72"/>
        <v>-717213465.60000002</v>
      </c>
    </row>
    <row r="78" spans="2:35" x14ac:dyDescent="0.25">
      <c r="B78" s="20" t="s">
        <v>1244</v>
      </c>
      <c r="C78" s="20" t="s">
        <v>1245</v>
      </c>
      <c r="D78" s="1">
        <f t="shared" si="58"/>
        <v>74</v>
      </c>
      <c r="E78" s="1">
        <v>4</v>
      </c>
      <c r="F78" s="20" t="s">
        <v>1469</v>
      </c>
      <c r="G78" s="23" t="s">
        <v>1470</v>
      </c>
      <c r="H78" s="23" t="s">
        <v>1471</v>
      </c>
      <c r="I78" s="22" t="s">
        <v>1472</v>
      </c>
      <c r="K78" s="35">
        <f t="shared" si="62"/>
        <v>0</v>
      </c>
      <c r="L78" s="35">
        <f t="shared" si="63"/>
        <v>0</v>
      </c>
      <c r="M78" s="35">
        <f t="shared" si="64"/>
        <v>0</v>
      </c>
      <c r="N78" s="34">
        <f t="shared" si="65"/>
        <v>0</v>
      </c>
      <c r="O78" s="36">
        <f t="shared" si="66"/>
        <v>0</v>
      </c>
      <c r="Q78" s="35">
        <f>SUMIF(Budgeted_01jun!U:U,'SAP Working'!G78,Budgeted_01jun!R:R)</f>
        <v>0</v>
      </c>
      <c r="R78" s="34">
        <f>SUMIF('Actual_30 jun'!I:I,'SAP Working'!G78,'Actual_30 jun'!K:K)</f>
        <v>0</v>
      </c>
      <c r="S78" s="34">
        <f>SUMIF('Commited_30 Jun'!H:H,'SAP Working'!G78,'Commited_30 Jun'!I:I)</f>
        <v>0</v>
      </c>
      <c r="T78" s="34">
        <f t="shared" si="67"/>
        <v>0</v>
      </c>
      <c r="U78" s="36">
        <f t="shared" si="68"/>
        <v>0</v>
      </c>
      <c r="W78" s="35">
        <f>SUMIF(Budgeted_01jun!$U:$U,H78,Budgeted_01jun!$R:$R)</f>
        <v>0</v>
      </c>
      <c r="X78" s="34">
        <f>SUMIF('Actual_30 jun'!$I:$I,'SAP Working'!H78,'Actual_30 jun'!$K:$K)</f>
        <v>0</v>
      </c>
      <c r="Y78" s="34">
        <f>SUMIF('Commited_30 Jun'!$H:$H,'SAP Working'!H78,'Commited_30 Jun'!$I:$I)</f>
        <v>0</v>
      </c>
      <c r="Z78" s="34">
        <f t="shared" si="69"/>
        <v>0</v>
      </c>
      <c r="AA78" s="36">
        <f t="shared" si="70"/>
        <v>0</v>
      </c>
      <c r="AC78" s="35">
        <f>SUMIF(Budgeted_01jun!$U:$U,'SAP Working'!I78,Budgeted_01jun!$R:$R)</f>
        <v>0</v>
      </c>
      <c r="AD78" s="34">
        <f>SUMIF('Actual_30 jun'!$I:$I,'SAP Working'!I78,'Actual_30 jun'!$K:$K)</f>
        <v>0</v>
      </c>
      <c r="AE78" s="34">
        <f>SUMIF('Commited_30 Jun'!$H:$H,'SAP Working'!I78,'Commited_30 Jun'!$I:$I)</f>
        <v>0</v>
      </c>
      <c r="AF78" s="34">
        <f t="shared" si="71"/>
        <v>0</v>
      </c>
      <c r="AG78" s="36">
        <f t="shared" si="72"/>
        <v>0</v>
      </c>
    </row>
    <row r="79" spans="2:35" x14ac:dyDescent="0.25">
      <c r="B79" s="20" t="s">
        <v>1244</v>
      </c>
      <c r="C79" s="20" t="s">
        <v>1245</v>
      </c>
      <c r="D79" s="1">
        <f t="shared" si="58"/>
        <v>75</v>
      </c>
      <c r="E79" s="1">
        <v>3</v>
      </c>
      <c r="F79" s="21" t="s">
        <v>1473</v>
      </c>
      <c r="G79" s="23" t="s">
        <v>1474</v>
      </c>
      <c r="H79" s="23" t="s">
        <v>1475</v>
      </c>
      <c r="I79" s="22" t="s">
        <v>1476</v>
      </c>
      <c r="K79" s="35">
        <f t="shared" si="62"/>
        <v>0</v>
      </c>
      <c r="L79" s="35">
        <f t="shared" si="63"/>
        <v>0</v>
      </c>
      <c r="M79" s="35">
        <f t="shared" si="64"/>
        <v>0</v>
      </c>
      <c r="N79" s="34">
        <f t="shared" si="65"/>
        <v>0</v>
      </c>
      <c r="O79" s="36">
        <f t="shared" si="66"/>
        <v>0</v>
      </c>
      <c r="Q79" s="35">
        <f>SUMIF(Budgeted_01jun!U:U,'SAP Working'!G79,Budgeted_01jun!R:R)</f>
        <v>0</v>
      </c>
      <c r="R79" s="34">
        <f>SUMIF('Actual_30 jun'!I:I,'SAP Working'!G79,'Actual_30 jun'!K:K)</f>
        <v>0</v>
      </c>
      <c r="S79" s="34">
        <f>SUMIF('Commited_30 Jun'!H:H,'SAP Working'!G79,'Commited_30 Jun'!I:I)</f>
        <v>0</v>
      </c>
      <c r="T79" s="34">
        <f t="shared" si="67"/>
        <v>0</v>
      </c>
      <c r="U79" s="36">
        <f t="shared" si="68"/>
        <v>0</v>
      </c>
      <c r="W79" s="35">
        <f>SUMIF(Budgeted_01jun!$U:$U,H79,Budgeted_01jun!$R:$R)</f>
        <v>0</v>
      </c>
      <c r="X79" s="34">
        <f>SUMIF('Actual_30 jun'!$I:$I,'SAP Working'!H79,'Actual_30 jun'!$K:$K)</f>
        <v>0</v>
      </c>
      <c r="Y79" s="34">
        <f>SUMIF('Commited_30 Jun'!$H:$H,'SAP Working'!H79,'Commited_30 Jun'!$I:$I)</f>
        <v>0</v>
      </c>
      <c r="Z79" s="34">
        <f t="shared" si="69"/>
        <v>0</v>
      </c>
      <c r="AA79" s="36">
        <f t="shared" si="70"/>
        <v>0</v>
      </c>
      <c r="AC79" s="35">
        <f>SUMIF(Budgeted_01jun!$U:$U,'SAP Working'!I79,Budgeted_01jun!$R:$R)</f>
        <v>0</v>
      </c>
      <c r="AD79" s="34">
        <f>SUMIF('Actual_30 jun'!$I:$I,'SAP Working'!I79,'Actual_30 jun'!$K:$K)</f>
        <v>0</v>
      </c>
      <c r="AE79" s="34">
        <f>SUMIF('Commited_30 Jun'!$H:$H,'SAP Working'!I79,'Commited_30 Jun'!$I:$I)</f>
        <v>0</v>
      </c>
      <c r="AF79" s="34">
        <f t="shared" si="71"/>
        <v>0</v>
      </c>
      <c r="AG79" s="36">
        <f t="shared" si="72"/>
        <v>0</v>
      </c>
    </row>
    <row r="80" spans="2:35" x14ac:dyDescent="0.25">
      <c r="B80" s="20" t="s">
        <v>1244</v>
      </c>
      <c r="C80" s="20" t="s">
        <v>1245</v>
      </c>
      <c r="D80" s="1">
        <f t="shared" si="58"/>
        <v>76</v>
      </c>
      <c r="E80" s="1">
        <v>3</v>
      </c>
      <c r="F80" s="21" t="s">
        <v>1477</v>
      </c>
      <c r="G80" s="21" t="s">
        <v>1478</v>
      </c>
      <c r="H80" s="21" t="s">
        <v>1479</v>
      </c>
      <c r="I80" s="22" t="s">
        <v>1480</v>
      </c>
      <c r="K80" s="35">
        <f t="shared" si="62"/>
        <v>98957.790000000008</v>
      </c>
      <c r="L80" s="35">
        <f t="shared" si="63"/>
        <v>6400500</v>
      </c>
      <c r="M80" s="35">
        <f t="shared" si="64"/>
        <v>0</v>
      </c>
      <c r="N80" s="34">
        <f t="shared" si="65"/>
        <v>6400500</v>
      </c>
      <c r="O80" s="36">
        <f t="shared" si="66"/>
        <v>-6301542.21</v>
      </c>
      <c r="Q80" s="35">
        <f>SUMIF(Budgeted_01jun!U:U,'SAP Working'!G80,Budgeted_01jun!R:R)</f>
        <v>0</v>
      </c>
      <c r="R80" s="34">
        <f>SUMIF('Actual_30 jun'!I:I,'SAP Working'!G80,'Actual_30 jun'!K:K)</f>
        <v>0</v>
      </c>
      <c r="S80" s="34">
        <f>SUMIF('Commited_30 Jun'!H:H,'SAP Working'!G80,'Commited_30 Jun'!I:I)</f>
        <v>0</v>
      </c>
      <c r="T80" s="34">
        <f t="shared" si="67"/>
        <v>0</v>
      </c>
      <c r="U80" s="36">
        <f t="shared" si="68"/>
        <v>0</v>
      </c>
      <c r="W80" s="35">
        <f>SUMIF(Budgeted_01jun!$U:$U,H80,Budgeted_01jun!$R:$R)</f>
        <v>0</v>
      </c>
      <c r="X80" s="34">
        <f>SUMIF('Actual_30 jun'!$I:$I,'SAP Working'!H80,'Actual_30 jun'!$K:$K)</f>
        <v>0</v>
      </c>
      <c r="Y80" s="34">
        <f>SUMIF('Commited_30 Jun'!$H:$H,'SAP Working'!H80,'Commited_30 Jun'!$I:$I)</f>
        <v>0</v>
      </c>
      <c r="Z80" s="34">
        <f t="shared" si="69"/>
        <v>0</v>
      </c>
      <c r="AA80" s="36">
        <f t="shared" si="70"/>
        <v>0</v>
      </c>
      <c r="AC80" s="35">
        <f>SUMIF(Budgeted_01jun!$U:$U,'SAP Working'!I80,Budgeted_01jun!$R:$R)</f>
        <v>98957.790000000008</v>
      </c>
      <c r="AD80" s="34">
        <f>SUMIF('Actual_30 jun'!$I:$I,'SAP Working'!I80,'Actual_30 jun'!$K:$K)</f>
        <v>6400500</v>
      </c>
      <c r="AE80" s="34">
        <f>SUMIF('Commited_30 Jun'!$H:$H,'SAP Working'!I80,'Commited_30 Jun'!$I:$I)</f>
        <v>0</v>
      </c>
      <c r="AF80" s="34">
        <f t="shared" si="71"/>
        <v>6400500</v>
      </c>
      <c r="AG80" s="36">
        <f t="shared" si="72"/>
        <v>-6301542.21</v>
      </c>
    </row>
    <row r="81" spans="1:36" x14ac:dyDescent="0.25">
      <c r="A81">
        <v>13</v>
      </c>
      <c r="B81" s="15" t="s">
        <v>1244</v>
      </c>
      <c r="C81" s="15" t="s">
        <v>1245</v>
      </c>
      <c r="D81" s="16">
        <f t="shared" si="58"/>
        <v>77</v>
      </c>
      <c r="E81" s="16">
        <v>2</v>
      </c>
      <c r="F81" s="15" t="s">
        <v>929</v>
      </c>
      <c r="G81" s="18" t="s">
        <v>953</v>
      </c>
      <c r="H81" s="18" t="s">
        <v>1481</v>
      </c>
      <c r="I81" s="18" t="s">
        <v>1482</v>
      </c>
      <c r="K81" s="41">
        <f>SUM(K82:K88)</f>
        <v>0</v>
      </c>
      <c r="L81" s="41">
        <f t="shared" ref="L81:O81" si="87">SUM(L82:L88)</f>
        <v>0</v>
      </c>
      <c r="M81" s="41">
        <f t="shared" si="87"/>
        <v>0</v>
      </c>
      <c r="N81" s="41">
        <f t="shared" si="87"/>
        <v>0</v>
      </c>
      <c r="O81" s="41">
        <f t="shared" si="87"/>
        <v>0</v>
      </c>
      <c r="P81" s="41">
        <f t="shared" ref="P81:AJ81" si="88">SUM(P82:P88)</f>
        <v>0</v>
      </c>
      <c r="Q81" s="41">
        <f>SUM(Q82:Q88)</f>
        <v>20043390</v>
      </c>
      <c r="R81" s="41">
        <f t="shared" ref="R81:S81" si="89">SUM(R82:R88)</f>
        <v>5022989.9999999991</v>
      </c>
      <c r="S81" s="41">
        <f t="shared" si="89"/>
        <v>0</v>
      </c>
      <c r="T81" s="41">
        <f>SUM(T82:T88)</f>
        <v>5022989.9999999991</v>
      </c>
      <c r="U81" s="41">
        <f t="shared" ref="U81" si="90">SUM(U82:U88)</f>
        <v>15020400</v>
      </c>
      <c r="V81" s="41">
        <f t="shared" si="88"/>
        <v>0</v>
      </c>
      <c r="W81" s="41">
        <f t="shared" si="88"/>
        <v>0</v>
      </c>
      <c r="X81" s="41">
        <f t="shared" si="88"/>
        <v>0</v>
      </c>
      <c r="Y81" s="41">
        <f t="shared" si="88"/>
        <v>0</v>
      </c>
      <c r="Z81" s="41">
        <f t="shared" si="88"/>
        <v>0</v>
      </c>
      <c r="AA81" s="41">
        <f t="shared" si="88"/>
        <v>0</v>
      </c>
      <c r="AB81" s="41"/>
      <c r="AC81" s="41">
        <f t="shared" si="88"/>
        <v>0</v>
      </c>
      <c r="AD81" s="41">
        <f t="shared" si="88"/>
        <v>0</v>
      </c>
      <c r="AE81" s="41">
        <f t="shared" si="88"/>
        <v>0</v>
      </c>
      <c r="AF81" s="41">
        <f t="shared" si="88"/>
        <v>0</v>
      </c>
      <c r="AG81" s="41">
        <f t="shared" si="88"/>
        <v>0</v>
      </c>
      <c r="AH81" s="41">
        <f t="shared" si="88"/>
        <v>0</v>
      </c>
      <c r="AI81" s="41">
        <f t="shared" si="88"/>
        <v>0</v>
      </c>
      <c r="AJ81" s="41">
        <f t="shared" si="88"/>
        <v>0</v>
      </c>
    </row>
    <row r="82" spans="1:36" x14ac:dyDescent="0.25">
      <c r="B82" s="20" t="s">
        <v>1244</v>
      </c>
      <c r="C82" s="20" t="s">
        <v>1245</v>
      </c>
      <c r="D82" s="1">
        <f t="shared" si="58"/>
        <v>78</v>
      </c>
      <c r="E82" s="1">
        <v>3</v>
      </c>
      <c r="F82" s="20" t="s">
        <v>1483</v>
      </c>
      <c r="G82" s="23" t="s">
        <v>1484</v>
      </c>
      <c r="H82" s="23" t="s">
        <v>1485</v>
      </c>
      <c r="I82" s="22" t="s">
        <v>1486</v>
      </c>
      <c r="K82" s="35">
        <f>AC82</f>
        <v>0</v>
      </c>
      <c r="L82" s="35">
        <f t="shared" ref="L82:M88" si="91">AD82</f>
        <v>0</v>
      </c>
      <c r="M82" s="35">
        <f t="shared" si="91"/>
        <v>0</v>
      </c>
      <c r="N82" s="34">
        <f t="shared" si="65"/>
        <v>0</v>
      </c>
      <c r="O82" s="36">
        <f t="shared" si="66"/>
        <v>0</v>
      </c>
      <c r="Q82" s="35">
        <f>SUMIF(Budgeted_01jun!U:U,'SAP Working'!G82,Budgeted_01jun!R:R)</f>
        <v>0</v>
      </c>
      <c r="R82" s="34">
        <f>SUMIF('Actual_30 jun'!I:I,'SAP Working'!G82,'Actual_30 jun'!K:K)</f>
        <v>0</v>
      </c>
      <c r="S82" s="34">
        <f>SUMIF('Commited_30 Jun'!H:H,'SAP Working'!G82,'Commited_30 Jun'!I:I)</f>
        <v>0</v>
      </c>
      <c r="T82" s="34">
        <f t="shared" si="67"/>
        <v>0</v>
      </c>
      <c r="U82" s="36">
        <f t="shared" si="68"/>
        <v>0</v>
      </c>
      <c r="W82" s="35">
        <f>SUMIF(Budgeted_01jun!$U:$U,H82,Budgeted_01jun!$R:$R)</f>
        <v>0</v>
      </c>
      <c r="X82" s="34">
        <f>SUMIF('Actual_30 jun'!$I:$I,'SAP Working'!H82,'Actual_30 jun'!$K:$K)</f>
        <v>0</v>
      </c>
      <c r="Y82" s="34">
        <f>SUMIF('Commited_30 Jun'!$H:$H,'SAP Working'!H82,'Commited_30 Jun'!$I:$I)</f>
        <v>0</v>
      </c>
      <c r="Z82" s="34">
        <f t="shared" si="69"/>
        <v>0</v>
      </c>
      <c r="AA82" s="36">
        <f t="shared" si="70"/>
        <v>0</v>
      </c>
      <c r="AC82" s="35">
        <f>SUMIF(Budgeted_01jun!$U:$U,'SAP Working'!I82,Budgeted_01jun!$R:$R)</f>
        <v>0</v>
      </c>
      <c r="AD82" s="34">
        <f>SUMIF('Actual_30 jun'!$I:$I,'SAP Working'!I82,'Actual_30 jun'!$K:$K)</f>
        <v>0</v>
      </c>
      <c r="AE82" s="34">
        <f>SUMIF('Commited_30 Jun'!$H:$H,'SAP Working'!I82,'Commited_30 Jun'!$I:$I)</f>
        <v>0</v>
      </c>
      <c r="AF82" s="34">
        <f t="shared" si="71"/>
        <v>0</v>
      </c>
      <c r="AG82" s="36">
        <f t="shared" si="72"/>
        <v>0</v>
      </c>
    </row>
    <row r="83" spans="1:36" x14ac:dyDescent="0.25">
      <c r="B83" s="20" t="s">
        <v>1244</v>
      </c>
      <c r="C83" s="20" t="s">
        <v>1245</v>
      </c>
      <c r="D83" s="1">
        <f t="shared" si="58"/>
        <v>79</v>
      </c>
      <c r="E83" s="1">
        <v>3</v>
      </c>
      <c r="F83" s="20" t="s">
        <v>839</v>
      </c>
      <c r="G83" s="23" t="s">
        <v>871</v>
      </c>
      <c r="H83" s="23" t="s">
        <v>1487</v>
      </c>
      <c r="I83" s="22" t="s">
        <v>1488</v>
      </c>
      <c r="K83" s="35">
        <f t="shared" ref="K83:K88" si="92">AC83</f>
        <v>0</v>
      </c>
      <c r="L83" s="35">
        <f t="shared" si="91"/>
        <v>0</v>
      </c>
      <c r="M83" s="35">
        <f t="shared" si="91"/>
        <v>0</v>
      </c>
      <c r="N83" s="34">
        <f t="shared" si="65"/>
        <v>0</v>
      </c>
      <c r="O83" s="36">
        <f t="shared" si="66"/>
        <v>0</v>
      </c>
      <c r="Q83" s="35">
        <f>SUMIF(Budgeted_01jun!U:U,'SAP Working'!G83,Budgeted_01jun!R:R)</f>
        <v>20043390</v>
      </c>
      <c r="R83" s="34">
        <f>SUMIF('Actual_30 jun'!I:I,'SAP Working'!G83,'Actual_30 jun'!K:K)</f>
        <v>4642530</v>
      </c>
      <c r="S83" s="34">
        <f>SUMIF('Commited_30 Jun'!H:H,'SAP Working'!G83,'Commited_30 Jun'!I:I)</f>
        <v>0</v>
      </c>
      <c r="T83" s="34">
        <f t="shared" si="67"/>
        <v>4642530</v>
      </c>
      <c r="U83" s="36">
        <f t="shared" si="68"/>
        <v>15400860</v>
      </c>
      <c r="W83" s="35">
        <f>SUMIF(Budgeted_01jun!$U:$U,H83,Budgeted_01jun!$R:$R)</f>
        <v>0</v>
      </c>
      <c r="X83" s="34">
        <f>SUMIF('Actual_30 jun'!$I:$I,'SAP Working'!H83,'Actual_30 jun'!$K:$K)</f>
        <v>0</v>
      </c>
      <c r="Y83" s="34">
        <f>SUMIF('Commited_30 Jun'!$H:$H,'SAP Working'!H83,'Commited_30 Jun'!$I:$I)</f>
        <v>0</v>
      </c>
      <c r="Z83" s="34">
        <f t="shared" si="69"/>
        <v>0</v>
      </c>
      <c r="AA83" s="36">
        <f t="shared" si="70"/>
        <v>0</v>
      </c>
      <c r="AC83" s="35">
        <f>SUMIF(Budgeted_01jun!$U:$U,'SAP Working'!I83,Budgeted_01jun!$R:$R)</f>
        <v>0</v>
      </c>
      <c r="AD83" s="34">
        <f>SUMIF('Actual_30 jun'!$I:$I,'SAP Working'!I83,'Actual_30 jun'!$K:$K)</f>
        <v>0</v>
      </c>
      <c r="AE83" s="34">
        <f>SUMIF('Commited_30 Jun'!$H:$H,'SAP Working'!I83,'Commited_30 Jun'!$I:$I)</f>
        <v>0</v>
      </c>
      <c r="AF83" s="34">
        <f t="shared" si="71"/>
        <v>0</v>
      </c>
      <c r="AG83" s="36">
        <f t="shared" si="72"/>
        <v>0</v>
      </c>
    </row>
    <row r="84" spans="1:36" x14ac:dyDescent="0.25">
      <c r="B84" s="20" t="s">
        <v>1244</v>
      </c>
      <c r="C84" s="20" t="s">
        <v>1245</v>
      </c>
      <c r="D84" s="1">
        <f t="shared" ref="D84:D91" si="93">D83+1</f>
        <v>80</v>
      </c>
      <c r="E84" s="1">
        <v>3</v>
      </c>
      <c r="F84" s="20" t="s">
        <v>863</v>
      </c>
      <c r="G84" s="23" t="s">
        <v>1489</v>
      </c>
      <c r="H84" s="23" t="s">
        <v>1490</v>
      </c>
      <c r="I84" s="22" t="s">
        <v>1491</v>
      </c>
      <c r="K84" s="35">
        <f t="shared" si="92"/>
        <v>0</v>
      </c>
      <c r="L84" s="35">
        <f t="shared" si="91"/>
        <v>0</v>
      </c>
      <c r="M84" s="35">
        <f t="shared" si="91"/>
        <v>0</v>
      </c>
      <c r="N84" s="34">
        <f t="shared" si="65"/>
        <v>0</v>
      </c>
      <c r="O84" s="36">
        <f t="shared" si="66"/>
        <v>0</v>
      </c>
      <c r="Q84" s="35">
        <f>SUMIF(Budgeted_01jun!U:U,'SAP Working'!G84,Budgeted_01jun!R:R)</f>
        <v>0</v>
      </c>
      <c r="R84" s="34">
        <f>SUMIF('Actual_30 jun'!I:I,'SAP Working'!G84,'Actual_30 jun'!K:K)</f>
        <v>0</v>
      </c>
      <c r="S84" s="34">
        <f>SUMIF('Commited_30 Jun'!H:H,'SAP Working'!G84,'Commited_30 Jun'!I:I)</f>
        <v>0</v>
      </c>
      <c r="T84" s="34">
        <f t="shared" si="67"/>
        <v>0</v>
      </c>
      <c r="U84" s="36">
        <f t="shared" si="68"/>
        <v>0</v>
      </c>
      <c r="W84" s="35">
        <f>SUMIF(Budgeted_01jun!$U:$U,H84,Budgeted_01jun!$R:$R)</f>
        <v>0</v>
      </c>
      <c r="X84" s="34">
        <f>SUMIF('Actual_30 jun'!$I:$I,'SAP Working'!H84,'Actual_30 jun'!$K:$K)</f>
        <v>0</v>
      </c>
      <c r="Y84" s="34">
        <f>SUMIF('Commited_30 Jun'!$H:$H,'SAP Working'!H84,'Commited_30 Jun'!$I:$I)</f>
        <v>0</v>
      </c>
      <c r="Z84" s="34">
        <f t="shared" si="69"/>
        <v>0</v>
      </c>
      <c r="AA84" s="36">
        <f t="shared" si="70"/>
        <v>0</v>
      </c>
      <c r="AC84" s="35">
        <f>SUMIF(Budgeted_01jun!$U:$U,'SAP Working'!I84,Budgeted_01jun!$R:$R)</f>
        <v>0</v>
      </c>
      <c r="AD84" s="34">
        <f>SUMIF('Actual_30 jun'!$I:$I,'SAP Working'!I84,'Actual_30 jun'!$K:$K)</f>
        <v>0</v>
      </c>
      <c r="AE84" s="34">
        <f>SUMIF('Commited_30 Jun'!$H:$H,'SAP Working'!I84,'Commited_30 Jun'!$I:$I)</f>
        <v>0</v>
      </c>
      <c r="AF84" s="34">
        <f t="shared" si="71"/>
        <v>0</v>
      </c>
      <c r="AG84" s="36">
        <f t="shared" si="72"/>
        <v>0</v>
      </c>
    </row>
    <row r="85" spans="1:36" x14ac:dyDescent="0.25">
      <c r="B85" s="20" t="s">
        <v>1244</v>
      </c>
      <c r="C85" s="20" t="s">
        <v>1245</v>
      </c>
      <c r="D85" s="1">
        <f t="shared" si="93"/>
        <v>81</v>
      </c>
      <c r="E85" s="1">
        <v>3</v>
      </c>
      <c r="F85" s="20" t="s">
        <v>868</v>
      </c>
      <c r="G85" s="23" t="s">
        <v>869</v>
      </c>
      <c r="H85" s="23" t="s">
        <v>1492</v>
      </c>
      <c r="I85" s="22" t="s">
        <v>1493</v>
      </c>
      <c r="K85" s="35">
        <f t="shared" si="92"/>
        <v>0</v>
      </c>
      <c r="L85" s="35">
        <f t="shared" si="91"/>
        <v>0</v>
      </c>
      <c r="M85" s="35">
        <f t="shared" si="91"/>
        <v>0</v>
      </c>
      <c r="N85" s="34">
        <f t="shared" si="65"/>
        <v>0</v>
      </c>
      <c r="O85" s="36">
        <f t="shared" si="66"/>
        <v>0</v>
      </c>
      <c r="Q85" s="35">
        <f>SUMIF(Budgeted_01jun!U:U,'SAP Working'!G85,Budgeted_01jun!R:R)</f>
        <v>0</v>
      </c>
      <c r="R85" s="34">
        <f>SUMIF('Actual_30 jun'!I:I,'SAP Working'!G85,'Actual_30 jun'!K:K)</f>
        <v>380459.99999999948</v>
      </c>
      <c r="S85" s="34">
        <f>SUMIF('Commited_30 Jun'!H:H,'SAP Working'!G85,'Commited_30 Jun'!I:I)</f>
        <v>0</v>
      </c>
      <c r="T85" s="34">
        <f t="shared" si="67"/>
        <v>380459.99999999948</v>
      </c>
      <c r="U85" s="36">
        <f t="shared" si="68"/>
        <v>-380459.99999999948</v>
      </c>
      <c r="W85" s="35">
        <f>SUMIF(Budgeted_01jun!$U:$U,H85,Budgeted_01jun!$R:$R)</f>
        <v>0</v>
      </c>
      <c r="X85" s="34">
        <f>SUMIF('Actual_30 jun'!$I:$I,'SAP Working'!H85,'Actual_30 jun'!$K:$K)</f>
        <v>0</v>
      </c>
      <c r="Y85" s="34">
        <f>SUMIF('Commited_30 Jun'!$H:$H,'SAP Working'!H85,'Commited_30 Jun'!$I:$I)</f>
        <v>0</v>
      </c>
      <c r="Z85" s="34">
        <f t="shared" si="69"/>
        <v>0</v>
      </c>
      <c r="AA85" s="36">
        <f t="shared" si="70"/>
        <v>0</v>
      </c>
      <c r="AC85" s="35">
        <f>SUMIF(Budgeted_01jun!$U:$U,'SAP Working'!I85,Budgeted_01jun!$R:$R)</f>
        <v>0</v>
      </c>
      <c r="AD85" s="34">
        <f>SUMIF('Actual_30 jun'!$I:$I,'SAP Working'!I85,'Actual_30 jun'!$K:$K)</f>
        <v>0</v>
      </c>
      <c r="AE85" s="34">
        <f>SUMIF('Commited_30 Jun'!$H:$H,'SAP Working'!I85,'Commited_30 Jun'!$I:$I)</f>
        <v>0</v>
      </c>
      <c r="AF85" s="34">
        <f t="shared" si="71"/>
        <v>0</v>
      </c>
      <c r="AG85" s="36">
        <f t="shared" si="72"/>
        <v>0</v>
      </c>
    </row>
    <row r="86" spans="1:36" x14ac:dyDescent="0.25">
      <c r="B86" s="20" t="s">
        <v>1244</v>
      </c>
      <c r="C86" s="20" t="s">
        <v>1245</v>
      </c>
      <c r="D86" s="1">
        <f t="shared" si="93"/>
        <v>82</v>
      </c>
      <c r="E86" s="1">
        <v>3</v>
      </c>
      <c r="F86" s="20" t="s">
        <v>1494</v>
      </c>
      <c r="G86" s="23" t="s">
        <v>1495</v>
      </c>
      <c r="H86" s="23" t="s">
        <v>1496</v>
      </c>
      <c r="I86" s="22" t="s">
        <v>1497</v>
      </c>
      <c r="K86" s="35">
        <f t="shared" si="92"/>
        <v>0</v>
      </c>
      <c r="L86" s="35">
        <f t="shared" si="91"/>
        <v>0</v>
      </c>
      <c r="M86" s="35">
        <f t="shared" si="91"/>
        <v>0</v>
      </c>
      <c r="N86" s="34">
        <f t="shared" si="65"/>
        <v>0</v>
      </c>
      <c r="O86" s="36">
        <f t="shared" si="66"/>
        <v>0</v>
      </c>
      <c r="Q86" s="35">
        <f>SUMIF(Budgeted_01jun!U:U,'SAP Working'!G86,Budgeted_01jun!R:R)</f>
        <v>0</v>
      </c>
      <c r="R86" s="34">
        <f>SUMIF('Actual_30 jun'!I:I,'SAP Working'!G86,'Actual_30 jun'!K:K)</f>
        <v>0</v>
      </c>
      <c r="S86" s="34">
        <f>SUMIF('Commited_30 Jun'!H:H,'SAP Working'!G86,'Commited_30 Jun'!I:I)</f>
        <v>0</v>
      </c>
      <c r="T86" s="34">
        <f t="shared" si="67"/>
        <v>0</v>
      </c>
      <c r="U86" s="36">
        <f t="shared" si="68"/>
        <v>0</v>
      </c>
      <c r="W86" s="35">
        <f>SUMIF(Budgeted_01jun!$U:$U,H86,Budgeted_01jun!$R:$R)</f>
        <v>0</v>
      </c>
      <c r="X86" s="34">
        <f>SUMIF('Actual_30 jun'!$I:$I,'SAP Working'!H86,'Actual_30 jun'!$K:$K)</f>
        <v>0</v>
      </c>
      <c r="Y86" s="34">
        <f>SUMIF('Commited_30 Jun'!$H:$H,'SAP Working'!H86,'Commited_30 Jun'!$I:$I)</f>
        <v>0</v>
      </c>
      <c r="Z86" s="34">
        <f t="shared" si="69"/>
        <v>0</v>
      </c>
      <c r="AA86" s="36">
        <f t="shared" si="70"/>
        <v>0</v>
      </c>
      <c r="AC86" s="35">
        <f>SUMIF(Budgeted_01jun!$U:$U,'SAP Working'!I86,Budgeted_01jun!$R:$R)</f>
        <v>0</v>
      </c>
      <c r="AD86" s="34">
        <f>SUMIF('Actual_30 jun'!$I:$I,'SAP Working'!I86,'Actual_30 jun'!$K:$K)</f>
        <v>0</v>
      </c>
      <c r="AE86" s="34">
        <f>SUMIF('Commited_30 Jun'!$H:$H,'SAP Working'!I86,'Commited_30 Jun'!$I:$I)</f>
        <v>0</v>
      </c>
      <c r="AF86" s="34">
        <f t="shared" si="71"/>
        <v>0</v>
      </c>
      <c r="AG86" s="36">
        <f t="shared" si="72"/>
        <v>0</v>
      </c>
    </row>
    <row r="87" spans="1:36" x14ac:dyDescent="0.25">
      <c r="B87" s="20" t="s">
        <v>1244</v>
      </c>
      <c r="C87" s="20" t="s">
        <v>1245</v>
      </c>
      <c r="D87" s="1">
        <f t="shared" si="93"/>
        <v>83</v>
      </c>
      <c r="E87" s="1">
        <v>3</v>
      </c>
      <c r="F87" s="20" t="s">
        <v>1498</v>
      </c>
      <c r="G87" s="23" t="s">
        <v>1499</v>
      </c>
      <c r="H87" s="23" t="s">
        <v>1500</v>
      </c>
      <c r="I87" s="22" t="s">
        <v>1501</v>
      </c>
      <c r="K87" s="35">
        <f t="shared" si="92"/>
        <v>0</v>
      </c>
      <c r="L87" s="35">
        <f t="shared" si="91"/>
        <v>0</v>
      </c>
      <c r="M87" s="35">
        <f t="shared" si="91"/>
        <v>0</v>
      </c>
      <c r="N87" s="34">
        <f t="shared" si="65"/>
        <v>0</v>
      </c>
      <c r="O87" s="36">
        <f t="shared" si="66"/>
        <v>0</v>
      </c>
      <c r="Q87" s="35">
        <f>SUMIF(Budgeted_01jun!U:U,'SAP Working'!G87,Budgeted_01jun!R:R)</f>
        <v>0</v>
      </c>
      <c r="R87" s="34">
        <f>SUMIF('Actual_30 jun'!I:I,'SAP Working'!G87,'Actual_30 jun'!K:K)</f>
        <v>0</v>
      </c>
      <c r="S87" s="34">
        <f>SUMIF('Commited_30 Jun'!H:H,'SAP Working'!G87,'Commited_30 Jun'!I:I)</f>
        <v>0</v>
      </c>
      <c r="T87" s="34">
        <f t="shared" si="67"/>
        <v>0</v>
      </c>
      <c r="U87" s="36">
        <f t="shared" si="68"/>
        <v>0</v>
      </c>
      <c r="W87" s="35">
        <f>SUMIF(Budgeted_01jun!$U:$U,H87,Budgeted_01jun!$R:$R)</f>
        <v>0</v>
      </c>
      <c r="X87" s="34">
        <f>SUMIF('Actual_30 jun'!$I:$I,'SAP Working'!H87,'Actual_30 jun'!$K:$K)</f>
        <v>0</v>
      </c>
      <c r="Y87" s="34">
        <f>SUMIF('Commited_30 Jun'!$H:$H,'SAP Working'!H87,'Commited_30 Jun'!$I:$I)</f>
        <v>0</v>
      </c>
      <c r="Z87" s="34">
        <f t="shared" si="69"/>
        <v>0</v>
      </c>
      <c r="AA87" s="36">
        <f t="shared" si="70"/>
        <v>0</v>
      </c>
      <c r="AC87" s="35">
        <f>SUMIF(Budgeted_01jun!$U:$U,'SAP Working'!I87,Budgeted_01jun!$R:$R)</f>
        <v>0</v>
      </c>
      <c r="AD87" s="34">
        <f>SUMIF('Actual_30 jun'!$I:$I,'SAP Working'!I87,'Actual_30 jun'!$K:$K)</f>
        <v>0</v>
      </c>
      <c r="AE87" s="34">
        <f>SUMIF('Commited_30 Jun'!$H:$H,'SAP Working'!I87,'Commited_30 Jun'!$I:$I)</f>
        <v>0</v>
      </c>
      <c r="AF87" s="34">
        <f t="shared" si="71"/>
        <v>0</v>
      </c>
      <c r="AG87" s="36">
        <f t="shared" si="72"/>
        <v>0</v>
      </c>
    </row>
    <row r="88" spans="1:36" x14ac:dyDescent="0.25">
      <c r="B88" s="20" t="s">
        <v>1244</v>
      </c>
      <c r="C88" s="20" t="s">
        <v>1245</v>
      </c>
      <c r="D88" s="1">
        <f t="shared" si="93"/>
        <v>84</v>
      </c>
      <c r="E88" s="1">
        <v>3</v>
      </c>
      <c r="F88" s="20" t="s">
        <v>876</v>
      </c>
      <c r="G88" s="23" t="s">
        <v>1502</v>
      </c>
      <c r="H88" s="23" t="s">
        <v>1503</v>
      </c>
      <c r="I88" s="22" t="s">
        <v>1504</v>
      </c>
      <c r="K88" s="35">
        <f t="shared" si="92"/>
        <v>0</v>
      </c>
      <c r="L88" s="35">
        <f t="shared" si="91"/>
        <v>0</v>
      </c>
      <c r="M88" s="35">
        <f t="shared" si="91"/>
        <v>0</v>
      </c>
      <c r="N88" s="34">
        <f t="shared" si="65"/>
        <v>0</v>
      </c>
      <c r="O88" s="36">
        <f t="shared" si="66"/>
        <v>0</v>
      </c>
      <c r="Q88" s="35">
        <f>SUMIF(Budgeted_01jun!U:U,'SAP Working'!G88,Budgeted_01jun!R:R)</f>
        <v>0</v>
      </c>
      <c r="R88" s="34">
        <f>SUMIF('Actual_30 jun'!I:I,'SAP Working'!G88,'Actual_30 jun'!K:K)</f>
        <v>0</v>
      </c>
      <c r="S88" s="34">
        <f>SUMIF('Commited_30 Jun'!H:H,'SAP Working'!G88,'Commited_30 Jun'!I:I)</f>
        <v>0</v>
      </c>
      <c r="T88" s="34">
        <f t="shared" si="67"/>
        <v>0</v>
      </c>
      <c r="U88" s="36">
        <f t="shared" si="68"/>
        <v>0</v>
      </c>
      <c r="W88" s="35">
        <f>SUMIF(Budgeted_01jun!$U:$U,H88,Budgeted_01jun!$R:$R)</f>
        <v>0</v>
      </c>
      <c r="X88" s="34">
        <f>SUMIF('Actual_30 jun'!$I:$I,'SAP Working'!H88,'Actual_30 jun'!$K:$K)</f>
        <v>0</v>
      </c>
      <c r="Y88" s="34">
        <f>SUMIF('Commited_30 Jun'!$H:$H,'SAP Working'!H88,'Commited_30 Jun'!$I:$I)</f>
        <v>0</v>
      </c>
      <c r="Z88" s="34">
        <f t="shared" si="69"/>
        <v>0</v>
      </c>
      <c r="AA88" s="36">
        <f t="shared" si="70"/>
        <v>0</v>
      </c>
      <c r="AC88" s="35">
        <f>SUMIF(Budgeted_01jun!$U:$U,'SAP Working'!I88,Budgeted_01jun!$R:$R)</f>
        <v>0</v>
      </c>
      <c r="AD88" s="34">
        <f>SUMIF('Actual_30 jun'!$I:$I,'SAP Working'!I88,'Actual_30 jun'!$K:$K)</f>
        <v>0</v>
      </c>
      <c r="AE88" s="34">
        <f>SUMIF('Commited_30 Jun'!$H:$H,'SAP Working'!I88,'Commited_30 Jun'!$I:$I)</f>
        <v>0</v>
      </c>
      <c r="AF88" s="34">
        <f t="shared" si="71"/>
        <v>0</v>
      </c>
      <c r="AG88" s="36">
        <f t="shared" si="72"/>
        <v>0</v>
      </c>
    </row>
    <row r="89" spans="1:36" x14ac:dyDescent="0.25">
      <c r="A89">
        <v>14</v>
      </c>
      <c r="B89" s="15" t="s">
        <v>1244</v>
      </c>
      <c r="C89" s="15" t="s">
        <v>1245</v>
      </c>
      <c r="D89" s="16">
        <f t="shared" si="93"/>
        <v>85</v>
      </c>
      <c r="E89" s="16">
        <v>2</v>
      </c>
      <c r="F89" s="15" t="s">
        <v>769</v>
      </c>
      <c r="G89" s="18" t="s">
        <v>1505</v>
      </c>
      <c r="H89" s="18" t="s">
        <v>1506</v>
      </c>
      <c r="I89" s="24" t="s">
        <v>768</v>
      </c>
      <c r="K89" s="41">
        <f>AC89</f>
        <v>2991525424</v>
      </c>
      <c r="L89" s="41">
        <f>AD89</f>
        <v>1297950</v>
      </c>
      <c r="M89" s="41">
        <f>AE89</f>
        <v>4114285111.3499999</v>
      </c>
      <c r="N89" s="42">
        <f t="shared" si="65"/>
        <v>4115583061.3499999</v>
      </c>
      <c r="O89" s="43">
        <f t="shared" si="66"/>
        <v>-1124057637.3499999</v>
      </c>
      <c r="Q89" s="41">
        <f>SUMIF(Budgeted_01jun!U:U,'SAP Working'!G89,Budgeted_01jun!R:R)</f>
        <v>0</v>
      </c>
      <c r="R89" s="41">
        <f>SUMIF('Actual_30 jun'!I:I,'SAP Working'!G89,'Actual_30 jun'!K:K)</f>
        <v>0</v>
      </c>
      <c r="S89" s="41">
        <f>SUMIF('Commited_30 Jun'!H:H,'SAP Working'!G89,'Commited_30 Jun'!I:I)</f>
        <v>0</v>
      </c>
      <c r="T89" s="41">
        <f t="shared" si="67"/>
        <v>0</v>
      </c>
      <c r="U89" s="41">
        <f t="shared" si="68"/>
        <v>0</v>
      </c>
      <c r="W89" s="41">
        <f>SUMIF(Budgeted_01jun!$U:$U,H89,Budgeted_01jun!$R:$R)</f>
        <v>0</v>
      </c>
      <c r="X89" s="41">
        <f>SUMIF('Actual_30 jun'!$I:$I,'SAP Working'!H89,'Actual_30 jun'!$K:$K)</f>
        <v>0</v>
      </c>
      <c r="Y89" s="41">
        <f>SUMIF('Commited_30 Jun'!$H:$H,'SAP Working'!H89,'Commited_30 Jun'!$I:$I)</f>
        <v>0</v>
      </c>
      <c r="Z89" s="41">
        <f t="shared" si="69"/>
        <v>0</v>
      </c>
      <c r="AA89" s="43">
        <f t="shared" si="70"/>
        <v>0</v>
      </c>
      <c r="AC89" s="41">
        <f>SUMIF(Budgeted_01jun!$U:$U,'SAP Working'!I89,Budgeted_01jun!$R:$R)</f>
        <v>2991525424</v>
      </c>
      <c r="AD89" s="41">
        <f>SUMIF('Actual_30 jun'!$I:$I,'SAP Working'!I89,'Actual_30 jun'!$K:$K)</f>
        <v>1297950</v>
      </c>
      <c r="AE89" s="41">
        <f>SUMIF('Commited_30 Jun'!$H:$H,'SAP Working'!I89,'Commited_30 Jun'!$I:$I)</f>
        <v>4114285111.3499999</v>
      </c>
      <c r="AF89" s="41">
        <f t="shared" si="71"/>
        <v>4115583061.3499999</v>
      </c>
      <c r="AG89" s="43">
        <f t="shared" si="72"/>
        <v>-1124057637.3499999</v>
      </c>
    </row>
    <row r="90" spans="1:36" x14ac:dyDescent="0.25">
      <c r="A90">
        <v>8</v>
      </c>
      <c r="B90" s="15" t="s">
        <v>1244</v>
      </c>
      <c r="C90" s="15" t="s">
        <v>1245</v>
      </c>
      <c r="D90" s="16">
        <f t="shared" si="93"/>
        <v>86</v>
      </c>
      <c r="E90" s="16">
        <v>2</v>
      </c>
      <c r="F90" s="15" t="s">
        <v>366</v>
      </c>
      <c r="G90" s="24" t="s">
        <v>432</v>
      </c>
      <c r="H90" s="18" t="s">
        <v>1507</v>
      </c>
      <c r="I90" s="18" t="s">
        <v>1508</v>
      </c>
      <c r="K90" s="41">
        <f>Q90</f>
        <v>19900000</v>
      </c>
      <c r="L90" s="41">
        <f t="shared" ref="L90:M90" si="94">R90</f>
        <v>2307750</v>
      </c>
      <c r="M90" s="41">
        <f t="shared" si="94"/>
        <v>65247119.100000001</v>
      </c>
      <c r="N90" s="42">
        <f t="shared" si="65"/>
        <v>67554869.099999994</v>
      </c>
      <c r="O90" s="43">
        <f t="shared" si="66"/>
        <v>-47654869.099999994</v>
      </c>
      <c r="Q90" s="41">
        <f>SUMIF(Budgeted_01jun!U:U,'SAP Working'!G90,Budgeted_01jun!R:R)</f>
        <v>19900000</v>
      </c>
      <c r="R90" s="41">
        <f>SUMIF('Actual_30 jun'!I:I,'SAP Working'!G90,'Actual_30 jun'!K:K)</f>
        <v>2307750</v>
      </c>
      <c r="S90" s="41">
        <f>SUMIF('Commited_30 Jun'!H:H,'SAP Working'!G90,'Commited_30 Jun'!I:I)</f>
        <v>65247119.100000001</v>
      </c>
      <c r="T90" s="41">
        <f t="shared" si="67"/>
        <v>67554869.099999994</v>
      </c>
      <c r="U90" s="41">
        <f t="shared" si="68"/>
        <v>-47654869.099999994</v>
      </c>
      <c r="W90" s="41">
        <f>SUMIF(Budgeted_01jun!$U:$U,H90,Budgeted_01jun!$R:$R)</f>
        <v>0</v>
      </c>
      <c r="X90" s="41">
        <f>SUMIF('Actual_30 jun'!$I:$I,'SAP Working'!H90,'Actual_30 jun'!$K:$K)</f>
        <v>0</v>
      </c>
      <c r="Y90" s="41">
        <f>SUMIF('Commited_30 Jun'!$H:$H,'SAP Working'!H90,'Commited_30 Jun'!$I:$I)</f>
        <v>0</v>
      </c>
      <c r="Z90" s="41">
        <f t="shared" si="69"/>
        <v>0</v>
      </c>
      <c r="AA90" s="43">
        <f t="shared" si="70"/>
        <v>0</v>
      </c>
      <c r="AC90" s="41">
        <f>SUMIF(Budgeted_01jun!$U:$U,'SAP Working'!I90,Budgeted_01jun!$R:$R)</f>
        <v>0</v>
      </c>
      <c r="AD90" s="41">
        <f>SUMIF('Actual_30 jun'!$I:$I,'SAP Working'!I90,'Actual_30 jun'!$K:$K)</f>
        <v>0</v>
      </c>
      <c r="AE90" s="41">
        <f>SUMIF('Commited_30 Jun'!$H:$H,'SAP Working'!I90,'Commited_30 Jun'!$I:$I)</f>
        <v>0</v>
      </c>
      <c r="AF90" s="41">
        <f t="shared" si="71"/>
        <v>0</v>
      </c>
      <c r="AG90" s="43">
        <f t="shared" si="72"/>
        <v>0</v>
      </c>
    </row>
    <row r="91" spans="1:36" x14ac:dyDescent="0.25">
      <c r="A91">
        <v>15</v>
      </c>
      <c r="B91" s="15" t="s">
        <v>1244</v>
      </c>
      <c r="C91" s="15" t="s">
        <v>1245</v>
      </c>
      <c r="D91" s="16">
        <f t="shared" si="93"/>
        <v>87</v>
      </c>
      <c r="E91" s="16">
        <v>2</v>
      </c>
      <c r="F91" s="15" t="s">
        <v>1509</v>
      </c>
      <c r="G91" s="24" t="s">
        <v>1510</v>
      </c>
      <c r="H91" s="24" t="s">
        <v>1511</v>
      </c>
      <c r="I91" s="24" t="s">
        <v>1512</v>
      </c>
      <c r="K91" s="41">
        <f>SUM(Q91,W91,AC91)</f>
        <v>0</v>
      </c>
      <c r="L91" s="41">
        <f>SUM(R91,X91,AD91)</f>
        <v>0</v>
      </c>
      <c r="M91" s="41">
        <f>SUM(S91,Y91,AE91)</f>
        <v>0</v>
      </c>
      <c r="N91" s="42">
        <f t="shared" si="65"/>
        <v>0</v>
      </c>
      <c r="O91" s="43">
        <f t="shared" si="66"/>
        <v>0</v>
      </c>
      <c r="Q91" s="41">
        <f>SUMIF(Budgeted_01jun!U:U,'SAP Working'!G91,Budgeted_01jun!R:R)</f>
        <v>0</v>
      </c>
      <c r="R91" s="41">
        <f>SUMIF('Actual_30 jun'!I:I,'SAP Working'!G91,'Actual_30 jun'!K:K)</f>
        <v>0</v>
      </c>
      <c r="S91" s="41">
        <f>SUMIF('Commited_30 Jun'!H:H,'SAP Working'!G91,'Commited_30 Jun'!I:I)</f>
        <v>0</v>
      </c>
      <c r="T91" s="41">
        <f t="shared" si="67"/>
        <v>0</v>
      </c>
      <c r="U91" s="41">
        <f t="shared" si="68"/>
        <v>0</v>
      </c>
      <c r="W91" s="41">
        <f>SUMIF(Budgeted_01jun!$U:$U,H91,Budgeted_01jun!$R:$R)</f>
        <v>0</v>
      </c>
      <c r="X91" s="41">
        <f>SUMIF('Actual_30 jun'!$I:$I,'SAP Working'!H91,'Actual_30 jun'!$K:$K)</f>
        <v>0</v>
      </c>
      <c r="Y91" s="41">
        <f>SUMIF('Commited_30 Jun'!$H:$H,'SAP Working'!H91,'Commited_30 Jun'!$I:$I)</f>
        <v>0</v>
      </c>
      <c r="Z91" s="41">
        <f t="shared" si="69"/>
        <v>0</v>
      </c>
      <c r="AA91" s="43">
        <f t="shared" si="70"/>
        <v>0</v>
      </c>
      <c r="AC91" s="41">
        <f>SUMIF(Budgeted_01jun!$U:$U,'SAP Working'!I91,Budgeted_01jun!$R:$R)</f>
        <v>0</v>
      </c>
      <c r="AD91" s="41">
        <f>SUMIF('Actual_30 jun'!$I:$I,'SAP Working'!I91,'Actual_30 jun'!$K:$K)</f>
        <v>0</v>
      </c>
      <c r="AE91" s="41">
        <f>SUMIF('Commited_30 Jun'!$H:$H,'SAP Working'!I91,'Commited_30 Jun'!$I:$I)</f>
        <v>0</v>
      </c>
      <c r="AF91" s="41">
        <f t="shared" si="71"/>
        <v>0</v>
      </c>
      <c r="AG91" s="43">
        <f t="shared" si="72"/>
        <v>0</v>
      </c>
    </row>
    <row r="92" spans="1:36" s="214" customFormat="1" x14ac:dyDescent="0.25">
      <c r="K92" s="215"/>
      <c r="L92" s="216"/>
      <c r="M92" s="216"/>
      <c r="N92" s="216"/>
      <c r="O92" s="217"/>
      <c r="Q92" s="215"/>
      <c r="R92" s="216">
        <f>SUMIF('Actual_30 jun'!I:I,'SAP Working'!G92,'Actual_30 jun'!K:K)</f>
        <v>0</v>
      </c>
      <c r="S92" s="216">
        <f>SUMIF('Commited_30 Jun'!H:H,'SAP Working'!G92,'Commited_30 Jun'!I:I)</f>
        <v>0</v>
      </c>
      <c r="T92" s="216"/>
      <c r="U92" s="217"/>
      <c r="W92" s="215"/>
      <c r="X92" s="216">
        <f>SUMIF('Actual_30 jun'!$I:$I,'SAP Working'!H92,'Actual_30 jun'!$K:$K)</f>
        <v>0</v>
      </c>
      <c r="Y92" s="216">
        <f>SUMIF('Commited_30 Jun'!$H:$H,'SAP Working'!H92,'Commited_30 Jun'!$I:$I)</f>
        <v>0</v>
      </c>
      <c r="Z92" s="216"/>
      <c r="AA92" s="217"/>
      <c r="AC92" s="215"/>
      <c r="AD92" s="216">
        <f>SUMIF('Actual_30 jun'!$I:$I,'SAP Working'!I92,'Actual_30 jun'!$K:$K)</f>
        <v>0</v>
      </c>
      <c r="AE92" s="216">
        <f>SUMIF('Commited_30 Jun'!$H:$H,'SAP Working'!I92,'Commited_30 Jun'!$I:$I)</f>
        <v>0</v>
      </c>
      <c r="AF92" s="216"/>
      <c r="AG92" s="217"/>
    </row>
    <row r="93" spans="1:36" s="214" customFormat="1" x14ac:dyDescent="0.25">
      <c r="K93" s="215"/>
      <c r="L93" s="216"/>
      <c r="M93" s="216"/>
      <c r="N93" s="216"/>
      <c r="O93" s="217"/>
      <c r="Q93" s="215"/>
      <c r="R93" s="216">
        <f>SUMIF('Actual_30 jun'!I:I,'SAP Working'!G93,'Actual_30 jun'!K:K)</f>
        <v>0</v>
      </c>
      <c r="S93" s="216">
        <f>SUMIF('Commited_30 Jun'!H:H,'SAP Working'!G93,'Commited_30 Jun'!I:I)</f>
        <v>0</v>
      </c>
      <c r="T93" s="216"/>
      <c r="U93" s="217"/>
      <c r="W93" s="215"/>
      <c r="X93" s="216">
        <f>SUMIF('Actual_30 jun'!$I:$I,'SAP Working'!H93,'Actual_30 jun'!$K:$K)</f>
        <v>0</v>
      </c>
      <c r="Y93" s="216">
        <f>SUMIF('Commited_30 Jun'!$H:$H,'SAP Working'!H93,'Commited_30 Jun'!$I:$I)</f>
        <v>0</v>
      </c>
      <c r="Z93" s="216"/>
      <c r="AA93" s="217"/>
      <c r="AC93" s="215"/>
      <c r="AD93" s="216">
        <f>SUMIF('Actual_30 jun'!$I:$I,'SAP Working'!I93,'Actual_30 jun'!$K:$K)</f>
        <v>0</v>
      </c>
      <c r="AE93" s="216">
        <f>SUMIF('Commited_30 Jun'!$H:$H,'SAP Working'!I93,'Commited_30 Jun'!$I:$I)</f>
        <v>0</v>
      </c>
      <c r="AF93" s="216"/>
      <c r="AG93" s="217"/>
    </row>
  </sheetData>
  <mergeCells count="4">
    <mergeCell ref="K2:O2"/>
    <mergeCell ref="Q2:U2"/>
    <mergeCell ref="W2:AA2"/>
    <mergeCell ref="AC2:AG2"/>
  </mergeCells>
  <conditionalFormatting sqref="E1:E91">
    <cfRule type="colorScale" priority="8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ignoredErrors>
    <ignoredError sqref="W8 T4:AA4 T9:U10 T12:U12 T11:U11 T14:U14 T13:U13 T7:U7 W7 W9:W10 W12 W11 W14 W13 AC8 AC4:AG4 AC7 AC9:AC10 AC12 AC14:AC55 W33:W49 W51:W55 W50 Z50:AA50 W16:W30 W15 Z15:AA15 T6:W6 T5:W5 Z5:AA5 Z8:AA8 Z7:AA7 Z9:AA10 Z12:AA12 Z11:AA11 Z14:AA14 Z13:AA13 Z33:AA49 Z51:AA55 Z16:AA30 Z6:AA6 AC6 AC5 AF5:AG5 AF13:AG13 AG8 AF7:AG7 AF9:AG10 AF12:AG12 AF14:AG14 AF6:AG6 T16:U18 T20:U25 T27:U30 T33:U34 T36:U38 T40:U41 T43:U44 T46:U50 T52:U55 T57:U73 T75:U80 T82:U91 AC75:AC80 W75:W80 Z75:AA80 AF75:AG80 AC57:AC73 W57:W73 Z57:AA73 AF57:AG73 AC82:AC91 W82:W91 Z82:AA91 AF82:AG91 AF16:AG18 AF20:AG25 AF27:AG30 AF33:AG34 AF36:AG38 AG35 AF40:AG50 AG39 AF52:AG55 AG5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AEDC-90BC-452C-862E-8A1E24FDCF17}">
  <sheetPr>
    <pageSetUpPr fitToPage="1"/>
  </sheetPr>
  <dimension ref="A1:U89"/>
  <sheetViews>
    <sheetView tabSelected="1" view="pageBreakPreview" zoomScale="46" zoomScaleNormal="16" zoomScaleSheetLayoutView="70" workbookViewId="0">
      <pane xSplit="2" ySplit="4" topLeftCell="C5" activePane="bottomRight" state="frozen"/>
      <selection activeCell="AD38" sqref="AD38"/>
      <selection pane="topRight" activeCell="AD38" sqref="AD38"/>
      <selection pane="bottomLeft" activeCell="AD38" sqref="AD38"/>
      <selection pane="bottomRight" activeCell="C91" sqref="C91"/>
    </sheetView>
    <sheetView tabSelected="1" zoomScale="40" zoomScaleNormal="40" workbookViewId="1">
      <selection activeCell="H15" sqref="H15:H16"/>
    </sheetView>
  </sheetViews>
  <sheetFormatPr defaultColWidth="8.88671875" defaultRowHeight="21" outlineLevelRow="1" x14ac:dyDescent="0.35"/>
  <cols>
    <col min="1" max="1" width="12.77734375" style="256" customWidth="1"/>
    <col min="2" max="2" width="54.44140625" style="256" bestFit="1" customWidth="1"/>
    <col min="3" max="5" width="32.5546875" style="256" customWidth="1"/>
    <col min="6" max="9" width="34.44140625" style="264" customWidth="1"/>
    <col min="10" max="11" width="34.44140625" style="300" customWidth="1"/>
    <col min="12" max="12" width="107.6640625" style="256" customWidth="1"/>
    <col min="13" max="13" width="43.88671875" style="256" bestFit="1" customWidth="1"/>
    <col min="14" max="14" width="24.88671875" style="256" bestFit="1" customWidth="1"/>
    <col min="15" max="15" width="11.88671875" style="256" bestFit="1" customWidth="1"/>
    <col min="16" max="16" width="33.33203125" style="256" customWidth="1"/>
    <col min="17" max="16384" width="8.88671875" style="256"/>
  </cols>
  <sheetData>
    <row r="1" spans="1:21" ht="21.75" thickBot="1" x14ac:dyDescent="0.4">
      <c r="A1" s="322" t="s">
        <v>2064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254"/>
      <c r="M1" s="255">
        <f ca="1">TODAY()</f>
        <v>46254</v>
      </c>
    </row>
    <row r="2" spans="1:21" ht="21.75" thickBot="1" x14ac:dyDescent="0.4">
      <c r="A2" s="257"/>
      <c r="B2" s="258"/>
      <c r="C2" s="258"/>
      <c r="D2" s="258"/>
      <c r="E2" s="258"/>
      <c r="F2" s="259"/>
      <c r="G2" s="259"/>
      <c r="H2" s="259"/>
      <c r="I2" s="259"/>
      <c r="J2" s="260"/>
      <c r="K2" s="260"/>
      <c r="L2" s="261"/>
      <c r="M2" s="261"/>
    </row>
    <row r="3" spans="1:21" s="262" customFormat="1" x14ac:dyDescent="0.25">
      <c r="A3" s="330" t="s">
        <v>1546</v>
      </c>
      <c r="B3" s="328" t="s">
        <v>1236</v>
      </c>
      <c r="C3" s="452" t="s">
        <v>2311</v>
      </c>
      <c r="D3" s="453"/>
      <c r="E3" s="454"/>
      <c r="F3" s="326" t="s">
        <v>2304</v>
      </c>
      <c r="G3" s="326" t="s">
        <v>2305</v>
      </c>
      <c r="H3" s="326" t="s">
        <v>2306</v>
      </c>
      <c r="I3" s="324" t="s">
        <v>2307</v>
      </c>
      <c r="J3" s="334" t="s">
        <v>2308</v>
      </c>
      <c r="K3" s="381" t="s">
        <v>2309</v>
      </c>
      <c r="L3" s="383" t="s">
        <v>2310</v>
      </c>
      <c r="M3" s="383"/>
    </row>
    <row r="4" spans="1:21" s="262" customFormat="1" ht="63" customHeight="1" x14ac:dyDescent="0.25">
      <c r="A4" s="331"/>
      <c r="B4" s="329"/>
      <c r="C4" s="301" t="s">
        <v>1237</v>
      </c>
      <c r="D4" s="301" t="s">
        <v>1238</v>
      </c>
      <c r="E4" s="301" t="s">
        <v>1239</v>
      </c>
      <c r="F4" s="327"/>
      <c r="G4" s="327"/>
      <c r="H4" s="327"/>
      <c r="I4" s="325"/>
      <c r="J4" s="335"/>
      <c r="K4" s="382"/>
      <c r="L4" s="383"/>
      <c r="M4" s="383"/>
    </row>
    <row r="5" spans="1:21" s="262" customFormat="1" x14ac:dyDescent="0.25">
      <c r="A5" s="412">
        <v>1</v>
      </c>
      <c r="B5" s="409" t="s">
        <v>1549</v>
      </c>
      <c r="C5" s="413" t="s">
        <v>716</v>
      </c>
      <c r="D5" s="414"/>
      <c r="E5" s="414"/>
      <c r="F5" s="415">
        <v>1728.4085122249055</v>
      </c>
      <c r="G5" s="415">
        <f>SUMIF('SAP Working'!$A$4:$A$91,A5,'SAP Working'!$L$4:$L$91)/10^7*1.0825</f>
        <v>2.6212521</v>
      </c>
      <c r="H5" s="415">
        <f>SUMIF('SAP Working'!$A$4:$A$91,A5,'SAP Working'!$M$4:$M$91)/10^7*1.0825</f>
        <v>138.66726578017483</v>
      </c>
      <c r="I5" s="415">
        <v>0</v>
      </c>
      <c r="J5" s="393">
        <f>SUM(G5:I6)</f>
        <v>141.28851788017482</v>
      </c>
      <c r="K5" s="394">
        <f>F5-J5</f>
        <v>1587.1199943447307</v>
      </c>
      <c r="L5" s="416"/>
      <c r="M5" s="416"/>
      <c r="N5" s="264"/>
      <c r="O5" s="264"/>
      <c r="P5" s="264"/>
      <c r="Q5" s="264"/>
      <c r="R5" s="264"/>
      <c r="S5" s="264"/>
      <c r="T5" s="264"/>
      <c r="U5" s="264"/>
    </row>
    <row r="6" spans="1:21" s="262" customFormat="1" x14ac:dyDescent="0.25">
      <c r="A6" s="417"/>
      <c r="B6" s="411"/>
      <c r="C6" s="418" t="s">
        <v>1530</v>
      </c>
      <c r="D6" s="419"/>
      <c r="E6" s="419"/>
      <c r="F6" s="420"/>
      <c r="G6" s="420"/>
      <c r="H6" s="420"/>
      <c r="I6" s="420"/>
      <c r="J6" s="397"/>
      <c r="K6" s="398"/>
      <c r="L6" s="416"/>
      <c r="M6" s="416"/>
      <c r="N6" s="264"/>
      <c r="O6" s="264"/>
      <c r="P6" s="264"/>
      <c r="Q6" s="264"/>
      <c r="R6" s="264"/>
      <c r="S6" s="264"/>
      <c r="T6" s="264"/>
      <c r="U6" s="264"/>
    </row>
    <row r="7" spans="1:21" s="262" customFormat="1" x14ac:dyDescent="0.25">
      <c r="A7" s="412">
        <v>2</v>
      </c>
      <c r="B7" s="409" t="s">
        <v>1550</v>
      </c>
      <c r="C7" s="413" t="s">
        <v>700</v>
      </c>
      <c r="D7" s="414"/>
      <c r="E7" s="414"/>
      <c r="F7" s="415">
        <f>124.335686771073*5</f>
        <v>621.67843385536503</v>
      </c>
      <c r="G7" s="415">
        <f>SUMIF('SAP Working'!$A$4:$A$91,A7,'SAP Working'!$L$4:$L$91)/10^7*1.0825</f>
        <v>0.39931584750000004</v>
      </c>
      <c r="H7" s="415">
        <f>SUMIF('SAP Working'!$A$4:$A$91,A7,'SAP Working'!$M$4:$M$91)/10^7*1.0825+5.3358516898775</f>
        <v>364.38661853267735</v>
      </c>
      <c r="I7" s="415">
        <v>0</v>
      </c>
      <c r="J7" s="393">
        <f>SUM(G7:I8)</f>
        <v>364.78593438017737</v>
      </c>
      <c r="K7" s="394">
        <f>F7-J7</f>
        <v>256.89249947518766</v>
      </c>
      <c r="L7" s="400"/>
      <c r="M7" s="416"/>
      <c r="N7" s="264"/>
      <c r="O7" s="264"/>
      <c r="P7" s="264"/>
      <c r="Q7" s="264"/>
      <c r="R7" s="264"/>
      <c r="S7" s="264"/>
      <c r="T7" s="264"/>
      <c r="U7" s="264"/>
    </row>
    <row r="8" spans="1:21" s="262" customFormat="1" x14ac:dyDescent="0.25">
      <c r="A8" s="417"/>
      <c r="B8" s="411"/>
      <c r="C8" s="418" t="s">
        <v>1531</v>
      </c>
      <c r="D8" s="419"/>
      <c r="E8" s="419"/>
      <c r="F8" s="420"/>
      <c r="G8" s="420"/>
      <c r="H8" s="420"/>
      <c r="I8" s="420"/>
      <c r="J8" s="397"/>
      <c r="K8" s="398"/>
      <c r="L8" s="416"/>
      <c r="M8" s="416"/>
      <c r="N8" s="264"/>
      <c r="O8" s="264"/>
      <c r="P8" s="264"/>
      <c r="Q8" s="264"/>
      <c r="R8" s="264"/>
      <c r="S8" s="264"/>
      <c r="T8" s="264"/>
      <c r="U8" s="264"/>
    </row>
    <row r="9" spans="1:21" s="262" customFormat="1" x14ac:dyDescent="0.25">
      <c r="A9" s="412">
        <v>3</v>
      </c>
      <c r="B9" s="409" t="s">
        <v>1553</v>
      </c>
      <c r="C9" s="413" t="s">
        <v>535</v>
      </c>
      <c r="D9" s="414"/>
      <c r="E9" s="414"/>
      <c r="F9" s="415">
        <v>22.157</v>
      </c>
      <c r="G9" s="415">
        <f>SUMIF('SAP Working'!$A$4:$A$91,A9,'SAP Working'!$L$4:$L$91)/10^7</f>
        <v>0.29217900000000002</v>
      </c>
      <c r="H9" s="415">
        <f>SUMIF('SAP Working'!$A$4:$A$91,A9,'SAP Working'!$M$4:$M$91)/10^7</f>
        <v>19.780613954999961</v>
      </c>
      <c r="I9" s="415"/>
      <c r="J9" s="393">
        <f>SUM(G9:I10)</f>
        <v>20.072792954999962</v>
      </c>
      <c r="K9" s="394">
        <f>F9-J9</f>
        <v>2.0842070450000385</v>
      </c>
      <c r="L9" s="400"/>
      <c r="M9" s="400"/>
      <c r="N9" s="264"/>
      <c r="O9" s="264"/>
      <c r="P9" s="264"/>
      <c r="Q9" s="264"/>
      <c r="R9" s="264"/>
      <c r="S9" s="264"/>
      <c r="T9" s="264"/>
      <c r="U9" s="264"/>
    </row>
    <row r="10" spans="1:21" s="262" customFormat="1" x14ac:dyDescent="0.25">
      <c r="A10" s="417"/>
      <c r="B10" s="411"/>
      <c r="C10" s="455" t="s">
        <v>2127</v>
      </c>
      <c r="D10" s="419"/>
      <c r="E10" s="419"/>
      <c r="F10" s="420"/>
      <c r="G10" s="420"/>
      <c r="H10" s="420"/>
      <c r="I10" s="420"/>
      <c r="J10" s="397"/>
      <c r="K10" s="398"/>
      <c r="L10" s="400"/>
      <c r="M10" s="400"/>
      <c r="N10" s="264"/>
      <c r="O10" s="264"/>
      <c r="P10" s="264"/>
      <c r="Q10" s="264"/>
      <c r="R10" s="264"/>
      <c r="S10" s="264"/>
      <c r="T10" s="264"/>
      <c r="U10" s="264"/>
    </row>
    <row r="11" spans="1:21" s="273" customFormat="1" x14ac:dyDescent="0.25">
      <c r="A11" s="266">
        <v>3.1</v>
      </c>
      <c r="B11" s="267" t="s">
        <v>1556</v>
      </c>
      <c r="C11" s="267"/>
      <c r="D11" s="267"/>
      <c r="E11" s="267"/>
      <c r="F11" s="268">
        <f>F9+F7+F5</f>
        <v>2372.2439460802707</v>
      </c>
      <c r="G11" s="268">
        <f>G9+G7+G5</f>
        <v>3.3127469475</v>
      </c>
      <c r="H11" s="268">
        <f>H9+H7+H5</f>
        <v>522.83449826785215</v>
      </c>
      <c r="I11" s="268">
        <f>I9+I7+I5</f>
        <v>0</v>
      </c>
      <c r="J11" s="270">
        <f>J9+J7+J5</f>
        <v>526.14724521535209</v>
      </c>
      <c r="K11" s="380">
        <f>F11-J11</f>
        <v>1846.0967008649186</v>
      </c>
      <c r="L11" s="386"/>
      <c r="M11" s="386"/>
      <c r="N11" s="272"/>
    </row>
    <row r="12" spans="1:21" s="262" customFormat="1" x14ac:dyDescent="0.25">
      <c r="A12" s="421">
        <v>4</v>
      </c>
      <c r="B12" s="422" t="s">
        <v>1557</v>
      </c>
      <c r="C12" s="423" t="s">
        <v>559</v>
      </c>
      <c r="D12" s="422" t="s">
        <v>241</v>
      </c>
      <c r="E12" s="422"/>
      <c r="F12" s="424">
        <v>97.003574285714095</v>
      </c>
      <c r="G12" s="425">
        <f>SUMIF('SAP Working'!$A$4:$A$91,A12,'SAP Working'!$L$4:$L$91)/10^7</f>
        <v>16.333770000000001</v>
      </c>
      <c r="H12" s="425">
        <f>SUMIF('SAP Working'!$A$4:$A$91,A12,'SAP Working'!$M$4:$M$91)/10^7+5.4</f>
        <v>145.97037558</v>
      </c>
      <c r="I12" s="426"/>
      <c r="J12" s="401">
        <f>SUM(G12:I12)</f>
        <v>162.30414558000001</v>
      </c>
      <c r="K12" s="402">
        <f>F12-J12</f>
        <v>-65.300571294285916</v>
      </c>
      <c r="L12" s="400"/>
      <c r="M12" s="400"/>
      <c r="N12" s="278"/>
    </row>
    <row r="13" spans="1:21" s="262" customFormat="1" x14ac:dyDescent="0.25">
      <c r="A13" s="421">
        <v>5</v>
      </c>
      <c r="B13" s="422" t="s">
        <v>1560</v>
      </c>
      <c r="C13" s="423"/>
      <c r="D13" s="422"/>
      <c r="E13" s="422"/>
      <c r="F13" s="427">
        <f>SUM(F14:F22)</f>
        <v>139.65604137470001</v>
      </c>
      <c r="G13" s="427">
        <f>SUM(G14:G22)</f>
        <v>30.478875000000002</v>
      </c>
      <c r="H13" s="427">
        <f>SUM(H14:H22)</f>
        <v>2412.5116512399986</v>
      </c>
      <c r="I13" s="426"/>
      <c r="J13" s="401">
        <f>SUM(J14:J22)</f>
        <v>2442.9905262399989</v>
      </c>
      <c r="K13" s="402">
        <f>F13-J13</f>
        <v>-2303.3344848652987</v>
      </c>
      <c r="L13" s="400"/>
      <c r="M13" s="400"/>
      <c r="N13" s="278"/>
    </row>
    <row r="14" spans="1:21" s="273" customFormat="1" outlineLevel="1" x14ac:dyDescent="0.25">
      <c r="A14" s="280">
        <v>5.0999999999999996</v>
      </c>
      <c r="B14" s="281" t="s">
        <v>1562</v>
      </c>
      <c r="C14" s="307" t="s">
        <v>525</v>
      </c>
      <c r="D14" s="309" t="s">
        <v>244</v>
      </c>
      <c r="E14" s="281"/>
      <c r="F14" s="268">
        <v>14.696999999999999</v>
      </c>
      <c r="G14" s="268">
        <f>SUMIF('SAP Working'!$A$4:$A$91,A14,'SAP Working'!$L$4:$L$91)/10^7</f>
        <v>8.1125699999999998</v>
      </c>
      <c r="H14" s="268">
        <f>SUMIF('SAP Working'!$A$4:$A$91,A14,'SAP Working'!$M$4:$M$91)/10^7</f>
        <v>99.563800094999962</v>
      </c>
      <c r="I14" s="269"/>
      <c r="J14" s="270">
        <f>SUM(G14:I14)</f>
        <v>107.67637009499997</v>
      </c>
      <c r="K14" s="380">
        <f>F14-J14</f>
        <v>-92.979370094999965</v>
      </c>
      <c r="L14" s="387"/>
      <c r="M14" s="387"/>
      <c r="N14" s="272"/>
    </row>
    <row r="15" spans="1:21" s="273" customFormat="1" outlineLevel="1" x14ac:dyDescent="0.25">
      <c r="A15" s="310">
        <v>5.2</v>
      </c>
      <c r="B15" s="312" t="s">
        <v>1565</v>
      </c>
      <c r="C15" s="320" t="s">
        <v>843</v>
      </c>
      <c r="D15" s="318" t="s">
        <v>243</v>
      </c>
      <c r="E15" s="263"/>
      <c r="F15" s="316">
        <v>57.115151900000001</v>
      </c>
      <c r="G15" s="316">
        <f>SUMIF('SAP Working'!$A$4:$A$91,A15,'SAP Working'!$L$4:$L$91)/10^7</f>
        <v>6.4039679999999999</v>
      </c>
      <c r="H15" s="316">
        <f>SUMIF('SAP Working'!$A$4:$A$91,A15,'SAP Working'!$M$4:$M$91)/10^7+0.48</f>
        <v>292.56409708499979</v>
      </c>
      <c r="I15" s="316"/>
      <c r="J15" s="314">
        <f>SUM(G15:I16)</f>
        <v>298.96806508499981</v>
      </c>
      <c r="K15" s="378">
        <f>F15-J15</f>
        <v>-241.85291318499981</v>
      </c>
      <c r="L15" s="385"/>
      <c r="M15" s="385"/>
      <c r="N15" s="272"/>
    </row>
    <row r="16" spans="1:21" s="273" customFormat="1" outlineLevel="1" x14ac:dyDescent="0.25">
      <c r="A16" s="311"/>
      <c r="B16" s="313"/>
      <c r="C16" s="321"/>
      <c r="D16" s="319"/>
      <c r="E16" s="265"/>
      <c r="F16" s="317"/>
      <c r="G16" s="317"/>
      <c r="H16" s="317"/>
      <c r="I16" s="317"/>
      <c r="J16" s="315"/>
      <c r="K16" s="379"/>
      <c r="L16" s="385"/>
      <c r="M16" s="385"/>
      <c r="N16" s="272"/>
    </row>
    <row r="17" spans="1:14" s="273" customFormat="1" outlineLevel="1" x14ac:dyDescent="0.25">
      <c r="A17" s="310">
        <v>5.3</v>
      </c>
      <c r="B17" s="312" t="s">
        <v>1567</v>
      </c>
      <c r="C17" s="320" t="s">
        <v>845</v>
      </c>
      <c r="D17" s="318" t="s">
        <v>752</v>
      </c>
      <c r="E17" s="263"/>
      <c r="F17" s="316">
        <v>18.882638100000001</v>
      </c>
      <c r="G17" s="316">
        <f>SUMIF('SAP Working'!$A$4:$A$91,A17,'SAP Working'!$L$4:$L$91)/10^7</f>
        <v>5.3440349999999999</v>
      </c>
      <c r="H17" s="316">
        <f>SUMIF('SAP Working'!$A$4:$A$91,A17,'SAP Working'!$M$4:$M$91)/10^7</f>
        <v>64.503797489999997</v>
      </c>
      <c r="I17" s="316"/>
      <c r="J17" s="314">
        <f>SUM(G17:I18)</f>
        <v>69.847832490000002</v>
      </c>
      <c r="K17" s="378">
        <f>F17-J17</f>
        <v>-50.965194390000001</v>
      </c>
      <c r="L17" s="385"/>
      <c r="M17" s="385"/>
      <c r="N17" s="272"/>
    </row>
    <row r="18" spans="1:14" s="273" customFormat="1" outlineLevel="1" x14ac:dyDescent="0.25">
      <c r="A18" s="311"/>
      <c r="B18" s="313"/>
      <c r="C18" s="321"/>
      <c r="D18" s="319"/>
      <c r="E18" s="265"/>
      <c r="F18" s="317"/>
      <c r="G18" s="317"/>
      <c r="H18" s="317"/>
      <c r="I18" s="317"/>
      <c r="J18" s="315"/>
      <c r="K18" s="379"/>
      <c r="L18" s="385"/>
      <c r="M18" s="385"/>
      <c r="N18" s="272"/>
    </row>
    <row r="19" spans="1:14" s="273" customFormat="1" outlineLevel="1" x14ac:dyDescent="0.25">
      <c r="A19" s="310">
        <v>5.4</v>
      </c>
      <c r="B19" s="312" t="s">
        <v>1568</v>
      </c>
      <c r="C19" s="320" t="s">
        <v>532</v>
      </c>
      <c r="D19" s="318" t="s">
        <v>245</v>
      </c>
      <c r="E19" s="263"/>
      <c r="F19" s="316">
        <v>2.492267</v>
      </c>
      <c r="G19" s="316">
        <f>SUMIF('SAP Working'!$A$4:$A$91,A19,'SAP Working'!$L$4:$L$91)/10^7</f>
        <v>2.4958889999999991</v>
      </c>
      <c r="H19" s="316">
        <f>SUMIF('SAP Working'!$A$4:$A$91,A19,'SAP Working'!$M$4:$M$91)/10^7</f>
        <v>221.38595284499979</v>
      </c>
      <c r="I19" s="316"/>
      <c r="J19" s="314">
        <f>SUM(G19:I19)</f>
        <v>223.8818418449998</v>
      </c>
      <c r="K19" s="378">
        <f>F19-J19</f>
        <v>-221.3895748449998</v>
      </c>
      <c r="L19" s="384"/>
      <c r="M19" s="384"/>
      <c r="N19" s="272"/>
    </row>
    <row r="20" spans="1:14" s="273" customFormat="1" outlineLevel="1" x14ac:dyDescent="0.25">
      <c r="A20" s="311"/>
      <c r="B20" s="313"/>
      <c r="C20" s="321"/>
      <c r="D20" s="319"/>
      <c r="E20" s="265"/>
      <c r="F20" s="317"/>
      <c r="G20" s="317"/>
      <c r="H20" s="317"/>
      <c r="I20" s="317"/>
      <c r="J20" s="315"/>
      <c r="K20" s="379"/>
      <c r="L20" s="384"/>
      <c r="M20" s="384"/>
      <c r="N20" s="272"/>
    </row>
    <row r="21" spans="1:14" s="282" customFormat="1" outlineLevel="1" x14ac:dyDescent="0.35">
      <c r="A21" s="310">
        <v>5.5</v>
      </c>
      <c r="B21" s="312" t="s">
        <v>2312</v>
      </c>
      <c r="C21" s="320" t="s">
        <v>136</v>
      </c>
      <c r="D21" s="318" t="s">
        <v>242</v>
      </c>
      <c r="E21" s="263"/>
      <c r="F21" s="316">
        <f>46.4689843747</f>
        <v>46.4689843747</v>
      </c>
      <c r="G21" s="316">
        <f>SUMIF('SAP Working'!$A$4:$A$91,A21,'SAP Working'!$L$4:$L$91)/10^7</f>
        <v>8.1224129999999999</v>
      </c>
      <c r="H21" s="316">
        <f>SUMIF('SAP Working'!$A$4:$A$91,A21,'SAP Working'!$M$4:$M$91)/10^7+4</f>
        <v>1734.4940037249989</v>
      </c>
      <c r="I21" s="316"/>
      <c r="J21" s="314">
        <f>SUM(G21:I22)</f>
        <v>1742.616416724999</v>
      </c>
      <c r="K21" s="378">
        <f>F21-J21</f>
        <v>-1696.1474323502989</v>
      </c>
      <c r="L21" s="385"/>
      <c r="M21" s="385"/>
      <c r="N21" s="272"/>
    </row>
    <row r="22" spans="1:14" s="282" customFormat="1" outlineLevel="1" x14ac:dyDescent="0.35">
      <c r="A22" s="311"/>
      <c r="B22" s="313"/>
      <c r="C22" s="321"/>
      <c r="D22" s="319"/>
      <c r="E22" s="265"/>
      <c r="F22" s="317"/>
      <c r="G22" s="317"/>
      <c r="H22" s="317"/>
      <c r="I22" s="317"/>
      <c r="J22" s="315"/>
      <c r="K22" s="379"/>
      <c r="L22" s="385"/>
      <c r="M22" s="385"/>
      <c r="N22" s="272"/>
    </row>
    <row r="23" spans="1:14" s="262" customFormat="1" x14ac:dyDescent="0.25">
      <c r="A23" s="412">
        <v>6</v>
      </c>
      <c r="B23" s="409" t="s">
        <v>1570</v>
      </c>
      <c r="C23" s="409"/>
      <c r="D23" s="413" t="s">
        <v>1532</v>
      </c>
      <c r="E23" s="414"/>
      <c r="F23" s="428">
        <v>18.156851457948676</v>
      </c>
      <c r="G23" s="428">
        <f>SUMIF('SAP Working'!$A$4:$A$91,A23,'SAP Working'!$L$4:$L$91)/10^7</f>
        <v>0</v>
      </c>
      <c r="H23" s="428">
        <f>SUMIF('SAP Working'!$A$4:$A$91,A23,'SAP Working'!$M$4:$M$91)/10^7-7</f>
        <v>298.87684251499996</v>
      </c>
      <c r="I23" s="429"/>
      <c r="J23" s="403">
        <f>SUM(G23:I25)</f>
        <v>298.87684251499996</v>
      </c>
      <c r="K23" s="404">
        <f>F23-J23</f>
        <v>-280.71999105705129</v>
      </c>
      <c r="L23" s="400"/>
      <c r="M23" s="400"/>
      <c r="N23" s="278"/>
    </row>
    <row r="24" spans="1:14" s="262" customFormat="1" x14ac:dyDescent="0.25">
      <c r="A24" s="430"/>
      <c r="B24" s="410"/>
      <c r="C24" s="410"/>
      <c r="D24" s="418" t="s">
        <v>1533</v>
      </c>
      <c r="E24" s="419"/>
      <c r="F24" s="431"/>
      <c r="G24" s="431"/>
      <c r="H24" s="431"/>
      <c r="I24" s="432"/>
      <c r="J24" s="405"/>
      <c r="K24" s="406"/>
      <c r="L24" s="400"/>
      <c r="M24" s="400"/>
      <c r="N24" s="278"/>
    </row>
    <row r="25" spans="1:14" s="262" customFormat="1" x14ac:dyDescent="0.25">
      <c r="A25" s="417"/>
      <c r="B25" s="411"/>
      <c r="C25" s="411"/>
      <c r="D25" s="433" t="s">
        <v>240</v>
      </c>
      <c r="E25" s="434"/>
      <c r="F25" s="435"/>
      <c r="G25" s="435"/>
      <c r="H25" s="435"/>
      <c r="I25" s="436"/>
      <c r="J25" s="407"/>
      <c r="K25" s="408"/>
      <c r="L25" s="437"/>
      <c r="M25" s="437"/>
      <c r="N25" s="278"/>
    </row>
    <row r="26" spans="1:14" s="262" customFormat="1" collapsed="1" x14ac:dyDescent="0.25">
      <c r="A26" s="412">
        <v>7</v>
      </c>
      <c r="B26" s="409" t="s">
        <v>1572</v>
      </c>
      <c r="C26" s="414"/>
      <c r="D26" s="414"/>
      <c r="E26" s="414"/>
      <c r="F26" s="415">
        <f>SUM(F28:F41)</f>
        <v>66.959400420000009</v>
      </c>
      <c r="G26" s="415">
        <f>SUM(G28:G41)</f>
        <v>57.974556</v>
      </c>
      <c r="H26" s="415">
        <f>SUM(H28:H41)</f>
        <v>5161.9556249999996</v>
      </c>
      <c r="I26" s="393">
        <f>SUM(I28:I41)</f>
        <v>0</v>
      </c>
      <c r="J26" s="393">
        <f>SUM(J28:J41)</f>
        <v>66.959400420000009</v>
      </c>
      <c r="K26" s="394">
        <f>F26-J26</f>
        <v>0</v>
      </c>
      <c r="L26" s="400"/>
      <c r="M26" s="400"/>
      <c r="N26" s="278"/>
    </row>
    <row r="27" spans="1:14" s="262" customFormat="1" x14ac:dyDescent="0.25">
      <c r="A27" s="417"/>
      <c r="B27" s="411"/>
      <c r="C27" s="419"/>
      <c r="D27" s="419"/>
      <c r="E27" s="419"/>
      <c r="F27" s="420"/>
      <c r="G27" s="420"/>
      <c r="H27" s="420"/>
      <c r="I27" s="397"/>
      <c r="J27" s="397"/>
      <c r="K27" s="398"/>
      <c r="L27" s="400"/>
      <c r="M27" s="400"/>
      <c r="N27" s="278"/>
    </row>
    <row r="28" spans="1:14" s="273" customFormat="1" outlineLevel="1" x14ac:dyDescent="0.25">
      <c r="A28" s="283">
        <v>7.1</v>
      </c>
      <c r="B28" s="284" t="s">
        <v>200</v>
      </c>
      <c r="C28" s="284"/>
      <c r="D28" s="308" t="s">
        <v>215</v>
      </c>
      <c r="E28" s="284"/>
      <c r="F28" s="268">
        <v>26.218920000000001</v>
      </c>
      <c r="G28" s="268">
        <f>SUMIF('SAP Working'!$A$4:$A$91,A28,'SAP Working'!$L$4:$L$91)/10^7</f>
        <v>28.987278</v>
      </c>
      <c r="H28" s="268">
        <f>SUMIF('SAP Working'!$A$4:$A$91,A28,'SAP Working'!$M$4:$M$91)/10^7</f>
        <v>2580.9778124999998</v>
      </c>
      <c r="I28" s="269"/>
      <c r="J28" s="270">
        <v>26.218920000000001</v>
      </c>
      <c r="K28" s="380">
        <f t="shared" ref="K28:K42" si="0">F28-J28</f>
        <v>0</v>
      </c>
      <c r="L28" s="389"/>
      <c r="M28" s="389"/>
    </row>
    <row r="29" spans="1:14" s="273" customFormat="1" outlineLevel="1" x14ac:dyDescent="0.25">
      <c r="A29" s="283">
        <v>7.2</v>
      </c>
      <c r="B29" s="284" t="s">
        <v>83</v>
      </c>
      <c r="C29" s="284"/>
      <c r="D29" s="308" t="s">
        <v>82</v>
      </c>
      <c r="E29" s="284"/>
      <c r="F29" s="268">
        <v>8.71236459</v>
      </c>
      <c r="G29" s="268">
        <f>SUMIF('SAP Working'!$A$4:$A$91,A29,'SAP Working'!$L$4:$L$91)/10^7</f>
        <v>0</v>
      </c>
      <c r="H29" s="268">
        <f>SUMIF('SAP Working'!$A$4:$A$91,A29,'SAP Working'!$M$4:$M$91)/10^7</f>
        <v>0</v>
      </c>
      <c r="I29" s="269"/>
      <c r="J29" s="270">
        <v>8.71236459</v>
      </c>
      <c r="K29" s="380">
        <f t="shared" si="0"/>
        <v>0</v>
      </c>
      <c r="L29" s="389"/>
      <c r="M29" s="389"/>
    </row>
    <row r="30" spans="1:14" s="273" customFormat="1" outlineLevel="1" x14ac:dyDescent="0.25">
      <c r="A30" s="283">
        <v>7.2</v>
      </c>
      <c r="B30" s="284" t="s">
        <v>182</v>
      </c>
      <c r="C30" s="284"/>
      <c r="D30" s="308" t="s">
        <v>216</v>
      </c>
      <c r="E30" s="284"/>
      <c r="F30" s="268">
        <v>0.99063270000000003</v>
      </c>
      <c r="G30" s="268">
        <f>SUMIF('SAP Working'!$A$4:$A$91,A30,'SAP Working'!$L$4:$L$91)/10^7</f>
        <v>0</v>
      </c>
      <c r="H30" s="268">
        <f>SUMIF('SAP Working'!$A$4:$A$91,A30,'SAP Working'!$M$4:$M$91)/10^7</f>
        <v>0</v>
      </c>
      <c r="I30" s="269"/>
      <c r="J30" s="270">
        <v>0.99063270000000003</v>
      </c>
      <c r="K30" s="380">
        <f t="shared" si="0"/>
        <v>0</v>
      </c>
      <c r="L30" s="389"/>
      <c r="M30" s="389"/>
    </row>
    <row r="31" spans="1:14" s="273" customFormat="1" outlineLevel="1" x14ac:dyDescent="0.25">
      <c r="A31" s="283">
        <v>7.2</v>
      </c>
      <c r="B31" s="284" t="s">
        <v>78</v>
      </c>
      <c r="C31" s="284"/>
      <c r="D31" s="308" t="s">
        <v>110</v>
      </c>
      <c r="E31" s="284"/>
      <c r="F31" s="268">
        <v>1.2229425</v>
      </c>
      <c r="G31" s="268">
        <f>SUMIF('SAP Working'!$A$4:$A$91,A31,'SAP Working'!$L$4:$L$91)/10^7</f>
        <v>0</v>
      </c>
      <c r="H31" s="268">
        <f>SUMIF('SAP Working'!$A$4:$A$91,A31,'SAP Working'!$M$4:$M$91)/10^7</f>
        <v>0</v>
      </c>
      <c r="I31" s="269"/>
      <c r="J31" s="270">
        <v>1.2229425</v>
      </c>
      <c r="K31" s="380">
        <f t="shared" si="0"/>
        <v>0</v>
      </c>
      <c r="L31" s="389"/>
      <c r="M31" s="389"/>
    </row>
    <row r="32" spans="1:14" s="273" customFormat="1" outlineLevel="1" x14ac:dyDescent="0.25">
      <c r="A32" s="283">
        <v>7.2</v>
      </c>
      <c r="B32" s="284" t="s">
        <v>1356</v>
      </c>
      <c r="C32" s="284"/>
      <c r="D32" s="308" t="s">
        <v>731</v>
      </c>
      <c r="E32" s="284"/>
      <c r="F32" s="268">
        <v>0.21628997999999999</v>
      </c>
      <c r="G32" s="268">
        <f>SUMIF('SAP Working'!$A$4:$A$91,A32,'SAP Working'!$L$4:$L$91)/10^7</f>
        <v>0</v>
      </c>
      <c r="H32" s="268">
        <f>SUMIF('SAP Working'!$A$4:$A$91,A32,'SAP Working'!$M$4:$M$91)/10^7</f>
        <v>0</v>
      </c>
      <c r="I32" s="269"/>
      <c r="J32" s="270">
        <v>0.21628997999999999</v>
      </c>
      <c r="K32" s="380">
        <f t="shared" si="0"/>
        <v>0</v>
      </c>
      <c r="L32" s="389"/>
      <c r="M32" s="389"/>
    </row>
    <row r="33" spans="1:14" s="273" customFormat="1" outlineLevel="1" x14ac:dyDescent="0.25">
      <c r="A33" s="283">
        <v>7.6</v>
      </c>
      <c r="B33" s="284" t="s">
        <v>172</v>
      </c>
      <c r="C33" s="284"/>
      <c r="D33" s="308" t="s">
        <v>230</v>
      </c>
      <c r="E33" s="284"/>
      <c r="F33" s="268">
        <v>0.60668999999999995</v>
      </c>
      <c r="G33" s="268">
        <f>SUMIF('SAP Working'!$A$4:$A$91,A33,'SAP Working'!$L$4:$L$91)/10^7</f>
        <v>0</v>
      </c>
      <c r="H33" s="268">
        <f>SUMIF('SAP Working'!$A$4:$A$91,A33,'SAP Working'!$M$4:$M$91)/10^7</f>
        <v>0</v>
      </c>
      <c r="I33" s="269"/>
      <c r="J33" s="270">
        <v>0.60668999999999995</v>
      </c>
      <c r="K33" s="380">
        <f t="shared" si="0"/>
        <v>0</v>
      </c>
      <c r="L33" s="389"/>
      <c r="M33" s="389"/>
    </row>
    <row r="34" spans="1:14" s="273" customFormat="1" outlineLevel="1" x14ac:dyDescent="0.25">
      <c r="A34" s="283">
        <v>7.7</v>
      </c>
      <c r="B34" s="284" t="s">
        <v>97</v>
      </c>
      <c r="C34" s="284"/>
      <c r="D34" s="308" t="s">
        <v>96</v>
      </c>
      <c r="E34" s="284"/>
      <c r="F34" s="268">
        <v>21.105624599999999</v>
      </c>
      <c r="G34" s="268">
        <f>SUMIF('SAP Working'!$A$4:$A$91,A34,'SAP Working'!$L$4:$L$91)/10^7</f>
        <v>0</v>
      </c>
      <c r="H34" s="268">
        <f>SUMIF('SAP Working'!$A$4:$A$91,A34,'SAP Working'!$M$4:$M$91)/10^7</f>
        <v>0</v>
      </c>
      <c r="I34" s="269"/>
      <c r="J34" s="270">
        <v>21.105624599999999</v>
      </c>
      <c r="K34" s="380">
        <f t="shared" si="0"/>
        <v>0</v>
      </c>
      <c r="L34" s="389"/>
      <c r="M34" s="389"/>
    </row>
    <row r="35" spans="1:14" s="273" customFormat="1" outlineLevel="1" x14ac:dyDescent="0.25">
      <c r="A35" s="283">
        <v>7.8</v>
      </c>
      <c r="B35" s="284" t="s">
        <v>174</v>
      </c>
      <c r="C35" s="284"/>
      <c r="D35" s="308" t="s">
        <v>217</v>
      </c>
      <c r="E35" s="284"/>
      <c r="F35" s="268">
        <v>1.7240975999999999</v>
      </c>
      <c r="G35" s="268">
        <f>SUMIF('SAP Working'!$A$4:$A$91,A35,'SAP Working'!$L$4:$L$91)/10^7</f>
        <v>0</v>
      </c>
      <c r="H35" s="268">
        <f>SUMIF('SAP Working'!$A$4:$A$91,A35,'SAP Working'!$M$4:$M$91)/10^7</f>
        <v>0</v>
      </c>
      <c r="I35" s="269"/>
      <c r="J35" s="270">
        <v>1.7240975999999999</v>
      </c>
      <c r="K35" s="380">
        <f t="shared" si="0"/>
        <v>0</v>
      </c>
      <c r="L35" s="390"/>
      <c r="M35" s="390"/>
    </row>
    <row r="36" spans="1:14" s="273" customFormat="1" outlineLevel="1" x14ac:dyDescent="0.25">
      <c r="A36" s="283">
        <v>7.9</v>
      </c>
      <c r="B36" s="284" t="s">
        <v>49</v>
      </c>
      <c r="C36" s="284"/>
      <c r="D36" s="308" t="s">
        <v>109</v>
      </c>
      <c r="E36" s="284"/>
      <c r="F36" s="268">
        <v>1.6898098500000001</v>
      </c>
      <c r="G36" s="268">
        <f>SUMIF('SAP Working'!$A$4:$A$91,A36,'SAP Working'!$L$4:$L$91)/10^7</f>
        <v>0</v>
      </c>
      <c r="H36" s="268">
        <f>SUMIF('SAP Working'!$A$4:$A$91,A36,'SAP Working'!$M$4:$M$91)/10^7</f>
        <v>0</v>
      </c>
      <c r="I36" s="269"/>
      <c r="J36" s="270">
        <v>1.6898098500000001</v>
      </c>
      <c r="K36" s="380">
        <f t="shared" si="0"/>
        <v>0</v>
      </c>
      <c r="L36" s="389"/>
      <c r="M36" s="389"/>
    </row>
    <row r="37" spans="1:14" s="273" customFormat="1" outlineLevel="1" x14ac:dyDescent="0.25">
      <c r="A37" s="285" t="s">
        <v>1577</v>
      </c>
      <c r="B37" s="284" t="s">
        <v>1375</v>
      </c>
      <c r="C37" s="284"/>
      <c r="D37" s="308" t="s">
        <v>2189</v>
      </c>
      <c r="E37" s="284"/>
      <c r="F37" s="268">
        <v>0.26825175000000001</v>
      </c>
      <c r="G37" s="268">
        <f>SUMIF('SAP Working'!$A$4:$A$91,A37,'SAP Working'!$L$4:$L$91)/10^7</f>
        <v>28.987278</v>
      </c>
      <c r="H37" s="268">
        <f>SUMIF('SAP Working'!$A$4:$A$91,A37,'SAP Working'!$M$4:$M$91)/10^7</f>
        <v>2580.9778124999998</v>
      </c>
      <c r="I37" s="269"/>
      <c r="J37" s="270">
        <v>0.26825175000000001</v>
      </c>
      <c r="K37" s="380">
        <f t="shared" si="0"/>
        <v>0</v>
      </c>
      <c r="L37" s="389"/>
      <c r="M37" s="389"/>
    </row>
    <row r="38" spans="1:14" s="273" customFormat="1" outlineLevel="1" x14ac:dyDescent="0.25">
      <c r="A38" s="283">
        <v>7.11</v>
      </c>
      <c r="B38" s="284" t="s">
        <v>210</v>
      </c>
      <c r="C38" s="284"/>
      <c r="D38" s="308" t="s">
        <v>1148</v>
      </c>
      <c r="E38" s="284"/>
      <c r="F38" s="268">
        <v>0.490815</v>
      </c>
      <c r="G38" s="268">
        <f>SUMIF('SAP Working'!$A$4:$A$91,A38,'SAP Working'!$L$4:$L$91)/10^7</f>
        <v>0</v>
      </c>
      <c r="H38" s="268">
        <f>SUMIF('SAP Working'!$A$4:$A$91,A38,'SAP Working'!$M$4:$M$91)/10^7</f>
        <v>0</v>
      </c>
      <c r="I38" s="269"/>
      <c r="J38" s="270">
        <v>0.490815</v>
      </c>
      <c r="K38" s="380">
        <f t="shared" si="0"/>
        <v>0</v>
      </c>
      <c r="L38" s="389"/>
      <c r="M38" s="389"/>
    </row>
    <row r="39" spans="1:14" s="273" customFormat="1" outlineLevel="1" x14ac:dyDescent="0.25">
      <c r="A39" s="283">
        <v>7.12</v>
      </c>
      <c r="B39" s="284" t="s">
        <v>1380</v>
      </c>
      <c r="C39" s="284"/>
      <c r="D39" s="308" t="s">
        <v>737</v>
      </c>
      <c r="E39" s="284"/>
      <c r="F39" s="268">
        <v>0.24140249999999999</v>
      </c>
      <c r="G39" s="268">
        <f>SUMIF('SAP Working'!$A$4:$A$91,A39,'SAP Working'!$L$4:$L$91)/10^7</f>
        <v>0</v>
      </c>
      <c r="H39" s="268">
        <f>SUMIF('SAP Working'!$A$4:$A$91,A39,'SAP Working'!$M$4:$M$91)/10^7</f>
        <v>0</v>
      </c>
      <c r="I39" s="269"/>
      <c r="J39" s="270">
        <v>0.24140249999999999</v>
      </c>
      <c r="K39" s="380">
        <f t="shared" si="0"/>
        <v>0</v>
      </c>
      <c r="L39" s="389"/>
      <c r="M39" s="389"/>
    </row>
    <row r="40" spans="1:14" s="273" customFormat="1" outlineLevel="1" x14ac:dyDescent="0.25">
      <c r="A40" s="283">
        <v>7.13</v>
      </c>
      <c r="B40" s="284" t="s">
        <v>1383</v>
      </c>
      <c r="C40" s="284"/>
      <c r="D40" s="308" t="s">
        <v>2196</v>
      </c>
      <c r="E40" s="284"/>
      <c r="F40" s="268">
        <v>2.4254133750000002</v>
      </c>
      <c r="G40" s="268">
        <f>SUMIF('SAP Working'!$A$4:$A$91,A40,'SAP Working'!$L$4:$L$91)/10^7</f>
        <v>0</v>
      </c>
      <c r="H40" s="268">
        <f>SUMIF('SAP Working'!$A$4:$A$91,A40,'SAP Working'!$M$4:$M$91)/10^7</f>
        <v>0</v>
      </c>
      <c r="I40" s="269"/>
      <c r="J40" s="270">
        <v>2.4254133750000002</v>
      </c>
      <c r="K40" s="380">
        <f t="shared" si="0"/>
        <v>0</v>
      </c>
      <c r="L40" s="389"/>
      <c r="M40" s="389"/>
    </row>
    <row r="41" spans="1:14" s="273" customFormat="1" outlineLevel="1" x14ac:dyDescent="0.25">
      <c r="A41" s="283">
        <v>7.14</v>
      </c>
      <c r="B41" s="284" t="s">
        <v>1387</v>
      </c>
      <c r="C41" s="284"/>
      <c r="D41" s="308" t="s">
        <v>732</v>
      </c>
      <c r="E41" s="284"/>
      <c r="F41" s="268">
        <v>1.046145975</v>
      </c>
      <c r="G41" s="268">
        <f>SUMIF('SAP Working'!$A$4:$A$91,A41,'SAP Working'!$L$4:$L$91)/10^7</f>
        <v>0</v>
      </c>
      <c r="H41" s="268">
        <f>SUMIF('SAP Working'!$A$4:$A$91,A41,'SAP Working'!$M$4:$M$91)/10^7</f>
        <v>0</v>
      </c>
      <c r="I41" s="269"/>
      <c r="J41" s="270">
        <v>1.046145975</v>
      </c>
      <c r="K41" s="380">
        <f t="shared" si="0"/>
        <v>0</v>
      </c>
      <c r="L41" s="389"/>
      <c r="M41" s="389"/>
    </row>
    <row r="42" spans="1:14" s="262" customFormat="1" x14ac:dyDescent="0.25">
      <c r="A42" s="412">
        <v>8</v>
      </c>
      <c r="B42" s="409" t="s">
        <v>1582</v>
      </c>
      <c r="C42" s="409" t="s">
        <v>565</v>
      </c>
      <c r="D42" s="414"/>
      <c r="E42" s="414"/>
      <c r="F42" s="415">
        <v>13.430602330679271</v>
      </c>
      <c r="G42" s="415">
        <f>SUMIF('SAP Working'!$A$4:$A$91,A42,'SAP Working'!$L$4:$L$91)/10^7</f>
        <v>0.23077500000000001</v>
      </c>
      <c r="H42" s="415">
        <f>SUMIF('SAP Working'!$A$4:$A$91,A42,'SAP Working'!$M$4:$M$91)/10^7</f>
        <v>6.5247119099999997</v>
      </c>
      <c r="I42" s="415"/>
      <c r="J42" s="393">
        <f>F42</f>
        <v>13.430602330679271</v>
      </c>
      <c r="K42" s="394">
        <f t="shared" si="0"/>
        <v>0</v>
      </c>
      <c r="L42" s="400"/>
      <c r="M42" s="400"/>
      <c r="N42" s="278"/>
    </row>
    <row r="43" spans="1:14" s="262" customFormat="1" x14ac:dyDescent="0.25">
      <c r="A43" s="417"/>
      <c r="B43" s="411"/>
      <c r="C43" s="411"/>
      <c r="D43" s="419"/>
      <c r="E43" s="419"/>
      <c r="F43" s="420"/>
      <c r="G43" s="420"/>
      <c r="H43" s="420"/>
      <c r="I43" s="420"/>
      <c r="J43" s="397"/>
      <c r="K43" s="398"/>
      <c r="L43" s="400"/>
      <c r="M43" s="400"/>
      <c r="N43" s="278"/>
    </row>
    <row r="44" spans="1:14" s="262" customFormat="1" x14ac:dyDescent="0.25">
      <c r="A44" s="412">
        <v>9</v>
      </c>
      <c r="B44" s="409" t="s">
        <v>1584</v>
      </c>
      <c r="C44" s="414"/>
      <c r="D44" s="413" t="s">
        <v>740</v>
      </c>
      <c r="E44" s="414"/>
      <c r="F44" s="428">
        <v>2.72</v>
      </c>
      <c r="G44" s="428">
        <f>SUMIF('SAP Working'!$A$4:$A$91,A44,'SAP Working'!$L$4:$L$91)/10^7</f>
        <v>1.1807519999999996</v>
      </c>
      <c r="H44" s="428">
        <f>SUMIF('SAP Working'!$A$4:$A$91,A44,'SAP Working'!$M$4:$M$91)/10^7+0.0131202990000002</f>
        <v>981.52801065900007</v>
      </c>
      <c r="I44" s="429"/>
      <c r="J44" s="403">
        <f>F44</f>
        <v>2.72</v>
      </c>
      <c r="K44" s="394">
        <f>F44-J44</f>
        <v>0</v>
      </c>
      <c r="L44" s="400"/>
      <c r="M44" s="400"/>
      <c r="N44" s="278"/>
    </row>
    <row r="45" spans="1:14" s="262" customFormat="1" x14ac:dyDescent="0.25">
      <c r="A45" s="430"/>
      <c r="B45" s="410"/>
      <c r="C45" s="419"/>
      <c r="D45" s="418" t="s">
        <v>723</v>
      </c>
      <c r="E45" s="419"/>
      <c r="F45" s="431"/>
      <c r="G45" s="431"/>
      <c r="H45" s="431"/>
      <c r="I45" s="432"/>
      <c r="J45" s="405"/>
      <c r="K45" s="398"/>
      <c r="L45" s="400"/>
      <c r="M45" s="400"/>
      <c r="N45" s="278"/>
    </row>
    <row r="46" spans="1:14" s="262" customFormat="1" x14ac:dyDescent="0.25">
      <c r="A46" s="430"/>
      <c r="B46" s="410"/>
      <c r="C46" s="434"/>
      <c r="D46" s="433" t="s">
        <v>2155</v>
      </c>
      <c r="E46" s="434"/>
      <c r="F46" s="431"/>
      <c r="G46" s="431"/>
      <c r="H46" s="431"/>
      <c r="I46" s="432"/>
      <c r="J46" s="405"/>
      <c r="K46" s="438"/>
      <c r="L46" s="437"/>
      <c r="M46" s="437"/>
      <c r="N46" s="278"/>
    </row>
    <row r="47" spans="1:14" s="262" customFormat="1" x14ac:dyDescent="0.25">
      <c r="A47" s="417"/>
      <c r="B47" s="411"/>
      <c r="C47" s="434"/>
      <c r="D47" s="433" t="s">
        <v>685</v>
      </c>
      <c r="E47" s="434"/>
      <c r="F47" s="435"/>
      <c r="G47" s="435"/>
      <c r="H47" s="435"/>
      <c r="I47" s="436"/>
      <c r="J47" s="407"/>
      <c r="K47" s="438"/>
      <c r="L47" s="437"/>
      <c r="M47" s="437"/>
      <c r="N47" s="278"/>
    </row>
    <row r="48" spans="1:14" s="262" customFormat="1" x14ac:dyDescent="0.25">
      <c r="A48" s="412">
        <v>10</v>
      </c>
      <c r="B48" s="409" t="s">
        <v>795</v>
      </c>
      <c r="C48" s="414"/>
      <c r="D48" s="414"/>
      <c r="E48" s="413" t="s">
        <v>841</v>
      </c>
      <c r="F48" s="415">
        <v>205.03135183333299</v>
      </c>
      <c r="G48" s="415">
        <f>SUMIF('SAP Working'!$A$4:$A$91,A48,'SAP Working'!$L$4:$L$91)/10^7</f>
        <v>0.741591</v>
      </c>
      <c r="H48" s="415">
        <f>SUMIF('SAP Working'!$A$4:$A$91,A48,'SAP Working'!$M$4:$M$91)/10^7</f>
        <v>143.25459250500001</v>
      </c>
      <c r="I48" s="415"/>
      <c r="J48" s="393">
        <f>F48</f>
        <v>205.03135183333299</v>
      </c>
      <c r="K48" s="394">
        <f>F48-J48</f>
        <v>0</v>
      </c>
      <c r="L48" s="400"/>
      <c r="M48" s="400"/>
      <c r="N48" s="278"/>
    </row>
    <row r="49" spans="1:14" s="262" customFormat="1" x14ac:dyDescent="0.25">
      <c r="A49" s="430"/>
      <c r="B49" s="410"/>
      <c r="C49" s="434"/>
      <c r="D49" s="434"/>
      <c r="E49" s="433" t="s">
        <v>2206</v>
      </c>
      <c r="F49" s="441"/>
      <c r="G49" s="441"/>
      <c r="H49" s="441"/>
      <c r="I49" s="441"/>
      <c r="J49" s="439"/>
      <c r="K49" s="440"/>
      <c r="L49" s="400"/>
      <c r="M49" s="400"/>
      <c r="N49" s="278"/>
    </row>
    <row r="50" spans="1:14" s="262" customFormat="1" x14ac:dyDescent="0.25">
      <c r="A50" s="430"/>
      <c r="B50" s="410"/>
      <c r="C50" s="434"/>
      <c r="D50" s="434"/>
      <c r="E50" s="433" t="s">
        <v>2209</v>
      </c>
      <c r="F50" s="441"/>
      <c r="G50" s="441"/>
      <c r="H50" s="441"/>
      <c r="I50" s="441"/>
      <c r="J50" s="439"/>
      <c r="K50" s="440"/>
      <c r="L50" s="400"/>
      <c r="M50" s="400"/>
      <c r="N50" s="278"/>
    </row>
    <row r="51" spans="1:14" s="262" customFormat="1" x14ac:dyDescent="0.25">
      <c r="A51" s="430"/>
      <c r="B51" s="410"/>
      <c r="C51" s="434"/>
      <c r="D51" s="434"/>
      <c r="E51" s="433" t="s">
        <v>2212</v>
      </c>
      <c r="F51" s="441"/>
      <c r="G51" s="441"/>
      <c r="H51" s="441"/>
      <c r="I51" s="441"/>
      <c r="J51" s="439"/>
      <c r="K51" s="440"/>
      <c r="L51" s="400"/>
      <c r="M51" s="400"/>
      <c r="N51" s="278"/>
    </row>
    <row r="52" spans="1:14" s="262" customFormat="1" x14ac:dyDescent="0.25">
      <c r="A52" s="412">
        <v>11</v>
      </c>
      <c r="B52" s="409" t="s">
        <v>1587</v>
      </c>
      <c r="C52" s="414"/>
      <c r="D52" s="414"/>
      <c r="E52" s="414"/>
      <c r="F52" s="415">
        <v>435.21462372570352</v>
      </c>
      <c r="G52" s="415">
        <f>18%*SUM(G48,G44,G42,G26,G23,G13,G12,G11)</f>
        <v>19.84555187055</v>
      </c>
      <c r="H52" s="415">
        <f>18%*SUM(H48,H44,H42,H26,H23,H13,H12,H11)</f>
        <v>1741.2221353818329</v>
      </c>
      <c r="I52" s="415"/>
      <c r="J52" s="393">
        <f>18%*SUM(J48,J44,J42,J26,J23,J13,J12,J11)</f>
        <v>669.32282054418533</v>
      </c>
      <c r="K52" s="394">
        <f>18%*SUM(K48,K44,K42,K26,K23,K13,K12,K11)</f>
        <v>-144.58650234330909</v>
      </c>
      <c r="L52" s="416"/>
      <c r="M52" s="416"/>
      <c r="N52" s="278"/>
    </row>
    <row r="53" spans="1:14" s="262" customFormat="1" x14ac:dyDescent="0.25">
      <c r="A53" s="417"/>
      <c r="B53" s="411"/>
      <c r="C53" s="419"/>
      <c r="D53" s="419"/>
      <c r="E53" s="419"/>
      <c r="F53" s="420"/>
      <c r="G53" s="420"/>
      <c r="H53" s="420"/>
      <c r="I53" s="420"/>
      <c r="J53" s="397"/>
      <c r="K53" s="398"/>
      <c r="L53" s="416"/>
      <c r="M53" s="416"/>
      <c r="N53" s="278"/>
    </row>
    <row r="54" spans="1:14" s="289" customFormat="1" x14ac:dyDescent="0.25">
      <c r="A54" s="286" t="s">
        <v>1589</v>
      </c>
      <c r="B54" s="287"/>
      <c r="C54" s="287"/>
      <c r="D54" s="287"/>
      <c r="E54" s="287"/>
      <c r="F54" s="271">
        <f>SUM(F52,F48,F44:F47,F42,F26,F23,F13,F12,F11)</f>
        <v>3350.4163915083491</v>
      </c>
      <c r="G54" s="271">
        <f>SUM(G52,G48,G44,G42,G26,G23,G13,G12,G11)</f>
        <v>130.09861781805</v>
      </c>
      <c r="H54" s="271">
        <f>SUM(H52,H48,H44,H42,H26,H23,H13,H12,H11)</f>
        <v>11414.678443058681</v>
      </c>
      <c r="I54" s="288"/>
      <c r="J54" s="277">
        <f>SUM(J52,J48,J44,J42,J26,J23,J13,J12,J11)</f>
        <v>4387.7829346785484</v>
      </c>
      <c r="K54" s="380">
        <f>SUM(K52,K48,K44,K42,K26,K23,K13,K12,K11)</f>
        <v>-947.84484869502649</v>
      </c>
      <c r="L54" s="385"/>
      <c r="M54" s="385"/>
      <c r="N54" s="278"/>
    </row>
    <row r="55" spans="1:14" s="262" customFormat="1" x14ac:dyDescent="0.25">
      <c r="A55" s="421">
        <v>12</v>
      </c>
      <c r="B55" s="422" t="s">
        <v>1590</v>
      </c>
      <c r="C55" s="422"/>
      <c r="D55" s="422"/>
      <c r="E55" s="422"/>
      <c r="F55" s="442">
        <f>SUM(F56:F78)</f>
        <v>0</v>
      </c>
      <c r="G55" s="442">
        <f t="shared" ref="G55:H55" si="1">SUM(G56:G78)</f>
        <v>0</v>
      </c>
      <c r="H55" s="442">
        <f>SUM(H56:H78)</f>
        <v>0</v>
      </c>
      <c r="I55" s="442">
        <f>SUM(I56:I78)</f>
        <v>0</v>
      </c>
      <c r="J55" s="442">
        <f>SUM(J56:J78)</f>
        <v>0</v>
      </c>
      <c r="K55" s="402">
        <f>F55-J55</f>
        <v>0</v>
      </c>
      <c r="L55" s="400"/>
      <c r="M55" s="400"/>
      <c r="N55" s="278"/>
    </row>
    <row r="56" spans="1:14" s="262" customFormat="1" x14ac:dyDescent="0.25">
      <c r="A56" s="274">
        <v>12.01</v>
      </c>
      <c r="B56" s="275" t="s">
        <v>139</v>
      </c>
      <c r="C56" s="275"/>
      <c r="D56" s="275"/>
      <c r="E56" s="275" t="s">
        <v>778</v>
      </c>
      <c r="F56" s="290"/>
      <c r="G56" s="279">
        <f>SUMIF('SAP Working'!$A$4:$A$91,A56,'SAP Working'!$L$4:$L$91)/10^7</f>
        <v>0</v>
      </c>
      <c r="H56" s="279">
        <f>SUMIF('SAP Working'!$A$4:$A$91,A56,'SAP Working'!$M$4:$M$91)/10^7</f>
        <v>0</v>
      </c>
      <c r="I56" s="276"/>
      <c r="J56" s="270">
        <f>SUM(G56:I56)</f>
        <v>0</v>
      </c>
      <c r="K56" s="380">
        <f t="shared" ref="K56:K78" si="2">F56-J56</f>
        <v>0</v>
      </c>
      <c r="L56" s="388"/>
      <c r="M56" s="388"/>
      <c r="N56" s="278"/>
    </row>
    <row r="57" spans="1:14" s="262" customFormat="1" x14ac:dyDescent="0.25">
      <c r="A57" s="274">
        <v>12.02</v>
      </c>
      <c r="B57" s="275" t="s">
        <v>756</v>
      </c>
      <c r="C57" s="275"/>
      <c r="D57" s="275"/>
      <c r="E57" s="275" t="s">
        <v>760</v>
      </c>
      <c r="F57" s="290"/>
      <c r="G57" s="279">
        <f>SUMIF('SAP Working'!$A$4:$A$91,A57,'SAP Working'!$L$4:$L$91)/10^7</f>
        <v>0</v>
      </c>
      <c r="H57" s="279">
        <f>SUMIF('SAP Working'!$A$4:$A$91,A57,'SAP Working'!$M$4:$M$91)/10^7</f>
        <v>0</v>
      </c>
      <c r="I57" s="276"/>
      <c r="J57" s="270">
        <f t="shared" ref="J57:J78" si="3">SUM(G57:I57)</f>
        <v>0</v>
      </c>
      <c r="K57" s="380">
        <f t="shared" si="2"/>
        <v>0</v>
      </c>
      <c r="L57" s="388"/>
      <c r="M57" s="388"/>
      <c r="N57" s="278"/>
    </row>
    <row r="58" spans="1:14" s="262" customFormat="1" x14ac:dyDescent="0.25">
      <c r="A58" s="274">
        <v>12.03</v>
      </c>
      <c r="B58" s="275" t="s">
        <v>146</v>
      </c>
      <c r="C58" s="275"/>
      <c r="D58" s="275"/>
      <c r="E58" s="275" t="s">
        <v>150</v>
      </c>
      <c r="F58" s="290"/>
      <c r="G58" s="279">
        <f>SUMIF('SAP Working'!$A$4:$A$91,A58,'SAP Working'!$L$4:$L$91)/10^7</f>
        <v>0</v>
      </c>
      <c r="H58" s="279">
        <f>SUMIF('SAP Working'!$A$4:$A$91,A58,'SAP Working'!$M$4:$M$91)/10^7</f>
        <v>0</v>
      </c>
      <c r="I58" s="276"/>
      <c r="J58" s="270">
        <f t="shared" si="3"/>
        <v>0</v>
      </c>
      <c r="K58" s="380">
        <f t="shared" si="2"/>
        <v>0</v>
      </c>
      <c r="L58" s="388"/>
      <c r="M58" s="388"/>
      <c r="N58" s="278"/>
    </row>
    <row r="59" spans="1:14" s="262" customFormat="1" x14ac:dyDescent="0.25">
      <c r="A59" s="274">
        <v>12.04</v>
      </c>
      <c r="B59" s="275" t="s">
        <v>1408</v>
      </c>
      <c r="C59" s="275"/>
      <c r="D59" s="275"/>
      <c r="E59" s="275" t="s">
        <v>2223</v>
      </c>
      <c r="F59" s="290"/>
      <c r="G59" s="279">
        <f>SUMIF('SAP Working'!$A$4:$A$91,A59,'SAP Working'!$L$4:$L$91)/10^7</f>
        <v>0</v>
      </c>
      <c r="H59" s="279">
        <f>SUMIF('SAP Working'!$A$4:$A$91,A59,'SAP Working'!$M$4:$M$91)/10^7</f>
        <v>0</v>
      </c>
      <c r="I59" s="276"/>
      <c r="J59" s="270">
        <f t="shared" si="3"/>
        <v>0</v>
      </c>
      <c r="K59" s="380">
        <f t="shared" si="2"/>
        <v>0</v>
      </c>
      <c r="L59" s="388"/>
      <c r="M59" s="388"/>
      <c r="N59" s="278"/>
    </row>
    <row r="60" spans="1:14" s="262" customFormat="1" x14ac:dyDescent="0.25">
      <c r="A60" s="274">
        <v>12.05</v>
      </c>
      <c r="B60" s="275" t="s">
        <v>1412</v>
      </c>
      <c r="C60" s="275"/>
      <c r="D60" s="275"/>
      <c r="E60" s="275" t="s">
        <v>2226</v>
      </c>
      <c r="F60" s="290"/>
      <c r="G60" s="279">
        <f>SUMIF('SAP Working'!$A$4:$A$91,A60,'SAP Working'!$L$4:$L$91)/10^7</f>
        <v>0</v>
      </c>
      <c r="H60" s="279">
        <f>SUMIF('SAP Working'!$A$4:$A$91,A60,'SAP Working'!$M$4:$M$91)/10^7</f>
        <v>0</v>
      </c>
      <c r="I60" s="276"/>
      <c r="J60" s="270">
        <f t="shared" si="3"/>
        <v>0</v>
      </c>
      <c r="K60" s="380">
        <f t="shared" si="2"/>
        <v>0</v>
      </c>
      <c r="L60" s="388"/>
      <c r="M60" s="388"/>
      <c r="N60" s="278"/>
    </row>
    <row r="61" spans="1:14" s="262" customFormat="1" x14ac:dyDescent="0.25">
      <c r="A61" s="274">
        <v>12.06</v>
      </c>
      <c r="B61" s="275" t="s">
        <v>1416</v>
      </c>
      <c r="C61" s="275"/>
      <c r="D61" s="275"/>
      <c r="E61" s="275" t="s">
        <v>2229</v>
      </c>
      <c r="F61" s="290"/>
      <c r="G61" s="279">
        <f>SUMIF('SAP Working'!$A$4:$A$91,A61,'SAP Working'!$L$4:$L$91)/10^7</f>
        <v>0</v>
      </c>
      <c r="H61" s="279">
        <f>SUMIF('SAP Working'!$A$4:$A$91,A61,'SAP Working'!$M$4:$M$91)/10^7</f>
        <v>0</v>
      </c>
      <c r="I61" s="276"/>
      <c r="J61" s="270">
        <f t="shared" si="3"/>
        <v>0</v>
      </c>
      <c r="K61" s="380">
        <f t="shared" si="2"/>
        <v>0</v>
      </c>
      <c r="L61" s="388"/>
      <c r="M61" s="388"/>
      <c r="N61" s="278"/>
    </row>
    <row r="62" spans="1:14" s="262" customFormat="1" x14ac:dyDescent="0.25">
      <c r="A62" s="274">
        <v>12.07</v>
      </c>
      <c r="B62" s="275" t="s">
        <v>1420</v>
      </c>
      <c r="C62" s="275"/>
      <c r="D62" s="275"/>
      <c r="E62" s="275" t="s">
        <v>2232</v>
      </c>
      <c r="F62" s="290"/>
      <c r="G62" s="279">
        <f>SUMIF('SAP Working'!$A$4:$A$91,A62,'SAP Working'!$L$4:$L$91)/10^7</f>
        <v>0</v>
      </c>
      <c r="H62" s="279">
        <f>SUMIF('SAP Working'!$A$4:$A$91,A62,'SAP Working'!$M$4:$M$91)/10^7</f>
        <v>0</v>
      </c>
      <c r="I62" s="276"/>
      <c r="J62" s="270">
        <f t="shared" si="3"/>
        <v>0</v>
      </c>
      <c r="K62" s="380">
        <f t="shared" si="2"/>
        <v>0</v>
      </c>
      <c r="L62" s="388"/>
      <c r="M62" s="388"/>
      <c r="N62" s="278"/>
    </row>
    <row r="63" spans="1:14" s="262" customFormat="1" x14ac:dyDescent="0.25">
      <c r="A63" s="274">
        <v>12.08</v>
      </c>
      <c r="B63" s="275" t="s">
        <v>887</v>
      </c>
      <c r="C63" s="275"/>
      <c r="D63" s="275"/>
      <c r="E63" s="275" t="s">
        <v>1197</v>
      </c>
      <c r="F63" s="290"/>
      <c r="G63" s="279">
        <f>SUMIF('SAP Working'!$A$4:$A$91,A63,'SAP Working'!$L$4:$L$91)/10^7</f>
        <v>0</v>
      </c>
      <c r="H63" s="279">
        <f>SUMIF('SAP Working'!$A$4:$A$91,A63,'SAP Working'!$M$4:$M$91)/10^7</f>
        <v>0</v>
      </c>
      <c r="I63" s="276"/>
      <c r="J63" s="270">
        <f t="shared" si="3"/>
        <v>0</v>
      </c>
      <c r="K63" s="380">
        <f t="shared" si="2"/>
        <v>0</v>
      </c>
      <c r="L63" s="388"/>
      <c r="M63" s="388"/>
      <c r="N63" s="278"/>
    </row>
    <row r="64" spans="1:14" s="262" customFormat="1" x14ac:dyDescent="0.25">
      <c r="A64" s="274">
        <v>12.09</v>
      </c>
      <c r="B64" s="275" t="s">
        <v>805</v>
      </c>
      <c r="C64" s="275"/>
      <c r="D64" s="275"/>
      <c r="E64" s="275" t="s">
        <v>1198</v>
      </c>
      <c r="F64" s="290"/>
      <c r="G64" s="279">
        <f>SUMIF('SAP Working'!$A$4:$A$91,A64,'SAP Working'!$L$4:$L$91)/10^7</f>
        <v>0</v>
      </c>
      <c r="H64" s="279">
        <f>SUMIF('SAP Working'!$A$4:$A$91,A64,'SAP Working'!$M$4:$M$91)/10^7</f>
        <v>0</v>
      </c>
      <c r="I64" s="276"/>
      <c r="J64" s="270">
        <f t="shared" si="3"/>
        <v>0</v>
      </c>
      <c r="K64" s="380">
        <f t="shared" si="2"/>
        <v>0</v>
      </c>
      <c r="L64" s="388"/>
      <c r="M64" s="388"/>
      <c r="N64" s="278"/>
    </row>
    <row r="65" spans="1:14" s="262" customFormat="1" x14ac:dyDescent="0.25">
      <c r="A65" s="274">
        <v>12.1</v>
      </c>
      <c r="B65" s="275" t="s">
        <v>272</v>
      </c>
      <c r="C65" s="275"/>
      <c r="D65" s="275"/>
      <c r="E65" s="275" t="s">
        <v>281</v>
      </c>
      <c r="F65" s="290"/>
      <c r="G65" s="279">
        <f>SUMIF('SAP Working'!$A$4:$A$91,A65,'SAP Working'!$L$4:$L$91)/10^7</f>
        <v>0</v>
      </c>
      <c r="H65" s="279">
        <f>SUMIF('SAP Working'!$A$4:$A$91,A65,'SAP Working'!$M$4:$M$91)/10^7</f>
        <v>0</v>
      </c>
      <c r="I65" s="276"/>
      <c r="J65" s="270">
        <f t="shared" si="3"/>
        <v>0</v>
      </c>
      <c r="K65" s="380">
        <f t="shared" si="2"/>
        <v>0</v>
      </c>
      <c r="L65" s="388"/>
      <c r="M65" s="388"/>
      <c r="N65" s="278"/>
    </row>
    <row r="66" spans="1:14" s="262" customFormat="1" x14ac:dyDescent="0.25">
      <c r="A66" s="274">
        <v>12.11</v>
      </c>
      <c r="B66" s="275" t="s">
        <v>837</v>
      </c>
      <c r="C66" s="275"/>
      <c r="D66" s="275"/>
      <c r="E66" s="275" t="s">
        <v>2241</v>
      </c>
      <c r="F66" s="290"/>
      <c r="G66" s="279">
        <f>SUMIF('SAP Working'!$A$4:$A$91,A66,'SAP Working'!$L$4:$L$91)/10^7</f>
        <v>0</v>
      </c>
      <c r="H66" s="279">
        <f>SUMIF('SAP Working'!$A$4:$A$91,A66,'SAP Working'!$M$4:$M$91)/10^7</f>
        <v>0</v>
      </c>
      <c r="I66" s="276"/>
      <c r="J66" s="270">
        <f t="shared" si="3"/>
        <v>0</v>
      </c>
      <c r="K66" s="380">
        <f t="shared" si="2"/>
        <v>0</v>
      </c>
      <c r="L66" s="388"/>
      <c r="M66" s="388"/>
      <c r="N66" s="278"/>
    </row>
    <row r="67" spans="1:14" s="262" customFormat="1" x14ac:dyDescent="0.25">
      <c r="A67" s="274">
        <v>12.12</v>
      </c>
      <c r="B67" s="275" t="s">
        <v>1433</v>
      </c>
      <c r="C67" s="275"/>
      <c r="D67" s="275"/>
      <c r="E67" s="275" t="s">
        <v>2244</v>
      </c>
      <c r="F67" s="290"/>
      <c r="G67" s="279">
        <f>SUMIF('SAP Working'!$A$4:$A$91,A67,'SAP Working'!$L$4:$L$91)/10^7</f>
        <v>0</v>
      </c>
      <c r="H67" s="279">
        <f>SUMIF('SAP Working'!$A$4:$A$91,A67,'SAP Working'!$M$4:$M$91)/10^7</f>
        <v>0</v>
      </c>
      <c r="I67" s="276"/>
      <c r="J67" s="270">
        <f t="shared" si="3"/>
        <v>0</v>
      </c>
      <c r="K67" s="380">
        <f t="shared" si="2"/>
        <v>0</v>
      </c>
      <c r="L67" s="388"/>
      <c r="M67" s="388"/>
      <c r="N67" s="278"/>
    </row>
    <row r="68" spans="1:14" s="262" customFormat="1" x14ac:dyDescent="0.25">
      <c r="A68" s="274">
        <v>12.13</v>
      </c>
      <c r="B68" s="275" t="s">
        <v>1437</v>
      </c>
      <c r="C68" s="275"/>
      <c r="D68" s="275"/>
      <c r="E68" s="275" t="s">
        <v>2247</v>
      </c>
      <c r="F68" s="290"/>
      <c r="G68" s="279">
        <f>SUMIF('SAP Working'!$A$4:$A$91,A68,'SAP Working'!$L$4:$L$91)/10^7</f>
        <v>0</v>
      </c>
      <c r="H68" s="279">
        <f>SUMIF('SAP Working'!$A$4:$A$91,A68,'SAP Working'!$M$4:$M$91)/10^7</f>
        <v>0</v>
      </c>
      <c r="I68" s="276"/>
      <c r="J68" s="270">
        <f t="shared" si="3"/>
        <v>0</v>
      </c>
      <c r="K68" s="380">
        <f t="shared" si="2"/>
        <v>0</v>
      </c>
      <c r="L68" s="388"/>
      <c r="M68" s="388"/>
      <c r="N68" s="278"/>
    </row>
    <row r="69" spans="1:14" s="262" customFormat="1" x14ac:dyDescent="0.25">
      <c r="A69" s="274">
        <v>12.14</v>
      </c>
      <c r="B69" s="275" t="s">
        <v>782</v>
      </c>
      <c r="C69" s="275"/>
      <c r="D69" s="275"/>
      <c r="E69" s="275" t="s">
        <v>784</v>
      </c>
      <c r="F69" s="290"/>
      <c r="G69" s="279">
        <f>SUMIF('SAP Working'!$A$4:$A$91,A69,'SAP Working'!$L$4:$L$91)/10^7</f>
        <v>0</v>
      </c>
      <c r="H69" s="279">
        <f>SUMIF('SAP Working'!$A$4:$A$91,A69,'SAP Working'!$M$4:$M$91)/10^7</f>
        <v>0</v>
      </c>
      <c r="I69" s="276"/>
      <c r="J69" s="270">
        <f t="shared" si="3"/>
        <v>0</v>
      </c>
      <c r="K69" s="380">
        <f t="shared" si="2"/>
        <v>0</v>
      </c>
      <c r="L69" s="388"/>
      <c r="M69" s="388"/>
      <c r="N69" s="278"/>
    </row>
    <row r="70" spans="1:14" s="262" customFormat="1" x14ac:dyDescent="0.25">
      <c r="A70" s="274">
        <v>12.15</v>
      </c>
      <c r="B70" s="275" t="s">
        <v>1444</v>
      </c>
      <c r="C70" s="275"/>
      <c r="D70" s="275"/>
      <c r="E70" s="275" t="s">
        <v>2252</v>
      </c>
      <c r="F70" s="290"/>
      <c r="G70" s="279">
        <f>SUMIF('SAP Working'!$A$4:$A$91,A70,'SAP Working'!$L$4:$L$91)/10^7</f>
        <v>0</v>
      </c>
      <c r="H70" s="279">
        <f>SUMIF('SAP Working'!$A$4:$A$91,A70,'SAP Working'!$M$4:$M$91)/10^7</f>
        <v>0</v>
      </c>
      <c r="I70" s="276"/>
      <c r="J70" s="270">
        <f t="shared" si="3"/>
        <v>0</v>
      </c>
      <c r="K70" s="380">
        <f t="shared" si="2"/>
        <v>0</v>
      </c>
      <c r="L70" s="388"/>
      <c r="M70" s="388"/>
      <c r="N70" s="278"/>
    </row>
    <row r="71" spans="1:14" s="262" customFormat="1" x14ac:dyDescent="0.25">
      <c r="A71" s="274">
        <v>12.16</v>
      </c>
      <c r="B71" s="275" t="s">
        <v>1448</v>
      </c>
      <c r="C71" s="275"/>
      <c r="D71" s="275"/>
      <c r="E71" s="275" t="s">
        <v>1534</v>
      </c>
      <c r="F71" s="290"/>
      <c r="G71" s="279">
        <f>SUMIF('SAP Working'!$A$4:$A$91,A71,'SAP Working'!$L$4:$L$91)/10^7</f>
        <v>0</v>
      </c>
      <c r="H71" s="279">
        <f>SUMIF('SAP Working'!$A$4:$A$91,A71,'SAP Working'!$M$4:$M$91)/10^7</f>
        <v>0</v>
      </c>
      <c r="I71" s="276"/>
      <c r="J71" s="270">
        <f t="shared" si="3"/>
        <v>0</v>
      </c>
      <c r="K71" s="380">
        <f t="shared" si="2"/>
        <v>0</v>
      </c>
      <c r="L71" s="388"/>
      <c r="M71" s="388"/>
      <c r="N71" s="278"/>
    </row>
    <row r="72" spans="1:14" s="262" customFormat="1" x14ac:dyDescent="0.25">
      <c r="A72" s="274">
        <v>12.17</v>
      </c>
      <c r="B72" s="275" t="s">
        <v>1452</v>
      </c>
      <c r="C72" s="275"/>
      <c r="D72" s="275"/>
      <c r="E72" s="275" t="s">
        <v>1535</v>
      </c>
      <c r="F72" s="290"/>
      <c r="G72" s="279">
        <f>SUMIF('SAP Working'!$A$4:$A$91,A72,'SAP Working'!$L$4:$L$91)/10^7</f>
        <v>0</v>
      </c>
      <c r="H72" s="279">
        <f>SUMIF('SAP Working'!$A$4:$A$91,A72,'SAP Working'!$M$4:$M$91)/10^7</f>
        <v>0</v>
      </c>
      <c r="I72" s="276"/>
      <c r="J72" s="270">
        <f t="shared" si="3"/>
        <v>0</v>
      </c>
      <c r="K72" s="380">
        <f t="shared" si="2"/>
        <v>0</v>
      </c>
      <c r="L72" s="388"/>
      <c r="M72" s="388"/>
      <c r="N72" s="278"/>
    </row>
    <row r="73" spans="1:14" s="262" customFormat="1" x14ac:dyDescent="0.25">
      <c r="A73" s="274">
        <v>12.18</v>
      </c>
      <c r="B73" s="275" t="s">
        <v>1458</v>
      </c>
      <c r="C73" s="275"/>
      <c r="D73" s="275"/>
      <c r="E73" s="275" t="s">
        <v>2261</v>
      </c>
      <c r="F73" s="290"/>
      <c r="G73" s="279">
        <f>SUMIF('SAP Working'!$A$4:$A$91,A73,'SAP Working'!$L$4:$L$91)/10^7</f>
        <v>0</v>
      </c>
      <c r="H73" s="279">
        <f>SUMIF('SAP Working'!$A$4:$A$91,A73,'SAP Working'!$M$4:$M$91)/10^7</f>
        <v>0</v>
      </c>
      <c r="I73" s="276"/>
      <c r="J73" s="270">
        <f t="shared" si="3"/>
        <v>0</v>
      </c>
      <c r="K73" s="380">
        <f t="shared" si="2"/>
        <v>0</v>
      </c>
      <c r="L73" s="388"/>
      <c r="M73" s="388"/>
      <c r="N73" s="278"/>
    </row>
    <row r="74" spans="1:14" s="262" customFormat="1" x14ac:dyDescent="0.25">
      <c r="A74" s="274">
        <v>12.19</v>
      </c>
      <c r="B74" s="275" t="s">
        <v>1462</v>
      </c>
      <c r="C74" s="275"/>
      <c r="D74" s="275"/>
      <c r="E74" s="275" t="s">
        <v>2264</v>
      </c>
      <c r="F74" s="290"/>
      <c r="G74" s="279">
        <f>SUMIF('SAP Working'!$A$4:$A$91,A74,'SAP Working'!$L$4:$L$91)/10^7</f>
        <v>0</v>
      </c>
      <c r="H74" s="279">
        <f>SUMIF('SAP Working'!$A$4:$A$91,A74,'SAP Working'!$M$4:$M$91)/10^7</f>
        <v>0</v>
      </c>
      <c r="I74" s="276"/>
      <c r="J74" s="270">
        <f t="shared" si="3"/>
        <v>0</v>
      </c>
      <c r="K74" s="380">
        <f t="shared" si="2"/>
        <v>0</v>
      </c>
      <c r="L74" s="388"/>
      <c r="M74" s="388"/>
      <c r="N74" s="278"/>
    </row>
    <row r="75" spans="1:14" s="262" customFormat="1" x14ac:dyDescent="0.25">
      <c r="A75" s="274">
        <v>12.2</v>
      </c>
      <c r="B75" s="275" t="s">
        <v>1466</v>
      </c>
      <c r="C75" s="275"/>
      <c r="D75" s="275"/>
      <c r="E75" s="275" t="s">
        <v>790</v>
      </c>
      <c r="F75" s="290"/>
      <c r="G75" s="279">
        <f>SUMIF('SAP Working'!$A$4:$A$91,A75,'SAP Working'!$L$4:$L$91)/10^7</f>
        <v>0</v>
      </c>
      <c r="H75" s="279">
        <f>SUMIF('SAP Working'!$A$4:$A$91,A75,'SAP Working'!$M$4:$M$91)/10^7</f>
        <v>0</v>
      </c>
      <c r="I75" s="276"/>
      <c r="J75" s="270">
        <f t="shared" si="3"/>
        <v>0</v>
      </c>
      <c r="K75" s="380">
        <f t="shared" si="2"/>
        <v>0</v>
      </c>
      <c r="L75" s="388"/>
      <c r="M75" s="388"/>
      <c r="N75" s="278"/>
    </row>
    <row r="76" spans="1:14" s="262" customFormat="1" x14ac:dyDescent="0.25">
      <c r="A76" s="274">
        <v>12.21</v>
      </c>
      <c r="B76" s="275" t="s">
        <v>1469</v>
      </c>
      <c r="C76" s="275"/>
      <c r="D76" s="275"/>
      <c r="E76" s="275" t="s">
        <v>2269</v>
      </c>
      <c r="F76" s="290"/>
      <c r="G76" s="279">
        <f>SUMIF('SAP Working'!$A$4:$A$91,A76,'SAP Working'!$L$4:$L$91)/10^7</f>
        <v>0</v>
      </c>
      <c r="H76" s="279">
        <f>SUMIF('SAP Working'!$A$4:$A$91,A76,'SAP Working'!$M$4:$M$91)/10^7</f>
        <v>0</v>
      </c>
      <c r="I76" s="276"/>
      <c r="J76" s="270">
        <f t="shared" si="3"/>
        <v>0</v>
      </c>
      <c r="K76" s="380">
        <f t="shared" si="2"/>
        <v>0</v>
      </c>
      <c r="L76" s="388"/>
      <c r="M76" s="388"/>
      <c r="N76" s="278"/>
    </row>
    <row r="77" spans="1:14" s="262" customFormat="1" x14ac:dyDescent="0.25">
      <c r="A77" s="274">
        <v>12.22</v>
      </c>
      <c r="B77" s="275" t="s">
        <v>1473</v>
      </c>
      <c r="C77" s="275"/>
      <c r="D77" s="275"/>
      <c r="E77" s="275" t="s">
        <v>2272</v>
      </c>
      <c r="F77" s="290"/>
      <c r="G77" s="279">
        <f>SUMIF('SAP Working'!$A$4:$A$91,A77,'SAP Working'!$L$4:$L$91)/10^7</f>
        <v>0</v>
      </c>
      <c r="H77" s="279">
        <f>SUMIF('SAP Working'!$A$4:$A$91,A77,'SAP Working'!$M$4:$M$91)/10^7</f>
        <v>0</v>
      </c>
      <c r="I77" s="276"/>
      <c r="J77" s="270">
        <f t="shared" si="3"/>
        <v>0</v>
      </c>
      <c r="K77" s="380">
        <f t="shared" si="2"/>
        <v>0</v>
      </c>
      <c r="L77" s="388"/>
      <c r="M77" s="388"/>
      <c r="N77" s="278"/>
    </row>
    <row r="78" spans="1:14" s="262" customFormat="1" x14ac:dyDescent="0.25">
      <c r="A78" s="274">
        <v>12.23</v>
      </c>
      <c r="B78" s="275" t="s">
        <v>1477</v>
      </c>
      <c r="C78" s="275"/>
      <c r="D78" s="275"/>
      <c r="E78" s="275" t="s">
        <v>2275</v>
      </c>
      <c r="F78" s="290"/>
      <c r="G78" s="279">
        <f>SUMIF('SAP Working'!$A$4:$A$91,A78,'SAP Working'!$L$4:$L$91)/10^7</f>
        <v>0</v>
      </c>
      <c r="H78" s="279">
        <f>SUMIF('SAP Working'!$A$4:$A$91,A78,'SAP Working'!$M$4:$M$91)/10^7</f>
        <v>0</v>
      </c>
      <c r="I78" s="276"/>
      <c r="J78" s="270">
        <f t="shared" si="3"/>
        <v>0</v>
      </c>
      <c r="K78" s="380">
        <f t="shared" si="2"/>
        <v>0</v>
      </c>
      <c r="L78" s="388"/>
      <c r="M78" s="388"/>
      <c r="N78" s="278"/>
    </row>
    <row r="79" spans="1:14" s="262" customFormat="1" x14ac:dyDescent="0.25">
      <c r="A79" s="412">
        <v>13</v>
      </c>
      <c r="B79" s="409" t="s">
        <v>1593</v>
      </c>
      <c r="C79" s="414"/>
      <c r="D79" s="414"/>
      <c r="E79" s="414"/>
      <c r="F79" s="415">
        <f>SUM(F81:F83)</f>
        <v>73.746546037730042</v>
      </c>
      <c r="G79" s="415">
        <f>SUM(G81:G83)</f>
        <v>0</v>
      </c>
      <c r="H79" s="415">
        <f>SUM(H81:H83)</f>
        <v>0</v>
      </c>
      <c r="I79" s="443"/>
      <c r="J79" s="393">
        <f>SUM(J81:J83)</f>
        <v>0</v>
      </c>
      <c r="K79" s="444">
        <f>F79-J79</f>
        <v>73.746546037730042</v>
      </c>
      <c r="L79" s="416"/>
      <c r="M79" s="416"/>
      <c r="N79" s="278"/>
    </row>
    <row r="80" spans="1:14" s="262" customFormat="1" x14ac:dyDescent="0.25">
      <c r="A80" s="417"/>
      <c r="B80" s="411"/>
      <c r="C80" s="419"/>
      <c r="D80" s="419"/>
      <c r="E80" s="419"/>
      <c r="F80" s="420"/>
      <c r="G80" s="420"/>
      <c r="H80" s="420"/>
      <c r="I80" s="445"/>
      <c r="J80" s="397"/>
      <c r="K80" s="446"/>
      <c r="L80" s="416"/>
      <c r="M80" s="416"/>
      <c r="N80" s="278"/>
    </row>
    <row r="81" spans="1:14" s="273" customFormat="1" outlineLevel="1" x14ac:dyDescent="0.25">
      <c r="A81" s="280">
        <v>13.1</v>
      </c>
      <c r="B81" s="267" t="s">
        <v>1594</v>
      </c>
      <c r="C81" s="267"/>
      <c r="D81" s="267"/>
      <c r="E81" s="275" t="s">
        <v>2282</v>
      </c>
      <c r="F81" s="268">
        <v>28.193956880991244</v>
      </c>
      <c r="G81" s="279">
        <f>SUMIF('SAP Working'!$A$4:$A$91,A81,'SAP Working'!$L$4:$L$91)/10^7</f>
        <v>0</v>
      </c>
      <c r="H81" s="279">
        <f>SUMIF('SAP Working'!$A$4:$A$91,A81,'SAP Working'!$M$4:$M$91)/10^7</f>
        <v>0</v>
      </c>
      <c r="I81" s="269"/>
      <c r="J81" s="270">
        <f>SUM(G81:I81)</f>
        <v>0</v>
      </c>
      <c r="K81" s="380">
        <f>F81-J81</f>
        <v>28.193956880991244</v>
      </c>
      <c r="L81" s="388"/>
      <c r="M81" s="388"/>
      <c r="N81" s="272"/>
    </row>
    <row r="82" spans="1:14" s="273" customFormat="1" outlineLevel="1" x14ac:dyDescent="0.25">
      <c r="A82" s="280">
        <v>13.2</v>
      </c>
      <c r="B82" s="267" t="s">
        <v>1595</v>
      </c>
      <c r="C82" s="267"/>
      <c r="D82" s="267"/>
      <c r="E82" s="275" t="s">
        <v>2287</v>
      </c>
      <c r="F82" s="268">
        <v>45.552589156738797</v>
      </c>
      <c r="G82" s="279">
        <f>SUMIF('SAP Working'!$A$4:$A$91,A82,'SAP Working'!$L$4:$L$91)/10^7</f>
        <v>0</v>
      </c>
      <c r="H82" s="279">
        <f>SUMIF('SAP Working'!$A$4:$A$91,A82,'SAP Working'!$M$4:$M$91)/10^7</f>
        <v>0</v>
      </c>
      <c r="I82" s="269"/>
      <c r="J82" s="270">
        <f>SUM(G82:I82)</f>
        <v>0</v>
      </c>
      <c r="K82" s="380">
        <f>F82-J82</f>
        <v>45.552589156738797</v>
      </c>
      <c r="L82" s="388"/>
      <c r="M82" s="388"/>
      <c r="N82" s="272"/>
    </row>
    <row r="83" spans="1:14" s="273" customFormat="1" outlineLevel="1" x14ac:dyDescent="0.25">
      <c r="A83" s="374">
        <v>13.3</v>
      </c>
      <c r="B83" s="375" t="s">
        <v>876</v>
      </c>
      <c r="C83" s="375"/>
      <c r="D83" s="375"/>
      <c r="E83" s="302" t="s">
        <v>2296</v>
      </c>
      <c r="F83" s="376">
        <v>0</v>
      </c>
      <c r="G83" s="279">
        <f>SUMIF('SAP Working'!$A$4:$A$91,A83,'SAP Working'!$L$4:$L$91)/10^7</f>
        <v>0</v>
      </c>
      <c r="H83" s="279">
        <f>SUMIF('SAP Working'!$A$4:$A$91,A83,'SAP Working'!$M$4:$M$91)/10^7</f>
        <v>0</v>
      </c>
      <c r="I83" s="377"/>
      <c r="J83" s="270">
        <f>SUM(G83:I83)</f>
        <v>0</v>
      </c>
      <c r="K83" s="380">
        <f>F83-J83</f>
        <v>0</v>
      </c>
      <c r="L83" s="388"/>
      <c r="M83" s="388"/>
      <c r="N83" s="272"/>
    </row>
    <row r="84" spans="1:14" s="262" customFormat="1" x14ac:dyDescent="0.25">
      <c r="A84" s="412">
        <v>14</v>
      </c>
      <c r="B84" s="409" t="s">
        <v>1597</v>
      </c>
      <c r="C84" s="391"/>
      <c r="D84" s="391"/>
      <c r="E84" s="447" t="s">
        <v>772</v>
      </c>
      <c r="F84" s="392">
        <v>263.53224836842372</v>
      </c>
      <c r="G84" s="392">
        <f>SUMIF('SAP Working'!$A$4:$A$91,A84,'SAP Working'!$L$4:$L$91)/10^7*1.18</f>
        <v>0.15315809999999999</v>
      </c>
      <c r="H84" s="392">
        <f>(SUMIF('SAP Working'!$A$4:$A$91,A84,'SAP Working'!$M$4:$M$91)/10^7)*1.18*0+(F84-G84)</f>
        <v>263.37909026842374</v>
      </c>
      <c r="I84" s="448"/>
      <c r="J84" s="393">
        <f>SUM(G84:I85)</f>
        <v>263.53224836842372</v>
      </c>
      <c r="K84" s="444">
        <f>F84-J84</f>
        <v>0</v>
      </c>
      <c r="L84" s="399"/>
      <c r="M84" s="399"/>
      <c r="N84" s="278"/>
    </row>
    <row r="85" spans="1:14" s="262" customFormat="1" x14ac:dyDescent="0.25">
      <c r="A85" s="417"/>
      <c r="B85" s="411"/>
      <c r="C85" s="395"/>
      <c r="D85" s="395"/>
      <c r="E85" s="449"/>
      <c r="F85" s="396"/>
      <c r="G85" s="396"/>
      <c r="H85" s="396"/>
      <c r="I85" s="450"/>
      <c r="J85" s="397"/>
      <c r="K85" s="446"/>
      <c r="L85" s="399"/>
      <c r="M85" s="399"/>
      <c r="N85" s="278"/>
    </row>
    <row r="86" spans="1:14" s="262" customFormat="1" x14ac:dyDescent="0.25">
      <c r="A86" s="412">
        <v>15</v>
      </c>
      <c r="B86" s="409" t="s">
        <v>1509</v>
      </c>
      <c r="C86" s="391"/>
      <c r="D86" s="391"/>
      <c r="E86" s="447" t="s">
        <v>2303</v>
      </c>
      <c r="F86" s="392">
        <v>78.640005967872014</v>
      </c>
      <c r="G86" s="392">
        <f>SUMIF('SAP Working'!$A$4:$A$91,A86,'SAP Working'!$L$4:$L$91)/10^7</f>
        <v>0</v>
      </c>
      <c r="H86" s="392">
        <f>SUMIF('SAP Working'!$A$4:$A$91,A86,'SAP Working'!$M$4:$M$91)/10^7</f>
        <v>0</v>
      </c>
      <c r="I86" s="448"/>
      <c r="J86" s="393">
        <f>SUM(G86:I87)</f>
        <v>0</v>
      </c>
      <c r="K86" s="444">
        <v>40</v>
      </c>
      <c r="L86" s="451"/>
      <c r="M86" s="451"/>
      <c r="N86" s="278"/>
    </row>
    <row r="87" spans="1:14" s="262" customFormat="1" x14ac:dyDescent="0.25">
      <c r="A87" s="417"/>
      <c r="B87" s="411"/>
      <c r="C87" s="395"/>
      <c r="D87" s="395"/>
      <c r="E87" s="449"/>
      <c r="F87" s="396"/>
      <c r="G87" s="396"/>
      <c r="H87" s="396"/>
      <c r="I87" s="450"/>
      <c r="J87" s="397"/>
      <c r="K87" s="446"/>
      <c r="L87" s="451"/>
      <c r="M87" s="451"/>
      <c r="N87" s="278"/>
    </row>
    <row r="88" spans="1:14" s="289" customFormat="1" ht="21.75" thickBot="1" x14ac:dyDescent="0.3">
      <c r="A88" s="332" t="s">
        <v>1601</v>
      </c>
      <c r="B88" s="333"/>
      <c r="C88" s="291"/>
      <c r="D88" s="291"/>
      <c r="E88" s="291"/>
      <c r="F88" s="293">
        <f>F54+F55+F79+F84+F86</f>
        <v>3766.3351918823751</v>
      </c>
      <c r="G88" s="293">
        <f>G54+G55+G79+G84+G86</f>
        <v>130.25177591805001</v>
      </c>
      <c r="H88" s="292">
        <f>H54+H55+H79+H84+H86</f>
        <v>11678.057533327104</v>
      </c>
      <c r="I88" s="294"/>
      <c r="J88" s="294">
        <f>J54+J55+J79+J84+J86</f>
        <v>4651.3151830469724</v>
      </c>
      <c r="K88" s="295">
        <f>K54+K55+K79+K84+K86</f>
        <v>-834.09830265729647</v>
      </c>
      <c r="L88" s="385"/>
      <c r="M88" s="385"/>
      <c r="N88" s="278"/>
    </row>
    <row r="89" spans="1:14" s="289" customFormat="1" x14ac:dyDescent="0.25">
      <c r="A89" s="296"/>
      <c r="B89" s="296"/>
      <c r="C89" s="296"/>
      <c r="D89" s="296"/>
      <c r="E89" s="296"/>
      <c r="F89" s="297"/>
      <c r="G89" s="298"/>
      <c r="H89" s="297"/>
      <c r="I89" s="297"/>
      <c r="J89" s="297"/>
      <c r="K89" s="297"/>
      <c r="L89" s="299"/>
      <c r="M89" s="299"/>
      <c r="N89" s="278"/>
    </row>
  </sheetData>
  <mergeCells count="176">
    <mergeCell ref="A88:B88"/>
    <mergeCell ref="J3:J4"/>
    <mergeCell ref="K3:K4"/>
    <mergeCell ref="G15:G16"/>
    <mergeCell ref="H15:H16"/>
    <mergeCell ref="A9:A10"/>
    <mergeCell ref="B9:B10"/>
    <mergeCell ref="F9:F10"/>
    <mergeCell ref="G9:G10"/>
    <mergeCell ref="H9:H10"/>
    <mergeCell ref="I9:I10"/>
    <mergeCell ref="J9:J10"/>
    <mergeCell ref="K9:K10"/>
    <mergeCell ref="A17:A18"/>
    <mergeCell ref="B17:B18"/>
    <mergeCell ref="F17:F18"/>
    <mergeCell ref="G17:G18"/>
    <mergeCell ref="F44:F47"/>
    <mergeCell ref="G44:G47"/>
    <mergeCell ref="H44:H47"/>
    <mergeCell ref="I44:I47"/>
    <mergeCell ref="J44:J47"/>
    <mergeCell ref="A1:K1"/>
    <mergeCell ref="A7:A8"/>
    <mergeCell ref="G5:G6"/>
    <mergeCell ref="H5:H6"/>
    <mergeCell ref="I5:I6"/>
    <mergeCell ref="J5:J6"/>
    <mergeCell ref="K5:K6"/>
    <mergeCell ref="G7:G8"/>
    <mergeCell ref="H7:H8"/>
    <mergeCell ref="I7:I8"/>
    <mergeCell ref="A5:A6"/>
    <mergeCell ref="B5:B6"/>
    <mergeCell ref="F5:F6"/>
    <mergeCell ref="J7:J8"/>
    <mergeCell ref="K7:K8"/>
    <mergeCell ref="B7:B8"/>
    <mergeCell ref="F7:F8"/>
    <mergeCell ref="C3:E3"/>
    <mergeCell ref="I3:I4"/>
    <mergeCell ref="H3:H4"/>
    <mergeCell ref="G3:G4"/>
    <mergeCell ref="B3:B4"/>
    <mergeCell ref="A3:A4"/>
    <mergeCell ref="F3:F4"/>
    <mergeCell ref="H17:H18"/>
    <mergeCell ref="I17:I18"/>
    <mergeCell ref="J17:J18"/>
    <mergeCell ref="K17:K18"/>
    <mergeCell ref="I15:I16"/>
    <mergeCell ref="J15:J16"/>
    <mergeCell ref="K15:K16"/>
    <mergeCell ref="A15:A16"/>
    <mergeCell ref="B15:B16"/>
    <mergeCell ref="F15:F16"/>
    <mergeCell ref="C15:C16"/>
    <mergeCell ref="D15:D16"/>
    <mergeCell ref="C17:C18"/>
    <mergeCell ref="D17:D18"/>
    <mergeCell ref="I26:I27"/>
    <mergeCell ref="J26:J27"/>
    <mergeCell ref="K26:K27"/>
    <mergeCell ref="C19:C20"/>
    <mergeCell ref="D19:D20"/>
    <mergeCell ref="A21:A22"/>
    <mergeCell ref="B21:B22"/>
    <mergeCell ref="F21:F22"/>
    <mergeCell ref="G21:G22"/>
    <mergeCell ref="H21:H22"/>
    <mergeCell ref="I21:I22"/>
    <mergeCell ref="J21:J22"/>
    <mergeCell ref="K21:K22"/>
    <mergeCell ref="I19:I20"/>
    <mergeCell ref="J19:J20"/>
    <mergeCell ref="K19:K20"/>
    <mergeCell ref="A19:A20"/>
    <mergeCell ref="B19:B20"/>
    <mergeCell ref="F19:F20"/>
    <mergeCell ref="H19:H20"/>
    <mergeCell ref="C21:C22"/>
    <mergeCell ref="D21:D22"/>
    <mergeCell ref="A42:A43"/>
    <mergeCell ref="B42:B43"/>
    <mergeCell ref="F42:F43"/>
    <mergeCell ref="G42:G43"/>
    <mergeCell ref="H42:H43"/>
    <mergeCell ref="G19:G20"/>
    <mergeCell ref="A26:A27"/>
    <mergeCell ref="B26:B27"/>
    <mergeCell ref="F26:F27"/>
    <mergeCell ref="G26:G27"/>
    <mergeCell ref="H26:H27"/>
    <mergeCell ref="I42:I43"/>
    <mergeCell ref="J42:J43"/>
    <mergeCell ref="K42:K43"/>
    <mergeCell ref="A52:A53"/>
    <mergeCell ref="B52:B53"/>
    <mergeCell ref="F52:F53"/>
    <mergeCell ref="G52:G53"/>
    <mergeCell ref="H52:H53"/>
    <mergeCell ref="I52:I53"/>
    <mergeCell ref="J52:J53"/>
    <mergeCell ref="K52:K53"/>
    <mergeCell ref="I48:I51"/>
    <mergeCell ref="J48:J51"/>
    <mergeCell ref="K48:K51"/>
    <mergeCell ref="A48:A51"/>
    <mergeCell ref="C42:C43"/>
    <mergeCell ref="A44:A47"/>
    <mergeCell ref="B44:B47"/>
    <mergeCell ref="B48:B51"/>
    <mergeCell ref="F48:F51"/>
    <mergeCell ref="G48:G51"/>
    <mergeCell ref="H48:H51"/>
    <mergeCell ref="J84:J85"/>
    <mergeCell ref="K84:K85"/>
    <mergeCell ref="I79:I80"/>
    <mergeCell ref="J79:J80"/>
    <mergeCell ref="K79:K80"/>
    <mergeCell ref="A79:A80"/>
    <mergeCell ref="B79:B80"/>
    <mergeCell ref="F79:F80"/>
    <mergeCell ref="K44:K45"/>
    <mergeCell ref="I86:I87"/>
    <mergeCell ref="J86:J87"/>
    <mergeCell ref="K86:K87"/>
    <mergeCell ref="A86:A87"/>
    <mergeCell ref="B86:B87"/>
    <mergeCell ref="F86:F87"/>
    <mergeCell ref="G86:G87"/>
    <mergeCell ref="H86:H87"/>
    <mergeCell ref="L52:M53"/>
    <mergeCell ref="L54:M54"/>
    <mergeCell ref="L55:M55"/>
    <mergeCell ref="L79:M80"/>
    <mergeCell ref="L84:M85"/>
    <mergeCell ref="L86:M87"/>
    <mergeCell ref="H79:H80"/>
    <mergeCell ref="G79:G80"/>
    <mergeCell ref="E84:E85"/>
    <mergeCell ref="E86:E87"/>
    <mergeCell ref="A84:A85"/>
    <mergeCell ref="B84:B85"/>
    <mergeCell ref="F84:F85"/>
    <mergeCell ref="G84:G85"/>
    <mergeCell ref="H84:H85"/>
    <mergeCell ref="I84:I85"/>
    <mergeCell ref="L88:M88"/>
    <mergeCell ref="L3:M4"/>
    <mergeCell ref="L5:M6"/>
    <mergeCell ref="L7:M8"/>
    <mergeCell ref="L9:M10"/>
    <mergeCell ref="L11:M11"/>
    <mergeCell ref="L12:M12"/>
    <mergeCell ref="L13:M13"/>
    <mergeCell ref="L14:M14"/>
    <mergeCell ref="L15:M16"/>
    <mergeCell ref="L17:M18"/>
    <mergeCell ref="L19:M20"/>
    <mergeCell ref="L21:M22"/>
    <mergeCell ref="L23:M24"/>
    <mergeCell ref="L26:M27"/>
    <mergeCell ref="L42:M43"/>
    <mergeCell ref="L44:M45"/>
    <mergeCell ref="L48:M51"/>
    <mergeCell ref="L35:M35"/>
    <mergeCell ref="A23:A25"/>
    <mergeCell ref="B23:B25"/>
    <mergeCell ref="C23:C25"/>
    <mergeCell ref="F23:F25"/>
    <mergeCell ref="G23:G25"/>
    <mergeCell ref="H23:H25"/>
    <mergeCell ref="I23:I25"/>
    <mergeCell ref="J23:J25"/>
    <mergeCell ref="K23:K25"/>
  </mergeCells>
  <conditionalFormatting sqref="F11 G28:I41 J28:J42 J89:K89 G56:I78 F54:J54 J56:J79">
    <cfRule type="cellIs" dxfId="7" priority="31" operator="lessThan">
      <formula>0</formula>
    </cfRule>
  </conditionalFormatting>
  <conditionalFormatting sqref="I81:I83 G88:I89 G11:I14">
    <cfRule type="cellIs" dxfId="6" priority="34" operator="lessThan">
      <formula>0</formula>
    </cfRule>
  </conditionalFormatting>
  <conditionalFormatting sqref="J5 J7 J9 J11:J15 J17 J19 J21 J23 J44 J48:J52 I26:J26 J81:J84 J86">
    <cfRule type="cellIs" dxfId="5" priority="5" operator="lessThan">
      <formula>0</formula>
    </cfRule>
  </conditionalFormatting>
  <conditionalFormatting sqref="J88">
    <cfRule type="cellIs" dxfId="4" priority="4" operator="lessThan">
      <formula>0</formula>
    </cfRule>
  </conditionalFormatting>
  <conditionalFormatting sqref="K89">
    <cfRule type="cellIs" dxfId="3" priority="32" operator="greaterThan">
      <formula>0</formula>
    </cfRule>
  </conditionalFormatting>
  <conditionalFormatting sqref="G81:G83">
    <cfRule type="cellIs" dxfId="2" priority="3" operator="lessThan">
      <formula>0</formula>
    </cfRule>
  </conditionalFormatting>
  <conditionalFormatting sqref="H81:H83">
    <cfRule type="cellIs" dxfId="1" priority="2" operator="lessThan">
      <formula>0</formula>
    </cfRule>
  </conditionalFormatting>
  <conditionalFormatting sqref="F88">
    <cfRule type="cellIs" dxfId="0" priority="1" operator="lessThan">
      <formula>0</formula>
    </cfRule>
  </conditionalFormatting>
  <pageMargins left="0.25" right="0.25" top="0.75" bottom="0.75" header="0.3" footer="0.3"/>
  <pageSetup paperSize="8" scale="2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B209-1D89-48A1-823B-C7330D551F08}">
  <dimension ref="A2:O100"/>
  <sheetViews>
    <sheetView topLeftCell="A3" zoomScale="115" zoomScaleNormal="115" workbookViewId="0">
      <selection activeCell="H100" sqref="H100"/>
    </sheetView>
    <sheetView topLeftCell="A73" workbookViewId="1">
      <selection activeCell="H84" sqref="H84:H89"/>
    </sheetView>
  </sheetViews>
  <sheetFormatPr defaultRowHeight="13.5" x14ac:dyDescent="0.25"/>
  <cols>
    <col min="1" max="1" width="16.33203125" customWidth="1"/>
    <col min="2" max="2" width="9.44140625" customWidth="1"/>
    <col min="3" max="3" width="8.21875" customWidth="1"/>
    <col min="4" max="4" width="7.77734375" customWidth="1"/>
    <col min="5" max="5" width="37" bestFit="1" customWidth="1"/>
    <col min="6" max="6" width="13.44140625" bestFit="1" customWidth="1"/>
    <col min="7" max="7" width="14" bestFit="1" customWidth="1"/>
    <col min="8" max="8" width="13.44140625" bestFit="1" customWidth="1"/>
  </cols>
  <sheetData>
    <row r="2" spans="1:11" x14ac:dyDescent="0.25">
      <c r="A2" s="356" t="s">
        <v>2095</v>
      </c>
      <c r="B2" s="356"/>
      <c r="C2" s="356"/>
      <c r="D2" s="356"/>
      <c r="E2" s="357"/>
      <c r="F2" s="218" t="s">
        <v>1237</v>
      </c>
      <c r="G2" s="218" t="s">
        <v>1238</v>
      </c>
      <c r="H2" s="218" t="s">
        <v>1239</v>
      </c>
    </row>
    <row r="3" spans="1:11" ht="33.75" x14ac:dyDescent="0.25">
      <c r="A3" s="354" t="s">
        <v>2096</v>
      </c>
      <c r="B3" s="354"/>
      <c r="C3" s="354"/>
      <c r="D3" s="354"/>
      <c r="E3" s="355"/>
      <c r="F3" s="219" t="s">
        <v>2102</v>
      </c>
      <c r="G3" s="219" t="s">
        <v>2102</v>
      </c>
      <c r="H3" s="219" t="s">
        <v>2102</v>
      </c>
    </row>
    <row r="4" spans="1:11" x14ac:dyDescent="0.25">
      <c r="A4" s="354" t="s">
        <v>0</v>
      </c>
      <c r="B4" s="354"/>
      <c r="C4" s="354"/>
      <c r="D4" s="354"/>
      <c r="E4" s="355"/>
      <c r="F4" s="220">
        <v>5110</v>
      </c>
      <c r="G4" s="220">
        <v>6210</v>
      </c>
      <c r="H4" s="219">
        <v>6490</v>
      </c>
    </row>
    <row r="5" spans="1:11" x14ac:dyDescent="0.25">
      <c r="A5" s="354" t="s">
        <v>2097</v>
      </c>
      <c r="B5" s="354"/>
      <c r="C5" s="354"/>
      <c r="D5" s="354"/>
      <c r="E5" s="355"/>
      <c r="F5" s="220" t="s">
        <v>844</v>
      </c>
      <c r="G5" s="220">
        <v>6211</v>
      </c>
      <c r="H5" s="219">
        <v>6497</v>
      </c>
    </row>
    <row r="6" spans="1:11" x14ac:dyDescent="0.25">
      <c r="A6" s="354" t="s">
        <v>2098</v>
      </c>
      <c r="B6" s="354"/>
      <c r="C6" s="354"/>
      <c r="D6" s="354"/>
      <c r="E6" s="355"/>
      <c r="F6" s="220" t="s">
        <v>2103</v>
      </c>
      <c r="G6" s="220" t="s">
        <v>2099</v>
      </c>
      <c r="H6" s="219" t="s">
        <v>2104</v>
      </c>
    </row>
    <row r="7" spans="1:11" x14ac:dyDescent="0.25">
      <c r="A7" s="354" t="s">
        <v>2100</v>
      </c>
      <c r="B7" s="354"/>
      <c r="C7" s="354"/>
      <c r="D7" s="354"/>
      <c r="E7" s="355"/>
      <c r="F7" s="220" t="s">
        <v>2103</v>
      </c>
      <c r="G7" s="220" t="s">
        <v>2099</v>
      </c>
      <c r="H7" s="219" t="s">
        <v>2104</v>
      </c>
    </row>
    <row r="8" spans="1:11" x14ac:dyDescent="0.25">
      <c r="A8" s="354" t="s">
        <v>2101</v>
      </c>
      <c r="B8" s="354"/>
      <c r="C8" s="354"/>
      <c r="D8" s="354"/>
      <c r="E8" s="355"/>
      <c r="F8" s="220" t="s">
        <v>137</v>
      </c>
      <c r="G8" s="220" t="s">
        <v>89</v>
      </c>
      <c r="H8" s="219" t="s">
        <v>153</v>
      </c>
    </row>
    <row r="10" spans="1:11" x14ac:dyDescent="0.25">
      <c r="A10" s="221"/>
      <c r="B10" s="221"/>
      <c r="C10" s="221" t="s">
        <v>1234</v>
      </c>
      <c r="D10" s="222" t="s">
        <v>1235</v>
      </c>
      <c r="E10" s="222" t="s">
        <v>1236</v>
      </c>
      <c r="F10" s="222" t="s">
        <v>1237</v>
      </c>
      <c r="G10" s="222" t="s">
        <v>1238</v>
      </c>
      <c r="H10" s="222" t="s">
        <v>1239</v>
      </c>
    </row>
    <row r="11" spans="1:11" x14ac:dyDescent="0.25">
      <c r="A11" s="223" t="s">
        <v>1240</v>
      </c>
      <c r="B11" s="223" t="s">
        <v>1239</v>
      </c>
      <c r="C11" s="224" t="s">
        <v>56</v>
      </c>
      <c r="D11" s="225">
        <v>0</v>
      </c>
      <c r="E11" s="226" t="s">
        <v>2105</v>
      </c>
      <c r="F11" s="227" t="s">
        <v>137</v>
      </c>
      <c r="G11" s="227" t="s">
        <v>89</v>
      </c>
      <c r="H11" s="227" t="s">
        <v>153</v>
      </c>
    </row>
    <row r="12" spans="1:11" x14ac:dyDescent="0.25">
      <c r="A12" s="228" t="s">
        <v>2106</v>
      </c>
      <c r="B12" s="229" t="s">
        <v>2107</v>
      </c>
      <c r="C12" s="230" t="s">
        <v>147</v>
      </c>
      <c r="D12" s="231">
        <v>1</v>
      </c>
      <c r="E12" s="232" t="s">
        <v>2105</v>
      </c>
      <c r="F12" s="31" t="s">
        <v>137</v>
      </c>
      <c r="G12" s="31" t="s">
        <v>89</v>
      </c>
      <c r="H12" s="31" t="s">
        <v>153</v>
      </c>
    </row>
    <row r="13" spans="1:11" x14ac:dyDescent="0.25">
      <c r="A13" s="233" t="s">
        <v>2106</v>
      </c>
      <c r="B13" s="234" t="s">
        <v>2107</v>
      </c>
      <c r="C13" s="235">
        <v>3</v>
      </c>
      <c r="D13" s="235">
        <v>2</v>
      </c>
      <c r="E13" s="236" t="s">
        <v>906</v>
      </c>
      <c r="F13" s="237" t="s">
        <v>992</v>
      </c>
      <c r="G13" s="237" t="s">
        <v>2108</v>
      </c>
      <c r="H13" s="237" t="s">
        <v>2109</v>
      </c>
    </row>
    <row r="14" spans="1:11" x14ac:dyDescent="0.25">
      <c r="A14" s="238" t="s">
        <v>2106</v>
      </c>
      <c r="B14" s="239" t="s">
        <v>2107</v>
      </c>
      <c r="C14" s="221">
        <v>4</v>
      </c>
      <c r="D14" s="221">
        <v>3</v>
      </c>
      <c r="E14" s="240" t="s">
        <v>704</v>
      </c>
      <c r="F14" s="241" t="s">
        <v>716</v>
      </c>
      <c r="G14" s="242" t="s">
        <v>2110</v>
      </c>
      <c r="H14" s="242" t="s">
        <v>2111</v>
      </c>
      <c r="K14" s="243"/>
    </row>
    <row r="15" spans="1:11" x14ac:dyDescent="0.25">
      <c r="A15" s="238" t="s">
        <v>2106</v>
      </c>
      <c r="B15" s="239" t="s">
        <v>2107</v>
      </c>
      <c r="C15" s="221">
        <v>5</v>
      </c>
      <c r="D15" s="221">
        <v>3</v>
      </c>
      <c r="E15" s="240" t="s">
        <v>1262</v>
      </c>
      <c r="F15" s="241" t="s">
        <v>1530</v>
      </c>
      <c r="G15" s="242" t="s">
        <v>2112</v>
      </c>
      <c r="H15" s="242" t="s">
        <v>2113</v>
      </c>
      <c r="K15" s="243"/>
    </row>
    <row r="16" spans="1:11" s="248" customFormat="1" ht="15" x14ac:dyDescent="0.25">
      <c r="A16" s="244" t="s">
        <v>2106</v>
      </c>
      <c r="B16" s="244" t="s">
        <v>2107</v>
      </c>
      <c r="C16" s="245">
        <v>6</v>
      </c>
      <c r="D16" s="245">
        <v>3</v>
      </c>
      <c r="E16" s="246" t="s">
        <v>1267</v>
      </c>
      <c r="F16" s="247" t="s">
        <v>2114</v>
      </c>
      <c r="G16" s="247" t="s">
        <v>2115</v>
      </c>
      <c r="H16" s="247" t="s">
        <v>2116</v>
      </c>
      <c r="K16" s="249"/>
    </row>
    <row r="17" spans="1:8" x14ac:dyDescent="0.25">
      <c r="A17" s="233" t="s">
        <v>2106</v>
      </c>
      <c r="B17" s="234" t="s">
        <v>2107</v>
      </c>
      <c r="C17" s="235">
        <f t="shared" ref="C17:C80" si="0">C16+1</f>
        <v>7</v>
      </c>
      <c r="D17" s="235">
        <v>2</v>
      </c>
      <c r="E17" s="236" t="s">
        <v>910</v>
      </c>
      <c r="F17" s="237" t="s">
        <v>993</v>
      </c>
      <c r="G17" s="237" t="s">
        <v>2117</v>
      </c>
      <c r="H17" s="237" t="s">
        <v>2118</v>
      </c>
    </row>
    <row r="18" spans="1:8" x14ac:dyDescent="0.25">
      <c r="A18" s="238" t="s">
        <v>2106</v>
      </c>
      <c r="B18" s="239" t="s">
        <v>2107</v>
      </c>
      <c r="C18" s="221">
        <f t="shared" si="0"/>
        <v>8</v>
      </c>
      <c r="D18" s="221">
        <v>3</v>
      </c>
      <c r="E18" s="240" t="s">
        <v>691</v>
      </c>
      <c r="F18" s="241" t="s">
        <v>700</v>
      </c>
      <c r="G18" s="242" t="s">
        <v>2119</v>
      </c>
      <c r="H18" s="242" t="s">
        <v>2120</v>
      </c>
    </row>
    <row r="19" spans="1:8" x14ac:dyDescent="0.25">
      <c r="A19" s="238" t="s">
        <v>2106</v>
      </c>
      <c r="B19" s="239" t="s">
        <v>2107</v>
      </c>
      <c r="C19" s="221">
        <f t="shared" si="0"/>
        <v>9</v>
      </c>
      <c r="D19" s="221">
        <v>3</v>
      </c>
      <c r="E19" s="240" t="s">
        <v>1278</v>
      </c>
      <c r="F19" s="241" t="s">
        <v>1531</v>
      </c>
      <c r="G19" s="242" t="s">
        <v>2121</v>
      </c>
      <c r="H19" s="242" t="s">
        <v>2122</v>
      </c>
    </row>
    <row r="20" spans="1:8" x14ac:dyDescent="0.25">
      <c r="A20" s="234" t="s">
        <v>2106</v>
      </c>
      <c r="B20" s="234" t="s">
        <v>2107</v>
      </c>
      <c r="C20" s="235">
        <f t="shared" si="0"/>
        <v>10</v>
      </c>
      <c r="D20" s="235">
        <v>2</v>
      </c>
      <c r="E20" s="236" t="s">
        <v>914</v>
      </c>
      <c r="F20" s="237" t="s">
        <v>994</v>
      </c>
      <c r="G20" s="237" t="s">
        <v>2123</v>
      </c>
      <c r="H20" s="237" t="s">
        <v>2124</v>
      </c>
    </row>
    <row r="21" spans="1:8" x14ac:dyDescent="0.25">
      <c r="A21" s="238" t="s">
        <v>2106</v>
      </c>
      <c r="B21" s="239" t="s">
        <v>2107</v>
      </c>
      <c r="C21" s="221">
        <f t="shared" si="0"/>
        <v>11</v>
      </c>
      <c r="D21" s="221">
        <v>3</v>
      </c>
      <c r="E21" s="240" t="s">
        <v>353</v>
      </c>
      <c r="F21" s="241" t="s">
        <v>535</v>
      </c>
      <c r="G21" s="242" t="s">
        <v>2125</v>
      </c>
      <c r="H21" s="242" t="s">
        <v>2126</v>
      </c>
    </row>
    <row r="22" spans="1:8" x14ac:dyDescent="0.25">
      <c r="A22" s="238" t="s">
        <v>2106</v>
      </c>
      <c r="B22" s="239" t="s">
        <v>2107</v>
      </c>
      <c r="C22" s="221">
        <f t="shared" si="0"/>
        <v>12</v>
      </c>
      <c r="D22" s="221">
        <v>3</v>
      </c>
      <c r="E22" s="240" t="s">
        <v>1289</v>
      </c>
      <c r="F22" s="241" t="s">
        <v>2127</v>
      </c>
      <c r="G22" s="242" t="s">
        <v>2128</v>
      </c>
      <c r="H22" s="242" t="s">
        <v>2129</v>
      </c>
    </row>
    <row r="23" spans="1:8" x14ac:dyDescent="0.25">
      <c r="A23" s="234" t="s">
        <v>2106</v>
      </c>
      <c r="B23" s="234" t="s">
        <v>2107</v>
      </c>
      <c r="C23" s="235">
        <f t="shared" si="0"/>
        <v>13</v>
      </c>
      <c r="D23" s="235">
        <v>2</v>
      </c>
      <c r="E23" s="234" t="s">
        <v>1294</v>
      </c>
      <c r="F23" s="250" t="s">
        <v>559</v>
      </c>
      <c r="G23" s="250" t="s">
        <v>241</v>
      </c>
      <c r="H23" s="237" t="s">
        <v>2130</v>
      </c>
    </row>
    <row r="24" spans="1:8" x14ac:dyDescent="0.25">
      <c r="A24" s="234" t="s">
        <v>2106</v>
      </c>
      <c r="B24" s="234" t="s">
        <v>2107</v>
      </c>
      <c r="C24" s="235">
        <f t="shared" si="0"/>
        <v>14</v>
      </c>
      <c r="D24" s="235">
        <v>2</v>
      </c>
      <c r="E24" s="234" t="s">
        <v>1297</v>
      </c>
      <c r="F24" s="237" t="s">
        <v>2131</v>
      </c>
      <c r="G24" s="237" t="s">
        <v>1140</v>
      </c>
      <c r="H24" s="237" t="s">
        <v>2132</v>
      </c>
    </row>
    <row r="25" spans="1:8" x14ac:dyDescent="0.25">
      <c r="A25" s="240" t="s">
        <v>2106</v>
      </c>
      <c r="B25" s="240" t="s">
        <v>2107</v>
      </c>
      <c r="C25" s="221">
        <f t="shared" si="0"/>
        <v>15</v>
      </c>
      <c r="D25" s="221">
        <v>3</v>
      </c>
      <c r="E25" s="240" t="s">
        <v>1301</v>
      </c>
      <c r="F25" s="240" t="s">
        <v>2133</v>
      </c>
      <c r="G25" s="253" t="s">
        <v>1532</v>
      </c>
      <c r="H25" s="240" t="s">
        <v>2134</v>
      </c>
    </row>
    <row r="26" spans="1:8" x14ac:dyDescent="0.25">
      <c r="A26" s="240" t="s">
        <v>2106</v>
      </c>
      <c r="B26" s="240" t="s">
        <v>2107</v>
      </c>
      <c r="C26" s="221">
        <f t="shared" si="0"/>
        <v>16</v>
      </c>
      <c r="D26" s="221">
        <v>3</v>
      </c>
      <c r="E26" s="240" t="s">
        <v>1305</v>
      </c>
      <c r="F26" s="240" t="s">
        <v>2135</v>
      </c>
      <c r="G26" s="253" t="s">
        <v>1533</v>
      </c>
      <c r="H26" s="240" t="s">
        <v>2136</v>
      </c>
    </row>
    <row r="27" spans="1:8" x14ac:dyDescent="0.25">
      <c r="A27" s="240" t="s">
        <v>2106</v>
      </c>
      <c r="B27" s="240" t="s">
        <v>2107</v>
      </c>
      <c r="C27" s="221">
        <f t="shared" si="0"/>
        <v>17</v>
      </c>
      <c r="D27" s="221">
        <v>3</v>
      </c>
      <c r="E27" s="240" t="s">
        <v>1309</v>
      </c>
      <c r="F27" s="240" t="s">
        <v>2137</v>
      </c>
      <c r="G27" s="253" t="s">
        <v>240</v>
      </c>
      <c r="H27" s="240" t="s">
        <v>2138</v>
      </c>
    </row>
    <row r="28" spans="1:8" x14ac:dyDescent="0.25">
      <c r="A28" s="234" t="s">
        <v>2106</v>
      </c>
      <c r="B28" s="234" t="s">
        <v>2107</v>
      </c>
      <c r="C28" s="235">
        <f>C24+1</f>
        <v>15</v>
      </c>
      <c r="D28" s="235">
        <v>2</v>
      </c>
      <c r="E28" s="234" t="s">
        <v>919</v>
      </c>
      <c r="F28" s="237" t="s">
        <v>995</v>
      </c>
      <c r="G28" s="237" t="s">
        <v>1141</v>
      </c>
      <c r="H28" s="237" t="s">
        <v>2139</v>
      </c>
    </row>
    <row r="29" spans="1:8" x14ac:dyDescent="0.25">
      <c r="A29" s="239" t="s">
        <v>2106</v>
      </c>
      <c r="B29" s="239" t="s">
        <v>2107</v>
      </c>
      <c r="C29" s="221">
        <f t="shared" si="0"/>
        <v>16</v>
      </c>
      <c r="D29" s="221">
        <v>3</v>
      </c>
      <c r="E29" s="240" t="s">
        <v>1315</v>
      </c>
      <c r="F29" s="241" t="s">
        <v>525</v>
      </c>
      <c r="G29" s="241" t="s">
        <v>244</v>
      </c>
      <c r="H29" s="242" t="s">
        <v>2140</v>
      </c>
    </row>
    <row r="30" spans="1:8" x14ac:dyDescent="0.25">
      <c r="A30" s="239" t="s">
        <v>2106</v>
      </c>
      <c r="B30" s="239" t="s">
        <v>2107</v>
      </c>
      <c r="C30" s="221">
        <f t="shared" si="0"/>
        <v>17</v>
      </c>
      <c r="D30" s="221">
        <v>3</v>
      </c>
      <c r="E30" s="240" t="s">
        <v>1318</v>
      </c>
      <c r="F30" s="241" t="s">
        <v>843</v>
      </c>
      <c r="G30" s="241" t="s">
        <v>243</v>
      </c>
      <c r="H30" s="242" t="s">
        <v>2141</v>
      </c>
    </row>
    <row r="31" spans="1:8" x14ac:dyDescent="0.25">
      <c r="A31" s="239" t="s">
        <v>2106</v>
      </c>
      <c r="B31" s="239" t="s">
        <v>2107</v>
      </c>
      <c r="C31" s="221">
        <f t="shared" si="0"/>
        <v>18</v>
      </c>
      <c r="D31" s="221">
        <v>3</v>
      </c>
      <c r="E31" s="240" t="s">
        <v>1321</v>
      </c>
      <c r="F31" s="241" t="s">
        <v>845</v>
      </c>
      <c r="G31" s="241" t="s">
        <v>752</v>
      </c>
      <c r="H31" s="242" t="s">
        <v>2142</v>
      </c>
    </row>
    <row r="32" spans="1:8" x14ac:dyDescent="0.25">
      <c r="A32" s="239" t="s">
        <v>2106</v>
      </c>
      <c r="B32" s="239" t="s">
        <v>2107</v>
      </c>
      <c r="C32" s="221">
        <f>C31+1</f>
        <v>19</v>
      </c>
      <c r="D32" s="221">
        <v>3</v>
      </c>
      <c r="E32" s="239" t="s">
        <v>123</v>
      </c>
      <c r="F32" s="241" t="s">
        <v>136</v>
      </c>
      <c r="G32" s="241" t="s">
        <v>242</v>
      </c>
      <c r="H32" s="242" t="s">
        <v>2143</v>
      </c>
    </row>
    <row r="33" spans="1:8" x14ac:dyDescent="0.25">
      <c r="A33" s="239" t="s">
        <v>2106</v>
      </c>
      <c r="B33" s="239" t="s">
        <v>2107</v>
      </c>
      <c r="C33" s="221">
        <f t="shared" si="0"/>
        <v>20</v>
      </c>
      <c r="D33" s="221">
        <v>3</v>
      </c>
      <c r="E33" s="239" t="s">
        <v>1324</v>
      </c>
      <c r="F33" s="241" t="s">
        <v>532</v>
      </c>
      <c r="G33" s="241" t="s">
        <v>245</v>
      </c>
      <c r="H33" s="242" t="s">
        <v>2144</v>
      </c>
    </row>
    <row r="34" spans="1:8" x14ac:dyDescent="0.25">
      <c r="A34" s="239" t="s">
        <v>2106</v>
      </c>
      <c r="B34" s="239" t="s">
        <v>2107</v>
      </c>
      <c r="C34" s="221">
        <f t="shared" si="0"/>
        <v>21</v>
      </c>
      <c r="D34" s="221">
        <v>3</v>
      </c>
      <c r="E34" s="244" t="s">
        <v>291</v>
      </c>
      <c r="F34" s="304" t="s">
        <v>2145</v>
      </c>
      <c r="G34" s="304" t="s">
        <v>348</v>
      </c>
      <c r="H34" s="247" t="s">
        <v>2146</v>
      </c>
    </row>
    <row r="35" spans="1:8" x14ac:dyDescent="0.25">
      <c r="A35" s="234" t="s">
        <v>2106</v>
      </c>
      <c r="B35" s="234" t="s">
        <v>2107</v>
      </c>
      <c r="C35" s="235">
        <f t="shared" si="0"/>
        <v>22</v>
      </c>
      <c r="D35" s="235">
        <v>2</v>
      </c>
      <c r="E35" s="234" t="s">
        <v>1328</v>
      </c>
      <c r="F35" s="237" t="s">
        <v>2147</v>
      </c>
      <c r="G35" s="237" t="s">
        <v>2148</v>
      </c>
      <c r="H35" s="237" t="s">
        <v>1194</v>
      </c>
    </row>
    <row r="36" spans="1:8" x14ac:dyDescent="0.25">
      <c r="A36" s="239" t="s">
        <v>2106</v>
      </c>
      <c r="B36" s="239" t="s">
        <v>2107</v>
      </c>
      <c r="C36" s="221">
        <f t="shared" si="0"/>
        <v>23</v>
      </c>
      <c r="D36" s="221">
        <v>3</v>
      </c>
      <c r="E36" s="251" t="s">
        <v>191</v>
      </c>
      <c r="F36" s="242" t="s">
        <v>2149</v>
      </c>
      <c r="G36" s="242" t="s">
        <v>2150</v>
      </c>
      <c r="H36" s="241" t="s">
        <v>740</v>
      </c>
    </row>
    <row r="37" spans="1:8" x14ac:dyDescent="0.25">
      <c r="A37" s="239" t="s">
        <v>2106</v>
      </c>
      <c r="B37" s="239" t="s">
        <v>2107</v>
      </c>
      <c r="C37" s="221">
        <f t="shared" si="0"/>
        <v>24</v>
      </c>
      <c r="D37" s="221">
        <v>3</v>
      </c>
      <c r="E37" s="251" t="s">
        <v>196</v>
      </c>
      <c r="F37" s="242" t="s">
        <v>2151</v>
      </c>
      <c r="G37" s="242" t="s">
        <v>2152</v>
      </c>
      <c r="H37" s="241" t="s">
        <v>723</v>
      </c>
    </row>
    <row r="38" spans="1:8" x14ac:dyDescent="0.25">
      <c r="A38" s="239" t="s">
        <v>2106</v>
      </c>
      <c r="B38" s="239" t="s">
        <v>2107</v>
      </c>
      <c r="C38" s="221">
        <f t="shared" si="0"/>
        <v>25</v>
      </c>
      <c r="D38" s="221">
        <v>3</v>
      </c>
      <c r="E38" s="251" t="s">
        <v>1335</v>
      </c>
      <c r="F38" s="242" t="s">
        <v>2153</v>
      </c>
      <c r="G38" s="242" t="s">
        <v>2154</v>
      </c>
      <c r="H38" s="241" t="s">
        <v>2155</v>
      </c>
    </row>
    <row r="39" spans="1:8" x14ac:dyDescent="0.25">
      <c r="A39" s="239" t="s">
        <v>2106</v>
      </c>
      <c r="B39" s="239" t="s">
        <v>2107</v>
      </c>
      <c r="C39" s="221">
        <f t="shared" si="0"/>
        <v>26</v>
      </c>
      <c r="D39" s="221">
        <v>3</v>
      </c>
      <c r="E39" s="251" t="s">
        <v>1339</v>
      </c>
      <c r="F39" s="242" t="s">
        <v>2156</v>
      </c>
      <c r="G39" s="242" t="s">
        <v>2157</v>
      </c>
      <c r="H39" s="241" t="s">
        <v>685</v>
      </c>
    </row>
    <row r="40" spans="1:8" x14ac:dyDescent="0.25">
      <c r="A40" s="234" t="s">
        <v>2106</v>
      </c>
      <c r="B40" s="234" t="s">
        <v>2107</v>
      </c>
      <c r="C40" s="235">
        <f>C39+1</f>
        <v>27</v>
      </c>
      <c r="D40" s="235">
        <v>2</v>
      </c>
      <c r="E40" s="234" t="s">
        <v>1045</v>
      </c>
      <c r="F40" s="237" t="s">
        <v>2158</v>
      </c>
      <c r="G40" s="237" t="s">
        <v>1142</v>
      </c>
      <c r="H40" s="237" t="s">
        <v>2159</v>
      </c>
    </row>
    <row r="41" spans="1:8" x14ac:dyDescent="0.25">
      <c r="A41" s="239" t="s">
        <v>2106</v>
      </c>
      <c r="B41" s="239" t="s">
        <v>2107</v>
      </c>
      <c r="C41" s="221">
        <f t="shared" si="0"/>
        <v>28</v>
      </c>
      <c r="D41" s="221">
        <v>3</v>
      </c>
      <c r="E41" s="239" t="s">
        <v>1048</v>
      </c>
      <c r="F41" s="242" t="s">
        <v>2160</v>
      </c>
      <c r="G41" s="241" t="s">
        <v>1143</v>
      </c>
      <c r="H41" s="242" t="s">
        <v>2161</v>
      </c>
    </row>
    <row r="42" spans="1:8" x14ac:dyDescent="0.25">
      <c r="A42" s="239" t="s">
        <v>2106</v>
      </c>
      <c r="B42" s="239" t="s">
        <v>2107</v>
      </c>
      <c r="C42" s="221">
        <f t="shared" si="0"/>
        <v>29</v>
      </c>
      <c r="D42" s="221">
        <v>4</v>
      </c>
      <c r="E42" s="305" t="s">
        <v>200</v>
      </c>
      <c r="F42" s="242" t="s">
        <v>2162</v>
      </c>
      <c r="G42" s="250" t="s">
        <v>215</v>
      </c>
      <c r="H42" s="242" t="s">
        <v>2163</v>
      </c>
    </row>
    <row r="43" spans="1:8" x14ac:dyDescent="0.25">
      <c r="A43" s="239" t="s">
        <v>2106</v>
      </c>
      <c r="B43" s="239" t="s">
        <v>2107</v>
      </c>
      <c r="C43" s="221">
        <f t="shared" si="0"/>
        <v>30</v>
      </c>
      <c r="D43" s="221">
        <v>4</v>
      </c>
      <c r="E43" s="305" t="s">
        <v>83</v>
      </c>
      <c r="F43" s="242" t="s">
        <v>2164</v>
      </c>
      <c r="G43" s="250" t="s">
        <v>82</v>
      </c>
      <c r="H43" s="242" t="s">
        <v>2165</v>
      </c>
    </row>
    <row r="44" spans="1:8" x14ac:dyDescent="0.25">
      <c r="A44" s="239" t="s">
        <v>2106</v>
      </c>
      <c r="B44" s="239" t="s">
        <v>2107</v>
      </c>
      <c r="C44" s="221">
        <f t="shared" si="0"/>
        <v>31</v>
      </c>
      <c r="D44" s="221">
        <v>4</v>
      </c>
      <c r="E44" s="251" t="s">
        <v>1053</v>
      </c>
      <c r="F44" s="242" t="s">
        <v>2166</v>
      </c>
      <c r="G44" s="241" t="s">
        <v>1144</v>
      </c>
      <c r="H44" s="242" t="s">
        <v>2167</v>
      </c>
    </row>
    <row r="45" spans="1:8" x14ac:dyDescent="0.25">
      <c r="A45" s="239" t="s">
        <v>2106</v>
      </c>
      <c r="B45" s="239" t="s">
        <v>2107</v>
      </c>
      <c r="C45" s="221">
        <f t="shared" si="0"/>
        <v>32</v>
      </c>
      <c r="D45" s="221">
        <v>5</v>
      </c>
      <c r="E45" s="305" t="s">
        <v>182</v>
      </c>
      <c r="F45" s="242" t="s">
        <v>2168</v>
      </c>
      <c r="G45" s="250" t="s">
        <v>216</v>
      </c>
      <c r="H45" s="242" t="s">
        <v>2169</v>
      </c>
    </row>
    <row r="46" spans="1:8" x14ac:dyDescent="0.25">
      <c r="A46" s="239" t="s">
        <v>2106</v>
      </c>
      <c r="B46" s="239" t="s">
        <v>2107</v>
      </c>
      <c r="C46" s="221">
        <f t="shared" si="0"/>
        <v>33</v>
      </c>
      <c r="D46" s="221">
        <v>5</v>
      </c>
      <c r="E46" s="305" t="s">
        <v>78</v>
      </c>
      <c r="F46" s="242" t="s">
        <v>2170</v>
      </c>
      <c r="G46" s="250" t="s">
        <v>110</v>
      </c>
      <c r="H46" s="242" t="s">
        <v>2171</v>
      </c>
    </row>
    <row r="47" spans="1:8" x14ac:dyDescent="0.25">
      <c r="A47" s="239" t="s">
        <v>2106</v>
      </c>
      <c r="B47" s="239" t="s">
        <v>2107</v>
      </c>
      <c r="C47" s="221">
        <f t="shared" si="0"/>
        <v>34</v>
      </c>
      <c r="D47" s="221">
        <v>4</v>
      </c>
      <c r="E47" s="305" t="s">
        <v>1356</v>
      </c>
      <c r="F47" s="242" t="s">
        <v>2172</v>
      </c>
      <c r="G47" s="250" t="s">
        <v>731</v>
      </c>
      <c r="H47" s="242" t="s">
        <v>2173</v>
      </c>
    </row>
    <row r="48" spans="1:8" x14ac:dyDescent="0.25">
      <c r="A48" s="239" t="s">
        <v>2106</v>
      </c>
      <c r="B48" s="239" t="s">
        <v>2107</v>
      </c>
      <c r="C48" s="221">
        <f t="shared" si="0"/>
        <v>35</v>
      </c>
      <c r="D48" s="221">
        <v>4</v>
      </c>
      <c r="E48" s="251" t="s">
        <v>1059</v>
      </c>
      <c r="F48" s="242" t="s">
        <v>2174</v>
      </c>
      <c r="G48" s="241" t="s">
        <v>1145</v>
      </c>
      <c r="H48" s="242" t="s">
        <v>2175</v>
      </c>
    </row>
    <row r="49" spans="1:15" x14ac:dyDescent="0.25">
      <c r="A49" s="239" t="s">
        <v>2106</v>
      </c>
      <c r="B49" s="239" t="s">
        <v>2107</v>
      </c>
      <c r="C49" s="221">
        <f t="shared" si="0"/>
        <v>36</v>
      </c>
      <c r="D49" s="221">
        <v>5</v>
      </c>
      <c r="E49" s="306" t="s">
        <v>172</v>
      </c>
      <c r="F49" s="242" t="s">
        <v>2176</v>
      </c>
      <c r="G49" s="250" t="s">
        <v>230</v>
      </c>
      <c r="H49" s="242" t="s">
        <v>2177</v>
      </c>
    </row>
    <row r="50" spans="1:15" x14ac:dyDescent="0.25">
      <c r="A50" s="239" t="s">
        <v>2106</v>
      </c>
      <c r="B50" s="239" t="s">
        <v>2107</v>
      </c>
      <c r="C50" s="221">
        <f t="shared" si="0"/>
        <v>37</v>
      </c>
      <c r="D50" s="221">
        <v>5</v>
      </c>
      <c r="E50" s="306" t="s">
        <v>97</v>
      </c>
      <c r="F50" s="242" t="s">
        <v>2178</v>
      </c>
      <c r="G50" s="250" t="s">
        <v>96</v>
      </c>
      <c r="H50" s="242" t="s">
        <v>2179</v>
      </c>
    </row>
    <row r="51" spans="1:15" x14ac:dyDescent="0.25">
      <c r="A51" s="239" t="s">
        <v>2106</v>
      </c>
      <c r="B51" s="239" t="s">
        <v>2107</v>
      </c>
      <c r="C51" s="221">
        <f t="shared" si="0"/>
        <v>38</v>
      </c>
      <c r="D51" s="221">
        <v>4</v>
      </c>
      <c r="E51" s="251" t="s">
        <v>1365</v>
      </c>
      <c r="F51" s="242" t="s">
        <v>2180</v>
      </c>
      <c r="G51" s="241" t="s">
        <v>1146</v>
      </c>
      <c r="H51" s="242" t="s">
        <v>2181</v>
      </c>
    </row>
    <row r="52" spans="1:15" x14ac:dyDescent="0.25">
      <c r="A52" s="239" t="s">
        <v>2106</v>
      </c>
      <c r="B52" s="239" t="s">
        <v>2107</v>
      </c>
      <c r="C52" s="221">
        <f t="shared" si="0"/>
        <v>39</v>
      </c>
      <c r="D52" s="221">
        <v>5</v>
      </c>
      <c r="E52" s="306" t="s">
        <v>174</v>
      </c>
      <c r="F52" s="242" t="s">
        <v>2182</v>
      </c>
      <c r="G52" s="250" t="s">
        <v>217</v>
      </c>
      <c r="H52" s="242" t="s">
        <v>2183</v>
      </c>
    </row>
    <row r="53" spans="1:15" x14ac:dyDescent="0.25">
      <c r="A53" s="239" t="s">
        <v>2106</v>
      </c>
      <c r="B53" s="239" t="s">
        <v>2107</v>
      </c>
      <c r="C53" s="221">
        <f t="shared" si="0"/>
        <v>40</v>
      </c>
      <c r="D53" s="221">
        <v>5</v>
      </c>
      <c r="E53" s="306" t="s">
        <v>49</v>
      </c>
      <c r="F53" s="242" t="s">
        <v>2184</v>
      </c>
      <c r="G53" s="250" t="s">
        <v>109</v>
      </c>
      <c r="H53" s="242" t="s">
        <v>2185</v>
      </c>
    </row>
    <row r="54" spans="1:15" x14ac:dyDescent="0.25">
      <c r="A54" s="239" t="s">
        <v>2106</v>
      </c>
      <c r="B54" s="239" t="s">
        <v>2107</v>
      </c>
      <c r="C54" s="221">
        <f t="shared" si="0"/>
        <v>41</v>
      </c>
      <c r="D54" s="221">
        <v>3</v>
      </c>
      <c r="E54" s="239" t="s">
        <v>1372</v>
      </c>
      <c r="F54" s="242" t="s">
        <v>2186</v>
      </c>
      <c r="G54" s="241" t="s">
        <v>1147</v>
      </c>
      <c r="H54" s="242" t="s">
        <v>2187</v>
      </c>
      <c r="O54" s="252"/>
    </row>
    <row r="55" spans="1:15" x14ac:dyDescent="0.25">
      <c r="A55" s="239" t="s">
        <v>2106</v>
      </c>
      <c r="B55" s="239" t="s">
        <v>2107</v>
      </c>
      <c r="C55" s="221">
        <f t="shared" si="0"/>
        <v>42</v>
      </c>
      <c r="D55" s="221">
        <v>4</v>
      </c>
      <c r="E55" s="305" t="s">
        <v>1375</v>
      </c>
      <c r="F55" s="242" t="s">
        <v>2188</v>
      </c>
      <c r="G55" s="250" t="s">
        <v>2189</v>
      </c>
      <c r="H55" s="242" t="s">
        <v>2190</v>
      </c>
      <c r="O55" s="252"/>
    </row>
    <row r="56" spans="1:15" x14ac:dyDescent="0.25">
      <c r="A56" s="239" t="s">
        <v>2106</v>
      </c>
      <c r="B56" s="239" t="s">
        <v>2107</v>
      </c>
      <c r="C56" s="221">
        <f t="shared" si="0"/>
        <v>43</v>
      </c>
      <c r="D56" s="221">
        <v>4</v>
      </c>
      <c r="E56" s="305" t="s">
        <v>210</v>
      </c>
      <c r="F56" s="242" t="s">
        <v>2191</v>
      </c>
      <c r="G56" s="250" t="s">
        <v>1148</v>
      </c>
      <c r="H56" s="242" t="s">
        <v>2192</v>
      </c>
      <c r="O56" s="252"/>
    </row>
    <row r="57" spans="1:15" x14ac:dyDescent="0.25">
      <c r="A57" s="239" t="s">
        <v>2106</v>
      </c>
      <c r="B57" s="239" t="s">
        <v>2107</v>
      </c>
      <c r="C57" s="221">
        <f t="shared" si="0"/>
        <v>44</v>
      </c>
      <c r="D57" s="221">
        <v>3</v>
      </c>
      <c r="E57" s="303" t="s">
        <v>1380</v>
      </c>
      <c r="F57" s="242" t="s">
        <v>2193</v>
      </c>
      <c r="G57" s="250" t="s">
        <v>737</v>
      </c>
      <c r="H57" s="242" t="s">
        <v>2194</v>
      </c>
    </row>
    <row r="58" spans="1:15" x14ac:dyDescent="0.25">
      <c r="A58" s="239" t="s">
        <v>2106</v>
      </c>
      <c r="B58" s="239" t="s">
        <v>2107</v>
      </c>
      <c r="C58" s="221">
        <f>C57+1</f>
        <v>45</v>
      </c>
      <c r="D58" s="221">
        <v>3</v>
      </c>
      <c r="E58" s="303" t="s">
        <v>1383</v>
      </c>
      <c r="F58" s="242" t="s">
        <v>2195</v>
      </c>
      <c r="G58" s="250" t="s">
        <v>2196</v>
      </c>
      <c r="H58" s="242" t="s">
        <v>2197</v>
      </c>
    </row>
    <row r="59" spans="1:15" x14ac:dyDescent="0.25">
      <c r="A59" s="239" t="s">
        <v>2106</v>
      </c>
      <c r="B59" s="239" t="s">
        <v>2107</v>
      </c>
      <c r="C59" s="221">
        <f t="shared" ref="C59" si="1">C58+1</f>
        <v>46</v>
      </c>
      <c r="D59" s="221">
        <v>3</v>
      </c>
      <c r="E59" s="303" t="s">
        <v>1387</v>
      </c>
      <c r="F59" s="242" t="s">
        <v>2198</v>
      </c>
      <c r="G59" s="250" t="s">
        <v>732</v>
      </c>
      <c r="H59" s="242" t="s">
        <v>2199</v>
      </c>
    </row>
    <row r="60" spans="1:15" x14ac:dyDescent="0.25">
      <c r="A60" s="234" t="s">
        <v>2106</v>
      </c>
      <c r="B60" s="234" t="s">
        <v>2107</v>
      </c>
      <c r="C60" s="235">
        <f>C59+1</f>
        <v>47</v>
      </c>
      <c r="D60" s="235">
        <v>2</v>
      </c>
      <c r="E60" s="234" t="s">
        <v>883</v>
      </c>
      <c r="F60" s="237" t="s">
        <v>2200</v>
      </c>
      <c r="G60" s="237" t="s">
        <v>2201</v>
      </c>
      <c r="H60" s="237" t="s">
        <v>1195</v>
      </c>
    </row>
    <row r="61" spans="1:15" x14ac:dyDescent="0.25">
      <c r="A61" s="239" t="s">
        <v>2106</v>
      </c>
      <c r="B61" s="239" t="s">
        <v>2107</v>
      </c>
      <c r="C61" s="221">
        <f t="shared" si="0"/>
        <v>48</v>
      </c>
      <c r="D61" s="221">
        <v>3</v>
      </c>
      <c r="E61" s="239" t="s">
        <v>826</v>
      </c>
      <c r="F61" s="242" t="s">
        <v>2202</v>
      </c>
      <c r="G61" s="242" t="s">
        <v>2203</v>
      </c>
      <c r="H61" s="241" t="s">
        <v>841</v>
      </c>
    </row>
    <row r="62" spans="1:15" x14ac:dyDescent="0.25">
      <c r="A62" s="239" t="s">
        <v>2106</v>
      </c>
      <c r="B62" s="239" t="s">
        <v>2107</v>
      </c>
      <c r="C62" s="221">
        <f t="shared" si="0"/>
        <v>49</v>
      </c>
      <c r="D62" s="221">
        <v>3</v>
      </c>
      <c r="E62" s="239" t="s">
        <v>794</v>
      </c>
      <c r="F62" s="242" t="s">
        <v>2204</v>
      </c>
      <c r="G62" s="242" t="s">
        <v>2205</v>
      </c>
      <c r="H62" s="241" t="s">
        <v>2206</v>
      </c>
    </row>
    <row r="63" spans="1:15" x14ac:dyDescent="0.25">
      <c r="A63" s="239" t="s">
        <v>2106</v>
      </c>
      <c r="B63" s="239" t="s">
        <v>2107</v>
      </c>
      <c r="C63" s="221">
        <f t="shared" si="0"/>
        <v>50</v>
      </c>
      <c r="D63" s="221">
        <v>3</v>
      </c>
      <c r="E63" s="239" t="s">
        <v>800</v>
      </c>
      <c r="F63" s="242" t="s">
        <v>2207</v>
      </c>
      <c r="G63" s="242" t="s">
        <v>2208</v>
      </c>
      <c r="H63" s="241" t="s">
        <v>2209</v>
      </c>
    </row>
    <row r="64" spans="1:15" x14ac:dyDescent="0.25">
      <c r="A64" s="239" t="s">
        <v>2106</v>
      </c>
      <c r="B64" s="239" t="s">
        <v>2107</v>
      </c>
      <c r="C64" s="221">
        <f t="shared" si="0"/>
        <v>51</v>
      </c>
      <c r="D64" s="221">
        <v>3</v>
      </c>
      <c r="E64" s="239" t="s">
        <v>1010</v>
      </c>
      <c r="F64" s="242" t="s">
        <v>2210</v>
      </c>
      <c r="G64" s="242" t="s">
        <v>2211</v>
      </c>
      <c r="H64" s="241" t="s">
        <v>2212</v>
      </c>
    </row>
    <row r="65" spans="1:8" x14ac:dyDescent="0.25">
      <c r="A65" s="234" t="s">
        <v>2106</v>
      </c>
      <c r="B65" s="234" t="s">
        <v>2107</v>
      </c>
      <c r="C65" s="235">
        <f t="shared" si="0"/>
        <v>52</v>
      </c>
      <c r="D65" s="235">
        <v>2</v>
      </c>
      <c r="E65" s="236" t="s">
        <v>885</v>
      </c>
      <c r="F65" s="237" t="s">
        <v>2213</v>
      </c>
      <c r="G65" s="237" t="s">
        <v>2214</v>
      </c>
      <c r="H65" s="237" t="s">
        <v>1196</v>
      </c>
    </row>
    <row r="66" spans="1:8" x14ac:dyDescent="0.25">
      <c r="A66" s="239" t="s">
        <v>2106</v>
      </c>
      <c r="B66" s="239" t="s">
        <v>2107</v>
      </c>
      <c r="C66" s="221">
        <f t="shared" si="0"/>
        <v>53</v>
      </c>
      <c r="D66" s="221">
        <v>3</v>
      </c>
      <c r="E66" s="240" t="s">
        <v>139</v>
      </c>
      <c r="F66" s="242" t="s">
        <v>2215</v>
      </c>
      <c r="G66" s="242" t="s">
        <v>2216</v>
      </c>
      <c r="H66" s="241" t="s">
        <v>778</v>
      </c>
    </row>
    <row r="67" spans="1:8" x14ac:dyDescent="0.25">
      <c r="A67" s="239" t="s">
        <v>2106</v>
      </c>
      <c r="B67" s="239" t="s">
        <v>2107</v>
      </c>
      <c r="C67" s="221">
        <f t="shared" si="0"/>
        <v>54</v>
      </c>
      <c r="D67" s="221">
        <v>3</v>
      </c>
      <c r="E67" s="240" t="s">
        <v>756</v>
      </c>
      <c r="F67" s="242" t="s">
        <v>2217</v>
      </c>
      <c r="G67" s="242" t="s">
        <v>2218</v>
      </c>
      <c r="H67" s="241" t="s">
        <v>760</v>
      </c>
    </row>
    <row r="68" spans="1:8" x14ac:dyDescent="0.25">
      <c r="A68" s="239" t="s">
        <v>2106</v>
      </c>
      <c r="B68" s="239" t="s">
        <v>2107</v>
      </c>
      <c r="C68" s="221">
        <f t="shared" si="0"/>
        <v>55</v>
      </c>
      <c r="D68" s="221">
        <v>3</v>
      </c>
      <c r="E68" s="240" t="s">
        <v>146</v>
      </c>
      <c r="F68" s="242" t="s">
        <v>2219</v>
      </c>
      <c r="G68" s="242" t="s">
        <v>2220</v>
      </c>
      <c r="H68" s="241" t="s">
        <v>150</v>
      </c>
    </row>
    <row r="69" spans="1:8" x14ac:dyDescent="0.25">
      <c r="A69" s="239" t="s">
        <v>2106</v>
      </c>
      <c r="B69" s="239" t="s">
        <v>2107</v>
      </c>
      <c r="C69" s="221">
        <f t="shared" si="0"/>
        <v>56</v>
      </c>
      <c r="D69" s="221">
        <v>3</v>
      </c>
      <c r="E69" s="240" t="s">
        <v>1408</v>
      </c>
      <c r="F69" s="242" t="s">
        <v>2221</v>
      </c>
      <c r="G69" s="242" t="s">
        <v>2222</v>
      </c>
      <c r="H69" s="241" t="s">
        <v>2223</v>
      </c>
    </row>
    <row r="70" spans="1:8" x14ac:dyDescent="0.25">
      <c r="A70" s="239" t="s">
        <v>2106</v>
      </c>
      <c r="B70" s="239" t="s">
        <v>2107</v>
      </c>
      <c r="C70" s="221">
        <f t="shared" si="0"/>
        <v>57</v>
      </c>
      <c r="D70" s="221">
        <v>3</v>
      </c>
      <c r="E70" s="240" t="s">
        <v>1412</v>
      </c>
      <c r="F70" s="242" t="s">
        <v>2224</v>
      </c>
      <c r="G70" s="242" t="s">
        <v>2225</v>
      </c>
      <c r="H70" s="241" t="s">
        <v>2226</v>
      </c>
    </row>
    <row r="71" spans="1:8" x14ac:dyDescent="0.25">
      <c r="A71" s="239" t="s">
        <v>2106</v>
      </c>
      <c r="B71" s="239" t="s">
        <v>2107</v>
      </c>
      <c r="C71" s="221">
        <f t="shared" si="0"/>
        <v>58</v>
      </c>
      <c r="D71" s="221">
        <v>3</v>
      </c>
      <c r="E71" s="240" t="s">
        <v>1416</v>
      </c>
      <c r="F71" s="242" t="s">
        <v>2227</v>
      </c>
      <c r="G71" s="242" t="s">
        <v>2228</v>
      </c>
      <c r="H71" s="241" t="s">
        <v>2229</v>
      </c>
    </row>
    <row r="72" spans="1:8" x14ac:dyDescent="0.25">
      <c r="A72" s="239" t="s">
        <v>2106</v>
      </c>
      <c r="B72" s="239" t="s">
        <v>2107</v>
      </c>
      <c r="C72" s="221">
        <f t="shared" si="0"/>
        <v>59</v>
      </c>
      <c r="D72" s="221">
        <v>3</v>
      </c>
      <c r="E72" s="240" t="s">
        <v>1420</v>
      </c>
      <c r="F72" s="242" t="s">
        <v>2230</v>
      </c>
      <c r="G72" s="242" t="s">
        <v>2231</v>
      </c>
      <c r="H72" s="241" t="s">
        <v>2232</v>
      </c>
    </row>
    <row r="73" spans="1:8" x14ac:dyDescent="0.25">
      <c r="A73" s="239" t="s">
        <v>2106</v>
      </c>
      <c r="B73" s="239" t="s">
        <v>2107</v>
      </c>
      <c r="C73" s="221">
        <f t="shared" si="0"/>
        <v>60</v>
      </c>
      <c r="D73" s="221">
        <v>3</v>
      </c>
      <c r="E73" s="240" t="s">
        <v>887</v>
      </c>
      <c r="F73" s="242" t="s">
        <v>2233</v>
      </c>
      <c r="G73" s="242" t="s">
        <v>2234</v>
      </c>
      <c r="H73" s="241" t="s">
        <v>1197</v>
      </c>
    </row>
    <row r="74" spans="1:8" x14ac:dyDescent="0.25">
      <c r="A74" s="239" t="s">
        <v>2106</v>
      </c>
      <c r="B74" s="239" t="s">
        <v>2107</v>
      </c>
      <c r="C74" s="221">
        <f t="shared" si="0"/>
        <v>61</v>
      </c>
      <c r="D74" s="221">
        <v>3</v>
      </c>
      <c r="E74" s="240" t="s">
        <v>805</v>
      </c>
      <c r="F74" s="242" t="s">
        <v>2235</v>
      </c>
      <c r="G74" s="242" t="s">
        <v>2236</v>
      </c>
      <c r="H74" s="241" t="s">
        <v>1198</v>
      </c>
    </row>
    <row r="75" spans="1:8" x14ac:dyDescent="0.25">
      <c r="A75" s="239" t="s">
        <v>2106</v>
      </c>
      <c r="B75" s="239" t="s">
        <v>2107</v>
      </c>
      <c r="C75" s="221">
        <f t="shared" si="0"/>
        <v>62</v>
      </c>
      <c r="D75" s="221">
        <v>3</v>
      </c>
      <c r="E75" s="240" t="s">
        <v>272</v>
      </c>
      <c r="F75" s="242" t="s">
        <v>2237</v>
      </c>
      <c r="G75" s="242" t="s">
        <v>2238</v>
      </c>
      <c r="H75" s="241" t="s">
        <v>281</v>
      </c>
    </row>
    <row r="76" spans="1:8" x14ac:dyDescent="0.25">
      <c r="A76" s="239" t="s">
        <v>2106</v>
      </c>
      <c r="B76" s="239" t="s">
        <v>2107</v>
      </c>
      <c r="C76" s="221">
        <f t="shared" si="0"/>
        <v>63</v>
      </c>
      <c r="D76" s="221">
        <v>3</v>
      </c>
      <c r="E76" s="240" t="s">
        <v>837</v>
      </c>
      <c r="F76" s="242" t="s">
        <v>2239</v>
      </c>
      <c r="G76" s="242" t="s">
        <v>2240</v>
      </c>
      <c r="H76" s="241" t="s">
        <v>2241</v>
      </c>
    </row>
    <row r="77" spans="1:8" x14ac:dyDescent="0.25">
      <c r="A77" s="239" t="s">
        <v>2106</v>
      </c>
      <c r="B77" s="239" t="s">
        <v>2107</v>
      </c>
      <c r="C77" s="221">
        <f t="shared" si="0"/>
        <v>64</v>
      </c>
      <c r="D77" s="221">
        <v>3</v>
      </c>
      <c r="E77" s="240" t="s">
        <v>1433</v>
      </c>
      <c r="F77" s="242" t="s">
        <v>2242</v>
      </c>
      <c r="G77" s="242" t="s">
        <v>2243</v>
      </c>
      <c r="H77" s="241" t="s">
        <v>2244</v>
      </c>
    </row>
    <row r="78" spans="1:8" x14ac:dyDescent="0.25">
      <c r="A78" s="239" t="s">
        <v>2106</v>
      </c>
      <c r="B78" s="239" t="s">
        <v>2107</v>
      </c>
      <c r="C78" s="221">
        <f t="shared" si="0"/>
        <v>65</v>
      </c>
      <c r="D78" s="221">
        <v>3</v>
      </c>
      <c r="E78" s="240" t="s">
        <v>1437</v>
      </c>
      <c r="F78" s="242" t="s">
        <v>2245</v>
      </c>
      <c r="G78" s="242" t="s">
        <v>2246</v>
      </c>
      <c r="H78" s="241" t="s">
        <v>2247</v>
      </c>
    </row>
    <row r="79" spans="1:8" x14ac:dyDescent="0.25">
      <c r="A79" s="239" t="s">
        <v>2106</v>
      </c>
      <c r="B79" s="239" t="s">
        <v>2107</v>
      </c>
      <c r="C79" s="221">
        <f t="shared" si="0"/>
        <v>66</v>
      </c>
      <c r="D79" s="221">
        <v>3</v>
      </c>
      <c r="E79" s="240" t="s">
        <v>782</v>
      </c>
      <c r="F79" s="242" t="s">
        <v>2248</v>
      </c>
      <c r="G79" s="242" t="s">
        <v>2249</v>
      </c>
      <c r="H79" s="241" t="s">
        <v>784</v>
      </c>
    </row>
    <row r="80" spans="1:8" x14ac:dyDescent="0.25">
      <c r="A80" s="239" t="s">
        <v>2106</v>
      </c>
      <c r="B80" s="239" t="s">
        <v>2107</v>
      </c>
      <c r="C80" s="221">
        <f t="shared" si="0"/>
        <v>67</v>
      </c>
      <c r="D80" s="221">
        <v>3</v>
      </c>
      <c r="E80" s="240" t="s">
        <v>1444</v>
      </c>
      <c r="F80" s="242" t="s">
        <v>2250</v>
      </c>
      <c r="G80" s="242" t="s">
        <v>2251</v>
      </c>
      <c r="H80" s="241" t="s">
        <v>2252</v>
      </c>
    </row>
    <row r="81" spans="1:8" x14ac:dyDescent="0.25">
      <c r="A81" s="239" t="s">
        <v>2106</v>
      </c>
      <c r="B81" s="239" t="s">
        <v>2107</v>
      </c>
      <c r="C81" s="221">
        <f t="shared" ref="C81:C97" si="2">C80+1</f>
        <v>68</v>
      </c>
      <c r="D81" s="221">
        <v>3</v>
      </c>
      <c r="E81" s="240" t="s">
        <v>1448</v>
      </c>
      <c r="F81" s="242" t="s">
        <v>2253</v>
      </c>
      <c r="G81" s="242" t="s">
        <v>2254</v>
      </c>
      <c r="H81" s="241" t="s">
        <v>1534</v>
      </c>
    </row>
    <row r="82" spans="1:8" x14ac:dyDescent="0.25">
      <c r="A82" s="239" t="s">
        <v>2106</v>
      </c>
      <c r="B82" s="239" t="s">
        <v>2107</v>
      </c>
      <c r="C82" s="221">
        <f t="shared" si="2"/>
        <v>69</v>
      </c>
      <c r="D82" s="221">
        <v>3</v>
      </c>
      <c r="E82" s="240" t="s">
        <v>1452</v>
      </c>
      <c r="F82" s="242" t="s">
        <v>2255</v>
      </c>
      <c r="G82" s="242" t="s">
        <v>2256</v>
      </c>
      <c r="H82" s="241" t="s">
        <v>1535</v>
      </c>
    </row>
    <row r="83" spans="1:8" x14ac:dyDescent="0.25">
      <c r="A83" s="239" t="s">
        <v>2106</v>
      </c>
      <c r="B83" s="239" t="s">
        <v>2107</v>
      </c>
      <c r="C83" s="221">
        <f t="shared" si="2"/>
        <v>70</v>
      </c>
      <c r="D83" s="221">
        <v>3</v>
      </c>
      <c r="E83" s="246" t="s">
        <v>890</v>
      </c>
      <c r="F83" s="247" t="s">
        <v>2257</v>
      </c>
      <c r="G83" s="247" t="s">
        <v>2258</v>
      </c>
      <c r="H83" s="304" t="s">
        <v>1199</v>
      </c>
    </row>
    <row r="84" spans="1:8" x14ac:dyDescent="0.25">
      <c r="A84" s="239" t="s">
        <v>2106</v>
      </c>
      <c r="B84" s="239" t="s">
        <v>2107</v>
      </c>
      <c r="C84" s="221">
        <f t="shared" si="2"/>
        <v>71</v>
      </c>
      <c r="D84" s="221">
        <v>4</v>
      </c>
      <c r="E84" s="239" t="s">
        <v>1458</v>
      </c>
      <c r="F84" s="242" t="s">
        <v>2259</v>
      </c>
      <c r="G84" s="242" t="s">
        <v>2260</v>
      </c>
      <c r="H84" s="241" t="s">
        <v>2261</v>
      </c>
    </row>
    <row r="85" spans="1:8" x14ac:dyDescent="0.25">
      <c r="A85" s="239" t="s">
        <v>2106</v>
      </c>
      <c r="B85" s="239" t="s">
        <v>2107</v>
      </c>
      <c r="C85" s="221">
        <f t="shared" si="2"/>
        <v>72</v>
      </c>
      <c r="D85" s="221">
        <v>4</v>
      </c>
      <c r="E85" s="239" t="s">
        <v>1462</v>
      </c>
      <c r="F85" s="242" t="s">
        <v>2262</v>
      </c>
      <c r="G85" s="242" t="s">
        <v>2263</v>
      </c>
      <c r="H85" s="241" t="s">
        <v>2264</v>
      </c>
    </row>
    <row r="86" spans="1:8" x14ac:dyDescent="0.25">
      <c r="A86" s="239" t="s">
        <v>2106</v>
      </c>
      <c r="B86" s="239" t="s">
        <v>2107</v>
      </c>
      <c r="C86" s="221">
        <f t="shared" si="2"/>
        <v>73</v>
      </c>
      <c r="D86" s="221">
        <v>4</v>
      </c>
      <c r="E86" s="239" t="s">
        <v>1466</v>
      </c>
      <c r="F86" s="242" t="s">
        <v>2265</v>
      </c>
      <c r="G86" s="242" t="s">
        <v>2266</v>
      </c>
      <c r="H86" s="241" t="s">
        <v>790</v>
      </c>
    </row>
    <row r="87" spans="1:8" x14ac:dyDescent="0.25">
      <c r="A87" s="239" t="s">
        <v>2106</v>
      </c>
      <c r="B87" s="239" t="s">
        <v>2107</v>
      </c>
      <c r="C87" s="221">
        <f t="shared" si="2"/>
        <v>74</v>
      </c>
      <c r="D87" s="221">
        <v>4</v>
      </c>
      <c r="E87" s="239" t="s">
        <v>1469</v>
      </c>
      <c r="F87" s="242" t="s">
        <v>2267</v>
      </c>
      <c r="G87" s="242" t="s">
        <v>2268</v>
      </c>
      <c r="H87" s="241" t="s">
        <v>2269</v>
      </c>
    </row>
    <row r="88" spans="1:8" x14ac:dyDescent="0.25">
      <c r="A88" s="239" t="s">
        <v>2106</v>
      </c>
      <c r="B88" s="239" t="s">
        <v>2107</v>
      </c>
      <c r="C88" s="221">
        <f>C87+1</f>
        <v>75</v>
      </c>
      <c r="D88" s="221">
        <v>3</v>
      </c>
      <c r="E88" s="240" t="s">
        <v>1473</v>
      </c>
      <c r="F88" s="242" t="s">
        <v>2270</v>
      </c>
      <c r="G88" s="242" t="s">
        <v>2271</v>
      </c>
      <c r="H88" s="241" t="s">
        <v>2272</v>
      </c>
    </row>
    <row r="89" spans="1:8" x14ac:dyDescent="0.25">
      <c r="A89" s="239" t="s">
        <v>2106</v>
      </c>
      <c r="B89" s="239" t="s">
        <v>2107</v>
      </c>
      <c r="C89" s="221">
        <f t="shared" si="2"/>
        <v>76</v>
      </c>
      <c r="D89" s="221">
        <v>3</v>
      </c>
      <c r="E89" s="240" t="s">
        <v>1477</v>
      </c>
      <c r="F89" s="240" t="s">
        <v>2273</v>
      </c>
      <c r="G89" s="240" t="s">
        <v>2274</v>
      </c>
      <c r="H89" s="241" t="s">
        <v>2275</v>
      </c>
    </row>
    <row r="90" spans="1:8" x14ac:dyDescent="0.25">
      <c r="A90" s="234" t="s">
        <v>2106</v>
      </c>
      <c r="B90" s="234" t="s">
        <v>2107</v>
      </c>
      <c r="C90" s="235">
        <f t="shared" si="2"/>
        <v>77</v>
      </c>
      <c r="D90" s="235">
        <v>2</v>
      </c>
      <c r="E90" s="234" t="s">
        <v>929</v>
      </c>
      <c r="F90" s="237" t="s">
        <v>996</v>
      </c>
      <c r="G90" s="237" t="s">
        <v>2276</v>
      </c>
      <c r="H90" s="237" t="s">
        <v>2277</v>
      </c>
    </row>
    <row r="91" spans="1:8" x14ac:dyDescent="0.25">
      <c r="A91" s="239" t="s">
        <v>2106</v>
      </c>
      <c r="B91" s="239" t="s">
        <v>2107</v>
      </c>
      <c r="C91" s="221">
        <f t="shared" si="2"/>
        <v>78</v>
      </c>
      <c r="D91" s="221">
        <v>3</v>
      </c>
      <c r="E91" s="239" t="s">
        <v>1483</v>
      </c>
      <c r="F91" s="242" t="s">
        <v>2278</v>
      </c>
      <c r="G91" s="242" t="s">
        <v>2279</v>
      </c>
      <c r="H91" s="241" t="s">
        <v>2280</v>
      </c>
    </row>
    <row r="92" spans="1:8" x14ac:dyDescent="0.25">
      <c r="A92" s="239" t="s">
        <v>2106</v>
      </c>
      <c r="B92" s="239" t="s">
        <v>2107</v>
      </c>
      <c r="C92" s="221">
        <f t="shared" si="2"/>
        <v>79</v>
      </c>
      <c r="D92" s="221">
        <v>3</v>
      </c>
      <c r="E92" s="303" t="s">
        <v>839</v>
      </c>
      <c r="F92" s="242" t="s">
        <v>870</v>
      </c>
      <c r="G92" s="242" t="s">
        <v>2281</v>
      </c>
      <c r="H92" s="241" t="s">
        <v>2282</v>
      </c>
    </row>
    <row r="93" spans="1:8" x14ac:dyDescent="0.25">
      <c r="A93" s="239" t="s">
        <v>2106</v>
      </c>
      <c r="B93" s="239" t="s">
        <v>2107</v>
      </c>
      <c r="C93" s="221">
        <f t="shared" si="2"/>
        <v>80</v>
      </c>
      <c r="D93" s="221">
        <v>3</v>
      </c>
      <c r="E93" s="239" t="s">
        <v>863</v>
      </c>
      <c r="F93" s="242" t="s">
        <v>2283</v>
      </c>
      <c r="G93" s="242" t="s">
        <v>2284</v>
      </c>
      <c r="H93" s="241" t="s">
        <v>2285</v>
      </c>
    </row>
    <row r="94" spans="1:8" x14ac:dyDescent="0.25">
      <c r="A94" s="239" t="s">
        <v>2106</v>
      </c>
      <c r="B94" s="239" t="s">
        <v>2107</v>
      </c>
      <c r="C94" s="221">
        <f t="shared" si="2"/>
        <v>81</v>
      </c>
      <c r="D94" s="221">
        <v>3</v>
      </c>
      <c r="E94" s="303" t="s">
        <v>868</v>
      </c>
      <c r="F94" s="242" t="s">
        <v>1536</v>
      </c>
      <c r="G94" s="242" t="s">
        <v>2286</v>
      </c>
      <c r="H94" s="241" t="s">
        <v>2287</v>
      </c>
    </row>
    <row r="95" spans="1:8" x14ac:dyDescent="0.25">
      <c r="A95" s="239" t="s">
        <v>2106</v>
      </c>
      <c r="B95" s="239" t="s">
        <v>2107</v>
      </c>
      <c r="C95" s="221">
        <f t="shared" si="2"/>
        <v>82</v>
      </c>
      <c r="D95" s="221">
        <v>3</v>
      </c>
      <c r="E95" s="239" t="s">
        <v>1494</v>
      </c>
      <c r="F95" s="242" t="s">
        <v>2288</v>
      </c>
      <c r="G95" s="242" t="s">
        <v>2289</v>
      </c>
      <c r="H95" s="241" t="s">
        <v>2290</v>
      </c>
    </row>
    <row r="96" spans="1:8" x14ac:dyDescent="0.25">
      <c r="A96" s="239" t="s">
        <v>2106</v>
      </c>
      <c r="B96" s="239" t="s">
        <v>2107</v>
      </c>
      <c r="C96" s="221">
        <f t="shared" si="2"/>
        <v>83</v>
      </c>
      <c r="D96" s="221">
        <v>3</v>
      </c>
      <c r="E96" s="239" t="s">
        <v>1498</v>
      </c>
      <c r="F96" s="242" t="s">
        <v>2291</v>
      </c>
      <c r="G96" s="242" t="s">
        <v>2292</v>
      </c>
      <c r="H96" s="241" t="s">
        <v>2293</v>
      </c>
    </row>
    <row r="97" spans="1:8" x14ac:dyDescent="0.25">
      <c r="A97" s="239" t="s">
        <v>2106</v>
      </c>
      <c r="B97" s="239" t="s">
        <v>2107</v>
      </c>
      <c r="C97" s="221">
        <f t="shared" si="2"/>
        <v>84</v>
      </c>
      <c r="D97" s="221">
        <v>3</v>
      </c>
      <c r="E97" s="239" t="s">
        <v>876</v>
      </c>
      <c r="F97" s="242" t="s">
        <v>2294</v>
      </c>
      <c r="G97" s="242" t="s">
        <v>2295</v>
      </c>
      <c r="H97" s="241" t="s">
        <v>2296</v>
      </c>
    </row>
    <row r="98" spans="1:8" x14ac:dyDescent="0.25">
      <c r="A98" s="234" t="s">
        <v>2106</v>
      </c>
      <c r="B98" s="234" t="s">
        <v>2107</v>
      </c>
      <c r="C98" s="235">
        <f>C97+1</f>
        <v>85</v>
      </c>
      <c r="D98" s="235">
        <v>2</v>
      </c>
      <c r="E98" s="234" t="s">
        <v>769</v>
      </c>
      <c r="F98" s="237" t="s">
        <v>2297</v>
      </c>
      <c r="G98" s="237" t="s">
        <v>2298</v>
      </c>
      <c r="H98" s="250" t="s">
        <v>772</v>
      </c>
    </row>
    <row r="99" spans="1:8" x14ac:dyDescent="0.25">
      <c r="A99" s="234" t="s">
        <v>2106</v>
      </c>
      <c r="B99" s="234" t="s">
        <v>2107</v>
      </c>
      <c r="C99" s="235">
        <f t="shared" ref="C99:C100" si="3">C98+1</f>
        <v>86</v>
      </c>
      <c r="D99" s="235">
        <v>2</v>
      </c>
      <c r="E99" s="234" t="s">
        <v>366</v>
      </c>
      <c r="F99" s="250" t="s">
        <v>565</v>
      </c>
      <c r="G99" s="237" t="s">
        <v>2299</v>
      </c>
      <c r="H99" s="237" t="s">
        <v>2300</v>
      </c>
    </row>
    <row r="100" spans="1:8" x14ac:dyDescent="0.25">
      <c r="A100" s="234" t="s">
        <v>2106</v>
      </c>
      <c r="B100" s="234" t="s">
        <v>2107</v>
      </c>
      <c r="C100" s="235">
        <f t="shared" si="3"/>
        <v>87</v>
      </c>
      <c r="D100" s="235">
        <v>2</v>
      </c>
      <c r="E100" s="234" t="s">
        <v>1509</v>
      </c>
      <c r="F100" s="237" t="s">
        <v>2301</v>
      </c>
      <c r="G100" s="237" t="s">
        <v>2302</v>
      </c>
      <c r="H100" s="250" t="s">
        <v>2303</v>
      </c>
    </row>
  </sheetData>
  <autoFilter ref="A11:N100" xr:uid="{29D90A83-8397-4030-92F1-5EBE3E7A3ACB}"/>
  <mergeCells count="7">
    <mergeCell ref="A8:E8"/>
    <mergeCell ref="A2:E2"/>
    <mergeCell ref="A3:E3"/>
    <mergeCell ref="A4:E4"/>
    <mergeCell ref="A5:E5"/>
    <mergeCell ref="A6:E6"/>
    <mergeCell ref="A7:E7"/>
  </mergeCells>
  <conditionalFormatting sqref="D10">
    <cfRule type="colorScale" priority="2">
      <colorScale>
        <cfvo type="min"/>
        <cfvo type="max"/>
        <color rgb="FF63BE7B"/>
        <color rgb="FFFFEF9C"/>
      </colorScale>
    </cfRule>
  </conditionalFormatting>
  <conditionalFormatting sqref="D11:D100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4DED-EEFA-420E-B8F6-C919AD9B6843}">
  <sheetPr>
    <tabColor theme="6" tint="0.39997558519241921"/>
  </sheetPr>
  <dimension ref="A1:CA69"/>
  <sheetViews>
    <sheetView workbookViewId="0">
      <selection sqref="A1:K1"/>
    </sheetView>
    <sheetView workbookViewId="1">
      <selection sqref="A1:K1"/>
    </sheetView>
  </sheetViews>
  <sheetFormatPr defaultColWidth="8.88671875" defaultRowHeight="33.75" outlineLevelRow="1" x14ac:dyDescent="0.5"/>
  <cols>
    <col min="1" max="1" width="16.109375" style="50" customWidth="1"/>
    <col min="2" max="2" width="42.33203125" style="50" customWidth="1"/>
    <col min="3" max="3" width="20" style="50" hidden="1" customWidth="1"/>
    <col min="4" max="4" width="16" style="50" hidden="1" customWidth="1"/>
    <col min="5" max="5" width="30.88671875" style="51" customWidth="1"/>
    <col min="6" max="6" width="30.88671875" style="51" hidden="1" customWidth="1"/>
    <col min="7" max="7" width="30.88671875" style="51" customWidth="1"/>
    <col min="8" max="8" width="30.109375" style="51" customWidth="1"/>
    <col min="9" max="9" width="29.109375" style="51" customWidth="1"/>
    <col min="10" max="10" width="30.109375" style="51" customWidth="1"/>
    <col min="11" max="11" width="158" style="50" customWidth="1"/>
    <col min="12" max="12" width="35.33203125" style="50" customWidth="1"/>
    <col min="13" max="13" width="19.5546875" style="50" customWidth="1"/>
    <col min="14" max="14" width="17.6640625" style="50" bestFit="1" customWidth="1"/>
    <col min="15" max="15" width="12.109375" style="50" bestFit="1" customWidth="1"/>
    <col min="16" max="16" width="8.88671875" style="50"/>
    <col min="17" max="17" width="28.5546875" style="50" customWidth="1"/>
    <col min="18" max="18" width="8.88671875" style="50"/>
    <col min="19" max="19" width="12.109375" style="50" bestFit="1" customWidth="1"/>
    <col min="20" max="24" width="8.88671875" style="50"/>
    <col min="25" max="25" width="12.33203125" style="50" bestFit="1" customWidth="1"/>
    <col min="26" max="16384" width="8.88671875" style="50"/>
  </cols>
  <sheetData>
    <row r="1" spans="1:53" ht="81.75" customHeight="1" x14ac:dyDescent="0.5">
      <c r="A1" s="346" t="s">
        <v>1670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</row>
    <row r="2" spans="1:53" ht="33.75" hidden="1" customHeight="1" x14ac:dyDescent="0.5"/>
    <row r="3" spans="1:53" s="163" customFormat="1" ht="105.75" customHeight="1" x14ac:dyDescent="0.25">
      <c r="A3" s="359" t="s">
        <v>1546</v>
      </c>
      <c r="B3" s="359" t="s">
        <v>1645</v>
      </c>
      <c r="C3" s="359" t="s">
        <v>1547</v>
      </c>
      <c r="D3" s="359" t="s">
        <v>1548</v>
      </c>
      <c r="E3" s="348" t="s">
        <v>1671</v>
      </c>
      <c r="F3" s="365"/>
      <c r="G3" s="365"/>
      <c r="H3" s="365"/>
      <c r="I3" s="365"/>
      <c r="J3" s="366"/>
      <c r="K3" s="367" t="s">
        <v>1608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s="54" customFormat="1" ht="101.25" x14ac:dyDescent="0.25">
      <c r="A4" s="360"/>
      <c r="B4" s="360"/>
      <c r="C4" s="360"/>
      <c r="D4" s="360"/>
      <c r="E4" s="55" t="s">
        <v>1647</v>
      </c>
      <c r="F4" s="55" t="s">
        <v>1648</v>
      </c>
      <c r="G4" s="55" t="s">
        <v>1610</v>
      </c>
      <c r="H4" s="55" t="s">
        <v>1611</v>
      </c>
      <c r="I4" s="55" t="s">
        <v>1612</v>
      </c>
      <c r="J4" s="55" t="s">
        <v>1611</v>
      </c>
      <c r="K4" s="368"/>
    </row>
    <row r="5" spans="1:53" s="54" customFormat="1" ht="57" customHeight="1" x14ac:dyDescent="0.25">
      <c r="A5" s="360"/>
      <c r="B5" s="360"/>
      <c r="C5" s="360"/>
      <c r="D5" s="360"/>
      <c r="E5" s="56">
        <v>1080</v>
      </c>
      <c r="F5" s="56">
        <v>1080</v>
      </c>
      <c r="G5" s="56">
        <v>1010</v>
      </c>
      <c r="H5" s="56">
        <v>2210.2269759392379</v>
      </c>
      <c r="I5" s="56">
        <v>2438.3289600000003</v>
      </c>
      <c r="J5" s="56">
        <v>2210.2269759392379</v>
      </c>
      <c r="K5" s="368"/>
    </row>
    <row r="6" spans="1:53" ht="108" customHeight="1" x14ac:dyDescent="0.5">
      <c r="A6" s="361"/>
      <c r="B6" s="361"/>
      <c r="C6" s="361"/>
      <c r="D6" s="361"/>
      <c r="E6" s="55" t="s">
        <v>1613</v>
      </c>
      <c r="F6" s="55" t="s">
        <v>1613</v>
      </c>
      <c r="G6" s="55" t="s">
        <v>1649</v>
      </c>
      <c r="H6" s="55" t="s">
        <v>1614</v>
      </c>
      <c r="I6" s="55" t="s">
        <v>1614</v>
      </c>
      <c r="J6" s="55" t="s">
        <v>1615</v>
      </c>
      <c r="K6" s="369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</row>
    <row r="7" spans="1:53" s="54" customFormat="1" ht="409.6" customHeight="1" x14ac:dyDescent="0.25">
      <c r="A7" s="57">
        <v>1</v>
      </c>
      <c r="B7" s="58" t="s">
        <v>1549</v>
      </c>
      <c r="C7" s="58"/>
      <c r="D7" s="59"/>
      <c r="E7" s="85">
        <v>1740.8968411948433</v>
      </c>
      <c r="F7" s="60">
        <v>1.611941519624855</v>
      </c>
      <c r="G7" s="60">
        <v>1.7236602388067757</v>
      </c>
      <c r="H7" s="60">
        <v>78.765523185918383</v>
      </c>
      <c r="I7" s="60">
        <v>71.397127694978579</v>
      </c>
      <c r="J7" s="60">
        <v>84.691747779638177</v>
      </c>
      <c r="K7" s="58" t="s">
        <v>1672</v>
      </c>
    </row>
    <row r="8" spans="1:53" s="54" customFormat="1" ht="330" customHeight="1" x14ac:dyDescent="0.25">
      <c r="A8" s="57">
        <v>2</v>
      </c>
      <c r="B8" s="58" t="s">
        <v>1550</v>
      </c>
      <c r="C8" s="58" t="s">
        <v>1551</v>
      </c>
      <c r="D8" s="59" t="s">
        <v>1552</v>
      </c>
      <c r="E8" s="60">
        <v>124.85758757338262</v>
      </c>
      <c r="F8" s="60">
        <v>0.11560887738276168</v>
      </c>
      <c r="G8" s="60">
        <v>0.1236213738350323</v>
      </c>
      <c r="H8" s="60">
        <v>5.6490844122615185</v>
      </c>
      <c r="I8" s="60">
        <v>5.1206211147729066</v>
      </c>
      <c r="J8" s="60">
        <v>6.0741148268621092</v>
      </c>
      <c r="K8" s="58" t="s">
        <v>1673</v>
      </c>
      <c r="L8" s="64"/>
    </row>
    <row r="9" spans="1:53" s="54" customFormat="1" ht="303.75" customHeight="1" x14ac:dyDescent="0.25">
      <c r="A9" s="57">
        <v>3</v>
      </c>
      <c r="B9" s="58" t="s">
        <v>1553</v>
      </c>
      <c r="C9" s="58" t="s">
        <v>1554</v>
      </c>
      <c r="D9" s="58" t="s">
        <v>1555</v>
      </c>
      <c r="E9" s="66">
        <v>25.336529135999996</v>
      </c>
      <c r="F9" s="60">
        <v>2.3459749199999998E-2</v>
      </c>
      <c r="G9" s="60">
        <v>2.5085672411881185E-2</v>
      </c>
      <c r="H9" s="60">
        <v>1.1463315492850328</v>
      </c>
      <c r="I9" s="60">
        <v>1.0390939676982711</v>
      </c>
      <c r="J9" s="60">
        <v>1.2325801761607114</v>
      </c>
      <c r="K9" s="58" t="s">
        <v>1618</v>
      </c>
    </row>
    <row r="10" spans="1:53" s="54" customFormat="1" ht="78.75" customHeight="1" x14ac:dyDescent="0.25">
      <c r="A10" s="67">
        <v>3.1</v>
      </c>
      <c r="B10" s="68" t="s">
        <v>1556</v>
      </c>
      <c r="C10" s="53"/>
      <c r="D10" s="53"/>
      <c r="E10" s="69">
        <v>1891.0909579042261</v>
      </c>
      <c r="F10" s="69">
        <v>1.7510101462076166</v>
      </c>
      <c r="G10" s="69">
        <v>1.872367285053689</v>
      </c>
      <c r="H10" s="70">
        <v>85.56093914746495</v>
      </c>
      <c r="I10" s="70">
        <v>77.556842777449759</v>
      </c>
      <c r="J10" s="70">
        <v>91.998442782661002</v>
      </c>
      <c r="K10" s="53" t="s">
        <v>1674</v>
      </c>
    </row>
    <row r="11" spans="1:53" s="54" customFormat="1" ht="270" customHeight="1" x14ac:dyDescent="0.25">
      <c r="A11" s="57">
        <v>4</v>
      </c>
      <c r="B11" s="58" t="s">
        <v>1557</v>
      </c>
      <c r="C11" s="58" t="s">
        <v>1558</v>
      </c>
      <c r="D11" s="59" t="s">
        <v>1559</v>
      </c>
      <c r="E11" s="86">
        <v>100.81611580000001</v>
      </c>
      <c r="F11" s="60">
        <v>9.3348255370370378E-2</v>
      </c>
      <c r="G11" s="61">
        <v>9.9817936435643573E-2</v>
      </c>
      <c r="H11" s="60">
        <v>4.5613467258111857</v>
      </c>
      <c r="I11" s="60">
        <v>4.1346396427166248</v>
      </c>
      <c r="J11" s="60">
        <v>4.9045370463170253</v>
      </c>
      <c r="K11" s="58" t="s">
        <v>1675</v>
      </c>
    </row>
    <row r="12" spans="1:53" s="54" customFormat="1" ht="371.25" customHeight="1" x14ac:dyDescent="0.25">
      <c r="A12" s="57">
        <v>5</v>
      </c>
      <c r="B12" s="58" t="s">
        <v>1560</v>
      </c>
      <c r="C12" s="58" t="s">
        <v>1561</v>
      </c>
      <c r="D12" s="59"/>
      <c r="E12" s="60">
        <v>151.14250328470001</v>
      </c>
      <c r="F12" s="60">
        <v>0.13994676230064815</v>
      </c>
      <c r="G12" s="60">
        <v>0.14964604285613864</v>
      </c>
      <c r="H12" s="60">
        <v>6.8383249743149968</v>
      </c>
      <c r="I12" s="60">
        <v>6.1986100220332858</v>
      </c>
      <c r="J12" s="60">
        <v>7.3528324390464546</v>
      </c>
      <c r="K12" s="72" t="s">
        <v>1676</v>
      </c>
      <c r="L12" s="71"/>
    </row>
    <row r="13" spans="1:53" s="54" customFormat="1" ht="130.5" customHeight="1" outlineLevel="1" x14ac:dyDescent="0.25">
      <c r="A13" s="73">
        <v>5.0999999999999996</v>
      </c>
      <c r="B13" s="74" t="s">
        <v>1562</v>
      </c>
      <c r="C13" s="58" t="s">
        <v>1563</v>
      </c>
      <c r="D13" s="59"/>
      <c r="E13" s="60">
        <v>14.696999999999999</v>
      </c>
      <c r="F13" s="60">
        <v>1.3608333333333333E-2</v>
      </c>
      <c r="G13" s="60">
        <v>1.4551485148514851E-2</v>
      </c>
      <c r="H13" s="60">
        <v>0.66495433093492562</v>
      </c>
      <c r="I13" s="60">
        <v>0.60274885961244529</v>
      </c>
      <c r="J13" s="86">
        <v>0.71498470653956014</v>
      </c>
      <c r="K13" s="75" t="s">
        <v>1677</v>
      </c>
      <c r="L13" s="71"/>
    </row>
    <row r="14" spans="1:53" s="54" customFormat="1" ht="67.5" outlineLevel="1" x14ac:dyDescent="0.25">
      <c r="A14" s="73">
        <v>5.2</v>
      </c>
      <c r="B14" s="74" t="s">
        <v>1565</v>
      </c>
      <c r="C14" s="58" t="s">
        <v>1566</v>
      </c>
      <c r="D14" s="59"/>
      <c r="E14" s="60">
        <v>64.976198400000001</v>
      </c>
      <c r="F14" s="60">
        <v>6.0163146666666667E-2</v>
      </c>
      <c r="G14" s="60">
        <v>6.4332869702970294E-2</v>
      </c>
      <c r="H14" s="60">
        <v>2.9397975460139478</v>
      </c>
      <c r="I14" s="60">
        <v>2.6647839346500644</v>
      </c>
      <c r="J14" s="86">
        <v>3.1609844284602464</v>
      </c>
      <c r="K14" s="58" t="s">
        <v>1678</v>
      </c>
      <c r="L14" s="71"/>
    </row>
    <row r="15" spans="1:53" s="54" customFormat="1" ht="122.25" customHeight="1" outlineLevel="1" x14ac:dyDescent="0.25">
      <c r="A15" s="73">
        <v>5.3</v>
      </c>
      <c r="B15" s="74" t="s">
        <v>1567</v>
      </c>
      <c r="C15" s="58" t="s">
        <v>1566</v>
      </c>
      <c r="D15" s="59"/>
      <c r="E15" s="60">
        <v>20.552735999999999</v>
      </c>
      <c r="F15" s="60">
        <v>1.9030311111111111E-2</v>
      </c>
      <c r="G15" s="60">
        <v>2.0349243564356436E-2</v>
      </c>
      <c r="H15" s="60">
        <v>0.92989255057237263</v>
      </c>
      <c r="I15" s="60">
        <v>0.84290250975815817</v>
      </c>
      <c r="J15" s="86">
        <v>0.99985656375757326</v>
      </c>
      <c r="K15" s="76" t="s">
        <v>1679</v>
      </c>
      <c r="L15" s="71"/>
    </row>
    <row r="16" spans="1:53" s="54" customFormat="1" ht="81" customHeight="1" outlineLevel="1" x14ac:dyDescent="0.25">
      <c r="A16" s="73">
        <v>5.4</v>
      </c>
      <c r="B16" s="77" t="s">
        <v>1568</v>
      </c>
      <c r="C16" s="58" t="s">
        <v>1566</v>
      </c>
      <c r="D16" s="59"/>
      <c r="E16" s="60">
        <v>4.0258675000000004</v>
      </c>
      <c r="F16" s="60">
        <v>3.7276550925925927E-3</v>
      </c>
      <c r="G16" s="60">
        <v>3.9860074257425746E-3</v>
      </c>
      <c r="H16" s="60">
        <v>0.18214724296762347</v>
      </c>
      <c r="I16" s="60">
        <v>0.16510764404815995</v>
      </c>
      <c r="J16" s="86">
        <v>0.19585178560622257</v>
      </c>
      <c r="K16" s="58" t="s">
        <v>1680</v>
      </c>
      <c r="L16" s="71"/>
    </row>
    <row r="17" spans="1:79" ht="236.25" outlineLevel="1" x14ac:dyDescent="0.5">
      <c r="A17" s="73">
        <v>5.5</v>
      </c>
      <c r="B17" s="78" t="s">
        <v>1604</v>
      </c>
      <c r="C17" s="79" t="s">
        <v>1569</v>
      </c>
      <c r="D17" s="59"/>
      <c r="E17" s="60">
        <v>46.890701384700002</v>
      </c>
      <c r="F17" s="60">
        <v>4.3417316096944443E-2</v>
      </c>
      <c r="G17" s="60">
        <v>4.6426437014554456E-2</v>
      </c>
      <c r="H17" s="60">
        <v>2.1215333038261268</v>
      </c>
      <c r="I17" s="60">
        <v>1.923067073964458</v>
      </c>
      <c r="J17" s="86">
        <v>2.2811549546828522</v>
      </c>
      <c r="K17" s="80" t="s">
        <v>1681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J17" s="166"/>
    </row>
    <row r="18" spans="1:79" s="54" customFormat="1" ht="236.25" customHeight="1" x14ac:dyDescent="0.5">
      <c r="A18" s="57">
        <v>6</v>
      </c>
      <c r="B18" s="81" t="s">
        <v>1570</v>
      </c>
      <c r="C18" s="58" t="s">
        <v>1571</v>
      </c>
      <c r="D18" s="59"/>
      <c r="E18" s="60">
        <v>20.421582831999999</v>
      </c>
      <c r="F18" s="60">
        <v>1.8908872992592592E-2</v>
      </c>
      <c r="G18" s="60">
        <v>2.0219388942574256E-2</v>
      </c>
      <c r="H18" s="60">
        <v>0.92395862752158431</v>
      </c>
      <c r="I18" s="60">
        <v>0.83752369622842016</v>
      </c>
      <c r="J18" s="86">
        <v>0.993476179370677</v>
      </c>
      <c r="K18" s="58" t="s">
        <v>1660</v>
      </c>
      <c r="L18" s="64"/>
      <c r="BJ18" s="50"/>
      <c r="BO18" s="346"/>
      <c r="BP18" s="358"/>
      <c r="BQ18" s="358"/>
      <c r="BR18" s="358"/>
      <c r="BS18" s="358"/>
      <c r="BT18" s="358"/>
      <c r="BU18" s="358"/>
      <c r="BV18" s="358"/>
      <c r="BW18" s="358"/>
      <c r="BX18" s="358"/>
      <c r="BY18" s="358"/>
      <c r="BZ18" s="358"/>
      <c r="CA18" s="358"/>
    </row>
    <row r="19" spans="1:79" s="54" customFormat="1" ht="69.75" customHeight="1" collapsed="1" x14ac:dyDescent="0.25">
      <c r="A19" s="57">
        <v>7</v>
      </c>
      <c r="B19" s="81" t="s">
        <v>1572</v>
      </c>
      <c r="C19" s="58"/>
      <c r="D19" s="59"/>
      <c r="E19" s="60">
        <v>79.056258425000024</v>
      </c>
      <c r="F19" s="60">
        <v>7.3200239282407431E-2</v>
      </c>
      <c r="G19" s="60">
        <v>7.8273523193069336E-2</v>
      </c>
      <c r="H19" s="60">
        <v>3.5768389077508655</v>
      </c>
      <c r="I19" s="60">
        <v>3.2422310410897146</v>
      </c>
      <c r="J19" s="86">
        <v>3.8459560270881314</v>
      </c>
      <c r="K19" s="58" t="s">
        <v>1682</v>
      </c>
      <c r="L19" s="82"/>
      <c r="BJ19" s="359"/>
    </row>
    <row r="20" spans="1:79" s="54" customFormat="1" ht="33.75" customHeight="1" outlineLevel="1" x14ac:dyDescent="0.25">
      <c r="A20" s="57">
        <v>7.1</v>
      </c>
      <c r="B20" s="83" t="s">
        <v>200</v>
      </c>
      <c r="C20" s="58"/>
      <c r="D20" s="59"/>
      <c r="E20" s="60">
        <v>26.2457976</v>
      </c>
      <c r="F20" s="60"/>
      <c r="G20" s="60"/>
      <c r="H20" s="60">
        <v>1.1874706935402788</v>
      </c>
      <c r="I20" s="60">
        <v>1.0763846072680856</v>
      </c>
      <c r="J20" s="60">
        <v>1.276814580862264</v>
      </c>
      <c r="K20" s="59"/>
      <c r="BJ20" s="360"/>
    </row>
    <row r="21" spans="1:79" s="54" customFormat="1" ht="33.75" customHeight="1" outlineLevel="1" x14ac:dyDescent="0.25">
      <c r="A21" s="57">
        <v>7.2</v>
      </c>
      <c r="B21" s="83" t="s">
        <v>83</v>
      </c>
      <c r="C21" s="58"/>
      <c r="D21" s="59"/>
      <c r="E21" s="60">
        <v>8.71236459</v>
      </c>
      <c r="F21" s="60"/>
      <c r="G21" s="60"/>
      <c r="H21" s="60">
        <v>0.39418415777400745</v>
      </c>
      <c r="I21" s="60">
        <v>0.35730882636935085</v>
      </c>
      <c r="J21" s="60">
        <v>0.42384210652832588</v>
      </c>
      <c r="K21" s="59"/>
      <c r="BJ21" s="360"/>
    </row>
    <row r="22" spans="1:79" s="54" customFormat="1" ht="33.75" customHeight="1" outlineLevel="1" x14ac:dyDescent="0.25">
      <c r="A22" s="57">
        <v>7.3</v>
      </c>
      <c r="B22" s="83" t="s">
        <v>1573</v>
      </c>
      <c r="C22" s="58"/>
      <c r="D22" s="59"/>
      <c r="E22" s="60">
        <v>1.0273228000000001</v>
      </c>
      <c r="F22" s="60"/>
      <c r="G22" s="60"/>
      <c r="H22" s="60">
        <v>4.6480420842906336E-2</v>
      </c>
      <c r="I22" s="60">
        <v>4.213224781614372E-2</v>
      </c>
      <c r="J22" s="60">
        <v>4.997755260797436E-2</v>
      </c>
      <c r="K22" s="59"/>
      <c r="BJ22" s="361"/>
    </row>
    <row r="23" spans="1:79" s="54" customFormat="1" ht="33.75" customHeight="1" outlineLevel="1" x14ac:dyDescent="0.25">
      <c r="A23" s="57">
        <v>7.4</v>
      </c>
      <c r="B23" s="83" t="s">
        <v>1574</v>
      </c>
      <c r="C23" s="58"/>
      <c r="D23" s="59"/>
      <c r="E23" s="60">
        <v>1.2229425</v>
      </c>
      <c r="F23" s="60"/>
      <c r="G23" s="60"/>
      <c r="H23" s="60">
        <v>5.5331081979954094E-2</v>
      </c>
      <c r="I23" s="60">
        <v>5.0154942998339315E-2</v>
      </c>
      <c r="J23" s="60">
        <v>5.9494126997159696E-2</v>
      </c>
      <c r="K23" s="59"/>
      <c r="BJ23" s="57"/>
    </row>
    <row r="24" spans="1:79" s="54" customFormat="1" ht="33.75" customHeight="1" outlineLevel="1" x14ac:dyDescent="0.25">
      <c r="A24" s="57">
        <v>7.5</v>
      </c>
      <c r="B24" s="83" t="s">
        <v>1575</v>
      </c>
      <c r="C24" s="58"/>
      <c r="D24" s="59"/>
      <c r="E24" s="60">
        <v>0.21628997999999999</v>
      </c>
      <c r="F24" s="60"/>
      <c r="G24" s="60"/>
      <c r="H24" s="60">
        <v>9.7858718744525033E-3</v>
      </c>
      <c r="I24" s="60">
        <v>8.8704183704564604E-3</v>
      </c>
      <c r="J24" s="60">
        <v>1.0522149273848223E-2</v>
      </c>
      <c r="K24" s="59"/>
      <c r="BJ24" s="57"/>
    </row>
    <row r="25" spans="1:79" s="54" customFormat="1" ht="33.75" customHeight="1" outlineLevel="1" x14ac:dyDescent="0.25">
      <c r="A25" s="57">
        <v>7.6</v>
      </c>
      <c r="B25" s="83" t="s">
        <v>1576</v>
      </c>
      <c r="C25" s="58"/>
      <c r="D25" s="59"/>
      <c r="E25" s="60">
        <v>0.67410000000000003</v>
      </c>
      <c r="F25" s="60"/>
      <c r="G25" s="60"/>
      <c r="H25" s="60">
        <v>3.0499130059415756E-2</v>
      </c>
      <c r="I25" s="60">
        <v>2.7645982599493052E-2</v>
      </c>
      <c r="J25" s="60">
        <v>3.2793848450589747E-2</v>
      </c>
      <c r="K25" s="59"/>
      <c r="BJ25" s="57"/>
    </row>
    <row r="26" spans="1:79" s="54" customFormat="1" ht="67.5" customHeight="1" outlineLevel="1" x14ac:dyDescent="0.25">
      <c r="A26" s="57">
        <v>7.7</v>
      </c>
      <c r="B26" s="83" t="s">
        <v>1053</v>
      </c>
      <c r="C26" s="58"/>
      <c r="D26" s="59"/>
      <c r="E26" s="60">
        <v>29.398251599999998</v>
      </c>
      <c r="F26" s="60"/>
      <c r="G26" s="60"/>
      <c r="H26" s="60">
        <v>1.3301010222041645</v>
      </c>
      <c r="I26" s="60">
        <v>1.2056720845410456</v>
      </c>
      <c r="J26" s="60">
        <v>1.4301762463769581</v>
      </c>
      <c r="K26" s="59"/>
      <c r="BJ26" s="67"/>
    </row>
    <row r="27" spans="1:79" s="54" customFormat="1" ht="33.75" customHeight="1" outlineLevel="1" x14ac:dyDescent="0.25">
      <c r="A27" s="57">
        <v>7.8</v>
      </c>
      <c r="B27" s="83" t="s">
        <v>1059</v>
      </c>
      <c r="C27" s="58"/>
      <c r="D27" s="59"/>
      <c r="E27" s="60">
        <v>1.7612388000000001</v>
      </c>
      <c r="F27" s="60"/>
      <c r="G27" s="60"/>
      <c r="H27" s="60">
        <v>7.9685879286291852E-2</v>
      </c>
      <c r="I27" s="60">
        <v>7.223138587502155E-2</v>
      </c>
      <c r="J27" s="60">
        <v>8.5681350381988652E-2</v>
      </c>
      <c r="K27" s="59"/>
      <c r="BJ27" s="57"/>
    </row>
    <row r="28" spans="1:79" s="54" customFormat="1" ht="33.75" customHeight="1" outlineLevel="1" x14ac:dyDescent="0.25">
      <c r="A28" s="57">
        <v>7.9</v>
      </c>
      <c r="B28" s="83" t="s">
        <v>1365</v>
      </c>
      <c r="C28" s="58"/>
      <c r="D28" s="59"/>
      <c r="E28" s="60">
        <v>1.91722185</v>
      </c>
      <c r="F28" s="60"/>
      <c r="G28" s="60"/>
      <c r="H28" s="60">
        <v>8.6743211030861425E-2</v>
      </c>
      <c r="I28" s="60">
        <v>7.8628514915395159E-2</v>
      </c>
      <c r="J28" s="60">
        <v>9.3269667401067055E-2</v>
      </c>
      <c r="K28" s="59"/>
      <c r="BJ28" s="57"/>
    </row>
    <row r="29" spans="1:79" s="54" customFormat="1" ht="33.75" customHeight="1" outlineLevel="1" x14ac:dyDescent="0.25">
      <c r="A29" s="84" t="s">
        <v>1577</v>
      </c>
      <c r="B29" s="83" t="s">
        <v>1578</v>
      </c>
      <c r="C29" s="58"/>
      <c r="D29" s="59"/>
      <c r="E29" s="60">
        <v>0.61925174999999999</v>
      </c>
      <c r="F29" s="60"/>
      <c r="G29" s="60"/>
      <c r="H29" s="60">
        <v>2.8017563659354414E-2</v>
      </c>
      <c r="I29" s="60">
        <v>2.5396562980575021E-2</v>
      </c>
      <c r="J29" s="60">
        <v>3.0125571936303941E-2</v>
      </c>
      <c r="K29" s="59"/>
      <c r="BJ29" s="73"/>
    </row>
    <row r="30" spans="1:79" s="54" customFormat="1" ht="33.75" customHeight="1" outlineLevel="1" x14ac:dyDescent="0.25">
      <c r="A30" s="57">
        <v>7.11</v>
      </c>
      <c r="B30" s="83" t="s">
        <v>1579</v>
      </c>
      <c r="C30" s="58"/>
      <c r="D30" s="59"/>
      <c r="E30" s="85">
        <v>0.163605</v>
      </c>
      <c r="F30" s="85"/>
      <c r="G30" s="85"/>
      <c r="H30" s="60">
        <v>7.4021809425466783E-3</v>
      </c>
      <c r="I30" s="60">
        <v>6.7097181177719354E-3</v>
      </c>
      <c r="J30" s="60">
        <v>7.959112261917721E-3</v>
      </c>
      <c r="K30" s="59"/>
      <c r="BJ30" s="73"/>
    </row>
    <row r="31" spans="1:79" s="54" customFormat="1" ht="33.75" customHeight="1" outlineLevel="1" x14ac:dyDescent="0.25">
      <c r="A31" s="57">
        <v>7.12</v>
      </c>
      <c r="B31" s="83" t="s">
        <v>1070</v>
      </c>
      <c r="C31" s="58"/>
      <c r="D31" s="59"/>
      <c r="E31" s="60">
        <v>0.24140249999999999</v>
      </c>
      <c r="F31" s="60"/>
      <c r="G31" s="60"/>
      <c r="H31" s="60">
        <v>1.0922068304655261E-2</v>
      </c>
      <c r="I31" s="60">
        <v>9.9003253441241976E-3</v>
      </c>
      <c r="J31" s="60">
        <v>1.1743831776581354E-2</v>
      </c>
      <c r="K31" s="59"/>
      <c r="BJ31" s="73"/>
    </row>
    <row r="32" spans="1:79" s="54" customFormat="1" ht="33.75" customHeight="1" outlineLevel="1" x14ac:dyDescent="0.25">
      <c r="A32" s="57">
        <v>7.13</v>
      </c>
      <c r="B32" s="83" t="s">
        <v>1580</v>
      </c>
      <c r="C32" s="58"/>
      <c r="D32" s="59"/>
      <c r="E32" s="60">
        <v>2.4254133750000002</v>
      </c>
      <c r="F32" s="60"/>
      <c r="G32" s="60"/>
      <c r="H32" s="60">
        <v>0.10973594121342758</v>
      </c>
      <c r="I32" s="60">
        <v>9.9470309986393307E-2</v>
      </c>
      <c r="J32" s="60">
        <v>0.11799234334636316</v>
      </c>
      <c r="K32" s="59"/>
      <c r="BJ32" s="73"/>
    </row>
    <row r="33" spans="1:62" s="54" customFormat="1" ht="67.5" customHeight="1" outlineLevel="1" x14ac:dyDescent="0.25">
      <c r="A33" s="57">
        <v>7.14</v>
      </c>
      <c r="B33" s="83" t="s">
        <v>1683</v>
      </c>
      <c r="C33" s="58"/>
      <c r="D33" s="59"/>
      <c r="E33" s="60">
        <v>4</v>
      </c>
      <c r="F33" s="60"/>
      <c r="G33" s="60"/>
      <c r="H33" s="60">
        <v>0.18097688805468481</v>
      </c>
      <c r="I33" s="60">
        <v>0.16404677406612106</v>
      </c>
      <c r="J33" s="60">
        <v>0.19459337457700487</v>
      </c>
      <c r="K33" s="59"/>
      <c r="BJ33" s="73"/>
    </row>
    <row r="34" spans="1:62" s="54" customFormat="1" ht="33.75" customHeight="1" outlineLevel="1" x14ac:dyDescent="0.25">
      <c r="A34" s="54">
        <v>7.15</v>
      </c>
      <c r="B34" s="83" t="s">
        <v>1581</v>
      </c>
      <c r="C34" s="58"/>
      <c r="D34" s="59"/>
      <c r="E34" s="60">
        <v>0.43105608000000006</v>
      </c>
      <c r="F34" s="60"/>
      <c r="G34" s="60"/>
      <c r="H34" s="60">
        <v>1.9502796983862817E-2</v>
      </c>
      <c r="I34" s="60">
        <v>1.7678339841396953E-2</v>
      </c>
      <c r="J34" s="60">
        <v>2.0970164309783847E-2</v>
      </c>
      <c r="K34" s="59"/>
      <c r="BJ34" s="57"/>
    </row>
    <row r="35" spans="1:62" s="54" customFormat="1" ht="202.5" x14ac:dyDescent="0.25">
      <c r="A35" s="57">
        <v>8</v>
      </c>
      <c r="B35" s="58" t="s">
        <v>1582</v>
      </c>
      <c r="C35" s="58" t="s">
        <v>1583</v>
      </c>
      <c r="D35" s="59"/>
      <c r="E35" s="86">
        <v>12.261050706199873</v>
      </c>
      <c r="F35" s="60">
        <v>1.1352824727962845E-2</v>
      </c>
      <c r="G35" s="61">
        <v>1.213965416455433E-2</v>
      </c>
      <c r="H35" s="60">
        <v>0.55474170027218717</v>
      </c>
      <c r="I35" s="60">
        <v>0.50284645375330617</v>
      </c>
      <c r="J35" s="60">
        <v>0.59647980819480051</v>
      </c>
      <c r="K35" s="58" t="s">
        <v>1684</v>
      </c>
      <c r="BJ35" s="57"/>
    </row>
    <row r="36" spans="1:62" s="54" customFormat="1" ht="67.5" x14ac:dyDescent="0.25">
      <c r="A36" s="57">
        <v>9</v>
      </c>
      <c r="B36" s="58" t="s">
        <v>1584</v>
      </c>
      <c r="C36" s="58"/>
      <c r="D36" s="59"/>
      <c r="E36" s="60">
        <v>2.72</v>
      </c>
      <c r="F36" s="60">
        <v>2.5185185185185189E-3</v>
      </c>
      <c r="G36" s="61">
        <v>2.6930693069306933E-3</v>
      </c>
      <c r="H36" s="60">
        <v>0.12306428387718567</v>
      </c>
      <c r="I36" s="60">
        <v>0.11155180636496233</v>
      </c>
      <c r="J36" s="60">
        <v>0.13232349471236329</v>
      </c>
      <c r="K36" s="58" t="s">
        <v>1685</v>
      </c>
      <c r="BJ36" s="57"/>
    </row>
    <row r="37" spans="1:62" s="54" customFormat="1" ht="409.6" customHeight="1" x14ac:dyDescent="0.25">
      <c r="A37" s="57">
        <v>10</v>
      </c>
      <c r="B37" s="58" t="s">
        <v>795</v>
      </c>
      <c r="C37" s="58" t="s">
        <v>1585</v>
      </c>
      <c r="D37" s="59" t="s">
        <v>1586</v>
      </c>
      <c r="E37" s="85">
        <v>207.7416433125</v>
      </c>
      <c r="F37" s="60">
        <v>0.1923533734375</v>
      </c>
      <c r="G37" s="60">
        <v>0.2056847953589109</v>
      </c>
      <c r="H37" s="60">
        <v>9.3991090315156445</v>
      </c>
      <c r="I37" s="60">
        <v>8.5198366061525999</v>
      </c>
      <c r="J37" s="60">
        <v>10.106286853087964</v>
      </c>
      <c r="K37" s="81" t="s">
        <v>1686</v>
      </c>
    </row>
    <row r="38" spans="1:62" s="54" customFormat="1" ht="66" customHeight="1" x14ac:dyDescent="0.25">
      <c r="A38" s="57">
        <v>11</v>
      </c>
      <c r="B38" s="58" t="s">
        <v>1587</v>
      </c>
      <c r="C38" s="58"/>
      <c r="D38" s="59"/>
      <c r="E38" s="60">
        <v>443.74502020763265</v>
      </c>
      <c r="F38" s="60">
        <v>0.41087501871077098</v>
      </c>
      <c r="G38" s="60">
        <v>0.43935150515607185</v>
      </c>
      <c r="H38" s="60">
        <v>20.076898211735152</v>
      </c>
      <c r="I38" s="60">
        <v>18.198734768241955</v>
      </c>
      <c r="J38" s="60">
        <v>21.587460233486116</v>
      </c>
      <c r="K38" s="59" t="s">
        <v>1588</v>
      </c>
    </row>
    <row r="39" spans="1:62" s="90" customFormat="1" ht="108.75" customHeight="1" x14ac:dyDescent="0.25">
      <c r="A39" s="362" t="s">
        <v>1589</v>
      </c>
      <c r="B39" s="363"/>
      <c r="C39" s="364"/>
      <c r="D39" s="88"/>
      <c r="E39" s="70">
        <v>2908.9951324722583</v>
      </c>
      <c r="F39" s="70">
        <v>2.6935140115483875</v>
      </c>
      <c r="G39" s="70">
        <v>2.8801932004675823</v>
      </c>
      <c r="H39" s="70">
        <v>131.61522161026377</v>
      </c>
      <c r="I39" s="70">
        <v>119.30281681403059</v>
      </c>
      <c r="J39" s="70">
        <v>141.51779486396458</v>
      </c>
      <c r="K39" s="88" t="s">
        <v>1687</v>
      </c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</row>
    <row r="40" spans="1:62" s="54" customFormat="1" ht="270" x14ac:dyDescent="0.25">
      <c r="A40" s="57">
        <v>12</v>
      </c>
      <c r="B40" s="58" t="s">
        <v>1590</v>
      </c>
      <c r="C40" s="58"/>
      <c r="D40" s="58" t="s">
        <v>1591</v>
      </c>
      <c r="E40" s="66">
        <v>48.749136268393315</v>
      </c>
      <c r="F40" s="60">
        <v>4.5138089137401215E-2</v>
      </c>
      <c r="G40" s="61">
        <v>4.8266471552864669E-2</v>
      </c>
      <c r="H40" s="60">
        <v>2.2056167443018979</v>
      </c>
      <c r="I40" s="60">
        <v>1.9992846358349166</v>
      </c>
      <c r="J40" s="60">
        <v>2.3715647335452288</v>
      </c>
      <c r="K40" s="58" t="s">
        <v>1688</v>
      </c>
    </row>
    <row r="41" spans="1:62" s="54" customFormat="1" x14ac:dyDescent="0.25">
      <c r="A41" s="92">
        <v>12.1</v>
      </c>
      <c r="B41" s="77" t="s">
        <v>1590</v>
      </c>
      <c r="C41" s="58"/>
      <c r="D41" s="58"/>
      <c r="E41" s="66">
        <v>8.9955706000000006</v>
      </c>
      <c r="F41" s="66"/>
      <c r="G41" s="60">
        <v>8.9065055445544557E-3</v>
      </c>
      <c r="H41" s="60">
        <v>0.40699759336605351</v>
      </c>
      <c r="I41" s="60">
        <v>0.36892358445351031</v>
      </c>
      <c r="J41" s="60">
        <v>0.43761960982492315</v>
      </c>
      <c r="K41" s="58"/>
    </row>
    <row r="42" spans="1:62" s="54" customFormat="1" x14ac:dyDescent="0.25">
      <c r="A42" s="92">
        <v>12.2</v>
      </c>
      <c r="B42" s="93" t="s">
        <v>1592</v>
      </c>
      <c r="C42" s="58"/>
      <c r="D42" s="58"/>
      <c r="E42" s="66">
        <v>34.128</v>
      </c>
      <c r="F42" s="66"/>
      <c r="G42" s="60">
        <v>3.3790099009900987E-2</v>
      </c>
      <c r="H42" s="60">
        <v>1.5440948088825708</v>
      </c>
      <c r="I42" s="60">
        <v>1.3996470763321451</v>
      </c>
      <c r="J42" s="60">
        <v>1.6602706718910056</v>
      </c>
      <c r="K42" s="58"/>
    </row>
    <row r="43" spans="1:62" s="54" customFormat="1" x14ac:dyDescent="0.25">
      <c r="A43" s="92">
        <v>12.3</v>
      </c>
      <c r="B43" s="77" t="s">
        <v>1448</v>
      </c>
      <c r="C43" s="58"/>
      <c r="D43" s="58"/>
      <c r="E43" s="66">
        <v>5.6255656683933166</v>
      </c>
      <c r="F43" s="66"/>
      <c r="G43" s="60">
        <v>5.5698669984092248E-3</v>
      </c>
      <c r="H43" s="60">
        <v>0.25452434205327384</v>
      </c>
      <c r="I43" s="60">
        <v>0.23071397504926147</v>
      </c>
      <c r="J43" s="60">
        <v>0.27367445182929989</v>
      </c>
      <c r="K43" s="58"/>
    </row>
    <row r="44" spans="1:62" s="54" customFormat="1" x14ac:dyDescent="0.25">
      <c r="A44" s="57">
        <v>13</v>
      </c>
      <c r="B44" s="58" t="s">
        <v>1593</v>
      </c>
      <c r="C44" s="58"/>
      <c r="D44" s="59"/>
      <c r="E44" s="85">
        <v>90.619306013508762</v>
      </c>
      <c r="F44" s="60">
        <v>8.3906764827322927E-2</v>
      </c>
      <c r="G44" s="60">
        <v>8.972208516188987E-2</v>
      </c>
      <c r="H44" s="60">
        <v>4.0999999999999996</v>
      </c>
      <c r="I44" s="60">
        <v>3.7164512049066891</v>
      </c>
      <c r="J44" s="60">
        <v>4.4084791397487351</v>
      </c>
      <c r="K44" s="59"/>
    </row>
    <row r="45" spans="1:62" s="54" customFormat="1" outlineLevel="1" x14ac:dyDescent="0.25">
      <c r="A45" s="59">
        <v>13.1</v>
      </c>
      <c r="B45" s="58" t="s">
        <v>1594</v>
      </c>
      <c r="C45" s="58"/>
      <c r="D45" s="59" t="s">
        <v>1595</v>
      </c>
      <c r="E45" s="85">
        <v>29.838064175179714</v>
      </c>
      <c r="F45" s="60">
        <v>2.7627837199240477E-2</v>
      </c>
      <c r="G45" s="61">
        <v>2.9542637797207637E-2</v>
      </c>
      <c r="H45" s="60">
        <v>1.35</v>
      </c>
      <c r="I45" s="60">
        <v>1.2237095430790319</v>
      </c>
      <c r="J45" s="60">
        <v>1.4515723996733638</v>
      </c>
      <c r="K45" s="94"/>
    </row>
    <row r="46" spans="1:62" s="54" customFormat="1" outlineLevel="1" x14ac:dyDescent="0.25">
      <c r="A46" s="59">
        <v>13.2</v>
      </c>
      <c r="B46" s="58" t="s">
        <v>1595</v>
      </c>
      <c r="C46" s="58"/>
      <c r="D46" s="59" t="s">
        <v>1596</v>
      </c>
      <c r="E46" s="85">
        <v>60.781241838329045</v>
      </c>
      <c r="F46" s="60">
        <v>5.6278927628082447E-2</v>
      </c>
      <c r="G46" s="61">
        <v>6.0179447364682226E-2</v>
      </c>
      <c r="H46" s="60">
        <v>2.75</v>
      </c>
      <c r="I46" s="60">
        <v>2.4927416618276572</v>
      </c>
      <c r="J46" s="60">
        <v>2.9569067400753712</v>
      </c>
      <c r="K46" s="59"/>
    </row>
    <row r="47" spans="1:62" s="54" customFormat="1" ht="202.5" x14ac:dyDescent="0.25">
      <c r="A47" s="57">
        <v>14</v>
      </c>
      <c r="B47" s="58" t="s">
        <v>1597</v>
      </c>
      <c r="C47" s="58" t="s">
        <v>1598</v>
      </c>
      <c r="D47" s="59" t="s">
        <v>1599</v>
      </c>
      <c r="E47" s="66">
        <v>337.18968738188698</v>
      </c>
      <c r="F47" s="60">
        <v>0.3122126735017472</v>
      </c>
      <c r="G47" s="60">
        <v>0.33385117562563066</v>
      </c>
      <c r="H47" s="60">
        <v>15.255885076626482</v>
      </c>
      <c r="I47" s="60">
        <v>13.828720115840602</v>
      </c>
      <c r="J47" s="60">
        <v>16.403719785051678</v>
      </c>
      <c r="K47" s="58" t="s">
        <v>1689</v>
      </c>
    </row>
    <row r="48" spans="1:62" s="54" customFormat="1" ht="67.5" x14ac:dyDescent="0.25">
      <c r="A48" s="57">
        <v>15</v>
      </c>
      <c r="B48" s="58" t="s">
        <v>1509</v>
      </c>
      <c r="C48" s="58"/>
      <c r="D48" s="59" t="s">
        <v>1600</v>
      </c>
      <c r="E48" s="60">
        <v>98.582525098351311</v>
      </c>
      <c r="F48" s="60">
        <v>9.1280115831806771E-2</v>
      </c>
      <c r="G48" s="60">
        <v>9.7606460493417146E-2</v>
      </c>
      <c r="H48" s="60">
        <v>4.4602896522181199</v>
      </c>
      <c r="I48" s="60">
        <v>4.0430363054192364</v>
      </c>
      <c r="J48" s="60">
        <v>4.7958765583026155</v>
      </c>
      <c r="K48" s="58" t="s">
        <v>1690</v>
      </c>
    </row>
    <row r="49" spans="1:53" s="90" customFormat="1" ht="75.75" customHeight="1" x14ac:dyDescent="0.25">
      <c r="A49" s="87" t="s">
        <v>1601</v>
      </c>
      <c r="B49" s="87" t="s">
        <v>1601</v>
      </c>
      <c r="C49" s="87"/>
      <c r="D49" s="88"/>
      <c r="E49" s="70">
        <v>3484.1357872343992</v>
      </c>
      <c r="F49" s="70">
        <v>3.2260516548466653</v>
      </c>
      <c r="G49" s="70">
        <v>3.4496393933013851</v>
      </c>
      <c r="H49" s="70">
        <v>157.63701308341027</v>
      </c>
      <c r="I49" s="70">
        <v>142.89030907603211</v>
      </c>
      <c r="J49" s="70">
        <v>169.4974350806128</v>
      </c>
      <c r="K49" s="88" t="s">
        <v>1691</v>
      </c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x14ac:dyDescent="0.5">
      <c r="W50" s="54"/>
    </row>
    <row r="51" spans="1:53" ht="33.75" hidden="1" customHeight="1" x14ac:dyDescent="0.5"/>
    <row r="52" spans="1:53" ht="33.75" hidden="1" customHeight="1" x14ac:dyDescent="0.5"/>
    <row r="53" spans="1:53" ht="33.75" hidden="1" customHeight="1" x14ac:dyDescent="0.5"/>
    <row r="54" spans="1:53" ht="33.75" hidden="1" customHeight="1" x14ac:dyDescent="0.5"/>
    <row r="55" spans="1:53" ht="33.75" hidden="1" customHeight="1" x14ac:dyDescent="0.5"/>
    <row r="56" spans="1:53" ht="33.75" hidden="1" customHeight="1" x14ac:dyDescent="0.5"/>
    <row r="57" spans="1:53" ht="33.75" hidden="1" customHeight="1" x14ac:dyDescent="0.5"/>
    <row r="58" spans="1:53" ht="33.75" hidden="1" customHeight="1" x14ac:dyDescent="0.5"/>
    <row r="59" spans="1:53" ht="33.75" hidden="1" customHeight="1" x14ac:dyDescent="0.5"/>
    <row r="60" spans="1:53" ht="33.75" hidden="1" customHeight="1" x14ac:dyDescent="0.5"/>
    <row r="61" spans="1:53" ht="33.75" hidden="1" customHeight="1" x14ac:dyDescent="0.5"/>
    <row r="62" spans="1:53" ht="33.75" hidden="1" customHeight="1" x14ac:dyDescent="0.5"/>
    <row r="63" spans="1:53" ht="33.75" hidden="1" customHeight="1" x14ac:dyDescent="0.5">
      <c r="E63" s="51">
        <v>95.631960511081871</v>
      </c>
    </row>
    <row r="64" spans="1:53" ht="33.75" hidden="1" customHeight="1" x14ac:dyDescent="0.5">
      <c r="E64" s="51">
        <v>101.56659786408142</v>
      </c>
    </row>
    <row r="65" spans="2:14" x14ac:dyDescent="0.5">
      <c r="E65" s="169"/>
      <c r="M65" s="52"/>
    </row>
    <row r="66" spans="2:14" x14ac:dyDescent="0.5">
      <c r="M66" s="170"/>
      <c r="N66" s="170"/>
    </row>
    <row r="67" spans="2:14" x14ac:dyDescent="0.5">
      <c r="B67" s="54"/>
      <c r="C67" s="54"/>
      <c r="D67" s="54"/>
      <c r="E67" s="54"/>
      <c r="F67" s="54"/>
      <c r="G67" s="54"/>
      <c r="H67" s="54"/>
      <c r="I67" s="54"/>
      <c r="J67" s="54"/>
      <c r="K67" s="54"/>
      <c r="M67" s="170"/>
      <c r="N67" s="170"/>
    </row>
    <row r="68" spans="2:14" x14ac:dyDescent="0.5">
      <c r="B68" s="54"/>
      <c r="C68" s="54"/>
      <c r="D68" s="54"/>
      <c r="E68" s="54"/>
      <c r="F68" s="54"/>
      <c r="G68" s="54"/>
      <c r="H68" s="54"/>
      <c r="I68" s="54"/>
      <c r="J68" s="54"/>
      <c r="K68" s="54"/>
    </row>
    <row r="69" spans="2:14" x14ac:dyDescent="0.5">
      <c r="B69" s="54"/>
      <c r="C69" s="54"/>
      <c r="D69" s="54"/>
      <c r="E69" s="54"/>
      <c r="F69" s="54"/>
      <c r="G69" s="54"/>
      <c r="H69" s="54"/>
      <c r="I69" s="54"/>
      <c r="J69" s="54"/>
      <c r="K69" s="54"/>
    </row>
  </sheetData>
  <mergeCells count="10">
    <mergeCell ref="BO18:CA18"/>
    <mergeCell ref="BJ19:BJ22"/>
    <mergeCell ref="A39:C39"/>
    <mergeCell ref="A1:K1"/>
    <mergeCell ref="A3:A6"/>
    <mergeCell ref="B3:B6"/>
    <mergeCell ref="C3:C6"/>
    <mergeCell ref="D3:D6"/>
    <mergeCell ref="E3:J3"/>
    <mergeCell ref="K3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2E11-0997-4E80-BB7C-2D10E5A154D0}">
  <dimension ref="A1:R67"/>
  <sheetViews>
    <sheetView workbookViewId="0">
      <selection sqref="A1:K1"/>
    </sheetView>
    <sheetView workbookViewId="1">
      <selection sqref="A1:K1"/>
    </sheetView>
  </sheetViews>
  <sheetFormatPr defaultColWidth="8.88671875" defaultRowHeight="33.75" outlineLevelRow="1" x14ac:dyDescent="0.5"/>
  <cols>
    <col min="1" max="1" width="16.109375" style="50" customWidth="1"/>
    <col min="2" max="2" width="42.33203125" style="50" customWidth="1"/>
    <col min="3" max="3" width="20" style="50" hidden="1" customWidth="1"/>
    <col min="4" max="4" width="16" style="50" hidden="1" customWidth="1"/>
    <col min="5" max="5" width="30.88671875" style="51" customWidth="1"/>
    <col min="6" max="6" width="26.88671875" style="172" bestFit="1" customWidth="1"/>
    <col min="7" max="7" width="30.88671875" style="51" customWidth="1"/>
    <col min="8" max="8" width="30.109375" style="51" customWidth="1"/>
    <col min="9" max="9" width="29.109375" style="51" customWidth="1"/>
    <col min="10" max="10" width="30.109375" style="51" customWidth="1"/>
    <col min="11" max="11" width="151.33203125" style="50" customWidth="1"/>
    <col min="12" max="12" width="35.33203125" style="50" customWidth="1"/>
    <col min="13" max="13" width="21.109375" style="50" bestFit="1" customWidth="1"/>
    <col min="14" max="14" width="18.109375" style="50" customWidth="1"/>
    <col min="15" max="19" width="16.44140625" style="50" customWidth="1"/>
    <col min="20" max="16384" width="8.88671875" style="50"/>
  </cols>
  <sheetData>
    <row r="1" spans="1:18" ht="81.75" customHeight="1" x14ac:dyDescent="0.5">
      <c r="A1" s="346" t="s">
        <v>1692</v>
      </c>
      <c r="B1" s="346"/>
      <c r="C1" s="346"/>
      <c r="D1" s="346"/>
      <c r="E1" s="346"/>
      <c r="F1" s="370"/>
      <c r="G1" s="346"/>
      <c r="H1" s="346"/>
      <c r="I1" s="346"/>
      <c r="J1" s="346"/>
      <c r="K1" s="346"/>
    </row>
    <row r="2" spans="1:18" hidden="1" x14ac:dyDescent="0.5"/>
    <row r="3" spans="1:18" s="163" customFormat="1" ht="105.75" customHeight="1" x14ac:dyDescent="0.25">
      <c r="A3" s="347" t="s">
        <v>1546</v>
      </c>
      <c r="B3" s="347" t="s">
        <v>1645</v>
      </c>
      <c r="C3" s="347" t="s">
        <v>1547</v>
      </c>
      <c r="D3" s="347" t="s">
        <v>1548</v>
      </c>
      <c r="E3" s="348" t="s">
        <v>1693</v>
      </c>
      <c r="F3" s="371"/>
      <c r="G3" s="348"/>
      <c r="H3" s="348"/>
      <c r="I3" s="348"/>
      <c r="J3" s="348"/>
      <c r="K3" s="349" t="s">
        <v>1608</v>
      </c>
    </row>
    <row r="4" spans="1:18" s="54" customFormat="1" ht="101.25" x14ac:dyDescent="0.25">
      <c r="A4" s="347"/>
      <c r="B4" s="347"/>
      <c r="C4" s="347"/>
      <c r="D4" s="347"/>
      <c r="E4" s="55" t="s">
        <v>1647</v>
      </c>
      <c r="F4" s="173" t="s">
        <v>1648</v>
      </c>
      <c r="G4" s="55" t="s">
        <v>1610</v>
      </c>
      <c r="H4" s="55" t="s">
        <v>1611</v>
      </c>
      <c r="I4" s="55" t="s">
        <v>1612</v>
      </c>
      <c r="J4" s="55" t="s">
        <v>1611</v>
      </c>
      <c r="K4" s="350"/>
    </row>
    <row r="5" spans="1:18" s="54" customFormat="1" ht="57" customHeight="1" x14ac:dyDescent="0.25">
      <c r="A5" s="347"/>
      <c r="B5" s="347"/>
      <c r="C5" s="347"/>
      <c r="D5" s="347"/>
      <c r="E5" s="56">
        <v>420</v>
      </c>
      <c r="F5" s="174">
        <v>420</v>
      </c>
      <c r="G5" s="56">
        <v>390</v>
      </c>
      <c r="H5" s="56">
        <v>758.01192286539413</v>
      </c>
      <c r="I5" s="56">
        <v>842.68799999999999</v>
      </c>
      <c r="J5" s="56">
        <v>758.01192286539413</v>
      </c>
      <c r="K5" s="350"/>
      <c r="O5" s="168"/>
    </row>
    <row r="6" spans="1:18" ht="108" customHeight="1" x14ac:dyDescent="0.5">
      <c r="A6" s="347"/>
      <c r="B6" s="347"/>
      <c r="C6" s="347"/>
      <c r="D6" s="347"/>
      <c r="E6" s="55" t="s">
        <v>1613</v>
      </c>
      <c r="F6" s="173" t="s">
        <v>1613</v>
      </c>
      <c r="G6" s="55" t="s">
        <v>1649</v>
      </c>
      <c r="H6" s="55" t="s">
        <v>1614</v>
      </c>
      <c r="I6" s="55" t="s">
        <v>1614</v>
      </c>
      <c r="J6" s="55" t="s">
        <v>1615</v>
      </c>
      <c r="K6" s="350"/>
    </row>
    <row r="7" spans="1:18" s="54" customFormat="1" ht="409.6" customHeight="1" x14ac:dyDescent="0.25">
      <c r="A7" s="57">
        <v>1</v>
      </c>
      <c r="B7" s="58" t="s">
        <v>1549</v>
      </c>
      <c r="C7" s="58"/>
      <c r="D7" s="59"/>
      <c r="E7" s="85">
        <v>577.17274386033716</v>
      </c>
      <c r="F7" s="175">
        <v>1.3742208187150884</v>
      </c>
      <c r="G7" s="60">
        <v>1.4799301124624029</v>
      </c>
      <c r="H7" s="60">
        <v>76.142963778002482</v>
      </c>
      <c r="I7" s="60">
        <v>68.491866961477697</v>
      </c>
      <c r="J7" s="60">
        <v>81.871870110723776</v>
      </c>
      <c r="K7" s="58" t="s">
        <v>1694</v>
      </c>
      <c r="M7" s="62"/>
      <c r="O7" s="63"/>
    </row>
    <row r="8" spans="1:18" s="54" customFormat="1" ht="330" customHeight="1" x14ac:dyDescent="0.25">
      <c r="A8" s="57">
        <v>2</v>
      </c>
      <c r="B8" s="58" t="s">
        <v>1550</v>
      </c>
      <c r="C8" s="58" t="s">
        <v>1551</v>
      </c>
      <c r="D8" s="59" t="s">
        <v>1552</v>
      </c>
      <c r="E8" s="60">
        <v>48.352767077639498</v>
      </c>
      <c r="F8" s="175">
        <v>0.11512563589914167</v>
      </c>
      <c r="G8" s="60">
        <v>0.12398145404522948</v>
      </c>
      <c r="H8" s="60">
        <v>6.3788926821703651</v>
      </c>
      <c r="I8" s="60">
        <v>5.737920449518624</v>
      </c>
      <c r="J8" s="60">
        <v>6.8588330058643683</v>
      </c>
      <c r="K8" s="58" t="s">
        <v>1695</v>
      </c>
      <c r="L8" s="64"/>
      <c r="O8" s="63"/>
      <c r="R8" s="63"/>
    </row>
    <row r="9" spans="1:18" s="54" customFormat="1" ht="303.75" x14ac:dyDescent="0.25">
      <c r="A9" s="57">
        <v>3</v>
      </c>
      <c r="B9" s="58" t="s">
        <v>1553</v>
      </c>
      <c r="C9" s="58" t="s">
        <v>1554</v>
      </c>
      <c r="D9" s="58" t="s">
        <v>1555</v>
      </c>
      <c r="E9" s="66">
        <v>8.6854166783999993</v>
      </c>
      <c r="F9" s="175">
        <v>2.0679563519999999E-2</v>
      </c>
      <c r="G9" s="60">
        <v>2.2270299175384613E-2</v>
      </c>
      <c r="H9" s="60">
        <v>1.1458153119238381</v>
      </c>
      <c r="I9" s="60">
        <v>1.03068</v>
      </c>
      <c r="J9" s="60">
        <v>1.2320250977124221</v>
      </c>
      <c r="K9" s="58" t="s">
        <v>1618</v>
      </c>
      <c r="O9" s="63"/>
      <c r="R9" s="63"/>
    </row>
    <row r="10" spans="1:18" s="54" customFormat="1" ht="78.75" customHeight="1" x14ac:dyDescent="0.25">
      <c r="A10" s="67">
        <v>3.1</v>
      </c>
      <c r="B10" s="68" t="s">
        <v>1556</v>
      </c>
      <c r="C10" s="53"/>
      <c r="D10" s="53"/>
      <c r="E10" s="69">
        <v>634.21092761637658</v>
      </c>
      <c r="F10" s="176">
        <v>1.51002601813423</v>
      </c>
      <c r="G10" s="69">
        <v>1.6261818656830171</v>
      </c>
      <c r="H10" s="70">
        <v>83.667671772096668</v>
      </c>
      <c r="I10" s="70">
        <v>75.260467410996313</v>
      </c>
      <c r="J10" s="70">
        <v>89.96272821430054</v>
      </c>
      <c r="K10" s="53" t="s">
        <v>1696</v>
      </c>
      <c r="O10" s="63"/>
    </row>
    <row r="11" spans="1:18" s="54" customFormat="1" ht="236.25" x14ac:dyDescent="0.25">
      <c r="A11" s="57">
        <v>4</v>
      </c>
      <c r="B11" s="58" t="s">
        <v>1557</v>
      </c>
      <c r="C11" s="58" t="s">
        <v>1558</v>
      </c>
      <c r="D11" s="59" t="s">
        <v>1559</v>
      </c>
      <c r="E11" s="86">
        <v>39.702711700000002</v>
      </c>
      <c r="F11" s="175">
        <v>9.4530265952380954E-2</v>
      </c>
      <c r="G11" s="61">
        <v>0.10180182487179487</v>
      </c>
      <c r="H11" s="60">
        <v>5.237742376124908</v>
      </c>
      <c r="I11" s="60">
        <v>4.7114367001784769</v>
      </c>
      <c r="J11" s="60">
        <v>5.6318239035425925</v>
      </c>
      <c r="K11" s="58" t="s">
        <v>1697</v>
      </c>
      <c r="O11" s="63"/>
      <c r="Q11" s="167"/>
      <c r="R11" s="63"/>
    </row>
    <row r="12" spans="1:18" s="54" customFormat="1" ht="337.5" x14ac:dyDescent="0.25">
      <c r="A12" s="57">
        <v>5</v>
      </c>
      <c r="B12" s="58" t="s">
        <v>1560</v>
      </c>
      <c r="C12" s="58" t="s">
        <v>1561</v>
      </c>
      <c r="D12" s="59"/>
      <c r="E12" s="61">
        <v>67.131667017050006</v>
      </c>
      <c r="F12" s="175">
        <v>0.15983730242154764</v>
      </c>
      <c r="G12" s="60">
        <v>0.17213247953089744</v>
      </c>
      <c r="H12" s="60">
        <v>8.8562811470408853</v>
      </c>
      <c r="I12" s="60">
        <v>7.9663727283466725</v>
      </c>
      <c r="J12" s="60">
        <v>9.5226172420682307</v>
      </c>
      <c r="K12" s="72" t="s">
        <v>1698</v>
      </c>
      <c r="L12" s="71"/>
      <c r="M12" s="71"/>
      <c r="O12" s="63"/>
      <c r="R12" s="63"/>
    </row>
    <row r="13" spans="1:18" s="54" customFormat="1" ht="87.75" customHeight="1" outlineLevel="1" x14ac:dyDescent="0.25">
      <c r="A13" s="73">
        <v>5.0999999999999996</v>
      </c>
      <c r="B13" s="74" t="s">
        <v>1562</v>
      </c>
      <c r="C13" s="58" t="s">
        <v>1563</v>
      </c>
      <c r="D13" s="59"/>
      <c r="E13" s="60">
        <v>5.7154999999999996</v>
      </c>
      <c r="F13" s="175">
        <v>1.3608333333333332E-2</v>
      </c>
      <c r="G13" s="60">
        <v>1.4655128205128204E-2</v>
      </c>
      <c r="H13" s="60">
        <v>0.75401188656698004</v>
      </c>
      <c r="I13" s="60">
        <v>0.6782462785752259</v>
      </c>
      <c r="J13" s="86">
        <v>0.81074284708612709</v>
      </c>
      <c r="K13" s="75" t="s">
        <v>1699</v>
      </c>
      <c r="L13" s="71"/>
      <c r="M13" s="71"/>
      <c r="N13" s="71"/>
      <c r="O13" s="63"/>
      <c r="R13" s="63"/>
    </row>
    <row r="14" spans="1:18" s="54" customFormat="1" ht="67.5" outlineLevel="1" x14ac:dyDescent="0.25">
      <c r="A14" s="73">
        <v>5.2</v>
      </c>
      <c r="B14" s="74" t="s">
        <v>1565</v>
      </c>
      <c r="C14" s="58" t="s">
        <v>1566</v>
      </c>
      <c r="D14" s="59"/>
      <c r="E14" s="60">
        <v>25.874202700000001</v>
      </c>
      <c r="F14" s="175">
        <v>6.1605244523809527E-2</v>
      </c>
      <c r="G14" s="60">
        <v>6.634410948717949E-2</v>
      </c>
      <c r="H14" s="60">
        <v>3.4134295146957307</v>
      </c>
      <c r="I14" s="60">
        <v>3.0704368283397891</v>
      </c>
      <c r="J14" s="86">
        <v>3.670251905009458</v>
      </c>
      <c r="K14" s="58" t="s">
        <v>1700</v>
      </c>
      <c r="L14" s="71"/>
      <c r="M14" s="71"/>
      <c r="N14" s="71"/>
      <c r="O14" s="63"/>
      <c r="R14" s="63"/>
    </row>
    <row r="15" spans="1:18" s="54" customFormat="1" ht="122.25" customHeight="1" outlineLevel="1" x14ac:dyDescent="0.25">
      <c r="A15" s="73">
        <v>5.3</v>
      </c>
      <c r="B15" s="74" t="s">
        <v>1567</v>
      </c>
      <c r="C15" s="58" t="s">
        <v>1566</v>
      </c>
      <c r="D15" s="59"/>
      <c r="E15" s="60">
        <v>10.288072</v>
      </c>
      <c r="F15" s="175">
        <v>2.4495409523809523E-2</v>
      </c>
      <c r="G15" s="60">
        <v>2.6379671794871794E-2</v>
      </c>
      <c r="H15" s="60">
        <v>1.3572440867565259</v>
      </c>
      <c r="I15" s="60">
        <v>1.2208637123110808</v>
      </c>
      <c r="J15" s="86">
        <v>1.4593615229301138</v>
      </c>
      <c r="K15" s="76" t="s">
        <v>1701</v>
      </c>
      <c r="L15" s="71"/>
      <c r="M15" s="71"/>
      <c r="N15" s="71"/>
      <c r="O15" s="63"/>
      <c r="R15" s="63"/>
    </row>
    <row r="16" spans="1:18" s="54" customFormat="1" ht="81" customHeight="1" outlineLevel="1" x14ac:dyDescent="0.25">
      <c r="A16" s="73">
        <v>5.4</v>
      </c>
      <c r="B16" s="77" t="s">
        <v>1568</v>
      </c>
      <c r="C16" s="58" t="s">
        <v>1566</v>
      </c>
      <c r="D16" s="59"/>
      <c r="E16" s="60">
        <v>4.0258675000000004</v>
      </c>
      <c r="F16" s="175">
        <v>9.585398809523811E-3</v>
      </c>
      <c r="G16" s="60">
        <v>1.0322737179487181E-2</v>
      </c>
      <c r="H16" s="60">
        <v>0.53110873042493079</v>
      </c>
      <c r="I16" s="60">
        <v>0.47774116873623457</v>
      </c>
      <c r="J16" s="86">
        <v>0.57106872171140033</v>
      </c>
      <c r="K16" s="58" t="s">
        <v>1702</v>
      </c>
      <c r="L16" s="71"/>
      <c r="M16" s="71"/>
      <c r="O16" s="63"/>
      <c r="R16" s="63"/>
    </row>
    <row r="17" spans="1:18" ht="236.25" outlineLevel="1" x14ac:dyDescent="0.5">
      <c r="A17" s="73">
        <v>5.5</v>
      </c>
      <c r="B17" s="78" t="s">
        <v>1604</v>
      </c>
      <c r="C17" s="79" t="s">
        <v>1569</v>
      </c>
      <c r="D17" s="59"/>
      <c r="E17" s="60">
        <v>21.228024817050002</v>
      </c>
      <c r="F17" s="175">
        <v>5.0542916231071433E-2</v>
      </c>
      <c r="G17" s="60">
        <v>5.4430832864230776E-2</v>
      </c>
      <c r="H17" s="60">
        <v>2.8004869285967189</v>
      </c>
      <c r="I17" s="60">
        <v>2.5190847403843422</v>
      </c>
      <c r="J17" s="86">
        <v>3.0111922453311317</v>
      </c>
      <c r="K17" s="80" t="s">
        <v>1703</v>
      </c>
      <c r="O17" s="63"/>
      <c r="Q17" s="54"/>
      <c r="R17" s="63"/>
    </row>
    <row r="18" spans="1:18" s="54" customFormat="1" ht="236.25" x14ac:dyDescent="0.25">
      <c r="A18" s="57">
        <v>6</v>
      </c>
      <c r="B18" s="81" t="s">
        <v>1570</v>
      </c>
      <c r="C18" s="58" t="s">
        <v>1571</v>
      </c>
      <c r="D18" s="59"/>
      <c r="E18" s="61">
        <v>6.9904501551999996</v>
      </c>
      <c r="F18" s="175">
        <v>1.6643928940952381E-2</v>
      </c>
      <c r="G18" s="60">
        <v>1.7924231167179488E-2</v>
      </c>
      <c r="H18" s="60">
        <v>0.92220846985824345</v>
      </c>
      <c r="I18" s="60">
        <v>0.82954191292625501</v>
      </c>
      <c r="J18" s="86">
        <v>0.99159434191943086</v>
      </c>
      <c r="K18" s="58" t="s">
        <v>1660</v>
      </c>
      <c r="L18" s="64"/>
      <c r="O18" s="63"/>
      <c r="R18" s="63"/>
    </row>
    <row r="19" spans="1:18" s="54" customFormat="1" ht="69.75" customHeight="1" collapsed="1" x14ac:dyDescent="0.25">
      <c r="A19" s="57">
        <v>7</v>
      </c>
      <c r="B19" s="81" t="s">
        <v>1572</v>
      </c>
      <c r="C19" s="58"/>
      <c r="D19" s="59"/>
      <c r="E19" s="60">
        <v>34.604406400000009</v>
      </c>
      <c r="F19" s="175">
        <v>8.2391443809523832E-2</v>
      </c>
      <c r="G19" s="60">
        <v>8.87292471794872E-2</v>
      </c>
      <c r="H19" s="60">
        <v>4.5651533117302918</v>
      </c>
      <c r="I19" s="60">
        <v>4.1064316093263473</v>
      </c>
      <c r="J19" s="86">
        <v>4.9086300352482546</v>
      </c>
      <c r="K19" s="58" t="s">
        <v>1704</v>
      </c>
      <c r="L19" s="82"/>
      <c r="M19" s="71"/>
      <c r="O19" s="63"/>
      <c r="R19" s="63"/>
    </row>
    <row r="20" spans="1:18" s="54" customFormat="1" outlineLevel="1" x14ac:dyDescent="0.25">
      <c r="A20" s="57">
        <v>7.1</v>
      </c>
      <c r="B20" s="83" t="s">
        <v>200</v>
      </c>
      <c r="C20" s="58"/>
      <c r="D20" s="59"/>
      <c r="E20" s="60">
        <v>10.5450324</v>
      </c>
      <c r="F20" s="175"/>
      <c r="G20" s="60"/>
      <c r="H20" s="60">
        <v>1.3911433424606647</v>
      </c>
      <c r="I20" s="60">
        <v>1.2513566586921849</v>
      </c>
      <c r="J20" s="60">
        <v>1.4958113184483346</v>
      </c>
      <c r="K20" s="59"/>
      <c r="O20" s="63"/>
    </row>
    <row r="21" spans="1:18" s="54" customFormat="1" outlineLevel="1" x14ac:dyDescent="0.25">
      <c r="A21" s="57">
        <v>7.2</v>
      </c>
      <c r="B21" s="83" t="s">
        <v>83</v>
      </c>
      <c r="C21" s="58"/>
      <c r="D21" s="59"/>
      <c r="E21" s="60">
        <v>3.3881417850000002</v>
      </c>
      <c r="F21" s="175"/>
      <c r="G21" s="60"/>
      <c r="H21" s="60">
        <v>0.4469773736793396</v>
      </c>
      <c r="I21" s="60">
        <v>0.40206360895135568</v>
      </c>
      <c r="J21" s="60">
        <v>0.48060742141586432</v>
      </c>
      <c r="K21" s="59"/>
      <c r="O21" s="63"/>
    </row>
    <row r="22" spans="1:18" s="54" customFormat="1" outlineLevel="1" x14ac:dyDescent="0.25">
      <c r="A22" s="57">
        <v>7.3</v>
      </c>
      <c r="B22" s="83" t="s">
        <v>1573</v>
      </c>
      <c r="C22" s="58"/>
      <c r="D22" s="59"/>
      <c r="E22" s="60">
        <v>0.40359109999999998</v>
      </c>
      <c r="F22" s="175"/>
      <c r="G22" s="60"/>
      <c r="H22" s="60">
        <v>5.3243370958383822E-2</v>
      </c>
      <c r="I22" s="60">
        <v>4.7893300960735172E-2</v>
      </c>
      <c r="J22" s="60">
        <v>5.7249339073155776E-2</v>
      </c>
      <c r="K22" s="59"/>
      <c r="O22" s="63"/>
    </row>
    <row r="23" spans="1:18" s="54" customFormat="1" outlineLevel="1" x14ac:dyDescent="0.25">
      <c r="A23" s="57">
        <v>7.4</v>
      </c>
      <c r="B23" s="83" t="s">
        <v>1574</v>
      </c>
      <c r="C23" s="58"/>
      <c r="D23" s="59"/>
      <c r="E23" s="60">
        <v>0.54352999999999996</v>
      </c>
      <c r="F23" s="175"/>
      <c r="G23" s="60"/>
      <c r="H23" s="60">
        <v>7.1704676879669429E-2</v>
      </c>
      <c r="I23" s="60">
        <v>6.4499553808764334E-2</v>
      </c>
      <c r="J23" s="60">
        <v>7.7099651767425878E-2</v>
      </c>
      <c r="K23" s="59"/>
      <c r="O23" s="63"/>
    </row>
    <row r="24" spans="1:18" s="54" customFormat="1" outlineLevel="1" x14ac:dyDescent="0.25">
      <c r="A24" s="57">
        <v>7.5</v>
      </c>
      <c r="B24" s="83" t="s">
        <v>1575</v>
      </c>
      <c r="C24" s="58"/>
      <c r="D24" s="59"/>
      <c r="E24" s="60">
        <v>8.4112769999999989E-2</v>
      </c>
      <c r="F24" s="175"/>
      <c r="G24" s="60"/>
      <c r="H24" s="60">
        <v>1.1096496963008393E-2</v>
      </c>
      <c r="I24" s="60">
        <v>9.9814842503987214E-3</v>
      </c>
      <c r="J24" s="60">
        <v>1.1931384240416509E-2</v>
      </c>
      <c r="K24" s="59"/>
      <c r="O24" s="63"/>
    </row>
    <row r="25" spans="1:18" s="54" customFormat="1" outlineLevel="1" x14ac:dyDescent="0.25">
      <c r="A25" s="57">
        <v>7.6</v>
      </c>
      <c r="B25" s="83" t="s">
        <v>1576</v>
      </c>
      <c r="C25" s="58"/>
      <c r="D25" s="59"/>
      <c r="E25" s="60">
        <v>0.39322499999999999</v>
      </c>
      <c r="F25" s="175"/>
      <c r="G25" s="60"/>
      <c r="H25" s="60">
        <v>5.1875833102143422E-2</v>
      </c>
      <c r="I25" s="60">
        <v>4.666317783094099E-2</v>
      </c>
      <c r="J25" s="60">
        <v>5.577890928972834E-2</v>
      </c>
      <c r="K25" s="59"/>
      <c r="O25" s="63"/>
    </row>
    <row r="26" spans="1:18" s="54" customFormat="1" ht="67.5" outlineLevel="1" x14ac:dyDescent="0.25">
      <c r="A26" s="57">
        <v>7.7</v>
      </c>
      <c r="B26" s="83" t="s">
        <v>1053</v>
      </c>
      <c r="C26" s="58"/>
      <c r="D26" s="59"/>
      <c r="E26" s="60">
        <v>11.9166534</v>
      </c>
      <c r="F26" s="175"/>
      <c r="G26" s="60"/>
      <c r="H26" s="60">
        <v>1.5720931347561573</v>
      </c>
      <c r="I26" s="60">
        <v>1.4141240174299385</v>
      </c>
      <c r="J26" s="60">
        <v>1.6903755586133455</v>
      </c>
      <c r="K26" s="59"/>
      <c r="O26" s="63"/>
    </row>
    <row r="27" spans="1:18" s="54" customFormat="1" outlineLevel="1" x14ac:dyDescent="0.25">
      <c r="A27" s="57">
        <v>7.8</v>
      </c>
      <c r="B27" s="83" t="s">
        <v>1059</v>
      </c>
      <c r="C27" s="58"/>
      <c r="D27" s="59"/>
      <c r="E27" s="60">
        <v>0.78277280000000005</v>
      </c>
      <c r="F27" s="175"/>
      <c r="G27" s="60"/>
      <c r="H27" s="60">
        <v>0.10326655510127153</v>
      </c>
      <c r="I27" s="60">
        <v>9.2889990126832245E-2</v>
      </c>
      <c r="J27" s="60">
        <v>0.11103620829211436</v>
      </c>
      <c r="K27" s="59"/>
      <c r="O27" s="63"/>
    </row>
    <row r="28" spans="1:18" s="54" customFormat="1" outlineLevel="1" x14ac:dyDescent="0.25">
      <c r="A28" s="57">
        <v>7.9</v>
      </c>
      <c r="B28" s="83" t="s">
        <v>1365</v>
      </c>
      <c r="C28" s="58"/>
      <c r="D28" s="59"/>
      <c r="E28" s="60">
        <v>0.85209860000000004</v>
      </c>
      <c r="F28" s="175"/>
      <c r="G28" s="60"/>
      <c r="H28" s="60">
        <v>0.11241229514952017</v>
      </c>
      <c r="I28" s="60">
        <v>0.10111673596870967</v>
      </c>
      <c r="J28" s="60">
        <v>0.12087006297998477</v>
      </c>
      <c r="K28" s="59"/>
      <c r="O28" s="63"/>
    </row>
    <row r="29" spans="1:18" s="54" customFormat="1" outlineLevel="1" x14ac:dyDescent="0.25">
      <c r="A29" s="84" t="s">
        <v>1577</v>
      </c>
      <c r="B29" s="83" t="s">
        <v>1578</v>
      </c>
      <c r="C29" s="58"/>
      <c r="D29" s="59"/>
      <c r="E29" s="60">
        <v>0.25228774999999998</v>
      </c>
      <c r="F29" s="175"/>
      <c r="G29" s="60"/>
      <c r="H29" s="60">
        <v>3.3282820809244794E-2</v>
      </c>
      <c r="I29" s="60">
        <v>2.9938452903091061E-2</v>
      </c>
      <c r="J29" s="60">
        <v>3.5786980792573364E-2</v>
      </c>
      <c r="K29" s="59"/>
      <c r="O29" s="63"/>
    </row>
    <row r="30" spans="1:18" s="54" customFormat="1" outlineLevel="1" x14ac:dyDescent="0.25">
      <c r="A30" s="57">
        <v>7.11</v>
      </c>
      <c r="B30" s="83" t="s">
        <v>1579</v>
      </c>
      <c r="C30" s="58"/>
      <c r="D30" s="59"/>
      <c r="E30" s="85">
        <v>0.163605</v>
      </c>
      <c r="F30" s="177"/>
      <c r="G30" s="85"/>
      <c r="H30" s="60">
        <v>2.1583433593174838E-2</v>
      </c>
      <c r="I30" s="60">
        <v>1.9414658806106176E-2</v>
      </c>
      <c r="J30" s="60">
        <v>2.3207345551137404E-2</v>
      </c>
      <c r="K30" s="59"/>
      <c r="O30" s="63"/>
    </row>
    <row r="31" spans="1:18" s="54" customFormat="1" outlineLevel="1" x14ac:dyDescent="0.25">
      <c r="A31" s="57">
        <v>7.12</v>
      </c>
      <c r="B31" s="83" t="s">
        <v>1070</v>
      </c>
      <c r="C31" s="58"/>
      <c r="D31" s="59"/>
      <c r="E31" s="60">
        <v>0.12359150000000001</v>
      </c>
      <c r="F31" s="175"/>
      <c r="G31" s="60"/>
      <c r="H31" s="60">
        <v>1.6304690766974529E-2</v>
      </c>
      <c r="I31" s="60">
        <v>1.4666341516670466E-2</v>
      </c>
      <c r="J31" s="60">
        <v>1.7531436372258784E-2</v>
      </c>
      <c r="K31" s="59"/>
      <c r="O31" s="63"/>
    </row>
    <row r="32" spans="1:18" s="54" customFormat="1" outlineLevel="1" x14ac:dyDescent="0.25">
      <c r="A32" s="57">
        <v>7.13</v>
      </c>
      <c r="B32" s="83" t="s">
        <v>1580</v>
      </c>
      <c r="C32" s="58"/>
      <c r="D32" s="59"/>
      <c r="E32" s="60">
        <v>0.98813137500000003</v>
      </c>
      <c r="F32" s="175"/>
      <c r="G32" s="60"/>
      <c r="H32" s="60">
        <v>0.13035828925549367</v>
      </c>
      <c r="I32" s="60">
        <v>0.11725945723684211</v>
      </c>
      <c r="J32" s="60">
        <v>0.14016629240882331</v>
      </c>
      <c r="K32" s="59"/>
      <c r="O32" s="63"/>
    </row>
    <row r="33" spans="1:18" s="54" customFormat="1" ht="67.5" outlineLevel="1" x14ac:dyDescent="0.25">
      <c r="A33" s="57">
        <v>7.14</v>
      </c>
      <c r="B33" s="83" t="s">
        <v>1705</v>
      </c>
      <c r="C33" s="58"/>
      <c r="D33" s="59"/>
      <c r="E33" s="60">
        <v>4</v>
      </c>
      <c r="F33" s="175"/>
      <c r="G33" s="60"/>
      <c r="H33" s="60"/>
      <c r="I33" s="60"/>
      <c r="J33" s="60"/>
      <c r="K33" s="59"/>
      <c r="O33" s="63"/>
    </row>
    <row r="34" spans="1:18" s="54" customFormat="1" outlineLevel="1" x14ac:dyDescent="0.25">
      <c r="A34" s="57">
        <v>7.15</v>
      </c>
      <c r="B34" s="83" t="s">
        <v>1581</v>
      </c>
      <c r="C34" s="58"/>
      <c r="D34" s="59"/>
      <c r="E34" s="60">
        <v>0.16763292000000002</v>
      </c>
      <c r="F34" s="175"/>
      <c r="G34" s="60"/>
      <c r="H34" s="60">
        <v>2.2114813097704779E-2</v>
      </c>
      <c r="I34" s="60">
        <v>1.9892643540669861E-2</v>
      </c>
      <c r="J34" s="60">
        <v>2.3778705419676492E-2</v>
      </c>
      <c r="K34" s="59"/>
      <c r="O34" s="63"/>
      <c r="R34" s="63"/>
    </row>
    <row r="35" spans="1:18" s="54" customFormat="1" ht="202.5" x14ac:dyDescent="0.25">
      <c r="A35" s="57">
        <v>8</v>
      </c>
      <c r="B35" s="58" t="s">
        <v>1582</v>
      </c>
      <c r="C35" s="58" t="s">
        <v>1583</v>
      </c>
      <c r="D35" s="59"/>
      <c r="E35" s="86">
        <v>4.6804606528940766</v>
      </c>
      <c r="F35" s="175">
        <v>1.1143953935462088E-2</v>
      </c>
      <c r="G35" s="61">
        <v>1.2001181161266862E-2</v>
      </c>
      <c r="H35" s="60">
        <v>0.61746530782804343</v>
      </c>
      <c r="I35" s="60">
        <v>0.55542035164783132</v>
      </c>
      <c r="J35" s="60">
        <v>0.66392266562889291</v>
      </c>
      <c r="K35" s="58" t="s">
        <v>1706</v>
      </c>
      <c r="O35" s="63"/>
      <c r="R35" s="63"/>
    </row>
    <row r="36" spans="1:18" s="54" customFormat="1" ht="67.5" x14ac:dyDescent="0.25">
      <c r="A36" s="57">
        <v>9</v>
      </c>
      <c r="B36" s="58" t="s">
        <v>1584</v>
      </c>
      <c r="C36" s="58"/>
      <c r="D36" s="59"/>
      <c r="E36" s="60">
        <v>2.72</v>
      </c>
      <c r="F36" s="175">
        <v>6.4761904761904765E-3</v>
      </c>
      <c r="G36" s="61">
        <v>6.9743589743589745E-3</v>
      </c>
      <c r="H36" s="60">
        <v>0.35883340590712726</v>
      </c>
      <c r="I36" s="60">
        <v>0.32277663856611227</v>
      </c>
      <c r="J36" s="60">
        <v>0.38583160599672217</v>
      </c>
      <c r="K36" s="58" t="s">
        <v>1707</v>
      </c>
      <c r="O36" s="63"/>
      <c r="R36" s="63"/>
    </row>
    <row r="37" spans="1:18" s="54" customFormat="1" ht="409.6" customHeight="1" x14ac:dyDescent="0.25">
      <c r="A37" s="57">
        <v>10</v>
      </c>
      <c r="B37" s="58" t="s">
        <v>795</v>
      </c>
      <c r="C37" s="58" t="s">
        <v>1585</v>
      </c>
      <c r="D37" s="59" t="s">
        <v>1586</v>
      </c>
      <c r="E37" s="85">
        <v>79.975613175000007</v>
      </c>
      <c r="F37" s="175">
        <v>0.19041812660714288</v>
      </c>
      <c r="G37" s="60">
        <v>0.20506567480769233</v>
      </c>
      <c r="H37" s="60">
        <v>10.550706494520652</v>
      </c>
      <c r="I37" s="60">
        <v>9.4905366131949194</v>
      </c>
      <c r="J37" s="60">
        <v>11.344529144074585</v>
      </c>
      <c r="K37" s="58" t="s">
        <v>1708</v>
      </c>
      <c r="L37" s="90"/>
      <c r="O37" s="63"/>
      <c r="R37" s="63"/>
    </row>
    <row r="38" spans="1:18" s="54" customFormat="1" ht="66" customHeight="1" x14ac:dyDescent="0.25">
      <c r="A38" s="57">
        <v>11</v>
      </c>
      <c r="B38" s="58" t="s">
        <v>1587</v>
      </c>
      <c r="C38" s="58"/>
      <c r="D38" s="59"/>
      <c r="E38" s="60">
        <v>156.60292260897376</v>
      </c>
      <c r="F38" s="175">
        <v>0.37286410144993754</v>
      </c>
      <c r="G38" s="60">
        <v>0.401545955407625</v>
      </c>
      <c r="H38" s="60">
        <v>20.659691211319231</v>
      </c>
      <c r="I38" s="60">
        <v>18.583737113732926</v>
      </c>
      <c r="J38" s="60">
        <v>22.214101887500266</v>
      </c>
      <c r="K38" s="59" t="s">
        <v>1588</v>
      </c>
      <c r="O38" s="63"/>
      <c r="R38" s="63"/>
    </row>
    <row r="39" spans="1:18" s="90" customFormat="1" ht="108.75" customHeight="1" x14ac:dyDescent="0.25">
      <c r="A39" s="345" t="s">
        <v>1589</v>
      </c>
      <c r="B39" s="345"/>
      <c r="C39" s="345"/>
      <c r="D39" s="88"/>
      <c r="E39" s="70">
        <v>1026.6191593254946</v>
      </c>
      <c r="F39" s="178">
        <v>2.4443313317273678</v>
      </c>
      <c r="G39" s="70">
        <v>2.6323568187833195</v>
      </c>
      <c r="H39" s="70">
        <v>135.43575349642609</v>
      </c>
      <c r="I39" s="70">
        <v>121.82672107891585</v>
      </c>
      <c r="J39" s="70">
        <v>145.62577904027955</v>
      </c>
      <c r="K39" s="88" t="s">
        <v>1709</v>
      </c>
      <c r="O39" s="63"/>
    </row>
    <row r="40" spans="1:18" s="54" customFormat="1" ht="270" x14ac:dyDescent="0.25">
      <c r="A40" s="57">
        <v>12</v>
      </c>
      <c r="B40" s="58" t="s">
        <v>1590</v>
      </c>
      <c r="C40" s="58"/>
      <c r="D40" s="58" t="s">
        <v>1591</v>
      </c>
      <c r="E40" s="66">
        <v>23.492059514285451</v>
      </c>
      <c r="F40" s="175">
        <v>5.5933475034012976E-2</v>
      </c>
      <c r="G40" s="61">
        <v>6.0236050036629359E-2</v>
      </c>
      <c r="H40" s="60">
        <v>3.0991675467955817</v>
      </c>
      <c r="I40" s="60">
        <v>2.7877529422853358</v>
      </c>
      <c r="J40" s="60">
        <v>3.3323452391791664</v>
      </c>
      <c r="K40" s="58" t="s">
        <v>1710</v>
      </c>
      <c r="O40" s="65"/>
      <c r="R40" s="63"/>
    </row>
    <row r="41" spans="1:18" s="54" customFormat="1" x14ac:dyDescent="0.25">
      <c r="A41" s="92">
        <v>12.1</v>
      </c>
      <c r="B41" s="77" t="s">
        <v>1590</v>
      </c>
      <c r="C41" s="58"/>
      <c r="D41" s="58"/>
      <c r="E41" s="66">
        <v>8.243140600000002</v>
      </c>
      <c r="F41" s="175">
        <v>1.9626525238095244E-2</v>
      </c>
      <c r="G41" s="60">
        <v>2.1136257948717953E-2</v>
      </c>
      <c r="H41" s="60">
        <v>1.0874684620843091</v>
      </c>
      <c r="I41" s="60">
        <v>0.97819603459406113</v>
      </c>
      <c r="J41" s="60">
        <v>1.1692883000569061</v>
      </c>
      <c r="K41" s="58"/>
      <c r="O41" s="63"/>
    </row>
    <row r="42" spans="1:18" s="54" customFormat="1" x14ac:dyDescent="0.25">
      <c r="A42" s="92">
        <v>12.2</v>
      </c>
      <c r="B42" s="93" t="s">
        <v>1592</v>
      </c>
      <c r="C42" s="58"/>
      <c r="D42" s="58"/>
      <c r="E42" s="66">
        <v>13.272</v>
      </c>
      <c r="F42" s="175">
        <v>3.1600000000000003E-2</v>
      </c>
      <c r="G42" s="60">
        <v>3.4030769230769232E-2</v>
      </c>
      <c r="H42" s="60">
        <v>1.7508959423527179</v>
      </c>
      <c r="I42" s="60">
        <v>1.5749601275917067</v>
      </c>
      <c r="J42" s="60">
        <v>1.882631277495771</v>
      </c>
      <c r="K42" s="58"/>
      <c r="O42" s="63"/>
    </row>
    <row r="43" spans="1:18" s="54" customFormat="1" x14ac:dyDescent="0.25">
      <c r="A43" s="92">
        <v>12.3</v>
      </c>
      <c r="B43" s="77" t="s">
        <v>1448</v>
      </c>
      <c r="C43" s="58"/>
      <c r="D43" s="58"/>
      <c r="E43" s="66">
        <v>1.9769189142854504</v>
      </c>
      <c r="F43" s="175">
        <v>4.706949795917739E-3</v>
      </c>
      <c r="G43" s="60">
        <v>5.0690228571421804E-3</v>
      </c>
      <c r="H43" s="60">
        <v>0.26080314235855451</v>
      </c>
      <c r="I43" s="60">
        <v>0.23459678009956833</v>
      </c>
      <c r="J43" s="60">
        <v>0.28042566162648958</v>
      </c>
      <c r="K43" s="58"/>
      <c r="O43" s="63"/>
    </row>
    <row r="44" spans="1:18" s="54" customFormat="1" x14ac:dyDescent="0.25">
      <c r="A44" s="57">
        <v>13</v>
      </c>
      <c r="B44" s="58" t="s">
        <v>1593</v>
      </c>
      <c r="C44" s="58"/>
      <c r="D44" s="59"/>
      <c r="E44" s="85">
        <v>31.589999999999996</v>
      </c>
      <c r="F44" s="175">
        <v>7.5214285714285706E-2</v>
      </c>
      <c r="G44" s="60">
        <v>8.1000000000000003E-2</v>
      </c>
      <c r="H44" s="60">
        <v>4.1674806222816727</v>
      </c>
      <c r="I44" s="60">
        <v>3.7487183868762814</v>
      </c>
      <c r="J44" s="60">
        <v>4.4810369240575199</v>
      </c>
      <c r="K44" s="59"/>
      <c r="O44" s="63"/>
      <c r="R44" s="63"/>
    </row>
    <row r="45" spans="1:18" s="54" customFormat="1" outlineLevel="1" x14ac:dyDescent="0.25">
      <c r="A45" s="59">
        <v>13.1</v>
      </c>
      <c r="B45" s="58" t="s">
        <v>1594</v>
      </c>
      <c r="C45" s="58"/>
      <c r="D45" s="59" t="s">
        <v>1595</v>
      </c>
      <c r="E45" s="85">
        <v>10.92</v>
      </c>
      <c r="F45" s="175">
        <v>2.5999999999999999E-2</v>
      </c>
      <c r="G45" s="61">
        <v>2.8000000000000001E-2</v>
      </c>
      <c r="H45" s="60">
        <v>1.4406105854800844</v>
      </c>
      <c r="I45" s="60">
        <v>1.29585326953748</v>
      </c>
      <c r="J45" s="60">
        <v>1.5490004181927228</v>
      </c>
      <c r="K45" s="94"/>
      <c r="O45" s="63"/>
    </row>
    <row r="46" spans="1:18" s="54" customFormat="1" outlineLevel="1" x14ac:dyDescent="0.25">
      <c r="A46" s="59">
        <v>13.2</v>
      </c>
      <c r="B46" s="58" t="s">
        <v>1595</v>
      </c>
      <c r="C46" s="58"/>
      <c r="D46" s="59" t="s">
        <v>1596</v>
      </c>
      <c r="E46" s="85">
        <v>20.669999999999998</v>
      </c>
      <c r="F46" s="175">
        <v>4.921428571428571E-2</v>
      </c>
      <c r="G46" s="61">
        <v>5.2999999999999999E-2</v>
      </c>
      <c r="H46" s="60">
        <v>2.7268700368015883</v>
      </c>
      <c r="I46" s="60">
        <v>2.4528651173388014</v>
      </c>
      <c r="J46" s="60">
        <v>2.9320365058647968</v>
      </c>
      <c r="K46" s="59"/>
      <c r="O46" s="63"/>
    </row>
    <row r="47" spans="1:18" s="54" customFormat="1" ht="202.5" x14ac:dyDescent="0.25">
      <c r="A47" s="57">
        <v>14</v>
      </c>
      <c r="B47" s="58" t="s">
        <v>1597</v>
      </c>
      <c r="C47" s="58" t="s">
        <v>1598</v>
      </c>
      <c r="D47" s="59" t="s">
        <v>1599</v>
      </c>
      <c r="E47" s="66">
        <v>116.409416642333</v>
      </c>
      <c r="F47" s="175">
        <v>0.27716527771984045</v>
      </c>
      <c r="G47" s="60">
        <v>0.29848568369828976</v>
      </c>
      <c r="H47" s="60">
        <v>15.357201269643445</v>
      </c>
      <c r="I47" s="60">
        <v>13.81405889751996</v>
      </c>
      <c r="J47" s="60">
        <v>16.512658888328271</v>
      </c>
      <c r="K47" s="58" t="s">
        <v>1711</v>
      </c>
      <c r="O47" s="63"/>
      <c r="R47" s="63"/>
    </row>
    <row r="48" spans="1:18" s="54" customFormat="1" ht="67.5" x14ac:dyDescent="0.25">
      <c r="A48" s="57">
        <v>15</v>
      </c>
      <c r="B48" s="58" t="s">
        <v>1509</v>
      </c>
      <c r="C48" s="58"/>
      <c r="D48" s="59" t="s">
        <v>1600</v>
      </c>
      <c r="E48" s="60">
        <v>34.616020392273761</v>
      </c>
      <c r="F48" s="175">
        <v>8.2419096172080389E-2</v>
      </c>
      <c r="G48" s="60">
        <v>8.8759026646855796E-2</v>
      </c>
      <c r="H48" s="60">
        <v>4.5666854765846194</v>
      </c>
      <c r="I48" s="60">
        <v>4.1078098171890147</v>
      </c>
      <c r="J48" s="60">
        <v>4.9102774783699523</v>
      </c>
      <c r="K48" s="58" t="s">
        <v>1712</v>
      </c>
      <c r="O48" s="63"/>
      <c r="R48" s="63"/>
    </row>
    <row r="49" spans="1:15" s="90" customFormat="1" ht="75.75" customHeight="1" x14ac:dyDescent="0.25">
      <c r="A49" s="345" t="s">
        <v>1601</v>
      </c>
      <c r="B49" s="345" t="s">
        <v>1601</v>
      </c>
      <c r="C49" s="345"/>
      <c r="D49" s="88"/>
      <c r="E49" s="70">
        <v>1232.7266558743868</v>
      </c>
      <c r="F49" s="178">
        <v>2.9350634663675876</v>
      </c>
      <c r="G49" s="70">
        <v>3.1608375791650944</v>
      </c>
      <c r="H49" s="70">
        <v>162.62628841173139</v>
      </c>
      <c r="I49" s="70">
        <v>146.28506112278646</v>
      </c>
      <c r="J49" s="70">
        <v>174.86209757021447</v>
      </c>
      <c r="K49" s="88" t="s">
        <v>1713</v>
      </c>
      <c r="O49" s="179"/>
    </row>
    <row r="51" spans="1:15" hidden="1" x14ac:dyDescent="0.5"/>
    <row r="52" spans="1:15" hidden="1" x14ac:dyDescent="0.5"/>
    <row r="53" spans="1:15" hidden="1" x14ac:dyDescent="0.5"/>
    <row r="54" spans="1:15" hidden="1" x14ac:dyDescent="0.5"/>
    <row r="55" spans="1:15" hidden="1" x14ac:dyDescent="0.5"/>
    <row r="56" spans="1:15" hidden="1" x14ac:dyDescent="0.5"/>
    <row r="57" spans="1:15" hidden="1" x14ac:dyDescent="0.5"/>
    <row r="58" spans="1:15" hidden="1" x14ac:dyDescent="0.5"/>
    <row r="59" spans="1:15" hidden="1" x14ac:dyDescent="0.5"/>
    <row r="60" spans="1:15" hidden="1" x14ac:dyDescent="0.5"/>
    <row r="61" spans="1:15" hidden="1" x14ac:dyDescent="0.5"/>
    <row r="62" spans="1:15" hidden="1" x14ac:dyDescent="0.5"/>
    <row r="63" spans="1:15" hidden="1" x14ac:dyDescent="0.5">
      <c r="E63" s="51">
        <v>34.103498350621969</v>
      </c>
    </row>
    <row r="64" spans="1:15" hidden="1" x14ac:dyDescent="0.5">
      <c r="E64" s="51">
        <v>35.943319064463395</v>
      </c>
    </row>
    <row r="65" spans="5:18" x14ac:dyDescent="0.5">
      <c r="E65" s="52"/>
      <c r="O65" s="52"/>
      <c r="P65" s="52"/>
      <c r="R65" s="51"/>
    </row>
    <row r="66" spans="5:18" x14ac:dyDescent="0.5">
      <c r="O66" s="180"/>
      <c r="P66" s="180"/>
    </row>
    <row r="67" spans="5:18" x14ac:dyDescent="0.5">
      <c r="O67" s="180"/>
      <c r="P67" s="171"/>
    </row>
  </sheetData>
  <mergeCells count="9">
    <mergeCell ref="A39:C39"/>
    <mergeCell ref="A49:C49"/>
    <mergeCell ref="A1:K1"/>
    <mergeCell ref="A3:A6"/>
    <mergeCell ref="B3:B6"/>
    <mergeCell ref="C3:C6"/>
    <mergeCell ref="D3:D6"/>
    <mergeCell ref="E3:J3"/>
    <mergeCell ref="K3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0312-2F0F-4C8B-B1F2-2A60D5DA894E}">
  <dimension ref="A1:Y67"/>
  <sheetViews>
    <sheetView workbookViewId="0">
      <selection sqref="A1:K1"/>
    </sheetView>
    <sheetView workbookViewId="1">
      <selection sqref="A1:K1"/>
    </sheetView>
  </sheetViews>
  <sheetFormatPr defaultColWidth="8.88671875" defaultRowHeight="33.75" outlineLevelRow="1" x14ac:dyDescent="0.5"/>
  <cols>
    <col min="1" max="1" width="16.109375" style="50" customWidth="1"/>
    <col min="2" max="2" width="42.33203125" style="50" customWidth="1"/>
    <col min="3" max="3" width="20" style="50" hidden="1" customWidth="1"/>
    <col min="4" max="4" width="16" style="50" hidden="1" customWidth="1"/>
    <col min="5" max="5" width="30.88671875" style="51" customWidth="1"/>
    <col min="6" max="6" width="30.88671875" style="51" hidden="1" customWidth="1"/>
    <col min="7" max="7" width="30.88671875" style="51" customWidth="1"/>
    <col min="8" max="8" width="30.109375" style="51" customWidth="1"/>
    <col min="9" max="9" width="29.109375" style="51" customWidth="1"/>
    <col min="10" max="10" width="30.109375" style="51" customWidth="1"/>
    <col min="11" max="11" width="132" style="50" customWidth="1"/>
    <col min="12" max="14" width="25.6640625" style="50" hidden="1" customWidth="1"/>
    <col min="15" max="15" width="25.6640625" style="181" hidden="1" customWidth="1"/>
    <col min="16" max="17" width="25.6640625" style="50" hidden="1" customWidth="1"/>
    <col min="18" max="18" width="21.88671875" style="50" customWidth="1"/>
    <col min="19" max="19" width="20.109375" style="50" customWidth="1"/>
    <col min="20" max="20" width="14.88671875" style="50" bestFit="1" customWidth="1"/>
    <col min="21" max="24" width="8.88671875" style="50"/>
    <col min="25" max="25" width="9.44140625" style="50" bestFit="1" customWidth="1"/>
    <col min="26" max="16384" width="8.88671875" style="50"/>
  </cols>
  <sheetData>
    <row r="1" spans="1:20" ht="81.75" customHeight="1" x14ac:dyDescent="0.5">
      <c r="A1" s="346" t="s">
        <v>1714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</row>
    <row r="2" spans="1:20" hidden="1" x14ac:dyDescent="0.5"/>
    <row r="3" spans="1:20" s="163" customFormat="1" ht="105.75" customHeight="1" x14ac:dyDescent="0.25">
      <c r="A3" s="347" t="s">
        <v>1546</v>
      </c>
      <c r="B3" s="347" t="s">
        <v>1645</v>
      </c>
      <c r="C3" s="347" t="s">
        <v>1547</v>
      </c>
      <c r="D3" s="347" t="s">
        <v>1548</v>
      </c>
      <c r="E3" s="348" t="s">
        <v>1715</v>
      </c>
      <c r="F3" s="348"/>
      <c r="G3" s="348"/>
      <c r="H3" s="348"/>
      <c r="I3" s="348"/>
      <c r="J3" s="348"/>
      <c r="K3" s="349" t="s">
        <v>1608</v>
      </c>
      <c r="L3" s="372" t="s">
        <v>1716</v>
      </c>
      <c r="M3" s="373"/>
      <c r="N3" s="373"/>
      <c r="O3" s="373"/>
      <c r="P3" s="373"/>
      <c r="Q3" s="373"/>
      <c r="S3" s="54"/>
      <c r="T3" s="54"/>
    </row>
    <row r="4" spans="1:20" s="54" customFormat="1" ht="101.25" x14ac:dyDescent="0.25">
      <c r="A4" s="347"/>
      <c r="B4" s="347"/>
      <c r="C4" s="347"/>
      <c r="D4" s="347"/>
      <c r="E4" s="55" t="s">
        <v>1647</v>
      </c>
      <c r="F4" s="55" t="s">
        <v>1648</v>
      </c>
      <c r="G4" s="55" t="s">
        <v>1610</v>
      </c>
      <c r="H4" s="55" t="s">
        <v>1611</v>
      </c>
      <c r="I4" s="55" t="s">
        <v>1612</v>
      </c>
      <c r="J4" s="55" t="s">
        <v>1611</v>
      </c>
      <c r="K4" s="350"/>
      <c r="L4" s="182" t="s">
        <v>1647</v>
      </c>
      <c r="M4" s="182" t="s">
        <v>1648</v>
      </c>
      <c r="N4" s="173" t="s">
        <v>1610</v>
      </c>
      <c r="O4" s="183" t="s">
        <v>1611</v>
      </c>
      <c r="P4" s="182" t="s">
        <v>1612</v>
      </c>
      <c r="Q4" s="182" t="s">
        <v>1611</v>
      </c>
    </row>
    <row r="5" spans="1:20" s="54" customFormat="1" ht="57" customHeight="1" x14ac:dyDescent="0.25">
      <c r="A5" s="347"/>
      <c r="B5" s="347"/>
      <c r="C5" s="347"/>
      <c r="D5" s="347"/>
      <c r="E5" s="56">
        <v>1120</v>
      </c>
      <c r="F5" s="56">
        <v>1120</v>
      </c>
      <c r="G5" s="56">
        <v>1050</v>
      </c>
      <c r="H5" s="56">
        <v>2285.6291615439477</v>
      </c>
      <c r="I5" s="56">
        <v>2528.63744</v>
      </c>
      <c r="J5" s="56">
        <v>2285.6291615439477</v>
      </c>
      <c r="K5" s="350"/>
      <c r="L5" s="184">
        <v>1080</v>
      </c>
      <c r="M5" s="184">
        <v>1080</v>
      </c>
      <c r="N5" s="174">
        <v>1104.8069682677919</v>
      </c>
      <c r="O5" s="185">
        <v>2209.6139365355839</v>
      </c>
      <c r="P5" s="184">
        <v>2436.48</v>
      </c>
      <c r="Q5" s="184">
        <v>2209.6139365355839</v>
      </c>
    </row>
    <row r="6" spans="1:20" ht="108" customHeight="1" x14ac:dyDescent="0.5">
      <c r="A6" s="347"/>
      <c r="B6" s="347"/>
      <c r="C6" s="347"/>
      <c r="D6" s="347"/>
      <c r="E6" s="55" t="s">
        <v>1613</v>
      </c>
      <c r="F6" s="55" t="s">
        <v>1613</v>
      </c>
      <c r="G6" s="55" t="s">
        <v>1649</v>
      </c>
      <c r="H6" s="55" t="s">
        <v>1614</v>
      </c>
      <c r="I6" s="55" t="s">
        <v>1614</v>
      </c>
      <c r="J6" s="55" t="s">
        <v>1615</v>
      </c>
      <c r="K6" s="350"/>
      <c r="L6" s="182" t="s">
        <v>1613</v>
      </c>
      <c r="M6" s="182" t="s">
        <v>1613</v>
      </c>
      <c r="N6" s="173" t="s">
        <v>1649</v>
      </c>
      <c r="O6" s="183" t="s">
        <v>1614</v>
      </c>
      <c r="P6" s="182" t="s">
        <v>1614</v>
      </c>
      <c r="Q6" s="182" t="s">
        <v>1615</v>
      </c>
      <c r="S6" s="54"/>
      <c r="T6" s="54"/>
    </row>
    <row r="7" spans="1:20" s="54" customFormat="1" ht="409.6" customHeight="1" x14ac:dyDescent="0.25">
      <c r="A7" s="57">
        <v>1</v>
      </c>
      <c r="B7" s="58" t="s">
        <v>1549</v>
      </c>
      <c r="C7" s="58"/>
      <c r="D7" s="59"/>
      <c r="E7" s="60">
        <v>1805.3745019798373</v>
      </c>
      <c r="F7" s="60">
        <v>1.6119415196248548</v>
      </c>
      <c r="G7" s="60">
        <v>1.719404287599845</v>
      </c>
      <c r="H7" s="60">
        <v>78.988076121688209</v>
      </c>
      <c r="I7" s="60">
        <v>71.397127694978579</v>
      </c>
      <c r="J7" s="60">
        <v>84.93104533447503</v>
      </c>
      <c r="K7" s="58" t="s">
        <v>1717</v>
      </c>
      <c r="L7" s="186">
        <v>1511.3832972502159</v>
      </c>
      <c r="M7" s="186">
        <v>1.3994289789353851</v>
      </c>
      <c r="N7" s="175">
        <v>1.3680066660150489</v>
      </c>
      <c r="O7" s="187">
        <v>68.400333300752436</v>
      </c>
      <c r="P7" s="186">
        <v>62.031426371249339</v>
      </c>
      <c r="Q7" s="186">
        <v>74.921241401189107</v>
      </c>
    </row>
    <row r="8" spans="1:20" s="54" customFormat="1" ht="330" customHeight="1" x14ac:dyDescent="0.25">
      <c r="A8" s="57">
        <v>2</v>
      </c>
      <c r="B8" s="58" t="s">
        <v>1550</v>
      </c>
      <c r="C8" s="58" t="s">
        <v>1551</v>
      </c>
      <c r="D8" s="59" t="s">
        <v>1552</v>
      </c>
      <c r="E8" s="60">
        <v>128.94071220703867</v>
      </c>
      <c r="F8" s="60">
        <v>0.11512563589914167</v>
      </c>
      <c r="G8" s="60">
        <v>0.12280067829241778</v>
      </c>
      <c r="H8" s="60">
        <v>5.6413662538300358</v>
      </c>
      <c r="I8" s="60">
        <v>5.0992170790225533</v>
      </c>
      <c r="J8" s="60">
        <v>6.0658159633395563</v>
      </c>
      <c r="K8" s="58" t="s">
        <v>1718</v>
      </c>
      <c r="L8" s="186">
        <v>137.64351297247202</v>
      </c>
      <c r="M8" s="186">
        <v>0.12744769719673335</v>
      </c>
      <c r="N8" s="175">
        <v>0.12458602898593313</v>
      </c>
      <c r="O8" s="187">
        <v>6.2293014492966563</v>
      </c>
      <c r="P8" s="186">
        <v>5.6492773580112301</v>
      </c>
      <c r="Q8" s="186">
        <v>6.8231684718764072</v>
      </c>
      <c r="S8" s="65"/>
    </row>
    <row r="9" spans="1:20" s="54" customFormat="1" ht="303.75" x14ac:dyDescent="0.25">
      <c r="A9" s="57">
        <v>3</v>
      </c>
      <c r="B9" s="58" t="s">
        <v>1553</v>
      </c>
      <c r="C9" s="58" t="s">
        <v>1554</v>
      </c>
      <c r="D9" s="58" t="s">
        <v>1555</v>
      </c>
      <c r="E9" s="66">
        <v>26.321423385599996</v>
      </c>
      <c r="F9" s="60">
        <v>2.3501270879999998E-2</v>
      </c>
      <c r="G9" s="60">
        <v>2.5068022271999994E-2</v>
      </c>
      <c r="H9" s="60">
        <v>1.1516051609973252</v>
      </c>
      <c r="I9" s="60">
        <v>1.0409330720658789</v>
      </c>
      <c r="J9" s="60">
        <v>1.2382505681667542</v>
      </c>
      <c r="K9" s="58" t="s">
        <v>1618</v>
      </c>
      <c r="L9" s="188">
        <v>24.913464576860164</v>
      </c>
      <c r="M9" s="186">
        <v>2.3068022756352002E-2</v>
      </c>
      <c r="N9" s="175">
        <v>2.2550061044529401E-2</v>
      </c>
      <c r="O9" s="187">
        <v>1.12750305222647</v>
      </c>
      <c r="P9" s="186">
        <v>1.0225187392000001</v>
      </c>
      <c r="Q9" s="186">
        <v>1.2349929346836623</v>
      </c>
      <c r="S9" s="65"/>
    </row>
    <row r="10" spans="1:20" s="54" customFormat="1" ht="78.75" customHeight="1" x14ac:dyDescent="0.25">
      <c r="A10" s="67">
        <v>3.1</v>
      </c>
      <c r="B10" s="68" t="s">
        <v>1556</v>
      </c>
      <c r="C10" s="53"/>
      <c r="D10" s="53"/>
      <c r="E10" s="69">
        <v>1960.6366375724758</v>
      </c>
      <c r="F10" s="69">
        <v>1.7505684264039965</v>
      </c>
      <c r="G10" s="69">
        <v>1.8672729881642627</v>
      </c>
      <c r="H10" s="70">
        <v>85.781047536515558</v>
      </c>
      <c r="I10" s="70">
        <v>77.537277846067013</v>
      </c>
      <c r="J10" s="70">
        <v>92.235111865981324</v>
      </c>
      <c r="K10" s="53" t="s">
        <v>1719</v>
      </c>
      <c r="L10" s="189">
        <v>1673.9402747995482</v>
      </c>
      <c r="M10" s="189">
        <v>1.5499446988884704</v>
      </c>
      <c r="N10" s="176">
        <v>1.5151427560455115</v>
      </c>
      <c r="O10" s="190">
        <v>75.757137802275579</v>
      </c>
      <c r="P10" s="191">
        <v>68.703222468460581</v>
      </c>
      <c r="Q10" s="191">
        <v>82.979402807749196</v>
      </c>
      <c r="S10" s="65"/>
    </row>
    <row r="11" spans="1:20" s="54" customFormat="1" ht="236.25" x14ac:dyDescent="0.25">
      <c r="A11" s="57">
        <v>4</v>
      </c>
      <c r="B11" s="58" t="s">
        <v>1557</v>
      </c>
      <c r="C11" s="58" t="s">
        <v>1558</v>
      </c>
      <c r="D11" s="59" t="s">
        <v>1559</v>
      </c>
      <c r="E11" s="86">
        <v>104.64723120000001</v>
      </c>
      <c r="F11" s="60">
        <v>9.3435027857142861E-2</v>
      </c>
      <c r="G11" s="61">
        <v>9.9664029714285715E-2</v>
      </c>
      <c r="H11" s="60">
        <v>4.5784868762048241</v>
      </c>
      <c r="I11" s="60">
        <v>4.1384830242804602</v>
      </c>
      <c r="J11" s="60">
        <v>4.922966801307882</v>
      </c>
      <c r="K11" s="58" t="s">
        <v>1720</v>
      </c>
      <c r="L11" s="192">
        <v>109.21823999999999</v>
      </c>
      <c r="M11" s="186">
        <v>0.101128</v>
      </c>
      <c r="N11" s="175">
        <v>9.8857305517579611E-2</v>
      </c>
      <c r="O11" s="187">
        <v>4.9428652758789804</v>
      </c>
      <c r="P11" s="186">
        <v>4.4826241134751763</v>
      </c>
      <c r="Q11" s="186">
        <v>5.414090614432876</v>
      </c>
      <c r="S11" s="65"/>
    </row>
    <row r="12" spans="1:20" s="54" customFormat="1" ht="337.5" x14ac:dyDescent="0.25">
      <c r="A12" s="57">
        <v>5</v>
      </c>
      <c r="B12" s="58" t="s">
        <v>1560</v>
      </c>
      <c r="C12" s="58" t="s">
        <v>1561</v>
      </c>
      <c r="D12" s="59"/>
      <c r="E12" s="61">
        <v>184.85661656479999</v>
      </c>
      <c r="F12" s="60">
        <v>0.16505055050428571</v>
      </c>
      <c r="G12" s="60">
        <v>0.17605392053790475</v>
      </c>
      <c r="H12" s="60">
        <v>8.0877781783256975</v>
      </c>
      <c r="I12" s="60">
        <v>7.3105227993776758</v>
      </c>
      <c r="J12" s="60">
        <v>8.6962930209911846</v>
      </c>
      <c r="K12" s="72" t="s">
        <v>1721</v>
      </c>
      <c r="L12" s="186">
        <v>139.65604137470001</v>
      </c>
      <c r="M12" s="186">
        <v>0.12931114942101854</v>
      </c>
      <c r="N12" s="175">
        <v>0.12640763987365533</v>
      </c>
      <c r="O12" s="187">
        <v>6.3203819936827674</v>
      </c>
      <c r="P12" s="186">
        <v>5.7318771906479844</v>
      </c>
      <c r="Q12" s="186">
        <v>6.922932129794555</v>
      </c>
      <c r="S12" s="65"/>
    </row>
    <row r="13" spans="1:20" s="54" customFormat="1" ht="114.75" customHeight="1" outlineLevel="1" x14ac:dyDescent="0.25">
      <c r="A13" s="73">
        <v>5.0999999999999996</v>
      </c>
      <c r="B13" s="74" t="s">
        <v>1562</v>
      </c>
      <c r="C13" s="58" t="s">
        <v>1563</v>
      </c>
      <c r="D13" s="59"/>
      <c r="E13" s="60">
        <v>16.329999999999998</v>
      </c>
      <c r="F13" s="60">
        <v>1.4580357142857141E-2</v>
      </c>
      <c r="G13" s="60">
        <v>1.5552380952380951E-2</v>
      </c>
      <c r="H13" s="60">
        <v>0.71446410794693593</v>
      </c>
      <c r="I13" s="60">
        <v>0.6458023495847629</v>
      </c>
      <c r="J13" s="86">
        <v>0.76821954048372099</v>
      </c>
      <c r="K13" s="75" t="s">
        <v>1722</v>
      </c>
      <c r="L13" s="186">
        <v>14.696999999999999</v>
      </c>
      <c r="M13" s="186">
        <v>1.3608333333333333E-2</v>
      </c>
      <c r="N13" s="175">
        <v>1.3302776342045684E-2</v>
      </c>
      <c r="O13" s="187">
        <v>0.66513881710228417</v>
      </c>
      <c r="P13" s="186">
        <v>0.60320626477541361</v>
      </c>
      <c r="Q13" s="186">
        <v>0.72854945987336905</v>
      </c>
      <c r="S13" s="193"/>
    </row>
    <row r="14" spans="1:20" s="54" customFormat="1" ht="101.25" outlineLevel="1" x14ac:dyDescent="0.25">
      <c r="A14" s="73">
        <v>5.2</v>
      </c>
      <c r="B14" s="74" t="s">
        <v>1565</v>
      </c>
      <c r="C14" s="58" t="s">
        <v>1566</v>
      </c>
      <c r="D14" s="59"/>
      <c r="E14" s="60">
        <v>67.778715500000004</v>
      </c>
      <c r="F14" s="60">
        <v>6.0516710267857148E-2</v>
      </c>
      <c r="G14" s="60">
        <v>6.4551157619047617E-2</v>
      </c>
      <c r="H14" s="60">
        <v>2.9654292411204333</v>
      </c>
      <c r="I14" s="60">
        <v>2.6804441960647396</v>
      </c>
      <c r="J14" s="86">
        <v>3.1885446219220372</v>
      </c>
      <c r="K14" s="58" t="s">
        <v>1723</v>
      </c>
      <c r="L14" s="186">
        <v>57.115151900000001</v>
      </c>
      <c r="M14" s="186">
        <v>5.2884399907407405E-2</v>
      </c>
      <c r="N14" s="175">
        <v>5.1696951178312966E-2</v>
      </c>
      <c r="O14" s="187">
        <v>2.5848475589156483</v>
      </c>
      <c r="P14" s="186">
        <v>2.3441666625623849</v>
      </c>
      <c r="Q14" s="186">
        <v>2.8312725772151071</v>
      </c>
      <c r="S14" s="193"/>
    </row>
    <row r="15" spans="1:20" s="54" customFormat="1" ht="122.25" customHeight="1" outlineLevel="1" x14ac:dyDescent="0.25">
      <c r="A15" s="73">
        <v>5.3</v>
      </c>
      <c r="B15" s="74" t="s">
        <v>1567</v>
      </c>
      <c r="C15" s="58" t="s">
        <v>1566</v>
      </c>
      <c r="D15" s="59"/>
      <c r="E15" s="60">
        <v>43.930762600000001</v>
      </c>
      <c r="F15" s="60">
        <v>3.922389517857143E-2</v>
      </c>
      <c r="G15" s="60">
        <v>4.1838821523809522E-2</v>
      </c>
      <c r="H15" s="60">
        <v>1.9220424441174293</v>
      </c>
      <c r="I15" s="60">
        <v>1.7373294369951273</v>
      </c>
      <c r="J15" s="86">
        <v>2.0666546391715515</v>
      </c>
      <c r="K15" s="76" t="s">
        <v>1724</v>
      </c>
      <c r="L15" s="186">
        <v>18.882638100000001</v>
      </c>
      <c r="M15" s="186">
        <v>1.7483924166666668E-2</v>
      </c>
      <c r="N15" s="175">
        <v>1.7091345947614512E-2</v>
      </c>
      <c r="O15" s="187">
        <v>0.85456729738072568</v>
      </c>
      <c r="P15" s="186">
        <v>0.77499663859338064</v>
      </c>
      <c r="Q15" s="186">
        <v>0.93603699998226175</v>
      </c>
      <c r="S15" s="193"/>
    </row>
    <row r="16" spans="1:20" s="54" customFormat="1" ht="81" customHeight="1" outlineLevel="1" x14ac:dyDescent="0.25">
      <c r="A16" s="73">
        <v>5.4</v>
      </c>
      <c r="B16" s="77" t="s">
        <v>1568</v>
      </c>
      <c r="C16" s="58" t="s">
        <v>1566</v>
      </c>
      <c r="D16" s="59"/>
      <c r="E16" s="60">
        <v>4.0846771000000004</v>
      </c>
      <c r="F16" s="60">
        <v>3.6470331250000004E-3</v>
      </c>
      <c r="G16" s="60">
        <v>3.890168666666667E-3</v>
      </c>
      <c r="H16" s="60">
        <v>0.1787112786590801</v>
      </c>
      <c r="I16" s="60">
        <v>0.16153668514850433</v>
      </c>
      <c r="J16" s="86">
        <v>0.19215730341618972</v>
      </c>
      <c r="K16" s="58" t="s">
        <v>1680</v>
      </c>
      <c r="L16" s="186">
        <v>2.492267</v>
      </c>
      <c r="M16" s="186">
        <v>2.3076546296296298E-3</v>
      </c>
      <c r="N16" s="175">
        <v>2.2558393199742241E-3</v>
      </c>
      <c r="O16" s="187">
        <v>0.1127919659987112</v>
      </c>
      <c r="P16" s="186">
        <v>0.10228965556868926</v>
      </c>
      <c r="Q16" s="186">
        <v>0.12354492595156982</v>
      </c>
      <c r="S16" s="193"/>
    </row>
    <row r="17" spans="1:19" ht="236.25" outlineLevel="1" x14ac:dyDescent="0.5">
      <c r="A17" s="73">
        <v>5.5</v>
      </c>
      <c r="B17" s="78" t="s">
        <v>1604</v>
      </c>
      <c r="C17" s="79" t="s">
        <v>1569</v>
      </c>
      <c r="D17" s="59"/>
      <c r="E17" s="60">
        <v>52.732461364800002</v>
      </c>
      <c r="F17" s="60">
        <v>4.7082554790000002E-2</v>
      </c>
      <c r="G17" s="60">
        <v>5.0221391776000004E-2</v>
      </c>
      <c r="H17" s="60">
        <v>2.307131106481819</v>
      </c>
      <c r="I17" s="60">
        <v>2.0854101315845424</v>
      </c>
      <c r="J17" s="86">
        <v>2.4807169159976872</v>
      </c>
      <c r="K17" s="80" t="s">
        <v>1725</v>
      </c>
      <c r="L17" s="186">
        <v>46.468984374700007</v>
      </c>
      <c r="M17" s="186">
        <v>4.3026837383981491E-2</v>
      </c>
      <c r="N17" s="175">
        <v>4.2060727085707954E-2</v>
      </c>
      <c r="O17" s="187">
        <v>2.1030363542853978</v>
      </c>
      <c r="P17" s="186">
        <v>1.9072179691481155</v>
      </c>
      <c r="Q17" s="186">
        <v>2.3035281667722471</v>
      </c>
      <c r="S17" s="193"/>
    </row>
    <row r="18" spans="1:19" s="54" customFormat="1" ht="236.25" x14ac:dyDescent="0.25">
      <c r="A18" s="57">
        <v>6</v>
      </c>
      <c r="B18" s="81" t="s">
        <v>1570</v>
      </c>
      <c r="C18" s="58" t="s">
        <v>1571</v>
      </c>
      <c r="D18" s="59"/>
      <c r="E18" s="61">
        <v>21.094234047999997</v>
      </c>
      <c r="F18" s="60">
        <v>1.8834137542857139E-2</v>
      </c>
      <c r="G18" s="60">
        <v>2.0089746712380948E-2</v>
      </c>
      <c r="H18" s="60">
        <v>0.92290711034465434</v>
      </c>
      <c r="I18" s="60">
        <v>0.83421346668030028</v>
      </c>
      <c r="J18" s="86">
        <v>0.99234554728785185</v>
      </c>
      <c r="K18" s="58" t="s">
        <v>1660</v>
      </c>
      <c r="L18" s="186">
        <v>19.781148768506881</v>
      </c>
      <c r="M18" s="186">
        <v>1.8315878489358225E-2</v>
      </c>
      <c r="N18" s="175">
        <v>1.7904619844606347E-2</v>
      </c>
      <c r="O18" s="187">
        <v>0.89523099223031732</v>
      </c>
      <c r="P18" s="186">
        <v>0.81187404651410566</v>
      </c>
      <c r="Q18" s="186">
        <v>0.98057734578284328</v>
      </c>
      <c r="S18" s="65"/>
    </row>
    <row r="19" spans="1:19" s="54" customFormat="1" ht="67.5" x14ac:dyDescent="0.25">
      <c r="A19" s="57">
        <v>7</v>
      </c>
      <c r="B19" s="81" t="s">
        <v>1572</v>
      </c>
      <c r="C19" s="58"/>
      <c r="D19" s="59"/>
      <c r="E19" s="60">
        <v>84.767600498749999</v>
      </c>
      <c r="F19" s="60">
        <v>7.5685357588169647E-2</v>
      </c>
      <c r="G19" s="60">
        <v>8.0731048094047617E-2</v>
      </c>
      <c r="H19" s="60">
        <v>3.7087206413436418</v>
      </c>
      <c r="I19" s="60">
        <v>3.3523034642226133</v>
      </c>
      <c r="J19" s="86">
        <v>3.9877603859802426</v>
      </c>
      <c r="K19" s="58" t="s">
        <v>1726</v>
      </c>
      <c r="L19" s="186">
        <v>66.959400420000009</v>
      </c>
      <c r="M19" s="186">
        <v>6.1999444833333341E-2</v>
      </c>
      <c r="N19" s="175">
        <v>6.0607329916631966E-2</v>
      </c>
      <c r="O19" s="187">
        <v>3.0303664958315983</v>
      </c>
      <c r="P19" s="186">
        <v>2.7482023419030739</v>
      </c>
      <c r="Q19" s="186">
        <v>3.3192648165908447</v>
      </c>
      <c r="S19" s="65"/>
    </row>
    <row r="20" spans="1:19" s="54" customFormat="1" outlineLevel="1" x14ac:dyDescent="0.25">
      <c r="A20" s="57">
        <v>7.1</v>
      </c>
      <c r="B20" s="83" t="s">
        <v>200</v>
      </c>
      <c r="C20" s="58"/>
      <c r="D20" s="59"/>
      <c r="E20" s="60">
        <v>27.190086399999998</v>
      </c>
      <c r="F20" s="60"/>
      <c r="G20" s="60"/>
      <c r="H20" s="60">
        <v>1.1896105832685926</v>
      </c>
      <c r="I20" s="60">
        <v>1.0752860797631787</v>
      </c>
      <c r="J20" s="60">
        <v>1.2791154733570527</v>
      </c>
      <c r="K20" s="59"/>
      <c r="L20" s="186">
        <v>26.218920000000001</v>
      </c>
      <c r="M20" s="186"/>
      <c r="N20" s="175"/>
      <c r="O20" s="187">
        <v>1.1865837541334574</v>
      </c>
      <c r="P20" s="186">
        <v>1.0760983057525613</v>
      </c>
      <c r="Q20" s="186">
        <v>1.2997060627653994</v>
      </c>
      <c r="S20" s="65"/>
    </row>
    <row r="21" spans="1:19" s="54" customFormat="1" outlineLevel="1" x14ac:dyDescent="0.25">
      <c r="A21" s="57">
        <v>7.2</v>
      </c>
      <c r="B21" s="83" t="s">
        <v>83</v>
      </c>
      <c r="C21" s="58"/>
      <c r="D21" s="59"/>
      <c r="E21" s="60">
        <v>9.0350447599999999</v>
      </c>
      <c r="F21" s="60"/>
      <c r="G21" s="60"/>
      <c r="H21" s="60">
        <v>0.39529792986613832</v>
      </c>
      <c r="I21" s="60">
        <v>0.35730882636935091</v>
      </c>
      <c r="J21" s="60">
        <v>0.42503967751237298</v>
      </c>
      <c r="K21" s="59"/>
      <c r="L21" s="186">
        <v>8.71236459</v>
      </c>
      <c r="M21" s="186"/>
      <c r="N21" s="175"/>
      <c r="O21" s="187">
        <v>0.39429352096049719</v>
      </c>
      <c r="P21" s="186">
        <v>0.35757997562056737</v>
      </c>
      <c r="Q21" s="186">
        <v>0.43188327660504633</v>
      </c>
      <c r="S21" s="65"/>
    </row>
    <row r="22" spans="1:19" s="54" customFormat="1" outlineLevel="1" x14ac:dyDescent="0.25">
      <c r="A22" s="57">
        <v>7.3</v>
      </c>
      <c r="B22" s="83" t="s">
        <v>1573</v>
      </c>
      <c r="C22" s="58"/>
      <c r="D22" s="59"/>
      <c r="E22" s="60">
        <v>1.0273228000000001</v>
      </c>
      <c r="F22" s="60"/>
      <c r="G22" s="60"/>
      <c r="H22" s="60">
        <v>4.4947046410015228E-2</v>
      </c>
      <c r="I22" s="60">
        <v>4.0627524679852881E-2</v>
      </c>
      <c r="J22" s="60">
        <v>4.8328808900456197E-2</v>
      </c>
      <c r="K22" s="59"/>
      <c r="L22" s="186">
        <v>0.99063270000000003</v>
      </c>
      <c r="M22" s="186"/>
      <c r="N22" s="175"/>
      <c r="O22" s="187">
        <v>4.4832840869622512E-2</v>
      </c>
      <c r="P22" s="186">
        <v>4.0658355496453899E-2</v>
      </c>
      <c r="Q22" s="186">
        <v>4.9106955060073301E-2</v>
      </c>
      <c r="S22" s="65"/>
    </row>
    <row r="23" spans="1:19" s="54" customFormat="1" outlineLevel="1" x14ac:dyDescent="0.25">
      <c r="A23" s="57">
        <v>7.4</v>
      </c>
      <c r="B23" s="83" t="s">
        <v>1574</v>
      </c>
      <c r="C23" s="58"/>
      <c r="D23" s="59"/>
      <c r="E23" s="60">
        <v>1.3588249999999999</v>
      </c>
      <c r="F23" s="60"/>
      <c r="G23" s="60"/>
      <c r="H23" s="60">
        <v>5.945080780655207E-2</v>
      </c>
      <c r="I23" s="60">
        <v>5.3737438926792128E-2</v>
      </c>
      <c r="J23" s="60">
        <v>6.3923816111316104E-2</v>
      </c>
      <c r="K23" s="59"/>
      <c r="L23" s="186">
        <v>1.2229425</v>
      </c>
      <c r="M23" s="186"/>
      <c r="N23" s="175"/>
      <c r="O23" s="187">
        <v>5.5346433138335052E-2</v>
      </c>
      <c r="P23" s="186">
        <v>5.0193003841607568E-2</v>
      </c>
      <c r="Q23" s="186">
        <v>6.06228548568543E-2</v>
      </c>
      <c r="S23" s="65"/>
    </row>
    <row r="24" spans="1:19" s="54" customFormat="1" outlineLevel="1" x14ac:dyDescent="0.25">
      <c r="A24" s="57">
        <v>7.5</v>
      </c>
      <c r="B24" s="83" t="s">
        <v>1575</v>
      </c>
      <c r="C24" s="58"/>
      <c r="D24" s="59"/>
      <c r="E24" s="60">
        <v>0.22430072000000001</v>
      </c>
      <c r="F24" s="60"/>
      <c r="G24" s="60"/>
      <c r="H24" s="60">
        <v>9.8135219734632878E-3</v>
      </c>
      <c r="I24" s="60">
        <v>8.8704183704564638E-3</v>
      </c>
      <c r="J24" s="60">
        <v>1.0551879733531401E-2</v>
      </c>
      <c r="K24" s="59"/>
      <c r="L24" s="186">
        <v>0.21628997999999999</v>
      </c>
      <c r="M24" s="186"/>
      <c r="N24" s="175"/>
      <c r="O24" s="187">
        <v>9.7885868849613335E-3</v>
      </c>
      <c r="P24" s="186">
        <v>8.8771498226950345E-3</v>
      </c>
      <c r="Q24" s="186">
        <v>1.072177642410164E-2</v>
      </c>
      <c r="S24" s="65"/>
    </row>
    <row r="25" spans="1:19" s="54" customFormat="1" outlineLevel="1" x14ac:dyDescent="0.25">
      <c r="A25" s="57">
        <v>7.6</v>
      </c>
      <c r="B25" s="83" t="s">
        <v>1576</v>
      </c>
      <c r="C25" s="58"/>
      <c r="D25" s="59"/>
      <c r="E25" s="60">
        <v>0.33143250000000002</v>
      </c>
      <c r="F25" s="60"/>
      <c r="G25" s="60"/>
      <c r="H25" s="60">
        <v>1.4500711907968334E-2</v>
      </c>
      <c r="I25" s="60">
        <v>1.310715782172394E-2</v>
      </c>
      <c r="J25" s="60">
        <v>1.5591728282386459E-2</v>
      </c>
      <c r="K25" s="59"/>
      <c r="L25" s="186">
        <v>0.60668999999999995</v>
      </c>
      <c r="M25" s="186"/>
      <c r="N25" s="175"/>
      <c r="O25" s="187">
        <v>2.7456832615349036E-2</v>
      </c>
      <c r="P25" s="186">
        <v>2.4900265957446807E-2</v>
      </c>
      <c r="Q25" s="186">
        <v>3.0074414629555297E-2</v>
      </c>
      <c r="S25" s="65"/>
    </row>
    <row r="26" spans="1:19" s="54" customFormat="1" ht="67.5" outlineLevel="1" x14ac:dyDescent="0.25">
      <c r="A26" s="57">
        <v>7.7</v>
      </c>
      <c r="B26" s="83" t="s">
        <v>1053</v>
      </c>
      <c r="C26" s="58"/>
      <c r="D26" s="59"/>
      <c r="E26" s="60">
        <v>30.457742400000001</v>
      </c>
      <c r="F26" s="60"/>
      <c r="G26" s="60"/>
      <c r="H26" s="60">
        <v>1.3325758575562505</v>
      </c>
      <c r="I26" s="60">
        <v>1.2045120394958639</v>
      </c>
      <c r="J26" s="60">
        <v>1.4328372854071978</v>
      </c>
      <c r="K26" s="59"/>
      <c r="L26" s="186">
        <v>21.105624599999999</v>
      </c>
      <c r="M26" s="186"/>
      <c r="N26" s="175"/>
      <c r="O26" s="187">
        <v>0.95517249647199232</v>
      </c>
      <c r="P26" s="186">
        <v>0.8662342641843972</v>
      </c>
      <c r="Q26" s="186">
        <v>1.0462333403157169</v>
      </c>
      <c r="S26" s="65"/>
    </row>
    <row r="27" spans="1:19" s="54" customFormat="1" outlineLevel="1" x14ac:dyDescent="0.25">
      <c r="A27" s="57">
        <v>7.8</v>
      </c>
      <c r="B27" s="83" t="s">
        <v>1059</v>
      </c>
      <c r="C27" s="58"/>
      <c r="D27" s="59"/>
      <c r="E27" s="60">
        <v>1.9569319999999999</v>
      </c>
      <c r="F27" s="60"/>
      <c r="G27" s="60"/>
      <c r="H27" s="60">
        <v>8.5618963606418463E-2</v>
      </c>
      <c r="I27" s="60">
        <v>7.7390770580380241E-2</v>
      </c>
      <c r="J27" s="60">
        <v>9.2060832933122408E-2</v>
      </c>
      <c r="K27" s="59"/>
      <c r="L27" s="186">
        <v>1.7240975999999999</v>
      </c>
      <c r="M27" s="186"/>
      <c r="N27" s="175"/>
      <c r="O27" s="187">
        <v>7.8027096566162274E-2</v>
      </c>
      <c r="P27" s="186">
        <v>7.0761820330969255E-2</v>
      </c>
      <c r="Q27" s="186">
        <v>8.5465766840101487E-2</v>
      </c>
      <c r="S27" s="65"/>
    </row>
    <row r="28" spans="1:19" s="54" customFormat="1" outlineLevel="1" x14ac:dyDescent="0.25">
      <c r="A28" s="57">
        <v>7.9</v>
      </c>
      <c r="B28" s="83" t="s">
        <v>1365</v>
      </c>
      <c r="C28" s="58"/>
      <c r="D28" s="59"/>
      <c r="E28" s="60">
        <v>2.1302465000000002</v>
      </c>
      <c r="F28" s="60"/>
      <c r="G28" s="60"/>
      <c r="H28" s="60">
        <v>9.3201755378419029E-2</v>
      </c>
      <c r="I28" s="60">
        <v>8.4244837409351972E-2</v>
      </c>
      <c r="J28" s="60">
        <v>0.10021414496920115</v>
      </c>
      <c r="K28" s="59"/>
      <c r="L28" s="186">
        <v>1.6898098500000001</v>
      </c>
      <c r="M28" s="186"/>
      <c r="N28" s="175"/>
      <c r="O28" s="187">
        <v>7.6475343590990563E-2</v>
      </c>
      <c r="P28" s="186">
        <v>6.935455452127659E-2</v>
      </c>
      <c r="Q28" s="186">
        <v>8.3766078349744755E-2</v>
      </c>
      <c r="S28" s="65"/>
    </row>
    <row r="29" spans="1:19" s="54" customFormat="1" outlineLevel="1" x14ac:dyDescent="0.25">
      <c r="A29" s="84" t="s">
        <v>1577</v>
      </c>
      <c r="B29" s="83" t="s">
        <v>1578</v>
      </c>
      <c r="C29" s="58"/>
      <c r="D29" s="59"/>
      <c r="E29" s="60">
        <v>0.64218699999999995</v>
      </c>
      <c r="F29" s="60"/>
      <c r="G29" s="60"/>
      <c r="H29" s="60">
        <v>2.8096727623399816E-2</v>
      </c>
      <c r="I29" s="60">
        <v>2.5396562980575025E-2</v>
      </c>
      <c r="J29" s="60">
        <v>3.0210692103161008E-2</v>
      </c>
      <c r="K29" s="59"/>
      <c r="L29" s="186">
        <v>0.26825175000000001</v>
      </c>
      <c r="M29" s="186"/>
      <c r="N29" s="175"/>
      <c r="O29" s="187">
        <v>1.2140209000518315E-2</v>
      </c>
      <c r="P29" s="186">
        <v>1.1009807180851065E-2</v>
      </c>
      <c r="Q29" s="186">
        <v>1.3297589138775672E-2</v>
      </c>
      <c r="S29" s="65"/>
    </row>
    <row r="30" spans="1:19" s="54" customFormat="1" outlineLevel="1" x14ac:dyDescent="0.25">
      <c r="A30" s="57">
        <v>7.11</v>
      </c>
      <c r="B30" s="83" t="s">
        <v>1579</v>
      </c>
      <c r="C30" s="58"/>
      <c r="D30" s="59"/>
      <c r="E30" s="85">
        <v>0.32721</v>
      </c>
      <c r="F30" s="85"/>
      <c r="G30" s="85"/>
      <c r="H30" s="60">
        <v>1.431597065286693E-2</v>
      </c>
      <c r="I30" s="60">
        <v>1.2940170655703019E-2</v>
      </c>
      <c r="J30" s="60">
        <v>1.5393087314248519E-2</v>
      </c>
      <c r="K30" s="59"/>
      <c r="L30" s="187">
        <v>0.490815</v>
      </c>
      <c r="M30" s="187"/>
      <c r="N30" s="177"/>
      <c r="O30" s="187">
        <v>2.2212703852218657E-2</v>
      </c>
      <c r="P30" s="186">
        <v>2.0144429669030732E-2</v>
      </c>
      <c r="Q30" s="186">
        <v>2.4330339739249342E-2</v>
      </c>
      <c r="S30" s="65"/>
    </row>
    <row r="31" spans="1:19" s="54" customFormat="1" outlineLevel="1" x14ac:dyDescent="0.25">
      <c r="A31" s="57">
        <v>7.12</v>
      </c>
      <c r="B31" s="83" t="s">
        <v>1070</v>
      </c>
      <c r="C31" s="58"/>
      <c r="D31" s="59"/>
      <c r="E31" s="60">
        <v>0.24140249999999999</v>
      </c>
      <c r="F31" s="60"/>
      <c r="G31" s="60"/>
      <c r="H31" s="60">
        <v>1.0561752713941226E-2</v>
      </c>
      <c r="I31" s="60">
        <v>9.5467422961197628E-3</v>
      </c>
      <c r="J31" s="60">
        <v>1.1356406467949874E-2</v>
      </c>
      <c r="K31" s="59"/>
      <c r="L31" s="186">
        <v>0.24140249999999999</v>
      </c>
      <c r="M31" s="186"/>
      <c r="N31" s="175"/>
      <c r="O31" s="187">
        <v>1.0925098543616667E-2</v>
      </c>
      <c r="P31" s="186">
        <v>9.9078383569739942E-3</v>
      </c>
      <c r="Q31" s="186">
        <v>1.1966636795746135E-2</v>
      </c>
      <c r="S31" s="65"/>
    </row>
    <row r="32" spans="1:19" s="54" customFormat="1" outlineLevel="1" x14ac:dyDescent="0.25">
      <c r="A32" s="57">
        <v>7.13</v>
      </c>
      <c r="B32" s="83" t="s">
        <v>1580</v>
      </c>
      <c r="C32" s="58"/>
      <c r="D32" s="59"/>
      <c r="E32" s="60">
        <v>5.0304869999999999</v>
      </c>
      <c r="F32" s="60"/>
      <c r="G32" s="60"/>
      <c r="H32" s="60">
        <v>0.22009200287775005</v>
      </c>
      <c r="I32" s="60">
        <v>0.19894061997278661</v>
      </c>
      <c r="J32" s="60">
        <v>0.23665146427123895</v>
      </c>
      <c r="K32" s="59"/>
      <c r="L32" s="186">
        <v>2.4254133750000002</v>
      </c>
      <c r="M32" s="186"/>
      <c r="N32" s="175"/>
      <c r="O32" s="187">
        <v>0.10976638655722658</v>
      </c>
      <c r="P32" s="186">
        <v>9.9545794547872352E-2</v>
      </c>
      <c r="Q32" s="186">
        <v>0.12023090456051543</v>
      </c>
      <c r="S32" s="65"/>
    </row>
    <row r="33" spans="1:25" s="54" customFormat="1" ht="67.5" outlineLevel="1" x14ac:dyDescent="0.25">
      <c r="A33" s="57">
        <v>7.14</v>
      </c>
      <c r="B33" s="83" t="s">
        <v>1727</v>
      </c>
      <c r="C33" s="58"/>
      <c r="D33" s="59"/>
      <c r="E33" s="60">
        <v>4</v>
      </c>
      <c r="F33" s="60"/>
      <c r="G33" s="60"/>
      <c r="H33" s="60"/>
      <c r="I33" s="60"/>
      <c r="J33" s="60"/>
      <c r="K33" s="59"/>
      <c r="L33" s="186"/>
      <c r="M33" s="186"/>
      <c r="N33" s="175"/>
      <c r="O33" s="187"/>
      <c r="P33" s="186"/>
      <c r="Q33" s="186"/>
      <c r="S33" s="65"/>
    </row>
    <row r="34" spans="1:25" s="54" customFormat="1" outlineLevel="1" x14ac:dyDescent="0.25">
      <c r="A34" s="57">
        <v>7.15</v>
      </c>
      <c r="B34" s="83" t="s">
        <v>1581</v>
      </c>
      <c r="C34" s="58"/>
      <c r="D34" s="59"/>
      <c r="E34" s="60">
        <v>0.81438091874999996</v>
      </c>
      <c r="F34" s="60"/>
      <c r="G34" s="60"/>
      <c r="H34" s="60">
        <v>3.5630492139848438E-2</v>
      </c>
      <c r="I34" s="60">
        <v>3.2206314193860865E-2</v>
      </c>
      <c r="J34" s="60">
        <v>3.8311288131098319E-2</v>
      </c>
      <c r="K34" s="59"/>
      <c r="L34" s="186">
        <v>1.046145975</v>
      </c>
      <c r="M34" s="186"/>
      <c r="N34" s="175"/>
      <c r="O34" s="187">
        <v>4.7345192646650054E-2</v>
      </c>
      <c r="P34" s="186">
        <v>4.2936776620370369E-2</v>
      </c>
      <c r="Q34" s="186">
        <v>5.1858820509964557E-2</v>
      </c>
      <c r="S34" s="65"/>
    </row>
    <row r="35" spans="1:25" s="54" customFormat="1" ht="202.5" x14ac:dyDescent="0.25">
      <c r="A35" s="57">
        <v>8</v>
      </c>
      <c r="B35" s="58" t="s">
        <v>1582</v>
      </c>
      <c r="C35" s="58" t="s">
        <v>1583</v>
      </c>
      <c r="D35" s="59"/>
      <c r="E35" s="194">
        <v>12.261050706199873</v>
      </c>
      <c r="F35" s="60">
        <v>1.0947366701964173E-2</v>
      </c>
      <c r="G35" s="61">
        <v>1.1677191148761784E-2</v>
      </c>
      <c r="H35" s="60">
        <v>0.53644094643583851</v>
      </c>
      <c r="I35" s="60">
        <v>0.48488765183354532</v>
      </c>
      <c r="J35" s="60">
        <v>0.57680212733401526</v>
      </c>
      <c r="K35" s="58" t="s">
        <v>1728</v>
      </c>
      <c r="L35" s="192">
        <v>13.430602330679271</v>
      </c>
      <c r="M35" s="186">
        <v>1.2435742898777103E-2</v>
      </c>
      <c r="N35" s="175">
        <v>1.2156514863168254E-2</v>
      </c>
      <c r="O35" s="187">
        <v>0.60782574315841276</v>
      </c>
      <c r="P35" s="186">
        <v>0.55122973842097089</v>
      </c>
      <c r="Q35" s="186">
        <v>0.66577247559300501</v>
      </c>
      <c r="S35" s="65"/>
      <c r="T35" s="63"/>
      <c r="Y35" s="63"/>
    </row>
    <row r="36" spans="1:25" s="54" customFormat="1" ht="101.25" x14ac:dyDescent="0.25">
      <c r="A36" s="57">
        <v>9</v>
      </c>
      <c r="B36" s="58" t="s">
        <v>1584</v>
      </c>
      <c r="C36" s="58"/>
      <c r="D36" s="59"/>
      <c r="E36" s="60">
        <v>2.72</v>
      </c>
      <c r="F36" s="60">
        <v>2.4285714285714288E-3</v>
      </c>
      <c r="G36" s="61">
        <v>2.5904761904761908E-3</v>
      </c>
      <c r="H36" s="60">
        <v>0.11900443194217183</v>
      </c>
      <c r="I36" s="60">
        <v>0.1075678132804994</v>
      </c>
      <c r="J36" s="60">
        <v>0.1279581843304177</v>
      </c>
      <c r="K36" s="58" t="s">
        <v>1685</v>
      </c>
      <c r="L36" s="186">
        <v>2.72</v>
      </c>
      <c r="M36" s="186">
        <v>2.5185185185185189E-3</v>
      </c>
      <c r="N36" s="175">
        <v>2.4619685412236689E-3</v>
      </c>
      <c r="O36" s="187">
        <v>0.12309842706118344</v>
      </c>
      <c r="P36" s="186">
        <v>0.11163645915418965</v>
      </c>
      <c r="Q36" s="186">
        <v>0.13483394780265115</v>
      </c>
      <c r="S36" s="65"/>
    </row>
    <row r="37" spans="1:25" s="54" customFormat="1" ht="409.6" customHeight="1" x14ac:dyDescent="0.25">
      <c r="A37" s="57">
        <v>10</v>
      </c>
      <c r="B37" s="58" t="s">
        <v>795</v>
      </c>
      <c r="C37" s="58" t="s">
        <v>1585</v>
      </c>
      <c r="D37" s="59" t="s">
        <v>1586</v>
      </c>
      <c r="E37" s="60">
        <v>215.41657051333331</v>
      </c>
      <c r="F37" s="60">
        <v>0.19233622367261902</v>
      </c>
      <c r="G37" s="60">
        <v>0.20515863858412697</v>
      </c>
      <c r="H37" s="60">
        <v>9.4248259576728071</v>
      </c>
      <c r="I37" s="60">
        <v>8.5190769979793277</v>
      </c>
      <c r="J37" s="60">
        <v>10.133938690283649</v>
      </c>
      <c r="K37" s="195" t="s">
        <v>1729</v>
      </c>
      <c r="L37" s="186">
        <v>202.19815363466665</v>
      </c>
      <c r="M37" s="186">
        <v>0.18722051262469133</v>
      </c>
      <c r="N37" s="175">
        <v>0.18301672549340425</v>
      </c>
      <c r="O37" s="187">
        <v>9.1508362746702137</v>
      </c>
      <c r="P37" s="186">
        <v>8.2987815879739077</v>
      </c>
      <c r="Q37" s="186">
        <v>10.023226210650398</v>
      </c>
      <c r="S37" s="65"/>
    </row>
    <row r="38" spans="1:25" s="54" customFormat="1" ht="66" customHeight="1" x14ac:dyDescent="0.25">
      <c r="A38" s="57">
        <v>11</v>
      </c>
      <c r="B38" s="58" t="s">
        <v>1587</v>
      </c>
      <c r="C38" s="58"/>
      <c r="D38" s="59"/>
      <c r="E38" s="60">
        <v>465.55198939864056</v>
      </c>
      <c r="F38" s="60">
        <v>0.41567141910592909</v>
      </c>
      <c r="G38" s="60">
        <v>0.4433828470463243</v>
      </c>
      <c r="H38" s="60">
        <v>20.368658102181332</v>
      </c>
      <c r="I38" s="60">
        <v>18.411179951469858</v>
      </c>
      <c r="J38" s="60">
        <v>21.901171792229384</v>
      </c>
      <c r="K38" s="59" t="s">
        <v>1588</v>
      </c>
      <c r="L38" s="186">
        <v>401.02269503905814</v>
      </c>
      <c r="M38" s="186">
        <v>0.37131731022135012</v>
      </c>
      <c r="N38" s="175">
        <v>0.36297987481724059</v>
      </c>
      <c r="O38" s="187">
        <v>18.148993740862032</v>
      </c>
      <c r="P38" s="186">
        <v>16.459100630378995</v>
      </c>
      <c r="Q38" s="186">
        <v>19.879218062711345</v>
      </c>
      <c r="S38" s="65"/>
    </row>
    <row r="39" spans="1:25" s="90" customFormat="1" ht="108.75" customHeight="1" x14ac:dyDescent="0.25">
      <c r="A39" s="345" t="s">
        <v>1589</v>
      </c>
      <c r="B39" s="345"/>
      <c r="C39" s="345"/>
      <c r="D39" s="88"/>
      <c r="E39" s="70">
        <v>3051.9519305021995</v>
      </c>
      <c r="F39" s="70">
        <v>2.7249570808055354</v>
      </c>
      <c r="G39" s="70">
        <v>2.9066208861925706</v>
      </c>
      <c r="H39" s="70">
        <v>133.52786978096651</v>
      </c>
      <c r="I39" s="70">
        <v>120.6955130151913</v>
      </c>
      <c r="J39" s="70">
        <v>143.57434841572595</v>
      </c>
      <c r="K39" s="88" t="s">
        <v>1730</v>
      </c>
      <c r="L39" s="191">
        <v>2628.9265563671588</v>
      </c>
      <c r="M39" s="191">
        <v>2.4341912558955179</v>
      </c>
      <c r="N39" s="178">
        <v>2.3795347349130216</v>
      </c>
      <c r="O39" s="190">
        <v>118.9767367456511</v>
      </c>
      <c r="P39" s="191">
        <v>107.89854857692897</v>
      </c>
      <c r="Q39" s="191">
        <v>130.31931841110773</v>
      </c>
      <c r="S39" s="63"/>
    </row>
    <row r="40" spans="1:25" s="54" customFormat="1" ht="270" x14ac:dyDescent="0.25">
      <c r="A40" s="57">
        <v>12</v>
      </c>
      <c r="B40" s="58" t="s">
        <v>1590</v>
      </c>
      <c r="C40" s="58"/>
      <c r="D40" s="58" t="s">
        <v>1591</v>
      </c>
      <c r="E40" s="66">
        <v>51.363631324757215</v>
      </c>
      <c r="F40" s="60">
        <v>4.5860385111390373E-2</v>
      </c>
      <c r="G40" s="61">
        <v>4.8917744118816393E-2</v>
      </c>
      <c r="H40" s="60">
        <v>2.2472425618712779</v>
      </c>
      <c r="I40" s="60">
        <v>2.0312770234374611</v>
      </c>
      <c r="J40" s="60">
        <v>2.4163224282841549</v>
      </c>
      <c r="K40" s="58" t="s">
        <v>1731</v>
      </c>
      <c r="L40" s="188">
        <v>48.977409783977464</v>
      </c>
      <c r="M40" s="186">
        <v>4.5349453503682836E-2</v>
      </c>
      <c r="N40" s="175">
        <v>4.4331191955431191E-2</v>
      </c>
      <c r="O40" s="187">
        <v>2.2165595977715595</v>
      </c>
      <c r="P40" s="186">
        <v>2.0101708113334591</v>
      </c>
      <c r="Q40" s="186">
        <v>2.4278740861477472</v>
      </c>
      <c r="S40" s="65"/>
    </row>
    <row r="41" spans="1:25" s="54" customFormat="1" x14ac:dyDescent="0.25">
      <c r="A41" s="92">
        <v>12.1</v>
      </c>
      <c r="B41" s="77" t="s">
        <v>1590</v>
      </c>
      <c r="C41" s="58"/>
      <c r="D41" s="58"/>
      <c r="E41" s="66">
        <v>10.075516899999997</v>
      </c>
      <c r="F41" s="66"/>
      <c r="G41" s="60">
        <v>9.5957303809523775E-3</v>
      </c>
      <c r="H41" s="60">
        <v>0.44082028132656315</v>
      </c>
      <c r="I41" s="60">
        <v>0.39845636786901317</v>
      </c>
      <c r="J41" s="60">
        <v>0.47398707673324936</v>
      </c>
      <c r="K41" s="58"/>
      <c r="L41" s="188">
        <v>9.7749329000000031</v>
      </c>
      <c r="M41" s="186">
        <v>9.050863796296299E-3</v>
      </c>
      <c r="N41" s="175">
        <v>8.8476387104309759E-3</v>
      </c>
      <c r="O41" s="187">
        <v>0.44238193552154881</v>
      </c>
      <c r="P41" s="186">
        <v>0.40119077111242463</v>
      </c>
      <c r="Q41" s="186">
        <v>0.48455617368125647</v>
      </c>
      <c r="S41" s="65"/>
    </row>
    <row r="42" spans="1:25" s="54" customFormat="1" x14ac:dyDescent="0.25">
      <c r="A42" s="92">
        <v>12.2</v>
      </c>
      <c r="B42" s="93" t="s">
        <v>1592</v>
      </c>
      <c r="C42" s="58"/>
      <c r="D42" s="58"/>
      <c r="E42" s="66">
        <v>35.392000000000003</v>
      </c>
      <c r="F42" s="66"/>
      <c r="G42" s="60">
        <v>3.3706666666666669E-2</v>
      </c>
      <c r="H42" s="60">
        <v>1.54845766738873</v>
      </c>
      <c r="I42" s="60">
        <v>1.3996470763321451</v>
      </c>
      <c r="J42" s="60">
        <v>1.6649617866993174</v>
      </c>
      <c r="K42" s="58"/>
      <c r="L42" s="188">
        <v>34.128</v>
      </c>
      <c r="M42" s="186">
        <v>3.1600000000000003E-2</v>
      </c>
      <c r="N42" s="175">
        <v>3.0890464108412268E-2</v>
      </c>
      <c r="O42" s="187">
        <v>1.5445232054206135</v>
      </c>
      <c r="P42" s="186">
        <v>1.4007092198581561</v>
      </c>
      <c r="Q42" s="186">
        <v>1.6917694744885583</v>
      </c>
      <c r="S42" s="65"/>
    </row>
    <row r="43" spans="1:25" s="54" customFormat="1" x14ac:dyDescent="0.25">
      <c r="A43" s="92">
        <v>12.3</v>
      </c>
      <c r="B43" s="77" t="s">
        <v>1448</v>
      </c>
      <c r="C43" s="58"/>
      <c r="D43" s="58"/>
      <c r="E43" s="66">
        <v>5.8961144247572133</v>
      </c>
      <c r="F43" s="66"/>
      <c r="G43" s="60">
        <v>5.6153470711973463E-3</v>
      </c>
      <c r="H43" s="60">
        <v>0.25796461315598435</v>
      </c>
      <c r="I43" s="60">
        <v>0.23317357923630258</v>
      </c>
      <c r="J43" s="60">
        <v>0.27737356485158754</v>
      </c>
      <c r="K43" s="58"/>
      <c r="L43" s="188">
        <v>5.0744768839774617</v>
      </c>
      <c r="M43" s="186">
        <v>4.6985897073865386E-3</v>
      </c>
      <c r="N43" s="175">
        <v>4.5930891365879483E-3</v>
      </c>
      <c r="O43" s="187">
        <v>0.22965445682939742</v>
      </c>
      <c r="P43" s="186">
        <v>0.20827082036287847</v>
      </c>
      <c r="Q43" s="186">
        <v>0.25154843797793264</v>
      </c>
      <c r="S43" s="65"/>
    </row>
    <row r="44" spans="1:25" s="54" customFormat="1" x14ac:dyDescent="0.25">
      <c r="A44" s="57">
        <v>13</v>
      </c>
      <c r="B44" s="58" t="s">
        <v>1593</v>
      </c>
      <c r="C44" s="58"/>
      <c r="D44" s="59"/>
      <c r="E44" s="196">
        <v>98.282053946389752</v>
      </c>
      <c r="F44" s="60">
        <v>8.7751833880705121E-2</v>
      </c>
      <c r="G44" s="60">
        <v>9.360195613941881E-2</v>
      </c>
      <c r="H44" s="60">
        <v>4.3000000000000007</v>
      </c>
      <c r="I44" s="60">
        <v>3.8867594219592725</v>
      </c>
      <c r="J44" s="60">
        <v>4.6235269026633077</v>
      </c>
      <c r="K44" s="59"/>
      <c r="L44" s="186">
        <v>62.973997191264147</v>
      </c>
      <c r="M44" s="186">
        <v>5.8309256658577911E-2</v>
      </c>
      <c r="N44" s="175">
        <v>5.7000000000000002E-2</v>
      </c>
      <c r="O44" s="187">
        <v>2.85</v>
      </c>
      <c r="P44" s="186">
        <v>2.5846301710362551</v>
      </c>
      <c r="Q44" s="186">
        <v>3.1217031802247091</v>
      </c>
      <c r="S44" s="65"/>
    </row>
    <row r="45" spans="1:25" s="54" customFormat="1" outlineLevel="1" x14ac:dyDescent="0.25">
      <c r="A45" s="59">
        <v>13.1</v>
      </c>
      <c r="B45" s="58" t="s">
        <v>1594</v>
      </c>
      <c r="C45" s="58"/>
      <c r="D45" s="59" t="s">
        <v>1595</v>
      </c>
      <c r="E45" s="85">
        <v>30.855993680843294</v>
      </c>
      <c r="F45" s="60">
        <v>2.7549994357895798E-2</v>
      </c>
      <c r="G45" s="61">
        <v>2.9386660648422186E-2</v>
      </c>
      <c r="H45" s="60">
        <v>1.35</v>
      </c>
      <c r="I45" s="60">
        <v>1.2202616789872136</v>
      </c>
      <c r="J45" s="60">
        <v>1.4515723996733638</v>
      </c>
      <c r="K45" s="94" t="s">
        <v>1732</v>
      </c>
      <c r="L45" s="186">
        <v>26.515367238427007</v>
      </c>
      <c r="M45" s="186">
        <v>2.4551265961506488E-2</v>
      </c>
      <c r="N45" s="175">
        <v>2.4E-2</v>
      </c>
      <c r="O45" s="187">
        <v>1.2</v>
      </c>
      <c r="P45" s="186">
        <v>1.0882653351731599</v>
      </c>
      <c r="Q45" s="186">
        <v>1.3144013390419826</v>
      </c>
      <c r="S45" s="65"/>
    </row>
    <row r="46" spans="1:25" s="54" customFormat="1" outlineLevel="1" x14ac:dyDescent="0.25">
      <c r="A46" s="59">
        <v>13.2</v>
      </c>
      <c r="B46" s="58" t="s">
        <v>1595</v>
      </c>
      <c r="C46" s="58"/>
      <c r="D46" s="59" t="s">
        <v>1596</v>
      </c>
      <c r="E46" s="85">
        <v>67.426060265546454</v>
      </c>
      <c r="F46" s="60">
        <v>6.0201839522809331E-2</v>
      </c>
      <c r="G46" s="61">
        <v>6.4215295490996624E-2</v>
      </c>
      <c r="H46" s="60">
        <v>2.95</v>
      </c>
      <c r="I46" s="60">
        <v>2.6664977429720591</v>
      </c>
      <c r="J46" s="60">
        <v>3.1719545029899439</v>
      </c>
      <c r="K46" s="59" t="s">
        <v>1733</v>
      </c>
      <c r="L46" s="186">
        <v>36.458629952837136</v>
      </c>
      <c r="M46" s="186">
        <v>3.3757990697071423E-2</v>
      </c>
      <c r="N46" s="175">
        <v>3.3000000000000002E-2</v>
      </c>
      <c r="O46" s="187">
        <v>1.6500000000000001</v>
      </c>
      <c r="P46" s="186">
        <v>1.496364835863095</v>
      </c>
      <c r="Q46" s="186">
        <v>1.8073018411827264</v>
      </c>
      <c r="S46" s="65"/>
    </row>
    <row r="47" spans="1:25" s="54" customFormat="1" ht="202.5" x14ac:dyDescent="0.25">
      <c r="A47" s="57">
        <v>14</v>
      </c>
      <c r="B47" s="58" t="s">
        <v>1597</v>
      </c>
      <c r="C47" s="58" t="s">
        <v>1598</v>
      </c>
      <c r="D47" s="59" t="s">
        <v>1599</v>
      </c>
      <c r="E47" s="197">
        <v>354.35529384780699</v>
      </c>
      <c r="F47" s="60">
        <v>0.31638865522125625</v>
      </c>
      <c r="G47" s="60">
        <v>0.33748123223600668</v>
      </c>
      <c r="H47" s="60">
        <v>15.503621488992517</v>
      </c>
      <c r="I47" s="60">
        <v>14.013685324844632</v>
      </c>
      <c r="J47" s="60">
        <v>16.670095591410668</v>
      </c>
      <c r="K47" s="58" t="s">
        <v>1734</v>
      </c>
      <c r="L47" s="188">
        <v>312.30191283687481</v>
      </c>
      <c r="M47" s="186">
        <v>0.28916843781192114</v>
      </c>
      <c r="N47" s="175">
        <v>0.28267554587072136</v>
      </c>
      <c r="O47" s="187">
        <v>14.133777293536067</v>
      </c>
      <c r="P47" s="186">
        <v>12.817749903010688</v>
      </c>
      <c r="Q47" s="186">
        <v>15.481213166954149</v>
      </c>
      <c r="R47" s="96"/>
      <c r="S47" s="65"/>
    </row>
    <row r="48" spans="1:25" s="54" customFormat="1" ht="67.5" x14ac:dyDescent="0.25">
      <c r="A48" s="57">
        <v>15</v>
      </c>
      <c r="B48" s="58" t="s">
        <v>1509</v>
      </c>
      <c r="C48" s="58"/>
      <c r="D48" s="59" t="s">
        <v>1600</v>
      </c>
      <c r="E48" s="61">
        <v>103.63535692085297</v>
      </c>
      <c r="F48" s="60">
        <v>9.2531568679333015E-2</v>
      </c>
      <c r="G48" s="60">
        <v>9.8700339924621877E-2</v>
      </c>
      <c r="H48" s="60">
        <v>4.5342157277537991</v>
      </c>
      <c r="I48" s="60">
        <v>4.0984664421030237</v>
      </c>
      <c r="J48" s="60">
        <v>4.8753647441276229</v>
      </c>
      <c r="K48" s="58" t="s">
        <v>1735</v>
      </c>
      <c r="L48" s="186">
        <v>91.595396285378243</v>
      </c>
      <c r="M48" s="186">
        <v>8.4810552116090968E-2</v>
      </c>
      <c r="N48" s="175">
        <v>8.2906244182175196E-2</v>
      </c>
      <c r="O48" s="187">
        <v>4.1453122091087602</v>
      </c>
      <c r="P48" s="186">
        <v>3.7593329838692804</v>
      </c>
      <c r="Q48" s="186">
        <v>4.5405032653330277</v>
      </c>
      <c r="S48" s="63"/>
    </row>
    <row r="49" spans="1:19" s="90" customFormat="1" ht="75.75" customHeight="1" x14ac:dyDescent="0.25">
      <c r="A49" s="345" t="s">
        <v>1601</v>
      </c>
      <c r="B49" s="345" t="s">
        <v>1601</v>
      </c>
      <c r="C49" s="345"/>
      <c r="D49" s="88"/>
      <c r="E49" s="70">
        <v>3659.5882665420099</v>
      </c>
      <c r="F49" s="70">
        <v>3.2674895236982202</v>
      </c>
      <c r="G49" s="70">
        <v>3.4853221586114347</v>
      </c>
      <c r="H49" s="70">
        <v>160.11294955958414</v>
      </c>
      <c r="I49" s="70">
        <v>144.72570122753567</v>
      </c>
      <c r="J49" s="70">
        <v>172.15965808221171</v>
      </c>
      <c r="K49" s="88" t="s">
        <v>1736</v>
      </c>
      <c r="L49" s="191">
        <v>3144.7752724646534</v>
      </c>
      <c r="M49" s="191">
        <v>2.9118289559857908</v>
      </c>
      <c r="N49" s="178">
        <v>2.8464477169213493</v>
      </c>
      <c r="O49" s="190">
        <v>142.32238584606742</v>
      </c>
      <c r="P49" s="191">
        <v>129.07043244617864</v>
      </c>
      <c r="Q49" s="191">
        <v>155.89061210976729</v>
      </c>
      <c r="S49" s="179"/>
    </row>
    <row r="51" spans="1:19" hidden="1" x14ac:dyDescent="0.5"/>
    <row r="52" spans="1:19" hidden="1" x14ac:dyDescent="0.5"/>
    <row r="53" spans="1:19" hidden="1" x14ac:dyDescent="0.5"/>
    <row r="54" spans="1:19" hidden="1" x14ac:dyDescent="0.5"/>
    <row r="55" spans="1:19" hidden="1" x14ac:dyDescent="0.5"/>
    <row r="56" spans="1:19" hidden="1" x14ac:dyDescent="0.5"/>
    <row r="57" spans="1:19" hidden="1" x14ac:dyDescent="0.5"/>
    <row r="58" spans="1:19" hidden="1" x14ac:dyDescent="0.5"/>
    <row r="59" spans="1:19" hidden="1" x14ac:dyDescent="0.5"/>
    <row r="60" spans="1:19" hidden="1" x14ac:dyDescent="0.5"/>
    <row r="61" spans="1:19" hidden="1" x14ac:dyDescent="0.5"/>
    <row r="62" spans="1:19" hidden="1" x14ac:dyDescent="0.5"/>
    <row r="63" spans="1:19" hidden="1" x14ac:dyDescent="0.5"/>
    <row r="64" spans="1:19" hidden="1" x14ac:dyDescent="0.5"/>
    <row r="65" spans="19:20" x14ac:dyDescent="0.5">
      <c r="S65" s="52"/>
    </row>
    <row r="66" spans="19:20" x14ac:dyDescent="0.5">
      <c r="S66" s="180"/>
      <c r="T66" s="97"/>
    </row>
    <row r="67" spans="19:20" x14ac:dyDescent="0.5">
      <c r="S67" s="180"/>
      <c r="T67" s="180"/>
    </row>
  </sheetData>
  <mergeCells count="10">
    <mergeCell ref="L3:Q3"/>
    <mergeCell ref="A39:C39"/>
    <mergeCell ref="A49:C49"/>
    <mergeCell ref="A1:K1"/>
    <mergeCell ref="A3:A6"/>
    <mergeCell ref="B3:B6"/>
    <mergeCell ref="C3:C6"/>
    <mergeCell ref="D3:D6"/>
    <mergeCell ref="E3:J3"/>
    <mergeCell ref="K3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Budgeted_01jun</vt:lpstr>
      <vt:lpstr>Actual_30 jun</vt:lpstr>
      <vt:lpstr>Commited_30 Jun</vt:lpstr>
      <vt:lpstr>PSS 12_CAPEX </vt:lpstr>
      <vt:lpstr>PSS 10_CAPEX</vt:lpstr>
      <vt:lpstr>SAP Working</vt:lpstr>
      <vt:lpstr>PSS 09_EAC_WBS Mapped</vt:lpstr>
      <vt:lpstr>WBS Structure Baseline PSS09</vt:lpstr>
      <vt:lpstr>PSS 09_CAPEX</vt:lpstr>
      <vt:lpstr>PSS 08_CAPEX</vt:lpstr>
      <vt:lpstr>PSS 05_CAPEX</vt:lpstr>
      <vt:lpstr>'PSS 09_EAC_WBS Mapped'!Print_Area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Birendra Nath</dc:creator>
  <cp:keywords/>
  <dc:description/>
  <cp:lastModifiedBy>Birendra Nath</cp:lastModifiedBy>
  <cp:revision/>
  <cp:lastPrinted>2026-07-09T13:11:41Z</cp:lastPrinted>
  <dcterms:created xsi:type="dcterms:W3CDTF">2026-03-25T06:00:14Z</dcterms:created>
  <dcterms:modified xsi:type="dcterms:W3CDTF">2026-08-20T12:13:34Z</dcterms:modified>
  <cp:category/>
  <cp:contentStatus/>
</cp:coreProperties>
</file>