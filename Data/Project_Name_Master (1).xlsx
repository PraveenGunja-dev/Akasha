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daniltd.sharepoint.com/sites/Module_Tracker/Shared Documents/"/>
    </mc:Choice>
  </mc:AlternateContent>
  <xr:revisionPtr revIDLastSave="970" documentId="11_6F00CF4432AB3A948412F2F1BA6CEC6E4E1DF942" xr6:coauthVersionLast="47" xr6:coauthVersionMax="47" xr10:uidLastSave="{1DCA0BC6-80E0-4069-A7F0-523A26C49826}"/>
  <bookViews>
    <workbookView xWindow="-120" yWindow="-120" windowWidth="20730" windowHeight="11040" xr2:uid="{00000000-000D-0000-FFFF-FFFF00000000}"/>
  </bookViews>
  <sheets>
    <sheet name="Master" sheetId="1" r:id="rId1"/>
  </sheets>
  <externalReferences>
    <externalReference r:id="rId2"/>
  </externalReferences>
  <definedNames>
    <definedName name="_xlnm._FilterDatabase" localSheetId="0" hidden="1">Master!$A$1:$R$55</definedName>
    <definedName name="_xlnm.Print_Area" localSheetId="0">Master!$A$1:$Q$20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55" i="1" l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2" i="1" l="1"/>
  <c r="K21" i="1" l="1"/>
  <c r="K17" i="1"/>
  <c r="K18" i="1"/>
  <c r="K19" i="1"/>
  <c r="K11" i="1"/>
  <c r="K10" i="1"/>
  <c r="K9" i="1"/>
  <c r="K8" i="1"/>
  <c r="K23" i="1"/>
  <c r="I12" i="1"/>
  <c r="K24" i="1"/>
</calcChain>
</file>

<file path=xl/sharedStrings.xml><?xml version="1.0" encoding="utf-8"?>
<sst xmlns="http://schemas.openxmlformats.org/spreadsheetml/2006/main" count="714" uniqueCount="366">
  <si>
    <t>Priority</t>
  </si>
  <si>
    <t>Project</t>
  </si>
  <si>
    <t>SPVName</t>
  </si>
  <si>
    <t>Project ID</t>
  </si>
  <si>
    <t>Project name from
P6</t>
  </si>
  <si>
    <t>Plot No</t>
  </si>
  <si>
    <t>Category</t>
  </si>
  <si>
    <t>MMS Type</t>
  </si>
  <si>
    <t>Capacity
(MWac)</t>
  </si>
  <si>
    <t>OL</t>
  </si>
  <si>
    <t>Capacity (MWdc)</t>
  </si>
  <si>
    <t>SPVPlantCode</t>
  </si>
  <si>
    <t>AGEL</t>
  </si>
  <si>
    <t>Module WBS</t>
  </si>
  <si>
    <t>AGE6L</t>
  </si>
  <si>
    <t>Cluster</t>
  </si>
  <si>
    <t>SourceOfOrigin</t>
  </si>
  <si>
    <t>Not Allocated</t>
  </si>
  <si>
    <t>P-08</t>
  </si>
  <si>
    <t>ACL</t>
  </si>
  <si>
    <t>FY25-P08</t>
  </si>
  <si>
    <t>ACL_A1_FT_125 MW_GROUP_Commissioned</t>
  </si>
  <si>
    <t>A-1</t>
  </si>
  <si>
    <t>GROUP</t>
  </si>
  <si>
    <t>FT</t>
  </si>
  <si>
    <t>GWL64.2303.M.00001</t>
  </si>
  <si>
    <t>Khavda</t>
  </si>
  <si>
    <t>India</t>
  </si>
  <si>
    <t>P-06</t>
  </si>
  <si>
    <t>AGEL Merchant</t>
  </si>
  <si>
    <t>AGE24L</t>
  </si>
  <si>
    <t>FY25-P06</t>
  </si>
  <si>
    <t>AGE24L_S05_HSAT_150MW_MERCHANT</t>
  </si>
  <si>
    <t>S-5</t>
  </si>
  <si>
    <t>Merchant</t>
  </si>
  <si>
    <t>HSAT</t>
  </si>
  <si>
    <t>682D</t>
  </si>
  <si>
    <t>51ZG</t>
  </si>
  <si>
    <t>H-51GA-01-01</t>
  </si>
  <si>
    <t>P-07</t>
  </si>
  <si>
    <t>FY25-P07</t>
  </si>
  <si>
    <t>AGE24L_A14_HSAT_150MW_MERCHANT_Commissioned</t>
  </si>
  <si>
    <t>A-14</t>
  </si>
  <si>
    <t>H-51GB-01-01</t>
  </si>
  <si>
    <t>P-03</t>
  </si>
  <si>
    <t>AGE25BL</t>
  </si>
  <si>
    <t>FY25-P03</t>
  </si>
  <si>
    <t>ARE48L_S08_HSAT_100MW_MERCHANT_Commissioned</t>
  </si>
  <si>
    <t>S-8</t>
  </si>
  <si>
    <t>678C</t>
  </si>
  <si>
    <t>51YU</t>
  </si>
  <si>
    <t>H-51Y1-01-01</t>
  </si>
  <si>
    <t>P-09</t>
  </si>
  <si>
    <t>MLP T3 AP</t>
  </si>
  <si>
    <t>AGE25CL</t>
  </si>
  <si>
    <t>FY25-P09</t>
  </si>
  <si>
    <t>AGE25CL_A06_HSAT_75 MW_PPA_Commissioned</t>
  </si>
  <si>
    <t>A-6</t>
  </si>
  <si>
    <t>PPA</t>
  </si>
  <si>
    <t>51ZQ</t>
  </si>
  <si>
    <t>H-51ZQ-03-01</t>
  </si>
  <si>
    <t>China</t>
  </si>
  <si>
    <t>P-15</t>
  </si>
  <si>
    <t>FY25-P15</t>
  </si>
  <si>
    <t>AGE25CL_A06_FT_425MW_PPA</t>
  </si>
  <si>
    <t>P-10</t>
  </si>
  <si>
    <t>MLP T1 J&amp;K</t>
  </si>
  <si>
    <t>AGE26AL</t>
  </si>
  <si>
    <t>FY25-P10</t>
  </si>
  <si>
    <t>AGE26AL_A16_FT_50MW_PPA_Commissioned</t>
  </si>
  <si>
    <t>A-16</t>
  </si>
  <si>
    <t>51Y9</t>
  </si>
  <si>
    <t>H-51Y9-01-01</t>
  </si>
  <si>
    <t>SEA</t>
  </si>
  <si>
    <t>P-11</t>
  </si>
  <si>
    <t>MLP T1 CG</t>
  </si>
  <si>
    <t>FY25-P11</t>
  </si>
  <si>
    <t>AGE26AL_A16_FT_200MW_PPA</t>
  </si>
  <si>
    <t>H-51YA-01-01</t>
  </si>
  <si>
    <t>P-12</t>
  </si>
  <si>
    <t>MLP T1 TN</t>
  </si>
  <si>
    <t>FY25-P12</t>
  </si>
  <si>
    <t>AGE26AL_A16c_FT_167MW_PPA</t>
  </si>
  <si>
    <t>H-51YB-01-01</t>
  </si>
  <si>
    <t>P-13</t>
  </si>
  <si>
    <t>MLP T1 OR</t>
  </si>
  <si>
    <t xml:space="preserve"> FY25-P13</t>
  </si>
  <si>
    <t>AGE26AL_A16_FT_333MW_PPA</t>
  </si>
  <si>
    <t>H-51YC-01-01</t>
  </si>
  <si>
    <t>P-14</t>
  </si>
  <si>
    <t>MLP T1 TR</t>
  </si>
  <si>
    <t>FY25-P14</t>
  </si>
  <si>
    <t>AGE26AL_A10a_FT_50MW_PPA_Commissioned</t>
  </si>
  <si>
    <t>A10a</t>
  </si>
  <si>
    <t>H-519Y-01-01</t>
  </si>
  <si>
    <t>P-05</t>
  </si>
  <si>
    <t>AGEL Hybrid Merchant</t>
  </si>
  <si>
    <t>AGE26BL</t>
  </si>
  <si>
    <t>FY25-P05</t>
  </si>
  <si>
    <t>AGE26BL_S05_HSAT_292MW_MERCHANT_HYBRID_Commissioned</t>
  </si>
  <si>
    <t>51YR</t>
  </si>
  <si>
    <t>H-51RY-03-01</t>
  </si>
  <si>
    <t>P-04</t>
  </si>
  <si>
    <t>AHEJ5L</t>
  </si>
  <si>
    <t>FY25-P04</t>
  </si>
  <si>
    <t>AHEJ5L_A15a_HSAT_150MW_MERCHANT_Commissioned</t>
  </si>
  <si>
    <t>A-15a</t>
  </si>
  <si>
    <t>51Z6</t>
  </si>
  <si>
    <t>H-51Z6-03-01</t>
  </si>
  <si>
    <t>P-02</t>
  </si>
  <si>
    <t>FY26-P02</t>
  </si>
  <si>
    <t>AHEJ5L_S04_HSAT_300 MW_MERCHANT_HYBRID (Backup)</t>
  </si>
  <si>
    <t>S-4</t>
  </si>
  <si>
    <t>H-516A-01-01</t>
  </si>
  <si>
    <t>P-01</t>
  </si>
  <si>
    <t>ARE3L</t>
  </si>
  <si>
    <t>FY25-P01</t>
  </si>
  <si>
    <t>ARE3L_A06_HSAT_25 MW_MERCHANT_Commissioned</t>
  </si>
  <si>
    <t>51YS</t>
  </si>
  <si>
    <t>H-51YS-01-01</t>
  </si>
  <si>
    <t>P4-04</t>
  </si>
  <si>
    <t>MLP AP New</t>
  </si>
  <si>
    <t>ARE57L</t>
  </si>
  <si>
    <t>FY26-P04</t>
  </si>
  <si>
    <t>ARE57L_A12_HSAT_350MW_PPA</t>
  </si>
  <si>
    <t>A-12</t>
  </si>
  <si>
    <t>51R1</t>
  </si>
  <si>
    <t>51Y4</t>
  </si>
  <si>
    <t>H-51Y4-03-01</t>
  </si>
  <si>
    <t>Manual</t>
  </si>
  <si>
    <t>ARE57L_A11_500MW_PPA</t>
  </si>
  <si>
    <t>Not Found</t>
  </si>
  <si>
    <t>A-11</t>
  </si>
  <si>
    <t>ARE57L_A12_350MW_PPA</t>
  </si>
  <si>
    <t>ASEJ6PL</t>
  </si>
  <si>
    <t>FY25-P02</t>
  </si>
  <si>
    <t>ASEJ6PL_A06_HSAT_35MW_MERCHANT_Commissioned</t>
  </si>
  <si>
    <t>51YT</t>
  </si>
  <si>
    <t>H-51YT-01-01</t>
  </si>
  <si>
    <t>P-18</t>
  </si>
  <si>
    <t>KCTL</t>
  </si>
  <si>
    <t>FY25-P18</t>
  </si>
  <si>
    <t>KCTL_A15a_HSAT_12.5 MW_MERCHANT (Back up)</t>
  </si>
  <si>
    <t>10K3</t>
  </si>
  <si>
    <t>H-10K4-01-01</t>
  </si>
  <si>
    <t>P-19</t>
  </si>
  <si>
    <t>MCIPL</t>
  </si>
  <si>
    <t>ASEJ06PL</t>
  </si>
  <si>
    <t>FY25-P19</t>
  </si>
  <si>
    <t>ASEJ06PL_A15a_HSAT_25 MW_MERCHANT (Back up)</t>
  </si>
  <si>
    <t>9844</t>
  </si>
  <si>
    <t>51ZY</t>
  </si>
  <si>
    <t>H-51YD-01-01</t>
  </si>
  <si>
    <t>6211</t>
  </si>
  <si>
    <t>X</t>
  </si>
  <si>
    <t>MLP T1</t>
  </si>
  <si>
    <t xml:space="preserve">      FY25-BANDHA_500MW</t>
  </si>
  <si>
    <t>AGE25BL_BANDHA_FT_500MW_PPA</t>
  </si>
  <si>
    <t>678B</t>
  </si>
  <si>
    <t>51YW</t>
  </si>
  <si>
    <t>62RF</t>
  </si>
  <si>
    <t>Rajasthan</t>
  </si>
  <si>
    <t>NHPC BOO</t>
  </si>
  <si>
    <t>ASEB1PL</t>
  </si>
  <si>
    <t xml:space="preserve">      FY25-BAIYA_600MW</t>
  </si>
  <si>
    <t>ASEB1PL_BAIYA_FT_600MW_PPA</t>
  </si>
  <si>
    <t>51AW</t>
  </si>
  <si>
    <t>621R</t>
  </si>
  <si>
    <t>P4-01</t>
  </si>
  <si>
    <t>AESL PPA (C&amp;I) - Solar</t>
  </si>
  <si>
    <t>ARE41L</t>
  </si>
  <si>
    <t xml:space="preserve">        FY26-P01</t>
  </si>
  <si>
    <t>ARE41L_A01- C_HSAT_25 MW_MERCHANT</t>
  </si>
  <si>
    <t>A01c</t>
  </si>
  <si>
    <t>51F4</t>
  </si>
  <si>
    <t>51ZF</t>
  </si>
  <si>
    <t>H-51FF-01-01</t>
  </si>
  <si>
    <t>H-624W</t>
  </si>
  <si>
    <t>P4-02</t>
  </si>
  <si>
    <t>Group - Port (Hybrid - Solar)</t>
  </si>
  <si>
    <t>APSEZ</t>
  </si>
  <si>
    <t xml:space="preserve">        FY26-P02</t>
  </si>
  <si>
    <t>APSEZ_A01- D_HSAT_25 MW_GROUP</t>
  </si>
  <si>
    <t>A01d</t>
  </si>
  <si>
    <t>Group</t>
  </si>
  <si>
    <t>GWL64.2303.M.00011.A</t>
  </si>
  <si>
    <t>P4-03</t>
  </si>
  <si>
    <t>Group - Cement (Hybrid - Solar)</t>
  </si>
  <si>
    <t xml:space="preserve">        FY26-P03</t>
  </si>
  <si>
    <t>ACL_A01- E_FT_25MW_GROUP NEW</t>
  </si>
  <si>
    <t>A01e</t>
  </si>
  <si>
    <t>B-0331-01-01</t>
  </si>
  <si>
    <t>P4-05</t>
  </si>
  <si>
    <t>AGEL Merchant (Solar)</t>
  </si>
  <si>
    <t xml:space="preserve">        FY26-P05</t>
  </si>
  <si>
    <t>AHEJ5L_S04_HSAT_300 MW_MERCHANT_HYBRID</t>
  </si>
  <si>
    <t>S04</t>
  </si>
  <si>
    <t>688H</t>
  </si>
  <si>
    <t>H-623T</t>
  </si>
  <si>
    <t>P4-06</t>
  </si>
  <si>
    <t xml:space="preserve">        FY26-P06</t>
  </si>
  <si>
    <t>ACL_A01_HSAT_50MW_Group_NEW</t>
  </si>
  <si>
    <t>A01</t>
  </si>
  <si>
    <t>P4-07</t>
  </si>
  <si>
    <t>MSEDCL PPA Ph-1</t>
  </si>
  <si>
    <t>ARE55L</t>
  </si>
  <si>
    <t xml:space="preserve">        FY26- P07</t>
  </si>
  <si>
    <t>ARE41L_A15b_HSAT_50MW</t>
  </si>
  <si>
    <t>A15b</t>
  </si>
  <si>
    <t>51P1</t>
  </si>
  <si>
    <t>51Y1</t>
  </si>
  <si>
    <t>H-546S-01-01</t>
  </si>
  <si>
    <t>H-624N</t>
  </si>
  <si>
    <t>P4-08</t>
  </si>
  <si>
    <t>TPL-D PPA</t>
  </si>
  <si>
    <t>ARE8L</t>
  </si>
  <si>
    <t xml:space="preserve">        FY26-P08</t>
  </si>
  <si>
    <t>ARE8L_A02_HSAT_150MW_Merc</t>
  </si>
  <si>
    <t>A02</t>
  </si>
  <si>
    <t>511T</t>
  </si>
  <si>
    <t>H-51W8-01-01</t>
  </si>
  <si>
    <t>H-624H</t>
  </si>
  <si>
    <t>P4-09</t>
  </si>
  <si>
    <t xml:space="preserve">        FY26-P09</t>
  </si>
  <si>
    <t>ARE55L_A01_HSAT_150MW_Group_NEW</t>
  </si>
  <si>
    <t xml:space="preserve">
51Y1</t>
  </si>
  <si>
    <t>H-54S2-01-01</t>
  </si>
  <si>
    <t>H-624A-275</t>
  </si>
  <si>
    <t>P4-10</t>
  </si>
  <si>
    <t xml:space="preserve">        FY26-P10</t>
  </si>
  <si>
    <t>ARE55L_A02_HSAT_125MW</t>
  </si>
  <si>
    <t>P4-11</t>
  </si>
  <si>
    <t>MLP T4 PPA - AP</t>
  </si>
  <si>
    <t xml:space="preserve">        FY26-P11</t>
  </si>
  <si>
    <t>AGE26BL_A03_HSAT_250 MW_MLP T4 AP NEW</t>
  </si>
  <si>
    <t>A03</t>
  </si>
  <si>
    <t>51Z7</t>
  </si>
  <si>
    <t>H-5177-01-01</t>
  </si>
  <si>
    <t>H-624R</t>
  </si>
  <si>
    <t>P4-12</t>
  </si>
  <si>
    <t xml:space="preserve">        FY26-P12</t>
  </si>
  <si>
    <t>AGE24L_A03_HSAT_250 MW</t>
  </si>
  <si>
    <t>682A</t>
  </si>
  <si>
    <t>51XS</t>
  </si>
  <si>
    <t>H-51XS-01-01</t>
  </si>
  <si>
    <t>H-624X</t>
  </si>
  <si>
    <t>P4-13</t>
  </si>
  <si>
    <t>SECI VIII PPA</t>
  </si>
  <si>
    <t xml:space="preserve">        FY27-P13</t>
  </si>
  <si>
    <t>ASEJ6PL_S07_FT_300MW_PPA</t>
  </si>
  <si>
    <t>S07</t>
  </si>
  <si>
    <t>984C</t>
  </si>
  <si>
    <t>51YB</t>
  </si>
  <si>
    <t>H-51BY-01-01</t>
  </si>
  <si>
    <t>H-624U</t>
  </si>
  <si>
    <t>P4-14</t>
  </si>
  <si>
    <t xml:space="preserve">        FY26-P14</t>
  </si>
  <si>
    <t>ASEJ6PL_S07_FT_300MW</t>
  </si>
  <si>
    <t>H-624T</t>
  </si>
  <si>
    <t>P4-15</t>
  </si>
  <si>
    <t xml:space="preserve">        FY27-P15</t>
  </si>
  <si>
    <t>AGE24AL_S09_HSAT_400MW</t>
  </si>
  <si>
    <t>S09</t>
  </si>
  <si>
    <t>H-54S8-01-01</t>
  </si>
  <si>
    <t>H-624D</t>
  </si>
  <si>
    <t>P4-16</t>
  </si>
  <si>
    <t>NHPC EPC 600</t>
  </si>
  <si>
    <t>NA</t>
  </si>
  <si>
    <t>FY26-P16</t>
  </si>
  <si>
    <t>NHPC EPC 200 MW Khavda-Internal</t>
  </si>
  <si>
    <t>NHPC</t>
  </si>
  <si>
    <t>P4-17</t>
  </si>
  <si>
    <t xml:space="preserve">        FY26-P17</t>
  </si>
  <si>
    <t>AGEL_S2A_175_MW_HSAT</t>
  </si>
  <si>
    <t>S02a</t>
  </si>
  <si>
    <t>H-54S3-01-01</t>
  </si>
  <si>
    <t>H-624J - 175</t>
  </si>
  <si>
    <t>P4-18</t>
  </si>
  <si>
    <t>MLP T1  PPA - BEST</t>
  </si>
  <si>
    <t xml:space="preserve">        FY26-P18</t>
  </si>
  <si>
    <t>AGE26AL_S06A_FT_234MW</t>
  </si>
  <si>
    <t>S06a</t>
  </si>
  <si>
    <t>603C</t>
  </si>
  <si>
    <t>H-51YY-01-01</t>
  </si>
  <si>
    <t>H-624Y</t>
  </si>
  <si>
    <t>P4-19</t>
  </si>
  <si>
    <t xml:space="preserve">        FY26-P19</t>
  </si>
  <si>
    <t>AGEL_S1_100_MW_HSAT</t>
  </si>
  <si>
    <t>S01</t>
  </si>
  <si>
    <t>H-54S9-01-01</t>
  </si>
  <si>
    <t>H-624G</t>
  </si>
  <si>
    <t>P4-20</t>
  </si>
  <si>
    <t>MSEDCL PPA Ph-2</t>
  </si>
  <si>
    <t xml:space="preserve">        FY26-P20</t>
  </si>
  <si>
    <t>AGEL_S2A_50_MW_HSAT</t>
  </si>
  <si>
    <t>H-545S-01-01</t>
  </si>
  <si>
    <t>H-624K - 50</t>
  </si>
  <si>
    <t>P4-21</t>
  </si>
  <si>
    <t>AGEL Merchant (Solar) - TTE</t>
  </si>
  <si>
    <t>AE2L</t>
  </si>
  <si>
    <t xml:space="preserve">        FY26-P21</t>
  </si>
  <si>
    <t>AE2L_S03_HSAT_150MW_MERCHANT</t>
  </si>
  <si>
    <t>S03</t>
  </si>
  <si>
    <t>61B2</t>
  </si>
  <si>
    <t>51W5</t>
  </si>
  <si>
    <t>H-51W5-01-01</t>
  </si>
  <si>
    <t>H-624C</t>
  </si>
  <si>
    <t>P4-22</t>
  </si>
  <si>
    <t xml:space="preserve">        FY26-P22</t>
  </si>
  <si>
    <t>AGEL_S1_200_MW_HSAT</t>
  </si>
  <si>
    <t>P4-23</t>
  </si>
  <si>
    <t xml:space="preserve">        FY27-P23</t>
  </si>
  <si>
    <t>ARE41L_A18_HSAT_600MW</t>
  </si>
  <si>
    <t>A18</t>
  </si>
  <si>
    <t>H-624E</t>
  </si>
  <si>
    <t>P4-24</t>
  </si>
  <si>
    <t>MSEDCL PPA Ph-3</t>
  </si>
  <si>
    <t xml:space="preserve">        FY26-P24</t>
  </si>
  <si>
    <t>AGEL_S2B_112.5_MW_HSAT</t>
  </si>
  <si>
    <t>S02b</t>
  </si>
  <si>
    <t>H-54S5-01-01</t>
  </si>
  <si>
    <t>H-624M</t>
  </si>
  <si>
    <t>P4-25</t>
  </si>
  <si>
    <t>AE3L</t>
  </si>
  <si>
    <t xml:space="preserve">        FY26-P25</t>
  </si>
  <si>
    <t>AGEL_S1_75_MW_HSAT</t>
  </si>
  <si>
    <t>61C2</t>
  </si>
  <si>
    <t>51W9</t>
  </si>
  <si>
    <t>H-51WA-01-01</t>
  </si>
  <si>
    <t>H-624I</t>
  </si>
  <si>
    <t>P5-04</t>
  </si>
  <si>
    <t xml:space="preserve">        FY27-P03&amp;04</t>
  </si>
  <si>
    <t>AGEL_SE14_HSAT_500MW_HILD</t>
  </si>
  <si>
    <t>SE14</t>
  </si>
  <si>
    <t>H-544S-01-01</t>
  </si>
  <si>
    <t>H-624O</t>
  </si>
  <si>
    <t>P5-05</t>
  </si>
  <si>
    <t xml:space="preserve">        FY27-P05</t>
  </si>
  <si>
    <t>AGEL_S10_287.5_MW_HSAT</t>
  </si>
  <si>
    <t>S10</t>
  </si>
  <si>
    <t>H-541S-01-01</t>
  </si>
  <si>
    <t>H-624F</t>
  </si>
  <si>
    <t>P4-16+</t>
  </si>
  <si>
    <t xml:space="preserve">    FY27-P16</t>
  </si>
  <si>
    <t>NHPC EPC 400 MW Khavda-Internal</t>
  </si>
  <si>
    <t>P5-06&amp;07</t>
  </si>
  <si>
    <t>MSEDCL PPA Ph-2 &amp; MSEDCL PPA Ph-3</t>
  </si>
  <si>
    <t xml:space="preserve">    FY27-P06&amp;07</t>
  </si>
  <si>
    <t>ARE55L_S02A_HSAT_250 MW_PPA</t>
  </si>
  <si>
    <t>H-54S4-01-01</t>
  </si>
  <si>
    <t>H-624L</t>
  </si>
  <si>
    <t>not allocate</t>
  </si>
  <si>
    <t>P4-26</t>
  </si>
  <si>
    <t xml:space="preserve">    FY26-P26</t>
  </si>
  <si>
    <t>ARE55L_S10_HSAT_50 MW_PPA</t>
  </si>
  <si>
    <t>H-543S-01-01</t>
  </si>
  <si>
    <t>P3-04</t>
  </si>
  <si>
    <t xml:space="preserve">        FY25-P18&amp;19&amp;20</t>
  </si>
  <si>
    <t>AGE25BL_A15a_HSAT_50 MW_MERCHANT</t>
  </si>
  <si>
    <t>A15a</t>
  </si>
  <si>
    <t>H-623J</t>
  </si>
  <si>
    <t>P5-01</t>
  </si>
  <si>
    <t xml:space="preserve">        FY27-P01&amp;P02</t>
  </si>
  <si>
    <t>ARE55L_S03_HSAT_500MW_MERCHANT</t>
  </si>
  <si>
    <t>H-54S6-01-01</t>
  </si>
  <si>
    <t>H-624B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</si>
</sst>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family val="2"/>
      <scheme val="minor"/>
    </font>
    <font>
      <b/>
      <sz val="10"/>
      <color rgb="FFFFFFFF"/>
      <name val="Adani Regular"/>
    </font>
    <font>
      <sz val="10"/>
      <color rgb="FF000000"/>
      <name val="Adani Regular"/>
      <family val="2"/>
    </font>
    <font>
      <sz val="10"/>
      <color rgb="FF000000"/>
      <name val="Adani Regular"/>
    </font>
    <font>
      <sz val="11"/>
      <color rgb="FF9C0006"/>
      <name val="Aptos Narrow"/>
      <family val="2"/>
    </font>
    <font>
      <sz val="10"/>
      <color rgb="FF9C0006"/>
      <name val="Adani Regular"/>
      <family val="2"/>
    </font>
    <font>
      <sz val="11"/>
      <color rgb="FF000000"/>
      <name val="Aptos Narrow"/>
      <family val="2"/>
    </font>
    <font>
      <sz val="10"/>
      <color rgb="FFFF0000"/>
      <name val="Adani Regular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dani Regular"/>
    </font>
    <font>
      <sz val="11"/>
      <name val="Aptos Narrow"/>
      <family val="2"/>
      <scheme val="minor"/>
    </font>
    <font>
      <sz val="11"/>
      <name val="Aptos Narrow"/>
      <family val="2"/>
    </font>
    <font>
      <sz val="10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8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8B77E316-4A68-4C82-B903-5945F61FE9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073085\AppData\Local\Microsoft\Windows\INetCache\Content.Outlook\KPI6RR93\Module%20WBS%20p4.xlsx" TargetMode="External"/><Relationship Id="rId1" Type="http://schemas.openxmlformats.org/officeDocument/2006/relationships/externalLinkPath" Target="file:///C:\Users\30073085\AppData\Local\Microsoft\Windows\INetCache\Content.Outlook\KPI6RR93\Module%20WBS%20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 24-26 Khavda Solar Budget_V1"/>
      <sheetName val="Sheet6"/>
      <sheetName val="Sheet3"/>
      <sheetName val="Sheet5"/>
      <sheetName val="EPC"/>
      <sheetName val="Plant code details"/>
      <sheetName val="Sheet7"/>
      <sheetName val="Sheet9"/>
      <sheetName val="FY 26-27 Projects"/>
      <sheetName val="KH Solar Plan-Ph4"/>
      <sheetName val="Sheet8"/>
      <sheetName val="Sheet10"/>
      <sheetName val="FY 24-26 Khavda Solar_V0"/>
      <sheetName val="PSS - Cap Adds"/>
      <sheetName val="MoM -13112024"/>
      <sheetName val="Sheet4"/>
      <sheetName val="Sheet1"/>
      <sheetName val="Summary of Khavda"/>
      <sheetName val="Sheet2"/>
      <sheetName val="Khavda"/>
      <sheetName val="FY 25-26 Master Pl Khavda S+W"/>
      <sheetName val="FY25-26 Projects List for Capex"/>
      <sheetName val="FY 24-25-26 Master Plan"/>
      <sheetName val="FY 25-26 Khavda IDT"/>
      <sheetName val="FY 25-26 Master Pl Khavda Solar"/>
      <sheetName val="FY 24-26 Khavda Wind"/>
      <sheetName val="FY 25-26 Plan Wind (OS Khavda)"/>
      <sheetName val="FY 24-26 RJ &amp; AP Solar"/>
      <sheetName val="Module WBS p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69" zoomScaleNormal="90" workbookViewId="0">
      <pane ySplit="1" topLeftCell="A45" activePane="bottomLeft" state="frozen"/>
      <selection pane="bottomLeft" activeCell="R53" sqref="R53"/>
    </sheetView>
  </sheetViews>
  <sheetFormatPr defaultColWidth="9.140625" defaultRowHeight="28.5" customHeight="1"/>
  <cols>
    <col min="1" max="1" width="11.42578125" style="1" customWidth="1"/>
    <col min="2" max="2" width="24.7109375" style="1" customWidth="1"/>
    <col min="3" max="3" width="12.42578125" style="1" customWidth="1"/>
    <col min="4" max="4" width="20.28515625" style="1" customWidth="1"/>
    <col min="5" max="5" width="50.5703125" style="1" customWidth="1"/>
    <col min="6" max="6" width="9.140625" style="2"/>
    <col min="7" max="7" width="17.140625" style="1" customWidth="1"/>
    <col min="8" max="8" width="9.140625" style="2"/>
    <col min="9" max="9" width="11.42578125" style="2" bestFit="1" customWidth="1"/>
    <col min="10" max="10" width="9.140625" style="2"/>
    <col min="11" max="11" width="14.5703125" style="2" customWidth="1"/>
    <col min="12" max="12" width="12.28515625" style="3" customWidth="1"/>
    <col min="13" max="13" width="11.85546875" style="3" customWidth="1"/>
    <col min="14" max="14" width="19.85546875" style="3" customWidth="1"/>
    <col min="15" max="15" width="12.42578125" style="3" customWidth="1"/>
    <col min="16" max="16" width="10.85546875" style="1" customWidth="1"/>
    <col min="17" max="17" width="13.7109375" style="1" customWidth="1"/>
    <col min="18" max="18" width="23" style="1" customWidth="1"/>
    <col min="19" max="19" width="47.5703125" style="1" customWidth="1"/>
    <col min="20" max="16384" width="9.140625" style="1"/>
  </cols>
  <sheetData>
    <row r="1" spans="1:18" ht="28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5" t="s">
        <v>15</v>
      </c>
      <c r="Q1" s="5" t="s">
        <v>16</v>
      </c>
      <c r="R1" s="1" t="s">
        <v>17</v>
      </c>
    </row>
    <row r="2" spans="1:18" ht="28.5" customHeight="1">
      <c r="A2" s="6" t="s">
        <v>18</v>
      </c>
      <c r="B2" s="6" t="s">
        <v>19</v>
      </c>
      <c r="C2" s="6" t="s">
        <v>19</v>
      </c>
      <c r="D2" s="8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>
        <v>125</v>
      </c>
      <c r="J2" s="6">
        <v>1.36</v>
      </c>
      <c r="K2" s="6">
        <v>170</v>
      </c>
      <c r="L2" s="9">
        <v>2303</v>
      </c>
      <c r="M2" s="9">
        <v>2303</v>
      </c>
      <c r="N2" s="9" t="s">
        <v>25</v>
      </c>
      <c r="O2" s="10">
        <v>6211</v>
      </c>
      <c r="P2" s="7" t="s">
        <v>26</v>
      </c>
      <c r="Q2" s="6" t="s">
        <v>27</v>
      </c>
    </row>
    <row r="3" spans="1:18" ht="28.5" customHeight="1">
      <c r="A3" s="6" t="s">
        <v>28</v>
      </c>
      <c r="B3" s="6" t="s">
        <v>29</v>
      </c>
      <c r="C3" s="6" t="s">
        <v>30</v>
      </c>
      <c r="D3" s="8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>
        <v>150</v>
      </c>
      <c r="J3" s="6">
        <v>1.35</v>
      </c>
      <c r="K3" s="6">
        <v>203</v>
      </c>
      <c r="L3" s="11" t="s">
        <v>36</v>
      </c>
      <c r="M3" s="14" t="s">
        <v>37</v>
      </c>
      <c r="N3" s="14" t="s">
        <v>38</v>
      </c>
      <c r="O3" s="10">
        <v>6211</v>
      </c>
      <c r="P3" s="7" t="s">
        <v>26</v>
      </c>
      <c r="Q3" s="6" t="s">
        <v>27</v>
      </c>
    </row>
    <row r="4" spans="1:18" ht="28.5" customHeight="1">
      <c r="A4" s="6" t="s">
        <v>39</v>
      </c>
      <c r="B4" s="6" t="s">
        <v>29</v>
      </c>
      <c r="C4" s="6" t="s">
        <v>30</v>
      </c>
      <c r="D4" s="8" t="s">
        <v>40</v>
      </c>
      <c r="E4" s="6" t="s">
        <v>41</v>
      </c>
      <c r="F4" s="6" t="s">
        <v>42</v>
      </c>
      <c r="G4" s="6" t="s">
        <v>34</v>
      </c>
      <c r="H4" s="6" t="s">
        <v>35</v>
      </c>
      <c r="I4" s="6">
        <v>150</v>
      </c>
      <c r="J4" s="6">
        <v>1.35</v>
      </c>
      <c r="K4" s="6">
        <v>203</v>
      </c>
      <c r="L4" s="11" t="s">
        <v>36</v>
      </c>
      <c r="M4" s="14" t="s">
        <v>37</v>
      </c>
      <c r="N4" s="14" t="s">
        <v>43</v>
      </c>
      <c r="O4" s="10">
        <v>6211</v>
      </c>
      <c r="P4" s="7" t="s">
        <v>26</v>
      </c>
      <c r="Q4" s="6" t="s">
        <v>27</v>
      </c>
    </row>
    <row r="5" spans="1:18" ht="28.5" customHeight="1">
      <c r="A5" s="6" t="s">
        <v>44</v>
      </c>
      <c r="B5" s="6" t="s">
        <v>29</v>
      </c>
      <c r="C5" s="6" t="s">
        <v>45</v>
      </c>
      <c r="D5" s="8" t="s">
        <v>46</v>
      </c>
      <c r="E5" s="6" t="s">
        <v>47</v>
      </c>
      <c r="F5" s="6" t="s">
        <v>48</v>
      </c>
      <c r="G5" s="6" t="s">
        <v>34</v>
      </c>
      <c r="H5" s="6" t="s">
        <v>35</v>
      </c>
      <c r="I5" s="6">
        <v>100</v>
      </c>
      <c r="J5" s="6">
        <v>1.35</v>
      </c>
      <c r="K5" s="6">
        <v>135</v>
      </c>
      <c r="L5" s="12" t="s">
        <v>49</v>
      </c>
      <c r="M5" s="14" t="s">
        <v>50</v>
      </c>
      <c r="N5" s="14" t="s">
        <v>51</v>
      </c>
      <c r="O5" s="10">
        <v>6211</v>
      </c>
      <c r="P5" s="7" t="s">
        <v>26</v>
      </c>
      <c r="Q5" s="6" t="s">
        <v>27</v>
      </c>
    </row>
    <row r="6" spans="1:18" ht="28.5" customHeight="1">
      <c r="A6" s="6" t="s">
        <v>52</v>
      </c>
      <c r="B6" s="6" t="s">
        <v>53</v>
      </c>
      <c r="C6" s="6" t="s">
        <v>54</v>
      </c>
      <c r="D6" s="8" t="s">
        <v>55</v>
      </c>
      <c r="E6" s="6" t="s">
        <v>56</v>
      </c>
      <c r="F6" s="6" t="s">
        <v>57</v>
      </c>
      <c r="G6" s="6" t="s">
        <v>58</v>
      </c>
      <c r="H6" s="6" t="s">
        <v>35</v>
      </c>
      <c r="I6" s="6">
        <v>75</v>
      </c>
      <c r="J6" s="6">
        <v>1.35</v>
      </c>
      <c r="K6" s="6">
        <v>101</v>
      </c>
      <c r="L6" s="11">
        <v>6061</v>
      </c>
      <c r="M6" s="14" t="s">
        <v>59</v>
      </c>
      <c r="N6" s="14" t="s">
        <v>60</v>
      </c>
      <c r="O6" s="10">
        <v>6211</v>
      </c>
      <c r="P6" s="7" t="s">
        <v>26</v>
      </c>
      <c r="Q6" s="6" t="s">
        <v>61</v>
      </c>
    </row>
    <row r="7" spans="1:18" ht="28.5" customHeight="1">
      <c r="A7" s="6" t="s">
        <v>62</v>
      </c>
      <c r="B7" s="6" t="s">
        <v>53</v>
      </c>
      <c r="C7" s="6" t="s">
        <v>54</v>
      </c>
      <c r="D7" s="25" t="s">
        <v>63</v>
      </c>
      <c r="E7" s="6" t="s">
        <v>64</v>
      </c>
      <c r="F7" s="6" t="s">
        <v>57</v>
      </c>
      <c r="G7" s="6" t="s">
        <v>58</v>
      </c>
      <c r="H7" s="6" t="s">
        <v>24</v>
      </c>
      <c r="I7" s="6">
        <v>425</v>
      </c>
      <c r="J7" s="6">
        <v>1.36</v>
      </c>
      <c r="K7" s="6">
        <v>578</v>
      </c>
      <c r="L7" s="11">
        <v>6061</v>
      </c>
      <c r="M7" s="14" t="s">
        <v>59</v>
      </c>
      <c r="N7" s="14" t="s">
        <v>60</v>
      </c>
      <c r="O7" s="10">
        <v>6211</v>
      </c>
      <c r="P7" s="7" t="s">
        <v>26</v>
      </c>
      <c r="Q7" s="6" t="s">
        <v>61</v>
      </c>
    </row>
    <row r="8" spans="1:18" ht="28.5" customHeight="1">
      <c r="A8" s="6" t="s">
        <v>65</v>
      </c>
      <c r="B8" s="6" t="s">
        <v>66</v>
      </c>
      <c r="C8" s="6" t="s">
        <v>67</v>
      </c>
      <c r="D8" s="8" t="s">
        <v>68</v>
      </c>
      <c r="E8" s="6" t="s">
        <v>69</v>
      </c>
      <c r="F8" s="6" t="s">
        <v>70</v>
      </c>
      <c r="G8" s="6" t="s">
        <v>58</v>
      </c>
      <c r="H8" s="6" t="s">
        <v>24</v>
      </c>
      <c r="I8" s="15">
        <v>50</v>
      </c>
      <c r="J8" s="6">
        <v>1.33</v>
      </c>
      <c r="K8" s="16">
        <f>I8*J8</f>
        <v>66.5</v>
      </c>
      <c r="L8" s="11">
        <v>6031</v>
      </c>
      <c r="M8" s="14" t="s">
        <v>71</v>
      </c>
      <c r="N8" s="14" t="s">
        <v>72</v>
      </c>
      <c r="O8" s="10">
        <v>6211</v>
      </c>
      <c r="P8" s="7" t="s">
        <v>26</v>
      </c>
      <c r="Q8" s="6" t="s">
        <v>73</v>
      </c>
      <c r="R8" s="4"/>
    </row>
    <row r="9" spans="1:18" ht="28.5" customHeight="1">
      <c r="A9" s="6" t="s">
        <v>74</v>
      </c>
      <c r="B9" s="6" t="s">
        <v>75</v>
      </c>
      <c r="C9" s="6" t="s">
        <v>67</v>
      </c>
      <c r="D9" s="8" t="s">
        <v>76</v>
      </c>
      <c r="E9" s="6" t="s">
        <v>77</v>
      </c>
      <c r="F9" s="6" t="s">
        <v>70</v>
      </c>
      <c r="G9" s="6" t="s">
        <v>58</v>
      </c>
      <c r="H9" s="6" t="s">
        <v>24</v>
      </c>
      <c r="I9" s="15">
        <v>200</v>
      </c>
      <c r="J9" s="6">
        <v>1.32</v>
      </c>
      <c r="K9" s="16">
        <f>I9*J9</f>
        <v>264</v>
      </c>
      <c r="L9" s="11">
        <v>6031</v>
      </c>
      <c r="M9" s="14" t="s">
        <v>71</v>
      </c>
      <c r="N9" s="14" t="s">
        <v>78</v>
      </c>
      <c r="O9" s="10">
        <v>6211</v>
      </c>
      <c r="P9" s="7" t="s">
        <v>26</v>
      </c>
      <c r="Q9" s="6" t="s">
        <v>73</v>
      </c>
      <c r="R9" s="4"/>
    </row>
    <row r="10" spans="1:18" ht="28.5" customHeight="1">
      <c r="A10" s="6" t="s">
        <v>79</v>
      </c>
      <c r="B10" s="6" t="s">
        <v>80</v>
      </c>
      <c r="C10" s="6" t="s">
        <v>67</v>
      </c>
      <c r="D10" s="8" t="s">
        <v>81</v>
      </c>
      <c r="E10" s="6" t="s">
        <v>82</v>
      </c>
      <c r="F10" s="6" t="s">
        <v>70</v>
      </c>
      <c r="G10" s="6" t="s">
        <v>58</v>
      </c>
      <c r="H10" s="6" t="s">
        <v>24</v>
      </c>
      <c r="I10" s="15">
        <v>167</v>
      </c>
      <c r="J10" s="6">
        <v>1.33</v>
      </c>
      <c r="K10" s="16">
        <f>I10*J10</f>
        <v>222.11</v>
      </c>
      <c r="L10" s="11">
        <v>6031</v>
      </c>
      <c r="M10" s="14" t="s">
        <v>71</v>
      </c>
      <c r="N10" s="14" t="s">
        <v>83</v>
      </c>
      <c r="O10" s="10">
        <v>6211</v>
      </c>
      <c r="P10" s="7" t="s">
        <v>26</v>
      </c>
      <c r="Q10" s="6" t="s">
        <v>73</v>
      </c>
      <c r="R10" s="4"/>
    </row>
    <row r="11" spans="1:18" ht="28.5" customHeight="1">
      <c r="A11" s="6" t="s">
        <v>84</v>
      </c>
      <c r="B11" s="6" t="s">
        <v>85</v>
      </c>
      <c r="C11" s="6" t="s">
        <v>67</v>
      </c>
      <c r="D11" s="8" t="s">
        <v>86</v>
      </c>
      <c r="E11" s="6" t="s">
        <v>87</v>
      </c>
      <c r="F11" s="6" t="s">
        <v>70</v>
      </c>
      <c r="G11" s="6" t="s">
        <v>58</v>
      </c>
      <c r="H11" s="6" t="s">
        <v>24</v>
      </c>
      <c r="I11" s="15">
        <v>333</v>
      </c>
      <c r="J11" s="6">
        <v>1.32</v>
      </c>
      <c r="K11" s="16">
        <f>I11*J11</f>
        <v>439.56</v>
      </c>
      <c r="L11" s="11">
        <v>6031</v>
      </c>
      <c r="M11" s="14" t="s">
        <v>71</v>
      </c>
      <c r="N11" s="14" t="s">
        <v>88</v>
      </c>
      <c r="O11" s="10">
        <v>6211</v>
      </c>
      <c r="P11" s="7" t="s">
        <v>26</v>
      </c>
      <c r="Q11" s="6" t="s">
        <v>73</v>
      </c>
      <c r="R11" s="4"/>
    </row>
    <row r="12" spans="1:18" ht="28.5" customHeight="1">
      <c r="A12" s="6" t="s">
        <v>89</v>
      </c>
      <c r="B12" s="6" t="s">
        <v>90</v>
      </c>
      <c r="C12" s="6" t="s">
        <v>67</v>
      </c>
      <c r="D12" s="8" t="s">
        <v>91</v>
      </c>
      <c r="E12" s="6" t="s">
        <v>92</v>
      </c>
      <c r="F12" s="6" t="s">
        <v>93</v>
      </c>
      <c r="G12" s="6" t="s">
        <v>58</v>
      </c>
      <c r="H12" s="6" t="s">
        <v>24</v>
      </c>
      <c r="I12" s="15">
        <f>K12/J12</f>
        <v>50</v>
      </c>
      <c r="J12" s="6">
        <v>1.33</v>
      </c>
      <c r="K12" s="16">
        <v>66.5</v>
      </c>
      <c r="L12" s="11">
        <v>6031</v>
      </c>
      <c r="M12" s="14" t="s">
        <v>71</v>
      </c>
      <c r="N12" s="14" t="s">
        <v>94</v>
      </c>
      <c r="O12" s="10">
        <v>6211</v>
      </c>
      <c r="P12" s="7" t="s">
        <v>26</v>
      </c>
      <c r="Q12" s="6" t="s">
        <v>73</v>
      </c>
      <c r="R12" s="4"/>
    </row>
    <row r="13" spans="1:18" ht="28.5" customHeight="1">
      <c r="A13" s="6" t="s">
        <v>95</v>
      </c>
      <c r="B13" s="6" t="s">
        <v>96</v>
      </c>
      <c r="C13" s="6" t="s">
        <v>97</v>
      </c>
      <c r="D13" s="8" t="s">
        <v>98</v>
      </c>
      <c r="E13" s="6" t="s">
        <v>99</v>
      </c>
      <c r="F13" s="6" t="s">
        <v>33</v>
      </c>
      <c r="G13" s="6" t="s">
        <v>34</v>
      </c>
      <c r="H13" s="6" t="s">
        <v>35</v>
      </c>
      <c r="I13" s="6">
        <v>292</v>
      </c>
      <c r="J13" s="6">
        <v>1.35</v>
      </c>
      <c r="K13" s="6">
        <v>394</v>
      </c>
      <c r="L13" s="9">
        <v>6057</v>
      </c>
      <c r="M13" s="14" t="s">
        <v>100</v>
      </c>
      <c r="N13" s="14" t="s">
        <v>101</v>
      </c>
      <c r="O13" s="10">
        <v>6211</v>
      </c>
      <c r="P13" s="7" t="s">
        <v>26</v>
      </c>
      <c r="Q13" s="6" t="s">
        <v>27</v>
      </c>
    </row>
    <row r="14" spans="1:18" ht="28.5" customHeight="1">
      <c r="A14" s="6" t="s">
        <v>102</v>
      </c>
      <c r="B14" s="6" t="s">
        <v>29</v>
      </c>
      <c r="C14" s="6" t="s">
        <v>103</v>
      </c>
      <c r="D14" s="8" t="s">
        <v>104</v>
      </c>
      <c r="E14" s="6" t="s">
        <v>105</v>
      </c>
      <c r="F14" s="6" t="s">
        <v>106</v>
      </c>
      <c r="G14" s="6" t="s">
        <v>34</v>
      </c>
      <c r="H14" s="6" t="s">
        <v>35</v>
      </c>
      <c r="I14" s="6">
        <v>150</v>
      </c>
      <c r="J14" s="6">
        <v>1.35</v>
      </c>
      <c r="K14" s="6">
        <v>203</v>
      </c>
      <c r="L14" s="11">
        <v>6885</v>
      </c>
      <c r="M14" s="14" t="s">
        <v>107</v>
      </c>
      <c r="N14" s="14" t="s">
        <v>108</v>
      </c>
      <c r="O14" s="10">
        <v>6211</v>
      </c>
      <c r="P14" s="7" t="s">
        <v>26</v>
      </c>
      <c r="Q14" s="6" t="s">
        <v>27</v>
      </c>
    </row>
    <row r="15" spans="1:18" s="22" customFormat="1" ht="28.5" customHeight="1">
      <c r="A15" s="17" t="s">
        <v>109</v>
      </c>
      <c r="B15" s="17" t="s">
        <v>96</v>
      </c>
      <c r="C15" s="17" t="s">
        <v>103</v>
      </c>
      <c r="D15" s="18" t="s">
        <v>110</v>
      </c>
      <c r="E15" s="17" t="s">
        <v>111</v>
      </c>
      <c r="F15" s="17" t="s">
        <v>112</v>
      </c>
      <c r="G15" s="17" t="s">
        <v>34</v>
      </c>
      <c r="H15" s="17" t="s">
        <v>35</v>
      </c>
      <c r="I15" s="17">
        <v>300</v>
      </c>
      <c r="J15" s="17">
        <v>1.35</v>
      </c>
      <c r="K15" s="17">
        <v>405</v>
      </c>
      <c r="L15" s="24">
        <v>6885</v>
      </c>
      <c r="M15" s="19" t="s">
        <v>107</v>
      </c>
      <c r="N15" s="19" t="s">
        <v>113</v>
      </c>
      <c r="O15" s="20">
        <v>6211</v>
      </c>
      <c r="P15" s="21" t="s">
        <v>26</v>
      </c>
      <c r="Q15" s="17" t="s">
        <v>27</v>
      </c>
    </row>
    <row r="16" spans="1:18" ht="28.5" customHeight="1">
      <c r="A16" s="6" t="s">
        <v>114</v>
      </c>
      <c r="B16" s="6" t="s">
        <v>29</v>
      </c>
      <c r="C16" s="6" t="s">
        <v>115</v>
      </c>
      <c r="D16" s="8" t="s">
        <v>116</v>
      </c>
      <c r="E16" s="6" t="s">
        <v>117</v>
      </c>
      <c r="F16" s="6" t="s">
        <v>57</v>
      </c>
      <c r="G16" s="6" t="s">
        <v>34</v>
      </c>
      <c r="H16" s="6" t="s">
        <v>35</v>
      </c>
      <c r="I16" s="6">
        <v>25</v>
      </c>
      <c r="J16" s="6">
        <v>1.35</v>
      </c>
      <c r="K16" s="6">
        <v>34</v>
      </c>
      <c r="L16" s="9">
        <v>9221</v>
      </c>
      <c r="M16" s="14" t="s">
        <v>118</v>
      </c>
      <c r="N16" s="14" t="s">
        <v>119</v>
      </c>
      <c r="O16" s="10">
        <v>6211</v>
      </c>
      <c r="P16" s="7" t="s">
        <v>26</v>
      </c>
      <c r="Q16" s="6" t="s">
        <v>27</v>
      </c>
    </row>
    <row r="17" spans="1:17" s="34" customFormat="1" ht="28.5" customHeight="1">
      <c r="A17" s="28" t="s">
        <v>120</v>
      </c>
      <c r="B17" s="28" t="s">
        <v>121</v>
      </c>
      <c r="C17" s="28" t="s">
        <v>122</v>
      </c>
      <c r="D17" s="29" t="s">
        <v>123</v>
      </c>
      <c r="E17" s="28" t="s">
        <v>124</v>
      </c>
      <c r="F17" s="28" t="s">
        <v>125</v>
      </c>
      <c r="G17" s="28" t="s">
        <v>58</v>
      </c>
      <c r="H17" s="28" t="s">
        <v>35</v>
      </c>
      <c r="I17" s="28">
        <v>350</v>
      </c>
      <c r="J17" s="28">
        <v>1.35</v>
      </c>
      <c r="K17" s="28">
        <f>I17*J17</f>
        <v>472.50000000000006</v>
      </c>
      <c r="L17" s="30" t="s">
        <v>126</v>
      </c>
      <c r="M17" s="31" t="s">
        <v>127</v>
      </c>
      <c r="N17" s="31" t="s">
        <v>128</v>
      </c>
      <c r="O17" s="32">
        <v>6211</v>
      </c>
      <c r="P17" s="33" t="s">
        <v>26</v>
      </c>
      <c r="Q17" s="28" t="s">
        <v>61</v>
      </c>
    </row>
    <row r="18" spans="1:17" s="22" customFormat="1" ht="28.5" customHeight="1">
      <c r="A18" s="17" t="s">
        <v>129</v>
      </c>
      <c r="B18" s="17" t="s">
        <v>130</v>
      </c>
      <c r="C18" s="17" t="s">
        <v>122</v>
      </c>
      <c r="D18" s="18" t="s">
        <v>131</v>
      </c>
      <c r="E18" s="17" t="s">
        <v>130</v>
      </c>
      <c r="F18" s="17" t="s">
        <v>132</v>
      </c>
      <c r="G18" s="17" t="s">
        <v>58</v>
      </c>
      <c r="H18" s="17" t="s">
        <v>35</v>
      </c>
      <c r="I18" s="17">
        <v>500</v>
      </c>
      <c r="J18" s="17">
        <v>1.35</v>
      </c>
      <c r="K18" s="17">
        <f>I18*J18</f>
        <v>675</v>
      </c>
      <c r="L18" s="9" t="s">
        <v>126</v>
      </c>
      <c r="M18" s="19" t="s">
        <v>127</v>
      </c>
      <c r="N18" s="14" t="s">
        <v>128</v>
      </c>
      <c r="O18" s="20">
        <v>6211</v>
      </c>
      <c r="P18" s="21" t="s">
        <v>26</v>
      </c>
      <c r="Q18" s="17" t="s">
        <v>61</v>
      </c>
    </row>
    <row r="19" spans="1:17" s="22" customFormat="1" ht="28.5" customHeight="1">
      <c r="A19" s="17" t="s">
        <v>129</v>
      </c>
      <c r="B19" s="17" t="s">
        <v>133</v>
      </c>
      <c r="C19" s="17" t="s">
        <v>122</v>
      </c>
      <c r="D19" s="18" t="s">
        <v>131</v>
      </c>
      <c r="E19" s="17" t="s">
        <v>133</v>
      </c>
      <c r="F19" s="17" t="s">
        <v>125</v>
      </c>
      <c r="G19" s="17" t="s">
        <v>58</v>
      </c>
      <c r="H19" s="17" t="s">
        <v>35</v>
      </c>
      <c r="I19" s="17">
        <v>350</v>
      </c>
      <c r="J19" s="17">
        <v>1.35</v>
      </c>
      <c r="K19" s="17">
        <f>I19*J19</f>
        <v>472.50000000000006</v>
      </c>
      <c r="L19" s="9" t="s">
        <v>126</v>
      </c>
      <c r="M19" s="19" t="s">
        <v>127</v>
      </c>
      <c r="N19" s="14" t="s">
        <v>128</v>
      </c>
      <c r="O19" s="20">
        <v>6211</v>
      </c>
      <c r="P19" s="21" t="s">
        <v>26</v>
      </c>
      <c r="Q19" s="17" t="s">
        <v>61</v>
      </c>
    </row>
    <row r="20" spans="1:17" ht="28.5" customHeight="1">
      <c r="A20" s="6" t="s">
        <v>109</v>
      </c>
      <c r="B20" s="6" t="s">
        <v>29</v>
      </c>
      <c r="C20" s="6" t="s">
        <v>134</v>
      </c>
      <c r="D20" s="8" t="s">
        <v>135</v>
      </c>
      <c r="E20" s="6" t="s">
        <v>136</v>
      </c>
      <c r="F20" s="6" t="s">
        <v>57</v>
      </c>
      <c r="G20" s="6" t="s">
        <v>34</v>
      </c>
      <c r="H20" s="6" t="s">
        <v>35</v>
      </c>
      <c r="I20" s="6">
        <v>35</v>
      </c>
      <c r="J20" s="6">
        <v>1.35</v>
      </c>
      <c r="K20" s="6">
        <v>47</v>
      </c>
      <c r="L20" s="9">
        <v>9844</v>
      </c>
      <c r="M20" s="14" t="s">
        <v>137</v>
      </c>
      <c r="N20" s="14" t="s">
        <v>138</v>
      </c>
      <c r="O20" s="10">
        <v>6211</v>
      </c>
      <c r="P20" s="7" t="s">
        <v>26</v>
      </c>
      <c r="Q20" s="6" t="s">
        <v>27</v>
      </c>
    </row>
    <row r="21" spans="1:17" s="22" customFormat="1" ht="28.5" customHeight="1">
      <c r="A21" s="17" t="s">
        <v>139</v>
      </c>
      <c r="B21" s="26" t="s">
        <v>140</v>
      </c>
      <c r="C21" s="26" t="s">
        <v>140</v>
      </c>
      <c r="D21" s="17" t="s">
        <v>141</v>
      </c>
      <c r="E21" s="17" t="s">
        <v>142</v>
      </c>
      <c r="F21" s="17" t="s">
        <v>106</v>
      </c>
      <c r="G21" s="17" t="s">
        <v>34</v>
      </c>
      <c r="H21" s="17" t="s">
        <v>35</v>
      </c>
      <c r="I21" s="17">
        <v>12.5</v>
      </c>
      <c r="J21" s="17">
        <v>1.35</v>
      </c>
      <c r="K21" s="27">
        <f>+J21*I21</f>
        <v>16.875</v>
      </c>
      <c r="L21" s="19" t="s">
        <v>143</v>
      </c>
      <c r="M21" s="19" t="s">
        <v>143</v>
      </c>
      <c r="N21" s="19" t="s">
        <v>144</v>
      </c>
      <c r="O21" s="19" t="s">
        <v>143</v>
      </c>
      <c r="P21" s="17" t="s">
        <v>26</v>
      </c>
      <c r="Q21" s="17" t="s">
        <v>27</v>
      </c>
    </row>
    <row r="22" spans="1:17" s="22" customFormat="1" ht="28.5" customHeight="1">
      <c r="A22" s="17" t="s">
        <v>145</v>
      </c>
      <c r="B22" s="26" t="s">
        <v>146</v>
      </c>
      <c r="C22" s="26" t="s">
        <v>147</v>
      </c>
      <c r="D22" s="17" t="s">
        <v>148</v>
      </c>
      <c r="E22" s="17" t="s">
        <v>149</v>
      </c>
      <c r="F22" s="17" t="s">
        <v>106</v>
      </c>
      <c r="G22" s="17" t="s">
        <v>34</v>
      </c>
      <c r="H22" s="17" t="s">
        <v>35</v>
      </c>
      <c r="I22" s="17">
        <v>25</v>
      </c>
      <c r="J22" s="17">
        <v>1.35</v>
      </c>
      <c r="K22" s="27">
        <f>+J22*I22</f>
        <v>33.75</v>
      </c>
      <c r="L22" s="19" t="s">
        <v>150</v>
      </c>
      <c r="M22" s="19" t="s">
        <v>151</v>
      </c>
      <c r="N22" s="19" t="s">
        <v>152</v>
      </c>
      <c r="O22" s="20" t="s">
        <v>153</v>
      </c>
      <c r="P22" s="17" t="s">
        <v>26</v>
      </c>
      <c r="Q22" s="17" t="s">
        <v>27</v>
      </c>
    </row>
    <row r="23" spans="1:17" s="22" customFormat="1" ht="28.5" customHeight="1">
      <c r="A23" s="17" t="s">
        <v>154</v>
      </c>
      <c r="B23" s="17" t="s">
        <v>155</v>
      </c>
      <c r="C23" s="17" t="s">
        <v>45</v>
      </c>
      <c r="D23" s="18" t="s">
        <v>156</v>
      </c>
      <c r="E23" s="17" t="s">
        <v>157</v>
      </c>
      <c r="F23" s="17"/>
      <c r="G23" s="17" t="s">
        <v>58</v>
      </c>
      <c r="H23" s="17" t="s">
        <v>24</v>
      </c>
      <c r="I23" s="23">
        <v>500</v>
      </c>
      <c r="J23" s="17">
        <v>1.39</v>
      </c>
      <c r="K23" s="17">
        <f>+J23*I23</f>
        <v>695</v>
      </c>
      <c r="L23" s="20" t="s">
        <v>158</v>
      </c>
      <c r="M23" s="19" t="s">
        <v>159</v>
      </c>
      <c r="N23" s="19"/>
      <c r="O23" s="19" t="s">
        <v>160</v>
      </c>
      <c r="P23" s="17" t="s">
        <v>161</v>
      </c>
      <c r="Q23" s="17" t="s">
        <v>73</v>
      </c>
    </row>
    <row r="24" spans="1:17" s="22" customFormat="1" ht="28.5" customHeight="1">
      <c r="A24" s="17" t="s">
        <v>154</v>
      </c>
      <c r="B24" s="17" t="s">
        <v>162</v>
      </c>
      <c r="C24" s="17" t="s">
        <v>163</v>
      </c>
      <c r="D24" s="18" t="s">
        <v>164</v>
      </c>
      <c r="E24" s="17" t="s">
        <v>165</v>
      </c>
      <c r="F24" s="17"/>
      <c r="G24" s="17" t="s">
        <v>58</v>
      </c>
      <c r="H24" s="17" t="s">
        <v>24</v>
      </c>
      <c r="I24" s="17">
        <v>600</v>
      </c>
      <c r="J24" s="17">
        <v>1.36</v>
      </c>
      <c r="K24" s="17">
        <f>+J24*I24</f>
        <v>816.00000000000011</v>
      </c>
      <c r="L24" s="20">
        <v>9712</v>
      </c>
      <c r="M24" s="19" t="s">
        <v>166</v>
      </c>
      <c r="N24" s="19"/>
      <c r="O24" s="19" t="s">
        <v>167</v>
      </c>
      <c r="P24" s="17" t="s">
        <v>161</v>
      </c>
      <c r="Q24" s="17" t="s">
        <v>61</v>
      </c>
    </row>
    <row r="25" spans="1:17" ht="28.5" customHeight="1">
      <c r="A25" s="6" t="s">
        <v>168</v>
      </c>
      <c r="B25" s="6" t="s">
        <v>169</v>
      </c>
      <c r="C25" s="6" t="s">
        <v>170</v>
      </c>
      <c r="D25" s="6" t="s">
        <v>171</v>
      </c>
      <c r="E25" s="6" t="s">
        <v>172</v>
      </c>
      <c r="F25" s="35" t="s">
        <v>173</v>
      </c>
      <c r="G25" s="6" t="s">
        <v>34</v>
      </c>
      <c r="H25" s="35" t="s">
        <v>35</v>
      </c>
      <c r="I25" s="35">
        <v>25</v>
      </c>
      <c r="J25" s="35">
        <v>1.35</v>
      </c>
      <c r="K25" s="36">
        <f t="shared" ref="K25:K55" si="0">+J25*I25</f>
        <v>33.75</v>
      </c>
      <c r="L25" s="37" t="s">
        <v>174</v>
      </c>
      <c r="M25" s="37" t="s">
        <v>175</v>
      </c>
      <c r="N25" s="37" t="s">
        <v>176</v>
      </c>
      <c r="O25" s="37" t="s">
        <v>177</v>
      </c>
      <c r="P25" s="6" t="s">
        <v>26</v>
      </c>
      <c r="Q25" s="38" t="s">
        <v>27</v>
      </c>
    </row>
    <row r="26" spans="1:17" ht="28.5" customHeight="1">
      <c r="A26" s="6" t="s">
        <v>178</v>
      </c>
      <c r="B26" s="6" t="s">
        <v>179</v>
      </c>
      <c r="C26" s="6" t="s">
        <v>180</v>
      </c>
      <c r="D26" s="6" t="s">
        <v>181</v>
      </c>
      <c r="E26" s="6" t="s">
        <v>182</v>
      </c>
      <c r="F26" s="35" t="s">
        <v>183</v>
      </c>
      <c r="G26" s="6" t="s">
        <v>184</v>
      </c>
      <c r="H26" s="35" t="s">
        <v>35</v>
      </c>
      <c r="I26" s="35">
        <v>25</v>
      </c>
      <c r="J26" s="35">
        <v>1.35</v>
      </c>
      <c r="K26" s="36">
        <f t="shared" si="0"/>
        <v>33.75</v>
      </c>
      <c r="L26" s="37"/>
      <c r="M26" s="37"/>
      <c r="N26" s="37" t="s">
        <v>185</v>
      </c>
      <c r="O26" s="37"/>
      <c r="P26" s="6" t="s">
        <v>26</v>
      </c>
      <c r="Q26" s="38" t="s">
        <v>27</v>
      </c>
    </row>
    <row r="27" spans="1:17" ht="28.5" customHeight="1">
      <c r="A27" s="6" t="s">
        <v>186</v>
      </c>
      <c r="B27" s="6" t="s">
        <v>187</v>
      </c>
      <c r="C27" s="6" t="s">
        <v>19</v>
      </c>
      <c r="D27" s="6" t="s">
        <v>188</v>
      </c>
      <c r="E27" s="6" t="s">
        <v>189</v>
      </c>
      <c r="F27" s="35" t="s">
        <v>190</v>
      </c>
      <c r="G27" s="6" t="s">
        <v>184</v>
      </c>
      <c r="H27" s="35" t="s">
        <v>24</v>
      </c>
      <c r="I27" s="35">
        <v>25</v>
      </c>
      <c r="J27" s="35">
        <v>1.36</v>
      </c>
      <c r="K27" s="36">
        <f t="shared" si="0"/>
        <v>34</v>
      </c>
      <c r="L27" s="37"/>
      <c r="M27" s="37"/>
      <c r="N27" s="37" t="s">
        <v>191</v>
      </c>
      <c r="O27" s="37"/>
      <c r="P27" s="6" t="s">
        <v>26</v>
      </c>
      <c r="Q27" s="38" t="s">
        <v>27</v>
      </c>
    </row>
    <row r="28" spans="1:17" ht="28.5" customHeight="1">
      <c r="A28" s="6" t="s">
        <v>192</v>
      </c>
      <c r="B28" s="6" t="s">
        <v>193</v>
      </c>
      <c r="C28" s="6" t="s">
        <v>103</v>
      </c>
      <c r="D28" s="6" t="s">
        <v>194</v>
      </c>
      <c r="E28" s="6" t="s">
        <v>195</v>
      </c>
      <c r="F28" s="35" t="s">
        <v>196</v>
      </c>
      <c r="G28" s="6" t="s">
        <v>34</v>
      </c>
      <c r="H28" s="35" t="s">
        <v>35</v>
      </c>
      <c r="I28" s="35">
        <v>300</v>
      </c>
      <c r="J28" s="35">
        <v>1.35</v>
      </c>
      <c r="K28" s="36">
        <f t="shared" si="0"/>
        <v>405</v>
      </c>
      <c r="L28" s="6" t="s">
        <v>197</v>
      </c>
      <c r="M28" s="37" t="s">
        <v>107</v>
      </c>
      <c r="N28" s="37" t="s">
        <v>113</v>
      </c>
      <c r="O28" s="37" t="s">
        <v>198</v>
      </c>
      <c r="P28" s="6" t="s">
        <v>26</v>
      </c>
      <c r="Q28" s="38" t="s">
        <v>61</v>
      </c>
    </row>
    <row r="29" spans="1:17" ht="28.5" customHeight="1">
      <c r="A29" s="6" t="s">
        <v>199</v>
      </c>
      <c r="B29" s="6" t="s">
        <v>187</v>
      </c>
      <c r="C29" s="6" t="s">
        <v>19</v>
      </c>
      <c r="D29" s="6" t="s">
        <v>200</v>
      </c>
      <c r="E29" s="6" t="s">
        <v>201</v>
      </c>
      <c r="F29" s="35" t="s">
        <v>202</v>
      </c>
      <c r="G29" s="6" t="s">
        <v>184</v>
      </c>
      <c r="H29" s="35" t="s">
        <v>35</v>
      </c>
      <c r="I29" s="35">
        <v>50</v>
      </c>
      <c r="J29" s="35">
        <v>1.35</v>
      </c>
      <c r="K29" s="36">
        <f t="shared" si="0"/>
        <v>67.5</v>
      </c>
      <c r="L29" s="37"/>
      <c r="M29" s="37"/>
      <c r="N29" s="37"/>
      <c r="O29" s="37"/>
      <c r="P29" s="6" t="s">
        <v>26</v>
      </c>
      <c r="Q29" s="38" t="s">
        <v>27</v>
      </c>
    </row>
    <row r="30" spans="1:17" ht="28.5" customHeight="1">
      <c r="A30" s="6" t="s">
        <v>203</v>
      </c>
      <c r="B30" s="6" t="s">
        <v>204</v>
      </c>
      <c r="C30" s="6" t="s">
        <v>205</v>
      </c>
      <c r="D30" s="6" t="s">
        <v>206</v>
      </c>
      <c r="E30" s="6" t="s">
        <v>207</v>
      </c>
      <c r="F30" s="35" t="s">
        <v>208</v>
      </c>
      <c r="G30" s="6" t="s">
        <v>58</v>
      </c>
      <c r="H30" s="35" t="s">
        <v>35</v>
      </c>
      <c r="I30" s="35">
        <v>50</v>
      </c>
      <c r="J30" s="35">
        <v>1.35</v>
      </c>
      <c r="K30" s="36">
        <f t="shared" si="0"/>
        <v>67.5</v>
      </c>
      <c r="L30" s="37" t="s">
        <v>209</v>
      </c>
      <c r="M30" s="37" t="s">
        <v>210</v>
      </c>
      <c r="N30" s="37" t="s">
        <v>211</v>
      </c>
      <c r="O30" s="37" t="s">
        <v>212</v>
      </c>
      <c r="P30" s="6" t="s">
        <v>26</v>
      </c>
      <c r="Q30" s="38" t="s">
        <v>27</v>
      </c>
    </row>
    <row r="31" spans="1:17" ht="28.5" customHeight="1">
      <c r="A31" s="6" t="s">
        <v>213</v>
      </c>
      <c r="B31" s="6" t="s">
        <v>214</v>
      </c>
      <c r="C31" s="6" t="s">
        <v>215</v>
      </c>
      <c r="D31" s="6" t="s">
        <v>216</v>
      </c>
      <c r="E31" s="6" t="s">
        <v>217</v>
      </c>
      <c r="F31" s="35" t="s">
        <v>218</v>
      </c>
      <c r="G31" s="6" t="s">
        <v>58</v>
      </c>
      <c r="H31" s="35" t="s">
        <v>35</v>
      </c>
      <c r="I31" s="35">
        <v>150</v>
      </c>
      <c r="J31" s="35">
        <v>1.35</v>
      </c>
      <c r="K31" s="36">
        <f t="shared" si="0"/>
        <v>202.5</v>
      </c>
      <c r="L31" s="37">
        <v>9361</v>
      </c>
      <c r="M31" s="37" t="s">
        <v>219</v>
      </c>
      <c r="N31" s="37" t="s">
        <v>220</v>
      </c>
      <c r="O31" s="37" t="s">
        <v>221</v>
      </c>
      <c r="P31" s="6" t="s">
        <v>26</v>
      </c>
      <c r="Q31" s="38" t="s">
        <v>27</v>
      </c>
    </row>
    <row r="32" spans="1:17" ht="28.5" customHeight="1">
      <c r="A32" s="6" t="s">
        <v>222</v>
      </c>
      <c r="B32" s="6" t="s">
        <v>204</v>
      </c>
      <c r="C32" s="6" t="s">
        <v>205</v>
      </c>
      <c r="D32" s="6" t="s">
        <v>223</v>
      </c>
      <c r="E32" s="6" t="s">
        <v>224</v>
      </c>
      <c r="F32" s="35" t="s">
        <v>202</v>
      </c>
      <c r="G32" s="6" t="s">
        <v>58</v>
      </c>
      <c r="H32" s="35" t="s">
        <v>35</v>
      </c>
      <c r="I32" s="35">
        <v>150</v>
      </c>
      <c r="J32" s="35">
        <v>1.35</v>
      </c>
      <c r="K32" s="36">
        <f t="shared" si="0"/>
        <v>202.5</v>
      </c>
      <c r="L32" s="37" t="s">
        <v>209</v>
      </c>
      <c r="M32" s="37" t="s">
        <v>225</v>
      </c>
      <c r="N32" s="37" t="s">
        <v>226</v>
      </c>
      <c r="O32" s="37" t="s">
        <v>227</v>
      </c>
      <c r="P32" s="6" t="s">
        <v>26</v>
      </c>
      <c r="Q32" s="38" t="s">
        <v>61</v>
      </c>
    </row>
    <row r="33" spans="1:17" ht="28.5" customHeight="1">
      <c r="A33" s="6" t="s">
        <v>228</v>
      </c>
      <c r="B33" s="6" t="s">
        <v>204</v>
      </c>
      <c r="C33" s="6" t="s">
        <v>205</v>
      </c>
      <c r="D33" s="6" t="s">
        <v>229</v>
      </c>
      <c r="E33" s="6" t="s">
        <v>230</v>
      </c>
      <c r="F33" s="35" t="s">
        <v>218</v>
      </c>
      <c r="G33" s="6" t="s">
        <v>58</v>
      </c>
      <c r="H33" s="35" t="s">
        <v>35</v>
      </c>
      <c r="I33" s="35">
        <v>125</v>
      </c>
      <c r="J33" s="35">
        <v>1.35</v>
      </c>
      <c r="K33" s="36">
        <f t="shared" si="0"/>
        <v>168.75</v>
      </c>
      <c r="L33" s="37" t="s">
        <v>209</v>
      </c>
      <c r="M33" s="37" t="s">
        <v>225</v>
      </c>
      <c r="N33" s="37" t="s">
        <v>226</v>
      </c>
      <c r="O33" s="37" t="s">
        <v>227</v>
      </c>
      <c r="P33" s="6" t="s">
        <v>26</v>
      </c>
      <c r="Q33" s="38" t="s">
        <v>27</v>
      </c>
    </row>
    <row r="34" spans="1:17" ht="28.5" customHeight="1">
      <c r="A34" s="6" t="s">
        <v>231</v>
      </c>
      <c r="B34" s="6" t="s">
        <v>232</v>
      </c>
      <c r="C34" s="6" t="s">
        <v>97</v>
      </c>
      <c r="D34" s="6" t="s">
        <v>233</v>
      </c>
      <c r="E34" s="6" t="s">
        <v>234</v>
      </c>
      <c r="F34" s="35" t="s">
        <v>235</v>
      </c>
      <c r="G34" s="6" t="s">
        <v>58</v>
      </c>
      <c r="H34" s="35" t="s">
        <v>35</v>
      </c>
      <c r="I34" s="35">
        <v>250</v>
      </c>
      <c r="J34" s="35">
        <v>1.35</v>
      </c>
      <c r="K34" s="36">
        <f t="shared" si="0"/>
        <v>337.5</v>
      </c>
      <c r="L34" s="37">
        <v>6051</v>
      </c>
      <c r="M34" s="37" t="s">
        <v>236</v>
      </c>
      <c r="N34" s="37" t="s">
        <v>237</v>
      </c>
      <c r="O34" s="37" t="s">
        <v>238</v>
      </c>
      <c r="P34" s="6" t="s">
        <v>26</v>
      </c>
      <c r="Q34" s="38" t="s">
        <v>27</v>
      </c>
    </row>
    <row r="35" spans="1:17" ht="28.5" customHeight="1">
      <c r="A35" s="6" t="s">
        <v>239</v>
      </c>
      <c r="B35" s="6" t="s">
        <v>232</v>
      </c>
      <c r="C35" s="6" t="s">
        <v>30</v>
      </c>
      <c r="D35" s="6" t="s">
        <v>240</v>
      </c>
      <c r="E35" s="6" t="s">
        <v>241</v>
      </c>
      <c r="F35" s="35" t="s">
        <v>235</v>
      </c>
      <c r="G35" s="6" t="s">
        <v>58</v>
      </c>
      <c r="H35" s="35" t="s">
        <v>35</v>
      </c>
      <c r="I35" s="35">
        <v>250</v>
      </c>
      <c r="J35" s="35">
        <v>1.35</v>
      </c>
      <c r="K35" s="36">
        <f t="shared" si="0"/>
        <v>337.5</v>
      </c>
      <c r="L35" s="37" t="s">
        <v>242</v>
      </c>
      <c r="M35" s="37" t="s">
        <v>243</v>
      </c>
      <c r="N35" s="37" t="s">
        <v>244</v>
      </c>
      <c r="O35" s="37" t="s">
        <v>245</v>
      </c>
      <c r="P35" s="6" t="s">
        <v>26</v>
      </c>
      <c r="Q35" s="38" t="s">
        <v>61</v>
      </c>
    </row>
    <row r="36" spans="1:17" ht="28.5" customHeight="1">
      <c r="A36" s="6" t="s">
        <v>246</v>
      </c>
      <c r="B36" s="6" t="s">
        <v>247</v>
      </c>
      <c r="C36" s="6" t="s">
        <v>134</v>
      </c>
      <c r="D36" s="6" t="s">
        <v>248</v>
      </c>
      <c r="E36" s="6" t="s">
        <v>249</v>
      </c>
      <c r="F36" s="35" t="s">
        <v>250</v>
      </c>
      <c r="G36" s="6" t="s">
        <v>58</v>
      </c>
      <c r="H36" s="35" t="s">
        <v>24</v>
      </c>
      <c r="I36" s="35">
        <v>300</v>
      </c>
      <c r="J36" s="35">
        <v>1.36</v>
      </c>
      <c r="K36" s="36">
        <f t="shared" si="0"/>
        <v>408.00000000000006</v>
      </c>
      <c r="L36" s="37" t="s">
        <v>251</v>
      </c>
      <c r="M36" s="37" t="s">
        <v>252</v>
      </c>
      <c r="N36" s="37" t="s">
        <v>253</v>
      </c>
      <c r="O36" s="37" t="s">
        <v>254</v>
      </c>
      <c r="P36" s="6" t="s">
        <v>26</v>
      </c>
      <c r="Q36" s="38" t="s">
        <v>61</v>
      </c>
    </row>
    <row r="37" spans="1:17" ht="28.5" customHeight="1">
      <c r="A37" s="6" t="s">
        <v>255</v>
      </c>
      <c r="B37" s="6" t="s">
        <v>247</v>
      </c>
      <c r="C37" s="6" t="s">
        <v>134</v>
      </c>
      <c r="D37" s="6" t="s">
        <v>256</v>
      </c>
      <c r="E37" s="6" t="s">
        <v>257</v>
      </c>
      <c r="F37" s="35" t="s">
        <v>250</v>
      </c>
      <c r="G37" s="6" t="s">
        <v>58</v>
      </c>
      <c r="H37" s="35" t="s">
        <v>24</v>
      </c>
      <c r="I37" s="35">
        <v>300</v>
      </c>
      <c r="J37" s="35">
        <v>1.36</v>
      </c>
      <c r="K37" s="36">
        <f t="shared" si="0"/>
        <v>408.00000000000006</v>
      </c>
      <c r="L37" s="37" t="s">
        <v>251</v>
      </c>
      <c r="M37" s="37" t="s">
        <v>252</v>
      </c>
      <c r="N37" s="37" t="e">
        <f>_xlfn.CONCAT([1]!Table1[[#This Row],[Project
Definition]],"-01-01")</f>
        <v>#REF!</v>
      </c>
      <c r="O37" s="37" t="s">
        <v>258</v>
      </c>
      <c r="P37" s="6" t="s">
        <v>26</v>
      </c>
      <c r="Q37" s="38" t="s">
        <v>61</v>
      </c>
    </row>
    <row r="38" spans="1:17" ht="28.5" customHeight="1">
      <c r="A38" s="6" t="s">
        <v>259</v>
      </c>
      <c r="B38" s="6" t="s">
        <v>204</v>
      </c>
      <c r="C38" s="6" t="s">
        <v>205</v>
      </c>
      <c r="D38" s="6" t="s">
        <v>260</v>
      </c>
      <c r="E38" s="6" t="s">
        <v>261</v>
      </c>
      <c r="F38" s="35" t="s">
        <v>262</v>
      </c>
      <c r="G38" s="6" t="s">
        <v>58</v>
      </c>
      <c r="H38" s="35" t="s">
        <v>35</v>
      </c>
      <c r="I38" s="35">
        <v>400</v>
      </c>
      <c r="J38" s="35">
        <v>1.35</v>
      </c>
      <c r="K38" s="36">
        <f t="shared" si="0"/>
        <v>540</v>
      </c>
      <c r="L38" s="37" t="s">
        <v>209</v>
      </c>
      <c r="M38" s="37" t="s">
        <v>210</v>
      </c>
      <c r="N38" s="37" t="s">
        <v>263</v>
      </c>
      <c r="O38" s="37" t="s">
        <v>264</v>
      </c>
      <c r="P38" s="6" t="s">
        <v>26</v>
      </c>
      <c r="Q38" s="38" t="s">
        <v>61</v>
      </c>
    </row>
    <row r="39" spans="1:17" ht="28.5" customHeight="1">
      <c r="A39" s="6" t="s">
        <v>265</v>
      </c>
      <c r="B39" s="6" t="s">
        <v>266</v>
      </c>
      <c r="C39" s="6" t="s">
        <v>267</v>
      </c>
      <c r="D39" s="6" t="s">
        <v>268</v>
      </c>
      <c r="E39" s="6" t="s">
        <v>269</v>
      </c>
      <c r="F39" s="35" t="s">
        <v>270</v>
      </c>
      <c r="G39" s="6" t="s">
        <v>270</v>
      </c>
      <c r="H39" s="35" t="s">
        <v>35</v>
      </c>
      <c r="I39" s="35">
        <v>200</v>
      </c>
      <c r="J39" s="35">
        <v>1.5</v>
      </c>
      <c r="K39" s="36">
        <f t="shared" si="0"/>
        <v>300</v>
      </c>
      <c r="L39" s="37"/>
      <c r="M39" s="37"/>
      <c r="N39" s="37"/>
      <c r="O39" s="37"/>
      <c r="P39" s="6" t="s">
        <v>26</v>
      </c>
      <c r="Q39" s="38" t="s">
        <v>27</v>
      </c>
    </row>
    <row r="40" spans="1:17" ht="28.5" customHeight="1">
      <c r="A40" s="6" t="s">
        <v>271</v>
      </c>
      <c r="B40" s="6" t="s">
        <v>204</v>
      </c>
      <c r="C40" s="6" t="s">
        <v>205</v>
      </c>
      <c r="D40" s="39" t="s">
        <v>272</v>
      </c>
      <c r="E40" s="39" t="s">
        <v>273</v>
      </c>
      <c r="F40" s="35" t="s">
        <v>274</v>
      </c>
      <c r="G40" s="6" t="s">
        <v>58</v>
      </c>
      <c r="H40" s="35" t="s">
        <v>35</v>
      </c>
      <c r="I40" s="35">
        <v>175</v>
      </c>
      <c r="J40" s="35">
        <v>1.35</v>
      </c>
      <c r="K40" s="36">
        <f t="shared" si="0"/>
        <v>236.25000000000003</v>
      </c>
      <c r="L40" s="37" t="s">
        <v>209</v>
      </c>
      <c r="M40" s="37" t="s">
        <v>210</v>
      </c>
      <c r="N40" s="37" t="s">
        <v>275</v>
      </c>
      <c r="O40" s="37" t="s">
        <v>276</v>
      </c>
      <c r="P40" s="6" t="s">
        <v>26</v>
      </c>
      <c r="Q40" s="38" t="s">
        <v>27</v>
      </c>
    </row>
    <row r="41" spans="1:17" ht="28.5" customHeight="1">
      <c r="A41" s="6" t="s">
        <v>277</v>
      </c>
      <c r="B41" s="6" t="s">
        <v>278</v>
      </c>
      <c r="C41" s="6" t="s">
        <v>67</v>
      </c>
      <c r="D41" s="6" t="s">
        <v>279</v>
      </c>
      <c r="E41" s="6" t="s">
        <v>280</v>
      </c>
      <c r="F41" s="35" t="s">
        <v>281</v>
      </c>
      <c r="G41" s="6" t="s">
        <v>58</v>
      </c>
      <c r="H41" s="35" t="s">
        <v>24</v>
      </c>
      <c r="I41" s="35">
        <v>234</v>
      </c>
      <c r="J41" s="35">
        <v>1.36</v>
      </c>
      <c r="K41" s="36">
        <f t="shared" si="0"/>
        <v>318.24</v>
      </c>
      <c r="L41" s="37" t="s">
        <v>282</v>
      </c>
      <c r="M41" s="37" t="s">
        <v>71</v>
      </c>
      <c r="N41" s="37" t="s">
        <v>283</v>
      </c>
      <c r="O41" s="37" t="s">
        <v>284</v>
      </c>
      <c r="P41" s="6" t="s">
        <v>26</v>
      </c>
      <c r="Q41" s="38" t="s">
        <v>27</v>
      </c>
    </row>
    <row r="42" spans="1:17" ht="28.5" customHeight="1">
      <c r="A42" s="6" t="s">
        <v>285</v>
      </c>
      <c r="B42" s="6" t="s">
        <v>204</v>
      </c>
      <c r="C42" s="6" t="s">
        <v>205</v>
      </c>
      <c r="D42" s="6" t="s">
        <v>286</v>
      </c>
      <c r="E42" s="6" t="s">
        <v>287</v>
      </c>
      <c r="F42" s="35" t="s">
        <v>288</v>
      </c>
      <c r="G42" s="6" t="s">
        <v>58</v>
      </c>
      <c r="H42" s="35" t="s">
        <v>35</v>
      </c>
      <c r="I42" s="35">
        <v>100</v>
      </c>
      <c r="J42" s="35">
        <v>1.35</v>
      </c>
      <c r="K42" s="36">
        <f t="shared" si="0"/>
        <v>135</v>
      </c>
      <c r="L42" s="37" t="s">
        <v>209</v>
      </c>
      <c r="M42" s="37" t="s">
        <v>210</v>
      </c>
      <c r="N42" s="37" t="s">
        <v>289</v>
      </c>
      <c r="O42" s="37" t="s">
        <v>290</v>
      </c>
      <c r="P42" s="6" t="s">
        <v>26</v>
      </c>
      <c r="Q42" s="38" t="s">
        <v>73</v>
      </c>
    </row>
    <row r="43" spans="1:17" ht="28.5" customHeight="1">
      <c r="A43" s="6" t="s">
        <v>291</v>
      </c>
      <c r="B43" s="6" t="s">
        <v>292</v>
      </c>
      <c r="C43" s="6" t="s">
        <v>205</v>
      </c>
      <c r="D43" s="39" t="s">
        <v>293</v>
      </c>
      <c r="E43" s="39" t="s">
        <v>294</v>
      </c>
      <c r="F43" s="35" t="s">
        <v>274</v>
      </c>
      <c r="G43" s="6" t="s">
        <v>58</v>
      </c>
      <c r="H43" s="35" t="s">
        <v>35</v>
      </c>
      <c r="I43" s="35">
        <v>50</v>
      </c>
      <c r="J43" s="35">
        <v>1.35</v>
      </c>
      <c r="K43" s="36">
        <f t="shared" si="0"/>
        <v>67.5</v>
      </c>
      <c r="L43" s="37" t="s">
        <v>209</v>
      </c>
      <c r="M43" s="37" t="s">
        <v>210</v>
      </c>
      <c r="N43" s="37" t="s">
        <v>295</v>
      </c>
      <c r="O43" s="37" t="s">
        <v>296</v>
      </c>
      <c r="P43" s="6" t="s">
        <v>26</v>
      </c>
      <c r="Q43" s="38" t="s">
        <v>27</v>
      </c>
    </row>
    <row r="44" spans="1:17" ht="28.5" customHeight="1">
      <c r="A44" s="6" t="s">
        <v>297</v>
      </c>
      <c r="B44" s="6" t="s">
        <v>298</v>
      </c>
      <c r="C44" s="6" t="s">
        <v>299</v>
      </c>
      <c r="D44" s="6" t="s">
        <v>300</v>
      </c>
      <c r="E44" s="6" t="s">
        <v>301</v>
      </c>
      <c r="F44" s="35" t="s">
        <v>302</v>
      </c>
      <c r="G44" s="6" t="s">
        <v>34</v>
      </c>
      <c r="H44" s="35" t="s">
        <v>35</v>
      </c>
      <c r="I44" s="35">
        <v>150</v>
      </c>
      <c r="J44" s="35">
        <v>1.35</v>
      </c>
      <c r="K44" s="36">
        <f t="shared" si="0"/>
        <v>202.5</v>
      </c>
      <c r="L44" s="37" t="s">
        <v>303</v>
      </c>
      <c r="M44" s="37" t="s">
        <v>304</v>
      </c>
      <c r="N44" s="37" t="s">
        <v>305</v>
      </c>
      <c r="O44" s="37" t="s">
        <v>306</v>
      </c>
      <c r="P44" s="6" t="s">
        <v>26</v>
      </c>
      <c r="Q44" s="38" t="s">
        <v>27</v>
      </c>
    </row>
    <row r="45" spans="1:17" ht="28.5" customHeight="1">
      <c r="A45" s="6" t="s">
        <v>307</v>
      </c>
      <c r="B45" s="6" t="s">
        <v>292</v>
      </c>
      <c r="C45" s="6" t="s">
        <v>205</v>
      </c>
      <c r="D45" s="39" t="s">
        <v>308</v>
      </c>
      <c r="E45" s="39" t="s">
        <v>309</v>
      </c>
      <c r="F45" s="35" t="s">
        <v>288</v>
      </c>
      <c r="G45" s="6" t="s">
        <v>58</v>
      </c>
      <c r="H45" s="35" t="s">
        <v>35</v>
      </c>
      <c r="I45" s="35">
        <v>200</v>
      </c>
      <c r="J45" s="35">
        <v>1.35</v>
      </c>
      <c r="K45" s="36">
        <f t="shared" si="0"/>
        <v>270</v>
      </c>
      <c r="L45" s="37" t="s">
        <v>209</v>
      </c>
      <c r="M45" s="37" t="s">
        <v>210</v>
      </c>
      <c r="N45" s="37" t="s">
        <v>289</v>
      </c>
      <c r="O45" s="37" t="s">
        <v>290</v>
      </c>
      <c r="P45" s="6" t="s">
        <v>26</v>
      </c>
      <c r="Q45" s="38" t="s">
        <v>27</v>
      </c>
    </row>
    <row r="46" spans="1:17" ht="28.5" customHeight="1">
      <c r="A46" s="6" t="s">
        <v>310</v>
      </c>
      <c r="B46" s="6" t="s">
        <v>292</v>
      </c>
      <c r="C46" s="6" t="s">
        <v>205</v>
      </c>
      <c r="D46" s="6" t="s">
        <v>311</v>
      </c>
      <c r="E46" s="6" t="s">
        <v>312</v>
      </c>
      <c r="F46" s="35" t="s">
        <v>313</v>
      </c>
      <c r="G46" s="6" t="s">
        <v>58</v>
      </c>
      <c r="H46" s="35" t="s">
        <v>35</v>
      </c>
      <c r="I46" s="35">
        <v>600</v>
      </c>
      <c r="J46" s="35">
        <v>1.35</v>
      </c>
      <c r="K46" s="36">
        <f t="shared" si="0"/>
        <v>810</v>
      </c>
      <c r="L46" s="37" t="s">
        <v>209</v>
      </c>
      <c r="M46" s="37" t="s">
        <v>210</v>
      </c>
      <c r="N46" s="37"/>
      <c r="O46" s="37" t="s">
        <v>314</v>
      </c>
      <c r="P46" s="6" t="s">
        <v>26</v>
      </c>
      <c r="Q46" s="38" t="s">
        <v>27</v>
      </c>
    </row>
    <row r="47" spans="1:17" ht="28.5" customHeight="1">
      <c r="A47" s="6" t="s">
        <v>315</v>
      </c>
      <c r="B47" s="6" t="s">
        <v>316</v>
      </c>
      <c r="C47" s="6" t="s">
        <v>205</v>
      </c>
      <c r="D47" s="39" t="s">
        <v>317</v>
      </c>
      <c r="E47" s="39" t="s">
        <v>318</v>
      </c>
      <c r="F47" s="35" t="s">
        <v>319</v>
      </c>
      <c r="G47" s="6" t="s">
        <v>58</v>
      </c>
      <c r="H47" s="35" t="s">
        <v>35</v>
      </c>
      <c r="I47" s="35">
        <v>112.5</v>
      </c>
      <c r="J47" s="35">
        <v>1.35</v>
      </c>
      <c r="K47" s="36">
        <f t="shared" si="0"/>
        <v>151.875</v>
      </c>
      <c r="L47" s="37" t="s">
        <v>209</v>
      </c>
      <c r="M47" s="37" t="s">
        <v>210</v>
      </c>
      <c r="N47" s="37" t="s">
        <v>320</v>
      </c>
      <c r="O47" s="37" t="s">
        <v>321</v>
      </c>
      <c r="P47" s="6" t="s">
        <v>26</v>
      </c>
      <c r="Q47" s="38" t="s">
        <v>27</v>
      </c>
    </row>
    <row r="48" spans="1:17" ht="28.5" customHeight="1">
      <c r="A48" s="6" t="s">
        <v>322</v>
      </c>
      <c r="B48" s="6" t="s">
        <v>298</v>
      </c>
      <c r="C48" s="6" t="s">
        <v>323</v>
      </c>
      <c r="D48" s="39" t="s">
        <v>324</v>
      </c>
      <c r="E48" s="39" t="s">
        <v>325</v>
      </c>
      <c r="F48" s="35" t="s">
        <v>288</v>
      </c>
      <c r="G48" s="6" t="s">
        <v>34</v>
      </c>
      <c r="H48" s="35" t="s">
        <v>35</v>
      </c>
      <c r="I48" s="35">
        <v>75</v>
      </c>
      <c r="J48" s="35">
        <v>1.35</v>
      </c>
      <c r="K48" s="36">
        <f t="shared" si="0"/>
        <v>101.25</v>
      </c>
      <c r="L48" s="37" t="s">
        <v>326</v>
      </c>
      <c r="M48" s="37" t="s">
        <v>327</v>
      </c>
      <c r="N48" s="37" t="s">
        <v>328</v>
      </c>
      <c r="O48" s="37" t="s">
        <v>329</v>
      </c>
      <c r="P48" s="6" t="s">
        <v>26</v>
      </c>
      <c r="Q48" s="38" t="s">
        <v>27</v>
      </c>
    </row>
    <row r="49" spans="1:18" ht="28.5" customHeight="1">
      <c r="A49" s="6" t="s">
        <v>330</v>
      </c>
      <c r="B49" s="6" t="s">
        <v>316</v>
      </c>
      <c r="C49" s="6" t="s">
        <v>205</v>
      </c>
      <c r="D49" s="6" t="s">
        <v>331</v>
      </c>
      <c r="E49" s="6" t="s">
        <v>332</v>
      </c>
      <c r="F49" s="35" t="s">
        <v>333</v>
      </c>
      <c r="G49" s="6" t="s">
        <v>58</v>
      </c>
      <c r="H49" s="35" t="s">
        <v>35</v>
      </c>
      <c r="I49" s="35">
        <v>500</v>
      </c>
      <c r="J49" s="35">
        <v>1.35</v>
      </c>
      <c r="K49" s="36">
        <f t="shared" si="0"/>
        <v>675</v>
      </c>
      <c r="L49" s="37" t="s">
        <v>209</v>
      </c>
      <c r="M49" s="37" t="s">
        <v>210</v>
      </c>
      <c r="N49" s="37" t="s">
        <v>334</v>
      </c>
      <c r="O49" s="37" t="s">
        <v>335</v>
      </c>
      <c r="P49" s="6" t="s">
        <v>26</v>
      </c>
      <c r="Q49" s="38" t="s">
        <v>27</v>
      </c>
    </row>
    <row r="50" spans="1:18" ht="28.5" customHeight="1">
      <c r="A50" s="6" t="s">
        <v>336</v>
      </c>
      <c r="B50" s="6" t="s">
        <v>316</v>
      </c>
      <c r="C50" s="6" t="s">
        <v>205</v>
      </c>
      <c r="D50" s="6" t="s">
        <v>337</v>
      </c>
      <c r="E50" s="6" t="s">
        <v>338</v>
      </c>
      <c r="F50" s="35" t="s">
        <v>339</v>
      </c>
      <c r="G50" s="6" t="s">
        <v>58</v>
      </c>
      <c r="H50" s="35" t="s">
        <v>35</v>
      </c>
      <c r="I50" s="35">
        <v>287.5</v>
      </c>
      <c r="J50" s="35">
        <v>1.35</v>
      </c>
      <c r="K50" s="36">
        <f t="shared" si="0"/>
        <v>388.125</v>
      </c>
      <c r="L50" s="37" t="s">
        <v>209</v>
      </c>
      <c r="M50" s="37" t="s">
        <v>210</v>
      </c>
      <c r="N50" s="37" t="s">
        <v>340</v>
      </c>
      <c r="O50" s="37" t="s">
        <v>341</v>
      </c>
      <c r="P50" s="6" t="s">
        <v>26</v>
      </c>
      <c r="Q50" s="6" t="s">
        <v>27</v>
      </c>
    </row>
    <row r="51" spans="1:18" ht="28.5" customHeight="1">
      <c r="A51" s="6" t="s">
        <v>342</v>
      </c>
      <c r="B51" s="6" t="s">
        <v>266</v>
      </c>
      <c r="C51" s="6" t="s">
        <v>267</v>
      </c>
      <c r="D51" s="6" t="s">
        <v>343</v>
      </c>
      <c r="E51" s="6" t="s">
        <v>344</v>
      </c>
      <c r="F51" s="35" t="s">
        <v>270</v>
      </c>
      <c r="G51" s="6" t="s">
        <v>270</v>
      </c>
      <c r="H51" s="35" t="s">
        <v>35</v>
      </c>
      <c r="I51" s="35">
        <v>400</v>
      </c>
      <c r="J51" s="35">
        <v>1.5</v>
      </c>
      <c r="K51" s="36">
        <f t="shared" si="0"/>
        <v>600</v>
      </c>
      <c r="L51" s="37"/>
      <c r="M51" s="37"/>
      <c r="N51" s="37"/>
      <c r="O51" s="37"/>
      <c r="P51" s="6" t="s">
        <v>26</v>
      </c>
      <c r="Q51" s="6" t="s">
        <v>27</v>
      </c>
    </row>
    <row r="52" spans="1:18" ht="35.25" customHeight="1">
      <c r="A52" s="6" t="s">
        <v>345</v>
      </c>
      <c r="B52" s="40" t="s">
        <v>346</v>
      </c>
      <c r="C52" s="6" t="s">
        <v>205</v>
      </c>
      <c r="D52" s="6" t="s">
        <v>347</v>
      </c>
      <c r="E52" s="6" t="s">
        <v>348</v>
      </c>
      <c r="F52" s="35" t="s">
        <v>274</v>
      </c>
      <c r="G52" s="6" t="s">
        <v>58</v>
      </c>
      <c r="H52" s="35" t="s">
        <v>35</v>
      </c>
      <c r="I52" s="35">
        <v>250</v>
      </c>
      <c r="J52" s="35">
        <v>1.35</v>
      </c>
      <c r="K52" s="36">
        <f t="shared" si="0"/>
        <v>337.5</v>
      </c>
      <c r="L52" s="37" t="s">
        <v>209</v>
      </c>
      <c r="M52" s="37" t="s">
        <v>210</v>
      </c>
      <c r="N52" s="37" t="s">
        <v>349</v>
      </c>
      <c r="O52" s="37" t="s">
        <v>350</v>
      </c>
      <c r="P52" s="6" t="s">
        <v>26</v>
      </c>
      <c r="Q52" s="6" t="s">
        <v>27</v>
      </c>
      <c r="R52" s="1" t="s">
        <v>351</v>
      </c>
    </row>
    <row r="53" spans="1:18" ht="28.5" customHeight="1">
      <c r="A53" s="6" t="s">
        <v>352</v>
      </c>
      <c r="B53" s="6" t="s">
        <v>316</v>
      </c>
      <c r="C53" s="6" t="s">
        <v>205</v>
      </c>
      <c r="D53" s="6" t="s">
        <v>353</v>
      </c>
      <c r="E53" s="6" t="s">
        <v>354</v>
      </c>
      <c r="F53" s="35" t="s">
        <v>339</v>
      </c>
      <c r="G53" s="6" t="s">
        <v>58</v>
      </c>
      <c r="H53" s="35" t="s">
        <v>35</v>
      </c>
      <c r="I53" s="35">
        <v>50</v>
      </c>
      <c r="J53" s="35">
        <v>1.35</v>
      </c>
      <c r="K53" s="36">
        <f t="shared" si="0"/>
        <v>67.5</v>
      </c>
      <c r="L53" s="37" t="s">
        <v>209</v>
      </c>
      <c r="M53" s="37" t="s">
        <v>210</v>
      </c>
      <c r="N53" s="37" t="s">
        <v>355</v>
      </c>
      <c r="O53" s="37"/>
      <c r="P53" s="6" t="s">
        <v>26</v>
      </c>
      <c r="Q53" s="6" t="s">
        <v>27</v>
      </c>
    </row>
    <row r="54" spans="1:18" ht="28.5" customHeight="1">
      <c r="A54" s="6" t="s">
        <v>356</v>
      </c>
      <c r="B54" s="6" t="s">
        <v>29</v>
      </c>
      <c r="C54" s="6" t="s">
        <v>103</v>
      </c>
      <c r="D54" s="6" t="s">
        <v>357</v>
      </c>
      <c r="E54" s="6" t="s">
        <v>358</v>
      </c>
      <c r="F54" s="35" t="s">
        <v>359</v>
      </c>
      <c r="G54" s="6" t="s">
        <v>34</v>
      </c>
      <c r="H54" s="35" t="s">
        <v>35</v>
      </c>
      <c r="I54" s="35">
        <v>50</v>
      </c>
      <c r="J54" s="35">
        <v>1.35</v>
      </c>
      <c r="K54" s="36">
        <f t="shared" si="0"/>
        <v>67.5</v>
      </c>
      <c r="L54" s="6" t="s">
        <v>197</v>
      </c>
      <c r="M54" s="37" t="s">
        <v>107</v>
      </c>
      <c r="N54" s="41" t="s">
        <v>108</v>
      </c>
      <c r="O54" s="41" t="s">
        <v>360</v>
      </c>
      <c r="P54" s="6" t="s">
        <v>26</v>
      </c>
      <c r="Q54" s="6" t="s">
        <v>27</v>
      </c>
    </row>
    <row r="55" spans="1:18" ht="28.5" customHeight="1">
      <c r="A55" s="6" t="s">
        <v>361</v>
      </c>
      <c r="B55" s="6" t="s">
        <v>316</v>
      </c>
      <c r="C55" s="6" t="s">
        <v>205</v>
      </c>
      <c r="D55" s="6" t="s">
        <v>362</v>
      </c>
      <c r="E55" s="6" t="s">
        <v>363</v>
      </c>
      <c r="F55" s="35" t="s">
        <v>302</v>
      </c>
      <c r="G55" s="6" t="s">
        <v>58</v>
      </c>
      <c r="H55" s="35" t="s">
        <v>35</v>
      </c>
      <c r="I55" s="35">
        <v>500</v>
      </c>
      <c r="J55" s="35">
        <v>1.35</v>
      </c>
      <c r="K55" s="36">
        <f t="shared" si="0"/>
        <v>675</v>
      </c>
      <c r="L55" s="37" t="s">
        <v>209</v>
      </c>
      <c r="M55" s="37" t="s">
        <v>210</v>
      </c>
      <c r="N55" s="37" t="s">
        <v>364</v>
      </c>
      <c r="O55" s="37" t="s">
        <v>365</v>
      </c>
      <c r="P55" s="6" t="s">
        <v>26</v>
      </c>
      <c r="Q55" s="6" t="s">
        <v>27</v>
      </c>
    </row>
  </sheetData>
  <autoFilter ref="A1:R55" xr:uid="{00000000-0001-0000-0000-000000000000}"/>
  <phoneticPr fontId="10" type="noConversion"/>
  <conditionalFormatting sqref="M2:N22">
    <cfRule type="duplicateValues" dxfId="1" priority="19"/>
  </conditionalFormatting>
  <conditionalFormatting sqref="O21">
    <cfRule type="duplicateValues" dxfId="0" priority="18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0D746EEE2EC40853F781981F5518A" ma:contentTypeVersion="3" ma:contentTypeDescription="Create a new document." ma:contentTypeScope="" ma:versionID="36b595c159e414e9a0cf863227d8304e">
  <xsd:schema xmlns:xsd="http://www.w3.org/2001/XMLSchema" xmlns:xs="http://www.w3.org/2001/XMLSchema" xmlns:p="http://schemas.microsoft.com/office/2006/metadata/properties" xmlns:ns2="1b3508fd-4ad7-48e2-8a95-a2b1c81bcace" targetNamespace="http://schemas.microsoft.com/office/2006/metadata/properties" ma:root="true" ma:fieldsID="ef097706e4e3b66c5adaa7174cfef7dd" ns2:_="">
    <xsd:import namespace="1b3508fd-4ad7-48e2-8a95-a2b1c81bc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508fd-4ad7-48e2-8a95-a2b1c81bc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1A413D-A1F0-4C28-9AAC-7214180AA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2980C-1C60-4EE1-A3C9-28A731EF4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508fd-4ad7-48e2-8a95-a2b1c81bc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A184A-AB8A-41E5-9D2A-1AEC5C4823E2}">
  <ds:schemaRefs>
    <ds:schemaRef ds:uri="http://schemas.microsoft.com/office/2006/documentManagement/types"/>
    <ds:schemaRef ds:uri="http://purl.org/dc/dcmitype/"/>
    <ds:schemaRef ds:uri="1b3508fd-4ad7-48e2-8a95-a2b1c81bc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Albin Sebastian</cp:lastModifiedBy>
  <cp:revision/>
  <dcterms:created xsi:type="dcterms:W3CDTF">2025-07-03T11:15:46Z</dcterms:created>
  <dcterms:modified xsi:type="dcterms:W3CDTF">2026-05-04T07:27:36Z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0x010100CC90D746EEE2EC40853F781981F5518A</vt:lpwstr>
  </property>
  <property fmtid="{D5CDD505-2E9C-101B-9397-08002B2CF9AE}" pid="3" name="MediaServiceImageTags">
    <vt:lpwstr/>
  </property>
</Properties>
</file>